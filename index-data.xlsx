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7A22745D-AFCF-4348-88E0-B6F415D225EC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3" r:id="rId13"/>
    <pivotCache cacheId="4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3" i="8" l="1"/>
  <c r="B16" i="8"/>
  <c r="O6" i="8" l="1"/>
  <c r="O5" i="8"/>
  <c r="O4" i="8"/>
  <c r="O3" i="8"/>
  <c r="Y8" i="8" l="1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C2" i="4" s="1"/>
  <c r="T4" i="8"/>
  <c r="D2" i="4" s="1"/>
  <c r="U4" i="8"/>
  <c r="E2" i="4" s="1"/>
  <c r="V4" i="8"/>
  <c r="F2" i="4" s="1"/>
  <c r="R5" i="8"/>
  <c r="B3" i="4" s="1"/>
  <c r="T5" i="8"/>
  <c r="D3" i="4" s="1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D14" i="4" s="1"/>
  <c r="V14" i="8"/>
  <c r="F14" i="4" s="1"/>
  <c r="R15" i="8"/>
  <c r="B15" i="4" s="1"/>
  <c r="S15" i="8"/>
  <c r="C15" i="4" s="1"/>
  <c r="T15" i="8"/>
  <c r="D15" i="4" s="1"/>
  <c r="U15" i="8"/>
  <c r="E15" i="4" s="1"/>
  <c r="V15" i="8"/>
  <c r="F15" i="4" s="1"/>
  <c r="R16" i="8"/>
  <c r="B16" i="4" s="1"/>
  <c r="S16" i="8"/>
  <c r="C16" i="4" s="1"/>
  <c r="T16" i="8"/>
  <c r="D16" i="4" s="1"/>
  <c r="U16" i="8"/>
  <c r="E16" i="4" s="1"/>
  <c r="V16" i="8"/>
  <c r="F16" i="4" s="1"/>
  <c r="R17" i="8"/>
  <c r="B17" i="4" s="1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C19" i="4" s="1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F20" i="4" s="1"/>
  <c r="R21" i="8"/>
  <c r="B21" i="4" s="1"/>
  <c r="S21" i="8"/>
  <c r="T21" i="8"/>
  <c r="D21" i="4" s="1"/>
  <c r="U21" i="8"/>
  <c r="V21" i="8"/>
  <c r="F21" i="4" s="1"/>
  <c r="R22" i="8"/>
  <c r="B22" i="4" s="1"/>
  <c r="T22" i="8"/>
  <c r="D22" i="4" s="1"/>
  <c r="V22" i="8"/>
  <c r="F22" i="4" s="1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E21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K211" i="5"/>
  <c r="K232" i="5"/>
  <c r="I187" i="5"/>
  <c r="I219" i="5"/>
  <c r="K219" i="5"/>
  <c r="I95" i="5"/>
  <c r="K35" i="5"/>
  <c r="I167" i="5"/>
  <c r="I175" i="5"/>
  <c r="K153" i="5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 s="1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G16" i="2" l="1"/>
  <c r="D13" i="1"/>
  <c r="D9" i="1"/>
  <c r="AA21" i="8"/>
  <c r="AC21" i="8" s="1"/>
  <c r="Z10" i="8"/>
  <c r="D21" i="1"/>
  <c r="D19" i="1"/>
  <c r="D17" i="1"/>
  <c r="D15" i="1"/>
  <c r="D11" i="1"/>
  <c r="D7" i="1"/>
  <c r="D5" i="1"/>
  <c r="Z14" i="8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N17" i="4"/>
  <c r="N23" i="4" s="1"/>
  <c r="B2" i="10" s="1"/>
  <c r="M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<sst xmlns="http://schemas.openxmlformats.org/spreadsheetml/2006/main" count="1164" uniqueCount="293">
  <si>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</si>
  <si>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</si>
  <si>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</si>
  <si>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</si>
  <si>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</si>
  <si>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</si>
  <si>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</si>
  <si>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</si>
  <si>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</si>
  <si>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</si>
  <si>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</si>
  <si>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</si>
  <si>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</si>
  <si>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</si>
  <si>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</si>
  <si>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</si>
  <si>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</si>
  <si>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</si>
  <si>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</si>
  <si>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</si>
  <si>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</si>
  <si>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</si>
  <si>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</si>
  <si>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</si>
  <si>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</si>
  <si>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</si>
  <si>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</si>
  <si>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</si>
  <si>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</si>
  <si>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</si>
  <si>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</si>
  <si>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</si>
  <si>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</si>
  <si>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</si>
  <si>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</si>
  <si>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</si>
  <si>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</si>
  <si>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</si>
  <si>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</si>
  <si>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</si>
  <si>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</si>
  <si>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</si>
  <si>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</si>
  <si>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</si>
  <si>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</si>
  <si>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</si>
  <si>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</si>
  <si>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</si>
  <si>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</si>
  <si>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</si>
  <si>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</si>
  <si>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</si>
  <si>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</si>
  <si>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</si>
  <si>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</si>
  <si>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</si>
  <si>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</si>
  <si>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</si>
  <si>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</si>
  <si>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</si>
  <si>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</si>
  <si>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</si>
  <si>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</si>
  <si>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</si>
  <si>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</si>
  <si>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</si>
  <si>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</si>
  <si>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</si>
  <si>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</si>
  <si>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</si>
  <si>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</si>
  <si>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</si>
  <si>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</si>
  <si>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</si>
  <si>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</si>
  <si>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</si>
  <si>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</si>
  <si>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</si>
  <si>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</si>
  <si>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</si>
  <si>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</si>
  <si>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</si>
  <si>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</si>
  <si>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</si>
  <si>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</si>
  <si>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</si>
  <si>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</si>
  <si>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</si>
  <si>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</si>
  <si>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</si>
  <si>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</si>
  <si>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</si>
  <si>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</si>
  <si>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</si>
  <si>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</si>
  <si>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</si>
  <si>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</si>
  <si>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</si>
  <si>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</si>
  <si>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</si>
  <si>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</si>
  <si>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</si>
  <si>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</si>
  <si>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</si>
  <si>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</si>
  <si>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</si>
  <si>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</si>
  <si>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</si>
  <si>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</si>
  <si>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</si>
  <si>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</si>
  <si>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</si>
  <si>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</si>
  <si>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</si>
  <si>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</si>
  <si>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</si>
  <si>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</si>
  <si>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</si>
  <si>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</si>
  <si>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</si>
  <si>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</si>
  <si>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</si>
  <si>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</si>
  <si>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</si>
  <si>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</si>
  <si>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</si>
  <si>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</si>
  <si>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</si>
  <si>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</si>
  <si>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</si>
  <si>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</si>
  <si>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</si>
  <si>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</si>
  <si>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</si>
  <si>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</si>
  <si>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</si>
  <si>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</si>
  <si>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</si>
  <si>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</si>
  <si>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</si>
  <si>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</si>
  <si>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</si>
  <si>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</si>
  <si>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</si>
  <si>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</si>
  <si>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</si>
  <si>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</si>
  <si>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</si>
  <si>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</si>
  <si>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</si>
  <si>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</si>
  <si>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</si>
  <si>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</si>
  <si>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</si>
  <si>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</si>
  <si>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</si>
  <si>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</si>
  <si>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</si>
  <si>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</si>
  <si>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</si>
  <si>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</si>
  <si>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</si>
  <si>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</si>
  <si>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</si>
  <si>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</si>
  <si>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</si>
  <si>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</si>
  <si>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</si>
  <si>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</si>
  <si>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</si>
  <si>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</si>
  <si>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</si>
  <si>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</si>
  <si>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</si>
  <si>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</si>
  <si>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</si>
  <si>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</si>
  <si>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</si>
  <si>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</si>
  <si>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</si>
  <si>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</si>
  <si>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</si>
  <si>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</si>
  <si>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</si>
  <si>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</si>
  <si>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</si>
  <si>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</si>
  <si>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</si>
  <si>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</si>
  <si>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</si>
  <si>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</si>
  <si>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</si>
  <si>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</si>
  <si>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</si>
  <si>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</si>
  <si>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</si>
  <si>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</si>
  <si>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</si>
  <si>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</si>
  <si>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</si>
  <si>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</si>
  <si>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</si>
  <si>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</si>
  <si>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</si>
  <si>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</si>
  <si>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</si>
  <si>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</si>
  <si>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</si>
  <si>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</si>
  <si>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</si>
  <si>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</si>
  <si>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</si>
  <si>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</si>
  <si>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</si>
  <si>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</si>
  <si>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</si>
  <si>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</si>
  <si>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</si>
  <si>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</si>
  <si>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</si>
  <si>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</si>
  <si>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</si>
  <si>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</si>
  <si>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</si>
  <si>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</si>
  <si>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</si>
  <si>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</si>
  <si>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</si>
  <si>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</si>
  <si>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</si>
  <si>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</si>
  <si>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</si>
  <si>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</si>
  <si>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</si>
  <si>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</si>
  <si>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</si>
  <si>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</si>
  <si>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</si>
  <si>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</si>
  <si>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</si>
  <si>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</si>
  <si>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</si>
  <si>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</si>
  <si>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</si>
  <si>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</si>
  <si>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</si>
  <si>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</si>
  <si>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</si>
  <si>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</si>
  <si>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</si>
  <si>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</si>
  <si>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</si>
  <si>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</si>
  <si>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</si>
  <si>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</si>
  <si>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</si>
  <si>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</si>
  <si>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</si>
  <si>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</si>
  <si>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</si>
  <si>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</si>
  <si>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</si>
  <si>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</si>
  <si>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</si>
  <si>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</si>
  <si>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</si>
  <si>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</si>
  <si>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</si>
  <si>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</si>
  <si>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</si>
  <si>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</si>
  <si>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</si>
  <si>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</si>
  <si>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</si>
  <si>
    <t>Nazila cell</t>
  </si>
  <si>
    <t>ABAY CELL</t>
  </si>
  <si>
    <t>OJH Celluar</t>
  </si>
  <si>
    <t>GIBRAN CELL</t>
  </si>
  <si>
    <t>AKEW CEL</t>
  </si>
  <si>
    <t>Gilang cell 6</t>
  </si>
  <si>
    <t>AHZACELL</t>
  </si>
  <si>
    <t>MIRRA CELL</t>
  </si>
  <si>
    <t>Ryan store</t>
  </si>
  <si>
    <t>WP - CACA CICI</t>
  </si>
  <si>
    <t>LUNAS</t>
  </si>
  <si>
    <t>RE phonestore</t>
  </si>
  <si>
    <t>RAYHAN CELL</t>
  </si>
  <si>
    <t>MANDIRI CELL</t>
  </si>
  <si>
    <t>KENTHU CELULER</t>
  </si>
  <si>
    <t>AF Cell 2</t>
  </si>
  <si>
    <t>GILANG CELL2</t>
  </si>
  <si>
    <t xml:space="preserve">7GB 28HR </t>
  </si>
  <si>
    <t>ADIGUNA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</si>
</sst>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100</v>
      </c>
      <c r="C3">
        <f>index!C4</f>
        <v>0</v>
      </c>
      <c r="D3" s="1">
        <f>B3+C3</f>
        <v>100</v>
      </c>
    </row>
    <row r="4" spans="1:4" x14ac:dyDescent="0.35">
      <c r="A4" t="s">
        <v>5</v>
      </c>
      <c r="B4">
        <f>index!B5</f>
        <v>4413</v>
      </c>
      <c r="C4">
        <f>index!C5</f>
        <v>15</v>
      </c>
      <c r="D4" s="1">
        <f t="shared" ref="D4:D21" si="0">B4+C4</f>
        <v>4428</v>
      </c>
    </row>
    <row r="5" spans="1:4" x14ac:dyDescent="0.35">
      <c r="A5" t="s">
        <v>6</v>
      </c>
      <c r="B5">
        <f>index!B6</f>
        <v>70</v>
      </c>
      <c r="C5">
        <f>index!C6</f>
        <v>8</v>
      </c>
      <c r="D5" s="1">
        <f t="shared" si="0"/>
        <v>78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205</v>
      </c>
      <c r="B7">
        <f>index!B8</f>
        <v>746</v>
      </c>
      <c r="C7">
        <f>index!C8</f>
        <v>0</v>
      </c>
      <c r="D7" s="1">
        <f t="shared" si="0"/>
        <v>746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7649</v>
      </c>
      <c r="C9">
        <f>index!C10</f>
        <v>0</v>
      </c>
      <c r="D9" s="1">
        <f t="shared" si="0"/>
        <v>7649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300</v>
      </c>
      <c r="C11">
        <f>index!C12</f>
        <v>815</v>
      </c>
      <c r="D11" s="1">
        <f t="shared" si="0"/>
        <v>1115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300</v>
      </c>
      <c r="C13">
        <f>index!C14</f>
        <v>71</v>
      </c>
      <c r="D13" s="1">
        <f t="shared" si="0"/>
        <v>371</v>
      </c>
    </row>
    <row r="14" spans="1:4" x14ac:dyDescent="0.35">
      <c r="A14" t="s">
        <v>13</v>
      </c>
      <c r="B14">
        <f>index!B15</f>
        <v>450</v>
      </c>
      <c r="C14">
        <f>index!C15</f>
        <v>0</v>
      </c>
      <c r="D14" s="1">
        <f t="shared" si="0"/>
        <v>450</v>
      </c>
    </row>
    <row r="15" spans="1:4" x14ac:dyDescent="0.35">
      <c r="A15" t="s">
        <v>14</v>
      </c>
      <c r="B15">
        <f>index!B16</f>
        <v>426</v>
      </c>
      <c r="C15">
        <f>index!C16</f>
        <v>15</v>
      </c>
      <c r="D15" s="1">
        <f t="shared" si="0"/>
        <v>441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51</v>
      </c>
      <c r="D17" s="1">
        <f t="shared" si="0"/>
        <v>51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450</v>
      </c>
      <c r="C20">
        <f>index!C21</f>
        <v>904</v>
      </c>
      <c r="D20" s="1">
        <f t="shared" si="0"/>
        <v>1354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86</v>
      </c>
      <c r="C2">
        <f>index!H5</f>
        <v>80</v>
      </c>
      <c r="D2">
        <f>index!I5</f>
        <v>96</v>
      </c>
      <c r="E2">
        <f>index!J5</f>
        <v>100</v>
      </c>
      <c r="G2">
        <f>SUM(B2:F2)</f>
        <v>362</v>
      </c>
    </row>
    <row r="3" spans="1:7" x14ac:dyDescent="0.35">
      <c r="A3" t="s">
        <v>29</v>
      </c>
      <c r="B3">
        <f>index!G6</f>
        <v>122</v>
      </c>
      <c r="C3">
        <f>index!H6</f>
        <v>64</v>
      </c>
      <c r="D3">
        <f>index!I6</f>
        <v>48</v>
      </c>
      <c r="E3">
        <f>index!J6</f>
        <v>59</v>
      </c>
      <c r="G3">
        <f t="shared" ref="G3:G22" si="0">SUM(B3:F3)</f>
        <v>293</v>
      </c>
    </row>
    <row r="4" spans="1:7" x14ac:dyDescent="0.35">
      <c r="A4" t="s">
        <v>30</v>
      </c>
      <c r="B4">
        <f>index!G7</f>
        <v>0</v>
      </c>
      <c r="C4">
        <f>index!H7</f>
        <v>63</v>
      </c>
      <c r="D4">
        <f>index!I7</f>
        <v>90</v>
      </c>
      <c r="E4">
        <f>index!J7</f>
        <v>183</v>
      </c>
      <c r="G4">
        <f t="shared" si="0"/>
        <v>336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5</v>
      </c>
      <c r="G5">
        <f t="shared" si="0"/>
        <v>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300</v>
      </c>
      <c r="D8">
        <f>index!I11</f>
        <v>44</v>
      </c>
      <c r="E8">
        <f>index!J11</f>
        <v>150</v>
      </c>
      <c r="G8">
        <f t="shared" si="0"/>
        <v>594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0</v>
      </c>
      <c r="E9">
        <f>index!J12</f>
        <v>0</v>
      </c>
      <c r="G9">
        <f t="shared" si="0"/>
        <v>0</v>
      </c>
    </row>
    <row r="10" spans="1:7" x14ac:dyDescent="0.35">
      <c r="A10" t="s">
        <v>32</v>
      </c>
      <c r="B10">
        <f>index!G13</f>
        <v>96</v>
      </c>
      <c r="C10">
        <f>index!H13</f>
        <v>104</v>
      </c>
      <c r="D10">
        <f>index!I13</f>
        <v>68</v>
      </c>
      <c r="E10">
        <f>index!J13</f>
        <v>202</v>
      </c>
      <c r="G10">
        <f t="shared" si="0"/>
        <v>470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9</v>
      </c>
      <c r="C12">
        <f>index!H15</f>
        <v>0</v>
      </c>
      <c r="D12">
        <f>index!I15</f>
        <v>35</v>
      </c>
      <c r="E12">
        <f>index!J15</f>
        <v>5</v>
      </c>
      <c r="G12">
        <f t="shared" si="0"/>
        <v>49</v>
      </c>
    </row>
    <row r="13" spans="1:7" x14ac:dyDescent="0.35">
      <c r="A13" t="s">
        <v>35</v>
      </c>
      <c r="B13">
        <f>index!G16</f>
        <v>32</v>
      </c>
      <c r="C13">
        <f>index!H16</f>
        <v>50</v>
      </c>
      <c r="D13">
        <f>index!I16</f>
        <v>23</v>
      </c>
      <c r="E13">
        <f>index!J16</f>
        <v>16</v>
      </c>
      <c r="G13">
        <f t="shared" si="0"/>
        <v>121</v>
      </c>
    </row>
    <row r="14" spans="1:7" x14ac:dyDescent="0.35">
      <c r="A14" t="s">
        <v>36</v>
      </c>
      <c r="B14">
        <f>index!G17</f>
        <v>15</v>
      </c>
      <c r="C14">
        <f>index!H17</f>
        <v>22</v>
      </c>
      <c r="D14">
        <f>index!I17</f>
        <v>24</v>
      </c>
      <c r="E14">
        <f>index!J17</f>
        <v>69</v>
      </c>
      <c r="G14">
        <f t="shared" si="0"/>
        <v>130</v>
      </c>
    </row>
    <row r="15" spans="1:7" x14ac:dyDescent="0.35">
      <c r="A15" t="s">
        <v>15</v>
      </c>
      <c r="B15">
        <f>index!G18</f>
        <v>0</v>
      </c>
      <c r="C15">
        <f>index!H18</f>
        <v>35</v>
      </c>
      <c r="D15">
        <f>index!I18</f>
        <v>0</v>
      </c>
      <c r="E15">
        <f>index!J18</f>
        <v>0</v>
      </c>
      <c r="G15">
        <f t="shared" si="0"/>
        <v>35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14</v>
      </c>
      <c r="D18">
        <f>index!I21</f>
        <v>9</v>
      </c>
      <c r="E18">
        <f>index!J21</f>
        <v>0</v>
      </c>
      <c r="G18">
        <f t="shared" si="0"/>
        <v>34</v>
      </c>
    </row>
    <row r="19" spans="1:7" x14ac:dyDescent="0.35">
      <c r="A19" t="s">
        <v>19</v>
      </c>
      <c r="B19">
        <f>index!G22</f>
        <v>25</v>
      </c>
      <c r="C19">
        <f>index!H22</f>
        <v>15</v>
      </c>
      <c r="D19">
        <f>index!I22</f>
        <v>96</v>
      </c>
      <c r="E19">
        <f>index!J22</f>
        <v>92</v>
      </c>
      <c r="G19">
        <f t="shared" si="0"/>
        <v>228</v>
      </c>
    </row>
    <row r="20" spans="1:7" x14ac:dyDescent="0.35">
      <c r="A20" t="s">
        <v>20</v>
      </c>
      <c r="B20">
        <f>index!G23</f>
        <v>15</v>
      </c>
      <c r="C20">
        <f>index!H23</f>
        <v>0</v>
      </c>
      <c r="D20">
        <f>index!I23</f>
        <v>3</v>
      </c>
      <c r="E20">
        <f>index!J23</f>
        <v>54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511</v>
      </c>
      <c r="C23">
        <f t="shared" ref="C23:G23" si="1">SUM(C2:C22)</f>
        <v>747</v>
      </c>
      <c r="D23">
        <f t="shared" si="1"/>
        <v>536</v>
      </c>
      <c r="E23">
        <f t="shared" si="1"/>
        <v>935</v>
      </c>
      <c r="F23">
        <f t="shared" si="1"/>
        <v>0</v>
      </c>
      <c r="G23">
        <f t="shared" si="1"/>
        <v>2729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32259000</v>
      </c>
    </row>
    <row r="3" spans="1:2" x14ac:dyDescent="0.35">
      <c r="A3" t="s">
        <v>40</v>
      </c>
      <c r="B3">
        <f>index!O4</f>
        <v>52263000</v>
      </c>
    </row>
    <row r="4" spans="1:2" x14ac:dyDescent="0.35">
      <c r="A4" t="s">
        <v>41</v>
      </c>
      <c r="B4">
        <f>index!O5</f>
        <v>43042000</v>
      </c>
    </row>
    <row r="5" spans="1:2" x14ac:dyDescent="0.35">
      <c r="A5" t="s">
        <v>42</v>
      </c>
      <c r="B5">
        <f>index!O6</f>
        <v>50945000</v>
      </c>
    </row>
    <row r="6" spans="1:2" x14ac:dyDescent="0.35">
      <c r="A6" t="s">
        <v>43</v>
      </c>
      <c r="B6">
        <f>SUM(B2:B5)</f>
        <v>178509000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12-Aug</v>
      </c>
      <c r="C1" t="s">
        <v>47</v>
      </c>
      <c r="D1" s="66" t="str">
        <f ca="1">"Parhan " &amp; TEXT(TODAY()-1, "dd-mmm")</f>
        <v>Parhan 12-Aug</v>
      </c>
      <c r="E1" t="s">
        <v>39</v>
      </c>
      <c r="F1" s="66" t="str">
        <f ca="1">"Enden " &amp; TEXT(TODAY()-1, "dd-mmm")</f>
        <v>Enden 12-Aug</v>
      </c>
      <c r="G1" t="s">
        <v>48</v>
      </c>
      <c r="H1" s="66" t="str">
        <f ca="1">"Pebrian " &amp; TEXT(TODAY()-1, "dd-mmm")</f>
        <v>Pebrian 12-Aug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364</v>
      </c>
      <c r="D3" s="70">
        <f>index!T5</f>
        <v>0</v>
      </c>
      <c r="E3">
        <f>index!U5</f>
        <v>255</v>
      </c>
      <c r="F3" s="70">
        <f>index!V5</f>
        <v>0</v>
      </c>
      <c r="G3">
        <f>index!W5</f>
        <v>339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1261</v>
      </c>
      <c r="L3">
        <v>30000</v>
      </c>
      <c r="M3">
        <f t="shared" ref="M3:M5" si="2">J3*L3</f>
        <v>0</v>
      </c>
      <c r="N3">
        <f>K3*L3</f>
        <v>37830000</v>
      </c>
      <c r="P3" t="s">
        <v>29</v>
      </c>
      <c r="Q3">
        <f>index!DG5</f>
        <v>0</v>
      </c>
      <c r="R3">
        <f>index!DH5+index!K37</f>
        <v>29</v>
      </c>
      <c r="S3">
        <f>index!DI5+index!K42+index!K45</f>
        <v>55</v>
      </c>
      <c r="T3">
        <f>index!DJ5+index!K49</f>
        <v>10</v>
      </c>
      <c r="U3">
        <f>index!DK5</f>
        <v>4</v>
      </c>
      <c r="V3">
        <f>index!DL5</f>
        <v>42</v>
      </c>
      <c r="W3">
        <f>index!DM5+index!K37</f>
        <v>44</v>
      </c>
      <c r="X3">
        <f>index!DN5</f>
        <v>0</v>
      </c>
      <c r="Y3">
        <f>index!DO5</f>
        <v>0</v>
      </c>
      <c r="Z3">
        <f>index!DP5</f>
        <v>61</v>
      </c>
      <c r="AA3">
        <f>index!DQ5</f>
        <v>80</v>
      </c>
      <c r="AB3">
        <f>index!DR5+index!K39</f>
        <v>35</v>
      </c>
      <c r="AC3">
        <f>index!DS5+index!K43</f>
        <v>25</v>
      </c>
      <c r="AD3">
        <f>index!DT5+index!K47+index!K50+index!K51</f>
        <v>50</v>
      </c>
      <c r="AE3">
        <f>index!DU5</f>
        <v>90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119</v>
      </c>
      <c r="D4" s="70">
        <f>index!T6</f>
        <v>0</v>
      </c>
      <c r="E4">
        <f>index!U6</f>
        <v>166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474</v>
      </c>
      <c r="L4">
        <v>25000</v>
      </c>
      <c r="M4">
        <f t="shared" si="2"/>
        <v>0</v>
      </c>
      <c r="N4">
        <f>K4*L4</f>
        <v>11850000</v>
      </c>
      <c r="P4" t="s">
        <v>30</v>
      </c>
      <c r="Q4">
        <f>index!DG6</f>
        <v>0</v>
      </c>
      <c r="R4">
        <f>index!DH6</f>
        <v>5</v>
      </c>
      <c r="S4">
        <f>index!DI6</f>
        <v>0</v>
      </c>
      <c r="T4">
        <f>index!DJ6</f>
        <v>0</v>
      </c>
      <c r="U4">
        <f>index!DK6</f>
        <v>5</v>
      </c>
      <c r="V4">
        <f>index!DL6</f>
        <v>0</v>
      </c>
      <c r="W4">
        <f>index!DM6</f>
        <v>4</v>
      </c>
      <c r="X4">
        <f>index!DN6</f>
        <v>0</v>
      </c>
      <c r="Y4">
        <f>index!DO6</f>
        <v>0</v>
      </c>
      <c r="Z4">
        <f>index!DP6</f>
        <v>4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5</v>
      </c>
      <c r="F5" s="70">
        <f>index!V7</f>
        <v>0</v>
      </c>
      <c r="G5">
        <f>index!W7</f>
        <v>5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10</v>
      </c>
      <c r="L5">
        <v>40000</v>
      </c>
      <c r="M5">
        <f t="shared" si="2"/>
        <v>0</v>
      </c>
      <c r="N5">
        <f>K5*L5</f>
        <v>400000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5</v>
      </c>
      <c r="X5">
        <f>index!DN7</f>
        <v>0</v>
      </c>
      <c r="Y5">
        <f>index!DO7</f>
        <v>0</v>
      </c>
      <c r="Z5">
        <f>index!DP7</f>
        <v>5</v>
      </c>
      <c r="AA5">
        <f>index!DQ7</f>
        <v>5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5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9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70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95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483</v>
      </c>
      <c r="D7" s="70">
        <f t="shared" si="3"/>
        <v>0</v>
      </c>
      <c r="E7">
        <f t="shared" si="3"/>
        <v>426</v>
      </c>
      <c r="F7" s="70">
        <f t="shared" si="3"/>
        <v>0</v>
      </c>
      <c r="G7">
        <f t="shared" si="3"/>
        <v>470</v>
      </c>
      <c r="H7">
        <f t="shared" si="3"/>
        <v>0</v>
      </c>
      <c r="I7">
        <f t="shared" si="3"/>
        <v>366</v>
      </c>
      <c r="J7" s="70">
        <f t="shared" si="3"/>
        <v>0</v>
      </c>
      <c r="K7">
        <f t="shared" si="3"/>
        <v>1745</v>
      </c>
      <c r="L7"/>
      <c r="M7">
        <f>SUM(M2:M5)</f>
        <v>0</v>
      </c>
      <c r="N7">
        <f>SUM(N2:N5)</f>
        <v>50080000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9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70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95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238</v>
      </c>
      <c r="D10" s="70">
        <f>index!T10</f>
        <v>0</v>
      </c>
      <c r="E10">
        <f>index!U10</f>
        <v>600</v>
      </c>
      <c r="F10" s="70">
        <f>index!V10</f>
        <v>0</v>
      </c>
      <c r="G10">
        <f>index!W10</f>
        <v>189</v>
      </c>
      <c r="H10">
        <f>index!X10</f>
        <v>0</v>
      </c>
      <c r="I10">
        <f>index!Y10</f>
        <v>600</v>
      </c>
      <c r="J10" s="70">
        <f>B10+D10+F10+H10</f>
        <v>0</v>
      </c>
      <c r="K10">
        <f>SUM(C10:I10)</f>
        <v>1627</v>
      </c>
      <c r="L10">
        <v>600</v>
      </c>
      <c r="M10">
        <f>K10*L10</f>
        <v>976200</v>
      </c>
      <c r="N10">
        <f>K10*L10</f>
        <v>976200</v>
      </c>
      <c r="P10" t="s">
        <v>8</v>
      </c>
      <c r="Q10">
        <f>index!DG12</f>
        <v>138</v>
      </c>
      <c r="R10">
        <f>index!DH12</f>
        <v>100</v>
      </c>
      <c r="S10">
        <f>index!DI12</f>
        <v>0</v>
      </c>
      <c r="T10">
        <f>index!DJ12</f>
        <v>0</v>
      </c>
      <c r="U10">
        <f>index!DK12</f>
        <v>238</v>
      </c>
      <c r="V10">
        <f>index!DL12</f>
        <v>450</v>
      </c>
      <c r="W10">
        <f>index!DM12</f>
        <v>150</v>
      </c>
      <c r="X10">
        <f>index!DN12</f>
        <v>0</v>
      </c>
      <c r="Y10">
        <f>index!DO12</f>
        <v>0</v>
      </c>
      <c r="Z10">
        <f>index!DP12</f>
        <v>600</v>
      </c>
      <c r="AA10">
        <f>index!DQ12</f>
        <v>162</v>
      </c>
      <c r="AB10">
        <f>index!DR12</f>
        <v>27</v>
      </c>
      <c r="AC10">
        <f>index!DS12</f>
        <v>0</v>
      </c>
      <c r="AD10">
        <f>index!DT12</f>
        <v>0</v>
      </c>
      <c r="AE10">
        <f>index!DU12</f>
        <v>189</v>
      </c>
      <c r="AF10">
        <f>index!DV12</f>
        <v>150</v>
      </c>
      <c r="AG10">
        <f>index!DW12</f>
        <v>450</v>
      </c>
      <c r="AH10">
        <f>index!DX12</f>
        <v>0</v>
      </c>
      <c r="AI10">
        <f>index!DY12</f>
        <v>0</v>
      </c>
      <c r="AJ10">
        <f>index!DZ12</f>
        <v>600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25</v>
      </c>
      <c r="H11">
        <f>index!X11</f>
        <v>0</v>
      </c>
      <c r="I11">
        <f>index!Y11</f>
        <v>4</v>
      </c>
      <c r="J11" s="70">
        <f t="shared" ref="J11:J22" si="4">B11+D11+F11+H11</f>
        <v>0</v>
      </c>
      <c r="K11">
        <f t="shared" ref="K11:K22" si="5">SUM(C11:I11)</f>
        <v>56</v>
      </c>
      <c r="L11">
        <v>22500</v>
      </c>
      <c r="M11">
        <f t="shared" ref="M11:M22" si="6">K11*L11</f>
        <v>1260000</v>
      </c>
      <c r="N11">
        <f t="shared" ref="N11:N22" si="7">K11*L11</f>
        <v>1260000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4</v>
      </c>
      <c r="AC11">
        <f>index!DS13</f>
        <v>0</v>
      </c>
      <c r="AD11">
        <f>index!DT13</f>
        <v>0</v>
      </c>
      <c r="AE11">
        <f>index!DU13</f>
        <v>4</v>
      </c>
      <c r="AF11">
        <f>index!DV13</f>
        <v>4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4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99</v>
      </c>
      <c r="D12" s="70">
        <f>index!T12</f>
        <v>0</v>
      </c>
      <c r="E12">
        <f>index!U12</f>
        <v>245</v>
      </c>
      <c r="F12" s="70">
        <f>index!V12</f>
        <v>3</v>
      </c>
      <c r="G12">
        <f>index!W12</f>
        <v>131</v>
      </c>
      <c r="H12">
        <f>index!X12</f>
        <v>0</v>
      </c>
      <c r="I12">
        <f>index!Y12</f>
        <v>22</v>
      </c>
      <c r="J12" s="70">
        <f t="shared" si="4"/>
        <v>3</v>
      </c>
      <c r="K12">
        <f t="shared" si="5"/>
        <v>500</v>
      </c>
      <c r="L12">
        <v>13500</v>
      </c>
      <c r="M12">
        <f t="shared" si="6"/>
        <v>6750000</v>
      </c>
      <c r="N12">
        <f t="shared" si="7"/>
        <v>6750000</v>
      </c>
      <c r="P12" t="s">
        <v>32</v>
      </c>
      <c r="Q12">
        <f>index!DG14</f>
        <v>0</v>
      </c>
      <c r="R12">
        <f>index!DH14</f>
        <v>12</v>
      </c>
      <c r="S12">
        <f>index!DI14</f>
        <v>0</v>
      </c>
      <c r="T12">
        <f>index!DJ14</f>
        <v>0</v>
      </c>
      <c r="U12">
        <f>index!DK14</f>
        <v>12</v>
      </c>
      <c r="V12">
        <f>index!DL14</f>
        <v>61</v>
      </c>
      <c r="W12">
        <f>index!DM14</f>
        <v>55</v>
      </c>
      <c r="X12">
        <f>index!DN14</f>
        <v>0</v>
      </c>
      <c r="Y12">
        <f>index!DO14</f>
        <v>0</v>
      </c>
      <c r="Z12">
        <f>index!DP14</f>
        <v>116</v>
      </c>
      <c r="AA12">
        <f>index!DQ14</f>
        <v>61</v>
      </c>
      <c r="AB12">
        <f>index!DR14</f>
        <v>25</v>
      </c>
      <c r="AC12">
        <f>index!DS14</f>
        <v>0</v>
      </c>
      <c r="AD12">
        <f>index!DT14</f>
        <v>0</v>
      </c>
      <c r="AE12">
        <f>index!DU14</f>
        <v>86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33</v>
      </c>
      <c r="D14" s="70">
        <f>index!T14</f>
        <v>0</v>
      </c>
      <c r="E14">
        <f>index!U14</f>
        <v>52</v>
      </c>
      <c r="F14" s="70">
        <f>index!V14</f>
        <v>0</v>
      </c>
      <c r="G14">
        <f>index!W14</f>
        <v>91</v>
      </c>
      <c r="H14">
        <f>index!X14</f>
        <v>0</v>
      </c>
      <c r="I14">
        <f>index!Y14</f>
        <v>107</v>
      </c>
      <c r="J14" s="70">
        <f t="shared" si="4"/>
        <v>0</v>
      </c>
      <c r="K14">
        <f t="shared" si="5"/>
        <v>283</v>
      </c>
      <c r="L14">
        <v>15400</v>
      </c>
      <c r="M14">
        <f t="shared" si="6"/>
        <v>4358200</v>
      </c>
      <c r="N14">
        <f t="shared" si="7"/>
        <v>4358200</v>
      </c>
      <c r="P14" t="s">
        <v>34</v>
      </c>
      <c r="Q14">
        <f>index!DG16</f>
        <v>0</v>
      </c>
      <c r="R14">
        <f>index!DH16</f>
        <v>6</v>
      </c>
      <c r="S14">
        <f>index!DI16</f>
        <v>0</v>
      </c>
      <c r="T14">
        <f>index!DJ16</f>
        <v>0</v>
      </c>
      <c r="U14">
        <f>index!DK16</f>
        <v>6</v>
      </c>
      <c r="V14">
        <f>index!DL16</f>
        <v>19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19</v>
      </c>
      <c r="AA14">
        <f>index!DQ16</f>
        <v>10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10</v>
      </c>
      <c r="AF14">
        <f>index!DV16</f>
        <v>0</v>
      </c>
      <c r="AG14">
        <f>index!DW16</f>
        <v>56</v>
      </c>
      <c r="AH14">
        <f>index!DX16</f>
        <v>0</v>
      </c>
      <c r="AI14">
        <f>index!DY16</f>
        <v>0</v>
      </c>
      <c r="AJ14">
        <f>index!DZ16</f>
        <v>56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12</v>
      </c>
      <c r="D15" s="70">
        <f>index!T15</f>
        <v>0</v>
      </c>
      <c r="E15">
        <f>index!U15</f>
        <v>146</v>
      </c>
      <c r="F15" s="70">
        <f>index!V15</f>
        <v>0</v>
      </c>
      <c r="G15">
        <f>index!W15</f>
        <v>50</v>
      </c>
      <c r="H15">
        <f>index!X15</f>
        <v>10</v>
      </c>
      <c r="I15">
        <f>index!Y15</f>
        <v>60</v>
      </c>
      <c r="J15" s="70">
        <f t="shared" si="4"/>
        <v>10</v>
      </c>
      <c r="K15">
        <f t="shared" si="5"/>
        <v>278</v>
      </c>
      <c r="L15">
        <v>17250</v>
      </c>
      <c r="M15">
        <f t="shared" si="6"/>
        <v>4795500</v>
      </c>
      <c r="N15">
        <f t="shared" si="7"/>
        <v>4795500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76</v>
      </c>
      <c r="W15">
        <f>index!DM17</f>
        <v>70</v>
      </c>
      <c r="X15">
        <f>index!DN17</f>
        <v>0</v>
      </c>
      <c r="Y15">
        <f>index!DO17</f>
        <v>0</v>
      </c>
      <c r="Z15">
        <f>index!DP17</f>
        <v>146</v>
      </c>
      <c r="AA15">
        <f>index!DQ17</f>
        <v>37</v>
      </c>
      <c r="AB15">
        <f>index!DR17</f>
        <v>13</v>
      </c>
      <c r="AC15">
        <f>index!DS17</f>
        <v>0</v>
      </c>
      <c r="AD15">
        <f>index!DT17</f>
        <v>0</v>
      </c>
      <c r="AE15">
        <f>index!DU17</f>
        <v>50</v>
      </c>
      <c r="AF15">
        <f>index!DV17</f>
        <v>30</v>
      </c>
      <c r="AG15">
        <f>index!DW17</f>
        <v>30</v>
      </c>
      <c r="AH15">
        <f>index!DX17</f>
        <v>0</v>
      </c>
      <c r="AI15">
        <f>index!DY17</f>
        <v>0</v>
      </c>
      <c r="AJ15">
        <f>index!DZ17</f>
        <v>60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34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3</v>
      </c>
      <c r="J16" s="70">
        <f t="shared" si="4"/>
        <v>0</v>
      </c>
      <c r="K16">
        <f t="shared" si="5"/>
        <v>37</v>
      </c>
      <c r="L16">
        <v>23800</v>
      </c>
      <c r="M16">
        <f t="shared" si="6"/>
        <v>880600</v>
      </c>
      <c r="N16">
        <f t="shared" si="7"/>
        <v>880600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15</v>
      </c>
      <c r="W16">
        <f>index!DM18</f>
        <v>19</v>
      </c>
      <c r="X16">
        <f>index!DN18</f>
        <v>0</v>
      </c>
      <c r="Y16">
        <f>index!DO18</f>
        <v>0</v>
      </c>
      <c r="Z16">
        <f>index!DP18</f>
        <v>34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3</v>
      </c>
      <c r="AH16">
        <f>index!DX18</f>
        <v>0</v>
      </c>
      <c r="AI16">
        <f>index!DY18</f>
        <v>0</v>
      </c>
      <c r="AJ16">
        <f>index!DZ18</f>
        <v>3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21</v>
      </c>
      <c r="F17" s="70">
        <f>index!V17</f>
        <v>0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27</v>
      </c>
      <c r="L17">
        <v>30000</v>
      </c>
      <c r="M17">
        <f t="shared" si="6"/>
        <v>810000</v>
      </c>
      <c r="N17">
        <f t="shared" si="7"/>
        <v>810000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5</v>
      </c>
      <c r="X17">
        <f>index!DN19</f>
        <v>0</v>
      </c>
      <c r="Y17">
        <f>index!DO19</f>
        <v>0</v>
      </c>
      <c r="Z17">
        <f>index!DP19</f>
        <v>21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31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31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31</v>
      </c>
      <c r="AA20">
        <f>index!DQ22</f>
        <v>6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6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65</v>
      </c>
      <c r="D21" s="70">
        <f>index!T21</f>
        <v>10</v>
      </c>
      <c r="E21">
        <f>index!U21</f>
        <v>76</v>
      </c>
      <c r="F21" s="70">
        <f>index!V21</f>
        <v>4</v>
      </c>
      <c r="G21">
        <f>index!W21</f>
        <v>42</v>
      </c>
      <c r="H21">
        <f>index!X21</f>
        <v>0</v>
      </c>
      <c r="I21">
        <f>index!Y21</f>
        <v>27</v>
      </c>
      <c r="J21" s="70">
        <f t="shared" si="4"/>
        <v>14</v>
      </c>
      <c r="K21">
        <f t="shared" si="5"/>
        <v>224</v>
      </c>
      <c r="L21">
        <v>9600</v>
      </c>
      <c r="M21">
        <f t="shared" si="6"/>
        <v>2150400</v>
      </c>
      <c r="N21">
        <f t="shared" si="7"/>
        <v>2150400</v>
      </c>
      <c r="P21" t="s">
        <v>19</v>
      </c>
      <c r="Q21">
        <f>index!DG23</f>
        <v>30</v>
      </c>
      <c r="R21">
        <f>index!DH23</f>
        <v>35</v>
      </c>
      <c r="S21">
        <f>index!DI23</f>
        <v>0</v>
      </c>
      <c r="T21">
        <f>index!DJ23</f>
        <v>0</v>
      </c>
      <c r="U21">
        <f>index!DK23</f>
        <v>65</v>
      </c>
      <c r="V21">
        <f>index!DL23</f>
        <v>13</v>
      </c>
      <c r="W21">
        <f>index!DM23</f>
        <v>63</v>
      </c>
      <c r="X21">
        <f>index!DN23</f>
        <v>0</v>
      </c>
      <c r="Y21">
        <f>index!DO23</f>
        <v>0</v>
      </c>
      <c r="Z21">
        <f>index!DP23</f>
        <v>76</v>
      </c>
      <c r="AA21">
        <f>index!DQ23</f>
        <v>35</v>
      </c>
      <c r="AB21">
        <f>index!DR23</f>
        <v>7</v>
      </c>
      <c r="AC21">
        <f>index!DS23</f>
        <v>0</v>
      </c>
      <c r="AD21">
        <f>index!DT23</f>
        <v>0</v>
      </c>
      <c r="AE21">
        <f>index!DU23</f>
        <v>42</v>
      </c>
      <c r="AF21">
        <f>index!DV23</f>
        <v>12</v>
      </c>
      <c r="AG21">
        <f>index!DW23</f>
        <v>15</v>
      </c>
      <c r="AH21">
        <f>index!DX23</f>
        <v>0</v>
      </c>
      <c r="AI21">
        <f>index!DY23</f>
        <v>0</v>
      </c>
      <c r="AJ21">
        <f>index!DZ23</f>
        <v>27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4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1</v>
      </c>
      <c r="J22" s="70">
        <f t="shared" si="4"/>
        <v>0</v>
      </c>
      <c r="K22">
        <f t="shared" si="5"/>
        <v>5</v>
      </c>
      <c r="L22">
        <v>13200</v>
      </c>
      <c r="M22">
        <f t="shared" si="6"/>
        <v>66000</v>
      </c>
      <c r="N22">
        <f t="shared" si="7"/>
        <v>66000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4</v>
      </c>
      <c r="X22">
        <f>index!DN24</f>
        <v>0</v>
      </c>
      <c r="Y22">
        <f>index!DO24</f>
        <v>0</v>
      </c>
      <c r="Z22">
        <f>index!DP24</f>
        <v>4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1</v>
      </c>
      <c r="AH22">
        <f>index!DX24</f>
        <v>0</v>
      </c>
      <c r="AI22">
        <f>index!DY24</f>
        <v>0</v>
      </c>
      <c r="AJ22">
        <f>index!DZ24</f>
        <v>1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0</v>
      </c>
      <c r="C23">
        <f>SUM(C10:C22)</f>
        <v>561</v>
      </c>
      <c r="D23" s="70">
        <f>SUM(D10:D22)</f>
        <v>10</v>
      </c>
      <c r="E23">
        <f t="shared" ref="E23:N23" si="8">SUM(E10:E22)</f>
        <v>1371</v>
      </c>
      <c r="F23" s="70">
        <f>SUM(F10:F22)</f>
        <v>7</v>
      </c>
      <c r="G23">
        <f t="shared" si="8"/>
        <v>645</v>
      </c>
      <c r="H23">
        <f>SUM(H10:H22)</f>
        <v>10</v>
      </c>
      <c r="I23">
        <f t="shared" si="8"/>
        <v>887</v>
      </c>
      <c r="J23" s="70">
        <f>SUM(J10:J22)</f>
        <v>27</v>
      </c>
      <c r="K23">
        <f t="shared" si="8"/>
        <v>3491</v>
      </c>
      <c r="M23">
        <f>SUM(M10:M22)</f>
        <v>25368200</v>
      </c>
      <c r="N23">
        <f t="shared" si="8"/>
        <v>25368200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150000</v>
      </c>
      <c r="K11" s="44">
        <f>index!BT12</f>
        <v>0</v>
      </c>
      <c r="L11" s="40">
        <f>index!BU12</f>
        <v>46210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675000</v>
      </c>
      <c r="K12" s="44">
        <f>index!BT13</f>
        <v>0</v>
      </c>
      <c r="L12" s="40">
        <f>index!BU13</f>
        <v>46210</v>
      </c>
    </row>
    <row r="13" spans="1:12" x14ac:dyDescent="0.35">
      <c r="A13" s="39">
        <v>12</v>
      </c>
      <c r="B13" s="40">
        <f>index!AP14</f>
        <v>46210</v>
      </c>
      <c r="C13" s="41" t="str">
        <f>index!AQ14</f>
        <v>GOL</v>
      </c>
      <c r="D13" s="42" t="str">
        <f>index!AR14</f>
        <v>MC-SAGARANTEN</v>
      </c>
      <c r="E13" s="31">
        <f>index!AS14</f>
        <v>17253568</v>
      </c>
      <c r="F13" s="31" t="str">
        <f>index!AT14</f>
        <v>AHZACELL</v>
      </c>
      <c r="G13" s="43" t="str">
        <f>index!AU14</f>
        <v>Kurnia</v>
      </c>
      <c r="H13" s="6">
        <f>index!AV14</f>
        <v>2</v>
      </c>
      <c r="I13" s="44">
        <f>index!BO14</f>
        <v>150000</v>
      </c>
      <c r="J13" s="44">
        <f>index!BR14</f>
        <v>150000</v>
      </c>
      <c r="K13" s="44">
        <f>index!BT14</f>
        <v>0</v>
      </c>
      <c r="L13" s="40">
        <f>index!BU14</f>
        <v>46211</v>
      </c>
    </row>
    <row r="14" spans="1:12" x14ac:dyDescent="0.35">
      <c r="A14" s="39">
        <v>13</v>
      </c>
      <c r="B14" s="40">
        <f>index!AP15</f>
        <v>46210</v>
      </c>
      <c r="C14" s="41" t="str">
        <f>index!AQ15</f>
        <v>GOL</v>
      </c>
      <c r="D14" s="42" t="str">
        <f>index!AR15</f>
        <v>MC-SAGARANTEN</v>
      </c>
      <c r="E14" s="31">
        <f>index!AS15</f>
        <v>1348548</v>
      </c>
      <c r="F14" s="31" t="str">
        <f>index!AT15</f>
        <v>MIRRA CELL</v>
      </c>
      <c r="G14" s="43" t="str">
        <f>index!AU15</f>
        <v>Pebrian Sahri Ramdani</v>
      </c>
      <c r="H14" s="6">
        <f>index!AV15</f>
        <v>7</v>
      </c>
      <c r="I14" s="44">
        <f>index!BO15</f>
        <v>525000</v>
      </c>
      <c r="J14" s="44">
        <f>index!BR15</f>
        <v>525000</v>
      </c>
      <c r="K14" s="44">
        <f>index!BT15</f>
        <v>0</v>
      </c>
      <c r="L14" s="40">
        <f>index!BU15</f>
        <v>46211</v>
      </c>
    </row>
    <row r="15" spans="1:12" x14ac:dyDescent="0.35">
      <c r="A15" s="39">
        <v>14</v>
      </c>
      <c r="B15" s="40">
        <f>index!AP16</f>
        <v>46211</v>
      </c>
      <c r="C15" s="41" t="str">
        <f>index!AQ16</f>
        <v>GOL</v>
      </c>
      <c r="D15" s="42" t="str">
        <f>index!AR16</f>
        <v>MC-SAGARANTEN</v>
      </c>
      <c r="E15" s="31">
        <f>index!AS16</f>
        <v>17729830</v>
      </c>
      <c r="F15" s="31" t="str">
        <f>index!AT16</f>
        <v>Ryan store</v>
      </c>
      <c r="G15" s="43" t="str">
        <f>index!AU16</f>
        <v>Muhamad Parhan</v>
      </c>
      <c r="H15" s="6">
        <f>index!AV16</f>
        <v>6</v>
      </c>
      <c r="I15" s="44">
        <f>index!BO16</f>
        <v>450000</v>
      </c>
      <c r="J15" s="44">
        <f>index!BR16</f>
        <v>450000</v>
      </c>
      <c r="K15" s="44">
        <f>index!BT16</f>
        <v>0</v>
      </c>
      <c r="L15" s="40">
        <f>index!BU16</f>
        <v>46212</v>
      </c>
    </row>
    <row r="16" spans="1:12" x14ac:dyDescent="0.35">
      <c r="A16" s="39">
        <v>15</v>
      </c>
      <c r="B16" s="40">
        <f>index!AP17</f>
        <v>46211</v>
      </c>
      <c r="C16" s="41" t="str">
        <f>index!AQ17</f>
        <v>GOL</v>
      </c>
      <c r="D16" s="42" t="str">
        <f>index!AR17</f>
        <v>MC-SAGARANTEN</v>
      </c>
      <c r="E16" s="31">
        <f>index!AS17</f>
        <v>17737459</v>
      </c>
      <c r="F16" s="31" t="str">
        <f>index!AT17</f>
        <v>WP - CACA CICI</v>
      </c>
      <c r="G16" s="43" t="str">
        <f>index!AU17</f>
        <v>M. Enden Abdul Latif</v>
      </c>
      <c r="H16" s="6">
        <f>index!AV17</f>
        <v>12</v>
      </c>
      <c r="I16" s="44">
        <f>index!BO17</f>
        <v>900000</v>
      </c>
      <c r="J16" s="44">
        <f>index!BR17</f>
        <v>900000</v>
      </c>
      <c r="K16" s="44">
        <f>index!BT17</f>
        <v>0</v>
      </c>
      <c r="L16" s="40">
        <f>index!BU17</f>
        <v>46212</v>
      </c>
    </row>
    <row r="17" spans="1:12" x14ac:dyDescent="0.35">
      <c r="A17" s="39">
        <v>16</v>
      </c>
      <c r="B17" s="40">
        <f>index!AP18</f>
        <v>46211</v>
      </c>
      <c r="C17" s="41" t="str">
        <f>index!AQ18</f>
        <v>GOL</v>
      </c>
      <c r="D17" s="42" t="str">
        <f>index!AR18</f>
        <v>MC-SAGARANTEN</v>
      </c>
      <c r="E17" s="31">
        <f>index!AS18</f>
        <v>572677</v>
      </c>
      <c r="F17" s="31" t="str">
        <f>index!AT18</f>
        <v>Fitri cell</v>
      </c>
      <c r="G17" s="43" t="str">
        <f>index!AU18</f>
        <v>Pebrian Sahri Ramdani</v>
      </c>
      <c r="H17" s="6">
        <f>index!AV18</f>
        <v>8</v>
      </c>
      <c r="I17" s="44">
        <f>index!BO18</f>
        <v>600000</v>
      </c>
      <c r="J17" s="44">
        <f>index!BR18</f>
        <v>600000</v>
      </c>
      <c r="K17" s="44">
        <f>index!BT18</f>
        <v>0</v>
      </c>
      <c r="L17" s="40">
        <f>index!BU18</f>
        <v>46212</v>
      </c>
    </row>
    <row r="18" spans="1:12" x14ac:dyDescent="0.35">
      <c r="A18" s="39">
        <v>17</v>
      </c>
      <c r="B18" s="40">
        <f>index!AP19</f>
        <v>46212</v>
      </c>
      <c r="C18" s="41" t="str">
        <f>index!AQ19</f>
        <v>GOL</v>
      </c>
      <c r="D18" s="42" t="str">
        <f>index!AR19</f>
        <v>MC-SAGARANTEN</v>
      </c>
      <c r="E18" s="31">
        <f>index!AS19</f>
        <v>17729987</v>
      </c>
      <c r="F18" s="31" t="str">
        <f>index!AT19</f>
        <v>RE phonestore</v>
      </c>
      <c r="G18" s="43" t="str">
        <f>index!AU19</f>
        <v>Muhamad Parhan</v>
      </c>
      <c r="H18" s="6">
        <f>index!AV19</f>
        <v>6</v>
      </c>
      <c r="I18" s="44">
        <f>index!BO19</f>
        <v>450000</v>
      </c>
      <c r="J18" s="44">
        <f>index!BR19</f>
        <v>450000</v>
      </c>
      <c r="K18" s="44">
        <f>index!BT19</f>
        <v>0</v>
      </c>
      <c r="L18" s="40">
        <f>index!BU19</f>
        <v>46213</v>
      </c>
    </row>
    <row r="19" spans="1:12" x14ac:dyDescent="0.35">
      <c r="A19" s="39">
        <v>18</v>
      </c>
      <c r="B19" s="40">
        <f>index!AP20</f>
        <v>46212</v>
      </c>
      <c r="C19" s="41" t="str">
        <f>index!AQ20</f>
        <v>GOL</v>
      </c>
      <c r="D19" s="42" t="str">
        <f>index!AR20</f>
        <v>MC-SAGARANTEN</v>
      </c>
      <c r="E19" s="31">
        <f>index!AS20</f>
        <v>1295672</v>
      </c>
      <c r="F19" s="31" t="str">
        <f>index!AT20</f>
        <v>RAYHAN CELL</v>
      </c>
      <c r="G19" s="43" t="str">
        <f>index!AU20</f>
        <v>M. Enden Abdul Latif</v>
      </c>
      <c r="H19" s="6">
        <f>index!AV20</f>
        <v>7</v>
      </c>
      <c r="I19" s="44">
        <f>index!BO20</f>
        <v>525000</v>
      </c>
      <c r="J19" s="44">
        <f>index!BR20</f>
        <v>525000</v>
      </c>
      <c r="K19" s="44">
        <f>index!BT20</f>
        <v>0</v>
      </c>
      <c r="L19" s="40">
        <f>index!BU20</f>
        <v>46213</v>
      </c>
    </row>
    <row r="20" spans="1:12" x14ac:dyDescent="0.35">
      <c r="A20" s="39">
        <v>19</v>
      </c>
      <c r="B20" s="40">
        <f>index!AP21</f>
        <v>46212</v>
      </c>
      <c r="C20" s="41" t="str">
        <f>index!AQ21</f>
        <v>GOL</v>
      </c>
      <c r="D20" s="42" t="str">
        <f>index!AR21</f>
        <v>MC-SAGARANTEN</v>
      </c>
      <c r="E20" s="31">
        <f>index!AS21</f>
        <v>1554004</v>
      </c>
      <c r="F20" s="31" t="str">
        <f>index!AT21</f>
        <v>MANDIRI CELL</v>
      </c>
      <c r="G20" s="43" t="str">
        <f>index!AU21</f>
        <v>Pebrian Sahri Ramdani</v>
      </c>
      <c r="H20" s="6">
        <f>index!AV21</f>
        <v>6</v>
      </c>
      <c r="I20" s="44">
        <f>index!BO21</f>
        <v>450000</v>
      </c>
      <c r="J20" s="44">
        <f>index!BR21</f>
        <v>450000</v>
      </c>
      <c r="K20" s="44">
        <f>index!BT21</f>
        <v>0</v>
      </c>
      <c r="L20" s="40">
        <f>index!BU21</f>
        <v>46213</v>
      </c>
    </row>
    <row r="21" spans="1:12" x14ac:dyDescent="0.35">
      <c r="A21" s="39">
        <v>20</v>
      </c>
      <c r="B21" s="40">
        <f>index!AP22</f>
        <v>46212</v>
      </c>
      <c r="C21" s="41" t="str">
        <f>index!AQ22</f>
        <v>GOL</v>
      </c>
      <c r="D21" s="42" t="str">
        <f>index!AR22</f>
        <v>MC-SAGARANTEN</v>
      </c>
      <c r="E21" s="31">
        <f>index!AS22</f>
        <v>1554004</v>
      </c>
      <c r="F21" s="31" t="str">
        <f>index!AT22</f>
        <v>MANDIRI CELL</v>
      </c>
      <c r="G21" s="43" t="str">
        <f>index!AU22</f>
        <v>Kurnia</v>
      </c>
      <c r="H21" s="6">
        <f>index!AV22</f>
        <v>2</v>
      </c>
      <c r="I21" s="44">
        <f>index!BO22</f>
        <v>150000</v>
      </c>
      <c r="J21" s="44">
        <f>index!BR22</f>
        <v>150000</v>
      </c>
      <c r="K21" s="44">
        <f>index!BT22</f>
        <v>0</v>
      </c>
      <c r="L21" s="40">
        <f>index!BU22</f>
        <v>46213</v>
      </c>
    </row>
    <row r="22" spans="1:12" x14ac:dyDescent="0.35">
      <c r="A22" s="39">
        <v>21</v>
      </c>
      <c r="B22" s="40">
        <f>index!AP23</f>
        <v>46213</v>
      </c>
      <c r="C22" s="41" t="str">
        <f>index!AQ23</f>
        <v>GOL</v>
      </c>
      <c r="D22" s="42" t="str">
        <f>index!AR23</f>
        <v>MC-SAGARANTEN</v>
      </c>
      <c r="E22" s="31">
        <f>index!AS23</f>
        <v>0</v>
      </c>
      <c r="F22" s="31" t="e">
        <f>index!AT23</f>
        <v>#N/A</v>
      </c>
      <c r="G22" s="43" t="str">
        <f>index!AU23</f>
        <v>Muhamad Parhan</v>
      </c>
      <c r="H22" s="6">
        <f>index!AV23</f>
        <v>32</v>
      </c>
      <c r="I22" s="44">
        <f>index!BO23</f>
        <v>2400000</v>
      </c>
      <c r="J22" s="44">
        <f>index!BR23</f>
        <v>0</v>
      </c>
      <c r="K22" s="44">
        <f>index!BT23</f>
        <v>2400000</v>
      </c>
      <c r="L22" s="40">
        <f>index!BU23</f>
        <v>0</v>
      </c>
    </row>
    <row r="23" spans="1:12" x14ac:dyDescent="0.35">
      <c r="A23" s="39">
        <v>22</v>
      </c>
      <c r="B23" s="40">
        <f>index!AP24</f>
        <v>46213</v>
      </c>
      <c r="C23" s="41" t="str">
        <f>index!AQ24</f>
        <v>GOL</v>
      </c>
      <c r="D23" s="42" t="str">
        <f>index!AR24</f>
        <v>MC-SAGARANTEN</v>
      </c>
      <c r="E23" s="31">
        <f>index!AS24</f>
        <v>0</v>
      </c>
      <c r="F23" s="31" t="e">
        <f>index!AT24</f>
        <v>#N/A</v>
      </c>
      <c r="G23" s="43" t="str">
        <f>index!AU24</f>
        <v>M. Enden Abdul Latif</v>
      </c>
      <c r="H23" s="6">
        <f>index!AV24</f>
        <v>31</v>
      </c>
      <c r="I23" s="44">
        <f>index!BO24</f>
        <v>2325000</v>
      </c>
      <c r="J23" s="44">
        <f>index!BR24</f>
        <v>0</v>
      </c>
      <c r="K23" s="44">
        <f>index!BT24</f>
        <v>2325000</v>
      </c>
      <c r="L23" s="40">
        <f>index!BU24</f>
        <v>0</v>
      </c>
    </row>
    <row r="24" spans="1:12" x14ac:dyDescent="0.35">
      <c r="A24" s="39">
        <v>23</v>
      </c>
      <c r="B24" s="40">
        <f>index!AP25</f>
        <v>46213</v>
      </c>
      <c r="C24" s="41" t="str">
        <f>index!AQ25</f>
        <v>GOL</v>
      </c>
      <c r="D24" s="42" t="str">
        <f>index!AR25</f>
        <v>MC-SAGARANTEN</v>
      </c>
      <c r="E24" s="31">
        <f>index!AS25</f>
        <v>0</v>
      </c>
      <c r="F24" s="31" t="e">
        <f>index!AT25</f>
        <v>#N/A</v>
      </c>
      <c r="G24" s="43" t="str">
        <f>index!AU25</f>
        <v>Pebrian Sahri Ramdani</v>
      </c>
      <c r="H24" s="6">
        <f>index!AV25</f>
        <v>32</v>
      </c>
      <c r="I24" s="44">
        <f>index!BO25</f>
        <v>2400000</v>
      </c>
      <c r="J24" s="44">
        <f>index!BR25</f>
        <v>0</v>
      </c>
      <c r="K24" s="44">
        <f>index!BT25</f>
        <v>2400000</v>
      </c>
      <c r="L24" s="40">
        <f>index!BU25</f>
        <v>0</v>
      </c>
    </row>
    <row r="25" spans="1:12" x14ac:dyDescent="0.35">
      <c r="A25" s="39">
        <v>24</v>
      </c>
      <c r="B25" s="40">
        <f>index!AP26</f>
        <v>46213</v>
      </c>
      <c r="C25" s="41" t="str">
        <f>index!AQ26</f>
        <v>GOL</v>
      </c>
      <c r="D25" s="42" t="str">
        <f>index!AR26</f>
        <v>MC-SAGARANTEN</v>
      </c>
      <c r="E25" s="31">
        <f>index!AS26</f>
        <v>0</v>
      </c>
      <c r="F25" s="31" t="e">
        <f>index!AT26</f>
        <v>#N/A</v>
      </c>
      <c r="G25" s="43" t="str">
        <f>index!AU26</f>
        <v>Kurnia</v>
      </c>
      <c r="H25" s="6">
        <f>index!AV26</f>
        <v>8</v>
      </c>
      <c r="I25" s="44">
        <f>index!BO26</f>
        <v>600000</v>
      </c>
      <c r="J25" s="44">
        <f>index!BR26</f>
        <v>0</v>
      </c>
      <c r="K25" s="44">
        <f>index!BT26</f>
        <v>600000</v>
      </c>
      <c r="L25" s="40">
        <f>index!BU26</f>
        <v>0</v>
      </c>
    </row>
    <row r="26" spans="1:12" x14ac:dyDescent="0.35">
      <c r="A26" s="39">
        <v>25</v>
      </c>
      <c r="B26" s="40">
        <f>index!AP27</f>
        <v>46214</v>
      </c>
      <c r="C26" s="41" t="str">
        <f>index!AQ27</f>
        <v>GOL</v>
      </c>
      <c r="D26" s="42" t="str">
        <f>index!AR27</f>
        <v>MC-SAGARANTEN</v>
      </c>
      <c r="E26" s="31">
        <f>index!AS27</f>
        <v>17383074</v>
      </c>
      <c r="F26" s="31" t="str">
        <f>index!AT27</f>
        <v>KENTHU CELULER</v>
      </c>
      <c r="G26" s="43" t="str">
        <f>index!AU27</f>
        <v>Muhamad Parhan</v>
      </c>
      <c r="H26" s="6">
        <f>index!AV27</f>
        <v>0</v>
      </c>
      <c r="I26" s="44">
        <f>index!BO27</f>
        <v>0</v>
      </c>
      <c r="J26" s="44">
        <f>index!BR27</f>
        <v>375000</v>
      </c>
      <c r="K26" s="44">
        <f>index!BT27</f>
        <v>-375000</v>
      </c>
      <c r="L26" s="40">
        <f>index!BU27</f>
        <v>46216</v>
      </c>
    </row>
    <row r="27" spans="1:12" x14ac:dyDescent="0.35">
      <c r="A27" s="39">
        <v>26</v>
      </c>
      <c r="B27" s="40">
        <f>index!AP28</f>
        <v>46214</v>
      </c>
      <c r="C27" s="41" t="str">
        <f>index!AQ28</f>
        <v>GOL</v>
      </c>
      <c r="D27" s="42" t="str">
        <f>index!AR28</f>
        <v>MC-SAGARANTEN</v>
      </c>
      <c r="E27" s="31">
        <f>index!AS28</f>
        <v>17138377</v>
      </c>
      <c r="F27" s="31" t="str">
        <f>index!AT28</f>
        <v>EMYRATE CELL</v>
      </c>
      <c r="G27" s="43" t="str">
        <f>index!AU28</f>
        <v>Pebrian Sahri Ramdani</v>
      </c>
      <c r="H27" s="6">
        <f>index!AV28</f>
        <v>0</v>
      </c>
      <c r="I27" s="44">
        <f>index!BO28</f>
        <v>0</v>
      </c>
      <c r="J27" s="44">
        <f>index!BR28</f>
        <v>750000</v>
      </c>
      <c r="K27" s="44">
        <f>index!BT28</f>
        <v>-750000</v>
      </c>
      <c r="L27" s="40">
        <f>index!BU28</f>
        <v>46216</v>
      </c>
    </row>
    <row r="28" spans="1:12" x14ac:dyDescent="0.35">
      <c r="A28" s="39">
        <v>27</v>
      </c>
      <c r="B28" s="40">
        <f>index!AP29</f>
        <v>46214</v>
      </c>
      <c r="C28" s="41" t="str">
        <f>index!AQ29</f>
        <v>GOL</v>
      </c>
      <c r="D28" s="42" t="str">
        <f>index!AR29</f>
        <v>MC-SAGARANTEN</v>
      </c>
      <c r="E28" s="31">
        <f>index!AS29</f>
        <v>17737026</v>
      </c>
      <c r="F28" s="31" t="str">
        <f>index!AT29</f>
        <v>Yan cell</v>
      </c>
      <c r="G28" s="43" t="str">
        <f>index!AU29</f>
        <v>Muhamad Parhan</v>
      </c>
      <c r="H28" s="6">
        <f>index!AV29</f>
        <v>0</v>
      </c>
      <c r="I28" s="44">
        <f>index!BO29</f>
        <v>0</v>
      </c>
      <c r="J28" s="44">
        <f>index!BR29</f>
        <v>450000</v>
      </c>
      <c r="K28" s="44">
        <f>index!BT29</f>
        <v>-450000</v>
      </c>
      <c r="L28" s="40">
        <f>index!BU29</f>
        <v>46216</v>
      </c>
    </row>
    <row r="29" spans="1:12" x14ac:dyDescent="0.35">
      <c r="A29" s="39">
        <v>28</v>
      </c>
      <c r="B29" s="40">
        <f>index!AP30</f>
        <v>46214</v>
      </c>
      <c r="C29" s="41" t="str">
        <f>index!AQ30</f>
        <v>GOL</v>
      </c>
      <c r="D29" s="42" t="str">
        <f>index!AR30</f>
        <v>MC-SAGARANTEN</v>
      </c>
      <c r="E29" s="31">
        <f>index!AS30</f>
        <v>17675348</v>
      </c>
      <c r="F29" s="31" t="str">
        <f>index!AT30</f>
        <v>AF Cell 2</v>
      </c>
      <c r="G29" s="43" t="str">
        <f>index!AU30</f>
        <v>M. Enden Abdul Latif</v>
      </c>
      <c r="H29" s="6">
        <f>index!AV30</f>
        <v>0</v>
      </c>
      <c r="I29" s="44">
        <f>index!BO30</f>
        <v>0</v>
      </c>
      <c r="J29" s="44">
        <f>index!BR30</f>
        <v>375000</v>
      </c>
      <c r="K29" s="44">
        <f>index!BT30</f>
        <v>-375000</v>
      </c>
      <c r="L29" s="40">
        <f>index!BU30</f>
        <v>46216</v>
      </c>
    </row>
    <row r="30" spans="1:12" x14ac:dyDescent="0.35">
      <c r="A30" s="39">
        <v>29</v>
      </c>
      <c r="B30" s="40">
        <f>index!AP31</f>
        <v>46214</v>
      </c>
      <c r="C30" s="41" t="str">
        <f>index!AQ31</f>
        <v>GOL</v>
      </c>
      <c r="D30" s="42" t="str">
        <f>index!AR31</f>
        <v>MC-SAGARANTEN</v>
      </c>
      <c r="E30" s="31">
        <f>index!AS31</f>
        <v>17260654</v>
      </c>
      <c r="F30" s="31" t="str">
        <f>index!AT31</f>
        <v>GILANG CELL2</v>
      </c>
      <c r="G30" s="43" t="str">
        <f>index!AU31</f>
        <v>Pebrian Sahri Ramdani</v>
      </c>
      <c r="H30" s="6">
        <f>index!AV31</f>
        <v>0</v>
      </c>
      <c r="I30" s="44">
        <f>index!BO31</f>
        <v>0</v>
      </c>
      <c r="J30" s="44">
        <f>index!BR31</f>
        <v>750000</v>
      </c>
      <c r="K30" s="44">
        <f>index!BT31</f>
        <v>-750000</v>
      </c>
      <c r="L30" s="40">
        <f>index!BU31</f>
        <v>46216</v>
      </c>
    </row>
    <row r="31" spans="1:12" x14ac:dyDescent="0.35">
      <c r="A31" s="39">
        <v>30</v>
      </c>
      <c r="B31" s="40">
        <f>index!AP32</f>
        <v>46216</v>
      </c>
      <c r="C31" s="41" t="str">
        <f>index!AQ32</f>
        <v>GOL</v>
      </c>
      <c r="D31" s="42" t="str">
        <f>index!AR32</f>
        <v>MC-SAGARANTEN</v>
      </c>
      <c r="E31" s="31">
        <f>index!AS32</f>
        <v>0</v>
      </c>
      <c r="F31" s="31" t="e">
        <f>index!AT32</f>
        <v>#N/A</v>
      </c>
      <c r="G31" s="43" t="str">
        <f>index!AU32</f>
        <v>Muhamad Parhan</v>
      </c>
      <c r="H31" s="6">
        <f>index!AV32</f>
        <v>0</v>
      </c>
      <c r="I31" s="44">
        <f>index!BO32</f>
        <v>0</v>
      </c>
      <c r="J31" s="44">
        <f>index!BR32</f>
        <v>300000</v>
      </c>
      <c r="K31" s="44">
        <f>index!BT32</f>
        <v>-300000</v>
      </c>
      <c r="L31" s="40">
        <f>index!BU32</f>
        <v>0</v>
      </c>
    </row>
    <row r="32" spans="1:12" x14ac:dyDescent="0.35">
      <c r="A32" s="39">
        <v>31</v>
      </c>
      <c r="B32" s="40">
        <f>index!AP33</f>
        <v>46216</v>
      </c>
      <c r="C32" s="41" t="str">
        <f>index!AQ33</f>
        <v>GOL</v>
      </c>
      <c r="D32" s="42" t="str">
        <f>index!AR33</f>
        <v>MC-SAGARANTEN</v>
      </c>
      <c r="E32" s="31">
        <f>index!AS33</f>
        <v>0</v>
      </c>
      <c r="F32" s="31" t="e">
        <f>index!AT33</f>
        <v>#N/A</v>
      </c>
      <c r="G32" s="43" t="str">
        <f>index!AU33</f>
        <v>Kurnia</v>
      </c>
      <c r="H32" s="6">
        <f>index!AV33</f>
        <v>0</v>
      </c>
      <c r="I32" s="44">
        <f>index!BO33</f>
        <v>0</v>
      </c>
      <c r="J32" s="44">
        <f>index!BR33</f>
        <v>375000</v>
      </c>
      <c r="K32" s="44">
        <f>index!BT33</f>
        <v>-375000</v>
      </c>
      <c r="L32" s="40">
        <f>index!BU33</f>
        <v>0</v>
      </c>
    </row>
    <row r="33" spans="1:12" x14ac:dyDescent="0.35">
      <c r="A33" s="39">
        <v>32</v>
      </c>
      <c r="B33" s="40">
        <f>index!AP34</f>
        <v>46216</v>
      </c>
      <c r="C33" s="41" t="str">
        <f>index!AQ34</f>
        <v>GOL</v>
      </c>
      <c r="D33" s="42" t="str">
        <f>index!AR34</f>
        <v>MC-SAGARANTEN</v>
      </c>
      <c r="E33" s="31">
        <f>index!AS34</f>
        <v>0</v>
      </c>
      <c r="F33" s="31" t="e">
        <f>index!AT34</f>
        <v>#N/A</v>
      </c>
      <c r="G33" s="43" t="str">
        <f>index!AU34</f>
        <v>M. Enden Abdul Latif</v>
      </c>
      <c r="H33" s="6">
        <f>index!AV34</f>
        <v>0</v>
      </c>
      <c r="I33" s="44">
        <f>index!BO34</f>
        <v>0</v>
      </c>
      <c r="J33" s="44">
        <f>index!BR34</f>
        <v>375000</v>
      </c>
      <c r="K33" s="44">
        <f>index!BT34</f>
        <v>-375000</v>
      </c>
      <c r="L33" s="40">
        <f>index!BU34</f>
        <v>0</v>
      </c>
    </row>
    <row r="34" spans="1:12" x14ac:dyDescent="0.35">
      <c r="A34" s="39">
        <v>33</v>
      </c>
      <c r="B34" s="40">
        <f>index!AP35</f>
        <v>46216</v>
      </c>
      <c r="C34" s="41" t="str">
        <f>index!AQ35</f>
        <v>GOL</v>
      </c>
      <c r="D34" s="42" t="str">
        <f>index!AR35</f>
        <v>MC-SAGARANTEN</v>
      </c>
      <c r="E34" s="31">
        <f>index!AS35</f>
        <v>0</v>
      </c>
      <c r="F34" s="31" t="e">
        <f>index!AT35</f>
        <v>#N/A</v>
      </c>
      <c r="G34" s="43" t="str">
        <f>index!AU35</f>
        <v>Pebrian Sahri Ramdani</v>
      </c>
      <c r="H34" s="6">
        <f>index!AV35</f>
        <v>0</v>
      </c>
      <c r="I34" s="44">
        <f>index!BO35</f>
        <v>0</v>
      </c>
      <c r="J34" s="44">
        <f>index!BR35</f>
        <v>375000</v>
      </c>
      <c r="K34" s="44">
        <f>index!BT35</f>
        <v>-375000</v>
      </c>
      <c r="L34" s="40">
        <f>index!BU35</f>
        <v>0</v>
      </c>
    </row>
    <row r="35" spans="1:12" x14ac:dyDescent="0.35">
      <c r="A35" s="39">
        <v>34</v>
      </c>
      <c r="B35" s="40">
        <f>index!AP36</f>
        <v>46217</v>
      </c>
      <c r="C35" s="41" t="str">
        <f>index!AQ36</f>
        <v>GOL</v>
      </c>
      <c r="D35" s="42" t="str">
        <f>index!AR36</f>
        <v>MC-SAGARANTEN</v>
      </c>
      <c r="E35" s="31">
        <f>index!AS36</f>
        <v>0</v>
      </c>
      <c r="F35" s="31" t="e">
        <f>index!AT36</f>
        <v>#N/A</v>
      </c>
      <c r="G35" s="43" t="str">
        <f>index!AU36</f>
        <v>Kurnia</v>
      </c>
      <c r="H35" s="6">
        <f>index!AV36</f>
        <v>28</v>
      </c>
      <c r="I35" s="44">
        <f>index!BO36</f>
        <v>2100000</v>
      </c>
      <c r="J35" s="44">
        <f>index!BR36</f>
        <v>0</v>
      </c>
      <c r="K35" s="44">
        <f>index!BT36</f>
        <v>2100000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310000</v>
      </c>
      <c r="I2" s="64">
        <f>index!CG3</f>
        <v>46185</v>
      </c>
      <c r="J2" s="64">
        <f>index!CH3</f>
        <v>46212</v>
      </c>
      <c r="K2" s="6" t="str">
        <f>index!CI3</f>
        <v>LUNAS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LUNAS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310000</v>
      </c>
      <c r="I6" s="64">
        <f>index!CG7</f>
        <v>46197</v>
      </c>
      <c r="J6" s="64">
        <f>index!CH7</f>
        <v>46212</v>
      </c>
      <c r="K6" s="6" t="str">
        <f>index!CI7</f>
        <v>LUNAS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LUNAS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178509000</v>
      </c>
      <c r="B2">
        <f>'penjualan-reguler-new'!N7+'penjualan-reguler-new'!N23</f>
        <v>75448200</v>
      </c>
      <c r="C2">
        <f>SUM('penjualan-paket-jupiter'!J2:J400)+'penjualan-direct-selling'!E6</f>
        <v>30405000</v>
      </c>
      <c r="D2">
        <f>SUM('penjualan-hifi'!H2:H17)</f>
        <v>1240000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/>
  </sheetViews>
  <sheetFormatPr defaultRowHeight="14.5" x14ac:dyDescent="0.35"/>
  <cols>
    <col min="2" max="2" width="20" bestFit="1" customWidth="1"/>
    <col min="7" max="7" width="10.6328125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3" t="s">
        <v>0</v>
      </c>
      <c r="B2" s="93" t="s">
        <v>1</v>
      </c>
      <c r="C2" s="93" t="s">
        <v>2</v>
      </c>
      <c r="D2" s="93" t="s">
        <v>3</v>
      </c>
      <c r="F2" s="95" t="s">
        <v>74</v>
      </c>
      <c r="G2" s="96"/>
      <c r="H2" s="96"/>
      <c r="I2" s="96"/>
      <c r="J2" s="96"/>
      <c r="K2" s="96"/>
      <c r="L2" s="97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98" t="s">
        <v>168</v>
      </c>
      <c r="AA2" s="98" t="s">
        <v>44</v>
      </c>
      <c r="AB2" s="89" t="s">
        <v>45</v>
      </c>
      <c r="AC2" s="91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4"/>
      <c r="B3" s="94"/>
      <c r="C3" s="94"/>
      <c r="D3" s="94"/>
      <c r="F3" s="15"/>
      <c r="G3" s="16"/>
      <c r="H3" s="17"/>
      <c r="I3" s="17"/>
      <c r="J3" s="17"/>
      <c r="K3" s="17"/>
      <c r="L3" s="18"/>
      <c r="N3" s="31" t="s">
        <v>39</v>
      </c>
      <c r="O3" s="33">
        <f>29759000+O9</f>
        <v>32259000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99"/>
      <c r="AA3" s="99"/>
      <c r="AB3" s="90"/>
      <c r="AC3" s="92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">
        <v>184</v>
      </c>
      <c r="AS3" s="31">
        <v>17190542</v>
      </c>
      <c r="AT3" s="31" t="s">
        <v>255</v>
      </c>
      <c r="AU3" s="43" t="s">
        <v>53</v>
      </c>
      <c r="AV3" s="6">
        <v>10</v>
      </c>
      <c r="AW3" s="44">
        <v>0</v>
      </c>
      <c r="AX3" s="44">
        <v>30</v>
      </c>
      <c r="AY3" s="44">
        <v>0</v>
      </c>
      <c r="AZ3" s="44">
        <v>0</v>
      </c>
      <c r="BA3" s="44">
        <v>0</v>
      </c>
      <c r="BB3" s="44">
        <v>0</v>
      </c>
      <c r="BC3" s="44">
        <v>0</v>
      </c>
      <c r="BD3" s="44">
        <v>0</v>
      </c>
      <c r="BE3" s="44">
        <v>0</v>
      </c>
      <c r="BF3" s="44">
        <v>0</v>
      </c>
      <c r="BG3" s="44">
        <v>0</v>
      </c>
      <c r="BH3" s="44">
        <v>0</v>
      </c>
      <c r="BI3" s="44">
        <v>0</v>
      </c>
      <c r="BJ3" s="44">
        <v>0</v>
      </c>
      <c r="BK3" s="44">
        <v>0</v>
      </c>
      <c r="BL3" s="44">
        <v>0</v>
      </c>
      <c r="BM3" s="44">
        <v>0</v>
      </c>
      <c r="BN3" s="44">
        <v>10</v>
      </c>
      <c r="BO3" s="55"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v>0</v>
      </c>
      <c r="BU3" s="40">
        <v>46205</v>
      </c>
      <c r="BV3" s="9">
        <v>200000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>
        <v>310000</v>
      </c>
      <c r="CG3" s="5">
        <v>46185</v>
      </c>
      <c r="CH3" s="5">
        <v>46212</v>
      </c>
      <c r="CI3" s="4" t="s">
        <v>284</v>
      </c>
      <c r="CJ3" s="5"/>
      <c r="CL3" s="67">
        <f ca="1">TODAY()-1</f>
        <v>46246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100</v>
      </c>
      <c r="C4" s="14">
        <v>0</v>
      </c>
      <c r="D4" s="13">
        <f>C4+B4</f>
        <v>100</v>
      </c>
      <c r="F4" s="19" t="s">
        <v>21</v>
      </c>
      <c r="G4" s="3" t="s">
        <v>292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45713000+O10</f>
        <v>52263000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">
        <v>184</v>
      </c>
      <c r="AS4" s="31">
        <v>17187147</v>
      </c>
      <c r="AT4" s="31" t="s">
        <v>274</v>
      </c>
      <c r="AU4" s="31" t="s">
        <v>41</v>
      </c>
      <c r="AV4" s="6">
        <v>5</v>
      </c>
      <c r="AW4" s="44">
        <v>0</v>
      </c>
      <c r="AX4" s="44">
        <v>15</v>
      </c>
      <c r="AY4" s="44">
        <v>0</v>
      </c>
      <c r="AZ4" s="44">
        <v>0</v>
      </c>
      <c r="BA4" s="44">
        <v>0</v>
      </c>
      <c r="BB4" s="44">
        <v>0</v>
      </c>
      <c r="BC4" s="44">
        <v>0</v>
      </c>
      <c r="BD4" s="44">
        <v>0</v>
      </c>
      <c r="BE4" s="44">
        <v>0</v>
      </c>
      <c r="BF4" s="44">
        <v>0</v>
      </c>
      <c r="BG4" s="44">
        <v>0</v>
      </c>
      <c r="BH4" s="44">
        <v>0</v>
      </c>
      <c r="BI4" s="44">
        <v>0</v>
      </c>
      <c r="BJ4" s="44">
        <v>0</v>
      </c>
      <c r="BK4" s="44">
        <v>0</v>
      </c>
      <c r="BL4" s="44">
        <v>0</v>
      </c>
      <c r="BM4" s="44">
        <v>0</v>
      </c>
      <c r="BN4" s="44">
        <v>5</v>
      </c>
      <c r="BO4" s="55"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v>0</v>
      </c>
      <c r="BU4" s="40">
        <v>46205</v>
      </c>
      <c r="BV4" s="9">
        <v>1150000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4413</v>
      </c>
      <c r="C5" s="14">
        <v>15</v>
      </c>
      <c r="D5" s="13">
        <f t="shared" ref="D5:D22" si="0">C5+B5</f>
        <v>4428</v>
      </c>
      <c r="F5" s="20" t="s">
        <v>4</v>
      </c>
      <c r="G5" s="21">
        <v>86</v>
      </c>
      <c r="H5" s="21">
        <v>80</v>
      </c>
      <c r="I5" s="21">
        <v>96</v>
      </c>
      <c r="J5" s="21">
        <v>100</v>
      </c>
      <c r="K5" s="21">
        <v>22</v>
      </c>
      <c r="L5" s="22">
        <f>SUM(G5:K5)</f>
        <v>384</v>
      </c>
      <c r="N5" s="31" t="s">
        <v>41</v>
      </c>
      <c r="O5" s="33">
        <f>38942000+O11</f>
        <v>43042000</v>
      </c>
      <c r="Q5" s="20" t="s">
        <v>29</v>
      </c>
      <c r="R5" s="68">
        <f>CM7+AF20</f>
        <v>0</v>
      </c>
      <c r="S5" s="69">
        <f>CW5+AF5-25</f>
        <v>364</v>
      </c>
      <c r="T5" s="69">
        <f>CN7+AF19</f>
        <v>0</v>
      </c>
      <c r="U5" s="27">
        <f>CX5+AF4-25</f>
        <v>255</v>
      </c>
      <c r="V5" s="69">
        <f>CO7+AF21</f>
        <v>0</v>
      </c>
      <c r="W5" s="27">
        <f>CY5+AF6</f>
        <v>339</v>
      </c>
      <c r="X5" s="69">
        <f>CP7+AF22</f>
        <v>0</v>
      </c>
      <c r="Y5" s="27">
        <f>CZ5+AF7+-25</f>
        <v>303</v>
      </c>
      <c r="Z5" s="27">
        <f t="shared" ref="Z5:Z24" si="1">R5+T5+V5+X5</f>
        <v>0</v>
      </c>
      <c r="AA5" s="69">
        <f t="shared" ref="AA5:AA22" si="2">S5+U5+W5+Y5</f>
        <v>1261</v>
      </c>
      <c r="AB5" s="4">
        <v>30000</v>
      </c>
      <c r="AC5" s="27">
        <f t="shared" ref="AC5:AC22" si="3">AA5*AB5</f>
        <v>37830000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4">E32</f>
        <v>114</v>
      </c>
      <c r="AH5" s="82">
        <f t="shared" ref="AH5:AH7" si="5">H32</f>
        <v>0</v>
      </c>
      <c r="AI5" s="82">
        <f t="shared" ref="AI5:AI7" si="6">I32</f>
        <v>87</v>
      </c>
      <c r="AJ5" s="83">
        <f t="shared" ref="AJ5:AJ7" si="7">K32</f>
        <v>27</v>
      </c>
      <c r="AK5" s="83">
        <f t="shared" ref="AK5:AK7" si="8">O32</f>
        <v>114</v>
      </c>
      <c r="AL5" s="83">
        <f t="shared" ref="AL5:AL7" si="9">S32</f>
        <v>0</v>
      </c>
      <c r="AM5" s="83">
        <f t="shared" ref="AM5:AM7" si="10">T32</f>
        <v>24</v>
      </c>
      <c r="AO5" s="39">
        <v>3</v>
      </c>
      <c r="AP5" s="40">
        <v>46204</v>
      </c>
      <c r="AQ5" s="39" t="s">
        <v>204</v>
      </c>
      <c r="AR5" s="39" t="s">
        <v>184</v>
      </c>
      <c r="AS5" s="31">
        <v>1287387</v>
      </c>
      <c r="AT5" s="31" t="s">
        <v>185</v>
      </c>
      <c r="AU5" s="31" t="s">
        <v>42</v>
      </c>
      <c r="AV5" s="6">
        <v>4</v>
      </c>
      <c r="AW5" s="44">
        <v>0</v>
      </c>
      <c r="AX5" s="44">
        <v>12</v>
      </c>
      <c r="AY5" s="44">
        <v>0</v>
      </c>
      <c r="AZ5" s="44">
        <v>0</v>
      </c>
      <c r="BA5" s="44">
        <v>0</v>
      </c>
      <c r="BB5" s="44">
        <v>0</v>
      </c>
      <c r="BC5" s="44">
        <v>0</v>
      </c>
      <c r="BD5" s="44">
        <v>0</v>
      </c>
      <c r="BE5" s="44">
        <v>0</v>
      </c>
      <c r="BF5" s="44">
        <v>0</v>
      </c>
      <c r="BG5" s="44">
        <v>0</v>
      </c>
      <c r="BH5" s="44">
        <v>0</v>
      </c>
      <c r="BI5" s="44">
        <v>0</v>
      </c>
      <c r="BJ5" s="44">
        <v>0</v>
      </c>
      <c r="BK5" s="44">
        <v>0</v>
      </c>
      <c r="BL5" s="44">
        <v>0</v>
      </c>
      <c r="BM5" s="44">
        <v>0</v>
      </c>
      <c r="BN5" s="44">
        <v>4</v>
      </c>
      <c r="BO5" s="55"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v>0</v>
      </c>
      <c r="BU5" s="40">
        <v>46205</v>
      </c>
      <c r="BV5" s="9">
        <v>2200000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284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4</v>
      </c>
      <c r="CX5">
        <v>61</v>
      </c>
      <c r="CY5">
        <v>90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4</v>
      </c>
      <c r="DI5">
        <v>0</v>
      </c>
      <c r="DJ5">
        <v>0</v>
      </c>
      <c r="DK5">
        <v>4</v>
      </c>
      <c r="DL5">
        <v>42</v>
      </c>
      <c r="DM5">
        <v>19</v>
      </c>
      <c r="DN5">
        <v>0</v>
      </c>
      <c r="DO5">
        <v>0</v>
      </c>
      <c r="DP5">
        <v>61</v>
      </c>
      <c r="DQ5">
        <v>80</v>
      </c>
      <c r="DR5">
        <v>10</v>
      </c>
      <c r="DS5">
        <v>0</v>
      </c>
      <c r="DT5">
        <v>0</v>
      </c>
      <c r="DU5">
        <v>90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70</v>
      </c>
      <c r="C6" s="14">
        <v>8</v>
      </c>
      <c r="D6" s="13">
        <f t="shared" si="0"/>
        <v>78</v>
      </c>
      <c r="F6" s="20" t="s">
        <v>29</v>
      </c>
      <c r="G6" s="21">
        <v>122</v>
      </c>
      <c r="H6" s="21">
        <v>64</v>
      </c>
      <c r="I6" s="21">
        <v>48</v>
      </c>
      <c r="J6" s="21">
        <v>59</v>
      </c>
      <c r="K6" s="21">
        <v>0</v>
      </c>
      <c r="L6" s="22">
        <f t="shared" ref="L6:L25" si="11">SUM(G6:K6)</f>
        <v>293</v>
      </c>
      <c r="N6" s="4" t="s">
        <v>42</v>
      </c>
      <c r="O6" s="33">
        <f>47595000+O12</f>
        <v>50945000</v>
      </c>
      <c r="Q6" s="20" t="s">
        <v>30</v>
      </c>
      <c r="R6" s="68">
        <f>CM8+AG20</f>
        <v>0</v>
      </c>
      <c r="S6" s="69">
        <f>CW6+AG5</f>
        <v>119</v>
      </c>
      <c r="T6" s="69">
        <f>CN8+AG19</f>
        <v>0</v>
      </c>
      <c r="U6" s="27">
        <f>CX6+AG4</f>
        <v>166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1"/>
        <v>0</v>
      </c>
      <c r="AA6" s="69">
        <f t="shared" si="2"/>
        <v>474</v>
      </c>
      <c r="AB6" s="4">
        <v>25000</v>
      </c>
      <c r="AC6" s="27">
        <f t="shared" si="3"/>
        <v>11850000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4"/>
        <v>126</v>
      </c>
      <c r="AH6" s="82">
        <f t="shared" si="5"/>
        <v>21</v>
      </c>
      <c r="AI6" s="82">
        <f t="shared" si="6"/>
        <v>45</v>
      </c>
      <c r="AJ6" s="83">
        <f t="shared" si="7"/>
        <v>81</v>
      </c>
      <c r="AK6" s="83">
        <f t="shared" si="8"/>
        <v>105</v>
      </c>
      <c r="AL6" s="83">
        <f t="shared" si="9"/>
        <v>0</v>
      </c>
      <c r="AM6" s="83">
        <f t="shared" si="10"/>
        <v>33</v>
      </c>
      <c r="AO6" s="39">
        <v>4</v>
      </c>
      <c r="AP6" s="40">
        <v>46205</v>
      </c>
      <c r="AQ6" s="39" t="s">
        <v>204</v>
      </c>
      <c r="AR6" s="39" t="s">
        <v>184</v>
      </c>
      <c r="AS6" s="31">
        <v>17288556</v>
      </c>
      <c r="AT6" s="31" t="s">
        <v>259</v>
      </c>
      <c r="AU6" s="31" t="s">
        <v>41</v>
      </c>
      <c r="AV6" s="6">
        <v>23</v>
      </c>
      <c r="AW6" s="44">
        <v>0</v>
      </c>
      <c r="AX6" s="44">
        <v>69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0</v>
      </c>
      <c r="BM6" s="44">
        <v>0</v>
      </c>
      <c r="BN6" s="44">
        <v>23</v>
      </c>
      <c r="BO6" s="55"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v>0</v>
      </c>
      <c r="BU6" s="40">
        <v>46206</v>
      </c>
      <c r="BV6" s="9">
        <v>3000000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5</v>
      </c>
      <c r="CX6">
        <v>4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5</v>
      </c>
      <c r="DI6">
        <v>0</v>
      </c>
      <c r="DJ6">
        <v>0</v>
      </c>
      <c r="DK6">
        <v>5</v>
      </c>
      <c r="DL6">
        <v>0</v>
      </c>
      <c r="DM6">
        <v>4</v>
      </c>
      <c r="DN6">
        <v>0</v>
      </c>
      <c r="DO6">
        <v>0</v>
      </c>
      <c r="DP6">
        <v>4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0</v>
      </c>
      <c r="H7" s="21">
        <v>63</v>
      </c>
      <c r="I7" s="21">
        <v>90</v>
      </c>
      <c r="J7" s="21">
        <v>183</v>
      </c>
      <c r="K7" s="21">
        <v>10</v>
      </c>
      <c r="L7" s="22">
        <f t="shared" si="11"/>
        <v>346</v>
      </c>
      <c r="N7" s="31" t="s">
        <v>43</v>
      </c>
      <c r="O7" s="8">
        <f>SUM(O3:O6)</f>
        <v>178509000</v>
      </c>
      <c r="Q7" s="20" t="s">
        <v>7</v>
      </c>
      <c r="R7" s="68">
        <f t="shared" ref="R7:R21" si="12">CM9</f>
        <v>0</v>
      </c>
      <c r="S7" s="69">
        <f t="shared" ref="S7:S21" si="13">CW7</f>
        <v>0</v>
      </c>
      <c r="T7" s="69">
        <f t="shared" ref="T7:T21" si="14">CN9</f>
        <v>0</v>
      </c>
      <c r="U7" s="27">
        <f t="shared" ref="U7:U21" si="15">CX7</f>
        <v>5</v>
      </c>
      <c r="V7" s="69">
        <f t="shared" ref="V7:V17" si="16">CO9</f>
        <v>0</v>
      </c>
      <c r="W7" s="27">
        <f t="shared" ref="W7:W21" si="17">CY7</f>
        <v>5</v>
      </c>
      <c r="X7" s="27">
        <f t="shared" ref="X7:X23" si="18">CP9</f>
        <v>0</v>
      </c>
      <c r="Y7" s="27">
        <f t="shared" ref="Y7:Y21" si="19">CZ7</f>
        <v>0</v>
      </c>
      <c r="Z7" s="27">
        <f t="shared" si="1"/>
        <v>0</v>
      </c>
      <c r="AA7" s="69">
        <f t="shared" si="2"/>
        <v>10</v>
      </c>
      <c r="AB7" s="4">
        <v>40000</v>
      </c>
      <c r="AC7" s="27">
        <f t="shared" si="3"/>
        <v>400000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4"/>
        <v>63</v>
      </c>
      <c r="AH7" s="82">
        <f t="shared" si="5"/>
        <v>0</v>
      </c>
      <c r="AI7" s="82">
        <f t="shared" si="6"/>
        <v>12</v>
      </c>
      <c r="AJ7" s="83">
        <f t="shared" si="7"/>
        <v>51</v>
      </c>
      <c r="AK7" s="83">
        <f t="shared" si="8"/>
        <v>63</v>
      </c>
      <c r="AL7" s="83">
        <f t="shared" si="9"/>
        <v>0</v>
      </c>
      <c r="AM7" s="83">
        <f t="shared" si="10"/>
        <v>76</v>
      </c>
      <c r="AO7" s="39">
        <v>5</v>
      </c>
      <c r="AP7" s="40">
        <v>46205</v>
      </c>
      <c r="AQ7" s="39" t="s">
        <v>204</v>
      </c>
      <c r="AR7" s="39" t="s">
        <v>184</v>
      </c>
      <c r="AS7" s="31">
        <v>17779453</v>
      </c>
      <c r="AT7" s="31" t="s">
        <v>275</v>
      </c>
      <c r="AU7" s="31" t="s">
        <v>53</v>
      </c>
      <c r="AV7" s="6">
        <v>10</v>
      </c>
      <c r="AW7" s="44">
        <v>0</v>
      </c>
      <c r="AX7" s="44">
        <v>30</v>
      </c>
      <c r="AY7" s="44">
        <v>0</v>
      </c>
      <c r="AZ7" s="44">
        <v>0</v>
      </c>
      <c r="BA7" s="44">
        <v>0</v>
      </c>
      <c r="BB7" s="44">
        <v>0</v>
      </c>
      <c r="BC7" s="44">
        <v>0</v>
      </c>
      <c r="BD7" s="44">
        <v>0</v>
      </c>
      <c r="BE7" s="44">
        <v>0</v>
      </c>
      <c r="BF7" s="44">
        <v>0</v>
      </c>
      <c r="BG7" s="44">
        <v>0</v>
      </c>
      <c r="BH7" s="44">
        <v>0</v>
      </c>
      <c r="BI7" s="44">
        <v>0</v>
      </c>
      <c r="BJ7" s="44">
        <v>0</v>
      </c>
      <c r="BK7" s="44">
        <v>0</v>
      </c>
      <c r="BL7" s="44">
        <v>0</v>
      </c>
      <c r="BM7" s="44">
        <v>0</v>
      </c>
      <c r="BN7" s="44">
        <v>10</v>
      </c>
      <c r="BO7" s="55"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v>0</v>
      </c>
      <c r="BU7" s="40">
        <v>46206</v>
      </c>
      <c r="BV7" s="9">
        <v>500000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>
        <v>310000</v>
      </c>
      <c r="CG7" s="5">
        <v>46197</v>
      </c>
      <c r="CH7" s="5">
        <v>46212</v>
      </c>
      <c r="CI7" s="4" t="s">
        <v>284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>
        <v>0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5</v>
      </c>
      <c r="CY7">
        <v>5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5</v>
      </c>
      <c r="DN7">
        <v>0</v>
      </c>
      <c r="DO7">
        <v>0</v>
      </c>
      <c r="DP7">
        <v>5</v>
      </c>
      <c r="DQ7">
        <v>5</v>
      </c>
      <c r="DR7">
        <v>0</v>
      </c>
      <c r="DS7">
        <v>0</v>
      </c>
      <c r="DT7">
        <v>0</v>
      </c>
      <c r="DU7">
        <v>5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746</v>
      </c>
      <c r="C8" s="14">
        <v>0</v>
      </c>
      <c r="D8" s="13">
        <f t="shared" si="0"/>
        <v>746</v>
      </c>
      <c r="F8" s="20" t="s">
        <v>7</v>
      </c>
      <c r="G8" s="21">
        <v>0</v>
      </c>
      <c r="H8" s="21">
        <v>0</v>
      </c>
      <c r="I8" s="21">
        <v>0</v>
      </c>
      <c r="J8" s="21">
        <v>5</v>
      </c>
      <c r="K8" s="21">
        <v>0</v>
      </c>
      <c r="L8" s="22">
        <f t="shared" si="11"/>
        <v>5</v>
      </c>
      <c r="Q8" s="20" t="s">
        <v>205</v>
      </c>
      <c r="R8" s="68">
        <f t="shared" si="12"/>
        <v>0</v>
      </c>
      <c r="S8" s="69">
        <f>AM5</f>
        <v>24</v>
      </c>
      <c r="T8" s="69">
        <f t="shared" si="14"/>
        <v>0</v>
      </c>
      <c r="U8" s="87">
        <f>AM4</f>
        <v>31</v>
      </c>
      <c r="V8" s="69">
        <f t="shared" si="16"/>
        <v>0</v>
      </c>
      <c r="W8" s="87">
        <f>AM6</f>
        <v>33</v>
      </c>
      <c r="X8" s="27">
        <f t="shared" si="18"/>
        <v>0</v>
      </c>
      <c r="Y8" s="87">
        <f>AM7</f>
        <v>76</v>
      </c>
      <c r="Z8" s="27">
        <f t="shared" si="1"/>
        <v>0</v>
      </c>
      <c r="AA8" s="69">
        <f t="shared" si="2"/>
        <v>164</v>
      </c>
      <c r="AB8" s="19"/>
      <c r="AC8" s="27">
        <f t="shared" si="3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">
        <v>184</v>
      </c>
      <c r="AS8" s="31">
        <v>1555825</v>
      </c>
      <c r="AT8" s="31" t="s">
        <v>252</v>
      </c>
      <c r="AU8" s="31" t="s">
        <v>42</v>
      </c>
      <c r="AV8" s="6">
        <v>7</v>
      </c>
      <c r="AW8" s="44">
        <v>0</v>
      </c>
      <c r="AX8" s="44">
        <v>21</v>
      </c>
      <c r="AY8" s="44">
        <v>0</v>
      </c>
      <c r="AZ8" s="44">
        <v>0</v>
      </c>
      <c r="BA8" s="44">
        <v>0</v>
      </c>
      <c r="BB8" s="44">
        <v>0</v>
      </c>
      <c r="BC8" s="44">
        <v>0</v>
      </c>
      <c r="BD8" s="44">
        <v>0</v>
      </c>
      <c r="BE8" s="44">
        <v>0</v>
      </c>
      <c r="BF8" s="44">
        <v>0</v>
      </c>
      <c r="BG8" s="44">
        <v>0</v>
      </c>
      <c r="BH8" s="44">
        <v>0</v>
      </c>
      <c r="BI8" s="44">
        <v>0</v>
      </c>
      <c r="BJ8" s="44">
        <v>0</v>
      </c>
      <c r="BK8" s="44">
        <v>0</v>
      </c>
      <c r="BL8" s="44">
        <v>0</v>
      </c>
      <c r="BM8" s="44">
        <v>0</v>
      </c>
      <c r="BN8" s="44">
        <v>7</v>
      </c>
      <c r="BO8" s="55"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v>0</v>
      </c>
      <c r="BU8" s="40">
        <v>46206</v>
      </c>
      <c r="BV8" s="9">
        <v>200000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1"/>
        <v>0</v>
      </c>
      <c r="N9" s="32"/>
      <c r="O9">
        <v>2500000</v>
      </c>
      <c r="Q9" s="20"/>
      <c r="R9" s="68">
        <f t="shared" si="12"/>
        <v>0</v>
      </c>
      <c r="S9" s="69">
        <f t="shared" si="13"/>
        <v>9</v>
      </c>
      <c r="T9" s="69">
        <f t="shared" si="14"/>
        <v>0</v>
      </c>
      <c r="U9" s="27">
        <f t="shared" si="15"/>
        <v>65</v>
      </c>
      <c r="V9" s="69">
        <f t="shared" si="16"/>
        <v>0</v>
      </c>
      <c r="W9" s="27">
        <f t="shared" si="17"/>
        <v>90</v>
      </c>
      <c r="X9" s="27">
        <f t="shared" si="18"/>
        <v>0</v>
      </c>
      <c r="Y9" s="27">
        <f t="shared" si="19"/>
        <v>0</v>
      </c>
      <c r="Z9" s="27">
        <f t="shared" si="1"/>
        <v>0</v>
      </c>
      <c r="AA9" s="69">
        <f t="shared" si="2"/>
        <v>164</v>
      </c>
      <c r="AB9" s="4"/>
      <c r="AC9" s="27">
        <f t="shared" si="3"/>
        <v>0</v>
      </c>
      <c r="AO9" s="39">
        <v>7</v>
      </c>
      <c r="AP9" s="40">
        <v>46207</v>
      </c>
      <c r="AQ9" s="39" t="s">
        <v>204</v>
      </c>
      <c r="AR9" s="39" t="s">
        <v>184</v>
      </c>
      <c r="AS9" s="31">
        <v>17678324</v>
      </c>
      <c r="AT9" s="31" t="s">
        <v>276</v>
      </c>
      <c r="AU9" s="43" t="s">
        <v>53</v>
      </c>
      <c r="AV9" s="6">
        <v>6</v>
      </c>
      <c r="AW9" s="44">
        <v>0</v>
      </c>
      <c r="AX9" s="44">
        <v>18</v>
      </c>
      <c r="AY9" s="44">
        <v>0</v>
      </c>
      <c r="AZ9" s="44">
        <v>0</v>
      </c>
      <c r="BA9" s="44">
        <v>0</v>
      </c>
      <c r="BB9" s="44">
        <v>0</v>
      </c>
      <c r="BC9" s="44">
        <v>0</v>
      </c>
      <c r="BD9" s="44">
        <v>0</v>
      </c>
      <c r="BE9" s="44">
        <v>0</v>
      </c>
      <c r="BF9" s="44">
        <v>0</v>
      </c>
      <c r="BG9" s="44">
        <v>0</v>
      </c>
      <c r="BH9" s="44">
        <v>0</v>
      </c>
      <c r="BI9" s="44">
        <v>0</v>
      </c>
      <c r="BJ9" s="44">
        <v>0</v>
      </c>
      <c r="BK9" s="44">
        <v>0</v>
      </c>
      <c r="BL9" s="44">
        <v>0</v>
      </c>
      <c r="BM9" s="44">
        <v>0</v>
      </c>
      <c r="BN9" s="44">
        <v>6</v>
      </c>
      <c r="BO9" s="55"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v>0</v>
      </c>
      <c r="BU9" s="40">
        <v>46209</v>
      </c>
      <c r="BV9" s="9">
        <v>800000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284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9</v>
      </c>
      <c r="CX9">
        <v>65</v>
      </c>
      <c r="CY9">
        <v>90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9</v>
      </c>
      <c r="DL9">
        <v>0</v>
      </c>
      <c r="DM9">
        <v>0</v>
      </c>
      <c r="DN9">
        <v>0</v>
      </c>
      <c r="DO9">
        <v>0</v>
      </c>
      <c r="DP9">
        <v>70</v>
      </c>
      <c r="DQ9">
        <v>0</v>
      </c>
      <c r="DR9">
        <v>0</v>
      </c>
      <c r="DS9">
        <v>0</v>
      </c>
      <c r="DT9">
        <v>0</v>
      </c>
      <c r="DU9">
        <v>95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7649</v>
      </c>
      <c r="C10" s="14">
        <v>0</v>
      </c>
      <c r="D10" s="13">
        <f t="shared" si="0"/>
        <v>7649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1"/>
        <v>0</v>
      </c>
      <c r="O10">
        <v>6550000</v>
      </c>
      <c r="Q10" s="20" t="s">
        <v>8</v>
      </c>
      <c r="R10" s="68">
        <f t="shared" si="12"/>
        <v>0</v>
      </c>
      <c r="S10" s="69">
        <f t="shared" si="13"/>
        <v>238</v>
      </c>
      <c r="T10" s="69">
        <f t="shared" si="14"/>
        <v>0</v>
      </c>
      <c r="U10" s="27">
        <f t="shared" si="15"/>
        <v>600</v>
      </c>
      <c r="V10" s="69">
        <f t="shared" si="16"/>
        <v>0</v>
      </c>
      <c r="W10" s="27">
        <f t="shared" si="17"/>
        <v>189</v>
      </c>
      <c r="X10" s="27">
        <f t="shared" si="18"/>
        <v>0</v>
      </c>
      <c r="Y10" s="27">
        <f t="shared" si="19"/>
        <v>600</v>
      </c>
      <c r="Z10" s="27">
        <f t="shared" si="1"/>
        <v>0</v>
      </c>
      <c r="AA10" s="69">
        <f t="shared" si="2"/>
        <v>1627</v>
      </c>
      <c r="AB10" s="4">
        <v>600</v>
      </c>
      <c r="AC10" s="27">
        <f t="shared" si="3"/>
        <v>976200</v>
      </c>
      <c r="AE10" t="s">
        <v>77</v>
      </c>
      <c r="AO10" s="39">
        <v>8</v>
      </c>
      <c r="AP10" s="40">
        <v>46207</v>
      </c>
      <c r="AQ10" s="39" t="s">
        <v>204</v>
      </c>
      <c r="AR10" s="39" t="s">
        <v>184</v>
      </c>
      <c r="AS10" s="31">
        <v>17769860</v>
      </c>
      <c r="AT10" s="31" t="s">
        <v>277</v>
      </c>
      <c r="AU10" s="4" t="s">
        <v>273</v>
      </c>
      <c r="AV10" s="6">
        <v>5</v>
      </c>
      <c r="AW10" s="44">
        <v>0</v>
      </c>
      <c r="AX10" s="44">
        <v>15</v>
      </c>
      <c r="AY10" s="44">
        <v>0</v>
      </c>
      <c r="AZ10" s="44">
        <v>0</v>
      </c>
      <c r="BA10" s="44">
        <v>0</v>
      </c>
      <c r="BB10" s="44">
        <v>0</v>
      </c>
      <c r="BC10" s="44">
        <v>0</v>
      </c>
      <c r="BD10" s="44">
        <v>0</v>
      </c>
      <c r="BE10" s="44"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0</v>
      </c>
      <c r="BK10" s="44">
        <v>0</v>
      </c>
      <c r="BL10" s="44">
        <v>0</v>
      </c>
      <c r="BM10" s="44">
        <v>0</v>
      </c>
      <c r="BN10" s="44">
        <v>5</v>
      </c>
      <c r="BO10" s="55"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v>0</v>
      </c>
      <c r="BU10" s="40">
        <v>46209</v>
      </c>
      <c r="BV10" s="9">
        <v>800000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238</v>
      </c>
      <c r="CX10">
        <v>600</v>
      </c>
      <c r="CY10">
        <v>189</v>
      </c>
      <c r="CZ10">
        <v>600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0"/>
        <v>97</v>
      </c>
      <c r="F11" s="20" t="s">
        <v>8</v>
      </c>
      <c r="G11" s="21">
        <v>100</v>
      </c>
      <c r="H11" s="21">
        <v>300</v>
      </c>
      <c r="I11" s="21">
        <v>44</v>
      </c>
      <c r="J11" s="21">
        <v>150</v>
      </c>
      <c r="K11" s="21">
        <v>0</v>
      </c>
      <c r="L11" s="22">
        <f t="shared" si="11"/>
        <v>594</v>
      </c>
      <c r="O11">
        <v>4100000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25</v>
      </c>
      <c r="X11" s="69">
        <f>CP13+AH22</f>
        <v>0</v>
      </c>
      <c r="Y11" s="27">
        <f>CZ11+AH7</f>
        <v>4</v>
      </c>
      <c r="Z11" s="27">
        <f t="shared" si="1"/>
        <v>0</v>
      </c>
      <c r="AA11" s="69">
        <f t="shared" si="2"/>
        <v>56</v>
      </c>
      <c r="AB11" s="4">
        <v>22500</v>
      </c>
      <c r="AC11" s="27">
        <f t="shared" si="3"/>
        <v>1260000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">
        <v>184</v>
      </c>
      <c r="AS11" s="31">
        <v>1555825</v>
      </c>
      <c r="AT11" s="31" t="s">
        <v>252</v>
      </c>
      <c r="AU11" s="4" t="s">
        <v>42</v>
      </c>
      <c r="AV11" s="6">
        <v>7</v>
      </c>
      <c r="AW11" s="44">
        <v>0</v>
      </c>
      <c r="AX11" s="44">
        <v>21</v>
      </c>
      <c r="AY11" s="44">
        <v>0</v>
      </c>
      <c r="AZ11" s="44">
        <v>0</v>
      </c>
      <c r="BA11" s="44">
        <v>0</v>
      </c>
      <c r="BB11" s="44">
        <v>0</v>
      </c>
      <c r="BC11" s="44">
        <v>0</v>
      </c>
      <c r="BD11" s="44">
        <v>0</v>
      </c>
      <c r="BE11" s="44"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0</v>
      </c>
      <c r="BK11" s="44">
        <v>0</v>
      </c>
      <c r="BL11" s="44">
        <v>0</v>
      </c>
      <c r="BM11" s="44">
        <v>0</v>
      </c>
      <c r="BN11" s="44">
        <v>7</v>
      </c>
      <c r="BO11" s="55"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v>0</v>
      </c>
      <c r="BU11" s="40">
        <v>46209</v>
      </c>
      <c r="BV11" s="9">
        <v>200000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4</v>
      </c>
      <c r="CZ11">
        <v>4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300</v>
      </c>
      <c r="C12" s="14">
        <v>815</v>
      </c>
      <c r="D12" s="13">
        <f>C12+B12</f>
        <v>1115</v>
      </c>
      <c r="F12" s="20" t="s">
        <v>31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2">
        <f t="shared" si="11"/>
        <v>0</v>
      </c>
      <c r="O12">
        <v>3350000</v>
      </c>
      <c r="Q12" s="20" t="s">
        <v>32</v>
      </c>
      <c r="R12" s="68">
        <f>CM14+AI20</f>
        <v>0</v>
      </c>
      <c r="S12" s="69">
        <f>CW12+AI5</f>
        <v>99</v>
      </c>
      <c r="T12" s="69">
        <f>CN14+AI19</f>
        <v>0</v>
      </c>
      <c r="U12" s="27">
        <f>CX12+AI4</f>
        <v>245</v>
      </c>
      <c r="V12" s="69">
        <f>CO14+AI21</f>
        <v>3</v>
      </c>
      <c r="W12" s="27">
        <f>CY12+AI6</f>
        <v>131</v>
      </c>
      <c r="X12" s="69">
        <f>CP14+AI22</f>
        <v>0</v>
      </c>
      <c r="Y12" s="27">
        <f>CZ12+AI7</f>
        <v>22</v>
      </c>
      <c r="Z12" s="27">
        <f t="shared" si="1"/>
        <v>3</v>
      </c>
      <c r="AA12" s="69">
        <f t="shared" si="2"/>
        <v>497</v>
      </c>
      <c r="AB12" s="4">
        <v>13500</v>
      </c>
      <c r="AC12" s="27">
        <f t="shared" si="3"/>
        <v>6709500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">
        <v>184</v>
      </c>
      <c r="AS12" s="31">
        <v>1287331</v>
      </c>
      <c r="AT12" s="31" t="s">
        <v>278</v>
      </c>
      <c r="AU12" s="31" t="s">
        <v>273</v>
      </c>
      <c r="AV12" s="6">
        <v>2</v>
      </c>
      <c r="AW12" s="44">
        <v>0</v>
      </c>
      <c r="AX12" s="44">
        <v>6</v>
      </c>
      <c r="AY12" s="44">
        <v>0</v>
      </c>
      <c r="AZ12" s="44">
        <v>0</v>
      </c>
      <c r="BA12" s="44">
        <v>0</v>
      </c>
      <c r="BB12" s="44">
        <v>0</v>
      </c>
      <c r="BC12" s="44">
        <v>0</v>
      </c>
      <c r="BD12" s="44">
        <v>0</v>
      </c>
      <c r="BE12" s="44"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0</v>
      </c>
      <c r="BK12" s="44">
        <v>0</v>
      </c>
      <c r="BL12" s="44">
        <v>0</v>
      </c>
      <c r="BM12" s="44">
        <v>0</v>
      </c>
      <c r="BN12" s="44">
        <v>2</v>
      </c>
      <c r="BO12" s="55">
        <v>150000</v>
      </c>
      <c r="BP12" s="40">
        <v>46209</v>
      </c>
      <c r="BQ12" s="39">
        <v>2</v>
      </c>
      <c r="BR12" s="59">
        <v>150000</v>
      </c>
      <c r="BS12" s="88" t="s">
        <v>109</v>
      </c>
      <c r="BT12" s="57">
        <v>0</v>
      </c>
      <c r="BU12" s="60">
        <v>46210</v>
      </c>
      <c r="BV12" s="9">
        <v>2600000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>
        <v>0</v>
      </c>
      <c r="CR12" t="s">
        <v>28</v>
      </c>
      <c r="CS12">
        <v>600</v>
      </c>
      <c r="CT12" t="s">
        <v>28</v>
      </c>
      <c r="CV12" t="s">
        <v>32</v>
      </c>
      <c r="CW12">
        <v>12</v>
      </c>
      <c r="CX12">
        <v>116</v>
      </c>
      <c r="CY12">
        <v>86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138</v>
      </c>
      <c r="DH12">
        <v>100</v>
      </c>
      <c r="DI12">
        <v>0</v>
      </c>
      <c r="DJ12">
        <v>0</v>
      </c>
      <c r="DK12">
        <v>238</v>
      </c>
      <c r="DL12">
        <v>450</v>
      </c>
      <c r="DM12">
        <v>150</v>
      </c>
      <c r="DN12">
        <v>0</v>
      </c>
      <c r="DO12">
        <v>0</v>
      </c>
      <c r="DP12">
        <v>600</v>
      </c>
      <c r="DQ12">
        <v>162</v>
      </c>
      <c r="DR12">
        <v>27</v>
      </c>
      <c r="DS12">
        <v>0</v>
      </c>
      <c r="DT12">
        <v>0</v>
      </c>
      <c r="DU12">
        <v>189</v>
      </c>
      <c r="DV12">
        <v>150</v>
      </c>
      <c r="DW12">
        <v>450</v>
      </c>
      <c r="DX12">
        <v>0</v>
      </c>
      <c r="DY12">
        <v>0</v>
      </c>
      <c r="DZ12">
        <v>600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96</v>
      </c>
      <c r="H13" s="21">
        <v>104</v>
      </c>
      <c r="I13" s="21">
        <v>68</v>
      </c>
      <c r="J13" s="21">
        <v>202</v>
      </c>
      <c r="K13" s="21">
        <v>18</v>
      </c>
      <c r="L13" s="22">
        <f t="shared" si="11"/>
        <v>488</v>
      </c>
      <c r="Q13" s="20" t="s">
        <v>33</v>
      </c>
      <c r="R13" s="68">
        <f t="shared" si="12"/>
        <v>0</v>
      </c>
      <c r="S13" s="69">
        <f t="shared" si="13"/>
        <v>0</v>
      </c>
      <c r="T13" s="69">
        <f t="shared" si="14"/>
        <v>0</v>
      </c>
      <c r="U13" s="27">
        <f t="shared" si="15"/>
        <v>0</v>
      </c>
      <c r="V13" s="69">
        <f t="shared" si="16"/>
        <v>0</v>
      </c>
      <c r="W13" s="27">
        <f t="shared" si="17"/>
        <v>0</v>
      </c>
      <c r="X13" s="27">
        <f t="shared" si="18"/>
        <v>0</v>
      </c>
      <c r="Y13" s="27">
        <f t="shared" si="19"/>
        <v>0</v>
      </c>
      <c r="Z13" s="27">
        <f t="shared" si="1"/>
        <v>0</v>
      </c>
      <c r="AA13" s="69">
        <f t="shared" si="2"/>
        <v>0</v>
      </c>
      <c r="AB13" s="4">
        <v>20000</v>
      </c>
      <c r="AC13" s="27">
        <f t="shared" si="3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0">15000*AG13</f>
        <v>4695000</v>
      </c>
      <c r="AI13">
        <f t="shared" ref="AI13:AI15" si="21">AF5*15000</f>
        <v>5775000</v>
      </c>
      <c r="AJ13">
        <f>GETPIVOTDATA("Sum of Qty2",$R$36,"Nama CSO","Andi Sutiawan")</f>
        <v>313</v>
      </c>
      <c r="AK13">
        <f t="shared" ref="AK13:AK15" si="22">AG13-AJ13</f>
        <v>0</v>
      </c>
      <c r="AL13">
        <f t="shared" ref="AL13:AL15" si="23">AJ13+AK13</f>
        <v>313</v>
      </c>
      <c r="AO13" s="39">
        <v>11</v>
      </c>
      <c r="AP13" s="40">
        <v>46209</v>
      </c>
      <c r="AQ13" s="39" t="s">
        <v>204</v>
      </c>
      <c r="AR13" s="39" t="s">
        <v>184</v>
      </c>
      <c r="AS13" s="31">
        <v>17792292</v>
      </c>
      <c r="AT13" s="31" t="s">
        <v>279</v>
      </c>
      <c r="AU13" s="31" t="s">
        <v>42</v>
      </c>
      <c r="AV13" s="6">
        <v>9</v>
      </c>
      <c r="AW13" s="44">
        <v>0</v>
      </c>
      <c r="AX13" s="44">
        <v>27</v>
      </c>
      <c r="AY13" s="44">
        <v>0</v>
      </c>
      <c r="AZ13" s="44">
        <v>0</v>
      </c>
      <c r="BA13" s="44">
        <v>0</v>
      </c>
      <c r="BB13" s="44">
        <v>0</v>
      </c>
      <c r="BC13" s="44">
        <v>0</v>
      </c>
      <c r="BD13" s="44">
        <v>0</v>
      </c>
      <c r="BE13" s="44"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0</v>
      </c>
      <c r="BK13" s="44">
        <v>0</v>
      </c>
      <c r="BL13" s="44">
        <v>0</v>
      </c>
      <c r="BM13" s="44">
        <v>0</v>
      </c>
      <c r="BN13" s="44">
        <v>9</v>
      </c>
      <c r="BO13" s="55">
        <v>675000</v>
      </c>
      <c r="BP13" s="40">
        <v>46209</v>
      </c>
      <c r="BQ13" s="39">
        <v>9</v>
      </c>
      <c r="BR13" s="59">
        <v>675000</v>
      </c>
      <c r="BS13" s="88" t="s">
        <v>109</v>
      </c>
      <c r="BT13" s="57">
        <v>0</v>
      </c>
      <c r="BU13" s="60">
        <v>46210</v>
      </c>
      <c r="BV13" s="9">
        <v>1700000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4</v>
      </c>
      <c r="DS13">
        <v>0</v>
      </c>
      <c r="DT13">
        <v>0</v>
      </c>
      <c r="DU13">
        <v>4</v>
      </c>
      <c r="DV13">
        <v>4</v>
      </c>
      <c r="DW13">
        <v>0</v>
      </c>
      <c r="DX13">
        <v>0</v>
      </c>
      <c r="DY13">
        <v>0</v>
      </c>
      <c r="DZ13">
        <v>4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300</v>
      </c>
      <c r="C14" s="14">
        <v>71</v>
      </c>
      <c r="D14" s="13">
        <f t="shared" si="0"/>
        <v>371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1"/>
        <v>0</v>
      </c>
      <c r="O14">
        <v>2800000</v>
      </c>
      <c r="Q14" s="20" t="s">
        <v>34</v>
      </c>
      <c r="R14" s="68">
        <f>CM16+AJ20</f>
        <v>0</v>
      </c>
      <c r="S14" s="69">
        <f>CW14+AJ5</f>
        <v>33</v>
      </c>
      <c r="T14" s="69">
        <f>CN16+AJ19</f>
        <v>0</v>
      </c>
      <c r="U14" s="27">
        <f>CX14+AJ4</f>
        <v>52</v>
      </c>
      <c r="V14" s="69">
        <f>CO16+AJ21</f>
        <v>0</v>
      </c>
      <c r="W14" s="27">
        <f>CY14+AJ6</f>
        <v>91</v>
      </c>
      <c r="X14" s="69">
        <f>CP16+AJ22</f>
        <v>0</v>
      </c>
      <c r="Y14" s="27">
        <f>CZ14+AJ7</f>
        <v>107</v>
      </c>
      <c r="Z14" s="27">
        <f t="shared" si="1"/>
        <v>0</v>
      </c>
      <c r="AA14" s="69">
        <f t="shared" si="2"/>
        <v>283</v>
      </c>
      <c r="AB14" s="4">
        <v>15400</v>
      </c>
      <c r="AC14" s="27">
        <f t="shared" si="3"/>
        <v>4358200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0"/>
        <v>2250000</v>
      </c>
      <c r="AI14">
        <v>1500000</v>
      </c>
      <c r="AJ14">
        <f>GETPIVOTDATA("Sum of Qty2",$R$36,"Nama CSO","M. Enden Abdul Latif")</f>
        <v>150</v>
      </c>
      <c r="AK14">
        <f t="shared" si="22"/>
        <v>0</v>
      </c>
      <c r="AL14">
        <f t="shared" si="23"/>
        <v>150</v>
      </c>
      <c r="AO14" s="39">
        <v>12</v>
      </c>
      <c r="AP14" s="40">
        <v>46210</v>
      </c>
      <c r="AQ14" s="41" t="s">
        <v>204</v>
      </c>
      <c r="AR14" s="42" t="s">
        <v>184</v>
      </c>
      <c r="AS14" s="31">
        <v>17253568</v>
      </c>
      <c r="AT14" s="31" t="s">
        <v>280</v>
      </c>
      <c r="AU14" s="43" t="s">
        <v>273</v>
      </c>
      <c r="AV14" s="6">
        <v>2</v>
      </c>
      <c r="AW14" s="44">
        <v>0</v>
      </c>
      <c r="AX14" s="44">
        <v>6</v>
      </c>
      <c r="AY14" s="44">
        <v>0</v>
      </c>
      <c r="AZ14" s="44">
        <v>0</v>
      </c>
      <c r="BA14" s="44">
        <v>0</v>
      </c>
      <c r="BB14" s="44">
        <v>0</v>
      </c>
      <c r="BC14" s="44">
        <v>0</v>
      </c>
      <c r="BD14" s="44">
        <v>0</v>
      </c>
      <c r="BE14" s="44"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0</v>
      </c>
      <c r="BK14" s="44">
        <v>0</v>
      </c>
      <c r="BL14" s="44">
        <v>0</v>
      </c>
      <c r="BM14" s="44">
        <v>0</v>
      </c>
      <c r="BN14" s="44">
        <v>2</v>
      </c>
      <c r="BO14" s="55">
        <v>150000</v>
      </c>
      <c r="BP14" s="40">
        <v>46210</v>
      </c>
      <c r="BQ14" s="39">
        <v>2</v>
      </c>
      <c r="BR14" s="59">
        <v>150000</v>
      </c>
      <c r="BS14" s="39" t="s">
        <v>109</v>
      </c>
      <c r="BT14" s="57">
        <v>0</v>
      </c>
      <c r="BU14" s="40">
        <v>46211</v>
      </c>
      <c r="BV14" s="9">
        <v>7500000</v>
      </c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3</v>
      </c>
      <c r="CP14" s="70">
        <v>0</v>
      </c>
      <c r="CQ14">
        <v>3</v>
      </c>
      <c r="CR14" t="s">
        <v>28</v>
      </c>
      <c r="CS14" s="1">
        <v>13500</v>
      </c>
      <c r="CT14" t="s">
        <v>28</v>
      </c>
      <c r="CV14" t="s">
        <v>34</v>
      </c>
      <c r="CW14">
        <v>6</v>
      </c>
      <c r="CX14">
        <v>19</v>
      </c>
      <c r="CY14">
        <v>10</v>
      </c>
      <c r="CZ14">
        <v>56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12</v>
      </c>
      <c r="DI14">
        <v>0</v>
      </c>
      <c r="DJ14">
        <v>0</v>
      </c>
      <c r="DK14">
        <v>12</v>
      </c>
      <c r="DL14">
        <v>61</v>
      </c>
      <c r="DM14">
        <v>55</v>
      </c>
      <c r="DN14">
        <v>0</v>
      </c>
      <c r="DO14">
        <v>0</v>
      </c>
      <c r="DP14">
        <v>116</v>
      </c>
      <c r="DQ14">
        <v>61</v>
      </c>
      <c r="DR14">
        <v>25</v>
      </c>
      <c r="DS14">
        <v>0</v>
      </c>
      <c r="DT14">
        <v>0</v>
      </c>
      <c r="DU14">
        <v>86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450</v>
      </c>
      <c r="C15" s="14">
        <v>0</v>
      </c>
      <c r="D15" s="13">
        <f t="shared" si="0"/>
        <v>450</v>
      </c>
      <c r="F15" s="20" t="s">
        <v>34</v>
      </c>
      <c r="G15" s="21">
        <v>9</v>
      </c>
      <c r="H15" s="21">
        <v>0</v>
      </c>
      <c r="I15" s="21">
        <v>35</v>
      </c>
      <c r="J15" s="21">
        <v>5</v>
      </c>
      <c r="K15" s="21">
        <v>0</v>
      </c>
      <c r="L15" s="22">
        <f t="shared" si="11"/>
        <v>49</v>
      </c>
      <c r="O15">
        <v>6800000</v>
      </c>
      <c r="Q15" s="20" t="s">
        <v>35</v>
      </c>
      <c r="R15" s="68">
        <f t="shared" si="12"/>
        <v>0</v>
      </c>
      <c r="S15" s="69">
        <f t="shared" si="13"/>
        <v>12</v>
      </c>
      <c r="T15" s="69">
        <f t="shared" si="14"/>
        <v>0</v>
      </c>
      <c r="U15" s="27">
        <f t="shared" si="15"/>
        <v>146</v>
      </c>
      <c r="V15" s="69">
        <f t="shared" si="16"/>
        <v>0</v>
      </c>
      <c r="W15" s="27">
        <f t="shared" si="17"/>
        <v>50</v>
      </c>
      <c r="X15" s="27">
        <f t="shared" si="18"/>
        <v>10</v>
      </c>
      <c r="Y15" s="27">
        <f t="shared" si="19"/>
        <v>60</v>
      </c>
      <c r="Z15" s="27">
        <f t="shared" si="1"/>
        <v>10</v>
      </c>
      <c r="AA15" s="69">
        <f t="shared" si="2"/>
        <v>268</v>
      </c>
      <c r="AB15" s="4">
        <v>17250</v>
      </c>
      <c r="AC15" s="27">
        <f t="shared" si="3"/>
        <v>4623000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0"/>
        <v>1500000</v>
      </c>
      <c r="AI15">
        <f t="shared" si="21"/>
        <v>4920000</v>
      </c>
      <c r="AJ15">
        <f>GETPIVOTDATA("Sum of Qty2",$R$36,"Nama CSO","Pebrian Sahri Ramdani")</f>
        <v>100</v>
      </c>
      <c r="AK15">
        <f t="shared" si="22"/>
        <v>0</v>
      </c>
      <c r="AL15">
        <f t="shared" si="23"/>
        <v>100</v>
      </c>
      <c r="AO15" s="39">
        <v>13</v>
      </c>
      <c r="AP15" s="40">
        <v>46210</v>
      </c>
      <c r="AQ15" s="41" t="s">
        <v>204</v>
      </c>
      <c r="AR15" s="42" t="s">
        <v>184</v>
      </c>
      <c r="AS15" s="31">
        <v>1348548</v>
      </c>
      <c r="AT15" s="31" t="s">
        <v>281</v>
      </c>
      <c r="AU15" s="43" t="s">
        <v>42</v>
      </c>
      <c r="AV15" s="6">
        <v>7</v>
      </c>
      <c r="AW15" s="44">
        <v>0</v>
      </c>
      <c r="AX15" s="44">
        <v>21</v>
      </c>
      <c r="AY15" s="44">
        <v>0</v>
      </c>
      <c r="AZ15" s="44">
        <v>0</v>
      </c>
      <c r="BA15" s="44">
        <v>0</v>
      </c>
      <c r="BB15" s="44">
        <v>0</v>
      </c>
      <c r="BC15" s="44">
        <v>0</v>
      </c>
      <c r="BD15" s="44">
        <v>0</v>
      </c>
      <c r="BE15" s="44"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0</v>
      </c>
      <c r="BK15" s="44">
        <v>0</v>
      </c>
      <c r="BL15" s="44">
        <v>0</v>
      </c>
      <c r="BM15" s="44">
        <v>0</v>
      </c>
      <c r="BN15" s="44">
        <v>7</v>
      </c>
      <c r="BO15" s="55">
        <v>525000</v>
      </c>
      <c r="BP15" s="40">
        <v>46210</v>
      </c>
      <c r="BQ15" s="39">
        <v>7</v>
      </c>
      <c r="BR15" s="59">
        <v>525000</v>
      </c>
      <c r="BS15" s="39" t="s">
        <v>109</v>
      </c>
      <c r="BT15" s="57">
        <v>0</v>
      </c>
      <c r="BU15" s="40">
        <v>46211</v>
      </c>
      <c r="BV15" s="9">
        <v>450000</v>
      </c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146</v>
      </c>
      <c r="CY15">
        <v>50</v>
      </c>
      <c r="CZ15">
        <v>60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f>426</f>
        <v>426</v>
      </c>
      <c r="C16" s="14">
        <v>15</v>
      </c>
      <c r="D16" s="13">
        <f t="shared" si="0"/>
        <v>441</v>
      </c>
      <c r="F16" s="20" t="s">
        <v>35</v>
      </c>
      <c r="G16" s="21">
        <v>32</v>
      </c>
      <c r="H16" s="21">
        <v>50</v>
      </c>
      <c r="I16" s="21">
        <v>23</v>
      </c>
      <c r="J16" s="21">
        <v>16</v>
      </c>
      <c r="K16" s="21">
        <v>18</v>
      </c>
      <c r="L16" s="22">
        <f t="shared" si="11"/>
        <v>139</v>
      </c>
      <c r="O16">
        <v>3950000</v>
      </c>
      <c r="Q16" s="20" t="s">
        <v>36</v>
      </c>
      <c r="R16" s="68">
        <f t="shared" si="12"/>
        <v>0</v>
      </c>
      <c r="S16" s="69">
        <f t="shared" si="13"/>
        <v>0</v>
      </c>
      <c r="T16" s="69">
        <f t="shared" si="14"/>
        <v>0</v>
      </c>
      <c r="U16" s="27">
        <f t="shared" si="15"/>
        <v>34</v>
      </c>
      <c r="V16" s="69">
        <f t="shared" si="16"/>
        <v>0</v>
      </c>
      <c r="W16" s="27">
        <f t="shared" si="17"/>
        <v>0</v>
      </c>
      <c r="X16" s="27">
        <f t="shared" si="18"/>
        <v>0</v>
      </c>
      <c r="Y16" s="27">
        <f t="shared" si="19"/>
        <v>3</v>
      </c>
      <c r="Z16" s="27">
        <f t="shared" si="1"/>
        <v>0</v>
      </c>
      <c r="AA16" s="69">
        <f t="shared" si="2"/>
        <v>37</v>
      </c>
      <c r="AB16" s="4">
        <v>23800</v>
      </c>
      <c r="AC16" s="27">
        <f t="shared" si="3"/>
        <v>880600</v>
      </c>
      <c r="AG16">
        <f>SUM(AG12:AG15)</f>
        <v>688</v>
      </c>
      <c r="AH16">
        <f t="shared" ref="AH16:AL16" si="24">SUM(AH12:AH15)</f>
        <v>10320000</v>
      </c>
      <c r="AI16">
        <f t="shared" si="24"/>
        <v>15480000</v>
      </c>
      <c r="AJ16">
        <f t="shared" si="24"/>
        <v>688</v>
      </c>
      <c r="AK16">
        <f t="shared" si="24"/>
        <v>0</v>
      </c>
      <c r="AL16">
        <f t="shared" si="24"/>
        <v>688</v>
      </c>
      <c r="AO16" s="39">
        <v>14</v>
      </c>
      <c r="AP16" s="40">
        <v>46211</v>
      </c>
      <c r="AQ16" s="41" t="s">
        <v>204</v>
      </c>
      <c r="AR16" s="42" t="s">
        <v>184</v>
      </c>
      <c r="AS16" s="31">
        <v>17729830</v>
      </c>
      <c r="AT16" s="31" t="s">
        <v>282</v>
      </c>
      <c r="AU16" s="43" t="s">
        <v>53</v>
      </c>
      <c r="AV16" s="6">
        <v>6</v>
      </c>
      <c r="AW16" s="44">
        <v>0</v>
      </c>
      <c r="AX16" s="44">
        <v>18</v>
      </c>
      <c r="AY16" s="44">
        <v>0</v>
      </c>
      <c r="AZ16" s="44">
        <v>0</v>
      </c>
      <c r="BA16" s="44">
        <v>0</v>
      </c>
      <c r="BB16" s="44">
        <v>0</v>
      </c>
      <c r="BC16" s="44">
        <v>0</v>
      </c>
      <c r="BD16" s="44">
        <v>0</v>
      </c>
      <c r="BE16" s="44"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0</v>
      </c>
      <c r="BK16" s="44">
        <v>0</v>
      </c>
      <c r="BL16" s="44">
        <v>0</v>
      </c>
      <c r="BM16" s="44">
        <v>0</v>
      </c>
      <c r="BN16" s="44">
        <v>6</v>
      </c>
      <c r="BO16" s="55">
        <v>450000</v>
      </c>
      <c r="BP16" s="40">
        <v>46211</v>
      </c>
      <c r="BQ16" s="39">
        <v>6</v>
      </c>
      <c r="BR16" s="59">
        <v>450000</v>
      </c>
      <c r="BS16" s="39" t="s">
        <v>109</v>
      </c>
      <c r="BT16" s="57">
        <v>0</v>
      </c>
      <c r="BU16" s="40">
        <v>46212</v>
      </c>
      <c r="BV16" s="9">
        <v>1800000</v>
      </c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34</v>
      </c>
      <c r="CY16">
        <v>0</v>
      </c>
      <c r="CZ16">
        <v>3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6</v>
      </c>
      <c r="DI16">
        <v>0</v>
      </c>
      <c r="DJ16">
        <v>0</v>
      </c>
      <c r="DK16">
        <v>6</v>
      </c>
      <c r="DL16">
        <v>19</v>
      </c>
      <c r="DM16">
        <v>0</v>
      </c>
      <c r="DN16">
        <v>0</v>
      </c>
      <c r="DO16">
        <v>0</v>
      </c>
      <c r="DP16">
        <v>19</v>
      </c>
      <c r="DQ16">
        <v>10</v>
      </c>
      <c r="DR16">
        <v>0</v>
      </c>
      <c r="DS16">
        <v>0</v>
      </c>
      <c r="DT16">
        <v>0</v>
      </c>
      <c r="DU16">
        <v>10</v>
      </c>
      <c r="DV16">
        <v>0</v>
      </c>
      <c r="DW16">
        <v>56</v>
      </c>
      <c r="DX16">
        <v>0</v>
      </c>
      <c r="DY16">
        <v>0</v>
      </c>
      <c r="DZ16">
        <v>56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0"/>
        <v>0</v>
      </c>
      <c r="F17" s="20" t="s">
        <v>36</v>
      </c>
      <c r="G17" s="21">
        <v>15</v>
      </c>
      <c r="H17" s="21">
        <v>22</v>
      </c>
      <c r="I17" s="21">
        <v>24</v>
      </c>
      <c r="J17" s="21">
        <v>69</v>
      </c>
      <c r="K17" s="21">
        <v>16</v>
      </c>
      <c r="L17" s="22">
        <f t="shared" si="11"/>
        <v>146</v>
      </c>
      <c r="O17">
        <v>4070100</v>
      </c>
      <c r="Q17" s="20" t="s">
        <v>15</v>
      </c>
      <c r="R17" s="68">
        <f t="shared" si="12"/>
        <v>0</v>
      </c>
      <c r="S17" s="69">
        <f t="shared" si="13"/>
        <v>0</v>
      </c>
      <c r="T17" s="69">
        <f t="shared" si="14"/>
        <v>0</v>
      </c>
      <c r="U17" s="27">
        <f t="shared" si="15"/>
        <v>21</v>
      </c>
      <c r="V17" s="69">
        <f t="shared" si="16"/>
        <v>0</v>
      </c>
      <c r="W17" s="27">
        <f t="shared" si="17"/>
        <v>6</v>
      </c>
      <c r="X17" s="27">
        <f t="shared" si="18"/>
        <v>0</v>
      </c>
      <c r="Y17" s="27">
        <f t="shared" si="19"/>
        <v>0</v>
      </c>
      <c r="Z17" s="27">
        <f t="shared" si="1"/>
        <v>0</v>
      </c>
      <c r="AA17" s="69">
        <f t="shared" si="2"/>
        <v>27</v>
      </c>
      <c r="AB17" s="4">
        <v>30000</v>
      </c>
      <c r="AC17" s="27">
        <f t="shared" si="3"/>
        <v>810000</v>
      </c>
      <c r="AO17" s="39">
        <v>15</v>
      </c>
      <c r="AP17" s="40">
        <v>46211</v>
      </c>
      <c r="AQ17" s="41" t="s">
        <v>204</v>
      </c>
      <c r="AR17" s="42" t="s">
        <v>184</v>
      </c>
      <c r="AS17" s="31">
        <v>17737459</v>
      </c>
      <c r="AT17" s="31" t="s">
        <v>283</v>
      </c>
      <c r="AU17" s="43" t="s">
        <v>41</v>
      </c>
      <c r="AV17" s="6">
        <v>12</v>
      </c>
      <c r="AW17" s="44">
        <v>0</v>
      </c>
      <c r="AX17" s="44">
        <v>36</v>
      </c>
      <c r="AY17" s="44">
        <v>0</v>
      </c>
      <c r="AZ17" s="44">
        <v>0</v>
      </c>
      <c r="BA17" s="44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0</v>
      </c>
      <c r="BK17" s="44">
        <v>0</v>
      </c>
      <c r="BL17" s="44">
        <v>0</v>
      </c>
      <c r="BM17" s="44">
        <v>0</v>
      </c>
      <c r="BN17" s="44">
        <v>12</v>
      </c>
      <c r="BO17" s="55">
        <v>900000</v>
      </c>
      <c r="BP17" s="40">
        <v>46211</v>
      </c>
      <c r="BQ17" s="39">
        <v>12</v>
      </c>
      <c r="BR17" s="59">
        <v>900000</v>
      </c>
      <c r="BS17" s="39" t="s">
        <v>109</v>
      </c>
      <c r="BT17" s="57">
        <v>0</v>
      </c>
      <c r="BU17" s="40">
        <v>46212</v>
      </c>
      <c r="BV17" s="9">
        <v>300000</v>
      </c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0</v>
      </c>
      <c r="CO17" s="70">
        <v>0</v>
      </c>
      <c r="CP17" s="70">
        <v>10</v>
      </c>
      <c r="CQ17">
        <v>10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21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76</v>
      </c>
      <c r="DM17">
        <v>70</v>
      </c>
      <c r="DN17">
        <v>0</v>
      </c>
      <c r="DO17">
        <v>0</v>
      </c>
      <c r="DP17">
        <v>146</v>
      </c>
      <c r="DQ17">
        <v>37</v>
      </c>
      <c r="DR17">
        <v>13</v>
      </c>
      <c r="DS17">
        <v>0</v>
      </c>
      <c r="DT17">
        <v>0</v>
      </c>
      <c r="DU17">
        <v>50</v>
      </c>
      <c r="DV17">
        <v>30</v>
      </c>
      <c r="DW17">
        <v>30</v>
      </c>
      <c r="DX17">
        <v>0</v>
      </c>
      <c r="DY17">
        <v>0</v>
      </c>
      <c r="DZ17">
        <v>60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51</v>
      </c>
      <c r="D18" s="13">
        <f t="shared" si="0"/>
        <v>51</v>
      </c>
      <c r="F18" s="20" t="s">
        <v>15</v>
      </c>
      <c r="G18" s="21">
        <v>0</v>
      </c>
      <c r="H18" s="21">
        <v>35</v>
      </c>
      <c r="I18" s="21">
        <v>0</v>
      </c>
      <c r="J18" s="21">
        <v>0</v>
      </c>
      <c r="K18" s="21">
        <v>0</v>
      </c>
      <c r="L18" s="22">
        <f t="shared" si="11"/>
        <v>35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1"/>
        <v>0</v>
      </c>
      <c r="AA18" s="69">
        <f t="shared" si="2"/>
        <v>417</v>
      </c>
      <c r="AB18" s="4">
        <v>6900</v>
      </c>
      <c r="AC18" s="27">
        <f t="shared" si="3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46211</v>
      </c>
      <c r="AQ18" s="41" t="s">
        <v>204</v>
      </c>
      <c r="AR18" s="42" t="s">
        <v>184</v>
      </c>
      <c r="AS18" s="31">
        <v>572677</v>
      </c>
      <c r="AT18" s="31" t="s">
        <v>266</v>
      </c>
      <c r="AU18" s="43" t="s">
        <v>42</v>
      </c>
      <c r="AV18" s="6">
        <v>8</v>
      </c>
      <c r="AW18" s="44">
        <v>0</v>
      </c>
      <c r="AX18" s="44">
        <v>24</v>
      </c>
      <c r="AY18" s="44">
        <v>0</v>
      </c>
      <c r="AZ18" s="44">
        <v>0</v>
      </c>
      <c r="BA18" s="44">
        <v>0</v>
      </c>
      <c r="BB18" s="44">
        <v>0</v>
      </c>
      <c r="BC18" s="44">
        <v>0</v>
      </c>
      <c r="BD18" s="44">
        <v>0</v>
      </c>
      <c r="BE18" s="44"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0</v>
      </c>
      <c r="BK18" s="44">
        <v>0</v>
      </c>
      <c r="BL18" s="44">
        <v>0</v>
      </c>
      <c r="BM18" s="44">
        <v>0</v>
      </c>
      <c r="BN18" s="44">
        <v>8</v>
      </c>
      <c r="BO18" s="55">
        <v>600000</v>
      </c>
      <c r="BP18" s="40">
        <v>46211</v>
      </c>
      <c r="BQ18" s="39">
        <v>8</v>
      </c>
      <c r="BR18" s="59">
        <v>600000</v>
      </c>
      <c r="BS18" s="39" t="s">
        <v>109</v>
      </c>
      <c r="BT18" s="57">
        <v>0</v>
      </c>
      <c r="BU18" s="40">
        <v>46212</v>
      </c>
      <c r="BV18" s="9">
        <v>5200000</v>
      </c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15</v>
      </c>
      <c r="DM18">
        <v>19</v>
      </c>
      <c r="DN18">
        <v>0</v>
      </c>
      <c r="DO18">
        <v>0</v>
      </c>
      <c r="DP18">
        <v>34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3</v>
      </c>
      <c r="DX18">
        <v>0</v>
      </c>
      <c r="DY18">
        <v>0</v>
      </c>
      <c r="DZ18">
        <v>3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1"/>
        <v>0</v>
      </c>
      <c r="Q19" s="20" t="s">
        <v>17</v>
      </c>
      <c r="R19" s="68">
        <f t="shared" si="12"/>
        <v>0</v>
      </c>
      <c r="S19" s="69">
        <f t="shared" si="13"/>
        <v>0</v>
      </c>
      <c r="T19" s="69">
        <f t="shared" si="14"/>
        <v>0</v>
      </c>
      <c r="U19" s="27">
        <f t="shared" si="15"/>
        <v>0</v>
      </c>
      <c r="V19" s="27">
        <f t="shared" ref="V19:V23" si="25">CO21</f>
        <v>0</v>
      </c>
      <c r="W19" s="27">
        <f t="shared" si="17"/>
        <v>0</v>
      </c>
      <c r="X19" s="27">
        <f t="shared" si="18"/>
        <v>0</v>
      </c>
      <c r="Y19" s="27">
        <f t="shared" si="19"/>
        <v>0</v>
      </c>
      <c r="Z19" s="27">
        <f t="shared" si="1"/>
        <v>0</v>
      </c>
      <c r="AA19" s="69">
        <f t="shared" si="2"/>
        <v>0</v>
      </c>
      <c r="AB19" s="4">
        <v>7000</v>
      </c>
      <c r="AC19" s="27">
        <f t="shared" si="3"/>
        <v>0</v>
      </c>
      <c r="AE19" t="s">
        <v>53</v>
      </c>
      <c r="AJ19" s="63"/>
      <c r="AL19" s="63"/>
      <c r="AO19" s="39">
        <v>17</v>
      </c>
      <c r="AP19" s="40">
        <v>46212</v>
      </c>
      <c r="AQ19" s="41" t="s">
        <v>204</v>
      </c>
      <c r="AR19" s="42" t="s">
        <v>184</v>
      </c>
      <c r="AS19" s="31">
        <v>17729987</v>
      </c>
      <c r="AT19" s="31" t="s">
        <v>285</v>
      </c>
      <c r="AU19" s="43" t="s">
        <v>53</v>
      </c>
      <c r="AV19" s="6">
        <v>6</v>
      </c>
      <c r="AW19" s="44">
        <v>0</v>
      </c>
      <c r="AX19" s="44">
        <v>18</v>
      </c>
      <c r="AY19" s="44">
        <v>0</v>
      </c>
      <c r="AZ19" s="44">
        <v>0</v>
      </c>
      <c r="BA19" s="44">
        <v>0</v>
      </c>
      <c r="BB19" s="44">
        <v>0</v>
      </c>
      <c r="BC19" s="44">
        <v>0</v>
      </c>
      <c r="BD19" s="44">
        <v>0</v>
      </c>
      <c r="BE19" s="44">
        <v>0</v>
      </c>
      <c r="BF19" s="44">
        <v>0</v>
      </c>
      <c r="BG19" s="44">
        <v>0</v>
      </c>
      <c r="BH19" s="44">
        <v>0</v>
      </c>
      <c r="BI19" s="44">
        <v>0</v>
      </c>
      <c r="BJ19" s="44">
        <v>0</v>
      </c>
      <c r="BK19" s="44">
        <v>0</v>
      </c>
      <c r="BL19" s="44">
        <v>0</v>
      </c>
      <c r="BM19" s="44">
        <v>0</v>
      </c>
      <c r="BN19" s="44">
        <v>6</v>
      </c>
      <c r="BO19" s="55">
        <v>450000</v>
      </c>
      <c r="BP19" s="40">
        <v>46212</v>
      </c>
      <c r="BQ19" s="39">
        <v>6</v>
      </c>
      <c r="BR19" s="59">
        <v>450000</v>
      </c>
      <c r="BS19" s="39" t="s">
        <v>109</v>
      </c>
      <c r="BT19" s="57">
        <v>0</v>
      </c>
      <c r="BU19" s="40">
        <v>46213</v>
      </c>
      <c r="BV19" s="9">
        <v>400000</v>
      </c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>
        <v>0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5</v>
      </c>
      <c r="DN19">
        <v>0</v>
      </c>
      <c r="DO19">
        <v>0</v>
      </c>
      <c r="DP19">
        <v>21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1"/>
        <v>0</v>
      </c>
      <c r="Q20" s="20" t="s">
        <v>18</v>
      </c>
      <c r="R20" s="68">
        <f t="shared" si="12"/>
        <v>0</v>
      </c>
      <c r="S20" s="69">
        <f t="shared" si="13"/>
        <v>0</v>
      </c>
      <c r="T20" s="69">
        <f t="shared" si="14"/>
        <v>0</v>
      </c>
      <c r="U20" s="27">
        <f t="shared" si="15"/>
        <v>31</v>
      </c>
      <c r="V20" s="27">
        <f t="shared" si="25"/>
        <v>0</v>
      </c>
      <c r="W20" s="27">
        <f t="shared" si="17"/>
        <v>6</v>
      </c>
      <c r="X20" s="27">
        <f t="shared" si="18"/>
        <v>0</v>
      </c>
      <c r="Y20" s="27">
        <f t="shared" si="19"/>
        <v>0</v>
      </c>
      <c r="Z20" s="27">
        <f t="shared" si="1"/>
        <v>0</v>
      </c>
      <c r="AA20" s="69">
        <f t="shared" si="2"/>
        <v>37</v>
      </c>
      <c r="AB20" s="4">
        <v>12000</v>
      </c>
      <c r="AC20" s="27">
        <f t="shared" si="3"/>
        <v>444000</v>
      </c>
      <c r="AE20" t="s">
        <v>54</v>
      </c>
      <c r="AH20" s="28"/>
      <c r="AJ20" s="63"/>
      <c r="AL20" s="63"/>
      <c r="AO20" s="39">
        <v>18</v>
      </c>
      <c r="AP20" s="40">
        <v>46212</v>
      </c>
      <c r="AQ20" s="41" t="s">
        <v>204</v>
      </c>
      <c r="AR20" s="42" t="s">
        <v>184</v>
      </c>
      <c r="AS20" s="31">
        <v>1295672</v>
      </c>
      <c r="AT20" s="31" t="s">
        <v>286</v>
      </c>
      <c r="AU20" s="43" t="s">
        <v>41</v>
      </c>
      <c r="AV20" s="6">
        <v>7</v>
      </c>
      <c r="AW20" s="44">
        <v>0</v>
      </c>
      <c r="AX20" s="44">
        <v>21</v>
      </c>
      <c r="AY20" s="44">
        <v>0</v>
      </c>
      <c r="AZ20" s="44">
        <v>0</v>
      </c>
      <c r="BA20" s="44">
        <v>0</v>
      </c>
      <c r="BB20" s="44">
        <v>0</v>
      </c>
      <c r="BC20" s="44">
        <v>0</v>
      </c>
      <c r="BD20" s="44">
        <v>0</v>
      </c>
      <c r="BE20" s="44">
        <v>0</v>
      </c>
      <c r="BF20" s="44">
        <v>0</v>
      </c>
      <c r="BG20" s="44">
        <v>0</v>
      </c>
      <c r="BH20" s="44">
        <v>0</v>
      </c>
      <c r="BI20" s="44">
        <v>0</v>
      </c>
      <c r="BJ20" s="44">
        <v>0</v>
      </c>
      <c r="BK20" s="44">
        <v>0</v>
      </c>
      <c r="BL20" s="44">
        <v>0</v>
      </c>
      <c r="BM20" s="44">
        <v>0</v>
      </c>
      <c r="BN20" s="44">
        <v>7</v>
      </c>
      <c r="BO20" s="55">
        <v>525000</v>
      </c>
      <c r="BP20" s="40">
        <v>46212</v>
      </c>
      <c r="BQ20" s="39">
        <v>7</v>
      </c>
      <c r="BR20" s="59">
        <v>525000</v>
      </c>
      <c r="BS20" s="39" t="s">
        <v>109</v>
      </c>
      <c r="BT20" s="57">
        <v>0</v>
      </c>
      <c r="BU20" s="40">
        <v>46213</v>
      </c>
      <c r="BV20" s="8">
        <v>3950000</v>
      </c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31</v>
      </c>
      <c r="CY20">
        <v>6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450</v>
      </c>
      <c r="C21" s="14">
        <v>904</v>
      </c>
      <c r="D21" s="13">
        <f t="shared" si="0"/>
        <v>1354</v>
      </c>
      <c r="F21" s="20" t="s">
        <v>18</v>
      </c>
      <c r="G21" s="21">
        <v>11</v>
      </c>
      <c r="H21" s="21">
        <v>14</v>
      </c>
      <c r="I21" s="21">
        <v>9</v>
      </c>
      <c r="J21" s="21">
        <v>0</v>
      </c>
      <c r="K21" s="21">
        <v>0</v>
      </c>
      <c r="L21" s="22">
        <f t="shared" si="11"/>
        <v>34</v>
      </c>
      <c r="Q21" s="20" t="s">
        <v>19</v>
      </c>
      <c r="R21" s="68">
        <f t="shared" si="12"/>
        <v>0</v>
      </c>
      <c r="S21" s="69">
        <f t="shared" si="13"/>
        <v>65</v>
      </c>
      <c r="T21" s="69">
        <f t="shared" si="14"/>
        <v>10</v>
      </c>
      <c r="U21" s="27">
        <f t="shared" si="15"/>
        <v>76</v>
      </c>
      <c r="V21" s="27">
        <f t="shared" si="25"/>
        <v>4</v>
      </c>
      <c r="W21" s="27">
        <f t="shared" si="17"/>
        <v>42</v>
      </c>
      <c r="X21" s="27">
        <f t="shared" si="18"/>
        <v>0</v>
      </c>
      <c r="Y21" s="27">
        <f t="shared" si="19"/>
        <v>27</v>
      </c>
      <c r="Z21" s="27">
        <f t="shared" si="1"/>
        <v>14</v>
      </c>
      <c r="AA21" s="69">
        <f t="shared" si="2"/>
        <v>210</v>
      </c>
      <c r="AB21" s="4">
        <v>9600</v>
      </c>
      <c r="AC21" s="27">
        <f t="shared" si="3"/>
        <v>2016000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46212</v>
      </c>
      <c r="AQ21" s="41" t="s">
        <v>204</v>
      </c>
      <c r="AR21" s="42" t="s">
        <v>184</v>
      </c>
      <c r="AS21" s="31">
        <v>1554004</v>
      </c>
      <c r="AT21" s="31" t="s">
        <v>287</v>
      </c>
      <c r="AU21" s="43" t="s">
        <v>42</v>
      </c>
      <c r="AV21" s="6">
        <v>6</v>
      </c>
      <c r="AW21" s="44">
        <v>0</v>
      </c>
      <c r="AX21" s="44">
        <v>18</v>
      </c>
      <c r="AY21" s="44">
        <v>0</v>
      </c>
      <c r="AZ21" s="44">
        <v>0</v>
      </c>
      <c r="BA21" s="44">
        <v>0</v>
      </c>
      <c r="BB21" s="44">
        <v>0</v>
      </c>
      <c r="BC21" s="44">
        <v>0</v>
      </c>
      <c r="BD21" s="44">
        <v>0</v>
      </c>
      <c r="BE21" s="44">
        <v>0</v>
      </c>
      <c r="BF21" s="44">
        <v>0</v>
      </c>
      <c r="BG21" s="44">
        <v>0</v>
      </c>
      <c r="BH21" s="44">
        <v>0</v>
      </c>
      <c r="BI21" s="44">
        <v>0</v>
      </c>
      <c r="BJ21" s="44">
        <v>0</v>
      </c>
      <c r="BK21" s="44">
        <v>0</v>
      </c>
      <c r="BL21" s="44">
        <v>0</v>
      </c>
      <c r="BM21" s="44">
        <v>0</v>
      </c>
      <c r="BN21" s="44">
        <v>6</v>
      </c>
      <c r="BO21" s="55">
        <v>450000</v>
      </c>
      <c r="BP21" s="40">
        <v>46212</v>
      </c>
      <c r="BQ21" s="39">
        <v>6</v>
      </c>
      <c r="BR21" s="59">
        <v>450000</v>
      </c>
      <c r="BS21" s="39" t="s">
        <v>109</v>
      </c>
      <c r="BT21" s="57">
        <v>0</v>
      </c>
      <c r="BU21" s="40">
        <v>46213</v>
      </c>
      <c r="BV21" s="8">
        <v>800000</v>
      </c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65</v>
      </c>
      <c r="CX21">
        <v>76</v>
      </c>
      <c r="CY21">
        <v>42</v>
      </c>
      <c r="CZ21">
        <v>27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0"/>
        <v>217</v>
      </c>
      <c r="F22" s="20" t="s">
        <v>19</v>
      </c>
      <c r="G22" s="21">
        <v>25</v>
      </c>
      <c r="H22" s="21">
        <v>15</v>
      </c>
      <c r="I22" s="21">
        <v>96</v>
      </c>
      <c r="J22" s="21">
        <v>92</v>
      </c>
      <c r="K22" s="21">
        <v>12</v>
      </c>
      <c r="L22" s="22">
        <f t="shared" si="11"/>
        <v>240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4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1</v>
      </c>
      <c r="Z22" s="27">
        <f t="shared" si="1"/>
        <v>0</v>
      </c>
      <c r="AA22" s="69">
        <f t="shared" si="2"/>
        <v>5</v>
      </c>
      <c r="AB22" s="4">
        <v>13200</v>
      </c>
      <c r="AC22" s="27">
        <f t="shared" si="3"/>
        <v>66000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46212</v>
      </c>
      <c r="AQ22" s="41" t="s">
        <v>204</v>
      </c>
      <c r="AR22" s="42" t="s">
        <v>184</v>
      </c>
      <c r="AS22" s="31">
        <v>1554004</v>
      </c>
      <c r="AT22" s="31" t="s">
        <v>287</v>
      </c>
      <c r="AU22" s="43" t="s">
        <v>273</v>
      </c>
      <c r="AV22" s="6">
        <v>2</v>
      </c>
      <c r="AW22" s="44">
        <v>0</v>
      </c>
      <c r="AX22" s="44">
        <v>6</v>
      </c>
      <c r="AY22" s="44">
        <v>0</v>
      </c>
      <c r="AZ22" s="44">
        <v>0</v>
      </c>
      <c r="BA22" s="44">
        <v>0</v>
      </c>
      <c r="BB22" s="44">
        <v>0</v>
      </c>
      <c r="BC22" s="44">
        <v>0</v>
      </c>
      <c r="BD22" s="44">
        <v>0</v>
      </c>
      <c r="BE22" s="44">
        <v>0</v>
      </c>
      <c r="BF22" s="44">
        <v>0</v>
      </c>
      <c r="BG22" s="44">
        <v>0</v>
      </c>
      <c r="BH22" s="44">
        <v>0</v>
      </c>
      <c r="BI22" s="44">
        <v>0</v>
      </c>
      <c r="BJ22" s="44">
        <v>0</v>
      </c>
      <c r="BK22" s="44">
        <v>0</v>
      </c>
      <c r="BL22" s="44">
        <v>0</v>
      </c>
      <c r="BM22" s="44">
        <v>0</v>
      </c>
      <c r="BN22" s="44">
        <v>2</v>
      </c>
      <c r="BO22" s="55">
        <v>150000</v>
      </c>
      <c r="BP22" s="40">
        <v>46212</v>
      </c>
      <c r="BQ22" s="39">
        <v>2</v>
      </c>
      <c r="BR22" s="59">
        <v>150000</v>
      </c>
      <c r="BS22" s="39" t="s">
        <v>109</v>
      </c>
      <c r="BT22" s="57">
        <v>0</v>
      </c>
      <c r="BU22" s="40">
        <v>46213</v>
      </c>
      <c r="BV22" s="8">
        <v>800000</v>
      </c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4</v>
      </c>
      <c r="CY22">
        <v>0</v>
      </c>
      <c r="CZ22">
        <v>1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31</v>
      </c>
      <c r="DM22">
        <v>0</v>
      </c>
      <c r="DN22">
        <v>0</v>
      </c>
      <c r="DO22">
        <v>0</v>
      </c>
      <c r="DP22">
        <v>31</v>
      </c>
      <c r="DQ22">
        <v>6</v>
      </c>
      <c r="DR22">
        <v>0</v>
      </c>
      <c r="DS22">
        <v>0</v>
      </c>
      <c r="DT22">
        <v>0</v>
      </c>
      <c r="DU22">
        <v>6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A23" s="12" t="s">
        <v>291</v>
      </c>
      <c r="B23" s="13">
        <v>300</v>
      </c>
      <c r="C23" s="14"/>
      <c r="D23" s="13">
        <f t="shared" ref="D23" si="26">C23+B23</f>
        <v>300</v>
      </c>
      <c r="F23" s="20" t="s">
        <v>20</v>
      </c>
      <c r="G23" s="21">
        <v>15</v>
      </c>
      <c r="H23" s="21">
        <v>0</v>
      </c>
      <c r="I23" s="21">
        <v>3</v>
      </c>
      <c r="J23" s="21">
        <v>54</v>
      </c>
      <c r="K23" s="21">
        <v>9</v>
      </c>
      <c r="L23" s="22">
        <f t="shared" si="11"/>
        <v>81</v>
      </c>
      <c r="Q23" s="20"/>
      <c r="R23" s="20"/>
      <c r="S23" s="27">
        <v>0</v>
      </c>
      <c r="T23" s="27"/>
      <c r="U23" s="27">
        <v>0</v>
      </c>
      <c r="V23" s="27">
        <f t="shared" si="25"/>
        <v>0</v>
      </c>
      <c r="W23" s="27">
        <v>0</v>
      </c>
      <c r="X23" s="27">
        <f t="shared" si="18"/>
        <v>0</v>
      </c>
      <c r="Y23" s="27">
        <v>0</v>
      </c>
      <c r="Z23" s="27">
        <f t="shared" si="1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46213</v>
      </c>
      <c r="AQ23" s="41" t="s">
        <v>204</v>
      </c>
      <c r="AR23" s="42" t="s">
        <v>184</v>
      </c>
      <c r="AS23" s="31"/>
      <c r="AT23" s="31" t="e">
        <v>#N/A</v>
      </c>
      <c r="AU23" s="43" t="s">
        <v>53</v>
      </c>
      <c r="AV23" s="6">
        <v>32</v>
      </c>
      <c r="AW23" s="44">
        <v>0</v>
      </c>
      <c r="AX23" s="44">
        <v>96</v>
      </c>
      <c r="AY23" s="44">
        <v>0</v>
      </c>
      <c r="AZ23" s="44">
        <v>0</v>
      </c>
      <c r="BA23" s="44">
        <v>0</v>
      </c>
      <c r="BB23" s="44">
        <v>0</v>
      </c>
      <c r="BC23" s="44">
        <v>0</v>
      </c>
      <c r="BD23" s="44">
        <v>0</v>
      </c>
      <c r="BE23" s="44">
        <v>0</v>
      </c>
      <c r="BF23" s="44">
        <v>0</v>
      </c>
      <c r="BG23" s="44">
        <v>0</v>
      </c>
      <c r="BH23" s="44">
        <v>0</v>
      </c>
      <c r="BI23" s="44">
        <v>0</v>
      </c>
      <c r="BJ23" s="44">
        <v>0</v>
      </c>
      <c r="BK23" s="44">
        <v>0</v>
      </c>
      <c r="BL23" s="44">
        <v>0</v>
      </c>
      <c r="BM23" s="44">
        <v>0</v>
      </c>
      <c r="BN23" s="44">
        <v>32</v>
      </c>
      <c r="BO23" s="55">
        <v>2400000</v>
      </c>
      <c r="BP23" s="40"/>
      <c r="BQ23" s="39"/>
      <c r="BR23" s="59"/>
      <c r="BS23" s="39"/>
      <c r="BT23" s="57">
        <v>2400000</v>
      </c>
      <c r="BU23" s="40"/>
      <c r="BV23" s="8">
        <v>0</v>
      </c>
      <c r="BW23" s="58"/>
      <c r="CL23" t="s">
        <v>19</v>
      </c>
      <c r="CM23" s="70">
        <v>0</v>
      </c>
      <c r="CN23" s="70">
        <v>10</v>
      </c>
      <c r="CO23" s="70">
        <v>4</v>
      </c>
      <c r="CP23" s="70">
        <v>0</v>
      </c>
      <c r="CQ23">
        <v>14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35</v>
      </c>
      <c r="DI23">
        <v>0</v>
      </c>
      <c r="DJ23">
        <v>0</v>
      </c>
      <c r="DK23">
        <v>65</v>
      </c>
      <c r="DL23">
        <v>13</v>
      </c>
      <c r="DM23">
        <v>63</v>
      </c>
      <c r="DN23">
        <v>0</v>
      </c>
      <c r="DO23">
        <v>0</v>
      </c>
      <c r="DP23">
        <v>76</v>
      </c>
      <c r="DQ23">
        <v>35</v>
      </c>
      <c r="DR23">
        <v>7</v>
      </c>
      <c r="DS23">
        <v>0</v>
      </c>
      <c r="DT23">
        <v>0</v>
      </c>
      <c r="DU23">
        <v>42</v>
      </c>
      <c r="DV23">
        <v>12</v>
      </c>
      <c r="DW23">
        <v>15</v>
      </c>
      <c r="DX23">
        <v>0</v>
      </c>
      <c r="DY23">
        <v>0</v>
      </c>
      <c r="DZ23">
        <v>27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1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1"/>
        <v>0</v>
      </c>
      <c r="AA24" s="27">
        <v>0</v>
      </c>
      <c r="AB24" s="4"/>
      <c r="AC24" s="27">
        <v>0</v>
      </c>
      <c r="AO24" s="39">
        <v>22</v>
      </c>
      <c r="AP24" s="40">
        <v>46213</v>
      </c>
      <c r="AQ24" s="41" t="s">
        <v>204</v>
      </c>
      <c r="AR24" s="42" t="s">
        <v>184</v>
      </c>
      <c r="AS24" s="31"/>
      <c r="AT24" s="31" t="e">
        <v>#N/A</v>
      </c>
      <c r="AU24" s="43" t="s">
        <v>41</v>
      </c>
      <c r="AV24" s="6">
        <v>31</v>
      </c>
      <c r="AW24" s="44">
        <v>0</v>
      </c>
      <c r="AX24" s="44">
        <v>93</v>
      </c>
      <c r="AY24" s="44">
        <v>0</v>
      </c>
      <c r="AZ24" s="44">
        <v>0</v>
      </c>
      <c r="BA24" s="44">
        <v>0</v>
      </c>
      <c r="BB24" s="44">
        <v>0</v>
      </c>
      <c r="BC24" s="44">
        <v>0</v>
      </c>
      <c r="BD24" s="44">
        <v>0</v>
      </c>
      <c r="BE24" s="44">
        <v>0</v>
      </c>
      <c r="BF24" s="44">
        <v>0</v>
      </c>
      <c r="BG24" s="44">
        <v>0</v>
      </c>
      <c r="BH24" s="44">
        <v>0</v>
      </c>
      <c r="BI24" s="44">
        <v>0</v>
      </c>
      <c r="BJ24" s="44">
        <v>0</v>
      </c>
      <c r="BK24" s="44">
        <v>0</v>
      </c>
      <c r="BL24" s="44">
        <v>0</v>
      </c>
      <c r="BM24" s="44">
        <v>0</v>
      </c>
      <c r="BN24" s="44">
        <v>31</v>
      </c>
      <c r="BO24" s="55">
        <v>2325000</v>
      </c>
      <c r="BP24" s="40"/>
      <c r="BQ24" s="39"/>
      <c r="BR24" s="59"/>
      <c r="BS24" s="39"/>
      <c r="BT24" s="57">
        <v>2325000</v>
      </c>
      <c r="BU24" s="40"/>
      <c r="BV24" s="8">
        <v>0</v>
      </c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4</v>
      </c>
      <c r="DN24">
        <v>0</v>
      </c>
      <c r="DO24">
        <v>0</v>
      </c>
      <c r="DP24">
        <v>4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1</v>
      </c>
      <c r="DX24">
        <v>0</v>
      </c>
      <c r="DY24">
        <v>0</v>
      </c>
      <c r="DZ24">
        <v>1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1"/>
        <v>0</v>
      </c>
      <c r="Q25" s="23" t="s">
        <v>50</v>
      </c>
      <c r="R25" s="23"/>
      <c r="S25" s="19">
        <f>SUM(S4:S24)</f>
        <v>1077</v>
      </c>
      <c r="T25" s="19"/>
      <c r="U25" s="19">
        <f t="shared" ref="U25:AC25" si="27">SUM(U4:U24)</f>
        <v>1893</v>
      </c>
      <c r="V25" s="19"/>
      <c r="W25" s="19">
        <f t="shared" si="27"/>
        <v>1238</v>
      </c>
      <c r="X25" s="19"/>
      <c r="Y25" s="19">
        <f t="shared" si="27"/>
        <v>1329</v>
      </c>
      <c r="Z25" s="19">
        <f>SUM(Z4:Z24)</f>
        <v>27</v>
      </c>
      <c r="AA25" s="19">
        <f t="shared" si="27"/>
        <v>5537</v>
      </c>
      <c r="AB25" s="19"/>
      <c r="AC25" s="19">
        <f t="shared" si="27"/>
        <v>75100800</v>
      </c>
      <c r="AO25" s="39">
        <v>23</v>
      </c>
      <c r="AP25" s="40">
        <v>46213</v>
      </c>
      <c r="AQ25" s="41" t="s">
        <v>204</v>
      </c>
      <c r="AR25" s="42" t="s">
        <v>184</v>
      </c>
      <c r="AS25" s="31"/>
      <c r="AT25" s="31" t="e">
        <v>#N/A</v>
      </c>
      <c r="AU25" s="43" t="s">
        <v>42</v>
      </c>
      <c r="AV25" s="6">
        <v>32</v>
      </c>
      <c r="AW25" s="44">
        <v>0</v>
      </c>
      <c r="AX25" s="44">
        <v>96</v>
      </c>
      <c r="AY25" s="44">
        <v>0</v>
      </c>
      <c r="AZ25" s="44">
        <v>0</v>
      </c>
      <c r="BA25" s="44">
        <v>0</v>
      </c>
      <c r="BB25" s="44">
        <v>0</v>
      </c>
      <c r="BC25" s="44">
        <v>0</v>
      </c>
      <c r="BD25" s="44">
        <v>0</v>
      </c>
      <c r="BE25" s="44">
        <v>0</v>
      </c>
      <c r="BF25" s="44">
        <v>0</v>
      </c>
      <c r="BG25" s="44">
        <v>0</v>
      </c>
      <c r="BH25" s="44">
        <v>0</v>
      </c>
      <c r="BI25" s="44">
        <v>0</v>
      </c>
      <c r="BJ25" s="44">
        <v>0</v>
      </c>
      <c r="BK25" s="44">
        <v>0</v>
      </c>
      <c r="BL25" s="44">
        <v>0</v>
      </c>
      <c r="BM25" s="44">
        <v>0</v>
      </c>
      <c r="BN25" s="44">
        <v>32</v>
      </c>
      <c r="BO25" s="55">
        <v>2400000</v>
      </c>
      <c r="BP25" s="40"/>
      <c r="BQ25" s="39"/>
      <c r="BR25" s="59"/>
      <c r="BS25" s="39"/>
      <c r="BT25" s="57">
        <v>2400000</v>
      </c>
      <c r="BU25" s="40"/>
      <c r="BV25" s="8">
        <v>0</v>
      </c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511</v>
      </c>
      <c r="H26" s="24">
        <f t="shared" si="28"/>
        <v>747</v>
      </c>
      <c r="I26" s="24">
        <f t="shared" si="28"/>
        <v>536</v>
      </c>
      <c r="J26" s="24">
        <f t="shared" si="28"/>
        <v>935</v>
      </c>
      <c r="K26" s="24">
        <f t="shared" si="28"/>
        <v>105</v>
      </c>
      <c r="L26" s="24">
        <f>SUM(L5:L25)</f>
        <v>2834</v>
      </c>
      <c r="AO26" s="39">
        <v>24</v>
      </c>
      <c r="AP26" s="40">
        <v>46213</v>
      </c>
      <c r="AQ26" s="41" t="s">
        <v>204</v>
      </c>
      <c r="AR26" s="42" t="s">
        <v>184</v>
      </c>
      <c r="AS26" s="31"/>
      <c r="AT26" s="31" t="e">
        <v>#N/A</v>
      </c>
      <c r="AU26" s="43" t="s">
        <v>273</v>
      </c>
      <c r="AV26" s="6">
        <v>8</v>
      </c>
      <c r="AW26" s="44">
        <v>0</v>
      </c>
      <c r="AX26" s="44">
        <v>24</v>
      </c>
      <c r="AY26" s="44">
        <v>0</v>
      </c>
      <c r="AZ26" s="44">
        <v>0</v>
      </c>
      <c r="BA26" s="44">
        <v>0</v>
      </c>
      <c r="BB26" s="44">
        <v>0</v>
      </c>
      <c r="BC26" s="44">
        <v>0</v>
      </c>
      <c r="BD26" s="44">
        <v>0</v>
      </c>
      <c r="BE26" s="44">
        <v>0</v>
      </c>
      <c r="BF26" s="44">
        <v>0</v>
      </c>
      <c r="BG26" s="44">
        <v>0</v>
      </c>
      <c r="BH26" s="44">
        <v>0</v>
      </c>
      <c r="BI26" s="44">
        <v>0</v>
      </c>
      <c r="BJ26" s="44">
        <v>0</v>
      </c>
      <c r="BK26" s="44">
        <v>0</v>
      </c>
      <c r="BL26" s="44">
        <v>0</v>
      </c>
      <c r="BM26" s="44">
        <v>0</v>
      </c>
      <c r="BN26" s="44">
        <v>8</v>
      </c>
      <c r="BO26" s="55">
        <v>600000</v>
      </c>
      <c r="BP26" s="40"/>
      <c r="BQ26" s="39"/>
      <c r="BR26" s="59"/>
      <c r="BS26" s="39"/>
      <c r="BT26" s="57">
        <v>600000</v>
      </c>
      <c r="BU26" s="40"/>
      <c r="BV26" s="8">
        <v>0</v>
      </c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46214</v>
      </c>
      <c r="AQ27" s="41" t="s">
        <v>204</v>
      </c>
      <c r="AR27" s="42" t="s">
        <v>184</v>
      </c>
      <c r="AS27" s="31">
        <v>17383074</v>
      </c>
      <c r="AT27" s="31" t="s">
        <v>288</v>
      </c>
      <c r="AU27" s="43" t="s">
        <v>53</v>
      </c>
      <c r="AV27" s="6"/>
      <c r="AW27" s="44">
        <v>0</v>
      </c>
      <c r="AX27" s="44">
        <v>0</v>
      </c>
      <c r="AY27" s="44">
        <v>0</v>
      </c>
      <c r="AZ27" s="44">
        <v>0</v>
      </c>
      <c r="BA27" s="44">
        <v>0</v>
      </c>
      <c r="BB27" s="44">
        <v>0</v>
      </c>
      <c r="BC27" s="44">
        <v>0</v>
      </c>
      <c r="BD27" s="44">
        <v>0</v>
      </c>
      <c r="BE27" s="44">
        <v>0</v>
      </c>
      <c r="BF27" s="44">
        <v>0</v>
      </c>
      <c r="BG27" s="44">
        <v>0</v>
      </c>
      <c r="BH27" s="44">
        <v>0</v>
      </c>
      <c r="BI27" s="44">
        <v>0</v>
      </c>
      <c r="BJ27" s="44">
        <v>0</v>
      </c>
      <c r="BK27" s="44">
        <v>0</v>
      </c>
      <c r="BL27" s="44">
        <v>0</v>
      </c>
      <c r="BM27" s="44">
        <v>0</v>
      </c>
      <c r="BN27" s="44">
        <v>0</v>
      </c>
      <c r="BO27" s="55">
        <v>0</v>
      </c>
      <c r="BP27" s="40">
        <v>46214</v>
      </c>
      <c r="BQ27" s="39">
        <v>5</v>
      </c>
      <c r="BR27" s="59">
        <v>375000</v>
      </c>
      <c r="BS27" s="39" t="s">
        <v>109</v>
      </c>
      <c r="BT27" s="57">
        <v>-375000</v>
      </c>
      <c r="BU27" s="40">
        <v>46216</v>
      </c>
      <c r="BV27" s="8">
        <v>501000</v>
      </c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46214</v>
      </c>
      <c r="AQ28" s="41" t="s">
        <v>204</v>
      </c>
      <c r="AR28" s="42" t="s">
        <v>184</v>
      </c>
      <c r="AS28" s="31">
        <v>17138377</v>
      </c>
      <c r="AT28" s="31" t="s">
        <v>253</v>
      </c>
      <c r="AU28" s="43" t="s">
        <v>42</v>
      </c>
      <c r="AV28" s="6"/>
      <c r="AW28" s="44">
        <v>0</v>
      </c>
      <c r="AX28" s="44">
        <v>0</v>
      </c>
      <c r="AY28" s="44">
        <v>0</v>
      </c>
      <c r="AZ28" s="44">
        <v>0</v>
      </c>
      <c r="BA28" s="44">
        <v>0</v>
      </c>
      <c r="BB28" s="44">
        <v>0</v>
      </c>
      <c r="BC28" s="44">
        <v>0</v>
      </c>
      <c r="BD28" s="44">
        <v>0</v>
      </c>
      <c r="BE28" s="44">
        <v>0</v>
      </c>
      <c r="BF28" s="44">
        <v>0</v>
      </c>
      <c r="BG28" s="44">
        <v>0</v>
      </c>
      <c r="BH28" s="44">
        <v>0</v>
      </c>
      <c r="BI28" s="44">
        <v>0</v>
      </c>
      <c r="BJ28" s="44">
        <v>0</v>
      </c>
      <c r="BK28" s="44">
        <v>0</v>
      </c>
      <c r="BL28" s="44">
        <v>0</v>
      </c>
      <c r="BM28" s="44">
        <v>0</v>
      </c>
      <c r="BN28" s="44">
        <v>0</v>
      </c>
      <c r="BO28" s="55">
        <v>0</v>
      </c>
      <c r="BP28" s="40">
        <v>46214</v>
      </c>
      <c r="BQ28" s="39">
        <v>10</v>
      </c>
      <c r="BR28" s="59">
        <v>750000</v>
      </c>
      <c r="BS28" s="39" t="s">
        <v>109</v>
      </c>
      <c r="BT28" s="57">
        <v>-750000</v>
      </c>
      <c r="BU28" s="40">
        <v>46216</v>
      </c>
      <c r="BV28" s="8">
        <v>1000000</v>
      </c>
      <c r="BW28" s="58"/>
    </row>
    <row r="29" spans="1:133" x14ac:dyDescent="0.35">
      <c r="A29" s="101" t="s">
        <v>51</v>
      </c>
      <c r="B29" s="102" t="s">
        <v>214</v>
      </c>
      <c r="C29" s="103" t="s">
        <v>215</v>
      </c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3"/>
      <c r="T29" s="73"/>
      <c r="U29" s="104" t="s">
        <v>216</v>
      </c>
      <c r="V29" s="104"/>
      <c r="W29" s="104"/>
      <c r="X29" s="104" t="s">
        <v>217</v>
      </c>
      <c r="Y29" s="104"/>
      <c r="Z29" s="104"/>
      <c r="AA29" s="104"/>
      <c r="AB29" s="104"/>
      <c r="AC29" s="104"/>
      <c r="AD29" s="104"/>
      <c r="AE29" s="104"/>
      <c r="AF29" s="104"/>
      <c r="AG29" s="100" t="s">
        <v>218</v>
      </c>
      <c r="AO29" s="39">
        <v>27</v>
      </c>
      <c r="AP29" s="40">
        <v>46214</v>
      </c>
      <c r="AQ29" s="41" t="s">
        <v>204</v>
      </c>
      <c r="AR29" s="42" t="s">
        <v>184</v>
      </c>
      <c r="AS29" s="31">
        <v>17737026</v>
      </c>
      <c r="AT29" s="31" t="s">
        <v>258</v>
      </c>
      <c r="AU29" s="43" t="s">
        <v>53</v>
      </c>
      <c r="AV29" s="6"/>
      <c r="AW29" s="44">
        <v>0</v>
      </c>
      <c r="AX29" s="44">
        <v>0</v>
      </c>
      <c r="AY29" s="44">
        <v>0</v>
      </c>
      <c r="AZ29" s="44">
        <v>0</v>
      </c>
      <c r="BA29" s="44">
        <v>0</v>
      </c>
      <c r="BB29" s="44">
        <v>0</v>
      </c>
      <c r="BC29" s="44">
        <v>0</v>
      </c>
      <c r="BD29" s="44">
        <v>0</v>
      </c>
      <c r="BE29" s="44">
        <v>0</v>
      </c>
      <c r="BF29" s="44">
        <v>0</v>
      </c>
      <c r="BG29" s="44">
        <v>0</v>
      </c>
      <c r="BH29" s="44">
        <v>0</v>
      </c>
      <c r="BI29" s="44">
        <v>0</v>
      </c>
      <c r="BJ29" s="44">
        <v>0</v>
      </c>
      <c r="BK29" s="44">
        <v>0</v>
      </c>
      <c r="BL29" s="44">
        <v>0</v>
      </c>
      <c r="BM29" s="44">
        <v>0</v>
      </c>
      <c r="BN29" s="44">
        <v>0</v>
      </c>
      <c r="BO29" s="55">
        <v>0</v>
      </c>
      <c r="BP29" s="40">
        <v>46214</v>
      </c>
      <c r="BQ29" s="39">
        <v>6</v>
      </c>
      <c r="BR29" s="59">
        <v>450000</v>
      </c>
      <c r="BS29" s="39" t="s">
        <v>109</v>
      </c>
      <c r="BT29" s="57">
        <v>-450000</v>
      </c>
      <c r="BU29" s="40">
        <v>46216</v>
      </c>
      <c r="BV29" s="8">
        <v>201000</v>
      </c>
      <c r="BW29" s="58"/>
    </row>
    <row r="30" spans="1:133" x14ac:dyDescent="0.35">
      <c r="A30" s="101"/>
      <c r="B30" s="102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100"/>
      <c r="AO30" s="39">
        <v>28</v>
      </c>
      <c r="AP30" s="40">
        <v>46214</v>
      </c>
      <c r="AQ30" s="41" t="s">
        <v>204</v>
      </c>
      <c r="AR30" s="42" t="s">
        <v>184</v>
      </c>
      <c r="AS30" s="31">
        <v>17675348</v>
      </c>
      <c r="AT30" s="31" t="s">
        <v>289</v>
      </c>
      <c r="AU30" s="31" t="s">
        <v>41</v>
      </c>
      <c r="AV30" s="6"/>
      <c r="AW30" s="44">
        <v>0</v>
      </c>
      <c r="AX30" s="44">
        <v>0</v>
      </c>
      <c r="AY30" s="44">
        <v>0</v>
      </c>
      <c r="AZ30" s="44">
        <v>0</v>
      </c>
      <c r="BA30" s="44">
        <v>0</v>
      </c>
      <c r="BB30" s="44">
        <v>0</v>
      </c>
      <c r="BC30" s="44">
        <v>0</v>
      </c>
      <c r="BD30" s="44">
        <v>0</v>
      </c>
      <c r="BE30" s="44">
        <v>0</v>
      </c>
      <c r="BF30" s="44">
        <v>0</v>
      </c>
      <c r="BG30" s="44">
        <v>0</v>
      </c>
      <c r="BH30" s="44">
        <v>0</v>
      </c>
      <c r="BI30" s="44">
        <v>0</v>
      </c>
      <c r="BJ30" s="44">
        <v>0</v>
      </c>
      <c r="BK30" s="44">
        <v>0</v>
      </c>
      <c r="BL30" s="44">
        <v>0</v>
      </c>
      <c r="BM30" s="44">
        <v>0</v>
      </c>
      <c r="BN30" s="44">
        <v>0</v>
      </c>
      <c r="BO30" s="55">
        <v>0</v>
      </c>
      <c r="BP30" s="40">
        <v>46214</v>
      </c>
      <c r="BQ30" s="39">
        <v>5</v>
      </c>
      <c r="BR30" s="59">
        <v>375000</v>
      </c>
      <c r="BS30" s="39" t="s">
        <v>109</v>
      </c>
      <c r="BT30" s="57">
        <v>-375000</v>
      </c>
      <c r="BU30" s="40">
        <v>46216</v>
      </c>
      <c r="BV30" s="8">
        <v>601000</v>
      </c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>
        <v>46214</v>
      </c>
      <c r="AQ31" s="41" t="s">
        <v>204</v>
      </c>
      <c r="AR31" s="42" t="s">
        <v>184</v>
      </c>
      <c r="AS31" s="31">
        <v>17260654</v>
      </c>
      <c r="AT31" s="31" t="s">
        <v>290</v>
      </c>
      <c r="AU31" s="31" t="s">
        <v>42</v>
      </c>
      <c r="AV31" s="6"/>
      <c r="AW31" s="44">
        <v>0</v>
      </c>
      <c r="AX31" s="44">
        <v>0</v>
      </c>
      <c r="AY31" s="44">
        <v>0</v>
      </c>
      <c r="AZ31" s="44">
        <v>0</v>
      </c>
      <c r="BA31" s="44">
        <v>0</v>
      </c>
      <c r="BB31" s="44">
        <v>0</v>
      </c>
      <c r="BC31" s="44">
        <v>0</v>
      </c>
      <c r="BD31" s="44">
        <v>0</v>
      </c>
      <c r="BE31" s="44">
        <v>0</v>
      </c>
      <c r="BF31" s="44">
        <v>0</v>
      </c>
      <c r="BG31" s="44">
        <v>0</v>
      </c>
      <c r="BH31" s="44">
        <v>0</v>
      </c>
      <c r="BI31" s="44">
        <v>0</v>
      </c>
      <c r="BJ31" s="44">
        <v>0</v>
      </c>
      <c r="BK31" s="44">
        <v>0</v>
      </c>
      <c r="BL31" s="44">
        <v>0</v>
      </c>
      <c r="BM31" s="44">
        <v>0</v>
      </c>
      <c r="BN31" s="44">
        <v>0</v>
      </c>
      <c r="BO31" s="55">
        <v>0</v>
      </c>
      <c r="BP31" s="40">
        <v>46214</v>
      </c>
      <c r="BQ31" s="39">
        <v>10</v>
      </c>
      <c r="BR31" s="59">
        <v>750000</v>
      </c>
      <c r="BS31" s="39" t="s">
        <v>109</v>
      </c>
      <c r="BT31" s="57">
        <v>-750000</v>
      </c>
      <c r="BU31" s="40">
        <v>46216</v>
      </c>
      <c r="BV31" s="8">
        <v>3000100</v>
      </c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>
        <v>46216</v>
      </c>
      <c r="AQ32" s="41" t="s">
        <v>204</v>
      </c>
      <c r="AR32" s="42" t="s">
        <v>184</v>
      </c>
      <c r="AS32" s="31"/>
      <c r="AT32" s="31" t="e">
        <v>#N/A</v>
      </c>
      <c r="AU32" s="31" t="s">
        <v>53</v>
      </c>
      <c r="AV32" s="6"/>
      <c r="AW32" s="44"/>
      <c r="AX32" s="44">
        <v>0</v>
      </c>
      <c r="AY32" s="44">
        <v>0</v>
      </c>
      <c r="AZ32" s="44">
        <v>0</v>
      </c>
      <c r="BA32" s="44">
        <v>0</v>
      </c>
      <c r="BB32" s="44">
        <v>0</v>
      </c>
      <c r="BC32" s="44">
        <v>0</v>
      </c>
      <c r="BD32" s="44">
        <v>0</v>
      </c>
      <c r="BE32" s="44">
        <v>0</v>
      </c>
      <c r="BF32" s="44">
        <v>0</v>
      </c>
      <c r="BG32" s="44">
        <v>0</v>
      </c>
      <c r="BH32" s="44">
        <v>0</v>
      </c>
      <c r="BI32" s="44">
        <v>0</v>
      </c>
      <c r="BJ32" s="44">
        <v>0</v>
      </c>
      <c r="BK32" s="44">
        <v>0</v>
      </c>
      <c r="BL32" s="44">
        <v>0</v>
      </c>
      <c r="BM32" s="44">
        <v>0</v>
      </c>
      <c r="BN32" s="44">
        <v>0</v>
      </c>
      <c r="BO32" s="55">
        <v>0</v>
      </c>
      <c r="BP32" s="40">
        <v>46216</v>
      </c>
      <c r="BQ32" s="39">
        <v>4</v>
      </c>
      <c r="BR32" s="59">
        <v>300000</v>
      </c>
      <c r="BS32" s="39" t="s">
        <v>109</v>
      </c>
      <c r="BT32" s="57">
        <v>-300000</v>
      </c>
      <c r="BU32" s="40"/>
      <c r="BV32" s="8">
        <v>0</v>
      </c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>
        <v>46216</v>
      </c>
      <c r="AQ33" s="41" t="s">
        <v>204</v>
      </c>
      <c r="AR33" s="42" t="s">
        <v>184</v>
      </c>
      <c r="AS33" s="31"/>
      <c r="AT33" s="31" t="e">
        <v>#N/A</v>
      </c>
      <c r="AU33" s="31" t="s">
        <v>273</v>
      </c>
      <c r="AV33" s="6"/>
      <c r="AW33" s="44"/>
      <c r="AX33" s="44">
        <v>0</v>
      </c>
      <c r="AY33" s="44">
        <v>0</v>
      </c>
      <c r="AZ33" s="44">
        <v>0</v>
      </c>
      <c r="BA33" s="44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4">
        <v>0</v>
      </c>
      <c r="BH33" s="44">
        <v>0</v>
      </c>
      <c r="BI33" s="44">
        <v>0</v>
      </c>
      <c r="BJ33" s="44">
        <v>0</v>
      </c>
      <c r="BK33" s="44">
        <v>0</v>
      </c>
      <c r="BL33" s="44">
        <v>0</v>
      </c>
      <c r="BM33" s="44">
        <v>0</v>
      </c>
      <c r="BN33" s="44">
        <v>0</v>
      </c>
      <c r="BO33" s="55">
        <v>0</v>
      </c>
      <c r="BP33" s="40">
        <v>46216</v>
      </c>
      <c r="BQ33" s="39">
        <v>5</v>
      </c>
      <c r="BR33" s="59">
        <v>375000</v>
      </c>
      <c r="BS33" s="39" t="s">
        <v>109</v>
      </c>
      <c r="BT33" s="57">
        <v>-375000</v>
      </c>
      <c r="BU33" s="40"/>
      <c r="BV33" s="8">
        <v>0</v>
      </c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>
        <v>46216</v>
      </c>
      <c r="AQ34" s="41" t="s">
        <v>204</v>
      </c>
      <c r="AR34" s="42" t="s">
        <v>184</v>
      </c>
      <c r="AS34" s="31"/>
      <c r="AT34" s="31" t="e">
        <v>#N/A</v>
      </c>
      <c r="AU34" s="31" t="s">
        <v>41</v>
      </c>
      <c r="AV34" s="6"/>
      <c r="AW34" s="44"/>
      <c r="AX34" s="44">
        <v>0</v>
      </c>
      <c r="AY34" s="44">
        <v>0</v>
      </c>
      <c r="AZ34" s="44">
        <v>0</v>
      </c>
      <c r="BA34" s="44">
        <v>0</v>
      </c>
      <c r="BB34" s="44">
        <v>0</v>
      </c>
      <c r="BC34" s="44">
        <v>0</v>
      </c>
      <c r="BD34" s="44">
        <v>0</v>
      </c>
      <c r="BE34" s="44">
        <v>0</v>
      </c>
      <c r="BF34" s="44">
        <v>0</v>
      </c>
      <c r="BG34" s="44">
        <v>0</v>
      </c>
      <c r="BH34" s="44">
        <v>0</v>
      </c>
      <c r="BI34" s="44">
        <v>0</v>
      </c>
      <c r="BJ34" s="44">
        <v>0</v>
      </c>
      <c r="BK34" s="44">
        <v>0</v>
      </c>
      <c r="BL34" s="44">
        <v>0</v>
      </c>
      <c r="BM34" s="44">
        <v>0</v>
      </c>
      <c r="BN34" s="44">
        <v>0</v>
      </c>
      <c r="BO34" s="55">
        <v>0</v>
      </c>
      <c r="BP34" s="40">
        <v>46216</v>
      </c>
      <c r="BQ34" s="39">
        <v>5</v>
      </c>
      <c r="BR34" s="59">
        <v>375000</v>
      </c>
      <c r="BS34" s="39" t="s">
        <v>109</v>
      </c>
      <c r="BT34" s="57">
        <v>-375000</v>
      </c>
      <c r="BU34" s="40"/>
      <c r="BV34" s="8">
        <v>0</v>
      </c>
      <c r="BW34" s="58"/>
    </row>
    <row r="35" spans="1:75" x14ac:dyDescent="0.35">
      <c r="AO35" s="39">
        <v>33</v>
      </c>
      <c r="AP35" s="40">
        <v>46216</v>
      </c>
      <c r="AQ35" s="41" t="s">
        <v>204</v>
      </c>
      <c r="AR35" s="42" t="s">
        <v>184</v>
      </c>
      <c r="AS35" s="31"/>
      <c r="AT35" s="31" t="e">
        <v>#N/A</v>
      </c>
      <c r="AU35" s="31" t="s">
        <v>42</v>
      </c>
      <c r="AV35" s="6"/>
      <c r="AW35" s="44"/>
      <c r="AX35" s="44">
        <v>0</v>
      </c>
      <c r="AY35" s="44">
        <v>0</v>
      </c>
      <c r="AZ35" s="44">
        <v>0</v>
      </c>
      <c r="BA35" s="44">
        <v>0</v>
      </c>
      <c r="BB35" s="44">
        <v>0</v>
      </c>
      <c r="BC35" s="44">
        <v>0</v>
      </c>
      <c r="BD35" s="44">
        <v>0</v>
      </c>
      <c r="BE35" s="44">
        <v>0</v>
      </c>
      <c r="BF35" s="44">
        <v>0</v>
      </c>
      <c r="BG35" s="44">
        <v>0</v>
      </c>
      <c r="BH35" s="44">
        <v>0</v>
      </c>
      <c r="BI35" s="44">
        <v>0</v>
      </c>
      <c r="BJ35" s="44">
        <v>0</v>
      </c>
      <c r="BK35" s="44">
        <v>0</v>
      </c>
      <c r="BL35" s="44">
        <v>0</v>
      </c>
      <c r="BM35" s="44">
        <v>0</v>
      </c>
      <c r="BN35" s="44">
        <v>0</v>
      </c>
      <c r="BO35" s="55">
        <v>0</v>
      </c>
      <c r="BP35" s="40">
        <v>46216</v>
      </c>
      <c r="BQ35" s="39">
        <v>5</v>
      </c>
      <c r="BR35" s="59">
        <v>375000</v>
      </c>
      <c r="BS35" s="39" t="s">
        <v>109</v>
      </c>
      <c r="BT35" s="57">
        <v>-375000</v>
      </c>
      <c r="BU35" s="40"/>
      <c r="BV35" s="8">
        <v>0</v>
      </c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>
        <v>46217</v>
      </c>
      <c r="AQ36" s="41" t="s">
        <v>204</v>
      </c>
      <c r="AR36" s="42" t="s">
        <v>184</v>
      </c>
      <c r="AS36" s="31"/>
      <c r="AT36" s="31" t="e">
        <v>#N/A</v>
      </c>
      <c r="AU36" s="31" t="s">
        <v>273</v>
      </c>
      <c r="AV36" s="6">
        <v>28</v>
      </c>
      <c r="AW36" s="44"/>
      <c r="AX36" s="44">
        <v>84</v>
      </c>
      <c r="AY36" s="44">
        <v>0</v>
      </c>
      <c r="AZ36" s="44">
        <v>0</v>
      </c>
      <c r="BA36" s="44">
        <v>0</v>
      </c>
      <c r="BB36" s="44">
        <v>0</v>
      </c>
      <c r="BC36" s="44">
        <v>0</v>
      </c>
      <c r="BD36" s="44">
        <v>0</v>
      </c>
      <c r="BE36" s="44">
        <v>0</v>
      </c>
      <c r="BF36" s="44">
        <v>0</v>
      </c>
      <c r="BG36" s="44">
        <v>0</v>
      </c>
      <c r="BH36" s="44">
        <v>0</v>
      </c>
      <c r="BI36" s="44">
        <v>0</v>
      </c>
      <c r="BJ36" s="44">
        <v>0</v>
      </c>
      <c r="BK36" s="44">
        <v>0</v>
      </c>
      <c r="BL36" s="44">
        <v>0</v>
      </c>
      <c r="BM36" s="44">
        <v>0</v>
      </c>
      <c r="BN36" s="44">
        <v>28</v>
      </c>
      <c r="BO36" s="55">
        <v>2100000</v>
      </c>
      <c r="BP36" s="40"/>
      <c r="BQ36" s="39"/>
      <c r="BR36" s="59"/>
      <c r="BS36" s="39"/>
      <c r="BT36" s="57">
        <v>2100000</v>
      </c>
      <c r="BU36" s="40"/>
      <c r="BV36" s="8">
        <v>0</v>
      </c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G29:AG30"/>
    <mergeCell ref="A29:A30"/>
    <mergeCell ref="B29:B30"/>
    <mergeCell ref="C29:S29"/>
    <mergeCell ref="U29:W29"/>
    <mergeCell ref="X29:AF29"/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X31:AB34">
    <cfRule type="cellIs" dxfId="8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8" operator="lessThan">
      <formula>1</formula>
    </cfRule>
  </conditionalFormatting>
  <conditionalFormatting sqref="AJ4:AM7">
    <cfRule type="cellIs" dxfId="6" priority="38" operator="lessThan">
      <formula>1</formula>
    </cfRule>
  </conditionalFormatting>
  <conditionalFormatting sqref="AS14:AS213">
    <cfRule type="duplicateValues" dxfId="5" priority="3"/>
  </conditionalFormatting>
  <conditionalFormatting sqref="AS72:AS84">
    <cfRule type="duplicateValues" dxfId="4" priority="4"/>
  </conditionalFormatting>
  <conditionalFormatting sqref="AS214:AS1802">
    <cfRule type="duplicateValues" dxfId="3" priority="33"/>
  </conditionalFormatting>
  <conditionalFormatting sqref="BV3:BV1802">
    <cfRule type="cellIs" dxfId="2" priority="1" operator="lessThan">
      <formula>99999</formula>
    </cfRule>
  </conditionalFormatting>
  <conditionalFormatting sqref="BW3:BW1802">
    <cfRule type="cellIs" dxfId="1" priority="34" operator="lessThan">
      <formula>200000</formula>
    </cfRule>
    <cfRule type="cellIs" dxfId="0" priority="35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2026-08-13T02:21:06Z</dcterms:modified>
</cp:coreProperties>
</file>