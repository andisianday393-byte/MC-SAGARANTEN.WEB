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1" documentId="8_{A68C8C10-5CC6-0546-870F-240369AE7AB4}" xr6:coauthVersionLast="47" xr6:coauthVersionMax="47" xr10:uidLastSave="{358E0742-D480-4415-A29F-CF1F2C423575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92" i="8" l="1"/>
  <c r="BO92" i="8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J90" i="8"/>
  <c r="BO90" i="8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O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O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O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J86" i="8"/>
  <c r="BO86" i="8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O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O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O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O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AN81" i="8"/>
  <c r="BJ80" i="8"/>
  <c r="BO80" i="8" s="1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AN80" i="8"/>
  <c r="O12" i="8" l="1"/>
  <c r="O11" i="8"/>
  <c r="O10" i="8"/>
  <c r="O9" i="8"/>
  <c r="BJ79" i="8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BJ78" i="8"/>
  <c r="BO78" i="8" s="1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BJ76" i="8"/>
  <c r="BO76" i="8" s="1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BJ74" i="8"/>
  <c r="BO74" i="8" s="1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BJ72" i="8"/>
  <c r="BO72" i="8" s="1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BJ70" i="8"/>
  <c r="BO70" i="8" s="1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BO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BJ66" i="8"/>
  <c r="BO66" i="8" s="1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BJ62" i="8"/>
  <c r="BO62" i="8" s="1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BJ60" i="8"/>
  <c r="BO60" i="8" s="1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BO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BJ56" i="8"/>
  <c r="BO56" i="8" s="1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BJ54" i="8"/>
  <c r="BO54" i="8" s="1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BJ51" i="8"/>
  <c r="BO51" i="8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BJ50" i="8"/>
  <c r="BO50" i="8" s="1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BJ47" i="8"/>
  <c r="BO47" i="8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J46" i="8"/>
  <c r="BO46" i="8" s="1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J43" i="8"/>
  <c r="BO43" i="8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O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J39" i="8"/>
  <c r="BO39" i="8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J38" i="8"/>
  <c r="BO38" i="8" s="1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J36" i="8"/>
  <c r="BO36" i="8" s="1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J35" i="8"/>
  <c r="BO35" i="8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J34" i="8"/>
  <c r="BO34" i="8" s="1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O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J30" i="8"/>
  <c r="BO30" i="8" s="1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J26" i="8"/>
  <c r="BO26" i="8" s="1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O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J22" i="8"/>
  <c r="BO22" i="8" s="1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J18" i="8"/>
  <c r="BO18" i="8" s="1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O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J14" i="8"/>
  <c r="BO14" i="8" s="1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J10" i="8"/>
  <c r="BO10" i="8" s="1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J6" i="8"/>
  <c r="BO6" i="8" s="1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79" i="8"/>
  <c r="AN79" i="8"/>
  <c r="AP78" i="8"/>
  <c r="AN78" i="8"/>
  <c r="AP77" i="8"/>
  <c r="AN77" i="8"/>
  <c r="AP76" i="8"/>
  <c r="AN76" i="8"/>
  <c r="AP75" i="8"/>
  <c r="AN75" i="8"/>
  <c r="AP74" i="8"/>
  <c r="AN74" i="8"/>
  <c r="AP73" i="8"/>
  <c r="AN73" i="8"/>
  <c r="AP72" i="8"/>
  <c r="AN72" i="8"/>
  <c r="AP71" i="8"/>
  <c r="AN71" i="8"/>
  <c r="AP70" i="8"/>
  <c r="AN70" i="8"/>
  <c r="AP69" i="8"/>
  <c r="AN69" i="8"/>
  <c r="AP68" i="8"/>
  <c r="AN68" i="8"/>
  <c r="AP67" i="8"/>
  <c r="AN67" i="8"/>
  <c r="AP66" i="8"/>
  <c r="AN66" i="8"/>
  <c r="AP65" i="8"/>
  <c r="AN65" i="8"/>
  <c r="AP64" i="8"/>
  <c r="AN64" i="8"/>
  <c r="AP63" i="8"/>
  <c r="AN63" i="8"/>
  <c r="AP62" i="8"/>
  <c r="AN62" i="8"/>
  <c r="AP61" i="8"/>
  <c r="AN61" i="8"/>
  <c r="AP60" i="8"/>
  <c r="AN60" i="8"/>
  <c r="AP59" i="8"/>
  <c r="AN59" i="8"/>
  <c r="AP58" i="8"/>
  <c r="AN58" i="8"/>
  <c r="AP57" i="8"/>
  <c r="AN57" i="8"/>
  <c r="AP56" i="8"/>
  <c r="AN56" i="8"/>
  <c r="AP55" i="8"/>
  <c r="AN55" i="8"/>
  <c r="AP54" i="8"/>
  <c r="AN54" i="8"/>
  <c r="AP53" i="8"/>
  <c r="AN53" i="8"/>
  <c r="AP52" i="8"/>
  <c r="AN52" i="8"/>
  <c r="AP51" i="8"/>
  <c r="AN51" i="8"/>
  <c r="AP50" i="8"/>
  <c r="AN50" i="8"/>
  <c r="AP49" i="8"/>
  <c r="AN49" i="8"/>
  <c r="AP48" i="8"/>
  <c r="AN48" i="8"/>
  <c r="AP47" i="8"/>
  <c r="AN47" i="8"/>
  <c r="AP46" i="8"/>
  <c r="AN46" i="8"/>
  <c r="AP45" i="8"/>
  <c r="AN45" i="8"/>
  <c r="AP44" i="8"/>
  <c r="AN44" i="8"/>
  <c r="AP43" i="8"/>
  <c r="AN43" i="8"/>
  <c r="AP42" i="8"/>
  <c r="AN42" i="8"/>
  <c r="AP41" i="8"/>
  <c r="AN41" i="8"/>
  <c r="AP40" i="8"/>
  <c r="AN40" i="8"/>
  <c r="AP39" i="8"/>
  <c r="AN39" i="8"/>
  <c r="AP38" i="8"/>
  <c r="AN38" i="8"/>
  <c r="AP37" i="8"/>
  <c r="AN37" i="8"/>
  <c r="AP36" i="8"/>
  <c r="AN36" i="8"/>
  <c r="AP35" i="8"/>
  <c r="AN35" i="8"/>
  <c r="AP34" i="8"/>
  <c r="AN34" i="8"/>
  <c r="AP33" i="8"/>
  <c r="AN33" i="8"/>
  <c r="AP32" i="8"/>
  <c r="AN32" i="8"/>
  <c r="AP31" i="8"/>
  <c r="AN31" i="8"/>
  <c r="AP30" i="8"/>
  <c r="AN30" i="8"/>
  <c r="AP29" i="8"/>
  <c r="AN29" i="8"/>
  <c r="AP28" i="8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K46" i="5" l="1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J1354" i="8"/>
  <c r="BO1354" i="8" s="1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J565" i="8"/>
  <c r="BO565" i="8" s="1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R91" i="8"/>
  <c r="BR90" i="8"/>
  <c r="BR89" i="8"/>
  <c r="BR88" i="8"/>
  <c r="BR87" i="8"/>
  <c r="BR86" i="8"/>
  <c r="BR85" i="8"/>
  <c r="BR84" i="8"/>
  <c r="BR83" i="8"/>
  <c r="BR82" i="8"/>
  <c r="BR81" i="8"/>
  <c r="F80" i="5"/>
  <c r="D80" i="5"/>
  <c r="BR80" i="8"/>
  <c r="F79" i="5"/>
  <c r="D79" i="5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F5" i="6" l="1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<sst xmlns="http://schemas.openxmlformats.org/spreadsheetml/2006/main" count="633" uniqueCount="172">
  <si>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</si>
  <si>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</si>
  <si>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</si>
  <si>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</si>
  <si>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</si>
  <si>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</si>
  <si>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</si>
  <si>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</si>
  <si>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</si>
  <si>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</si>
  <si>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</si>
  <si>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</si>
  <si>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</si>
  <si>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</si>
  <si>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</si>
  <si>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</si>
  <si>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</si>
  <si>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</si>
  <si>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</si>
  <si>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</si>
  <si>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</si>
  <si>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</si>
  <si>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</si>
  <si>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</si>
  <si>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</si>
  <si>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</si>
  <si>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</si>
  <si>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</si>
  <si>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</si>
  <si>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</si>
  <si>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</si>
  <si>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</si>
  <si>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</si>
  <si>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</si>
  <si>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</si>
  <si>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</si>
  <si>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</si>
  <si>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</si>
  <si>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</si>
  <si>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</si>
  <si>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</si>
  <si>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</si>
  <si>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</si>
  <si>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</si>
  <si>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</si>
  <si>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</si>
  <si>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</si>
  <si>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</si>
  <si>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</si>
  <si>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</si>
  <si>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</si>
  <si>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</si>
  <si>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</si>
  <si>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</si>
  <si>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</si>
  <si>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</si>
  <si>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</si>
  <si>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</si>
  <si>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</si>
  <si>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</si>
  <si>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</si>
  <si>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</si>
  <si>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</si>
  <si>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</si>
  <si>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</si>
  <si>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</si>
  <si>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</si>
  <si>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</si>
  <si>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</si>
  <si>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</si>
  <si>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</si>
  <si>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</si>
  <si>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</si>
  <si>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</si>
  <si>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</si>
  <si>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</si>
  <si>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</si>
  <si>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</si>
  <si>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</si>
  <si>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</si>
  <si>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</si>
  <si>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</si>
  <si>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</si>
  <si>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</si>
  <si>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</si>
  <si>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</si>
  <si>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</si>
  <si>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</si>
  <si>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</si>
  <si>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</si>
  <si>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</si>
  <si>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</si>
  <si>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</si>
  <si>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</si>
  <si>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</si>
  <si>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</si>
  <si>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</si>
  <si>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</si>
  <si>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</si>
  <si>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</si>
  <si>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</si>
  <si>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</si>
  <si>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</si>
  <si>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</si>
  <si>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</si>
  <si>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</si>
  <si>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</si>
  <si>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</si>
  <si>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</si>
  <si>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</si>
  <si>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</si>
  <si>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</si>
  <si>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</si>
  <si>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</si>
  <si>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</si>
  <si>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</si>
  <si>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</si>
  <si>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</si>
  <si>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</si>
  <si>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</si>
  <si>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</si>
  <si>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</si>
  <si>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</si>
  <si>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</si>
  <si>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</si>
  <si>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</si>
  <si>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</si>
  <si>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</si>
  <si>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</si>
  <si>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</si>
  <si>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</si>
  <si>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</si>
  <si>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</si>
  <si>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</si>
  <si>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</si>
  <si>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</si>
  <si>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</si>
  <si>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</si>
  <si>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</si>
  <si>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</si>
  <si>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</si>
  <si>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</si>
  <si>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</si>
  <si>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</si>
  <si>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</si>
  <si>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</si>
  <si>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</si>
  <si>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</si>
  <si>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</si>
  <si>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</si>
  <si>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</si>
  <si>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</si>
  <si>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</si>
  <si>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</si>
  <si>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</si>
  <si>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</si>
  <si>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</si>
  <si>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</si>
  <si>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</si>
  <si>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</si>
  <si>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</si>
  <si>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</si>
  <si>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</si>
  <si>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</si>
  <si>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</si>
  <si>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</si>
  <si>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</si>
  <si>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</si>
  <si>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</si>
  <si>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</si>
  <si>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</si>
  <si>
    <t>RAMLAN 3ID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</si>
</sst>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3900600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1193</v>
      </c>
      <c r="D4" s="1">
        <f t="shared" ref="D4:D21" si="0">B4+C4</f>
        <v>1193</v>
      </c>
    </row>
    <row r="5" spans="1:4" x14ac:dyDescent="0.35">
      <c r="A5" t="s">
        <v>6</v>
      </c>
      <c r="B5">
        <f>index!B6</f>
        <v>1325</v>
      </c>
      <c r="C5">
        <f>index!C6</f>
        <v>1945</v>
      </c>
      <c r="D5" s="1">
        <f t="shared" si="0"/>
        <v>3270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35">
      <c r="A11" t="s">
        <v>10</v>
      </c>
      <c r="B11">
        <f>index!B12</f>
        <v>18</v>
      </c>
      <c r="C11">
        <f>index!C12</f>
        <v>759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257</v>
      </c>
      <c r="D13" s="1">
        <f t="shared" si="0"/>
        <v>257</v>
      </c>
    </row>
    <row r="14" spans="1:4" x14ac:dyDescent="0.35">
      <c r="A14" t="s">
        <v>13</v>
      </c>
      <c r="B14">
        <f>index!B15</f>
        <v>279</v>
      </c>
      <c r="C14">
        <f>index!C15</f>
        <v>3</v>
      </c>
      <c r="D14" s="1">
        <f t="shared" si="0"/>
        <v>282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0</v>
      </c>
      <c r="D17" s="1">
        <f t="shared" si="0"/>
        <v>0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210</v>
      </c>
      <c r="C4">
        <f>index!H7</f>
        <v>104</v>
      </c>
      <c r="D4">
        <f>index!I7</f>
        <v>237</v>
      </c>
      <c r="E4">
        <f>index!J7</f>
        <v>202</v>
      </c>
      <c r="G4">
        <f t="shared" si="0"/>
        <v>753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178</v>
      </c>
      <c r="C10">
        <f>index!H13</f>
        <v>43</v>
      </c>
      <c r="D10">
        <f>index!I13</f>
        <v>144</v>
      </c>
      <c r="E10">
        <f>index!J13</f>
        <v>241</v>
      </c>
      <c r="G10">
        <f t="shared" si="0"/>
        <v>606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39</v>
      </c>
      <c r="D12">
        <f>index!I15</f>
        <v>42</v>
      </c>
      <c r="E12">
        <f>index!J15</f>
        <v>101</v>
      </c>
      <c r="G12">
        <f t="shared" si="0"/>
        <v>211</v>
      </c>
    </row>
    <row r="13" spans="1:7" x14ac:dyDescent="0.35">
      <c r="A13" t="s">
        <v>35</v>
      </c>
      <c r="B13">
        <f>index!G16</f>
        <v>84</v>
      </c>
      <c r="C13">
        <f>index!H16</f>
        <v>55</v>
      </c>
      <c r="D13">
        <f>index!I16</f>
        <v>7</v>
      </c>
      <c r="E13">
        <f>index!J16</f>
        <v>90</v>
      </c>
      <c r="G13">
        <f t="shared" si="0"/>
        <v>236</v>
      </c>
    </row>
    <row r="14" spans="1:7" x14ac:dyDescent="0.35">
      <c r="A14" t="s">
        <v>36</v>
      </c>
      <c r="B14">
        <f>index!G17</f>
        <v>61</v>
      </c>
      <c r="C14">
        <f>index!H17</f>
        <v>47</v>
      </c>
      <c r="D14">
        <f>index!I17</f>
        <v>36</v>
      </c>
      <c r="E14">
        <f>index!J17</f>
        <v>75</v>
      </c>
      <c r="G14">
        <f t="shared" si="0"/>
        <v>219</v>
      </c>
    </row>
    <row r="15" spans="1:7" x14ac:dyDescent="0.35">
      <c r="A15" t="s">
        <v>15</v>
      </c>
      <c r="B15">
        <f>index!G18</f>
        <v>45</v>
      </c>
      <c r="C15">
        <f>index!H18</f>
        <v>16</v>
      </c>
      <c r="D15">
        <f>index!I18</f>
        <v>15</v>
      </c>
      <c r="E15">
        <f>index!J18</f>
        <v>20</v>
      </c>
      <c r="G15">
        <f t="shared" si="0"/>
        <v>96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285</v>
      </c>
      <c r="C19">
        <f>index!H22</f>
        <v>95</v>
      </c>
      <c r="D19">
        <f>index!I22</f>
        <v>137</v>
      </c>
      <c r="E19">
        <f>index!J22</f>
        <v>141</v>
      </c>
      <c r="G19">
        <f t="shared" si="0"/>
        <v>658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1101</v>
      </c>
      <c r="C23">
        <f t="shared" ref="C23:G23" si="1">SUM(C2:C22)</f>
        <v>778</v>
      </c>
      <c r="D23">
        <f t="shared" si="1"/>
        <v>714</v>
      </c>
      <c r="E23">
        <f t="shared" si="1"/>
        <v>1253</v>
      </c>
      <c r="F23">
        <f t="shared" si="1"/>
        <v>0</v>
      </c>
      <c r="G23">
        <f t="shared" si="1"/>
        <v>3846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37616000</v>
      </c>
    </row>
    <row r="3" spans="1:2" x14ac:dyDescent="0.35">
      <c r="A3" t="s">
        <v>40</v>
      </c>
      <c r="B3">
        <f>index!O4</f>
        <v>58973700</v>
      </c>
    </row>
    <row r="4" spans="1:2" x14ac:dyDescent="0.35">
      <c r="A4" t="s">
        <v>41</v>
      </c>
      <c r="B4">
        <f>index!O5</f>
        <v>54100500</v>
      </c>
    </row>
    <row r="5" spans="1:2" x14ac:dyDescent="0.35">
      <c r="A5" t="s">
        <v>42</v>
      </c>
      <c r="B5">
        <f>index!O6</f>
        <v>65391600</v>
      </c>
    </row>
    <row r="6" spans="1:2" x14ac:dyDescent="0.35">
      <c r="A6" t="s">
        <v>43</v>
      </c>
      <c r="B6">
        <f>SUM(B2:B5)</f>
        <v>216081800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128</v>
      </c>
      <c r="C4">
        <f>index!S6</f>
        <v>29</v>
      </c>
      <c r="D4">
        <f>index!T6</f>
        <v>95</v>
      </c>
      <c r="E4">
        <f>index!U6</f>
        <v>63</v>
      </c>
      <c r="F4">
        <f t="shared" si="0"/>
        <v>315</v>
      </c>
      <c r="G4">
        <v>25000</v>
      </c>
      <c r="H4">
        <f t="shared" si="1"/>
        <v>7875000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138</v>
      </c>
      <c r="C6">
        <f t="shared" ref="C6:H6" si="2">SUM(C2:C5)</f>
        <v>29</v>
      </c>
      <c r="D6">
        <f t="shared" si="2"/>
        <v>100</v>
      </c>
      <c r="E6">
        <f t="shared" si="2"/>
        <v>63</v>
      </c>
      <c r="F6">
        <f t="shared" si="2"/>
        <v>330</v>
      </c>
      <c r="H6">
        <f t="shared" si="2"/>
        <v>8040000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100</v>
      </c>
      <c r="D11">
        <f>index!T12</f>
        <v>7</v>
      </c>
      <c r="E11">
        <f>index!U12</f>
        <v>20</v>
      </c>
      <c r="F11">
        <f t="shared" si="3"/>
        <v>132</v>
      </c>
      <c r="G11">
        <v>13200</v>
      </c>
      <c r="H11">
        <f t="shared" si="4"/>
        <v>1742400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30</v>
      </c>
      <c r="C14">
        <f>index!S15</f>
        <v>85</v>
      </c>
      <c r="D14">
        <f>index!T15</f>
        <v>87</v>
      </c>
      <c r="E14">
        <f>index!U15</f>
        <v>26</v>
      </c>
      <c r="F14">
        <f t="shared" si="3"/>
        <v>228</v>
      </c>
      <c r="G14">
        <v>17250</v>
      </c>
      <c r="H14">
        <f t="shared" si="4"/>
        <v>3933000</v>
      </c>
    </row>
    <row r="15" spans="1:8" x14ac:dyDescent="0.35">
      <c r="A15" t="s">
        <v>36</v>
      </c>
      <c r="B15">
        <f>index!R16</f>
        <v>15</v>
      </c>
      <c r="C15">
        <f>index!S16</f>
        <v>27</v>
      </c>
      <c r="D15">
        <f>index!T16</f>
        <v>0</v>
      </c>
      <c r="E15">
        <f>index!U16</f>
        <v>18</v>
      </c>
      <c r="F15">
        <f t="shared" si="3"/>
        <v>60</v>
      </c>
      <c r="G15">
        <v>23000</v>
      </c>
      <c r="H15">
        <f t="shared" si="4"/>
        <v>1380000</v>
      </c>
    </row>
    <row r="16" spans="1:8" x14ac:dyDescent="0.35">
      <c r="A16" t="s">
        <v>15</v>
      </c>
      <c r="B16">
        <f>index!R17</f>
        <v>0</v>
      </c>
      <c r="C16">
        <f>index!S17</f>
        <v>19</v>
      </c>
      <c r="D16">
        <f>index!T17</f>
        <v>3</v>
      </c>
      <c r="E16">
        <f>index!U17</f>
        <v>0</v>
      </c>
      <c r="F16">
        <f t="shared" si="3"/>
        <v>22</v>
      </c>
      <c r="G16">
        <v>30000</v>
      </c>
      <c r="H16">
        <f t="shared" si="4"/>
        <v>660000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36</v>
      </c>
      <c r="C20">
        <f>index!S21</f>
        <v>80</v>
      </c>
      <c r="D20">
        <f>index!T21</f>
        <v>27</v>
      </c>
      <c r="E20">
        <f>index!U21</f>
        <v>20</v>
      </c>
      <c r="F20">
        <f t="shared" si="3"/>
        <v>163</v>
      </c>
      <c r="G20">
        <v>9600</v>
      </c>
      <c r="H20">
        <f t="shared" si="4"/>
        <v>1564800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156</v>
      </c>
      <c r="C22">
        <f t="shared" ref="C22:H22" si="5">SUM(C9:C21)</f>
        <v>311</v>
      </c>
      <c r="D22">
        <f t="shared" si="5"/>
        <v>130</v>
      </c>
      <c r="E22">
        <f t="shared" si="5"/>
        <v>105</v>
      </c>
      <c r="F22">
        <f t="shared" si="5"/>
        <v>702</v>
      </c>
      <c r="H22">
        <f t="shared" si="5"/>
        <v>9698700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80"/>
  <sheetViews>
    <sheetView workbookViewId="0">
      <selection activeCell="A50" sqref="A50:L80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46185</v>
      </c>
      <c r="C79" s="41" t="str">
        <f>index!AM80</f>
        <v>PAKET1</v>
      </c>
      <c r="D79" s="42" t="str">
        <f>index!AN80</f>
        <v>MC-SAGARANTEN</v>
      </c>
      <c r="E79" s="31">
        <f>index!AO80</f>
        <v>17787825</v>
      </c>
      <c r="F79" s="31" t="str">
        <f>index!AP80</f>
        <v>Abjad Ce</v>
      </c>
      <c r="G79" s="43" t="str">
        <f>index!AQ80</f>
        <v>Muhamad Parhan</v>
      </c>
      <c r="H79" s="6">
        <f>index!AR80</f>
        <v>1</v>
      </c>
      <c r="I79" s="44">
        <f>index!BJ80</f>
        <v>115800</v>
      </c>
      <c r="J79" s="44">
        <f>index!BM80</f>
        <v>115800</v>
      </c>
      <c r="K79" s="44">
        <f>index!BO80</f>
        <v>0</v>
      </c>
      <c r="L79" s="40">
        <f>index!BP80</f>
        <v>46188</v>
      </c>
    </row>
    <row r="80" spans="1:12" x14ac:dyDescent="0.35">
      <c r="A80" s="39">
        <v>79</v>
      </c>
      <c r="B80" s="40">
        <f>index!AL81</f>
        <v>46185</v>
      </c>
      <c r="C80" s="41" t="str">
        <f>index!AM81</f>
        <v>PAKET1</v>
      </c>
      <c r="D80" s="42" t="str">
        <f>index!AN81</f>
        <v>MC-SAGARANTEN</v>
      </c>
      <c r="E80" s="31">
        <f>index!AO81</f>
        <v>17234805</v>
      </c>
      <c r="F80" s="31" t="str">
        <f>index!AP81</f>
        <v>MHIKA CELL</v>
      </c>
      <c r="G80" s="43" t="str">
        <f>index!AQ81</f>
        <v>Muhamad Parhan</v>
      </c>
      <c r="H80" s="6">
        <f>index!AR81</f>
        <v>1</v>
      </c>
      <c r="I80" s="44">
        <f>index!BJ81</f>
        <v>115800</v>
      </c>
      <c r="J80" s="44">
        <f>index!BM81</f>
        <v>115800</v>
      </c>
      <c r="K80" s="44">
        <f>index!BO81</f>
        <v>0</v>
      </c>
      <c r="L80" s="40">
        <f>index!BP81</f>
        <v>46188</v>
      </c>
    </row>
  </sheetData>
  <conditionalFormatting sqref="E2:E80">
    <cfRule type="duplicateValues" dxfId="10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375000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375000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1125000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7"/>
      <c r="E15" s="7"/>
      <c r="F15" s="7"/>
      <c r="G15" s="6" t="str">
        <f>index!BZ16</f>
        <v>RAMLAN 3ID</v>
      </c>
      <c r="H15" s="6">
        <f>index!CA16</f>
        <v>0</v>
      </c>
      <c r="I15" s="65">
        <f>index!CB16</f>
        <v>46188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workbookViewId="0"/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v>37616000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58973700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1193</v>
      </c>
      <c r="D5" s="13">
        <f t="shared" ref="D5:D22" si="1">C5+B5</f>
        <v>1193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v>54100500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1325</v>
      </c>
      <c r="C6" s="14">
        <v>1945</v>
      </c>
      <c r="D6" s="13">
        <f t="shared" si="1"/>
        <v>3270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v>65391600</v>
      </c>
      <c r="Q6" s="20" t="s">
        <v>30</v>
      </c>
      <c r="R6" s="27">
        <v>128</v>
      </c>
      <c r="S6" s="27">
        <v>29</v>
      </c>
      <c r="T6" s="27">
        <v>95</v>
      </c>
      <c r="U6" s="27">
        <v>63</v>
      </c>
      <c r="V6" s="27">
        <v>0</v>
      </c>
      <c r="W6" s="27">
        <f t="shared" si="2"/>
        <v>315</v>
      </c>
      <c r="X6" s="4">
        <v>25000</v>
      </c>
      <c r="Y6" s="27">
        <f t="shared" si="3"/>
        <v>7875000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210</v>
      </c>
      <c r="H7" s="21">
        <v>104</v>
      </c>
      <c r="I7" s="21">
        <v>237</v>
      </c>
      <c r="J7" s="21">
        <v>202</v>
      </c>
      <c r="K7" s="21">
        <v>10</v>
      </c>
      <c r="L7" s="22">
        <f t="shared" si="4"/>
        <v>763</v>
      </c>
      <c r="N7" s="31" t="s">
        <v>43</v>
      </c>
      <c r="O7" s="8">
        <f>SUM(O3:O6)</f>
        <v>216081800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5100000+O14+O19</f>
        <v>10850000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5216500+O15+O20</f>
        <v>14552500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f>4119000+O16+O21</f>
        <v>12607000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18</v>
      </c>
      <c r="C12" s="14">
        <v>759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4206700+O17+O22</f>
        <v>12783500</v>
      </c>
      <c r="Q12" s="20" t="s">
        <v>32</v>
      </c>
      <c r="R12" s="27">
        <v>5</v>
      </c>
      <c r="S12" s="27">
        <v>100</v>
      </c>
      <c r="T12" s="27">
        <v>7</v>
      </c>
      <c r="U12" s="27">
        <v>20</v>
      </c>
      <c r="V12" s="27">
        <v>0</v>
      </c>
      <c r="W12" s="27">
        <f t="shared" si="2"/>
        <v>132</v>
      </c>
      <c r="X12" s="4">
        <v>13200</v>
      </c>
      <c r="Y12" s="27">
        <f t="shared" si="3"/>
        <v>1742400</v>
      </c>
      <c r="AA12" t="s">
        <v>60</v>
      </c>
      <c r="AB12" t="s">
        <v>53</v>
      </c>
      <c r="AC12">
        <v>50</v>
      </c>
      <c r="AD12">
        <f>15000*AC12</f>
        <v>750000</v>
      </c>
      <c r="AE12">
        <v>375000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178</v>
      </c>
      <c r="H13" s="21">
        <v>43</v>
      </c>
      <c r="I13" s="21">
        <v>144</v>
      </c>
      <c r="J13" s="21">
        <v>241</v>
      </c>
      <c r="K13" s="21">
        <v>18</v>
      </c>
      <c r="L13" s="22">
        <f t="shared" si="4"/>
        <v>624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257</v>
      </c>
      <c r="D14" s="13">
        <f t="shared" si="1"/>
        <v>257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O14">
        <v>2800000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375000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279</v>
      </c>
      <c r="C15" s="14">
        <v>3</v>
      </c>
      <c r="D15" s="13">
        <f t="shared" si="1"/>
        <v>282</v>
      </c>
      <c r="F15" s="20" t="s">
        <v>34</v>
      </c>
      <c r="G15" s="21">
        <v>29</v>
      </c>
      <c r="H15" s="21">
        <v>39</v>
      </c>
      <c r="I15" s="21">
        <v>42</v>
      </c>
      <c r="J15" s="21">
        <v>101</v>
      </c>
      <c r="K15" s="21">
        <v>0</v>
      </c>
      <c r="L15" s="22">
        <f t="shared" si="4"/>
        <v>211</v>
      </c>
      <c r="O15">
        <v>5236000</v>
      </c>
      <c r="Q15" s="20" t="s">
        <v>35</v>
      </c>
      <c r="R15" s="27">
        <v>30</v>
      </c>
      <c r="S15" s="27">
        <v>85</v>
      </c>
      <c r="T15" s="27">
        <v>87</v>
      </c>
      <c r="U15" s="27">
        <v>26</v>
      </c>
      <c r="V15" s="27">
        <v>0</v>
      </c>
      <c r="W15" s="27">
        <f t="shared" si="2"/>
        <v>228</v>
      </c>
      <c r="X15" s="4">
        <v>17250</v>
      </c>
      <c r="Y15" s="27">
        <f t="shared" si="3"/>
        <v>3933000</v>
      </c>
      <c r="AA15" t="s">
        <v>63</v>
      </c>
      <c r="AB15" t="s">
        <v>42</v>
      </c>
      <c r="AC15">
        <v>50</v>
      </c>
      <c r="AD15">
        <f t="shared" si="5"/>
        <v>750000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84</v>
      </c>
      <c r="H16" s="21">
        <v>55</v>
      </c>
      <c r="I16" s="21">
        <v>7</v>
      </c>
      <c r="J16" s="21">
        <v>90</v>
      </c>
      <c r="K16" s="21">
        <v>18</v>
      </c>
      <c r="L16" s="22">
        <f t="shared" si="4"/>
        <v>254</v>
      </c>
      <c r="O16">
        <v>3738000</v>
      </c>
      <c r="Q16" s="20" t="s">
        <v>36</v>
      </c>
      <c r="R16" s="27">
        <v>15</v>
      </c>
      <c r="S16" s="27">
        <v>27</v>
      </c>
      <c r="T16" s="27">
        <v>0</v>
      </c>
      <c r="U16" s="27">
        <v>18</v>
      </c>
      <c r="V16" s="27">
        <v>0</v>
      </c>
      <c r="W16" s="27">
        <f t="shared" si="2"/>
        <v>60</v>
      </c>
      <c r="X16" s="4">
        <v>23000</v>
      </c>
      <c r="Y16" s="27">
        <f t="shared" si="3"/>
        <v>1380000</v>
      </c>
      <c r="AC16">
        <f>SUM(AC12:AC15)</f>
        <v>200</v>
      </c>
      <c r="AD16">
        <f t="shared" ref="AD16:AH16" si="8">SUM(AD12:AD15)</f>
        <v>3000000</v>
      </c>
      <c r="AE16">
        <f t="shared" si="8"/>
        <v>1125000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 t="s">
        <v>171</v>
      </c>
      <c r="CA16" s="9"/>
      <c r="CB16" s="5">
        <v>46188</v>
      </c>
      <c r="CC16" s="10"/>
      <c r="CD16" s="4" t="s">
        <v>165</v>
      </c>
      <c r="CE16" s="10"/>
    </row>
    <row r="17" spans="1:83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61</v>
      </c>
      <c r="H17" s="21">
        <v>47</v>
      </c>
      <c r="I17" s="21">
        <v>36</v>
      </c>
      <c r="J17" s="21">
        <v>75</v>
      </c>
      <c r="K17" s="21">
        <v>16</v>
      </c>
      <c r="L17" s="22">
        <f t="shared" si="4"/>
        <v>235</v>
      </c>
      <c r="O17">
        <v>3063400</v>
      </c>
      <c r="Q17" s="20" t="s">
        <v>15</v>
      </c>
      <c r="R17" s="27">
        <v>0</v>
      </c>
      <c r="S17" s="27">
        <v>19</v>
      </c>
      <c r="T17" s="27">
        <v>3</v>
      </c>
      <c r="U17" s="27">
        <v>0</v>
      </c>
      <c r="V17" s="27">
        <v>0</v>
      </c>
      <c r="W17" s="27">
        <f t="shared" si="2"/>
        <v>22</v>
      </c>
      <c r="X17" s="4">
        <v>30000</v>
      </c>
      <c r="Y17" s="27">
        <f t="shared" si="3"/>
        <v>660000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0</v>
      </c>
      <c r="D18" s="13">
        <f t="shared" si="1"/>
        <v>0</v>
      </c>
      <c r="F18" s="20" t="s">
        <v>15</v>
      </c>
      <c r="G18" s="21">
        <v>45</v>
      </c>
      <c r="H18" s="21">
        <v>16</v>
      </c>
      <c r="I18" s="21">
        <v>15</v>
      </c>
      <c r="J18" s="21">
        <v>20</v>
      </c>
      <c r="K18" s="21">
        <v>0</v>
      </c>
      <c r="L18" s="22">
        <f t="shared" si="4"/>
        <v>96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O19">
        <v>2950000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O20">
        <v>4100000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O21">
        <v>4750000</v>
      </c>
      <c r="Q21" s="20" t="s">
        <v>19</v>
      </c>
      <c r="R21" s="27">
        <v>36</v>
      </c>
      <c r="S21" s="27">
        <v>80</v>
      </c>
      <c r="T21" s="27">
        <v>27</v>
      </c>
      <c r="U21" s="27">
        <v>20</v>
      </c>
      <c r="V21" s="27">
        <v>0</v>
      </c>
      <c r="W21" s="27">
        <f t="shared" si="2"/>
        <v>163</v>
      </c>
      <c r="X21" s="4">
        <v>9600</v>
      </c>
      <c r="Y21" s="27">
        <f t="shared" si="3"/>
        <v>1564800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285</v>
      </c>
      <c r="H22" s="21">
        <v>95</v>
      </c>
      <c r="I22" s="21">
        <v>137</v>
      </c>
      <c r="J22" s="21">
        <v>141</v>
      </c>
      <c r="K22" s="21">
        <v>12</v>
      </c>
      <c r="L22" s="22">
        <f t="shared" si="4"/>
        <v>670</v>
      </c>
      <c r="O22">
        <v>5513400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294</v>
      </c>
      <c r="S25" s="19">
        <f t="shared" ref="S25:Y25" si="9">SUM(S4:S24)</f>
        <v>340</v>
      </c>
      <c r="T25" s="19">
        <f t="shared" si="9"/>
        <v>230</v>
      </c>
      <c r="U25" s="19">
        <f t="shared" si="9"/>
        <v>168</v>
      </c>
      <c r="V25" s="19">
        <f t="shared" si="9"/>
        <v>0</v>
      </c>
      <c r="W25" s="19">
        <f t="shared" si="9"/>
        <v>1032</v>
      </c>
      <c r="X25" s="19"/>
      <c r="Y25" s="19">
        <f t="shared" si="9"/>
        <v>17738700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1101</v>
      </c>
      <c r="H26" s="24">
        <f t="shared" si="10"/>
        <v>778</v>
      </c>
      <c r="I26" s="24">
        <f t="shared" si="10"/>
        <v>714</v>
      </c>
      <c r="J26" s="24">
        <f t="shared" si="10"/>
        <v>1253</v>
      </c>
      <c r="K26" s="24">
        <f t="shared" si="10"/>
        <v>105</v>
      </c>
      <c r="L26" s="24">
        <f>SUM(L5:L25)</f>
        <v>3951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92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>
        <v>46185</v>
      </c>
      <c r="AM80" s="41" t="s">
        <v>99</v>
      </c>
      <c r="AN80" s="42" t="str">
        <f>IFERROR(VLOOKUP(AQ80,[1]SUMMARY!$A$3:$B$7,2,FALSE),"")</f>
        <v>MC-SAGARANTEN</v>
      </c>
      <c r="AO80" s="31">
        <v>17787825</v>
      </c>
      <c r="AP80" s="31" t="str">
        <f>VLOOKUP(AO80,[1]OUTLET!$B:$C,2,0)</f>
        <v>Abjad Ce</v>
      </c>
      <c r="AQ80" s="31" t="s">
        <v>53</v>
      </c>
      <c r="AR80" s="6">
        <v>1</v>
      </c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3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3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3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>
        <f>IFERROR(VLOOKUP(AM80,'[1]Harga &amp; Nama CSO'!$H$2:$N$22,2,FALSE),"")*AR80</f>
        <v>115800</v>
      </c>
      <c r="BK80" s="40">
        <v>46186</v>
      </c>
      <c r="BL80" s="39">
        <v>1</v>
      </c>
      <c r="BM80" s="59">
        <v>115800</v>
      </c>
      <c r="BN80" s="39" t="s">
        <v>112</v>
      </c>
      <c r="BO80" s="57">
        <f t="shared" si="11"/>
        <v>0</v>
      </c>
      <c r="BP80" s="40">
        <v>46188</v>
      </c>
      <c r="BQ80" s="8">
        <v>0</v>
      </c>
      <c r="BR80" s="58">
        <f>VLOOKUP(AM80,'[1]Harga &amp; Nama CSO'!$A$28:$D$31,4,0)*BL80</f>
        <v>3</v>
      </c>
    </row>
    <row r="81" spans="37:70" x14ac:dyDescent="0.35">
      <c r="AK81" s="39">
        <v>79</v>
      </c>
      <c r="AL81" s="40">
        <v>46185</v>
      </c>
      <c r="AM81" s="41" t="s">
        <v>99</v>
      </c>
      <c r="AN81" s="42" t="str">
        <f>IFERROR(VLOOKUP(AQ81,[1]SUMMARY!$A$3:$B$7,2,FALSE),"")</f>
        <v>MC-SAGARANTEN</v>
      </c>
      <c r="AO81" s="31">
        <v>17234805</v>
      </c>
      <c r="AP81" s="31" t="str">
        <f>VLOOKUP(AO81,[1]OUTLET!$B:$C,2,0)</f>
        <v>MHIKA CELL</v>
      </c>
      <c r="AQ81" s="31" t="s">
        <v>53</v>
      </c>
      <c r="AR81" s="6">
        <v>1</v>
      </c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3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3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3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>
        <f>IFERROR(VLOOKUP(AM81,'[1]Harga &amp; Nama CSO'!$H$2:$N$22,2,FALSE),"")*AR81</f>
        <v>115800</v>
      </c>
      <c r="BK81" s="40">
        <v>46186</v>
      </c>
      <c r="BL81" s="39">
        <v>1</v>
      </c>
      <c r="BM81" s="59">
        <v>115800</v>
      </c>
      <c r="BN81" s="39" t="s">
        <v>112</v>
      </c>
      <c r="BO81" s="57">
        <f t="shared" si="11"/>
        <v>0</v>
      </c>
      <c r="BP81" s="40">
        <v>46188</v>
      </c>
      <c r="BQ81" s="8">
        <v>0</v>
      </c>
      <c r="BR81" s="58">
        <f>VLOOKUP(AM81,'[1]Harga &amp; Nama CSO'!$A$28:$D$31,4,0)*BL81</f>
        <v>3</v>
      </c>
    </row>
    <row r="82" spans="37:70" x14ac:dyDescent="0.35">
      <c r="AK82" s="39">
        <v>80</v>
      </c>
      <c r="AL82" s="40">
        <v>46185</v>
      </c>
      <c r="AM82" s="41" t="s">
        <v>99</v>
      </c>
      <c r="AN82" s="42" t="str">
        <f>IFERROR(VLOOKUP(AQ82,[1]SUMMARY!$A$3:$B$7,2,FALSE),"")</f>
        <v>MC-SAGARANTEN</v>
      </c>
      <c r="AO82" s="31">
        <v>1306929</v>
      </c>
      <c r="AP82" s="31" t="str">
        <f>VLOOKUP(AO82,[1]OUTLET!$B:$C,2,0)</f>
        <v>SM 3 CELL</v>
      </c>
      <c r="AQ82" s="31" t="s">
        <v>53</v>
      </c>
      <c r="AR82" s="6">
        <v>1</v>
      </c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3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3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3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>
        <f>IFERROR(VLOOKUP(AM82,'[1]Harga &amp; Nama CSO'!$H$2:$N$22,2,FALSE),"")*AR82</f>
        <v>115800</v>
      </c>
      <c r="BK82" s="40">
        <v>46186</v>
      </c>
      <c r="BL82" s="39">
        <v>1</v>
      </c>
      <c r="BM82" s="59">
        <v>115800</v>
      </c>
      <c r="BN82" s="39" t="s">
        <v>112</v>
      </c>
      <c r="BO82" s="57">
        <f t="shared" si="11"/>
        <v>0</v>
      </c>
      <c r="BP82" s="40">
        <v>46188</v>
      </c>
      <c r="BQ82" s="8">
        <v>0</v>
      </c>
      <c r="BR82" s="58">
        <f>VLOOKUP(AM82,'[1]Harga &amp; Nama CSO'!$A$28:$D$31,4,0)*BL82</f>
        <v>3</v>
      </c>
    </row>
    <row r="83" spans="37:70" x14ac:dyDescent="0.35">
      <c r="AK83" s="39">
        <v>81</v>
      </c>
      <c r="AL83" s="40">
        <v>46185</v>
      </c>
      <c r="AM83" s="41" t="s">
        <v>99</v>
      </c>
      <c r="AN83" s="42" t="str">
        <f>IFERROR(VLOOKUP(AQ83,[1]SUMMARY!$A$3:$B$7,2,FALSE),"")</f>
        <v>MC-SAGARANTEN</v>
      </c>
      <c r="AO83" s="31">
        <v>17289540</v>
      </c>
      <c r="AP83" s="31" t="str">
        <f>VLOOKUP(AO83,[1]OUTLET!$B:$C,2,0)</f>
        <v>Dila cell</v>
      </c>
      <c r="AQ83" s="31" t="s">
        <v>53</v>
      </c>
      <c r="AR83" s="6">
        <v>1</v>
      </c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3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3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3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>
        <f>IFERROR(VLOOKUP(AM83,'[1]Harga &amp; Nama CSO'!$H$2:$N$22,2,FALSE),"")*AR83</f>
        <v>115800</v>
      </c>
      <c r="BK83" s="40">
        <v>46186</v>
      </c>
      <c r="BL83" s="39">
        <v>1</v>
      </c>
      <c r="BM83" s="59">
        <v>115800</v>
      </c>
      <c r="BN83" s="39" t="s">
        <v>112</v>
      </c>
      <c r="BO83" s="57">
        <f t="shared" si="11"/>
        <v>0</v>
      </c>
      <c r="BP83" s="40">
        <v>46188</v>
      </c>
      <c r="BQ83" s="8">
        <v>0</v>
      </c>
      <c r="BR83" s="58">
        <f>VLOOKUP(AM83,'[1]Harga &amp; Nama CSO'!$A$28:$D$31,4,0)*BL83</f>
        <v>3</v>
      </c>
    </row>
    <row r="84" spans="37:70" x14ac:dyDescent="0.35">
      <c r="AK84" s="39">
        <v>82</v>
      </c>
      <c r="AL84" s="40">
        <v>46185</v>
      </c>
      <c r="AM84" s="41" t="s">
        <v>99</v>
      </c>
      <c r="AN84" s="42" t="str">
        <f>IFERROR(VLOOKUP(AQ84,[1]SUMMARY!$A$3:$B$7,2,FALSE),"")</f>
        <v>MC-SAGARANTEN</v>
      </c>
      <c r="AO84" s="31">
        <v>17203837</v>
      </c>
      <c r="AP84" s="31" t="str">
        <f>VLOOKUP(AO84,[1]OUTLET!$B:$C,2,0)</f>
        <v>IDOLA CELL</v>
      </c>
      <c r="AQ84" s="31" t="s">
        <v>53</v>
      </c>
      <c r="AR84" s="6">
        <v>1</v>
      </c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3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3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3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>
        <f>IFERROR(VLOOKUP(AM84,'[1]Harga &amp; Nama CSO'!$H$2:$N$22,2,FALSE),"")*AR84</f>
        <v>115800</v>
      </c>
      <c r="BK84" s="40">
        <v>46186</v>
      </c>
      <c r="BL84" s="39">
        <v>1</v>
      </c>
      <c r="BM84" s="59">
        <v>115800</v>
      </c>
      <c r="BN84" s="39" t="s">
        <v>112</v>
      </c>
      <c r="BO84" s="57">
        <f t="shared" si="11"/>
        <v>0</v>
      </c>
      <c r="BP84" s="40">
        <v>46188</v>
      </c>
      <c r="BQ84" s="8">
        <v>0</v>
      </c>
      <c r="BR84" s="58">
        <f>VLOOKUP(AM84,'[1]Harga &amp; Nama CSO'!$A$28:$D$31,4,0)*BL84</f>
        <v>3</v>
      </c>
    </row>
    <row r="85" spans="37:70" x14ac:dyDescent="0.35">
      <c r="AK85" s="39">
        <v>83</v>
      </c>
      <c r="AL85" s="40">
        <v>46185</v>
      </c>
      <c r="AM85" s="41" t="s">
        <v>99</v>
      </c>
      <c r="AN85" s="42" t="str">
        <f>IFERROR(VLOOKUP(AQ85,[1]SUMMARY!$A$3:$B$7,2,FALSE),"")</f>
        <v>MC-SAGARANTEN</v>
      </c>
      <c r="AO85" s="31">
        <v>17437773</v>
      </c>
      <c r="AP85" s="31" t="str">
        <f>VLOOKUP(AO85,[1]OUTLET!$B:$C,2,0)</f>
        <v>Kimo stor</v>
      </c>
      <c r="AQ85" s="31" t="s">
        <v>53</v>
      </c>
      <c r="AR85" s="6">
        <v>1</v>
      </c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3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3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3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>
        <f>IFERROR(VLOOKUP(AM85,'[1]Harga &amp; Nama CSO'!$H$2:$N$22,2,FALSE),"")*AR85</f>
        <v>115800</v>
      </c>
      <c r="BK85" s="40">
        <v>46186</v>
      </c>
      <c r="BL85" s="39">
        <v>1</v>
      </c>
      <c r="BM85" s="59">
        <v>115800</v>
      </c>
      <c r="BN85" s="39" t="s">
        <v>112</v>
      </c>
      <c r="BO85" s="57">
        <f t="shared" si="11"/>
        <v>0</v>
      </c>
      <c r="BP85" s="40">
        <v>46188</v>
      </c>
      <c r="BQ85" s="8">
        <v>0</v>
      </c>
      <c r="BR85" s="58">
        <f>VLOOKUP(AM85,'[1]Harga &amp; Nama CSO'!$A$28:$D$31,4,0)*BL85</f>
        <v>3</v>
      </c>
    </row>
    <row r="86" spans="37:70" x14ac:dyDescent="0.35">
      <c r="AK86" s="39">
        <v>84</v>
      </c>
      <c r="AL86" s="40">
        <v>46185</v>
      </c>
      <c r="AM86" s="41" t="s">
        <v>99</v>
      </c>
      <c r="AN86" s="42" t="str">
        <f>IFERROR(VLOOKUP(AQ86,[1]SUMMARY!$A$3:$B$7,2,FALSE),"")</f>
        <v>MC-SAGARANTEN</v>
      </c>
      <c r="AO86" s="31">
        <v>17218897</v>
      </c>
      <c r="AP86" s="31" t="str">
        <f>VLOOKUP(AO86,[1]OUTLET!$B:$C,2,0)</f>
        <v>SOFYAN CELL</v>
      </c>
      <c r="AQ86" s="31" t="s">
        <v>53</v>
      </c>
      <c r="AR86" s="6">
        <v>1</v>
      </c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3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3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3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>
        <f>IFERROR(VLOOKUP(AM86,'[1]Harga &amp; Nama CSO'!$H$2:$N$22,2,FALSE),"")*AR86</f>
        <v>115800</v>
      </c>
      <c r="BK86" s="40">
        <v>46186</v>
      </c>
      <c r="BL86" s="39">
        <v>1</v>
      </c>
      <c r="BM86" s="59">
        <v>115800</v>
      </c>
      <c r="BN86" s="39" t="s">
        <v>112</v>
      </c>
      <c r="BO86" s="57">
        <f t="shared" si="11"/>
        <v>0</v>
      </c>
      <c r="BP86" s="40">
        <v>46188</v>
      </c>
      <c r="BQ86" s="8">
        <v>0</v>
      </c>
      <c r="BR86" s="58">
        <f>VLOOKUP(AM86,'[1]Harga &amp; Nama CSO'!$A$28:$D$31,4,0)*BL86</f>
        <v>3</v>
      </c>
    </row>
    <row r="87" spans="37:70" x14ac:dyDescent="0.35">
      <c r="AK87" s="39">
        <v>85</v>
      </c>
      <c r="AL87" s="40">
        <v>46185</v>
      </c>
      <c r="AM87" s="41" t="s">
        <v>99</v>
      </c>
      <c r="AN87" s="42" t="str">
        <f>IFERROR(VLOOKUP(AQ87,[1]SUMMARY!$A$3:$B$7,2,FALSE),"")</f>
        <v>MC-SAGARANTEN</v>
      </c>
      <c r="AO87" s="31">
        <v>17473105</v>
      </c>
      <c r="AP87" s="31" t="str">
        <f>VLOOKUP(AO87,[1]OUTLET!$B:$C,2,0)</f>
        <v>Nabil cell</v>
      </c>
      <c r="AQ87" s="31" t="s">
        <v>53</v>
      </c>
      <c r="AR87" s="6">
        <v>1</v>
      </c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3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3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3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>
        <f>IFERROR(VLOOKUP(AM87,'[1]Harga &amp; Nama CSO'!$H$2:$N$22,2,FALSE),"")*AR87</f>
        <v>115800</v>
      </c>
      <c r="BK87" s="40">
        <v>46186</v>
      </c>
      <c r="BL87" s="39">
        <v>1</v>
      </c>
      <c r="BM87" s="59">
        <v>115800</v>
      </c>
      <c r="BN87" s="39" t="s">
        <v>112</v>
      </c>
      <c r="BO87" s="57">
        <f t="shared" si="11"/>
        <v>0</v>
      </c>
      <c r="BP87" s="40">
        <v>46188</v>
      </c>
      <c r="BQ87" s="8">
        <v>0</v>
      </c>
      <c r="BR87" s="58">
        <f>VLOOKUP(AM87,'[1]Harga &amp; Nama CSO'!$A$28:$D$31,4,0)*BL87</f>
        <v>3</v>
      </c>
    </row>
    <row r="88" spans="37:70" x14ac:dyDescent="0.35">
      <c r="AK88" s="39">
        <v>86</v>
      </c>
      <c r="AL88" s="60">
        <v>46186</v>
      </c>
      <c r="AM88" s="41" t="s">
        <v>99</v>
      </c>
      <c r="AN88" s="42" t="str">
        <f>IFERROR(VLOOKUP(AQ88,[1]SUMMARY!$A$3:$B$7,2,FALSE),"")</f>
        <v>MC-SAGARANTEN</v>
      </c>
      <c r="AO88" s="31">
        <v>17762144</v>
      </c>
      <c r="AP88" s="31" t="str">
        <f>VLOOKUP(AO88,[1]OUTLET!$B:$C,2,0)</f>
        <v>Chica Cell</v>
      </c>
      <c r="AQ88" s="31" t="s">
        <v>41</v>
      </c>
      <c r="AR88" s="6">
        <v>1</v>
      </c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3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3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3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>
        <f>IFERROR(VLOOKUP(AM88,'[1]Harga &amp; Nama CSO'!$H$2:$N$22,2,FALSE),"")*AR88</f>
        <v>115800</v>
      </c>
      <c r="BK88" s="40">
        <v>46186</v>
      </c>
      <c r="BL88" s="39">
        <v>1</v>
      </c>
      <c r="BM88" s="59">
        <v>115800</v>
      </c>
      <c r="BN88" s="39" t="s">
        <v>112</v>
      </c>
      <c r="BO88" s="57">
        <f t="shared" si="11"/>
        <v>0</v>
      </c>
      <c r="BP88" s="40">
        <v>46188</v>
      </c>
      <c r="BQ88" s="8">
        <v>0</v>
      </c>
      <c r="BR88" s="58">
        <f>VLOOKUP(AM88,'[1]Harga &amp; Nama CSO'!$A$28:$D$31,4,0)*BL88</f>
        <v>3</v>
      </c>
    </row>
    <row r="89" spans="37:70" x14ac:dyDescent="0.35">
      <c r="AK89" s="39">
        <v>87</v>
      </c>
      <c r="AL89" s="60">
        <v>46186</v>
      </c>
      <c r="AM89" s="41" t="s">
        <v>99</v>
      </c>
      <c r="AN89" s="42" t="str">
        <f>IFERROR(VLOOKUP(AQ89,[1]SUMMARY!$A$3:$B$7,2,FALSE),"")</f>
        <v>MC-SAGARANTEN</v>
      </c>
      <c r="AO89" s="31">
        <v>1287411</v>
      </c>
      <c r="AP89" s="31" t="str">
        <f>VLOOKUP(AO89,[1]OUTLET!$B:$C,2,0)</f>
        <v>SCREEN CELL</v>
      </c>
      <c r="AQ89" s="31" t="s">
        <v>53</v>
      </c>
      <c r="AR89" s="6">
        <v>1</v>
      </c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3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3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3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>
        <f>IFERROR(VLOOKUP(AM89,'[1]Harga &amp; Nama CSO'!$H$2:$N$22,2,FALSE),"")*AR89</f>
        <v>115800</v>
      </c>
      <c r="BK89" s="40">
        <v>46186</v>
      </c>
      <c r="BL89" s="39">
        <v>1</v>
      </c>
      <c r="BM89" s="59">
        <v>115800</v>
      </c>
      <c r="BN89" s="39" t="s">
        <v>112</v>
      </c>
      <c r="BO89" s="57">
        <f t="shared" si="11"/>
        <v>0</v>
      </c>
      <c r="BP89" s="40">
        <v>46188</v>
      </c>
      <c r="BQ89" s="8">
        <v>0</v>
      </c>
      <c r="BR89" s="58">
        <f>VLOOKUP(AM89,'[1]Harga &amp; Nama CSO'!$A$28:$D$31,4,0)*BL89</f>
        <v>3</v>
      </c>
    </row>
    <row r="90" spans="37:70" x14ac:dyDescent="0.35">
      <c r="AK90" s="39">
        <v>88</v>
      </c>
      <c r="AL90" s="60">
        <v>46186</v>
      </c>
      <c r="AM90" s="41" t="s">
        <v>99</v>
      </c>
      <c r="AN90" s="42" t="str">
        <f>IFERROR(VLOOKUP(AQ90,[1]SUMMARY!$A$3:$B$7,2,FALSE),"")</f>
        <v>MC-SAGARANTEN</v>
      </c>
      <c r="AO90" s="31">
        <v>17448324</v>
      </c>
      <c r="AP90" s="31" t="str">
        <f>VLOOKUP(AO90,[1]OUTLET!$B:$C,2,0)</f>
        <v>Dian barito cell</v>
      </c>
      <c r="AQ90" s="31" t="s">
        <v>53</v>
      </c>
      <c r="AR90" s="6">
        <v>1</v>
      </c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3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3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3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>
        <f>IFERROR(VLOOKUP(AM90,'[1]Harga &amp; Nama CSO'!$H$2:$N$22,2,FALSE),"")*AR90</f>
        <v>115800</v>
      </c>
      <c r="BK90" s="40">
        <v>46186</v>
      </c>
      <c r="BL90" s="39">
        <v>1</v>
      </c>
      <c r="BM90" s="59">
        <v>115800</v>
      </c>
      <c r="BN90" s="39" t="s">
        <v>112</v>
      </c>
      <c r="BO90" s="57">
        <f t="shared" si="11"/>
        <v>0</v>
      </c>
      <c r="BP90" s="40">
        <v>46188</v>
      </c>
      <c r="BQ90" s="8">
        <v>0</v>
      </c>
      <c r="BR90" s="58">
        <f>VLOOKUP(AM90,'[1]Harga &amp; Nama CSO'!$A$28:$D$31,4,0)*BL90</f>
        <v>3</v>
      </c>
    </row>
    <row r="91" spans="37:70" x14ac:dyDescent="0.35">
      <c r="AK91" s="39">
        <v>89</v>
      </c>
      <c r="AL91" s="60">
        <v>46186</v>
      </c>
      <c r="AM91" s="41" t="s">
        <v>99</v>
      </c>
      <c r="AN91" s="42" t="str">
        <f>IFERROR(VLOOKUP(AQ91,[1]SUMMARY!$A$3:$B$7,2,FALSE),"")</f>
        <v>MC-SAGARANTEN</v>
      </c>
      <c r="AO91" s="31">
        <v>17769751</v>
      </c>
      <c r="AP91" s="31" t="str">
        <f>VLOOKUP(AO91,[1]OUTLET!$B:$C,2,0)</f>
        <v>Nabila cell</v>
      </c>
      <c r="AQ91" s="31" t="s">
        <v>53</v>
      </c>
      <c r="AR91" s="6">
        <v>1</v>
      </c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3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3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3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>
        <f>IFERROR(VLOOKUP(AM91,'[1]Harga &amp; Nama CSO'!$H$2:$N$22,2,FALSE),"")*AR91</f>
        <v>115800</v>
      </c>
      <c r="BK91" s="40">
        <v>46186</v>
      </c>
      <c r="BL91" s="39">
        <v>1</v>
      </c>
      <c r="BM91" s="59">
        <v>115800</v>
      </c>
      <c r="BN91" s="39" t="s">
        <v>112</v>
      </c>
      <c r="BO91" s="57">
        <f t="shared" si="11"/>
        <v>0</v>
      </c>
      <c r="BP91" s="40">
        <v>46188</v>
      </c>
      <c r="BQ91" s="8">
        <v>0</v>
      </c>
      <c r="BR91" s="58">
        <f>VLOOKUP(AM91,'[1]Harga &amp; Nama CSO'!$A$28:$D$31,4,0)*BL91</f>
        <v>3</v>
      </c>
    </row>
    <row r="92" spans="37:70" x14ac:dyDescent="0.35">
      <c r="AK92" s="39">
        <v>90</v>
      </c>
      <c r="AL92" s="60">
        <v>46186</v>
      </c>
      <c r="AM92" s="41" t="s">
        <v>99</v>
      </c>
      <c r="AN92" s="42" t="str">
        <f>IFERROR(VLOOKUP(AQ92,[1]SUMMARY!$A$3:$B$7,2,FALSE),"")</f>
        <v>MC-SAGARANTEN</v>
      </c>
      <c r="AO92" s="31">
        <v>17747923</v>
      </c>
      <c r="AP92" s="31" t="str">
        <f>VLOOKUP(AO92,[1]OUTLET!$B:$C,2,0)</f>
        <v>Hasan cell</v>
      </c>
      <c r="AQ92" s="31" t="s">
        <v>53</v>
      </c>
      <c r="AR92" s="6">
        <v>1</v>
      </c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3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3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3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>
        <f>IFERROR(VLOOKUP(AM92,'[1]Harga &amp; Nama CSO'!$H$2:$N$22,2,FALSE),"")*AR92</f>
        <v>115800</v>
      </c>
      <c r="BK92" s="40">
        <v>46186</v>
      </c>
      <c r="BL92" s="39">
        <v>1</v>
      </c>
      <c r="BM92" s="59">
        <v>115800</v>
      </c>
      <c r="BN92" s="39" t="s">
        <v>112</v>
      </c>
      <c r="BO92" s="57">
        <f t="shared" si="11"/>
        <v>0</v>
      </c>
      <c r="BP92" s="40">
        <v>46188</v>
      </c>
      <c r="BQ92" s="8">
        <v>0</v>
      </c>
      <c r="BR92" s="58">
        <f>VLOOKUP(AM92,'[1]Harga &amp; Nama CSO'!$A$28:$D$31,4,0)*BL92</f>
        <v>3</v>
      </c>
    </row>
    <row r="93" spans="37:70" x14ac:dyDescent="0.35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ref="BO81:BO130" si="12">BJ93-BM93</f>
        <v>#VALUE!</v>
      </c>
      <c r="BP93" s="60"/>
      <c r="BQ93" s="8">
        <v>0</v>
      </c>
      <c r="BR93" s="58" t="e">
        <f>VLOOKUP(AM93,'[1]Harga &amp; Nama CSO'!$A$28:$D$31,4,0)*BL93</f>
        <v>#N/A</v>
      </c>
    </row>
    <row r="94" spans="37:70" x14ac:dyDescent="0.35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>
        <v>0</v>
      </c>
      <c r="BR94" s="58" t="e">
        <f>VLOOKUP(AM94,'[1]Harga &amp; Nama CSO'!$A$28:$D$31,4,0)*BL94</f>
        <v>#N/A</v>
      </c>
    </row>
    <row r="95" spans="37:70" x14ac:dyDescent="0.35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>
        <v>0</v>
      </c>
      <c r="BR95" s="58" t="e">
        <f>VLOOKUP(AM95,'[1]Harga &amp; Nama CSO'!$A$28:$D$31,4,0)*BL95</f>
        <v>#N/A</v>
      </c>
    </row>
    <row r="96" spans="37:70" x14ac:dyDescent="0.35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>
        <v>0</v>
      </c>
      <c r="BR96" s="58" t="e">
        <f>VLOOKUP(AM96,'[1]Harga &amp; Nama CSO'!$A$28:$D$31,4,0)*BL96</f>
        <v>#N/A</v>
      </c>
    </row>
    <row r="97" spans="37:70" x14ac:dyDescent="0.35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>
        <v>0</v>
      </c>
      <c r="BR97" s="58" t="e">
        <f>VLOOKUP(AM97,'[1]Harga &amp; Nama CSO'!$A$28:$D$31,4,0)*BL97</f>
        <v>#N/A</v>
      </c>
    </row>
    <row r="98" spans="37:70" x14ac:dyDescent="0.35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>
        <v>0</v>
      </c>
      <c r="BR98" s="58" t="e">
        <f>VLOOKUP(AM98,'[1]Harga &amp; Nama CSO'!$A$28:$D$31,4,0)*BL98</f>
        <v>#N/A</v>
      </c>
    </row>
    <row r="99" spans="37:70" x14ac:dyDescent="0.35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>
        <v>0</v>
      </c>
      <c r="BR99" s="58" t="e">
        <f>VLOOKUP(AM99,'[1]Harga &amp; Nama CSO'!$A$28:$D$31,4,0)*BL99</f>
        <v>#N/A</v>
      </c>
    </row>
    <row r="100" spans="37:70" x14ac:dyDescent="0.35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>
        <v>0</v>
      </c>
      <c r="BR100" s="58" t="e">
        <f>VLOOKUP(AM100,'[1]Harga &amp; Nama CSO'!$A$28:$D$31,4,0)*BL100</f>
        <v>#N/A</v>
      </c>
    </row>
    <row r="101" spans="37:70" x14ac:dyDescent="0.35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>
        <v>0</v>
      </c>
      <c r="BR101" s="58" t="e">
        <f>VLOOKUP(AM101,'[1]Harga &amp; Nama CSO'!$A$28:$D$31,4,0)*BL101</f>
        <v>#N/A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9" priority="13" operator="lessThan">
      <formula>1</formula>
    </cfRule>
  </conditionalFormatting>
  <conditionalFormatting sqref="AO3:AO79">
    <cfRule type="duplicateValues" dxfId="8" priority="3"/>
  </conditionalFormatting>
  <conditionalFormatting sqref="AO72:AO79">
    <cfRule type="duplicateValues" dxfId="7" priority="4"/>
  </conditionalFormatting>
  <conditionalFormatting sqref="AO93:AO1802">
    <cfRule type="duplicateValues" dxfId="4" priority="8"/>
  </conditionalFormatting>
  <conditionalFormatting sqref="BQ3:BQ1802">
    <cfRule type="cellIs" dxfId="3" priority="12" operator="lessThan">
      <formula>99999</formula>
    </cfRule>
  </conditionalFormatting>
  <conditionalFormatting sqref="BR3:BR1802">
    <cfRule type="cellIs" dxfId="2" priority="9" operator="lessThan">
      <formula>200000</formula>
    </cfRule>
    <cfRule type="cellIs" dxfId="1" priority="10" operator="lessThan">
      <formula>1</formula>
    </cfRule>
  </conditionalFormatting>
  <conditionalFormatting sqref="AO80:AO92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2026-06-15T06:05:08Z</dcterms:modified>
</cp:coreProperties>
</file>