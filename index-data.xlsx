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0" documentId="8_{A68C8C10-5CC6-0546-870F-240369AE7AB4}" xr6:coauthVersionLast="47" xr6:coauthVersionMax="47" xr10:uidLastSave="{00000000-0000-0000-0000-000000000000}"/>
  <bookViews>
    <workbookView xWindow="-110" yWindow="-110" windowWidth="19420" windowHeight="10300" firstSheet="2" activeTab="4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index" sheetId="8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" i="8" l="1"/>
  <c r="O11" i="8"/>
  <c r="O10" i="8"/>
  <c r="O9" i="8"/>
  <c r="O4" i="8"/>
  <c r="O5" i="8"/>
  <c r="O6" i="8"/>
  <c r="O3" i="8"/>
  <c r="O7" i="8"/>
  <c r="B10" i="4"/>
  <c r="C10" i="4"/>
  <c r="D10" i="4"/>
  <c r="E10" i="4"/>
  <c r="F10" i="4"/>
  <c r="H10" i="4"/>
  <c r="B11" i="4"/>
  <c r="C11" i="4"/>
  <c r="D11" i="4"/>
  <c r="E11" i="4"/>
  <c r="F11" i="4"/>
  <c r="H11" i="4"/>
  <c r="B12" i="4"/>
  <c r="C12" i="4"/>
  <c r="D12" i="4"/>
  <c r="E12" i="4"/>
  <c r="F12" i="4"/>
  <c r="H12" i="4"/>
  <c r="B13" i="4"/>
  <c r="C13" i="4"/>
  <c r="D13" i="4"/>
  <c r="E13" i="4"/>
  <c r="F13" i="4"/>
  <c r="H13" i="4"/>
  <c r="B14" i="4"/>
  <c r="C14" i="4"/>
  <c r="D14" i="4"/>
  <c r="E14" i="4"/>
  <c r="F14" i="4"/>
  <c r="H14" i="4"/>
  <c r="B15" i="4"/>
  <c r="C15" i="4"/>
  <c r="D15" i="4"/>
  <c r="E15" i="4"/>
  <c r="F15" i="4"/>
  <c r="H15" i="4"/>
  <c r="B16" i="4"/>
  <c r="C16" i="4"/>
  <c r="D16" i="4"/>
  <c r="E16" i="4"/>
  <c r="F16" i="4"/>
  <c r="H16" i="4"/>
  <c r="B17" i="4"/>
  <c r="C17" i="4"/>
  <c r="D17" i="4"/>
  <c r="E17" i="4"/>
  <c r="F17" i="4"/>
  <c r="H17" i="4"/>
  <c r="B18" i="4"/>
  <c r="C18" i="4"/>
  <c r="D18" i="4"/>
  <c r="E18" i="4"/>
  <c r="F18" i="4"/>
  <c r="H18" i="4"/>
  <c r="B19" i="4"/>
  <c r="C19" i="4"/>
  <c r="D19" i="4"/>
  <c r="E19" i="4"/>
  <c r="F19" i="4"/>
  <c r="H19" i="4"/>
  <c r="B20" i="4"/>
  <c r="C20" i="4"/>
  <c r="D20" i="4"/>
  <c r="E20" i="4"/>
  <c r="F20" i="4"/>
  <c r="H20" i="4"/>
  <c r="B21" i="4"/>
  <c r="C21" i="4"/>
  <c r="D21" i="4"/>
  <c r="E21" i="4"/>
  <c r="F21" i="4"/>
  <c r="H21" i="4"/>
  <c r="C9" i="4"/>
  <c r="D9" i="4"/>
  <c r="E9" i="4"/>
  <c r="E22" i="4"/>
  <c r="B9" i="4"/>
  <c r="F9" i="4"/>
  <c r="B3" i="4"/>
  <c r="C3" i="4"/>
  <c r="D3" i="4"/>
  <c r="E3" i="4"/>
  <c r="F3" i="4"/>
  <c r="H3" i="4"/>
  <c r="B4" i="4"/>
  <c r="C4" i="4"/>
  <c r="D4" i="4"/>
  <c r="E4" i="4"/>
  <c r="F4" i="4"/>
  <c r="H4" i="4"/>
  <c r="B5" i="4"/>
  <c r="C5" i="4"/>
  <c r="D5" i="4"/>
  <c r="E5" i="4"/>
  <c r="F5" i="4"/>
  <c r="H5" i="4"/>
  <c r="C2" i="4"/>
  <c r="D2" i="4"/>
  <c r="E2" i="4"/>
  <c r="E6" i="4"/>
  <c r="B2" i="4"/>
  <c r="F2" i="4"/>
  <c r="C22" i="4"/>
  <c r="D22" i="4"/>
  <c r="C6" i="4"/>
  <c r="D6" i="4"/>
  <c r="B3" i="3"/>
  <c r="B2" i="3"/>
  <c r="C2" i="2"/>
  <c r="B2" i="2"/>
  <c r="D2" i="2"/>
  <c r="E2" i="2"/>
  <c r="G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3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3" i="2"/>
  <c r="B10" i="2"/>
  <c r="D10" i="2"/>
  <c r="G10" i="2"/>
  <c r="B13" i="2"/>
  <c r="D13" i="2"/>
  <c r="G13" i="2"/>
  <c r="B9" i="2"/>
  <c r="D9" i="2"/>
  <c r="G9" i="2"/>
  <c r="B17" i="2"/>
  <c r="D17" i="2"/>
  <c r="G17" i="2"/>
  <c r="D3" i="2"/>
  <c r="D4" i="2"/>
  <c r="D5" i="2"/>
  <c r="D6" i="2"/>
  <c r="D7" i="2"/>
  <c r="D8" i="2"/>
  <c r="D11" i="2"/>
  <c r="D12" i="2"/>
  <c r="D14" i="2"/>
  <c r="D15" i="2"/>
  <c r="D16" i="2"/>
  <c r="D18" i="2"/>
  <c r="D19" i="2"/>
  <c r="D20" i="2"/>
  <c r="D23" i="2"/>
  <c r="B18" i="2"/>
  <c r="G18" i="2"/>
  <c r="B6" i="2"/>
  <c r="G6" i="2"/>
  <c r="B7" i="2"/>
  <c r="G7" i="2"/>
  <c r="B8" i="2"/>
  <c r="G8" i="2"/>
  <c r="B12" i="2"/>
  <c r="G12" i="2"/>
  <c r="B14" i="2"/>
  <c r="G14" i="2"/>
  <c r="B4" i="2"/>
  <c r="G4" i="2"/>
  <c r="B16" i="2"/>
  <c r="G16" i="2"/>
  <c r="B20" i="2"/>
  <c r="G20" i="2"/>
  <c r="F23" i="2"/>
  <c r="B3" i="2"/>
  <c r="G3" i="2"/>
  <c r="B5" i="2"/>
  <c r="B11" i="2"/>
  <c r="G11" i="2"/>
  <c r="B15" i="2"/>
  <c r="B19" i="2"/>
  <c r="G19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W10" i="8"/>
  <c r="Y10" i="8"/>
  <c r="W4" i="8"/>
  <c r="Y4" i="8"/>
  <c r="AD16" i="8"/>
  <c r="AE16" i="8"/>
  <c r="AF16" i="8"/>
  <c r="AG16" i="8"/>
  <c r="AH16" i="8"/>
  <c r="AC16" i="8"/>
  <c r="AH8" i="8"/>
  <c r="AI8" i="8"/>
  <c r="AJ8" i="8"/>
  <c r="AK8" i="8"/>
  <c r="AG8" i="8"/>
  <c r="AE8" i="8"/>
  <c r="AD8" i="8"/>
  <c r="J6" i="7"/>
  <c r="J7" i="7"/>
  <c r="J8" i="7"/>
  <c r="J9" i="7"/>
  <c r="J10" i="7"/>
  <c r="B7" i="7"/>
  <c r="B8" i="7"/>
  <c r="B9" i="7"/>
  <c r="B10" i="7"/>
  <c r="B11" i="7"/>
  <c r="B6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D2" i="6"/>
  <c r="D3" i="6"/>
  <c r="D4" i="6"/>
  <c r="D5" i="6"/>
  <c r="D6" i="6"/>
  <c r="E6" i="6"/>
  <c r="F2" i="6"/>
  <c r="F3" i="6"/>
  <c r="F4" i="6"/>
  <c r="F5" i="6"/>
  <c r="F6" i="6"/>
  <c r="G2" i="6"/>
  <c r="G3" i="6"/>
  <c r="G4" i="6"/>
  <c r="G5" i="6"/>
  <c r="G6" i="6"/>
  <c r="H2" i="6"/>
  <c r="H3" i="6"/>
  <c r="H4" i="6"/>
  <c r="H5" i="6"/>
  <c r="H6" i="6"/>
  <c r="C2" i="6"/>
  <c r="C3" i="6"/>
  <c r="C4" i="6"/>
  <c r="C5" i="6"/>
  <c r="C6" i="6"/>
  <c r="I2" i="7"/>
  <c r="B4" i="3"/>
  <c r="B5" i="3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3" i="1"/>
  <c r="C3" i="1"/>
  <c r="B2" i="7"/>
  <c r="B3" i="7"/>
  <c r="B4" i="7"/>
  <c r="B5" i="7"/>
  <c r="C2" i="7"/>
  <c r="D2" i="7"/>
  <c r="E2" i="7"/>
  <c r="F2" i="7"/>
  <c r="G2" i="7"/>
  <c r="H2" i="7"/>
  <c r="J2" i="7"/>
  <c r="C3" i="7"/>
  <c r="D3" i="7"/>
  <c r="E3" i="7"/>
  <c r="F3" i="7"/>
  <c r="G3" i="7"/>
  <c r="H3" i="7"/>
  <c r="J3" i="7"/>
  <c r="C4" i="7"/>
  <c r="D4" i="7"/>
  <c r="E4" i="7"/>
  <c r="F4" i="7"/>
  <c r="G4" i="7"/>
  <c r="H4" i="7"/>
  <c r="J4" i="7"/>
  <c r="C5" i="7"/>
  <c r="D5" i="7"/>
  <c r="E5" i="7"/>
  <c r="F5" i="7"/>
  <c r="G5" i="7"/>
  <c r="H5" i="7"/>
  <c r="J5" i="7"/>
  <c r="C6" i="7"/>
  <c r="D6" i="7"/>
  <c r="E6" i="7"/>
  <c r="F6" i="7"/>
  <c r="G6" i="7"/>
  <c r="H6" i="7"/>
  <c r="C7" i="7"/>
  <c r="D7" i="7"/>
  <c r="E7" i="7"/>
  <c r="F7" i="7"/>
  <c r="G7" i="7"/>
  <c r="H7" i="7"/>
  <c r="C8" i="7"/>
  <c r="D8" i="7"/>
  <c r="E8" i="7"/>
  <c r="F8" i="7"/>
  <c r="G8" i="7"/>
  <c r="H8" i="7"/>
  <c r="C9" i="7"/>
  <c r="D9" i="7"/>
  <c r="E9" i="7"/>
  <c r="F9" i="7"/>
  <c r="G9" i="7"/>
  <c r="H9" i="7"/>
  <c r="C10" i="7"/>
  <c r="D10" i="7"/>
  <c r="E10" i="7"/>
  <c r="F10" i="7"/>
  <c r="G10" i="7"/>
  <c r="H10" i="7"/>
  <c r="C11" i="7"/>
  <c r="D11" i="7"/>
  <c r="E11" i="7"/>
  <c r="F11" i="7"/>
  <c r="G11" i="7"/>
  <c r="H11" i="7"/>
  <c r="J11" i="7"/>
  <c r="C12" i="7"/>
  <c r="D12" i="7"/>
  <c r="E12" i="7"/>
  <c r="F12" i="7"/>
  <c r="G12" i="7"/>
  <c r="H12" i="7"/>
  <c r="J12" i="7"/>
  <c r="C13" i="7"/>
  <c r="D13" i="7"/>
  <c r="E13" i="7"/>
  <c r="F13" i="7"/>
  <c r="G13" i="7"/>
  <c r="H13" i="7"/>
  <c r="J13" i="7"/>
  <c r="C14" i="7"/>
  <c r="D14" i="7"/>
  <c r="E14" i="7"/>
  <c r="F14" i="7"/>
  <c r="G14" i="7"/>
  <c r="H14" i="7"/>
  <c r="J14" i="7"/>
  <c r="C15" i="7"/>
  <c r="D15" i="7"/>
  <c r="E15" i="7"/>
  <c r="F15" i="7"/>
  <c r="G15" i="7"/>
  <c r="H15" i="7"/>
  <c r="J15" i="7"/>
  <c r="C16" i="7"/>
  <c r="D16" i="7"/>
  <c r="E16" i="7"/>
  <c r="F16" i="7"/>
  <c r="G16" i="7"/>
  <c r="H16" i="7"/>
  <c r="J16" i="7"/>
  <c r="C17" i="7"/>
  <c r="D17" i="7"/>
  <c r="E17" i="7"/>
  <c r="F17" i="7"/>
  <c r="G17" i="7"/>
  <c r="H17" i="7"/>
  <c r="J17" i="7"/>
  <c r="W22" i="8"/>
  <c r="Y22" i="8"/>
  <c r="W21" i="8"/>
  <c r="Y21" i="8"/>
  <c r="W20" i="8"/>
  <c r="Y20" i="8"/>
  <c r="W19" i="8"/>
  <c r="Y19" i="8"/>
  <c r="W18" i="8"/>
  <c r="Y18" i="8"/>
  <c r="W17" i="8"/>
  <c r="Y17" i="8"/>
  <c r="W16" i="8"/>
  <c r="Y16" i="8"/>
  <c r="W15" i="8"/>
  <c r="Y15" i="8"/>
  <c r="W14" i="8"/>
  <c r="Y14" i="8"/>
  <c r="W13" i="8"/>
  <c r="Y13" i="8"/>
  <c r="W12" i="8"/>
  <c r="Y12" i="8"/>
  <c r="W11" i="8"/>
  <c r="Y11" i="8"/>
  <c r="W9" i="8"/>
  <c r="Y9" i="8"/>
  <c r="W8" i="8"/>
  <c r="Y8" i="8"/>
  <c r="W7" i="8"/>
  <c r="Y7" i="8"/>
  <c r="W6" i="8"/>
  <c r="Y6" i="8"/>
  <c r="S25" i="8"/>
  <c r="V25" i="8"/>
  <c r="U25" i="8"/>
  <c r="T25" i="8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/>
  <c r="R25" i="8"/>
  <c r="G15" i="2"/>
  <c r="D3" i="1"/>
  <c r="H2" i="4"/>
  <c r="H6" i="4"/>
  <c r="F6" i="4"/>
  <c r="F22" i="4"/>
  <c r="H9" i="4"/>
  <c r="H22" i="4"/>
  <c r="Y25" i="8"/>
  <c r="B6" i="4"/>
  <c r="B22" i="4"/>
  <c r="W25" i="8"/>
  <c r="B6" i="3"/>
  <c r="B23" i="2"/>
  <c r="G5" i="2"/>
  <c r="G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<sst xmlns="http://schemas.openxmlformats.org/spreadsheetml/2006/main" count="364" uniqueCount="148">
  <si>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</si>
  <si>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</si>
  <si>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</si>
  <si>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</si>
  <si>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</si>
  <si>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</si>
  <si>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</si>
  <si>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</si>
  <si>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</si>
  <si>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</si>
  <si>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</si>
  <si>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</si>
  <si>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</si>
  <si>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</si>
  <si>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</si>
  <si>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</si>
  <si>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</si>
  <si>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</si>
  <si>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</si>
  <si>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</si>
  <si>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</si>
  <si>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</si>
  <si>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</si>
  <si>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</si>
  <si>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</si>
  <si>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</si>
  <si>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</si>
  <si>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</si>
  <si>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</si>
  <si>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</si>
  <si>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</si>
  <si>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</si>
  <si>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</si>
  <si>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</si>
  <si>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</si>
  <si>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</si>
  <si>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</si>
  <si>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</si>
  <si>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</si>
  <si>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</si>
  <si>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</si>
  <si>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</si>
  <si>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</si>
  <si>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</si>
  <si>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</si>
  <si>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</si>
  <si>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</si>
  <si>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</si>
  <si>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</si>
  <si>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</si>
  <si>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</si>
  <si>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</si>
  <si>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MC</t>
  </si>
  <si>
    <t>TAGIHAN</t>
  </si>
  <si>
    <t>TEBUS MURAH SELLIN APRIL 2026</t>
  </si>
  <si>
    <t>SP 3GB</t>
  </si>
  <si>
    <t>PENGAMBILAN</t>
  </si>
  <si>
    <t>PEMBAYARAN</t>
  </si>
  <si>
    <t xml:space="preserve">SISA </t>
  </si>
  <si>
    <t>TM11</t>
  </si>
  <si>
    <t>TM28</t>
  </si>
  <si>
    <t>TM58</t>
  </si>
  <si>
    <t>TM14</t>
  </si>
  <si>
    <t>Muhamad Parhan</t>
  </si>
  <si>
    <t>MC-SAGARANTEN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</si>
  <si>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</si>
  <si>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</si>
  <si>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</si>
  <si>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</si>
  <si>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</si>
  <si>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</si>
  <si>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</si>
  <si>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</si>
  <si>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</si>
  <si>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</si>
  <si>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</si>
  <si>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</si>
  <si>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</si>
  <si>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</si>
  <si>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</si>
  <si>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</si>
  <si>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</si>
  <si>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</si>
  <si>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</si>
  <si>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</si>
  <si>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PARHAN</t>
  </si>
  <si>
    <t>HIFI HKM</t>
  </si>
  <si>
    <t>085882744188</t>
  </si>
  <si>
    <t>355806671171222</t>
  </si>
  <si>
    <t>085882744191</t>
  </si>
  <si>
    <t>355806671185115</t>
  </si>
  <si>
    <t>085882744185</t>
  </si>
  <si>
    <t>355806671171578</t>
  </si>
  <si>
    <t>.</t>
  </si>
  <si>
    <t>085882732616</t>
  </si>
  <si>
    <t>355806671128727</t>
  </si>
  <si>
    <t>085882732618</t>
  </si>
  <si>
    <t>355806671214105</t>
  </si>
  <si>
    <t>085882732619</t>
  </si>
  <si>
    <t>355806671185537</t>
  </si>
  <si>
    <t>085882732617</t>
  </si>
  <si>
    <t>355806671185602</t>
  </si>
  <si>
    <t>085882732615</t>
  </si>
  <si>
    <t>355806671135482</t>
  </si>
  <si>
    <t>085882732613</t>
  </si>
  <si>
    <t>355806671185370</t>
  </si>
  <si>
    <t>085882732611</t>
  </si>
  <si>
    <t>355806671163435</t>
  </si>
  <si>
    <t>stok gudang</t>
  </si>
  <si>
    <t>stok dse</t>
  </si>
  <si>
    <t>STOCK AKHIR CSO SAGARANTEN</t>
  </si>
  <si>
    <t>salmo</t>
  </si>
  <si>
    <t>penjualan</t>
  </si>
  <si>
    <t>Spv</t>
  </si>
  <si>
    <t>paket tm</t>
  </si>
  <si>
    <t>direct selling</t>
  </si>
  <si>
    <t>hifi</t>
  </si>
  <si>
    <t>Muhammad Parhan</t>
  </si>
  <si>
    <t>REWARD</t>
  </si>
  <si>
    <t>RETURE</t>
  </si>
  <si>
    <t>On Hand Dse</t>
  </si>
  <si>
    <t>SP</t>
  </si>
  <si>
    <t>Total PCS</t>
  </si>
  <si>
    <t>Harga</t>
  </si>
  <si>
    <t>Total Rp</t>
  </si>
  <si>
    <t>TOTAL SP</t>
  </si>
  <si>
    <t>VOUCHER</t>
  </si>
  <si>
    <t>LUNAS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</si>
  <si>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</si>
  <si>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</si>
  <si>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</si>
  <si>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</si>
  <si>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</si>
  <si>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</si>
  <si>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</si>
  <si>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</si>
  <si>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</si>
  <si>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</si>
  <si>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</si>
  <si>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</si>
  <si>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</si>
  <si>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Cuf cell</t>
  </si>
  <si>
    <t>Amel cell</t>
  </si>
  <si>
    <t>GIAN ABDULLAH CELL</t>
  </si>
  <si>
    <t>ALKHA CELL</t>
  </si>
  <si>
    <t>Nazila cell</t>
  </si>
  <si>
    <t>Yasmin Cell</t>
  </si>
  <si>
    <t>Bahagia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</si>
</sst>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64" formatCode="_(* #,##0.00_);_(* \(#,##0.00\);_(* &quot;-&quot;??_);_(@_)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4" fillId="0" borderId="0"/>
  </cellStyleXfs>
  <cellXfs count="59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horizontal="center"/>
    </xf>
    <xf numFmtId="41" fontId="2" fillId="0" borderId="8" xfId="2" applyNumberFormat="1" applyFont="1" applyFill="1" applyBorder="1" applyAlignment="1">
      <alignment horizontal="center" vertical="center"/>
    </xf>
    <xf numFmtId="41" fontId="2" fillId="0" borderId="9" xfId="2" applyNumberFormat="1" applyFont="1" applyFill="1" applyBorder="1" applyAlignment="1">
      <alignment horizontal="center" vertical="center"/>
    </xf>
    <xf numFmtId="41" fontId="2" fillId="2" borderId="8" xfId="2" applyNumberFormat="1" applyFont="1" applyFill="1" applyBorder="1" applyAlignment="1">
      <alignment horizontal="center" vertical="center"/>
    </xf>
    <xf numFmtId="41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4">
    <cellStyle name="Comma 2" xfId="2" xr:uid="{27F0E25F-2FC2-4FA2-85C5-647DEB95F14E}"/>
    <cellStyle name="Koma" xfId="1" builtinId="3"/>
    <cellStyle name="Normal" xfId="0" builtinId="0"/>
    <cellStyle name="Normal 2" xfId="3" xr:uid="{8F2B6BF2-7FD2-4FA0-9F55-2107D04465A9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sharedStrings" Target="sharedStrings.xml" /><Relationship Id="rId5" Type="http://schemas.openxmlformats.org/officeDocument/2006/relationships/worksheet" Target="worksheets/sheet5.xml" /><Relationship Id="rId10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 /><Relationship Id="rId1" Type="http://schemas.openxmlformats.org/officeDocument/2006/relationships/vmlDrawing" Target="../drawings/vmlDrawing1.v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5" x14ac:dyDescent="0.2"/>
  <cols>
    <col min="1" max="1" width="11.1640625" bestFit="1" customWidth="1"/>
    <col min="2" max="2" width="5.37890625" bestFit="1" customWidth="1"/>
    <col min="3" max="3" width="5.109375" bestFit="1" customWidth="1"/>
    <col min="4" max="4" width="8.2031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3" spans="1:4" x14ac:dyDescent="0.2">
      <c r="A3" t="s">
        <v>4</v>
      </c>
      <c r="B3" s="1">
        <f>index!B4</f>
        <v>993</v>
      </c>
      <c r="C3">
        <f>index!C4</f>
        <v>1</v>
      </c>
      <c r="D3" s="1">
        <f>B3+C3</f>
        <v>994</v>
      </c>
    </row>
    <row r="4" spans="1:4" x14ac:dyDescent="0.2">
      <c r="A4" t="s">
        <v>5</v>
      </c>
      <c r="B4">
        <f>index!B5</f>
        <v>0</v>
      </c>
      <c r="C4">
        <f>index!C5</f>
        <v>0</v>
      </c>
      <c r="D4" s="1">
        <f t="shared" ref="D4:D21" si="0">B4+C4</f>
        <v>0</v>
      </c>
    </row>
    <row r="5" spans="1:4" x14ac:dyDescent="0.2">
      <c r="A5" t="s">
        <v>6</v>
      </c>
      <c r="B5">
        <f>index!B6</f>
        <v>1525</v>
      </c>
      <c r="C5">
        <f>index!C6</f>
        <v>1445</v>
      </c>
      <c r="D5" s="1">
        <f t="shared" si="0"/>
        <v>2970</v>
      </c>
    </row>
    <row r="6" spans="1:4" x14ac:dyDescent="0.2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2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2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2">
      <c r="A9" t="s">
        <v>8</v>
      </c>
      <c r="B9" s="1">
        <f>index!B10</f>
        <v>2100</v>
      </c>
      <c r="C9">
        <f>index!C10</f>
        <v>0</v>
      </c>
      <c r="D9" s="1">
        <f t="shared" si="0"/>
        <v>2100</v>
      </c>
    </row>
    <row r="10" spans="1:4" x14ac:dyDescent="0.2">
      <c r="A10" t="s">
        <v>9</v>
      </c>
      <c r="B10">
        <f>index!B11</f>
        <v>0</v>
      </c>
      <c r="C10">
        <f>index!C11</f>
        <v>1</v>
      </c>
      <c r="D10" s="1">
        <f t="shared" si="0"/>
        <v>1</v>
      </c>
    </row>
    <row r="11" spans="1:4" x14ac:dyDescent="0.2">
      <c r="A11" t="s">
        <v>10</v>
      </c>
      <c r="B11">
        <f>index!B12</f>
        <v>150</v>
      </c>
      <c r="C11">
        <f>index!C12</f>
        <v>961</v>
      </c>
      <c r="D11" s="1">
        <f t="shared" si="0"/>
        <v>1111</v>
      </c>
    </row>
    <row r="12" spans="1:4" x14ac:dyDescent="0.2">
      <c r="A12" t="s">
        <v>11</v>
      </c>
      <c r="B12">
        <f>index!B13</f>
        <v>0</v>
      </c>
      <c r="C12">
        <f>index!C13</f>
        <v>300</v>
      </c>
      <c r="D12" s="1">
        <f t="shared" si="0"/>
        <v>300</v>
      </c>
    </row>
    <row r="13" spans="1:4" x14ac:dyDescent="0.2">
      <c r="A13" t="s">
        <v>12</v>
      </c>
      <c r="B13">
        <f>index!B14</f>
        <v>0</v>
      </c>
      <c r="C13">
        <f>index!C14</f>
        <v>377</v>
      </c>
      <c r="D13" s="1">
        <f t="shared" si="0"/>
        <v>377</v>
      </c>
    </row>
    <row r="14" spans="1:4" x14ac:dyDescent="0.2">
      <c r="A14" t="s">
        <v>13</v>
      </c>
      <c r="B14">
        <f>index!B15</f>
        <v>39</v>
      </c>
      <c r="C14">
        <f>index!C15</f>
        <v>3</v>
      </c>
      <c r="D14" s="1">
        <f t="shared" si="0"/>
        <v>42</v>
      </c>
    </row>
    <row r="15" spans="1:4" x14ac:dyDescent="0.2">
      <c r="A15" t="s">
        <v>14</v>
      </c>
      <c r="B15">
        <f>index!B16</f>
        <v>510</v>
      </c>
      <c r="C15">
        <f>index!C16</f>
        <v>6</v>
      </c>
      <c r="D15" s="1">
        <f t="shared" si="0"/>
        <v>516</v>
      </c>
    </row>
    <row r="16" spans="1:4" x14ac:dyDescent="0.2">
      <c r="A16" t="s">
        <v>15</v>
      </c>
      <c r="B16">
        <f>index!B17</f>
        <v>403</v>
      </c>
      <c r="C16">
        <f>index!C17</f>
        <v>2</v>
      </c>
      <c r="D16" s="1">
        <f t="shared" si="0"/>
        <v>405</v>
      </c>
    </row>
    <row r="17" spans="1:4" x14ac:dyDescent="0.2">
      <c r="A17" t="s">
        <v>16</v>
      </c>
      <c r="B17">
        <f>index!B18</f>
        <v>0</v>
      </c>
      <c r="C17">
        <f>index!C18</f>
        <v>171</v>
      </c>
      <c r="D17" s="1">
        <f t="shared" si="0"/>
        <v>171</v>
      </c>
    </row>
    <row r="18" spans="1:4" x14ac:dyDescent="0.2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2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2">
      <c r="A20" t="s">
        <v>19</v>
      </c>
      <c r="B20">
        <f>index!B21</f>
        <v>390</v>
      </c>
      <c r="C20">
        <f>index!C21</f>
        <v>1002</v>
      </c>
      <c r="D20" s="1">
        <f t="shared" si="0"/>
        <v>1392</v>
      </c>
    </row>
    <row r="21" spans="1:4" x14ac:dyDescent="0.2">
      <c r="A21" t="s">
        <v>20</v>
      </c>
      <c r="B21">
        <f>index!B22</f>
        <v>222</v>
      </c>
      <c r="C21">
        <f>index!C22</f>
        <v>0</v>
      </c>
      <c r="D21" s="1">
        <f t="shared" si="0"/>
        <v>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5" x14ac:dyDescent="0.2"/>
  <cols>
    <col min="1" max="1" width="19.234375" bestFit="1" customWidth="1"/>
    <col min="2" max="2" width="5.109375" bestFit="1" customWidth="1"/>
    <col min="3" max="3" width="7.6640625" bestFit="1" customWidth="1"/>
    <col min="4" max="4" width="6.72265625" bestFit="1" customWidth="1"/>
    <col min="5" max="5" width="7.93359375" bestFit="1" customWidth="1"/>
    <col min="6" max="6" width="4.16796875" bestFit="1" customWidth="1"/>
    <col min="7" max="7" width="6.05078125" bestFit="1" customWidth="1"/>
  </cols>
  <sheetData>
    <row r="1" spans="1:7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2">
      <c r="A2" t="s">
        <v>4</v>
      </c>
      <c r="B2">
        <f>index!G5</f>
        <v>37</v>
      </c>
      <c r="C2">
        <f>index!H5</f>
        <v>0</v>
      </c>
      <c r="D2">
        <f>index!I5</f>
        <v>0</v>
      </c>
      <c r="E2">
        <f>index!J5</f>
        <v>19</v>
      </c>
      <c r="G2">
        <f>SUM(B2:F2)</f>
        <v>56</v>
      </c>
    </row>
    <row r="3" spans="1:7" x14ac:dyDescent="0.2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2">
      <c r="A4" t="s">
        <v>30</v>
      </c>
      <c r="B4">
        <f>index!G7</f>
        <v>449</v>
      </c>
      <c r="C4">
        <f>index!H7</f>
        <v>194</v>
      </c>
      <c r="D4">
        <f>index!I7</f>
        <v>340</v>
      </c>
      <c r="E4">
        <f>index!J7</f>
        <v>244</v>
      </c>
      <c r="G4">
        <f t="shared" si="0"/>
        <v>1227</v>
      </c>
    </row>
    <row r="5" spans="1:7" x14ac:dyDescent="0.2">
      <c r="A5" t="s">
        <v>7</v>
      </c>
      <c r="B5">
        <f>index!G8</f>
        <v>5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20</v>
      </c>
    </row>
    <row r="6" spans="1:7" x14ac:dyDescent="0.2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2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2">
      <c r="A8" t="s">
        <v>8</v>
      </c>
      <c r="B8">
        <f>index!G11</f>
        <v>200</v>
      </c>
      <c r="C8">
        <f>index!H11</f>
        <v>300</v>
      </c>
      <c r="D8">
        <f>index!I11</f>
        <v>62</v>
      </c>
      <c r="E8">
        <f>index!J11</f>
        <v>300</v>
      </c>
      <c r="G8">
        <f t="shared" si="0"/>
        <v>862</v>
      </c>
    </row>
    <row r="9" spans="1:7" x14ac:dyDescent="0.2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2">
      <c r="A10" t="s">
        <v>32</v>
      </c>
      <c r="B10">
        <f>index!G13</f>
        <v>99</v>
      </c>
      <c r="C10">
        <f>index!H13</f>
        <v>92</v>
      </c>
      <c r="D10">
        <f>index!I13</f>
        <v>90</v>
      </c>
      <c r="E10">
        <f>index!J13</f>
        <v>144</v>
      </c>
      <c r="G10">
        <f t="shared" si="0"/>
        <v>425</v>
      </c>
    </row>
    <row r="11" spans="1:7" x14ac:dyDescent="0.2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2">
      <c r="A12" t="s">
        <v>34</v>
      </c>
      <c r="B12">
        <f>index!G15</f>
        <v>44</v>
      </c>
      <c r="C12">
        <f>index!H15</f>
        <v>36</v>
      </c>
      <c r="D12">
        <f>index!I15</f>
        <v>36</v>
      </c>
      <c r="E12">
        <f>index!J15</f>
        <v>77</v>
      </c>
      <c r="G12">
        <f t="shared" si="0"/>
        <v>193</v>
      </c>
    </row>
    <row r="13" spans="1:7" x14ac:dyDescent="0.2">
      <c r="A13" t="s">
        <v>35</v>
      </c>
      <c r="B13">
        <f>index!G16</f>
        <v>114</v>
      </c>
      <c r="C13">
        <f>index!H16</f>
        <v>110</v>
      </c>
      <c r="D13">
        <f>index!I16</f>
        <v>52</v>
      </c>
      <c r="E13">
        <f>index!J16</f>
        <v>116</v>
      </c>
      <c r="G13">
        <f t="shared" si="0"/>
        <v>392</v>
      </c>
    </row>
    <row r="14" spans="1:7" x14ac:dyDescent="0.2">
      <c r="A14" t="s">
        <v>36</v>
      </c>
      <c r="B14">
        <f>index!G17</f>
        <v>76</v>
      </c>
      <c r="C14">
        <f>index!H17</f>
        <v>74</v>
      </c>
      <c r="D14">
        <f>index!I17</f>
        <v>36</v>
      </c>
      <c r="E14">
        <f>index!J17</f>
        <v>93</v>
      </c>
      <c r="G14">
        <f t="shared" si="0"/>
        <v>279</v>
      </c>
    </row>
    <row r="15" spans="1:7" x14ac:dyDescent="0.2">
      <c r="A15" t="s">
        <v>15</v>
      </c>
      <c r="B15">
        <f>index!G18</f>
        <v>45</v>
      </c>
      <c r="C15">
        <f>index!H18</f>
        <v>35</v>
      </c>
      <c r="D15">
        <f>index!I18</f>
        <v>18</v>
      </c>
      <c r="E15">
        <f>index!J18</f>
        <v>20</v>
      </c>
      <c r="G15">
        <f t="shared" si="0"/>
        <v>118</v>
      </c>
    </row>
    <row r="16" spans="1:7" x14ac:dyDescent="0.2">
      <c r="A16" t="s">
        <v>16</v>
      </c>
      <c r="B16">
        <f>index!G19</f>
        <v>0</v>
      </c>
      <c r="C16">
        <f>index!H19</f>
        <v>6</v>
      </c>
      <c r="D16">
        <f>index!I19</f>
        <v>0</v>
      </c>
      <c r="E16">
        <f>index!J19</f>
        <v>0</v>
      </c>
      <c r="G16">
        <f t="shared" si="0"/>
        <v>6</v>
      </c>
    </row>
    <row r="17" spans="1:7" x14ac:dyDescent="0.2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2">
      <c r="A18" t="s">
        <v>18</v>
      </c>
      <c r="B18">
        <f>index!G21</f>
        <v>11</v>
      </c>
      <c r="C18">
        <f>index!H21</f>
        <v>70</v>
      </c>
      <c r="D18">
        <f>index!I21</f>
        <v>21</v>
      </c>
      <c r="E18">
        <f>index!J21</f>
        <v>6</v>
      </c>
      <c r="G18">
        <f t="shared" si="0"/>
        <v>108</v>
      </c>
    </row>
    <row r="19" spans="1:7" x14ac:dyDescent="0.2">
      <c r="A19" t="s">
        <v>19</v>
      </c>
      <c r="B19">
        <f>index!G22</f>
        <v>111</v>
      </c>
      <c r="C19">
        <f>index!H22</f>
        <v>30</v>
      </c>
      <c r="D19">
        <f>index!I22</f>
        <v>52</v>
      </c>
      <c r="E19">
        <f>index!J22</f>
        <v>61</v>
      </c>
      <c r="G19">
        <f t="shared" si="0"/>
        <v>254</v>
      </c>
    </row>
    <row r="20" spans="1:7" x14ac:dyDescent="0.2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2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2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2">
      <c r="A23" t="s">
        <v>27</v>
      </c>
      <c r="B23">
        <f>SUM(B2:B22)</f>
        <v>1207</v>
      </c>
      <c r="C23">
        <f t="shared" ref="C23:G23" si="1">SUM(C2:C22)</f>
        <v>956</v>
      </c>
      <c r="D23">
        <f t="shared" si="1"/>
        <v>720</v>
      </c>
      <c r="E23">
        <f t="shared" si="1"/>
        <v>1144</v>
      </c>
      <c r="F23">
        <f t="shared" si="1"/>
        <v>0</v>
      </c>
      <c r="G23">
        <f t="shared" si="1"/>
        <v>4027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5" x14ac:dyDescent="0.2"/>
  <cols>
    <col min="1" max="1" width="19.63671875" bestFit="1" customWidth="1"/>
    <col min="2" max="2" width="11.43359375" bestFit="1" customWidth="1"/>
  </cols>
  <sheetData>
    <row r="1" spans="1:2" x14ac:dyDescent="0.2">
      <c r="A1" t="s">
        <v>37</v>
      </c>
      <c r="B1" t="s">
        <v>38</v>
      </c>
    </row>
    <row r="2" spans="1:2" x14ac:dyDescent="0.2">
      <c r="A2" t="s">
        <v>117</v>
      </c>
      <c r="B2">
        <f>index!O3</f>
        <v>7500000</v>
      </c>
    </row>
    <row r="3" spans="1:2" x14ac:dyDescent="0.2">
      <c r="A3" t="s">
        <v>40</v>
      </c>
      <c r="B3">
        <f>index!O4</f>
        <v>12009700</v>
      </c>
    </row>
    <row r="4" spans="1:2" x14ac:dyDescent="0.2">
      <c r="A4" t="s">
        <v>41</v>
      </c>
      <c r="B4">
        <f>index!O5</f>
        <v>13178500</v>
      </c>
    </row>
    <row r="5" spans="1:2" x14ac:dyDescent="0.2">
      <c r="A5" t="s">
        <v>42</v>
      </c>
      <c r="B5">
        <f>index!O6</f>
        <v>16733500</v>
      </c>
    </row>
    <row r="6" spans="1:2" x14ac:dyDescent="0.2">
      <c r="A6" t="s">
        <v>43</v>
      </c>
      <c r="B6">
        <f>SUM(B2:B5)</f>
        <v>49421700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2"/>
  <sheetViews>
    <sheetView workbookViewId="0">
      <selection activeCell="B9" sqref="B9:E21"/>
    </sheetView>
  </sheetViews>
  <sheetFormatPr defaultRowHeight="15" x14ac:dyDescent="0.2"/>
  <cols>
    <col min="1" max="1" width="19.37109375" bestFit="1" customWidth="1"/>
    <col min="2" max="4" width="9.81640625" bestFit="1" customWidth="1"/>
    <col min="5" max="5" width="9.28125" bestFit="1" customWidth="1"/>
    <col min="6" max="6" width="13.1796875" bestFit="1" customWidth="1"/>
    <col min="7" max="7" width="6.72265625" bestFit="1" customWidth="1"/>
    <col min="8" max="8" width="9.4140625" bestFit="1" customWidth="1"/>
  </cols>
  <sheetData>
    <row r="1" spans="1:8" x14ac:dyDescent="0.2">
      <c r="A1" t="s">
        <v>121</v>
      </c>
      <c r="B1" t="s">
        <v>47</v>
      </c>
      <c r="C1" t="s">
        <v>39</v>
      </c>
      <c r="D1" t="s">
        <v>48</v>
      </c>
      <c r="E1" t="s">
        <v>49</v>
      </c>
      <c r="F1" t="s">
        <v>122</v>
      </c>
      <c r="G1" t="s">
        <v>123</v>
      </c>
      <c r="H1" t="s">
        <v>124</v>
      </c>
    </row>
    <row r="2" spans="1:8" x14ac:dyDescent="0.2">
      <c r="A2" t="s">
        <v>4</v>
      </c>
      <c r="B2">
        <f>index!R4</f>
        <v>0</v>
      </c>
      <c r="C2">
        <f>index!S4</f>
        <v>0</v>
      </c>
      <c r="D2">
        <f>index!T4</f>
        <v>5</v>
      </c>
      <c r="E2">
        <f>index!U4</f>
        <v>0</v>
      </c>
      <c r="F2">
        <f>SUM(B2:E2)</f>
        <v>5</v>
      </c>
      <c r="G2">
        <v>11000</v>
      </c>
      <c r="H2">
        <f>F2*G2</f>
        <v>55000</v>
      </c>
    </row>
    <row r="3" spans="1:8" x14ac:dyDescent="0.2">
      <c r="A3" t="s">
        <v>29</v>
      </c>
      <c r="B3">
        <f>index!R5</f>
        <v>0</v>
      </c>
      <c r="C3">
        <f>index!S5</f>
        <v>0</v>
      </c>
      <c r="D3">
        <f>index!T5</f>
        <v>0</v>
      </c>
      <c r="E3">
        <f>index!U5</f>
        <v>0</v>
      </c>
      <c r="F3">
        <f t="shared" ref="F3:F5" si="0">SUM(B3:E3)</f>
        <v>0</v>
      </c>
      <c r="G3">
        <v>30000</v>
      </c>
      <c r="H3">
        <f t="shared" ref="H3:H5" si="1">F3*G3</f>
        <v>0</v>
      </c>
    </row>
    <row r="4" spans="1:8" x14ac:dyDescent="0.2">
      <c r="A4" t="s">
        <v>30</v>
      </c>
      <c r="B4">
        <f>index!R6</f>
        <v>30</v>
      </c>
      <c r="C4">
        <f>index!S6</f>
        <v>10</v>
      </c>
      <c r="D4">
        <f>index!T6</f>
        <v>30</v>
      </c>
      <c r="E4">
        <f>index!U6</f>
        <v>20</v>
      </c>
      <c r="F4">
        <f t="shared" si="0"/>
        <v>90</v>
      </c>
      <c r="G4">
        <v>25000</v>
      </c>
      <c r="H4">
        <f t="shared" si="1"/>
        <v>2250000</v>
      </c>
    </row>
    <row r="5" spans="1:8" x14ac:dyDescent="0.2">
      <c r="A5" t="s">
        <v>7</v>
      </c>
      <c r="B5">
        <f>index!R7</f>
        <v>0</v>
      </c>
      <c r="C5">
        <f>index!S7</f>
        <v>0</v>
      </c>
      <c r="D5">
        <f>index!T7</f>
        <v>0</v>
      </c>
      <c r="E5">
        <f>index!U7</f>
        <v>0</v>
      </c>
      <c r="F5">
        <f t="shared" si="0"/>
        <v>0</v>
      </c>
      <c r="G5">
        <v>30000</v>
      </c>
      <c r="H5">
        <f t="shared" si="1"/>
        <v>0</v>
      </c>
    </row>
    <row r="6" spans="1:8" x14ac:dyDescent="0.2">
      <c r="A6" t="s">
        <v>125</v>
      </c>
      <c r="B6">
        <f>SUM(B2:B5)</f>
        <v>30</v>
      </c>
      <c r="C6">
        <f t="shared" ref="C6:H6" si="2">SUM(C2:C5)</f>
        <v>10</v>
      </c>
      <c r="D6">
        <f t="shared" si="2"/>
        <v>35</v>
      </c>
      <c r="E6">
        <f t="shared" si="2"/>
        <v>20</v>
      </c>
      <c r="F6">
        <f t="shared" si="2"/>
        <v>95</v>
      </c>
      <c r="H6">
        <f t="shared" si="2"/>
        <v>2305000</v>
      </c>
    </row>
    <row r="7" spans="1:8" s="47" customFormat="1" x14ac:dyDescent="0.2"/>
    <row r="8" spans="1:8" x14ac:dyDescent="0.2">
      <c r="A8" t="s">
        <v>126</v>
      </c>
      <c r="B8" t="s">
        <v>47</v>
      </c>
      <c r="C8" t="s">
        <v>39</v>
      </c>
      <c r="D8" t="s">
        <v>48</v>
      </c>
      <c r="E8" t="s">
        <v>49</v>
      </c>
      <c r="F8" t="s">
        <v>122</v>
      </c>
      <c r="G8" t="s">
        <v>123</v>
      </c>
      <c r="H8" t="s">
        <v>124</v>
      </c>
    </row>
    <row r="9" spans="1:8" x14ac:dyDescent="0.2">
      <c r="A9" t="s">
        <v>8</v>
      </c>
      <c r="B9">
        <f>index!R10</f>
        <v>20</v>
      </c>
      <c r="C9">
        <f>index!S10</f>
        <v>0</v>
      </c>
      <c r="D9">
        <f>index!T10</f>
        <v>0</v>
      </c>
      <c r="E9">
        <f>index!U10</f>
        <v>0</v>
      </c>
      <c r="F9">
        <f>SUM(B9:E9)</f>
        <v>20</v>
      </c>
      <c r="G9">
        <v>600</v>
      </c>
      <c r="H9">
        <f>F9*G9</f>
        <v>12000</v>
      </c>
    </row>
    <row r="10" spans="1:8" x14ac:dyDescent="0.2">
      <c r="A10" t="s">
        <v>31</v>
      </c>
      <c r="B10">
        <f>index!R11</f>
        <v>0</v>
      </c>
      <c r="C10">
        <f>index!S11</f>
        <v>0</v>
      </c>
      <c r="D10">
        <f>index!T11</f>
        <v>0</v>
      </c>
      <c r="E10">
        <f>index!U11</f>
        <v>0</v>
      </c>
      <c r="F10">
        <f t="shared" ref="F10:F21" si="3">SUM(B10:E10)</f>
        <v>0</v>
      </c>
      <c r="G10">
        <v>22500</v>
      </c>
      <c r="H10">
        <f t="shared" ref="H10:H21" si="4">F10*G10</f>
        <v>0</v>
      </c>
    </row>
    <row r="11" spans="1:8" x14ac:dyDescent="0.2">
      <c r="A11" t="s">
        <v>32</v>
      </c>
      <c r="B11">
        <f>index!R12</f>
        <v>5</v>
      </c>
      <c r="C11">
        <f>index!S12</f>
        <v>20</v>
      </c>
      <c r="D11">
        <f>index!T12</f>
        <v>0</v>
      </c>
      <c r="E11">
        <f>index!U12</f>
        <v>20</v>
      </c>
      <c r="F11">
        <f t="shared" si="3"/>
        <v>45</v>
      </c>
      <c r="G11">
        <v>13200</v>
      </c>
      <c r="H11">
        <f t="shared" si="4"/>
        <v>594000</v>
      </c>
    </row>
    <row r="12" spans="1:8" x14ac:dyDescent="0.2">
      <c r="A12" t="s">
        <v>33</v>
      </c>
      <c r="B12">
        <f>index!R13</f>
        <v>0</v>
      </c>
      <c r="C12">
        <f>index!S13</f>
        <v>0</v>
      </c>
      <c r="D12">
        <f>index!T13</f>
        <v>0</v>
      </c>
      <c r="E12">
        <f>index!U13</f>
        <v>0</v>
      </c>
      <c r="F12">
        <f t="shared" si="3"/>
        <v>0</v>
      </c>
      <c r="G12">
        <v>20000</v>
      </c>
      <c r="H12">
        <f t="shared" si="4"/>
        <v>0</v>
      </c>
    </row>
    <row r="13" spans="1:8" x14ac:dyDescent="0.2">
      <c r="A13" t="s">
        <v>34</v>
      </c>
      <c r="B13">
        <f>index!R14</f>
        <v>0</v>
      </c>
      <c r="C13">
        <f>index!S14</f>
        <v>0</v>
      </c>
      <c r="D13">
        <f>index!T14</f>
        <v>6</v>
      </c>
      <c r="E13">
        <f>index!U14</f>
        <v>0</v>
      </c>
      <c r="F13">
        <f t="shared" si="3"/>
        <v>6</v>
      </c>
      <c r="G13">
        <v>14500</v>
      </c>
      <c r="H13">
        <f t="shared" si="4"/>
        <v>87000</v>
      </c>
    </row>
    <row r="14" spans="1:8" x14ac:dyDescent="0.2">
      <c r="A14" t="s">
        <v>35</v>
      </c>
      <c r="B14">
        <f>index!R15</f>
        <v>0</v>
      </c>
      <c r="C14">
        <f>index!S15</f>
        <v>0</v>
      </c>
      <c r="D14">
        <f>index!T15</f>
        <v>12</v>
      </c>
      <c r="E14">
        <f>index!U15</f>
        <v>0</v>
      </c>
      <c r="F14">
        <f t="shared" si="3"/>
        <v>12</v>
      </c>
      <c r="G14">
        <v>17250</v>
      </c>
      <c r="H14">
        <f t="shared" si="4"/>
        <v>207000</v>
      </c>
    </row>
    <row r="15" spans="1:8" x14ac:dyDescent="0.2">
      <c r="A15" t="s">
        <v>36</v>
      </c>
      <c r="B15">
        <f>index!R16</f>
        <v>0</v>
      </c>
      <c r="C15">
        <f>index!S16</f>
        <v>0</v>
      </c>
      <c r="D15">
        <f>index!T16</f>
        <v>0</v>
      </c>
      <c r="E15">
        <f>index!U16</f>
        <v>0</v>
      </c>
      <c r="F15">
        <f t="shared" si="3"/>
        <v>0</v>
      </c>
      <c r="G15">
        <v>23000</v>
      </c>
      <c r="H15">
        <f t="shared" si="4"/>
        <v>0</v>
      </c>
    </row>
    <row r="16" spans="1:8" x14ac:dyDescent="0.2">
      <c r="A16" t="s">
        <v>15</v>
      </c>
      <c r="B16">
        <f>index!R17</f>
        <v>0</v>
      </c>
      <c r="C16">
        <f>index!S17</f>
        <v>0</v>
      </c>
      <c r="D16">
        <f>index!T17</f>
        <v>0</v>
      </c>
      <c r="E16">
        <f>index!U17</f>
        <v>0</v>
      </c>
      <c r="F16">
        <f t="shared" si="3"/>
        <v>0</v>
      </c>
      <c r="G16">
        <v>30000</v>
      </c>
      <c r="H16">
        <f t="shared" si="4"/>
        <v>0</v>
      </c>
    </row>
    <row r="17" spans="1:8" x14ac:dyDescent="0.2">
      <c r="A17" t="s">
        <v>16</v>
      </c>
      <c r="B17">
        <f>index!R18</f>
        <v>0</v>
      </c>
      <c r="C17">
        <f>index!S18</f>
        <v>0</v>
      </c>
      <c r="D17">
        <f>index!T18</f>
        <v>0</v>
      </c>
      <c r="E17">
        <f>index!U18</f>
        <v>0</v>
      </c>
      <c r="F17">
        <f t="shared" si="3"/>
        <v>0</v>
      </c>
      <c r="G17">
        <v>6900</v>
      </c>
      <c r="H17">
        <f t="shared" si="4"/>
        <v>0</v>
      </c>
    </row>
    <row r="18" spans="1:8" x14ac:dyDescent="0.2">
      <c r="A18" t="s">
        <v>17</v>
      </c>
      <c r="B18">
        <f>index!R19</f>
        <v>0</v>
      </c>
      <c r="C18">
        <f>index!S19</f>
        <v>0</v>
      </c>
      <c r="D18">
        <f>index!T19</f>
        <v>0</v>
      </c>
      <c r="E18">
        <f>index!U19</f>
        <v>0</v>
      </c>
      <c r="F18">
        <f t="shared" si="3"/>
        <v>0</v>
      </c>
      <c r="G18">
        <v>7000</v>
      </c>
      <c r="H18">
        <f t="shared" si="4"/>
        <v>0</v>
      </c>
    </row>
    <row r="19" spans="1:8" x14ac:dyDescent="0.2">
      <c r="A19" t="s">
        <v>18</v>
      </c>
      <c r="B19">
        <f>index!R20</f>
        <v>0</v>
      </c>
      <c r="C19">
        <f>index!S20</f>
        <v>0</v>
      </c>
      <c r="D19">
        <f>index!T20</f>
        <v>0</v>
      </c>
      <c r="E19">
        <f>index!U20</f>
        <v>0</v>
      </c>
      <c r="F19">
        <f t="shared" si="3"/>
        <v>0</v>
      </c>
      <c r="G19">
        <v>12000</v>
      </c>
      <c r="H19">
        <f t="shared" si="4"/>
        <v>0</v>
      </c>
    </row>
    <row r="20" spans="1:8" x14ac:dyDescent="0.2">
      <c r="A20" t="s">
        <v>19</v>
      </c>
      <c r="B20">
        <f>index!R21</f>
        <v>20</v>
      </c>
      <c r="C20">
        <f>index!S21</f>
        <v>45</v>
      </c>
      <c r="D20">
        <f>index!T21</f>
        <v>12</v>
      </c>
      <c r="E20">
        <f>index!U21</f>
        <v>0</v>
      </c>
      <c r="F20">
        <f t="shared" si="3"/>
        <v>77</v>
      </c>
      <c r="G20">
        <v>9600</v>
      </c>
      <c r="H20">
        <f t="shared" si="4"/>
        <v>739200</v>
      </c>
    </row>
    <row r="21" spans="1:8" x14ac:dyDescent="0.2">
      <c r="A21" t="s">
        <v>20</v>
      </c>
      <c r="B21">
        <f>index!R22</f>
        <v>0</v>
      </c>
      <c r="C21">
        <f>index!S22</f>
        <v>0</v>
      </c>
      <c r="D21">
        <f>index!T22</f>
        <v>0</v>
      </c>
      <c r="E21">
        <f>index!U22</f>
        <v>0</v>
      </c>
      <c r="F21">
        <f t="shared" si="3"/>
        <v>0</v>
      </c>
      <c r="G21">
        <v>13200</v>
      </c>
      <c r="H21">
        <f t="shared" si="4"/>
        <v>0</v>
      </c>
    </row>
    <row r="22" spans="1:8" x14ac:dyDescent="0.2">
      <c r="A22" t="s">
        <v>50</v>
      </c>
      <c r="B22">
        <f>SUM(B9:B21)</f>
        <v>45</v>
      </c>
      <c r="C22">
        <f t="shared" ref="C22:H22" si="5">SUM(C9:C21)</f>
        <v>65</v>
      </c>
      <c r="D22">
        <f t="shared" si="5"/>
        <v>30</v>
      </c>
      <c r="E22">
        <f t="shared" si="5"/>
        <v>20</v>
      </c>
      <c r="F22">
        <f t="shared" si="5"/>
        <v>160</v>
      </c>
      <c r="H22">
        <f t="shared" si="5"/>
        <v>1639200</v>
      </c>
    </row>
  </sheetData>
  <mergeCells count="1">
    <mergeCell ref="A7:XFD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51"/>
  <sheetViews>
    <sheetView tabSelected="1" workbookViewId="0">
      <selection activeCell="L3" sqref="L3:L7"/>
    </sheetView>
  </sheetViews>
  <sheetFormatPr defaultRowHeight="15" x14ac:dyDescent="0.2"/>
  <cols>
    <col min="1" max="1" width="3.765625" bestFit="1" customWidth="1"/>
    <col min="2" max="2" width="19.7734375" bestFit="1" customWidth="1"/>
    <col min="3" max="3" width="7.80078125" bestFit="1" customWidth="1"/>
    <col min="4" max="4" width="15.73828125" bestFit="1" customWidth="1"/>
    <col min="5" max="5" width="9.4140625" bestFit="1" customWidth="1"/>
    <col min="6" max="6" width="18.83203125" bestFit="1" customWidth="1"/>
    <col min="7" max="7" width="19.7734375" bestFit="1" customWidth="1"/>
    <col min="8" max="8" width="5.109375" bestFit="1" customWidth="1"/>
    <col min="9" max="11" width="9.68359375" bestFit="1" customWidth="1"/>
    <col min="12" max="12" width="8.7421875" bestFit="1" customWidth="1"/>
  </cols>
  <sheetData>
    <row r="1" spans="1:12" s="46" customFormat="1" ht="19.5" customHeight="1" x14ac:dyDescent="0.2">
      <c r="A1" s="34" t="s">
        <v>128</v>
      </c>
      <c r="B1" s="45" t="s">
        <v>129</v>
      </c>
      <c r="C1" s="37" t="s">
        <v>130</v>
      </c>
      <c r="D1" s="34" t="s">
        <v>131</v>
      </c>
      <c r="E1" s="35" t="s">
        <v>132</v>
      </c>
      <c r="F1" s="36" t="s">
        <v>133</v>
      </c>
      <c r="G1" s="35" t="s">
        <v>51</v>
      </c>
      <c r="H1" s="37" t="s">
        <v>134</v>
      </c>
      <c r="I1" s="38" t="s">
        <v>135</v>
      </c>
      <c r="J1" s="38" t="s">
        <v>136</v>
      </c>
      <c r="K1" s="38" t="s">
        <v>137</v>
      </c>
      <c r="L1" s="38" t="s">
        <v>138</v>
      </c>
    </row>
    <row r="2" spans="1:12" x14ac:dyDescent="0.2">
      <c r="A2" s="39">
        <v>1</v>
      </c>
      <c r="B2" s="40">
        <v>46176</v>
      </c>
      <c r="C2" s="41" t="s">
        <v>139</v>
      </c>
      <c r="D2" s="42" t="s">
        <v>64</v>
      </c>
      <c r="E2" s="31">
        <v>17588141</v>
      </c>
      <c r="F2" s="31" t="s">
        <v>141</v>
      </c>
      <c r="G2" s="43" t="s">
        <v>63</v>
      </c>
      <c r="H2" s="6">
        <v>1</v>
      </c>
      <c r="I2" s="44">
        <v>115800</v>
      </c>
      <c r="J2" s="44">
        <v>115800</v>
      </c>
      <c r="K2" s="44" t="s">
        <v>28</v>
      </c>
      <c r="L2" s="40">
        <v>46177</v>
      </c>
    </row>
    <row r="3" spans="1:12" x14ac:dyDescent="0.2">
      <c r="A3" s="39">
        <v>2</v>
      </c>
      <c r="B3" s="40">
        <v>46176</v>
      </c>
      <c r="C3" s="41" t="s">
        <v>140</v>
      </c>
      <c r="D3" s="42" t="s">
        <v>64</v>
      </c>
      <c r="E3" s="31">
        <v>17459415</v>
      </c>
      <c r="F3" s="31" t="s">
        <v>142</v>
      </c>
      <c r="G3" s="43" t="s">
        <v>63</v>
      </c>
      <c r="H3" s="6">
        <v>1</v>
      </c>
      <c r="I3" s="44">
        <v>118200</v>
      </c>
      <c r="J3" s="44">
        <v>118200</v>
      </c>
      <c r="K3" s="44" t="s">
        <v>28</v>
      </c>
      <c r="L3" s="40">
        <v>46177</v>
      </c>
    </row>
    <row r="4" spans="1:12" x14ac:dyDescent="0.2">
      <c r="A4" s="39">
        <v>3</v>
      </c>
      <c r="B4" s="40">
        <v>46176</v>
      </c>
      <c r="C4" s="41" t="s">
        <v>140</v>
      </c>
      <c r="D4" s="42" t="s">
        <v>64</v>
      </c>
      <c r="E4" s="31">
        <v>17197757</v>
      </c>
      <c r="F4" s="31" t="s">
        <v>143</v>
      </c>
      <c r="G4" s="43" t="s">
        <v>63</v>
      </c>
      <c r="H4" s="6">
        <v>1</v>
      </c>
      <c r="I4" s="44">
        <v>118200</v>
      </c>
      <c r="J4" s="44">
        <v>118200</v>
      </c>
      <c r="K4" s="44" t="s">
        <v>28</v>
      </c>
      <c r="L4" s="40">
        <v>46177</v>
      </c>
    </row>
    <row r="5" spans="1:12" x14ac:dyDescent="0.2">
      <c r="A5" s="39">
        <v>4</v>
      </c>
      <c r="B5" s="40">
        <v>46176</v>
      </c>
      <c r="C5" s="41" t="s">
        <v>139</v>
      </c>
      <c r="D5" s="42" t="s">
        <v>64</v>
      </c>
      <c r="E5" s="31">
        <v>17438405</v>
      </c>
      <c r="F5" s="31" t="s">
        <v>144</v>
      </c>
      <c r="G5" s="43" t="s">
        <v>65</v>
      </c>
      <c r="H5" s="6">
        <v>1</v>
      </c>
      <c r="I5" s="44">
        <v>115800</v>
      </c>
      <c r="J5" s="44">
        <v>115800</v>
      </c>
      <c r="K5" s="44" t="s">
        <v>28</v>
      </c>
      <c r="L5" s="40">
        <v>46177</v>
      </c>
    </row>
    <row r="6" spans="1:12" x14ac:dyDescent="0.2">
      <c r="A6" s="39">
        <v>5</v>
      </c>
      <c r="B6" s="40">
        <v>46176</v>
      </c>
      <c r="C6" s="41" t="s">
        <v>140</v>
      </c>
      <c r="D6" s="42" t="s">
        <v>64</v>
      </c>
      <c r="E6" s="31">
        <v>17187147</v>
      </c>
      <c r="F6" s="31" t="s">
        <v>145</v>
      </c>
      <c r="G6" s="43" t="s">
        <v>41</v>
      </c>
      <c r="H6" s="6">
        <v>1</v>
      </c>
      <c r="I6" s="44">
        <v>118200</v>
      </c>
      <c r="J6" s="44">
        <v>118200</v>
      </c>
      <c r="K6" s="44" t="s">
        <v>28</v>
      </c>
      <c r="L6" s="40">
        <v>46177</v>
      </c>
    </row>
    <row r="7" spans="1:12" x14ac:dyDescent="0.2">
      <c r="A7" s="39">
        <v>6</v>
      </c>
      <c r="B7" s="40">
        <v>46176</v>
      </c>
      <c r="C7" s="41" t="s">
        <v>140</v>
      </c>
      <c r="D7" s="42" t="s">
        <v>64</v>
      </c>
      <c r="E7" s="31">
        <v>17798355</v>
      </c>
      <c r="F7" s="31" t="s">
        <v>146</v>
      </c>
      <c r="G7" s="43" t="s">
        <v>41</v>
      </c>
      <c r="H7" s="6">
        <v>1</v>
      </c>
      <c r="I7" s="44">
        <v>118200</v>
      </c>
      <c r="J7" s="44">
        <v>118200</v>
      </c>
      <c r="K7" s="44" t="s">
        <v>28</v>
      </c>
      <c r="L7" s="40">
        <v>46177</v>
      </c>
    </row>
    <row r="8" spans="1:12" x14ac:dyDescent="0.2">
      <c r="A8" s="39">
        <v>7</v>
      </c>
      <c r="B8" s="40">
        <v>46176</v>
      </c>
      <c r="C8" s="41" t="s">
        <v>139</v>
      </c>
      <c r="D8" s="42" t="s">
        <v>64</v>
      </c>
      <c r="E8" s="31">
        <v>572672</v>
      </c>
      <c r="F8" s="31" t="s">
        <v>147</v>
      </c>
      <c r="G8" s="43" t="s">
        <v>42</v>
      </c>
      <c r="H8" s="6">
        <v>1</v>
      </c>
      <c r="I8" s="44">
        <v>115800</v>
      </c>
      <c r="J8" s="44"/>
      <c r="K8" s="44">
        <v>115800</v>
      </c>
      <c r="L8" s="44"/>
    </row>
    <row r="9" spans="1:12" x14ac:dyDescent="0.2">
      <c r="A9" s="39">
        <v>8</v>
      </c>
      <c r="B9" s="40"/>
      <c r="C9" s="41"/>
      <c r="D9" s="42"/>
      <c r="E9" s="31"/>
      <c r="F9" s="31" t="e">
        <v>#N/A</v>
      </c>
      <c r="G9" s="43"/>
      <c r="H9" s="6"/>
      <c r="I9" s="44" t="e">
        <v>#VALUE!</v>
      </c>
      <c r="J9" s="44"/>
      <c r="K9" s="44" t="e">
        <v>#VALUE!</v>
      </c>
      <c r="L9" s="44"/>
    </row>
    <row r="10" spans="1:12" x14ac:dyDescent="0.2">
      <c r="A10" s="39">
        <v>9</v>
      </c>
      <c r="B10" s="40"/>
      <c r="C10" s="41"/>
      <c r="D10" s="42"/>
      <c r="E10" s="31"/>
      <c r="F10" s="31" t="e">
        <v>#N/A</v>
      </c>
      <c r="G10" s="43"/>
      <c r="H10" s="6"/>
      <c r="I10" s="44" t="e">
        <v>#VALUE!</v>
      </c>
      <c r="J10" s="44"/>
      <c r="K10" s="44" t="e">
        <v>#VALUE!</v>
      </c>
      <c r="L10" s="44"/>
    </row>
    <row r="11" spans="1:12" x14ac:dyDescent="0.2">
      <c r="A11" s="39">
        <v>10</v>
      </c>
      <c r="B11" s="40"/>
      <c r="C11" s="41"/>
      <c r="D11" s="42"/>
      <c r="E11" s="31"/>
      <c r="F11" s="31" t="e">
        <v>#N/A</v>
      </c>
      <c r="G11" s="43"/>
      <c r="H11" s="6"/>
      <c r="I11" s="44" t="e">
        <v>#VALUE!</v>
      </c>
      <c r="J11" s="44"/>
      <c r="K11" s="44" t="e">
        <v>#VALUE!</v>
      </c>
      <c r="L11" s="44"/>
    </row>
    <row r="12" spans="1:12" x14ac:dyDescent="0.2">
      <c r="A12" s="39">
        <v>11</v>
      </c>
      <c r="B12" s="40"/>
      <c r="C12" s="41"/>
      <c r="D12" s="42"/>
      <c r="E12" s="31"/>
      <c r="F12" s="31" t="e">
        <v>#N/A</v>
      </c>
      <c r="G12" s="43"/>
      <c r="H12" s="6"/>
      <c r="I12" s="44" t="e">
        <v>#VALUE!</v>
      </c>
      <c r="J12" s="44"/>
      <c r="K12" s="44" t="e">
        <v>#VALUE!</v>
      </c>
      <c r="L12" s="44"/>
    </row>
    <row r="13" spans="1:12" x14ac:dyDescent="0.2">
      <c r="A13" s="39">
        <v>12</v>
      </c>
      <c r="B13" s="40"/>
      <c r="C13" s="41"/>
      <c r="D13" s="42"/>
      <c r="E13" s="31"/>
      <c r="F13" s="31" t="e">
        <v>#N/A</v>
      </c>
      <c r="G13" s="43"/>
      <c r="H13" s="6"/>
      <c r="I13" s="44" t="e">
        <v>#VALUE!</v>
      </c>
      <c r="J13" s="44"/>
      <c r="K13" s="44" t="e">
        <v>#VALUE!</v>
      </c>
      <c r="L13" s="44"/>
    </row>
    <row r="14" spans="1:12" x14ac:dyDescent="0.2">
      <c r="A14" s="39">
        <v>13</v>
      </c>
      <c r="B14" s="40"/>
      <c r="C14" s="41"/>
      <c r="D14" s="42"/>
      <c r="E14" s="31"/>
      <c r="F14" s="31" t="e">
        <v>#N/A</v>
      </c>
      <c r="G14" s="43"/>
      <c r="H14" s="6"/>
      <c r="I14" s="44" t="e">
        <v>#VALUE!</v>
      </c>
      <c r="J14" s="44"/>
      <c r="K14" s="44" t="e">
        <v>#VALUE!</v>
      </c>
      <c r="L14" s="44"/>
    </row>
    <row r="15" spans="1:12" x14ac:dyDescent="0.2">
      <c r="A15" s="39">
        <v>14</v>
      </c>
      <c r="B15" s="40"/>
      <c r="C15" s="41"/>
      <c r="D15" s="42"/>
      <c r="E15" s="31"/>
      <c r="F15" s="31" t="e">
        <v>#N/A</v>
      </c>
      <c r="G15" s="43"/>
      <c r="H15" s="6"/>
      <c r="I15" s="44" t="e">
        <v>#VALUE!</v>
      </c>
      <c r="J15" s="44"/>
      <c r="K15" s="44" t="e">
        <v>#VALUE!</v>
      </c>
      <c r="L15" s="44"/>
    </row>
    <row r="16" spans="1:12" x14ac:dyDescent="0.2">
      <c r="A16" s="39">
        <v>15</v>
      </c>
      <c r="B16" s="40"/>
      <c r="C16" s="41"/>
      <c r="D16" s="42"/>
      <c r="E16" s="31"/>
      <c r="F16" s="31" t="e">
        <v>#N/A</v>
      </c>
      <c r="G16" s="43"/>
      <c r="H16" s="6"/>
      <c r="I16" s="44" t="e">
        <v>#VALUE!</v>
      </c>
      <c r="J16" s="44"/>
      <c r="K16" s="44" t="e">
        <v>#VALUE!</v>
      </c>
      <c r="L16" s="44"/>
    </row>
    <row r="17" spans="1:12" x14ac:dyDescent="0.2">
      <c r="A17" s="39">
        <v>16</v>
      </c>
      <c r="B17" s="40"/>
      <c r="C17" s="41"/>
      <c r="D17" s="42"/>
      <c r="E17" s="31"/>
      <c r="F17" s="31" t="e">
        <v>#N/A</v>
      </c>
      <c r="G17" s="43"/>
      <c r="H17" s="6"/>
      <c r="I17" s="44" t="e">
        <v>#VALUE!</v>
      </c>
      <c r="J17" s="44"/>
      <c r="K17" s="44" t="e">
        <v>#VALUE!</v>
      </c>
      <c r="L17" s="44"/>
    </row>
    <row r="18" spans="1:12" x14ac:dyDescent="0.2">
      <c r="A18" s="39">
        <v>17</v>
      </c>
      <c r="B18" s="40"/>
      <c r="C18" s="41"/>
      <c r="D18" s="42"/>
      <c r="E18" s="31"/>
      <c r="F18" s="31" t="e">
        <v>#N/A</v>
      </c>
      <c r="G18" s="43"/>
      <c r="H18" s="6"/>
      <c r="I18" s="44" t="e">
        <v>#VALUE!</v>
      </c>
      <c r="J18" s="44"/>
      <c r="K18" s="44" t="e">
        <v>#VALUE!</v>
      </c>
      <c r="L18" s="44"/>
    </row>
    <row r="19" spans="1:12" x14ac:dyDescent="0.2">
      <c r="A19" s="39">
        <v>18</v>
      </c>
      <c r="B19" s="40"/>
      <c r="C19" s="41"/>
      <c r="D19" s="42"/>
      <c r="E19" s="31"/>
      <c r="F19" s="31" t="e">
        <v>#N/A</v>
      </c>
      <c r="G19" s="43"/>
      <c r="H19" s="6"/>
      <c r="I19" s="44" t="e">
        <v>#VALUE!</v>
      </c>
      <c r="J19" s="44"/>
      <c r="K19" s="44" t="e">
        <v>#VALUE!</v>
      </c>
      <c r="L19" s="44"/>
    </row>
    <row r="20" spans="1:12" x14ac:dyDescent="0.2">
      <c r="A20" s="39">
        <v>19</v>
      </c>
      <c r="B20" s="40"/>
      <c r="C20" s="41"/>
      <c r="D20" s="42"/>
      <c r="E20" s="31"/>
      <c r="F20" s="31" t="e">
        <v>#N/A</v>
      </c>
      <c r="G20" s="43"/>
      <c r="H20" s="6"/>
      <c r="I20" s="44" t="e">
        <v>#VALUE!</v>
      </c>
      <c r="J20" s="44"/>
      <c r="K20" s="44" t="e">
        <v>#VALUE!</v>
      </c>
      <c r="L20" s="44"/>
    </row>
    <row r="21" spans="1:12" x14ac:dyDescent="0.2">
      <c r="A21" s="39">
        <v>20</v>
      </c>
      <c r="B21" s="40"/>
      <c r="C21" s="41"/>
      <c r="D21" s="42"/>
      <c r="E21" s="31"/>
      <c r="F21" s="31" t="e">
        <v>#N/A</v>
      </c>
      <c r="G21" s="43"/>
      <c r="H21" s="6"/>
      <c r="I21" s="44" t="e">
        <v>#VALUE!</v>
      </c>
      <c r="J21" s="44"/>
      <c r="K21" s="44" t="e">
        <v>#VALUE!</v>
      </c>
      <c r="L21" s="44"/>
    </row>
    <row r="22" spans="1:12" x14ac:dyDescent="0.2">
      <c r="A22" s="39">
        <v>21</v>
      </c>
      <c r="B22" s="40"/>
      <c r="C22" s="41"/>
      <c r="D22" s="42"/>
      <c r="E22" s="31"/>
      <c r="F22" s="31" t="e">
        <v>#N/A</v>
      </c>
      <c r="G22" s="43"/>
      <c r="H22" s="6"/>
      <c r="I22" s="44" t="e">
        <v>#VALUE!</v>
      </c>
      <c r="J22" s="44"/>
      <c r="K22" s="44" t="e">
        <v>#VALUE!</v>
      </c>
      <c r="L22" s="44"/>
    </row>
    <row r="23" spans="1:12" x14ac:dyDescent="0.2">
      <c r="A23" s="39">
        <v>22</v>
      </c>
      <c r="B23" s="40"/>
      <c r="C23" s="41"/>
      <c r="D23" s="42"/>
      <c r="E23" s="31"/>
      <c r="F23" s="31" t="e">
        <v>#N/A</v>
      </c>
      <c r="G23" s="43"/>
      <c r="H23" s="6"/>
      <c r="I23" s="44" t="e">
        <v>#VALUE!</v>
      </c>
      <c r="J23" s="44"/>
      <c r="K23" s="44" t="e">
        <v>#VALUE!</v>
      </c>
      <c r="L23" s="44"/>
    </row>
    <row r="24" spans="1:12" x14ac:dyDescent="0.2">
      <c r="A24" s="39">
        <v>23</v>
      </c>
      <c r="B24" s="40"/>
      <c r="C24" s="41"/>
      <c r="D24" s="42"/>
      <c r="E24" s="31"/>
      <c r="F24" s="31" t="e">
        <v>#N/A</v>
      </c>
      <c r="G24" s="43"/>
      <c r="H24" s="6"/>
      <c r="I24" s="44" t="e">
        <v>#VALUE!</v>
      </c>
      <c r="J24" s="44"/>
      <c r="K24" s="44" t="e">
        <v>#VALUE!</v>
      </c>
      <c r="L24" s="44"/>
    </row>
    <row r="25" spans="1:12" x14ac:dyDescent="0.2">
      <c r="A25" s="39">
        <v>24</v>
      </c>
      <c r="B25" s="40"/>
      <c r="C25" s="41"/>
      <c r="D25" s="42"/>
      <c r="E25" s="31"/>
      <c r="F25" s="31" t="e">
        <v>#N/A</v>
      </c>
      <c r="G25" s="43"/>
      <c r="H25" s="6"/>
      <c r="I25" s="44" t="e">
        <v>#VALUE!</v>
      </c>
      <c r="J25" s="44"/>
      <c r="K25" s="44" t="e">
        <v>#VALUE!</v>
      </c>
      <c r="L25" s="44"/>
    </row>
    <row r="26" spans="1:12" x14ac:dyDescent="0.2">
      <c r="A26" s="39">
        <v>25</v>
      </c>
      <c r="B26" s="40"/>
      <c r="C26" s="41"/>
      <c r="D26" s="42"/>
      <c r="E26" s="31"/>
      <c r="F26" s="31" t="e">
        <v>#N/A</v>
      </c>
      <c r="G26" s="31"/>
      <c r="H26" s="6"/>
      <c r="I26" s="44" t="e">
        <v>#VALUE!</v>
      </c>
      <c r="J26" s="44"/>
      <c r="K26" s="44" t="e">
        <v>#VALUE!</v>
      </c>
      <c r="L26" s="44"/>
    </row>
    <row r="27" spans="1:12" x14ac:dyDescent="0.2">
      <c r="A27" s="39">
        <v>26</v>
      </c>
      <c r="B27" s="40"/>
      <c r="C27" s="41"/>
      <c r="D27" s="42"/>
      <c r="E27" s="31"/>
      <c r="F27" s="31" t="e">
        <v>#N/A</v>
      </c>
      <c r="G27" s="31"/>
      <c r="H27" s="6"/>
      <c r="I27" s="44" t="e">
        <v>#VALUE!</v>
      </c>
      <c r="J27" s="44"/>
      <c r="K27" s="44" t="e">
        <v>#VALUE!</v>
      </c>
      <c r="L27" s="44"/>
    </row>
    <row r="28" spans="1:12" x14ac:dyDescent="0.2">
      <c r="A28" s="39">
        <v>27</v>
      </c>
      <c r="B28" s="40"/>
      <c r="C28" s="41"/>
      <c r="D28" s="42"/>
      <c r="E28" s="31"/>
      <c r="F28" s="31" t="e">
        <v>#N/A</v>
      </c>
      <c r="G28" s="31"/>
      <c r="H28" s="6"/>
      <c r="I28" s="44" t="e">
        <v>#VALUE!</v>
      </c>
      <c r="J28" s="44"/>
      <c r="K28" s="44" t="e">
        <v>#VALUE!</v>
      </c>
      <c r="L28" s="44"/>
    </row>
    <row r="29" spans="1:12" x14ac:dyDescent="0.2">
      <c r="A29" s="39">
        <v>28</v>
      </c>
      <c r="B29" s="40"/>
      <c r="C29" s="41"/>
      <c r="D29" s="42"/>
      <c r="E29" s="31"/>
      <c r="F29" s="31" t="e">
        <v>#N/A</v>
      </c>
      <c r="G29" s="31"/>
      <c r="H29" s="6"/>
      <c r="I29" s="44" t="e">
        <v>#VALUE!</v>
      </c>
      <c r="J29" s="44"/>
      <c r="K29" s="44" t="e">
        <v>#VALUE!</v>
      </c>
      <c r="L29" s="44"/>
    </row>
    <row r="30" spans="1:12" x14ac:dyDescent="0.2">
      <c r="A30" s="39">
        <v>29</v>
      </c>
      <c r="B30" s="40"/>
      <c r="C30" s="41"/>
      <c r="D30" s="42"/>
      <c r="E30" s="31"/>
      <c r="F30" s="31" t="e">
        <v>#N/A</v>
      </c>
      <c r="G30" s="31"/>
      <c r="H30" s="6"/>
      <c r="I30" s="44" t="e">
        <v>#VALUE!</v>
      </c>
      <c r="J30" s="44"/>
      <c r="K30" s="44" t="e">
        <v>#VALUE!</v>
      </c>
      <c r="L30" s="44"/>
    </row>
    <row r="31" spans="1:12" x14ac:dyDescent="0.2">
      <c r="A31" s="39">
        <v>30</v>
      </c>
      <c r="B31" s="40"/>
      <c r="C31" s="41"/>
      <c r="D31" s="42"/>
      <c r="E31" s="31"/>
      <c r="F31" s="31" t="e">
        <v>#N/A</v>
      </c>
      <c r="G31" s="31"/>
      <c r="H31" s="6"/>
      <c r="I31" s="44" t="e">
        <v>#VALUE!</v>
      </c>
      <c r="J31" s="44"/>
      <c r="K31" s="44" t="e">
        <v>#VALUE!</v>
      </c>
      <c r="L31" s="44"/>
    </row>
    <row r="32" spans="1:12" x14ac:dyDescent="0.2">
      <c r="A32" s="39">
        <v>31</v>
      </c>
      <c r="B32" s="40"/>
      <c r="C32" s="41"/>
      <c r="D32" s="42"/>
      <c r="E32" s="31"/>
      <c r="F32" s="31" t="e">
        <v>#N/A</v>
      </c>
      <c r="G32" s="31"/>
      <c r="H32" s="6"/>
      <c r="I32" s="44" t="e">
        <v>#VALUE!</v>
      </c>
      <c r="J32" s="44"/>
      <c r="K32" s="44" t="e">
        <v>#VALUE!</v>
      </c>
      <c r="L32" s="44"/>
    </row>
    <row r="33" spans="1:12" x14ac:dyDescent="0.2">
      <c r="A33" s="39">
        <v>32</v>
      </c>
      <c r="B33" s="40"/>
      <c r="C33" s="41"/>
      <c r="D33" s="42"/>
      <c r="E33" s="31"/>
      <c r="F33" s="31" t="e">
        <v>#N/A</v>
      </c>
      <c r="G33" s="31"/>
      <c r="H33" s="6"/>
      <c r="I33" s="44" t="e">
        <v>#VALUE!</v>
      </c>
      <c r="J33" s="44"/>
      <c r="K33" s="44" t="e">
        <v>#VALUE!</v>
      </c>
      <c r="L33" s="44"/>
    </row>
    <row r="34" spans="1:12" x14ac:dyDescent="0.2">
      <c r="A34" s="39">
        <v>33</v>
      </c>
      <c r="B34" s="40"/>
      <c r="C34" s="41"/>
      <c r="D34" s="42"/>
      <c r="E34" s="31"/>
      <c r="F34" s="31" t="e">
        <v>#N/A</v>
      </c>
      <c r="G34" s="31"/>
      <c r="H34" s="6"/>
      <c r="I34" s="44" t="e">
        <v>#VALUE!</v>
      </c>
      <c r="J34" s="44"/>
      <c r="K34" s="44" t="e">
        <v>#VALUE!</v>
      </c>
      <c r="L34" s="44"/>
    </row>
    <row r="35" spans="1:12" x14ac:dyDescent="0.2">
      <c r="A35" s="39">
        <v>34</v>
      </c>
      <c r="B35" s="40"/>
      <c r="C35" s="41"/>
      <c r="D35" s="42"/>
      <c r="E35" s="31"/>
      <c r="F35" s="31" t="e">
        <v>#N/A</v>
      </c>
      <c r="G35" s="31"/>
      <c r="H35" s="6"/>
      <c r="I35" s="44" t="e">
        <v>#VALUE!</v>
      </c>
      <c r="J35" s="44"/>
      <c r="K35" s="44" t="e">
        <v>#VALUE!</v>
      </c>
      <c r="L35" s="44"/>
    </row>
    <row r="36" spans="1:12" x14ac:dyDescent="0.2">
      <c r="A36" s="39">
        <v>35</v>
      </c>
      <c r="B36" s="40"/>
      <c r="C36" s="41"/>
      <c r="D36" s="42"/>
      <c r="E36" s="31"/>
      <c r="F36" s="31" t="e">
        <v>#N/A</v>
      </c>
      <c r="G36" s="31"/>
      <c r="H36" s="6"/>
      <c r="I36" s="44" t="e">
        <v>#VALUE!</v>
      </c>
      <c r="J36" s="44"/>
      <c r="K36" s="44" t="e">
        <v>#VALUE!</v>
      </c>
      <c r="L36" s="44"/>
    </row>
    <row r="37" spans="1:12" x14ac:dyDescent="0.2">
      <c r="A37" s="39">
        <v>36</v>
      </c>
      <c r="B37" s="40"/>
      <c r="C37" s="41"/>
      <c r="D37" s="42"/>
      <c r="E37" s="31"/>
      <c r="F37" s="31" t="e">
        <v>#N/A</v>
      </c>
      <c r="G37" s="31"/>
      <c r="H37" s="6"/>
      <c r="I37" s="44" t="e">
        <v>#VALUE!</v>
      </c>
      <c r="J37" s="44"/>
      <c r="K37" s="44" t="e">
        <v>#VALUE!</v>
      </c>
      <c r="L37" s="44"/>
    </row>
    <row r="38" spans="1:12" x14ac:dyDescent="0.2">
      <c r="A38" s="39">
        <v>37</v>
      </c>
      <c r="B38" s="40"/>
      <c r="C38" s="41"/>
      <c r="D38" s="42"/>
      <c r="E38" s="31"/>
      <c r="F38" s="31" t="e">
        <v>#N/A</v>
      </c>
      <c r="G38" s="31"/>
      <c r="H38" s="6"/>
      <c r="I38" s="44" t="e">
        <v>#VALUE!</v>
      </c>
      <c r="J38" s="44"/>
      <c r="K38" s="44" t="e">
        <v>#VALUE!</v>
      </c>
      <c r="L38" s="44"/>
    </row>
    <row r="39" spans="1:12" x14ac:dyDescent="0.2">
      <c r="A39" s="39">
        <v>38</v>
      </c>
      <c r="B39" s="40"/>
      <c r="C39" s="41"/>
      <c r="D39" s="42"/>
      <c r="E39" s="31"/>
      <c r="F39" s="31" t="e">
        <v>#N/A</v>
      </c>
      <c r="G39" s="31"/>
      <c r="H39" s="6"/>
      <c r="I39" s="44" t="e">
        <v>#VALUE!</v>
      </c>
      <c r="J39" s="44"/>
      <c r="K39" s="44" t="e">
        <v>#VALUE!</v>
      </c>
      <c r="L39" s="44"/>
    </row>
    <row r="40" spans="1:12" x14ac:dyDescent="0.2">
      <c r="A40" s="39">
        <v>39</v>
      </c>
      <c r="B40" s="40"/>
      <c r="C40" s="41"/>
      <c r="D40" s="42"/>
      <c r="E40" s="31"/>
      <c r="F40" s="31" t="e">
        <v>#N/A</v>
      </c>
      <c r="G40" s="31"/>
      <c r="H40" s="6"/>
      <c r="I40" s="44" t="e">
        <v>#VALUE!</v>
      </c>
      <c r="J40" s="44"/>
      <c r="K40" s="44" t="e">
        <v>#VALUE!</v>
      </c>
      <c r="L40" s="44"/>
    </row>
    <row r="41" spans="1:12" x14ac:dyDescent="0.2">
      <c r="A41" s="39">
        <v>40</v>
      </c>
      <c r="B41" s="40"/>
      <c r="C41" s="41"/>
      <c r="D41" s="42"/>
      <c r="E41" s="31"/>
      <c r="F41" s="31" t="e">
        <v>#N/A</v>
      </c>
      <c r="G41" s="31"/>
      <c r="H41" s="6"/>
      <c r="I41" s="44" t="e">
        <v>#VALUE!</v>
      </c>
      <c r="J41" s="44"/>
      <c r="K41" s="44" t="e">
        <v>#VALUE!</v>
      </c>
      <c r="L41" s="44"/>
    </row>
    <row r="42" spans="1:12" x14ac:dyDescent="0.2">
      <c r="A42" s="39">
        <v>41</v>
      </c>
      <c r="B42" s="40"/>
      <c r="C42" s="41"/>
      <c r="D42" s="42"/>
      <c r="E42" s="31"/>
      <c r="F42" s="31" t="e">
        <v>#N/A</v>
      </c>
      <c r="G42" s="31"/>
      <c r="H42" s="6"/>
      <c r="I42" s="44" t="e">
        <v>#VALUE!</v>
      </c>
      <c r="J42" s="44"/>
      <c r="K42" s="44" t="e">
        <v>#VALUE!</v>
      </c>
      <c r="L42" s="44"/>
    </row>
    <row r="43" spans="1:12" x14ac:dyDescent="0.2">
      <c r="A43" s="39">
        <v>42</v>
      </c>
      <c r="B43" s="40"/>
      <c r="C43" s="41"/>
      <c r="D43" s="42"/>
      <c r="E43" s="31"/>
      <c r="F43" s="31" t="e">
        <v>#N/A</v>
      </c>
      <c r="G43" s="31"/>
      <c r="H43" s="6"/>
      <c r="I43" s="44" t="e">
        <v>#VALUE!</v>
      </c>
      <c r="J43" s="44"/>
      <c r="K43" s="44" t="e">
        <v>#VALUE!</v>
      </c>
      <c r="L43" s="44"/>
    </row>
    <row r="44" spans="1:12" x14ac:dyDescent="0.2">
      <c r="A44" s="39">
        <v>43</v>
      </c>
      <c r="B44" s="40"/>
      <c r="C44" s="41"/>
      <c r="D44" s="42"/>
      <c r="E44" s="31"/>
      <c r="F44" s="31" t="e">
        <v>#N/A</v>
      </c>
      <c r="G44" s="31"/>
      <c r="H44" s="6"/>
      <c r="I44" s="44" t="e">
        <v>#VALUE!</v>
      </c>
      <c r="J44" s="44"/>
      <c r="K44" s="44" t="e">
        <v>#VALUE!</v>
      </c>
      <c r="L44" s="44"/>
    </row>
    <row r="45" spans="1:12" x14ac:dyDescent="0.2">
      <c r="A45" s="39">
        <v>44</v>
      </c>
      <c r="B45" s="40"/>
      <c r="C45" s="41"/>
      <c r="D45" s="42"/>
      <c r="E45" s="42"/>
      <c r="F45" s="31" t="e">
        <v>#N/A</v>
      </c>
      <c r="G45" s="43"/>
      <c r="H45" s="6"/>
      <c r="I45" s="44" t="e">
        <v>#VALUE!</v>
      </c>
      <c r="J45" s="44"/>
      <c r="K45" s="44" t="e">
        <v>#VALUE!</v>
      </c>
      <c r="L45" s="44"/>
    </row>
    <row r="46" spans="1:12" x14ac:dyDescent="0.2">
      <c r="A46" s="39">
        <v>45</v>
      </c>
      <c r="B46" s="40"/>
      <c r="C46" s="41"/>
      <c r="D46" s="42"/>
      <c r="E46" s="42"/>
      <c r="F46" s="31" t="e">
        <v>#N/A</v>
      </c>
      <c r="G46" s="43"/>
      <c r="H46" s="6"/>
      <c r="I46" s="44" t="e">
        <v>#VALUE!</v>
      </c>
      <c r="J46" s="44"/>
      <c r="K46" s="44" t="e">
        <v>#VALUE!</v>
      </c>
      <c r="L46" s="44"/>
    </row>
    <row r="47" spans="1:12" x14ac:dyDescent="0.2">
      <c r="A47" s="39">
        <v>46</v>
      </c>
      <c r="B47" s="40"/>
      <c r="C47" s="41"/>
      <c r="D47" s="42"/>
      <c r="E47" s="42"/>
      <c r="F47" s="31" t="e">
        <v>#N/A</v>
      </c>
      <c r="G47" s="43"/>
      <c r="H47" s="6"/>
      <c r="I47" s="44" t="e">
        <v>#VALUE!</v>
      </c>
      <c r="J47" s="44"/>
      <c r="K47" s="44" t="e">
        <v>#VALUE!</v>
      </c>
      <c r="L47" s="44"/>
    </row>
    <row r="48" spans="1:12" x14ac:dyDescent="0.2">
      <c r="A48" s="39">
        <v>47</v>
      </c>
      <c r="B48" s="40"/>
      <c r="C48" s="41"/>
      <c r="D48" s="42"/>
      <c r="E48" s="42"/>
      <c r="F48" s="31" t="e">
        <v>#N/A</v>
      </c>
      <c r="G48" s="43"/>
      <c r="H48" s="6"/>
      <c r="I48" s="44" t="e">
        <v>#VALUE!</v>
      </c>
      <c r="J48" s="44"/>
      <c r="K48" s="44" t="e">
        <v>#VALUE!</v>
      </c>
      <c r="L48" s="44"/>
    </row>
    <row r="49" spans="1:12" x14ac:dyDescent="0.2">
      <c r="A49" s="39">
        <v>48</v>
      </c>
      <c r="B49" s="40"/>
      <c r="C49" s="41"/>
      <c r="D49" s="42"/>
      <c r="E49" s="42"/>
      <c r="F49" s="31" t="e">
        <v>#N/A</v>
      </c>
      <c r="G49" s="43"/>
      <c r="H49" s="6"/>
      <c r="I49" s="44" t="e">
        <v>#VALUE!</v>
      </c>
      <c r="J49" s="44"/>
      <c r="K49" s="44" t="e">
        <v>#VALUE!</v>
      </c>
      <c r="L49" s="44"/>
    </row>
    <row r="50" spans="1:12" x14ac:dyDescent="0.2">
      <c r="A50" s="39">
        <v>49</v>
      </c>
      <c r="B50" s="40"/>
      <c r="C50" s="41"/>
      <c r="D50" s="42"/>
      <c r="E50" s="42"/>
      <c r="F50" s="31" t="e">
        <v>#N/A</v>
      </c>
      <c r="G50" s="43"/>
      <c r="H50" s="6"/>
      <c r="I50" s="44" t="e">
        <v>#VALUE!</v>
      </c>
      <c r="J50" s="44"/>
      <c r="K50" s="44" t="e">
        <v>#VALUE!</v>
      </c>
      <c r="L50" s="44"/>
    </row>
    <row r="51" spans="1:12" x14ac:dyDescent="0.2">
      <c r="A51" s="39">
        <v>50</v>
      </c>
      <c r="B51" s="40"/>
      <c r="C51" s="41"/>
      <c r="D51" s="42"/>
      <c r="E51" s="42"/>
      <c r="F51" s="31" t="e">
        <v>#N/A</v>
      </c>
      <c r="G51" s="43"/>
      <c r="H51" s="6"/>
      <c r="I51" s="44" t="e">
        <v>#VALUE!</v>
      </c>
      <c r="J51" s="44"/>
      <c r="K51" s="44" t="e">
        <v>#VALUE!</v>
      </c>
      <c r="L51" s="44"/>
    </row>
  </sheetData>
  <conditionalFormatting sqref="E2:E51">
    <cfRule type="duplicateValues" dxfId="1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F18" sqref="F18"/>
    </sheetView>
  </sheetViews>
  <sheetFormatPr defaultRowHeight="15" x14ac:dyDescent="0.2"/>
  <cols>
    <col min="1" max="1" width="19.1015625" bestFit="1" customWidth="1"/>
    <col min="2" max="2" width="15.33203125" bestFit="1" customWidth="1"/>
    <col min="3" max="3" width="6.72265625" bestFit="1" customWidth="1"/>
    <col min="4" max="4" width="12.9140625" bestFit="1" customWidth="1"/>
    <col min="5" max="5" width="12.10546875" bestFit="1" customWidth="1"/>
    <col min="6" max="6" width="20.17578125" bestFit="1" customWidth="1"/>
    <col min="7" max="7" width="3.09375" bestFit="1" customWidth="1"/>
    <col min="8" max="8" width="5.91796875" bestFit="1" customWidth="1"/>
  </cols>
  <sheetData>
    <row r="1" spans="1:8" x14ac:dyDescent="0.2">
      <c r="A1" t="s">
        <v>66</v>
      </c>
      <c r="B1" t="s">
        <v>51</v>
      </c>
      <c r="C1" t="s">
        <v>55</v>
      </c>
      <c r="D1" t="s">
        <v>67</v>
      </c>
      <c r="E1" t="s">
        <v>68</v>
      </c>
      <c r="F1" t="s">
        <v>69</v>
      </c>
      <c r="G1" t="s">
        <v>70</v>
      </c>
      <c r="H1" t="s">
        <v>27</v>
      </c>
    </row>
    <row r="2" spans="1:8" x14ac:dyDescent="0.2">
      <c r="A2" t="s">
        <v>71</v>
      </c>
      <c r="B2" t="s">
        <v>63</v>
      </c>
      <c r="C2">
        <f>index!AC12</f>
        <v>63</v>
      </c>
      <c r="D2">
        <f>index!AD12</f>
        <v>630000</v>
      </c>
      <c r="E2">
        <v>630000</v>
      </c>
      <c r="F2">
        <f>index!AF12</f>
        <v>63</v>
      </c>
      <c r="G2">
        <f>index!AG12</f>
        <v>0</v>
      </c>
      <c r="H2">
        <f>index!AH12</f>
        <v>63</v>
      </c>
    </row>
    <row r="3" spans="1:8" x14ac:dyDescent="0.2">
      <c r="A3" t="s">
        <v>72</v>
      </c>
      <c r="B3" t="s">
        <v>65</v>
      </c>
      <c r="C3">
        <f>index!AC13</f>
        <v>63</v>
      </c>
      <c r="D3">
        <f>index!AD13</f>
        <v>630000</v>
      </c>
      <c r="E3">
        <v>630000</v>
      </c>
      <c r="F3">
        <f>index!AF13</f>
        <v>63</v>
      </c>
      <c r="G3">
        <f>index!AG13</f>
        <v>0</v>
      </c>
      <c r="H3">
        <f>index!AH13</f>
        <v>63</v>
      </c>
    </row>
    <row r="4" spans="1:8" x14ac:dyDescent="0.2">
      <c r="A4" t="s">
        <v>73</v>
      </c>
      <c r="B4" t="s">
        <v>41</v>
      </c>
      <c r="C4">
        <f>index!AC14</f>
        <v>63</v>
      </c>
      <c r="D4">
        <f>index!AD14</f>
        <v>630000</v>
      </c>
      <c r="E4">
        <v>630000</v>
      </c>
      <c r="F4">
        <f>index!AF14</f>
        <v>63</v>
      </c>
      <c r="G4">
        <f>index!AG14</f>
        <v>0</v>
      </c>
      <c r="H4">
        <f>index!AH14</f>
        <v>63</v>
      </c>
    </row>
    <row r="5" spans="1:8" x14ac:dyDescent="0.2">
      <c r="A5" t="s">
        <v>74</v>
      </c>
      <c r="B5" t="s">
        <v>42</v>
      </c>
      <c r="C5">
        <f>index!AC15</f>
        <v>63</v>
      </c>
      <c r="D5">
        <f>index!AD15</f>
        <v>630000</v>
      </c>
      <c r="E5">
        <v>630000</v>
      </c>
      <c r="F5">
        <f>index!AF15</f>
        <v>63</v>
      </c>
      <c r="G5">
        <f>index!AG15</f>
        <v>0</v>
      </c>
      <c r="H5">
        <f>index!AH15</f>
        <v>63</v>
      </c>
    </row>
    <row r="6" spans="1:8" x14ac:dyDescent="0.2">
      <c r="C6">
        <f>SUM(C2:C5)</f>
        <v>252</v>
      </c>
      <c r="D6">
        <f t="shared" ref="D6:H6" si="0">SUM(D2:D5)</f>
        <v>2520000</v>
      </c>
      <c r="E6">
        <f t="shared" si="0"/>
        <v>2520000</v>
      </c>
      <c r="F6">
        <f t="shared" si="0"/>
        <v>252</v>
      </c>
      <c r="G6">
        <f t="shared" si="0"/>
        <v>0</v>
      </c>
      <c r="H6">
        <f t="shared" si="0"/>
        <v>252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M19"/>
  <sheetViews>
    <sheetView topLeftCell="G1" workbookViewId="0">
      <selection activeCell="I6" sqref="I6"/>
    </sheetView>
  </sheetViews>
  <sheetFormatPr defaultRowHeight="15" x14ac:dyDescent="0.2"/>
  <cols>
    <col min="2" max="2" width="11.703125" style="11" bestFit="1" customWidth="1"/>
    <col min="4" max="4" width="13.85546875" bestFit="1" customWidth="1"/>
    <col min="6" max="6" width="12.9140625" bestFit="1" customWidth="1"/>
    <col min="7" max="7" width="15.87109375" bestFit="1" customWidth="1"/>
    <col min="8" max="8" width="15.87109375" customWidth="1"/>
    <col min="9" max="9" width="12.23828125" bestFit="1" customWidth="1"/>
    <col min="10" max="10" width="13.98828125" bestFit="1" customWidth="1"/>
    <col min="11" max="11" width="11.703125" bestFit="1" customWidth="1"/>
  </cols>
  <sheetData>
    <row r="1" spans="1:13" x14ac:dyDescent="0.2">
      <c r="A1" s="2" t="s">
        <v>75</v>
      </c>
      <c r="B1" s="2" t="s">
        <v>76</v>
      </c>
      <c r="C1" s="3" t="s">
        <v>77</v>
      </c>
      <c r="D1" s="3" t="s">
        <v>78</v>
      </c>
      <c r="E1" s="3" t="s">
        <v>79</v>
      </c>
      <c r="F1" s="3" t="s">
        <v>80</v>
      </c>
      <c r="G1" s="3" t="s">
        <v>81</v>
      </c>
      <c r="H1" s="3" t="s">
        <v>45</v>
      </c>
      <c r="I1" s="3" t="s">
        <v>82</v>
      </c>
      <c r="J1" s="3" t="s">
        <v>83</v>
      </c>
      <c r="K1" s="3" t="s">
        <v>84</v>
      </c>
    </row>
    <row r="2" spans="1:13" x14ac:dyDescent="0.2">
      <c r="A2" s="4">
        <v>1</v>
      </c>
      <c r="B2" s="5">
        <f>index!AN3</f>
        <v>46157</v>
      </c>
      <c r="C2" s="4" t="str">
        <f>index!AO3</f>
        <v>PARHAN</v>
      </c>
      <c r="D2" s="6" t="str">
        <f>index!AP3</f>
        <v>HIFI HKM</v>
      </c>
      <c r="E2" s="4">
        <f>index!AQ3</f>
        <v>1</v>
      </c>
      <c r="F2" s="7" t="str">
        <f>index!AR3</f>
        <v>085882744188</v>
      </c>
      <c r="G2" s="7" t="str">
        <f>index!AS3</f>
        <v>355806671171222</v>
      </c>
      <c r="H2" s="8">
        <f>index!AT3</f>
        <v>310000</v>
      </c>
      <c r="I2" s="5">
        <f>index!AU3</f>
        <v>0</v>
      </c>
      <c r="J2" s="4" t="str">
        <f>index!AV3</f>
        <v>On Hand Dse</v>
      </c>
      <c r="K2" s="5"/>
    </row>
    <row r="3" spans="1:13" x14ac:dyDescent="0.2">
      <c r="A3" s="4">
        <v>2</v>
      </c>
      <c r="B3" s="5">
        <f>index!AN4</f>
        <v>46157</v>
      </c>
      <c r="C3" s="4" t="str">
        <f>index!AO4</f>
        <v>ANDI</v>
      </c>
      <c r="D3" s="6" t="str">
        <f>index!AP4</f>
        <v>HIFI HKM</v>
      </c>
      <c r="E3" s="4">
        <f>index!AQ4</f>
        <v>1</v>
      </c>
      <c r="F3" s="7" t="str">
        <f>index!AR4</f>
        <v>085882744191</v>
      </c>
      <c r="G3" s="7" t="str">
        <f>index!AS4</f>
        <v>355806671185115</v>
      </c>
      <c r="H3" s="8">
        <f>index!AT4</f>
        <v>310000</v>
      </c>
      <c r="I3" s="5">
        <f>index!AU4</f>
        <v>46176</v>
      </c>
      <c r="J3" s="4" t="str">
        <f>index!AV4</f>
        <v>LUNAS</v>
      </c>
      <c r="K3" s="5"/>
    </row>
    <row r="4" spans="1:13" x14ac:dyDescent="0.2">
      <c r="A4" s="4">
        <v>3</v>
      </c>
      <c r="B4" s="5">
        <f>index!AN5</f>
        <v>46157</v>
      </c>
      <c r="C4" s="4" t="str">
        <f>index!AO5</f>
        <v>ENDEN</v>
      </c>
      <c r="D4" s="6" t="str">
        <f>index!AP5</f>
        <v>HIFI HKM</v>
      </c>
      <c r="E4" s="4">
        <f>index!AQ5</f>
        <v>1</v>
      </c>
      <c r="F4" s="7" t="str">
        <f>index!AR5</f>
        <v>085882744185</v>
      </c>
      <c r="G4" s="7" t="str">
        <f>index!AS5</f>
        <v>355806671171578</v>
      </c>
      <c r="H4" s="8">
        <f>index!AT5</f>
        <v>310000</v>
      </c>
      <c r="I4" s="5">
        <f>index!AU5</f>
        <v>46177</v>
      </c>
      <c r="J4" s="4" t="str">
        <f>index!AV5</f>
        <v>LUNAS</v>
      </c>
      <c r="K4" s="5"/>
      <c r="M4" t="s">
        <v>93</v>
      </c>
    </row>
    <row r="5" spans="1:13" x14ac:dyDescent="0.2">
      <c r="A5" s="4">
        <v>4</v>
      </c>
      <c r="B5" s="5">
        <f>index!AN6</f>
        <v>46157</v>
      </c>
      <c r="C5" s="4" t="str">
        <f>index!AO6</f>
        <v>PEBRIAN</v>
      </c>
      <c r="D5" s="6" t="str">
        <f>index!AP6</f>
        <v>HIFI HKM</v>
      </c>
      <c r="E5" s="4">
        <f>index!AQ6</f>
        <v>1</v>
      </c>
      <c r="F5" s="7" t="str">
        <f>index!AR6</f>
        <v>085882732616</v>
      </c>
      <c r="G5" s="7" t="str">
        <f>index!AS6</f>
        <v>355806671128727</v>
      </c>
      <c r="H5" s="8">
        <f>index!AT6</f>
        <v>310000</v>
      </c>
      <c r="I5" s="5">
        <f>index!AU6</f>
        <v>0</v>
      </c>
      <c r="J5" s="4" t="str">
        <f>index!AV6</f>
        <v>On Hand Dse</v>
      </c>
      <c r="K5" s="5"/>
    </row>
    <row r="6" spans="1:13" x14ac:dyDescent="0.2">
      <c r="A6" s="4">
        <v>5</v>
      </c>
      <c r="B6" s="5">
        <f>index!AN7</f>
        <v>46163</v>
      </c>
      <c r="C6" s="4" t="str">
        <f>index!AO7</f>
        <v>PARHAN</v>
      </c>
      <c r="D6" s="6" t="str">
        <f>index!AP7</f>
        <v>HIFI HKM</v>
      </c>
      <c r="E6" s="4">
        <f>index!AQ7</f>
        <v>1</v>
      </c>
      <c r="F6" s="7" t="str">
        <f>index!AR7</f>
        <v>085882732618</v>
      </c>
      <c r="G6" s="7" t="str">
        <f>index!AS7</f>
        <v>355806671214105</v>
      </c>
      <c r="H6" s="9">
        <f>index!AT7</f>
        <v>310000</v>
      </c>
      <c r="I6" s="5">
        <f>index!AU7</f>
        <v>0</v>
      </c>
      <c r="J6" s="4" t="str">
        <f>index!AV7</f>
        <v>On Hand Dse</v>
      </c>
      <c r="K6" s="5"/>
    </row>
    <row r="7" spans="1:13" x14ac:dyDescent="0.2">
      <c r="A7" s="4">
        <v>6</v>
      </c>
      <c r="B7" s="5">
        <f>index!AN8</f>
        <v>46163</v>
      </c>
      <c r="C7" s="4" t="str">
        <f>index!AO8</f>
        <v>ANDI</v>
      </c>
      <c r="D7" s="6" t="str">
        <f>index!AP8</f>
        <v>HIFI HKM</v>
      </c>
      <c r="E7" s="4">
        <f>index!AQ8</f>
        <v>1</v>
      </c>
      <c r="F7" s="7" t="str">
        <f>index!AR8</f>
        <v>085882732619</v>
      </c>
      <c r="G7" s="7" t="str">
        <f>index!AS8</f>
        <v>355806671185537</v>
      </c>
      <c r="H7" s="9">
        <f>index!AT8</f>
        <v>310000</v>
      </c>
      <c r="I7" s="5">
        <f>index!AU8</f>
        <v>46176</v>
      </c>
      <c r="J7" s="4" t="str">
        <f>index!AV8</f>
        <v>LUNAS</v>
      </c>
      <c r="K7" s="5"/>
    </row>
    <row r="8" spans="1:13" x14ac:dyDescent="0.2">
      <c r="A8" s="4">
        <v>7</v>
      </c>
      <c r="B8" s="5">
        <f>index!AN9</f>
        <v>46163</v>
      </c>
      <c r="C8" s="4" t="str">
        <f>index!AO9</f>
        <v>ENDEN</v>
      </c>
      <c r="D8" s="6" t="str">
        <f>index!AP9</f>
        <v>HIFI HKM</v>
      </c>
      <c r="E8" s="4">
        <f>index!AQ9</f>
        <v>1</v>
      </c>
      <c r="F8" s="7" t="str">
        <f>index!AR9</f>
        <v>085882732617</v>
      </c>
      <c r="G8" s="7" t="str">
        <f>index!AS9</f>
        <v>355806671185602</v>
      </c>
      <c r="H8" s="8">
        <f>index!AT9</f>
        <v>310000</v>
      </c>
      <c r="I8" s="5">
        <f>index!AU9</f>
        <v>46177</v>
      </c>
      <c r="J8" s="4" t="str">
        <f>index!AV9</f>
        <v>LUNAS</v>
      </c>
      <c r="K8" s="5"/>
    </row>
    <row r="9" spans="1:13" x14ac:dyDescent="0.2">
      <c r="A9" s="4">
        <v>8</v>
      </c>
      <c r="B9" s="5">
        <f>index!AN10</f>
        <v>46163</v>
      </c>
      <c r="C9" s="4" t="str">
        <f>index!AO10</f>
        <v>PEBRIAN</v>
      </c>
      <c r="D9" s="6" t="str">
        <f>index!AP10</f>
        <v>HIFI HKM</v>
      </c>
      <c r="E9" s="4">
        <f>index!AQ10</f>
        <v>1</v>
      </c>
      <c r="F9" s="7" t="str">
        <f>index!AR10</f>
        <v>085882732615</v>
      </c>
      <c r="G9" s="7" t="str">
        <f>index!AS10</f>
        <v>355806671135482</v>
      </c>
      <c r="H9" s="8">
        <f>index!AT10</f>
        <v>310000</v>
      </c>
      <c r="I9" s="5">
        <f>index!AU10</f>
        <v>0</v>
      </c>
      <c r="J9" s="4" t="str">
        <f>index!AV10</f>
        <v>On Hand Dse</v>
      </c>
      <c r="K9" s="5"/>
    </row>
    <row r="10" spans="1:13" x14ac:dyDescent="0.2">
      <c r="A10" s="4">
        <v>9</v>
      </c>
      <c r="B10" s="5">
        <f>index!AN11</f>
        <v>46163</v>
      </c>
      <c r="C10" s="4" t="str">
        <f>index!AO11</f>
        <v>REWARD</v>
      </c>
      <c r="D10" s="6" t="str">
        <f>index!AP11</f>
        <v>HIFI HKM</v>
      </c>
      <c r="E10" s="4">
        <f>index!AQ11</f>
        <v>1</v>
      </c>
      <c r="F10" s="7" t="str">
        <f>index!AR11</f>
        <v>085882732613</v>
      </c>
      <c r="G10" s="7" t="str">
        <f>index!AS11</f>
        <v>355806671185370</v>
      </c>
      <c r="H10" s="8">
        <f>index!AT11</f>
        <v>0</v>
      </c>
      <c r="I10" s="5">
        <f>index!AU11</f>
        <v>0</v>
      </c>
      <c r="J10" s="4" t="str">
        <f>index!AV11</f>
        <v>REWARD</v>
      </c>
      <c r="K10" s="5"/>
    </row>
    <row r="11" spans="1:13" x14ac:dyDescent="0.2">
      <c r="A11" s="4">
        <v>10</v>
      </c>
      <c r="B11" s="5">
        <f>index!AN12</f>
        <v>46164</v>
      </c>
      <c r="C11" s="4" t="str">
        <f>index!AO12</f>
        <v>RETURE</v>
      </c>
      <c r="D11" s="6" t="str">
        <f>index!AP12</f>
        <v>HIFI HKM</v>
      </c>
      <c r="E11" s="4">
        <f>index!AQ12</f>
        <v>1</v>
      </c>
      <c r="F11" s="7" t="str">
        <f>index!AR12</f>
        <v>085882732611</v>
      </c>
      <c r="G11" s="7" t="str">
        <f>index!AS12</f>
        <v>355806671163435</v>
      </c>
      <c r="H11" s="9">
        <f>index!AT12</f>
        <v>0</v>
      </c>
      <c r="I11" s="5">
        <f>index!AU12</f>
        <v>0</v>
      </c>
      <c r="J11" s="4" t="str">
        <f>index!AV12</f>
        <v>RETURE</v>
      </c>
      <c r="K11" s="5"/>
    </row>
    <row r="12" spans="1:13" x14ac:dyDescent="0.2">
      <c r="A12" s="4">
        <v>11</v>
      </c>
      <c r="B12" s="5"/>
      <c r="C12" s="4">
        <f>index!AO13</f>
        <v>0</v>
      </c>
      <c r="D12" s="6">
        <f>index!AP13</f>
        <v>0</v>
      </c>
      <c r="E12" s="4">
        <f>index!AQ13</f>
        <v>0</v>
      </c>
      <c r="F12" s="7">
        <f>index!AR13</f>
        <v>0</v>
      </c>
      <c r="G12" s="7">
        <f>index!AS13</f>
        <v>0</v>
      </c>
      <c r="H12" s="9">
        <f>index!AT13</f>
        <v>0</v>
      </c>
      <c r="I12" s="5">
        <f>index!AU13</f>
        <v>0</v>
      </c>
      <c r="J12" s="4">
        <f>index!AV13</f>
        <v>0</v>
      </c>
      <c r="K12" s="5"/>
    </row>
    <row r="13" spans="1:13" x14ac:dyDescent="0.2">
      <c r="A13" s="4">
        <v>12</v>
      </c>
      <c r="B13" s="5"/>
      <c r="C13" s="4">
        <f>index!AO14</f>
        <v>0</v>
      </c>
      <c r="D13" s="6">
        <f>index!AP14</f>
        <v>0</v>
      </c>
      <c r="E13" s="4">
        <f>index!AQ14</f>
        <v>0</v>
      </c>
      <c r="F13" s="7">
        <f>index!AR14</f>
        <v>0</v>
      </c>
      <c r="G13" s="7">
        <f>index!AS14</f>
        <v>0</v>
      </c>
      <c r="H13" s="9">
        <f>index!AT14</f>
        <v>0</v>
      </c>
      <c r="I13" s="5">
        <f>index!AU14</f>
        <v>0</v>
      </c>
      <c r="J13" s="4">
        <f>index!AV14</f>
        <v>0</v>
      </c>
      <c r="K13" s="5"/>
    </row>
    <row r="14" spans="1:13" x14ac:dyDescent="0.2">
      <c r="A14" s="4">
        <v>13</v>
      </c>
      <c r="B14" s="5"/>
      <c r="C14" s="4">
        <f>index!AO15</f>
        <v>0</v>
      </c>
      <c r="D14" s="6">
        <f>index!AP15</f>
        <v>0</v>
      </c>
      <c r="E14" s="4">
        <f>index!AQ15</f>
        <v>0</v>
      </c>
      <c r="F14" s="7">
        <f>index!AR15</f>
        <v>0</v>
      </c>
      <c r="G14" s="7">
        <f>index!AS15</f>
        <v>0</v>
      </c>
      <c r="H14" s="8">
        <f>index!AT15</f>
        <v>0</v>
      </c>
      <c r="I14" s="5">
        <f>index!AU15</f>
        <v>0</v>
      </c>
      <c r="J14" s="4">
        <f>index!AV15</f>
        <v>0</v>
      </c>
      <c r="K14" s="5"/>
    </row>
    <row r="15" spans="1:13" x14ac:dyDescent="0.2">
      <c r="A15" s="4">
        <v>14</v>
      </c>
      <c r="B15" s="5"/>
      <c r="C15" s="4">
        <f>index!AO16</f>
        <v>0</v>
      </c>
      <c r="D15" s="6">
        <f>index!AP16</f>
        <v>0</v>
      </c>
      <c r="E15" s="4">
        <f>index!AQ16</f>
        <v>0</v>
      </c>
      <c r="F15" s="7">
        <f>index!AR16</f>
        <v>0</v>
      </c>
      <c r="G15" s="7">
        <f>index!AS16</f>
        <v>0</v>
      </c>
      <c r="H15" s="9">
        <f>index!AT16</f>
        <v>0</v>
      </c>
      <c r="I15" s="5">
        <f>index!AU16</f>
        <v>0</v>
      </c>
      <c r="J15" s="4">
        <f>index!AV16</f>
        <v>0</v>
      </c>
      <c r="K15" s="10"/>
    </row>
    <row r="16" spans="1:13" x14ac:dyDescent="0.2">
      <c r="A16" s="4">
        <v>15</v>
      </c>
      <c r="B16" s="5"/>
      <c r="C16" s="4">
        <f>index!AO17</f>
        <v>0</v>
      </c>
      <c r="D16" s="6">
        <f>index!AP17</f>
        <v>0</v>
      </c>
      <c r="E16" s="4">
        <f>index!AQ17</f>
        <v>0</v>
      </c>
      <c r="F16" s="7">
        <f>index!AR17</f>
        <v>0</v>
      </c>
      <c r="G16" s="7">
        <f>index!AS17</f>
        <v>0</v>
      </c>
      <c r="H16" s="9">
        <f>index!AT17</f>
        <v>0</v>
      </c>
      <c r="I16" s="5">
        <f>index!AU17</f>
        <v>0</v>
      </c>
      <c r="J16" s="4">
        <f>index!AV17</f>
        <v>0</v>
      </c>
      <c r="K16" s="10"/>
    </row>
    <row r="17" spans="1:11" x14ac:dyDescent="0.2">
      <c r="A17" s="4">
        <v>16</v>
      </c>
      <c r="B17" s="5"/>
      <c r="C17" s="4">
        <f>index!AO18</f>
        <v>0</v>
      </c>
      <c r="D17" s="6">
        <f>index!AP18</f>
        <v>0</v>
      </c>
      <c r="E17" s="4">
        <f>index!AQ18</f>
        <v>0</v>
      </c>
      <c r="F17" s="7">
        <f>index!AR18</f>
        <v>0</v>
      </c>
      <c r="G17" s="7">
        <f>index!AS18</f>
        <v>0</v>
      </c>
      <c r="H17" s="9">
        <f>index!AT18</f>
        <v>0</v>
      </c>
      <c r="I17" s="5">
        <f>index!AU18</f>
        <v>0</v>
      </c>
      <c r="J17" s="4">
        <f>index!AV18</f>
        <v>0</v>
      </c>
      <c r="K17" s="10"/>
    </row>
    <row r="19" spans="1:11" x14ac:dyDescent="0.2">
      <c r="J19" t="s">
        <v>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AW26"/>
  <sheetViews>
    <sheetView workbookViewId="0">
      <selection activeCell="O12" sqref="O12"/>
    </sheetView>
  </sheetViews>
  <sheetFormatPr defaultRowHeight="15" x14ac:dyDescent="0.2"/>
  <cols>
    <col min="15" max="15" width="13.5859375" bestFit="1" customWidth="1"/>
    <col min="25" max="25" width="9.4140625" bestFit="1" customWidth="1"/>
    <col min="30" max="31" width="9.4140625" bestFit="1" customWidth="1"/>
    <col min="40" max="40" width="11.703125" bestFit="1" customWidth="1"/>
    <col min="46" max="46" width="9.68359375" bestFit="1" customWidth="1"/>
    <col min="47" max="47" width="12.23828125" bestFit="1" customWidth="1"/>
  </cols>
  <sheetData>
    <row r="1" spans="1:49" x14ac:dyDescent="0.2">
      <c r="A1" t="s">
        <v>108</v>
      </c>
      <c r="F1" t="s">
        <v>109</v>
      </c>
      <c r="N1" t="s">
        <v>111</v>
      </c>
      <c r="Q1" t="s">
        <v>112</v>
      </c>
      <c r="AA1" t="s">
        <v>114</v>
      </c>
      <c r="AM1" t="s">
        <v>116</v>
      </c>
    </row>
    <row r="2" spans="1:49" ht="18.75" x14ac:dyDescent="0.25">
      <c r="A2" s="52" t="s">
        <v>0</v>
      </c>
      <c r="B2" s="52" t="s">
        <v>1</v>
      </c>
      <c r="C2" s="52" t="s">
        <v>2</v>
      </c>
      <c r="D2" s="52" t="s">
        <v>3</v>
      </c>
      <c r="F2" s="54" t="s">
        <v>110</v>
      </c>
      <c r="G2" s="55"/>
      <c r="H2" s="55"/>
      <c r="I2" s="55"/>
      <c r="J2" s="55"/>
      <c r="K2" s="55"/>
      <c r="L2" s="56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57" t="s">
        <v>44</v>
      </c>
      <c r="X2" s="48" t="s">
        <v>45</v>
      </c>
      <c r="Y2" s="50" t="s">
        <v>46</v>
      </c>
      <c r="AA2" t="s">
        <v>51</v>
      </c>
      <c r="AB2" t="s">
        <v>52</v>
      </c>
      <c r="AD2" t="s">
        <v>53</v>
      </c>
      <c r="AG2" t="s">
        <v>54</v>
      </c>
      <c r="AM2" s="2" t="s">
        <v>75</v>
      </c>
      <c r="AN2" s="2" t="s">
        <v>76</v>
      </c>
      <c r="AO2" s="3" t="s">
        <v>77</v>
      </c>
      <c r="AP2" s="3" t="s">
        <v>78</v>
      </c>
      <c r="AQ2" s="3" t="s">
        <v>79</v>
      </c>
      <c r="AR2" s="3" t="s">
        <v>80</v>
      </c>
      <c r="AS2" s="3" t="s">
        <v>81</v>
      </c>
      <c r="AT2" s="3" t="s">
        <v>45</v>
      </c>
      <c r="AU2" s="3" t="s">
        <v>82</v>
      </c>
      <c r="AV2" s="3" t="s">
        <v>83</v>
      </c>
      <c r="AW2" s="3" t="s">
        <v>84</v>
      </c>
    </row>
    <row r="3" spans="1:49" x14ac:dyDescent="0.2">
      <c r="A3" s="53"/>
      <c r="B3" s="53"/>
      <c r="C3" s="53"/>
      <c r="D3" s="53"/>
      <c r="F3" s="15"/>
      <c r="G3" s="16"/>
      <c r="H3" s="17"/>
      <c r="I3" s="17"/>
      <c r="J3" s="17"/>
      <c r="K3" s="17"/>
      <c r="L3" s="18"/>
      <c r="N3" s="31" t="s">
        <v>39</v>
      </c>
      <c r="O3" s="33">
        <f>O9</f>
        <v>7500000</v>
      </c>
      <c r="Q3" s="25"/>
      <c r="R3" s="26" t="s">
        <v>47</v>
      </c>
      <c r="S3" s="26" t="s">
        <v>39</v>
      </c>
      <c r="T3" s="26" t="s">
        <v>48</v>
      </c>
      <c r="U3" s="26" t="s">
        <v>49</v>
      </c>
      <c r="V3" s="26" t="s">
        <v>113</v>
      </c>
      <c r="W3" s="58"/>
      <c r="X3" s="49"/>
      <c r="Y3" s="51"/>
      <c r="AC3" t="s">
        <v>55</v>
      </c>
      <c r="AD3" t="s">
        <v>56</v>
      </c>
      <c r="AE3" t="s">
        <v>57</v>
      </c>
      <c r="AF3" t="s">
        <v>58</v>
      </c>
      <c r="AG3" t="s">
        <v>59</v>
      </c>
      <c r="AH3" t="s">
        <v>60</v>
      </c>
      <c r="AI3" t="s">
        <v>61</v>
      </c>
      <c r="AJ3" t="s">
        <v>62</v>
      </c>
      <c r="AK3" t="s">
        <v>27</v>
      </c>
      <c r="AM3" s="4">
        <v>1</v>
      </c>
      <c r="AN3" s="5">
        <v>46157</v>
      </c>
      <c r="AO3" s="4" t="s">
        <v>85</v>
      </c>
      <c r="AP3" s="6" t="s">
        <v>86</v>
      </c>
      <c r="AQ3" s="4">
        <v>1</v>
      </c>
      <c r="AR3" s="7" t="s">
        <v>87</v>
      </c>
      <c r="AS3" s="7" t="s">
        <v>88</v>
      </c>
      <c r="AT3" s="8">
        <v>310000</v>
      </c>
      <c r="AU3" s="5"/>
      <c r="AV3" s="4" t="s">
        <v>120</v>
      </c>
      <c r="AW3" s="5"/>
    </row>
    <row r="4" spans="1:49" x14ac:dyDescent="0.2">
      <c r="A4" s="12" t="s">
        <v>4</v>
      </c>
      <c r="B4" s="13">
        <v>993</v>
      </c>
      <c r="C4" s="14">
        <v>1</v>
      </c>
      <c r="D4" s="13">
        <f>C4+B4</f>
        <v>994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f t="shared" ref="O4:O6" si="0">O10</f>
        <v>12009700</v>
      </c>
      <c r="Q4" s="20" t="s">
        <v>4</v>
      </c>
      <c r="R4" s="27">
        <v>0</v>
      </c>
      <c r="S4" s="27">
        <v>0</v>
      </c>
      <c r="T4" s="27">
        <v>5</v>
      </c>
      <c r="U4" s="27">
        <v>0</v>
      </c>
      <c r="V4" s="27">
        <v>0</v>
      </c>
      <c r="W4" s="27">
        <f>SUM(R4:V4)</f>
        <v>5</v>
      </c>
      <c r="X4" s="4">
        <v>11000</v>
      </c>
      <c r="Y4" s="27">
        <f>W4*X4</f>
        <v>55000</v>
      </c>
      <c r="AA4" t="s">
        <v>63</v>
      </c>
      <c r="AB4" t="s">
        <v>64</v>
      </c>
      <c r="AC4">
        <v>385</v>
      </c>
      <c r="AD4" s="28">
        <v>8750000</v>
      </c>
      <c r="AE4" s="28">
        <v>8750000</v>
      </c>
      <c r="AF4" t="s">
        <v>28</v>
      </c>
      <c r="AG4">
        <v>35</v>
      </c>
      <c r="AH4">
        <v>0</v>
      </c>
      <c r="AI4">
        <v>0</v>
      </c>
      <c r="AJ4">
        <v>0</v>
      </c>
      <c r="AK4">
        <v>25</v>
      </c>
      <c r="AM4" s="4">
        <v>2</v>
      </c>
      <c r="AN4" s="5">
        <v>46157</v>
      </c>
      <c r="AO4" s="4" t="s">
        <v>22</v>
      </c>
      <c r="AP4" s="6" t="s">
        <v>86</v>
      </c>
      <c r="AQ4" s="4">
        <v>1</v>
      </c>
      <c r="AR4" s="7" t="s">
        <v>89</v>
      </c>
      <c r="AS4" s="7" t="s">
        <v>90</v>
      </c>
      <c r="AT4" s="8">
        <v>310000</v>
      </c>
      <c r="AU4" s="5">
        <v>46176</v>
      </c>
      <c r="AV4" s="4" t="s">
        <v>127</v>
      </c>
      <c r="AW4" s="5"/>
    </row>
    <row r="5" spans="1:49" x14ac:dyDescent="0.2">
      <c r="A5" s="12" t="s">
        <v>5</v>
      </c>
      <c r="B5" s="13">
        <v>0</v>
      </c>
      <c r="C5" s="14">
        <v>0</v>
      </c>
      <c r="D5" s="13">
        <f t="shared" ref="D5:D22" si="1">C5+B5</f>
        <v>0</v>
      </c>
      <c r="F5" s="20" t="s">
        <v>4</v>
      </c>
      <c r="G5" s="21">
        <v>37</v>
      </c>
      <c r="H5" s="21">
        <v>0</v>
      </c>
      <c r="I5" s="21">
        <v>0</v>
      </c>
      <c r="J5" s="21">
        <v>19</v>
      </c>
      <c r="K5" s="21">
        <v>22</v>
      </c>
      <c r="L5" s="22">
        <f>SUM(G5:K5)</f>
        <v>78</v>
      </c>
      <c r="N5" s="31" t="s">
        <v>41</v>
      </c>
      <c r="O5" s="33">
        <f t="shared" si="0"/>
        <v>13178500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2">SUM(R5:V5)</f>
        <v>0</v>
      </c>
      <c r="X5" s="4">
        <v>30000</v>
      </c>
      <c r="Y5" s="27">
        <f t="shared" ref="Y5:Y22" si="3">W5*X5</f>
        <v>0</v>
      </c>
      <c r="AA5" t="s">
        <v>65</v>
      </c>
      <c r="AB5" t="s">
        <v>64</v>
      </c>
      <c r="AC5">
        <v>372</v>
      </c>
      <c r="AD5" s="28">
        <v>8335000</v>
      </c>
      <c r="AE5" s="28">
        <v>8335000</v>
      </c>
      <c r="AF5" t="s">
        <v>28</v>
      </c>
      <c r="AG5">
        <v>30</v>
      </c>
      <c r="AH5">
        <v>1</v>
      </c>
      <c r="AI5">
        <v>0</v>
      </c>
      <c r="AJ5">
        <v>1</v>
      </c>
      <c r="AK5">
        <v>21</v>
      </c>
      <c r="AM5" s="4">
        <v>3</v>
      </c>
      <c r="AN5" s="5">
        <v>46157</v>
      </c>
      <c r="AO5" s="4" t="s">
        <v>24</v>
      </c>
      <c r="AP5" s="6" t="s">
        <v>86</v>
      </c>
      <c r="AQ5" s="4">
        <v>1</v>
      </c>
      <c r="AR5" s="7" t="s">
        <v>91</v>
      </c>
      <c r="AS5" s="7" t="s">
        <v>92</v>
      </c>
      <c r="AT5" s="8">
        <v>310000</v>
      </c>
      <c r="AU5" s="5">
        <v>46177</v>
      </c>
      <c r="AV5" s="4" t="s">
        <v>127</v>
      </c>
      <c r="AW5" s="5"/>
    </row>
    <row r="6" spans="1:49" x14ac:dyDescent="0.2">
      <c r="A6" s="12" t="s">
        <v>6</v>
      </c>
      <c r="B6" s="13">
        <v>1525</v>
      </c>
      <c r="C6" s="14">
        <v>1445</v>
      </c>
      <c r="D6" s="13">
        <f t="shared" si="1"/>
        <v>2970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4">SUM(G6:K6)</f>
        <v>0</v>
      </c>
      <c r="N6" s="4" t="s">
        <v>42</v>
      </c>
      <c r="O6" s="33">
        <f t="shared" si="0"/>
        <v>16733500</v>
      </c>
      <c r="Q6" s="20" t="s">
        <v>30</v>
      </c>
      <c r="R6" s="27">
        <v>30</v>
      </c>
      <c r="S6" s="27">
        <v>10</v>
      </c>
      <c r="T6" s="27">
        <v>30</v>
      </c>
      <c r="U6" s="27">
        <v>20</v>
      </c>
      <c r="V6" s="27">
        <v>0</v>
      </c>
      <c r="W6" s="27">
        <f t="shared" si="2"/>
        <v>90</v>
      </c>
      <c r="X6" s="4">
        <v>25000</v>
      </c>
      <c r="Y6" s="27">
        <f t="shared" si="3"/>
        <v>2250000</v>
      </c>
      <c r="AA6" t="s">
        <v>41</v>
      </c>
      <c r="AB6" t="s">
        <v>64</v>
      </c>
      <c r="AC6">
        <v>457</v>
      </c>
      <c r="AD6" s="28">
        <v>10170000</v>
      </c>
      <c r="AE6" s="28">
        <v>10170000</v>
      </c>
      <c r="AF6" t="s">
        <v>28</v>
      </c>
      <c r="AG6">
        <v>39</v>
      </c>
      <c r="AH6">
        <v>0</v>
      </c>
      <c r="AI6">
        <v>0</v>
      </c>
      <c r="AJ6">
        <v>2</v>
      </c>
      <c r="AK6">
        <v>28</v>
      </c>
      <c r="AM6" s="4">
        <v>4</v>
      </c>
      <c r="AN6" s="5">
        <v>46157</v>
      </c>
      <c r="AO6" s="4" t="s">
        <v>25</v>
      </c>
      <c r="AP6" s="6" t="s">
        <v>86</v>
      </c>
      <c r="AQ6" s="4">
        <v>1</v>
      </c>
      <c r="AR6" s="7" t="s">
        <v>94</v>
      </c>
      <c r="AS6" s="7" t="s">
        <v>95</v>
      </c>
      <c r="AT6" s="8">
        <v>310000</v>
      </c>
      <c r="AU6" s="5"/>
      <c r="AV6" s="4" t="s">
        <v>120</v>
      </c>
      <c r="AW6" s="5"/>
    </row>
    <row r="7" spans="1:49" x14ac:dyDescent="0.2">
      <c r="A7" s="12" t="s">
        <v>7</v>
      </c>
      <c r="B7" s="13">
        <v>0</v>
      </c>
      <c r="C7" s="14">
        <v>0</v>
      </c>
      <c r="D7" s="13">
        <f t="shared" si="1"/>
        <v>0</v>
      </c>
      <c r="F7" s="20" t="s">
        <v>30</v>
      </c>
      <c r="G7" s="21">
        <v>449</v>
      </c>
      <c r="H7" s="21">
        <v>194</v>
      </c>
      <c r="I7" s="21">
        <v>340</v>
      </c>
      <c r="J7" s="21">
        <v>244</v>
      </c>
      <c r="K7" s="21">
        <v>10</v>
      </c>
      <c r="L7" s="22">
        <f t="shared" si="4"/>
        <v>1237</v>
      </c>
      <c r="N7" s="31" t="s">
        <v>43</v>
      </c>
      <c r="O7" s="8">
        <f>SUM(O3:O6)</f>
        <v>49421700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2"/>
        <v>0</v>
      </c>
      <c r="X7" s="4">
        <v>30000</v>
      </c>
      <c r="Y7" s="27">
        <f t="shared" si="3"/>
        <v>0</v>
      </c>
      <c r="AA7" t="s">
        <v>42</v>
      </c>
      <c r="AB7" t="s">
        <v>64</v>
      </c>
      <c r="AC7">
        <v>535</v>
      </c>
      <c r="AD7" s="28">
        <v>12125000</v>
      </c>
      <c r="AE7" s="28">
        <v>12125000</v>
      </c>
      <c r="AF7" t="s">
        <v>28</v>
      </c>
      <c r="AG7">
        <v>41</v>
      </c>
      <c r="AH7">
        <v>3</v>
      </c>
      <c r="AI7">
        <v>0</v>
      </c>
      <c r="AJ7">
        <v>0</v>
      </c>
      <c r="AK7">
        <v>19</v>
      </c>
      <c r="AM7" s="4">
        <v>5</v>
      </c>
      <c r="AN7" s="5">
        <v>46163</v>
      </c>
      <c r="AO7" s="4" t="s">
        <v>85</v>
      </c>
      <c r="AP7" s="6" t="s">
        <v>86</v>
      </c>
      <c r="AQ7" s="4">
        <v>1</v>
      </c>
      <c r="AR7" s="7" t="s">
        <v>96</v>
      </c>
      <c r="AS7" s="7" t="s">
        <v>97</v>
      </c>
      <c r="AT7" s="8">
        <v>310000</v>
      </c>
      <c r="AU7" s="5"/>
      <c r="AV7" s="4" t="s">
        <v>120</v>
      </c>
      <c r="AW7" s="5"/>
    </row>
    <row r="8" spans="1:49" x14ac:dyDescent="0.2">
      <c r="A8" s="12"/>
      <c r="B8" s="13">
        <v>0</v>
      </c>
      <c r="C8" s="14">
        <v>0</v>
      </c>
      <c r="D8" s="13">
        <f t="shared" si="1"/>
        <v>0</v>
      </c>
      <c r="F8" s="20" t="s">
        <v>7</v>
      </c>
      <c r="G8" s="21">
        <v>5</v>
      </c>
      <c r="H8" s="21">
        <v>5</v>
      </c>
      <c r="I8" s="21">
        <v>5</v>
      </c>
      <c r="J8" s="21">
        <v>5</v>
      </c>
      <c r="K8" s="21">
        <v>0</v>
      </c>
      <c r="L8" s="22">
        <f t="shared" si="4"/>
        <v>20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2"/>
        <v>0</v>
      </c>
      <c r="X8" s="19"/>
      <c r="Y8" s="27">
        <f t="shared" si="3"/>
        <v>0</v>
      </c>
      <c r="AC8" s="28">
        <v>1058</v>
      </c>
      <c r="AD8" s="28">
        <f>SUM(AD4:AD7)</f>
        <v>39380000</v>
      </c>
      <c r="AE8" s="28">
        <f>SUM(AE4:AE7)</f>
        <v>39380000</v>
      </c>
      <c r="AF8" t="s">
        <v>28</v>
      </c>
      <c r="AG8">
        <f>SUM(AG4:AG7)</f>
        <v>145</v>
      </c>
      <c r="AH8">
        <f t="shared" ref="AH8:AK8" si="5">SUM(AH4:AH7)</f>
        <v>4</v>
      </c>
      <c r="AI8">
        <f t="shared" si="5"/>
        <v>0</v>
      </c>
      <c r="AJ8">
        <f t="shared" si="5"/>
        <v>3</v>
      </c>
      <c r="AK8">
        <f t="shared" si="5"/>
        <v>93</v>
      </c>
      <c r="AM8" s="4">
        <v>6</v>
      </c>
      <c r="AN8" s="5">
        <v>46163</v>
      </c>
      <c r="AO8" s="4" t="s">
        <v>22</v>
      </c>
      <c r="AP8" s="6" t="s">
        <v>86</v>
      </c>
      <c r="AQ8" s="4">
        <v>1</v>
      </c>
      <c r="AR8" s="7" t="s">
        <v>98</v>
      </c>
      <c r="AS8" s="7" t="s">
        <v>99</v>
      </c>
      <c r="AT8" s="8">
        <v>310000</v>
      </c>
      <c r="AU8" s="5">
        <v>46176</v>
      </c>
      <c r="AV8" s="4" t="s">
        <v>127</v>
      </c>
      <c r="AW8" s="5"/>
    </row>
    <row r="9" spans="1:49" x14ac:dyDescent="0.2">
      <c r="A9" s="12"/>
      <c r="B9" s="13">
        <v>0</v>
      </c>
      <c r="C9" s="14">
        <v>0</v>
      </c>
      <c r="D9" s="13">
        <f t="shared" si="1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4"/>
        <v>0</v>
      </c>
      <c r="N9" s="32"/>
      <c r="O9" s="1">
        <f>100000+4900000+2500000</f>
        <v>7500000</v>
      </c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2"/>
        <v>0</v>
      </c>
      <c r="X9" s="4"/>
      <c r="Y9" s="27">
        <f t="shared" si="3"/>
        <v>0</v>
      </c>
      <c r="AM9" s="4">
        <v>7</v>
      </c>
      <c r="AN9" s="5">
        <v>46163</v>
      </c>
      <c r="AO9" s="4" t="s">
        <v>24</v>
      </c>
      <c r="AP9" s="6" t="s">
        <v>86</v>
      </c>
      <c r="AQ9" s="4">
        <v>1</v>
      </c>
      <c r="AR9" s="7" t="s">
        <v>100</v>
      </c>
      <c r="AS9" s="7" t="s">
        <v>101</v>
      </c>
      <c r="AT9" s="8">
        <v>310000</v>
      </c>
      <c r="AU9" s="5">
        <v>46177</v>
      </c>
      <c r="AV9" s="4" t="s">
        <v>127</v>
      </c>
      <c r="AW9" s="5"/>
    </row>
    <row r="10" spans="1:49" x14ac:dyDescent="0.2">
      <c r="A10" s="12" t="s">
        <v>8</v>
      </c>
      <c r="B10" s="13">
        <v>2100</v>
      </c>
      <c r="C10" s="14">
        <v>0</v>
      </c>
      <c r="D10" s="13">
        <f t="shared" si="1"/>
        <v>2100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4"/>
        <v>0</v>
      </c>
      <c r="O10" s="1">
        <f>1700000+5081700+5228000</f>
        <v>12009700</v>
      </c>
      <c r="Q10" s="20" t="s">
        <v>8</v>
      </c>
      <c r="R10" s="27">
        <v>20</v>
      </c>
      <c r="S10" s="27">
        <v>0</v>
      </c>
      <c r="T10" s="27">
        <v>0</v>
      </c>
      <c r="U10" s="27">
        <v>0</v>
      </c>
      <c r="V10" s="27">
        <v>0</v>
      </c>
      <c r="W10" s="27">
        <f>SUM(R10:V10)</f>
        <v>20</v>
      </c>
      <c r="X10" s="4">
        <v>600</v>
      </c>
      <c r="Y10" s="27">
        <f t="shared" si="3"/>
        <v>12000</v>
      </c>
      <c r="AA10" t="s">
        <v>115</v>
      </c>
      <c r="AM10" s="4">
        <v>8</v>
      </c>
      <c r="AN10" s="5">
        <v>46163</v>
      </c>
      <c r="AO10" s="4" t="s">
        <v>25</v>
      </c>
      <c r="AP10" s="6" t="s">
        <v>86</v>
      </c>
      <c r="AQ10" s="4">
        <v>1</v>
      </c>
      <c r="AR10" s="7" t="s">
        <v>102</v>
      </c>
      <c r="AS10" s="7" t="s">
        <v>103</v>
      </c>
      <c r="AT10" s="8">
        <v>310000</v>
      </c>
      <c r="AU10" s="5"/>
      <c r="AV10" s="4" t="s">
        <v>120</v>
      </c>
      <c r="AW10" s="5"/>
    </row>
    <row r="11" spans="1:49" x14ac:dyDescent="0.2">
      <c r="A11" s="12" t="s">
        <v>9</v>
      </c>
      <c r="B11" s="13">
        <v>0</v>
      </c>
      <c r="C11" s="14">
        <v>1</v>
      </c>
      <c r="D11" s="13">
        <f t="shared" si="1"/>
        <v>1</v>
      </c>
      <c r="F11" s="20" t="s">
        <v>8</v>
      </c>
      <c r="G11" s="21">
        <v>200</v>
      </c>
      <c r="H11" s="21">
        <v>300</v>
      </c>
      <c r="I11" s="21">
        <v>62</v>
      </c>
      <c r="J11" s="21">
        <v>300</v>
      </c>
      <c r="K11" s="21">
        <v>0</v>
      </c>
      <c r="L11" s="22">
        <f t="shared" si="4"/>
        <v>862</v>
      </c>
      <c r="O11" s="1">
        <f>2450000+5518000+5210500</f>
        <v>13178500</v>
      </c>
      <c r="Q11" s="20" t="s">
        <v>31</v>
      </c>
      <c r="R11" s="27">
        <v>0</v>
      </c>
      <c r="S11" s="27">
        <v>0</v>
      </c>
      <c r="T11" s="27">
        <v>0</v>
      </c>
      <c r="U11" s="27">
        <v>0</v>
      </c>
      <c r="V11" s="27">
        <v>0</v>
      </c>
      <c r="W11" s="27">
        <f t="shared" si="2"/>
        <v>0</v>
      </c>
      <c r="X11" s="4">
        <v>22500</v>
      </c>
      <c r="Y11" s="27">
        <f t="shared" si="3"/>
        <v>0</v>
      </c>
      <c r="AA11" t="s">
        <v>66</v>
      </c>
      <c r="AB11" t="s">
        <v>51</v>
      </c>
      <c r="AC11" t="s">
        <v>55</v>
      </c>
      <c r="AD11" t="s">
        <v>67</v>
      </c>
      <c r="AE11" t="s">
        <v>68</v>
      </c>
      <c r="AF11" t="s">
        <v>69</v>
      </c>
      <c r="AG11" t="s">
        <v>70</v>
      </c>
      <c r="AH11" t="s">
        <v>27</v>
      </c>
      <c r="AM11" s="4">
        <v>9</v>
      </c>
      <c r="AN11" s="5">
        <v>46163</v>
      </c>
      <c r="AO11" s="4" t="s">
        <v>118</v>
      </c>
      <c r="AP11" s="6" t="s">
        <v>86</v>
      </c>
      <c r="AQ11" s="4">
        <v>1</v>
      </c>
      <c r="AR11" s="7" t="s">
        <v>104</v>
      </c>
      <c r="AS11" s="7" t="s">
        <v>105</v>
      </c>
      <c r="AT11" s="8"/>
      <c r="AU11" s="5"/>
      <c r="AV11" s="4" t="s">
        <v>118</v>
      </c>
      <c r="AW11" s="5"/>
    </row>
    <row r="12" spans="1:49" x14ac:dyDescent="0.2">
      <c r="A12" s="12" t="s">
        <v>10</v>
      </c>
      <c r="B12" s="13">
        <v>150</v>
      </c>
      <c r="C12" s="14">
        <v>961</v>
      </c>
      <c r="D12" s="13">
        <f>C12+B12</f>
        <v>1111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4"/>
        <v>13</v>
      </c>
      <c r="O12" s="1">
        <f>1600000+6750000+8383500</f>
        <v>16733500</v>
      </c>
      <c r="Q12" s="20" t="s">
        <v>32</v>
      </c>
      <c r="R12" s="27">
        <v>5</v>
      </c>
      <c r="S12" s="27">
        <v>20</v>
      </c>
      <c r="T12" s="27">
        <v>0</v>
      </c>
      <c r="U12" s="27">
        <v>20</v>
      </c>
      <c r="V12" s="27">
        <v>0</v>
      </c>
      <c r="W12" s="27">
        <f t="shared" si="2"/>
        <v>45</v>
      </c>
      <c r="X12" s="4">
        <v>13200</v>
      </c>
      <c r="Y12" s="27">
        <f t="shared" si="3"/>
        <v>594000</v>
      </c>
      <c r="AA12" t="s">
        <v>71</v>
      </c>
      <c r="AB12" t="s">
        <v>63</v>
      </c>
      <c r="AC12">
        <v>63</v>
      </c>
      <c r="AD12">
        <v>630000</v>
      </c>
      <c r="AE12">
        <v>630000</v>
      </c>
      <c r="AF12">
        <v>63</v>
      </c>
      <c r="AG12">
        <v>0</v>
      </c>
      <c r="AH12">
        <v>63</v>
      </c>
      <c r="AM12" s="4">
        <v>10</v>
      </c>
      <c r="AN12" s="5">
        <v>46164</v>
      </c>
      <c r="AO12" s="4" t="s">
        <v>119</v>
      </c>
      <c r="AP12" s="6" t="s">
        <v>86</v>
      </c>
      <c r="AQ12" s="4">
        <v>1</v>
      </c>
      <c r="AR12" s="7" t="s">
        <v>106</v>
      </c>
      <c r="AS12" s="7" t="s">
        <v>107</v>
      </c>
      <c r="AT12" s="9"/>
      <c r="AU12" s="5"/>
      <c r="AV12" s="4" t="s">
        <v>119</v>
      </c>
      <c r="AW12" s="5"/>
    </row>
    <row r="13" spans="1:49" x14ac:dyDescent="0.2">
      <c r="A13" s="12" t="s">
        <v>11</v>
      </c>
      <c r="B13" s="13">
        <v>0</v>
      </c>
      <c r="C13" s="14">
        <v>300</v>
      </c>
      <c r="D13" s="13">
        <f t="shared" si="1"/>
        <v>300</v>
      </c>
      <c r="F13" s="20" t="s">
        <v>32</v>
      </c>
      <c r="G13" s="21">
        <v>99</v>
      </c>
      <c r="H13" s="21">
        <v>92</v>
      </c>
      <c r="I13" s="21">
        <v>90</v>
      </c>
      <c r="J13" s="21">
        <v>144</v>
      </c>
      <c r="K13" s="21">
        <v>18</v>
      </c>
      <c r="L13" s="22">
        <f t="shared" si="4"/>
        <v>443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2"/>
        <v>0</v>
      </c>
      <c r="X13" s="4">
        <v>20000</v>
      </c>
      <c r="Y13" s="27">
        <f t="shared" si="3"/>
        <v>0</v>
      </c>
      <c r="AA13" t="s">
        <v>72</v>
      </c>
      <c r="AB13" t="s">
        <v>65</v>
      </c>
      <c r="AC13">
        <v>63</v>
      </c>
      <c r="AD13">
        <v>630000</v>
      </c>
      <c r="AE13">
        <v>630000</v>
      </c>
      <c r="AF13">
        <v>63</v>
      </c>
      <c r="AG13">
        <v>0</v>
      </c>
      <c r="AH13">
        <v>63</v>
      </c>
      <c r="AM13" s="4">
        <v>11</v>
      </c>
      <c r="AN13" s="5"/>
      <c r="AO13" s="4"/>
      <c r="AP13" s="6"/>
      <c r="AQ13" s="4"/>
      <c r="AR13" s="7"/>
      <c r="AS13" s="7"/>
      <c r="AT13" s="9"/>
      <c r="AU13" s="5"/>
      <c r="AV13" s="4"/>
      <c r="AW13" s="5"/>
    </row>
    <row r="14" spans="1:49" x14ac:dyDescent="0.2">
      <c r="A14" s="12" t="s">
        <v>12</v>
      </c>
      <c r="B14" s="13">
        <v>0</v>
      </c>
      <c r="C14" s="14">
        <v>377</v>
      </c>
      <c r="D14" s="13">
        <f t="shared" si="1"/>
        <v>377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4"/>
        <v>0</v>
      </c>
      <c r="Q14" s="20" t="s">
        <v>34</v>
      </c>
      <c r="R14" s="27">
        <v>0</v>
      </c>
      <c r="S14" s="27">
        <v>0</v>
      </c>
      <c r="T14" s="27">
        <v>6</v>
      </c>
      <c r="U14" s="27">
        <v>0</v>
      </c>
      <c r="V14" s="27">
        <v>0</v>
      </c>
      <c r="W14" s="27">
        <f t="shared" si="2"/>
        <v>6</v>
      </c>
      <c r="X14" s="4">
        <v>14500</v>
      </c>
      <c r="Y14" s="27">
        <f t="shared" si="3"/>
        <v>87000</v>
      </c>
      <c r="AA14" t="s">
        <v>73</v>
      </c>
      <c r="AB14" t="s">
        <v>41</v>
      </c>
      <c r="AC14">
        <v>63</v>
      </c>
      <c r="AD14">
        <v>630000</v>
      </c>
      <c r="AE14">
        <v>630000</v>
      </c>
      <c r="AF14">
        <v>63</v>
      </c>
      <c r="AG14">
        <v>0</v>
      </c>
      <c r="AH14">
        <v>63</v>
      </c>
      <c r="AM14" s="4">
        <v>12</v>
      </c>
      <c r="AN14" s="5"/>
      <c r="AO14" s="4"/>
      <c r="AP14" s="6"/>
      <c r="AQ14" s="4"/>
      <c r="AR14" s="7"/>
      <c r="AS14" s="7"/>
      <c r="AT14" s="9"/>
      <c r="AU14" s="5"/>
      <c r="AV14" s="4"/>
      <c r="AW14" s="5"/>
    </row>
    <row r="15" spans="1:49" x14ac:dyDescent="0.2">
      <c r="A15" s="12" t="s">
        <v>13</v>
      </c>
      <c r="B15" s="13">
        <v>39</v>
      </c>
      <c r="C15" s="14">
        <v>3</v>
      </c>
      <c r="D15" s="13">
        <f t="shared" si="1"/>
        <v>42</v>
      </c>
      <c r="F15" s="20" t="s">
        <v>34</v>
      </c>
      <c r="G15" s="21">
        <v>44</v>
      </c>
      <c r="H15" s="21">
        <v>36</v>
      </c>
      <c r="I15" s="21">
        <v>36</v>
      </c>
      <c r="J15" s="21">
        <v>77</v>
      </c>
      <c r="K15" s="21">
        <v>0</v>
      </c>
      <c r="L15" s="22">
        <f t="shared" si="4"/>
        <v>193</v>
      </c>
      <c r="Q15" s="20" t="s">
        <v>35</v>
      </c>
      <c r="R15" s="27">
        <v>0</v>
      </c>
      <c r="S15" s="27">
        <v>0</v>
      </c>
      <c r="T15" s="27">
        <v>12</v>
      </c>
      <c r="U15" s="27">
        <v>0</v>
      </c>
      <c r="V15" s="27">
        <v>0</v>
      </c>
      <c r="W15" s="27">
        <f t="shared" si="2"/>
        <v>12</v>
      </c>
      <c r="X15" s="4">
        <v>17250</v>
      </c>
      <c r="Y15" s="27">
        <f t="shared" si="3"/>
        <v>207000</v>
      </c>
      <c r="AA15" t="s">
        <v>74</v>
      </c>
      <c r="AB15" t="s">
        <v>42</v>
      </c>
      <c r="AC15">
        <v>63</v>
      </c>
      <c r="AD15">
        <v>630000</v>
      </c>
      <c r="AE15">
        <v>630000</v>
      </c>
      <c r="AF15">
        <v>63</v>
      </c>
      <c r="AG15">
        <v>0</v>
      </c>
      <c r="AH15">
        <v>63</v>
      </c>
      <c r="AM15" s="4">
        <v>13</v>
      </c>
      <c r="AN15" s="5"/>
      <c r="AO15" s="4"/>
      <c r="AP15" s="6"/>
      <c r="AQ15" s="4"/>
      <c r="AR15" s="7"/>
      <c r="AS15" s="7"/>
      <c r="AT15" s="8"/>
      <c r="AU15" s="5"/>
      <c r="AV15" s="4"/>
      <c r="AW15" s="5"/>
    </row>
    <row r="16" spans="1:49" x14ac:dyDescent="0.2">
      <c r="A16" s="12" t="s">
        <v>14</v>
      </c>
      <c r="B16" s="13">
        <v>510</v>
      </c>
      <c r="C16" s="14">
        <v>6</v>
      </c>
      <c r="D16" s="13">
        <f t="shared" si="1"/>
        <v>516</v>
      </c>
      <c r="F16" s="20" t="s">
        <v>35</v>
      </c>
      <c r="G16" s="21">
        <v>114</v>
      </c>
      <c r="H16" s="21">
        <v>110</v>
      </c>
      <c r="I16" s="21">
        <v>52</v>
      </c>
      <c r="J16" s="21">
        <v>116</v>
      </c>
      <c r="K16" s="21">
        <v>18</v>
      </c>
      <c r="L16" s="22">
        <f t="shared" si="4"/>
        <v>410</v>
      </c>
      <c r="Q16" s="20" t="s">
        <v>36</v>
      </c>
      <c r="R16" s="27">
        <v>0</v>
      </c>
      <c r="S16" s="27">
        <v>0</v>
      </c>
      <c r="T16" s="27">
        <v>0</v>
      </c>
      <c r="U16" s="27">
        <v>0</v>
      </c>
      <c r="V16" s="27">
        <v>0</v>
      </c>
      <c r="W16" s="27">
        <f t="shared" si="2"/>
        <v>0</v>
      </c>
      <c r="X16" s="4">
        <v>23000</v>
      </c>
      <c r="Y16" s="27">
        <f t="shared" si="3"/>
        <v>0</v>
      </c>
      <c r="AC16">
        <f>SUM(AC12:AC15)</f>
        <v>252</v>
      </c>
      <c r="AD16">
        <f t="shared" ref="AD16:AH16" si="6">SUM(AD12:AD15)</f>
        <v>2520000</v>
      </c>
      <c r="AE16">
        <f t="shared" si="6"/>
        <v>2520000</v>
      </c>
      <c r="AF16">
        <f t="shared" si="6"/>
        <v>252</v>
      </c>
      <c r="AG16">
        <f t="shared" si="6"/>
        <v>0</v>
      </c>
      <c r="AH16">
        <f t="shared" si="6"/>
        <v>252</v>
      </c>
      <c r="AM16" s="4">
        <v>14</v>
      </c>
      <c r="AN16" s="5"/>
      <c r="AO16" s="4"/>
      <c r="AP16" s="6"/>
      <c r="AQ16" s="4"/>
      <c r="AR16" s="7"/>
      <c r="AS16" s="7"/>
      <c r="AT16" s="9"/>
      <c r="AU16" s="10"/>
      <c r="AV16" s="4"/>
      <c r="AW16" s="10"/>
    </row>
    <row r="17" spans="1:49" x14ac:dyDescent="0.2">
      <c r="A17" s="12" t="s">
        <v>15</v>
      </c>
      <c r="B17" s="13">
        <v>403</v>
      </c>
      <c r="C17" s="14">
        <v>2</v>
      </c>
      <c r="D17" s="13">
        <f t="shared" si="1"/>
        <v>405</v>
      </c>
      <c r="F17" s="20" t="s">
        <v>36</v>
      </c>
      <c r="G17" s="21">
        <v>76</v>
      </c>
      <c r="H17" s="21">
        <v>74</v>
      </c>
      <c r="I17" s="21">
        <v>36</v>
      </c>
      <c r="J17" s="21">
        <v>93</v>
      </c>
      <c r="K17" s="21">
        <v>16</v>
      </c>
      <c r="L17" s="22">
        <f t="shared" si="4"/>
        <v>295</v>
      </c>
      <c r="Q17" s="20" t="s">
        <v>15</v>
      </c>
      <c r="R17" s="27">
        <v>0</v>
      </c>
      <c r="S17" s="27">
        <v>0</v>
      </c>
      <c r="T17" s="27">
        <v>0</v>
      </c>
      <c r="U17" s="27">
        <v>0</v>
      </c>
      <c r="V17" s="27">
        <v>0</v>
      </c>
      <c r="W17" s="27">
        <f t="shared" si="2"/>
        <v>0</v>
      </c>
      <c r="X17" s="4">
        <v>30000</v>
      </c>
      <c r="Y17" s="27">
        <f t="shared" si="3"/>
        <v>0</v>
      </c>
      <c r="AM17" s="4">
        <v>15</v>
      </c>
      <c r="AN17" s="5"/>
      <c r="AO17" s="4"/>
      <c r="AP17" s="6"/>
      <c r="AQ17" s="4"/>
      <c r="AR17" s="7"/>
      <c r="AS17" s="7"/>
      <c r="AT17" s="9"/>
      <c r="AU17" s="10"/>
      <c r="AV17" s="4"/>
      <c r="AW17" s="10"/>
    </row>
    <row r="18" spans="1:49" x14ac:dyDescent="0.2">
      <c r="A18" s="12" t="s">
        <v>16</v>
      </c>
      <c r="B18" s="13">
        <v>0</v>
      </c>
      <c r="C18" s="14">
        <v>171</v>
      </c>
      <c r="D18" s="13">
        <f t="shared" si="1"/>
        <v>171</v>
      </c>
      <c r="F18" s="20" t="s">
        <v>15</v>
      </c>
      <c r="G18" s="21">
        <v>45</v>
      </c>
      <c r="H18" s="21">
        <v>35</v>
      </c>
      <c r="I18" s="21">
        <v>18</v>
      </c>
      <c r="J18" s="21">
        <v>20</v>
      </c>
      <c r="K18" s="21">
        <v>0</v>
      </c>
      <c r="L18" s="22">
        <f t="shared" si="4"/>
        <v>118</v>
      </c>
      <c r="Q18" s="20" t="s">
        <v>16</v>
      </c>
      <c r="R18" s="27">
        <v>0</v>
      </c>
      <c r="S18" s="27">
        <v>0</v>
      </c>
      <c r="T18" s="27">
        <v>0</v>
      </c>
      <c r="U18" s="27">
        <v>0</v>
      </c>
      <c r="V18" s="27">
        <v>0</v>
      </c>
      <c r="W18" s="27">
        <f t="shared" si="2"/>
        <v>0</v>
      </c>
      <c r="X18" s="4">
        <v>6900</v>
      </c>
      <c r="Y18" s="27">
        <f t="shared" si="3"/>
        <v>0</v>
      </c>
      <c r="AM18" s="4">
        <v>16</v>
      </c>
      <c r="AN18" s="5"/>
      <c r="AO18" s="4"/>
      <c r="AP18" s="6"/>
      <c r="AQ18" s="4"/>
      <c r="AR18" s="7"/>
      <c r="AS18" s="7"/>
      <c r="AT18" s="9"/>
      <c r="AU18" s="10"/>
      <c r="AV18" s="4"/>
      <c r="AW18" s="10"/>
    </row>
    <row r="19" spans="1:49" x14ac:dyDescent="0.2">
      <c r="A19" s="12" t="s">
        <v>17</v>
      </c>
      <c r="B19" s="13">
        <v>0</v>
      </c>
      <c r="C19" s="14">
        <v>0</v>
      </c>
      <c r="D19" s="13">
        <f t="shared" si="1"/>
        <v>0</v>
      </c>
      <c r="F19" s="20" t="s">
        <v>16</v>
      </c>
      <c r="G19" s="21">
        <v>0</v>
      </c>
      <c r="H19" s="21">
        <v>6</v>
      </c>
      <c r="I19" s="21">
        <v>0</v>
      </c>
      <c r="J19" s="21">
        <v>0</v>
      </c>
      <c r="K19" s="21">
        <v>0</v>
      </c>
      <c r="L19" s="22">
        <f t="shared" si="4"/>
        <v>6</v>
      </c>
      <c r="Q19" s="20" t="s">
        <v>17</v>
      </c>
      <c r="R19" s="27">
        <v>0</v>
      </c>
      <c r="S19" s="27">
        <v>0</v>
      </c>
      <c r="T19" s="27">
        <v>0</v>
      </c>
      <c r="U19" s="27">
        <v>0</v>
      </c>
      <c r="V19" s="27">
        <v>0</v>
      </c>
      <c r="W19" s="27">
        <f t="shared" si="2"/>
        <v>0</v>
      </c>
      <c r="X19" s="4">
        <v>7000</v>
      </c>
      <c r="Y19" s="27">
        <f t="shared" si="3"/>
        <v>0</v>
      </c>
    </row>
    <row r="20" spans="1:49" x14ac:dyDescent="0.2">
      <c r="A20" s="12" t="s">
        <v>18</v>
      </c>
      <c r="B20" s="13">
        <v>0</v>
      </c>
      <c r="C20" s="14">
        <v>0</v>
      </c>
      <c r="D20" s="13">
        <f t="shared" si="1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4"/>
        <v>1</v>
      </c>
      <c r="Q20" s="20" t="s">
        <v>18</v>
      </c>
      <c r="R20" s="27">
        <v>0</v>
      </c>
      <c r="S20" s="27">
        <v>0</v>
      </c>
      <c r="T20" s="27">
        <v>0</v>
      </c>
      <c r="U20" s="27">
        <v>0</v>
      </c>
      <c r="V20" s="27">
        <v>0</v>
      </c>
      <c r="W20" s="27">
        <f t="shared" si="2"/>
        <v>0</v>
      </c>
      <c r="X20" s="4">
        <v>12000</v>
      </c>
      <c r="Y20" s="27">
        <f t="shared" si="3"/>
        <v>0</v>
      </c>
    </row>
    <row r="21" spans="1:49" x14ac:dyDescent="0.2">
      <c r="A21" s="12" t="s">
        <v>19</v>
      </c>
      <c r="B21" s="13">
        <v>390</v>
      </c>
      <c r="C21" s="14">
        <v>1002</v>
      </c>
      <c r="D21" s="13">
        <f t="shared" si="1"/>
        <v>1392</v>
      </c>
      <c r="F21" s="20" t="s">
        <v>18</v>
      </c>
      <c r="G21" s="21">
        <v>11</v>
      </c>
      <c r="H21" s="21">
        <v>70</v>
      </c>
      <c r="I21" s="21">
        <v>21</v>
      </c>
      <c r="J21" s="21">
        <v>6</v>
      </c>
      <c r="K21" s="21">
        <v>0</v>
      </c>
      <c r="L21" s="22">
        <f t="shared" si="4"/>
        <v>108</v>
      </c>
      <c r="Q21" s="20" t="s">
        <v>19</v>
      </c>
      <c r="R21" s="27">
        <v>20</v>
      </c>
      <c r="S21" s="27">
        <v>45</v>
      </c>
      <c r="T21" s="27">
        <v>12</v>
      </c>
      <c r="U21" s="27">
        <v>0</v>
      </c>
      <c r="V21" s="27">
        <v>0</v>
      </c>
      <c r="W21" s="27">
        <f t="shared" si="2"/>
        <v>77</v>
      </c>
      <c r="X21" s="4">
        <v>9600</v>
      </c>
      <c r="Y21" s="27">
        <f t="shared" si="3"/>
        <v>739200</v>
      </c>
    </row>
    <row r="22" spans="1:49" x14ac:dyDescent="0.2">
      <c r="A22" s="12" t="s">
        <v>20</v>
      </c>
      <c r="B22" s="13">
        <v>222</v>
      </c>
      <c r="C22" s="14">
        <v>0</v>
      </c>
      <c r="D22" s="13">
        <f t="shared" si="1"/>
        <v>222</v>
      </c>
      <c r="F22" s="20" t="s">
        <v>19</v>
      </c>
      <c r="G22" s="21">
        <v>111</v>
      </c>
      <c r="H22" s="21">
        <v>30</v>
      </c>
      <c r="I22" s="21">
        <v>52</v>
      </c>
      <c r="J22" s="21">
        <v>61</v>
      </c>
      <c r="K22" s="21">
        <v>12</v>
      </c>
      <c r="L22" s="22">
        <f t="shared" si="4"/>
        <v>266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2"/>
        <v>0</v>
      </c>
      <c r="X22" s="4">
        <v>13200</v>
      </c>
      <c r="Y22" s="27">
        <f t="shared" si="3"/>
        <v>0</v>
      </c>
    </row>
    <row r="23" spans="1:49" x14ac:dyDescent="0.2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4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</row>
    <row r="24" spans="1:49" x14ac:dyDescent="0.2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4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</row>
    <row r="25" spans="1:49" x14ac:dyDescent="0.2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4"/>
        <v>0</v>
      </c>
      <c r="Q25" s="23" t="s">
        <v>50</v>
      </c>
      <c r="R25" s="19">
        <f>SUM(R4:R24)</f>
        <v>75</v>
      </c>
      <c r="S25" s="19">
        <f t="shared" ref="S25:Y25" si="7">SUM(S4:S24)</f>
        <v>75</v>
      </c>
      <c r="T25" s="19">
        <f t="shared" si="7"/>
        <v>65</v>
      </c>
      <c r="U25" s="19">
        <f t="shared" si="7"/>
        <v>40</v>
      </c>
      <c r="V25" s="19">
        <f t="shared" si="7"/>
        <v>0</v>
      </c>
      <c r="W25" s="19">
        <f t="shared" si="7"/>
        <v>255</v>
      </c>
      <c r="X25" s="19"/>
      <c r="Y25" s="19">
        <f t="shared" si="7"/>
        <v>3944200</v>
      </c>
    </row>
    <row r="26" spans="1:49" x14ac:dyDescent="0.2">
      <c r="F26" s="23" t="s">
        <v>27</v>
      </c>
      <c r="G26" s="24">
        <f t="shared" ref="G26:K26" si="8">SUM(G5:G25)</f>
        <v>1207</v>
      </c>
      <c r="H26" s="24">
        <f t="shared" si="8"/>
        <v>956</v>
      </c>
      <c r="I26" s="24">
        <f t="shared" si="8"/>
        <v>720</v>
      </c>
      <c r="J26" s="24">
        <f t="shared" si="8"/>
        <v>1144</v>
      </c>
      <c r="K26" s="24">
        <f t="shared" si="8"/>
        <v>105</v>
      </c>
      <c r="L26" s="24">
        <f>SUM(L5:L25)</f>
        <v>4132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0" priority="1" operator="lessThan">
      <formula>1</formula>
    </cfRule>
  </conditionalFormatting>
  <conditionalFormatting sqref="AJ4:AJ7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Lembar kerja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2026-06-04T06:11:28Z</dcterms:modified>
</cp:coreProperties>
</file>