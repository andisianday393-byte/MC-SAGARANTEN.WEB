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F531C13-C3B4-4D7E-AAE9-0FDF522DF709}" xr6:coauthVersionLast="47" xr6:coauthVersionMax="47" xr10:uidLastSave="{00000000-0000-0000-0000-000000000000}"/>
  <bookViews>
    <workbookView xWindow="-110" yWindow="-110" windowWidth="19420" windowHeight="10300" firstSheet="4" activeTab="8" xr2:uid="{FCA0993B-22C0-40F9-A77C-47A9D00BA9FF}"/>
  </bookViews>
  <sheets>
    <sheet name="stok-gudang" sheetId="1" r:id="rId1"/>
    <sheet name="stok-barang-dse" sheetId="2" r:id="rId2"/>
    <sheet name="penjualan-salmo" sheetId="3" r:id="rId3"/>
    <sheet name="penjualan-reguler-new" sheetId="4" r:id="rId4"/>
    <sheet name="penjualan-paket-jupiter" sheetId="5" r:id="rId5"/>
    <sheet name="penjualan-direct-selling" sheetId="6" r:id="rId6"/>
    <sheet name="penjualan-hifi" sheetId="7" r:id="rId7"/>
    <sheet name="Dashboard" sheetId="10" r:id="rId8"/>
    <sheet name="index" sheetId="8" r:id="rId9"/>
    <sheet name="Sheet1" sheetId="9" r:id="rId10"/>
  </sheets>
  <externalReferences>
    <externalReference r:id="rId11"/>
    <externalReference r:id="rId12"/>
  </externalReferences>
  <definedNames>
    <definedName name="_xlnm._FilterDatabase" localSheetId="8" hidden="1">index!$A$36:$EC$51</definedName>
  </definedNames>
  <calcPr calcId="191028"/>
  <pivotCaches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8" l="1"/>
  <c r="B16" i="8"/>
  <c r="O6" i="8" l="1"/>
  <c r="O5" i="8"/>
  <c r="O4" i="8"/>
  <c r="O3" i="8"/>
  <c r="Y8" i="8" l="1"/>
  <c r="W8" i="8"/>
  <c r="U8" i="8"/>
  <c r="S8" i="8"/>
  <c r="AM4" i="8"/>
  <c r="AF4" i="8"/>
  <c r="AJ12" i="8"/>
  <c r="AG15" i="8"/>
  <c r="AG14" i="8"/>
  <c r="AG13" i="8"/>
  <c r="AG12" i="8"/>
  <c r="AI3" i="4" l="1"/>
  <c r="AD3" i="4"/>
  <c r="T3" i="4"/>
  <c r="AC3" i="4"/>
  <c r="S3" i="4"/>
  <c r="AG3" i="4"/>
  <c r="AB3" i="4"/>
  <c r="W3" i="4"/>
  <c r="R3" i="4"/>
  <c r="K182" i="5"/>
  <c r="K179" i="5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Q6" i="4"/>
  <c r="L6" i="4"/>
  <c r="N6" i="4"/>
  <c r="BN1804" i="8"/>
  <c r="BN1803" i="8"/>
  <c r="H1" i="4"/>
  <c r="F1" i="4"/>
  <c r="D1" i="4"/>
  <c r="B1" i="4"/>
  <c r="CL3" i="8"/>
  <c r="D136" i="5"/>
  <c r="F135" i="5"/>
  <c r="K134" i="5"/>
  <c r="K133" i="5"/>
  <c r="D132" i="5"/>
  <c r="K131" i="5"/>
  <c r="F131" i="5"/>
  <c r="K130" i="5"/>
  <c r="K135" i="5"/>
  <c r="F132" i="5"/>
  <c r="I129" i="5"/>
  <c r="D129" i="5"/>
  <c r="K128" i="5"/>
  <c r="F127" i="5"/>
  <c r="I127" i="5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Q23" i="4"/>
  <c r="AJ3" i="4"/>
  <c r="AK3" i="4"/>
  <c r="AL3" i="4"/>
  <c r="AM3" i="4"/>
  <c r="AI4" i="4"/>
  <c r="AJ4" i="4"/>
  <c r="AK4" i="4"/>
  <c r="AL4" i="4"/>
  <c r="AM4" i="4"/>
  <c r="AI5" i="4"/>
  <c r="AJ5" i="4"/>
  <c r="AK5" i="4"/>
  <c r="AL5" i="4"/>
  <c r="AM5" i="4"/>
  <c r="AI7" i="4"/>
  <c r="AJ7" i="4"/>
  <c r="AK7" i="4"/>
  <c r="AL7" i="4"/>
  <c r="AM7" i="4"/>
  <c r="AI10" i="4"/>
  <c r="AJ10" i="4"/>
  <c r="AK10" i="4"/>
  <c r="AL10" i="4"/>
  <c r="AM10" i="4"/>
  <c r="AI11" i="4"/>
  <c r="AJ11" i="4"/>
  <c r="AK11" i="4"/>
  <c r="AL11" i="4"/>
  <c r="AM11" i="4"/>
  <c r="AI12" i="4"/>
  <c r="AJ12" i="4"/>
  <c r="AK12" i="4"/>
  <c r="AL12" i="4"/>
  <c r="AM12" i="4"/>
  <c r="AI13" i="4"/>
  <c r="AJ13" i="4"/>
  <c r="AK13" i="4"/>
  <c r="AL13" i="4"/>
  <c r="AM13" i="4"/>
  <c r="AI14" i="4"/>
  <c r="AJ14" i="4"/>
  <c r="AK14" i="4"/>
  <c r="AL14" i="4"/>
  <c r="AM14" i="4"/>
  <c r="AI15" i="4"/>
  <c r="AJ15" i="4"/>
  <c r="AK15" i="4"/>
  <c r="AL15" i="4"/>
  <c r="AM15" i="4"/>
  <c r="AI16" i="4"/>
  <c r="AJ16" i="4"/>
  <c r="AK16" i="4"/>
  <c r="AL16" i="4"/>
  <c r="AM16" i="4"/>
  <c r="AI17" i="4"/>
  <c r="AJ17" i="4"/>
  <c r="AK17" i="4"/>
  <c r="AL17" i="4"/>
  <c r="AM17" i="4"/>
  <c r="AI18" i="4"/>
  <c r="AJ18" i="4"/>
  <c r="AK18" i="4"/>
  <c r="AL18" i="4"/>
  <c r="AM18" i="4"/>
  <c r="AI19" i="4"/>
  <c r="AJ19" i="4"/>
  <c r="AK19" i="4"/>
  <c r="AL19" i="4"/>
  <c r="AM19" i="4"/>
  <c r="AI20" i="4"/>
  <c r="AJ20" i="4"/>
  <c r="AK20" i="4"/>
  <c r="AL20" i="4"/>
  <c r="AM20" i="4"/>
  <c r="AI21" i="4"/>
  <c r="AJ21" i="4"/>
  <c r="AK21" i="4"/>
  <c r="AL21" i="4"/>
  <c r="AM21" i="4"/>
  <c r="AI22" i="4"/>
  <c r="AJ22" i="4"/>
  <c r="AK22" i="4"/>
  <c r="AL22" i="4"/>
  <c r="AM22" i="4"/>
  <c r="AJ2" i="4"/>
  <c r="AK2" i="4"/>
  <c r="AL2" i="4"/>
  <c r="AM2" i="4"/>
  <c r="Q3" i="4"/>
  <c r="U3" i="4"/>
  <c r="V3" i="4"/>
  <c r="X3" i="4"/>
  <c r="Y3" i="4"/>
  <c r="Z3" i="4"/>
  <c r="AA3" i="4"/>
  <c r="AE3" i="4"/>
  <c r="AF3" i="4"/>
  <c r="AH3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Q2" i="4"/>
  <c r="R4" i="8"/>
  <c r="B2" i="4" s="1"/>
  <c r="S4" i="8"/>
  <c r="C2" i="4" s="1"/>
  <c r="T4" i="8"/>
  <c r="D2" i="4" s="1"/>
  <c r="U4" i="8"/>
  <c r="E2" i="4" s="1"/>
  <c r="V4" i="8"/>
  <c r="F2" i="4" s="1"/>
  <c r="R5" i="8"/>
  <c r="B3" i="4" s="1"/>
  <c r="T5" i="8"/>
  <c r="D3" i="4" s="1"/>
  <c r="V5" i="8"/>
  <c r="F3" i="4" s="1"/>
  <c r="R6" i="8"/>
  <c r="B4" i="4" s="1"/>
  <c r="T6" i="8"/>
  <c r="D4" i="4" s="1"/>
  <c r="V6" i="8"/>
  <c r="F4" i="4" s="1"/>
  <c r="R7" i="8"/>
  <c r="B5" i="4" s="1"/>
  <c r="S7" i="8"/>
  <c r="C5" i="4" s="1"/>
  <c r="T7" i="8"/>
  <c r="D5" i="4" s="1"/>
  <c r="U7" i="8"/>
  <c r="E5" i="4" s="1"/>
  <c r="V7" i="8"/>
  <c r="F5" i="4" s="1"/>
  <c r="R8" i="8"/>
  <c r="B6" i="4" s="1"/>
  <c r="C6" i="4"/>
  <c r="T8" i="8"/>
  <c r="D6" i="4" s="1"/>
  <c r="E6" i="4"/>
  <c r="V8" i="8"/>
  <c r="F6" i="4" s="1"/>
  <c r="R9" i="8"/>
  <c r="S9" i="8"/>
  <c r="T9" i="8"/>
  <c r="U9" i="8"/>
  <c r="V9" i="8"/>
  <c r="R10" i="8"/>
  <c r="S10" i="8"/>
  <c r="C10" i="4" s="1"/>
  <c r="T10" i="8"/>
  <c r="D10" i="4" s="1"/>
  <c r="U10" i="8"/>
  <c r="E10" i="4" s="1"/>
  <c r="V10" i="8"/>
  <c r="F10" i="4" s="1"/>
  <c r="R11" i="8"/>
  <c r="B11" i="4" s="1"/>
  <c r="T11" i="8"/>
  <c r="D11" i="4" s="1"/>
  <c r="V11" i="8"/>
  <c r="F11" i="4" s="1"/>
  <c r="R12" i="8"/>
  <c r="B12" i="4" s="1"/>
  <c r="T12" i="8"/>
  <c r="D12" i="4" s="1"/>
  <c r="V12" i="8"/>
  <c r="F12" i="4" s="1"/>
  <c r="R13" i="8"/>
  <c r="B13" i="4" s="1"/>
  <c r="S13" i="8"/>
  <c r="C13" i="4" s="1"/>
  <c r="T13" i="8"/>
  <c r="D13" i="4" s="1"/>
  <c r="U13" i="8"/>
  <c r="V13" i="8"/>
  <c r="F13" i="4" s="1"/>
  <c r="R14" i="8"/>
  <c r="B14" i="4"/>
  <c r="T14" i="8"/>
  <c r="D14" i="4" s="1"/>
  <c r="V14" i="8"/>
  <c r="F14" i="4" s="1"/>
  <c r="R15" i="8"/>
  <c r="B15" i="4" s="1"/>
  <c r="S15" i="8"/>
  <c r="C15" i="4" s="1"/>
  <c r="T15" i="8"/>
  <c r="D15" i="4" s="1"/>
  <c r="U15" i="8"/>
  <c r="E15" i="4" s="1"/>
  <c r="V15" i="8"/>
  <c r="F15" i="4" s="1"/>
  <c r="R16" i="8"/>
  <c r="B16" i="4" s="1"/>
  <c r="S16" i="8"/>
  <c r="C16" i="4" s="1"/>
  <c r="T16" i="8"/>
  <c r="D16" i="4" s="1"/>
  <c r="U16" i="8"/>
  <c r="E16" i="4" s="1"/>
  <c r="V16" i="8"/>
  <c r="F16" i="4" s="1"/>
  <c r="R17" i="8"/>
  <c r="B17" i="4" s="1"/>
  <c r="S17" i="8"/>
  <c r="C17" i="4" s="1"/>
  <c r="T17" i="8"/>
  <c r="U17" i="8"/>
  <c r="E17" i="4" s="1"/>
  <c r="V17" i="8"/>
  <c r="F17" i="4" s="1"/>
  <c r="R18" i="8"/>
  <c r="B18" i="4" s="1"/>
  <c r="T18" i="8"/>
  <c r="D18" i="4" s="1"/>
  <c r="V18" i="8"/>
  <c r="F18" i="4"/>
  <c r="R19" i="8"/>
  <c r="B19" i="4" s="1"/>
  <c r="S19" i="8"/>
  <c r="C19" i="4" s="1"/>
  <c r="T19" i="8"/>
  <c r="D19" i="4" s="1"/>
  <c r="U19" i="8"/>
  <c r="E19" i="4" s="1"/>
  <c r="V19" i="8"/>
  <c r="F19" i="4" s="1"/>
  <c r="R20" i="8"/>
  <c r="B20" i="4" s="1"/>
  <c r="S20" i="8"/>
  <c r="C20" i="4" s="1"/>
  <c r="T20" i="8"/>
  <c r="D20" i="4" s="1"/>
  <c r="U20" i="8"/>
  <c r="E20" i="4" s="1"/>
  <c r="V20" i="8"/>
  <c r="F20" i="4" s="1"/>
  <c r="R21" i="8"/>
  <c r="B21" i="4" s="1"/>
  <c r="S21" i="8"/>
  <c r="T21" i="8"/>
  <c r="D21" i="4" s="1"/>
  <c r="U21" i="8"/>
  <c r="V21" i="8"/>
  <c r="F21" i="4" s="1"/>
  <c r="R22" i="8"/>
  <c r="B22" i="4" s="1"/>
  <c r="T22" i="8"/>
  <c r="D22" i="4" s="1"/>
  <c r="V22" i="8"/>
  <c r="F22" i="4" s="1"/>
  <c r="X22" i="8"/>
  <c r="H22" i="4" s="1"/>
  <c r="X18" i="8"/>
  <c r="H18" i="4" s="1"/>
  <c r="X14" i="8"/>
  <c r="H14" i="4" s="1"/>
  <c r="X12" i="8"/>
  <c r="H12" i="4" s="1"/>
  <c r="X11" i="8"/>
  <c r="H11" i="4" s="1"/>
  <c r="X6" i="8"/>
  <c r="H4" i="4" s="1"/>
  <c r="X5" i="8"/>
  <c r="H3" i="4" s="1"/>
  <c r="W4" i="8"/>
  <c r="G2" i="4" s="1"/>
  <c r="W7" i="8"/>
  <c r="G5" i="4" s="1"/>
  <c r="W10" i="8"/>
  <c r="G10" i="4" s="1"/>
  <c r="Y10" i="8"/>
  <c r="I10" i="4" s="1"/>
  <c r="W13" i="8"/>
  <c r="G13" i="4" s="1"/>
  <c r="Y13" i="8"/>
  <c r="I13" i="4" s="1"/>
  <c r="W17" i="8"/>
  <c r="G17" i="4" s="1"/>
  <c r="Y17" i="8"/>
  <c r="I17" i="4" s="1"/>
  <c r="Y7" i="8"/>
  <c r="I5" i="4" s="1"/>
  <c r="I6" i="4"/>
  <c r="Y9" i="8"/>
  <c r="Y15" i="8"/>
  <c r="I15" i="4" s="1"/>
  <c r="Y16" i="8"/>
  <c r="I16" i="4" s="1"/>
  <c r="Y19" i="8"/>
  <c r="I19" i="4" s="1"/>
  <c r="Y20" i="8"/>
  <c r="I20" i="4" s="1"/>
  <c r="Y21" i="8"/>
  <c r="I21" i="4" s="1"/>
  <c r="Y4" i="8"/>
  <c r="I2" i="4" s="1"/>
  <c r="G6" i="4"/>
  <c r="W9" i="8"/>
  <c r="W15" i="8"/>
  <c r="G15" i="4" s="1"/>
  <c r="W16" i="8"/>
  <c r="G16" i="4" s="1"/>
  <c r="W19" i="8"/>
  <c r="G19" i="4" s="1"/>
  <c r="W20" i="8"/>
  <c r="G20" i="4" s="1"/>
  <c r="W21" i="8"/>
  <c r="G21" i="4" s="1"/>
  <c r="X4" i="8"/>
  <c r="H2" i="4" s="1"/>
  <c r="X7" i="8"/>
  <c r="H5" i="4" s="1"/>
  <c r="X8" i="8"/>
  <c r="H6" i="4" s="1"/>
  <c r="X9" i="8"/>
  <c r="X10" i="8"/>
  <c r="H10" i="4" s="1"/>
  <c r="X13" i="8"/>
  <c r="H13" i="4" s="1"/>
  <c r="X15" i="8"/>
  <c r="H15" i="4" s="1"/>
  <c r="X16" i="8"/>
  <c r="H16" i="4" s="1"/>
  <c r="X17" i="8"/>
  <c r="H17" i="4" s="1"/>
  <c r="X19" i="8"/>
  <c r="H19" i="4" s="1"/>
  <c r="X20" i="8"/>
  <c r="H20" i="4"/>
  <c r="X21" i="8"/>
  <c r="H21" i="4" s="1"/>
  <c r="X23" i="8"/>
  <c r="V23" i="8"/>
  <c r="Z23" i="8"/>
  <c r="Z24" i="8"/>
  <c r="K100" i="5"/>
  <c r="F100" i="5"/>
  <c r="D100" i="5"/>
  <c r="K99" i="5"/>
  <c r="F99" i="5"/>
  <c r="D99" i="5"/>
  <c r="K98" i="5"/>
  <c r="F98" i="5"/>
  <c r="D98" i="5"/>
  <c r="F97" i="5"/>
  <c r="D97" i="5"/>
  <c r="K96" i="5"/>
  <c r="F96" i="5"/>
  <c r="D96" i="5"/>
  <c r="K95" i="5"/>
  <c r="F95" i="5"/>
  <c r="D95" i="5"/>
  <c r="K94" i="5"/>
  <c r="F94" i="5"/>
  <c r="D94" i="5"/>
  <c r="F93" i="5"/>
  <c r="D93" i="5"/>
  <c r="K92" i="5"/>
  <c r="F92" i="5"/>
  <c r="D92" i="5"/>
  <c r="B81" i="5"/>
  <c r="C81" i="5"/>
  <c r="E81" i="5"/>
  <c r="G81" i="5"/>
  <c r="H81" i="5"/>
  <c r="J81" i="5"/>
  <c r="L81" i="5"/>
  <c r="B82" i="5"/>
  <c r="C82" i="5"/>
  <c r="E82" i="5"/>
  <c r="G82" i="5"/>
  <c r="H82" i="5"/>
  <c r="J82" i="5"/>
  <c r="L82" i="5"/>
  <c r="B83" i="5"/>
  <c r="C83" i="5"/>
  <c r="E83" i="5"/>
  <c r="G83" i="5"/>
  <c r="H83" i="5"/>
  <c r="J83" i="5"/>
  <c r="L83" i="5"/>
  <c r="B84" i="5"/>
  <c r="C84" i="5"/>
  <c r="E84" i="5"/>
  <c r="G84" i="5"/>
  <c r="H84" i="5"/>
  <c r="J84" i="5"/>
  <c r="L84" i="5"/>
  <c r="B85" i="5"/>
  <c r="C85" i="5"/>
  <c r="E85" i="5"/>
  <c r="G85" i="5"/>
  <c r="H85" i="5"/>
  <c r="J85" i="5"/>
  <c r="L85" i="5"/>
  <c r="B86" i="5"/>
  <c r="C86" i="5"/>
  <c r="E86" i="5"/>
  <c r="G86" i="5"/>
  <c r="H86" i="5"/>
  <c r="J86" i="5"/>
  <c r="L86" i="5"/>
  <c r="B87" i="5"/>
  <c r="C87" i="5"/>
  <c r="E87" i="5"/>
  <c r="G87" i="5"/>
  <c r="H87" i="5"/>
  <c r="J87" i="5"/>
  <c r="L87" i="5"/>
  <c r="B88" i="5"/>
  <c r="C88" i="5"/>
  <c r="E88" i="5"/>
  <c r="G88" i="5"/>
  <c r="H88" i="5"/>
  <c r="J88" i="5"/>
  <c r="L88" i="5"/>
  <c r="B89" i="5"/>
  <c r="C89" i="5"/>
  <c r="E89" i="5"/>
  <c r="G89" i="5"/>
  <c r="H89" i="5"/>
  <c r="J89" i="5"/>
  <c r="L89" i="5"/>
  <c r="B90" i="5"/>
  <c r="C90" i="5"/>
  <c r="E90" i="5"/>
  <c r="G90" i="5"/>
  <c r="H90" i="5"/>
  <c r="J90" i="5"/>
  <c r="L90" i="5"/>
  <c r="B91" i="5"/>
  <c r="C91" i="5"/>
  <c r="E91" i="5"/>
  <c r="G91" i="5"/>
  <c r="H91" i="5"/>
  <c r="J91" i="5"/>
  <c r="L91" i="5"/>
  <c r="B92" i="5"/>
  <c r="C92" i="5"/>
  <c r="E92" i="5"/>
  <c r="G92" i="5"/>
  <c r="H92" i="5"/>
  <c r="J92" i="5"/>
  <c r="L92" i="5"/>
  <c r="B93" i="5"/>
  <c r="C93" i="5"/>
  <c r="E93" i="5"/>
  <c r="G93" i="5"/>
  <c r="H93" i="5"/>
  <c r="J93" i="5"/>
  <c r="L93" i="5"/>
  <c r="B94" i="5"/>
  <c r="C94" i="5"/>
  <c r="E94" i="5"/>
  <c r="G94" i="5"/>
  <c r="H94" i="5"/>
  <c r="J94" i="5"/>
  <c r="L94" i="5"/>
  <c r="B95" i="5"/>
  <c r="C95" i="5"/>
  <c r="E95" i="5"/>
  <c r="G95" i="5"/>
  <c r="H95" i="5"/>
  <c r="J95" i="5"/>
  <c r="L95" i="5"/>
  <c r="B96" i="5"/>
  <c r="C96" i="5"/>
  <c r="E96" i="5"/>
  <c r="G96" i="5"/>
  <c r="H96" i="5"/>
  <c r="J96" i="5"/>
  <c r="L96" i="5"/>
  <c r="B97" i="5"/>
  <c r="C97" i="5"/>
  <c r="E97" i="5"/>
  <c r="G97" i="5"/>
  <c r="H97" i="5"/>
  <c r="J97" i="5"/>
  <c r="L97" i="5"/>
  <c r="B98" i="5"/>
  <c r="C98" i="5"/>
  <c r="E98" i="5"/>
  <c r="G98" i="5"/>
  <c r="H98" i="5"/>
  <c r="J98" i="5"/>
  <c r="L98" i="5"/>
  <c r="B99" i="5"/>
  <c r="C99" i="5"/>
  <c r="E99" i="5"/>
  <c r="G99" i="5"/>
  <c r="H99" i="5"/>
  <c r="J99" i="5"/>
  <c r="L99" i="5"/>
  <c r="B100" i="5"/>
  <c r="C100" i="5"/>
  <c r="E100" i="5"/>
  <c r="G100" i="5"/>
  <c r="H100" i="5"/>
  <c r="J100" i="5"/>
  <c r="L100" i="5"/>
  <c r="B101" i="5"/>
  <c r="C101" i="5"/>
  <c r="E101" i="5"/>
  <c r="G101" i="5"/>
  <c r="H101" i="5"/>
  <c r="J101" i="5"/>
  <c r="L101" i="5"/>
  <c r="B102" i="5"/>
  <c r="C102" i="5"/>
  <c r="E102" i="5"/>
  <c r="G102" i="5"/>
  <c r="H102" i="5"/>
  <c r="J102" i="5"/>
  <c r="L102" i="5"/>
  <c r="B103" i="5"/>
  <c r="C103" i="5"/>
  <c r="E103" i="5"/>
  <c r="G103" i="5"/>
  <c r="H103" i="5"/>
  <c r="J103" i="5"/>
  <c r="L103" i="5"/>
  <c r="B104" i="5"/>
  <c r="C104" i="5"/>
  <c r="E104" i="5"/>
  <c r="G104" i="5"/>
  <c r="H104" i="5"/>
  <c r="J104" i="5"/>
  <c r="L104" i="5"/>
  <c r="B105" i="5"/>
  <c r="C105" i="5"/>
  <c r="E105" i="5"/>
  <c r="G105" i="5"/>
  <c r="H105" i="5"/>
  <c r="J105" i="5"/>
  <c r="L105" i="5"/>
  <c r="B106" i="5"/>
  <c r="C106" i="5"/>
  <c r="E106" i="5"/>
  <c r="G106" i="5"/>
  <c r="H106" i="5"/>
  <c r="J106" i="5"/>
  <c r="L106" i="5"/>
  <c r="B107" i="5"/>
  <c r="C107" i="5"/>
  <c r="E107" i="5"/>
  <c r="G107" i="5"/>
  <c r="H107" i="5"/>
  <c r="J107" i="5"/>
  <c r="L107" i="5"/>
  <c r="B108" i="5"/>
  <c r="C108" i="5"/>
  <c r="E108" i="5"/>
  <c r="G108" i="5"/>
  <c r="H108" i="5"/>
  <c r="J108" i="5"/>
  <c r="L108" i="5"/>
  <c r="B109" i="5"/>
  <c r="C109" i="5"/>
  <c r="E109" i="5"/>
  <c r="G109" i="5"/>
  <c r="H109" i="5"/>
  <c r="J109" i="5"/>
  <c r="L109" i="5"/>
  <c r="B110" i="5"/>
  <c r="C110" i="5"/>
  <c r="E110" i="5"/>
  <c r="G110" i="5"/>
  <c r="H110" i="5"/>
  <c r="J110" i="5"/>
  <c r="L110" i="5"/>
  <c r="B111" i="5"/>
  <c r="C111" i="5"/>
  <c r="E111" i="5"/>
  <c r="G111" i="5"/>
  <c r="H111" i="5"/>
  <c r="J111" i="5"/>
  <c r="L111" i="5"/>
  <c r="B112" i="5"/>
  <c r="C112" i="5"/>
  <c r="E112" i="5"/>
  <c r="G112" i="5"/>
  <c r="H112" i="5"/>
  <c r="J112" i="5"/>
  <c r="L112" i="5"/>
  <c r="B113" i="5"/>
  <c r="C113" i="5"/>
  <c r="E113" i="5"/>
  <c r="G113" i="5"/>
  <c r="H113" i="5"/>
  <c r="J113" i="5"/>
  <c r="L113" i="5"/>
  <c r="B114" i="5"/>
  <c r="C114" i="5"/>
  <c r="E114" i="5"/>
  <c r="G114" i="5"/>
  <c r="H114" i="5"/>
  <c r="J114" i="5"/>
  <c r="L114" i="5"/>
  <c r="B115" i="5"/>
  <c r="C115" i="5"/>
  <c r="E115" i="5"/>
  <c r="G115" i="5"/>
  <c r="H115" i="5"/>
  <c r="J115" i="5"/>
  <c r="L115" i="5"/>
  <c r="B116" i="5"/>
  <c r="C116" i="5"/>
  <c r="E116" i="5"/>
  <c r="G116" i="5"/>
  <c r="H116" i="5"/>
  <c r="J116" i="5"/>
  <c r="L116" i="5"/>
  <c r="B117" i="5"/>
  <c r="C117" i="5"/>
  <c r="E117" i="5"/>
  <c r="G117" i="5"/>
  <c r="H117" i="5"/>
  <c r="J117" i="5"/>
  <c r="L117" i="5"/>
  <c r="B118" i="5"/>
  <c r="C118" i="5"/>
  <c r="E118" i="5"/>
  <c r="G118" i="5"/>
  <c r="H118" i="5"/>
  <c r="J118" i="5"/>
  <c r="L118" i="5"/>
  <c r="B119" i="5"/>
  <c r="C119" i="5"/>
  <c r="E119" i="5"/>
  <c r="G119" i="5"/>
  <c r="H119" i="5"/>
  <c r="J119" i="5"/>
  <c r="L119" i="5"/>
  <c r="B120" i="5"/>
  <c r="C120" i="5"/>
  <c r="E120" i="5"/>
  <c r="G120" i="5"/>
  <c r="H120" i="5"/>
  <c r="J120" i="5"/>
  <c r="L120" i="5"/>
  <c r="B121" i="5"/>
  <c r="C121" i="5"/>
  <c r="E121" i="5"/>
  <c r="G121" i="5"/>
  <c r="H121" i="5"/>
  <c r="J121" i="5"/>
  <c r="L121" i="5"/>
  <c r="B122" i="5"/>
  <c r="C122" i="5"/>
  <c r="E122" i="5"/>
  <c r="G122" i="5"/>
  <c r="H122" i="5"/>
  <c r="J122" i="5"/>
  <c r="L122" i="5"/>
  <c r="B123" i="5"/>
  <c r="C123" i="5"/>
  <c r="E123" i="5"/>
  <c r="G123" i="5"/>
  <c r="H123" i="5"/>
  <c r="J123" i="5"/>
  <c r="L123" i="5"/>
  <c r="B124" i="5"/>
  <c r="C124" i="5"/>
  <c r="E124" i="5"/>
  <c r="G124" i="5"/>
  <c r="H124" i="5"/>
  <c r="J124" i="5"/>
  <c r="L124" i="5"/>
  <c r="B125" i="5"/>
  <c r="C125" i="5"/>
  <c r="E125" i="5"/>
  <c r="G125" i="5"/>
  <c r="H125" i="5"/>
  <c r="J125" i="5"/>
  <c r="L125" i="5"/>
  <c r="B126" i="5"/>
  <c r="C126" i="5"/>
  <c r="E126" i="5"/>
  <c r="G126" i="5"/>
  <c r="H126" i="5"/>
  <c r="J126" i="5"/>
  <c r="L126" i="5"/>
  <c r="B127" i="5"/>
  <c r="C127" i="5"/>
  <c r="E127" i="5"/>
  <c r="G127" i="5"/>
  <c r="H127" i="5"/>
  <c r="J127" i="5"/>
  <c r="L127" i="5"/>
  <c r="B128" i="5"/>
  <c r="C128" i="5"/>
  <c r="E128" i="5"/>
  <c r="G128" i="5"/>
  <c r="H128" i="5"/>
  <c r="J128" i="5"/>
  <c r="L128" i="5"/>
  <c r="B129" i="5"/>
  <c r="C129" i="5"/>
  <c r="E129" i="5"/>
  <c r="G129" i="5"/>
  <c r="H129" i="5"/>
  <c r="J129" i="5"/>
  <c r="L129" i="5"/>
  <c r="B130" i="5"/>
  <c r="C130" i="5"/>
  <c r="E130" i="5"/>
  <c r="G130" i="5"/>
  <c r="H130" i="5"/>
  <c r="J130" i="5"/>
  <c r="L130" i="5"/>
  <c r="B131" i="5"/>
  <c r="C131" i="5"/>
  <c r="E131" i="5"/>
  <c r="G131" i="5"/>
  <c r="H131" i="5"/>
  <c r="J131" i="5"/>
  <c r="L131" i="5"/>
  <c r="B132" i="5"/>
  <c r="C132" i="5"/>
  <c r="E132" i="5"/>
  <c r="G132" i="5"/>
  <c r="H132" i="5"/>
  <c r="J132" i="5"/>
  <c r="L132" i="5"/>
  <c r="B133" i="5"/>
  <c r="C133" i="5"/>
  <c r="E133" i="5"/>
  <c r="G133" i="5"/>
  <c r="H133" i="5"/>
  <c r="J133" i="5"/>
  <c r="L133" i="5"/>
  <c r="B134" i="5"/>
  <c r="C134" i="5"/>
  <c r="E134" i="5"/>
  <c r="G134" i="5"/>
  <c r="H134" i="5"/>
  <c r="J134" i="5"/>
  <c r="L134" i="5"/>
  <c r="B135" i="5"/>
  <c r="C135" i="5"/>
  <c r="E135" i="5"/>
  <c r="G135" i="5"/>
  <c r="H135" i="5"/>
  <c r="J135" i="5"/>
  <c r="L135" i="5"/>
  <c r="B136" i="5"/>
  <c r="C136" i="5"/>
  <c r="E136" i="5"/>
  <c r="G136" i="5"/>
  <c r="H136" i="5"/>
  <c r="J136" i="5"/>
  <c r="L136" i="5"/>
  <c r="B137" i="5"/>
  <c r="C137" i="5"/>
  <c r="E137" i="5"/>
  <c r="G137" i="5"/>
  <c r="H137" i="5"/>
  <c r="J137" i="5"/>
  <c r="L137" i="5"/>
  <c r="B138" i="5"/>
  <c r="C138" i="5"/>
  <c r="E138" i="5"/>
  <c r="G138" i="5"/>
  <c r="H138" i="5"/>
  <c r="J138" i="5"/>
  <c r="L138" i="5"/>
  <c r="B139" i="5"/>
  <c r="C139" i="5"/>
  <c r="E139" i="5"/>
  <c r="G139" i="5"/>
  <c r="H139" i="5"/>
  <c r="J139" i="5"/>
  <c r="L139" i="5"/>
  <c r="B140" i="5"/>
  <c r="C140" i="5"/>
  <c r="E140" i="5"/>
  <c r="G140" i="5"/>
  <c r="H140" i="5"/>
  <c r="J140" i="5"/>
  <c r="L140" i="5"/>
  <c r="B141" i="5"/>
  <c r="C141" i="5"/>
  <c r="E141" i="5"/>
  <c r="G141" i="5"/>
  <c r="H141" i="5"/>
  <c r="J141" i="5"/>
  <c r="L141" i="5"/>
  <c r="B142" i="5"/>
  <c r="C142" i="5"/>
  <c r="E142" i="5"/>
  <c r="G142" i="5"/>
  <c r="H142" i="5"/>
  <c r="J142" i="5"/>
  <c r="L142" i="5"/>
  <c r="B143" i="5"/>
  <c r="C143" i="5"/>
  <c r="E143" i="5"/>
  <c r="G143" i="5"/>
  <c r="H143" i="5"/>
  <c r="J143" i="5"/>
  <c r="L143" i="5"/>
  <c r="B144" i="5"/>
  <c r="C144" i="5"/>
  <c r="E144" i="5"/>
  <c r="G144" i="5"/>
  <c r="H144" i="5"/>
  <c r="J144" i="5"/>
  <c r="L144" i="5"/>
  <c r="B145" i="5"/>
  <c r="C145" i="5"/>
  <c r="E145" i="5"/>
  <c r="G145" i="5"/>
  <c r="H145" i="5"/>
  <c r="J145" i="5"/>
  <c r="L145" i="5"/>
  <c r="B146" i="5"/>
  <c r="C146" i="5"/>
  <c r="E146" i="5"/>
  <c r="G146" i="5"/>
  <c r="H146" i="5"/>
  <c r="J146" i="5"/>
  <c r="L146" i="5"/>
  <c r="B147" i="5"/>
  <c r="C147" i="5"/>
  <c r="E147" i="5"/>
  <c r="G147" i="5"/>
  <c r="H147" i="5"/>
  <c r="J147" i="5"/>
  <c r="L147" i="5"/>
  <c r="B148" i="5"/>
  <c r="C148" i="5"/>
  <c r="E148" i="5"/>
  <c r="G148" i="5"/>
  <c r="H148" i="5"/>
  <c r="J148" i="5"/>
  <c r="L148" i="5"/>
  <c r="B149" i="5"/>
  <c r="C149" i="5"/>
  <c r="E149" i="5"/>
  <c r="G149" i="5"/>
  <c r="H149" i="5"/>
  <c r="J149" i="5"/>
  <c r="L149" i="5"/>
  <c r="B150" i="5"/>
  <c r="C150" i="5"/>
  <c r="E150" i="5"/>
  <c r="G150" i="5"/>
  <c r="H150" i="5"/>
  <c r="J150" i="5"/>
  <c r="L150" i="5"/>
  <c r="B151" i="5"/>
  <c r="C151" i="5"/>
  <c r="E151" i="5"/>
  <c r="G151" i="5"/>
  <c r="H151" i="5"/>
  <c r="J151" i="5"/>
  <c r="L151" i="5"/>
  <c r="B152" i="5"/>
  <c r="C152" i="5"/>
  <c r="E152" i="5"/>
  <c r="G152" i="5"/>
  <c r="H152" i="5"/>
  <c r="J152" i="5"/>
  <c r="L152" i="5"/>
  <c r="B153" i="5"/>
  <c r="C153" i="5"/>
  <c r="E153" i="5"/>
  <c r="G153" i="5"/>
  <c r="H153" i="5"/>
  <c r="J153" i="5"/>
  <c r="L153" i="5"/>
  <c r="B154" i="5"/>
  <c r="C154" i="5"/>
  <c r="E154" i="5"/>
  <c r="G154" i="5"/>
  <c r="H154" i="5"/>
  <c r="J154" i="5"/>
  <c r="L154" i="5"/>
  <c r="B155" i="5"/>
  <c r="C155" i="5"/>
  <c r="E155" i="5"/>
  <c r="G155" i="5"/>
  <c r="H155" i="5"/>
  <c r="J155" i="5"/>
  <c r="L155" i="5"/>
  <c r="B156" i="5"/>
  <c r="C156" i="5"/>
  <c r="E156" i="5"/>
  <c r="G156" i="5"/>
  <c r="H156" i="5"/>
  <c r="J156" i="5"/>
  <c r="L156" i="5"/>
  <c r="B157" i="5"/>
  <c r="C157" i="5"/>
  <c r="E157" i="5"/>
  <c r="G157" i="5"/>
  <c r="H157" i="5"/>
  <c r="J157" i="5"/>
  <c r="L157" i="5"/>
  <c r="B158" i="5"/>
  <c r="C158" i="5"/>
  <c r="E158" i="5"/>
  <c r="G158" i="5"/>
  <c r="H158" i="5"/>
  <c r="J158" i="5"/>
  <c r="L158" i="5"/>
  <c r="B159" i="5"/>
  <c r="C159" i="5"/>
  <c r="E159" i="5"/>
  <c r="G159" i="5"/>
  <c r="H159" i="5"/>
  <c r="J159" i="5"/>
  <c r="L159" i="5"/>
  <c r="B160" i="5"/>
  <c r="C160" i="5"/>
  <c r="E160" i="5"/>
  <c r="G160" i="5"/>
  <c r="H160" i="5"/>
  <c r="J160" i="5"/>
  <c r="L160" i="5"/>
  <c r="B161" i="5"/>
  <c r="C161" i="5"/>
  <c r="E161" i="5"/>
  <c r="G161" i="5"/>
  <c r="H161" i="5"/>
  <c r="J161" i="5"/>
  <c r="L161" i="5"/>
  <c r="B162" i="5"/>
  <c r="C162" i="5"/>
  <c r="E162" i="5"/>
  <c r="G162" i="5"/>
  <c r="H162" i="5"/>
  <c r="J162" i="5"/>
  <c r="L162" i="5"/>
  <c r="B163" i="5"/>
  <c r="C163" i="5"/>
  <c r="E163" i="5"/>
  <c r="G163" i="5"/>
  <c r="H163" i="5"/>
  <c r="J163" i="5"/>
  <c r="L163" i="5"/>
  <c r="B164" i="5"/>
  <c r="C164" i="5"/>
  <c r="E164" i="5"/>
  <c r="G164" i="5"/>
  <c r="H164" i="5"/>
  <c r="J164" i="5"/>
  <c r="L164" i="5"/>
  <c r="B165" i="5"/>
  <c r="C165" i="5"/>
  <c r="E165" i="5"/>
  <c r="G165" i="5"/>
  <c r="H165" i="5"/>
  <c r="J165" i="5"/>
  <c r="L165" i="5"/>
  <c r="B166" i="5"/>
  <c r="C166" i="5"/>
  <c r="E166" i="5"/>
  <c r="G166" i="5"/>
  <c r="H166" i="5"/>
  <c r="J166" i="5"/>
  <c r="L166" i="5"/>
  <c r="B167" i="5"/>
  <c r="C167" i="5"/>
  <c r="E167" i="5"/>
  <c r="G167" i="5"/>
  <c r="H167" i="5"/>
  <c r="J167" i="5"/>
  <c r="L167" i="5"/>
  <c r="B168" i="5"/>
  <c r="C168" i="5"/>
  <c r="E168" i="5"/>
  <c r="G168" i="5"/>
  <c r="H168" i="5"/>
  <c r="J168" i="5"/>
  <c r="L168" i="5"/>
  <c r="B169" i="5"/>
  <c r="C169" i="5"/>
  <c r="E169" i="5"/>
  <c r="G169" i="5"/>
  <c r="H169" i="5"/>
  <c r="J169" i="5"/>
  <c r="L169" i="5"/>
  <c r="B170" i="5"/>
  <c r="C170" i="5"/>
  <c r="E170" i="5"/>
  <c r="G170" i="5"/>
  <c r="H170" i="5"/>
  <c r="J170" i="5"/>
  <c r="L170" i="5"/>
  <c r="B171" i="5"/>
  <c r="C171" i="5"/>
  <c r="E171" i="5"/>
  <c r="G171" i="5"/>
  <c r="H171" i="5"/>
  <c r="J171" i="5"/>
  <c r="L171" i="5"/>
  <c r="B172" i="5"/>
  <c r="C172" i="5"/>
  <c r="E172" i="5"/>
  <c r="G172" i="5"/>
  <c r="H172" i="5"/>
  <c r="J172" i="5"/>
  <c r="L172" i="5"/>
  <c r="B173" i="5"/>
  <c r="C173" i="5"/>
  <c r="E173" i="5"/>
  <c r="G173" i="5"/>
  <c r="H173" i="5"/>
  <c r="J173" i="5"/>
  <c r="L173" i="5"/>
  <c r="B174" i="5"/>
  <c r="C174" i="5"/>
  <c r="E174" i="5"/>
  <c r="G174" i="5"/>
  <c r="H174" i="5"/>
  <c r="J174" i="5"/>
  <c r="L174" i="5"/>
  <c r="B175" i="5"/>
  <c r="C175" i="5"/>
  <c r="E175" i="5"/>
  <c r="G175" i="5"/>
  <c r="H175" i="5"/>
  <c r="J175" i="5"/>
  <c r="L175" i="5"/>
  <c r="B176" i="5"/>
  <c r="C176" i="5"/>
  <c r="E176" i="5"/>
  <c r="G176" i="5"/>
  <c r="H176" i="5"/>
  <c r="J176" i="5"/>
  <c r="L176" i="5"/>
  <c r="B177" i="5"/>
  <c r="C177" i="5"/>
  <c r="E177" i="5"/>
  <c r="G177" i="5"/>
  <c r="H177" i="5"/>
  <c r="J177" i="5"/>
  <c r="L177" i="5"/>
  <c r="B178" i="5"/>
  <c r="C178" i="5"/>
  <c r="E178" i="5"/>
  <c r="G178" i="5"/>
  <c r="H178" i="5"/>
  <c r="J178" i="5"/>
  <c r="L178" i="5"/>
  <c r="B179" i="5"/>
  <c r="C179" i="5"/>
  <c r="E179" i="5"/>
  <c r="G179" i="5"/>
  <c r="H179" i="5"/>
  <c r="J179" i="5"/>
  <c r="L179" i="5"/>
  <c r="B180" i="5"/>
  <c r="C180" i="5"/>
  <c r="E180" i="5"/>
  <c r="G180" i="5"/>
  <c r="H180" i="5"/>
  <c r="J180" i="5"/>
  <c r="L180" i="5"/>
  <c r="B181" i="5"/>
  <c r="C181" i="5"/>
  <c r="E181" i="5"/>
  <c r="G181" i="5"/>
  <c r="H181" i="5"/>
  <c r="J181" i="5"/>
  <c r="L181" i="5"/>
  <c r="B182" i="5"/>
  <c r="C182" i="5"/>
  <c r="E182" i="5"/>
  <c r="G182" i="5"/>
  <c r="H182" i="5"/>
  <c r="J182" i="5"/>
  <c r="L182" i="5"/>
  <c r="B183" i="5"/>
  <c r="C183" i="5"/>
  <c r="E183" i="5"/>
  <c r="G183" i="5"/>
  <c r="H183" i="5"/>
  <c r="J183" i="5"/>
  <c r="L183" i="5"/>
  <c r="B184" i="5"/>
  <c r="C184" i="5"/>
  <c r="E184" i="5"/>
  <c r="G184" i="5"/>
  <c r="H184" i="5"/>
  <c r="J184" i="5"/>
  <c r="L184" i="5"/>
  <c r="B185" i="5"/>
  <c r="C185" i="5"/>
  <c r="E185" i="5"/>
  <c r="G185" i="5"/>
  <c r="H185" i="5"/>
  <c r="J185" i="5"/>
  <c r="L185" i="5"/>
  <c r="B186" i="5"/>
  <c r="C186" i="5"/>
  <c r="E186" i="5"/>
  <c r="G186" i="5"/>
  <c r="H186" i="5"/>
  <c r="J186" i="5"/>
  <c r="L186" i="5"/>
  <c r="B187" i="5"/>
  <c r="C187" i="5"/>
  <c r="E187" i="5"/>
  <c r="G187" i="5"/>
  <c r="H187" i="5"/>
  <c r="J187" i="5"/>
  <c r="L187" i="5"/>
  <c r="B188" i="5"/>
  <c r="C188" i="5"/>
  <c r="E188" i="5"/>
  <c r="G188" i="5"/>
  <c r="H188" i="5"/>
  <c r="J188" i="5"/>
  <c r="L188" i="5"/>
  <c r="B189" i="5"/>
  <c r="C189" i="5"/>
  <c r="E189" i="5"/>
  <c r="G189" i="5"/>
  <c r="H189" i="5"/>
  <c r="J189" i="5"/>
  <c r="L189" i="5"/>
  <c r="B190" i="5"/>
  <c r="C190" i="5"/>
  <c r="E190" i="5"/>
  <c r="G190" i="5"/>
  <c r="H190" i="5"/>
  <c r="J190" i="5"/>
  <c r="L190" i="5"/>
  <c r="B191" i="5"/>
  <c r="C191" i="5"/>
  <c r="E191" i="5"/>
  <c r="G191" i="5"/>
  <c r="H191" i="5"/>
  <c r="J191" i="5"/>
  <c r="L191" i="5"/>
  <c r="B192" i="5"/>
  <c r="C192" i="5"/>
  <c r="E192" i="5"/>
  <c r="G192" i="5"/>
  <c r="H192" i="5"/>
  <c r="J192" i="5"/>
  <c r="L192" i="5"/>
  <c r="B193" i="5"/>
  <c r="C193" i="5"/>
  <c r="E193" i="5"/>
  <c r="G193" i="5"/>
  <c r="H193" i="5"/>
  <c r="J193" i="5"/>
  <c r="L193" i="5"/>
  <c r="B194" i="5"/>
  <c r="C194" i="5"/>
  <c r="E194" i="5"/>
  <c r="G194" i="5"/>
  <c r="H194" i="5"/>
  <c r="J194" i="5"/>
  <c r="L194" i="5"/>
  <c r="B195" i="5"/>
  <c r="C195" i="5"/>
  <c r="E195" i="5"/>
  <c r="G195" i="5"/>
  <c r="H195" i="5"/>
  <c r="J195" i="5"/>
  <c r="L195" i="5"/>
  <c r="B196" i="5"/>
  <c r="C196" i="5"/>
  <c r="E196" i="5"/>
  <c r="G196" i="5"/>
  <c r="H196" i="5"/>
  <c r="J196" i="5"/>
  <c r="L196" i="5"/>
  <c r="B197" i="5"/>
  <c r="C197" i="5"/>
  <c r="E197" i="5"/>
  <c r="G197" i="5"/>
  <c r="H197" i="5"/>
  <c r="J197" i="5"/>
  <c r="L197" i="5"/>
  <c r="B198" i="5"/>
  <c r="C198" i="5"/>
  <c r="E198" i="5"/>
  <c r="G198" i="5"/>
  <c r="H198" i="5"/>
  <c r="J198" i="5"/>
  <c r="L198" i="5"/>
  <c r="B199" i="5"/>
  <c r="C199" i="5"/>
  <c r="E199" i="5"/>
  <c r="G199" i="5"/>
  <c r="H199" i="5"/>
  <c r="J199" i="5"/>
  <c r="L199" i="5"/>
  <c r="B200" i="5"/>
  <c r="C200" i="5"/>
  <c r="E200" i="5"/>
  <c r="G200" i="5"/>
  <c r="H200" i="5"/>
  <c r="J200" i="5"/>
  <c r="L200" i="5"/>
  <c r="B201" i="5"/>
  <c r="C201" i="5"/>
  <c r="E201" i="5"/>
  <c r="G201" i="5"/>
  <c r="H201" i="5"/>
  <c r="J201" i="5"/>
  <c r="L201" i="5"/>
  <c r="B202" i="5"/>
  <c r="C202" i="5"/>
  <c r="E202" i="5"/>
  <c r="G202" i="5"/>
  <c r="H202" i="5"/>
  <c r="J202" i="5"/>
  <c r="L202" i="5"/>
  <c r="B203" i="5"/>
  <c r="C203" i="5"/>
  <c r="E203" i="5"/>
  <c r="G203" i="5"/>
  <c r="H203" i="5"/>
  <c r="J203" i="5"/>
  <c r="L203" i="5"/>
  <c r="B204" i="5"/>
  <c r="C204" i="5"/>
  <c r="E204" i="5"/>
  <c r="G204" i="5"/>
  <c r="H204" i="5"/>
  <c r="J204" i="5"/>
  <c r="L204" i="5"/>
  <c r="B205" i="5"/>
  <c r="C205" i="5"/>
  <c r="E205" i="5"/>
  <c r="G205" i="5"/>
  <c r="H205" i="5"/>
  <c r="J205" i="5"/>
  <c r="L205" i="5"/>
  <c r="B206" i="5"/>
  <c r="C206" i="5"/>
  <c r="E206" i="5"/>
  <c r="G206" i="5"/>
  <c r="H206" i="5"/>
  <c r="J206" i="5"/>
  <c r="L206" i="5"/>
  <c r="B207" i="5"/>
  <c r="C207" i="5"/>
  <c r="E207" i="5"/>
  <c r="G207" i="5"/>
  <c r="H207" i="5"/>
  <c r="J207" i="5"/>
  <c r="L207" i="5"/>
  <c r="B208" i="5"/>
  <c r="C208" i="5"/>
  <c r="E208" i="5"/>
  <c r="G208" i="5"/>
  <c r="H208" i="5"/>
  <c r="J208" i="5"/>
  <c r="L208" i="5"/>
  <c r="B209" i="5"/>
  <c r="C209" i="5"/>
  <c r="E209" i="5"/>
  <c r="G209" i="5"/>
  <c r="H209" i="5"/>
  <c r="J209" i="5"/>
  <c r="L209" i="5"/>
  <c r="B210" i="5"/>
  <c r="C210" i="5"/>
  <c r="E210" i="5"/>
  <c r="G210" i="5"/>
  <c r="H210" i="5"/>
  <c r="J210" i="5"/>
  <c r="L210" i="5"/>
  <c r="B211" i="5"/>
  <c r="C211" i="5"/>
  <c r="E211" i="5"/>
  <c r="G211" i="5"/>
  <c r="H211" i="5"/>
  <c r="J211" i="5"/>
  <c r="L211" i="5"/>
  <c r="B212" i="5"/>
  <c r="C212" i="5"/>
  <c r="E212" i="5"/>
  <c r="G212" i="5"/>
  <c r="H212" i="5"/>
  <c r="J212" i="5"/>
  <c r="L212" i="5"/>
  <c r="B213" i="5"/>
  <c r="C213" i="5"/>
  <c r="E213" i="5"/>
  <c r="G213" i="5"/>
  <c r="H213" i="5"/>
  <c r="J213" i="5"/>
  <c r="L213" i="5"/>
  <c r="B214" i="5"/>
  <c r="C214" i="5"/>
  <c r="E214" i="5"/>
  <c r="G214" i="5"/>
  <c r="H214" i="5"/>
  <c r="J214" i="5"/>
  <c r="L214" i="5"/>
  <c r="B215" i="5"/>
  <c r="C215" i="5"/>
  <c r="E215" i="5"/>
  <c r="G215" i="5"/>
  <c r="H215" i="5"/>
  <c r="J215" i="5"/>
  <c r="L215" i="5"/>
  <c r="B216" i="5"/>
  <c r="C216" i="5"/>
  <c r="E216" i="5"/>
  <c r="G216" i="5"/>
  <c r="H216" i="5"/>
  <c r="J216" i="5"/>
  <c r="L216" i="5"/>
  <c r="B217" i="5"/>
  <c r="C217" i="5"/>
  <c r="E217" i="5"/>
  <c r="G217" i="5"/>
  <c r="H217" i="5"/>
  <c r="J217" i="5"/>
  <c r="L217" i="5"/>
  <c r="B218" i="5"/>
  <c r="C218" i="5"/>
  <c r="E218" i="5"/>
  <c r="G218" i="5"/>
  <c r="H218" i="5"/>
  <c r="J218" i="5"/>
  <c r="L218" i="5"/>
  <c r="B219" i="5"/>
  <c r="C219" i="5"/>
  <c r="E219" i="5"/>
  <c r="G219" i="5"/>
  <c r="H219" i="5"/>
  <c r="J219" i="5"/>
  <c r="L219" i="5"/>
  <c r="B220" i="5"/>
  <c r="C220" i="5"/>
  <c r="E220" i="5"/>
  <c r="G220" i="5"/>
  <c r="H220" i="5"/>
  <c r="J220" i="5"/>
  <c r="L220" i="5"/>
  <c r="B221" i="5"/>
  <c r="C221" i="5"/>
  <c r="E221" i="5"/>
  <c r="G221" i="5"/>
  <c r="H221" i="5"/>
  <c r="J221" i="5"/>
  <c r="L221" i="5"/>
  <c r="B222" i="5"/>
  <c r="C222" i="5"/>
  <c r="E222" i="5"/>
  <c r="G222" i="5"/>
  <c r="H222" i="5"/>
  <c r="J222" i="5"/>
  <c r="L222" i="5"/>
  <c r="B223" i="5"/>
  <c r="C223" i="5"/>
  <c r="E223" i="5"/>
  <c r="G223" i="5"/>
  <c r="H223" i="5"/>
  <c r="J223" i="5"/>
  <c r="L223" i="5"/>
  <c r="B224" i="5"/>
  <c r="C224" i="5"/>
  <c r="E224" i="5"/>
  <c r="G224" i="5"/>
  <c r="H224" i="5"/>
  <c r="J224" i="5"/>
  <c r="L224" i="5"/>
  <c r="B225" i="5"/>
  <c r="C225" i="5"/>
  <c r="E225" i="5"/>
  <c r="G225" i="5"/>
  <c r="H225" i="5"/>
  <c r="J225" i="5"/>
  <c r="L225" i="5"/>
  <c r="B226" i="5"/>
  <c r="C226" i="5"/>
  <c r="E226" i="5"/>
  <c r="G226" i="5"/>
  <c r="H226" i="5"/>
  <c r="J226" i="5"/>
  <c r="L226" i="5"/>
  <c r="B227" i="5"/>
  <c r="C227" i="5"/>
  <c r="E227" i="5"/>
  <c r="G227" i="5"/>
  <c r="H227" i="5"/>
  <c r="J227" i="5"/>
  <c r="L227" i="5"/>
  <c r="B228" i="5"/>
  <c r="C228" i="5"/>
  <c r="E228" i="5"/>
  <c r="G228" i="5"/>
  <c r="H228" i="5"/>
  <c r="J228" i="5"/>
  <c r="L228" i="5"/>
  <c r="B229" i="5"/>
  <c r="C229" i="5"/>
  <c r="E229" i="5"/>
  <c r="G229" i="5"/>
  <c r="H229" i="5"/>
  <c r="J229" i="5"/>
  <c r="L229" i="5"/>
  <c r="B230" i="5"/>
  <c r="C230" i="5"/>
  <c r="E230" i="5"/>
  <c r="G230" i="5"/>
  <c r="H230" i="5"/>
  <c r="J230" i="5"/>
  <c r="L230" i="5"/>
  <c r="B231" i="5"/>
  <c r="C231" i="5"/>
  <c r="E231" i="5"/>
  <c r="G231" i="5"/>
  <c r="H231" i="5"/>
  <c r="J231" i="5"/>
  <c r="L231" i="5"/>
  <c r="B232" i="5"/>
  <c r="C232" i="5"/>
  <c r="E232" i="5"/>
  <c r="G232" i="5"/>
  <c r="H232" i="5"/>
  <c r="J232" i="5"/>
  <c r="L232" i="5"/>
  <c r="B233" i="5"/>
  <c r="C233" i="5"/>
  <c r="E233" i="5"/>
  <c r="G233" i="5"/>
  <c r="H233" i="5"/>
  <c r="J233" i="5"/>
  <c r="L233" i="5"/>
  <c r="B234" i="5"/>
  <c r="C234" i="5"/>
  <c r="E234" i="5"/>
  <c r="G234" i="5"/>
  <c r="H234" i="5"/>
  <c r="J234" i="5"/>
  <c r="L234" i="5"/>
  <c r="B235" i="5"/>
  <c r="C235" i="5"/>
  <c r="E235" i="5"/>
  <c r="G235" i="5"/>
  <c r="H235" i="5"/>
  <c r="J235" i="5"/>
  <c r="L235" i="5"/>
  <c r="B236" i="5"/>
  <c r="C236" i="5"/>
  <c r="E236" i="5"/>
  <c r="G236" i="5"/>
  <c r="H236" i="5"/>
  <c r="J236" i="5"/>
  <c r="L236" i="5"/>
  <c r="B237" i="5"/>
  <c r="C237" i="5"/>
  <c r="E237" i="5"/>
  <c r="G237" i="5"/>
  <c r="H237" i="5"/>
  <c r="J237" i="5"/>
  <c r="L237" i="5"/>
  <c r="B238" i="5"/>
  <c r="C238" i="5"/>
  <c r="E238" i="5"/>
  <c r="G238" i="5"/>
  <c r="H238" i="5"/>
  <c r="J238" i="5"/>
  <c r="L238" i="5"/>
  <c r="B239" i="5"/>
  <c r="C239" i="5"/>
  <c r="E239" i="5"/>
  <c r="G239" i="5"/>
  <c r="H239" i="5"/>
  <c r="J239" i="5"/>
  <c r="L239" i="5"/>
  <c r="B240" i="5"/>
  <c r="C240" i="5"/>
  <c r="E240" i="5"/>
  <c r="G240" i="5"/>
  <c r="H240" i="5"/>
  <c r="J240" i="5"/>
  <c r="L240" i="5"/>
  <c r="B241" i="5"/>
  <c r="C241" i="5"/>
  <c r="E241" i="5"/>
  <c r="G241" i="5"/>
  <c r="H241" i="5"/>
  <c r="J241" i="5"/>
  <c r="L241" i="5"/>
  <c r="B242" i="5"/>
  <c r="C242" i="5"/>
  <c r="E242" i="5"/>
  <c r="G242" i="5"/>
  <c r="H242" i="5"/>
  <c r="J242" i="5"/>
  <c r="L242" i="5"/>
  <c r="B243" i="5"/>
  <c r="C243" i="5"/>
  <c r="E243" i="5"/>
  <c r="G243" i="5"/>
  <c r="H243" i="5"/>
  <c r="J243" i="5"/>
  <c r="L243" i="5"/>
  <c r="B244" i="5"/>
  <c r="C244" i="5"/>
  <c r="E244" i="5"/>
  <c r="G244" i="5"/>
  <c r="H244" i="5"/>
  <c r="J244" i="5"/>
  <c r="L244" i="5"/>
  <c r="B245" i="5"/>
  <c r="C245" i="5"/>
  <c r="E245" i="5"/>
  <c r="G245" i="5"/>
  <c r="H245" i="5"/>
  <c r="J245" i="5"/>
  <c r="L245" i="5"/>
  <c r="B246" i="5"/>
  <c r="C246" i="5"/>
  <c r="E246" i="5"/>
  <c r="G246" i="5"/>
  <c r="H246" i="5"/>
  <c r="J246" i="5"/>
  <c r="L246" i="5"/>
  <c r="B247" i="5"/>
  <c r="C247" i="5"/>
  <c r="E247" i="5"/>
  <c r="G247" i="5"/>
  <c r="H247" i="5"/>
  <c r="J247" i="5"/>
  <c r="L247" i="5"/>
  <c r="B248" i="5"/>
  <c r="C248" i="5"/>
  <c r="E248" i="5"/>
  <c r="G248" i="5"/>
  <c r="H248" i="5"/>
  <c r="J248" i="5"/>
  <c r="L248" i="5"/>
  <c r="B249" i="5"/>
  <c r="C249" i="5"/>
  <c r="E249" i="5"/>
  <c r="G249" i="5"/>
  <c r="H249" i="5"/>
  <c r="J249" i="5"/>
  <c r="L249" i="5"/>
  <c r="B250" i="5"/>
  <c r="C250" i="5"/>
  <c r="E250" i="5"/>
  <c r="G250" i="5"/>
  <c r="H250" i="5"/>
  <c r="J250" i="5"/>
  <c r="L250" i="5"/>
  <c r="I91" i="5"/>
  <c r="F91" i="5"/>
  <c r="D91" i="5"/>
  <c r="F90" i="5"/>
  <c r="D90" i="5"/>
  <c r="I89" i="5"/>
  <c r="F89" i="5"/>
  <c r="D89" i="5"/>
  <c r="I88" i="5"/>
  <c r="F88" i="5"/>
  <c r="D88" i="5"/>
  <c r="F87" i="5"/>
  <c r="D87" i="5"/>
  <c r="K86" i="5"/>
  <c r="F86" i="5"/>
  <c r="D86" i="5"/>
  <c r="I85" i="5"/>
  <c r="F85" i="5"/>
  <c r="D85" i="5"/>
  <c r="F84" i="5"/>
  <c r="D84" i="5"/>
  <c r="I83" i="5"/>
  <c r="F83" i="5"/>
  <c r="D83" i="5"/>
  <c r="F82" i="5"/>
  <c r="D82" i="5"/>
  <c r="F81" i="5"/>
  <c r="D81" i="5"/>
  <c r="D80" i="5"/>
  <c r="F78" i="5"/>
  <c r="D73" i="5"/>
  <c r="D72" i="5"/>
  <c r="F71" i="5"/>
  <c r="K70" i="5"/>
  <c r="D66" i="5"/>
  <c r="F63" i="5"/>
  <c r="D60" i="5"/>
  <c r="D56" i="5"/>
  <c r="K51" i="5"/>
  <c r="K50" i="5"/>
  <c r="F50" i="5"/>
  <c r="K49" i="5"/>
  <c r="F49" i="5"/>
  <c r="F48" i="5"/>
  <c r="D48" i="5"/>
  <c r="K47" i="5"/>
  <c r="F47" i="5"/>
  <c r="K46" i="5"/>
  <c r="F46" i="5"/>
  <c r="I45" i="5"/>
  <c r="F45" i="5"/>
  <c r="K44" i="5"/>
  <c r="F44" i="5"/>
  <c r="K43" i="5"/>
  <c r="F43" i="5"/>
  <c r="F42" i="5"/>
  <c r="K41" i="5"/>
  <c r="F41" i="5"/>
  <c r="K40" i="5"/>
  <c r="F40" i="5"/>
  <c r="K39" i="5"/>
  <c r="F39" i="5"/>
  <c r="K38" i="5"/>
  <c r="D38" i="5"/>
  <c r="F37" i="5"/>
  <c r="F36" i="5"/>
  <c r="D36" i="5"/>
  <c r="I35" i="5"/>
  <c r="F35" i="5"/>
  <c r="K34" i="5"/>
  <c r="F34" i="5"/>
  <c r="F33" i="5"/>
  <c r="F32" i="5"/>
  <c r="F31" i="5"/>
  <c r="K30" i="5"/>
  <c r="K29" i="5"/>
  <c r="F29" i="5"/>
  <c r="F28" i="5"/>
  <c r="F27" i="5"/>
  <c r="F23" i="5"/>
  <c r="D21" i="5"/>
  <c r="F15" i="5"/>
  <c r="F13" i="5"/>
  <c r="D9" i="5"/>
  <c r="K7" i="5"/>
  <c r="D4" i="5"/>
  <c r="F3" i="5"/>
  <c r="F2" i="5"/>
  <c r="D15" i="7"/>
  <c r="E15" i="7"/>
  <c r="F15" i="7"/>
  <c r="K89" i="5"/>
  <c r="K83" i="5"/>
  <c r="K88" i="5"/>
  <c r="I94" i="5"/>
  <c r="K85" i="5"/>
  <c r="I86" i="5"/>
  <c r="K91" i="5"/>
  <c r="K81" i="5"/>
  <c r="I81" i="5"/>
  <c r="I98" i="5"/>
  <c r="I99" i="5"/>
  <c r="H27" i="5"/>
  <c r="H35" i="5"/>
  <c r="H39" i="5"/>
  <c r="H43" i="5"/>
  <c r="H51" i="5"/>
  <c r="H55" i="5"/>
  <c r="H59" i="5"/>
  <c r="H62" i="5"/>
  <c r="H65" i="5"/>
  <c r="H66" i="5"/>
  <c r="H63" i="5"/>
  <c r="H47" i="5"/>
  <c r="H31" i="5"/>
  <c r="F38" i="5"/>
  <c r="F30" i="5"/>
  <c r="G15" i="7"/>
  <c r="G16" i="7"/>
  <c r="G17" i="7"/>
  <c r="K16" i="7"/>
  <c r="K17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I15" i="7"/>
  <c r="I16" i="7"/>
  <c r="I17" i="7"/>
  <c r="I3" i="7"/>
  <c r="I4" i="7"/>
  <c r="I5" i="7"/>
  <c r="I6" i="7"/>
  <c r="I7" i="7"/>
  <c r="I8" i="7"/>
  <c r="I9" i="7"/>
  <c r="I10" i="7"/>
  <c r="I11" i="7"/>
  <c r="I12" i="7"/>
  <c r="I13" i="7"/>
  <c r="I14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G3" i="7"/>
  <c r="G4" i="7"/>
  <c r="G5" i="7"/>
  <c r="G6" i="7"/>
  <c r="G7" i="7"/>
  <c r="G8" i="7"/>
  <c r="G9" i="7"/>
  <c r="G10" i="7"/>
  <c r="G11" i="7"/>
  <c r="G12" i="7"/>
  <c r="G13" i="7"/>
  <c r="G14" i="7"/>
  <c r="F3" i="7"/>
  <c r="F4" i="7"/>
  <c r="F5" i="7"/>
  <c r="F6" i="7"/>
  <c r="F7" i="7"/>
  <c r="F8" i="7"/>
  <c r="F9" i="7"/>
  <c r="F10" i="7"/>
  <c r="F11" i="7"/>
  <c r="F12" i="7"/>
  <c r="F13" i="7"/>
  <c r="F14" i="7"/>
  <c r="E3" i="7"/>
  <c r="E4" i="7"/>
  <c r="E5" i="7"/>
  <c r="E6" i="7"/>
  <c r="E7" i="7"/>
  <c r="E8" i="7"/>
  <c r="E9" i="7"/>
  <c r="E10" i="7"/>
  <c r="E11" i="7"/>
  <c r="E12" i="7"/>
  <c r="E13" i="7"/>
  <c r="E14" i="7"/>
  <c r="D3" i="7"/>
  <c r="D4" i="7"/>
  <c r="D5" i="7"/>
  <c r="D6" i="7"/>
  <c r="D7" i="7"/>
  <c r="D8" i="7"/>
  <c r="D9" i="7"/>
  <c r="D10" i="7"/>
  <c r="D11" i="7"/>
  <c r="D12" i="7"/>
  <c r="D13" i="7"/>
  <c r="D14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2" i="7"/>
  <c r="D2" i="7"/>
  <c r="E2" i="7"/>
  <c r="F2" i="7"/>
  <c r="G2" i="7"/>
  <c r="H2" i="7"/>
  <c r="I2" i="7"/>
  <c r="J2" i="7"/>
  <c r="K2" i="7"/>
  <c r="L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2" i="7"/>
  <c r="B52" i="5"/>
  <c r="C52" i="5"/>
  <c r="E52" i="5"/>
  <c r="G52" i="5"/>
  <c r="H52" i="5"/>
  <c r="J52" i="5"/>
  <c r="L52" i="5"/>
  <c r="B53" i="5"/>
  <c r="C53" i="5"/>
  <c r="E53" i="5"/>
  <c r="G53" i="5"/>
  <c r="H53" i="5"/>
  <c r="J53" i="5"/>
  <c r="L53" i="5"/>
  <c r="B54" i="5"/>
  <c r="C54" i="5"/>
  <c r="E54" i="5"/>
  <c r="G54" i="5"/>
  <c r="H54" i="5"/>
  <c r="J54" i="5"/>
  <c r="L54" i="5"/>
  <c r="B55" i="5"/>
  <c r="C55" i="5"/>
  <c r="E55" i="5"/>
  <c r="G55" i="5"/>
  <c r="J55" i="5"/>
  <c r="L55" i="5"/>
  <c r="B56" i="5"/>
  <c r="C56" i="5"/>
  <c r="E56" i="5"/>
  <c r="G56" i="5"/>
  <c r="H56" i="5"/>
  <c r="J56" i="5"/>
  <c r="L56" i="5"/>
  <c r="B57" i="5"/>
  <c r="C57" i="5"/>
  <c r="E57" i="5"/>
  <c r="G57" i="5"/>
  <c r="H57" i="5"/>
  <c r="J57" i="5"/>
  <c r="L57" i="5"/>
  <c r="B58" i="5"/>
  <c r="C58" i="5"/>
  <c r="E58" i="5"/>
  <c r="G58" i="5"/>
  <c r="H58" i="5"/>
  <c r="J58" i="5"/>
  <c r="L58" i="5"/>
  <c r="B59" i="5"/>
  <c r="C59" i="5"/>
  <c r="E59" i="5"/>
  <c r="G59" i="5"/>
  <c r="J59" i="5"/>
  <c r="L59" i="5"/>
  <c r="B60" i="5"/>
  <c r="C60" i="5"/>
  <c r="E60" i="5"/>
  <c r="G60" i="5"/>
  <c r="H60" i="5"/>
  <c r="J60" i="5"/>
  <c r="L60" i="5"/>
  <c r="B61" i="5"/>
  <c r="C61" i="5"/>
  <c r="E61" i="5"/>
  <c r="G61" i="5"/>
  <c r="H61" i="5"/>
  <c r="J61" i="5"/>
  <c r="L61" i="5"/>
  <c r="B62" i="5"/>
  <c r="C62" i="5"/>
  <c r="E62" i="5"/>
  <c r="G62" i="5"/>
  <c r="J62" i="5"/>
  <c r="L62" i="5"/>
  <c r="B63" i="5"/>
  <c r="C63" i="5"/>
  <c r="E63" i="5"/>
  <c r="G63" i="5"/>
  <c r="J63" i="5"/>
  <c r="L63" i="5"/>
  <c r="B64" i="5"/>
  <c r="C64" i="5"/>
  <c r="E64" i="5"/>
  <c r="G64" i="5"/>
  <c r="H64" i="5"/>
  <c r="J64" i="5"/>
  <c r="L64" i="5"/>
  <c r="B65" i="5"/>
  <c r="C65" i="5"/>
  <c r="E65" i="5"/>
  <c r="G65" i="5"/>
  <c r="J65" i="5"/>
  <c r="L65" i="5"/>
  <c r="B66" i="5"/>
  <c r="C66" i="5"/>
  <c r="E66" i="5"/>
  <c r="G66" i="5"/>
  <c r="J66" i="5"/>
  <c r="L66" i="5"/>
  <c r="B67" i="5"/>
  <c r="C67" i="5"/>
  <c r="E67" i="5"/>
  <c r="G67" i="5"/>
  <c r="H67" i="5"/>
  <c r="J67" i="5"/>
  <c r="L67" i="5"/>
  <c r="B68" i="5"/>
  <c r="C68" i="5"/>
  <c r="E68" i="5"/>
  <c r="G68" i="5"/>
  <c r="H68" i="5"/>
  <c r="J68" i="5"/>
  <c r="L68" i="5"/>
  <c r="B69" i="5"/>
  <c r="C69" i="5"/>
  <c r="E69" i="5"/>
  <c r="G69" i="5"/>
  <c r="H69" i="5"/>
  <c r="J69" i="5"/>
  <c r="L69" i="5"/>
  <c r="B70" i="5"/>
  <c r="C70" i="5"/>
  <c r="E70" i="5"/>
  <c r="G70" i="5"/>
  <c r="H70" i="5"/>
  <c r="J70" i="5"/>
  <c r="L70" i="5"/>
  <c r="B71" i="5"/>
  <c r="C71" i="5"/>
  <c r="E71" i="5"/>
  <c r="G71" i="5"/>
  <c r="H71" i="5"/>
  <c r="J71" i="5"/>
  <c r="L71" i="5"/>
  <c r="B72" i="5"/>
  <c r="C72" i="5"/>
  <c r="E72" i="5"/>
  <c r="G72" i="5"/>
  <c r="H72" i="5"/>
  <c r="J72" i="5"/>
  <c r="L72" i="5"/>
  <c r="B73" i="5"/>
  <c r="C73" i="5"/>
  <c r="E73" i="5"/>
  <c r="G73" i="5"/>
  <c r="H73" i="5"/>
  <c r="J73" i="5"/>
  <c r="L73" i="5"/>
  <c r="B74" i="5"/>
  <c r="C74" i="5"/>
  <c r="E74" i="5"/>
  <c r="G74" i="5"/>
  <c r="H74" i="5"/>
  <c r="J74" i="5"/>
  <c r="L74" i="5"/>
  <c r="B75" i="5"/>
  <c r="C75" i="5"/>
  <c r="E75" i="5"/>
  <c r="G75" i="5"/>
  <c r="H75" i="5"/>
  <c r="J75" i="5"/>
  <c r="L75" i="5"/>
  <c r="B76" i="5"/>
  <c r="C76" i="5"/>
  <c r="E76" i="5"/>
  <c r="G76" i="5"/>
  <c r="H76" i="5"/>
  <c r="J76" i="5"/>
  <c r="L76" i="5"/>
  <c r="B77" i="5"/>
  <c r="C77" i="5"/>
  <c r="E77" i="5"/>
  <c r="G77" i="5"/>
  <c r="H77" i="5"/>
  <c r="J77" i="5"/>
  <c r="L77" i="5"/>
  <c r="B78" i="5"/>
  <c r="C78" i="5"/>
  <c r="E78" i="5"/>
  <c r="G78" i="5"/>
  <c r="H78" i="5"/>
  <c r="J78" i="5"/>
  <c r="L78" i="5"/>
  <c r="B79" i="5"/>
  <c r="C79" i="5"/>
  <c r="E79" i="5"/>
  <c r="G79" i="5"/>
  <c r="H79" i="5"/>
  <c r="J79" i="5"/>
  <c r="L79" i="5"/>
  <c r="B80" i="5"/>
  <c r="C80" i="5"/>
  <c r="E80" i="5"/>
  <c r="G80" i="5"/>
  <c r="H80" i="5"/>
  <c r="J80" i="5"/>
  <c r="L80" i="5"/>
  <c r="E27" i="5"/>
  <c r="G27" i="5"/>
  <c r="J27" i="5"/>
  <c r="L27" i="5"/>
  <c r="E28" i="5"/>
  <c r="G28" i="5"/>
  <c r="H28" i="5"/>
  <c r="J28" i="5"/>
  <c r="L28" i="5"/>
  <c r="E29" i="5"/>
  <c r="G29" i="5"/>
  <c r="H29" i="5"/>
  <c r="J29" i="5"/>
  <c r="L29" i="5"/>
  <c r="E30" i="5"/>
  <c r="G30" i="5"/>
  <c r="H30" i="5"/>
  <c r="J30" i="5"/>
  <c r="L30" i="5"/>
  <c r="E31" i="5"/>
  <c r="G31" i="5"/>
  <c r="J31" i="5"/>
  <c r="L31" i="5"/>
  <c r="E32" i="5"/>
  <c r="G32" i="5"/>
  <c r="H32" i="5"/>
  <c r="J32" i="5"/>
  <c r="L32" i="5"/>
  <c r="E33" i="5"/>
  <c r="G33" i="5"/>
  <c r="H33" i="5"/>
  <c r="J33" i="5"/>
  <c r="L33" i="5"/>
  <c r="E34" i="5"/>
  <c r="G34" i="5"/>
  <c r="H34" i="5"/>
  <c r="J34" i="5"/>
  <c r="L34" i="5"/>
  <c r="E35" i="5"/>
  <c r="G35" i="5"/>
  <c r="J35" i="5"/>
  <c r="L35" i="5"/>
  <c r="E36" i="5"/>
  <c r="G36" i="5"/>
  <c r="H36" i="5"/>
  <c r="J36" i="5"/>
  <c r="L36" i="5"/>
  <c r="E37" i="5"/>
  <c r="G37" i="5"/>
  <c r="H37" i="5"/>
  <c r="J37" i="5"/>
  <c r="L37" i="5"/>
  <c r="E38" i="5"/>
  <c r="G38" i="5"/>
  <c r="H38" i="5"/>
  <c r="J38" i="5"/>
  <c r="L38" i="5"/>
  <c r="E39" i="5"/>
  <c r="G39" i="5"/>
  <c r="J39" i="5"/>
  <c r="L39" i="5"/>
  <c r="E40" i="5"/>
  <c r="G40" i="5"/>
  <c r="H40" i="5"/>
  <c r="J40" i="5"/>
  <c r="L40" i="5"/>
  <c r="E41" i="5"/>
  <c r="G41" i="5"/>
  <c r="H41" i="5"/>
  <c r="J41" i="5"/>
  <c r="L41" i="5"/>
  <c r="E42" i="5"/>
  <c r="G42" i="5"/>
  <c r="H42" i="5"/>
  <c r="J42" i="5"/>
  <c r="L42" i="5"/>
  <c r="E43" i="5"/>
  <c r="G43" i="5"/>
  <c r="J43" i="5"/>
  <c r="L43" i="5"/>
  <c r="E44" i="5"/>
  <c r="G44" i="5"/>
  <c r="H44" i="5"/>
  <c r="J44" i="5"/>
  <c r="L44" i="5"/>
  <c r="E45" i="5"/>
  <c r="G45" i="5"/>
  <c r="H45" i="5"/>
  <c r="J45" i="5"/>
  <c r="L45" i="5"/>
  <c r="E46" i="5"/>
  <c r="G46" i="5"/>
  <c r="H46" i="5"/>
  <c r="J46" i="5"/>
  <c r="L46" i="5"/>
  <c r="E47" i="5"/>
  <c r="G47" i="5"/>
  <c r="J47" i="5"/>
  <c r="L47" i="5"/>
  <c r="E48" i="5"/>
  <c r="G48" i="5"/>
  <c r="H48" i="5"/>
  <c r="J48" i="5"/>
  <c r="L48" i="5"/>
  <c r="E49" i="5"/>
  <c r="G49" i="5"/>
  <c r="H49" i="5"/>
  <c r="J49" i="5"/>
  <c r="L49" i="5"/>
  <c r="E50" i="5"/>
  <c r="G50" i="5"/>
  <c r="H50" i="5"/>
  <c r="J50" i="5"/>
  <c r="L50" i="5"/>
  <c r="E51" i="5"/>
  <c r="G51" i="5"/>
  <c r="J51" i="5"/>
  <c r="L51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I39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" i="5"/>
  <c r="AT1802" i="8"/>
  <c r="AR1802" i="8"/>
  <c r="AT1801" i="8"/>
  <c r="AR1801" i="8"/>
  <c r="AT1800" i="8"/>
  <c r="AR1800" i="8"/>
  <c r="AT1799" i="8"/>
  <c r="AR1799" i="8"/>
  <c r="AT1798" i="8"/>
  <c r="AR1798" i="8"/>
  <c r="AT1797" i="8"/>
  <c r="AR1797" i="8"/>
  <c r="AT1796" i="8"/>
  <c r="AR1796" i="8"/>
  <c r="AT1795" i="8"/>
  <c r="AR1795" i="8"/>
  <c r="AT1794" i="8"/>
  <c r="AR1794" i="8"/>
  <c r="AT1793" i="8"/>
  <c r="AR1793" i="8"/>
  <c r="AT1792" i="8"/>
  <c r="AR1792" i="8"/>
  <c r="AT1791" i="8"/>
  <c r="AR1791" i="8"/>
  <c r="AT1790" i="8"/>
  <c r="AR1790" i="8"/>
  <c r="AT1789" i="8"/>
  <c r="AR1789" i="8"/>
  <c r="AT1788" i="8"/>
  <c r="AR1788" i="8"/>
  <c r="AT1787" i="8"/>
  <c r="AR1787" i="8"/>
  <c r="AT1786" i="8"/>
  <c r="AR1786" i="8"/>
  <c r="AT1785" i="8"/>
  <c r="AR1785" i="8"/>
  <c r="AT1784" i="8"/>
  <c r="AR1784" i="8"/>
  <c r="AT1783" i="8"/>
  <c r="AR1783" i="8"/>
  <c r="AT1782" i="8"/>
  <c r="AR1782" i="8"/>
  <c r="AT1781" i="8"/>
  <c r="AR1781" i="8"/>
  <c r="AT1780" i="8"/>
  <c r="AR1780" i="8"/>
  <c r="AT1779" i="8"/>
  <c r="AR1779" i="8"/>
  <c r="AT1778" i="8"/>
  <c r="AR1778" i="8"/>
  <c r="AT1777" i="8"/>
  <c r="AR1777" i="8"/>
  <c r="AT1776" i="8"/>
  <c r="AR1776" i="8"/>
  <c r="AT1775" i="8"/>
  <c r="AR1775" i="8"/>
  <c r="AT1774" i="8"/>
  <c r="AR1774" i="8"/>
  <c r="AT1773" i="8"/>
  <c r="AR1773" i="8"/>
  <c r="AT1772" i="8"/>
  <c r="AR1772" i="8"/>
  <c r="AT1771" i="8"/>
  <c r="AR1771" i="8"/>
  <c r="AT1770" i="8"/>
  <c r="AR1770" i="8"/>
  <c r="AT1769" i="8"/>
  <c r="AR1769" i="8"/>
  <c r="AT1768" i="8"/>
  <c r="AR1768" i="8"/>
  <c r="AT1767" i="8"/>
  <c r="AR1767" i="8"/>
  <c r="AT1766" i="8"/>
  <c r="AR1766" i="8"/>
  <c r="AT1765" i="8"/>
  <c r="AR1765" i="8"/>
  <c r="AT1764" i="8"/>
  <c r="AR1764" i="8"/>
  <c r="AT1763" i="8"/>
  <c r="AR1763" i="8"/>
  <c r="AT1762" i="8"/>
  <c r="AR1762" i="8"/>
  <c r="AT1761" i="8"/>
  <c r="AR1761" i="8"/>
  <c r="AT1760" i="8"/>
  <c r="AR1760" i="8"/>
  <c r="AT1759" i="8"/>
  <c r="AR1759" i="8"/>
  <c r="AT1758" i="8"/>
  <c r="AR1758" i="8"/>
  <c r="AT1757" i="8"/>
  <c r="AR1757" i="8"/>
  <c r="AT1756" i="8"/>
  <c r="AR1756" i="8"/>
  <c r="AT1755" i="8"/>
  <c r="AR1755" i="8"/>
  <c r="AT1754" i="8"/>
  <c r="AR1754" i="8"/>
  <c r="AT1753" i="8"/>
  <c r="AR1753" i="8"/>
  <c r="AT1752" i="8"/>
  <c r="AR1752" i="8"/>
  <c r="AT1751" i="8"/>
  <c r="AR1751" i="8"/>
  <c r="AT1750" i="8"/>
  <c r="AR1750" i="8"/>
  <c r="AT1749" i="8"/>
  <c r="AR1749" i="8"/>
  <c r="AT1748" i="8"/>
  <c r="AR1748" i="8"/>
  <c r="AT1747" i="8"/>
  <c r="AR1747" i="8"/>
  <c r="AT1746" i="8"/>
  <c r="AR1746" i="8"/>
  <c r="AT1745" i="8"/>
  <c r="AR1745" i="8"/>
  <c r="AT1744" i="8"/>
  <c r="AR1744" i="8"/>
  <c r="AT1743" i="8"/>
  <c r="AR1743" i="8"/>
  <c r="AT1742" i="8"/>
  <c r="AR1742" i="8"/>
  <c r="AT1741" i="8"/>
  <c r="AR1741" i="8"/>
  <c r="AT1740" i="8"/>
  <c r="AR1740" i="8"/>
  <c r="AT1739" i="8"/>
  <c r="AR1739" i="8"/>
  <c r="AT1738" i="8"/>
  <c r="AR1738" i="8"/>
  <c r="AT1737" i="8"/>
  <c r="AR1737" i="8"/>
  <c r="AT1736" i="8"/>
  <c r="AR1736" i="8"/>
  <c r="AT1735" i="8"/>
  <c r="AR1735" i="8"/>
  <c r="AT1734" i="8"/>
  <c r="AR1734" i="8"/>
  <c r="AT1733" i="8"/>
  <c r="AR1733" i="8"/>
  <c r="AT1732" i="8"/>
  <c r="AR1732" i="8"/>
  <c r="AT1731" i="8"/>
  <c r="AR1731" i="8"/>
  <c r="AT1730" i="8"/>
  <c r="AR1730" i="8"/>
  <c r="AT1729" i="8"/>
  <c r="AR1729" i="8"/>
  <c r="AT1728" i="8"/>
  <c r="AR1728" i="8"/>
  <c r="AT1727" i="8"/>
  <c r="AR1727" i="8"/>
  <c r="AT1726" i="8"/>
  <c r="AR1726" i="8"/>
  <c r="AT1725" i="8"/>
  <c r="AR1725" i="8"/>
  <c r="AT1724" i="8"/>
  <c r="AR1724" i="8"/>
  <c r="AT1723" i="8"/>
  <c r="AR1723" i="8"/>
  <c r="AT1722" i="8"/>
  <c r="AR1722" i="8"/>
  <c r="AT1721" i="8"/>
  <c r="AR1721" i="8"/>
  <c r="AT1720" i="8"/>
  <c r="AR1720" i="8"/>
  <c r="AT1719" i="8"/>
  <c r="AR1719" i="8"/>
  <c r="AT1718" i="8"/>
  <c r="AR1718" i="8"/>
  <c r="AT1717" i="8"/>
  <c r="AR1717" i="8"/>
  <c r="AT1716" i="8"/>
  <c r="AR1716" i="8"/>
  <c r="AT1715" i="8"/>
  <c r="AR1715" i="8"/>
  <c r="AT1714" i="8"/>
  <c r="AR1714" i="8"/>
  <c r="AT1713" i="8"/>
  <c r="AR1713" i="8"/>
  <c r="AT1712" i="8"/>
  <c r="AR1712" i="8"/>
  <c r="AT1711" i="8"/>
  <c r="AR1711" i="8"/>
  <c r="AT1710" i="8"/>
  <c r="AR1710" i="8"/>
  <c r="AT1709" i="8"/>
  <c r="AR1709" i="8"/>
  <c r="AT1708" i="8"/>
  <c r="AR1708" i="8"/>
  <c r="AT1707" i="8"/>
  <c r="AR1707" i="8"/>
  <c r="AT1706" i="8"/>
  <c r="AR1706" i="8"/>
  <c r="AT1705" i="8"/>
  <c r="AR1705" i="8"/>
  <c r="AT1704" i="8"/>
  <c r="AR1704" i="8"/>
  <c r="AT1703" i="8"/>
  <c r="AR1703" i="8"/>
  <c r="AT1702" i="8"/>
  <c r="AR1702" i="8"/>
  <c r="AT1701" i="8"/>
  <c r="AR1701" i="8"/>
  <c r="AT1700" i="8"/>
  <c r="AR1700" i="8"/>
  <c r="AT1699" i="8"/>
  <c r="AR1699" i="8"/>
  <c r="AT1698" i="8"/>
  <c r="AR1698" i="8"/>
  <c r="AT1697" i="8"/>
  <c r="AR1697" i="8"/>
  <c r="AT1696" i="8"/>
  <c r="AR1696" i="8"/>
  <c r="AT1695" i="8"/>
  <c r="AR1695" i="8"/>
  <c r="AT1694" i="8"/>
  <c r="AR1694" i="8"/>
  <c r="AT1693" i="8"/>
  <c r="AR1693" i="8"/>
  <c r="AT1692" i="8"/>
  <c r="AR1692" i="8"/>
  <c r="AT1691" i="8"/>
  <c r="AR1691" i="8"/>
  <c r="AT1690" i="8"/>
  <c r="AR1690" i="8"/>
  <c r="AT1689" i="8"/>
  <c r="AR1689" i="8"/>
  <c r="AT1688" i="8"/>
  <c r="AR1688" i="8"/>
  <c r="AT1687" i="8"/>
  <c r="AR1687" i="8"/>
  <c r="AT1686" i="8"/>
  <c r="AR1686" i="8"/>
  <c r="AT1685" i="8"/>
  <c r="AR1685" i="8"/>
  <c r="AT1684" i="8"/>
  <c r="AR1684" i="8"/>
  <c r="AT1683" i="8"/>
  <c r="AR1683" i="8"/>
  <c r="AT1682" i="8"/>
  <c r="AR1682" i="8"/>
  <c r="AT1681" i="8"/>
  <c r="AR1681" i="8"/>
  <c r="AT1680" i="8"/>
  <c r="AR1680" i="8"/>
  <c r="AT1679" i="8"/>
  <c r="AR1679" i="8"/>
  <c r="AT1678" i="8"/>
  <c r="AR1678" i="8"/>
  <c r="AT1677" i="8"/>
  <c r="AR1677" i="8"/>
  <c r="AT1676" i="8"/>
  <c r="AR1676" i="8"/>
  <c r="AT1675" i="8"/>
  <c r="AR1675" i="8"/>
  <c r="AT1674" i="8"/>
  <c r="AR1674" i="8"/>
  <c r="AT1673" i="8"/>
  <c r="AR1673" i="8"/>
  <c r="AT1672" i="8"/>
  <c r="AR1672" i="8"/>
  <c r="AT1671" i="8"/>
  <c r="AR1671" i="8"/>
  <c r="AT1670" i="8"/>
  <c r="AR1670" i="8"/>
  <c r="AT1669" i="8"/>
  <c r="AR1669" i="8"/>
  <c r="AT1668" i="8"/>
  <c r="AR1668" i="8"/>
  <c r="AT1667" i="8"/>
  <c r="AR1667" i="8"/>
  <c r="AT1666" i="8"/>
  <c r="AR1666" i="8"/>
  <c r="AT1665" i="8"/>
  <c r="AR1665" i="8"/>
  <c r="AT1664" i="8"/>
  <c r="AR1664" i="8"/>
  <c r="AT1663" i="8"/>
  <c r="AR1663" i="8"/>
  <c r="AT1662" i="8"/>
  <c r="AR1662" i="8"/>
  <c r="AT1661" i="8"/>
  <c r="AR1661" i="8"/>
  <c r="AT1660" i="8"/>
  <c r="AR1660" i="8"/>
  <c r="AT1659" i="8"/>
  <c r="AR1659" i="8"/>
  <c r="AT1658" i="8"/>
  <c r="AR1658" i="8"/>
  <c r="AT1657" i="8"/>
  <c r="AR1657" i="8"/>
  <c r="AT1656" i="8"/>
  <c r="AR1656" i="8"/>
  <c r="AT1655" i="8"/>
  <c r="AR1655" i="8"/>
  <c r="AT1654" i="8"/>
  <c r="AR1654" i="8"/>
  <c r="AT1653" i="8"/>
  <c r="AR1653" i="8"/>
  <c r="AT1652" i="8"/>
  <c r="AR1652" i="8"/>
  <c r="AT1651" i="8"/>
  <c r="AR1651" i="8"/>
  <c r="AT1650" i="8"/>
  <c r="AR1650" i="8"/>
  <c r="AT1649" i="8"/>
  <c r="AR1649" i="8"/>
  <c r="AT1648" i="8"/>
  <c r="AR1648" i="8"/>
  <c r="AT1647" i="8"/>
  <c r="AR1647" i="8"/>
  <c r="AT1646" i="8"/>
  <c r="AR1646" i="8"/>
  <c r="AT1645" i="8"/>
  <c r="AR1645" i="8"/>
  <c r="AT1644" i="8"/>
  <c r="AR1644" i="8"/>
  <c r="AT1643" i="8"/>
  <c r="AR1643" i="8"/>
  <c r="AT1642" i="8"/>
  <c r="AR1642" i="8"/>
  <c r="AT1641" i="8"/>
  <c r="AR1641" i="8"/>
  <c r="AT1640" i="8"/>
  <c r="AR1640" i="8"/>
  <c r="AT1639" i="8"/>
  <c r="AR1639" i="8"/>
  <c r="AT1638" i="8"/>
  <c r="AR1638" i="8"/>
  <c r="AT1637" i="8"/>
  <c r="AR1637" i="8"/>
  <c r="AT1636" i="8"/>
  <c r="AR1636" i="8"/>
  <c r="AT1635" i="8"/>
  <c r="AR1635" i="8"/>
  <c r="AT1634" i="8"/>
  <c r="AR1634" i="8"/>
  <c r="AT1633" i="8"/>
  <c r="AR1633" i="8"/>
  <c r="AT1632" i="8"/>
  <c r="AR1632" i="8"/>
  <c r="AT1631" i="8"/>
  <c r="AR1631" i="8"/>
  <c r="AT1630" i="8"/>
  <c r="AR1630" i="8"/>
  <c r="AT1629" i="8"/>
  <c r="AR1629" i="8"/>
  <c r="AT1628" i="8"/>
  <c r="AR1628" i="8"/>
  <c r="AT1627" i="8"/>
  <c r="AR1627" i="8"/>
  <c r="AT1626" i="8"/>
  <c r="AR1626" i="8"/>
  <c r="AT1625" i="8"/>
  <c r="AR1625" i="8"/>
  <c r="AT1624" i="8"/>
  <c r="AR1624" i="8"/>
  <c r="AT1623" i="8"/>
  <c r="AR1623" i="8"/>
  <c r="AT1622" i="8"/>
  <c r="AR1622" i="8"/>
  <c r="AT1621" i="8"/>
  <c r="AR1621" i="8"/>
  <c r="AT1620" i="8"/>
  <c r="AR1620" i="8"/>
  <c r="AT1619" i="8"/>
  <c r="AR1619" i="8"/>
  <c r="AT1618" i="8"/>
  <c r="AR1618" i="8"/>
  <c r="AT1617" i="8"/>
  <c r="AR1617" i="8"/>
  <c r="AT1616" i="8"/>
  <c r="AR1616" i="8"/>
  <c r="AT1615" i="8"/>
  <c r="AR1615" i="8"/>
  <c r="AT1614" i="8"/>
  <c r="AR1614" i="8"/>
  <c r="AT1613" i="8"/>
  <c r="AR1613" i="8"/>
  <c r="AT1612" i="8"/>
  <c r="AR1612" i="8"/>
  <c r="AT1611" i="8"/>
  <c r="AR1611" i="8"/>
  <c r="AT1610" i="8"/>
  <c r="AR1610" i="8"/>
  <c r="AT1609" i="8"/>
  <c r="AR1609" i="8"/>
  <c r="AT1608" i="8"/>
  <c r="AR1608" i="8"/>
  <c r="AT1607" i="8"/>
  <c r="AR1607" i="8"/>
  <c r="AT1606" i="8"/>
  <c r="AR1606" i="8"/>
  <c r="AT1605" i="8"/>
  <c r="AR1605" i="8"/>
  <c r="AT1604" i="8"/>
  <c r="AR1604" i="8"/>
  <c r="AT1603" i="8"/>
  <c r="AR1603" i="8"/>
  <c r="AT1602" i="8"/>
  <c r="AR1602" i="8"/>
  <c r="AT1601" i="8"/>
  <c r="AR1601" i="8"/>
  <c r="AT1600" i="8"/>
  <c r="AR1600" i="8"/>
  <c r="AT1599" i="8"/>
  <c r="AR1599" i="8"/>
  <c r="AT1598" i="8"/>
  <c r="AR1598" i="8"/>
  <c r="AT1597" i="8"/>
  <c r="AR1597" i="8"/>
  <c r="AT1596" i="8"/>
  <c r="AR1596" i="8"/>
  <c r="AT1595" i="8"/>
  <c r="AR1595" i="8"/>
  <c r="AT1594" i="8"/>
  <c r="AR1594" i="8"/>
  <c r="AT1593" i="8"/>
  <c r="AR1593" i="8"/>
  <c r="AT1592" i="8"/>
  <c r="AR1592" i="8"/>
  <c r="AT1591" i="8"/>
  <c r="AR1591" i="8"/>
  <c r="AT1590" i="8"/>
  <c r="AR1590" i="8"/>
  <c r="AT1589" i="8"/>
  <c r="AR1589" i="8"/>
  <c r="AT1588" i="8"/>
  <c r="AR1588" i="8"/>
  <c r="AT1587" i="8"/>
  <c r="AR1587" i="8"/>
  <c r="AT1586" i="8"/>
  <c r="AR1586" i="8"/>
  <c r="AT1585" i="8"/>
  <c r="AR1585" i="8"/>
  <c r="AT1584" i="8"/>
  <c r="AR1584" i="8"/>
  <c r="AT1583" i="8"/>
  <c r="AR1583" i="8"/>
  <c r="AT1582" i="8"/>
  <c r="AR1582" i="8"/>
  <c r="AT1581" i="8"/>
  <c r="AR1581" i="8"/>
  <c r="AT1580" i="8"/>
  <c r="AR1580" i="8"/>
  <c r="AT1579" i="8"/>
  <c r="AR1579" i="8"/>
  <c r="AT1578" i="8"/>
  <c r="AR1578" i="8"/>
  <c r="AT1577" i="8"/>
  <c r="AR1577" i="8"/>
  <c r="AT1576" i="8"/>
  <c r="AR1576" i="8"/>
  <c r="AT1575" i="8"/>
  <c r="AR1575" i="8"/>
  <c r="AT1574" i="8"/>
  <c r="AR1574" i="8"/>
  <c r="AT1573" i="8"/>
  <c r="AR1573" i="8"/>
  <c r="AT1572" i="8"/>
  <c r="AR1572" i="8"/>
  <c r="AT1571" i="8"/>
  <c r="AR1571" i="8"/>
  <c r="AT1570" i="8"/>
  <c r="AR1570" i="8"/>
  <c r="AT1569" i="8"/>
  <c r="AR1569" i="8"/>
  <c r="AT1568" i="8"/>
  <c r="AR1568" i="8"/>
  <c r="AT1567" i="8"/>
  <c r="AR1567" i="8"/>
  <c r="AT1566" i="8"/>
  <c r="AR1566" i="8"/>
  <c r="AT1565" i="8"/>
  <c r="AR1565" i="8"/>
  <c r="AT1564" i="8"/>
  <c r="AR1564" i="8"/>
  <c r="AT1563" i="8"/>
  <c r="AR1563" i="8"/>
  <c r="AT1562" i="8"/>
  <c r="AR1562" i="8"/>
  <c r="AT1561" i="8"/>
  <c r="AR1561" i="8"/>
  <c r="AT1560" i="8"/>
  <c r="AR1560" i="8"/>
  <c r="AT1559" i="8"/>
  <c r="AR1559" i="8"/>
  <c r="AT1558" i="8"/>
  <c r="AR1558" i="8"/>
  <c r="AT1557" i="8"/>
  <c r="AR1557" i="8"/>
  <c r="AT1556" i="8"/>
  <c r="AR1556" i="8"/>
  <c r="AT1555" i="8"/>
  <c r="AR1555" i="8"/>
  <c r="AT1554" i="8"/>
  <c r="AR1554" i="8"/>
  <c r="AT1553" i="8"/>
  <c r="AR1553" i="8"/>
  <c r="AT1552" i="8"/>
  <c r="AR1552" i="8"/>
  <c r="AT1551" i="8"/>
  <c r="AR1551" i="8"/>
  <c r="AT1550" i="8"/>
  <c r="AR1550" i="8"/>
  <c r="AT1549" i="8"/>
  <c r="AR1549" i="8"/>
  <c r="AT1548" i="8"/>
  <c r="AR1548" i="8"/>
  <c r="AT1547" i="8"/>
  <c r="AR1547" i="8"/>
  <c r="AT1546" i="8"/>
  <c r="AR1546" i="8"/>
  <c r="AT1545" i="8"/>
  <c r="AR1545" i="8"/>
  <c r="AT1544" i="8"/>
  <c r="AR1544" i="8"/>
  <c r="AT1543" i="8"/>
  <c r="AR1543" i="8"/>
  <c r="AT1542" i="8"/>
  <c r="AR1542" i="8"/>
  <c r="AT1541" i="8"/>
  <c r="AR1541" i="8"/>
  <c r="AT1540" i="8"/>
  <c r="AR1540" i="8"/>
  <c r="AT1539" i="8"/>
  <c r="AR1539" i="8"/>
  <c r="AT1538" i="8"/>
  <c r="AR1538" i="8"/>
  <c r="AT1537" i="8"/>
  <c r="AR1537" i="8"/>
  <c r="AT1536" i="8"/>
  <c r="AR1536" i="8"/>
  <c r="AT1535" i="8"/>
  <c r="AR1535" i="8"/>
  <c r="AT1534" i="8"/>
  <c r="AR1534" i="8"/>
  <c r="AT1533" i="8"/>
  <c r="AR1533" i="8"/>
  <c r="AT1532" i="8"/>
  <c r="AR1532" i="8"/>
  <c r="AT1531" i="8"/>
  <c r="AR1531" i="8"/>
  <c r="AT1530" i="8"/>
  <c r="AR1530" i="8"/>
  <c r="AT1529" i="8"/>
  <c r="AR1529" i="8"/>
  <c r="AT1528" i="8"/>
  <c r="AR1528" i="8"/>
  <c r="AT1527" i="8"/>
  <c r="AR1527" i="8"/>
  <c r="AT1526" i="8"/>
  <c r="AR1526" i="8"/>
  <c r="AT1525" i="8"/>
  <c r="AR1525" i="8"/>
  <c r="AT1524" i="8"/>
  <c r="AR1524" i="8"/>
  <c r="AT1523" i="8"/>
  <c r="AR1523" i="8"/>
  <c r="AT1522" i="8"/>
  <c r="AR1522" i="8"/>
  <c r="AT1521" i="8"/>
  <c r="AR1521" i="8"/>
  <c r="AT1520" i="8"/>
  <c r="AR1520" i="8"/>
  <c r="AT1519" i="8"/>
  <c r="AR1519" i="8"/>
  <c r="AT1518" i="8"/>
  <c r="AR1518" i="8"/>
  <c r="AT1517" i="8"/>
  <c r="AR1517" i="8"/>
  <c r="AT1516" i="8"/>
  <c r="AR1516" i="8"/>
  <c r="AT1515" i="8"/>
  <c r="AR1515" i="8"/>
  <c r="AT1514" i="8"/>
  <c r="AR1514" i="8"/>
  <c r="AT1513" i="8"/>
  <c r="AR1513" i="8"/>
  <c r="AT1512" i="8"/>
  <c r="AR1512" i="8"/>
  <c r="AT1511" i="8"/>
  <c r="AR1511" i="8"/>
  <c r="AT1510" i="8"/>
  <c r="AR1510" i="8"/>
  <c r="AT1509" i="8"/>
  <c r="AR1509" i="8"/>
  <c r="AT1508" i="8"/>
  <c r="AR1508" i="8"/>
  <c r="AT1507" i="8"/>
  <c r="AR1507" i="8"/>
  <c r="AT1506" i="8"/>
  <c r="AR1506" i="8"/>
  <c r="AT1505" i="8"/>
  <c r="AR1505" i="8"/>
  <c r="AT1504" i="8"/>
  <c r="AR1504" i="8"/>
  <c r="AT1503" i="8"/>
  <c r="AR1503" i="8"/>
  <c r="AT1502" i="8"/>
  <c r="AR1502" i="8"/>
  <c r="AT1501" i="8"/>
  <c r="AR1501" i="8"/>
  <c r="AT1500" i="8"/>
  <c r="AR1500" i="8"/>
  <c r="AT1499" i="8"/>
  <c r="AR1499" i="8"/>
  <c r="AT1498" i="8"/>
  <c r="AR1498" i="8"/>
  <c r="AT1497" i="8"/>
  <c r="AR1497" i="8"/>
  <c r="AT1496" i="8"/>
  <c r="AR1496" i="8"/>
  <c r="AT1495" i="8"/>
  <c r="AR1495" i="8"/>
  <c r="AT1494" i="8"/>
  <c r="AR1494" i="8"/>
  <c r="AT1493" i="8"/>
  <c r="AR1493" i="8"/>
  <c r="AT1492" i="8"/>
  <c r="AR1492" i="8"/>
  <c r="AT1491" i="8"/>
  <c r="AR1491" i="8"/>
  <c r="AT1490" i="8"/>
  <c r="AR1490" i="8"/>
  <c r="AT1489" i="8"/>
  <c r="AR1489" i="8"/>
  <c r="AT1488" i="8"/>
  <c r="AR1488" i="8"/>
  <c r="AT1487" i="8"/>
  <c r="AR1487" i="8"/>
  <c r="AT1486" i="8"/>
  <c r="AR1486" i="8"/>
  <c r="AT1485" i="8"/>
  <c r="AR1485" i="8"/>
  <c r="AT1484" i="8"/>
  <c r="AR1484" i="8"/>
  <c r="AT1483" i="8"/>
  <c r="AR1483" i="8"/>
  <c r="AT1482" i="8"/>
  <c r="AR1482" i="8"/>
  <c r="AT1481" i="8"/>
  <c r="AR1481" i="8"/>
  <c r="AT1480" i="8"/>
  <c r="AR1480" i="8"/>
  <c r="AT1479" i="8"/>
  <c r="AR1479" i="8"/>
  <c r="AT1478" i="8"/>
  <c r="AR1478" i="8"/>
  <c r="AT1477" i="8"/>
  <c r="AR1477" i="8"/>
  <c r="AT1476" i="8"/>
  <c r="AR1476" i="8"/>
  <c r="AT1475" i="8"/>
  <c r="AR1475" i="8"/>
  <c r="AT1474" i="8"/>
  <c r="AR1474" i="8"/>
  <c r="AT1473" i="8"/>
  <c r="AR1473" i="8"/>
  <c r="AT1472" i="8"/>
  <c r="AR1472" i="8"/>
  <c r="AT1471" i="8"/>
  <c r="AR1471" i="8"/>
  <c r="AT1470" i="8"/>
  <c r="AR1470" i="8"/>
  <c r="AT1469" i="8"/>
  <c r="AR1469" i="8"/>
  <c r="AT1468" i="8"/>
  <c r="AR1468" i="8"/>
  <c r="AT1467" i="8"/>
  <c r="AR1467" i="8"/>
  <c r="AT1466" i="8"/>
  <c r="AR1466" i="8"/>
  <c r="AT1465" i="8"/>
  <c r="AR1465" i="8"/>
  <c r="AT1464" i="8"/>
  <c r="AR1464" i="8"/>
  <c r="AT1463" i="8"/>
  <c r="AR1463" i="8"/>
  <c r="AT1462" i="8"/>
  <c r="AR1462" i="8"/>
  <c r="AT1461" i="8"/>
  <c r="AR1461" i="8"/>
  <c r="AT1460" i="8"/>
  <c r="AR1460" i="8"/>
  <c r="AT1459" i="8"/>
  <c r="AR1459" i="8"/>
  <c r="AT1458" i="8"/>
  <c r="AR1458" i="8"/>
  <c r="AT1457" i="8"/>
  <c r="AR1457" i="8"/>
  <c r="AT1456" i="8"/>
  <c r="AR1456" i="8"/>
  <c r="AT1455" i="8"/>
  <c r="AR1455" i="8"/>
  <c r="AT1454" i="8"/>
  <c r="AR1454" i="8"/>
  <c r="AT1453" i="8"/>
  <c r="AR1453" i="8"/>
  <c r="AT1452" i="8"/>
  <c r="AR1452" i="8"/>
  <c r="AT1451" i="8"/>
  <c r="AR1451" i="8"/>
  <c r="AT1450" i="8"/>
  <c r="AR1450" i="8"/>
  <c r="AT1449" i="8"/>
  <c r="AR1449" i="8"/>
  <c r="AT1448" i="8"/>
  <c r="AR1448" i="8"/>
  <c r="AT1447" i="8"/>
  <c r="AR1447" i="8"/>
  <c r="AT1446" i="8"/>
  <c r="AR1446" i="8"/>
  <c r="AT1445" i="8"/>
  <c r="AR1445" i="8"/>
  <c r="AT1444" i="8"/>
  <c r="AR1444" i="8"/>
  <c r="AT1443" i="8"/>
  <c r="AR1443" i="8"/>
  <c r="AT1442" i="8"/>
  <c r="AR1442" i="8"/>
  <c r="AT1441" i="8"/>
  <c r="AR1441" i="8"/>
  <c r="AT1440" i="8"/>
  <c r="AR1440" i="8"/>
  <c r="AT1439" i="8"/>
  <c r="AR1439" i="8"/>
  <c r="AT1438" i="8"/>
  <c r="AR1438" i="8"/>
  <c r="AT1437" i="8"/>
  <c r="AR1437" i="8"/>
  <c r="AT1436" i="8"/>
  <c r="AR1436" i="8"/>
  <c r="AT1435" i="8"/>
  <c r="AR1435" i="8"/>
  <c r="AT1434" i="8"/>
  <c r="AR1434" i="8"/>
  <c r="AT1433" i="8"/>
  <c r="AR1433" i="8"/>
  <c r="AT1432" i="8"/>
  <c r="AR1432" i="8"/>
  <c r="AT1431" i="8"/>
  <c r="AR1431" i="8"/>
  <c r="AT1430" i="8"/>
  <c r="AR1430" i="8"/>
  <c r="AT1429" i="8"/>
  <c r="AR1429" i="8"/>
  <c r="AT1428" i="8"/>
  <c r="AR1428" i="8"/>
  <c r="AT1427" i="8"/>
  <c r="AR1427" i="8"/>
  <c r="AT1426" i="8"/>
  <c r="AR1426" i="8"/>
  <c r="AT1425" i="8"/>
  <c r="AR1425" i="8"/>
  <c r="AT1424" i="8"/>
  <c r="AR1424" i="8"/>
  <c r="AT1423" i="8"/>
  <c r="AR1423" i="8"/>
  <c r="AT1422" i="8"/>
  <c r="AR1422" i="8"/>
  <c r="AT1421" i="8"/>
  <c r="AR1421" i="8"/>
  <c r="AT1420" i="8"/>
  <c r="AR1420" i="8"/>
  <c r="AT1419" i="8"/>
  <c r="AR1419" i="8"/>
  <c r="AT1418" i="8"/>
  <c r="AR1418" i="8"/>
  <c r="AT1417" i="8"/>
  <c r="AR1417" i="8"/>
  <c r="AT1416" i="8"/>
  <c r="AR1416" i="8"/>
  <c r="AT1415" i="8"/>
  <c r="AR1415" i="8"/>
  <c r="AT1414" i="8"/>
  <c r="AR1414" i="8"/>
  <c r="AT1413" i="8"/>
  <c r="AR1413" i="8"/>
  <c r="AT1412" i="8"/>
  <c r="AR1412" i="8"/>
  <c r="AT1411" i="8"/>
  <c r="AR1411" i="8"/>
  <c r="AT1410" i="8"/>
  <c r="AR1410" i="8"/>
  <c r="AT1409" i="8"/>
  <c r="AR1409" i="8"/>
  <c r="AT1408" i="8"/>
  <c r="AR1408" i="8"/>
  <c r="AT1407" i="8"/>
  <c r="AR1407" i="8"/>
  <c r="AT1406" i="8"/>
  <c r="AR1406" i="8"/>
  <c r="AT1405" i="8"/>
  <c r="AR1405" i="8"/>
  <c r="AT1404" i="8"/>
  <c r="AR1404" i="8"/>
  <c r="AT1403" i="8"/>
  <c r="AR1403" i="8"/>
  <c r="AT1402" i="8"/>
  <c r="AR1402" i="8"/>
  <c r="AT1401" i="8"/>
  <c r="AR1401" i="8"/>
  <c r="AT1400" i="8"/>
  <c r="AR1400" i="8"/>
  <c r="AT1399" i="8"/>
  <c r="AR1399" i="8"/>
  <c r="AT1398" i="8"/>
  <c r="AR1398" i="8"/>
  <c r="AT1397" i="8"/>
  <c r="AR1397" i="8"/>
  <c r="AT1396" i="8"/>
  <c r="AR1396" i="8"/>
  <c r="AT1395" i="8"/>
  <c r="AR1395" i="8"/>
  <c r="AT1394" i="8"/>
  <c r="AR1394" i="8"/>
  <c r="AT1393" i="8"/>
  <c r="AR1393" i="8"/>
  <c r="AT1392" i="8"/>
  <c r="AR1392" i="8"/>
  <c r="AT1391" i="8"/>
  <c r="AR1391" i="8"/>
  <c r="AT1390" i="8"/>
  <c r="AR1390" i="8"/>
  <c r="AT1389" i="8"/>
  <c r="AR1389" i="8"/>
  <c r="AT1388" i="8"/>
  <c r="AR1388" i="8"/>
  <c r="AT1387" i="8"/>
  <c r="AR1387" i="8"/>
  <c r="AT1386" i="8"/>
  <c r="AR1386" i="8"/>
  <c r="AT1385" i="8"/>
  <c r="AR1385" i="8"/>
  <c r="AT1384" i="8"/>
  <c r="AR1384" i="8"/>
  <c r="AT1383" i="8"/>
  <c r="AR1383" i="8"/>
  <c r="AT1382" i="8"/>
  <c r="AR1382" i="8"/>
  <c r="AT1381" i="8"/>
  <c r="AR1381" i="8"/>
  <c r="AT1380" i="8"/>
  <c r="AR1380" i="8"/>
  <c r="AT1379" i="8"/>
  <c r="AR1379" i="8"/>
  <c r="AT1378" i="8"/>
  <c r="AR1378" i="8"/>
  <c r="AT1377" i="8"/>
  <c r="AR1377" i="8"/>
  <c r="AT1376" i="8"/>
  <c r="AR1376" i="8"/>
  <c r="AT1375" i="8"/>
  <c r="AR1375" i="8"/>
  <c r="AT1374" i="8"/>
  <c r="AR1374" i="8"/>
  <c r="AT1373" i="8"/>
  <c r="AR1373" i="8"/>
  <c r="AT1372" i="8"/>
  <c r="AR1372" i="8"/>
  <c r="AT1371" i="8"/>
  <c r="AR1371" i="8"/>
  <c r="AT1370" i="8"/>
  <c r="AR1370" i="8"/>
  <c r="AT1369" i="8"/>
  <c r="AR1369" i="8"/>
  <c r="AT1368" i="8"/>
  <c r="AR1368" i="8"/>
  <c r="AT1367" i="8"/>
  <c r="AR1367" i="8"/>
  <c r="AT1366" i="8"/>
  <c r="AR1366" i="8"/>
  <c r="AT1365" i="8"/>
  <c r="AR1365" i="8"/>
  <c r="AT1364" i="8"/>
  <c r="AR1364" i="8"/>
  <c r="AT1363" i="8"/>
  <c r="AR1363" i="8"/>
  <c r="AT1362" i="8"/>
  <c r="AR1362" i="8"/>
  <c r="AT1361" i="8"/>
  <c r="AR1361" i="8"/>
  <c r="AT1360" i="8"/>
  <c r="AR1360" i="8"/>
  <c r="AT1359" i="8"/>
  <c r="AR1359" i="8"/>
  <c r="AT1358" i="8"/>
  <c r="AR1358" i="8"/>
  <c r="AT1357" i="8"/>
  <c r="AR1357" i="8"/>
  <c r="AT1356" i="8"/>
  <c r="AR1356" i="8"/>
  <c r="AT1355" i="8"/>
  <c r="AR1355" i="8"/>
  <c r="AT1354" i="8"/>
  <c r="AR1354" i="8"/>
  <c r="AT1353" i="8"/>
  <c r="AR1353" i="8"/>
  <c r="AT1352" i="8"/>
  <c r="AR1352" i="8"/>
  <c r="AT1351" i="8"/>
  <c r="AR1351" i="8"/>
  <c r="AT1350" i="8"/>
  <c r="AR1350" i="8"/>
  <c r="AT1349" i="8"/>
  <c r="AR1349" i="8"/>
  <c r="AT1348" i="8"/>
  <c r="AR1348" i="8"/>
  <c r="AT1347" i="8"/>
  <c r="AR1347" i="8"/>
  <c r="AT1346" i="8"/>
  <c r="AR1346" i="8"/>
  <c r="AT1345" i="8"/>
  <c r="AR1345" i="8"/>
  <c r="AT1344" i="8"/>
  <c r="AR1344" i="8"/>
  <c r="AT1343" i="8"/>
  <c r="AR1343" i="8"/>
  <c r="AT1342" i="8"/>
  <c r="AR1342" i="8"/>
  <c r="AT1341" i="8"/>
  <c r="AR1341" i="8"/>
  <c r="AT1340" i="8"/>
  <c r="AR1340" i="8"/>
  <c r="AT1339" i="8"/>
  <c r="AR1339" i="8"/>
  <c r="AT1338" i="8"/>
  <c r="AR1338" i="8"/>
  <c r="AT1337" i="8"/>
  <c r="AR1337" i="8"/>
  <c r="AT1336" i="8"/>
  <c r="AR1336" i="8"/>
  <c r="AT1335" i="8"/>
  <c r="AR1335" i="8"/>
  <c r="AT1334" i="8"/>
  <c r="AR1334" i="8"/>
  <c r="AT1333" i="8"/>
  <c r="AR1333" i="8"/>
  <c r="AT1332" i="8"/>
  <c r="AR1332" i="8"/>
  <c r="AT1331" i="8"/>
  <c r="AR1331" i="8"/>
  <c r="AT1330" i="8"/>
  <c r="AR1330" i="8"/>
  <c r="AT1329" i="8"/>
  <c r="AR1329" i="8"/>
  <c r="AT1328" i="8"/>
  <c r="AR1328" i="8"/>
  <c r="AT1327" i="8"/>
  <c r="AR1327" i="8"/>
  <c r="AT1326" i="8"/>
  <c r="AR1326" i="8"/>
  <c r="AT1325" i="8"/>
  <c r="AR1325" i="8"/>
  <c r="AT1324" i="8"/>
  <c r="AR1324" i="8"/>
  <c r="AT1323" i="8"/>
  <c r="AR1323" i="8"/>
  <c r="AT1322" i="8"/>
  <c r="AR1322" i="8"/>
  <c r="AT1321" i="8"/>
  <c r="AR1321" i="8"/>
  <c r="AT1320" i="8"/>
  <c r="AR1320" i="8"/>
  <c r="AT1319" i="8"/>
  <c r="AR1319" i="8"/>
  <c r="AT1318" i="8"/>
  <c r="AR1318" i="8"/>
  <c r="AT1317" i="8"/>
  <c r="AR1317" i="8"/>
  <c r="AT1316" i="8"/>
  <c r="AR1316" i="8"/>
  <c r="AT1315" i="8"/>
  <c r="AR1315" i="8"/>
  <c r="AT1314" i="8"/>
  <c r="AR1314" i="8"/>
  <c r="AT1313" i="8"/>
  <c r="AR1313" i="8"/>
  <c r="AT1312" i="8"/>
  <c r="AR1312" i="8"/>
  <c r="AT1311" i="8"/>
  <c r="AR1311" i="8"/>
  <c r="AT1310" i="8"/>
  <c r="AR1310" i="8"/>
  <c r="AT1309" i="8"/>
  <c r="AR1309" i="8"/>
  <c r="AT1308" i="8"/>
  <c r="AR1308" i="8"/>
  <c r="AT1307" i="8"/>
  <c r="AR1307" i="8"/>
  <c r="AT1306" i="8"/>
  <c r="AR1306" i="8"/>
  <c r="AT1305" i="8"/>
  <c r="AR1305" i="8"/>
  <c r="AT1304" i="8"/>
  <c r="AR1304" i="8"/>
  <c r="AT1303" i="8"/>
  <c r="AR1303" i="8"/>
  <c r="AT1302" i="8"/>
  <c r="AR1302" i="8"/>
  <c r="AT1301" i="8"/>
  <c r="AR1301" i="8"/>
  <c r="AT1300" i="8"/>
  <c r="AR1300" i="8"/>
  <c r="AT1299" i="8"/>
  <c r="AR1299" i="8"/>
  <c r="AT1298" i="8"/>
  <c r="AR1298" i="8"/>
  <c r="AT1297" i="8"/>
  <c r="AR1297" i="8"/>
  <c r="AT1296" i="8"/>
  <c r="AR1296" i="8"/>
  <c r="AT1295" i="8"/>
  <c r="AR1295" i="8"/>
  <c r="AT1294" i="8"/>
  <c r="AR1294" i="8"/>
  <c r="AT1293" i="8"/>
  <c r="AR1293" i="8"/>
  <c r="AT1292" i="8"/>
  <c r="AR1292" i="8"/>
  <c r="AT1291" i="8"/>
  <c r="AR1291" i="8"/>
  <c r="AT1290" i="8"/>
  <c r="AR1290" i="8"/>
  <c r="AT1289" i="8"/>
  <c r="AR1289" i="8"/>
  <c r="AT1288" i="8"/>
  <c r="AR1288" i="8"/>
  <c r="AT1287" i="8"/>
  <c r="AR1287" i="8"/>
  <c r="AT1286" i="8"/>
  <c r="AR1286" i="8"/>
  <c r="AT1285" i="8"/>
  <c r="AR1285" i="8"/>
  <c r="AT1284" i="8"/>
  <c r="AR1284" i="8"/>
  <c r="AT1283" i="8"/>
  <c r="AR1283" i="8"/>
  <c r="AT1282" i="8"/>
  <c r="AR1282" i="8"/>
  <c r="AT1281" i="8"/>
  <c r="AR1281" i="8"/>
  <c r="AT1280" i="8"/>
  <c r="AR1280" i="8"/>
  <c r="AT1279" i="8"/>
  <c r="AR1279" i="8"/>
  <c r="AT1278" i="8"/>
  <c r="AR1278" i="8"/>
  <c r="AT1277" i="8"/>
  <c r="AR1277" i="8"/>
  <c r="AT1276" i="8"/>
  <c r="AR1276" i="8"/>
  <c r="AT1275" i="8"/>
  <c r="AR1275" i="8"/>
  <c r="AT1274" i="8"/>
  <c r="AR1274" i="8"/>
  <c r="AT1273" i="8"/>
  <c r="AR1273" i="8"/>
  <c r="AT1272" i="8"/>
  <c r="AR1272" i="8"/>
  <c r="AT1271" i="8"/>
  <c r="AR1271" i="8"/>
  <c r="AT1270" i="8"/>
  <c r="AR1270" i="8"/>
  <c r="AT1269" i="8"/>
  <c r="AR1269" i="8"/>
  <c r="AT1268" i="8"/>
  <c r="AR1268" i="8"/>
  <c r="AT1267" i="8"/>
  <c r="AR1267" i="8"/>
  <c r="AT1266" i="8"/>
  <c r="AR1266" i="8"/>
  <c r="AT1265" i="8"/>
  <c r="AR1265" i="8"/>
  <c r="AT1264" i="8"/>
  <c r="AR1264" i="8"/>
  <c r="AT1263" i="8"/>
  <c r="AR1263" i="8"/>
  <c r="AT1262" i="8"/>
  <c r="AR1262" i="8"/>
  <c r="AT1261" i="8"/>
  <c r="AR1261" i="8"/>
  <c r="AT1260" i="8"/>
  <c r="AR1260" i="8"/>
  <c r="AT1259" i="8"/>
  <c r="AR1259" i="8"/>
  <c r="AT1258" i="8"/>
  <c r="AR1258" i="8"/>
  <c r="AT1257" i="8"/>
  <c r="AR1257" i="8"/>
  <c r="AT1256" i="8"/>
  <c r="AR1256" i="8"/>
  <c r="AT1255" i="8"/>
  <c r="AR1255" i="8"/>
  <c r="AT1254" i="8"/>
  <c r="AR1254" i="8"/>
  <c r="AT1253" i="8"/>
  <c r="AR1253" i="8"/>
  <c r="AT1252" i="8"/>
  <c r="AR1252" i="8"/>
  <c r="AT1251" i="8"/>
  <c r="AR1251" i="8"/>
  <c r="AT1250" i="8"/>
  <c r="AR1250" i="8"/>
  <c r="AT1249" i="8"/>
  <c r="AR1249" i="8"/>
  <c r="AT1248" i="8"/>
  <c r="AR1248" i="8"/>
  <c r="AT1247" i="8"/>
  <c r="AR1247" i="8"/>
  <c r="AT1246" i="8"/>
  <c r="AR1246" i="8"/>
  <c r="AT1245" i="8"/>
  <c r="AR1245" i="8"/>
  <c r="AT1244" i="8"/>
  <c r="AR1244" i="8"/>
  <c r="AT1243" i="8"/>
  <c r="AR1243" i="8"/>
  <c r="AT1242" i="8"/>
  <c r="AR1242" i="8"/>
  <c r="AT1241" i="8"/>
  <c r="AR1241" i="8"/>
  <c r="AT1240" i="8"/>
  <c r="AR1240" i="8"/>
  <c r="AT1239" i="8"/>
  <c r="AR1239" i="8"/>
  <c r="AT1238" i="8"/>
  <c r="AR1238" i="8"/>
  <c r="AT1237" i="8"/>
  <c r="AR1237" i="8"/>
  <c r="AT1236" i="8"/>
  <c r="AR1236" i="8"/>
  <c r="AT1235" i="8"/>
  <c r="AR1235" i="8"/>
  <c r="AT1234" i="8"/>
  <c r="AR1234" i="8"/>
  <c r="AT1233" i="8"/>
  <c r="AR1233" i="8"/>
  <c r="AT1232" i="8"/>
  <c r="AR1232" i="8"/>
  <c r="AT1231" i="8"/>
  <c r="AR1231" i="8"/>
  <c r="AT1230" i="8"/>
  <c r="AR1230" i="8"/>
  <c r="AT1229" i="8"/>
  <c r="AR1229" i="8"/>
  <c r="AT1228" i="8"/>
  <c r="AR1228" i="8"/>
  <c r="AT1227" i="8"/>
  <c r="AR1227" i="8"/>
  <c r="AT1226" i="8"/>
  <c r="AR1226" i="8"/>
  <c r="AT1225" i="8"/>
  <c r="AR1225" i="8"/>
  <c r="AT1224" i="8"/>
  <c r="AR1224" i="8"/>
  <c r="AT1223" i="8"/>
  <c r="AR1223" i="8"/>
  <c r="AT1222" i="8"/>
  <c r="AR1222" i="8"/>
  <c r="AT1221" i="8"/>
  <c r="AR1221" i="8"/>
  <c r="AT1220" i="8"/>
  <c r="AR1220" i="8"/>
  <c r="AT1219" i="8"/>
  <c r="AR1219" i="8"/>
  <c r="AT1218" i="8"/>
  <c r="AR1218" i="8"/>
  <c r="AT1217" i="8"/>
  <c r="AR1217" i="8"/>
  <c r="AT1216" i="8"/>
  <c r="AR1216" i="8"/>
  <c r="AT1215" i="8"/>
  <c r="AR1215" i="8"/>
  <c r="AT1214" i="8"/>
  <c r="AR1214" i="8"/>
  <c r="AT1213" i="8"/>
  <c r="AR1213" i="8"/>
  <c r="AT1212" i="8"/>
  <c r="AR1212" i="8"/>
  <c r="AT1211" i="8"/>
  <c r="AR1211" i="8"/>
  <c r="AT1210" i="8"/>
  <c r="AR1210" i="8"/>
  <c r="AT1209" i="8"/>
  <c r="AR1209" i="8"/>
  <c r="AT1208" i="8"/>
  <c r="AR1208" i="8"/>
  <c r="AT1207" i="8"/>
  <c r="AR1207" i="8"/>
  <c r="AT1206" i="8"/>
  <c r="AR1206" i="8"/>
  <c r="AT1205" i="8"/>
  <c r="AR1205" i="8"/>
  <c r="AT1204" i="8"/>
  <c r="AR1204" i="8"/>
  <c r="AT1203" i="8"/>
  <c r="AR1203" i="8"/>
  <c r="AT1202" i="8"/>
  <c r="AR1202" i="8"/>
  <c r="AT1201" i="8"/>
  <c r="AR1201" i="8"/>
  <c r="AT1200" i="8"/>
  <c r="AR1200" i="8"/>
  <c r="AT1199" i="8"/>
  <c r="AR1199" i="8"/>
  <c r="AT1198" i="8"/>
  <c r="AR1198" i="8"/>
  <c r="AT1197" i="8"/>
  <c r="AR1197" i="8"/>
  <c r="AT1196" i="8"/>
  <c r="AR1196" i="8"/>
  <c r="AT1195" i="8"/>
  <c r="AR1195" i="8"/>
  <c r="AT1194" i="8"/>
  <c r="AR1194" i="8"/>
  <c r="AT1193" i="8"/>
  <c r="AR1193" i="8"/>
  <c r="AT1192" i="8"/>
  <c r="AR1192" i="8"/>
  <c r="AT1191" i="8"/>
  <c r="AR1191" i="8"/>
  <c r="AT1190" i="8"/>
  <c r="AR1190" i="8"/>
  <c r="AT1189" i="8"/>
  <c r="AR1189" i="8"/>
  <c r="AT1188" i="8"/>
  <c r="AR1188" i="8"/>
  <c r="AT1187" i="8"/>
  <c r="AR1187" i="8"/>
  <c r="AT1186" i="8"/>
  <c r="AR1186" i="8"/>
  <c r="AT1185" i="8"/>
  <c r="AR1185" i="8"/>
  <c r="AT1184" i="8"/>
  <c r="AR1184" i="8"/>
  <c r="AT1183" i="8"/>
  <c r="AR1183" i="8"/>
  <c r="AT1182" i="8"/>
  <c r="AR1182" i="8"/>
  <c r="AT1181" i="8"/>
  <c r="AR1181" i="8"/>
  <c r="AT1180" i="8"/>
  <c r="AR1180" i="8"/>
  <c r="AT1179" i="8"/>
  <c r="AR1179" i="8"/>
  <c r="AT1178" i="8"/>
  <c r="AR1178" i="8"/>
  <c r="AT1177" i="8"/>
  <c r="AR1177" i="8"/>
  <c r="AT1176" i="8"/>
  <c r="AR1176" i="8"/>
  <c r="AT1175" i="8"/>
  <c r="AR1175" i="8"/>
  <c r="AT1174" i="8"/>
  <c r="AR1174" i="8"/>
  <c r="AT1173" i="8"/>
  <c r="AR1173" i="8"/>
  <c r="AT1172" i="8"/>
  <c r="AR1172" i="8"/>
  <c r="AT1171" i="8"/>
  <c r="AR1171" i="8"/>
  <c r="AT1170" i="8"/>
  <c r="AR1170" i="8"/>
  <c r="AT1169" i="8"/>
  <c r="AR1169" i="8"/>
  <c r="AT1168" i="8"/>
  <c r="AR1168" i="8"/>
  <c r="AT1167" i="8"/>
  <c r="AR1167" i="8"/>
  <c r="AT1166" i="8"/>
  <c r="AR1166" i="8"/>
  <c r="AT1165" i="8"/>
  <c r="AR1165" i="8"/>
  <c r="AT1164" i="8"/>
  <c r="AR1164" i="8"/>
  <c r="AT1163" i="8"/>
  <c r="AR1163" i="8"/>
  <c r="AT1162" i="8"/>
  <c r="AR1162" i="8"/>
  <c r="AT1161" i="8"/>
  <c r="AR1161" i="8"/>
  <c r="AT1160" i="8"/>
  <c r="AR1160" i="8"/>
  <c r="AT1159" i="8"/>
  <c r="AR1159" i="8"/>
  <c r="AT1158" i="8"/>
  <c r="AR1158" i="8"/>
  <c r="AT1157" i="8"/>
  <c r="AR1157" i="8"/>
  <c r="AT1156" i="8"/>
  <c r="AR1156" i="8"/>
  <c r="AT1155" i="8"/>
  <c r="AR1155" i="8"/>
  <c r="AT1154" i="8"/>
  <c r="AR1154" i="8"/>
  <c r="AT1153" i="8"/>
  <c r="AR1153" i="8"/>
  <c r="AT1152" i="8"/>
  <c r="AR1152" i="8"/>
  <c r="AT1151" i="8"/>
  <c r="AR1151" i="8"/>
  <c r="AT1150" i="8"/>
  <c r="AR1150" i="8"/>
  <c r="AT1149" i="8"/>
  <c r="AR1149" i="8"/>
  <c r="AT1148" i="8"/>
  <c r="AR1148" i="8"/>
  <c r="AT1147" i="8"/>
  <c r="AR1147" i="8"/>
  <c r="AT1146" i="8"/>
  <c r="AR1146" i="8"/>
  <c r="AT1145" i="8"/>
  <c r="AR1145" i="8"/>
  <c r="AT1144" i="8"/>
  <c r="AR1144" i="8"/>
  <c r="AT1143" i="8"/>
  <c r="AR1143" i="8"/>
  <c r="AT1142" i="8"/>
  <c r="AR1142" i="8"/>
  <c r="AT1141" i="8"/>
  <c r="AR1141" i="8"/>
  <c r="AT1140" i="8"/>
  <c r="AR1140" i="8"/>
  <c r="AT1139" i="8"/>
  <c r="AR1139" i="8"/>
  <c r="AT1138" i="8"/>
  <c r="AR1138" i="8"/>
  <c r="AT1137" i="8"/>
  <c r="AR1137" i="8"/>
  <c r="AT1136" i="8"/>
  <c r="AR1136" i="8"/>
  <c r="AT1135" i="8"/>
  <c r="AR1135" i="8"/>
  <c r="AT1134" i="8"/>
  <c r="AR1134" i="8"/>
  <c r="AT1133" i="8"/>
  <c r="AR1133" i="8"/>
  <c r="AT1132" i="8"/>
  <c r="AR1132" i="8"/>
  <c r="AT1131" i="8"/>
  <c r="AR1131" i="8"/>
  <c r="AT1130" i="8"/>
  <c r="AR1130" i="8"/>
  <c r="AT1129" i="8"/>
  <c r="AR1129" i="8"/>
  <c r="AT1128" i="8"/>
  <c r="AR1128" i="8"/>
  <c r="AT1127" i="8"/>
  <c r="AR1127" i="8"/>
  <c r="AT1126" i="8"/>
  <c r="AR1126" i="8"/>
  <c r="AT1125" i="8"/>
  <c r="AR1125" i="8"/>
  <c r="AT1124" i="8"/>
  <c r="AR1124" i="8"/>
  <c r="AT1123" i="8"/>
  <c r="AR1123" i="8"/>
  <c r="AT1122" i="8"/>
  <c r="AR1122" i="8"/>
  <c r="AT1121" i="8"/>
  <c r="AR1121" i="8"/>
  <c r="AT1120" i="8"/>
  <c r="AR1120" i="8"/>
  <c r="AT1119" i="8"/>
  <c r="AR1119" i="8"/>
  <c r="AT1118" i="8"/>
  <c r="AR1118" i="8"/>
  <c r="AT1117" i="8"/>
  <c r="AR1117" i="8"/>
  <c r="AT1116" i="8"/>
  <c r="AR1116" i="8"/>
  <c r="AT1115" i="8"/>
  <c r="AR1115" i="8"/>
  <c r="AT1114" i="8"/>
  <c r="AR1114" i="8"/>
  <c r="AT1113" i="8"/>
  <c r="AR1113" i="8"/>
  <c r="AT1112" i="8"/>
  <c r="AR1112" i="8"/>
  <c r="AT1111" i="8"/>
  <c r="AR1111" i="8"/>
  <c r="AT1110" i="8"/>
  <c r="AR1110" i="8"/>
  <c r="AT1109" i="8"/>
  <c r="AR1109" i="8"/>
  <c r="AT1108" i="8"/>
  <c r="AR1108" i="8"/>
  <c r="AT1107" i="8"/>
  <c r="AR1107" i="8"/>
  <c r="AT1106" i="8"/>
  <c r="AR1106" i="8"/>
  <c r="AT1105" i="8"/>
  <c r="AR1105" i="8"/>
  <c r="AT1104" i="8"/>
  <c r="AR1104" i="8"/>
  <c r="AT1103" i="8"/>
  <c r="AR1103" i="8"/>
  <c r="AT1102" i="8"/>
  <c r="AR1102" i="8"/>
  <c r="AT1101" i="8"/>
  <c r="AR1101" i="8"/>
  <c r="AT1100" i="8"/>
  <c r="AR1100" i="8"/>
  <c r="AT1099" i="8"/>
  <c r="AR1099" i="8"/>
  <c r="AT1098" i="8"/>
  <c r="AR1098" i="8"/>
  <c r="AT1097" i="8"/>
  <c r="AR1097" i="8"/>
  <c r="AT1096" i="8"/>
  <c r="AR1096" i="8"/>
  <c r="AT1095" i="8"/>
  <c r="AR1095" i="8"/>
  <c r="AT1094" i="8"/>
  <c r="AR1094" i="8"/>
  <c r="AT1093" i="8"/>
  <c r="AR1093" i="8"/>
  <c r="AT1092" i="8"/>
  <c r="AR1092" i="8"/>
  <c r="AT1091" i="8"/>
  <c r="AR1091" i="8"/>
  <c r="AT1090" i="8"/>
  <c r="AR1090" i="8"/>
  <c r="AT1089" i="8"/>
  <c r="AR1089" i="8"/>
  <c r="AT1088" i="8"/>
  <c r="AR1088" i="8"/>
  <c r="AT1087" i="8"/>
  <c r="AR1087" i="8"/>
  <c r="AT1086" i="8"/>
  <c r="AR1086" i="8"/>
  <c r="AT1085" i="8"/>
  <c r="AR1085" i="8"/>
  <c r="AT1084" i="8"/>
  <c r="AR1084" i="8"/>
  <c r="AT1083" i="8"/>
  <c r="AR1083" i="8"/>
  <c r="AT1082" i="8"/>
  <c r="AR1082" i="8"/>
  <c r="AT1081" i="8"/>
  <c r="AR1081" i="8"/>
  <c r="AT1080" i="8"/>
  <c r="AR1080" i="8"/>
  <c r="AT1079" i="8"/>
  <c r="AR1079" i="8"/>
  <c r="AT1078" i="8"/>
  <c r="AR1078" i="8"/>
  <c r="AT1077" i="8"/>
  <c r="AR1077" i="8"/>
  <c r="AT1076" i="8"/>
  <c r="AR1076" i="8"/>
  <c r="AT1075" i="8"/>
  <c r="AR1075" i="8"/>
  <c r="AT1074" i="8"/>
  <c r="AR1074" i="8"/>
  <c r="AT1073" i="8"/>
  <c r="AR1073" i="8"/>
  <c r="AT1072" i="8"/>
  <c r="AR1072" i="8"/>
  <c r="AT1071" i="8"/>
  <c r="AR1071" i="8"/>
  <c r="AT1070" i="8"/>
  <c r="AR1070" i="8"/>
  <c r="AT1069" i="8"/>
  <c r="AR1069" i="8"/>
  <c r="AT1068" i="8"/>
  <c r="AR1068" i="8"/>
  <c r="AT1067" i="8"/>
  <c r="AR1067" i="8"/>
  <c r="AT1066" i="8"/>
  <c r="AR1066" i="8"/>
  <c r="AT1065" i="8"/>
  <c r="AR1065" i="8"/>
  <c r="AT1064" i="8"/>
  <c r="AR1064" i="8"/>
  <c r="AT1063" i="8"/>
  <c r="AR1063" i="8"/>
  <c r="AT1062" i="8"/>
  <c r="AR1062" i="8"/>
  <c r="AT1061" i="8"/>
  <c r="AR1061" i="8"/>
  <c r="AT1060" i="8"/>
  <c r="AR1060" i="8"/>
  <c r="AT1059" i="8"/>
  <c r="AR1059" i="8"/>
  <c r="AT1058" i="8"/>
  <c r="AR1058" i="8"/>
  <c r="AT1057" i="8"/>
  <c r="AR1057" i="8"/>
  <c r="AT1056" i="8"/>
  <c r="AR1056" i="8"/>
  <c r="AT1055" i="8"/>
  <c r="AR1055" i="8"/>
  <c r="AT1054" i="8"/>
  <c r="AR1054" i="8"/>
  <c r="AT1053" i="8"/>
  <c r="AR1053" i="8"/>
  <c r="AT1052" i="8"/>
  <c r="AR1052" i="8"/>
  <c r="AT1051" i="8"/>
  <c r="AR1051" i="8"/>
  <c r="AT1050" i="8"/>
  <c r="AR1050" i="8"/>
  <c r="AT1049" i="8"/>
  <c r="AR1049" i="8"/>
  <c r="AT1048" i="8"/>
  <c r="AR1048" i="8"/>
  <c r="AT1047" i="8"/>
  <c r="AR1047" i="8"/>
  <c r="AT1046" i="8"/>
  <c r="AR1046" i="8"/>
  <c r="AT1045" i="8"/>
  <c r="AR1045" i="8"/>
  <c r="AT1044" i="8"/>
  <c r="AR1044" i="8"/>
  <c r="AT1043" i="8"/>
  <c r="AR1043" i="8"/>
  <c r="AT1042" i="8"/>
  <c r="AR1042" i="8"/>
  <c r="AT1041" i="8"/>
  <c r="AR1041" i="8"/>
  <c r="AT1040" i="8"/>
  <c r="AR1040" i="8"/>
  <c r="AT1039" i="8"/>
  <c r="AR1039" i="8"/>
  <c r="AT1038" i="8"/>
  <c r="AR1038" i="8"/>
  <c r="AT1037" i="8"/>
  <c r="AR1037" i="8"/>
  <c r="AT1036" i="8"/>
  <c r="AR1036" i="8"/>
  <c r="AT1035" i="8"/>
  <c r="AR1035" i="8"/>
  <c r="AT1034" i="8"/>
  <c r="AR1034" i="8"/>
  <c r="AT1033" i="8"/>
  <c r="AR1033" i="8"/>
  <c r="AT1032" i="8"/>
  <c r="AR1032" i="8"/>
  <c r="AT1031" i="8"/>
  <c r="AR1031" i="8"/>
  <c r="AT1030" i="8"/>
  <c r="AR1030" i="8"/>
  <c r="AT1029" i="8"/>
  <c r="AR1029" i="8"/>
  <c r="AT1028" i="8"/>
  <c r="AR1028" i="8"/>
  <c r="AT1027" i="8"/>
  <c r="AR1027" i="8"/>
  <c r="AT1026" i="8"/>
  <c r="AR1026" i="8"/>
  <c r="AT1025" i="8"/>
  <c r="AR1025" i="8"/>
  <c r="AT1024" i="8"/>
  <c r="AR1024" i="8"/>
  <c r="AT1023" i="8"/>
  <c r="AR1023" i="8"/>
  <c r="AT1022" i="8"/>
  <c r="AR1022" i="8"/>
  <c r="AT1021" i="8"/>
  <c r="AR1021" i="8"/>
  <c r="AT1020" i="8"/>
  <c r="AR1020" i="8"/>
  <c r="AT1019" i="8"/>
  <c r="AR1019" i="8"/>
  <c r="AT1018" i="8"/>
  <c r="AR1018" i="8"/>
  <c r="AT1017" i="8"/>
  <c r="AR1017" i="8"/>
  <c r="AT1016" i="8"/>
  <c r="AR1016" i="8"/>
  <c r="AT1015" i="8"/>
  <c r="AR1015" i="8"/>
  <c r="AT1014" i="8"/>
  <c r="AR1014" i="8"/>
  <c r="AT1013" i="8"/>
  <c r="AR1013" i="8"/>
  <c r="AT1012" i="8"/>
  <c r="AR1012" i="8"/>
  <c r="AT1011" i="8"/>
  <c r="AR1011" i="8"/>
  <c r="AT1010" i="8"/>
  <c r="AR1010" i="8"/>
  <c r="AT1009" i="8"/>
  <c r="AR1009" i="8"/>
  <c r="AT1008" i="8"/>
  <c r="AR1008" i="8"/>
  <c r="AT1007" i="8"/>
  <c r="AR1007" i="8"/>
  <c r="AT1006" i="8"/>
  <c r="AR1006" i="8"/>
  <c r="AT1005" i="8"/>
  <c r="AR1005" i="8"/>
  <c r="AT1004" i="8"/>
  <c r="AR1004" i="8"/>
  <c r="AT1003" i="8"/>
  <c r="AR1003" i="8"/>
  <c r="AT1002" i="8"/>
  <c r="AR1002" i="8"/>
  <c r="AT1001" i="8"/>
  <c r="AR1001" i="8"/>
  <c r="AT1000" i="8"/>
  <c r="AR1000" i="8"/>
  <c r="AT999" i="8"/>
  <c r="AR999" i="8"/>
  <c r="AT998" i="8"/>
  <c r="AR998" i="8"/>
  <c r="AT997" i="8"/>
  <c r="AR997" i="8"/>
  <c r="AT996" i="8"/>
  <c r="AR996" i="8"/>
  <c r="AT995" i="8"/>
  <c r="AR995" i="8"/>
  <c r="AT994" i="8"/>
  <c r="AR994" i="8"/>
  <c r="AT993" i="8"/>
  <c r="AR993" i="8"/>
  <c r="AT992" i="8"/>
  <c r="AR992" i="8"/>
  <c r="AT991" i="8"/>
  <c r="AR991" i="8"/>
  <c r="AT990" i="8"/>
  <c r="AR990" i="8"/>
  <c r="AT989" i="8"/>
  <c r="AR989" i="8"/>
  <c r="AT988" i="8"/>
  <c r="AR988" i="8"/>
  <c r="AT987" i="8"/>
  <c r="AR987" i="8"/>
  <c r="AT986" i="8"/>
  <c r="AR986" i="8"/>
  <c r="AT985" i="8"/>
  <c r="AR985" i="8"/>
  <c r="AT984" i="8"/>
  <c r="AR984" i="8"/>
  <c r="AT983" i="8"/>
  <c r="AR983" i="8"/>
  <c r="AT982" i="8"/>
  <c r="AR982" i="8"/>
  <c r="AT981" i="8"/>
  <c r="AR981" i="8"/>
  <c r="AT980" i="8"/>
  <c r="AR980" i="8"/>
  <c r="AT979" i="8"/>
  <c r="AR979" i="8"/>
  <c r="AT978" i="8"/>
  <c r="AR978" i="8"/>
  <c r="AT977" i="8"/>
  <c r="AR977" i="8"/>
  <c r="AT976" i="8"/>
  <c r="AR976" i="8"/>
  <c r="AT975" i="8"/>
  <c r="AR975" i="8"/>
  <c r="AT974" i="8"/>
  <c r="AR974" i="8"/>
  <c r="AT973" i="8"/>
  <c r="AR973" i="8"/>
  <c r="AT972" i="8"/>
  <c r="AR972" i="8"/>
  <c r="AT971" i="8"/>
  <c r="AR971" i="8"/>
  <c r="AT970" i="8"/>
  <c r="AR970" i="8"/>
  <c r="AT969" i="8"/>
  <c r="AR969" i="8"/>
  <c r="AT968" i="8"/>
  <c r="AR968" i="8"/>
  <c r="AT967" i="8"/>
  <c r="AR967" i="8"/>
  <c r="AT966" i="8"/>
  <c r="AR966" i="8"/>
  <c r="AT965" i="8"/>
  <c r="AR965" i="8"/>
  <c r="AT964" i="8"/>
  <c r="AR964" i="8"/>
  <c r="AT963" i="8"/>
  <c r="AR963" i="8"/>
  <c r="AT962" i="8"/>
  <c r="AR962" i="8"/>
  <c r="AT961" i="8"/>
  <c r="AR961" i="8"/>
  <c r="AT960" i="8"/>
  <c r="AR960" i="8"/>
  <c r="AT959" i="8"/>
  <c r="AR959" i="8"/>
  <c r="AT958" i="8"/>
  <c r="AR958" i="8"/>
  <c r="AT957" i="8"/>
  <c r="AR957" i="8"/>
  <c r="AT956" i="8"/>
  <c r="AR956" i="8"/>
  <c r="AT955" i="8"/>
  <c r="AR955" i="8"/>
  <c r="AT954" i="8"/>
  <c r="AR954" i="8"/>
  <c r="AT953" i="8"/>
  <c r="AR953" i="8"/>
  <c r="AT952" i="8"/>
  <c r="AR952" i="8"/>
  <c r="AT951" i="8"/>
  <c r="AR951" i="8"/>
  <c r="AT950" i="8"/>
  <c r="AR950" i="8"/>
  <c r="AT949" i="8"/>
  <c r="AR949" i="8"/>
  <c r="AT948" i="8"/>
  <c r="AR948" i="8"/>
  <c r="AT947" i="8"/>
  <c r="AR947" i="8"/>
  <c r="AT946" i="8"/>
  <c r="AR946" i="8"/>
  <c r="AT945" i="8"/>
  <c r="AR945" i="8"/>
  <c r="AT944" i="8"/>
  <c r="AR944" i="8"/>
  <c r="AT943" i="8"/>
  <c r="AR943" i="8"/>
  <c r="AT942" i="8"/>
  <c r="AR942" i="8"/>
  <c r="AT941" i="8"/>
  <c r="AR941" i="8"/>
  <c r="AT940" i="8"/>
  <c r="AR940" i="8"/>
  <c r="AT939" i="8"/>
  <c r="AR939" i="8"/>
  <c r="AT938" i="8"/>
  <c r="AR938" i="8"/>
  <c r="AT937" i="8"/>
  <c r="AR937" i="8"/>
  <c r="AT936" i="8"/>
  <c r="AR936" i="8"/>
  <c r="AT935" i="8"/>
  <c r="AR935" i="8"/>
  <c r="AT934" i="8"/>
  <c r="AR934" i="8"/>
  <c r="AT933" i="8"/>
  <c r="AR933" i="8"/>
  <c r="AT932" i="8"/>
  <c r="AR932" i="8"/>
  <c r="AT931" i="8"/>
  <c r="AR931" i="8"/>
  <c r="AT930" i="8"/>
  <c r="AR930" i="8"/>
  <c r="AT929" i="8"/>
  <c r="AR929" i="8"/>
  <c r="AT928" i="8"/>
  <c r="AR928" i="8"/>
  <c r="AT927" i="8"/>
  <c r="AR927" i="8"/>
  <c r="AT926" i="8"/>
  <c r="AR926" i="8"/>
  <c r="AT925" i="8"/>
  <c r="AR925" i="8"/>
  <c r="AT924" i="8"/>
  <c r="AR924" i="8"/>
  <c r="AT923" i="8"/>
  <c r="AR923" i="8"/>
  <c r="AT922" i="8"/>
  <c r="AR922" i="8"/>
  <c r="AT921" i="8"/>
  <c r="AR921" i="8"/>
  <c r="AT920" i="8"/>
  <c r="AR920" i="8"/>
  <c r="AT919" i="8"/>
  <c r="AR919" i="8"/>
  <c r="AT918" i="8"/>
  <c r="AR918" i="8"/>
  <c r="AT917" i="8"/>
  <c r="AR917" i="8"/>
  <c r="AT916" i="8"/>
  <c r="AR916" i="8"/>
  <c r="AT915" i="8"/>
  <c r="AR915" i="8"/>
  <c r="AT914" i="8"/>
  <c r="AR914" i="8"/>
  <c r="AT913" i="8"/>
  <c r="AR913" i="8"/>
  <c r="AT912" i="8"/>
  <c r="AR912" i="8"/>
  <c r="AT911" i="8"/>
  <c r="AR911" i="8"/>
  <c r="AT910" i="8"/>
  <c r="AR910" i="8"/>
  <c r="AT909" i="8"/>
  <c r="AR909" i="8"/>
  <c r="AT908" i="8"/>
  <c r="AR908" i="8"/>
  <c r="AT907" i="8"/>
  <c r="AR907" i="8"/>
  <c r="AT906" i="8"/>
  <c r="AR906" i="8"/>
  <c r="AT905" i="8"/>
  <c r="AR905" i="8"/>
  <c r="AT904" i="8"/>
  <c r="AR904" i="8"/>
  <c r="AT903" i="8"/>
  <c r="AR903" i="8"/>
  <c r="AT902" i="8"/>
  <c r="AR902" i="8"/>
  <c r="AT901" i="8"/>
  <c r="AR901" i="8"/>
  <c r="AT900" i="8"/>
  <c r="AR900" i="8"/>
  <c r="AT899" i="8"/>
  <c r="AR899" i="8"/>
  <c r="AT898" i="8"/>
  <c r="AR898" i="8"/>
  <c r="AT897" i="8"/>
  <c r="AR897" i="8"/>
  <c r="AT896" i="8"/>
  <c r="AR896" i="8"/>
  <c r="AT895" i="8"/>
  <c r="AR895" i="8"/>
  <c r="AT894" i="8"/>
  <c r="AR894" i="8"/>
  <c r="AT893" i="8"/>
  <c r="AR893" i="8"/>
  <c r="AT892" i="8"/>
  <c r="AR892" i="8"/>
  <c r="AT891" i="8"/>
  <c r="AR891" i="8"/>
  <c r="AT890" i="8"/>
  <c r="AR890" i="8"/>
  <c r="AT889" i="8"/>
  <c r="AR889" i="8"/>
  <c r="AT888" i="8"/>
  <c r="AR888" i="8"/>
  <c r="AT887" i="8"/>
  <c r="AR887" i="8"/>
  <c r="AT886" i="8"/>
  <c r="AR886" i="8"/>
  <c r="AT885" i="8"/>
  <c r="AR885" i="8"/>
  <c r="AT884" i="8"/>
  <c r="AR884" i="8"/>
  <c r="AT883" i="8"/>
  <c r="AR883" i="8"/>
  <c r="AT882" i="8"/>
  <c r="AR882" i="8"/>
  <c r="AT881" i="8"/>
  <c r="AR881" i="8"/>
  <c r="AT880" i="8"/>
  <c r="AR880" i="8"/>
  <c r="AT879" i="8"/>
  <c r="AR879" i="8"/>
  <c r="AT878" i="8"/>
  <c r="AR878" i="8"/>
  <c r="AT877" i="8"/>
  <c r="AR877" i="8"/>
  <c r="AT876" i="8"/>
  <c r="AR876" i="8"/>
  <c r="AT875" i="8"/>
  <c r="AR875" i="8"/>
  <c r="AT874" i="8"/>
  <c r="AR874" i="8"/>
  <c r="AT873" i="8"/>
  <c r="AR873" i="8"/>
  <c r="AT872" i="8"/>
  <c r="AR872" i="8"/>
  <c r="AT871" i="8"/>
  <c r="AR871" i="8"/>
  <c r="AT870" i="8"/>
  <c r="AR870" i="8"/>
  <c r="AT869" i="8"/>
  <c r="AR869" i="8"/>
  <c r="AT868" i="8"/>
  <c r="AR868" i="8"/>
  <c r="AT867" i="8"/>
  <c r="AR867" i="8"/>
  <c r="AT866" i="8"/>
  <c r="AR866" i="8"/>
  <c r="AT865" i="8"/>
  <c r="AR865" i="8"/>
  <c r="AT864" i="8"/>
  <c r="AR864" i="8"/>
  <c r="AT863" i="8"/>
  <c r="AR863" i="8"/>
  <c r="AT862" i="8"/>
  <c r="AR862" i="8"/>
  <c r="AT861" i="8"/>
  <c r="AR861" i="8"/>
  <c r="AT860" i="8"/>
  <c r="AR860" i="8"/>
  <c r="AT859" i="8"/>
  <c r="AR859" i="8"/>
  <c r="AT858" i="8"/>
  <c r="AR858" i="8"/>
  <c r="AT857" i="8"/>
  <c r="AR857" i="8"/>
  <c r="AT856" i="8"/>
  <c r="AR856" i="8"/>
  <c r="AT855" i="8"/>
  <c r="AR855" i="8"/>
  <c r="AT854" i="8"/>
  <c r="AR854" i="8"/>
  <c r="AT853" i="8"/>
  <c r="AR853" i="8"/>
  <c r="AT852" i="8"/>
  <c r="AR852" i="8"/>
  <c r="AT851" i="8"/>
  <c r="AR851" i="8"/>
  <c r="AT850" i="8"/>
  <c r="AR850" i="8"/>
  <c r="AT849" i="8"/>
  <c r="AR849" i="8"/>
  <c r="AT848" i="8"/>
  <c r="AR848" i="8"/>
  <c r="AT847" i="8"/>
  <c r="AR847" i="8"/>
  <c r="AT846" i="8"/>
  <c r="AR846" i="8"/>
  <c r="AT845" i="8"/>
  <c r="AR845" i="8"/>
  <c r="AT844" i="8"/>
  <c r="AR844" i="8"/>
  <c r="AT843" i="8"/>
  <c r="AR843" i="8"/>
  <c r="AT842" i="8"/>
  <c r="AR842" i="8"/>
  <c r="AT841" i="8"/>
  <c r="AR841" i="8"/>
  <c r="AT840" i="8"/>
  <c r="AR840" i="8"/>
  <c r="AT839" i="8"/>
  <c r="AR839" i="8"/>
  <c r="AT838" i="8"/>
  <c r="AR838" i="8"/>
  <c r="AT837" i="8"/>
  <c r="AR837" i="8"/>
  <c r="AT836" i="8"/>
  <c r="AR836" i="8"/>
  <c r="AT835" i="8"/>
  <c r="AR835" i="8"/>
  <c r="AT834" i="8"/>
  <c r="AR834" i="8"/>
  <c r="AT833" i="8"/>
  <c r="AR833" i="8"/>
  <c r="AT832" i="8"/>
  <c r="AR832" i="8"/>
  <c r="AT831" i="8"/>
  <c r="AR831" i="8"/>
  <c r="AT830" i="8"/>
  <c r="AR830" i="8"/>
  <c r="AT829" i="8"/>
  <c r="AR829" i="8"/>
  <c r="AT828" i="8"/>
  <c r="AR828" i="8"/>
  <c r="AT827" i="8"/>
  <c r="AR827" i="8"/>
  <c r="AT826" i="8"/>
  <c r="AR826" i="8"/>
  <c r="AT825" i="8"/>
  <c r="AR825" i="8"/>
  <c r="AT824" i="8"/>
  <c r="AR824" i="8"/>
  <c r="AT823" i="8"/>
  <c r="AR823" i="8"/>
  <c r="AT822" i="8"/>
  <c r="AR822" i="8"/>
  <c r="AT821" i="8"/>
  <c r="AR821" i="8"/>
  <c r="AT820" i="8"/>
  <c r="AR820" i="8"/>
  <c r="AT819" i="8"/>
  <c r="AR819" i="8"/>
  <c r="AT818" i="8"/>
  <c r="AR818" i="8"/>
  <c r="AT817" i="8"/>
  <c r="AR817" i="8"/>
  <c r="AT816" i="8"/>
  <c r="AR816" i="8"/>
  <c r="AT815" i="8"/>
  <c r="AR815" i="8"/>
  <c r="AT814" i="8"/>
  <c r="AR814" i="8"/>
  <c r="AT813" i="8"/>
  <c r="AR813" i="8"/>
  <c r="AT812" i="8"/>
  <c r="AR812" i="8"/>
  <c r="AT811" i="8"/>
  <c r="AR811" i="8"/>
  <c r="AT810" i="8"/>
  <c r="AR810" i="8"/>
  <c r="AT809" i="8"/>
  <c r="AR809" i="8"/>
  <c r="AT808" i="8"/>
  <c r="AR808" i="8"/>
  <c r="AT807" i="8"/>
  <c r="AR807" i="8"/>
  <c r="AT806" i="8"/>
  <c r="AR806" i="8"/>
  <c r="AT805" i="8"/>
  <c r="AR805" i="8"/>
  <c r="AT804" i="8"/>
  <c r="AR804" i="8"/>
  <c r="AT803" i="8"/>
  <c r="AR803" i="8"/>
  <c r="AT802" i="8"/>
  <c r="AR802" i="8"/>
  <c r="AT801" i="8"/>
  <c r="AR801" i="8"/>
  <c r="AT800" i="8"/>
  <c r="AR800" i="8"/>
  <c r="AT799" i="8"/>
  <c r="AR799" i="8"/>
  <c r="AT798" i="8"/>
  <c r="AR798" i="8"/>
  <c r="AT797" i="8"/>
  <c r="AR797" i="8"/>
  <c r="AT796" i="8"/>
  <c r="AR796" i="8"/>
  <c r="AT795" i="8"/>
  <c r="AR795" i="8"/>
  <c r="AT794" i="8"/>
  <c r="AR794" i="8"/>
  <c r="AT793" i="8"/>
  <c r="AR793" i="8"/>
  <c r="AT792" i="8"/>
  <c r="AR792" i="8"/>
  <c r="AT791" i="8"/>
  <c r="AR791" i="8"/>
  <c r="AT790" i="8"/>
  <c r="AR790" i="8"/>
  <c r="AT789" i="8"/>
  <c r="AR789" i="8"/>
  <c r="AT788" i="8"/>
  <c r="AR788" i="8"/>
  <c r="AT787" i="8"/>
  <c r="AR787" i="8"/>
  <c r="AT786" i="8"/>
  <c r="AR786" i="8"/>
  <c r="AT785" i="8"/>
  <c r="AR785" i="8"/>
  <c r="AT784" i="8"/>
  <c r="AR784" i="8"/>
  <c r="AT783" i="8"/>
  <c r="AR783" i="8"/>
  <c r="AT782" i="8"/>
  <c r="AR782" i="8"/>
  <c r="AT781" i="8"/>
  <c r="AR781" i="8"/>
  <c r="AT780" i="8"/>
  <c r="AR780" i="8"/>
  <c r="AT779" i="8"/>
  <c r="AR779" i="8"/>
  <c r="AT778" i="8"/>
  <c r="AR778" i="8"/>
  <c r="AT777" i="8"/>
  <c r="AR777" i="8"/>
  <c r="AT776" i="8"/>
  <c r="AR776" i="8"/>
  <c r="AT775" i="8"/>
  <c r="AR775" i="8"/>
  <c r="AT774" i="8"/>
  <c r="AR774" i="8"/>
  <c r="AT773" i="8"/>
  <c r="AR773" i="8"/>
  <c r="AT772" i="8"/>
  <c r="AR772" i="8"/>
  <c r="AT771" i="8"/>
  <c r="AR771" i="8"/>
  <c r="AT770" i="8"/>
  <c r="AR770" i="8"/>
  <c r="AT769" i="8"/>
  <c r="AR769" i="8"/>
  <c r="AT768" i="8"/>
  <c r="AR768" i="8"/>
  <c r="AT767" i="8"/>
  <c r="AR767" i="8"/>
  <c r="AT766" i="8"/>
  <c r="AR766" i="8"/>
  <c r="AT765" i="8"/>
  <c r="AR765" i="8"/>
  <c r="AT764" i="8"/>
  <c r="AR764" i="8"/>
  <c r="AT763" i="8"/>
  <c r="AR763" i="8"/>
  <c r="AT762" i="8"/>
  <c r="AR762" i="8"/>
  <c r="AT761" i="8"/>
  <c r="AR761" i="8"/>
  <c r="AT760" i="8"/>
  <c r="AR760" i="8"/>
  <c r="AT759" i="8"/>
  <c r="AR759" i="8"/>
  <c r="AT758" i="8"/>
  <c r="AR758" i="8"/>
  <c r="AT757" i="8"/>
  <c r="AR757" i="8"/>
  <c r="AT756" i="8"/>
  <c r="AR756" i="8"/>
  <c r="AT755" i="8"/>
  <c r="AR755" i="8"/>
  <c r="AT754" i="8"/>
  <c r="AR754" i="8"/>
  <c r="AT753" i="8"/>
  <c r="AR753" i="8"/>
  <c r="AT752" i="8"/>
  <c r="AR752" i="8"/>
  <c r="AT751" i="8"/>
  <c r="AR751" i="8"/>
  <c r="AT750" i="8"/>
  <c r="AR750" i="8"/>
  <c r="AT749" i="8"/>
  <c r="AR749" i="8"/>
  <c r="AT748" i="8"/>
  <c r="AR748" i="8"/>
  <c r="AT747" i="8"/>
  <c r="AR747" i="8"/>
  <c r="AT746" i="8"/>
  <c r="AR746" i="8"/>
  <c r="AT745" i="8"/>
  <c r="AR745" i="8"/>
  <c r="AT744" i="8"/>
  <c r="AR744" i="8"/>
  <c r="AT743" i="8"/>
  <c r="AR743" i="8"/>
  <c r="AT742" i="8"/>
  <c r="AR742" i="8"/>
  <c r="AT741" i="8"/>
  <c r="AR741" i="8"/>
  <c r="AT740" i="8"/>
  <c r="AR740" i="8"/>
  <c r="AT739" i="8"/>
  <c r="AR739" i="8"/>
  <c r="AT738" i="8"/>
  <c r="AR738" i="8"/>
  <c r="AT737" i="8"/>
  <c r="AR737" i="8"/>
  <c r="AT736" i="8"/>
  <c r="AR736" i="8"/>
  <c r="AT735" i="8"/>
  <c r="AR735" i="8"/>
  <c r="AT734" i="8"/>
  <c r="AR734" i="8"/>
  <c r="AT733" i="8"/>
  <c r="AR733" i="8"/>
  <c r="AT732" i="8"/>
  <c r="AR732" i="8"/>
  <c r="AT731" i="8"/>
  <c r="AR731" i="8"/>
  <c r="AT730" i="8"/>
  <c r="AR730" i="8"/>
  <c r="AT729" i="8"/>
  <c r="AR729" i="8"/>
  <c r="AT728" i="8"/>
  <c r="AR728" i="8"/>
  <c r="AT727" i="8"/>
  <c r="AR727" i="8"/>
  <c r="AT726" i="8"/>
  <c r="AR726" i="8"/>
  <c r="AT725" i="8"/>
  <c r="AR725" i="8"/>
  <c r="AT724" i="8"/>
  <c r="AR724" i="8"/>
  <c r="AT723" i="8"/>
  <c r="AR723" i="8"/>
  <c r="AT722" i="8"/>
  <c r="AR722" i="8"/>
  <c r="AT721" i="8"/>
  <c r="AR721" i="8"/>
  <c r="AT720" i="8"/>
  <c r="AR720" i="8"/>
  <c r="AT719" i="8"/>
  <c r="AR719" i="8"/>
  <c r="AT718" i="8"/>
  <c r="AR718" i="8"/>
  <c r="AT717" i="8"/>
  <c r="AR717" i="8"/>
  <c r="AT716" i="8"/>
  <c r="AR716" i="8"/>
  <c r="AT715" i="8"/>
  <c r="AR715" i="8"/>
  <c r="AT714" i="8"/>
  <c r="AR714" i="8"/>
  <c r="AT713" i="8"/>
  <c r="AR713" i="8"/>
  <c r="AT712" i="8"/>
  <c r="AR712" i="8"/>
  <c r="AT711" i="8"/>
  <c r="AR711" i="8"/>
  <c r="AT710" i="8"/>
  <c r="AR710" i="8"/>
  <c r="AT709" i="8"/>
  <c r="AR709" i="8"/>
  <c r="AT708" i="8"/>
  <c r="AR708" i="8"/>
  <c r="AT707" i="8"/>
  <c r="AR707" i="8"/>
  <c r="AT706" i="8"/>
  <c r="AR706" i="8"/>
  <c r="AT705" i="8"/>
  <c r="AR705" i="8"/>
  <c r="AT704" i="8"/>
  <c r="AR704" i="8"/>
  <c r="AT703" i="8"/>
  <c r="AR703" i="8"/>
  <c r="AT702" i="8"/>
  <c r="AR702" i="8"/>
  <c r="AT701" i="8"/>
  <c r="AR701" i="8"/>
  <c r="AT700" i="8"/>
  <c r="AR700" i="8"/>
  <c r="AT699" i="8"/>
  <c r="AR699" i="8"/>
  <c r="AT698" i="8"/>
  <c r="AR698" i="8"/>
  <c r="AT697" i="8"/>
  <c r="AR697" i="8"/>
  <c r="AT696" i="8"/>
  <c r="AR696" i="8"/>
  <c r="AT695" i="8"/>
  <c r="AR695" i="8"/>
  <c r="AT694" i="8"/>
  <c r="AR694" i="8"/>
  <c r="AT693" i="8"/>
  <c r="AR693" i="8"/>
  <c r="AT692" i="8"/>
  <c r="AR692" i="8"/>
  <c r="AT691" i="8"/>
  <c r="AR691" i="8"/>
  <c r="AT690" i="8"/>
  <c r="AR690" i="8"/>
  <c r="AT689" i="8"/>
  <c r="AR689" i="8"/>
  <c r="AT688" i="8"/>
  <c r="AR688" i="8"/>
  <c r="AT687" i="8"/>
  <c r="AR687" i="8"/>
  <c r="AT686" i="8"/>
  <c r="AR686" i="8"/>
  <c r="AT685" i="8"/>
  <c r="AR685" i="8"/>
  <c r="AT684" i="8"/>
  <c r="AR684" i="8"/>
  <c r="AT683" i="8"/>
  <c r="AR683" i="8"/>
  <c r="AT682" i="8"/>
  <c r="AR682" i="8"/>
  <c r="AT681" i="8"/>
  <c r="AR681" i="8"/>
  <c r="AT680" i="8"/>
  <c r="AR680" i="8"/>
  <c r="AT679" i="8"/>
  <c r="AR679" i="8"/>
  <c r="AT678" i="8"/>
  <c r="AR678" i="8"/>
  <c r="AT677" i="8"/>
  <c r="AR677" i="8"/>
  <c r="AT676" i="8"/>
  <c r="AR676" i="8"/>
  <c r="AT675" i="8"/>
  <c r="AR675" i="8"/>
  <c r="AT674" i="8"/>
  <c r="AR674" i="8"/>
  <c r="AT673" i="8"/>
  <c r="AR673" i="8"/>
  <c r="AT672" i="8"/>
  <c r="AR672" i="8"/>
  <c r="AT671" i="8"/>
  <c r="AR671" i="8"/>
  <c r="AT670" i="8"/>
  <c r="AR670" i="8"/>
  <c r="AT669" i="8"/>
  <c r="AR669" i="8"/>
  <c r="AT668" i="8"/>
  <c r="AR668" i="8"/>
  <c r="AT667" i="8"/>
  <c r="AR667" i="8"/>
  <c r="AT666" i="8"/>
  <c r="AR666" i="8"/>
  <c r="AT665" i="8"/>
  <c r="AR665" i="8"/>
  <c r="AT664" i="8"/>
  <c r="AR664" i="8"/>
  <c r="AT663" i="8"/>
  <c r="AR663" i="8"/>
  <c r="AT662" i="8"/>
  <c r="AR662" i="8"/>
  <c r="AT661" i="8"/>
  <c r="AR661" i="8"/>
  <c r="AT660" i="8"/>
  <c r="AR660" i="8"/>
  <c r="AT659" i="8"/>
  <c r="AR659" i="8"/>
  <c r="AT658" i="8"/>
  <c r="AR658" i="8"/>
  <c r="AT657" i="8"/>
  <c r="AR657" i="8"/>
  <c r="AT656" i="8"/>
  <c r="AR656" i="8"/>
  <c r="AT655" i="8"/>
  <c r="AR655" i="8"/>
  <c r="AT654" i="8"/>
  <c r="AR654" i="8"/>
  <c r="AT653" i="8"/>
  <c r="AR653" i="8"/>
  <c r="AT652" i="8"/>
  <c r="AR652" i="8"/>
  <c r="AT651" i="8"/>
  <c r="AR651" i="8"/>
  <c r="AT650" i="8"/>
  <c r="AR650" i="8"/>
  <c r="AT649" i="8"/>
  <c r="AR649" i="8"/>
  <c r="AT648" i="8"/>
  <c r="AR648" i="8"/>
  <c r="AT647" i="8"/>
  <c r="AR647" i="8"/>
  <c r="AT646" i="8"/>
  <c r="AR646" i="8"/>
  <c r="AT645" i="8"/>
  <c r="AR645" i="8"/>
  <c r="AT644" i="8"/>
  <c r="AR644" i="8"/>
  <c r="AT643" i="8"/>
  <c r="AR643" i="8"/>
  <c r="AT642" i="8"/>
  <c r="AR642" i="8"/>
  <c r="AT641" i="8"/>
  <c r="AR641" i="8"/>
  <c r="AT640" i="8"/>
  <c r="AR640" i="8"/>
  <c r="AT639" i="8"/>
  <c r="AR639" i="8"/>
  <c r="AT638" i="8"/>
  <c r="AR638" i="8"/>
  <c r="AT637" i="8"/>
  <c r="AR637" i="8"/>
  <c r="AT636" i="8"/>
  <c r="AR636" i="8"/>
  <c r="AT635" i="8"/>
  <c r="AR635" i="8"/>
  <c r="AT634" i="8"/>
  <c r="AR634" i="8"/>
  <c r="AT633" i="8"/>
  <c r="AR633" i="8"/>
  <c r="AT632" i="8"/>
  <c r="AR632" i="8"/>
  <c r="AT631" i="8"/>
  <c r="AR631" i="8"/>
  <c r="AT630" i="8"/>
  <c r="AR630" i="8"/>
  <c r="AT629" i="8"/>
  <c r="AR629" i="8"/>
  <c r="AT628" i="8"/>
  <c r="AR628" i="8"/>
  <c r="AT627" i="8"/>
  <c r="AR627" i="8"/>
  <c r="AT626" i="8"/>
  <c r="AR626" i="8"/>
  <c r="AT625" i="8"/>
  <c r="AR625" i="8"/>
  <c r="AT624" i="8"/>
  <c r="AR624" i="8"/>
  <c r="AT623" i="8"/>
  <c r="AR623" i="8"/>
  <c r="AT622" i="8"/>
  <c r="AR622" i="8"/>
  <c r="AT621" i="8"/>
  <c r="AR621" i="8"/>
  <c r="AT620" i="8"/>
  <c r="AR620" i="8"/>
  <c r="AT619" i="8"/>
  <c r="AR619" i="8"/>
  <c r="AT618" i="8"/>
  <c r="AR618" i="8"/>
  <c r="AT617" i="8"/>
  <c r="AR617" i="8"/>
  <c r="AT616" i="8"/>
  <c r="AR616" i="8"/>
  <c r="AT615" i="8"/>
  <c r="AR615" i="8"/>
  <c r="AT614" i="8"/>
  <c r="AR614" i="8"/>
  <c r="AT613" i="8"/>
  <c r="AR613" i="8"/>
  <c r="AT612" i="8"/>
  <c r="AR612" i="8"/>
  <c r="AT611" i="8"/>
  <c r="AR611" i="8"/>
  <c r="AT610" i="8"/>
  <c r="AR610" i="8"/>
  <c r="AT609" i="8"/>
  <c r="AR609" i="8"/>
  <c r="AT608" i="8"/>
  <c r="AR608" i="8"/>
  <c r="AT607" i="8"/>
  <c r="AR607" i="8"/>
  <c r="AT606" i="8"/>
  <c r="AR606" i="8"/>
  <c r="AT605" i="8"/>
  <c r="AR605" i="8"/>
  <c r="AT604" i="8"/>
  <c r="AR604" i="8"/>
  <c r="AT603" i="8"/>
  <c r="AR603" i="8"/>
  <c r="AT602" i="8"/>
  <c r="AR602" i="8"/>
  <c r="AT601" i="8"/>
  <c r="AR601" i="8"/>
  <c r="AT600" i="8"/>
  <c r="AR600" i="8"/>
  <c r="AT599" i="8"/>
  <c r="AR599" i="8"/>
  <c r="AT598" i="8"/>
  <c r="AR598" i="8"/>
  <c r="AT597" i="8"/>
  <c r="AR597" i="8"/>
  <c r="AT596" i="8"/>
  <c r="AR596" i="8"/>
  <c r="AT595" i="8"/>
  <c r="AR595" i="8"/>
  <c r="AT594" i="8"/>
  <c r="AR594" i="8"/>
  <c r="AT593" i="8"/>
  <c r="AR593" i="8"/>
  <c r="AT592" i="8"/>
  <c r="AR592" i="8"/>
  <c r="AT591" i="8"/>
  <c r="AR591" i="8"/>
  <c r="AT590" i="8"/>
  <c r="AR590" i="8"/>
  <c r="AT589" i="8"/>
  <c r="AR589" i="8"/>
  <c r="AT588" i="8"/>
  <c r="AR588" i="8"/>
  <c r="AT587" i="8"/>
  <c r="AR587" i="8"/>
  <c r="AT586" i="8"/>
  <c r="AR586" i="8"/>
  <c r="AT585" i="8"/>
  <c r="AR585" i="8"/>
  <c r="AT584" i="8"/>
  <c r="AR584" i="8"/>
  <c r="AT583" i="8"/>
  <c r="AR583" i="8"/>
  <c r="AT582" i="8"/>
  <c r="AR582" i="8"/>
  <c r="AT581" i="8"/>
  <c r="AR581" i="8"/>
  <c r="AT580" i="8"/>
  <c r="AR580" i="8"/>
  <c r="AT579" i="8"/>
  <c r="AR579" i="8"/>
  <c r="AT578" i="8"/>
  <c r="AR578" i="8"/>
  <c r="AT577" i="8"/>
  <c r="AR577" i="8"/>
  <c r="AT576" i="8"/>
  <c r="AR576" i="8"/>
  <c r="AT575" i="8"/>
  <c r="AR575" i="8"/>
  <c r="AT574" i="8"/>
  <c r="AR574" i="8"/>
  <c r="AT573" i="8"/>
  <c r="AR573" i="8"/>
  <c r="AT572" i="8"/>
  <c r="AR572" i="8"/>
  <c r="AT571" i="8"/>
  <c r="AR571" i="8"/>
  <c r="AT570" i="8"/>
  <c r="AR570" i="8"/>
  <c r="AT569" i="8"/>
  <c r="AR569" i="8"/>
  <c r="AT568" i="8"/>
  <c r="AR568" i="8"/>
  <c r="AT567" i="8"/>
  <c r="AR567" i="8"/>
  <c r="AT566" i="8"/>
  <c r="AR566" i="8"/>
  <c r="AT565" i="8"/>
  <c r="AR565" i="8"/>
  <c r="AT564" i="8"/>
  <c r="AR564" i="8"/>
  <c r="AT563" i="8"/>
  <c r="AR563" i="8"/>
  <c r="AT562" i="8"/>
  <c r="AR562" i="8"/>
  <c r="AT561" i="8"/>
  <c r="AR561" i="8"/>
  <c r="AT560" i="8"/>
  <c r="AR560" i="8"/>
  <c r="AT559" i="8"/>
  <c r="AR559" i="8"/>
  <c r="AT558" i="8"/>
  <c r="AR558" i="8"/>
  <c r="AT557" i="8"/>
  <c r="AR557" i="8"/>
  <c r="AT556" i="8"/>
  <c r="AR556" i="8"/>
  <c r="AT555" i="8"/>
  <c r="AR555" i="8"/>
  <c r="AT554" i="8"/>
  <c r="AR554" i="8"/>
  <c r="AT553" i="8"/>
  <c r="AR553" i="8"/>
  <c r="AT552" i="8"/>
  <c r="AR552" i="8"/>
  <c r="AT551" i="8"/>
  <c r="AR551" i="8"/>
  <c r="AT550" i="8"/>
  <c r="AR550" i="8"/>
  <c r="AT549" i="8"/>
  <c r="AR549" i="8"/>
  <c r="AT548" i="8"/>
  <c r="AR548" i="8"/>
  <c r="AT547" i="8"/>
  <c r="AR547" i="8"/>
  <c r="AT546" i="8"/>
  <c r="AR546" i="8"/>
  <c r="AT545" i="8"/>
  <c r="AR545" i="8"/>
  <c r="AT544" i="8"/>
  <c r="AR544" i="8"/>
  <c r="AT543" i="8"/>
  <c r="AR543" i="8"/>
  <c r="AT542" i="8"/>
  <c r="AR542" i="8"/>
  <c r="AT541" i="8"/>
  <c r="AR541" i="8"/>
  <c r="AT540" i="8"/>
  <c r="AR540" i="8"/>
  <c r="AT539" i="8"/>
  <c r="AR539" i="8"/>
  <c r="AT538" i="8"/>
  <c r="AR538" i="8"/>
  <c r="AT537" i="8"/>
  <c r="AR537" i="8"/>
  <c r="AT536" i="8"/>
  <c r="AR536" i="8"/>
  <c r="AT535" i="8"/>
  <c r="AR535" i="8"/>
  <c r="AT534" i="8"/>
  <c r="AR534" i="8"/>
  <c r="AT533" i="8"/>
  <c r="AR533" i="8"/>
  <c r="AT532" i="8"/>
  <c r="AR532" i="8"/>
  <c r="AT531" i="8"/>
  <c r="AR531" i="8"/>
  <c r="AT530" i="8"/>
  <c r="AR530" i="8"/>
  <c r="AT529" i="8"/>
  <c r="AR529" i="8"/>
  <c r="AT528" i="8"/>
  <c r="AR528" i="8"/>
  <c r="AT527" i="8"/>
  <c r="AR527" i="8"/>
  <c r="AT526" i="8"/>
  <c r="AR526" i="8"/>
  <c r="AT525" i="8"/>
  <c r="AR525" i="8"/>
  <c r="AT524" i="8"/>
  <c r="AR524" i="8"/>
  <c r="AT523" i="8"/>
  <c r="AR523" i="8"/>
  <c r="AT522" i="8"/>
  <c r="AR522" i="8"/>
  <c r="AT521" i="8"/>
  <c r="AR521" i="8"/>
  <c r="AT520" i="8"/>
  <c r="AR520" i="8"/>
  <c r="AT519" i="8"/>
  <c r="AR519" i="8"/>
  <c r="AT518" i="8"/>
  <c r="AR518" i="8"/>
  <c r="AT517" i="8"/>
  <c r="AR517" i="8"/>
  <c r="AT516" i="8"/>
  <c r="AR516" i="8"/>
  <c r="AT515" i="8"/>
  <c r="AR515" i="8"/>
  <c r="AT514" i="8"/>
  <c r="AR514" i="8"/>
  <c r="AT513" i="8"/>
  <c r="AR513" i="8"/>
  <c r="AT512" i="8"/>
  <c r="AR512" i="8"/>
  <c r="AT511" i="8"/>
  <c r="AR511" i="8"/>
  <c r="AT510" i="8"/>
  <c r="AR510" i="8"/>
  <c r="AT509" i="8"/>
  <c r="AR509" i="8"/>
  <c r="AT508" i="8"/>
  <c r="AR508" i="8"/>
  <c r="AT507" i="8"/>
  <c r="AR507" i="8"/>
  <c r="AT506" i="8"/>
  <c r="AR506" i="8"/>
  <c r="AT505" i="8"/>
  <c r="AR505" i="8"/>
  <c r="AT504" i="8"/>
  <c r="AR504" i="8"/>
  <c r="AT503" i="8"/>
  <c r="AR503" i="8"/>
  <c r="AT502" i="8"/>
  <c r="AR502" i="8"/>
  <c r="AT501" i="8"/>
  <c r="AR501" i="8"/>
  <c r="AT500" i="8"/>
  <c r="AR500" i="8"/>
  <c r="AT499" i="8"/>
  <c r="AR499" i="8"/>
  <c r="AT498" i="8"/>
  <c r="AR498" i="8"/>
  <c r="AT497" i="8"/>
  <c r="AR497" i="8"/>
  <c r="AT496" i="8"/>
  <c r="AR496" i="8"/>
  <c r="AT495" i="8"/>
  <c r="AR495" i="8"/>
  <c r="AT494" i="8"/>
  <c r="AR494" i="8"/>
  <c r="AT493" i="8"/>
  <c r="AR493" i="8"/>
  <c r="AT492" i="8"/>
  <c r="AR492" i="8"/>
  <c r="AT491" i="8"/>
  <c r="AR491" i="8"/>
  <c r="AT490" i="8"/>
  <c r="AR490" i="8"/>
  <c r="AT489" i="8"/>
  <c r="AR489" i="8"/>
  <c r="AT488" i="8"/>
  <c r="AR488" i="8"/>
  <c r="AT487" i="8"/>
  <c r="AR487" i="8"/>
  <c r="AT486" i="8"/>
  <c r="AR486" i="8"/>
  <c r="AT485" i="8"/>
  <c r="AR485" i="8"/>
  <c r="AT484" i="8"/>
  <c r="AR484" i="8"/>
  <c r="AT483" i="8"/>
  <c r="AR483" i="8"/>
  <c r="AT482" i="8"/>
  <c r="AR482" i="8"/>
  <c r="AT481" i="8"/>
  <c r="AR481" i="8"/>
  <c r="AT480" i="8"/>
  <c r="AR480" i="8"/>
  <c r="AT479" i="8"/>
  <c r="AR479" i="8"/>
  <c r="AT478" i="8"/>
  <c r="AR478" i="8"/>
  <c r="AT477" i="8"/>
  <c r="AR477" i="8"/>
  <c r="AT476" i="8"/>
  <c r="AR476" i="8"/>
  <c r="AT475" i="8"/>
  <c r="AR475" i="8"/>
  <c r="AT474" i="8"/>
  <c r="AR474" i="8"/>
  <c r="AT473" i="8"/>
  <c r="AR473" i="8"/>
  <c r="AT472" i="8"/>
  <c r="AR472" i="8"/>
  <c r="AT471" i="8"/>
  <c r="AR471" i="8"/>
  <c r="AT470" i="8"/>
  <c r="AR470" i="8"/>
  <c r="AT469" i="8"/>
  <c r="AR469" i="8"/>
  <c r="AT468" i="8"/>
  <c r="AR468" i="8"/>
  <c r="AT467" i="8"/>
  <c r="AR467" i="8"/>
  <c r="AT466" i="8"/>
  <c r="AR466" i="8"/>
  <c r="AT465" i="8"/>
  <c r="AR465" i="8"/>
  <c r="AT464" i="8"/>
  <c r="AR464" i="8"/>
  <c r="AT463" i="8"/>
  <c r="AR463" i="8"/>
  <c r="AT462" i="8"/>
  <c r="AR462" i="8"/>
  <c r="AT461" i="8"/>
  <c r="AR461" i="8"/>
  <c r="AT460" i="8"/>
  <c r="AR460" i="8"/>
  <c r="AT459" i="8"/>
  <c r="AR459" i="8"/>
  <c r="AT458" i="8"/>
  <c r="AR458" i="8"/>
  <c r="AT457" i="8"/>
  <c r="AR457" i="8"/>
  <c r="AT456" i="8"/>
  <c r="AR456" i="8"/>
  <c r="AT455" i="8"/>
  <c r="AR455" i="8"/>
  <c r="AT454" i="8"/>
  <c r="AR454" i="8"/>
  <c r="AT453" i="8"/>
  <c r="AR453" i="8"/>
  <c r="AT452" i="8"/>
  <c r="AR452" i="8"/>
  <c r="AT451" i="8"/>
  <c r="AR451" i="8"/>
  <c r="AT450" i="8"/>
  <c r="AR450" i="8"/>
  <c r="AT449" i="8"/>
  <c r="AR449" i="8"/>
  <c r="AT448" i="8"/>
  <c r="AR448" i="8"/>
  <c r="AT447" i="8"/>
  <c r="AR447" i="8"/>
  <c r="AT446" i="8"/>
  <c r="AR446" i="8"/>
  <c r="AT445" i="8"/>
  <c r="AR445" i="8"/>
  <c r="AT444" i="8"/>
  <c r="AR444" i="8"/>
  <c r="AT443" i="8"/>
  <c r="AR443" i="8"/>
  <c r="AT442" i="8"/>
  <c r="AR442" i="8"/>
  <c r="AT441" i="8"/>
  <c r="AR441" i="8"/>
  <c r="AT440" i="8"/>
  <c r="AR440" i="8"/>
  <c r="AT439" i="8"/>
  <c r="AR439" i="8"/>
  <c r="AT438" i="8"/>
  <c r="AR438" i="8"/>
  <c r="AT437" i="8"/>
  <c r="AR437" i="8"/>
  <c r="AT436" i="8"/>
  <c r="AR436" i="8"/>
  <c r="AT435" i="8"/>
  <c r="AR435" i="8"/>
  <c r="AT434" i="8"/>
  <c r="AR434" i="8"/>
  <c r="AT433" i="8"/>
  <c r="AR433" i="8"/>
  <c r="AT432" i="8"/>
  <c r="AR432" i="8"/>
  <c r="AT431" i="8"/>
  <c r="AR431" i="8"/>
  <c r="AT430" i="8"/>
  <c r="AR430" i="8"/>
  <c r="AT429" i="8"/>
  <c r="AR429" i="8"/>
  <c r="AT428" i="8"/>
  <c r="AR428" i="8"/>
  <c r="AT427" i="8"/>
  <c r="AR427" i="8"/>
  <c r="AT426" i="8"/>
  <c r="AR426" i="8"/>
  <c r="AT425" i="8"/>
  <c r="AR425" i="8"/>
  <c r="AT424" i="8"/>
  <c r="AR424" i="8"/>
  <c r="AT423" i="8"/>
  <c r="AR423" i="8"/>
  <c r="AT422" i="8"/>
  <c r="AR422" i="8"/>
  <c r="AT421" i="8"/>
  <c r="AR421" i="8"/>
  <c r="AT420" i="8"/>
  <c r="AR420" i="8"/>
  <c r="AT419" i="8"/>
  <c r="AR419" i="8"/>
  <c r="AT418" i="8"/>
  <c r="AR418" i="8"/>
  <c r="AT417" i="8"/>
  <c r="AR417" i="8"/>
  <c r="AT416" i="8"/>
  <c r="AR416" i="8"/>
  <c r="AT415" i="8"/>
  <c r="AR415" i="8"/>
  <c r="AT414" i="8"/>
  <c r="AR414" i="8"/>
  <c r="AT413" i="8"/>
  <c r="AR413" i="8"/>
  <c r="AT412" i="8"/>
  <c r="AR412" i="8"/>
  <c r="AT411" i="8"/>
  <c r="AR411" i="8"/>
  <c r="AT410" i="8"/>
  <c r="AR410" i="8"/>
  <c r="AT409" i="8"/>
  <c r="AR409" i="8"/>
  <c r="AT408" i="8"/>
  <c r="AR408" i="8"/>
  <c r="AT407" i="8"/>
  <c r="AR407" i="8"/>
  <c r="AT406" i="8"/>
  <c r="AR406" i="8"/>
  <c r="AT405" i="8"/>
  <c r="AR405" i="8"/>
  <c r="AT404" i="8"/>
  <c r="AR404" i="8"/>
  <c r="AT403" i="8"/>
  <c r="AR403" i="8"/>
  <c r="AT402" i="8"/>
  <c r="AR402" i="8"/>
  <c r="AT401" i="8"/>
  <c r="AR401" i="8"/>
  <c r="AT400" i="8"/>
  <c r="AR400" i="8"/>
  <c r="AT399" i="8"/>
  <c r="AR399" i="8"/>
  <c r="AT398" i="8"/>
  <c r="AR398" i="8"/>
  <c r="AT397" i="8"/>
  <c r="AR397" i="8"/>
  <c r="AT396" i="8"/>
  <c r="AR396" i="8"/>
  <c r="AT395" i="8"/>
  <c r="AR395" i="8"/>
  <c r="AT394" i="8"/>
  <c r="AR394" i="8"/>
  <c r="AT393" i="8"/>
  <c r="AR393" i="8"/>
  <c r="AT392" i="8"/>
  <c r="AR392" i="8"/>
  <c r="AT391" i="8"/>
  <c r="AR391" i="8"/>
  <c r="AT390" i="8"/>
  <c r="AR390" i="8"/>
  <c r="AT389" i="8"/>
  <c r="AR389" i="8"/>
  <c r="AT388" i="8"/>
  <c r="AR388" i="8"/>
  <c r="AT387" i="8"/>
  <c r="AR387" i="8"/>
  <c r="AT386" i="8"/>
  <c r="AR386" i="8"/>
  <c r="AT385" i="8"/>
  <c r="AR385" i="8"/>
  <c r="AT384" i="8"/>
  <c r="AR384" i="8"/>
  <c r="AT383" i="8"/>
  <c r="AR383" i="8"/>
  <c r="AT382" i="8"/>
  <c r="AR382" i="8"/>
  <c r="AT381" i="8"/>
  <c r="AR381" i="8"/>
  <c r="AT380" i="8"/>
  <c r="AR380" i="8"/>
  <c r="AT379" i="8"/>
  <c r="AR379" i="8"/>
  <c r="AT378" i="8"/>
  <c r="AR378" i="8"/>
  <c r="AT377" i="8"/>
  <c r="AR377" i="8"/>
  <c r="AT376" i="8"/>
  <c r="AR376" i="8"/>
  <c r="AT375" i="8"/>
  <c r="AR375" i="8"/>
  <c r="AT374" i="8"/>
  <c r="AR374" i="8"/>
  <c r="AT373" i="8"/>
  <c r="AR373" i="8"/>
  <c r="AT372" i="8"/>
  <c r="AR372" i="8"/>
  <c r="AT371" i="8"/>
  <c r="AR371" i="8"/>
  <c r="AT370" i="8"/>
  <c r="AR370" i="8"/>
  <c r="AT369" i="8"/>
  <c r="AR369" i="8"/>
  <c r="AT368" i="8"/>
  <c r="AR368" i="8"/>
  <c r="AT367" i="8"/>
  <c r="AR367" i="8"/>
  <c r="AT366" i="8"/>
  <c r="AR366" i="8"/>
  <c r="AT365" i="8"/>
  <c r="AR365" i="8"/>
  <c r="AT364" i="8"/>
  <c r="AR364" i="8"/>
  <c r="AT363" i="8"/>
  <c r="AR363" i="8"/>
  <c r="AT362" i="8"/>
  <c r="AR362" i="8"/>
  <c r="AT361" i="8"/>
  <c r="AR361" i="8"/>
  <c r="AT360" i="8"/>
  <c r="AR360" i="8"/>
  <c r="AT359" i="8"/>
  <c r="AR359" i="8"/>
  <c r="AT358" i="8"/>
  <c r="AR358" i="8"/>
  <c r="AT357" i="8"/>
  <c r="AR357" i="8"/>
  <c r="AT356" i="8"/>
  <c r="AR356" i="8"/>
  <c r="AT355" i="8"/>
  <c r="AR355" i="8"/>
  <c r="AT354" i="8"/>
  <c r="AR354" i="8"/>
  <c r="AT353" i="8"/>
  <c r="AR353" i="8"/>
  <c r="AT352" i="8"/>
  <c r="AR352" i="8"/>
  <c r="AT351" i="8"/>
  <c r="AR351" i="8"/>
  <c r="AT350" i="8"/>
  <c r="AR350" i="8"/>
  <c r="AT349" i="8"/>
  <c r="AR349" i="8"/>
  <c r="AT348" i="8"/>
  <c r="AR348" i="8"/>
  <c r="AT347" i="8"/>
  <c r="AR347" i="8"/>
  <c r="AT346" i="8"/>
  <c r="AR346" i="8"/>
  <c r="AT345" i="8"/>
  <c r="AR345" i="8"/>
  <c r="AT344" i="8"/>
  <c r="AR344" i="8"/>
  <c r="AT343" i="8"/>
  <c r="AR343" i="8"/>
  <c r="AT342" i="8"/>
  <c r="AR342" i="8"/>
  <c r="AT341" i="8"/>
  <c r="AR341" i="8"/>
  <c r="AT340" i="8"/>
  <c r="AR340" i="8"/>
  <c r="AT339" i="8"/>
  <c r="AR339" i="8"/>
  <c r="AT338" i="8"/>
  <c r="AR338" i="8"/>
  <c r="AT337" i="8"/>
  <c r="AR337" i="8"/>
  <c r="AT336" i="8"/>
  <c r="AR336" i="8"/>
  <c r="AT335" i="8"/>
  <c r="AR335" i="8"/>
  <c r="AT334" i="8"/>
  <c r="AR334" i="8"/>
  <c r="AT333" i="8"/>
  <c r="AR333" i="8"/>
  <c r="AT332" i="8"/>
  <c r="AR332" i="8"/>
  <c r="AT331" i="8"/>
  <c r="AR331" i="8"/>
  <c r="AT330" i="8"/>
  <c r="AR330" i="8"/>
  <c r="AT329" i="8"/>
  <c r="AR329" i="8"/>
  <c r="AT328" i="8"/>
  <c r="AR328" i="8"/>
  <c r="AT327" i="8"/>
  <c r="AR327" i="8"/>
  <c r="AT326" i="8"/>
  <c r="AR326" i="8"/>
  <c r="AT325" i="8"/>
  <c r="AR325" i="8"/>
  <c r="AT324" i="8"/>
  <c r="AR324" i="8"/>
  <c r="AT323" i="8"/>
  <c r="AR323" i="8"/>
  <c r="AT322" i="8"/>
  <c r="AR322" i="8"/>
  <c r="AT321" i="8"/>
  <c r="AR321" i="8"/>
  <c r="AT320" i="8"/>
  <c r="AR320" i="8"/>
  <c r="AT319" i="8"/>
  <c r="AR319" i="8"/>
  <c r="AT318" i="8"/>
  <c r="AR318" i="8"/>
  <c r="AT317" i="8"/>
  <c r="AR317" i="8"/>
  <c r="AT316" i="8"/>
  <c r="AR316" i="8"/>
  <c r="AT315" i="8"/>
  <c r="AR315" i="8"/>
  <c r="AT314" i="8"/>
  <c r="AR314" i="8"/>
  <c r="AT313" i="8"/>
  <c r="AR313" i="8"/>
  <c r="AT312" i="8"/>
  <c r="AR312" i="8"/>
  <c r="AT311" i="8"/>
  <c r="AR311" i="8"/>
  <c r="AT310" i="8"/>
  <c r="AR310" i="8"/>
  <c r="AT309" i="8"/>
  <c r="AR309" i="8"/>
  <c r="AT308" i="8"/>
  <c r="AR308" i="8"/>
  <c r="AT307" i="8"/>
  <c r="AR307" i="8"/>
  <c r="AT306" i="8"/>
  <c r="AR306" i="8"/>
  <c r="AT305" i="8"/>
  <c r="AR305" i="8"/>
  <c r="AT304" i="8"/>
  <c r="AR304" i="8"/>
  <c r="AT303" i="8"/>
  <c r="AR303" i="8"/>
  <c r="AT302" i="8"/>
  <c r="AR302" i="8"/>
  <c r="AT301" i="8"/>
  <c r="AR301" i="8"/>
  <c r="AT300" i="8"/>
  <c r="AR300" i="8"/>
  <c r="AT299" i="8"/>
  <c r="AR299" i="8"/>
  <c r="AT298" i="8"/>
  <c r="AR298" i="8"/>
  <c r="AT297" i="8"/>
  <c r="AR297" i="8"/>
  <c r="AT296" i="8"/>
  <c r="AR296" i="8"/>
  <c r="AT295" i="8"/>
  <c r="AR295" i="8"/>
  <c r="AT294" i="8"/>
  <c r="AR294" i="8"/>
  <c r="AT293" i="8"/>
  <c r="AR293" i="8"/>
  <c r="AT292" i="8"/>
  <c r="AR292" i="8"/>
  <c r="AT291" i="8"/>
  <c r="AR291" i="8"/>
  <c r="AT290" i="8"/>
  <c r="AR290" i="8"/>
  <c r="AT289" i="8"/>
  <c r="AR289" i="8"/>
  <c r="AT288" i="8"/>
  <c r="AR288" i="8"/>
  <c r="AT287" i="8"/>
  <c r="AR287" i="8"/>
  <c r="AT286" i="8"/>
  <c r="AR286" i="8"/>
  <c r="AT285" i="8"/>
  <c r="AR285" i="8"/>
  <c r="AT284" i="8"/>
  <c r="AR284" i="8"/>
  <c r="AT283" i="8"/>
  <c r="AR283" i="8"/>
  <c r="AT282" i="8"/>
  <c r="AR282" i="8"/>
  <c r="AT281" i="8"/>
  <c r="AR281" i="8"/>
  <c r="AT280" i="8"/>
  <c r="AR280" i="8"/>
  <c r="AT279" i="8"/>
  <c r="AR279" i="8"/>
  <c r="AT278" i="8"/>
  <c r="AR278" i="8"/>
  <c r="AT277" i="8"/>
  <c r="AR277" i="8"/>
  <c r="AT276" i="8"/>
  <c r="AR276" i="8"/>
  <c r="AT275" i="8"/>
  <c r="AR275" i="8"/>
  <c r="AT274" i="8"/>
  <c r="AR274" i="8"/>
  <c r="AT273" i="8"/>
  <c r="AR273" i="8"/>
  <c r="AT272" i="8"/>
  <c r="AR272" i="8"/>
  <c r="AT271" i="8"/>
  <c r="AR271" i="8"/>
  <c r="AT270" i="8"/>
  <c r="AR270" i="8"/>
  <c r="AT269" i="8"/>
  <c r="AR269" i="8"/>
  <c r="AT268" i="8"/>
  <c r="AR268" i="8"/>
  <c r="AT267" i="8"/>
  <c r="AR267" i="8"/>
  <c r="AT266" i="8"/>
  <c r="AR266" i="8"/>
  <c r="AT265" i="8"/>
  <c r="AR265" i="8"/>
  <c r="AT264" i="8"/>
  <c r="AR264" i="8"/>
  <c r="AT263" i="8"/>
  <c r="AR263" i="8"/>
  <c r="AT262" i="8"/>
  <c r="AR262" i="8"/>
  <c r="AT261" i="8"/>
  <c r="AR261" i="8"/>
  <c r="AT260" i="8"/>
  <c r="AR260" i="8"/>
  <c r="AT259" i="8"/>
  <c r="AR259" i="8"/>
  <c r="AT258" i="8"/>
  <c r="AR258" i="8"/>
  <c r="AT257" i="8"/>
  <c r="AR257" i="8"/>
  <c r="AT256" i="8"/>
  <c r="AR256" i="8"/>
  <c r="AT255" i="8"/>
  <c r="AR255" i="8"/>
  <c r="AT254" i="8"/>
  <c r="AR254" i="8"/>
  <c r="AT253" i="8"/>
  <c r="AR253" i="8"/>
  <c r="AT252" i="8"/>
  <c r="AR252" i="8"/>
  <c r="I250" i="5"/>
  <c r="AT251" i="8"/>
  <c r="F250" i="5"/>
  <c r="AR251" i="8"/>
  <c r="D250" i="5" s="1"/>
  <c r="K249" i="5"/>
  <c r="AT250" i="8"/>
  <c r="F249" i="5" s="1"/>
  <c r="AR250" i="8"/>
  <c r="D249" i="5" s="1"/>
  <c r="K248" i="5"/>
  <c r="AT249" i="8"/>
  <c r="F248" i="5"/>
  <c r="AR249" i="8"/>
  <c r="D248" i="5" s="1"/>
  <c r="K247" i="5"/>
  <c r="AT248" i="8"/>
  <c r="F247" i="5" s="1"/>
  <c r="AR248" i="8"/>
  <c r="D247" i="5"/>
  <c r="K246" i="5"/>
  <c r="AT247" i="8"/>
  <c r="F246" i="5" s="1"/>
  <c r="AR247" i="8"/>
  <c r="D246" i="5" s="1"/>
  <c r="I245" i="5"/>
  <c r="AT246" i="8"/>
  <c r="F245" i="5"/>
  <c r="AR246" i="8"/>
  <c r="D245" i="5" s="1"/>
  <c r="I244" i="5"/>
  <c r="AT245" i="8"/>
  <c r="F244" i="5"/>
  <c r="AR245" i="8"/>
  <c r="D244" i="5" s="1"/>
  <c r="I243" i="5"/>
  <c r="AT244" i="8"/>
  <c r="F243" i="5"/>
  <c r="AR244" i="8"/>
  <c r="D243" i="5" s="1"/>
  <c r="I242" i="5"/>
  <c r="AT243" i="8"/>
  <c r="F242" i="5" s="1"/>
  <c r="AR243" i="8"/>
  <c r="D242" i="5" s="1"/>
  <c r="I241" i="5"/>
  <c r="AT242" i="8"/>
  <c r="F241" i="5" s="1"/>
  <c r="AR242" i="8"/>
  <c r="D241" i="5"/>
  <c r="AT241" i="8"/>
  <c r="F240" i="5" s="1"/>
  <c r="AR241" i="8"/>
  <c r="D240" i="5" s="1"/>
  <c r="K239" i="5"/>
  <c r="AT240" i="8"/>
  <c r="F239" i="5"/>
  <c r="AR240" i="8"/>
  <c r="D239" i="5"/>
  <c r="AT239" i="8"/>
  <c r="F238" i="5" s="1"/>
  <c r="AR239" i="8"/>
  <c r="D238" i="5" s="1"/>
  <c r="K237" i="5"/>
  <c r="AT238" i="8"/>
  <c r="F237" i="5"/>
  <c r="AR238" i="8"/>
  <c r="D237" i="5"/>
  <c r="K236" i="5"/>
  <c r="AT237" i="8"/>
  <c r="F236" i="5" s="1"/>
  <c r="AR237" i="8"/>
  <c r="D236" i="5" s="1"/>
  <c r="I235" i="5"/>
  <c r="AT236" i="8"/>
  <c r="F235" i="5"/>
  <c r="AR236" i="8"/>
  <c r="D235" i="5"/>
  <c r="K234" i="5"/>
  <c r="AT235" i="8"/>
  <c r="F234" i="5" s="1"/>
  <c r="AR235" i="8"/>
  <c r="D234" i="5"/>
  <c r="I233" i="5"/>
  <c r="AT234" i="8"/>
  <c r="F233" i="5" s="1"/>
  <c r="AR234" i="8"/>
  <c r="D233" i="5"/>
  <c r="I232" i="5"/>
  <c r="AT233" i="8"/>
  <c r="F232" i="5" s="1"/>
  <c r="AR233" i="8"/>
  <c r="D232" i="5" s="1"/>
  <c r="K231" i="5"/>
  <c r="AT232" i="8"/>
  <c r="F231" i="5" s="1"/>
  <c r="AR232" i="8"/>
  <c r="D231" i="5" s="1"/>
  <c r="AT231" i="8"/>
  <c r="F230" i="5"/>
  <c r="AR231" i="8"/>
  <c r="D230" i="5"/>
  <c r="I229" i="5"/>
  <c r="AT230" i="8"/>
  <c r="F229" i="5" s="1"/>
  <c r="AR230" i="8"/>
  <c r="D229" i="5" s="1"/>
  <c r="AT229" i="8"/>
  <c r="F228" i="5" s="1"/>
  <c r="AR229" i="8"/>
  <c r="D228" i="5"/>
  <c r="I227" i="5"/>
  <c r="AT228" i="8"/>
  <c r="F227" i="5" s="1"/>
  <c r="AR228" i="8"/>
  <c r="D227" i="5"/>
  <c r="K226" i="5"/>
  <c r="AT227" i="8"/>
  <c r="F226" i="5" s="1"/>
  <c r="AR227" i="8"/>
  <c r="D226" i="5" s="1"/>
  <c r="K225" i="5"/>
  <c r="AT226" i="8"/>
  <c r="F225" i="5" s="1"/>
  <c r="AR226" i="8"/>
  <c r="D225" i="5" s="1"/>
  <c r="K224" i="5"/>
  <c r="AT225" i="8"/>
  <c r="F224" i="5"/>
  <c r="AR225" i="8"/>
  <c r="D224" i="5" s="1"/>
  <c r="I223" i="5"/>
  <c r="AT224" i="8"/>
  <c r="F223" i="5"/>
  <c r="AR224" i="8"/>
  <c r="D223" i="5" s="1"/>
  <c r="K222" i="5"/>
  <c r="AT223" i="8"/>
  <c r="F222" i="5" s="1"/>
  <c r="AR223" i="8"/>
  <c r="D222" i="5" s="1"/>
  <c r="AT222" i="8"/>
  <c r="F221" i="5" s="1"/>
  <c r="AR222" i="8"/>
  <c r="D221" i="5" s="1"/>
  <c r="K220" i="5"/>
  <c r="AT221" i="8"/>
  <c r="F220" i="5" s="1"/>
  <c r="AR221" i="8"/>
  <c r="D220" i="5" s="1"/>
  <c r="AT220" i="8"/>
  <c r="F219" i="5"/>
  <c r="AR220" i="8"/>
  <c r="D219" i="5"/>
  <c r="AT219" i="8"/>
  <c r="F218" i="5" s="1"/>
  <c r="AR219" i="8"/>
  <c r="D218" i="5" s="1"/>
  <c r="I217" i="5"/>
  <c r="AT218" i="8"/>
  <c r="F217" i="5"/>
  <c r="AR218" i="8"/>
  <c r="D217" i="5"/>
  <c r="AT217" i="8"/>
  <c r="F216" i="5" s="1"/>
  <c r="AR217" i="8"/>
  <c r="D216" i="5" s="1"/>
  <c r="K215" i="5"/>
  <c r="I215" i="5"/>
  <c r="AT216" i="8"/>
  <c r="F215" i="5" s="1"/>
  <c r="AR216" i="8"/>
  <c r="D215" i="5" s="1"/>
  <c r="I214" i="5"/>
  <c r="AT215" i="8"/>
  <c r="F214" i="5"/>
  <c r="AR215" i="8"/>
  <c r="D214" i="5"/>
  <c r="I213" i="5"/>
  <c r="AT214" i="8"/>
  <c r="F213" i="5" s="1"/>
  <c r="AR214" i="8"/>
  <c r="D213" i="5" s="1"/>
  <c r="K212" i="5"/>
  <c r="F212" i="5"/>
  <c r="D212" i="5"/>
  <c r="I211" i="5"/>
  <c r="F211" i="5"/>
  <c r="D211" i="5"/>
  <c r="K210" i="5"/>
  <c r="F210" i="5"/>
  <c r="D210" i="5"/>
  <c r="K209" i="5"/>
  <c r="F209" i="5"/>
  <c r="D209" i="5"/>
  <c r="K208" i="5"/>
  <c r="F208" i="5"/>
  <c r="D208" i="5"/>
  <c r="I207" i="5"/>
  <c r="F207" i="5"/>
  <c r="D207" i="5"/>
  <c r="K206" i="5"/>
  <c r="F206" i="5"/>
  <c r="D206" i="5"/>
  <c r="K205" i="5"/>
  <c r="F205" i="5"/>
  <c r="D205" i="5"/>
  <c r="K204" i="5"/>
  <c r="F204" i="5"/>
  <c r="D204" i="5"/>
  <c r="F203" i="5"/>
  <c r="D203" i="5"/>
  <c r="I202" i="5"/>
  <c r="F202" i="5"/>
  <c r="D202" i="5"/>
  <c r="K201" i="5"/>
  <c r="F201" i="5"/>
  <c r="D201" i="5"/>
  <c r="K200" i="5"/>
  <c r="F200" i="5"/>
  <c r="D200" i="5"/>
  <c r="K199" i="5"/>
  <c r="F199" i="5"/>
  <c r="D199" i="5"/>
  <c r="I198" i="5"/>
  <c r="F198" i="5"/>
  <c r="D198" i="5"/>
  <c r="K197" i="5"/>
  <c r="F197" i="5"/>
  <c r="D197" i="5"/>
  <c r="K196" i="5"/>
  <c r="F196" i="5"/>
  <c r="D196" i="5"/>
  <c r="F195" i="5"/>
  <c r="D195" i="5"/>
  <c r="K194" i="5"/>
  <c r="F194" i="5"/>
  <c r="D194" i="5"/>
  <c r="I193" i="5"/>
  <c r="F193" i="5"/>
  <c r="D193" i="5"/>
  <c r="K192" i="5"/>
  <c r="F192" i="5"/>
  <c r="D192" i="5"/>
  <c r="I191" i="5"/>
  <c r="F191" i="5"/>
  <c r="D191" i="5"/>
  <c r="K190" i="5"/>
  <c r="F190" i="5"/>
  <c r="D190" i="5"/>
  <c r="K189" i="5"/>
  <c r="F189" i="5"/>
  <c r="D189" i="5"/>
  <c r="F188" i="5"/>
  <c r="D188" i="5"/>
  <c r="K187" i="5"/>
  <c r="F187" i="5"/>
  <c r="D187" i="5"/>
  <c r="F186" i="5"/>
  <c r="D186" i="5"/>
  <c r="I185" i="5"/>
  <c r="F185" i="5"/>
  <c r="D185" i="5"/>
  <c r="K184" i="5"/>
  <c r="F184" i="5"/>
  <c r="D184" i="5"/>
  <c r="K183" i="5"/>
  <c r="F183" i="5"/>
  <c r="D183" i="5"/>
  <c r="F182" i="5"/>
  <c r="D182" i="5"/>
  <c r="K181" i="5"/>
  <c r="F181" i="5"/>
  <c r="D181" i="5"/>
  <c r="F180" i="5"/>
  <c r="D180" i="5"/>
  <c r="F179" i="5"/>
  <c r="D179" i="5"/>
  <c r="F178" i="5"/>
  <c r="D178" i="5"/>
  <c r="K177" i="5"/>
  <c r="F177" i="5"/>
  <c r="D177" i="5"/>
  <c r="K176" i="5"/>
  <c r="F176" i="5"/>
  <c r="D176" i="5"/>
  <c r="K175" i="5"/>
  <c r="F175" i="5"/>
  <c r="D175" i="5"/>
  <c r="K174" i="5"/>
  <c r="F174" i="5"/>
  <c r="D174" i="5"/>
  <c r="F173" i="5"/>
  <c r="D173" i="5"/>
  <c r="F172" i="5"/>
  <c r="D172" i="5"/>
  <c r="F171" i="5"/>
  <c r="D171" i="5"/>
  <c r="K170" i="5"/>
  <c r="F170" i="5"/>
  <c r="D170" i="5"/>
  <c r="K169" i="5"/>
  <c r="F169" i="5"/>
  <c r="D169" i="5"/>
  <c r="F168" i="5"/>
  <c r="D168" i="5"/>
  <c r="K167" i="5"/>
  <c r="F167" i="5"/>
  <c r="D167" i="5"/>
  <c r="F166" i="5"/>
  <c r="D166" i="5"/>
  <c r="F165" i="5"/>
  <c r="D165" i="5"/>
  <c r="I164" i="5"/>
  <c r="F164" i="5"/>
  <c r="D164" i="5"/>
  <c r="F163" i="5"/>
  <c r="D163" i="5"/>
  <c r="F162" i="5"/>
  <c r="D162" i="5"/>
  <c r="K161" i="5"/>
  <c r="F161" i="5"/>
  <c r="D161" i="5"/>
  <c r="K160" i="5"/>
  <c r="F160" i="5"/>
  <c r="D160" i="5"/>
  <c r="F159" i="5"/>
  <c r="D159" i="5"/>
  <c r="F158" i="5"/>
  <c r="D158" i="5"/>
  <c r="I157" i="5"/>
  <c r="F157" i="5"/>
  <c r="D157" i="5"/>
  <c r="F156" i="5"/>
  <c r="D156" i="5"/>
  <c r="I155" i="5"/>
  <c r="F155" i="5"/>
  <c r="D155" i="5"/>
  <c r="F154" i="5"/>
  <c r="D154" i="5"/>
  <c r="I153" i="5"/>
  <c r="F153" i="5"/>
  <c r="D153" i="5"/>
  <c r="I152" i="5"/>
  <c r="F152" i="5"/>
  <c r="D152" i="5"/>
  <c r="F151" i="5"/>
  <c r="D151" i="5"/>
  <c r="I150" i="5"/>
  <c r="F150" i="5"/>
  <c r="D150" i="5"/>
  <c r="F149" i="5"/>
  <c r="D149" i="5"/>
  <c r="F148" i="5"/>
  <c r="D148" i="5"/>
  <c r="K147" i="5"/>
  <c r="F147" i="5"/>
  <c r="D147" i="5"/>
  <c r="F146" i="5"/>
  <c r="D146" i="5"/>
  <c r="K145" i="5"/>
  <c r="F145" i="5"/>
  <c r="D145" i="5"/>
  <c r="F144" i="5"/>
  <c r="D144" i="5"/>
  <c r="K143" i="5"/>
  <c r="F143" i="5"/>
  <c r="D143" i="5"/>
  <c r="K142" i="5"/>
  <c r="F142" i="5"/>
  <c r="D142" i="5"/>
  <c r="F141" i="5"/>
  <c r="D141" i="5"/>
  <c r="F140" i="5"/>
  <c r="D140" i="5"/>
  <c r="I139" i="5"/>
  <c r="F139" i="5"/>
  <c r="D139" i="5"/>
  <c r="I138" i="5"/>
  <c r="F138" i="5"/>
  <c r="D138" i="5"/>
  <c r="I137" i="5"/>
  <c r="F137" i="5"/>
  <c r="D137" i="5"/>
  <c r="F136" i="5"/>
  <c r="D135" i="5"/>
  <c r="F134" i="5"/>
  <c r="D134" i="5"/>
  <c r="F133" i="5"/>
  <c r="D133" i="5"/>
  <c r="I132" i="5"/>
  <c r="D131" i="5"/>
  <c r="F130" i="5"/>
  <c r="D130" i="5"/>
  <c r="F129" i="5"/>
  <c r="F128" i="5"/>
  <c r="D128" i="5"/>
  <c r="D127" i="5"/>
  <c r="K126" i="5"/>
  <c r="F126" i="5"/>
  <c r="D126" i="5"/>
  <c r="F125" i="5"/>
  <c r="D125" i="5"/>
  <c r="F124" i="5"/>
  <c r="D124" i="5"/>
  <c r="I123" i="5"/>
  <c r="F123" i="5"/>
  <c r="D123" i="5"/>
  <c r="F122" i="5"/>
  <c r="D122" i="5"/>
  <c r="I121" i="5"/>
  <c r="F121" i="5"/>
  <c r="D121" i="5"/>
  <c r="F120" i="5"/>
  <c r="D120" i="5"/>
  <c r="F119" i="5"/>
  <c r="D119" i="5"/>
  <c r="I118" i="5"/>
  <c r="F118" i="5"/>
  <c r="D118" i="5"/>
  <c r="F117" i="5"/>
  <c r="D117" i="5"/>
  <c r="F116" i="5"/>
  <c r="D116" i="5"/>
  <c r="F115" i="5"/>
  <c r="D115" i="5"/>
  <c r="F114" i="5"/>
  <c r="D114" i="5"/>
  <c r="F113" i="5"/>
  <c r="D113" i="5"/>
  <c r="F112" i="5"/>
  <c r="D112" i="5"/>
  <c r="F111" i="5"/>
  <c r="D111" i="5"/>
  <c r="F110" i="5"/>
  <c r="D110" i="5"/>
  <c r="F109" i="5"/>
  <c r="D109" i="5"/>
  <c r="F108" i="5"/>
  <c r="D108" i="5"/>
  <c r="F107" i="5"/>
  <c r="D107" i="5"/>
  <c r="F106" i="5"/>
  <c r="D106" i="5"/>
  <c r="F105" i="5"/>
  <c r="D105" i="5"/>
  <c r="F104" i="5"/>
  <c r="D104" i="5"/>
  <c r="F103" i="5"/>
  <c r="D103" i="5"/>
  <c r="F102" i="5"/>
  <c r="D102" i="5"/>
  <c r="F101" i="5"/>
  <c r="D101" i="5"/>
  <c r="F80" i="5"/>
  <c r="F79" i="5"/>
  <c r="D79" i="5"/>
  <c r="D78" i="5"/>
  <c r="F77" i="5"/>
  <c r="D77" i="5"/>
  <c r="F76" i="5"/>
  <c r="D76" i="5"/>
  <c r="F75" i="5"/>
  <c r="D75" i="5"/>
  <c r="F74" i="5"/>
  <c r="D74" i="5"/>
  <c r="F73" i="5"/>
  <c r="F72" i="5"/>
  <c r="D71" i="5"/>
  <c r="F70" i="5"/>
  <c r="D70" i="5"/>
  <c r="F69" i="5"/>
  <c r="D69" i="5"/>
  <c r="F68" i="5"/>
  <c r="D68" i="5"/>
  <c r="F67" i="5"/>
  <c r="D67" i="5"/>
  <c r="F66" i="5"/>
  <c r="F65" i="5"/>
  <c r="D65" i="5"/>
  <c r="F64" i="5"/>
  <c r="D64" i="5"/>
  <c r="D63" i="5"/>
  <c r="F62" i="5"/>
  <c r="D62" i="5"/>
  <c r="F61" i="5"/>
  <c r="D61" i="5"/>
  <c r="F60" i="5"/>
  <c r="F59" i="5"/>
  <c r="D59" i="5"/>
  <c r="F58" i="5"/>
  <c r="D58" i="5"/>
  <c r="F57" i="5"/>
  <c r="D57" i="5"/>
  <c r="F56" i="5"/>
  <c r="F55" i="5"/>
  <c r="D55" i="5"/>
  <c r="F54" i="5"/>
  <c r="D54" i="5"/>
  <c r="F53" i="5"/>
  <c r="D53" i="5"/>
  <c r="F52" i="5"/>
  <c r="D52" i="5"/>
  <c r="I51" i="5"/>
  <c r="F51" i="5"/>
  <c r="D51" i="5"/>
  <c r="I50" i="5"/>
  <c r="D50" i="5"/>
  <c r="D49" i="5"/>
  <c r="D47" i="5"/>
  <c r="D46" i="5"/>
  <c r="D45" i="5"/>
  <c r="D44" i="5"/>
  <c r="D43" i="5"/>
  <c r="D42" i="5"/>
  <c r="D41" i="5"/>
  <c r="D40" i="5"/>
  <c r="D39" i="5"/>
  <c r="D37" i="5"/>
  <c r="D35" i="5"/>
  <c r="D34" i="5"/>
  <c r="D33" i="5"/>
  <c r="D32" i="5"/>
  <c r="D31" i="5"/>
  <c r="D30" i="5"/>
  <c r="D29" i="5"/>
  <c r="D28" i="5"/>
  <c r="D27" i="5"/>
  <c r="D26" i="5"/>
  <c r="D25" i="5"/>
  <c r="F24" i="5"/>
  <c r="D24" i="5"/>
  <c r="I23" i="5"/>
  <c r="D23" i="5"/>
  <c r="F22" i="5"/>
  <c r="D22" i="5"/>
  <c r="F21" i="5"/>
  <c r="D20" i="5"/>
  <c r="K19" i="5"/>
  <c r="F19" i="5"/>
  <c r="D19" i="5"/>
  <c r="D18" i="5"/>
  <c r="D17" i="5"/>
  <c r="F16" i="5"/>
  <c r="D16" i="5"/>
  <c r="I15" i="5"/>
  <c r="D15" i="5"/>
  <c r="F14" i="5"/>
  <c r="D14" i="5"/>
  <c r="D13" i="5"/>
  <c r="D12" i="5"/>
  <c r="K11" i="5"/>
  <c r="I11" i="5"/>
  <c r="F11" i="5"/>
  <c r="D11" i="5"/>
  <c r="F10" i="5"/>
  <c r="D10" i="5"/>
  <c r="I9" i="5"/>
  <c r="D8" i="5"/>
  <c r="I7" i="5"/>
  <c r="F7" i="5"/>
  <c r="D7" i="5"/>
  <c r="D6" i="5"/>
  <c r="F5" i="5"/>
  <c r="D5" i="5"/>
  <c r="F4" i="5"/>
  <c r="D3" i="5"/>
  <c r="D2" i="5"/>
  <c r="E4" i="6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/>
  <c r="G26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6" i="5"/>
  <c r="F8" i="5"/>
  <c r="F9" i="5"/>
  <c r="F12" i="5"/>
  <c r="F17" i="5"/>
  <c r="F18" i="5"/>
  <c r="F20" i="5"/>
  <c r="F25" i="5"/>
  <c r="F26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" i="5"/>
  <c r="AH13" i="8"/>
  <c r="D3" i="6" s="1"/>
  <c r="AH14" i="8"/>
  <c r="D4" i="6" s="1"/>
  <c r="AH15" i="8"/>
  <c r="D5" i="6" s="1"/>
  <c r="AH12" i="8"/>
  <c r="D2" i="6" s="1"/>
  <c r="B4" i="3"/>
  <c r="B2" i="3"/>
  <c r="E21" i="4"/>
  <c r="B3" i="3"/>
  <c r="C2" i="2"/>
  <c r="B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C3" i="2"/>
  <c r="B3" i="2"/>
  <c r="C4" i="2"/>
  <c r="C5" i="2"/>
  <c r="C6" i="2"/>
  <c r="C7" i="2"/>
  <c r="C8" i="2"/>
  <c r="C9" i="2"/>
  <c r="C10" i="2"/>
  <c r="C11" i="2"/>
  <c r="C12" i="2"/>
  <c r="C13" i="2"/>
  <c r="C14" i="2"/>
  <c r="B14" i="2"/>
  <c r="C15" i="2"/>
  <c r="B15" i="2"/>
  <c r="C16" i="2"/>
  <c r="C17" i="2"/>
  <c r="C18" i="2"/>
  <c r="C19" i="2"/>
  <c r="B19" i="2"/>
  <c r="C20" i="2"/>
  <c r="B10" i="2"/>
  <c r="B13" i="2"/>
  <c r="B9" i="2"/>
  <c r="B17" i="2"/>
  <c r="B4" i="2"/>
  <c r="B18" i="2"/>
  <c r="B6" i="2"/>
  <c r="B7" i="2"/>
  <c r="B8" i="2"/>
  <c r="B12" i="2"/>
  <c r="B16" i="2"/>
  <c r="B20" i="2"/>
  <c r="F23" i="2"/>
  <c r="B5" i="2"/>
  <c r="B11" i="2"/>
  <c r="G21" i="2"/>
  <c r="G22" i="2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AG16" i="8"/>
  <c r="C2" i="6"/>
  <c r="C3" i="6"/>
  <c r="C4" i="6"/>
  <c r="C5" i="6"/>
  <c r="B5" i="3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3" i="1"/>
  <c r="C3" i="1"/>
  <c r="K26" i="8"/>
  <c r="G26" i="8"/>
  <c r="J26" i="8"/>
  <c r="I26" i="8"/>
  <c r="H26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K104" i="5"/>
  <c r="I104" i="5"/>
  <c r="K108" i="5"/>
  <c r="I108" i="5"/>
  <c r="K112" i="5"/>
  <c r="I112" i="5"/>
  <c r="K116" i="5"/>
  <c r="I116" i="5"/>
  <c r="K120" i="5"/>
  <c r="I120" i="5"/>
  <c r="K124" i="5"/>
  <c r="I124" i="5"/>
  <c r="I128" i="5"/>
  <c r="K144" i="5"/>
  <c r="I144" i="5"/>
  <c r="K152" i="5"/>
  <c r="K156" i="5"/>
  <c r="I156" i="5"/>
  <c r="I160" i="5"/>
  <c r="K164" i="5"/>
  <c r="K168" i="5"/>
  <c r="I168" i="5"/>
  <c r="K172" i="5"/>
  <c r="I172" i="5"/>
  <c r="K180" i="5"/>
  <c r="I180" i="5"/>
  <c r="I200" i="5"/>
  <c r="K101" i="5"/>
  <c r="I101" i="5"/>
  <c r="K105" i="5"/>
  <c r="I105" i="5"/>
  <c r="K109" i="5"/>
  <c r="I109" i="5"/>
  <c r="K113" i="5"/>
  <c r="I113" i="5"/>
  <c r="K117" i="5"/>
  <c r="I117" i="5"/>
  <c r="K125" i="5"/>
  <c r="I125" i="5"/>
  <c r="I145" i="5"/>
  <c r="K157" i="5"/>
  <c r="K165" i="5"/>
  <c r="I165" i="5"/>
  <c r="K173" i="5"/>
  <c r="I173" i="5"/>
  <c r="I181" i="5"/>
  <c r="K102" i="5"/>
  <c r="I102" i="5"/>
  <c r="K106" i="5"/>
  <c r="I106" i="5"/>
  <c r="K110" i="5"/>
  <c r="I110" i="5"/>
  <c r="K114" i="5"/>
  <c r="I114" i="5"/>
  <c r="K118" i="5"/>
  <c r="K122" i="5"/>
  <c r="I122" i="5"/>
  <c r="I126" i="5"/>
  <c r="I130" i="5"/>
  <c r="K138" i="5"/>
  <c r="I142" i="5"/>
  <c r="K146" i="5"/>
  <c r="I146" i="5"/>
  <c r="K150" i="5"/>
  <c r="K154" i="5"/>
  <c r="I154" i="5"/>
  <c r="K162" i="5"/>
  <c r="I162" i="5"/>
  <c r="I170" i="5"/>
  <c r="I174" i="5"/>
  <c r="I194" i="5"/>
  <c r="K103" i="5"/>
  <c r="I103" i="5"/>
  <c r="K107" i="5"/>
  <c r="I107" i="5"/>
  <c r="K111" i="5"/>
  <c r="I111" i="5"/>
  <c r="K115" i="5"/>
  <c r="I115" i="5"/>
  <c r="K119" i="5"/>
  <c r="I119" i="5"/>
  <c r="K123" i="5"/>
  <c r="I131" i="5"/>
  <c r="I135" i="5"/>
  <c r="K139" i="5"/>
  <c r="I143" i="5"/>
  <c r="I147" i="5"/>
  <c r="K151" i="5"/>
  <c r="I151" i="5"/>
  <c r="K155" i="5"/>
  <c r="K159" i="5"/>
  <c r="I159" i="5"/>
  <c r="I179" i="5"/>
  <c r="I183" i="5"/>
  <c r="K55" i="5"/>
  <c r="I55" i="5"/>
  <c r="K67" i="5"/>
  <c r="I67" i="5"/>
  <c r="K56" i="5"/>
  <c r="I56" i="5"/>
  <c r="K60" i="5"/>
  <c r="I60" i="5"/>
  <c r="K68" i="5"/>
  <c r="I68" i="5"/>
  <c r="K76" i="5"/>
  <c r="I76" i="5"/>
  <c r="K71" i="5"/>
  <c r="I71" i="5"/>
  <c r="K75" i="5"/>
  <c r="I75" i="5"/>
  <c r="K52" i="5"/>
  <c r="I52" i="5"/>
  <c r="K64" i="5"/>
  <c r="I64" i="5"/>
  <c r="K72" i="5"/>
  <c r="I72" i="5"/>
  <c r="K80" i="5"/>
  <c r="I80" i="5"/>
  <c r="K53" i="5"/>
  <c r="I53" i="5"/>
  <c r="K57" i="5"/>
  <c r="I57" i="5"/>
  <c r="K61" i="5"/>
  <c r="I61" i="5"/>
  <c r="K65" i="5"/>
  <c r="I65" i="5"/>
  <c r="K69" i="5"/>
  <c r="I69" i="5"/>
  <c r="K73" i="5"/>
  <c r="I73" i="5"/>
  <c r="K77" i="5"/>
  <c r="I77" i="5"/>
  <c r="K59" i="5"/>
  <c r="I59" i="5"/>
  <c r="K63" i="5"/>
  <c r="I63" i="5"/>
  <c r="K79" i="5"/>
  <c r="I79" i="5"/>
  <c r="K54" i="5"/>
  <c r="I54" i="5"/>
  <c r="K58" i="5"/>
  <c r="I58" i="5"/>
  <c r="K62" i="5"/>
  <c r="I62" i="5"/>
  <c r="K66" i="5"/>
  <c r="I66" i="5"/>
  <c r="I70" i="5"/>
  <c r="K74" i="5"/>
  <c r="I74" i="5"/>
  <c r="K78" i="5"/>
  <c r="I78" i="5"/>
  <c r="K15" i="5"/>
  <c r="K23" i="5"/>
  <c r="K9" i="5"/>
  <c r="I3" i="5"/>
  <c r="K3" i="5"/>
  <c r="I19" i="5"/>
  <c r="K2" i="5"/>
  <c r="I2" i="5"/>
  <c r="K14" i="5"/>
  <c r="I14" i="5"/>
  <c r="I17" i="5"/>
  <c r="K17" i="5"/>
  <c r="K26" i="5"/>
  <c r="I26" i="5"/>
  <c r="I5" i="5"/>
  <c r="K5" i="5"/>
  <c r="K6" i="5"/>
  <c r="I6" i="5"/>
  <c r="K12" i="5"/>
  <c r="I12" i="5"/>
  <c r="K18" i="5"/>
  <c r="I18" i="5"/>
  <c r="I21" i="5"/>
  <c r="K21" i="5"/>
  <c r="K4" i="5"/>
  <c r="I4" i="5"/>
  <c r="K10" i="5"/>
  <c r="I10" i="5"/>
  <c r="I13" i="5"/>
  <c r="K13" i="5"/>
  <c r="K22" i="5"/>
  <c r="I22" i="5"/>
  <c r="I25" i="5"/>
  <c r="K25" i="5"/>
  <c r="K8" i="5"/>
  <c r="I8" i="5"/>
  <c r="K16" i="5"/>
  <c r="I16" i="5"/>
  <c r="K24" i="5"/>
  <c r="I24" i="5"/>
  <c r="K48" i="5"/>
  <c r="K20" i="5"/>
  <c r="I20" i="5"/>
  <c r="O7" i="8"/>
  <c r="K28" i="5"/>
  <c r="I28" i="5"/>
  <c r="I44" i="5"/>
  <c r="K198" i="5"/>
  <c r="I177" i="5"/>
  <c r="K137" i="5"/>
  <c r="I161" i="5"/>
  <c r="K121" i="5"/>
  <c r="K93" i="5"/>
  <c r="I93" i="5"/>
  <c r="I40" i="5"/>
  <c r="I82" i="5"/>
  <c r="K82" i="5"/>
  <c r="K36" i="5"/>
  <c r="I36" i="5"/>
  <c r="I87" i="5"/>
  <c r="K87" i="5"/>
  <c r="K90" i="5"/>
  <c r="I90" i="5"/>
  <c r="K97" i="5"/>
  <c r="I97" i="5"/>
  <c r="K32" i="5"/>
  <c r="I32" i="5"/>
  <c r="K84" i="5"/>
  <c r="I84" i="5"/>
  <c r="I92" i="5"/>
  <c r="I96" i="5"/>
  <c r="I189" i="5"/>
  <c r="I186" i="5"/>
  <c r="K186" i="5"/>
  <c r="K193" i="5"/>
  <c r="I234" i="5"/>
  <c r="I38" i="5"/>
  <c r="I30" i="5"/>
  <c r="I184" i="5"/>
  <c r="K191" i="5"/>
  <c r="I206" i="5"/>
  <c r="I43" i="5"/>
  <c r="I47" i="5"/>
  <c r="I49" i="5"/>
  <c r="I48" i="5"/>
  <c r="I46" i="5"/>
  <c r="I205" i="5"/>
  <c r="I236" i="5"/>
  <c r="K185" i="5"/>
  <c r="I192" i="5"/>
  <c r="I199" i="5"/>
  <c r="K217" i="5"/>
  <c r="K195" i="5"/>
  <c r="I195" i="5"/>
  <c r="K211" i="5"/>
  <c r="K232" i="5"/>
  <c r="I187" i="5"/>
  <c r="I219" i="5"/>
  <c r="K219" i="5"/>
  <c r="I95" i="5"/>
  <c r="K35" i="5"/>
  <c r="I167" i="5"/>
  <c r="I175" i="5"/>
  <c r="K153" i="5"/>
  <c r="K203" i="5"/>
  <c r="I203" i="5"/>
  <c r="K149" i="5"/>
  <c r="I149" i="5"/>
  <c r="I166" i="5"/>
  <c r="K166" i="5"/>
  <c r="I188" i="5"/>
  <c r="K188" i="5"/>
  <c r="I176" i="5"/>
  <c r="I140" i="5"/>
  <c r="K140" i="5"/>
  <c r="I182" i="5"/>
  <c r="K178" i="5"/>
  <c r="I178" i="5"/>
  <c r="I169" i="5"/>
  <c r="K245" i="5"/>
  <c r="K42" i="5"/>
  <c r="I42" i="5"/>
  <c r="I34" i="5"/>
  <c r="I29" i="5"/>
  <c r="K37" i="5"/>
  <c r="I37" i="5"/>
  <c r="I133" i="5"/>
  <c r="K129" i="5"/>
  <c r="I134" i="5"/>
  <c r="K127" i="5"/>
  <c r="I136" i="5"/>
  <c r="K136" i="5"/>
  <c r="I141" i="5"/>
  <c r="K141" i="5"/>
  <c r="I163" i="5"/>
  <c r="K163" i="5"/>
  <c r="I171" i="5"/>
  <c r="K171" i="5"/>
  <c r="I148" i="5"/>
  <c r="K148" i="5"/>
  <c r="K158" i="5"/>
  <c r="I158" i="5"/>
  <c r="K132" i="5"/>
  <c r="I190" i="5"/>
  <c r="K27" i="5"/>
  <c r="I27" i="5"/>
  <c r="I31" i="5"/>
  <c r="K31" i="5"/>
  <c r="K33" i="5"/>
  <c r="I33" i="5"/>
  <c r="I41" i="5"/>
  <c r="K45" i="5"/>
  <c r="AM7" i="8"/>
  <c r="AM6" i="8"/>
  <c r="AM5" i="8"/>
  <c r="AH4" i="8"/>
  <c r="U11" i="8"/>
  <c r="E11" i="4" s="1"/>
  <c r="AG4" i="8"/>
  <c r="U6" i="8" s="1"/>
  <c r="E4" i="4" s="1"/>
  <c r="AJ7" i="8"/>
  <c r="Y14" i="8"/>
  <c r="I14" i="4" s="1"/>
  <c r="AI5" i="8"/>
  <c r="S12" i="8" s="1"/>
  <c r="C12" i="4" s="1"/>
  <c r="AG5" i="8"/>
  <c r="S6" i="8"/>
  <c r="AL6" i="8"/>
  <c r="W22" i="8" s="1"/>
  <c r="G22" i="4" s="1"/>
  <c r="AK6" i="8"/>
  <c r="W18" i="8"/>
  <c r="G18" i="4" s="1"/>
  <c r="AI6" i="8"/>
  <c r="W12" i="8" s="1"/>
  <c r="G12" i="4" s="1"/>
  <c r="AG6" i="8"/>
  <c r="W6" i="8"/>
  <c r="G4" i="4" s="1"/>
  <c r="AH5" i="8"/>
  <c r="S11" i="8" s="1"/>
  <c r="C11" i="4" s="1"/>
  <c r="AK4" i="8"/>
  <c r="U18" i="8"/>
  <c r="E18" i="4" s="1"/>
  <c r="AL4" i="8"/>
  <c r="AL7" i="8"/>
  <c r="Y22" i="8"/>
  <c r="I22" i="4" s="1"/>
  <c r="AK7" i="8"/>
  <c r="Y18" i="8"/>
  <c r="I18" i="4" s="1"/>
  <c r="AI4" i="8"/>
  <c r="U12" i="8" s="1"/>
  <c r="E12" i="4" s="1"/>
  <c r="AI7" i="8"/>
  <c r="Y12" i="8" s="1"/>
  <c r="I12" i="4" s="1"/>
  <c r="AG7" i="8"/>
  <c r="Y6" i="8"/>
  <c r="AH6" i="8"/>
  <c r="W11" i="8"/>
  <c r="G11" i="4" s="1"/>
  <c r="AJ5" i="8"/>
  <c r="S14" i="8" s="1"/>
  <c r="C14" i="4" s="1"/>
  <c r="AJ4" i="8"/>
  <c r="U14" i="8"/>
  <c r="E14" i="4" s="1"/>
  <c r="AH7" i="8"/>
  <c r="Y11" i="8" s="1"/>
  <c r="I11" i="4" s="1"/>
  <c r="AJ6" i="8"/>
  <c r="W14" i="8"/>
  <c r="G14" i="4" s="1"/>
  <c r="AL5" i="8"/>
  <c r="AK5" i="8"/>
  <c r="S18" i="8"/>
  <c r="C18" i="4" s="1"/>
  <c r="I4" i="4"/>
  <c r="U22" i="8"/>
  <c r="E22" i="4" s="1"/>
  <c r="S22" i="8"/>
  <c r="C22" i="4" s="1"/>
  <c r="C4" i="4"/>
  <c r="AJ15" i="8"/>
  <c r="AJ14" i="8"/>
  <c r="AJ13" i="8"/>
  <c r="AF5" i="8"/>
  <c r="AF7" i="8"/>
  <c r="AF6" i="8"/>
  <c r="G16" i="2" l="1"/>
  <c r="D13" i="1"/>
  <c r="D9" i="1"/>
  <c r="AA21" i="8"/>
  <c r="AC21" i="8" s="1"/>
  <c r="Z10" i="8"/>
  <c r="D21" i="1"/>
  <c r="D19" i="1"/>
  <c r="D17" i="1"/>
  <c r="D15" i="1"/>
  <c r="D11" i="1"/>
  <c r="D7" i="1"/>
  <c r="D5" i="1"/>
  <c r="Z14" i="8"/>
  <c r="AA9" i="8"/>
  <c r="AC9" i="8" s="1"/>
  <c r="AA13" i="8"/>
  <c r="AC13" i="8" s="1"/>
  <c r="B10" i="4"/>
  <c r="B23" i="4" s="1"/>
  <c r="G5" i="2"/>
  <c r="G9" i="2"/>
  <c r="L26" i="8"/>
  <c r="AH16" i="8"/>
  <c r="D6" i="6"/>
  <c r="AA22" i="8"/>
  <c r="AC22" i="8" s="1"/>
  <c r="AA11" i="8"/>
  <c r="AC11" i="8" s="1"/>
  <c r="G8" i="2"/>
  <c r="G18" i="2"/>
  <c r="I246" i="5"/>
  <c r="I226" i="5"/>
  <c r="AA18" i="8"/>
  <c r="AC18" i="8" s="1"/>
  <c r="E13" i="4"/>
  <c r="K13" i="4" s="1"/>
  <c r="AA4" i="8"/>
  <c r="AC4" i="8" s="1"/>
  <c r="Z5" i="8"/>
  <c r="Z20" i="8"/>
  <c r="J22" i="4"/>
  <c r="Z7" i="8"/>
  <c r="Z8" i="8"/>
  <c r="J6" i="4" s="1"/>
  <c r="G6" i="2"/>
  <c r="G19" i="2"/>
  <c r="G17" i="2"/>
  <c r="G12" i="2"/>
  <c r="G7" i="2"/>
  <c r="D16" i="1"/>
  <c r="D10" i="1"/>
  <c r="I216" i="5"/>
  <c r="K216" i="5"/>
  <c r="K218" i="5"/>
  <c r="I218" i="5"/>
  <c r="K238" i="5"/>
  <c r="I238" i="5"/>
  <c r="K240" i="5"/>
  <c r="I240" i="5"/>
  <c r="K221" i="5"/>
  <c r="I221" i="5"/>
  <c r="F4" i="6"/>
  <c r="AK14" i="8"/>
  <c r="G4" i="6" s="1"/>
  <c r="AK15" i="8"/>
  <c r="G5" i="6" s="1"/>
  <c r="F5" i="6"/>
  <c r="F2" i="6"/>
  <c r="F6" i="6" s="1"/>
  <c r="AJ16" i="8"/>
  <c r="AK12" i="8"/>
  <c r="AL12" i="8" s="1"/>
  <c r="F3" i="6"/>
  <c r="AK13" i="8"/>
  <c r="G3" i="6" s="1"/>
  <c r="S5" i="8"/>
  <c r="C3" i="4" s="1"/>
  <c r="C7" i="4" s="1"/>
  <c r="AI13" i="8"/>
  <c r="E3" i="6" s="1"/>
  <c r="AI15" i="8"/>
  <c r="E5" i="6" s="1"/>
  <c r="Y5" i="8"/>
  <c r="I3" i="4" s="1"/>
  <c r="I7" i="4" s="1"/>
  <c r="AI12" i="8"/>
  <c r="U5" i="8"/>
  <c r="E3" i="4" s="1"/>
  <c r="E7" i="4" s="1"/>
  <c r="W5" i="8"/>
  <c r="G3" i="4" s="1"/>
  <c r="G7" i="4" s="1"/>
  <c r="D23" i="2"/>
  <c r="G15" i="2"/>
  <c r="C23" i="2"/>
  <c r="G10" i="2"/>
  <c r="D18" i="1"/>
  <c r="D8" i="1"/>
  <c r="C6" i="6"/>
  <c r="G20" i="2"/>
  <c r="G14" i="2"/>
  <c r="G11" i="2"/>
  <c r="G3" i="2"/>
  <c r="E23" i="2"/>
  <c r="G13" i="2"/>
  <c r="G2" i="2"/>
  <c r="D2" i="10"/>
  <c r="AA6" i="8"/>
  <c r="AC6" i="8" s="1"/>
  <c r="C21" i="4"/>
  <c r="C23" i="4" s="1"/>
  <c r="AA8" i="8"/>
  <c r="AA19" i="8"/>
  <c r="AC19" i="8" s="1"/>
  <c r="AA17" i="8"/>
  <c r="AC17" i="8" s="1"/>
  <c r="AA15" i="8"/>
  <c r="AC15" i="8" s="1"/>
  <c r="AA10" i="8"/>
  <c r="AC10" i="8" s="1"/>
  <c r="K2" i="4"/>
  <c r="N2" i="4" s="1"/>
  <c r="H7" i="4"/>
  <c r="Z15" i="8"/>
  <c r="Z12" i="8"/>
  <c r="Z16" i="8"/>
  <c r="Z19" i="8"/>
  <c r="Z22" i="8"/>
  <c r="Z17" i="8"/>
  <c r="Z9" i="8"/>
  <c r="D7" i="4"/>
  <c r="J16" i="4"/>
  <c r="D20" i="1"/>
  <c r="D12" i="1"/>
  <c r="D6" i="1"/>
  <c r="D3" i="1"/>
  <c r="D14" i="1"/>
  <c r="D4" i="1"/>
  <c r="I225" i="5"/>
  <c r="I209" i="5"/>
  <c r="K242" i="5"/>
  <c r="I224" i="5"/>
  <c r="I201" i="5"/>
  <c r="I204" i="5"/>
  <c r="I249" i="5"/>
  <c r="K202" i="5"/>
  <c r="I210" i="5"/>
  <c r="K223" i="5"/>
  <c r="I237" i="5"/>
  <c r="K229" i="5"/>
  <c r="K207" i="5"/>
  <c r="K214" i="5"/>
  <c r="I220" i="5"/>
  <c r="I222" i="5"/>
  <c r="G23" i="4"/>
  <c r="I23" i="4"/>
  <c r="AA7" i="8"/>
  <c r="AC7" i="8" s="1"/>
  <c r="K22" i="4"/>
  <c r="N22" i="4" s="1"/>
  <c r="AA14" i="8"/>
  <c r="AC14" i="8" s="1"/>
  <c r="AA20" i="8"/>
  <c r="AC20" i="8" s="1"/>
  <c r="AA16" i="8"/>
  <c r="AC16" i="8" s="1"/>
  <c r="AA12" i="8"/>
  <c r="AC12" i="8" s="1"/>
  <c r="J21" i="4"/>
  <c r="K11" i="4"/>
  <c r="J11" i="4"/>
  <c r="F23" i="4"/>
  <c r="J2" i="4"/>
  <c r="B7" i="4"/>
  <c r="J15" i="4"/>
  <c r="J14" i="4"/>
  <c r="J12" i="4"/>
  <c r="J4" i="4"/>
  <c r="M4" i="4" s="1"/>
  <c r="J3" i="4"/>
  <c r="M3" i="4" s="1"/>
  <c r="J5" i="4"/>
  <c r="M5" i="4" s="1"/>
  <c r="F7" i="4"/>
  <c r="H23" i="4"/>
  <c r="J19" i="4"/>
  <c r="J18" i="4"/>
  <c r="K5" i="4"/>
  <c r="N5" i="4" s="1"/>
  <c r="K12" i="4"/>
  <c r="N12" i="4" s="1"/>
  <c r="K14" i="4"/>
  <c r="N14" i="4" s="1"/>
  <c r="Z21" i="8"/>
  <c r="J13" i="4"/>
  <c r="K18" i="4"/>
  <c r="N18" i="4" s="1"/>
  <c r="D17" i="4"/>
  <c r="J17" i="4" s="1"/>
  <c r="Z6" i="8"/>
  <c r="Z13" i="8"/>
  <c r="J20" i="4"/>
  <c r="Z4" i="8"/>
  <c r="K4" i="4"/>
  <c r="N4" i="4" s="1"/>
  <c r="K16" i="4"/>
  <c r="N16" i="4" s="1"/>
  <c r="Z18" i="8"/>
  <c r="Z11" i="8"/>
  <c r="K19" i="4"/>
  <c r="M19" i="4" s="1"/>
  <c r="K15" i="4"/>
  <c r="N15" i="4" s="1"/>
  <c r="B6" i="3"/>
  <c r="A2" i="10" s="1"/>
  <c r="K20" i="4"/>
  <c r="B23" i="2"/>
  <c r="K10" i="4"/>
  <c r="G4" i="2"/>
  <c r="K227" i="5"/>
  <c r="K233" i="5"/>
  <c r="K241" i="5"/>
  <c r="I247" i="5"/>
  <c r="I248" i="5"/>
  <c r="K243" i="5"/>
  <c r="K213" i="5"/>
  <c r="I208" i="5"/>
  <c r="K244" i="5"/>
  <c r="K235" i="5"/>
  <c r="I212" i="5"/>
  <c r="I239" i="5"/>
  <c r="I196" i="5"/>
  <c r="K250" i="5"/>
  <c r="I231" i="5"/>
  <c r="I197" i="5"/>
  <c r="I230" i="5"/>
  <c r="K230" i="5"/>
  <c r="K228" i="5"/>
  <c r="I228" i="5"/>
  <c r="I100" i="5"/>
  <c r="J10" i="4" l="1"/>
  <c r="E23" i="4"/>
  <c r="G23" i="2"/>
  <c r="M12" i="4"/>
  <c r="U25" i="8"/>
  <c r="K21" i="4"/>
  <c r="N21" i="4" s="1"/>
  <c r="S25" i="8"/>
  <c r="K3" i="4"/>
  <c r="N3" i="4" s="1"/>
  <c r="N7" i="4" s="1"/>
  <c r="N19" i="4"/>
  <c r="H2" i="6"/>
  <c r="W25" i="8"/>
  <c r="AL13" i="8"/>
  <c r="H3" i="6" s="1"/>
  <c r="G2" i="6"/>
  <c r="G6" i="6" s="1"/>
  <c r="AK16" i="8"/>
  <c r="AL14" i="8"/>
  <c r="H4" i="6" s="1"/>
  <c r="AL15" i="8"/>
  <c r="H5" i="6" s="1"/>
  <c r="Y25" i="8"/>
  <c r="AA5" i="8"/>
  <c r="AC5" i="8" s="1"/>
  <c r="AI16" i="8"/>
  <c r="E2" i="6"/>
  <c r="E6" i="6" s="1"/>
  <c r="C2" i="10" s="1"/>
  <c r="K6" i="4"/>
  <c r="AC8" i="8"/>
  <c r="M6" i="4" s="1"/>
  <c r="M22" i="4"/>
  <c r="M18" i="4"/>
  <c r="J23" i="4"/>
  <c r="M14" i="4"/>
  <c r="M15" i="4"/>
  <c r="M16" i="4"/>
  <c r="J7" i="4"/>
  <c r="M2" i="4"/>
  <c r="M7" i="4" s="1"/>
  <c r="K17" i="4"/>
  <c r="Z25" i="8"/>
  <c r="D23" i="4"/>
  <c r="N13" i="4"/>
  <c r="M13" i="4"/>
  <c r="N11" i="4"/>
  <c r="M11" i="4"/>
  <c r="M20" i="4"/>
  <c r="N20" i="4"/>
  <c r="N10" i="4"/>
  <c r="M10" i="4"/>
  <c r="K23" i="4" l="1"/>
  <c r="AC25" i="8"/>
  <c r="AA25" i="8"/>
  <c r="M21" i="4"/>
  <c r="K7" i="4"/>
  <c r="AL16" i="8"/>
  <c r="H6" i="6"/>
  <c r="M17" i="4"/>
  <c r="N17" i="4"/>
  <c r="N23" i="4" s="1"/>
  <c r="B2" i="10" s="1"/>
  <c r="M2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1" authorId="0" shapeId="0" xr:uid="{96EF6D8D-13DC-40DB-9CFE-AD2182A8E497}">
      <text>
        <r>
          <rPr>
            <b/>
            <sz val="9"/>
            <color indexed="81"/>
            <rFont val="Tahoma"/>
            <family val="2"/>
          </rPr>
          <t xml:space="preserve">yg diinput manual warna kuning,
nama cso di copy dari data jgn di ketik manual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P2" authorId="0" shapeId="0" xr:uid="{347EEF91-D9FC-40B5-8B11-4EB310E08FA3}">
      <text>
        <r>
          <rPr>
            <b/>
            <sz val="9"/>
            <color indexed="81"/>
            <rFont val="Tahoma"/>
            <family val="2"/>
          </rPr>
          <t xml:space="preserve">yg diinput manual warna kuning,
nama cso di copy dari data jgn di ketik manual
</t>
        </r>
      </text>
    </comment>
  </commentList>
</comments>
</file>

<file path=xl/sharedStrings.xml><?xml version="1.0" encoding="utf-8"?>
<sst xmlns="http://schemas.openxmlformats.org/spreadsheetml/2006/main" count="1164" uniqueCount="292">
  <si>
    <t>nama barang</t>
  </si>
  <si>
    <t>segel</t>
  </si>
  <si>
    <t>sellin</t>
  </si>
  <si>
    <t>total stok</t>
  </si>
  <si>
    <t>SP ZERO</t>
  </si>
  <si>
    <t>SP 3GB injek</t>
  </si>
  <si>
    <t>SP 3GB ori</t>
  </si>
  <si>
    <t>SP 9GB</t>
  </si>
  <si>
    <t>VDK</t>
  </si>
  <si>
    <t>3GB/14HR</t>
  </si>
  <si>
    <t>2,5GB</t>
  </si>
  <si>
    <t>FI 3 GB</t>
  </si>
  <si>
    <t>3.5GB 5HR</t>
  </si>
  <si>
    <t>5GB 5HR</t>
  </si>
  <si>
    <t xml:space="preserve">7GB 7HR </t>
  </si>
  <si>
    <t>Fi 6GB</t>
  </si>
  <si>
    <t xml:space="preserve">Fi 1.5GB/1D </t>
  </si>
  <si>
    <t xml:space="preserve">Fi 3GB/1D </t>
  </si>
  <si>
    <t xml:space="preserve">Fi 3GB/3D </t>
  </si>
  <si>
    <t xml:space="preserve">Fi 5GB/2D </t>
  </si>
  <si>
    <t xml:space="preserve">Fi 5GB/3D </t>
  </si>
  <si>
    <t>JENIS BARANG</t>
  </si>
  <si>
    <t>ANDI</t>
  </si>
  <si>
    <t>FARHAN</t>
  </si>
  <si>
    <t>ENDEN</t>
  </si>
  <si>
    <t>PEBRIAN</t>
  </si>
  <si>
    <t>SPV</t>
  </si>
  <si>
    <t>TOTAL</t>
  </si>
  <si>
    <t xml:space="preserve"> -   </t>
  </si>
  <si>
    <t>SP 3GB INJEK</t>
  </si>
  <si>
    <t>SP 3GB ORI</t>
  </si>
  <si>
    <t>Voucher 3GB 14HR</t>
  </si>
  <si>
    <t>Voucher 2,5GB</t>
  </si>
  <si>
    <t>Freedom Internet  3 GB</t>
  </si>
  <si>
    <t>Voucher 3.5GB 5HR</t>
  </si>
  <si>
    <t>Voucher 5GB 5HR</t>
  </si>
  <si>
    <t xml:space="preserve">Voucher 7GB 7HR </t>
  </si>
  <si>
    <t>Nama cso</t>
  </si>
  <si>
    <t>Amount</t>
  </si>
  <si>
    <t>Parhan</t>
  </si>
  <si>
    <t>Andi Setiawan</t>
  </si>
  <si>
    <t>M. Enden Abdul Latif</t>
  </si>
  <si>
    <t>Pebrian Sahri Ramdani</t>
  </si>
  <si>
    <t>Grand Total</t>
  </si>
  <si>
    <t>Total Penjualan</t>
  </si>
  <si>
    <t>HARGA</t>
  </si>
  <si>
    <t>JUMLAH</t>
  </si>
  <si>
    <t>Andi</t>
  </si>
  <si>
    <t>Enden</t>
  </si>
  <si>
    <t>Pebrian</t>
  </si>
  <si>
    <t>TOTAL VOUCHER</t>
  </si>
  <si>
    <t>Nama CSO</t>
  </si>
  <si>
    <t>SP 3GB</t>
  </si>
  <si>
    <t>Muhamad Parhan</t>
  </si>
  <si>
    <t>Andi Sutiawan</t>
  </si>
  <si>
    <t>ID DSE</t>
  </si>
  <si>
    <t>Pengambilan</t>
  </si>
  <si>
    <t>Pembayaran</t>
  </si>
  <si>
    <t>SKBPLARA04</t>
  </si>
  <si>
    <t>SKBPLARA08</t>
  </si>
  <si>
    <t>SKBPLARA11</t>
  </si>
  <si>
    <t>DSESGRN01</t>
  </si>
  <si>
    <t>No</t>
  </si>
  <si>
    <t>Tgl Ambil</t>
  </si>
  <si>
    <t>Nama</t>
  </si>
  <si>
    <t>Barang</t>
  </si>
  <si>
    <t>Jumlah</t>
  </si>
  <si>
    <t>Nomor Hifi</t>
  </si>
  <si>
    <t>IMEI Devices</t>
  </si>
  <si>
    <t>Tgl Bayar</t>
  </si>
  <si>
    <t>Keterangan</t>
  </si>
  <si>
    <t>Tgl Repot</t>
  </si>
  <si>
    <t>stok gudang</t>
  </si>
  <si>
    <t>stok dse</t>
  </si>
  <si>
    <t>STOCK AKHIR CSO SAGARANTEN</t>
  </si>
  <si>
    <t>salmo</t>
  </si>
  <si>
    <t>penjualan</t>
  </si>
  <si>
    <t>direct selling</t>
  </si>
  <si>
    <t>Muhammad Parhan</t>
  </si>
  <si>
    <t>SP</t>
  </si>
  <si>
    <t>Total PCS</t>
  </si>
  <si>
    <t>Harga</t>
  </si>
  <si>
    <t>Total Rp</t>
  </si>
  <si>
    <t>TOTAL SP</t>
  </si>
  <si>
    <t>VOUCHER</t>
  </si>
  <si>
    <t>No.</t>
  </si>
  <si>
    <t>Tanggal Pengambilan</t>
  </si>
  <si>
    <t>PAKET</t>
  </si>
  <si>
    <t>Micro Cluster</t>
  </si>
  <si>
    <t>Id  Outlet</t>
  </si>
  <si>
    <t>Nama Outlet</t>
  </si>
  <si>
    <t>QTY</t>
  </si>
  <si>
    <t>Tagihan</t>
  </si>
  <si>
    <t>Jumlah Pembayaran</t>
  </si>
  <si>
    <t>Selisih</t>
  </si>
  <si>
    <t>Keterangan Setoran</t>
  </si>
  <si>
    <t>PAKET1</t>
  </si>
  <si>
    <t>PAKET4</t>
  </si>
  <si>
    <t>paket jupiter</t>
  </si>
  <si>
    <t>SP 6GB</t>
  </si>
  <si>
    <t>V 2.5 GB</t>
  </si>
  <si>
    <t>V 3 GB</t>
  </si>
  <si>
    <t>V 3.5 GB</t>
  </si>
  <si>
    <t>V 1.5 GB</t>
  </si>
  <si>
    <t>VCR 5GB 3</t>
  </si>
  <si>
    <t>Tanggal Pembayaran</t>
  </si>
  <si>
    <t>Qty</t>
  </si>
  <si>
    <t>SALDO</t>
  </si>
  <si>
    <t>GAP</t>
  </si>
  <si>
    <t>CASH</t>
  </si>
  <si>
    <t>PAKET3</t>
  </si>
  <si>
    <t>V 1 GB</t>
  </si>
  <si>
    <t>V 5 GB</t>
  </si>
  <si>
    <t>V 7GB</t>
  </si>
  <si>
    <t>V 6GB</t>
  </si>
  <si>
    <t>V 3GB 1</t>
  </si>
  <si>
    <t>VCR 3GB 3</t>
  </si>
  <si>
    <t>VCR 5GB 2</t>
  </si>
  <si>
    <t>Metode 
Pembayaran</t>
  </si>
  <si>
    <t>ICCID</t>
  </si>
  <si>
    <t>HIFI IM3</t>
  </si>
  <si>
    <t>085882767329</t>
  </si>
  <si>
    <t>89620100002033537644</t>
  </si>
  <si>
    <t>355806671137009</t>
  </si>
  <si>
    <t>STOK GUDANG</t>
  </si>
  <si>
    <t>085882767330</t>
  </si>
  <si>
    <t>89620100002033537651</t>
  </si>
  <si>
    <t>355806671137223</t>
  </si>
  <si>
    <t>085882767331</t>
  </si>
  <si>
    <t>89620100002033537652</t>
  </si>
  <si>
    <t>355806671159425</t>
  </si>
  <si>
    <t>085882767332</t>
  </si>
  <si>
    <t>89620100002033537677</t>
  </si>
  <si>
    <t>355806671159581</t>
  </si>
  <si>
    <t>085882768254</t>
  </si>
  <si>
    <t>89620100002033543817</t>
  </si>
  <si>
    <t>355806671162734</t>
  </si>
  <si>
    <t>085882768256</t>
  </si>
  <si>
    <t>89620100002033543833</t>
  </si>
  <si>
    <t>355806671166644</t>
  </si>
  <si>
    <t>085882768385</t>
  </si>
  <si>
    <t>89620100002033544741</t>
  </si>
  <si>
    <t>355806671205749</t>
  </si>
  <si>
    <t>085882768387</t>
  </si>
  <si>
    <t>89620100002033544766</t>
  </si>
  <si>
    <t>355806671170737</t>
  </si>
  <si>
    <t>HIFI 3ID</t>
  </si>
  <si>
    <t>0895613208575</t>
  </si>
  <si>
    <t>8962893000244846652</t>
  </si>
  <si>
    <t>355806671150283</t>
  </si>
  <si>
    <t>0895613208576</t>
  </si>
  <si>
    <t>8962893000244846653</t>
  </si>
  <si>
    <t>355806671150689</t>
  </si>
  <si>
    <t>0895613208577</t>
  </si>
  <si>
    <t>8962893000244846654</t>
  </si>
  <si>
    <t>355806671131176</t>
  </si>
  <si>
    <t>0895613208578</t>
  </si>
  <si>
    <t>8962893000244846655</t>
  </si>
  <si>
    <t>355806671150630</t>
  </si>
  <si>
    <t>0895613208583</t>
  </si>
  <si>
    <t>8962893000244846660</t>
  </si>
  <si>
    <t>355806671150622</t>
  </si>
  <si>
    <t>ON HAND DSE</t>
  </si>
  <si>
    <t>PARHAN</t>
  </si>
  <si>
    <t>0895613206960</t>
  </si>
  <si>
    <t>8962893000244845180</t>
  </si>
  <si>
    <t>355806670971960</t>
  </si>
  <si>
    <t>19 Jun</t>
  </si>
  <si>
    <t>Total 19 Jun</t>
  </si>
  <si>
    <t>V 3GB 14H</t>
  </si>
  <si>
    <t xml:space="preserve"> -</t>
  </si>
  <si>
    <t>PENJUALAN FISIK SAGARANTEN</t>
  </si>
  <si>
    <t>TOTAL PENJUALAN</t>
  </si>
  <si>
    <t>Nama Barang</t>
  </si>
  <si>
    <t>Spv</t>
  </si>
  <si>
    <t>Daily</t>
  </si>
  <si>
    <t>Total Daily</t>
  </si>
  <si>
    <t>Weekly</t>
  </si>
  <si>
    <t>w1</t>
  </si>
  <si>
    <t>w2</t>
  </si>
  <si>
    <t>w3</t>
  </si>
  <si>
    <t>w4</t>
  </si>
  <si>
    <t>Total</t>
  </si>
  <si>
    <t>Total Weekly</t>
  </si>
  <si>
    <t>MC-SAGARANTEN</t>
  </si>
  <si>
    <t>DEAN CLL</t>
  </si>
  <si>
    <t>ARVAN CELL</t>
  </si>
  <si>
    <t>Andi w1</t>
  </si>
  <si>
    <t>Andi w2</t>
  </si>
  <si>
    <t>Andi w3</t>
  </si>
  <si>
    <t>Andi w4</t>
  </si>
  <si>
    <t>Parhan w1</t>
  </si>
  <si>
    <t>Parhan w2</t>
  </si>
  <si>
    <t>Parhan w3</t>
  </si>
  <si>
    <t>Parhan w4</t>
  </si>
  <si>
    <t>Enden w1</t>
  </si>
  <si>
    <t>Enden w2</t>
  </si>
  <si>
    <t>Enden w3</t>
  </si>
  <si>
    <t>Enden w4</t>
  </si>
  <si>
    <t>Pebrian w1</t>
  </si>
  <si>
    <t>Pebrian w2</t>
  </si>
  <si>
    <t>Pebrian w3</t>
  </si>
  <si>
    <t>Pebrian w4</t>
  </si>
  <si>
    <t>PCS</t>
  </si>
  <si>
    <t>GOL</t>
  </si>
  <si>
    <t>SP 10GB</t>
  </si>
  <si>
    <t>Total SP</t>
  </si>
  <si>
    <t>085882767231</t>
  </si>
  <si>
    <t>89620100002033537141</t>
  </si>
  <si>
    <t>355806671183334</t>
  </si>
  <si>
    <t>PAK VIJE</t>
  </si>
  <si>
    <t>085882767236</t>
  </si>
  <si>
    <t>89620100002033537174</t>
  </si>
  <si>
    <t>355806671220904</t>
  </si>
  <si>
    <t>MC</t>
  </si>
  <si>
    <t>NAMA BARANG</t>
  </si>
  <si>
    <t>TAGIHAN</t>
  </si>
  <si>
    <t>PROGRAM JUPITER 2026</t>
  </si>
  <si>
    <t>SISA TEBUS MURAH</t>
  </si>
  <si>
    <t>SP9GB</t>
  </si>
  <si>
    <t>PENGAMBILAN</t>
  </si>
  <si>
    <t>PEMBAYARAN</t>
  </si>
  <si>
    <t xml:space="preserve">SISA </t>
  </si>
  <si>
    <t>PAKET2</t>
  </si>
  <si>
    <t>HT</t>
  </si>
  <si>
    <t>V2</t>
  </si>
  <si>
    <t>PAKET 8</t>
  </si>
  <si>
    <t>Row Labels</t>
  </si>
  <si>
    <t>Sum of QTY</t>
  </si>
  <si>
    <t>Sum of Qty2</t>
  </si>
  <si>
    <t>Aurora cell</t>
  </si>
  <si>
    <t>Abjad Ce</t>
  </si>
  <si>
    <t>Raffanza cell</t>
  </si>
  <si>
    <t>GIAN ABDULLAH CELL</t>
  </si>
  <si>
    <t>SM 3 CELL</t>
  </si>
  <si>
    <t>MHIKA CELL</t>
  </si>
  <si>
    <t>dzaki cell</t>
  </si>
  <si>
    <t>WARJO CELL</t>
  </si>
  <si>
    <t>Zaidan cell</t>
  </si>
  <si>
    <t>Toko BJM</t>
  </si>
  <si>
    <t>Andri Store</t>
  </si>
  <si>
    <t>BRANDAL CINTA CELL</t>
  </si>
  <si>
    <t>WP-Nay Cell</t>
  </si>
  <si>
    <t>SABISANA CELL</t>
  </si>
  <si>
    <t>DEWALA CELL</t>
  </si>
  <si>
    <t>Wijar cell</t>
  </si>
  <si>
    <t>LUTHVI STORE</t>
  </si>
  <si>
    <t>TUWU CELL</t>
  </si>
  <si>
    <t>TZA CELL</t>
  </si>
  <si>
    <t>Mega Citra Cell</t>
  </si>
  <si>
    <t>CENTRAL PHONE ACC</t>
  </si>
  <si>
    <t>ABUELA CELL</t>
  </si>
  <si>
    <t>SILVI CELL</t>
  </si>
  <si>
    <t>EMYRATE CELL</t>
  </si>
  <si>
    <t>HIKARU CELL 2</t>
  </si>
  <si>
    <t>BERKAH CELLULAR</t>
  </si>
  <si>
    <t>JR STORE</t>
  </si>
  <si>
    <t>Sum of SP 3GB</t>
  </si>
  <si>
    <t>Yan cell</t>
  </si>
  <si>
    <t>M luthvi Qolbi</t>
  </si>
  <si>
    <t>Taufiq cell</t>
  </si>
  <si>
    <t>FIRMAN CELL</t>
  </si>
  <si>
    <t>TOTAL PENJUALAN SALMO</t>
  </si>
  <si>
    <t>SP DAN VOUCHER</t>
  </si>
  <si>
    <t>ALL PAKET</t>
  </si>
  <si>
    <t>HIFI</t>
  </si>
  <si>
    <t>Fitri cell</t>
  </si>
  <si>
    <t>ZM CELLULER</t>
  </si>
  <si>
    <t>AKBAR CELL</t>
  </si>
  <si>
    <t>G-mart Cell</t>
  </si>
  <si>
    <t>Kimo stor</t>
  </si>
  <si>
    <t>ADI CELL</t>
  </si>
  <si>
    <t>Sum of SP 10GB</t>
  </si>
  <si>
    <t>Kurnia</t>
  </si>
  <si>
    <t>Nazila cell</t>
  </si>
  <si>
    <t>ABAY CELL</t>
  </si>
  <si>
    <t>OJH Celluar</t>
  </si>
  <si>
    <t>GIBRAN CELL</t>
  </si>
  <si>
    <t>AKEW CEL</t>
  </si>
  <si>
    <t>Gilang cell 6</t>
  </si>
  <si>
    <t>AHZACELL</t>
  </si>
  <si>
    <t>MIRRA CELL</t>
  </si>
  <si>
    <t>Ryan store</t>
  </si>
  <si>
    <t>WP - CACA CICI</t>
  </si>
  <si>
    <t>LUNAS</t>
  </si>
  <si>
    <t>RE phonestore</t>
  </si>
  <si>
    <t>RAYHAN CELL</t>
  </si>
  <si>
    <t>MANDIRI CELL</t>
  </si>
  <si>
    <t>KENTHU CELULER</t>
  </si>
  <si>
    <t>AF Cell 2</t>
  </si>
  <si>
    <t>GILANG CELL2</t>
  </si>
  <si>
    <t xml:space="preserve">7GB 28HR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</si>
</sst>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[$-409]d\-mmm\-yyyy;@"/>
    <numFmt numFmtId="166" formatCode="_(* #,##0_);_(* \(#,##0\);_(* &quot;-&quot;??_);_(@_)"/>
    <numFmt numFmtId="167" formatCode="[$-421]dd\ mmmm\ yyyy;@"/>
    <numFmt numFmtId="168" formatCode="_-* #,##0_-;\-* #,##0_-;_-* &quot;-&quot;??_-;_-@_-"/>
    <numFmt numFmtId="169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indexed="81"/>
      <name val="Tahoma"/>
      <family val="2"/>
    </font>
    <font>
      <b/>
      <sz val="16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</cellStyleXfs>
  <cellXfs count="105">
    <xf numFmtId="0" fontId="0" fillId="0" borderId="0" xfId="0"/>
    <xf numFmtId="3" fontId="0" fillId="0" borderId="0" xfId="0" applyNumberFormat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/>
    <xf numFmtId="166" fontId="0" fillId="0" borderId="1" xfId="1" applyNumberFormat="1" applyFont="1" applyBorder="1"/>
    <xf numFmtId="166" fontId="0" fillId="0" borderId="1" xfId="1" applyNumberFormat="1" applyFont="1" applyFill="1" applyBorder="1"/>
    <xf numFmtId="14" fontId="0" fillId="0" borderId="1" xfId="0" applyNumberFormat="1" applyBorder="1"/>
    <xf numFmtId="14" fontId="0" fillId="0" borderId="0" xfId="0" applyNumberFormat="1"/>
    <xf numFmtId="0" fontId="0" fillId="4" borderId="4" xfId="0" applyFill="1" applyBorder="1"/>
    <xf numFmtId="0" fontId="0" fillId="4" borderId="4" xfId="1" applyNumberFormat="1" applyFont="1" applyFill="1" applyBorder="1" applyAlignment="1">
      <alignment horizontal="right" vertical="center"/>
    </xf>
    <xf numFmtId="0" fontId="0" fillId="4" borderId="4" xfId="0" applyFill="1" applyBorder="1" applyAlignment="1">
      <alignment horizontal="right"/>
    </xf>
    <xf numFmtId="167" fontId="2" fillId="2" borderId="1" xfId="0" applyNumberFormat="1" applyFont="1" applyFill="1" applyBorder="1" applyAlignment="1">
      <alignment horizontal="left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1" xfId="0" applyFont="1" applyFill="1" applyBorder="1"/>
    <xf numFmtId="0" fontId="2" fillId="5" borderId="1" xfId="0" applyFont="1" applyFill="1" applyBorder="1" applyAlignment="1">
      <alignment horizontal="left"/>
    </xf>
    <xf numFmtId="168" fontId="0" fillId="0" borderId="1" xfId="1" applyNumberFormat="1" applyFont="1" applyBorder="1"/>
    <xf numFmtId="168" fontId="2" fillId="2" borderId="1" xfId="1" applyNumberFormat="1" applyFont="1" applyFill="1" applyBorder="1"/>
    <xf numFmtId="0" fontId="2" fillId="2" borderId="1" xfId="0" applyFont="1" applyFill="1" applyBorder="1" applyAlignment="1">
      <alignment horizontal="left"/>
    </xf>
    <xf numFmtId="168" fontId="2" fillId="2" borderId="1" xfId="0" applyNumberFormat="1" applyFont="1" applyFill="1" applyBorder="1"/>
    <xf numFmtId="166" fontId="2" fillId="0" borderId="1" xfId="2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2" applyNumberFormat="1" applyFont="1" applyBorder="1"/>
    <xf numFmtId="0" fontId="0" fillId="0" borderId="0" xfId="0" applyNumberFormat="1"/>
    <xf numFmtId="168" fontId="5" fillId="6" borderId="1" xfId="2" applyNumberFormat="1" applyFont="1" applyFill="1" applyBorder="1" applyAlignment="1">
      <alignment horizontal="left" vertical="center"/>
    </xf>
    <xf numFmtId="166" fontId="5" fillId="6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left"/>
    </xf>
    <xf numFmtId="3" fontId="0" fillId="0" borderId="1" xfId="2" applyNumberFormat="1" applyFont="1" applyBorder="1"/>
    <xf numFmtId="0" fontId="6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6" fontId="7" fillId="7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/>
    <xf numFmtId="166" fontId="0" fillId="0" borderId="1" xfId="1" applyNumberFormat="1" applyFont="1" applyFill="1" applyBorder="1" applyAlignment="1">
      <alignment horizontal="center" vertical="center"/>
    </xf>
    <xf numFmtId="169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167" fontId="0" fillId="0" borderId="0" xfId="0" applyNumberFormat="1"/>
    <xf numFmtId="16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6" fontId="6" fillId="7" borderId="1" xfId="1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 vertical="center" wrapText="1"/>
    </xf>
    <xf numFmtId="166" fontId="6" fillId="7" borderId="1" xfId="0" applyNumberFormat="1" applyFont="1" applyFill="1" applyBorder="1" applyAlignment="1">
      <alignment horizontal="center" vertical="center" wrapText="1"/>
    </xf>
    <xf numFmtId="169" fontId="6" fillId="7" borderId="1" xfId="0" applyNumberFormat="1" applyFont="1" applyFill="1" applyBorder="1" applyAlignment="1">
      <alignment horizontal="center" vertical="center"/>
    </xf>
    <xf numFmtId="169" fontId="6" fillId="7" borderId="1" xfId="0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 applyAlignment="1">
      <alignment horizontal="center"/>
    </xf>
    <xf numFmtId="41" fontId="0" fillId="0" borderId="1" xfId="1" applyNumberFormat="1" applyFont="1" applyFill="1" applyBorder="1" applyAlignment="1">
      <alignment horizontal="center" vertical="center"/>
    </xf>
    <xf numFmtId="166" fontId="0" fillId="0" borderId="1" xfId="4" applyNumberFormat="1" applyFont="1" applyFill="1" applyBorder="1" applyAlignment="1">
      <alignment horizontal="center" vertical="center"/>
    </xf>
    <xf numFmtId="166" fontId="0" fillId="0" borderId="0" xfId="1" applyNumberFormat="1" applyFont="1" applyFill="1"/>
    <xf numFmtId="41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/>
    </xf>
    <xf numFmtId="169" fontId="0" fillId="0" borderId="1" xfId="0" applyNumberFormat="1" applyBorder="1"/>
    <xf numFmtId="0" fontId="0" fillId="0" borderId="1" xfId="0" applyFill="1" applyBorder="1"/>
    <xf numFmtId="167" fontId="0" fillId="0" borderId="1" xfId="0" applyNumberFormat="1" applyBorder="1" applyAlignment="1">
      <alignment horizontal="center"/>
    </xf>
    <xf numFmtId="49" fontId="2" fillId="0" borderId="1" xfId="2" applyNumberFormat="1" applyFont="1" applyFill="1" applyBorder="1" applyAlignment="1">
      <alignment vertical="center"/>
    </xf>
    <xf numFmtId="16" fontId="0" fillId="0" borderId="0" xfId="0" applyNumberFormat="1"/>
    <xf numFmtId="15" fontId="0" fillId="0" borderId="0" xfId="0" applyNumberFormat="1"/>
    <xf numFmtId="1" fontId="2" fillId="5" borderId="1" xfId="0" applyNumberFormat="1" applyFont="1" applyFill="1" applyBorder="1" applyAlignment="1">
      <alignment horizontal="left"/>
    </xf>
    <xf numFmtId="1" fontId="0" fillId="0" borderId="1" xfId="2" applyNumberFormat="1" applyFont="1" applyBorder="1"/>
    <xf numFmtId="1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/>
    <xf numFmtId="166" fontId="10" fillId="9" borderId="1" xfId="1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 vertical="center"/>
    </xf>
    <xf numFmtId="166" fontId="10" fillId="9" borderId="1" xfId="1" applyNumberFormat="1" applyFont="1" applyFill="1" applyBorder="1" applyAlignment="1">
      <alignment vertical="center"/>
    </xf>
    <xf numFmtId="166" fontId="10" fillId="9" borderId="1" xfId="1" applyNumberFormat="1" applyFont="1" applyFill="1" applyBorder="1" applyAlignment="1">
      <alignment horizontal="center" vertical="center"/>
    </xf>
    <xf numFmtId="0" fontId="10" fillId="9" borderId="1" xfId="1" applyNumberFormat="1" applyFont="1" applyFill="1" applyBorder="1" applyAlignment="1">
      <alignment horizontal="center" vertical="center"/>
    </xf>
    <xf numFmtId="166" fontId="1" fillId="0" borderId="1" xfId="1" applyNumberFormat="1" applyFont="1" applyFill="1" applyBorder="1"/>
    <xf numFmtId="166" fontId="11" fillId="0" borderId="1" xfId="1" applyNumberFormat="1" applyFont="1" applyBorder="1" applyAlignment="1">
      <alignment horizontal="center"/>
    </xf>
    <xf numFmtId="0" fontId="1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169" fontId="0" fillId="2" borderId="1" xfId="0" applyNumberFormat="1" applyFill="1" applyBorder="1" applyAlignment="1">
      <alignment horizontal="center" vertical="center"/>
    </xf>
    <xf numFmtId="166" fontId="0" fillId="0" borderId="1" xfId="2" applyNumberFormat="1" applyFont="1" applyBorder="1"/>
    <xf numFmtId="41" fontId="0" fillId="0" borderId="1" xfId="4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8" borderId="1" xfId="3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10" fillId="9" borderId="1" xfId="1" applyNumberFormat="1" applyFont="1" applyFill="1" applyBorder="1" applyAlignment="1">
      <alignment horizontal="center"/>
    </xf>
    <xf numFmtId="166" fontId="10" fillId="9" borderId="1" xfId="1" applyNumberFormat="1" applyFont="1" applyFill="1" applyBorder="1" applyAlignment="1">
      <alignment horizontal="center" vertical="center"/>
    </xf>
    <xf numFmtId="164" fontId="2" fillId="0" borderId="8" xfId="2" applyNumberFormat="1" applyFont="1" applyFill="1" applyBorder="1" applyAlignment="1">
      <alignment horizontal="center" vertical="center"/>
    </xf>
    <xf numFmtId="164" fontId="2" fillId="0" borderId="9" xfId="2" applyNumberFormat="1" applyFont="1" applyFill="1" applyBorder="1" applyAlignment="1">
      <alignment horizontal="center" vertical="center"/>
    </xf>
    <xf numFmtId="164" fontId="2" fillId="2" borderId="8" xfId="2" applyNumberFormat="1" applyFont="1" applyFill="1" applyBorder="1" applyAlignment="1">
      <alignment horizontal="center" vertical="center"/>
    </xf>
    <xf numFmtId="164" fontId="2" fillId="2" borderId="9" xfId="2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5">
    <cellStyle name="Comma" xfId="1" builtinId="3"/>
    <cellStyle name="Comma [0]" xfId="4" builtinId="6"/>
    <cellStyle name="Comma 2" xfId="2" xr:uid="{27F0E25F-2FC2-4FA2-85C5-647DEB95F14E}"/>
    <cellStyle name="Normal" xfId="0" builtinId="0"/>
    <cellStyle name="Normal 2" xfId="3" xr:uid="{8F2B6BF2-7FD2-4FA0-9F55-2107D04465A9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918695882615f9/TERKINI/JUNI%2026/06%20PROGRAM%20SAGARANTEN%20JUNI%202026.xlsb" TargetMode="External"/><Relationship Id="rId1" Type="http://schemas.openxmlformats.org/officeDocument/2006/relationships/externalLinkPath" Target="https://d.docs.live.net/b5918695882615f9/TERKINI/JUNI%2026/06%20PROGRAM%20SAGARANTEN%20JUNI%202026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5918695882615f9/TERKINI/JUNI%2026/06%20PROGRAM%20SAGARANTEN%20JUNI%202026%20NEW.xlsb" TargetMode="External"/><Relationship Id="rId1" Type="http://schemas.openxmlformats.org/officeDocument/2006/relationships/externalLinkPath" Target="https://d.docs.live.net/b5918695882615f9/TERKINI/JUNI%2026/06%20PROGRAM%20SAGARANTEN%20JUNI%202026%20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&amp; Nama CSO"/>
      <sheetName val="SUMMARY"/>
      <sheetName val="SGR"/>
      <sheetName val="SALDO MOBO"/>
      <sheetName val="BUKTI STOR &amp; TRF"/>
      <sheetName val="prog"/>
      <sheetName val="OUTLET"/>
      <sheetName val="HARGA"/>
      <sheetName val="Sheet3"/>
    </sheetNames>
    <sheetDataSet>
      <sheetData sheetId="0">
        <row r="2">
          <cell r="H2" t="str">
            <v>KET</v>
          </cell>
        </row>
      </sheetData>
      <sheetData sheetId="1">
        <row r="3">
          <cell r="A3" t="str">
            <v>Muhamad Parhan</v>
          </cell>
          <cell r="B3" t="str">
            <v>MC-SAGARANTEN</v>
          </cell>
        </row>
        <row r="4">
          <cell r="A4" t="str">
            <v>Andi Sutiawan</v>
          </cell>
          <cell r="B4" t="str">
            <v>MC-SAGARANTEN</v>
          </cell>
        </row>
        <row r="5">
          <cell r="A5" t="str">
            <v>M. Enden Abdul Latif</v>
          </cell>
          <cell r="B5" t="str">
            <v>MC-SAGARANTEN</v>
          </cell>
        </row>
        <row r="6">
          <cell r="A6" t="str">
            <v>Pebrian Sahri Ramdani</v>
          </cell>
          <cell r="B6" t="str">
            <v>MC-SAGARANTEN</v>
          </cell>
        </row>
        <row r="7">
          <cell r="A7" t="str">
            <v>Andi Ramdani</v>
          </cell>
          <cell r="B7" t="str">
            <v>MC-SAGARANTEN</v>
          </cell>
        </row>
      </sheetData>
      <sheetData sheetId="2">
        <row r="4">
          <cell r="BC4" t="str">
            <v>Rp</v>
          </cell>
        </row>
      </sheetData>
      <sheetData sheetId="3"/>
      <sheetData sheetId="4"/>
      <sheetData sheetId="5"/>
      <sheetData sheetId="6">
        <row r="1">
          <cell r="B1" t="str">
            <v>ID OUTLET</v>
          </cell>
          <cell r="C1" t="str">
            <v>NAMA OUTLET</v>
          </cell>
        </row>
        <row r="2">
          <cell r="B2">
            <v>17154800</v>
          </cell>
          <cell r="C2" t="str">
            <v>Tareem Cell</v>
          </cell>
        </row>
        <row r="3">
          <cell r="B3">
            <v>17355344</v>
          </cell>
          <cell r="C3" t="str">
            <v>M KAIL CELL</v>
          </cell>
        </row>
        <row r="4">
          <cell r="B4">
            <v>17471991</v>
          </cell>
          <cell r="C4" t="str">
            <v>MARISGA CELL</v>
          </cell>
        </row>
        <row r="5">
          <cell r="B5">
            <v>17287294</v>
          </cell>
          <cell r="C5" t="str">
            <v>MJA Store</v>
          </cell>
        </row>
        <row r="6">
          <cell r="B6">
            <v>17601108</v>
          </cell>
          <cell r="C6" t="str">
            <v>MSR Cell</v>
          </cell>
        </row>
        <row r="7">
          <cell r="B7">
            <v>17437116</v>
          </cell>
          <cell r="C7" t="str">
            <v>Selvi cell</v>
          </cell>
        </row>
        <row r="8">
          <cell r="B8">
            <v>17138731</v>
          </cell>
          <cell r="C8" t="str">
            <v>Taman Pulsa</v>
          </cell>
        </row>
        <row r="9">
          <cell r="B9">
            <v>17356455</v>
          </cell>
          <cell r="C9" t="str">
            <v>TWINEY CELL</v>
          </cell>
        </row>
        <row r="10">
          <cell r="B10">
            <v>17154787</v>
          </cell>
          <cell r="C10" t="str">
            <v>Vania Celluler</v>
          </cell>
        </row>
        <row r="11">
          <cell r="B11">
            <v>17408852</v>
          </cell>
          <cell r="C11" t="str">
            <v>Comenz cell</v>
          </cell>
        </row>
        <row r="12">
          <cell r="B12">
            <v>17599628</v>
          </cell>
          <cell r="C12" t="str">
            <v>Alfan cell</v>
          </cell>
        </row>
        <row r="13">
          <cell r="B13">
            <v>17215656</v>
          </cell>
          <cell r="C13" t="str">
            <v>Dens cell</v>
          </cell>
        </row>
        <row r="14">
          <cell r="B14">
            <v>587368</v>
          </cell>
          <cell r="C14" t="str">
            <v>gie cell</v>
          </cell>
        </row>
        <row r="15">
          <cell r="B15">
            <v>17243948</v>
          </cell>
          <cell r="C15" t="str">
            <v>Ilham celuller</v>
          </cell>
        </row>
        <row r="16">
          <cell r="B16">
            <v>1307436</v>
          </cell>
          <cell r="C16" t="str">
            <v>NABA CELK</v>
          </cell>
        </row>
        <row r="17">
          <cell r="B17">
            <v>17215621</v>
          </cell>
          <cell r="C17" t="str">
            <v>Ri cell</v>
          </cell>
        </row>
        <row r="18">
          <cell r="B18">
            <v>17588216</v>
          </cell>
          <cell r="C18" t="str">
            <v>Rina cell</v>
          </cell>
        </row>
        <row r="19">
          <cell r="B19">
            <v>17139041</v>
          </cell>
          <cell r="C19" t="str">
            <v>N3 Cell</v>
          </cell>
        </row>
        <row r="20">
          <cell r="B20">
            <v>17202435</v>
          </cell>
          <cell r="C20" t="str">
            <v>AMIH cell</v>
          </cell>
        </row>
        <row r="21">
          <cell r="B21">
            <v>17415949</v>
          </cell>
          <cell r="C21" t="str">
            <v>Zahra cell</v>
          </cell>
        </row>
        <row r="22">
          <cell r="B22">
            <v>17661867</v>
          </cell>
          <cell r="C22" t="str">
            <v>Bunda AA cell</v>
          </cell>
        </row>
        <row r="23">
          <cell r="B23">
            <v>17661887</v>
          </cell>
          <cell r="C23" t="str">
            <v>Toko intan cell</v>
          </cell>
        </row>
        <row r="24">
          <cell r="B24">
            <v>17408021</v>
          </cell>
          <cell r="C24" t="str">
            <v>Matz cell</v>
          </cell>
        </row>
        <row r="25">
          <cell r="B25">
            <v>17210093</v>
          </cell>
          <cell r="C25" t="str">
            <v>Nazhimah Cell</v>
          </cell>
        </row>
        <row r="26">
          <cell r="B26">
            <v>17243947</v>
          </cell>
          <cell r="C26" t="str">
            <v>Barokah Fotocopy</v>
          </cell>
        </row>
        <row r="27">
          <cell r="B27">
            <v>17045423</v>
          </cell>
          <cell r="C27" t="str">
            <v>BENING CELL</v>
          </cell>
        </row>
        <row r="28">
          <cell r="B28">
            <v>1293974</v>
          </cell>
          <cell r="C28" t="str">
            <v>DEA CELL BUNIWANGI 2</v>
          </cell>
        </row>
        <row r="29">
          <cell r="B29">
            <v>17122618</v>
          </cell>
          <cell r="C29" t="str">
            <v>RENDI CELL 2</v>
          </cell>
        </row>
        <row r="30">
          <cell r="B30">
            <v>17131903</v>
          </cell>
          <cell r="C30" t="str">
            <v>Dhe Bintang Cell</v>
          </cell>
        </row>
        <row r="31">
          <cell r="B31">
            <v>829921</v>
          </cell>
          <cell r="C31" t="str">
            <v>DAMAI SENTOSA CELL</v>
          </cell>
        </row>
        <row r="32">
          <cell r="B32">
            <v>1325878</v>
          </cell>
          <cell r="C32" t="str">
            <v>ADRIAN CELL</v>
          </cell>
        </row>
        <row r="33">
          <cell r="B33">
            <v>922426</v>
          </cell>
          <cell r="C33" t="str">
            <v>Auryn cell</v>
          </cell>
        </row>
        <row r="34">
          <cell r="B34">
            <v>17353114</v>
          </cell>
          <cell r="C34" t="str">
            <v>14 Cell</v>
          </cell>
        </row>
        <row r="35">
          <cell r="B35">
            <v>17588608</v>
          </cell>
          <cell r="C35" t="str">
            <v>Abib cell</v>
          </cell>
        </row>
        <row r="36">
          <cell r="B36">
            <v>1306772</v>
          </cell>
          <cell r="C36" t="str">
            <v>BUTIK CELK</v>
          </cell>
        </row>
        <row r="37">
          <cell r="B37">
            <v>17011596</v>
          </cell>
          <cell r="C37" t="str">
            <v>CMB Cell</v>
          </cell>
        </row>
        <row r="38">
          <cell r="B38">
            <v>17353513</v>
          </cell>
          <cell r="C38" t="str">
            <v>D RIZKI CELL</v>
          </cell>
        </row>
        <row r="39">
          <cell r="B39">
            <v>17600640</v>
          </cell>
          <cell r="C39" t="str">
            <v>Agam cell</v>
          </cell>
        </row>
        <row r="40">
          <cell r="B40">
            <v>1329840</v>
          </cell>
          <cell r="C40" t="str">
            <v>orion cell</v>
          </cell>
        </row>
        <row r="41">
          <cell r="B41">
            <v>1294008</v>
          </cell>
          <cell r="C41" t="str">
            <v>RIO</v>
          </cell>
        </row>
        <row r="42">
          <cell r="B42">
            <v>17211127</v>
          </cell>
          <cell r="C42" t="str">
            <v>Salamah Celluler</v>
          </cell>
        </row>
        <row r="43">
          <cell r="B43">
            <v>923874</v>
          </cell>
          <cell r="C43" t="str">
            <v>warkop icha cell</v>
          </cell>
        </row>
        <row r="44">
          <cell r="B44">
            <v>641206</v>
          </cell>
          <cell r="C44" t="str">
            <v>ZIGOW CELL</v>
          </cell>
        </row>
        <row r="45">
          <cell r="B45">
            <v>17011545</v>
          </cell>
          <cell r="C45" t="str">
            <v>CHAYRA CELL</v>
          </cell>
        </row>
        <row r="46">
          <cell r="B46">
            <v>17408733</v>
          </cell>
          <cell r="C46" t="str">
            <v>AKA STORE 4</v>
          </cell>
        </row>
        <row r="47">
          <cell r="B47">
            <v>17116319</v>
          </cell>
          <cell r="C47" t="str">
            <v>BAROKAH CELL</v>
          </cell>
        </row>
        <row r="48">
          <cell r="B48">
            <v>1293356</v>
          </cell>
          <cell r="C48" t="str">
            <v>BUTIH</v>
          </cell>
        </row>
        <row r="49">
          <cell r="B49">
            <v>17122445</v>
          </cell>
          <cell r="C49" t="str">
            <v>Core-Cell</v>
          </cell>
        </row>
        <row r="50">
          <cell r="B50">
            <v>17122433</v>
          </cell>
          <cell r="C50" t="str">
            <v>COSMO PASUNDAN</v>
          </cell>
        </row>
        <row r="51">
          <cell r="B51">
            <v>17258803</v>
          </cell>
          <cell r="C51" t="str">
            <v>Cs master 4 cell</v>
          </cell>
        </row>
        <row r="52">
          <cell r="B52">
            <v>17457369</v>
          </cell>
          <cell r="C52" t="str">
            <v>ELSHANUM CELL</v>
          </cell>
        </row>
        <row r="53">
          <cell r="B53">
            <v>1387193</v>
          </cell>
          <cell r="C53" t="str">
            <v>ESAR CELL</v>
          </cell>
        </row>
        <row r="54">
          <cell r="B54">
            <v>17355288</v>
          </cell>
          <cell r="C54" t="str">
            <v>FAMILY CELL</v>
          </cell>
        </row>
        <row r="55">
          <cell r="B55">
            <v>17470980</v>
          </cell>
          <cell r="C55" t="str">
            <v>FLASH CELL</v>
          </cell>
        </row>
        <row r="56">
          <cell r="B56">
            <v>17214810</v>
          </cell>
          <cell r="C56" t="str">
            <v>Fuji Cell</v>
          </cell>
        </row>
        <row r="57">
          <cell r="B57">
            <v>17307283</v>
          </cell>
          <cell r="C57" t="str">
            <v>Hanzal cell</v>
          </cell>
        </row>
        <row r="58">
          <cell r="B58">
            <v>920858</v>
          </cell>
          <cell r="C58" t="str">
            <v>IQ cell</v>
          </cell>
        </row>
        <row r="59">
          <cell r="B59">
            <v>1480400</v>
          </cell>
          <cell r="C59" t="str">
            <v>JAMAICA CELLULAR</v>
          </cell>
        </row>
        <row r="60">
          <cell r="B60">
            <v>1512739</v>
          </cell>
          <cell r="C60" t="str">
            <v>Js cell</v>
          </cell>
        </row>
        <row r="61">
          <cell r="B61">
            <v>17135298</v>
          </cell>
          <cell r="C61" t="str">
            <v>Maheswara Cell</v>
          </cell>
        </row>
        <row r="62">
          <cell r="B62">
            <v>17429740</v>
          </cell>
          <cell r="C62" t="str">
            <v>METRO CELL</v>
          </cell>
        </row>
        <row r="63">
          <cell r="B63">
            <v>1530643</v>
          </cell>
          <cell r="C63" t="str">
            <v>Midel</v>
          </cell>
        </row>
        <row r="64">
          <cell r="B64">
            <v>1501575</v>
          </cell>
          <cell r="C64" t="str">
            <v>mpot celluler</v>
          </cell>
        </row>
        <row r="65">
          <cell r="B65">
            <v>17353730</v>
          </cell>
          <cell r="C65" t="str">
            <v>MURAH CELL</v>
          </cell>
        </row>
        <row r="66">
          <cell r="B66">
            <v>1332324</v>
          </cell>
          <cell r="C66" t="str">
            <v>NUSANTARA</v>
          </cell>
        </row>
        <row r="67">
          <cell r="B67">
            <v>1296538</v>
          </cell>
          <cell r="C67" t="str">
            <v>RAFFI CELL</v>
          </cell>
        </row>
        <row r="68">
          <cell r="B68">
            <v>1385894</v>
          </cell>
          <cell r="C68" t="str">
            <v>RAY CELL</v>
          </cell>
        </row>
        <row r="69">
          <cell r="B69">
            <v>1292005</v>
          </cell>
          <cell r="C69" t="str">
            <v>RENY CELL</v>
          </cell>
        </row>
        <row r="70">
          <cell r="B70">
            <v>17366765</v>
          </cell>
          <cell r="C70" t="str">
            <v>SILIWANGI CELL 2</v>
          </cell>
        </row>
        <row r="71">
          <cell r="B71">
            <v>17245641</v>
          </cell>
          <cell r="C71" t="str">
            <v>SRS cell</v>
          </cell>
        </row>
        <row r="72">
          <cell r="B72">
            <v>1295678</v>
          </cell>
          <cell r="C72" t="str">
            <v>TAUSILFAH CELL</v>
          </cell>
        </row>
        <row r="73">
          <cell r="B73">
            <v>17138394</v>
          </cell>
          <cell r="C73" t="str">
            <v>AL CELL</v>
          </cell>
        </row>
        <row r="74">
          <cell r="B74">
            <v>17177027</v>
          </cell>
          <cell r="C74" t="str">
            <v>Titanic Realod</v>
          </cell>
        </row>
        <row r="75">
          <cell r="B75">
            <v>17214825</v>
          </cell>
          <cell r="C75" t="str">
            <v>Tumaritis Cell</v>
          </cell>
        </row>
        <row r="76">
          <cell r="B76">
            <v>1332049</v>
          </cell>
          <cell r="C76" t="str">
            <v>TWINS CELL</v>
          </cell>
        </row>
        <row r="77">
          <cell r="B77">
            <v>1388388</v>
          </cell>
          <cell r="C77" t="str">
            <v>ZAHRA CELL</v>
          </cell>
        </row>
        <row r="78">
          <cell r="B78">
            <v>1295641</v>
          </cell>
          <cell r="C78" t="str">
            <v>KOBEF CELL</v>
          </cell>
        </row>
        <row r="79">
          <cell r="B79">
            <v>17257869</v>
          </cell>
          <cell r="C79" t="str">
            <v>EIGHTYS CELL</v>
          </cell>
        </row>
        <row r="80">
          <cell r="B80">
            <v>1346374</v>
          </cell>
          <cell r="C80" t="str">
            <v>ZESS</v>
          </cell>
        </row>
        <row r="81">
          <cell r="B81">
            <v>17011051</v>
          </cell>
          <cell r="C81" t="str">
            <v>49 cell</v>
          </cell>
        </row>
        <row r="82">
          <cell r="B82">
            <v>1292574</v>
          </cell>
          <cell r="C82" t="str">
            <v>BUDI PULSA  CELL</v>
          </cell>
        </row>
        <row r="83">
          <cell r="B83">
            <v>17615887</v>
          </cell>
          <cell r="C83" t="str">
            <v>DYNAMIC CELLULAR</v>
          </cell>
        </row>
        <row r="84">
          <cell r="B84">
            <v>1552251</v>
          </cell>
          <cell r="C84" t="str">
            <v>Aunk cell</v>
          </cell>
        </row>
        <row r="85">
          <cell r="B85">
            <v>17211852</v>
          </cell>
          <cell r="C85" t="str">
            <v>BUKAY CELL</v>
          </cell>
        </row>
        <row r="86">
          <cell r="B86">
            <v>17318268</v>
          </cell>
          <cell r="C86" t="str">
            <v>ALFAZZA CELL</v>
          </cell>
        </row>
        <row r="87">
          <cell r="B87">
            <v>17754453</v>
          </cell>
          <cell r="C87" t="str">
            <v>Ali cell</v>
          </cell>
        </row>
        <row r="88">
          <cell r="B88">
            <v>1507539</v>
          </cell>
          <cell r="C88" t="str">
            <v>jesika seluler</v>
          </cell>
        </row>
        <row r="89">
          <cell r="B89">
            <v>17237389</v>
          </cell>
          <cell r="C89" t="str">
            <v>Santi Celluler</v>
          </cell>
        </row>
        <row r="90">
          <cell r="B90">
            <v>17289689</v>
          </cell>
          <cell r="C90" t="str">
            <v>Vicky Cell 1</v>
          </cell>
        </row>
        <row r="91">
          <cell r="B91">
            <v>17235719</v>
          </cell>
          <cell r="C91" t="str">
            <v>Andakka Cell</v>
          </cell>
        </row>
        <row r="92">
          <cell r="B92">
            <v>17284435</v>
          </cell>
          <cell r="C92" t="str">
            <v>TRUST STORE 2</v>
          </cell>
        </row>
        <row r="93">
          <cell r="B93">
            <v>17711455</v>
          </cell>
          <cell r="C93" t="str">
            <v>Geza cell</v>
          </cell>
        </row>
        <row r="94">
          <cell r="B94">
            <v>17711484</v>
          </cell>
          <cell r="C94" t="str">
            <v>Calinda cell</v>
          </cell>
        </row>
        <row r="95">
          <cell r="B95">
            <v>1293361</v>
          </cell>
          <cell r="C95" t="str">
            <v>RANS CELL</v>
          </cell>
        </row>
        <row r="96">
          <cell r="B96">
            <v>17030128</v>
          </cell>
          <cell r="C96" t="str">
            <v>Tri YN Cell</v>
          </cell>
        </row>
        <row r="97">
          <cell r="B97">
            <v>17564906</v>
          </cell>
          <cell r="C97" t="str">
            <v>2R CELL</v>
          </cell>
        </row>
        <row r="98">
          <cell r="B98">
            <v>17257037</v>
          </cell>
          <cell r="C98" t="str">
            <v>Aura Cell</v>
          </cell>
        </row>
        <row r="99">
          <cell r="B99">
            <v>17140711</v>
          </cell>
          <cell r="C99" t="str">
            <v>Awa Cell</v>
          </cell>
        </row>
        <row r="100">
          <cell r="B100">
            <v>1304552</v>
          </cell>
          <cell r="C100" t="str">
            <v>DHAN ELEKTRIK CELL</v>
          </cell>
        </row>
        <row r="101">
          <cell r="B101">
            <v>17213844</v>
          </cell>
          <cell r="C101" t="str">
            <v>Dikdik Celluler</v>
          </cell>
        </row>
        <row r="102">
          <cell r="B102">
            <v>17477161</v>
          </cell>
          <cell r="C102" t="str">
            <v>HELMA CELLULAR</v>
          </cell>
        </row>
        <row r="103">
          <cell r="B103">
            <v>1480589</v>
          </cell>
          <cell r="C103" t="str">
            <v>KABAYAN CELLULAR</v>
          </cell>
        </row>
        <row r="104">
          <cell r="B104">
            <v>1325900</v>
          </cell>
          <cell r="C104" t="str">
            <v>OBANK CELL</v>
          </cell>
        </row>
        <row r="105">
          <cell r="B105">
            <v>775629</v>
          </cell>
          <cell r="C105" t="str">
            <v>Putri Cell</v>
          </cell>
        </row>
        <row r="106">
          <cell r="B106">
            <v>17304780</v>
          </cell>
          <cell r="C106" t="str">
            <v>Rajatama cell</v>
          </cell>
        </row>
        <row r="107">
          <cell r="B107">
            <v>1293362</v>
          </cell>
          <cell r="C107" t="str">
            <v>REEL CELL</v>
          </cell>
        </row>
        <row r="108">
          <cell r="B108">
            <v>17029854</v>
          </cell>
          <cell r="C108" t="str">
            <v>Rifki 2 cell</v>
          </cell>
        </row>
        <row r="109">
          <cell r="B109">
            <v>1341973</v>
          </cell>
          <cell r="C109" t="str">
            <v>RISMAN CELL</v>
          </cell>
        </row>
        <row r="110">
          <cell r="B110">
            <v>17147086</v>
          </cell>
          <cell r="C110" t="str">
            <v>SIN CELL</v>
          </cell>
        </row>
        <row r="111">
          <cell r="B111">
            <v>17545543</v>
          </cell>
          <cell r="C111" t="str">
            <v>VICKY CELL2</v>
          </cell>
        </row>
        <row r="112">
          <cell r="B112">
            <v>17474222</v>
          </cell>
          <cell r="C112" t="str">
            <v>WPR - CONNECTION</v>
          </cell>
        </row>
        <row r="113">
          <cell r="B113">
            <v>17622468</v>
          </cell>
          <cell r="C113" t="str">
            <v>Central cell</v>
          </cell>
        </row>
        <row r="114">
          <cell r="B114">
            <v>1412159</v>
          </cell>
          <cell r="C114" t="str">
            <v>RIMAYA CELL</v>
          </cell>
        </row>
        <row r="115">
          <cell r="B115">
            <v>1549592</v>
          </cell>
          <cell r="C115" t="str">
            <v>ZAHWAN CELL</v>
          </cell>
        </row>
        <row r="116">
          <cell r="B116">
            <v>17257275</v>
          </cell>
          <cell r="C116" t="str">
            <v>Anisa cell</v>
          </cell>
        </row>
        <row r="117">
          <cell r="B117">
            <v>17385276</v>
          </cell>
          <cell r="C117" t="str">
            <v>Denny Cell</v>
          </cell>
        </row>
        <row r="118">
          <cell r="B118">
            <v>775626</v>
          </cell>
          <cell r="C118" t="str">
            <v>Gama Cell</v>
          </cell>
        </row>
        <row r="119">
          <cell r="B119">
            <v>1440867</v>
          </cell>
          <cell r="C119" t="str">
            <v>KANG BOHAY CELL</v>
          </cell>
        </row>
        <row r="120">
          <cell r="B120">
            <v>1287430</v>
          </cell>
          <cell r="C120" t="str">
            <v>MAHARANI CELL</v>
          </cell>
        </row>
        <row r="121">
          <cell r="B121">
            <v>719779</v>
          </cell>
          <cell r="C121" t="str">
            <v>MAHESA II</v>
          </cell>
        </row>
        <row r="122">
          <cell r="B122">
            <v>1082052</v>
          </cell>
          <cell r="C122" t="str">
            <v>mandiri cell</v>
          </cell>
        </row>
        <row r="123">
          <cell r="B123">
            <v>606476</v>
          </cell>
          <cell r="C123" t="str">
            <v>MEYRA CELL</v>
          </cell>
        </row>
        <row r="124">
          <cell r="B124">
            <v>1318203</v>
          </cell>
          <cell r="C124" t="str">
            <v>MM CELL</v>
          </cell>
        </row>
        <row r="125">
          <cell r="B125">
            <v>1549594</v>
          </cell>
          <cell r="C125" t="str">
            <v>MRIH REALOAD</v>
          </cell>
        </row>
        <row r="126">
          <cell r="B126">
            <v>1314201</v>
          </cell>
          <cell r="C126" t="str">
            <v>MULUS CELL</v>
          </cell>
        </row>
        <row r="127">
          <cell r="B127">
            <v>637688</v>
          </cell>
          <cell r="C127" t="str">
            <v>NAUFAL CELL</v>
          </cell>
        </row>
        <row r="128">
          <cell r="B128">
            <v>17527596</v>
          </cell>
          <cell r="C128" t="str">
            <v>RAZ CELL</v>
          </cell>
        </row>
        <row r="129">
          <cell r="B129">
            <v>17434263</v>
          </cell>
          <cell r="C129" t="str">
            <v>RIFKI 3 CELL</v>
          </cell>
        </row>
        <row r="130">
          <cell r="B130">
            <v>519500</v>
          </cell>
          <cell r="C130" t="str">
            <v>RIFKI CELL</v>
          </cell>
        </row>
        <row r="131">
          <cell r="B131">
            <v>17191889</v>
          </cell>
          <cell r="C131" t="str">
            <v>Rizieq Cell</v>
          </cell>
        </row>
        <row r="132">
          <cell r="B132">
            <v>17269505</v>
          </cell>
          <cell r="C132" t="str">
            <v>RR cell</v>
          </cell>
        </row>
        <row r="133">
          <cell r="B133">
            <v>17537976</v>
          </cell>
          <cell r="C133" t="str">
            <v>Sand 99 cell</v>
          </cell>
        </row>
        <row r="134">
          <cell r="B134">
            <v>17471976</v>
          </cell>
          <cell r="C134" t="str">
            <v>Umaid techno cell</v>
          </cell>
        </row>
        <row r="135">
          <cell r="B135">
            <v>522103</v>
          </cell>
          <cell r="C135" t="str">
            <v>WARUNG CELL</v>
          </cell>
        </row>
        <row r="136">
          <cell r="B136">
            <v>17529328</v>
          </cell>
          <cell r="C136" t="str">
            <v>Hokki cell</v>
          </cell>
        </row>
        <row r="137">
          <cell r="B137">
            <v>17441644</v>
          </cell>
          <cell r="C137" t="str">
            <v>Mahira Cell</v>
          </cell>
        </row>
        <row r="138">
          <cell r="B138">
            <v>17442386</v>
          </cell>
          <cell r="C138" t="str">
            <v>Niechan Cell</v>
          </cell>
        </row>
        <row r="139">
          <cell r="B139">
            <v>17520169</v>
          </cell>
          <cell r="C139" t="str">
            <v>Top Store Pelda</v>
          </cell>
        </row>
        <row r="140">
          <cell r="B140">
            <v>1342988</v>
          </cell>
          <cell r="C140" t="str">
            <v>RAIHAN CELL</v>
          </cell>
        </row>
        <row r="141">
          <cell r="B141">
            <v>922424</v>
          </cell>
          <cell r="C141" t="str">
            <v>salsabila cell</v>
          </cell>
        </row>
        <row r="142">
          <cell r="B142">
            <v>17044136</v>
          </cell>
          <cell r="C142" t="str">
            <v>Perfect Cell</v>
          </cell>
        </row>
        <row r="143">
          <cell r="B143">
            <v>1485203</v>
          </cell>
          <cell r="C143" t="str">
            <v>TRANSFARAN CELL</v>
          </cell>
        </row>
        <row r="144">
          <cell r="B144">
            <v>17463975</v>
          </cell>
          <cell r="C144" t="str">
            <v>Byantara 3</v>
          </cell>
        </row>
        <row r="145">
          <cell r="B145">
            <v>17405656</v>
          </cell>
          <cell r="C145" t="str">
            <v>Iyo cell</v>
          </cell>
        </row>
        <row r="146">
          <cell r="B146">
            <v>17207040</v>
          </cell>
          <cell r="C146" t="str">
            <v>KATENZO</v>
          </cell>
        </row>
        <row r="147">
          <cell r="B147">
            <v>17403360</v>
          </cell>
          <cell r="C147" t="str">
            <v>MUKTI CELL</v>
          </cell>
        </row>
        <row r="148">
          <cell r="B148">
            <v>1342977</v>
          </cell>
          <cell r="C148" t="str">
            <v>UYA CELL</v>
          </cell>
        </row>
        <row r="149">
          <cell r="B149">
            <v>17588317</v>
          </cell>
          <cell r="C149" t="str">
            <v>Wijaya Cell</v>
          </cell>
        </row>
        <row r="150">
          <cell r="B150">
            <v>17686023</v>
          </cell>
          <cell r="C150" t="str">
            <v>ALBIRU CELL</v>
          </cell>
        </row>
        <row r="151">
          <cell r="B151">
            <v>17212974</v>
          </cell>
          <cell r="C151" t="str">
            <v>S. Store</v>
          </cell>
        </row>
        <row r="152">
          <cell r="B152">
            <v>1447903</v>
          </cell>
          <cell r="C152" t="str">
            <v>UTEP CELL</v>
          </cell>
        </row>
        <row r="153">
          <cell r="B153">
            <v>17258727</v>
          </cell>
          <cell r="C153" t="str">
            <v>BAROKAH 2 CELL</v>
          </cell>
        </row>
        <row r="154">
          <cell r="B154">
            <v>1331726</v>
          </cell>
          <cell r="C154" t="str">
            <v>ABADI CELL</v>
          </cell>
        </row>
        <row r="155">
          <cell r="B155">
            <v>17436447</v>
          </cell>
          <cell r="C155" t="str">
            <v>AD CELL</v>
          </cell>
        </row>
        <row r="156">
          <cell r="B156">
            <v>17011349</v>
          </cell>
          <cell r="C156" t="str">
            <v>Afrin Cell</v>
          </cell>
        </row>
        <row r="157">
          <cell r="B157">
            <v>1373025</v>
          </cell>
          <cell r="C157" t="str">
            <v>ai cell</v>
          </cell>
        </row>
        <row r="158">
          <cell r="B158">
            <v>17554936</v>
          </cell>
          <cell r="C158" t="str">
            <v>ajengsta</v>
          </cell>
        </row>
        <row r="159">
          <cell r="B159">
            <v>1304561</v>
          </cell>
          <cell r="C159" t="str">
            <v>ANEKA CELL</v>
          </cell>
        </row>
        <row r="160">
          <cell r="B160">
            <v>1540539</v>
          </cell>
          <cell r="C160" t="str">
            <v>ANGKASA 4</v>
          </cell>
        </row>
        <row r="161">
          <cell r="B161">
            <v>1540541</v>
          </cell>
          <cell r="C161" t="str">
            <v>ANGKASA 5</v>
          </cell>
        </row>
        <row r="162">
          <cell r="B162">
            <v>1340384</v>
          </cell>
          <cell r="C162" t="str">
            <v>ARIF CELL</v>
          </cell>
        </row>
        <row r="163">
          <cell r="B163">
            <v>17554857</v>
          </cell>
          <cell r="C163" t="str">
            <v>Arwana cell</v>
          </cell>
        </row>
        <row r="164">
          <cell r="B164">
            <v>1527938</v>
          </cell>
          <cell r="C164" t="str">
            <v>ASYSYIFA CELL</v>
          </cell>
        </row>
        <row r="165">
          <cell r="B165">
            <v>17599782</v>
          </cell>
          <cell r="C165" t="str">
            <v>Azlan Cell</v>
          </cell>
        </row>
        <row r="166">
          <cell r="B166">
            <v>1339391</v>
          </cell>
          <cell r="C166" t="str">
            <v>BABA CELL</v>
          </cell>
        </row>
        <row r="167">
          <cell r="B167">
            <v>17600558</v>
          </cell>
          <cell r="C167" t="str">
            <v>Barokah Cel</v>
          </cell>
        </row>
        <row r="168">
          <cell r="B168">
            <v>1305520</v>
          </cell>
          <cell r="C168" t="str">
            <v>BAROKAH CELL</v>
          </cell>
        </row>
        <row r="169">
          <cell r="B169">
            <v>17599787</v>
          </cell>
          <cell r="C169" t="str">
            <v>Barra Cell</v>
          </cell>
        </row>
        <row r="170">
          <cell r="B170">
            <v>1340527</v>
          </cell>
          <cell r="C170" t="str">
            <v>BENTO CELL</v>
          </cell>
        </row>
        <row r="171">
          <cell r="B171">
            <v>1530029</v>
          </cell>
          <cell r="C171" t="str">
            <v>bewok cell</v>
          </cell>
        </row>
        <row r="172">
          <cell r="B172">
            <v>1354906</v>
          </cell>
          <cell r="C172" t="str">
            <v>BIMA CELL R</v>
          </cell>
        </row>
        <row r="173">
          <cell r="B173">
            <v>17545880</v>
          </cell>
          <cell r="C173" t="str">
            <v>Biru Server</v>
          </cell>
        </row>
        <row r="174">
          <cell r="B174">
            <v>17545882</v>
          </cell>
          <cell r="C174" t="str">
            <v>Biru Server 2</v>
          </cell>
        </row>
        <row r="175">
          <cell r="B175">
            <v>643037</v>
          </cell>
          <cell r="C175" t="str">
            <v>BSM CELL</v>
          </cell>
        </row>
        <row r="176">
          <cell r="B176">
            <v>1524887</v>
          </cell>
          <cell r="C176" t="str">
            <v>buana 002</v>
          </cell>
        </row>
        <row r="177">
          <cell r="B177">
            <v>1524888</v>
          </cell>
          <cell r="C177" t="str">
            <v>buana 003</v>
          </cell>
        </row>
        <row r="178">
          <cell r="B178">
            <v>1524889</v>
          </cell>
          <cell r="C178" t="str">
            <v>buana 004</v>
          </cell>
        </row>
        <row r="179">
          <cell r="B179">
            <v>1524890</v>
          </cell>
          <cell r="C179" t="str">
            <v>buana 005</v>
          </cell>
        </row>
        <row r="180">
          <cell r="B180">
            <v>1331959</v>
          </cell>
          <cell r="C180" t="str">
            <v>BUANA PULSA</v>
          </cell>
        </row>
        <row r="181">
          <cell r="B181">
            <v>1525048</v>
          </cell>
          <cell r="C181" t="str">
            <v>buana pulsa 001</v>
          </cell>
        </row>
        <row r="182">
          <cell r="B182">
            <v>1525049</v>
          </cell>
          <cell r="C182" t="str">
            <v>buana pulsa 002</v>
          </cell>
        </row>
        <row r="183">
          <cell r="B183">
            <v>1525050</v>
          </cell>
          <cell r="C183" t="str">
            <v>buana pulsa 003</v>
          </cell>
        </row>
        <row r="184">
          <cell r="B184">
            <v>1525053</v>
          </cell>
          <cell r="C184" t="str">
            <v>buana pulsa 004</v>
          </cell>
        </row>
        <row r="185">
          <cell r="B185">
            <v>1525057</v>
          </cell>
          <cell r="C185" t="str">
            <v>buana pulsa 005</v>
          </cell>
        </row>
        <row r="186">
          <cell r="B186">
            <v>1534485</v>
          </cell>
          <cell r="C186" t="str">
            <v>buana08</v>
          </cell>
        </row>
        <row r="187">
          <cell r="B187">
            <v>1535949</v>
          </cell>
          <cell r="C187" t="str">
            <v>buana11</v>
          </cell>
        </row>
        <row r="188">
          <cell r="B188">
            <v>1536106</v>
          </cell>
          <cell r="C188" t="str">
            <v>buana16</v>
          </cell>
        </row>
        <row r="189">
          <cell r="B189">
            <v>1536107</v>
          </cell>
          <cell r="C189" t="str">
            <v>buana17</v>
          </cell>
        </row>
        <row r="190">
          <cell r="B190">
            <v>1536108</v>
          </cell>
          <cell r="C190" t="str">
            <v>buana18</v>
          </cell>
        </row>
        <row r="191">
          <cell r="B191">
            <v>1536109</v>
          </cell>
          <cell r="C191" t="str">
            <v>buana19</v>
          </cell>
        </row>
        <row r="192">
          <cell r="B192">
            <v>17545811</v>
          </cell>
          <cell r="C192" t="str">
            <v>buana29</v>
          </cell>
        </row>
        <row r="193">
          <cell r="B193">
            <v>1555889</v>
          </cell>
          <cell r="C193" t="str">
            <v>cakra cell</v>
          </cell>
        </row>
        <row r="194">
          <cell r="B194">
            <v>1529337</v>
          </cell>
          <cell r="C194" t="str">
            <v>cakra1</v>
          </cell>
        </row>
        <row r="195">
          <cell r="B195">
            <v>1530027</v>
          </cell>
          <cell r="C195" t="str">
            <v>cakra10</v>
          </cell>
        </row>
        <row r="196">
          <cell r="B196">
            <v>1530028</v>
          </cell>
          <cell r="C196" t="str">
            <v>cakra11</v>
          </cell>
        </row>
        <row r="197">
          <cell r="B197">
            <v>1530030</v>
          </cell>
          <cell r="C197" t="str">
            <v>cakra12</v>
          </cell>
        </row>
        <row r="198">
          <cell r="B198">
            <v>1530041</v>
          </cell>
          <cell r="C198" t="str">
            <v>cakra13</v>
          </cell>
        </row>
        <row r="199">
          <cell r="B199">
            <v>1530042</v>
          </cell>
          <cell r="C199" t="str">
            <v>cakra14</v>
          </cell>
        </row>
        <row r="200">
          <cell r="B200">
            <v>1529340</v>
          </cell>
          <cell r="C200" t="str">
            <v>cakra2</v>
          </cell>
        </row>
        <row r="201">
          <cell r="B201">
            <v>1529341</v>
          </cell>
          <cell r="C201" t="str">
            <v>cakra3</v>
          </cell>
        </row>
        <row r="202">
          <cell r="B202">
            <v>1529343</v>
          </cell>
          <cell r="C202" t="str">
            <v>cakra4</v>
          </cell>
        </row>
        <row r="203">
          <cell r="B203">
            <v>1529346</v>
          </cell>
          <cell r="C203" t="str">
            <v>cakra5</v>
          </cell>
        </row>
        <row r="204">
          <cell r="B204">
            <v>1530007</v>
          </cell>
          <cell r="C204" t="str">
            <v>cakra6</v>
          </cell>
        </row>
        <row r="205">
          <cell r="B205">
            <v>1530008</v>
          </cell>
          <cell r="C205" t="str">
            <v>cakra7</v>
          </cell>
        </row>
        <row r="206">
          <cell r="B206">
            <v>1530009</v>
          </cell>
          <cell r="C206" t="str">
            <v>cakra8</v>
          </cell>
        </row>
        <row r="207">
          <cell r="B207">
            <v>1530014</v>
          </cell>
          <cell r="C207" t="str">
            <v>cakra9</v>
          </cell>
        </row>
        <row r="208">
          <cell r="B208">
            <v>503799</v>
          </cell>
          <cell r="C208" t="str">
            <v>CAKRAPULSA</v>
          </cell>
        </row>
        <row r="209">
          <cell r="B209">
            <v>1559304</v>
          </cell>
          <cell r="C209" t="str">
            <v>century celluler</v>
          </cell>
        </row>
        <row r="210">
          <cell r="B210">
            <v>1295705</v>
          </cell>
          <cell r="C210" t="str">
            <v>CERIA CELL</v>
          </cell>
        </row>
        <row r="211">
          <cell r="B211">
            <v>1340736</v>
          </cell>
          <cell r="C211" t="str">
            <v>CERIA CELL</v>
          </cell>
        </row>
        <row r="212">
          <cell r="B212">
            <v>1530376</v>
          </cell>
          <cell r="C212" t="str">
            <v>cherlycell magnum</v>
          </cell>
        </row>
        <row r="213">
          <cell r="B213">
            <v>1530383</v>
          </cell>
          <cell r="C213" t="str">
            <v>cherlycell magnum3</v>
          </cell>
        </row>
        <row r="214">
          <cell r="B214">
            <v>1530467</v>
          </cell>
          <cell r="C214" t="str">
            <v>cherlycell magnum4</v>
          </cell>
        </row>
        <row r="215">
          <cell r="B215">
            <v>772671</v>
          </cell>
          <cell r="C215" t="str">
            <v>cosmo</v>
          </cell>
        </row>
        <row r="216">
          <cell r="B216">
            <v>1525058</v>
          </cell>
          <cell r="C216" t="str">
            <v>COSMO.1</v>
          </cell>
        </row>
        <row r="217">
          <cell r="B217">
            <v>1525061</v>
          </cell>
          <cell r="C217" t="str">
            <v>COSMO.2</v>
          </cell>
        </row>
        <row r="218">
          <cell r="B218">
            <v>1525064</v>
          </cell>
          <cell r="C218" t="str">
            <v>COSMO.3</v>
          </cell>
        </row>
        <row r="219">
          <cell r="B219">
            <v>1525066</v>
          </cell>
          <cell r="C219" t="str">
            <v>COSMO.4</v>
          </cell>
        </row>
        <row r="220">
          <cell r="B220">
            <v>17554876</v>
          </cell>
          <cell r="C220" t="str">
            <v>DIANZ CELL</v>
          </cell>
        </row>
        <row r="221">
          <cell r="B221">
            <v>17421138</v>
          </cell>
          <cell r="C221" t="str">
            <v>DTG PULSA</v>
          </cell>
        </row>
        <row r="222">
          <cell r="B222">
            <v>17595461</v>
          </cell>
          <cell r="C222" t="str">
            <v>DUFFS</v>
          </cell>
        </row>
        <row r="223">
          <cell r="B223">
            <v>1531200</v>
          </cell>
          <cell r="C223" t="str">
            <v>e-flash</v>
          </cell>
        </row>
        <row r="224">
          <cell r="B224">
            <v>17157766</v>
          </cell>
          <cell r="C224" t="str">
            <v>Family cell</v>
          </cell>
        </row>
        <row r="225">
          <cell r="B225">
            <v>1340132</v>
          </cell>
          <cell r="C225" t="str">
            <v>FLASH CELL</v>
          </cell>
        </row>
        <row r="226">
          <cell r="B226">
            <v>17545843</v>
          </cell>
          <cell r="C226" t="str">
            <v>GALAXY 2</v>
          </cell>
        </row>
        <row r="227">
          <cell r="B227">
            <v>1293962</v>
          </cell>
          <cell r="C227" t="str">
            <v>GENTA CELL</v>
          </cell>
        </row>
        <row r="228">
          <cell r="B228">
            <v>17545866</v>
          </cell>
          <cell r="C228" t="str">
            <v>Kang bohay 2</v>
          </cell>
        </row>
        <row r="229">
          <cell r="B229">
            <v>1374476</v>
          </cell>
          <cell r="C229" t="str">
            <v>KATENZO CELL</v>
          </cell>
        </row>
        <row r="230">
          <cell r="B230">
            <v>17545874</v>
          </cell>
          <cell r="C230" t="str">
            <v>Kencerver</v>
          </cell>
        </row>
        <row r="231">
          <cell r="B231">
            <v>1340514</v>
          </cell>
          <cell r="C231" t="str">
            <v>KHOLIK CELL</v>
          </cell>
        </row>
        <row r="232">
          <cell r="B232">
            <v>1340512</v>
          </cell>
          <cell r="C232" t="str">
            <v>M DAFFA CELL</v>
          </cell>
        </row>
        <row r="233">
          <cell r="B233">
            <v>17548536</v>
          </cell>
          <cell r="C233" t="str">
            <v>Mall server 1</v>
          </cell>
        </row>
        <row r="234">
          <cell r="B234">
            <v>17545865</v>
          </cell>
          <cell r="C234" t="str">
            <v>Mall server 2</v>
          </cell>
        </row>
        <row r="235">
          <cell r="B235">
            <v>17545863</v>
          </cell>
          <cell r="C235" t="str">
            <v>Mandiri 3</v>
          </cell>
        </row>
        <row r="236">
          <cell r="B236">
            <v>1340516</v>
          </cell>
          <cell r="C236" t="str">
            <v>MARGA CELL</v>
          </cell>
        </row>
        <row r="237">
          <cell r="B237">
            <v>1441598</v>
          </cell>
          <cell r="C237" t="str">
            <v>MEDIA CEL</v>
          </cell>
        </row>
        <row r="238">
          <cell r="B238">
            <v>510714</v>
          </cell>
          <cell r="C238" t="str">
            <v>MS CENTRAL</v>
          </cell>
        </row>
        <row r="239">
          <cell r="B239">
            <v>637744</v>
          </cell>
          <cell r="C239" t="str">
            <v>MURAH CELL</v>
          </cell>
        </row>
        <row r="240">
          <cell r="B240">
            <v>509222</v>
          </cell>
          <cell r="C240" t="str">
            <v>NANI CELL</v>
          </cell>
        </row>
        <row r="241">
          <cell r="B241">
            <v>1340511</v>
          </cell>
          <cell r="C241" t="str">
            <v>NANO CELL</v>
          </cell>
        </row>
        <row r="242">
          <cell r="B242">
            <v>17554929</v>
          </cell>
          <cell r="C242" t="str">
            <v>nevergiveup</v>
          </cell>
        </row>
        <row r="243">
          <cell r="B243">
            <v>17545693</v>
          </cell>
          <cell r="C243" t="str">
            <v>Nidi 1</v>
          </cell>
        </row>
        <row r="244">
          <cell r="B244">
            <v>1332205</v>
          </cell>
          <cell r="C244" t="str">
            <v>NIDI PULSA</v>
          </cell>
        </row>
        <row r="245">
          <cell r="B245">
            <v>17356471</v>
          </cell>
          <cell r="C245" t="str">
            <v>Nidi pulsa</v>
          </cell>
        </row>
        <row r="246">
          <cell r="B246">
            <v>17545727</v>
          </cell>
          <cell r="C246" t="str">
            <v>Nidi2</v>
          </cell>
        </row>
        <row r="247">
          <cell r="B247">
            <v>1340133</v>
          </cell>
          <cell r="C247" t="str">
            <v>NURMALASARI CELL</v>
          </cell>
        </row>
        <row r="248">
          <cell r="B248">
            <v>17554911</v>
          </cell>
          <cell r="C248" t="str">
            <v>ocon realod</v>
          </cell>
        </row>
        <row r="249">
          <cell r="B249">
            <v>1338578</v>
          </cell>
          <cell r="C249" t="str">
            <v>OE CELL</v>
          </cell>
        </row>
        <row r="250">
          <cell r="B250">
            <v>1529834</v>
          </cell>
          <cell r="C250" t="str">
            <v>oe1</v>
          </cell>
        </row>
        <row r="251">
          <cell r="B251">
            <v>1529835</v>
          </cell>
          <cell r="C251" t="str">
            <v>oe1</v>
          </cell>
        </row>
        <row r="252">
          <cell r="B252">
            <v>1529836</v>
          </cell>
          <cell r="C252" t="str">
            <v>oe1</v>
          </cell>
        </row>
        <row r="253">
          <cell r="B253">
            <v>1529837</v>
          </cell>
          <cell r="C253" t="str">
            <v>oe1</v>
          </cell>
        </row>
        <row r="254">
          <cell r="B254">
            <v>637709</v>
          </cell>
          <cell r="C254" t="str">
            <v>PALAPA CELL</v>
          </cell>
        </row>
        <row r="255">
          <cell r="B255">
            <v>1550305</v>
          </cell>
          <cell r="C255" t="str">
            <v>PENJUAL PULSA</v>
          </cell>
        </row>
        <row r="256">
          <cell r="B256">
            <v>1530059</v>
          </cell>
          <cell r="C256" t="str">
            <v>penjual pulsa 1</v>
          </cell>
        </row>
        <row r="257">
          <cell r="B257">
            <v>1530815</v>
          </cell>
          <cell r="C257" t="str">
            <v>PENJUAL PULSA 2</v>
          </cell>
        </row>
        <row r="258">
          <cell r="B258">
            <v>508419</v>
          </cell>
          <cell r="C258" t="str">
            <v>QIFA CELL</v>
          </cell>
        </row>
        <row r="259">
          <cell r="B259">
            <v>17141504</v>
          </cell>
          <cell r="C259" t="str">
            <v>Rafi Reload 2</v>
          </cell>
        </row>
        <row r="260">
          <cell r="B260">
            <v>17599816</v>
          </cell>
          <cell r="C260" t="str">
            <v>RAM Cell</v>
          </cell>
        </row>
        <row r="261">
          <cell r="B261">
            <v>17456328</v>
          </cell>
          <cell r="C261" t="str">
            <v>Ratu pay</v>
          </cell>
        </row>
        <row r="262">
          <cell r="B262">
            <v>17545813</v>
          </cell>
          <cell r="C262" t="str">
            <v>ratu reaload</v>
          </cell>
        </row>
        <row r="263">
          <cell r="B263">
            <v>17011134</v>
          </cell>
          <cell r="C263" t="str">
            <v>Ressa cell</v>
          </cell>
        </row>
        <row r="264">
          <cell r="B264">
            <v>17202802</v>
          </cell>
          <cell r="C264" t="str">
            <v>SADEWA CELL</v>
          </cell>
        </row>
        <row r="265">
          <cell r="B265">
            <v>1494216</v>
          </cell>
          <cell r="C265" t="str">
            <v>SADEWA PULSA</v>
          </cell>
        </row>
        <row r="266">
          <cell r="B266">
            <v>1530024</v>
          </cell>
          <cell r="C266" t="str">
            <v>sadewa pulsa 2</v>
          </cell>
        </row>
        <row r="267">
          <cell r="B267">
            <v>17545872</v>
          </cell>
          <cell r="C267" t="str">
            <v>Sahabat anggi</v>
          </cell>
        </row>
        <row r="268">
          <cell r="B268">
            <v>1077794</v>
          </cell>
          <cell r="C268" t="str">
            <v>SIMASTEL</v>
          </cell>
        </row>
        <row r="269">
          <cell r="B269">
            <v>1530073</v>
          </cell>
          <cell r="C269" t="str">
            <v>SIMASTEL 1</v>
          </cell>
        </row>
        <row r="270">
          <cell r="B270">
            <v>1530107</v>
          </cell>
          <cell r="C270" t="str">
            <v>SIMASTEL 2</v>
          </cell>
        </row>
        <row r="271">
          <cell r="B271">
            <v>1530108</v>
          </cell>
          <cell r="C271" t="str">
            <v>SIMASTEL 3</v>
          </cell>
        </row>
        <row r="272">
          <cell r="B272">
            <v>1530111</v>
          </cell>
          <cell r="C272" t="str">
            <v>SIMASTEL 5</v>
          </cell>
        </row>
        <row r="273">
          <cell r="B273">
            <v>1530112</v>
          </cell>
          <cell r="C273" t="str">
            <v>SIMASTEL 6</v>
          </cell>
        </row>
        <row r="274">
          <cell r="B274">
            <v>1530113</v>
          </cell>
          <cell r="C274" t="str">
            <v>SIMASTEL 7</v>
          </cell>
        </row>
        <row r="275">
          <cell r="B275">
            <v>17545718</v>
          </cell>
          <cell r="C275" t="str">
            <v>SIMASTEL_2</v>
          </cell>
        </row>
        <row r="276">
          <cell r="B276">
            <v>17600497</v>
          </cell>
          <cell r="C276" t="str">
            <v>Simps cell</v>
          </cell>
        </row>
        <row r="277">
          <cell r="B277">
            <v>17545827</v>
          </cell>
          <cell r="C277" t="str">
            <v>Sin cel server</v>
          </cell>
        </row>
        <row r="278">
          <cell r="B278">
            <v>17545832</v>
          </cell>
          <cell r="C278" t="str">
            <v>Sin server 2</v>
          </cell>
        </row>
        <row r="279">
          <cell r="B279">
            <v>1381995</v>
          </cell>
          <cell r="C279" t="str">
            <v>SION2</v>
          </cell>
        </row>
        <row r="280">
          <cell r="B280">
            <v>780510</v>
          </cell>
          <cell r="C280" t="str">
            <v>Sri Cell</v>
          </cell>
        </row>
        <row r="281">
          <cell r="B281">
            <v>17154114</v>
          </cell>
          <cell r="C281" t="str">
            <v>starking cell</v>
          </cell>
        </row>
        <row r="282">
          <cell r="B282">
            <v>1291980</v>
          </cell>
          <cell r="C282" t="str">
            <v>SURYA KENCANA PULSA</v>
          </cell>
        </row>
        <row r="283">
          <cell r="B283">
            <v>1297001</v>
          </cell>
          <cell r="C283" t="str">
            <v>SYAHDA CELL</v>
          </cell>
        </row>
        <row r="284">
          <cell r="B284">
            <v>1525740</v>
          </cell>
          <cell r="C284" t="str">
            <v>TIMUR 04</v>
          </cell>
        </row>
        <row r="285">
          <cell r="B285">
            <v>1525741</v>
          </cell>
          <cell r="C285" t="str">
            <v>TIMUR 05</v>
          </cell>
        </row>
        <row r="286">
          <cell r="B286">
            <v>714767</v>
          </cell>
          <cell r="C286" t="str">
            <v>TIMUR CELL</v>
          </cell>
        </row>
        <row r="287">
          <cell r="B287">
            <v>17545722</v>
          </cell>
          <cell r="C287" t="str">
            <v>TIMUR_2</v>
          </cell>
        </row>
        <row r="288">
          <cell r="B288">
            <v>17545844</v>
          </cell>
          <cell r="C288" t="str">
            <v>Trust server 1</v>
          </cell>
        </row>
        <row r="289">
          <cell r="B289">
            <v>17545846</v>
          </cell>
          <cell r="C289" t="str">
            <v>Trust server 2</v>
          </cell>
        </row>
        <row r="290">
          <cell r="B290">
            <v>1340134</v>
          </cell>
          <cell r="C290" t="str">
            <v>WANDY CELL</v>
          </cell>
        </row>
        <row r="291">
          <cell r="B291">
            <v>1340498</v>
          </cell>
          <cell r="C291" t="str">
            <v>WARNET AGIS</v>
          </cell>
        </row>
        <row r="292">
          <cell r="B292">
            <v>1340528</v>
          </cell>
          <cell r="C292" t="str">
            <v>WR BU EMOT CELL</v>
          </cell>
        </row>
        <row r="293">
          <cell r="B293">
            <v>17600505</v>
          </cell>
          <cell r="C293" t="str">
            <v>Zulkarnaen Cell</v>
          </cell>
        </row>
        <row r="294">
          <cell r="B294">
            <v>17421141</v>
          </cell>
          <cell r="C294" t="str">
            <v>DTG RELOAD</v>
          </cell>
        </row>
        <row r="295">
          <cell r="B295">
            <v>17014883</v>
          </cell>
          <cell r="C295" t="str">
            <v>MEGA ACSES 1</v>
          </cell>
        </row>
        <row r="296">
          <cell r="B296">
            <v>17014885</v>
          </cell>
          <cell r="C296" t="str">
            <v>MEGA ACSES 3</v>
          </cell>
        </row>
        <row r="297">
          <cell r="B297">
            <v>998553</v>
          </cell>
          <cell r="C297" t="str">
            <v>ronal</v>
          </cell>
        </row>
        <row r="298">
          <cell r="B298">
            <v>17361203</v>
          </cell>
          <cell r="C298" t="str">
            <v>SADEWA PRO 1</v>
          </cell>
        </row>
        <row r="299">
          <cell r="B299">
            <v>17361207</v>
          </cell>
          <cell r="C299" t="str">
            <v>SADEWA PRO 2</v>
          </cell>
        </row>
        <row r="300">
          <cell r="B300">
            <v>17361209</v>
          </cell>
          <cell r="C300" t="str">
            <v>SADEWA PRO 3</v>
          </cell>
        </row>
        <row r="301">
          <cell r="B301">
            <v>17365760</v>
          </cell>
          <cell r="C301" t="str">
            <v>SADEWA PRO 4</v>
          </cell>
        </row>
        <row r="302">
          <cell r="B302">
            <v>17363999</v>
          </cell>
          <cell r="C302" t="str">
            <v>SADEWA PRO 5</v>
          </cell>
        </row>
        <row r="303">
          <cell r="B303">
            <v>1529652</v>
          </cell>
          <cell r="C303" t="str">
            <v>TWINS 1 SERVER</v>
          </cell>
        </row>
        <row r="304">
          <cell r="B304">
            <v>1525743</v>
          </cell>
          <cell r="C304" t="str">
            <v>TWINS 10 SERVER</v>
          </cell>
        </row>
        <row r="305">
          <cell r="B305">
            <v>1529653</v>
          </cell>
          <cell r="C305" t="str">
            <v>TWINS 2 SERVER</v>
          </cell>
        </row>
        <row r="306">
          <cell r="B306">
            <v>1529654</v>
          </cell>
          <cell r="C306" t="str">
            <v>TWINS 3 SERVER</v>
          </cell>
        </row>
        <row r="307">
          <cell r="B307">
            <v>1529655</v>
          </cell>
          <cell r="C307" t="str">
            <v>TWINS 4 SERVER</v>
          </cell>
        </row>
        <row r="308">
          <cell r="B308">
            <v>1529657</v>
          </cell>
          <cell r="C308" t="str">
            <v>TWINS 5 SERVER</v>
          </cell>
        </row>
        <row r="309">
          <cell r="B309">
            <v>1529658</v>
          </cell>
          <cell r="C309" t="str">
            <v>TWINS 6 SERVER</v>
          </cell>
        </row>
        <row r="310">
          <cell r="B310">
            <v>1529660</v>
          </cell>
          <cell r="C310" t="str">
            <v>TWINS 7 SERVER</v>
          </cell>
        </row>
        <row r="311">
          <cell r="B311">
            <v>1529662</v>
          </cell>
          <cell r="C311" t="str">
            <v>TWINS 8 SERVER</v>
          </cell>
        </row>
        <row r="312">
          <cell r="B312">
            <v>1529663</v>
          </cell>
          <cell r="C312" t="str">
            <v>TWINS 9 SERVER</v>
          </cell>
        </row>
        <row r="313">
          <cell r="B313">
            <v>638039</v>
          </cell>
          <cell r="C313" t="str">
            <v>TWINS CELL</v>
          </cell>
        </row>
        <row r="314">
          <cell r="B314">
            <v>17616125</v>
          </cell>
          <cell r="C314" t="str">
            <v>Aida cell</v>
          </cell>
        </row>
        <row r="315">
          <cell r="B315">
            <v>17615787</v>
          </cell>
          <cell r="C315" t="str">
            <v>Putri cell</v>
          </cell>
        </row>
        <row r="316">
          <cell r="B316">
            <v>17616079</v>
          </cell>
          <cell r="C316" t="str">
            <v>Nine cell</v>
          </cell>
        </row>
        <row r="317">
          <cell r="B317">
            <v>17615807</v>
          </cell>
          <cell r="C317" t="str">
            <v>Lala cell</v>
          </cell>
        </row>
        <row r="318">
          <cell r="B318">
            <v>17616236</v>
          </cell>
          <cell r="C318" t="str">
            <v>Fast cell</v>
          </cell>
        </row>
        <row r="319">
          <cell r="B319">
            <v>17615741</v>
          </cell>
          <cell r="C319" t="str">
            <v>Agung cell</v>
          </cell>
        </row>
        <row r="320">
          <cell r="B320">
            <v>17616240</v>
          </cell>
          <cell r="C320" t="str">
            <v>Miya Cell</v>
          </cell>
        </row>
        <row r="321">
          <cell r="B321">
            <v>17615779</v>
          </cell>
          <cell r="C321" t="str">
            <v>Twizz Cell</v>
          </cell>
        </row>
        <row r="322">
          <cell r="B322">
            <v>17612223</v>
          </cell>
          <cell r="C322" t="str">
            <v>Master cell</v>
          </cell>
        </row>
        <row r="323">
          <cell r="B323">
            <v>17616257</v>
          </cell>
          <cell r="C323" t="str">
            <v>Gereget cell</v>
          </cell>
        </row>
        <row r="324">
          <cell r="B324">
            <v>17616255</v>
          </cell>
          <cell r="C324" t="str">
            <v>WIN CELL</v>
          </cell>
        </row>
        <row r="325">
          <cell r="B325">
            <v>17615827</v>
          </cell>
          <cell r="C325" t="str">
            <v>SMITH CELL</v>
          </cell>
        </row>
        <row r="326">
          <cell r="B326">
            <v>1306890</v>
          </cell>
          <cell r="C326" t="str">
            <v>DENS CELL</v>
          </cell>
        </row>
        <row r="327">
          <cell r="B327">
            <v>17564993</v>
          </cell>
          <cell r="C327" t="str">
            <v>SATU CELL</v>
          </cell>
        </row>
        <row r="328">
          <cell r="B328">
            <v>17286132</v>
          </cell>
          <cell r="C328" t="str">
            <v>ROX cell</v>
          </cell>
        </row>
        <row r="329">
          <cell r="B329">
            <v>17139037</v>
          </cell>
          <cell r="C329" t="str">
            <v>Zayn Shabyan</v>
          </cell>
        </row>
        <row r="330">
          <cell r="B330">
            <v>17472986</v>
          </cell>
          <cell r="C330" t="str">
            <v>Ar store</v>
          </cell>
        </row>
        <row r="331">
          <cell r="B331">
            <v>17784795</v>
          </cell>
          <cell r="C331" t="str">
            <v>Arfan cell</v>
          </cell>
        </row>
        <row r="332">
          <cell r="B332">
            <v>1340064</v>
          </cell>
          <cell r="C332" t="str">
            <v>ASGAR CELL</v>
          </cell>
        </row>
        <row r="333">
          <cell r="B333">
            <v>17584736</v>
          </cell>
          <cell r="C333" t="str">
            <v>Aura cell</v>
          </cell>
        </row>
        <row r="334">
          <cell r="B334">
            <v>17768745</v>
          </cell>
          <cell r="C334" t="str">
            <v>Azlan</v>
          </cell>
        </row>
        <row r="335">
          <cell r="B335">
            <v>17232435</v>
          </cell>
          <cell r="C335" t="str">
            <v>Balqis cell</v>
          </cell>
        </row>
        <row r="336">
          <cell r="B336">
            <v>17158479</v>
          </cell>
          <cell r="C336" t="str">
            <v>Novo</v>
          </cell>
        </row>
        <row r="337">
          <cell r="B337">
            <v>17753504</v>
          </cell>
          <cell r="C337" t="str">
            <v>Barokah cell</v>
          </cell>
        </row>
        <row r="338">
          <cell r="B338">
            <v>17715009</v>
          </cell>
          <cell r="C338" t="str">
            <v>Bensu smi cell</v>
          </cell>
        </row>
        <row r="339">
          <cell r="B339">
            <v>17435717</v>
          </cell>
          <cell r="C339" t="str">
            <v>BERKAH SHOP</v>
          </cell>
        </row>
        <row r="340">
          <cell r="B340">
            <v>17444007</v>
          </cell>
          <cell r="C340" t="str">
            <v>Cepa Cell</v>
          </cell>
        </row>
        <row r="341">
          <cell r="B341">
            <v>17122390</v>
          </cell>
          <cell r="C341" t="str">
            <v>Cikal Cell</v>
          </cell>
        </row>
        <row r="342">
          <cell r="B342">
            <v>17238720</v>
          </cell>
          <cell r="C342" t="str">
            <v>Devi cell</v>
          </cell>
        </row>
        <row r="343">
          <cell r="B343">
            <v>1337824</v>
          </cell>
          <cell r="C343" t="str">
            <v>DIKA CELL</v>
          </cell>
        </row>
        <row r="344">
          <cell r="B344">
            <v>17147030</v>
          </cell>
          <cell r="C344" t="str">
            <v>DILLA CELL</v>
          </cell>
        </row>
        <row r="345">
          <cell r="B345">
            <v>17737573</v>
          </cell>
          <cell r="C345" t="str">
            <v>Dinamika cell</v>
          </cell>
        </row>
        <row r="346">
          <cell r="B346">
            <v>17322194</v>
          </cell>
          <cell r="C346" t="str">
            <v>Futsal CRM cell</v>
          </cell>
        </row>
        <row r="347">
          <cell r="B347">
            <v>17436214</v>
          </cell>
          <cell r="C347" t="str">
            <v>LIAN CELL</v>
          </cell>
        </row>
        <row r="348">
          <cell r="B348">
            <v>17447188</v>
          </cell>
          <cell r="C348" t="str">
            <v>Santos cell</v>
          </cell>
        </row>
        <row r="349">
          <cell r="B349">
            <v>1293378</v>
          </cell>
          <cell r="C349" t="str">
            <v>LIMA SAKTI</v>
          </cell>
        </row>
        <row r="350">
          <cell r="B350">
            <v>828809</v>
          </cell>
          <cell r="C350" t="str">
            <v>ALUX 2 CELL</v>
          </cell>
        </row>
        <row r="351">
          <cell r="B351">
            <v>17214750</v>
          </cell>
          <cell r="C351" t="str">
            <v>DK STORE</v>
          </cell>
        </row>
        <row r="352">
          <cell r="B352">
            <v>17753523</v>
          </cell>
          <cell r="C352" t="str">
            <v>DM cell</v>
          </cell>
        </row>
        <row r="353">
          <cell r="B353">
            <v>17140515</v>
          </cell>
          <cell r="C353" t="str">
            <v>RHADIT cell</v>
          </cell>
        </row>
        <row r="354">
          <cell r="B354">
            <v>17611992</v>
          </cell>
          <cell r="C354" t="str">
            <v>Dot cell</v>
          </cell>
        </row>
        <row r="355">
          <cell r="B355">
            <v>17804886</v>
          </cell>
          <cell r="C355" t="str">
            <v>DTG CELL</v>
          </cell>
        </row>
        <row r="356">
          <cell r="B356">
            <v>17249165</v>
          </cell>
          <cell r="C356" t="str">
            <v>Kerabat cellular</v>
          </cell>
        </row>
        <row r="357">
          <cell r="B357">
            <v>1331938</v>
          </cell>
          <cell r="C357" t="str">
            <v>dunia 2</v>
          </cell>
        </row>
        <row r="358">
          <cell r="B358">
            <v>17140609</v>
          </cell>
          <cell r="C358" t="str">
            <v>START KING</v>
          </cell>
        </row>
        <row r="359">
          <cell r="B359">
            <v>17355371</v>
          </cell>
          <cell r="C359" t="str">
            <v>EKSSHAR CELL</v>
          </cell>
        </row>
        <row r="360">
          <cell r="B360">
            <v>832280</v>
          </cell>
          <cell r="C360" t="str">
            <v>ALUX 1 CELL</v>
          </cell>
        </row>
        <row r="361">
          <cell r="B361">
            <v>17781803</v>
          </cell>
          <cell r="C361" t="str">
            <v>Enca cell</v>
          </cell>
        </row>
        <row r="362">
          <cell r="B362">
            <v>17195484</v>
          </cell>
          <cell r="C362" t="str">
            <v>Keykey cell</v>
          </cell>
        </row>
        <row r="363">
          <cell r="B363">
            <v>17407953</v>
          </cell>
          <cell r="C363" t="str">
            <v>Mangga cell</v>
          </cell>
        </row>
        <row r="364">
          <cell r="B364">
            <v>17673341</v>
          </cell>
          <cell r="C364" t="str">
            <v>Toko Faiz</v>
          </cell>
        </row>
        <row r="365">
          <cell r="B365">
            <v>1561388</v>
          </cell>
          <cell r="C365" t="str">
            <v>ALVIN CELL</v>
          </cell>
        </row>
        <row r="366">
          <cell r="B366">
            <v>509577</v>
          </cell>
          <cell r="C366" t="str">
            <v>ASTRI CELL</v>
          </cell>
        </row>
        <row r="367">
          <cell r="B367">
            <v>1288571</v>
          </cell>
          <cell r="C367" t="str">
            <v>BIHAM CELL</v>
          </cell>
        </row>
        <row r="368">
          <cell r="B368">
            <v>1294021</v>
          </cell>
          <cell r="C368" t="str">
            <v>CEPY CELL</v>
          </cell>
        </row>
        <row r="369">
          <cell r="B369">
            <v>1575027</v>
          </cell>
          <cell r="C369" t="str">
            <v>ESA CELL</v>
          </cell>
        </row>
        <row r="370">
          <cell r="B370">
            <v>1380019</v>
          </cell>
          <cell r="C370" t="str">
            <v>JODAS CELL</v>
          </cell>
        </row>
        <row r="371">
          <cell r="B371">
            <v>778907</v>
          </cell>
          <cell r="C371" t="str">
            <v>Mall Cell</v>
          </cell>
        </row>
        <row r="372">
          <cell r="B372">
            <v>17249098</v>
          </cell>
          <cell r="C372" t="str">
            <v>Opah cell</v>
          </cell>
        </row>
        <row r="373">
          <cell r="B373">
            <v>1341978</v>
          </cell>
          <cell r="C373" t="str">
            <v>SRI 2 CELL</v>
          </cell>
        </row>
        <row r="374">
          <cell r="B374">
            <v>696674</v>
          </cell>
          <cell r="C374" t="str">
            <v>SRI CELL</v>
          </cell>
        </row>
        <row r="375">
          <cell r="B375">
            <v>17432471</v>
          </cell>
          <cell r="C375" t="str">
            <v>TECHNO CELL</v>
          </cell>
        </row>
        <row r="376">
          <cell r="B376">
            <v>17109240</v>
          </cell>
          <cell r="C376" t="str">
            <v>YGMA</v>
          </cell>
        </row>
        <row r="377">
          <cell r="B377">
            <v>17011610</v>
          </cell>
          <cell r="C377" t="str">
            <v>FADIL CELL</v>
          </cell>
        </row>
        <row r="378">
          <cell r="B378">
            <v>17131909</v>
          </cell>
          <cell r="C378" t="str">
            <v>Sahabat Cell</v>
          </cell>
        </row>
        <row r="379">
          <cell r="B379">
            <v>631454</v>
          </cell>
          <cell r="C379" t="str">
            <v>Abadi2 cell</v>
          </cell>
        </row>
        <row r="380">
          <cell r="B380">
            <v>17527425</v>
          </cell>
          <cell r="C380" t="str">
            <v>Al Amin cell</v>
          </cell>
        </row>
        <row r="381">
          <cell r="B381">
            <v>17122336</v>
          </cell>
          <cell r="C381" t="str">
            <v>DK Cell</v>
          </cell>
        </row>
        <row r="382">
          <cell r="B382">
            <v>17245876</v>
          </cell>
          <cell r="C382" t="str">
            <v>Laura cell</v>
          </cell>
        </row>
        <row r="383">
          <cell r="B383">
            <v>17258818</v>
          </cell>
          <cell r="C383" t="str">
            <v>Vionis cell</v>
          </cell>
        </row>
        <row r="384">
          <cell r="B384">
            <v>17472451</v>
          </cell>
          <cell r="C384" t="str">
            <v>Kucluk celk</v>
          </cell>
        </row>
        <row r="385">
          <cell r="B385">
            <v>17472448</v>
          </cell>
          <cell r="C385" t="str">
            <v>Ray cell</v>
          </cell>
        </row>
        <row r="386">
          <cell r="B386">
            <v>17408461</v>
          </cell>
          <cell r="C386" t="str">
            <v>12 Cell</v>
          </cell>
        </row>
        <row r="387">
          <cell r="B387">
            <v>17661866</v>
          </cell>
          <cell r="C387" t="str">
            <v>Mamih iren cell</v>
          </cell>
        </row>
        <row r="388">
          <cell r="B388">
            <v>631328</v>
          </cell>
          <cell r="C388" t="str">
            <v>Abadi 1 cell</v>
          </cell>
        </row>
        <row r="389">
          <cell r="B389">
            <v>631500</v>
          </cell>
          <cell r="C389" t="str">
            <v>Ahko cell</v>
          </cell>
        </row>
        <row r="390">
          <cell r="B390">
            <v>795393</v>
          </cell>
          <cell r="C390" t="str">
            <v>anggi cell</v>
          </cell>
        </row>
        <row r="391">
          <cell r="B391">
            <v>17177052</v>
          </cell>
          <cell r="C391" t="str">
            <v>Anton cell</v>
          </cell>
        </row>
        <row r="392">
          <cell r="B392">
            <v>17594584</v>
          </cell>
          <cell r="C392" t="str">
            <v>Arull Cell</v>
          </cell>
        </row>
        <row r="393">
          <cell r="B393">
            <v>1354348</v>
          </cell>
          <cell r="C393" t="str">
            <v>AURA CELL</v>
          </cell>
        </row>
        <row r="394">
          <cell r="B394">
            <v>17245169</v>
          </cell>
          <cell r="C394" t="str">
            <v>Azril cell</v>
          </cell>
        </row>
        <row r="395">
          <cell r="B395">
            <v>1292561</v>
          </cell>
          <cell r="C395" t="str">
            <v>BENING CELL</v>
          </cell>
        </row>
        <row r="396">
          <cell r="B396">
            <v>17370865</v>
          </cell>
          <cell r="C396" t="str">
            <v>BERKAH JAYA 3</v>
          </cell>
        </row>
        <row r="397">
          <cell r="B397">
            <v>17376037</v>
          </cell>
          <cell r="C397" t="str">
            <v>DK STORE</v>
          </cell>
        </row>
        <row r="398">
          <cell r="B398">
            <v>17258820</v>
          </cell>
          <cell r="C398" t="str">
            <v>Dunia cell</v>
          </cell>
        </row>
        <row r="399">
          <cell r="B399">
            <v>17201417</v>
          </cell>
          <cell r="C399" t="str">
            <v>GAGAN CELL</v>
          </cell>
        </row>
        <row r="400">
          <cell r="B400">
            <v>17373669</v>
          </cell>
          <cell r="C400" t="str">
            <v>GANIYA CELL</v>
          </cell>
        </row>
        <row r="401">
          <cell r="B401">
            <v>17212314</v>
          </cell>
          <cell r="C401" t="str">
            <v>Khujaimah cell</v>
          </cell>
        </row>
        <row r="402">
          <cell r="B402">
            <v>17158021</v>
          </cell>
          <cell r="C402" t="str">
            <v>Mylta cell</v>
          </cell>
        </row>
        <row r="403">
          <cell r="B403">
            <v>17216657</v>
          </cell>
          <cell r="C403" t="str">
            <v>NS CELL</v>
          </cell>
        </row>
        <row r="404">
          <cell r="B404">
            <v>17304606</v>
          </cell>
          <cell r="C404" t="str">
            <v>Raden cell</v>
          </cell>
        </row>
        <row r="405">
          <cell r="B405">
            <v>17444878</v>
          </cell>
          <cell r="C405" t="str">
            <v>RAJA CELL</v>
          </cell>
        </row>
        <row r="406">
          <cell r="B406">
            <v>17460067</v>
          </cell>
          <cell r="C406" t="str">
            <v>Rasyid cell</v>
          </cell>
        </row>
        <row r="407">
          <cell r="B407">
            <v>1479443</v>
          </cell>
          <cell r="C407" t="str">
            <v>SHEILLA CELLULAR</v>
          </cell>
        </row>
        <row r="408">
          <cell r="B408">
            <v>1295712</v>
          </cell>
          <cell r="C408" t="str">
            <v>SURYA CELL</v>
          </cell>
        </row>
        <row r="409">
          <cell r="B409">
            <v>17309832</v>
          </cell>
          <cell r="C409" t="str">
            <v>TOKO CERIA</v>
          </cell>
        </row>
        <row r="410">
          <cell r="B410">
            <v>17157967</v>
          </cell>
          <cell r="C410" t="str">
            <v>Zharki cell</v>
          </cell>
        </row>
        <row r="411">
          <cell r="B411">
            <v>17214985</v>
          </cell>
          <cell r="C411" t="str">
            <v>PARKUD CELL</v>
          </cell>
        </row>
        <row r="412">
          <cell r="B412">
            <v>17407826</v>
          </cell>
          <cell r="C412" t="str">
            <v>RIMA CELL</v>
          </cell>
        </row>
        <row r="413">
          <cell r="B413">
            <v>17122453</v>
          </cell>
          <cell r="C413" t="str">
            <v>Saffa cell</v>
          </cell>
        </row>
        <row r="414">
          <cell r="B414">
            <v>17231635</v>
          </cell>
          <cell r="C414" t="str">
            <v>Sinar purnama cell</v>
          </cell>
        </row>
        <row r="415">
          <cell r="B415">
            <v>17667403</v>
          </cell>
          <cell r="C415" t="str">
            <v>RAKA CELL</v>
          </cell>
        </row>
        <row r="416">
          <cell r="B416">
            <v>17668738</v>
          </cell>
          <cell r="C416" t="str">
            <v>LaskarCell</v>
          </cell>
        </row>
        <row r="417">
          <cell r="B417">
            <v>17669623</v>
          </cell>
          <cell r="C417" t="str">
            <v>ZAHRAN CELL</v>
          </cell>
        </row>
        <row r="418">
          <cell r="B418">
            <v>17671735</v>
          </cell>
          <cell r="C418" t="str">
            <v>Warung yanti</v>
          </cell>
        </row>
        <row r="419">
          <cell r="B419">
            <v>17672896</v>
          </cell>
          <cell r="C419" t="str">
            <v>Toko ibu ati</v>
          </cell>
        </row>
        <row r="420">
          <cell r="B420">
            <v>17674755</v>
          </cell>
          <cell r="C420" t="str">
            <v>KIOS_ Warung Farisya</v>
          </cell>
        </row>
        <row r="421">
          <cell r="B421">
            <v>17675732</v>
          </cell>
          <cell r="C421" t="str">
            <v>Kios_src Pipin</v>
          </cell>
        </row>
        <row r="422">
          <cell r="B422">
            <v>17675775</v>
          </cell>
          <cell r="C422" t="str">
            <v>Kios_ Anugrah</v>
          </cell>
        </row>
        <row r="423">
          <cell r="B423">
            <v>17708250</v>
          </cell>
          <cell r="C423" t="str">
            <v>ENZO CELL</v>
          </cell>
        </row>
        <row r="424">
          <cell r="B424">
            <v>17708348</v>
          </cell>
          <cell r="C424" t="str">
            <v>FAKHRI CELL</v>
          </cell>
        </row>
        <row r="425">
          <cell r="B425">
            <v>1558733</v>
          </cell>
          <cell r="C425" t="str">
            <v>almira seluler</v>
          </cell>
        </row>
        <row r="426">
          <cell r="B426">
            <v>17189399</v>
          </cell>
          <cell r="C426" t="str">
            <v>Arta Cell</v>
          </cell>
        </row>
        <row r="427">
          <cell r="B427">
            <v>1294010</v>
          </cell>
          <cell r="C427" t="str">
            <v>PERSIB CELL</v>
          </cell>
        </row>
        <row r="428">
          <cell r="B428">
            <v>17248178</v>
          </cell>
          <cell r="C428" t="str">
            <v>Kennan cell</v>
          </cell>
        </row>
        <row r="429">
          <cell r="B429">
            <v>17158470</v>
          </cell>
          <cell r="C429" t="str">
            <v>HATOY CELL</v>
          </cell>
        </row>
        <row r="430">
          <cell r="B430">
            <v>737161</v>
          </cell>
          <cell r="C430" t="str">
            <v>Agung Cell</v>
          </cell>
        </row>
        <row r="431">
          <cell r="B431">
            <v>17148211</v>
          </cell>
          <cell r="C431" t="str">
            <v>BENING CELL</v>
          </cell>
        </row>
        <row r="432">
          <cell r="B432">
            <v>1337840</v>
          </cell>
          <cell r="C432" t="str">
            <v>ERI CELL</v>
          </cell>
        </row>
        <row r="433">
          <cell r="B433">
            <v>1296539</v>
          </cell>
          <cell r="C433" t="str">
            <v>ERNI CELL</v>
          </cell>
        </row>
        <row r="434">
          <cell r="B434">
            <v>17148224</v>
          </cell>
          <cell r="C434" t="str">
            <v>ETO CELL</v>
          </cell>
        </row>
        <row r="435">
          <cell r="B435">
            <v>17214018</v>
          </cell>
          <cell r="C435" t="str">
            <v>F2 cell</v>
          </cell>
        </row>
        <row r="436">
          <cell r="B436">
            <v>17533016</v>
          </cell>
          <cell r="C436" t="str">
            <v>FLUKEKIDZ CELL</v>
          </cell>
        </row>
        <row r="437">
          <cell r="B437">
            <v>17157753</v>
          </cell>
          <cell r="C437" t="str">
            <v>Free cell</v>
          </cell>
        </row>
        <row r="438">
          <cell r="B438">
            <v>17247488</v>
          </cell>
          <cell r="C438" t="str">
            <v>Pohan cell</v>
          </cell>
        </row>
        <row r="439">
          <cell r="B439">
            <v>17138732</v>
          </cell>
          <cell r="C439" t="str">
            <v>QITHA CELL</v>
          </cell>
        </row>
        <row r="440">
          <cell r="B440">
            <v>17353474</v>
          </cell>
          <cell r="C440" t="str">
            <v>Thaqia Cell</v>
          </cell>
        </row>
        <row r="441">
          <cell r="B441">
            <v>1336824</v>
          </cell>
          <cell r="C441" t="str">
            <v>GALAXY CELL</v>
          </cell>
        </row>
        <row r="442">
          <cell r="B442">
            <v>1305438</v>
          </cell>
          <cell r="C442" t="str">
            <v>TARI CELL</v>
          </cell>
        </row>
        <row r="443">
          <cell r="B443">
            <v>706344</v>
          </cell>
          <cell r="C443" t="str">
            <v>77 cell</v>
          </cell>
        </row>
        <row r="444">
          <cell r="B444">
            <v>17449286</v>
          </cell>
          <cell r="C444" t="str">
            <v>ABANG CELL</v>
          </cell>
        </row>
        <row r="445">
          <cell r="B445">
            <v>17246513</v>
          </cell>
          <cell r="C445" t="str">
            <v>Afzar Cell</v>
          </cell>
        </row>
        <row r="446">
          <cell r="B446">
            <v>17158453</v>
          </cell>
          <cell r="C446" t="str">
            <v>Garasi cell</v>
          </cell>
        </row>
        <row r="447">
          <cell r="B447">
            <v>17524794</v>
          </cell>
          <cell r="C447" t="str">
            <v>bia</v>
          </cell>
        </row>
        <row r="448">
          <cell r="B448">
            <v>17157660</v>
          </cell>
          <cell r="C448" t="str">
            <v>BINJAY</v>
          </cell>
        </row>
        <row r="449">
          <cell r="B449">
            <v>1288558</v>
          </cell>
          <cell r="C449" t="str">
            <v>FAHRI CELL</v>
          </cell>
        </row>
        <row r="450">
          <cell r="B450">
            <v>770586</v>
          </cell>
          <cell r="C450" t="str">
            <v>G cell</v>
          </cell>
        </row>
        <row r="451">
          <cell r="B451">
            <v>1464517</v>
          </cell>
          <cell r="C451" t="str">
            <v>G Selular</v>
          </cell>
        </row>
        <row r="452">
          <cell r="B452">
            <v>1326720</v>
          </cell>
          <cell r="C452" t="str">
            <v>HATTI</v>
          </cell>
        </row>
        <row r="453">
          <cell r="B453">
            <v>17455441</v>
          </cell>
          <cell r="C453" t="str">
            <v>Lina cell</v>
          </cell>
        </row>
        <row r="454">
          <cell r="B454">
            <v>17138373</v>
          </cell>
          <cell r="C454" t="str">
            <v>Mahiwal Cell</v>
          </cell>
        </row>
        <row r="455">
          <cell r="B455">
            <v>17147031</v>
          </cell>
          <cell r="C455" t="str">
            <v>MAXX CELL</v>
          </cell>
        </row>
        <row r="456">
          <cell r="B456">
            <v>1447902</v>
          </cell>
          <cell r="C456" t="str">
            <v>O.V CELL</v>
          </cell>
        </row>
        <row r="457">
          <cell r="B457">
            <v>773550</v>
          </cell>
          <cell r="C457" t="str">
            <v>olla cell</v>
          </cell>
        </row>
        <row r="458">
          <cell r="B458">
            <v>17588234</v>
          </cell>
          <cell r="C458" t="str">
            <v>Putra cell</v>
          </cell>
        </row>
        <row r="459">
          <cell r="B459">
            <v>17175240</v>
          </cell>
          <cell r="C459" t="str">
            <v>Q Cell</v>
          </cell>
        </row>
        <row r="460">
          <cell r="B460">
            <v>1288564</v>
          </cell>
          <cell r="C460" t="str">
            <v>RAISA CELL</v>
          </cell>
        </row>
        <row r="461">
          <cell r="B461">
            <v>17139867</v>
          </cell>
          <cell r="C461" t="str">
            <v>SALSABILA CELL</v>
          </cell>
        </row>
        <row r="462">
          <cell r="B462">
            <v>17353129</v>
          </cell>
          <cell r="C462" t="str">
            <v>Shalfa Cell</v>
          </cell>
        </row>
        <row r="463">
          <cell r="B463">
            <v>1307437</v>
          </cell>
          <cell r="C463" t="str">
            <v>SRIWIDARI CELL</v>
          </cell>
        </row>
        <row r="464">
          <cell r="B464">
            <v>17137910</v>
          </cell>
          <cell r="C464" t="str">
            <v>THE3R CELL</v>
          </cell>
        </row>
        <row r="465">
          <cell r="B465">
            <v>1484297</v>
          </cell>
          <cell r="C465" t="str">
            <v>TRIJAYA</v>
          </cell>
        </row>
        <row r="466">
          <cell r="B466">
            <v>17289432</v>
          </cell>
          <cell r="C466" t="str">
            <v>TRILOKA</v>
          </cell>
        </row>
        <row r="467">
          <cell r="B467">
            <v>857042</v>
          </cell>
          <cell r="C467" t="str">
            <v>V - cell</v>
          </cell>
        </row>
        <row r="468">
          <cell r="B468">
            <v>1553890</v>
          </cell>
          <cell r="C468" t="str">
            <v>v-cell 2</v>
          </cell>
        </row>
        <row r="469">
          <cell r="B469">
            <v>17746740</v>
          </cell>
          <cell r="C469" t="str">
            <v>Gibrannet cell</v>
          </cell>
        </row>
        <row r="470">
          <cell r="B470">
            <v>773695</v>
          </cell>
          <cell r="C470" t="str">
            <v>yopy cell</v>
          </cell>
        </row>
        <row r="471">
          <cell r="B471">
            <v>17460206</v>
          </cell>
          <cell r="C471" t="str">
            <v>HAIKAL CELL</v>
          </cell>
        </row>
        <row r="472">
          <cell r="B472">
            <v>17138750</v>
          </cell>
          <cell r="C472" t="str">
            <v>Hanum Cell</v>
          </cell>
        </row>
        <row r="473">
          <cell r="B473">
            <v>17680263</v>
          </cell>
          <cell r="C473" t="str">
            <v>Ratu Mahreen</v>
          </cell>
        </row>
        <row r="474">
          <cell r="B474">
            <v>17680281</v>
          </cell>
          <cell r="C474" t="str">
            <v>BIP cell</v>
          </cell>
        </row>
        <row r="475">
          <cell r="B475">
            <v>17704725</v>
          </cell>
          <cell r="C475" t="str">
            <v>Rinjani Cell</v>
          </cell>
        </row>
        <row r="476">
          <cell r="B476">
            <v>17710217</v>
          </cell>
          <cell r="C476" t="str">
            <v>O.V Reload</v>
          </cell>
        </row>
        <row r="477">
          <cell r="B477">
            <v>17140438</v>
          </cell>
          <cell r="C477" t="str">
            <v>CR CELL</v>
          </cell>
        </row>
        <row r="478">
          <cell r="B478">
            <v>17011357</v>
          </cell>
          <cell r="C478" t="str">
            <v>DyAs Cell</v>
          </cell>
        </row>
        <row r="479">
          <cell r="B479">
            <v>17430608</v>
          </cell>
          <cell r="C479" t="str">
            <v>IDA CELL</v>
          </cell>
        </row>
        <row r="480">
          <cell r="B480">
            <v>1293367</v>
          </cell>
          <cell r="C480" t="str">
            <v>IDETEL CELL</v>
          </cell>
        </row>
        <row r="481">
          <cell r="B481">
            <v>17436453</v>
          </cell>
          <cell r="C481" t="str">
            <v>Gaffa cell</v>
          </cell>
        </row>
        <row r="482">
          <cell r="B482">
            <v>17436464</v>
          </cell>
          <cell r="C482" t="str">
            <v>Gomeh cell</v>
          </cell>
        </row>
        <row r="483">
          <cell r="B483">
            <v>17436277</v>
          </cell>
          <cell r="C483" t="str">
            <v>Parna Cell</v>
          </cell>
        </row>
        <row r="484">
          <cell r="B484">
            <v>17405707</v>
          </cell>
          <cell r="C484" t="str">
            <v>Purnama cell</v>
          </cell>
        </row>
        <row r="485">
          <cell r="B485">
            <v>17253125</v>
          </cell>
          <cell r="C485" t="str">
            <v>SILVIA CELL</v>
          </cell>
        </row>
        <row r="486">
          <cell r="B486">
            <v>17140565</v>
          </cell>
          <cell r="C486" t="str">
            <v>Top cell</v>
          </cell>
        </row>
        <row r="487">
          <cell r="B487">
            <v>17446956</v>
          </cell>
          <cell r="C487" t="str">
            <v>Warung 99 cell</v>
          </cell>
        </row>
        <row r="488">
          <cell r="B488">
            <v>17127902</v>
          </cell>
          <cell r="C488" t="str">
            <v>Callista pulsa</v>
          </cell>
        </row>
        <row r="489">
          <cell r="B489">
            <v>17284175</v>
          </cell>
          <cell r="C489" t="str">
            <v>POHON CELL</v>
          </cell>
        </row>
        <row r="490">
          <cell r="B490">
            <v>17595614</v>
          </cell>
          <cell r="C490" t="str">
            <v>T Phone Cell</v>
          </cell>
        </row>
        <row r="491">
          <cell r="B491">
            <v>17595610</v>
          </cell>
          <cell r="C491" t="str">
            <v>Taghofi Cell</v>
          </cell>
        </row>
        <row r="492">
          <cell r="B492">
            <v>17599776</v>
          </cell>
          <cell r="C492" t="str">
            <v>Kembar cell</v>
          </cell>
        </row>
        <row r="493">
          <cell r="B493">
            <v>1343301</v>
          </cell>
          <cell r="C493" t="str">
            <v>BANG HENDRA CELL</v>
          </cell>
        </row>
        <row r="494">
          <cell r="B494">
            <v>1387191</v>
          </cell>
          <cell r="C494" t="str">
            <v>DANI CELL</v>
          </cell>
        </row>
        <row r="495">
          <cell r="B495">
            <v>17098371</v>
          </cell>
          <cell r="C495" t="str">
            <v>Eva cell</v>
          </cell>
        </row>
        <row r="496">
          <cell r="B496">
            <v>1548878</v>
          </cell>
          <cell r="C496" t="str">
            <v>JIMMY  CELL</v>
          </cell>
        </row>
        <row r="497">
          <cell r="B497">
            <v>17356908</v>
          </cell>
          <cell r="C497" t="str">
            <v>Nirmala cell</v>
          </cell>
        </row>
        <row r="498">
          <cell r="B498">
            <v>17194722</v>
          </cell>
          <cell r="C498" t="str">
            <v>HANI CELL</v>
          </cell>
        </row>
        <row r="499">
          <cell r="B499">
            <v>17153021</v>
          </cell>
          <cell r="C499" t="str">
            <v>NADIRA CELL</v>
          </cell>
        </row>
        <row r="500">
          <cell r="B500">
            <v>17350857</v>
          </cell>
          <cell r="C500" t="str">
            <v>PRIDE STORE</v>
          </cell>
        </row>
        <row r="501">
          <cell r="B501">
            <v>17176907</v>
          </cell>
          <cell r="C501" t="str">
            <v>Ikiw Cell</v>
          </cell>
        </row>
        <row r="502">
          <cell r="B502">
            <v>586459</v>
          </cell>
          <cell r="C502" t="str">
            <v>18 cell</v>
          </cell>
        </row>
        <row r="503">
          <cell r="B503">
            <v>775008</v>
          </cell>
          <cell r="C503" t="str">
            <v>axal cell</v>
          </cell>
        </row>
        <row r="504">
          <cell r="B504">
            <v>17257466</v>
          </cell>
          <cell r="C504" t="str">
            <v>Azmal Cell</v>
          </cell>
        </row>
        <row r="505">
          <cell r="B505">
            <v>17281154</v>
          </cell>
          <cell r="C505" t="str">
            <v>Byantara cell 2</v>
          </cell>
        </row>
        <row r="506">
          <cell r="B506">
            <v>1551288</v>
          </cell>
          <cell r="C506" t="str">
            <v>Dinda cell</v>
          </cell>
        </row>
        <row r="507">
          <cell r="B507">
            <v>704490</v>
          </cell>
          <cell r="C507" t="str">
            <v>FAHRY CELL</v>
          </cell>
        </row>
        <row r="508">
          <cell r="B508">
            <v>1292515</v>
          </cell>
          <cell r="C508" t="str">
            <v>INTAN CELL</v>
          </cell>
        </row>
        <row r="509">
          <cell r="B509">
            <v>17588677</v>
          </cell>
          <cell r="C509" t="str">
            <v>Media pulsa</v>
          </cell>
        </row>
        <row r="510">
          <cell r="B510">
            <v>586457</v>
          </cell>
          <cell r="C510" t="str">
            <v>mioz cell</v>
          </cell>
        </row>
        <row r="511">
          <cell r="B511">
            <v>17155475</v>
          </cell>
          <cell r="C511" t="str">
            <v>MS Celuller</v>
          </cell>
        </row>
        <row r="512">
          <cell r="B512">
            <v>17229830</v>
          </cell>
          <cell r="C512" t="str">
            <v>Point store</v>
          </cell>
        </row>
        <row r="513">
          <cell r="B513">
            <v>1513456</v>
          </cell>
          <cell r="C513" t="str">
            <v>RAINA</v>
          </cell>
        </row>
        <row r="514">
          <cell r="B514">
            <v>17258806</v>
          </cell>
          <cell r="C514" t="str">
            <v>RERE CELL</v>
          </cell>
        </row>
        <row r="515">
          <cell r="B515">
            <v>17155473</v>
          </cell>
          <cell r="C515" t="str">
            <v>Rudistha cell</v>
          </cell>
        </row>
        <row r="516">
          <cell r="B516">
            <v>17157877</v>
          </cell>
          <cell r="C516" t="str">
            <v>Rudistha-2</v>
          </cell>
        </row>
        <row r="517">
          <cell r="B517">
            <v>17011307</v>
          </cell>
          <cell r="C517" t="str">
            <v>Siliwangi Cell</v>
          </cell>
        </row>
        <row r="518">
          <cell r="B518">
            <v>17011379</v>
          </cell>
          <cell r="C518" t="str">
            <v>Toko 133</v>
          </cell>
        </row>
        <row r="519">
          <cell r="B519">
            <v>17011371</v>
          </cell>
          <cell r="C519" t="str">
            <v>Trust Store</v>
          </cell>
        </row>
        <row r="520">
          <cell r="B520">
            <v>17245677</v>
          </cell>
          <cell r="C520" t="str">
            <v>Wildan cell</v>
          </cell>
        </row>
        <row r="521">
          <cell r="B521">
            <v>1557756</v>
          </cell>
          <cell r="C521" t="str">
            <v>FAISAL CELL</v>
          </cell>
        </row>
        <row r="522">
          <cell r="B522">
            <v>17248373</v>
          </cell>
          <cell r="C522" t="str">
            <v>Gelatik cell</v>
          </cell>
        </row>
        <row r="523">
          <cell r="B523">
            <v>17249951</v>
          </cell>
          <cell r="C523" t="str">
            <v>Penti cell</v>
          </cell>
        </row>
        <row r="524">
          <cell r="B524">
            <v>17262229</v>
          </cell>
          <cell r="C524" t="str">
            <v>Rizki celluler</v>
          </cell>
        </row>
        <row r="525">
          <cell r="B525">
            <v>17258286</v>
          </cell>
          <cell r="C525" t="str">
            <v>Sejati Cell</v>
          </cell>
        </row>
        <row r="526">
          <cell r="B526">
            <v>17661812</v>
          </cell>
          <cell r="C526" t="str">
            <v>Davina cell</v>
          </cell>
        </row>
        <row r="527">
          <cell r="B527">
            <v>17661813</v>
          </cell>
          <cell r="C527" t="str">
            <v>Gacor cell</v>
          </cell>
        </row>
        <row r="528">
          <cell r="B528">
            <v>17230060</v>
          </cell>
          <cell r="C528" t="str">
            <v>H2 Celluler</v>
          </cell>
        </row>
        <row r="529">
          <cell r="B529">
            <v>17471992</v>
          </cell>
          <cell r="C529" t="str">
            <v>Santi cell</v>
          </cell>
        </row>
        <row r="530">
          <cell r="B530">
            <v>17275714</v>
          </cell>
          <cell r="C530" t="str">
            <v>Sion 3 Cell</v>
          </cell>
        </row>
        <row r="531">
          <cell r="B531">
            <v>17363728</v>
          </cell>
          <cell r="C531" t="str">
            <v>TARIK KOLOT</v>
          </cell>
        </row>
        <row r="532">
          <cell r="B532">
            <v>1295639</v>
          </cell>
          <cell r="C532" t="str">
            <v>TINA CELL</v>
          </cell>
        </row>
        <row r="533">
          <cell r="B533">
            <v>17307286</v>
          </cell>
          <cell r="C533" t="str">
            <v>Haikal cell</v>
          </cell>
        </row>
        <row r="534">
          <cell r="B534">
            <v>17011628</v>
          </cell>
          <cell r="C534" t="str">
            <v>QILLA CELL</v>
          </cell>
        </row>
        <row r="535">
          <cell r="B535">
            <v>1360834</v>
          </cell>
          <cell r="C535" t="str">
            <v>ZOYA CELL</v>
          </cell>
        </row>
        <row r="536">
          <cell r="B536">
            <v>17612064</v>
          </cell>
          <cell r="C536" t="str">
            <v>Demilov</v>
          </cell>
        </row>
        <row r="537">
          <cell r="B537">
            <v>17578064</v>
          </cell>
          <cell r="C537" t="str">
            <v>Fortuna_server</v>
          </cell>
        </row>
        <row r="538">
          <cell r="B538">
            <v>505451</v>
          </cell>
          <cell r="C538" t="str">
            <v>RULLY</v>
          </cell>
        </row>
        <row r="539">
          <cell r="B539">
            <v>17228878</v>
          </cell>
          <cell r="C539" t="str">
            <v>SARASA CELL</v>
          </cell>
        </row>
        <row r="540">
          <cell r="B540">
            <v>17150682</v>
          </cell>
          <cell r="C540" t="str">
            <v>SYAHDAN CELL</v>
          </cell>
        </row>
        <row r="541">
          <cell r="B541">
            <v>17215897</v>
          </cell>
          <cell r="C541" t="str">
            <v>Hamdan cell</v>
          </cell>
        </row>
        <row r="542">
          <cell r="B542">
            <v>17389020</v>
          </cell>
          <cell r="C542" t="str">
            <v>RABIA 2 CELL</v>
          </cell>
        </row>
        <row r="543">
          <cell r="B543">
            <v>17355343</v>
          </cell>
          <cell r="C543" t="str">
            <v>RAYYA CELL</v>
          </cell>
        </row>
        <row r="544">
          <cell r="B544">
            <v>17152262</v>
          </cell>
          <cell r="C544" t="str">
            <v>SANDI CELL</v>
          </cell>
        </row>
        <row r="545">
          <cell r="B545">
            <v>17255929</v>
          </cell>
          <cell r="C545" t="str">
            <v>AL MEERA CELL</v>
          </cell>
        </row>
        <row r="546">
          <cell r="B546">
            <v>17232710</v>
          </cell>
          <cell r="C546" t="str">
            <v>IMAGE CELL</v>
          </cell>
        </row>
        <row r="547">
          <cell r="B547">
            <v>17408774</v>
          </cell>
          <cell r="C547" t="str">
            <v>Kembar cell</v>
          </cell>
        </row>
        <row r="548">
          <cell r="B548">
            <v>17542672</v>
          </cell>
          <cell r="C548" t="str">
            <v>pley store</v>
          </cell>
        </row>
        <row r="549">
          <cell r="B549">
            <v>17244300</v>
          </cell>
          <cell r="C549" t="str">
            <v>Bily Cell</v>
          </cell>
        </row>
        <row r="550">
          <cell r="B550">
            <v>17122337</v>
          </cell>
          <cell r="C550" t="str">
            <v>Bom-Bom Cell</v>
          </cell>
        </row>
        <row r="551">
          <cell r="B551">
            <v>715217</v>
          </cell>
          <cell r="C551" t="str">
            <v>CENTRAL CELL</v>
          </cell>
        </row>
        <row r="552">
          <cell r="B552">
            <v>17536111</v>
          </cell>
          <cell r="C552" t="str">
            <v>STANDard phone store</v>
          </cell>
        </row>
        <row r="553">
          <cell r="B553">
            <v>17435610</v>
          </cell>
          <cell r="C553" t="str">
            <v>RN STORE</v>
          </cell>
        </row>
        <row r="554">
          <cell r="B554">
            <v>570176</v>
          </cell>
          <cell r="C554" t="str">
            <v>43 CELL</v>
          </cell>
        </row>
        <row r="555">
          <cell r="B555">
            <v>1339960</v>
          </cell>
          <cell r="C555" t="str">
            <v>88 CELL</v>
          </cell>
        </row>
        <row r="556">
          <cell r="B556">
            <v>17589667</v>
          </cell>
          <cell r="C556" t="str">
            <v>ABADI CELL</v>
          </cell>
        </row>
        <row r="557">
          <cell r="B557">
            <v>17046932</v>
          </cell>
          <cell r="C557" t="str">
            <v>Implora Cell</v>
          </cell>
        </row>
        <row r="558">
          <cell r="B558">
            <v>17229098</v>
          </cell>
          <cell r="C558" t="str">
            <v>isnan cell</v>
          </cell>
        </row>
        <row r="559">
          <cell r="B559">
            <v>17176054</v>
          </cell>
          <cell r="C559" t="str">
            <v>BERKAH CELL</v>
          </cell>
        </row>
        <row r="560">
          <cell r="B560">
            <v>570185</v>
          </cell>
          <cell r="C560" t="str">
            <v>DENI CELL</v>
          </cell>
        </row>
        <row r="561">
          <cell r="B561">
            <v>17769813</v>
          </cell>
          <cell r="C561" t="str">
            <v>Kantenzo cell</v>
          </cell>
        </row>
        <row r="562">
          <cell r="B562">
            <v>17232388</v>
          </cell>
          <cell r="C562" t="str">
            <v>Karyadi Cell</v>
          </cell>
        </row>
        <row r="563">
          <cell r="B563">
            <v>1337895</v>
          </cell>
          <cell r="C563" t="str">
            <v>KEAN MOBILE PHONE</v>
          </cell>
        </row>
        <row r="564">
          <cell r="B564">
            <v>17784799</v>
          </cell>
          <cell r="C564" t="str">
            <v>Kedai posko</v>
          </cell>
        </row>
        <row r="565">
          <cell r="B565">
            <v>17158473</v>
          </cell>
          <cell r="C565" t="str">
            <v>Ken Ken</v>
          </cell>
        </row>
        <row r="566">
          <cell r="B566">
            <v>1292529</v>
          </cell>
          <cell r="C566" t="str">
            <v>KMC</v>
          </cell>
        </row>
        <row r="567">
          <cell r="B567">
            <v>17201517</v>
          </cell>
          <cell r="C567" t="str">
            <v>KMC 2</v>
          </cell>
        </row>
        <row r="568">
          <cell r="B568">
            <v>17381877</v>
          </cell>
          <cell r="C568" t="str">
            <v>KNA CELL</v>
          </cell>
        </row>
        <row r="569">
          <cell r="B569">
            <v>17356398</v>
          </cell>
          <cell r="C569" t="str">
            <v>KMC 3</v>
          </cell>
        </row>
        <row r="570">
          <cell r="B570">
            <v>17588314</v>
          </cell>
          <cell r="C570" t="str">
            <v>Leonara cell</v>
          </cell>
        </row>
        <row r="571">
          <cell r="B571">
            <v>17300678</v>
          </cell>
          <cell r="C571" t="str">
            <v>Laskar store</v>
          </cell>
        </row>
        <row r="572">
          <cell r="B572">
            <v>17047107</v>
          </cell>
          <cell r="C572" t="str">
            <v>MISS CELL</v>
          </cell>
        </row>
        <row r="573">
          <cell r="B573">
            <v>17147065</v>
          </cell>
          <cell r="C573" t="str">
            <v>M-KAIL CELL</v>
          </cell>
        </row>
        <row r="574">
          <cell r="B574">
            <v>17244616</v>
          </cell>
          <cell r="C574" t="str">
            <v>MOMOOY</v>
          </cell>
        </row>
        <row r="575">
          <cell r="B575">
            <v>17447879</v>
          </cell>
          <cell r="C575" t="str">
            <v>MONSTER CELL</v>
          </cell>
        </row>
        <row r="576">
          <cell r="B576">
            <v>17537986</v>
          </cell>
          <cell r="C576" t="str">
            <v>Q-TELL</v>
          </cell>
        </row>
        <row r="577">
          <cell r="B577">
            <v>17777785</v>
          </cell>
          <cell r="C577" t="str">
            <v>Moskov</v>
          </cell>
        </row>
        <row r="578">
          <cell r="B578">
            <v>17190538</v>
          </cell>
          <cell r="C578" t="str">
            <v>RINDU</v>
          </cell>
        </row>
        <row r="579">
          <cell r="B579">
            <v>17384015</v>
          </cell>
          <cell r="C579" t="str">
            <v>SALAM CELL</v>
          </cell>
        </row>
        <row r="580">
          <cell r="B580">
            <v>17043846</v>
          </cell>
          <cell r="C580" t="str">
            <v>MRIH CELL</v>
          </cell>
        </row>
        <row r="581">
          <cell r="B581">
            <v>17431478</v>
          </cell>
          <cell r="C581" t="str">
            <v>SIMASTELL</v>
          </cell>
        </row>
        <row r="582">
          <cell r="B582">
            <v>922024</v>
          </cell>
          <cell r="C582" t="str">
            <v>mutiara cell</v>
          </cell>
        </row>
        <row r="583">
          <cell r="B583">
            <v>17011348</v>
          </cell>
          <cell r="C583" t="str">
            <v>TOP STORE</v>
          </cell>
        </row>
        <row r="584">
          <cell r="B584">
            <v>1536872</v>
          </cell>
          <cell r="C584" t="str">
            <v>TRIJAYA 1 CELL</v>
          </cell>
        </row>
        <row r="585">
          <cell r="B585">
            <v>517559</v>
          </cell>
          <cell r="C585" t="str">
            <v>UCOK CELL</v>
          </cell>
        </row>
        <row r="586">
          <cell r="B586">
            <v>17248201</v>
          </cell>
          <cell r="C586" t="str">
            <v>Naura cell</v>
          </cell>
        </row>
        <row r="587">
          <cell r="B587">
            <v>17409028</v>
          </cell>
          <cell r="C587" t="str">
            <v>Nhiew cell</v>
          </cell>
        </row>
        <row r="588">
          <cell r="B588">
            <v>17126819</v>
          </cell>
          <cell r="C588" t="str">
            <v>No Name Cell</v>
          </cell>
        </row>
        <row r="589">
          <cell r="B589">
            <v>17779593</v>
          </cell>
          <cell r="C589" t="str">
            <v>Nusantara cell</v>
          </cell>
        </row>
        <row r="590">
          <cell r="B590">
            <v>17473948</v>
          </cell>
          <cell r="C590" t="str">
            <v>Pride Store 2</v>
          </cell>
        </row>
        <row r="591">
          <cell r="B591">
            <v>1374450</v>
          </cell>
          <cell r="C591" t="str">
            <v>PASIFIK2</v>
          </cell>
        </row>
        <row r="592">
          <cell r="B592">
            <v>17285181</v>
          </cell>
          <cell r="C592" t="str">
            <v>AZWA CELL</v>
          </cell>
        </row>
        <row r="593">
          <cell r="B593">
            <v>17285906</v>
          </cell>
          <cell r="C593" t="str">
            <v>Cell Cell</v>
          </cell>
        </row>
        <row r="594">
          <cell r="B594">
            <v>717608</v>
          </cell>
          <cell r="C594" t="str">
            <v>CYCLOID CELL</v>
          </cell>
        </row>
        <row r="595">
          <cell r="B595">
            <v>1500977</v>
          </cell>
          <cell r="C595" t="str">
            <v>ghizan cell</v>
          </cell>
        </row>
        <row r="596">
          <cell r="B596">
            <v>1558735</v>
          </cell>
          <cell r="C596" t="str">
            <v>grapari</v>
          </cell>
        </row>
        <row r="597">
          <cell r="B597">
            <v>17432031</v>
          </cell>
          <cell r="C597" t="str">
            <v>Mpot 2 Cell</v>
          </cell>
        </row>
        <row r="598">
          <cell r="B598">
            <v>507176</v>
          </cell>
          <cell r="C598" t="str">
            <v>RIEVIE CELL</v>
          </cell>
        </row>
        <row r="599">
          <cell r="B599">
            <v>17106241</v>
          </cell>
          <cell r="C599" t="str">
            <v>TODA GADGET</v>
          </cell>
        </row>
        <row r="600">
          <cell r="B600">
            <v>17430503</v>
          </cell>
          <cell r="C600" t="str">
            <v>X store</v>
          </cell>
        </row>
        <row r="601">
          <cell r="B601">
            <v>17214731</v>
          </cell>
          <cell r="C601" t="str">
            <v>Ahie Cell</v>
          </cell>
        </row>
        <row r="602">
          <cell r="B602">
            <v>17683445</v>
          </cell>
          <cell r="C602" t="str">
            <v>WP MADURA</v>
          </cell>
        </row>
        <row r="603">
          <cell r="B603">
            <v>17686544</v>
          </cell>
          <cell r="C603" t="str">
            <v>VEAY PULSA</v>
          </cell>
        </row>
        <row r="604">
          <cell r="B604">
            <v>17695649</v>
          </cell>
          <cell r="C604" t="str">
            <v>WP HERA</v>
          </cell>
        </row>
        <row r="605">
          <cell r="B605">
            <v>17754034</v>
          </cell>
          <cell r="C605" t="str">
            <v>Prama store</v>
          </cell>
        </row>
        <row r="606">
          <cell r="B606">
            <v>17742509</v>
          </cell>
          <cell r="C606" t="str">
            <v>Prana cell</v>
          </cell>
        </row>
        <row r="607">
          <cell r="B607">
            <v>1295665</v>
          </cell>
          <cell r="C607" t="str">
            <v>DIBARR CELL</v>
          </cell>
        </row>
        <row r="608">
          <cell r="B608">
            <v>17156695</v>
          </cell>
          <cell r="C608" t="str">
            <v>Barokah cell</v>
          </cell>
        </row>
        <row r="609">
          <cell r="B609">
            <v>17132952</v>
          </cell>
          <cell r="C609" t="str">
            <v>QILLA 2</v>
          </cell>
        </row>
        <row r="610">
          <cell r="B610">
            <v>17184838</v>
          </cell>
          <cell r="C610" t="str">
            <v>R CELL</v>
          </cell>
        </row>
        <row r="611">
          <cell r="B611">
            <v>17258796</v>
          </cell>
          <cell r="C611" t="str">
            <v>Nazira cell</v>
          </cell>
        </row>
        <row r="612">
          <cell r="B612">
            <v>17435027</v>
          </cell>
          <cell r="C612" t="str">
            <v>R CELL</v>
          </cell>
        </row>
        <row r="613">
          <cell r="B613">
            <v>17202238</v>
          </cell>
          <cell r="C613" t="str">
            <v>Rizki cell</v>
          </cell>
        </row>
        <row r="614">
          <cell r="B614">
            <v>17409125</v>
          </cell>
          <cell r="C614" t="str">
            <v>Wr kembar</v>
          </cell>
        </row>
        <row r="615">
          <cell r="B615">
            <v>17357707</v>
          </cell>
          <cell r="C615" t="str">
            <v>RADISTY CELL</v>
          </cell>
        </row>
        <row r="616">
          <cell r="B616">
            <v>17148157</v>
          </cell>
          <cell r="C616" t="str">
            <v>Diana Celluler</v>
          </cell>
        </row>
        <row r="617">
          <cell r="B617">
            <v>17588243</v>
          </cell>
          <cell r="C617" t="str">
            <v>UHA CELL</v>
          </cell>
        </row>
        <row r="618">
          <cell r="B618">
            <v>510163</v>
          </cell>
          <cell r="C618" t="str">
            <v>RAFFA CELL</v>
          </cell>
        </row>
        <row r="619">
          <cell r="B619">
            <v>17202840</v>
          </cell>
          <cell r="C619" t="str">
            <v>ALISHA cell</v>
          </cell>
        </row>
        <row r="620">
          <cell r="B620">
            <v>17148212</v>
          </cell>
          <cell r="C620" t="str">
            <v>Raya Cell</v>
          </cell>
        </row>
        <row r="621">
          <cell r="B621">
            <v>17214964</v>
          </cell>
          <cell r="C621" t="str">
            <v>Evi cell</v>
          </cell>
        </row>
        <row r="622">
          <cell r="B622">
            <v>17158052</v>
          </cell>
          <cell r="C622" t="str">
            <v>RESTI RCS CELL</v>
          </cell>
        </row>
        <row r="623">
          <cell r="B623">
            <v>1479442</v>
          </cell>
          <cell r="C623" t="str">
            <v>RJ CELLULAR</v>
          </cell>
        </row>
        <row r="624">
          <cell r="B624">
            <v>17157955</v>
          </cell>
          <cell r="C624" t="str">
            <v>Ruins cell</v>
          </cell>
        </row>
        <row r="625">
          <cell r="B625">
            <v>17126824</v>
          </cell>
          <cell r="C625" t="str">
            <v>Rusli Cell</v>
          </cell>
        </row>
        <row r="626">
          <cell r="B626">
            <v>17122462</v>
          </cell>
          <cell r="C626" t="str">
            <v>Sanhok cell</v>
          </cell>
        </row>
        <row r="627">
          <cell r="B627">
            <v>17194593</v>
          </cell>
          <cell r="C627" t="str">
            <v>Sadulur Realod</v>
          </cell>
        </row>
        <row r="628">
          <cell r="B628">
            <v>17291953</v>
          </cell>
          <cell r="C628" t="str">
            <v>Niew cell</v>
          </cell>
        </row>
        <row r="629">
          <cell r="B629">
            <v>1307631</v>
          </cell>
          <cell r="C629" t="str">
            <v>RJ CELL</v>
          </cell>
        </row>
        <row r="630">
          <cell r="B630">
            <v>17635485</v>
          </cell>
          <cell r="C630" t="str">
            <v>DM CELL</v>
          </cell>
        </row>
        <row r="631">
          <cell r="B631">
            <v>17011026</v>
          </cell>
          <cell r="C631" t="str">
            <v>CF DAYS RELOAD</v>
          </cell>
        </row>
        <row r="632">
          <cell r="B632">
            <v>17639009</v>
          </cell>
          <cell r="C632" t="str">
            <v>eti</v>
          </cell>
        </row>
        <row r="633">
          <cell r="B633">
            <v>713101</v>
          </cell>
          <cell r="C633" t="str">
            <v>ANDI CELL</v>
          </cell>
        </row>
        <row r="634">
          <cell r="B634">
            <v>17048535</v>
          </cell>
          <cell r="C634" t="str">
            <v>APLUS PULSA 1 CELL</v>
          </cell>
        </row>
        <row r="635">
          <cell r="B635">
            <v>17048563</v>
          </cell>
          <cell r="C635" t="str">
            <v>APLUS PULSA2</v>
          </cell>
        </row>
        <row r="636">
          <cell r="B636">
            <v>1495551</v>
          </cell>
          <cell r="C636" t="str">
            <v>BUYUNK CELL</v>
          </cell>
        </row>
        <row r="637">
          <cell r="B637">
            <v>1447901</v>
          </cell>
          <cell r="C637" t="str">
            <v>CERIA CELLULAR</v>
          </cell>
        </row>
        <row r="638">
          <cell r="B638">
            <v>1554617</v>
          </cell>
          <cell r="C638" t="str">
            <v>SAWAH BERA</v>
          </cell>
        </row>
        <row r="639">
          <cell r="B639">
            <v>1295723</v>
          </cell>
          <cell r="C639" t="str">
            <v>FIKA CELL</v>
          </cell>
        </row>
        <row r="640">
          <cell r="B640">
            <v>17133130</v>
          </cell>
          <cell r="C640" t="str">
            <v>NAZMA CELL</v>
          </cell>
        </row>
        <row r="641">
          <cell r="B641">
            <v>714836</v>
          </cell>
          <cell r="C641" t="str">
            <v>SION CELL</v>
          </cell>
        </row>
        <row r="642">
          <cell r="B642">
            <v>1305481</v>
          </cell>
          <cell r="C642" t="str">
            <v>ZIRAN CELL</v>
          </cell>
        </row>
        <row r="643">
          <cell r="B643">
            <v>17450487</v>
          </cell>
          <cell r="C643" t="str">
            <v>KNZ Cell</v>
          </cell>
        </row>
        <row r="644">
          <cell r="B644">
            <v>17663330</v>
          </cell>
          <cell r="C644" t="str">
            <v>AMANPAY</v>
          </cell>
        </row>
        <row r="645">
          <cell r="B645">
            <v>17672339</v>
          </cell>
          <cell r="C645" t="str">
            <v>Abizar cell</v>
          </cell>
        </row>
        <row r="646">
          <cell r="B646">
            <v>17689459</v>
          </cell>
          <cell r="C646" t="str">
            <v>Warung marwan</v>
          </cell>
        </row>
        <row r="647">
          <cell r="B647">
            <v>17716928</v>
          </cell>
          <cell r="C647" t="str">
            <v>CAHAYA DIGITAL</v>
          </cell>
        </row>
        <row r="648">
          <cell r="B648">
            <v>17718439</v>
          </cell>
          <cell r="C648" t="str">
            <v>Rifki 5 cell</v>
          </cell>
        </row>
        <row r="649">
          <cell r="B649">
            <v>17718532</v>
          </cell>
          <cell r="C649" t="str">
            <v>BYAN SMI CELL</v>
          </cell>
        </row>
        <row r="650">
          <cell r="B650">
            <v>17724905</v>
          </cell>
          <cell r="C650" t="str">
            <v>Wetan celuller</v>
          </cell>
        </row>
        <row r="651">
          <cell r="B651">
            <v>17726518</v>
          </cell>
          <cell r="C651" t="str">
            <v>AFRIN CELL</v>
          </cell>
        </row>
        <row r="652">
          <cell r="B652">
            <v>17727838</v>
          </cell>
          <cell r="C652" t="str">
            <v>Nabila cell</v>
          </cell>
        </row>
        <row r="653">
          <cell r="B653">
            <v>17727875</v>
          </cell>
          <cell r="C653" t="str">
            <v>Vina Cell</v>
          </cell>
        </row>
        <row r="654">
          <cell r="B654">
            <v>17727890</v>
          </cell>
          <cell r="C654" t="str">
            <v>R CELL SMI</v>
          </cell>
        </row>
        <row r="655">
          <cell r="B655">
            <v>17727263</v>
          </cell>
          <cell r="C655" t="str">
            <v>OBJ CELL</v>
          </cell>
        </row>
        <row r="656">
          <cell r="B656">
            <v>17254421</v>
          </cell>
          <cell r="C656" t="str">
            <v>Rizki jaya cell</v>
          </cell>
        </row>
        <row r="657">
          <cell r="B657">
            <v>17235867</v>
          </cell>
          <cell r="C657" t="str">
            <v>Zidhane cell</v>
          </cell>
        </row>
        <row r="658">
          <cell r="B658">
            <v>17612032</v>
          </cell>
          <cell r="C658" t="str">
            <v>DS cell</v>
          </cell>
        </row>
        <row r="659">
          <cell r="B659">
            <v>17415774</v>
          </cell>
          <cell r="C659" t="str">
            <v>ANGGUN CELL</v>
          </cell>
        </row>
        <row r="660">
          <cell r="B660">
            <v>17139104</v>
          </cell>
          <cell r="C660" t="str">
            <v>CINTYA CELL</v>
          </cell>
        </row>
        <row r="661">
          <cell r="B661">
            <v>17432477</v>
          </cell>
          <cell r="C661" t="str">
            <v>Deuwah cell</v>
          </cell>
        </row>
        <row r="662">
          <cell r="B662">
            <v>17157912</v>
          </cell>
          <cell r="C662" t="str">
            <v>Valhalla</v>
          </cell>
        </row>
        <row r="663">
          <cell r="B663">
            <v>1329839</v>
          </cell>
          <cell r="C663" t="str">
            <v>HIKMAT CELL 1</v>
          </cell>
        </row>
        <row r="664">
          <cell r="B664">
            <v>17545715</v>
          </cell>
          <cell r="C664" t="str">
            <v>Barter srv2</v>
          </cell>
        </row>
        <row r="665">
          <cell r="B665">
            <v>1344068</v>
          </cell>
          <cell r="C665" t="str">
            <v>CHERYL CELL / MAGNUM</v>
          </cell>
        </row>
        <row r="666">
          <cell r="B666">
            <v>1340518</v>
          </cell>
          <cell r="C666" t="str">
            <v>SULTAN CELL</v>
          </cell>
        </row>
        <row r="667">
          <cell r="B667">
            <v>17600605</v>
          </cell>
          <cell r="C667" t="str">
            <v>Zona Pulsa</v>
          </cell>
        </row>
        <row r="668">
          <cell r="B668">
            <v>17612087</v>
          </cell>
          <cell r="C668" t="str">
            <v>Defa cell</v>
          </cell>
        </row>
        <row r="669">
          <cell r="B669">
            <v>1388000</v>
          </cell>
          <cell r="C669" t="str">
            <v>ALKA CELL</v>
          </cell>
        </row>
        <row r="670">
          <cell r="B670">
            <v>17599829</v>
          </cell>
          <cell r="C670" t="str">
            <v>Gadget second</v>
          </cell>
        </row>
        <row r="671">
          <cell r="B671">
            <v>17432469</v>
          </cell>
          <cell r="C671" t="str">
            <v>Arel Cell</v>
          </cell>
        </row>
        <row r="672">
          <cell r="B672">
            <v>17018582</v>
          </cell>
          <cell r="C672" t="str">
            <v>DIE CELL</v>
          </cell>
        </row>
        <row r="673">
          <cell r="B673">
            <v>17187888</v>
          </cell>
          <cell r="C673" t="str">
            <v>Katulistiwa cell</v>
          </cell>
        </row>
        <row r="674">
          <cell r="B674">
            <v>17408655</v>
          </cell>
          <cell r="C674" t="str">
            <v>PUTRI CELL</v>
          </cell>
        </row>
        <row r="675">
          <cell r="B675">
            <v>17192936</v>
          </cell>
          <cell r="C675" t="str">
            <v>Tiara cell</v>
          </cell>
        </row>
        <row r="676">
          <cell r="B676">
            <v>17408684</v>
          </cell>
          <cell r="C676" t="str">
            <v>Rahma Cell</v>
          </cell>
        </row>
        <row r="677">
          <cell r="B677">
            <v>17209970</v>
          </cell>
          <cell r="C677" t="str">
            <v>Arial cell</v>
          </cell>
        </row>
        <row r="678">
          <cell r="B678">
            <v>1294007</v>
          </cell>
          <cell r="C678" t="str">
            <v>RIZKI CELL</v>
          </cell>
        </row>
        <row r="679">
          <cell r="B679">
            <v>17197038</v>
          </cell>
          <cell r="C679" t="str">
            <v>Dik cell</v>
          </cell>
        </row>
        <row r="680">
          <cell r="B680">
            <v>1287373</v>
          </cell>
          <cell r="C680" t="str">
            <v>RAFLY CELL</v>
          </cell>
        </row>
        <row r="681">
          <cell r="B681">
            <v>1520903</v>
          </cell>
          <cell r="C681" t="str">
            <v>Aja Cell</v>
          </cell>
        </row>
        <row r="682">
          <cell r="B682">
            <v>1287882</v>
          </cell>
          <cell r="C682" t="str">
            <v>ARK CELL</v>
          </cell>
        </row>
        <row r="683">
          <cell r="B683">
            <v>17189112</v>
          </cell>
          <cell r="C683" t="str">
            <v>Armed cell</v>
          </cell>
        </row>
        <row r="684">
          <cell r="B684">
            <v>1480588</v>
          </cell>
          <cell r="C684" t="str">
            <v>SELAMAT CELLULAR</v>
          </cell>
        </row>
        <row r="685">
          <cell r="B685">
            <v>17200916</v>
          </cell>
          <cell r="C685" t="str">
            <v>FIJE CELL</v>
          </cell>
        </row>
        <row r="686">
          <cell r="B686">
            <v>1287482</v>
          </cell>
          <cell r="C686" t="str">
            <v>MULYA CELL</v>
          </cell>
        </row>
        <row r="687">
          <cell r="B687">
            <v>17201068</v>
          </cell>
          <cell r="C687" t="str">
            <v>Rifki Cell</v>
          </cell>
        </row>
        <row r="688">
          <cell r="B688">
            <v>1291983</v>
          </cell>
          <cell r="C688" t="str">
            <v>RUSWAN CELL</v>
          </cell>
        </row>
        <row r="689">
          <cell r="B689">
            <v>830222</v>
          </cell>
          <cell r="C689" t="str">
            <v>ASBA CELL</v>
          </cell>
        </row>
        <row r="690">
          <cell r="B690">
            <v>17361073</v>
          </cell>
          <cell r="C690" t="str">
            <v>DAFA</v>
          </cell>
        </row>
        <row r="691">
          <cell r="B691">
            <v>17588349</v>
          </cell>
          <cell r="C691" t="str">
            <v>Dangiang 2</v>
          </cell>
        </row>
        <row r="692">
          <cell r="B692">
            <v>1287477</v>
          </cell>
          <cell r="C692" t="str">
            <v>DIMAS CELL</v>
          </cell>
        </row>
        <row r="693">
          <cell r="B693">
            <v>1352756</v>
          </cell>
          <cell r="C693" t="str">
            <v>DINI CELL</v>
          </cell>
        </row>
        <row r="694">
          <cell r="B694">
            <v>17436426</v>
          </cell>
          <cell r="C694" t="str">
            <v>Kanaya cell</v>
          </cell>
        </row>
        <row r="695">
          <cell r="B695">
            <v>1287323</v>
          </cell>
          <cell r="C695" t="str">
            <v>MY CELL</v>
          </cell>
        </row>
        <row r="696">
          <cell r="B696">
            <v>17208505</v>
          </cell>
          <cell r="C696" t="str">
            <v>Rabia cell</v>
          </cell>
        </row>
        <row r="697">
          <cell r="B697">
            <v>17011416</v>
          </cell>
          <cell r="C697" t="str">
            <v>RS STORE</v>
          </cell>
        </row>
        <row r="698">
          <cell r="B698">
            <v>17361068</v>
          </cell>
          <cell r="C698" t="str">
            <v>SALWA 2 CELL</v>
          </cell>
        </row>
        <row r="699">
          <cell r="B699">
            <v>583553</v>
          </cell>
          <cell r="C699" t="str">
            <v>Salwa Cell</v>
          </cell>
        </row>
        <row r="700">
          <cell r="B700">
            <v>17192296</v>
          </cell>
          <cell r="C700" t="str">
            <v>Yonko cell</v>
          </cell>
        </row>
        <row r="701">
          <cell r="B701">
            <v>17615800</v>
          </cell>
          <cell r="C701" t="str">
            <v>Panarosan cell</v>
          </cell>
        </row>
        <row r="702">
          <cell r="B702">
            <v>17157687</v>
          </cell>
          <cell r="C702" t="str">
            <v>Birra Cell</v>
          </cell>
        </row>
        <row r="703">
          <cell r="B703">
            <v>17028575</v>
          </cell>
          <cell r="C703" t="str">
            <v>Harum Cell</v>
          </cell>
        </row>
        <row r="704">
          <cell r="B704">
            <v>17137370</v>
          </cell>
          <cell r="C704" t="str">
            <v>LESTI CELL</v>
          </cell>
        </row>
        <row r="705">
          <cell r="B705">
            <v>17138851</v>
          </cell>
          <cell r="C705" t="str">
            <v>MUSTIKA</v>
          </cell>
        </row>
        <row r="706">
          <cell r="B706">
            <v>17458729</v>
          </cell>
          <cell r="C706" t="str">
            <v>RH Cell</v>
          </cell>
        </row>
        <row r="707">
          <cell r="B707">
            <v>17588320</v>
          </cell>
          <cell r="C707" t="str">
            <v>RIFQI Cell</v>
          </cell>
        </row>
        <row r="708">
          <cell r="B708">
            <v>1297855</v>
          </cell>
          <cell r="C708" t="str">
            <v>SUPER CELL</v>
          </cell>
        </row>
        <row r="709">
          <cell r="B709">
            <v>855307</v>
          </cell>
          <cell r="C709" t="str">
            <v>Ren-ren cell</v>
          </cell>
        </row>
        <row r="710">
          <cell r="B710">
            <v>1305491</v>
          </cell>
          <cell r="C710" t="str">
            <v>MANDIRI CELL 2</v>
          </cell>
        </row>
        <row r="711">
          <cell r="B711">
            <v>17673433</v>
          </cell>
          <cell r="C711" t="str">
            <v>Devi Cell</v>
          </cell>
        </row>
        <row r="712">
          <cell r="B712">
            <v>17680473</v>
          </cell>
          <cell r="C712" t="str">
            <v>Ds cell</v>
          </cell>
        </row>
        <row r="713">
          <cell r="B713">
            <v>17409241</v>
          </cell>
          <cell r="C713" t="str">
            <v>Fanfan Cell</v>
          </cell>
        </row>
        <row r="714">
          <cell r="B714">
            <v>17199452</v>
          </cell>
          <cell r="C714" t="str">
            <v>X-ray cell</v>
          </cell>
        </row>
        <row r="715">
          <cell r="B715">
            <v>17234501</v>
          </cell>
          <cell r="C715" t="str">
            <v>MAMA cell</v>
          </cell>
        </row>
        <row r="716">
          <cell r="B716">
            <v>1287324</v>
          </cell>
          <cell r="C716" t="str">
            <v>RIZKI</v>
          </cell>
        </row>
        <row r="717">
          <cell r="B717">
            <v>17232081</v>
          </cell>
          <cell r="C717" t="str">
            <v>Sky 2 Cell</v>
          </cell>
        </row>
        <row r="718">
          <cell r="B718">
            <v>17029649</v>
          </cell>
          <cell r="C718" t="str">
            <v>DZ CELL</v>
          </cell>
        </row>
        <row r="719">
          <cell r="B719">
            <v>17542680</v>
          </cell>
          <cell r="C719" t="str">
            <v>Kabayan cell</v>
          </cell>
        </row>
        <row r="720">
          <cell r="B720">
            <v>17176572</v>
          </cell>
          <cell r="C720" t="str">
            <v>NAYLA CELL</v>
          </cell>
        </row>
        <row r="721">
          <cell r="B721">
            <v>17252857</v>
          </cell>
          <cell r="C721" t="str">
            <v>ZANI cell</v>
          </cell>
        </row>
        <row r="722">
          <cell r="B722">
            <v>1287322</v>
          </cell>
          <cell r="C722" t="str">
            <v>PUJA CELL</v>
          </cell>
        </row>
        <row r="723">
          <cell r="B723">
            <v>17189129</v>
          </cell>
          <cell r="C723" t="str">
            <v>kakay cell</v>
          </cell>
        </row>
        <row r="724">
          <cell r="B724">
            <v>17703704</v>
          </cell>
          <cell r="C724" t="str">
            <v>Asba Store</v>
          </cell>
        </row>
        <row r="725">
          <cell r="B725">
            <v>17712279</v>
          </cell>
          <cell r="C725" t="str">
            <v>Abib cell 2</v>
          </cell>
        </row>
        <row r="726">
          <cell r="B726">
            <v>17140613</v>
          </cell>
          <cell r="C726" t="str">
            <v>Bintang cell</v>
          </cell>
        </row>
        <row r="727">
          <cell r="B727">
            <v>1494299</v>
          </cell>
          <cell r="C727" t="str">
            <v>SOHOTANG CELL</v>
          </cell>
        </row>
        <row r="728">
          <cell r="B728">
            <v>17661437</v>
          </cell>
          <cell r="C728" t="str">
            <v>Mars Cell</v>
          </cell>
        </row>
        <row r="729">
          <cell r="B729">
            <v>17458410</v>
          </cell>
          <cell r="C729" t="str">
            <v>Taman Niaga Indonesia</v>
          </cell>
        </row>
        <row r="730">
          <cell r="B730">
            <v>17215831</v>
          </cell>
          <cell r="C730" t="str">
            <v>Mini Cell</v>
          </cell>
        </row>
        <row r="731">
          <cell r="B731">
            <v>17281582</v>
          </cell>
          <cell r="C731" t="str">
            <v>RAFANDRA CELL</v>
          </cell>
        </row>
        <row r="732">
          <cell r="B732">
            <v>17206602</v>
          </cell>
          <cell r="C732" t="str">
            <v>YNL cell</v>
          </cell>
        </row>
        <row r="733">
          <cell r="B733">
            <v>17258837</v>
          </cell>
          <cell r="C733" t="str">
            <v>ABIEL CELL</v>
          </cell>
        </row>
        <row r="734">
          <cell r="B734">
            <v>17152964</v>
          </cell>
          <cell r="C734" t="str">
            <v>AZKA CELL</v>
          </cell>
        </row>
        <row r="735">
          <cell r="B735">
            <v>17140433</v>
          </cell>
          <cell r="C735" t="str">
            <v>HARRY CELL</v>
          </cell>
        </row>
        <row r="736">
          <cell r="B736">
            <v>17235642</v>
          </cell>
          <cell r="C736" t="str">
            <v>Vins cell</v>
          </cell>
        </row>
        <row r="737">
          <cell r="B737">
            <v>17436428</v>
          </cell>
          <cell r="C737" t="str">
            <v>SALMAN CELL</v>
          </cell>
        </row>
        <row r="738">
          <cell r="B738">
            <v>17408609</v>
          </cell>
          <cell r="C738" t="str">
            <v>TILAS CELL</v>
          </cell>
        </row>
        <row r="739">
          <cell r="B739">
            <v>17520866</v>
          </cell>
          <cell r="C739" t="str">
            <v>Rama Cell</v>
          </cell>
        </row>
        <row r="740">
          <cell r="B740">
            <v>17672325</v>
          </cell>
          <cell r="C740" t="str">
            <v>KHAIBAR CELL</v>
          </cell>
        </row>
        <row r="741">
          <cell r="B741">
            <v>17672345</v>
          </cell>
          <cell r="C741" t="str">
            <v>Ratu cell</v>
          </cell>
        </row>
        <row r="742">
          <cell r="B742">
            <v>17672832</v>
          </cell>
          <cell r="C742" t="str">
            <v>Warung susi</v>
          </cell>
        </row>
        <row r="743">
          <cell r="B743">
            <v>17673295</v>
          </cell>
          <cell r="C743" t="str">
            <v>WP_Warung kembar</v>
          </cell>
        </row>
        <row r="744">
          <cell r="B744">
            <v>17713433</v>
          </cell>
          <cell r="C744" t="str">
            <v>Petic cell</v>
          </cell>
        </row>
        <row r="745">
          <cell r="B745">
            <v>17554878</v>
          </cell>
          <cell r="C745" t="str">
            <v>Arctic cell</v>
          </cell>
        </row>
        <row r="746">
          <cell r="B746">
            <v>17545796</v>
          </cell>
          <cell r="C746" t="str">
            <v>Gate server</v>
          </cell>
        </row>
        <row r="747">
          <cell r="B747">
            <v>17545849</v>
          </cell>
          <cell r="C747" t="str">
            <v>Gate server 2</v>
          </cell>
        </row>
        <row r="748">
          <cell r="B748">
            <v>17545867</v>
          </cell>
          <cell r="C748" t="str">
            <v>Gate server2</v>
          </cell>
        </row>
        <row r="749">
          <cell r="B749">
            <v>17140504</v>
          </cell>
          <cell r="C749" t="str">
            <v>KENZIE PULSA</v>
          </cell>
        </row>
        <row r="750">
          <cell r="B750">
            <v>17554953</v>
          </cell>
          <cell r="C750" t="str">
            <v>Lizzy cell</v>
          </cell>
        </row>
        <row r="751">
          <cell r="B751">
            <v>17140313</v>
          </cell>
          <cell r="C751" t="str">
            <v>MANS CELL</v>
          </cell>
        </row>
        <row r="752">
          <cell r="B752">
            <v>1340131</v>
          </cell>
          <cell r="C752" t="str">
            <v>OUTLET CELL</v>
          </cell>
        </row>
        <row r="753">
          <cell r="B753">
            <v>717575</v>
          </cell>
          <cell r="C753" t="str">
            <v>PULA SHOP CELL</v>
          </cell>
        </row>
        <row r="754">
          <cell r="B754">
            <v>17141532</v>
          </cell>
          <cell r="C754" t="str">
            <v>Rafi Reload 4</v>
          </cell>
        </row>
        <row r="755">
          <cell r="B755">
            <v>17141538</v>
          </cell>
          <cell r="C755" t="str">
            <v>Rafi Reload 5</v>
          </cell>
        </row>
        <row r="756">
          <cell r="B756">
            <v>1340368</v>
          </cell>
          <cell r="C756" t="str">
            <v>SAHRUL CELL</v>
          </cell>
        </row>
        <row r="757">
          <cell r="B757">
            <v>17147076</v>
          </cell>
          <cell r="C757" t="str">
            <v>SALWA CELL</v>
          </cell>
        </row>
        <row r="758">
          <cell r="B758">
            <v>17407725</v>
          </cell>
          <cell r="C758" t="str">
            <v>WARUNG PUTRI CELL</v>
          </cell>
        </row>
        <row r="759">
          <cell r="B759">
            <v>17616383</v>
          </cell>
          <cell r="C759" t="str">
            <v>Mamih cell</v>
          </cell>
        </row>
        <row r="760">
          <cell r="B760">
            <v>17612082</v>
          </cell>
          <cell r="C760" t="str">
            <v>Sindi cell</v>
          </cell>
        </row>
        <row r="761">
          <cell r="B761">
            <v>17616150</v>
          </cell>
          <cell r="C761" t="str">
            <v>RDT cell</v>
          </cell>
        </row>
        <row r="762">
          <cell r="B762">
            <v>17597452</v>
          </cell>
          <cell r="C762" t="str">
            <v>Dolly Cell</v>
          </cell>
        </row>
        <row r="763">
          <cell r="B763">
            <v>17434885</v>
          </cell>
          <cell r="C763" t="str">
            <v>3 PUTRI CELL</v>
          </cell>
        </row>
        <row r="764">
          <cell r="B764">
            <v>17523489</v>
          </cell>
          <cell r="C764" t="str">
            <v>Heguna Cell</v>
          </cell>
        </row>
        <row r="765">
          <cell r="B765">
            <v>17241864</v>
          </cell>
          <cell r="C765" t="str">
            <v>ADENIUM CELL</v>
          </cell>
        </row>
        <row r="766">
          <cell r="B766">
            <v>17409048</v>
          </cell>
          <cell r="C766" t="str">
            <v>Malik Cell</v>
          </cell>
        </row>
        <row r="767">
          <cell r="B767">
            <v>17209192</v>
          </cell>
          <cell r="C767" t="str">
            <v>Sesilia cell</v>
          </cell>
        </row>
        <row r="768">
          <cell r="B768">
            <v>17011712</v>
          </cell>
          <cell r="C768" t="str">
            <v>Trans Jaya Cell</v>
          </cell>
        </row>
        <row r="769">
          <cell r="B769">
            <v>17153731</v>
          </cell>
          <cell r="C769" t="str">
            <v>AENI CELL</v>
          </cell>
        </row>
        <row r="770">
          <cell r="B770">
            <v>17199710</v>
          </cell>
          <cell r="C770" t="str">
            <v>NEDIA CELL</v>
          </cell>
        </row>
        <row r="771">
          <cell r="B771">
            <v>17030094</v>
          </cell>
          <cell r="C771" t="str">
            <v>KN Cell</v>
          </cell>
        </row>
        <row r="772">
          <cell r="B772">
            <v>17472746</v>
          </cell>
          <cell r="C772" t="str">
            <v>Mikha cell</v>
          </cell>
        </row>
        <row r="773">
          <cell r="B773">
            <v>1305510</v>
          </cell>
          <cell r="C773" t="str">
            <v>ANTON CELL</v>
          </cell>
        </row>
        <row r="774">
          <cell r="B774">
            <v>1287437</v>
          </cell>
          <cell r="C774" t="str">
            <v>DAFFA CELL 2</v>
          </cell>
        </row>
        <row r="775">
          <cell r="B775">
            <v>17140306</v>
          </cell>
          <cell r="C775" t="str">
            <v>FAWWAZ 2 cell</v>
          </cell>
        </row>
        <row r="776">
          <cell r="B776">
            <v>1287473</v>
          </cell>
          <cell r="C776" t="str">
            <v>GATE CELL</v>
          </cell>
        </row>
        <row r="777">
          <cell r="B777">
            <v>17194086</v>
          </cell>
          <cell r="C777" t="str">
            <v>LUTFI CELL</v>
          </cell>
        </row>
        <row r="778">
          <cell r="B778">
            <v>17588331</v>
          </cell>
          <cell r="C778" t="str">
            <v>NS Store</v>
          </cell>
        </row>
        <row r="779">
          <cell r="B779">
            <v>17191347</v>
          </cell>
          <cell r="C779" t="str">
            <v>Razan Cell</v>
          </cell>
        </row>
        <row r="780">
          <cell r="B780">
            <v>1293965</v>
          </cell>
          <cell r="C780" t="str">
            <v>ALDI CELL</v>
          </cell>
        </row>
        <row r="781">
          <cell r="B781">
            <v>1449255</v>
          </cell>
          <cell r="C781" t="str">
            <v>ALDIE CELL</v>
          </cell>
        </row>
        <row r="782">
          <cell r="B782">
            <v>1297863</v>
          </cell>
          <cell r="C782" t="str">
            <v>BAGUS CELL</v>
          </cell>
        </row>
        <row r="783">
          <cell r="B783">
            <v>1293966</v>
          </cell>
          <cell r="C783" t="str">
            <v>DANI CELL</v>
          </cell>
        </row>
        <row r="784">
          <cell r="B784">
            <v>568055</v>
          </cell>
          <cell r="C784" t="str">
            <v>Donz cell</v>
          </cell>
        </row>
        <row r="785">
          <cell r="B785">
            <v>17587969</v>
          </cell>
          <cell r="C785" t="str">
            <v>ILHAM CELL</v>
          </cell>
        </row>
        <row r="786">
          <cell r="B786">
            <v>571002</v>
          </cell>
          <cell r="C786" t="str">
            <v>RAHMATAN CELL</v>
          </cell>
        </row>
        <row r="787">
          <cell r="B787">
            <v>17229414</v>
          </cell>
          <cell r="C787" t="str">
            <v>Adho cellular</v>
          </cell>
        </row>
        <row r="788">
          <cell r="B788">
            <v>17290317</v>
          </cell>
          <cell r="C788" t="str">
            <v>Daniel Center</v>
          </cell>
        </row>
        <row r="789">
          <cell r="B789">
            <v>17214998</v>
          </cell>
          <cell r="C789" t="str">
            <v>Ratu cell</v>
          </cell>
        </row>
        <row r="790">
          <cell r="B790">
            <v>1287375</v>
          </cell>
          <cell r="C790" t="str">
            <v>KAKAN CEELL</v>
          </cell>
        </row>
        <row r="791">
          <cell r="B791">
            <v>17140575</v>
          </cell>
          <cell r="C791" t="str">
            <v>Reunion cell</v>
          </cell>
        </row>
        <row r="792">
          <cell r="B792">
            <v>17472042</v>
          </cell>
          <cell r="C792" t="str">
            <v>Rizki cell</v>
          </cell>
        </row>
        <row r="793">
          <cell r="B793">
            <v>17429902</v>
          </cell>
          <cell r="C793" t="str">
            <v>DM cell</v>
          </cell>
        </row>
        <row r="794">
          <cell r="B794">
            <v>17680800</v>
          </cell>
          <cell r="C794" t="str">
            <v>Toko 788</v>
          </cell>
        </row>
        <row r="795">
          <cell r="B795">
            <v>17588301</v>
          </cell>
          <cell r="C795" t="str">
            <v>Agus Cell</v>
          </cell>
        </row>
        <row r="796">
          <cell r="B796">
            <v>17805618</v>
          </cell>
          <cell r="C796" t="str">
            <v>SHAQEENA CELL</v>
          </cell>
        </row>
        <row r="797">
          <cell r="B797">
            <v>586511</v>
          </cell>
          <cell r="C797" t="str">
            <v>aulia cell</v>
          </cell>
        </row>
        <row r="798">
          <cell r="B798">
            <v>1386276</v>
          </cell>
          <cell r="C798" t="str">
            <v>BERKAH CELL</v>
          </cell>
        </row>
        <row r="799">
          <cell r="B799">
            <v>1304569</v>
          </cell>
          <cell r="C799" t="str">
            <v>ISNEN CELL</v>
          </cell>
        </row>
        <row r="800">
          <cell r="B800">
            <v>17154026</v>
          </cell>
          <cell r="C800" t="str">
            <v>WARNA CELL</v>
          </cell>
        </row>
        <row r="801">
          <cell r="B801">
            <v>17288129</v>
          </cell>
          <cell r="C801" t="str">
            <v>Megaroos Cell</v>
          </cell>
        </row>
        <row r="802">
          <cell r="B802">
            <v>1292556</v>
          </cell>
          <cell r="C802" t="str">
            <v>ARJUNA CELL</v>
          </cell>
        </row>
        <row r="803">
          <cell r="B803">
            <v>17435409</v>
          </cell>
          <cell r="C803" t="str">
            <v>LUFI CELL</v>
          </cell>
        </row>
        <row r="804">
          <cell r="B804">
            <v>17256628</v>
          </cell>
          <cell r="C804" t="str">
            <v>SELAMET CELL</v>
          </cell>
        </row>
        <row r="805">
          <cell r="B805">
            <v>17435434</v>
          </cell>
          <cell r="C805" t="str">
            <v>GHIFARY CELL</v>
          </cell>
        </row>
        <row r="806">
          <cell r="B806">
            <v>1508575</v>
          </cell>
          <cell r="C806" t="str">
            <v>ALFAT</v>
          </cell>
        </row>
        <row r="807">
          <cell r="B807">
            <v>17263263</v>
          </cell>
          <cell r="C807" t="str">
            <v>Bara cell</v>
          </cell>
        </row>
        <row r="808">
          <cell r="B808">
            <v>17028593</v>
          </cell>
          <cell r="C808" t="str">
            <v>Tanama 3 cell</v>
          </cell>
        </row>
        <row r="809">
          <cell r="B809">
            <v>1082030</v>
          </cell>
          <cell r="C809" t="str">
            <v>Dangiang Cell</v>
          </cell>
        </row>
        <row r="810">
          <cell r="B810">
            <v>1325739</v>
          </cell>
          <cell r="C810" t="str">
            <v>LEMBAYUNG</v>
          </cell>
        </row>
        <row r="811">
          <cell r="B811">
            <v>17616381</v>
          </cell>
          <cell r="C811" t="str">
            <v>Bc aja 1</v>
          </cell>
        </row>
        <row r="812">
          <cell r="B812">
            <v>17616272</v>
          </cell>
          <cell r="C812" t="str">
            <v>Bc aja</v>
          </cell>
        </row>
        <row r="813">
          <cell r="B813">
            <v>17157914</v>
          </cell>
          <cell r="C813" t="str">
            <v>Fanz cell</v>
          </cell>
        </row>
        <row r="814">
          <cell r="B814">
            <v>17235199</v>
          </cell>
          <cell r="C814" t="str">
            <v>YNL 2 cell</v>
          </cell>
        </row>
        <row r="815">
          <cell r="B815">
            <v>1305523</v>
          </cell>
          <cell r="C815" t="str">
            <v>ANGGA CELL</v>
          </cell>
        </row>
        <row r="816">
          <cell r="B816">
            <v>17434854</v>
          </cell>
          <cell r="C816" t="str">
            <v>DANZ CELL</v>
          </cell>
        </row>
        <row r="817">
          <cell r="B817">
            <v>17151697</v>
          </cell>
          <cell r="C817" t="str">
            <v>RCcell</v>
          </cell>
        </row>
        <row r="818">
          <cell r="B818">
            <v>17617618</v>
          </cell>
          <cell r="C818" t="str">
            <v>LintangSakti Cell</v>
          </cell>
        </row>
        <row r="819">
          <cell r="B819">
            <v>17628667</v>
          </cell>
          <cell r="C819" t="str">
            <v>Aqmarstore</v>
          </cell>
        </row>
        <row r="820">
          <cell r="B820">
            <v>1305467</v>
          </cell>
          <cell r="C820" t="str">
            <v>HENDRA CELL</v>
          </cell>
        </row>
        <row r="821">
          <cell r="B821">
            <v>932872</v>
          </cell>
          <cell r="C821" t="str">
            <v>Kilat cell</v>
          </cell>
        </row>
        <row r="822">
          <cell r="B822">
            <v>17659862</v>
          </cell>
          <cell r="C822" t="str">
            <v>Alkalifi berdikari cell</v>
          </cell>
        </row>
        <row r="823">
          <cell r="B823">
            <v>17675840</v>
          </cell>
          <cell r="C823" t="str">
            <v>Wp kiandris</v>
          </cell>
        </row>
        <row r="824">
          <cell r="B824">
            <v>17672868</v>
          </cell>
          <cell r="C824" t="str">
            <v>IBRA cell</v>
          </cell>
        </row>
        <row r="825">
          <cell r="B825">
            <v>17730423</v>
          </cell>
          <cell r="C825" t="str">
            <v>14 CELL 2 SMI</v>
          </cell>
        </row>
        <row r="826">
          <cell r="B826">
            <v>17730446</v>
          </cell>
          <cell r="C826" t="str">
            <v>Disa store</v>
          </cell>
        </row>
        <row r="827">
          <cell r="B827">
            <v>17730947</v>
          </cell>
          <cell r="C827" t="str">
            <v>SN CELL SMI</v>
          </cell>
        </row>
        <row r="828">
          <cell r="B828">
            <v>17730976</v>
          </cell>
          <cell r="C828" t="str">
            <v>JALAL CELL SMI</v>
          </cell>
        </row>
        <row r="829">
          <cell r="B829">
            <v>17731671</v>
          </cell>
          <cell r="C829" t="str">
            <v>NAWASENA SMI CELL</v>
          </cell>
        </row>
        <row r="830">
          <cell r="B830">
            <v>17731894</v>
          </cell>
          <cell r="C830" t="str">
            <v>MJ CELL SMI</v>
          </cell>
        </row>
        <row r="831">
          <cell r="B831">
            <v>17736955</v>
          </cell>
          <cell r="C831" t="str">
            <v>Fafa cell</v>
          </cell>
        </row>
        <row r="832">
          <cell r="B832">
            <v>17737035</v>
          </cell>
          <cell r="C832" t="str">
            <v>Ratu cell smi</v>
          </cell>
        </row>
        <row r="833">
          <cell r="B833">
            <v>17737328</v>
          </cell>
          <cell r="C833" t="str">
            <v>Dani cell</v>
          </cell>
        </row>
        <row r="834">
          <cell r="B834">
            <v>17737538</v>
          </cell>
          <cell r="C834" t="str">
            <v>Alfarizky</v>
          </cell>
        </row>
        <row r="835">
          <cell r="B835">
            <v>17356384</v>
          </cell>
          <cell r="C835" t="str">
            <v>SION 3 CELL</v>
          </cell>
        </row>
        <row r="836">
          <cell r="B836">
            <v>17784812</v>
          </cell>
          <cell r="C836" t="str">
            <v>Small bite cell</v>
          </cell>
        </row>
        <row r="837">
          <cell r="B837">
            <v>17745160</v>
          </cell>
          <cell r="C837" t="str">
            <v>DEFF CELL SMI</v>
          </cell>
        </row>
        <row r="838">
          <cell r="B838">
            <v>17745305</v>
          </cell>
          <cell r="C838" t="str">
            <v>AL Safa cell</v>
          </cell>
        </row>
        <row r="839">
          <cell r="B839">
            <v>1529004</v>
          </cell>
          <cell r="C839" t="str">
            <v>DEVIN CENTRAL CELL 2</v>
          </cell>
        </row>
        <row r="840">
          <cell r="B840">
            <v>17190695</v>
          </cell>
          <cell r="C840" t="str">
            <v>AIM CELL</v>
          </cell>
        </row>
        <row r="841">
          <cell r="B841">
            <v>17436884</v>
          </cell>
          <cell r="C841" t="str">
            <v>Bening cell</v>
          </cell>
        </row>
        <row r="842">
          <cell r="B842">
            <v>17438630</v>
          </cell>
          <cell r="C842" t="str">
            <v>Citra cell</v>
          </cell>
        </row>
        <row r="843">
          <cell r="B843">
            <v>1293553</v>
          </cell>
          <cell r="C843" t="str">
            <v>FAIZ CELL BHAYANGKARA</v>
          </cell>
        </row>
        <row r="844">
          <cell r="B844">
            <v>1295638</v>
          </cell>
          <cell r="C844" t="str">
            <v>flass</v>
          </cell>
        </row>
        <row r="845">
          <cell r="B845">
            <v>17438622</v>
          </cell>
          <cell r="C845" t="str">
            <v>Galih cell</v>
          </cell>
        </row>
        <row r="846">
          <cell r="B846">
            <v>17541996</v>
          </cell>
          <cell r="C846" t="str">
            <v>Jaya manunggal Cell</v>
          </cell>
        </row>
        <row r="847">
          <cell r="B847">
            <v>17097639</v>
          </cell>
          <cell r="C847" t="str">
            <v>Libra cell</v>
          </cell>
        </row>
        <row r="848">
          <cell r="B848">
            <v>17401423</v>
          </cell>
          <cell r="C848" t="str">
            <v>Mirra cell</v>
          </cell>
        </row>
        <row r="849">
          <cell r="B849">
            <v>673989</v>
          </cell>
          <cell r="C849" t="str">
            <v>NASYWA CELL</v>
          </cell>
        </row>
        <row r="850">
          <cell r="B850">
            <v>17436889</v>
          </cell>
          <cell r="C850" t="str">
            <v>Rahayu cell</v>
          </cell>
        </row>
        <row r="851">
          <cell r="B851">
            <v>17211305</v>
          </cell>
          <cell r="C851" t="str">
            <v>SHOPIA CELL</v>
          </cell>
        </row>
        <row r="852">
          <cell r="B852">
            <v>17278027</v>
          </cell>
          <cell r="C852" t="str">
            <v>WANGSA CELL</v>
          </cell>
        </row>
        <row r="853">
          <cell r="B853">
            <v>17618484</v>
          </cell>
          <cell r="C853" t="str">
            <v>fauzi cell</v>
          </cell>
        </row>
        <row r="854">
          <cell r="B854">
            <v>17618524</v>
          </cell>
          <cell r="C854" t="str">
            <v>Semoga Laris Cell</v>
          </cell>
        </row>
        <row r="855">
          <cell r="B855">
            <v>17618500</v>
          </cell>
          <cell r="C855" t="str">
            <v>lala cell</v>
          </cell>
        </row>
        <row r="856">
          <cell r="B856">
            <v>17618504</v>
          </cell>
          <cell r="C856" t="str">
            <v>risma cell</v>
          </cell>
        </row>
        <row r="857">
          <cell r="B857">
            <v>17618512</v>
          </cell>
          <cell r="C857" t="str">
            <v>safety cell</v>
          </cell>
        </row>
        <row r="858">
          <cell r="B858">
            <v>17045416</v>
          </cell>
          <cell r="C858" t="str">
            <v>25 CELL</v>
          </cell>
        </row>
        <row r="859">
          <cell r="B859">
            <v>17466591</v>
          </cell>
          <cell r="C859" t="str">
            <v>AR RAUDHAH CELL</v>
          </cell>
        </row>
        <row r="860">
          <cell r="B860">
            <v>17210167</v>
          </cell>
          <cell r="C860" t="str">
            <v>ATI CELL 3</v>
          </cell>
        </row>
        <row r="861">
          <cell r="B861">
            <v>17459691</v>
          </cell>
          <cell r="C861" t="str">
            <v>GALERI 666 PHONE SHOP</v>
          </cell>
        </row>
        <row r="862">
          <cell r="B862">
            <v>1388778</v>
          </cell>
          <cell r="C862" t="str">
            <v>HAYATI</v>
          </cell>
        </row>
        <row r="863">
          <cell r="B863">
            <v>17541674</v>
          </cell>
          <cell r="C863" t="str">
            <v>Jajat Yuke Cell</v>
          </cell>
        </row>
        <row r="864">
          <cell r="B864">
            <v>1305515</v>
          </cell>
          <cell r="C864" t="str">
            <v>JAYA BAROKAH CELL</v>
          </cell>
        </row>
        <row r="865">
          <cell r="B865">
            <v>1353625</v>
          </cell>
          <cell r="C865" t="str">
            <v>JAYA BAROKAH CELL 2</v>
          </cell>
        </row>
        <row r="866">
          <cell r="B866">
            <v>1511538</v>
          </cell>
          <cell r="C866" t="str">
            <v>JOY 2 CELL</v>
          </cell>
        </row>
        <row r="867">
          <cell r="B867">
            <v>17449309</v>
          </cell>
          <cell r="C867" t="str">
            <v>Lucifer cell</v>
          </cell>
        </row>
        <row r="868">
          <cell r="B868">
            <v>17253782</v>
          </cell>
          <cell r="C868" t="str">
            <v>MALKAN AGEN BRILINK</v>
          </cell>
        </row>
        <row r="869">
          <cell r="B869">
            <v>17590020</v>
          </cell>
          <cell r="C869" t="str">
            <v>Pratama cell</v>
          </cell>
        </row>
        <row r="870">
          <cell r="B870">
            <v>17466581</v>
          </cell>
          <cell r="C870" t="str">
            <v>PUTRI CELL</v>
          </cell>
        </row>
        <row r="871">
          <cell r="B871">
            <v>17516356</v>
          </cell>
          <cell r="C871" t="str">
            <v>Toko Sm03</v>
          </cell>
        </row>
        <row r="872">
          <cell r="B872">
            <v>17443460</v>
          </cell>
          <cell r="C872" t="str">
            <v>Vario cell</v>
          </cell>
        </row>
        <row r="873">
          <cell r="B873">
            <v>17447496</v>
          </cell>
          <cell r="C873" t="str">
            <v>Warung beas cell</v>
          </cell>
        </row>
        <row r="874">
          <cell r="B874">
            <v>17440473</v>
          </cell>
          <cell r="C874" t="str">
            <v>Afc cell</v>
          </cell>
        </row>
        <row r="875">
          <cell r="B875">
            <v>1553402</v>
          </cell>
          <cell r="C875" t="str">
            <v>23 PLUS</v>
          </cell>
        </row>
        <row r="876">
          <cell r="B876">
            <v>17254267</v>
          </cell>
          <cell r="C876" t="str">
            <v>Alpian cell</v>
          </cell>
        </row>
        <row r="877">
          <cell r="B877">
            <v>17232133</v>
          </cell>
          <cell r="C877" t="str">
            <v>AM Cell</v>
          </cell>
        </row>
        <row r="878">
          <cell r="B878">
            <v>1296537</v>
          </cell>
          <cell r="C878" t="str">
            <v>AQILLA CELL</v>
          </cell>
        </row>
        <row r="879">
          <cell r="B879">
            <v>623958</v>
          </cell>
          <cell r="C879" t="str">
            <v>DEA CELL</v>
          </cell>
        </row>
        <row r="880">
          <cell r="B880">
            <v>942297</v>
          </cell>
          <cell r="C880" t="str">
            <v>Dms cell</v>
          </cell>
        </row>
        <row r="881">
          <cell r="B881">
            <v>17206992</v>
          </cell>
          <cell r="C881" t="str">
            <v>Galang cell</v>
          </cell>
        </row>
        <row r="882">
          <cell r="B882">
            <v>1534982</v>
          </cell>
          <cell r="C882" t="str">
            <v>PARKUD PHONE CELL</v>
          </cell>
        </row>
        <row r="883">
          <cell r="B883">
            <v>17393129</v>
          </cell>
          <cell r="C883" t="str">
            <v>RAVA CELL</v>
          </cell>
        </row>
        <row r="884">
          <cell r="B884">
            <v>17432597</v>
          </cell>
          <cell r="C884" t="str">
            <v>Shafa cell</v>
          </cell>
        </row>
        <row r="885">
          <cell r="B885">
            <v>1401925</v>
          </cell>
          <cell r="C885" t="str">
            <v>SPEED CELL</v>
          </cell>
        </row>
        <row r="886">
          <cell r="B886">
            <v>17249349</v>
          </cell>
          <cell r="C886" t="str">
            <v>Teja cell</v>
          </cell>
        </row>
        <row r="887">
          <cell r="B887">
            <v>1509787</v>
          </cell>
          <cell r="C887" t="str">
            <v>ZAFHIRA CELL</v>
          </cell>
        </row>
        <row r="888">
          <cell r="B888">
            <v>17466556</v>
          </cell>
          <cell r="C888" t="str">
            <v>Bhayangkara cell</v>
          </cell>
        </row>
        <row r="889">
          <cell r="B889">
            <v>17256500</v>
          </cell>
          <cell r="C889" t="str">
            <v>Langit Sagara cell</v>
          </cell>
        </row>
        <row r="890">
          <cell r="B890">
            <v>17383338</v>
          </cell>
          <cell r="C890" t="str">
            <v>LAWANG CELL</v>
          </cell>
        </row>
        <row r="891">
          <cell r="B891">
            <v>17466574</v>
          </cell>
          <cell r="C891" t="str">
            <v>Hero cell</v>
          </cell>
        </row>
        <row r="892">
          <cell r="B892">
            <v>17511811</v>
          </cell>
          <cell r="C892" t="str">
            <v>Putri cell</v>
          </cell>
        </row>
        <row r="893">
          <cell r="B893">
            <v>17527549</v>
          </cell>
          <cell r="C893" t="str">
            <v>Kk 2 cell</v>
          </cell>
        </row>
        <row r="894">
          <cell r="B894">
            <v>17459182</v>
          </cell>
          <cell r="C894" t="str">
            <v>ABAH CELL</v>
          </cell>
        </row>
        <row r="895">
          <cell r="B895">
            <v>17515219</v>
          </cell>
          <cell r="C895" t="str">
            <v>Amanda Cell</v>
          </cell>
        </row>
        <row r="896">
          <cell r="B896">
            <v>17452862</v>
          </cell>
          <cell r="C896" t="str">
            <v>Anggi Cell</v>
          </cell>
        </row>
        <row r="897">
          <cell r="B897">
            <v>17153709</v>
          </cell>
          <cell r="C897" t="str">
            <v>ATHAYA CELL</v>
          </cell>
        </row>
        <row r="898">
          <cell r="B898">
            <v>1381287</v>
          </cell>
          <cell r="C898" t="str">
            <v>Bunga 2 cell</v>
          </cell>
        </row>
        <row r="899">
          <cell r="B899">
            <v>17445069</v>
          </cell>
          <cell r="C899" t="str">
            <v>CIENG BENSIN CELL</v>
          </cell>
        </row>
        <row r="900">
          <cell r="B900">
            <v>17393967</v>
          </cell>
          <cell r="C900" t="str">
            <v>Diana Cell</v>
          </cell>
        </row>
        <row r="901">
          <cell r="B901">
            <v>17445255</v>
          </cell>
          <cell r="C901" t="str">
            <v>FERDI CELL</v>
          </cell>
        </row>
        <row r="902">
          <cell r="B902">
            <v>17012615</v>
          </cell>
          <cell r="C902" t="str">
            <v>Garnis cell</v>
          </cell>
        </row>
        <row r="903">
          <cell r="B903">
            <v>17466743</v>
          </cell>
          <cell r="C903" t="str">
            <v>KAMIL FLASHER CELL</v>
          </cell>
        </row>
        <row r="904">
          <cell r="B904">
            <v>17466707</v>
          </cell>
          <cell r="C904" t="str">
            <v>MITRA CELL</v>
          </cell>
        </row>
        <row r="905">
          <cell r="B905">
            <v>17407717</v>
          </cell>
          <cell r="C905" t="str">
            <v>POS CELL</v>
          </cell>
        </row>
        <row r="906">
          <cell r="B906">
            <v>1381359</v>
          </cell>
          <cell r="C906" t="str">
            <v>YAZQI CELL</v>
          </cell>
        </row>
        <row r="907">
          <cell r="B907">
            <v>17618313</v>
          </cell>
          <cell r="C907" t="str">
            <v>ratu cell</v>
          </cell>
        </row>
        <row r="908">
          <cell r="B908">
            <v>17618315</v>
          </cell>
          <cell r="C908" t="str">
            <v>kholil cell</v>
          </cell>
        </row>
        <row r="909">
          <cell r="B909">
            <v>17618318</v>
          </cell>
          <cell r="C909" t="str">
            <v>abang cell</v>
          </cell>
        </row>
        <row r="910">
          <cell r="B910">
            <v>17618563</v>
          </cell>
          <cell r="C910" t="str">
            <v>adul cell</v>
          </cell>
        </row>
        <row r="911">
          <cell r="B911">
            <v>17618572</v>
          </cell>
          <cell r="C911" t="str">
            <v>hibah cell</v>
          </cell>
        </row>
        <row r="912">
          <cell r="B912">
            <v>17618576</v>
          </cell>
          <cell r="C912" t="str">
            <v>sodik cell</v>
          </cell>
        </row>
        <row r="913">
          <cell r="B913">
            <v>17257627</v>
          </cell>
          <cell r="C913" t="str">
            <v>Farrel cell</v>
          </cell>
        </row>
        <row r="914">
          <cell r="B914">
            <v>17494345</v>
          </cell>
          <cell r="C914" t="str">
            <v>Alamsyah234</v>
          </cell>
        </row>
        <row r="915">
          <cell r="B915">
            <v>17277987</v>
          </cell>
          <cell r="C915" t="str">
            <v>BAROKAH CELL</v>
          </cell>
        </row>
        <row r="916">
          <cell r="B916">
            <v>17473086</v>
          </cell>
          <cell r="C916" t="str">
            <v>Bon cell</v>
          </cell>
        </row>
        <row r="917">
          <cell r="B917">
            <v>17438261</v>
          </cell>
          <cell r="C917" t="str">
            <v>Dens jaya cell</v>
          </cell>
        </row>
        <row r="918">
          <cell r="B918">
            <v>17244586</v>
          </cell>
          <cell r="C918" t="str">
            <v>HPN PULSA</v>
          </cell>
        </row>
        <row r="919">
          <cell r="B919">
            <v>17407600</v>
          </cell>
          <cell r="C919" t="str">
            <v>HPN REALOD 2</v>
          </cell>
        </row>
        <row r="920">
          <cell r="B920">
            <v>1294015</v>
          </cell>
          <cell r="C920" t="str">
            <v>LAZ ONE CELL</v>
          </cell>
        </row>
        <row r="921">
          <cell r="B921">
            <v>17467078</v>
          </cell>
          <cell r="C921" t="str">
            <v>LUFFY CELLULER</v>
          </cell>
        </row>
        <row r="922">
          <cell r="B922">
            <v>17381624</v>
          </cell>
          <cell r="C922" t="str">
            <v>Mapat cell2</v>
          </cell>
        </row>
        <row r="923">
          <cell r="B923">
            <v>17249592</v>
          </cell>
          <cell r="C923" t="str">
            <v>Nsd Cell</v>
          </cell>
        </row>
        <row r="924">
          <cell r="B924">
            <v>17473130</v>
          </cell>
          <cell r="C924" t="str">
            <v>OST CELL</v>
          </cell>
        </row>
        <row r="925">
          <cell r="B925">
            <v>17473122</v>
          </cell>
          <cell r="C925" t="str">
            <v>Rain cell</v>
          </cell>
        </row>
        <row r="926">
          <cell r="B926">
            <v>17194904</v>
          </cell>
          <cell r="C926" t="str">
            <v>Reza reload</v>
          </cell>
        </row>
        <row r="927">
          <cell r="B927">
            <v>17260481</v>
          </cell>
          <cell r="C927" t="str">
            <v>Reza reload2</v>
          </cell>
        </row>
        <row r="928">
          <cell r="B928">
            <v>17255560</v>
          </cell>
          <cell r="C928" t="str">
            <v>Rista Cell 1</v>
          </cell>
        </row>
        <row r="929">
          <cell r="B929">
            <v>17251291</v>
          </cell>
          <cell r="C929" t="str">
            <v>RISTA CELL 2</v>
          </cell>
        </row>
        <row r="930">
          <cell r="B930">
            <v>17255571</v>
          </cell>
          <cell r="C930" t="str">
            <v>Rista Cell 3</v>
          </cell>
        </row>
        <row r="931">
          <cell r="B931">
            <v>17202776</v>
          </cell>
          <cell r="C931" t="str">
            <v>Rizki pulsa</v>
          </cell>
        </row>
        <row r="932">
          <cell r="B932">
            <v>17473260</v>
          </cell>
          <cell r="C932" t="str">
            <v>Sahabat lawas</v>
          </cell>
        </row>
        <row r="933">
          <cell r="B933">
            <v>17473258</v>
          </cell>
          <cell r="C933" t="str">
            <v>Sahabat sejahtera</v>
          </cell>
        </row>
        <row r="934">
          <cell r="B934">
            <v>17407619</v>
          </cell>
          <cell r="C934" t="str">
            <v>Toko azis</v>
          </cell>
        </row>
        <row r="935">
          <cell r="B935">
            <v>17459725</v>
          </cell>
          <cell r="C935" t="str">
            <v>Toko sahabat</v>
          </cell>
        </row>
        <row r="936">
          <cell r="B936">
            <v>17287987</v>
          </cell>
          <cell r="C936" t="str">
            <v>Vicky Cell 3</v>
          </cell>
        </row>
        <row r="937">
          <cell r="B937">
            <v>17186590</v>
          </cell>
          <cell r="C937" t="str">
            <v>Virage cell</v>
          </cell>
        </row>
        <row r="938">
          <cell r="B938">
            <v>17482208</v>
          </cell>
          <cell r="C938" t="str">
            <v>Arjuna cell 2</v>
          </cell>
        </row>
        <row r="939">
          <cell r="B939">
            <v>17136439</v>
          </cell>
          <cell r="C939" t="str">
            <v>FAVORIT CELL</v>
          </cell>
        </row>
        <row r="940">
          <cell r="B940">
            <v>17445256</v>
          </cell>
          <cell r="C940" t="str">
            <v>JAYA CELL</v>
          </cell>
        </row>
        <row r="941">
          <cell r="B941">
            <v>1401929</v>
          </cell>
          <cell r="C941" t="str">
            <v>LYRA CELL</v>
          </cell>
        </row>
        <row r="942">
          <cell r="B942">
            <v>17473308</v>
          </cell>
          <cell r="C942" t="str">
            <v>Nurani 2</v>
          </cell>
        </row>
        <row r="943">
          <cell r="B943">
            <v>17473310</v>
          </cell>
          <cell r="C943" t="str">
            <v>Nurani 3</v>
          </cell>
        </row>
        <row r="944">
          <cell r="B944">
            <v>17574424</v>
          </cell>
          <cell r="C944" t="str">
            <v>Revancell 2</v>
          </cell>
        </row>
        <row r="945">
          <cell r="B945">
            <v>17192552</v>
          </cell>
          <cell r="C945" t="str">
            <v>RIZKY RELOAD</v>
          </cell>
        </row>
        <row r="946">
          <cell r="B946">
            <v>1298489</v>
          </cell>
          <cell r="C946" t="str">
            <v>RUSTY CELL</v>
          </cell>
        </row>
        <row r="947">
          <cell r="B947">
            <v>1354812</v>
          </cell>
          <cell r="C947" t="str">
            <v>YUDI CELL</v>
          </cell>
        </row>
        <row r="948">
          <cell r="B948">
            <v>1296530</v>
          </cell>
          <cell r="C948" t="str">
            <v>ASRI JAYA JPK CELL</v>
          </cell>
        </row>
        <row r="949">
          <cell r="B949">
            <v>17446706</v>
          </cell>
          <cell r="C949" t="str">
            <v>TOKO SEGAR</v>
          </cell>
        </row>
        <row r="950">
          <cell r="B950">
            <v>17459739</v>
          </cell>
          <cell r="C950" t="str">
            <v>Ibu cell</v>
          </cell>
        </row>
        <row r="951">
          <cell r="B951">
            <v>17618403</v>
          </cell>
          <cell r="C951" t="str">
            <v>jiban</v>
          </cell>
        </row>
        <row r="952">
          <cell r="B952">
            <v>17618398</v>
          </cell>
          <cell r="C952" t="str">
            <v>opik cell</v>
          </cell>
        </row>
        <row r="953">
          <cell r="B953">
            <v>17618362</v>
          </cell>
          <cell r="C953" t="str">
            <v xml:space="preserve">rayi cell </v>
          </cell>
        </row>
        <row r="954">
          <cell r="B954">
            <v>17618339</v>
          </cell>
          <cell r="C954" t="str">
            <v xml:space="preserve">asep cell   </v>
          </cell>
        </row>
        <row r="955">
          <cell r="B955">
            <v>17618854</v>
          </cell>
          <cell r="C955" t="str">
            <v>senja cell</v>
          </cell>
        </row>
        <row r="956">
          <cell r="B956">
            <v>17618842</v>
          </cell>
          <cell r="C956" t="str">
            <v>jania cell</v>
          </cell>
        </row>
        <row r="957">
          <cell r="B957">
            <v>17196299</v>
          </cell>
          <cell r="C957" t="str">
            <v>ANDROID PAJAMPANGAN</v>
          </cell>
        </row>
        <row r="958">
          <cell r="B958">
            <v>17355723</v>
          </cell>
          <cell r="C958" t="str">
            <v>Arsyad cell 2</v>
          </cell>
        </row>
        <row r="959">
          <cell r="B959">
            <v>17445301</v>
          </cell>
          <cell r="C959" t="str">
            <v>Bintang cell</v>
          </cell>
        </row>
        <row r="960">
          <cell r="B960">
            <v>17210837</v>
          </cell>
          <cell r="C960" t="str">
            <v>DERIKA CELL</v>
          </cell>
        </row>
        <row r="961">
          <cell r="B961">
            <v>17249774</v>
          </cell>
          <cell r="C961" t="str">
            <v>Kireina cell</v>
          </cell>
        </row>
        <row r="962">
          <cell r="B962">
            <v>17431783</v>
          </cell>
          <cell r="C962" t="str">
            <v>Kireina cell3</v>
          </cell>
        </row>
        <row r="963">
          <cell r="B963">
            <v>17443762</v>
          </cell>
          <cell r="C963" t="str">
            <v>LP store</v>
          </cell>
        </row>
        <row r="964">
          <cell r="B964">
            <v>17399961</v>
          </cell>
          <cell r="C964" t="str">
            <v>Mk cell</v>
          </cell>
        </row>
        <row r="965">
          <cell r="B965">
            <v>17512752</v>
          </cell>
          <cell r="C965" t="str">
            <v>Msc cell</v>
          </cell>
        </row>
        <row r="966">
          <cell r="B966">
            <v>17443755</v>
          </cell>
          <cell r="C966" t="str">
            <v>NA CELL</v>
          </cell>
        </row>
        <row r="967">
          <cell r="B967">
            <v>17373345</v>
          </cell>
          <cell r="C967" t="str">
            <v>Nefisa cell</v>
          </cell>
        </row>
        <row r="968">
          <cell r="B968">
            <v>17542097</v>
          </cell>
          <cell r="C968" t="str">
            <v>NEW KIREINA CELL</v>
          </cell>
        </row>
        <row r="969">
          <cell r="B969">
            <v>17288974</v>
          </cell>
          <cell r="C969" t="str">
            <v>Restu Abadi</v>
          </cell>
        </row>
        <row r="970">
          <cell r="B970">
            <v>17065345</v>
          </cell>
          <cell r="C970" t="str">
            <v>SJM CELL</v>
          </cell>
        </row>
        <row r="971">
          <cell r="B971">
            <v>17296544</v>
          </cell>
          <cell r="C971" t="str">
            <v>TIARA CELL</v>
          </cell>
        </row>
        <row r="972">
          <cell r="B972">
            <v>525082</v>
          </cell>
          <cell r="C972" t="str">
            <v>FAIZ PHONE CELL</v>
          </cell>
        </row>
        <row r="973">
          <cell r="B973">
            <v>17372666</v>
          </cell>
          <cell r="C973" t="str">
            <v>AGUS COD Cell</v>
          </cell>
        </row>
        <row r="974">
          <cell r="B974">
            <v>17235241</v>
          </cell>
          <cell r="C974" t="str">
            <v>ARIPIN  CELL</v>
          </cell>
        </row>
        <row r="975">
          <cell r="B975">
            <v>1306904</v>
          </cell>
          <cell r="C975" t="str">
            <v>AWENG CELL</v>
          </cell>
        </row>
        <row r="976">
          <cell r="B976">
            <v>1558828</v>
          </cell>
          <cell r="C976" t="str">
            <v>BANDI CELL</v>
          </cell>
        </row>
        <row r="977">
          <cell r="B977">
            <v>17449408</v>
          </cell>
          <cell r="C977" t="str">
            <v>Binkar</v>
          </cell>
        </row>
        <row r="978">
          <cell r="B978">
            <v>17401902</v>
          </cell>
          <cell r="C978" t="str">
            <v>BRZ CELL</v>
          </cell>
        </row>
        <row r="979">
          <cell r="B979">
            <v>17541571</v>
          </cell>
          <cell r="C979" t="str">
            <v>Bukan cell</v>
          </cell>
        </row>
        <row r="980">
          <cell r="B980">
            <v>17406308</v>
          </cell>
          <cell r="C980" t="str">
            <v>Cidadap</v>
          </cell>
        </row>
        <row r="981">
          <cell r="B981">
            <v>17541575</v>
          </cell>
          <cell r="C981" t="str">
            <v>Denafa Cell</v>
          </cell>
        </row>
        <row r="982">
          <cell r="B982">
            <v>963630</v>
          </cell>
          <cell r="C982" t="str">
            <v>Famili 3 cell</v>
          </cell>
        </row>
        <row r="983">
          <cell r="B983">
            <v>17346898</v>
          </cell>
          <cell r="C983" t="str">
            <v>GIE CELL</v>
          </cell>
        </row>
        <row r="984">
          <cell r="B984">
            <v>17559374</v>
          </cell>
          <cell r="C984" t="str">
            <v>Juandi cell</v>
          </cell>
        </row>
        <row r="985">
          <cell r="B985">
            <v>17447482</v>
          </cell>
          <cell r="C985" t="str">
            <v>Maharani cell</v>
          </cell>
        </row>
        <row r="986">
          <cell r="B986">
            <v>1553893</v>
          </cell>
          <cell r="C986" t="str">
            <v>NABILA CELL</v>
          </cell>
        </row>
        <row r="987">
          <cell r="B987">
            <v>17419846</v>
          </cell>
          <cell r="C987" t="str">
            <v>NOPIANA CELL</v>
          </cell>
        </row>
        <row r="988">
          <cell r="B988">
            <v>17466827</v>
          </cell>
          <cell r="C988" t="str">
            <v>Olala cell</v>
          </cell>
        </row>
        <row r="989">
          <cell r="B989">
            <v>17466829</v>
          </cell>
          <cell r="C989" t="str">
            <v>Rio cell</v>
          </cell>
        </row>
        <row r="990">
          <cell r="B990">
            <v>1294045</v>
          </cell>
          <cell r="C990" t="str">
            <v>RONGGO CELL JAYANTI</v>
          </cell>
        </row>
        <row r="991">
          <cell r="B991">
            <v>17404451</v>
          </cell>
          <cell r="C991" t="str">
            <v>Sahid 2</v>
          </cell>
        </row>
        <row r="992">
          <cell r="B992">
            <v>585895</v>
          </cell>
          <cell r="C992" t="str">
            <v>SALUYU</v>
          </cell>
        </row>
        <row r="993">
          <cell r="B993">
            <v>17249263</v>
          </cell>
          <cell r="C993" t="str">
            <v>SELLA CELL</v>
          </cell>
        </row>
        <row r="994">
          <cell r="B994">
            <v>17449407</v>
          </cell>
          <cell r="C994" t="str">
            <v>Smpn 1</v>
          </cell>
        </row>
        <row r="995">
          <cell r="B995">
            <v>17466768</v>
          </cell>
          <cell r="C995" t="str">
            <v>Victor cell</v>
          </cell>
        </row>
        <row r="996">
          <cell r="B996">
            <v>17235453</v>
          </cell>
          <cell r="C996" t="str">
            <v>YOGA CELL</v>
          </cell>
        </row>
        <row r="997">
          <cell r="B997">
            <v>991742</v>
          </cell>
          <cell r="C997" t="str">
            <v>Ms plara</v>
          </cell>
        </row>
        <row r="998">
          <cell r="B998">
            <v>17618265</v>
          </cell>
          <cell r="C998" t="str">
            <v>mfajar cell</v>
          </cell>
        </row>
        <row r="999">
          <cell r="B999">
            <v>17618290</v>
          </cell>
          <cell r="C999" t="str">
            <v>cimon cell</v>
          </cell>
        </row>
        <row r="1000">
          <cell r="B1000">
            <v>17618564</v>
          </cell>
          <cell r="C1000" t="str">
            <v>warungcs</v>
          </cell>
        </row>
        <row r="1001">
          <cell r="B1001">
            <v>17618556</v>
          </cell>
          <cell r="C1001" t="str">
            <v>family cs</v>
          </cell>
        </row>
        <row r="1002">
          <cell r="B1002">
            <v>17408621</v>
          </cell>
          <cell r="C1002" t="str">
            <v>Abah 2 cell</v>
          </cell>
        </row>
        <row r="1003">
          <cell r="B1003">
            <v>17408407</v>
          </cell>
          <cell r="C1003" t="str">
            <v>Abah cell</v>
          </cell>
        </row>
        <row r="1004">
          <cell r="B1004">
            <v>17443316</v>
          </cell>
          <cell r="C1004" t="str">
            <v>Acep cell</v>
          </cell>
        </row>
        <row r="1005">
          <cell r="B1005">
            <v>17541883</v>
          </cell>
          <cell r="C1005" t="str">
            <v>Dani cell</v>
          </cell>
        </row>
        <row r="1006">
          <cell r="B1006">
            <v>17466306</v>
          </cell>
          <cell r="C1006" t="str">
            <v>Kayla cell</v>
          </cell>
        </row>
        <row r="1007">
          <cell r="B1007">
            <v>17400900</v>
          </cell>
          <cell r="C1007" t="str">
            <v>Rian cell 2</v>
          </cell>
        </row>
        <row r="1008">
          <cell r="B1008">
            <v>17049343</v>
          </cell>
          <cell r="C1008" t="str">
            <v>TOKO DEDAH</v>
          </cell>
        </row>
        <row r="1009">
          <cell r="B1009">
            <v>17210091</v>
          </cell>
          <cell r="C1009" t="str">
            <v>Uwe cell</v>
          </cell>
        </row>
        <row r="1010">
          <cell r="B1010">
            <v>1306805</v>
          </cell>
          <cell r="C1010" t="str">
            <v>ZEROBEATH 2</v>
          </cell>
        </row>
        <row r="1011">
          <cell r="B1011">
            <v>17449416</v>
          </cell>
          <cell r="C1011" t="str">
            <v>DERA HS 2</v>
          </cell>
        </row>
        <row r="1012">
          <cell r="B1012">
            <v>17517371</v>
          </cell>
          <cell r="C1012" t="str">
            <v>Hayya celluler</v>
          </cell>
        </row>
        <row r="1013">
          <cell r="B1013">
            <v>17541572</v>
          </cell>
          <cell r="C1013" t="str">
            <v>Bia Cell</v>
          </cell>
        </row>
        <row r="1014">
          <cell r="B1014">
            <v>17549564</v>
          </cell>
          <cell r="C1014" t="str">
            <v>BIYUNG cell</v>
          </cell>
        </row>
        <row r="1015">
          <cell r="B1015">
            <v>17221810</v>
          </cell>
          <cell r="C1015" t="str">
            <v>BUCIK CELL</v>
          </cell>
        </row>
        <row r="1016">
          <cell r="B1016">
            <v>17438867</v>
          </cell>
          <cell r="C1016" t="str">
            <v>Deha14</v>
          </cell>
        </row>
        <row r="1017">
          <cell r="B1017">
            <v>17382103</v>
          </cell>
          <cell r="C1017" t="str">
            <v>Denis cell</v>
          </cell>
        </row>
        <row r="1018">
          <cell r="B1018">
            <v>17482252</v>
          </cell>
          <cell r="C1018" t="str">
            <v>Dewi cell</v>
          </cell>
        </row>
        <row r="1019">
          <cell r="B1019">
            <v>17549553</v>
          </cell>
          <cell r="C1019" t="str">
            <v>DHARMA cell</v>
          </cell>
        </row>
        <row r="1020">
          <cell r="B1020">
            <v>1297880</v>
          </cell>
          <cell r="C1020" t="str">
            <v>DJOENS 2</v>
          </cell>
        </row>
        <row r="1021">
          <cell r="B1021">
            <v>17381274</v>
          </cell>
          <cell r="C1021" t="str">
            <v>GomuGomuNo Cell</v>
          </cell>
        </row>
        <row r="1022">
          <cell r="B1022">
            <v>702363</v>
          </cell>
          <cell r="C1022" t="str">
            <v>HANI CELL</v>
          </cell>
        </row>
        <row r="1023">
          <cell r="B1023">
            <v>17212290</v>
          </cell>
          <cell r="C1023" t="str">
            <v>HASIBUAN CELL</v>
          </cell>
        </row>
        <row r="1024">
          <cell r="B1024">
            <v>963995</v>
          </cell>
          <cell r="C1024" t="str">
            <v>Home Cell</v>
          </cell>
        </row>
        <row r="1025">
          <cell r="B1025">
            <v>17539185</v>
          </cell>
          <cell r="C1025" t="str">
            <v>Kautsar cell</v>
          </cell>
        </row>
        <row r="1026">
          <cell r="B1026">
            <v>17440836</v>
          </cell>
          <cell r="C1026" t="str">
            <v>Madja musick cell</v>
          </cell>
        </row>
        <row r="1027">
          <cell r="B1027">
            <v>17438864</v>
          </cell>
          <cell r="C1027" t="str">
            <v>Majid cell</v>
          </cell>
        </row>
        <row r="1028">
          <cell r="B1028">
            <v>17355331</v>
          </cell>
          <cell r="C1028" t="str">
            <v>MUHAMMAD CELL</v>
          </cell>
        </row>
        <row r="1029">
          <cell r="B1029">
            <v>17261085</v>
          </cell>
          <cell r="C1029" t="str">
            <v>NSP 01</v>
          </cell>
        </row>
        <row r="1030">
          <cell r="B1030">
            <v>17261090</v>
          </cell>
          <cell r="C1030" t="str">
            <v>Nsp 02</v>
          </cell>
        </row>
        <row r="1031">
          <cell r="B1031">
            <v>17244257</v>
          </cell>
          <cell r="C1031" t="str">
            <v>Nurzaman cell</v>
          </cell>
        </row>
        <row r="1032">
          <cell r="B1032">
            <v>17403808</v>
          </cell>
          <cell r="C1032" t="str">
            <v>Oden cell</v>
          </cell>
        </row>
        <row r="1033">
          <cell r="B1033">
            <v>17601702</v>
          </cell>
          <cell r="C1033" t="str">
            <v>Raffasya Cell</v>
          </cell>
        </row>
        <row r="1034">
          <cell r="B1034">
            <v>1307637</v>
          </cell>
          <cell r="C1034" t="str">
            <v>RINA CELL</v>
          </cell>
        </row>
        <row r="1035">
          <cell r="B1035">
            <v>17445344</v>
          </cell>
          <cell r="C1035" t="str">
            <v>Sagar  qua cell</v>
          </cell>
        </row>
        <row r="1036">
          <cell r="B1036">
            <v>17196840</v>
          </cell>
          <cell r="C1036" t="str">
            <v>Sultan cell</v>
          </cell>
        </row>
        <row r="1037">
          <cell r="B1037">
            <v>1295685</v>
          </cell>
          <cell r="C1037" t="str">
            <v>TIARA CELL</v>
          </cell>
        </row>
        <row r="1038">
          <cell r="B1038">
            <v>17243185</v>
          </cell>
          <cell r="C1038" t="str">
            <v>Vespa cell</v>
          </cell>
        </row>
        <row r="1039">
          <cell r="B1039">
            <v>17539373</v>
          </cell>
          <cell r="C1039" t="str">
            <v>Warna cell</v>
          </cell>
        </row>
        <row r="1040">
          <cell r="B1040">
            <v>17587872</v>
          </cell>
          <cell r="C1040" t="str">
            <v>Megalodon Cell</v>
          </cell>
        </row>
        <row r="1041">
          <cell r="B1041">
            <v>17509256</v>
          </cell>
          <cell r="C1041" t="str">
            <v>Mirah cell</v>
          </cell>
        </row>
        <row r="1042">
          <cell r="B1042">
            <v>17381871</v>
          </cell>
          <cell r="C1042" t="str">
            <v>SANTUY CELL</v>
          </cell>
        </row>
        <row r="1043">
          <cell r="B1043">
            <v>17587998</v>
          </cell>
          <cell r="C1043" t="str">
            <v>Kiamat Cell</v>
          </cell>
        </row>
        <row r="1044">
          <cell r="B1044">
            <v>17137233</v>
          </cell>
          <cell r="C1044" t="str">
            <v>KUOTA CELL</v>
          </cell>
        </row>
        <row r="1045">
          <cell r="B1045">
            <v>17311947</v>
          </cell>
          <cell r="C1045" t="str">
            <v>FREEDOM CELL</v>
          </cell>
        </row>
        <row r="1046">
          <cell r="B1046">
            <v>17276578</v>
          </cell>
          <cell r="C1046" t="str">
            <v>JUWITA CELL</v>
          </cell>
        </row>
        <row r="1047">
          <cell r="B1047">
            <v>17438939</v>
          </cell>
          <cell r="C1047" t="str">
            <v>Gelora cell</v>
          </cell>
        </row>
        <row r="1048">
          <cell r="B1048">
            <v>17232172</v>
          </cell>
          <cell r="C1048" t="str">
            <v>Subai cell</v>
          </cell>
        </row>
        <row r="1049">
          <cell r="B1049">
            <v>17472874</v>
          </cell>
          <cell r="C1049" t="str">
            <v>Barokah cell</v>
          </cell>
        </row>
        <row r="1050">
          <cell r="B1050">
            <v>17515319</v>
          </cell>
          <cell r="C1050" t="str">
            <v>BM cel</v>
          </cell>
        </row>
        <row r="1051">
          <cell r="B1051">
            <v>1451396</v>
          </cell>
          <cell r="C1051" t="str">
            <v>BRJ CELL</v>
          </cell>
        </row>
        <row r="1052">
          <cell r="B1052">
            <v>17449310</v>
          </cell>
          <cell r="C1052" t="str">
            <v>ID FHONESTORE</v>
          </cell>
        </row>
        <row r="1053">
          <cell r="B1053">
            <v>17472884</v>
          </cell>
          <cell r="C1053" t="str">
            <v>Jaya cell</v>
          </cell>
        </row>
        <row r="1054">
          <cell r="B1054">
            <v>17601174</v>
          </cell>
          <cell r="C1054" t="str">
            <v>KAKA ONLINE CELL</v>
          </cell>
        </row>
        <row r="1055">
          <cell r="B1055">
            <v>17493666</v>
          </cell>
          <cell r="C1055" t="str">
            <v>Kardi</v>
          </cell>
        </row>
        <row r="1056">
          <cell r="B1056">
            <v>1306757</v>
          </cell>
          <cell r="C1056" t="str">
            <v>LINTANG CELL</v>
          </cell>
        </row>
        <row r="1057">
          <cell r="B1057">
            <v>17549646</v>
          </cell>
          <cell r="C1057" t="str">
            <v>Mauza cell</v>
          </cell>
        </row>
        <row r="1058">
          <cell r="B1058">
            <v>17590016</v>
          </cell>
          <cell r="C1058" t="str">
            <v>MITRA PULSA CELL</v>
          </cell>
        </row>
        <row r="1059">
          <cell r="B1059">
            <v>1297809</v>
          </cell>
          <cell r="C1059" t="str">
            <v>MUTIARA CELL</v>
          </cell>
        </row>
        <row r="1060">
          <cell r="B1060">
            <v>17434780</v>
          </cell>
          <cell r="C1060" t="str">
            <v>MYND CELL</v>
          </cell>
        </row>
        <row r="1061">
          <cell r="B1061">
            <v>1512406</v>
          </cell>
          <cell r="C1061" t="str">
            <v>PARAMOUNT SQUARE SURADE</v>
          </cell>
        </row>
        <row r="1062">
          <cell r="B1062">
            <v>17590013</v>
          </cell>
          <cell r="C1062" t="str">
            <v>PASIR CELL</v>
          </cell>
        </row>
        <row r="1063">
          <cell r="B1063">
            <v>17590014</v>
          </cell>
          <cell r="C1063" t="str">
            <v>PENYU CELL</v>
          </cell>
        </row>
        <row r="1064">
          <cell r="B1064">
            <v>17549655</v>
          </cell>
          <cell r="C1064" t="str">
            <v>Reyhan Cell</v>
          </cell>
        </row>
        <row r="1065">
          <cell r="B1065">
            <v>17540233</v>
          </cell>
          <cell r="C1065" t="str">
            <v>Rizzy</v>
          </cell>
        </row>
        <row r="1066">
          <cell r="B1066">
            <v>17385927</v>
          </cell>
          <cell r="C1066" t="str">
            <v>Surade cell</v>
          </cell>
        </row>
        <row r="1067">
          <cell r="B1067">
            <v>727806</v>
          </cell>
          <cell r="C1067" t="str">
            <v>Tissya Cell</v>
          </cell>
        </row>
        <row r="1068">
          <cell r="B1068">
            <v>17380255</v>
          </cell>
          <cell r="C1068" t="str">
            <v>VIBE CELL</v>
          </cell>
        </row>
        <row r="1069">
          <cell r="B1069">
            <v>17618566</v>
          </cell>
          <cell r="C1069" t="str">
            <v>getir cell</v>
          </cell>
        </row>
        <row r="1070">
          <cell r="B1070">
            <v>17541928</v>
          </cell>
          <cell r="C1070" t="str">
            <v>AL cell</v>
          </cell>
        </row>
        <row r="1071">
          <cell r="B1071">
            <v>17254190</v>
          </cell>
          <cell r="C1071" t="str">
            <v>Amania cell</v>
          </cell>
        </row>
        <row r="1072">
          <cell r="B1072">
            <v>17382285</v>
          </cell>
          <cell r="C1072" t="str">
            <v>Ciemas cell</v>
          </cell>
        </row>
        <row r="1073">
          <cell r="B1073">
            <v>1353080</v>
          </cell>
          <cell r="C1073" t="str">
            <v>DEDE CELL</v>
          </cell>
        </row>
        <row r="1074">
          <cell r="B1074">
            <v>17379700</v>
          </cell>
          <cell r="C1074" t="str">
            <v>Der cell</v>
          </cell>
        </row>
        <row r="1075">
          <cell r="B1075">
            <v>17187302</v>
          </cell>
          <cell r="C1075" t="str">
            <v>Fajar cell</v>
          </cell>
        </row>
        <row r="1076">
          <cell r="B1076">
            <v>17396281</v>
          </cell>
          <cell r="C1076" t="str">
            <v>Kiara 2 cell</v>
          </cell>
        </row>
        <row r="1077">
          <cell r="B1077">
            <v>17317790</v>
          </cell>
          <cell r="C1077" t="str">
            <v>M.FAJAR CELL</v>
          </cell>
        </row>
        <row r="1078">
          <cell r="B1078">
            <v>17136563</v>
          </cell>
          <cell r="C1078" t="str">
            <v>MEGA CELL</v>
          </cell>
        </row>
        <row r="1079">
          <cell r="B1079">
            <v>17277626</v>
          </cell>
          <cell r="C1079" t="str">
            <v>Mega cell</v>
          </cell>
        </row>
        <row r="1080">
          <cell r="B1080">
            <v>17466950</v>
          </cell>
          <cell r="C1080" t="str">
            <v>Ow cell</v>
          </cell>
        </row>
        <row r="1081">
          <cell r="B1081">
            <v>17178942</v>
          </cell>
          <cell r="C1081" t="str">
            <v>R4 CELL</v>
          </cell>
        </row>
        <row r="1082">
          <cell r="B1082">
            <v>17466321</v>
          </cell>
          <cell r="C1082" t="str">
            <v>Rain cell</v>
          </cell>
        </row>
        <row r="1083">
          <cell r="B1083">
            <v>17466986</v>
          </cell>
          <cell r="C1083" t="str">
            <v>Scb cell</v>
          </cell>
        </row>
        <row r="1084">
          <cell r="B1084">
            <v>17466978</v>
          </cell>
          <cell r="C1084" t="str">
            <v>Sindy cell</v>
          </cell>
        </row>
        <row r="1085">
          <cell r="B1085">
            <v>17232407</v>
          </cell>
          <cell r="C1085" t="str">
            <v>Vina cell</v>
          </cell>
        </row>
        <row r="1086">
          <cell r="B1086">
            <v>17443500</v>
          </cell>
          <cell r="C1086" t="str">
            <v>Zikri cell</v>
          </cell>
        </row>
        <row r="1087">
          <cell r="B1087">
            <v>17618464</v>
          </cell>
          <cell r="C1087" t="str">
            <v>violet cell</v>
          </cell>
        </row>
        <row r="1088">
          <cell r="B1088">
            <v>17618436</v>
          </cell>
          <cell r="C1088" t="str">
            <v>skylercell</v>
          </cell>
        </row>
        <row r="1089">
          <cell r="B1089">
            <v>1435839</v>
          </cell>
          <cell r="C1089" t="str">
            <v>DANI CELL</v>
          </cell>
        </row>
        <row r="1090">
          <cell r="B1090">
            <v>1450855</v>
          </cell>
          <cell r="C1090" t="str">
            <v>DIW CELL 2</v>
          </cell>
        </row>
        <row r="1091">
          <cell r="B1091">
            <v>1553951</v>
          </cell>
          <cell r="C1091" t="str">
            <v>NEW FAMILY CELL</v>
          </cell>
        </row>
        <row r="1092">
          <cell r="B1092">
            <v>17525517</v>
          </cell>
          <cell r="C1092" t="str">
            <v>Rezky Cell</v>
          </cell>
        </row>
        <row r="1093">
          <cell r="B1093">
            <v>746782</v>
          </cell>
          <cell r="C1093" t="str">
            <v>VANS CELL</v>
          </cell>
        </row>
        <row r="1094">
          <cell r="B1094">
            <v>17618492</v>
          </cell>
          <cell r="C1094" t="str">
            <v>susan cell</v>
          </cell>
        </row>
        <row r="1095">
          <cell r="B1095">
            <v>17618496</v>
          </cell>
          <cell r="C1095" t="str">
            <v>rara cell</v>
          </cell>
        </row>
        <row r="1096">
          <cell r="B1096">
            <v>17618516</v>
          </cell>
          <cell r="C1096" t="str">
            <v>robi cell</v>
          </cell>
        </row>
        <row r="1097">
          <cell r="B1097">
            <v>17618519</v>
          </cell>
          <cell r="C1097" t="str">
            <v>critical cel</v>
          </cell>
        </row>
        <row r="1098">
          <cell r="B1098">
            <v>17029495</v>
          </cell>
          <cell r="C1098" t="str">
            <v>Abbas cell</v>
          </cell>
        </row>
        <row r="1099">
          <cell r="B1099">
            <v>17249535</v>
          </cell>
          <cell r="C1099" t="str">
            <v>ADEN cell</v>
          </cell>
        </row>
        <row r="1100">
          <cell r="B1100">
            <v>17466301</v>
          </cell>
          <cell r="C1100" t="str">
            <v>DK cell</v>
          </cell>
        </row>
        <row r="1101">
          <cell r="B1101">
            <v>1553385</v>
          </cell>
          <cell r="C1101" t="str">
            <v>DIRGA CELL</v>
          </cell>
        </row>
        <row r="1102">
          <cell r="B1102">
            <v>17459685</v>
          </cell>
          <cell r="C1102" t="str">
            <v>IBU AYI CELL</v>
          </cell>
        </row>
        <row r="1103">
          <cell r="B1103">
            <v>17416293</v>
          </cell>
          <cell r="C1103" t="str">
            <v>MAGNUM CELL</v>
          </cell>
        </row>
        <row r="1104">
          <cell r="B1104">
            <v>676133</v>
          </cell>
          <cell r="C1104" t="str">
            <v>RAKOM CELL</v>
          </cell>
        </row>
        <row r="1105">
          <cell r="B1105">
            <v>17257019</v>
          </cell>
          <cell r="C1105" t="str">
            <v>AGUS CELL</v>
          </cell>
        </row>
        <row r="1106">
          <cell r="B1106">
            <v>17618488</v>
          </cell>
          <cell r="C1106" t="str">
            <v>Fauzi2</v>
          </cell>
        </row>
        <row r="1107">
          <cell r="B1107">
            <v>17248173</v>
          </cell>
          <cell r="C1107" t="str">
            <v>Bomal flasher cell</v>
          </cell>
        </row>
        <row r="1108">
          <cell r="B1108">
            <v>17472726</v>
          </cell>
          <cell r="C1108" t="str">
            <v>DINASTY CELL</v>
          </cell>
        </row>
        <row r="1109">
          <cell r="B1109">
            <v>17466733</v>
          </cell>
          <cell r="C1109" t="str">
            <v>KBR CELL</v>
          </cell>
        </row>
        <row r="1110">
          <cell r="B1110">
            <v>17473013</v>
          </cell>
          <cell r="C1110" t="str">
            <v>MIMIN CELL</v>
          </cell>
        </row>
        <row r="1111">
          <cell r="B1111">
            <v>17466307</v>
          </cell>
          <cell r="C1111" t="str">
            <v>Dk elektrick 2cell</v>
          </cell>
        </row>
        <row r="1112">
          <cell r="B1112">
            <v>17407939</v>
          </cell>
          <cell r="C1112" t="str">
            <v>Lia cell</v>
          </cell>
        </row>
        <row r="1113">
          <cell r="B1113">
            <v>1536871</v>
          </cell>
          <cell r="C1113" t="str">
            <v>Raka Cell</v>
          </cell>
        </row>
        <row r="1114">
          <cell r="B1114">
            <v>17438766</v>
          </cell>
          <cell r="C1114" t="str">
            <v>Fitri src</v>
          </cell>
        </row>
        <row r="1115">
          <cell r="B1115">
            <v>17430614</v>
          </cell>
          <cell r="C1115" t="str">
            <v>Pitriana Cell KbgKeong</v>
          </cell>
        </row>
        <row r="1116">
          <cell r="B1116">
            <v>17607793</v>
          </cell>
          <cell r="C1116" t="str">
            <v>Dara cell</v>
          </cell>
        </row>
        <row r="1117">
          <cell r="B1117">
            <v>17056497</v>
          </cell>
          <cell r="C1117" t="str">
            <v>BELLA CELL</v>
          </cell>
        </row>
        <row r="1118">
          <cell r="B1118">
            <v>17648246</v>
          </cell>
          <cell r="C1118" t="str">
            <v>kiss cell</v>
          </cell>
        </row>
        <row r="1119">
          <cell r="B1119">
            <v>17648252</v>
          </cell>
          <cell r="C1119" t="str">
            <v>cleo cellular</v>
          </cell>
        </row>
        <row r="1120">
          <cell r="B1120">
            <v>17648255</v>
          </cell>
          <cell r="C1120" t="str">
            <v>lexus cell</v>
          </cell>
        </row>
        <row r="1121">
          <cell r="B1121">
            <v>17648256</v>
          </cell>
          <cell r="C1121" t="str">
            <v>bengkel kuota cell</v>
          </cell>
        </row>
        <row r="1122">
          <cell r="B1122">
            <v>17278851</v>
          </cell>
          <cell r="C1122" t="str">
            <v>Bangkit Jaya Cell</v>
          </cell>
        </row>
        <row r="1123">
          <cell r="B1123">
            <v>1447900</v>
          </cell>
          <cell r="C1123" t="str">
            <v>BBC CELL</v>
          </cell>
        </row>
        <row r="1124">
          <cell r="B1124">
            <v>713287</v>
          </cell>
          <cell r="C1124" t="str">
            <v>BINJAY CELLULER</v>
          </cell>
        </row>
        <row r="1125">
          <cell r="B1125">
            <v>17372704</v>
          </cell>
          <cell r="C1125" t="str">
            <v>CIMANGGU CELL</v>
          </cell>
        </row>
        <row r="1126">
          <cell r="B1126">
            <v>17588051</v>
          </cell>
          <cell r="C1126" t="str">
            <v>DMS 2 CELL</v>
          </cell>
        </row>
        <row r="1127">
          <cell r="B1127">
            <v>17155925</v>
          </cell>
          <cell r="C1127" t="str">
            <v>IRWAN CELL</v>
          </cell>
        </row>
        <row r="1128">
          <cell r="B1128">
            <v>1380030</v>
          </cell>
          <cell r="C1128" t="str">
            <v>MULTINET CELL</v>
          </cell>
        </row>
        <row r="1129">
          <cell r="B1129">
            <v>17257134</v>
          </cell>
          <cell r="C1129" t="str">
            <v>Rafassya Cell</v>
          </cell>
        </row>
        <row r="1130">
          <cell r="B1130">
            <v>17436493</v>
          </cell>
          <cell r="C1130" t="str">
            <v>Syifa cell</v>
          </cell>
        </row>
        <row r="1131">
          <cell r="B1131">
            <v>17060145</v>
          </cell>
          <cell r="C1131" t="str">
            <v>Tiara 2 cell</v>
          </cell>
        </row>
        <row r="1132">
          <cell r="B1132">
            <v>17443436</v>
          </cell>
          <cell r="C1132" t="str">
            <v>TMB CELL</v>
          </cell>
        </row>
        <row r="1133">
          <cell r="B1133">
            <v>17232914</v>
          </cell>
          <cell r="C1133" t="str">
            <v>Rully jaya cel</v>
          </cell>
        </row>
        <row r="1134">
          <cell r="B1134">
            <v>942133</v>
          </cell>
          <cell r="C1134" t="str">
            <v>SEGER CELL</v>
          </cell>
        </row>
        <row r="1135">
          <cell r="B1135">
            <v>17232414</v>
          </cell>
          <cell r="C1135" t="str">
            <v>Vionis cell</v>
          </cell>
        </row>
        <row r="1136">
          <cell r="B1136">
            <v>17232251</v>
          </cell>
          <cell r="C1136" t="str">
            <v>BORJU CELL</v>
          </cell>
        </row>
        <row r="1137">
          <cell r="B1137">
            <v>17528087</v>
          </cell>
          <cell r="C1137" t="str">
            <v>Azizah Cell</v>
          </cell>
        </row>
        <row r="1138">
          <cell r="B1138">
            <v>17249283</v>
          </cell>
          <cell r="C1138" t="str">
            <v>Pelangi cell</v>
          </cell>
        </row>
        <row r="1139">
          <cell r="B1139">
            <v>17440712</v>
          </cell>
          <cell r="C1139" t="str">
            <v>Aman cell</v>
          </cell>
        </row>
        <row r="1140">
          <cell r="B1140">
            <v>1455034</v>
          </cell>
          <cell r="C1140" t="str">
            <v>BUNDA CELL</v>
          </cell>
        </row>
        <row r="1141">
          <cell r="B1141">
            <v>17232299</v>
          </cell>
          <cell r="C1141" t="str">
            <v>PUTRI CELL</v>
          </cell>
        </row>
        <row r="1142">
          <cell r="B1142">
            <v>17438609</v>
          </cell>
          <cell r="C1142" t="str">
            <v>Walagri cell</v>
          </cell>
        </row>
        <row r="1143">
          <cell r="B1143">
            <v>17266200</v>
          </cell>
          <cell r="C1143" t="str">
            <v>ZHAKIRA CELL</v>
          </cell>
        </row>
        <row r="1144">
          <cell r="B1144">
            <v>17466594</v>
          </cell>
          <cell r="C1144" t="str">
            <v>Genoa cell</v>
          </cell>
        </row>
        <row r="1145">
          <cell r="B1145">
            <v>17466582</v>
          </cell>
          <cell r="C1145" t="str">
            <v>Palermo cell</v>
          </cell>
        </row>
        <row r="1146">
          <cell r="B1146">
            <v>17511793</v>
          </cell>
          <cell r="C1146" t="str">
            <v>Loly cell</v>
          </cell>
        </row>
        <row r="1147">
          <cell r="B1147">
            <v>1297874</v>
          </cell>
          <cell r="C1147" t="str">
            <v>AYU BON CELL</v>
          </cell>
        </row>
        <row r="1148">
          <cell r="B1148">
            <v>17142986</v>
          </cell>
          <cell r="C1148" t="str">
            <v>Azka cell</v>
          </cell>
        </row>
        <row r="1149">
          <cell r="B1149">
            <v>17176462</v>
          </cell>
          <cell r="C1149" t="str">
            <v>ASYRIK</v>
          </cell>
        </row>
        <row r="1150">
          <cell r="B1150">
            <v>17517329</v>
          </cell>
          <cell r="C1150" t="str">
            <v>RR cell</v>
          </cell>
        </row>
        <row r="1151">
          <cell r="B1151">
            <v>17155852</v>
          </cell>
          <cell r="C1151" t="str">
            <v>MUARA CELL</v>
          </cell>
        </row>
        <row r="1152">
          <cell r="B1152">
            <v>17196837</v>
          </cell>
          <cell r="C1152" t="str">
            <v>Syifa cell</v>
          </cell>
        </row>
        <row r="1153">
          <cell r="B1153">
            <v>17187102</v>
          </cell>
          <cell r="C1153" t="str">
            <v>Very cell 2</v>
          </cell>
        </row>
        <row r="1154">
          <cell r="B1154">
            <v>17612211</v>
          </cell>
          <cell r="C1154" t="str">
            <v>Ale cell</v>
          </cell>
        </row>
        <row r="1155">
          <cell r="B1155">
            <v>17612182</v>
          </cell>
          <cell r="C1155" t="str">
            <v>Dewi cell</v>
          </cell>
        </row>
        <row r="1156">
          <cell r="B1156">
            <v>17459677</v>
          </cell>
          <cell r="C1156" t="str">
            <v>Ratna cell</v>
          </cell>
        </row>
        <row r="1157">
          <cell r="B1157">
            <v>17400885</v>
          </cell>
          <cell r="C1157" t="str">
            <v>Sari Cell</v>
          </cell>
        </row>
        <row r="1158">
          <cell r="B1158">
            <v>17459678</v>
          </cell>
          <cell r="C1158" t="str">
            <v>Sinar cell</v>
          </cell>
        </row>
        <row r="1159">
          <cell r="B1159">
            <v>17449411</v>
          </cell>
          <cell r="C1159" t="str">
            <v>TALAGA CELL</v>
          </cell>
        </row>
        <row r="1160">
          <cell r="B1160">
            <v>17516700</v>
          </cell>
          <cell r="C1160" t="str">
            <v>TARGET CELL</v>
          </cell>
        </row>
        <row r="1161">
          <cell r="B1161">
            <v>1345225</v>
          </cell>
          <cell r="C1161" t="str">
            <v>vida cell</v>
          </cell>
        </row>
        <row r="1162">
          <cell r="B1162">
            <v>17447489</v>
          </cell>
          <cell r="C1162" t="str">
            <v>Zara Cell</v>
          </cell>
        </row>
        <row r="1163">
          <cell r="B1163">
            <v>17449409</v>
          </cell>
          <cell r="C1163" t="str">
            <v>ALMEDIA CELL</v>
          </cell>
        </row>
        <row r="1164">
          <cell r="B1164">
            <v>17472718</v>
          </cell>
          <cell r="C1164" t="str">
            <v>BARBER CELL</v>
          </cell>
        </row>
        <row r="1165">
          <cell r="B1165">
            <v>17473016</v>
          </cell>
          <cell r="C1165" t="str">
            <v>BAYAH CELL</v>
          </cell>
        </row>
        <row r="1166">
          <cell r="B1166">
            <v>1381286</v>
          </cell>
          <cell r="C1166" t="str">
            <v>Bunga cell</v>
          </cell>
        </row>
        <row r="1167">
          <cell r="B1167">
            <v>17473017</v>
          </cell>
          <cell r="C1167" t="str">
            <v>GAR CELL</v>
          </cell>
        </row>
        <row r="1168">
          <cell r="B1168">
            <v>17618560</v>
          </cell>
          <cell r="C1168" t="str">
            <v>dewi cwll</v>
          </cell>
        </row>
        <row r="1169">
          <cell r="B1169">
            <v>1297875</v>
          </cell>
          <cell r="C1169" t="str">
            <v>SAHABAT CELL</v>
          </cell>
        </row>
        <row r="1170">
          <cell r="B1170">
            <v>17443783</v>
          </cell>
          <cell r="C1170" t="str">
            <v>Sony cell 2</v>
          </cell>
        </row>
        <row r="1171">
          <cell r="B1171">
            <v>17037051</v>
          </cell>
          <cell r="C1171" t="str">
            <v>TIA CELL</v>
          </cell>
        </row>
        <row r="1172">
          <cell r="B1172">
            <v>17436859</v>
          </cell>
          <cell r="C1172" t="str">
            <v>Yans cell</v>
          </cell>
        </row>
        <row r="1173">
          <cell r="B1173">
            <v>17395428</v>
          </cell>
          <cell r="C1173" t="str">
            <v>ZEPPELIN CELL</v>
          </cell>
        </row>
        <row r="1174">
          <cell r="B1174">
            <v>17210780</v>
          </cell>
          <cell r="C1174" t="str">
            <v>CYLLA PHONE STORE</v>
          </cell>
        </row>
        <row r="1175">
          <cell r="B1175">
            <v>17549534</v>
          </cell>
          <cell r="C1175" t="str">
            <v>Sahabat Cell 2</v>
          </cell>
        </row>
        <row r="1176">
          <cell r="B1176">
            <v>17400761</v>
          </cell>
          <cell r="C1176" t="str">
            <v>BLACKHEART CELL</v>
          </cell>
        </row>
        <row r="1177">
          <cell r="B1177">
            <v>17574530</v>
          </cell>
          <cell r="C1177" t="str">
            <v>Kang Bohay Cell</v>
          </cell>
        </row>
        <row r="1178">
          <cell r="B1178">
            <v>17459723</v>
          </cell>
          <cell r="C1178" t="str">
            <v>Sahabat cell 2</v>
          </cell>
        </row>
        <row r="1179">
          <cell r="B1179">
            <v>17449413</v>
          </cell>
          <cell r="C1179" t="str">
            <v>TUNNER CELL</v>
          </cell>
        </row>
        <row r="1180">
          <cell r="B1180">
            <v>17288018</v>
          </cell>
          <cell r="C1180" t="str">
            <v>Yuni cell</v>
          </cell>
        </row>
        <row r="1181">
          <cell r="B1181">
            <v>17356079</v>
          </cell>
          <cell r="C1181" t="str">
            <v>Cylla cell</v>
          </cell>
        </row>
        <row r="1182">
          <cell r="B1182">
            <v>17549552</v>
          </cell>
          <cell r="C1182" t="str">
            <v>Alfatih Cell</v>
          </cell>
        </row>
        <row r="1183">
          <cell r="B1183">
            <v>17326952</v>
          </cell>
          <cell r="C1183" t="str">
            <v>Azka cell</v>
          </cell>
        </row>
        <row r="1184">
          <cell r="B1184">
            <v>17590011</v>
          </cell>
          <cell r="C1184" t="str">
            <v>GARIS CELL</v>
          </cell>
        </row>
        <row r="1185">
          <cell r="B1185">
            <v>17590018</v>
          </cell>
          <cell r="C1185" t="str">
            <v>KUMANG CELL</v>
          </cell>
        </row>
        <row r="1186">
          <cell r="B1186">
            <v>17473143</v>
          </cell>
          <cell r="C1186" t="str">
            <v>Lintang PL</v>
          </cell>
        </row>
        <row r="1187">
          <cell r="B1187">
            <v>17549547</v>
          </cell>
          <cell r="C1187" t="str">
            <v>Risyan Cell</v>
          </cell>
        </row>
        <row r="1188">
          <cell r="B1188">
            <v>17590019</v>
          </cell>
          <cell r="C1188" t="str">
            <v>SONIC 150 CELL</v>
          </cell>
        </row>
        <row r="1189">
          <cell r="B1189">
            <v>17271280</v>
          </cell>
          <cell r="C1189" t="str">
            <v>ALIF STORE 3</v>
          </cell>
        </row>
        <row r="1190">
          <cell r="B1190">
            <v>17648327</v>
          </cell>
          <cell r="C1190" t="str">
            <v>Mustika cell</v>
          </cell>
        </row>
        <row r="1191">
          <cell r="B1191">
            <v>17648329</v>
          </cell>
          <cell r="C1191" t="str">
            <v>Toko alisa</v>
          </cell>
        </row>
        <row r="1192">
          <cell r="B1192">
            <v>17648332</v>
          </cell>
          <cell r="C1192" t="str">
            <v>Iwan cell</v>
          </cell>
        </row>
        <row r="1193">
          <cell r="B1193">
            <v>17648338</v>
          </cell>
          <cell r="C1193" t="str">
            <v>Syafiq cell</v>
          </cell>
        </row>
        <row r="1194">
          <cell r="B1194">
            <v>17648343</v>
          </cell>
          <cell r="C1194" t="str">
            <v>Shinta cell</v>
          </cell>
        </row>
        <row r="1195">
          <cell r="B1195">
            <v>17256142</v>
          </cell>
          <cell r="C1195" t="str">
            <v>Sypa cell</v>
          </cell>
        </row>
        <row r="1196">
          <cell r="B1196">
            <v>17520831</v>
          </cell>
          <cell r="C1196" t="str">
            <v>hikmah cell</v>
          </cell>
        </row>
        <row r="1197">
          <cell r="B1197">
            <v>17541963</v>
          </cell>
          <cell r="C1197" t="str">
            <v>rayi raka cell</v>
          </cell>
        </row>
        <row r="1198">
          <cell r="B1198">
            <v>17618359</v>
          </cell>
          <cell r="C1198" t="str">
            <v xml:space="preserve">raka cell </v>
          </cell>
        </row>
        <row r="1199">
          <cell r="B1199">
            <v>17618351</v>
          </cell>
          <cell r="C1199" t="str">
            <v>rafi cell</v>
          </cell>
        </row>
        <row r="1200">
          <cell r="B1200">
            <v>17618866</v>
          </cell>
          <cell r="C1200" t="str">
            <v>arip cell</v>
          </cell>
        </row>
        <row r="1201">
          <cell r="B1201">
            <v>17494273</v>
          </cell>
          <cell r="C1201" t="str">
            <v>Satria cell</v>
          </cell>
        </row>
        <row r="1202">
          <cell r="B1202">
            <v>17473276</v>
          </cell>
          <cell r="C1202" t="str">
            <v>Series cell</v>
          </cell>
        </row>
        <row r="1203">
          <cell r="B1203">
            <v>17494304</v>
          </cell>
          <cell r="C1203" t="str">
            <v>Syabban cell</v>
          </cell>
        </row>
        <row r="1204">
          <cell r="B1204">
            <v>17256266</v>
          </cell>
          <cell r="C1204" t="str">
            <v>Anugrah abadi jaya cell</v>
          </cell>
        </row>
        <row r="1205">
          <cell r="B1205">
            <v>17541569</v>
          </cell>
          <cell r="C1205" t="str">
            <v>IND PULSA 2</v>
          </cell>
        </row>
        <row r="1206">
          <cell r="B1206">
            <v>17445296</v>
          </cell>
          <cell r="C1206" t="str">
            <v>Mandiri</v>
          </cell>
        </row>
        <row r="1207">
          <cell r="B1207">
            <v>17438139</v>
          </cell>
          <cell r="C1207" t="str">
            <v>Ntin cell</v>
          </cell>
        </row>
        <row r="1208">
          <cell r="B1208">
            <v>17309484</v>
          </cell>
          <cell r="C1208" t="str">
            <v>Tiara 2</v>
          </cell>
        </row>
        <row r="1209">
          <cell r="B1209">
            <v>17436747</v>
          </cell>
          <cell r="C1209" t="str">
            <v>Aliska cell</v>
          </cell>
        </row>
        <row r="1210">
          <cell r="B1210">
            <v>17436734</v>
          </cell>
          <cell r="C1210" t="str">
            <v>Geopark ciletuh</v>
          </cell>
        </row>
        <row r="1211">
          <cell r="B1211">
            <v>17516260</v>
          </cell>
          <cell r="C1211" t="str">
            <v>GTS cell</v>
          </cell>
        </row>
        <row r="1212">
          <cell r="B1212">
            <v>17234835</v>
          </cell>
          <cell r="C1212" t="str">
            <v>IRFAN CELL</v>
          </cell>
        </row>
        <row r="1213">
          <cell r="B1213">
            <v>17459771</v>
          </cell>
          <cell r="C1213" t="str">
            <v>Ozil cell</v>
          </cell>
        </row>
        <row r="1214">
          <cell r="B1214">
            <v>17438815</v>
          </cell>
          <cell r="C1214" t="str">
            <v>Samuedra cell</v>
          </cell>
        </row>
        <row r="1215">
          <cell r="B1215">
            <v>17588168</v>
          </cell>
          <cell r="C1215" t="str">
            <v>Marlong Cell</v>
          </cell>
        </row>
        <row r="1216">
          <cell r="B1216">
            <v>17473381</v>
          </cell>
          <cell r="C1216" t="str">
            <v>Mia cell</v>
          </cell>
        </row>
        <row r="1217">
          <cell r="B1217">
            <v>17473373</v>
          </cell>
          <cell r="C1217" t="str">
            <v>Yupi cell</v>
          </cell>
        </row>
        <row r="1218">
          <cell r="B1218">
            <v>17549568</v>
          </cell>
          <cell r="C1218" t="str">
            <v>Arfa cell</v>
          </cell>
        </row>
        <row r="1219">
          <cell r="B1219">
            <v>17549581</v>
          </cell>
          <cell r="C1219" t="str">
            <v>Azkha Cell</v>
          </cell>
        </row>
        <row r="1220">
          <cell r="B1220">
            <v>17549597</v>
          </cell>
          <cell r="C1220" t="str">
            <v>Dhulfiqar Cell</v>
          </cell>
        </row>
        <row r="1221">
          <cell r="B1221">
            <v>17416000</v>
          </cell>
          <cell r="C1221" t="str">
            <v>Farel cell2</v>
          </cell>
        </row>
        <row r="1222">
          <cell r="B1222">
            <v>17590010</v>
          </cell>
          <cell r="C1222" t="str">
            <v>UJUNGGENTENG CELL</v>
          </cell>
        </row>
        <row r="1223">
          <cell r="B1223">
            <v>17493649</v>
          </cell>
          <cell r="C1223" t="str">
            <v>Utom cell</v>
          </cell>
        </row>
        <row r="1224">
          <cell r="B1224">
            <v>17615966</v>
          </cell>
          <cell r="C1224" t="str">
            <v>konter pulsa 2</v>
          </cell>
        </row>
        <row r="1225">
          <cell r="B1225">
            <v>1331724</v>
          </cell>
          <cell r="C1225" t="str">
            <v>BERKAH CELL1</v>
          </cell>
        </row>
        <row r="1226">
          <cell r="B1226">
            <v>817482</v>
          </cell>
          <cell r="C1226" t="str">
            <v>ABADI CELL</v>
          </cell>
        </row>
        <row r="1227">
          <cell r="B1227">
            <v>17517365</v>
          </cell>
          <cell r="C1227" t="str">
            <v>DEWA cell</v>
          </cell>
        </row>
        <row r="1228">
          <cell r="B1228">
            <v>776200</v>
          </cell>
          <cell r="C1228" t="str">
            <v>Dewi Cell</v>
          </cell>
        </row>
        <row r="1229">
          <cell r="B1229">
            <v>713281</v>
          </cell>
          <cell r="C1229" t="str">
            <v>KOBIR CELL</v>
          </cell>
        </row>
        <row r="1230">
          <cell r="B1230">
            <v>17235466</v>
          </cell>
          <cell r="C1230" t="str">
            <v>SAHID CELL</v>
          </cell>
        </row>
        <row r="1231">
          <cell r="B1231">
            <v>17235359</v>
          </cell>
          <cell r="C1231" t="str">
            <v>TOKO AYANG CELL</v>
          </cell>
        </row>
        <row r="1232">
          <cell r="B1232">
            <v>17648231</v>
          </cell>
          <cell r="C1232" t="str">
            <v>PHONE SERVER</v>
          </cell>
        </row>
        <row r="1233">
          <cell r="B1233">
            <v>17440717</v>
          </cell>
          <cell r="C1233" t="str">
            <v>Lela cell</v>
          </cell>
        </row>
        <row r="1234">
          <cell r="B1234">
            <v>17449406</v>
          </cell>
          <cell r="C1234" t="str">
            <v>Leli cell</v>
          </cell>
        </row>
        <row r="1235">
          <cell r="B1235">
            <v>17443644</v>
          </cell>
          <cell r="C1235" t="str">
            <v>Neira cell</v>
          </cell>
        </row>
        <row r="1236">
          <cell r="B1236">
            <v>17456543</v>
          </cell>
          <cell r="C1236" t="str">
            <v>Viking sawo cell</v>
          </cell>
        </row>
        <row r="1237">
          <cell r="B1237">
            <v>17473277</v>
          </cell>
          <cell r="C1237" t="str">
            <v>Retri cell</v>
          </cell>
        </row>
        <row r="1238">
          <cell r="B1238">
            <v>17383634</v>
          </cell>
          <cell r="C1238" t="str">
            <v>Aqila cell</v>
          </cell>
        </row>
        <row r="1239">
          <cell r="B1239">
            <v>743084</v>
          </cell>
          <cell r="C1239" t="str">
            <v>BOOMER CELL 1</v>
          </cell>
        </row>
        <row r="1240">
          <cell r="B1240">
            <v>1305542</v>
          </cell>
          <cell r="C1240" t="str">
            <v>BUNGA 3 CELL</v>
          </cell>
        </row>
        <row r="1241">
          <cell r="B1241">
            <v>17440531</v>
          </cell>
          <cell r="C1241" t="str">
            <v>Cannon cell</v>
          </cell>
        </row>
        <row r="1242">
          <cell r="B1242">
            <v>17598499</v>
          </cell>
          <cell r="C1242" t="str">
            <v>Clovis Store</v>
          </cell>
        </row>
        <row r="1243">
          <cell r="B1243">
            <v>17438878</v>
          </cell>
          <cell r="C1243" t="str">
            <v>Combat cell</v>
          </cell>
        </row>
        <row r="1244">
          <cell r="B1244">
            <v>17347558</v>
          </cell>
          <cell r="C1244" t="str">
            <v>DILLA CELL</v>
          </cell>
        </row>
        <row r="1245">
          <cell r="B1245">
            <v>17511829</v>
          </cell>
          <cell r="C1245" t="str">
            <v>Aqmar cell</v>
          </cell>
        </row>
        <row r="1246">
          <cell r="B1246">
            <v>17349945</v>
          </cell>
          <cell r="C1246" t="str">
            <v>DESTYLLA CELL</v>
          </cell>
        </row>
        <row r="1247">
          <cell r="B1247">
            <v>17539390</v>
          </cell>
          <cell r="C1247" t="str">
            <v>Ernawati Cell</v>
          </cell>
        </row>
        <row r="1248">
          <cell r="B1248">
            <v>17549559</v>
          </cell>
          <cell r="C1248" t="str">
            <v>LAVENDER cell</v>
          </cell>
        </row>
        <row r="1249">
          <cell r="B1249">
            <v>17438944</v>
          </cell>
          <cell r="C1249" t="str">
            <v>NIRVANA CELL</v>
          </cell>
        </row>
        <row r="1250">
          <cell r="B1250">
            <v>17482249</v>
          </cell>
          <cell r="C1250" t="str">
            <v>Nsp3</v>
          </cell>
        </row>
        <row r="1251">
          <cell r="B1251">
            <v>17440792</v>
          </cell>
          <cell r="C1251" t="str">
            <v>Lodaya cell</v>
          </cell>
        </row>
        <row r="1252">
          <cell r="B1252">
            <v>17515338</v>
          </cell>
          <cell r="C1252" t="str">
            <v>Adit</v>
          </cell>
        </row>
        <row r="1253">
          <cell r="B1253">
            <v>17516341</v>
          </cell>
          <cell r="C1253" t="str">
            <v>Adzi-ibnu cell</v>
          </cell>
        </row>
        <row r="1254">
          <cell r="B1254">
            <v>17402663</v>
          </cell>
          <cell r="C1254" t="str">
            <v>KUROHIGE CELL</v>
          </cell>
        </row>
        <row r="1255">
          <cell r="B1255">
            <v>17473150</v>
          </cell>
          <cell r="C1255" t="str">
            <v>Niko cell</v>
          </cell>
        </row>
        <row r="1256">
          <cell r="B1256">
            <v>17443487</v>
          </cell>
          <cell r="C1256" t="str">
            <v>Risna cell</v>
          </cell>
        </row>
        <row r="1257">
          <cell r="B1257">
            <v>963998</v>
          </cell>
          <cell r="C1257" t="str">
            <v>Sabila Cell</v>
          </cell>
        </row>
        <row r="1258">
          <cell r="B1258">
            <v>17472881</v>
          </cell>
          <cell r="C1258" t="str">
            <v>Tatang cell</v>
          </cell>
        </row>
        <row r="1259">
          <cell r="B1259">
            <v>17473151</v>
          </cell>
          <cell r="C1259" t="str">
            <v>Teras cell</v>
          </cell>
        </row>
        <row r="1260">
          <cell r="B1260">
            <v>17430314</v>
          </cell>
          <cell r="C1260" t="str">
            <v>ZADAM 43</v>
          </cell>
        </row>
        <row r="1261">
          <cell r="B1261">
            <v>17459736</v>
          </cell>
          <cell r="C1261" t="str">
            <v>Amira cell</v>
          </cell>
        </row>
        <row r="1262">
          <cell r="B1262">
            <v>17382996</v>
          </cell>
          <cell r="C1262" t="str">
            <v>Surangga jati cell</v>
          </cell>
        </row>
        <row r="1263">
          <cell r="B1263">
            <v>17331331</v>
          </cell>
          <cell r="C1263" t="str">
            <v>Zahra cell</v>
          </cell>
        </row>
        <row r="1264">
          <cell r="B1264">
            <v>17618551</v>
          </cell>
          <cell r="C1264" t="str">
            <v>bisnis cell</v>
          </cell>
        </row>
        <row r="1265">
          <cell r="B1265">
            <v>17618548</v>
          </cell>
          <cell r="C1265" t="str">
            <v>rembulan cell</v>
          </cell>
        </row>
        <row r="1266">
          <cell r="B1266">
            <v>17618545</v>
          </cell>
          <cell r="C1266" t="str">
            <v>5g</v>
          </cell>
        </row>
        <row r="1267">
          <cell r="B1267">
            <v>17618536</v>
          </cell>
          <cell r="C1267" t="str">
            <v>desa cell</v>
          </cell>
        </row>
        <row r="1268">
          <cell r="B1268">
            <v>17618531</v>
          </cell>
          <cell r="C1268" t="str">
            <v>juara cell</v>
          </cell>
        </row>
        <row r="1269">
          <cell r="B1269">
            <v>17443497</v>
          </cell>
          <cell r="C1269" t="str">
            <v>Adive cell</v>
          </cell>
        </row>
        <row r="1270">
          <cell r="B1270">
            <v>17449410</v>
          </cell>
          <cell r="C1270" t="str">
            <v>Alfian cell</v>
          </cell>
        </row>
        <row r="1271">
          <cell r="B1271">
            <v>17197762</v>
          </cell>
          <cell r="C1271" t="str">
            <v>Artamara cell</v>
          </cell>
        </row>
        <row r="1272">
          <cell r="B1272">
            <v>17466370</v>
          </cell>
          <cell r="C1272" t="str">
            <v>BADAI 72</v>
          </cell>
        </row>
        <row r="1273">
          <cell r="B1273">
            <v>17436726</v>
          </cell>
          <cell r="C1273" t="str">
            <v>BOJENG CELL</v>
          </cell>
        </row>
        <row r="1274">
          <cell r="B1274">
            <v>1348816</v>
          </cell>
          <cell r="C1274" t="str">
            <v>BOLEM CELL</v>
          </cell>
        </row>
        <row r="1275">
          <cell r="B1275">
            <v>17466363</v>
          </cell>
          <cell r="C1275" t="str">
            <v>Istiqomah cell</v>
          </cell>
        </row>
        <row r="1276">
          <cell r="B1276">
            <v>17399423</v>
          </cell>
          <cell r="C1276" t="str">
            <v>LSP CELL</v>
          </cell>
        </row>
        <row r="1277">
          <cell r="B1277">
            <v>17408855</v>
          </cell>
          <cell r="C1277" t="str">
            <v>Mahya cell</v>
          </cell>
        </row>
        <row r="1278">
          <cell r="B1278">
            <v>17466951</v>
          </cell>
          <cell r="C1278" t="str">
            <v>NR cell</v>
          </cell>
        </row>
        <row r="1279">
          <cell r="B1279">
            <v>17621883</v>
          </cell>
          <cell r="C1279" t="str">
            <v>SINAR CELL</v>
          </cell>
        </row>
        <row r="1280">
          <cell r="B1280">
            <v>17616587</v>
          </cell>
          <cell r="C1280" t="str">
            <v>irnacell</v>
          </cell>
        </row>
        <row r="1281">
          <cell r="B1281">
            <v>17620666</v>
          </cell>
          <cell r="C1281" t="str">
            <v>resa</v>
          </cell>
        </row>
        <row r="1282">
          <cell r="B1282">
            <v>17623103</v>
          </cell>
          <cell r="C1282" t="str">
            <v>BILAL Cell</v>
          </cell>
        </row>
        <row r="1283">
          <cell r="B1283">
            <v>17623415</v>
          </cell>
          <cell r="C1283" t="str">
            <v>alief cell</v>
          </cell>
        </row>
        <row r="1284">
          <cell r="B1284">
            <v>17623892</v>
          </cell>
          <cell r="C1284" t="str">
            <v>lunacell</v>
          </cell>
        </row>
        <row r="1285">
          <cell r="B1285">
            <v>17625084</v>
          </cell>
          <cell r="C1285" t="str">
            <v>ABIYU PULSA</v>
          </cell>
        </row>
        <row r="1286">
          <cell r="B1286">
            <v>17625977</v>
          </cell>
          <cell r="C1286" t="str">
            <v>Denitacell</v>
          </cell>
        </row>
        <row r="1287">
          <cell r="B1287">
            <v>17627136</v>
          </cell>
          <cell r="C1287" t="str">
            <v>luna cell</v>
          </cell>
        </row>
        <row r="1288">
          <cell r="B1288">
            <v>17632713</v>
          </cell>
          <cell r="C1288" t="str">
            <v>Abhi cell</v>
          </cell>
        </row>
        <row r="1289">
          <cell r="B1289">
            <v>17633550</v>
          </cell>
          <cell r="C1289" t="str">
            <v>bela cell pulsa</v>
          </cell>
        </row>
        <row r="1290">
          <cell r="B1290">
            <v>17633910</v>
          </cell>
          <cell r="C1290" t="str">
            <v>Tia Cell</v>
          </cell>
        </row>
        <row r="1291">
          <cell r="B1291">
            <v>17638668</v>
          </cell>
          <cell r="C1291" t="str">
            <v>Kartika cell</v>
          </cell>
        </row>
        <row r="1292">
          <cell r="B1292">
            <v>17638945</v>
          </cell>
          <cell r="C1292" t="str">
            <v>kintanArulcell</v>
          </cell>
        </row>
        <row r="1293">
          <cell r="B1293">
            <v>17642879</v>
          </cell>
          <cell r="C1293" t="str">
            <v>sahal cell</v>
          </cell>
        </row>
        <row r="1294">
          <cell r="B1294">
            <v>17649361</v>
          </cell>
          <cell r="C1294" t="str">
            <v>Muhtar Gozali</v>
          </cell>
        </row>
        <row r="1295">
          <cell r="B1295">
            <v>17189587</v>
          </cell>
          <cell r="C1295" t="str">
            <v>Angkasa28 cell</v>
          </cell>
        </row>
        <row r="1296">
          <cell r="B1296">
            <v>17652908</v>
          </cell>
          <cell r="C1296" t="str">
            <v>HestyR Cell</v>
          </cell>
        </row>
        <row r="1297">
          <cell r="B1297">
            <v>17656223</v>
          </cell>
          <cell r="C1297" t="str">
            <v>Rani Novitasari</v>
          </cell>
        </row>
        <row r="1298">
          <cell r="B1298">
            <v>17659363</v>
          </cell>
          <cell r="C1298" t="str">
            <v>syafasel</v>
          </cell>
        </row>
        <row r="1299">
          <cell r="B1299">
            <v>17661630</v>
          </cell>
          <cell r="C1299" t="str">
            <v>zahabi mulia</v>
          </cell>
        </row>
        <row r="1300">
          <cell r="B1300">
            <v>17662603</v>
          </cell>
          <cell r="C1300" t="str">
            <v>NSTek</v>
          </cell>
        </row>
        <row r="1301">
          <cell r="B1301">
            <v>17663343</v>
          </cell>
          <cell r="C1301" t="str">
            <v>Kangdim Cell</v>
          </cell>
        </row>
        <row r="1302">
          <cell r="B1302">
            <v>17663501</v>
          </cell>
          <cell r="C1302" t="str">
            <v>Palladium Cell</v>
          </cell>
        </row>
        <row r="1303">
          <cell r="B1303">
            <v>17675520</v>
          </cell>
          <cell r="C1303" t="str">
            <v>WP_R CELL</v>
          </cell>
        </row>
        <row r="1304">
          <cell r="B1304">
            <v>17675592</v>
          </cell>
          <cell r="C1304" t="str">
            <v>WP_SRC PITRIANA</v>
          </cell>
        </row>
        <row r="1305">
          <cell r="B1305">
            <v>17675628</v>
          </cell>
          <cell r="C1305" t="str">
            <v>WP_VERA CELL</v>
          </cell>
        </row>
        <row r="1306">
          <cell r="B1306">
            <v>17675919</v>
          </cell>
          <cell r="C1306" t="str">
            <v>WP_INDRI CELL</v>
          </cell>
        </row>
        <row r="1307">
          <cell r="B1307">
            <v>17675331</v>
          </cell>
          <cell r="C1307" t="str">
            <v>Wp - MYFAV STORE</v>
          </cell>
        </row>
        <row r="1308">
          <cell r="B1308">
            <v>17675359</v>
          </cell>
          <cell r="C1308" t="str">
            <v>Wp - Babakan cell</v>
          </cell>
        </row>
        <row r="1309">
          <cell r="B1309">
            <v>17676016</v>
          </cell>
          <cell r="C1309" t="str">
            <v>Wp - WARCELL</v>
          </cell>
        </row>
        <row r="1310">
          <cell r="B1310">
            <v>17676328</v>
          </cell>
          <cell r="C1310" t="str">
            <v>Wp - Mesta BRILINK</v>
          </cell>
        </row>
        <row r="1311">
          <cell r="B1311">
            <v>17677631</v>
          </cell>
          <cell r="C1311" t="str">
            <v>Wp - TOKO TIMI</v>
          </cell>
        </row>
        <row r="1312">
          <cell r="B1312">
            <v>17675954</v>
          </cell>
          <cell r="C1312" t="str">
            <v>Wp-warung rusma</v>
          </cell>
        </row>
        <row r="1313">
          <cell r="B1313">
            <v>17678236</v>
          </cell>
          <cell r="C1313" t="str">
            <v>Anugrah cell ci benda</v>
          </cell>
        </row>
        <row r="1314">
          <cell r="B1314">
            <v>17675871</v>
          </cell>
          <cell r="C1314" t="str">
            <v>WP - SRC warna</v>
          </cell>
        </row>
        <row r="1315">
          <cell r="B1315">
            <v>17675883</v>
          </cell>
          <cell r="C1315" t="str">
            <v>WP- SRC Yema</v>
          </cell>
        </row>
        <row r="1316">
          <cell r="B1316">
            <v>17677940</v>
          </cell>
          <cell r="C1316" t="str">
            <v>WP- DRP Ronggo cell</v>
          </cell>
        </row>
        <row r="1317">
          <cell r="B1317">
            <v>17678336</v>
          </cell>
          <cell r="C1317" t="str">
            <v>WP - warung sella</v>
          </cell>
        </row>
        <row r="1318">
          <cell r="B1318">
            <v>17675957</v>
          </cell>
          <cell r="C1318" t="str">
            <v>WP -warung ibu lely</v>
          </cell>
        </row>
        <row r="1319">
          <cell r="B1319">
            <v>17675974</v>
          </cell>
          <cell r="C1319" t="str">
            <v>Brilink alaska</v>
          </cell>
        </row>
        <row r="1320">
          <cell r="B1320">
            <v>17678271</v>
          </cell>
          <cell r="C1320" t="str">
            <v>Warung pak Tedy</v>
          </cell>
        </row>
        <row r="1321">
          <cell r="B1321">
            <v>17676034</v>
          </cell>
          <cell r="C1321" t="str">
            <v>Warung kuring</v>
          </cell>
        </row>
        <row r="1322">
          <cell r="B1322">
            <v>17675838</v>
          </cell>
          <cell r="C1322" t="str">
            <v>WR Yanti</v>
          </cell>
        </row>
        <row r="1323">
          <cell r="B1323">
            <v>17677765</v>
          </cell>
          <cell r="C1323" t="str">
            <v>Barudak cell</v>
          </cell>
        </row>
        <row r="1324">
          <cell r="B1324">
            <v>17678624</v>
          </cell>
          <cell r="C1324" t="str">
            <v>WP_MJM CELL</v>
          </cell>
        </row>
        <row r="1325">
          <cell r="B1325">
            <v>17680613</v>
          </cell>
          <cell r="C1325" t="str">
            <v>Blue cell</v>
          </cell>
        </row>
        <row r="1326">
          <cell r="B1326">
            <v>17681026</v>
          </cell>
          <cell r="C1326" t="str">
            <v>WP_JERI CELL</v>
          </cell>
        </row>
        <row r="1327">
          <cell r="B1327">
            <v>17682250</v>
          </cell>
          <cell r="C1327" t="str">
            <v>WP-TOKO CM4 PUTRA</v>
          </cell>
        </row>
        <row r="1328">
          <cell r="B1328">
            <v>17683196</v>
          </cell>
          <cell r="C1328" t="str">
            <v>Dz cell</v>
          </cell>
        </row>
        <row r="1329">
          <cell r="B1329">
            <v>17683443</v>
          </cell>
          <cell r="C1329" t="str">
            <v>WP_NENG RINA</v>
          </cell>
        </row>
        <row r="1330">
          <cell r="B1330">
            <v>17684899</v>
          </cell>
          <cell r="C1330" t="str">
            <v>WP_BILAL CELL</v>
          </cell>
        </row>
        <row r="1331">
          <cell r="B1331">
            <v>17686217</v>
          </cell>
          <cell r="C1331" t="str">
            <v>Wp_Src Dede</v>
          </cell>
        </row>
        <row r="1332">
          <cell r="B1332">
            <v>17687656</v>
          </cell>
          <cell r="C1332" t="str">
            <v>Wp_Nazwa</v>
          </cell>
        </row>
        <row r="1333">
          <cell r="B1333">
            <v>17684517</v>
          </cell>
          <cell r="C1333" t="str">
            <v>Wp - HADI</v>
          </cell>
        </row>
        <row r="1334">
          <cell r="B1334">
            <v>17686338</v>
          </cell>
          <cell r="C1334" t="str">
            <v>WP - WARUNG NEVI</v>
          </cell>
        </row>
        <row r="1335">
          <cell r="B1335">
            <v>17683836</v>
          </cell>
          <cell r="C1335" t="str">
            <v>WP - Ibu yuni</v>
          </cell>
        </row>
        <row r="1336">
          <cell r="B1336">
            <v>17686525</v>
          </cell>
          <cell r="C1336" t="str">
            <v>Wp- Al barokah</v>
          </cell>
        </row>
        <row r="1337">
          <cell r="B1337">
            <v>17686623</v>
          </cell>
          <cell r="C1337" t="str">
            <v>WP - Ibu Wiwi</v>
          </cell>
        </row>
        <row r="1338">
          <cell r="B1338">
            <v>17685992</v>
          </cell>
          <cell r="C1338" t="str">
            <v>wp-supri</v>
          </cell>
        </row>
        <row r="1339">
          <cell r="B1339">
            <v>17686025</v>
          </cell>
          <cell r="C1339" t="str">
            <v>Wp-sembako tunggal rahayu</v>
          </cell>
        </row>
        <row r="1340">
          <cell r="B1340">
            <v>17686032</v>
          </cell>
          <cell r="C1340" t="str">
            <v>Wp- teh lina</v>
          </cell>
        </row>
        <row r="1341">
          <cell r="B1341">
            <v>17686167</v>
          </cell>
          <cell r="C1341" t="str">
            <v>wp - Bu desi</v>
          </cell>
        </row>
        <row r="1342">
          <cell r="B1342">
            <v>17686300</v>
          </cell>
          <cell r="C1342" t="str">
            <v>Wp- karnudin</v>
          </cell>
        </row>
        <row r="1343">
          <cell r="B1343">
            <v>17686416</v>
          </cell>
          <cell r="C1343" t="str">
            <v>Wp- Bu heni</v>
          </cell>
        </row>
        <row r="1344">
          <cell r="B1344">
            <v>17686019</v>
          </cell>
          <cell r="C1344" t="str">
            <v>Wp-azizah</v>
          </cell>
        </row>
        <row r="1345">
          <cell r="B1345">
            <v>17686172</v>
          </cell>
          <cell r="C1345" t="str">
            <v>Ntie cell</v>
          </cell>
        </row>
        <row r="1346">
          <cell r="B1346">
            <v>17683777</v>
          </cell>
          <cell r="C1346" t="str">
            <v>WP-WARUNG RITA</v>
          </cell>
        </row>
        <row r="1347">
          <cell r="B1347">
            <v>17684362</v>
          </cell>
          <cell r="C1347" t="str">
            <v>SAHID CELL 1</v>
          </cell>
        </row>
        <row r="1348">
          <cell r="B1348">
            <v>17684619</v>
          </cell>
          <cell r="C1348" t="str">
            <v>WP- TOKO PUTRA IBU YATI</v>
          </cell>
        </row>
        <row r="1349">
          <cell r="B1349">
            <v>17688926</v>
          </cell>
          <cell r="C1349" t="str">
            <v>WP- WARUNG ALYA</v>
          </cell>
        </row>
        <row r="1350">
          <cell r="B1350">
            <v>17686162</v>
          </cell>
          <cell r="C1350" t="str">
            <v>Wp pahmi</v>
          </cell>
        </row>
        <row r="1351">
          <cell r="B1351">
            <v>17683621</v>
          </cell>
          <cell r="C1351" t="str">
            <v>WP Kios teh nurul</v>
          </cell>
        </row>
        <row r="1352">
          <cell r="B1352">
            <v>17683897</v>
          </cell>
          <cell r="C1352" t="str">
            <v>WP - WP SRC ASEP TONJONG</v>
          </cell>
        </row>
        <row r="1353">
          <cell r="B1353">
            <v>17686309</v>
          </cell>
          <cell r="C1353" t="str">
            <v>WP-warung silvie</v>
          </cell>
        </row>
        <row r="1354">
          <cell r="B1354">
            <v>17686039</v>
          </cell>
          <cell r="C1354" t="str">
            <v>WP-Babas</v>
          </cell>
        </row>
        <row r="1355">
          <cell r="B1355">
            <v>17687607</v>
          </cell>
          <cell r="C1355" t="str">
            <v>Wp-3R</v>
          </cell>
        </row>
        <row r="1356">
          <cell r="B1356">
            <v>17687621</v>
          </cell>
          <cell r="C1356" t="str">
            <v>Wp-sibungsu</v>
          </cell>
        </row>
        <row r="1357">
          <cell r="B1357">
            <v>17688949</v>
          </cell>
          <cell r="C1357" t="str">
            <v>WP- WARUNG IBU NENGSIH</v>
          </cell>
        </row>
        <row r="1358">
          <cell r="B1358">
            <v>17689947</v>
          </cell>
          <cell r="C1358" t="str">
            <v>Wp warung fahmi</v>
          </cell>
        </row>
        <row r="1359">
          <cell r="B1359">
            <v>17689967</v>
          </cell>
          <cell r="C1359" t="str">
            <v>Wp warung Rizki</v>
          </cell>
        </row>
        <row r="1360">
          <cell r="B1360">
            <v>17028587</v>
          </cell>
          <cell r="C1360" t="str">
            <v>99 cell</v>
          </cell>
        </row>
        <row r="1361">
          <cell r="B1361">
            <v>17380116</v>
          </cell>
          <cell r="C1361" t="str">
            <v>aziz cell</v>
          </cell>
        </row>
        <row r="1362">
          <cell r="B1362">
            <v>17481249</v>
          </cell>
          <cell r="C1362" t="str">
            <v>PURE CELL</v>
          </cell>
        </row>
        <row r="1363">
          <cell r="B1363">
            <v>17355627</v>
          </cell>
          <cell r="C1363" t="str">
            <v>RISTA CELL 5</v>
          </cell>
        </row>
        <row r="1364">
          <cell r="B1364">
            <v>17472771</v>
          </cell>
          <cell r="C1364" t="str">
            <v>warung teh kokom</v>
          </cell>
        </row>
        <row r="1365">
          <cell r="B1365">
            <v>17472769</v>
          </cell>
          <cell r="C1365" t="str">
            <v>YULIA CELULER</v>
          </cell>
        </row>
        <row r="1366">
          <cell r="B1366">
            <v>17432006</v>
          </cell>
          <cell r="C1366" t="str">
            <v>LINTANG SAKTI</v>
          </cell>
        </row>
        <row r="1367">
          <cell r="B1367">
            <v>17026321</v>
          </cell>
          <cell r="C1367" t="str">
            <v>Phone cell</v>
          </cell>
        </row>
        <row r="1368">
          <cell r="B1368">
            <v>17618386</v>
          </cell>
          <cell r="C1368" t="str">
            <v>dede cell</v>
          </cell>
        </row>
        <row r="1369">
          <cell r="B1369">
            <v>17618372</v>
          </cell>
          <cell r="C1369" t="str">
            <v xml:space="preserve">ade cell </v>
          </cell>
        </row>
        <row r="1370">
          <cell r="B1370">
            <v>17481262</v>
          </cell>
          <cell r="C1370" t="str">
            <v>GALAXY CELL</v>
          </cell>
        </row>
        <row r="1371">
          <cell r="B1371">
            <v>17481244</v>
          </cell>
          <cell r="C1371" t="str">
            <v>QIANNU CELL</v>
          </cell>
        </row>
        <row r="1372">
          <cell r="B1372">
            <v>17697387</v>
          </cell>
          <cell r="C1372" t="str">
            <v>Ina cell</v>
          </cell>
        </row>
        <row r="1373">
          <cell r="B1373">
            <v>17697391</v>
          </cell>
          <cell r="C1373" t="str">
            <v>NOC cell</v>
          </cell>
        </row>
        <row r="1374">
          <cell r="B1374">
            <v>17697399</v>
          </cell>
          <cell r="C1374" t="str">
            <v>Saputra cell</v>
          </cell>
        </row>
        <row r="1375">
          <cell r="B1375">
            <v>17697402</v>
          </cell>
          <cell r="C1375" t="str">
            <v>Zahra cell</v>
          </cell>
        </row>
        <row r="1376">
          <cell r="B1376">
            <v>17697405</v>
          </cell>
          <cell r="C1376" t="str">
            <v>Mari cell</v>
          </cell>
        </row>
        <row r="1377">
          <cell r="B1377">
            <v>17697411</v>
          </cell>
          <cell r="C1377" t="str">
            <v>Igol cell</v>
          </cell>
        </row>
        <row r="1378">
          <cell r="B1378">
            <v>17697419</v>
          </cell>
          <cell r="C1378" t="str">
            <v>Jay cell</v>
          </cell>
        </row>
        <row r="1379">
          <cell r="B1379">
            <v>17697424</v>
          </cell>
          <cell r="C1379" t="str">
            <v>Mida cell</v>
          </cell>
        </row>
        <row r="1380">
          <cell r="B1380">
            <v>17697427</v>
          </cell>
          <cell r="C1380" t="str">
            <v>Azam cell</v>
          </cell>
        </row>
        <row r="1381">
          <cell r="B1381">
            <v>17697433</v>
          </cell>
          <cell r="C1381" t="str">
            <v>Nurul cell</v>
          </cell>
        </row>
        <row r="1382">
          <cell r="B1382">
            <v>17697416</v>
          </cell>
          <cell r="C1382" t="str">
            <v>Raden cell</v>
          </cell>
        </row>
        <row r="1383">
          <cell r="B1383">
            <v>17697429</v>
          </cell>
          <cell r="C1383" t="str">
            <v>Rahwana cell</v>
          </cell>
        </row>
        <row r="1384">
          <cell r="B1384">
            <v>17697434</v>
          </cell>
          <cell r="C1384" t="str">
            <v>Abim cell</v>
          </cell>
        </row>
        <row r="1385">
          <cell r="B1385">
            <v>17697438</v>
          </cell>
          <cell r="C1385" t="str">
            <v>Rayyan cell</v>
          </cell>
        </row>
        <row r="1386">
          <cell r="B1386">
            <v>17697448</v>
          </cell>
          <cell r="C1386" t="str">
            <v>Barokah cell</v>
          </cell>
        </row>
        <row r="1387">
          <cell r="B1387">
            <v>17697450</v>
          </cell>
          <cell r="C1387" t="str">
            <v>Bomber cell</v>
          </cell>
        </row>
        <row r="1388">
          <cell r="B1388">
            <v>17697458</v>
          </cell>
          <cell r="C1388" t="str">
            <v>Abimanyu cell</v>
          </cell>
        </row>
        <row r="1389">
          <cell r="B1389">
            <v>17697466</v>
          </cell>
          <cell r="C1389" t="str">
            <v>Tanjung cell</v>
          </cell>
        </row>
        <row r="1390">
          <cell r="B1390">
            <v>17697469</v>
          </cell>
          <cell r="C1390" t="str">
            <v>Klinik cell</v>
          </cell>
        </row>
        <row r="1391">
          <cell r="B1391">
            <v>17696951</v>
          </cell>
          <cell r="C1391" t="str">
            <v>Wp-Bu ancih</v>
          </cell>
        </row>
        <row r="1392">
          <cell r="B1392">
            <v>17697348</v>
          </cell>
          <cell r="C1392" t="str">
            <v>Zaelani cell</v>
          </cell>
        </row>
        <row r="1393">
          <cell r="B1393">
            <v>17697355</v>
          </cell>
          <cell r="C1393" t="str">
            <v>Rizki cell</v>
          </cell>
        </row>
        <row r="1394">
          <cell r="B1394">
            <v>17697365</v>
          </cell>
          <cell r="C1394" t="str">
            <v>Sinar asih cell</v>
          </cell>
        </row>
        <row r="1395">
          <cell r="B1395">
            <v>17697375</v>
          </cell>
          <cell r="C1395" t="str">
            <v>Wulan</v>
          </cell>
        </row>
        <row r="1396">
          <cell r="B1396">
            <v>17697394</v>
          </cell>
          <cell r="C1396" t="str">
            <v>Iyam cell</v>
          </cell>
        </row>
        <row r="1397">
          <cell r="B1397">
            <v>17697400</v>
          </cell>
          <cell r="C1397" t="str">
            <v>Pratama cell</v>
          </cell>
        </row>
        <row r="1398">
          <cell r="B1398">
            <v>17697409</v>
          </cell>
          <cell r="C1398" t="str">
            <v>Eman</v>
          </cell>
        </row>
        <row r="1399">
          <cell r="B1399">
            <v>17697422</v>
          </cell>
          <cell r="C1399" t="str">
            <v>Robi cell</v>
          </cell>
        </row>
        <row r="1400">
          <cell r="B1400">
            <v>17697426</v>
          </cell>
          <cell r="C1400" t="str">
            <v>Indah cell</v>
          </cell>
        </row>
        <row r="1401">
          <cell r="B1401">
            <v>17697430</v>
          </cell>
          <cell r="C1401" t="str">
            <v>Rita</v>
          </cell>
        </row>
        <row r="1402">
          <cell r="B1402">
            <v>17702996</v>
          </cell>
          <cell r="C1402" t="str">
            <v>Rania cell</v>
          </cell>
        </row>
        <row r="1403">
          <cell r="B1403">
            <v>17704946</v>
          </cell>
          <cell r="C1403" t="str">
            <v>Devin Mart Cell</v>
          </cell>
        </row>
        <row r="1404">
          <cell r="B1404">
            <v>17712562</v>
          </cell>
          <cell r="C1404" t="str">
            <v>Dewi cell</v>
          </cell>
        </row>
        <row r="1405">
          <cell r="B1405">
            <v>17714875</v>
          </cell>
          <cell r="C1405" t="str">
            <v>WP_BRILink Adi</v>
          </cell>
        </row>
        <row r="1406">
          <cell r="B1406">
            <v>17714878</v>
          </cell>
          <cell r="C1406" t="str">
            <v>WP_TOKO AL BASIT</v>
          </cell>
        </row>
        <row r="1407">
          <cell r="B1407">
            <v>17711933</v>
          </cell>
          <cell r="C1407" t="str">
            <v>FELIS CELL</v>
          </cell>
        </row>
        <row r="1408">
          <cell r="B1408">
            <v>17716110</v>
          </cell>
          <cell r="C1408" t="str">
            <v>Gonzes cell</v>
          </cell>
        </row>
        <row r="1409">
          <cell r="B1409">
            <v>17716249</v>
          </cell>
          <cell r="C1409" t="str">
            <v>Adnan cell</v>
          </cell>
        </row>
        <row r="1410">
          <cell r="B1410">
            <v>17592429</v>
          </cell>
          <cell r="C1410" t="str">
            <v>3 POINT</v>
          </cell>
        </row>
        <row r="1411">
          <cell r="B1411">
            <v>17590397</v>
          </cell>
          <cell r="C1411" t="str">
            <v>69 store</v>
          </cell>
        </row>
        <row r="1412">
          <cell r="B1412">
            <v>17590410</v>
          </cell>
          <cell r="C1412" t="str">
            <v>Al cell</v>
          </cell>
        </row>
        <row r="1413">
          <cell r="B1413">
            <v>17587804</v>
          </cell>
          <cell r="C1413" t="str">
            <v>Alfor store</v>
          </cell>
        </row>
        <row r="1414">
          <cell r="B1414">
            <v>758876</v>
          </cell>
          <cell r="C1414" t="str">
            <v>Ati Cell</v>
          </cell>
        </row>
        <row r="1415">
          <cell r="B1415">
            <v>17590462</v>
          </cell>
          <cell r="C1415" t="str">
            <v>ayya Cell</v>
          </cell>
        </row>
        <row r="1416">
          <cell r="B1416">
            <v>1326714</v>
          </cell>
          <cell r="C1416" t="str">
            <v>bim bim pulsa</v>
          </cell>
        </row>
        <row r="1417">
          <cell r="B1417">
            <v>1527038</v>
          </cell>
          <cell r="C1417" t="str">
            <v>BIMBIM RELOAD 2</v>
          </cell>
        </row>
        <row r="1418">
          <cell r="B1418">
            <v>1435755</v>
          </cell>
          <cell r="C1418" t="str">
            <v>CIMONG CELL</v>
          </cell>
        </row>
        <row r="1419">
          <cell r="B1419">
            <v>17284415</v>
          </cell>
          <cell r="C1419" t="str">
            <v>D2 JAGAT PULSA</v>
          </cell>
        </row>
        <row r="1420">
          <cell r="B1420">
            <v>17138370</v>
          </cell>
          <cell r="C1420" t="str">
            <v>DERUS</v>
          </cell>
        </row>
        <row r="1421">
          <cell r="B1421">
            <v>1510629</v>
          </cell>
          <cell r="C1421" t="str">
            <v>DERUS CELL 2</v>
          </cell>
        </row>
        <row r="1422">
          <cell r="B1422">
            <v>902685</v>
          </cell>
          <cell r="C1422" t="str">
            <v>Derus studio</v>
          </cell>
        </row>
        <row r="1423">
          <cell r="B1423">
            <v>17587807</v>
          </cell>
          <cell r="C1423" t="str">
            <v>Dewa19 cell</v>
          </cell>
        </row>
        <row r="1424">
          <cell r="B1424">
            <v>17430350</v>
          </cell>
          <cell r="C1424" t="str">
            <v>DS MULTISHOP</v>
          </cell>
        </row>
        <row r="1425">
          <cell r="B1425">
            <v>17430358</v>
          </cell>
          <cell r="C1425" t="str">
            <v>DS MULTISHOP 2</v>
          </cell>
        </row>
        <row r="1426">
          <cell r="B1426">
            <v>17430365</v>
          </cell>
          <cell r="C1426" t="str">
            <v>DS MULTISHOP 3</v>
          </cell>
        </row>
        <row r="1427">
          <cell r="B1427">
            <v>17430367</v>
          </cell>
          <cell r="C1427" t="str">
            <v>DS MULTISHOP 4</v>
          </cell>
        </row>
        <row r="1428">
          <cell r="B1428">
            <v>17430369</v>
          </cell>
          <cell r="C1428" t="str">
            <v>DS MULTISHOP 5</v>
          </cell>
        </row>
        <row r="1429">
          <cell r="B1429">
            <v>1288592</v>
          </cell>
          <cell r="C1429" t="str">
            <v>ERNA CELL</v>
          </cell>
        </row>
        <row r="1430">
          <cell r="B1430">
            <v>17590480</v>
          </cell>
          <cell r="C1430" t="str">
            <v>Fahira cell</v>
          </cell>
        </row>
        <row r="1431">
          <cell r="B1431">
            <v>17153452</v>
          </cell>
          <cell r="C1431" t="str">
            <v>JAGAT PULSA</v>
          </cell>
        </row>
        <row r="1432">
          <cell r="B1432">
            <v>17541906</v>
          </cell>
          <cell r="C1432" t="str">
            <v>Jagat Pulsa Group</v>
          </cell>
        </row>
        <row r="1433">
          <cell r="B1433">
            <v>615862</v>
          </cell>
          <cell r="C1433" t="str">
            <v>JOY CELL</v>
          </cell>
        </row>
        <row r="1434">
          <cell r="B1434">
            <v>17590375</v>
          </cell>
          <cell r="C1434" t="str">
            <v>K store</v>
          </cell>
        </row>
        <row r="1435">
          <cell r="B1435">
            <v>17590457</v>
          </cell>
          <cell r="C1435" t="str">
            <v>Kaka cell</v>
          </cell>
        </row>
        <row r="1436">
          <cell r="B1436">
            <v>17216196</v>
          </cell>
          <cell r="C1436" t="str">
            <v>Kaysha cell</v>
          </cell>
        </row>
        <row r="1437">
          <cell r="B1437">
            <v>17450370</v>
          </cell>
          <cell r="C1437" t="str">
            <v>Kings cell</v>
          </cell>
        </row>
        <row r="1438">
          <cell r="B1438">
            <v>17590782</v>
          </cell>
          <cell r="C1438" t="str">
            <v>LINE RELOAD</v>
          </cell>
        </row>
        <row r="1439">
          <cell r="B1439">
            <v>17558970</v>
          </cell>
          <cell r="C1439" t="str">
            <v>MAGNUM CELL</v>
          </cell>
        </row>
        <row r="1440">
          <cell r="B1440">
            <v>1528842</v>
          </cell>
          <cell r="C1440" t="str">
            <v>MUGGIE 4</v>
          </cell>
        </row>
        <row r="1441">
          <cell r="B1441">
            <v>963989</v>
          </cell>
          <cell r="C1441" t="str">
            <v>Muggie Cell</v>
          </cell>
        </row>
        <row r="1442">
          <cell r="B1442">
            <v>1525736</v>
          </cell>
          <cell r="C1442" t="str">
            <v>MUGGIE CELL 2</v>
          </cell>
        </row>
        <row r="1443">
          <cell r="B1443">
            <v>1534983</v>
          </cell>
          <cell r="C1443" t="str">
            <v>MUGGIE CELL 5</v>
          </cell>
        </row>
        <row r="1444">
          <cell r="B1444">
            <v>1534984</v>
          </cell>
          <cell r="C1444" t="str">
            <v>MUGGIE CELL 6</v>
          </cell>
        </row>
        <row r="1445">
          <cell r="B1445">
            <v>17032914</v>
          </cell>
          <cell r="C1445" t="str">
            <v>MUGGIE CENTER</v>
          </cell>
        </row>
        <row r="1446">
          <cell r="B1446">
            <v>1293357</v>
          </cell>
          <cell r="C1446" t="str">
            <v>NABILA CELL CIDAHON</v>
          </cell>
        </row>
        <row r="1447">
          <cell r="B1447">
            <v>1306748</v>
          </cell>
          <cell r="C1447" t="str">
            <v>NANO CELL</v>
          </cell>
        </row>
        <row r="1448">
          <cell r="B1448">
            <v>17558896</v>
          </cell>
          <cell r="C1448" t="str">
            <v>RERE CELL</v>
          </cell>
        </row>
        <row r="1449">
          <cell r="B1449">
            <v>1287888</v>
          </cell>
          <cell r="C1449" t="str">
            <v>RISTA CELL</v>
          </cell>
        </row>
        <row r="1450">
          <cell r="B1450">
            <v>506212</v>
          </cell>
          <cell r="C1450" t="str">
            <v>SJU CELL</v>
          </cell>
        </row>
        <row r="1451">
          <cell r="B1451">
            <v>17572836</v>
          </cell>
          <cell r="C1451" t="str">
            <v>Sukaplara</v>
          </cell>
        </row>
        <row r="1452">
          <cell r="B1452">
            <v>676147</v>
          </cell>
          <cell r="C1452" t="str">
            <v>TRISHNA CELL</v>
          </cell>
        </row>
        <row r="1453">
          <cell r="B1453">
            <v>1530045</v>
          </cell>
          <cell r="C1453" t="str">
            <v>TRISHNA RELOAD</v>
          </cell>
        </row>
        <row r="1454">
          <cell r="B1454">
            <v>1530051</v>
          </cell>
          <cell r="C1454" t="str">
            <v>TRISHNA RELOAD  2</v>
          </cell>
        </row>
        <row r="1455">
          <cell r="B1455">
            <v>17590527</v>
          </cell>
          <cell r="C1455" t="str">
            <v>Ultra 2</v>
          </cell>
        </row>
        <row r="1456">
          <cell r="B1456">
            <v>17212053</v>
          </cell>
          <cell r="C1456" t="str">
            <v>UPIN IPIN PHONE STORE</v>
          </cell>
        </row>
        <row r="1457">
          <cell r="B1457">
            <v>17587802</v>
          </cell>
          <cell r="C1457" t="str">
            <v>Hj  pepen</v>
          </cell>
        </row>
        <row r="1458">
          <cell r="B1458">
            <v>17616361</v>
          </cell>
          <cell r="C1458" t="str">
            <v>ZRC CELL</v>
          </cell>
        </row>
        <row r="1459">
          <cell r="B1459">
            <v>17616360</v>
          </cell>
          <cell r="C1459" t="str">
            <v>oasis cell</v>
          </cell>
        </row>
        <row r="1460">
          <cell r="B1460">
            <v>17616357</v>
          </cell>
          <cell r="C1460" t="str">
            <v>SMART CELL</v>
          </cell>
        </row>
        <row r="1461">
          <cell r="B1461">
            <v>17616352</v>
          </cell>
          <cell r="C1461" t="str">
            <v>Zeus celluler</v>
          </cell>
        </row>
        <row r="1462">
          <cell r="B1462">
            <v>17616369</v>
          </cell>
          <cell r="C1462" t="str">
            <v>Sassuolo cell</v>
          </cell>
        </row>
        <row r="1463">
          <cell r="B1463">
            <v>17616367</v>
          </cell>
          <cell r="C1463" t="str">
            <v>Torino</v>
          </cell>
        </row>
        <row r="1464">
          <cell r="B1464">
            <v>17616364</v>
          </cell>
          <cell r="C1464" t="str">
            <v>Chievo cell</v>
          </cell>
        </row>
        <row r="1465">
          <cell r="B1465">
            <v>17616365</v>
          </cell>
          <cell r="C1465" t="str">
            <v>KUOTA SERVER 5</v>
          </cell>
        </row>
        <row r="1466">
          <cell r="B1466">
            <v>17616362</v>
          </cell>
          <cell r="C1466" t="str">
            <v>KUOTA SERVER 4</v>
          </cell>
        </row>
        <row r="1467">
          <cell r="B1467">
            <v>17616358</v>
          </cell>
          <cell r="C1467" t="str">
            <v>KUOTA SERVER 3</v>
          </cell>
        </row>
        <row r="1468">
          <cell r="B1468">
            <v>17616354</v>
          </cell>
          <cell r="C1468" t="str">
            <v>KUOTA SERVER 2</v>
          </cell>
        </row>
        <row r="1469">
          <cell r="B1469">
            <v>17616074</v>
          </cell>
          <cell r="C1469" t="str">
            <v>KUOTA SERVER 1</v>
          </cell>
        </row>
        <row r="1470">
          <cell r="B1470">
            <v>17615975</v>
          </cell>
          <cell r="C1470" t="str">
            <v>purwasedar cell</v>
          </cell>
        </row>
        <row r="1471">
          <cell r="B1471">
            <v>17615974</v>
          </cell>
          <cell r="C1471" t="str">
            <v>ciemas celll</v>
          </cell>
        </row>
        <row r="1472">
          <cell r="B1472">
            <v>17615968</v>
          </cell>
          <cell r="C1472" t="str">
            <v>ciracap cell</v>
          </cell>
        </row>
        <row r="1473">
          <cell r="B1473">
            <v>17616345</v>
          </cell>
          <cell r="C1473" t="str">
            <v>Mira cell</v>
          </cell>
        </row>
        <row r="1474">
          <cell r="B1474">
            <v>17616341</v>
          </cell>
          <cell r="C1474" t="str">
            <v>Dori cell</v>
          </cell>
        </row>
        <row r="1475">
          <cell r="B1475">
            <v>17616336</v>
          </cell>
          <cell r="C1475" t="str">
            <v>Ela cell</v>
          </cell>
        </row>
        <row r="1476">
          <cell r="B1476">
            <v>17616325</v>
          </cell>
          <cell r="C1476" t="str">
            <v>Udin cell</v>
          </cell>
        </row>
        <row r="1477">
          <cell r="B1477">
            <v>17616318</v>
          </cell>
          <cell r="C1477" t="str">
            <v>Rifka cell</v>
          </cell>
        </row>
        <row r="1478">
          <cell r="B1478">
            <v>17616526</v>
          </cell>
          <cell r="C1478" t="str">
            <v>Cyber cell</v>
          </cell>
        </row>
        <row r="1479">
          <cell r="B1479">
            <v>17616525</v>
          </cell>
          <cell r="C1479" t="str">
            <v>VIP store</v>
          </cell>
        </row>
        <row r="1480">
          <cell r="B1480">
            <v>17616523</v>
          </cell>
          <cell r="C1480" t="str">
            <v>Prostar cell</v>
          </cell>
        </row>
        <row r="1481">
          <cell r="B1481">
            <v>17616522</v>
          </cell>
          <cell r="C1481" t="str">
            <v>Zippy cell</v>
          </cell>
        </row>
        <row r="1482">
          <cell r="B1482">
            <v>17616511</v>
          </cell>
          <cell r="C1482" t="str">
            <v>Ritel cell</v>
          </cell>
        </row>
        <row r="1483">
          <cell r="B1483">
            <v>17616508</v>
          </cell>
          <cell r="C1483" t="str">
            <v>Sunstar</v>
          </cell>
        </row>
        <row r="1484">
          <cell r="B1484">
            <v>17616507</v>
          </cell>
          <cell r="C1484" t="str">
            <v>Magma cell</v>
          </cell>
        </row>
        <row r="1485">
          <cell r="B1485">
            <v>17616504</v>
          </cell>
          <cell r="C1485" t="str">
            <v>Logika seluler</v>
          </cell>
        </row>
        <row r="1486">
          <cell r="B1486">
            <v>17615987</v>
          </cell>
          <cell r="C1486" t="str">
            <v>CakraBuana</v>
          </cell>
        </row>
        <row r="1487">
          <cell r="B1487">
            <v>17615986</v>
          </cell>
          <cell r="C1487" t="str">
            <v>Mayangsari</v>
          </cell>
        </row>
        <row r="1488">
          <cell r="B1488">
            <v>17615985</v>
          </cell>
          <cell r="C1488" t="str">
            <v>Niskala wastu Kencana</v>
          </cell>
        </row>
        <row r="1489">
          <cell r="B1489">
            <v>17615983</v>
          </cell>
          <cell r="C1489" t="str">
            <v>Banisora Suradipati</v>
          </cell>
        </row>
        <row r="1490">
          <cell r="B1490">
            <v>17615981</v>
          </cell>
          <cell r="C1490" t="str">
            <v>Lingga Buana</v>
          </cell>
        </row>
        <row r="1491">
          <cell r="B1491">
            <v>17615984</v>
          </cell>
          <cell r="C1491" t="str">
            <v>TERAS Cell</v>
          </cell>
        </row>
        <row r="1492">
          <cell r="B1492">
            <v>17615982</v>
          </cell>
          <cell r="C1492" t="str">
            <v>KITA Cell</v>
          </cell>
        </row>
        <row r="1493">
          <cell r="B1493">
            <v>17615977</v>
          </cell>
          <cell r="C1493" t="str">
            <v>SURADE HADE Cell</v>
          </cell>
        </row>
        <row r="1494">
          <cell r="B1494">
            <v>17615956</v>
          </cell>
          <cell r="C1494" t="str">
            <v>Roki Cell</v>
          </cell>
        </row>
        <row r="1495">
          <cell r="B1495">
            <v>17615955</v>
          </cell>
          <cell r="C1495" t="str">
            <v>Bela Cell</v>
          </cell>
        </row>
        <row r="1496">
          <cell r="B1496">
            <v>17615954</v>
          </cell>
          <cell r="C1496" t="str">
            <v>Angga Cell</v>
          </cell>
        </row>
        <row r="1497">
          <cell r="B1497">
            <v>17615949</v>
          </cell>
          <cell r="C1497" t="str">
            <v>Ratu Cell</v>
          </cell>
        </row>
        <row r="1498">
          <cell r="B1498">
            <v>17615946</v>
          </cell>
          <cell r="C1498" t="str">
            <v>Clara Cell</v>
          </cell>
        </row>
        <row r="1499">
          <cell r="B1499">
            <v>17615965</v>
          </cell>
          <cell r="C1499" t="str">
            <v>NITA CELL 2</v>
          </cell>
        </row>
        <row r="1500">
          <cell r="B1500">
            <v>17615963</v>
          </cell>
          <cell r="C1500" t="str">
            <v>SURADE SERVER4</v>
          </cell>
        </row>
        <row r="1501">
          <cell r="B1501">
            <v>17615962</v>
          </cell>
          <cell r="C1501" t="str">
            <v>SURADE SERVER3</v>
          </cell>
        </row>
        <row r="1502">
          <cell r="B1502">
            <v>17615961</v>
          </cell>
          <cell r="C1502" t="str">
            <v>SURADE SERVER2</v>
          </cell>
        </row>
        <row r="1503">
          <cell r="B1503">
            <v>17615960</v>
          </cell>
          <cell r="C1503" t="str">
            <v>SURADE SERVER1</v>
          </cell>
        </row>
        <row r="1504">
          <cell r="B1504">
            <v>1287889</v>
          </cell>
          <cell r="C1504" t="str">
            <v>PURNAMA CELL</v>
          </cell>
        </row>
        <row r="1505">
          <cell r="B1505">
            <v>17590001</v>
          </cell>
          <cell r="C1505" t="str">
            <v>117 cellular</v>
          </cell>
        </row>
        <row r="1506">
          <cell r="B1506">
            <v>17541903</v>
          </cell>
          <cell r="C1506" t="str">
            <v>AFDILA CELL</v>
          </cell>
        </row>
        <row r="1507">
          <cell r="B1507">
            <v>17012245</v>
          </cell>
          <cell r="C1507" t="str">
            <v>Ani cell</v>
          </cell>
        </row>
        <row r="1508">
          <cell r="B1508">
            <v>1307951</v>
          </cell>
          <cell r="C1508" t="str">
            <v>ANI CELL 2</v>
          </cell>
        </row>
        <row r="1509">
          <cell r="B1509">
            <v>17161200</v>
          </cell>
          <cell r="C1509" t="str">
            <v>Arka cell</v>
          </cell>
        </row>
        <row r="1510">
          <cell r="B1510">
            <v>17539227</v>
          </cell>
          <cell r="C1510" t="str">
            <v>Bahagia 2 cell warungkiara</v>
          </cell>
        </row>
        <row r="1511">
          <cell r="B1511">
            <v>1321340</v>
          </cell>
          <cell r="C1511" t="str">
            <v>BAHAGIA CELL WARUNG KIARA</v>
          </cell>
        </row>
        <row r="1512">
          <cell r="B1512">
            <v>17715747</v>
          </cell>
          <cell r="C1512" t="str">
            <v>BERKAH CELL</v>
          </cell>
        </row>
        <row r="1513">
          <cell r="B1513">
            <v>17435912</v>
          </cell>
          <cell r="C1513" t="str">
            <v>BERKAH MANUNGGAL</v>
          </cell>
        </row>
        <row r="1514">
          <cell r="B1514">
            <v>1341967</v>
          </cell>
          <cell r="C1514" t="str">
            <v>BIMBIM CELL</v>
          </cell>
        </row>
        <row r="1515">
          <cell r="B1515">
            <v>1553898</v>
          </cell>
          <cell r="C1515" t="str">
            <v>BIMS CELL</v>
          </cell>
        </row>
        <row r="1516">
          <cell r="B1516">
            <v>17401149</v>
          </cell>
          <cell r="C1516" t="str">
            <v>Bimsbang cell</v>
          </cell>
        </row>
        <row r="1517">
          <cell r="B1517">
            <v>17140132</v>
          </cell>
          <cell r="C1517" t="str">
            <v>BUMBLE-BEE CELL</v>
          </cell>
        </row>
        <row r="1518">
          <cell r="B1518">
            <v>17588075</v>
          </cell>
          <cell r="C1518" t="str">
            <v>AA PHONE CELL</v>
          </cell>
        </row>
        <row r="1519">
          <cell r="B1519">
            <v>1436396</v>
          </cell>
          <cell r="C1519" t="str">
            <v>Alam Celullar</v>
          </cell>
        </row>
        <row r="1520">
          <cell r="B1520">
            <v>17397391</v>
          </cell>
          <cell r="C1520" t="str">
            <v>Aliansi cell</v>
          </cell>
        </row>
        <row r="1521">
          <cell r="B1521">
            <v>942087</v>
          </cell>
          <cell r="C1521" t="str">
            <v>Alif cell</v>
          </cell>
        </row>
        <row r="1522">
          <cell r="B1522">
            <v>17149853</v>
          </cell>
          <cell r="C1522" t="str">
            <v>Alif2 Cell</v>
          </cell>
        </row>
        <row r="1523">
          <cell r="B1523">
            <v>17234362</v>
          </cell>
          <cell r="C1523" t="str">
            <v>Alpan cell</v>
          </cell>
        </row>
        <row r="1524">
          <cell r="B1524">
            <v>17259128</v>
          </cell>
          <cell r="C1524" t="str">
            <v>Arkham cell</v>
          </cell>
        </row>
        <row r="1525">
          <cell r="B1525">
            <v>17434764</v>
          </cell>
          <cell r="C1525" t="str">
            <v>ARSYA CELL</v>
          </cell>
        </row>
        <row r="1526">
          <cell r="B1526">
            <v>17232151</v>
          </cell>
          <cell r="C1526" t="str">
            <v>BARA CELL</v>
          </cell>
        </row>
        <row r="1527">
          <cell r="B1527">
            <v>17407913</v>
          </cell>
          <cell r="C1527" t="str">
            <v>BASO YONO CELL</v>
          </cell>
        </row>
        <row r="1528">
          <cell r="B1528">
            <v>17213987</v>
          </cell>
          <cell r="C1528" t="str">
            <v>Borjoe cell</v>
          </cell>
        </row>
        <row r="1529">
          <cell r="B1529">
            <v>963681</v>
          </cell>
          <cell r="C1529" t="str">
            <v>Bungur</v>
          </cell>
        </row>
        <row r="1530">
          <cell r="B1530">
            <v>1495010</v>
          </cell>
          <cell r="C1530" t="str">
            <v>Bungur 2 cell</v>
          </cell>
        </row>
        <row r="1531">
          <cell r="B1531">
            <v>777453</v>
          </cell>
          <cell r="C1531" t="str">
            <v>CENTRE CELL</v>
          </cell>
        </row>
        <row r="1532">
          <cell r="B1532">
            <v>1295673</v>
          </cell>
          <cell r="C1532" t="str">
            <v>CIANG CELL</v>
          </cell>
        </row>
        <row r="1533">
          <cell r="B1533">
            <v>1292562</v>
          </cell>
          <cell r="C1533" t="str">
            <v>AAL CELL</v>
          </cell>
        </row>
        <row r="1534">
          <cell r="B1534">
            <v>17136319</v>
          </cell>
          <cell r="C1534" t="str">
            <v>ALBI CELL</v>
          </cell>
        </row>
        <row r="1535">
          <cell r="B1535">
            <v>17588894</v>
          </cell>
          <cell r="C1535" t="str">
            <v>ARSYILA KUOTA CELL</v>
          </cell>
        </row>
        <row r="1536">
          <cell r="B1536">
            <v>775450</v>
          </cell>
          <cell r="C1536" t="str">
            <v>Bella Cell</v>
          </cell>
        </row>
        <row r="1537">
          <cell r="B1537">
            <v>17524374</v>
          </cell>
          <cell r="C1537" t="str">
            <v>BERSAMA CELL</v>
          </cell>
        </row>
        <row r="1538">
          <cell r="B1538">
            <v>1540162</v>
          </cell>
          <cell r="C1538" t="str">
            <v>FIKI CELL</v>
          </cell>
        </row>
        <row r="1539">
          <cell r="B1539">
            <v>17249928</v>
          </cell>
          <cell r="C1539" t="str">
            <v>Gisa Cell 2</v>
          </cell>
        </row>
        <row r="1540">
          <cell r="B1540">
            <v>17406334</v>
          </cell>
          <cell r="C1540" t="str">
            <v>IQR0 CELL</v>
          </cell>
        </row>
        <row r="1541">
          <cell r="B1541">
            <v>17136310</v>
          </cell>
          <cell r="C1541" t="str">
            <v>KNY CELLULER</v>
          </cell>
        </row>
        <row r="1542">
          <cell r="B1542">
            <v>1297813</v>
          </cell>
          <cell r="C1542" t="str">
            <v>MELLANI CELL</v>
          </cell>
        </row>
        <row r="1543">
          <cell r="B1543">
            <v>17382188</v>
          </cell>
          <cell r="C1543" t="str">
            <v>MRD CELL</v>
          </cell>
        </row>
        <row r="1544">
          <cell r="B1544">
            <v>17236277</v>
          </cell>
          <cell r="C1544" t="str">
            <v>ALDI CELL</v>
          </cell>
        </row>
        <row r="1545">
          <cell r="B1545">
            <v>17174906</v>
          </cell>
          <cell r="C1545" t="str">
            <v>AN CELL</v>
          </cell>
        </row>
        <row r="1546">
          <cell r="B1546">
            <v>17350310</v>
          </cell>
          <cell r="C1546" t="str">
            <v>Boy cell</v>
          </cell>
        </row>
        <row r="1547">
          <cell r="B1547">
            <v>17027893</v>
          </cell>
          <cell r="C1547" t="str">
            <v>Dalfa cell</v>
          </cell>
        </row>
        <row r="1548">
          <cell r="B1548">
            <v>17019273</v>
          </cell>
          <cell r="C1548" t="str">
            <v>Dede Cell 2</v>
          </cell>
        </row>
        <row r="1549">
          <cell r="B1549">
            <v>17013036</v>
          </cell>
          <cell r="C1549" t="str">
            <v>DEWA CELL</v>
          </cell>
        </row>
        <row r="1550">
          <cell r="B1550">
            <v>17180784</v>
          </cell>
          <cell r="C1550" t="str">
            <v>Idris Reload</v>
          </cell>
        </row>
        <row r="1551">
          <cell r="B1551">
            <v>17255829</v>
          </cell>
          <cell r="C1551" t="str">
            <v>La Cell</v>
          </cell>
        </row>
        <row r="1552">
          <cell r="B1552">
            <v>17392590</v>
          </cell>
          <cell r="C1552" t="str">
            <v>Latif  pon cell</v>
          </cell>
        </row>
        <row r="1553">
          <cell r="B1553">
            <v>17438809</v>
          </cell>
          <cell r="C1553" t="str">
            <v>Lidreil cell</v>
          </cell>
        </row>
        <row r="1554">
          <cell r="B1554">
            <v>17260544</v>
          </cell>
          <cell r="C1554" t="str">
            <v>Miska Cell</v>
          </cell>
        </row>
        <row r="1555">
          <cell r="B1555">
            <v>17198055</v>
          </cell>
          <cell r="C1555" t="str">
            <v>Nazma cell</v>
          </cell>
        </row>
        <row r="1556">
          <cell r="B1556">
            <v>17256084</v>
          </cell>
          <cell r="C1556" t="str">
            <v>Nia Cell</v>
          </cell>
        </row>
        <row r="1557">
          <cell r="B1557">
            <v>1554196</v>
          </cell>
          <cell r="C1557" t="str">
            <v>PIKA CELL</v>
          </cell>
        </row>
        <row r="1558">
          <cell r="B1558">
            <v>17027876</v>
          </cell>
          <cell r="C1558" t="str">
            <v>Raditz cell</v>
          </cell>
        </row>
        <row r="1559">
          <cell r="B1559">
            <v>17508766</v>
          </cell>
          <cell r="C1559" t="str">
            <v>Revan cell</v>
          </cell>
        </row>
        <row r="1560">
          <cell r="B1560">
            <v>17244798</v>
          </cell>
          <cell r="C1560" t="str">
            <v>KLB PULSA</v>
          </cell>
        </row>
        <row r="1561">
          <cell r="B1561">
            <v>17028596</v>
          </cell>
          <cell r="C1561" t="str">
            <v>FANY cell</v>
          </cell>
        </row>
        <row r="1562">
          <cell r="B1562">
            <v>1324771</v>
          </cell>
          <cell r="C1562" t="str">
            <v>PUTRI SERONGAN CELL</v>
          </cell>
        </row>
        <row r="1563">
          <cell r="B1563">
            <v>17034790</v>
          </cell>
          <cell r="C1563" t="str">
            <v>ARJUNA CELL</v>
          </cell>
        </row>
        <row r="1564">
          <cell r="B1564">
            <v>17512723</v>
          </cell>
          <cell r="C1564" t="str">
            <v>elfawaz celluler</v>
          </cell>
        </row>
        <row r="1565">
          <cell r="B1565">
            <v>1307434</v>
          </cell>
          <cell r="C1565" t="str">
            <v>NURANI CELL</v>
          </cell>
        </row>
        <row r="1566">
          <cell r="B1566">
            <v>17539379</v>
          </cell>
          <cell r="C1566" t="str">
            <v>Revancell</v>
          </cell>
        </row>
        <row r="1567">
          <cell r="B1567">
            <v>17705188</v>
          </cell>
          <cell r="C1567" t="str">
            <v>Barokah Mandiri cell</v>
          </cell>
        </row>
        <row r="1568">
          <cell r="B1568">
            <v>17711584</v>
          </cell>
          <cell r="C1568" t="str">
            <v>Aretha Cell</v>
          </cell>
        </row>
        <row r="1569">
          <cell r="B1569">
            <v>17712057</v>
          </cell>
          <cell r="C1569" t="str">
            <v>RAFFASYA CELL</v>
          </cell>
        </row>
        <row r="1570">
          <cell r="B1570">
            <v>1297877</v>
          </cell>
          <cell r="C1570" t="str">
            <v>PARTY CELL</v>
          </cell>
        </row>
        <row r="1571">
          <cell r="B1571">
            <v>1302401</v>
          </cell>
          <cell r="C1571" t="str">
            <v>DEN CELL</v>
          </cell>
        </row>
        <row r="1572">
          <cell r="B1572">
            <v>17149974</v>
          </cell>
          <cell r="C1572" t="str">
            <v>DERA HS CELL</v>
          </cell>
        </row>
        <row r="1573">
          <cell r="B1573">
            <v>17174834</v>
          </cell>
          <cell r="C1573" t="str">
            <v>LISNA CELL</v>
          </cell>
        </row>
        <row r="1574">
          <cell r="B1574">
            <v>1295676</v>
          </cell>
          <cell r="C1574" t="str">
            <v>ASEP CELL</v>
          </cell>
        </row>
        <row r="1575">
          <cell r="B1575">
            <v>1295675</v>
          </cell>
          <cell r="C1575" t="str">
            <v>SRI CELL</v>
          </cell>
        </row>
        <row r="1576">
          <cell r="B1576">
            <v>17678116</v>
          </cell>
          <cell r="C1576" t="str">
            <v>ARFI CELL</v>
          </cell>
        </row>
        <row r="1577">
          <cell r="B1577">
            <v>17588887</v>
          </cell>
          <cell r="C1577" t="str">
            <v>AZMI CELL</v>
          </cell>
        </row>
        <row r="1578">
          <cell r="B1578">
            <v>1556347</v>
          </cell>
          <cell r="C1578" t="str">
            <v>BUANA CELL</v>
          </cell>
        </row>
        <row r="1579">
          <cell r="B1579">
            <v>17234928</v>
          </cell>
          <cell r="C1579" t="str">
            <v>Aefa multi cell</v>
          </cell>
        </row>
        <row r="1580">
          <cell r="B1580">
            <v>17243230</v>
          </cell>
          <cell r="C1580" t="str">
            <v>Arsil cell</v>
          </cell>
        </row>
        <row r="1581">
          <cell r="B1581">
            <v>524494</v>
          </cell>
          <cell r="C1581" t="str">
            <v>DJOENS CELL</v>
          </cell>
        </row>
        <row r="1582">
          <cell r="B1582">
            <v>17436715</v>
          </cell>
          <cell r="C1582" t="str">
            <v>99 PHONE CELL</v>
          </cell>
        </row>
        <row r="1583">
          <cell r="B1583">
            <v>17200971</v>
          </cell>
          <cell r="C1583" t="str">
            <v>Asih cell</v>
          </cell>
        </row>
        <row r="1584">
          <cell r="B1584">
            <v>17196532</v>
          </cell>
          <cell r="C1584" t="str">
            <v>BERKAH Cell</v>
          </cell>
        </row>
        <row r="1585">
          <cell r="B1585">
            <v>17419394</v>
          </cell>
          <cell r="C1585" t="str">
            <v>CEFI CELL</v>
          </cell>
        </row>
        <row r="1586">
          <cell r="B1586">
            <v>1306896</v>
          </cell>
          <cell r="C1586" t="str">
            <v>DEDE CELL</v>
          </cell>
        </row>
        <row r="1587">
          <cell r="B1587">
            <v>17201731</v>
          </cell>
          <cell r="C1587" t="str">
            <v>Deri Cell</v>
          </cell>
        </row>
        <row r="1588">
          <cell r="B1588">
            <v>17392644</v>
          </cell>
          <cell r="C1588" t="str">
            <v>GFC CELL</v>
          </cell>
        </row>
        <row r="1589">
          <cell r="B1589">
            <v>17419427</v>
          </cell>
          <cell r="C1589" t="str">
            <v>Lestari cell</v>
          </cell>
        </row>
        <row r="1590">
          <cell r="B1590">
            <v>17534987</v>
          </cell>
          <cell r="C1590" t="str">
            <v>Rian 03 cell</v>
          </cell>
        </row>
        <row r="1591">
          <cell r="B1591">
            <v>1306804</v>
          </cell>
          <cell r="C1591" t="str">
            <v>RIAN CELL</v>
          </cell>
        </row>
        <row r="1592">
          <cell r="B1592">
            <v>1306813</v>
          </cell>
          <cell r="C1592" t="str">
            <v>RIFAN CELL</v>
          </cell>
        </row>
        <row r="1593">
          <cell r="B1593">
            <v>746779</v>
          </cell>
          <cell r="C1593" t="str">
            <v>ADE BENSIN CELL</v>
          </cell>
        </row>
        <row r="1594">
          <cell r="B1594">
            <v>17255558</v>
          </cell>
          <cell r="C1594" t="str">
            <v>AL KAHFI CELL</v>
          </cell>
        </row>
        <row r="1595">
          <cell r="B1595">
            <v>17233701</v>
          </cell>
          <cell r="C1595" t="str">
            <v>ARIKIN CELL</v>
          </cell>
        </row>
        <row r="1596">
          <cell r="B1596">
            <v>1385689</v>
          </cell>
          <cell r="C1596" t="str">
            <v>Azka cell</v>
          </cell>
        </row>
        <row r="1597">
          <cell r="B1597">
            <v>1385889</v>
          </cell>
          <cell r="C1597" t="str">
            <v>Bango cell</v>
          </cell>
        </row>
        <row r="1598">
          <cell r="B1598">
            <v>17466660</v>
          </cell>
          <cell r="C1598" t="str">
            <v>CIBARENO CELL</v>
          </cell>
        </row>
        <row r="1599">
          <cell r="B1599">
            <v>1381288</v>
          </cell>
          <cell r="C1599" t="str">
            <v>Cuneng cell</v>
          </cell>
        </row>
        <row r="1600">
          <cell r="B1600">
            <v>1528948</v>
          </cell>
          <cell r="C1600" t="str">
            <v>DENDO CELL</v>
          </cell>
        </row>
        <row r="1601">
          <cell r="B1601">
            <v>1509788</v>
          </cell>
          <cell r="C1601" t="str">
            <v>FAMILY CELL</v>
          </cell>
        </row>
        <row r="1602">
          <cell r="B1602">
            <v>606288</v>
          </cell>
          <cell r="C1602" t="str">
            <v>GAME CELL</v>
          </cell>
        </row>
        <row r="1603">
          <cell r="B1603">
            <v>17377589</v>
          </cell>
          <cell r="C1603" t="str">
            <v>Gita Cell</v>
          </cell>
        </row>
        <row r="1604">
          <cell r="B1604">
            <v>781223</v>
          </cell>
          <cell r="C1604" t="str">
            <v>KARISMA CELL</v>
          </cell>
        </row>
        <row r="1605">
          <cell r="B1605">
            <v>17541602</v>
          </cell>
          <cell r="C1605" t="str">
            <v>Purnama cinagen 2</v>
          </cell>
        </row>
        <row r="1606">
          <cell r="B1606">
            <v>17574427</v>
          </cell>
          <cell r="C1606" t="str">
            <v>DOA UMI</v>
          </cell>
        </row>
        <row r="1607">
          <cell r="B1607">
            <v>17201317</v>
          </cell>
          <cell r="C1607" t="str">
            <v>Ikut cell</v>
          </cell>
        </row>
        <row r="1608">
          <cell r="B1608">
            <v>17574429</v>
          </cell>
          <cell r="C1608" t="str">
            <v>Mira 2 Cell</v>
          </cell>
        </row>
        <row r="1609">
          <cell r="B1609">
            <v>1554305</v>
          </cell>
          <cell r="C1609" t="str">
            <v>AGUS CELL</v>
          </cell>
        </row>
        <row r="1610">
          <cell r="B1610">
            <v>17291948</v>
          </cell>
          <cell r="C1610" t="str">
            <v>BIJAK PULSA</v>
          </cell>
        </row>
        <row r="1611">
          <cell r="B1611">
            <v>17184961</v>
          </cell>
          <cell r="C1611" t="str">
            <v>BINA CELL</v>
          </cell>
        </row>
        <row r="1612">
          <cell r="B1612">
            <v>17288009</v>
          </cell>
          <cell r="C1612" t="str">
            <v>Kireina cell 2</v>
          </cell>
        </row>
        <row r="1613">
          <cell r="B1613">
            <v>1351703</v>
          </cell>
          <cell r="C1613" t="str">
            <v>Faks cell</v>
          </cell>
        </row>
        <row r="1614">
          <cell r="B1614">
            <v>17436713</v>
          </cell>
          <cell r="C1614" t="str">
            <v>HASANAH CELL</v>
          </cell>
        </row>
        <row r="1615">
          <cell r="B1615">
            <v>17587878</v>
          </cell>
          <cell r="C1615" t="str">
            <v>I Celluler</v>
          </cell>
        </row>
        <row r="1616">
          <cell r="B1616">
            <v>832454</v>
          </cell>
          <cell r="C1616" t="str">
            <v>PARAMOUNT IV</v>
          </cell>
        </row>
        <row r="1617">
          <cell r="B1617">
            <v>17524017</v>
          </cell>
          <cell r="C1617" t="str">
            <v>Oyox cell</v>
          </cell>
        </row>
        <row r="1618">
          <cell r="B1618">
            <v>17393175</v>
          </cell>
          <cell r="C1618" t="str">
            <v>Couple Cell</v>
          </cell>
        </row>
        <row r="1619">
          <cell r="B1619">
            <v>1450682</v>
          </cell>
          <cell r="C1619" t="str">
            <v>ELSI CELL</v>
          </cell>
        </row>
        <row r="1620">
          <cell r="B1620">
            <v>17202893</v>
          </cell>
          <cell r="C1620" t="str">
            <v>HANY CELL</v>
          </cell>
        </row>
        <row r="1621">
          <cell r="B1621">
            <v>1459141</v>
          </cell>
          <cell r="C1621" t="str">
            <v>INDAH CELL</v>
          </cell>
        </row>
        <row r="1622">
          <cell r="B1622">
            <v>1326713</v>
          </cell>
          <cell r="C1622" t="str">
            <v>kanaya cell</v>
          </cell>
        </row>
        <row r="1623">
          <cell r="B1623">
            <v>1370729</v>
          </cell>
          <cell r="C1623" t="str">
            <v>KK Cell</v>
          </cell>
        </row>
        <row r="1624">
          <cell r="B1624">
            <v>17196791</v>
          </cell>
          <cell r="C1624" t="str">
            <v>LESTARI CELL</v>
          </cell>
        </row>
        <row r="1625">
          <cell r="B1625">
            <v>17253838</v>
          </cell>
          <cell r="C1625" t="str">
            <v>NAYLA CELL</v>
          </cell>
        </row>
        <row r="1626">
          <cell r="B1626">
            <v>17377402</v>
          </cell>
          <cell r="C1626" t="str">
            <v>Raafi Cell</v>
          </cell>
        </row>
        <row r="1627">
          <cell r="B1627">
            <v>1297833</v>
          </cell>
          <cell r="C1627" t="str">
            <v>rendi cell</v>
          </cell>
        </row>
        <row r="1628">
          <cell r="B1628">
            <v>17253851</v>
          </cell>
          <cell r="C1628" t="str">
            <v>RYDA CELL</v>
          </cell>
        </row>
        <row r="1629">
          <cell r="B1629">
            <v>1515439</v>
          </cell>
          <cell r="C1629" t="str">
            <v>NIA CELL</v>
          </cell>
        </row>
        <row r="1630">
          <cell r="B1630">
            <v>17253794</v>
          </cell>
          <cell r="C1630" t="str">
            <v>SAWALA CELL</v>
          </cell>
        </row>
        <row r="1631">
          <cell r="B1631">
            <v>17244015</v>
          </cell>
          <cell r="C1631" t="str">
            <v>UTARI CELL</v>
          </cell>
        </row>
        <row r="1632">
          <cell r="B1632">
            <v>17541577</v>
          </cell>
          <cell r="C1632" t="str">
            <v>COD 21 CIBUNGUR</v>
          </cell>
        </row>
        <row r="1633">
          <cell r="B1633">
            <v>17365646</v>
          </cell>
          <cell r="C1633" t="str">
            <v>F ONE CELL</v>
          </cell>
        </row>
        <row r="1634">
          <cell r="B1634">
            <v>17256679</v>
          </cell>
          <cell r="C1634" t="str">
            <v>Aldi cell</v>
          </cell>
        </row>
        <row r="1635">
          <cell r="B1635">
            <v>17549633</v>
          </cell>
          <cell r="C1635" t="str">
            <v>Gifari cell</v>
          </cell>
        </row>
        <row r="1636">
          <cell r="B1636">
            <v>17587813</v>
          </cell>
          <cell r="C1636" t="str">
            <v>NUMER CELL</v>
          </cell>
        </row>
        <row r="1637">
          <cell r="B1637">
            <v>17467075</v>
          </cell>
          <cell r="C1637" t="str">
            <v>ONE CELL</v>
          </cell>
        </row>
        <row r="1638">
          <cell r="B1638">
            <v>17515312</v>
          </cell>
          <cell r="C1638" t="str">
            <v>One2</v>
          </cell>
        </row>
        <row r="1639">
          <cell r="B1639">
            <v>17335454</v>
          </cell>
          <cell r="C1639" t="str">
            <v>RIDACELL</v>
          </cell>
        </row>
        <row r="1640">
          <cell r="B1640">
            <v>17583482</v>
          </cell>
          <cell r="C1640" t="str">
            <v>RJ CELL UJUNG GENTENG</v>
          </cell>
        </row>
        <row r="1641">
          <cell r="B1641">
            <v>17473110</v>
          </cell>
          <cell r="C1641" t="str">
            <v>Boban cell</v>
          </cell>
        </row>
        <row r="1642">
          <cell r="B1642">
            <v>1297857</v>
          </cell>
          <cell r="C1642" t="str">
            <v>CHIKA CELL</v>
          </cell>
        </row>
        <row r="1643">
          <cell r="B1643">
            <v>1548879</v>
          </cell>
          <cell r="C1643" t="str">
            <v>ENAM BELAS CELLULER</v>
          </cell>
        </row>
        <row r="1644">
          <cell r="B1644">
            <v>17537087</v>
          </cell>
          <cell r="C1644" t="str">
            <v>Farida cell warungkiara</v>
          </cell>
        </row>
        <row r="1645">
          <cell r="B1645">
            <v>1372442</v>
          </cell>
          <cell r="C1645" t="str">
            <v>NQ cell</v>
          </cell>
        </row>
        <row r="1646">
          <cell r="B1646">
            <v>17517340</v>
          </cell>
          <cell r="C1646" t="str">
            <v>ER_EL CELL</v>
          </cell>
        </row>
        <row r="1647">
          <cell r="B1647">
            <v>17232759</v>
          </cell>
          <cell r="C1647" t="str">
            <v>Cahaya berkah cell</v>
          </cell>
        </row>
        <row r="1648">
          <cell r="B1648">
            <v>17680557</v>
          </cell>
          <cell r="C1648" t="str">
            <v>ELLY CELL</v>
          </cell>
        </row>
        <row r="1649">
          <cell r="B1649">
            <v>17234201</v>
          </cell>
          <cell r="C1649" t="str">
            <v>Doni cell</v>
          </cell>
        </row>
        <row r="1650">
          <cell r="B1650">
            <v>17449333</v>
          </cell>
          <cell r="C1650" t="str">
            <v>EZIEMUT CELL</v>
          </cell>
        </row>
        <row r="1651">
          <cell r="B1651">
            <v>17375600</v>
          </cell>
          <cell r="C1651" t="str">
            <v>Fadil cell</v>
          </cell>
        </row>
        <row r="1652">
          <cell r="B1652">
            <v>17153766</v>
          </cell>
          <cell r="C1652" t="str">
            <v>Marcell</v>
          </cell>
        </row>
        <row r="1653">
          <cell r="B1653">
            <v>17202936</v>
          </cell>
          <cell r="C1653" t="str">
            <v>REVAN CELL</v>
          </cell>
        </row>
        <row r="1654">
          <cell r="B1654">
            <v>17435936</v>
          </cell>
          <cell r="C1654" t="str">
            <v>Rinaa cell</v>
          </cell>
        </row>
        <row r="1655">
          <cell r="B1655">
            <v>17212304</v>
          </cell>
          <cell r="C1655" t="str">
            <v>DND 2 Cell</v>
          </cell>
        </row>
        <row r="1656">
          <cell r="B1656">
            <v>17262938</v>
          </cell>
          <cell r="C1656" t="str">
            <v>Fadhil cell</v>
          </cell>
        </row>
        <row r="1657">
          <cell r="B1657">
            <v>17241764</v>
          </cell>
          <cell r="C1657" t="str">
            <v>Fannisa cell</v>
          </cell>
        </row>
        <row r="1658">
          <cell r="B1658">
            <v>1381677</v>
          </cell>
          <cell r="C1658" t="str">
            <v>FAREL 1 CELL</v>
          </cell>
        </row>
        <row r="1659">
          <cell r="B1659">
            <v>963679</v>
          </cell>
          <cell r="C1659" t="str">
            <v>FAREL CELL 2</v>
          </cell>
        </row>
        <row r="1660">
          <cell r="B1660">
            <v>17192240</v>
          </cell>
          <cell r="C1660" t="str">
            <v>Garnish 2 Cell</v>
          </cell>
        </row>
        <row r="1661">
          <cell r="B1661">
            <v>512025</v>
          </cell>
          <cell r="C1661" t="str">
            <v>HASNA CELL</v>
          </cell>
        </row>
        <row r="1662">
          <cell r="B1662">
            <v>1348234</v>
          </cell>
          <cell r="C1662" t="str">
            <v>HASNA CELL2</v>
          </cell>
        </row>
        <row r="1663">
          <cell r="B1663">
            <v>1294039</v>
          </cell>
          <cell r="C1663" t="str">
            <v>JESICA CELl SILIWANGI</v>
          </cell>
        </row>
        <row r="1664">
          <cell r="B1664">
            <v>17210168</v>
          </cell>
          <cell r="C1664" t="str">
            <v>KIA Cell</v>
          </cell>
        </row>
        <row r="1665">
          <cell r="B1665">
            <v>17408970</v>
          </cell>
          <cell r="C1665" t="str">
            <v>KIARA CELL</v>
          </cell>
        </row>
        <row r="1666">
          <cell r="B1666">
            <v>1559432</v>
          </cell>
          <cell r="C1666" t="str">
            <v>KOBIR CELL</v>
          </cell>
        </row>
        <row r="1667">
          <cell r="B1667">
            <v>17438842</v>
          </cell>
          <cell r="C1667" t="str">
            <v>Malcom cell</v>
          </cell>
        </row>
        <row r="1668">
          <cell r="B1668">
            <v>17242108</v>
          </cell>
          <cell r="C1668" t="str">
            <v>Nazla Cell</v>
          </cell>
        </row>
        <row r="1669">
          <cell r="B1669">
            <v>1557905</v>
          </cell>
          <cell r="C1669" t="str">
            <v>PRABU CELL</v>
          </cell>
        </row>
        <row r="1670">
          <cell r="B1670">
            <v>17276271</v>
          </cell>
          <cell r="C1670" t="str">
            <v>Naura cell</v>
          </cell>
        </row>
        <row r="1671">
          <cell r="B1671">
            <v>713231</v>
          </cell>
          <cell r="C1671" t="str">
            <v>NAWAL CELL</v>
          </cell>
        </row>
        <row r="1672">
          <cell r="B1672">
            <v>688637</v>
          </cell>
          <cell r="C1672" t="str">
            <v>SALMAN CELL</v>
          </cell>
        </row>
        <row r="1673">
          <cell r="B1673">
            <v>1305500</v>
          </cell>
          <cell r="C1673" t="str">
            <v>SS CELL</v>
          </cell>
        </row>
        <row r="1674">
          <cell r="B1674">
            <v>1306911</v>
          </cell>
          <cell r="C1674" t="str">
            <v>SS QUA CELL</v>
          </cell>
        </row>
        <row r="1675">
          <cell r="B1675">
            <v>713247</v>
          </cell>
          <cell r="C1675" t="str">
            <v>STEVEN CELL</v>
          </cell>
        </row>
        <row r="1676">
          <cell r="B1676">
            <v>1387905</v>
          </cell>
          <cell r="C1676" t="str">
            <v>STEVEN CELL 3</v>
          </cell>
        </row>
        <row r="1677">
          <cell r="B1677">
            <v>17466767</v>
          </cell>
          <cell r="C1677" t="str">
            <v>Vero cell</v>
          </cell>
        </row>
        <row r="1678">
          <cell r="B1678">
            <v>17618570</v>
          </cell>
          <cell r="C1678" t="str">
            <v>aditya cell</v>
          </cell>
        </row>
        <row r="1679">
          <cell r="B1679">
            <v>17197456</v>
          </cell>
          <cell r="C1679" t="str">
            <v>ADITYA PULSA</v>
          </cell>
        </row>
        <row r="1680">
          <cell r="B1680">
            <v>17516312</v>
          </cell>
          <cell r="C1680" t="str">
            <v>Bonjovi cell</v>
          </cell>
        </row>
        <row r="1681">
          <cell r="B1681">
            <v>17440825</v>
          </cell>
          <cell r="C1681" t="str">
            <v>Android recehan</v>
          </cell>
        </row>
        <row r="1682">
          <cell r="B1682">
            <v>17259104</v>
          </cell>
          <cell r="C1682" t="str">
            <v>192 Cell</v>
          </cell>
        </row>
        <row r="1683">
          <cell r="B1683">
            <v>17543046</v>
          </cell>
          <cell r="C1683" t="str">
            <v>AM CELL2</v>
          </cell>
        </row>
        <row r="1684">
          <cell r="B1684">
            <v>17515738</v>
          </cell>
          <cell r="C1684" t="str">
            <v>Asbi cell</v>
          </cell>
        </row>
        <row r="1685">
          <cell r="B1685">
            <v>17542105</v>
          </cell>
          <cell r="C1685" t="str">
            <v>BABAH CELL2</v>
          </cell>
        </row>
        <row r="1686">
          <cell r="B1686">
            <v>17380128</v>
          </cell>
          <cell r="C1686" t="str">
            <v>Der cell2</v>
          </cell>
        </row>
        <row r="1687">
          <cell r="B1687">
            <v>17201193</v>
          </cell>
          <cell r="C1687" t="str">
            <v>EPIC CELL</v>
          </cell>
        </row>
        <row r="1688">
          <cell r="B1688">
            <v>17438527</v>
          </cell>
          <cell r="C1688" t="str">
            <v>Family cell</v>
          </cell>
        </row>
        <row r="1689">
          <cell r="B1689">
            <v>17033590</v>
          </cell>
          <cell r="C1689" t="str">
            <v>IND PULSA</v>
          </cell>
        </row>
        <row r="1690">
          <cell r="B1690">
            <v>1532594</v>
          </cell>
          <cell r="C1690" t="str">
            <v>MUSTIKA LOJI</v>
          </cell>
        </row>
        <row r="1691">
          <cell r="B1691">
            <v>17396974</v>
          </cell>
          <cell r="C1691" t="str">
            <v>Myd cell</v>
          </cell>
        </row>
        <row r="1692">
          <cell r="B1692">
            <v>17202759</v>
          </cell>
          <cell r="C1692" t="str">
            <v>Rafa reload</v>
          </cell>
        </row>
        <row r="1693">
          <cell r="B1693">
            <v>17447706</v>
          </cell>
          <cell r="C1693" t="str">
            <v>Rafka cell</v>
          </cell>
        </row>
        <row r="1694">
          <cell r="B1694">
            <v>1389505</v>
          </cell>
          <cell r="C1694" t="str">
            <v>RAKA CELL</v>
          </cell>
        </row>
        <row r="1695">
          <cell r="B1695">
            <v>17436018</v>
          </cell>
          <cell r="C1695" t="str">
            <v>Shafa cell</v>
          </cell>
        </row>
        <row r="1696">
          <cell r="B1696">
            <v>17690948</v>
          </cell>
          <cell r="C1696" t="str">
            <v>B payment</v>
          </cell>
        </row>
        <row r="1697">
          <cell r="B1697">
            <v>17707384</v>
          </cell>
          <cell r="C1697" t="str">
            <v>Gunna cell</v>
          </cell>
        </row>
        <row r="1698">
          <cell r="B1698">
            <v>17574525</v>
          </cell>
          <cell r="C1698" t="str">
            <v>AHMAD Cell</v>
          </cell>
        </row>
        <row r="1699">
          <cell r="B1699">
            <v>17472766</v>
          </cell>
          <cell r="C1699" t="str">
            <v>ZISS CELL</v>
          </cell>
        </row>
        <row r="1700">
          <cell r="B1700">
            <v>17244684</v>
          </cell>
          <cell r="C1700" t="str">
            <v>ZISS CELL 2</v>
          </cell>
        </row>
        <row r="1701">
          <cell r="B1701">
            <v>17213438</v>
          </cell>
          <cell r="C1701" t="str">
            <v>ZISS CELL 3</v>
          </cell>
        </row>
        <row r="1702">
          <cell r="B1702">
            <v>17618383</v>
          </cell>
          <cell r="C1702" t="str">
            <v>deri cell</v>
          </cell>
        </row>
        <row r="1703">
          <cell r="B1703">
            <v>17711580</v>
          </cell>
          <cell r="C1703" t="str">
            <v>Elzan Cell</v>
          </cell>
        </row>
        <row r="1704">
          <cell r="B1704">
            <v>17033256</v>
          </cell>
          <cell r="C1704" t="str">
            <v>Asia cell</v>
          </cell>
        </row>
        <row r="1705">
          <cell r="B1705">
            <v>17618411</v>
          </cell>
          <cell r="C1705" t="str">
            <v>jalu cell</v>
          </cell>
        </row>
        <row r="1706">
          <cell r="B1706">
            <v>17711586</v>
          </cell>
          <cell r="C1706" t="str">
            <v>R2 Cell</v>
          </cell>
        </row>
        <row r="1707">
          <cell r="B1707">
            <v>17432631</v>
          </cell>
          <cell r="C1707" t="str">
            <v>ELZIO CELL</v>
          </cell>
        </row>
        <row r="1708">
          <cell r="B1708">
            <v>17218643</v>
          </cell>
          <cell r="C1708" t="str">
            <v>FARID CELL</v>
          </cell>
        </row>
        <row r="1709">
          <cell r="B1709">
            <v>1297883</v>
          </cell>
          <cell r="C1709" t="str">
            <v>GUNAWAN CELL</v>
          </cell>
        </row>
        <row r="1710">
          <cell r="B1710">
            <v>963631</v>
          </cell>
          <cell r="C1710" t="str">
            <v>Ju ss cell</v>
          </cell>
        </row>
        <row r="1711">
          <cell r="B1711">
            <v>17590003</v>
          </cell>
          <cell r="C1711" t="str">
            <v>DND 2 BRILINK</v>
          </cell>
        </row>
        <row r="1712">
          <cell r="B1712">
            <v>17618620</v>
          </cell>
          <cell r="C1712" t="str">
            <v>elvyra cell</v>
          </cell>
        </row>
        <row r="1713">
          <cell r="B1713">
            <v>1288562</v>
          </cell>
          <cell r="C1713" t="str">
            <v>SAMBOYO CELLL</v>
          </cell>
        </row>
        <row r="1714">
          <cell r="B1714">
            <v>17232417</v>
          </cell>
          <cell r="C1714" t="str">
            <v>Zakiyyah cell</v>
          </cell>
        </row>
        <row r="1715">
          <cell r="B1715">
            <v>17429775</v>
          </cell>
          <cell r="C1715" t="str">
            <v>Zakiyyah Cell 2</v>
          </cell>
        </row>
        <row r="1716">
          <cell r="B1716">
            <v>17705056</v>
          </cell>
          <cell r="C1716" t="str">
            <v>Argalit cell</v>
          </cell>
        </row>
        <row r="1717">
          <cell r="B1717">
            <v>17588959</v>
          </cell>
          <cell r="C1717" t="str">
            <v>ZIO PHONE CELL</v>
          </cell>
        </row>
        <row r="1718">
          <cell r="B1718">
            <v>775934</v>
          </cell>
          <cell r="C1718" t="str">
            <v>AA. ERHAN CELL</v>
          </cell>
        </row>
        <row r="1719">
          <cell r="B1719">
            <v>1306806</v>
          </cell>
          <cell r="C1719" t="str">
            <v>RnY CELL</v>
          </cell>
        </row>
        <row r="1720">
          <cell r="B1720">
            <v>1464898</v>
          </cell>
          <cell r="C1720" t="str">
            <v>SAWARGI CELL</v>
          </cell>
        </row>
        <row r="1721">
          <cell r="B1721">
            <v>1474144</v>
          </cell>
          <cell r="C1721" t="str">
            <v>STE CELL</v>
          </cell>
        </row>
        <row r="1722">
          <cell r="B1722">
            <v>1306891</v>
          </cell>
          <cell r="C1722" t="str">
            <v>SUCI CELL</v>
          </cell>
        </row>
        <row r="1723">
          <cell r="B1723">
            <v>1559099</v>
          </cell>
          <cell r="C1723" t="str">
            <v>SYB cell</v>
          </cell>
        </row>
        <row r="1724">
          <cell r="B1724">
            <v>1462634</v>
          </cell>
          <cell r="C1724" t="str">
            <v>WENING CELL</v>
          </cell>
        </row>
        <row r="1725">
          <cell r="B1725">
            <v>17029434</v>
          </cell>
          <cell r="C1725" t="str">
            <v>AIR CELL</v>
          </cell>
        </row>
        <row r="1726">
          <cell r="B1726">
            <v>1462632</v>
          </cell>
          <cell r="C1726" t="str">
            <v>ANUGRAH CELL</v>
          </cell>
        </row>
        <row r="1727">
          <cell r="B1727">
            <v>730610</v>
          </cell>
          <cell r="C1727" t="str">
            <v>MASS CELL</v>
          </cell>
        </row>
        <row r="1728">
          <cell r="B1728">
            <v>730816</v>
          </cell>
          <cell r="C1728" t="str">
            <v>MELATI CELL</v>
          </cell>
        </row>
        <row r="1729">
          <cell r="B1729">
            <v>17534986</v>
          </cell>
          <cell r="C1729" t="str">
            <v>Nita Cell</v>
          </cell>
        </row>
        <row r="1730">
          <cell r="B1730">
            <v>1295657</v>
          </cell>
          <cell r="C1730" t="str">
            <v>passa cell</v>
          </cell>
        </row>
        <row r="1731">
          <cell r="B1731">
            <v>17708175</v>
          </cell>
          <cell r="C1731" t="str">
            <v>Khalisa cell</v>
          </cell>
        </row>
        <row r="1732">
          <cell r="B1732">
            <v>1326716</v>
          </cell>
          <cell r="C1732" t="str">
            <v>Rustandi cell</v>
          </cell>
        </row>
        <row r="1733">
          <cell r="B1733">
            <v>1075399</v>
          </cell>
          <cell r="C1733" t="str">
            <v>elly cell</v>
          </cell>
        </row>
        <row r="1734">
          <cell r="B1734">
            <v>17175717</v>
          </cell>
          <cell r="C1734" t="str">
            <v>FARIZ 2 CELL</v>
          </cell>
        </row>
        <row r="1735">
          <cell r="B1735">
            <v>17159169</v>
          </cell>
          <cell r="C1735" t="str">
            <v>FARIZ CELL</v>
          </cell>
        </row>
        <row r="1736">
          <cell r="B1736">
            <v>17291392</v>
          </cell>
          <cell r="C1736" t="str">
            <v>Firman cell</v>
          </cell>
        </row>
        <row r="1737">
          <cell r="B1737">
            <v>17174083</v>
          </cell>
          <cell r="C1737" t="str">
            <v>PELANGI22 CELL</v>
          </cell>
        </row>
        <row r="1738">
          <cell r="B1738">
            <v>17122617</v>
          </cell>
          <cell r="C1738" t="str">
            <v>SAWITRI CELL</v>
          </cell>
        </row>
        <row r="1739">
          <cell r="B1739">
            <v>1514559</v>
          </cell>
          <cell r="C1739" t="str">
            <v>AZRA CELL</v>
          </cell>
        </row>
        <row r="1740">
          <cell r="B1740">
            <v>1306787</v>
          </cell>
          <cell r="C1740" t="str">
            <v>GUNA CELL</v>
          </cell>
        </row>
        <row r="1741">
          <cell r="B1741">
            <v>17544628</v>
          </cell>
          <cell r="C1741" t="str">
            <v>kayla cell</v>
          </cell>
        </row>
        <row r="1742">
          <cell r="B1742">
            <v>1287489</v>
          </cell>
          <cell r="C1742" t="str">
            <v>MAPAT CELL</v>
          </cell>
        </row>
        <row r="1743">
          <cell r="B1743">
            <v>17255963</v>
          </cell>
          <cell r="C1743" t="str">
            <v>Arsyad Cell</v>
          </cell>
        </row>
        <row r="1744">
          <cell r="B1744">
            <v>17708525</v>
          </cell>
          <cell r="C1744" t="str">
            <v>bento cell</v>
          </cell>
        </row>
        <row r="1745">
          <cell r="B1745">
            <v>17708267</v>
          </cell>
          <cell r="C1745" t="str">
            <v>ds cell</v>
          </cell>
        </row>
        <row r="1746">
          <cell r="B1746">
            <v>17708289</v>
          </cell>
          <cell r="C1746" t="str">
            <v>rayi raka cell</v>
          </cell>
        </row>
        <row r="1747">
          <cell r="B1747">
            <v>1414264</v>
          </cell>
          <cell r="C1747" t="str">
            <v>LUCKY CELL</v>
          </cell>
        </row>
        <row r="1748">
          <cell r="B1748">
            <v>691603</v>
          </cell>
          <cell r="C1748" t="str">
            <v>MATRIK CELL</v>
          </cell>
        </row>
        <row r="1749">
          <cell r="B1749">
            <v>17181755</v>
          </cell>
          <cell r="C1749" t="str">
            <v>Vicky cell 2</v>
          </cell>
        </row>
        <row r="1750">
          <cell r="B1750">
            <v>1288629</v>
          </cell>
          <cell r="C1750" t="str">
            <v>VIKS CELL</v>
          </cell>
        </row>
        <row r="1751">
          <cell r="B1751">
            <v>17473079</v>
          </cell>
          <cell r="C1751" t="str">
            <v>Warung gadget</v>
          </cell>
        </row>
        <row r="1752">
          <cell r="B1752">
            <v>17249131</v>
          </cell>
          <cell r="C1752" t="str">
            <v>ANITA CELL</v>
          </cell>
        </row>
        <row r="1753">
          <cell r="B1753">
            <v>17211228</v>
          </cell>
          <cell r="C1753" t="str">
            <v>INDAH CELL</v>
          </cell>
        </row>
        <row r="1754">
          <cell r="B1754">
            <v>1340734</v>
          </cell>
          <cell r="C1754" t="str">
            <v>MALIKA CELL</v>
          </cell>
        </row>
        <row r="1755">
          <cell r="B1755">
            <v>746774</v>
          </cell>
          <cell r="C1755" t="str">
            <v>MY 2 CELL</v>
          </cell>
        </row>
        <row r="1756">
          <cell r="B1756">
            <v>17340015</v>
          </cell>
          <cell r="C1756" t="str">
            <v>RIFA STORE CELL</v>
          </cell>
        </row>
        <row r="1757">
          <cell r="B1757">
            <v>17494289</v>
          </cell>
          <cell r="C1757" t="str">
            <v>Rindu Aliya Cell</v>
          </cell>
        </row>
        <row r="1758">
          <cell r="B1758">
            <v>17370328</v>
          </cell>
          <cell r="C1758" t="str">
            <v>FAUZAN MITRA CELL</v>
          </cell>
        </row>
        <row r="1759">
          <cell r="B1759">
            <v>1352750</v>
          </cell>
          <cell r="C1759" t="str">
            <v>Kartika cell</v>
          </cell>
        </row>
        <row r="1760">
          <cell r="B1760">
            <v>17373335</v>
          </cell>
          <cell r="C1760" t="str">
            <v>GALERY CELL</v>
          </cell>
        </row>
        <row r="1761">
          <cell r="B1761">
            <v>17703411</v>
          </cell>
          <cell r="C1761" t="str">
            <v>ELLISATTA POINT</v>
          </cell>
        </row>
        <row r="1762">
          <cell r="B1762">
            <v>17371794</v>
          </cell>
          <cell r="C1762" t="str">
            <v>ALFARIZI CELL</v>
          </cell>
        </row>
        <row r="1763">
          <cell r="B1763">
            <v>17541992</v>
          </cell>
          <cell r="C1763" t="str">
            <v>Alfarizi Cell 2</v>
          </cell>
        </row>
        <row r="1764">
          <cell r="B1764">
            <v>17449317</v>
          </cell>
          <cell r="C1764" t="str">
            <v>FIQ CELL</v>
          </cell>
        </row>
        <row r="1765">
          <cell r="B1765">
            <v>720661</v>
          </cell>
          <cell r="C1765" t="str">
            <v>ANUGRAH CELL</v>
          </cell>
        </row>
        <row r="1766">
          <cell r="B1766">
            <v>17493618</v>
          </cell>
          <cell r="C1766" t="str">
            <v>Lalang</v>
          </cell>
        </row>
        <row r="1767">
          <cell r="B1767">
            <v>17534940</v>
          </cell>
          <cell r="C1767" t="str">
            <v>Lodaya pulsa</v>
          </cell>
        </row>
        <row r="1768">
          <cell r="B1768">
            <v>17288557</v>
          </cell>
          <cell r="C1768" t="str">
            <v>MZKG CELL</v>
          </cell>
        </row>
        <row r="1769">
          <cell r="B1769">
            <v>17708006</v>
          </cell>
          <cell r="C1769" t="str">
            <v>Phone cell</v>
          </cell>
        </row>
        <row r="1770">
          <cell r="B1770">
            <v>17541626</v>
          </cell>
          <cell r="C1770" t="str">
            <v>ABM cell</v>
          </cell>
        </row>
        <row r="1771">
          <cell r="B1771">
            <v>1288582</v>
          </cell>
          <cell r="C1771" t="str">
            <v>BABA CELL</v>
          </cell>
        </row>
        <row r="1772">
          <cell r="B1772">
            <v>17530423</v>
          </cell>
          <cell r="C1772" t="str">
            <v>Mugia cell</v>
          </cell>
        </row>
        <row r="1773">
          <cell r="B1773">
            <v>1343315</v>
          </cell>
          <cell r="C1773" t="str">
            <v>ANUGRAH CELL 02</v>
          </cell>
        </row>
        <row r="1774">
          <cell r="B1774">
            <v>1354810</v>
          </cell>
          <cell r="C1774" t="str">
            <v>RISA CELL</v>
          </cell>
        </row>
        <row r="1775">
          <cell r="B1775">
            <v>17383558</v>
          </cell>
          <cell r="C1775" t="str">
            <v>Sahabat cell</v>
          </cell>
        </row>
        <row r="1776">
          <cell r="B1776">
            <v>1456429</v>
          </cell>
          <cell r="C1776" t="str">
            <v>SH CELL</v>
          </cell>
        </row>
        <row r="1777">
          <cell r="B1777">
            <v>17401302</v>
          </cell>
          <cell r="C1777" t="str">
            <v>Shanum cell</v>
          </cell>
        </row>
        <row r="1778">
          <cell r="B1778">
            <v>1540804</v>
          </cell>
          <cell r="C1778" t="str">
            <v>WATER CELL 2</v>
          </cell>
        </row>
        <row r="1779">
          <cell r="B1779">
            <v>17355365</v>
          </cell>
          <cell r="C1779" t="str">
            <v>ZAHRA CELL</v>
          </cell>
        </row>
        <row r="1780">
          <cell r="B1780">
            <v>17141796</v>
          </cell>
          <cell r="C1780" t="str">
            <v>ZIO CELL</v>
          </cell>
        </row>
        <row r="1781">
          <cell r="B1781">
            <v>17707704</v>
          </cell>
          <cell r="C1781" t="str">
            <v>R CELL</v>
          </cell>
        </row>
        <row r="1782">
          <cell r="B1782">
            <v>17707709</v>
          </cell>
          <cell r="C1782" t="str">
            <v>JERI CELL</v>
          </cell>
        </row>
        <row r="1783">
          <cell r="B1783">
            <v>17675485</v>
          </cell>
          <cell r="C1783" t="str">
            <v>WP-SYIFA APRILIA</v>
          </cell>
        </row>
        <row r="1784">
          <cell r="B1784">
            <v>17715504</v>
          </cell>
          <cell r="C1784" t="str">
            <v>MJM CELL</v>
          </cell>
        </row>
        <row r="1785">
          <cell r="B1785">
            <v>1551291</v>
          </cell>
          <cell r="C1785" t="str">
            <v>666 PHONESHOP</v>
          </cell>
        </row>
        <row r="1786">
          <cell r="B1786">
            <v>17708272</v>
          </cell>
          <cell r="C1786" t="str">
            <v>arka cell 1</v>
          </cell>
        </row>
        <row r="1787">
          <cell r="B1787">
            <v>1293366</v>
          </cell>
          <cell r="C1787" t="str">
            <v>ROY CELL</v>
          </cell>
        </row>
        <row r="1788">
          <cell r="B1788">
            <v>687494</v>
          </cell>
          <cell r="C1788" t="str">
            <v>RUBY2 CELL</v>
          </cell>
        </row>
        <row r="1789">
          <cell r="B1789">
            <v>1563154</v>
          </cell>
          <cell r="C1789" t="str">
            <v>Siliwangi Center</v>
          </cell>
        </row>
        <row r="1790">
          <cell r="B1790">
            <v>964078</v>
          </cell>
          <cell r="C1790" t="str">
            <v>YOLAND CELL</v>
          </cell>
        </row>
        <row r="1791">
          <cell r="B1791">
            <v>913975</v>
          </cell>
          <cell r="C1791" t="str">
            <v>Zahwa cell</v>
          </cell>
        </row>
        <row r="1792">
          <cell r="B1792">
            <v>17244363</v>
          </cell>
          <cell r="C1792" t="str">
            <v>Zia cell</v>
          </cell>
        </row>
        <row r="1793">
          <cell r="B1793">
            <v>17189070</v>
          </cell>
          <cell r="C1793" t="str">
            <v>Recka Cell</v>
          </cell>
        </row>
        <row r="1794">
          <cell r="B1794">
            <v>17220278</v>
          </cell>
          <cell r="C1794" t="str">
            <v>REVAN CELL</v>
          </cell>
        </row>
        <row r="1795">
          <cell r="B1795">
            <v>963671</v>
          </cell>
          <cell r="C1795" t="str">
            <v>IBU CELL</v>
          </cell>
        </row>
        <row r="1796">
          <cell r="B1796">
            <v>1557904</v>
          </cell>
          <cell r="C1796" t="str">
            <v>MAYORET CELL</v>
          </cell>
        </row>
        <row r="1797">
          <cell r="B1797">
            <v>1333482</v>
          </cell>
          <cell r="C1797" t="str">
            <v>BERKAH CELL2</v>
          </cell>
        </row>
        <row r="1798">
          <cell r="B1798">
            <v>17686738</v>
          </cell>
          <cell r="C1798" t="str">
            <v>Arsal cell</v>
          </cell>
        </row>
        <row r="1799">
          <cell r="B1799">
            <v>17707486</v>
          </cell>
          <cell r="C1799" t="str">
            <v>KHANZA CELL</v>
          </cell>
        </row>
        <row r="1800">
          <cell r="B1800">
            <v>17707847</v>
          </cell>
          <cell r="C1800" t="str">
            <v>IDOLA CELL</v>
          </cell>
        </row>
        <row r="1801">
          <cell r="B1801">
            <v>17175999</v>
          </cell>
          <cell r="C1801" t="str">
            <v>WIE Cell</v>
          </cell>
        </row>
        <row r="1802">
          <cell r="B1802">
            <v>1527547</v>
          </cell>
          <cell r="C1802" t="str">
            <v>RIKA CELL</v>
          </cell>
        </row>
        <row r="1803">
          <cell r="B1803">
            <v>1305473</v>
          </cell>
          <cell r="C1803" t="str">
            <v>BUL BUL CELL</v>
          </cell>
        </row>
        <row r="1804">
          <cell r="B1804">
            <v>17432078</v>
          </cell>
          <cell r="C1804" t="str">
            <v>GUDANG PULSA CELL</v>
          </cell>
        </row>
        <row r="1805">
          <cell r="B1805">
            <v>1401941</v>
          </cell>
          <cell r="C1805" t="str">
            <v>KAKA CELL</v>
          </cell>
        </row>
        <row r="1806">
          <cell r="B1806">
            <v>17214007</v>
          </cell>
          <cell r="C1806" t="str">
            <v>THEPONK CELL</v>
          </cell>
        </row>
        <row r="1807">
          <cell r="B1807">
            <v>17267412</v>
          </cell>
          <cell r="C1807" t="str">
            <v>TOKO BAROKAH</v>
          </cell>
        </row>
        <row r="1808">
          <cell r="B1808">
            <v>17688900</v>
          </cell>
          <cell r="C1808" t="str">
            <v>ABANG CELL</v>
          </cell>
        </row>
        <row r="1809">
          <cell r="B1809">
            <v>17707581</v>
          </cell>
          <cell r="C1809" t="str">
            <v>RAJA CELL</v>
          </cell>
        </row>
        <row r="1810">
          <cell r="B1810">
            <v>17707833</v>
          </cell>
          <cell r="C1810" t="str">
            <v>ME KOMUNIKA CELL</v>
          </cell>
        </row>
        <row r="1811">
          <cell r="B1811">
            <v>17709042</v>
          </cell>
          <cell r="C1811" t="str">
            <v>RR CELL</v>
          </cell>
        </row>
        <row r="1812">
          <cell r="B1812">
            <v>17715171</v>
          </cell>
          <cell r="C1812" t="str">
            <v>KONTER PULSA CABANG 4</v>
          </cell>
        </row>
        <row r="1813">
          <cell r="B1813">
            <v>17716013</v>
          </cell>
          <cell r="C1813" t="str">
            <v>RIVAN CELL</v>
          </cell>
        </row>
        <row r="1814">
          <cell r="B1814">
            <v>1288581</v>
          </cell>
          <cell r="C1814" t="str">
            <v>BEDENG CELL</v>
          </cell>
        </row>
        <row r="1815">
          <cell r="B1815">
            <v>17269202</v>
          </cell>
          <cell r="C1815" t="str">
            <v>D2 Reload</v>
          </cell>
        </row>
        <row r="1816">
          <cell r="B1816">
            <v>17263374</v>
          </cell>
          <cell r="C1816" t="str">
            <v>Navisa cell</v>
          </cell>
        </row>
        <row r="1817">
          <cell r="B1817">
            <v>17712896</v>
          </cell>
          <cell r="C1817" t="str">
            <v>Cod 21 cell mts</v>
          </cell>
        </row>
        <row r="1818">
          <cell r="B1818">
            <v>17708255</v>
          </cell>
          <cell r="C1818" t="str">
            <v>NAURA CELL</v>
          </cell>
        </row>
        <row r="1819">
          <cell r="B1819">
            <v>17708248</v>
          </cell>
          <cell r="C1819" t="str">
            <v>NAUVAL CELL</v>
          </cell>
        </row>
        <row r="1820">
          <cell r="B1820">
            <v>17248559</v>
          </cell>
          <cell r="C1820" t="str">
            <v>KOMUNIKA CELL</v>
          </cell>
        </row>
        <row r="1821">
          <cell r="B1821">
            <v>1307634</v>
          </cell>
          <cell r="C1821" t="str">
            <v>NEO CELL</v>
          </cell>
        </row>
        <row r="1822">
          <cell r="B1822">
            <v>17248488</v>
          </cell>
          <cell r="C1822" t="str">
            <v>ABDAL CELL</v>
          </cell>
        </row>
        <row r="1823">
          <cell r="B1823">
            <v>1307635</v>
          </cell>
          <cell r="C1823" t="str">
            <v>DAFF CELL</v>
          </cell>
        </row>
        <row r="1824">
          <cell r="B1824">
            <v>572536</v>
          </cell>
          <cell r="C1824" t="str">
            <v>REZKYU</v>
          </cell>
        </row>
        <row r="1825">
          <cell r="B1825">
            <v>17459718</v>
          </cell>
          <cell r="C1825" t="str">
            <v>Via 2cell</v>
          </cell>
        </row>
        <row r="1826">
          <cell r="B1826">
            <v>17183267</v>
          </cell>
          <cell r="C1826" t="str">
            <v>Via cell</v>
          </cell>
        </row>
        <row r="1827">
          <cell r="B1827">
            <v>17598331</v>
          </cell>
          <cell r="C1827" t="str">
            <v>Zurra cell</v>
          </cell>
        </row>
        <row r="1828">
          <cell r="B1828">
            <v>17705708</v>
          </cell>
          <cell r="C1828" t="str">
            <v>Surya cell</v>
          </cell>
        </row>
        <row r="1829">
          <cell r="B1829">
            <v>1384489</v>
          </cell>
          <cell r="C1829" t="str">
            <v>Natasya Cell</v>
          </cell>
        </row>
        <row r="1830">
          <cell r="B1830">
            <v>17710105</v>
          </cell>
          <cell r="C1830" t="str">
            <v>Cep habulloh cell</v>
          </cell>
        </row>
        <row r="1831">
          <cell r="B1831">
            <v>17715587</v>
          </cell>
          <cell r="C1831" t="str">
            <v>Arsil cell 2</v>
          </cell>
        </row>
        <row r="1832">
          <cell r="B1832">
            <v>1368491</v>
          </cell>
          <cell r="C1832" t="str">
            <v>SATRIA CELL</v>
          </cell>
        </row>
        <row r="1833">
          <cell r="B1833">
            <v>17381765</v>
          </cell>
          <cell r="C1833" t="str">
            <v>SAWITRI CELL 2</v>
          </cell>
        </row>
        <row r="1834">
          <cell r="B1834">
            <v>1371744</v>
          </cell>
          <cell r="C1834" t="str">
            <v>Treea cell</v>
          </cell>
        </row>
        <row r="1835">
          <cell r="B1835">
            <v>1358897</v>
          </cell>
          <cell r="C1835" t="str">
            <v>Very cell</v>
          </cell>
        </row>
        <row r="1836">
          <cell r="B1836">
            <v>17445259</v>
          </cell>
          <cell r="C1836" t="str">
            <v>WANDA CELL</v>
          </cell>
        </row>
        <row r="1837">
          <cell r="B1837">
            <v>1509789</v>
          </cell>
          <cell r="C1837" t="str">
            <v>ZAFHIRA 3 CELL</v>
          </cell>
        </row>
        <row r="1838">
          <cell r="B1838">
            <v>17242936</v>
          </cell>
          <cell r="C1838" t="str">
            <v>TANICS CELL</v>
          </cell>
        </row>
        <row r="1839">
          <cell r="B1839">
            <v>17618567</v>
          </cell>
          <cell r="C1839" t="str">
            <v>silva cell</v>
          </cell>
        </row>
        <row r="1840">
          <cell r="B1840">
            <v>17708177</v>
          </cell>
          <cell r="C1840" t="str">
            <v>RYC CELL</v>
          </cell>
        </row>
        <row r="1841">
          <cell r="B1841">
            <v>17708181</v>
          </cell>
          <cell r="C1841" t="str">
            <v>NN CELLULAR</v>
          </cell>
        </row>
        <row r="1842">
          <cell r="B1842">
            <v>17708186</v>
          </cell>
          <cell r="C1842" t="str">
            <v>Berkah cell</v>
          </cell>
        </row>
        <row r="1843">
          <cell r="B1843">
            <v>17708191</v>
          </cell>
          <cell r="C1843" t="str">
            <v>Enci cell</v>
          </cell>
        </row>
        <row r="1844">
          <cell r="B1844">
            <v>17715593</v>
          </cell>
          <cell r="C1844" t="str">
            <v>Okiyah cell</v>
          </cell>
        </row>
        <row r="1845">
          <cell r="B1845">
            <v>17276799</v>
          </cell>
          <cell r="C1845" t="str">
            <v>PURNAMA CELL CINAGEN</v>
          </cell>
        </row>
        <row r="1846">
          <cell r="B1846">
            <v>17541590</v>
          </cell>
          <cell r="C1846" t="str">
            <v>Ayunda cell</v>
          </cell>
        </row>
        <row r="1847">
          <cell r="B1847">
            <v>17449412</v>
          </cell>
          <cell r="C1847" t="str">
            <v>TOKO LALA</v>
          </cell>
        </row>
        <row r="1848">
          <cell r="B1848">
            <v>518025</v>
          </cell>
          <cell r="C1848" t="str">
            <v>DELTA CELL</v>
          </cell>
        </row>
        <row r="1849">
          <cell r="B1849">
            <v>17355712</v>
          </cell>
          <cell r="C1849" t="str">
            <v>HAMDAN CELL</v>
          </cell>
        </row>
        <row r="1850">
          <cell r="B1850">
            <v>17443490</v>
          </cell>
          <cell r="C1850" t="str">
            <v>SONY CELL</v>
          </cell>
        </row>
        <row r="1851">
          <cell r="B1851">
            <v>17466527</v>
          </cell>
          <cell r="C1851" t="str">
            <v>Suarna cell</v>
          </cell>
        </row>
        <row r="1852">
          <cell r="B1852">
            <v>17430655</v>
          </cell>
          <cell r="C1852" t="str">
            <v>TEDIE CELL</v>
          </cell>
        </row>
        <row r="1853">
          <cell r="B1853">
            <v>17466538</v>
          </cell>
          <cell r="C1853" t="str">
            <v>Mecca cell</v>
          </cell>
        </row>
        <row r="1854">
          <cell r="B1854">
            <v>17708530</v>
          </cell>
          <cell r="C1854" t="str">
            <v>supriatna cell</v>
          </cell>
        </row>
        <row r="1855">
          <cell r="B1855">
            <v>17710376</v>
          </cell>
          <cell r="C1855" t="str">
            <v>Asep brilink</v>
          </cell>
        </row>
        <row r="1856">
          <cell r="B1856">
            <v>17716121</v>
          </cell>
          <cell r="C1856" t="str">
            <v>Satria cell</v>
          </cell>
        </row>
        <row r="1857">
          <cell r="B1857">
            <v>17235862</v>
          </cell>
          <cell r="C1857" t="str">
            <v>Global cell</v>
          </cell>
        </row>
        <row r="1858">
          <cell r="B1858">
            <v>17278678</v>
          </cell>
          <cell r="C1858" t="str">
            <v>SARJANA CELL</v>
          </cell>
        </row>
        <row r="1859">
          <cell r="B1859">
            <v>625962</v>
          </cell>
          <cell r="C1859" t="str">
            <v>23 CELL</v>
          </cell>
        </row>
        <row r="1860">
          <cell r="B1860">
            <v>1293350</v>
          </cell>
          <cell r="C1860" t="str">
            <v>FAHET CELL</v>
          </cell>
        </row>
        <row r="1861">
          <cell r="B1861">
            <v>17407018</v>
          </cell>
          <cell r="C1861" t="str">
            <v>IBANK CELL</v>
          </cell>
        </row>
        <row r="1862">
          <cell r="B1862">
            <v>17355768</v>
          </cell>
          <cell r="C1862" t="str">
            <v>Links cell</v>
          </cell>
        </row>
        <row r="1863">
          <cell r="B1863">
            <v>17255950</v>
          </cell>
          <cell r="C1863" t="str">
            <v>Nabila Cell</v>
          </cell>
        </row>
        <row r="1864">
          <cell r="B1864">
            <v>17416187</v>
          </cell>
          <cell r="C1864" t="str">
            <v>PERDIS CELL</v>
          </cell>
        </row>
        <row r="1865">
          <cell r="B1865">
            <v>1293351</v>
          </cell>
          <cell r="C1865" t="str">
            <v>SAPUTRA CELL</v>
          </cell>
        </row>
        <row r="1866">
          <cell r="B1866">
            <v>17703377</v>
          </cell>
          <cell r="C1866" t="str">
            <v>AZKA CELL</v>
          </cell>
        </row>
        <row r="1867">
          <cell r="B1867">
            <v>17708449</v>
          </cell>
          <cell r="C1867" t="str">
            <v>zia cell</v>
          </cell>
        </row>
        <row r="1868">
          <cell r="B1868">
            <v>17443479</v>
          </cell>
          <cell r="C1868" t="str">
            <v>COD21 CELL</v>
          </cell>
        </row>
        <row r="1869">
          <cell r="B1869">
            <v>1293346</v>
          </cell>
          <cell r="C1869" t="str">
            <v>RTS CELL</v>
          </cell>
        </row>
        <row r="1870">
          <cell r="B1870">
            <v>1305545</v>
          </cell>
          <cell r="C1870" t="str">
            <v>SULIS CELLS</v>
          </cell>
        </row>
        <row r="1871">
          <cell r="B1871">
            <v>1306764</v>
          </cell>
          <cell r="C1871" t="str">
            <v>TREND CELL</v>
          </cell>
        </row>
        <row r="1872">
          <cell r="B1872">
            <v>17708326</v>
          </cell>
          <cell r="C1872" t="str">
            <v>ARLING CELL</v>
          </cell>
        </row>
        <row r="1873">
          <cell r="B1873">
            <v>17708531</v>
          </cell>
          <cell r="C1873" t="str">
            <v>AAQIL MIRAH CELL</v>
          </cell>
        </row>
        <row r="1874">
          <cell r="B1874">
            <v>17708532</v>
          </cell>
          <cell r="C1874" t="str">
            <v>RE PHONE STORE</v>
          </cell>
        </row>
        <row r="1875">
          <cell r="B1875">
            <v>17716942</v>
          </cell>
          <cell r="C1875" t="str">
            <v>BINTANG CELL</v>
          </cell>
        </row>
        <row r="1876">
          <cell r="B1876">
            <v>17717506</v>
          </cell>
          <cell r="C1876" t="str">
            <v>CYRA CELL</v>
          </cell>
        </row>
        <row r="1877">
          <cell r="B1877">
            <v>17718867</v>
          </cell>
          <cell r="C1877" t="str">
            <v>D and C CELL</v>
          </cell>
        </row>
        <row r="1878">
          <cell r="B1878">
            <v>17720020</v>
          </cell>
          <cell r="C1878" t="str">
            <v>Af Store</v>
          </cell>
        </row>
        <row r="1879">
          <cell r="B1879">
            <v>17720841</v>
          </cell>
          <cell r="C1879" t="str">
            <v>Elis cell</v>
          </cell>
        </row>
        <row r="1880">
          <cell r="B1880">
            <v>17721299</v>
          </cell>
          <cell r="C1880" t="str">
            <v>DERA HS CELL 2</v>
          </cell>
        </row>
        <row r="1881">
          <cell r="B1881">
            <v>17721369</v>
          </cell>
          <cell r="C1881" t="str">
            <v>Dalfa cell 2</v>
          </cell>
        </row>
        <row r="1882">
          <cell r="B1882">
            <v>17721822</v>
          </cell>
          <cell r="C1882" t="str">
            <v>Kenzie cell</v>
          </cell>
        </row>
        <row r="1883">
          <cell r="B1883">
            <v>17721919</v>
          </cell>
          <cell r="C1883" t="str">
            <v>Mk cell</v>
          </cell>
        </row>
        <row r="1884">
          <cell r="B1884">
            <v>17722174</v>
          </cell>
          <cell r="C1884" t="str">
            <v>Bijak Atk</v>
          </cell>
        </row>
        <row r="1885">
          <cell r="B1885">
            <v>17726241</v>
          </cell>
          <cell r="C1885" t="str">
            <v>Elzan cell</v>
          </cell>
        </row>
        <row r="1886">
          <cell r="B1886">
            <v>17729495</v>
          </cell>
          <cell r="C1886" t="str">
            <v>ARKHAN CELL</v>
          </cell>
        </row>
        <row r="1887">
          <cell r="B1887">
            <v>17729534</v>
          </cell>
          <cell r="C1887" t="str">
            <v>MILAN CELL</v>
          </cell>
        </row>
        <row r="1888">
          <cell r="B1888">
            <v>17729578</v>
          </cell>
          <cell r="C1888" t="str">
            <v>MULTIINET CELL</v>
          </cell>
        </row>
        <row r="1889">
          <cell r="B1889">
            <v>17729579</v>
          </cell>
          <cell r="C1889" t="str">
            <v>Mk cell</v>
          </cell>
        </row>
        <row r="1890">
          <cell r="B1890">
            <v>17729724</v>
          </cell>
          <cell r="C1890" t="str">
            <v>Dzikri Cell</v>
          </cell>
        </row>
        <row r="1891">
          <cell r="B1891">
            <v>17729801</v>
          </cell>
          <cell r="C1891" t="str">
            <v>Muharram cell</v>
          </cell>
        </row>
        <row r="1892">
          <cell r="B1892">
            <v>17729933</v>
          </cell>
          <cell r="C1892" t="str">
            <v>7 Celluler</v>
          </cell>
        </row>
        <row r="1893">
          <cell r="B1893">
            <v>17729948</v>
          </cell>
          <cell r="C1893" t="str">
            <v>Haiba Cell</v>
          </cell>
        </row>
        <row r="1894">
          <cell r="B1894">
            <v>17729985</v>
          </cell>
          <cell r="C1894" t="str">
            <v>KLIKCOM STORE</v>
          </cell>
        </row>
        <row r="1895">
          <cell r="B1895">
            <v>17730060</v>
          </cell>
          <cell r="C1895" t="str">
            <v>Rudi cell</v>
          </cell>
        </row>
        <row r="1896">
          <cell r="B1896">
            <v>17730071</v>
          </cell>
          <cell r="C1896" t="str">
            <v>Ns cell</v>
          </cell>
        </row>
        <row r="1897">
          <cell r="B1897">
            <v>17730616</v>
          </cell>
          <cell r="C1897" t="str">
            <v>AA SNACK CELL</v>
          </cell>
        </row>
        <row r="1898">
          <cell r="B1898">
            <v>17730676</v>
          </cell>
          <cell r="C1898" t="str">
            <v>Kayla cell</v>
          </cell>
        </row>
        <row r="1899">
          <cell r="B1899">
            <v>17730759</v>
          </cell>
          <cell r="C1899" t="str">
            <v>Haiba Cell</v>
          </cell>
        </row>
        <row r="1900">
          <cell r="B1900">
            <v>17730895</v>
          </cell>
          <cell r="C1900" t="str">
            <v>AL MANDIRI CELL</v>
          </cell>
        </row>
        <row r="1901">
          <cell r="B1901">
            <v>17730961</v>
          </cell>
          <cell r="C1901" t="str">
            <v>AUNI CELL</v>
          </cell>
        </row>
        <row r="1902">
          <cell r="B1902">
            <v>17731007</v>
          </cell>
          <cell r="C1902" t="str">
            <v>Sahla cell</v>
          </cell>
        </row>
        <row r="1903">
          <cell r="B1903">
            <v>17731089</v>
          </cell>
          <cell r="C1903" t="str">
            <v>Enjoy cell</v>
          </cell>
        </row>
        <row r="1904">
          <cell r="B1904">
            <v>17731100</v>
          </cell>
          <cell r="C1904" t="str">
            <v>Safari cell</v>
          </cell>
        </row>
        <row r="1905">
          <cell r="B1905">
            <v>17731229</v>
          </cell>
          <cell r="C1905" t="str">
            <v>Biru cell</v>
          </cell>
        </row>
        <row r="1906">
          <cell r="B1906">
            <v>17731617</v>
          </cell>
          <cell r="C1906" t="str">
            <v>Nurjaman Cell</v>
          </cell>
        </row>
        <row r="1907">
          <cell r="B1907">
            <v>17731621</v>
          </cell>
          <cell r="C1907" t="str">
            <v>RUHIYYAH CELL</v>
          </cell>
        </row>
        <row r="1908">
          <cell r="B1908">
            <v>17731623</v>
          </cell>
          <cell r="C1908" t="str">
            <v>KIBOU CELL</v>
          </cell>
        </row>
        <row r="1909">
          <cell r="B1909">
            <v>17732019</v>
          </cell>
          <cell r="C1909" t="str">
            <v>SYAFIQ KAYZAN CELL</v>
          </cell>
        </row>
        <row r="1910">
          <cell r="B1910">
            <v>17731660</v>
          </cell>
          <cell r="C1910" t="str">
            <v>Naila cell</v>
          </cell>
        </row>
        <row r="1911">
          <cell r="B1911">
            <v>17733587</v>
          </cell>
          <cell r="C1911" t="str">
            <v>Yuni Cell</v>
          </cell>
        </row>
        <row r="1912">
          <cell r="B1912">
            <v>17733854</v>
          </cell>
          <cell r="C1912" t="str">
            <v>Nadia Pay Brilink 1</v>
          </cell>
        </row>
        <row r="1913">
          <cell r="B1913">
            <v>17733857</v>
          </cell>
          <cell r="C1913" t="str">
            <v>Nadia Pay Brilink 2</v>
          </cell>
        </row>
        <row r="1914">
          <cell r="B1914">
            <v>17733859</v>
          </cell>
          <cell r="C1914" t="str">
            <v>Nadia Pay Brilink 3</v>
          </cell>
        </row>
        <row r="1915">
          <cell r="B1915">
            <v>17735002</v>
          </cell>
          <cell r="C1915" t="str">
            <v>DEDE CELL</v>
          </cell>
        </row>
        <row r="1916">
          <cell r="B1916">
            <v>17735090</v>
          </cell>
          <cell r="C1916" t="str">
            <v>Alghar cell</v>
          </cell>
        </row>
        <row r="1917">
          <cell r="B1917">
            <v>17735264</v>
          </cell>
          <cell r="C1917" t="str">
            <v>Cylla cell</v>
          </cell>
        </row>
        <row r="1918">
          <cell r="B1918">
            <v>17736920</v>
          </cell>
          <cell r="C1918" t="str">
            <v>Reza cell</v>
          </cell>
        </row>
        <row r="1919">
          <cell r="B1919">
            <v>17736998</v>
          </cell>
          <cell r="C1919" t="str">
            <v>NAALISNA CELL</v>
          </cell>
        </row>
        <row r="1920">
          <cell r="B1920">
            <v>17737040</v>
          </cell>
          <cell r="C1920" t="str">
            <v>Alvinotech</v>
          </cell>
        </row>
        <row r="1921">
          <cell r="B1921">
            <v>17737072</v>
          </cell>
          <cell r="C1921" t="str">
            <v>KAPTEN CELL</v>
          </cell>
        </row>
        <row r="1922">
          <cell r="B1922">
            <v>17737297</v>
          </cell>
          <cell r="C1922" t="str">
            <v>LB CELL</v>
          </cell>
        </row>
        <row r="1923">
          <cell r="B1923">
            <v>17737581</v>
          </cell>
          <cell r="C1923" t="str">
            <v>Arrumi cell</v>
          </cell>
        </row>
        <row r="1924">
          <cell r="B1924">
            <v>17738627</v>
          </cell>
          <cell r="C1924" t="str">
            <v>Ryuga cell</v>
          </cell>
        </row>
        <row r="1925">
          <cell r="B1925">
            <v>17738912</v>
          </cell>
          <cell r="C1925" t="str">
            <v>INDRI CELL</v>
          </cell>
        </row>
        <row r="1926">
          <cell r="B1926">
            <v>17738858</v>
          </cell>
          <cell r="C1926" t="str">
            <v>08 CELL</v>
          </cell>
        </row>
        <row r="1927">
          <cell r="B1927">
            <v>17739005</v>
          </cell>
          <cell r="C1927" t="str">
            <v>R A C STORE</v>
          </cell>
        </row>
        <row r="1928">
          <cell r="B1928">
            <v>17740165</v>
          </cell>
          <cell r="C1928" t="str">
            <v>HOME CELL</v>
          </cell>
        </row>
        <row r="1929">
          <cell r="B1929">
            <v>17742096</v>
          </cell>
          <cell r="C1929" t="str">
            <v>ZAFIRA CELL</v>
          </cell>
        </row>
        <row r="1930">
          <cell r="B1930">
            <v>17742474</v>
          </cell>
          <cell r="C1930" t="str">
            <v>ELZAN CELL II</v>
          </cell>
        </row>
        <row r="1931">
          <cell r="B1931">
            <v>17743021</v>
          </cell>
          <cell r="C1931" t="str">
            <v>NADHIFA CELL</v>
          </cell>
        </row>
        <row r="1932">
          <cell r="B1932">
            <v>17743027</v>
          </cell>
          <cell r="C1932" t="str">
            <v>FiITRI CELL</v>
          </cell>
        </row>
        <row r="1933">
          <cell r="B1933">
            <v>17743461</v>
          </cell>
          <cell r="C1933" t="str">
            <v>Riska cell</v>
          </cell>
        </row>
        <row r="1934">
          <cell r="B1934">
            <v>17743509</v>
          </cell>
          <cell r="C1934" t="str">
            <v>MF Cell</v>
          </cell>
        </row>
        <row r="1935">
          <cell r="B1935">
            <v>17743679</v>
          </cell>
          <cell r="C1935" t="str">
            <v>PITRIANA CELL</v>
          </cell>
        </row>
        <row r="1936">
          <cell r="B1936">
            <v>17395599</v>
          </cell>
          <cell r="C1936" t="str">
            <v>AGHIRA Cell</v>
          </cell>
        </row>
        <row r="1937">
          <cell r="B1937">
            <v>17472458</v>
          </cell>
          <cell r="C1937" t="str">
            <v>Jaya Phone</v>
          </cell>
        </row>
        <row r="1938">
          <cell r="B1938">
            <v>17185912</v>
          </cell>
          <cell r="C1938" t="str">
            <v>Arlugea store</v>
          </cell>
        </row>
        <row r="1939">
          <cell r="B1939">
            <v>17230362</v>
          </cell>
          <cell r="C1939" t="str">
            <v>ThreeBoys Cell</v>
          </cell>
        </row>
        <row r="1940">
          <cell r="B1940">
            <v>17689879</v>
          </cell>
          <cell r="C1940" t="str">
            <v>Wp Alvi jaya</v>
          </cell>
        </row>
        <row r="1941">
          <cell r="B1941">
            <v>17689885</v>
          </cell>
          <cell r="C1941" t="str">
            <v>Wp Java</v>
          </cell>
        </row>
        <row r="1942">
          <cell r="B1942">
            <v>795541</v>
          </cell>
          <cell r="C1942" t="str">
            <v>BERKAH CELL</v>
          </cell>
        </row>
        <row r="1943">
          <cell r="B1943">
            <v>1504722</v>
          </cell>
          <cell r="C1943" t="str">
            <v>FAREL CELL 3</v>
          </cell>
        </row>
        <row r="1944">
          <cell r="B1944">
            <v>17618485</v>
          </cell>
          <cell r="C1944" t="str">
            <v>attack cell</v>
          </cell>
        </row>
        <row r="1945">
          <cell r="B1945">
            <v>17618393</v>
          </cell>
          <cell r="C1945" t="str">
            <v>pulsa plus</v>
          </cell>
        </row>
        <row r="1946">
          <cell r="B1946">
            <v>17618761</v>
          </cell>
          <cell r="C1946" t="str">
            <v>dapur halo</v>
          </cell>
        </row>
        <row r="1947">
          <cell r="B1947">
            <v>17618788</v>
          </cell>
          <cell r="C1947" t="str">
            <v>heart cell</v>
          </cell>
        </row>
        <row r="1948">
          <cell r="B1948">
            <v>17618417</v>
          </cell>
          <cell r="C1948" t="str">
            <v>dokter hp</v>
          </cell>
        </row>
        <row r="1949">
          <cell r="B1949">
            <v>17618750</v>
          </cell>
          <cell r="C1949" t="str">
            <v>indo cell</v>
          </cell>
        </row>
        <row r="1950">
          <cell r="B1950">
            <v>17618729</v>
          </cell>
          <cell r="C1950" t="str">
            <v>speed cell</v>
          </cell>
        </row>
        <row r="1951">
          <cell r="B1951">
            <v>17618522</v>
          </cell>
          <cell r="C1951" t="str">
            <v>all in pulsa</v>
          </cell>
        </row>
        <row r="1952">
          <cell r="B1952">
            <v>17618506</v>
          </cell>
          <cell r="C1952" t="str">
            <v>ipk cell</v>
          </cell>
        </row>
        <row r="1953">
          <cell r="B1953">
            <v>17618793</v>
          </cell>
          <cell r="C1953" t="str">
            <v>golden pulsa</v>
          </cell>
        </row>
        <row r="1954">
          <cell r="B1954">
            <v>17399553</v>
          </cell>
          <cell r="C1954" t="str">
            <v>Jaya cell</v>
          </cell>
        </row>
        <row r="1955">
          <cell r="B1955">
            <v>17618406</v>
          </cell>
          <cell r="C1955" t="str">
            <v>rizsal cell</v>
          </cell>
        </row>
        <row r="1956">
          <cell r="B1956">
            <v>17473123</v>
          </cell>
          <cell r="C1956" t="str">
            <v>Garuda</v>
          </cell>
        </row>
        <row r="1957">
          <cell r="B1957">
            <v>17459729</v>
          </cell>
          <cell r="C1957" t="str">
            <v>Pabuaran cell</v>
          </cell>
        </row>
        <row r="1958">
          <cell r="B1958">
            <v>17473119</v>
          </cell>
          <cell r="C1958" t="str">
            <v>Rogali</v>
          </cell>
        </row>
        <row r="1959">
          <cell r="B1959">
            <v>17648228</v>
          </cell>
          <cell r="C1959" t="str">
            <v>Abi cell</v>
          </cell>
        </row>
        <row r="1960">
          <cell r="B1960">
            <v>17648230</v>
          </cell>
          <cell r="C1960" t="str">
            <v>SSH</v>
          </cell>
        </row>
        <row r="1961">
          <cell r="B1961">
            <v>17648233</v>
          </cell>
          <cell r="C1961" t="str">
            <v>TTH</v>
          </cell>
        </row>
        <row r="1962">
          <cell r="B1962">
            <v>17648236</v>
          </cell>
          <cell r="C1962" t="str">
            <v>RM cell</v>
          </cell>
        </row>
        <row r="1963">
          <cell r="B1963">
            <v>17648237</v>
          </cell>
          <cell r="C1963" t="str">
            <v>KMS</v>
          </cell>
        </row>
        <row r="1964">
          <cell r="B1964">
            <v>17686569</v>
          </cell>
          <cell r="C1964" t="str">
            <v>Wp Iwan</v>
          </cell>
        </row>
        <row r="1965">
          <cell r="B1965">
            <v>17473108</v>
          </cell>
          <cell r="C1965" t="str">
            <v>Alodia</v>
          </cell>
        </row>
        <row r="1966">
          <cell r="B1966">
            <v>17640029</v>
          </cell>
          <cell r="C1966" t="str">
            <v>laris cell</v>
          </cell>
        </row>
        <row r="1967">
          <cell r="B1967">
            <v>17652164</v>
          </cell>
          <cell r="C1967" t="str">
            <v>RH Cell</v>
          </cell>
        </row>
        <row r="1968">
          <cell r="B1968">
            <v>17590532</v>
          </cell>
          <cell r="C1968" t="str">
            <v>NB cell</v>
          </cell>
        </row>
        <row r="1969">
          <cell r="B1969">
            <v>17589944</v>
          </cell>
          <cell r="C1969" t="str">
            <v>Tecno cell</v>
          </cell>
        </row>
        <row r="1970">
          <cell r="B1970">
            <v>17616527</v>
          </cell>
          <cell r="C1970" t="str">
            <v>Simple phone.net</v>
          </cell>
        </row>
        <row r="1971">
          <cell r="B1971">
            <v>17615980</v>
          </cell>
          <cell r="C1971" t="str">
            <v>SARUA Cell</v>
          </cell>
        </row>
        <row r="1972">
          <cell r="B1972">
            <v>1556623</v>
          </cell>
          <cell r="C1972" t="str">
            <v>AL MANDIRI CELL</v>
          </cell>
        </row>
        <row r="1973">
          <cell r="B1973">
            <v>17448324</v>
          </cell>
          <cell r="C1973" t="str">
            <v>Dian barito cell</v>
          </cell>
        </row>
        <row r="1974">
          <cell r="B1974">
            <v>17289540</v>
          </cell>
          <cell r="C1974" t="str">
            <v>Dila cell</v>
          </cell>
        </row>
        <row r="1975">
          <cell r="B1975">
            <v>1559327</v>
          </cell>
          <cell r="C1975" t="str">
            <v>dzaki cell</v>
          </cell>
        </row>
        <row r="1976">
          <cell r="B1976">
            <v>17197757</v>
          </cell>
          <cell r="C1976" t="str">
            <v>GIAN ABDULLAH CELL</v>
          </cell>
        </row>
        <row r="1977">
          <cell r="B1977">
            <v>17434826</v>
          </cell>
          <cell r="C1977" t="str">
            <v>Gilang Cell 3</v>
          </cell>
        </row>
        <row r="1978">
          <cell r="B1978">
            <v>17203837</v>
          </cell>
          <cell r="C1978" t="str">
            <v>IDOLA CELL</v>
          </cell>
        </row>
        <row r="1979">
          <cell r="B1979">
            <v>17437773</v>
          </cell>
          <cell r="C1979" t="str">
            <v>Kimo stor</v>
          </cell>
        </row>
        <row r="1980">
          <cell r="B1980">
            <v>17234805</v>
          </cell>
          <cell r="C1980" t="str">
            <v>MHIKA CELL</v>
          </cell>
        </row>
        <row r="1981">
          <cell r="B1981">
            <v>17473105</v>
          </cell>
          <cell r="C1981" t="str">
            <v>Nabil cell</v>
          </cell>
        </row>
        <row r="1982">
          <cell r="B1982">
            <v>1287411</v>
          </cell>
          <cell r="C1982" t="str">
            <v>SCREEN CELL</v>
          </cell>
        </row>
        <row r="1983">
          <cell r="B1983">
            <v>1306929</v>
          </cell>
          <cell r="C1983" t="str">
            <v>SM 3 CELL</v>
          </cell>
        </row>
        <row r="1984">
          <cell r="B1984">
            <v>17218897</v>
          </cell>
          <cell r="C1984" t="str">
            <v>SOFYAN CELL</v>
          </cell>
        </row>
        <row r="1985">
          <cell r="B1985">
            <v>17431650</v>
          </cell>
          <cell r="C1985" t="str">
            <v>ZFN CELL</v>
          </cell>
        </row>
        <row r="1986">
          <cell r="B1986">
            <v>17269022</v>
          </cell>
          <cell r="C1986" t="str">
            <v>DIGI CELL</v>
          </cell>
        </row>
        <row r="1987">
          <cell r="B1987">
            <v>17635767</v>
          </cell>
          <cell r="C1987" t="str">
            <v>Betun cell</v>
          </cell>
        </row>
        <row r="1988">
          <cell r="B1988">
            <v>17702559</v>
          </cell>
          <cell r="C1988" t="str">
            <v>WP - Ida Parwati</v>
          </cell>
        </row>
        <row r="1989">
          <cell r="B1989">
            <v>17725125</v>
          </cell>
          <cell r="C1989" t="str">
            <v>ELSA CELL</v>
          </cell>
        </row>
        <row r="1990">
          <cell r="B1990">
            <v>17728380</v>
          </cell>
          <cell r="C1990" t="str">
            <v>AGEN TERMINAL SAGARANTEN</v>
          </cell>
        </row>
        <row r="1991">
          <cell r="B1991">
            <v>17139620</v>
          </cell>
          <cell r="C1991" t="str">
            <v>SBL STORE</v>
          </cell>
        </row>
        <row r="1992">
          <cell r="B1992">
            <v>17187491</v>
          </cell>
          <cell r="C1992" t="str">
            <v>AL PIKRI CELL</v>
          </cell>
        </row>
        <row r="1993">
          <cell r="B1993">
            <v>17263269</v>
          </cell>
          <cell r="C1993" t="str">
            <v>AHMAD CELL</v>
          </cell>
        </row>
        <row r="1994">
          <cell r="B1994">
            <v>17264279</v>
          </cell>
          <cell r="C1994" t="str">
            <v>TOKO ATING CELL</v>
          </cell>
        </row>
        <row r="1995">
          <cell r="B1995">
            <v>17189556</v>
          </cell>
          <cell r="C1995" t="str">
            <v>Rani cell</v>
          </cell>
        </row>
        <row r="1996">
          <cell r="B1996">
            <v>17249588</v>
          </cell>
          <cell r="C1996" t="str">
            <v>Callista cellular</v>
          </cell>
        </row>
        <row r="1997">
          <cell r="B1997">
            <v>17234276</v>
          </cell>
          <cell r="C1997" t="str">
            <v>PUTRA VIRLY CELL</v>
          </cell>
        </row>
        <row r="1998">
          <cell r="B1998">
            <v>17467713</v>
          </cell>
          <cell r="C1998" t="str">
            <v>Kibi cell</v>
          </cell>
        </row>
        <row r="1999">
          <cell r="B1999">
            <v>17289671</v>
          </cell>
          <cell r="C1999" t="str">
            <v>NIRA CELL 3</v>
          </cell>
        </row>
        <row r="2000">
          <cell r="B2000">
            <v>17232779</v>
          </cell>
          <cell r="C2000" t="str">
            <v>PIXEL CELL</v>
          </cell>
        </row>
        <row r="2001">
          <cell r="B2001">
            <v>1554483</v>
          </cell>
          <cell r="C2001" t="str">
            <v>AMEL CELL</v>
          </cell>
        </row>
        <row r="2002">
          <cell r="B2002">
            <v>17402875</v>
          </cell>
          <cell r="C2002" t="str">
            <v>Haris cell</v>
          </cell>
        </row>
        <row r="2003">
          <cell r="B2003">
            <v>17626476</v>
          </cell>
          <cell r="C2003" t="str">
            <v>Yns Cell</v>
          </cell>
        </row>
        <row r="2004">
          <cell r="B2004">
            <v>17648575</v>
          </cell>
          <cell r="C2004" t="str">
            <v>RMB CELL</v>
          </cell>
        </row>
        <row r="2005">
          <cell r="B2005">
            <v>17677147</v>
          </cell>
          <cell r="C2005" t="str">
            <v>WP - Dua Putra</v>
          </cell>
        </row>
        <row r="2006">
          <cell r="B2006">
            <v>17678743</v>
          </cell>
          <cell r="C2006" t="str">
            <v>WP - TOKO TIGA PUTRA</v>
          </cell>
        </row>
        <row r="2007">
          <cell r="B2007">
            <v>17678758</v>
          </cell>
          <cell r="C2007" t="str">
            <v>WP - TOKO TIGA PUTRA 2</v>
          </cell>
        </row>
        <row r="2008">
          <cell r="B2008">
            <v>17683405</v>
          </cell>
          <cell r="C2008" t="str">
            <v>WP-Afifah</v>
          </cell>
        </row>
        <row r="2009">
          <cell r="B2009">
            <v>17473082</v>
          </cell>
          <cell r="C2009" t="str">
            <v>AL-BASIT</v>
          </cell>
        </row>
        <row r="2010">
          <cell r="B2010">
            <v>17467095</v>
          </cell>
          <cell r="C2010" t="str">
            <v>Hj jaojah</v>
          </cell>
        </row>
        <row r="2011">
          <cell r="B2011">
            <v>17467036</v>
          </cell>
          <cell r="C2011" t="str">
            <v>Vero cell</v>
          </cell>
        </row>
        <row r="2012">
          <cell r="B2012">
            <v>17189939</v>
          </cell>
          <cell r="C2012" t="str">
            <v>Nazhril cell</v>
          </cell>
        </row>
        <row r="2013">
          <cell r="B2013">
            <v>17268883</v>
          </cell>
          <cell r="C2013" t="str">
            <v>DEDE CELL</v>
          </cell>
        </row>
        <row r="2014">
          <cell r="B2014">
            <v>17399957</v>
          </cell>
          <cell r="C2014" t="str">
            <v>SETIAWAN CELL</v>
          </cell>
        </row>
        <row r="2015">
          <cell r="B2015">
            <v>1553895</v>
          </cell>
          <cell r="C2015" t="str">
            <v>YESI CELL</v>
          </cell>
        </row>
        <row r="2016">
          <cell r="B2016">
            <v>17512672</v>
          </cell>
          <cell r="C2016" t="str">
            <v>SAM CELL</v>
          </cell>
        </row>
        <row r="2017">
          <cell r="B2017">
            <v>17210294</v>
          </cell>
          <cell r="C2017" t="str">
            <v>YUSUF CELL</v>
          </cell>
        </row>
        <row r="2018">
          <cell r="B2018">
            <v>17674269</v>
          </cell>
          <cell r="C2018" t="str">
            <v>WP-TOKO KENCANA</v>
          </cell>
        </row>
        <row r="2019">
          <cell r="B2019">
            <v>17674275</v>
          </cell>
          <cell r="C2019" t="str">
            <v>WP-Warung Putra Tunggal</v>
          </cell>
        </row>
        <row r="2020">
          <cell r="B2020">
            <v>17681407</v>
          </cell>
          <cell r="C2020" t="str">
            <v>WP - Rafa Cell</v>
          </cell>
        </row>
        <row r="2021">
          <cell r="B2021">
            <v>17702380</v>
          </cell>
          <cell r="C2021" t="str">
            <v>GI CELL 2</v>
          </cell>
        </row>
        <row r="2022">
          <cell r="B2022">
            <v>17472009</v>
          </cell>
          <cell r="C2022" t="str">
            <v>Black cell</v>
          </cell>
        </row>
        <row r="2023">
          <cell r="B2023">
            <v>17473281</v>
          </cell>
          <cell r="C2023" t="str">
            <v>Choki</v>
          </cell>
        </row>
        <row r="2024">
          <cell r="B2024">
            <v>17355717</v>
          </cell>
          <cell r="C2024" t="str">
            <v>DAFA CELL</v>
          </cell>
        </row>
        <row r="2025">
          <cell r="B2025">
            <v>17212864</v>
          </cell>
          <cell r="C2025" t="str">
            <v>Ernita cell</v>
          </cell>
        </row>
        <row r="2026">
          <cell r="B2026">
            <v>17152276</v>
          </cell>
          <cell r="C2026" t="str">
            <v>RENDI</v>
          </cell>
        </row>
        <row r="2027">
          <cell r="B2027">
            <v>17438862</v>
          </cell>
          <cell r="C2027" t="str">
            <v>Wahyudin cell</v>
          </cell>
        </row>
        <row r="2028">
          <cell r="B2028">
            <v>1295659</v>
          </cell>
          <cell r="C2028" t="str">
            <v>ALSYA CELL</v>
          </cell>
        </row>
        <row r="2029">
          <cell r="B2029">
            <v>17445519</v>
          </cell>
          <cell r="C2029" t="str">
            <v>Lia cell</v>
          </cell>
        </row>
        <row r="2030">
          <cell r="B2030">
            <v>17402156</v>
          </cell>
          <cell r="C2030" t="str">
            <v>Umi cell</v>
          </cell>
        </row>
        <row r="2031">
          <cell r="B2031">
            <v>17461683</v>
          </cell>
          <cell r="C2031" t="str">
            <v>WM cell</v>
          </cell>
        </row>
        <row r="2032">
          <cell r="B2032">
            <v>17249790</v>
          </cell>
          <cell r="C2032" t="str">
            <v>Arya cell</v>
          </cell>
        </row>
        <row r="2033">
          <cell r="B2033">
            <v>17408047</v>
          </cell>
          <cell r="C2033" t="str">
            <v>NURSYIFUL CELL</v>
          </cell>
        </row>
        <row r="2034">
          <cell r="B2034">
            <v>17472799</v>
          </cell>
          <cell r="C2034" t="str">
            <v>Abang cell</v>
          </cell>
        </row>
        <row r="2035">
          <cell r="B2035">
            <v>17459362</v>
          </cell>
          <cell r="C2035" t="str">
            <v>Raven cell</v>
          </cell>
        </row>
        <row r="2036">
          <cell r="B2036">
            <v>17472004</v>
          </cell>
          <cell r="C2036" t="str">
            <v>Unnu cell</v>
          </cell>
        </row>
        <row r="2037">
          <cell r="B2037">
            <v>17628699</v>
          </cell>
          <cell r="C2037" t="str">
            <v>Nurliana Cell</v>
          </cell>
        </row>
        <row r="2038">
          <cell r="B2038">
            <v>17675968</v>
          </cell>
          <cell r="C2038" t="str">
            <v>WP - warung mamah aldo</v>
          </cell>
        </row>
        <row r="2039">
          <cell r="B2039">
            <v>17676384</v>
          </cell>
          <cell r="C2039" t="str">
            <v>NB CELL</v>
          </cell>
        </row>
        <row r="2040">
          <cell r="B2040">
            <v>17678346</v>
          </cell>
          <cell r="C2040" t="str">
            <v>WP - Sumber Rizki</v>
          </cell>
        </row>
        <row r="2041">
          <cell r="B2041">
            <v>17684071</v>
          </cell>
          <cell r="C2041" t="str">
            <v>WP - Caca Cuci Cell</v>
          </cell>
        </row>
        <row r="2042">
          <cell r="B2042">
            <v>17686035</v>
          </cell>
          <cell r="C2042" t="str">
            <v>WP - Avika Cell</v>
          </cell>
        </row>
        <row r="2043">
          <cell r="B2043">
            <v>17686422</v>
          </cell>
          <cell r="C2043" t="str">
            <v>WP - Toko Wawan</v>
          </cell>
        </row>
        <row r="2044">
          <cell r="B2044">
            <v>17690505</v>
          </cell>
          <cell r="C2044" t="str">
            <v>WP - Toko Raisha</v>
          </cell>
        </row>
        <row r="2045">
          <cell r="B2045">
            <v>17690900</v>
          </cell>
          <cell r="C2045" t="str">
            <v>WP - Depo Cell</v>
          </cell>
        </row>
        <row r="2046">
          <cell r="B2046">
            <v>17193748</v>
          </cell>
          <cell r="C2046" t="str">
            <v>ODOY CELL</v>
          </cell>
        </row>
        <row r="2047">
          <cell r="B2047">
            <v>17461674</v>
          </cell>
          <cell r="C2047" t="str">
            <v>Den SR cell</v>
          </cell>
        </row>
        <row r="2048">
          <cell r="B2048">
            <v>17541803</v>
          </cell>
          <cell r="C2048" t="str">
            <v>Maher cell</v>
          </cell>
        </row>
        <row r="2049">
          <cell r="B2049">
            <v>17461610</v>
          </cell>
          <cell r="C2049" t="str">
            <v>Selina cell</v>
          </cell>
        </row>
        <row r="2050">
          <cell r="B2050">
            <v>17466442</v>
          </cell>
          <cell r="C2050" t="str">
            <v>Zahira cell</v>
          </cell>
        </row>
        <row r="2051">
          <cell r="B2051">
            <v>17232685</v>
          </cell>
          <cell r="C2051" t="str">
            <v>ALDI CELL</v>
          </cell>
        </row>
        <row r="2052">
          <cell r="B2052">
            <v>17402816</v>
          </cell>
          <cell r="C2052" t="str">
            <v>Kinsi cell</v>
          </cell>
        </row>
        <row r="2053">
          <cell r="B2053">
            <v>17399648</v>
          </cell>
          <cell r="C2053" t="str">
            <v>Rafli cell</v>
          </cell>
        </row>
        <row r="2054">
          <cell r="B2054">
            <v>17473074</v>
          </cell>
          <cell r="C2054" t="str">
            <v>RUSDI CELL</v>
          </cell>
        </row>
        <row r="2055">
          <cell r="B2055">
            <v>17408992</v>
          </cell>
          <cell r="C2055" t="str">
            <v>Revin cell</v>
          </cell>
        </row>
        <row r="2056">
          <cell r="B2056">
            <v>17142202</v>
          </cell>
          <cell r="C2056" t="str">
            <v>WIRAMAS CELL</v>
          </cell>
        </row>
        <row r="2057">
          <cell r="B2057">
            <v>17674552</v>
          </cell>
          <cell r="C2057" t="str">
            <v>Doa Umi</v>
          </cell>
        </row>
        <row r="2058">
          <cell r="B2058">
            <v>17716154</v>
          </cell>
          <cell r="C2058" t="str">
            <v>ENI MARLINA CELL</v>
          </cell>
        </row>
        <row r="2059">
          <cell r="B2059">
            <v>17718510</v>
          </cell>
          <cell r="C2059" t="str">
            <v>Warung SRC pak wanto</v>
          </cell>
        </row>
        <row r="2060">
          <cell r="B2060">
            <v>17721512</v>
          </cell>
          <cell r="C2060" t="str">
            <v>Susan cell</v>
          </cell>
        </row>
        <row r="2061">
          <cell r="B2061">
            <v>17722952</v>
          </cell>
          <cell r="C2061" t="str">
            <v>Anaya Cell</v>
          </cell>
        </row>
        <row r="2062">
          <cell r="B2062">
            <v>17728261</v>
          </cell>
          <cell r="C2062" t="str">
            <v>WP - Ayura Cell</v>
          </cell>
        </row>
        <row r="2063">
          <cell r="B2063">
            <v>17190542</v>
          </cell>
          <cell r="C2063" t="str">
            <v>BERKAH CELLULAR</v>
          </cell>
        </row>
        <row r="2064">
          <cell r="B2064">
            <v>1287334</v>
          </cell>
          <cell r="C2064" t="str">
            <v>RAMDANY</v>
          </cell>
        </row>
        <row r="2065">
          <cell r="B2065">
            <v>17228538</v>
          </cell>
          <cell r="C2065" t="str">
            <v>ADLI CELL</v>
          </cell>
        </row>
        <row r="2066">
          <cell r="B2066">
            <v>17541871</v>
          </cell>
          <cell r="C2066" t="str">
            <v>AF CELL</v>
          </cell>
        </row>
        <row r="2067">
          <cell r="B2067">
            <v>17256051</v>
          </cell>
          <cell r="C2067" t="str">
            <v>Ayu cell</v>
          </cell>
        </row>
        <row r="2068">
          <cell r="B2068">
            <v>17513411</v>
          </cell>
          <cell r="C2068" t="str">
            <v>Albar cell</v>
          </cell>
        </row>
        <row r="2069">
          <cell r="B2069">
            <v>17588141</v>
          </cell>
          <cell r="C2069" t="str">
            <v>Cuf cell</v>
          </cell>
        </row>
        <row r="2070">
          <cell r="B2070">
            <v>17459415</v>
          </cell>
          <cell r="C2070" t="str">
            <v>Amel cell</v>
          </cell>
        </row>
        <row r="2071">
          <cell r="B2071">
            <v>17253618</v>
          </cell>
          <cell r="C2071" t="str">
            <v>Fania cell</v>
          </cell>
        </row>
        <row r="2072">
          <cell r="B2072">
            <v>1305544</v>
          </cell>
          <cell r="C2072" t="str">
            <v>KIKI CELL</v>
          </cell>
        </row>
        <row r="2073">
          <cell r="B2073">
            <v>1339357</v>
          </cell>
          <cell r="C2073" t="str">
            <v>LENI 2 CELL</v>
          </cell>
        </row>
        <row r="2074">
          <cell r="B2074">
            <v>17472759</v>
          </cell>
          <cell r="C2074" t="str">
            <v>Davina cell</v>
          </cell>
        </row>
        <row r="2075">
          <cell r="B2075">
            <v>17234958</v>
          </cell>
          <cell r="C2075" t="str">
            <v>Mega Citra Cell</v>
          </cell>
        </row>
        <row r="2076">
          <cell r="B2076">
            <v>17472706</v>
          </cell>
          <cell r="C2076" t="str">
            <v>Vita cell</v>
          </cell>
        </row>
        <row r="2077">
          <cell r="B2077">
            <v>1555650</v>
          </cell>
          <cell r="C2077" t="str">
            <v>RENDI CELL</v>
          </cell>
        </row>
        <row r="2078">
          <cell r="B2078">
            <v>17435959</v>
          </cell>
          <cell r="C2078" t="str">
            <v>RAHAGKA CELL</v>
          </cell>
        </row>
        <row r="2079">
          <cell r="B2079">
            <v>17031672</v>
          </cell>
          <cell r="C2079" t="str">
            <v>ZM CELLULER</v>
          </cell>
        </row>
        <row r="2080">
          <cell r="B2080">
            <v>1555658</v>
          </cell>
          <cell r="C2080" t="str">
            <v>PONK CELL</v>
          </cell>
        </row>
        <row r="2081">
          <cell r="B2081">
            <v>17401318</v>
          </cell>
          <cell r="C2081" t="str">
            <v>Rafli 2cell</v>
          </cell>
        </row>
        <row r="2082">
          <cell r="B2082">
            <v>17677158</v>
          </cell>
          <cell r="C2082" t="str">
            <v>WP - Atharrizmi</v>
          </cell>
        </row>
        <row r="2083">
          <cell r="B2083">
            <v>17678324</v>
          </cell>
          <cell r="C2083" t="str">
            <v>OJH Celluar</v>
          </cell>
        </row>
        <row r="2084">
          <cell r="B2084">
            <v>17690107</v>
          </cell>
          <cell r="C2084" t="str">
            <v>Notary Luthvi</v>
          </cell>
        </row>
        <row r="2085">
          <cell r="B2085">
            <v>17692934</v>
          </cell>
          <cell r="C2085" t="str">
            <v>Lina Cell</v>
          </cell>
        </row>
        <row r="2086">
          <cell r="B2086">
            <v>17677142</v>
          </cell>
          <cell r="C2086" t="str">
            <v>WP - Warung Eka</v>
          </cell>
        </row>
        <row r="2087">
          <cell r="B2087">
            <v>17705349</v>
          </cell>
          <cell r="C2087" t="str">
            <v>DS STORE 2</v>
          </cell>
        </row>
        <row r="2088">
          <cell r="B2088">
            <v>17254312</v>
          </cell>
          <cell r="C2088" t="str">
            <v>ELYACELL</v>
          </cell>
        </row>
        <row r="2089">
          <cell r="B2089">
            <v>17191895</v>
          </cell>
          <cell r="C2089" t="str">
            <v>Riza cell</v>
          </cell>
        </row>
        <row r="2090">
          <cell r="B2090">
            <v>1451710</v>
          </cell>
          <cell r="C2090" t="str">
            <v>RISS CELL</v>
          </cell>
        </row>
        <row r="2091">
          <cell r="B2091">
            <v>1555825</v>
          </cell>
          <cell r="C2091" t="str">
            <v>SILVI CELL</v>
          </cell>
        </row>
        <row r="2092">
          <cell r="B2092">
            <v>1348548</v>
          </cell>
          <cell r="C2092" t="str">
            <v>MIRRA CELL</v>
          </cell>
        </row>
        <row r="2093">
          <cell r="B2093">
            <v>17659685</v>
          </cell>
          <cell r="C2093" t="str">
            <v>Jemih cell 2</v>
          </cell>
        </row>
        <row r="2094">
          <cell r="B2094">
            <v>17231464</v>
          </cell>
          <cell r="C2094" t="str">
            <v>RINA CELL.</v>
          </cell>
        </row>
        <row r="2095">
          <cell r="B2095">
            <v>1513829</v>
          </cell>
          <cell r="C2095" t="str">
            <v>ADITYA CELL</v>
          </cell>
        </row>
        <row r="2096">
          <cell r="B2096">
            <v>17198475</v>
          </cell>
          <cell r="C2096" t="str">
            <v>AKHSAN CELL</v>
          </cell>
        </row>
        <row r="2097">
          <cell r="B2097">
            <v>17031830</v>
          </cell>
          <cell r="C2097" t="str">
            <v>M2R CELL</v>
          </cell>
        </row>
        <row r="2098">
          <cell r="B2098">
            <v>17067459</v>
          </cell>
          <cell r="C2098" t="str">
            <v>N2 cell</v>
          </cell>
        </row>
        <row r="2099">
          <cell r="B2099">
            <v>17005974</v>
          </cell>
          <cell r="C2099" t="str">
            <v>Nira Cell 2</v>
          </cell>
        </row>
        <row r="2100">
          <cell r="B2100">
            <v>17031504</v>
          </cell>
          <cell r="C2100" t="str">
            <v>PUTRA CELL</v>
          </cell>
        </row>
        <row r="2101">
          <cell r="B2101">
            <v>572672</v>
          </cell>
          <cell r="C2101" t="str">
            <v>Bahagia cell</v>
          </cell>
        </row>
        <row r="2102">
          <cell r="B2102">
            <v>17279399</v>
          </cell>
          <cell r="C2102" t="str">
            <v>V3 KOMUNIKA</v>
          </cell>
        </row>
        <row r="2103">
          <cell r="B2103">
            <v>17274329</v>
          </cell>
          <cell r="C2103" t="str">
            <v>YOYOY CELL</v>
          </cell>
        </row>
        <row r="2104">
          <cell r="B2104">
            <v>17539912</v>
          </cell>
          <cell r="C2104" t="str">
            <v>ABIM CELL</v>
          </cell>
        </row>
        <row r="2105">
          <cell r="B2105">
            <v>17539928</v>
          </cell>
          <cell r="C2105" t="str">
            <v>ABIM CELL</v>
          </cell>
        </row>
        <row r="2106">
          <cell r="B2106">
            <v>1554006</v>
          </cell>
          <cell r="C2106" t="str">
            <v>ABUELA CELL</v>
          </cell>
        </row>
        <row r="2107">
          <cell r="B2107">
            <v>1554005</v>
          </cell>
          <cell r="C2107" t="str">
            <v>BARITO CELL</v>
          </cell>
        </row>
        <row r="2108">
          <cell r="B2108">
            <v>17449694</v>
          </cell>
          <cell r="C2108" t="str">
            <v>CENTRAL PHONE ACC</v>
          </cell>
        </row>
        <row r="2109">
          <cell r="B2109">
            <v>17241854</v>
          </cell>
          <cell r="C2109" t="str">
            <v>CHA CHA CELL 2</v>
          </cell>
        </row>
        <row r="2110">
          <cell r="B2110">
            <v>1554354</v>
          </cell>
          <cell r="C2110" t="str">
            <v>ALIYA CELL</v>
          </cell>
        </row>
        <row r="2111">
          <cell r="B2111">
            <v>17201103</v>
          </cell>
          <cell r="C2111" t="str">
            <v>CINTA CELL</v>
          </cell>
        </row>
        <row r="2112">
          <cell r="B2112">
            <v>1314309</v>
          </cell>
          <cell r="C2112" t="str">
            <v>ANDRI CEL</v>
          </cell>
        </row>
        <row r="2113">
          <cell r="B2113">
            <v>17197682</v>
          </cell>
          <cell r="C2113" t="str">
            <v>HELMIA CELL</v>
          </cell>
        </row>
        <row r="2114">
          <cell r="B2114">
            <v>1287387</v>
          </cell>
          <cell r="C2114" t="str">
            <v>DEAN CLL</v>
          </cell>
        </row>
        <row r="2115">
          <cell r="B2115">
            <v>17203857</v>
          </cell>
          <cell r="C2115" t="str">
            <v>DIKA CELL</v>
          </cell>
        </row>
        <row r="2116">
          <cell r="B2116">
            <v>17304908</v>
          </cell>
          <cell r="C2116" t="str">
            <v>BIO CELL</v>
          </cell>
        </row>
        <row r="2117">
          <cell r="B2117">
            <v>17138377</v>
          </cell>
          <cell r="C2117" t="str">
            <v>EMYRATE CELL</v>
          </cell>
        </row>
        <row r="2118">
          <cell r="B2118">
            <v>1550304</v>
          </cell>
          <cell r="C2118" t="str">
            <v>PERI</v>
          </cell>
        </row>
        <row r="2119">
          <cell r="B2119">
            <v>17219451</v>
          </cell>
          <cell r="C2119" t="str">
            <v>FAJAR CELL</v>
          </cell>
        </row>
        <row r="2120">
          <cell r="B2120">
            <v>17149124</v>
          </cell>
          <cell r="C2120" t="str">
            <v>BAHAGIA 2 CELL</v>
          </cell>
        </row>
        <row r="2121">
          <cell r="B2121">
            <v>17437435</v>
          </cell>
          <cell r="C2121" t="str">
            <v>FIRMAN CELL</v>
          </cell>
        </row>
        <row r="2122">
          <cell r="B2122">
            <v>17272018</v>
          </cell>
          <cell r="C2122" t="str">
            <v>FUTUHAT  CELL</v>
          </cell>
        </row>
        <row r="2123">
          <cell r="B2123">
            <v>17022249</v>
          </cell>
          <cell r="C2123" t="str">
            <v>GARASI CELL</v>
          </cell>
        </row>
        <row r="2124">
          <cell r="B2124">
            <v>1554007</v>
          </cell>
          <cell r="C2124" t="str">
            <v>NIRA CELL</v>
          </cell>
        </row>
        <row r="2125">
          <cell r="B2125">
            <v>17673189</v>
          </cell>
          <cell r="C2125" t="str">
            <v>Gevan Store</v>
          </cell>
        </row>
        <row r="2126">
          <cell r="B2126">
            <v>17247114</v>
          </cell>
          <cell r="C2126" t="str">
            <v>NURUL CELL</v>
          </cell>
        </row>
        <row r="2127">
          <cell r="B2127">
            <v>17260654</v>
          </cell>
          <cell r="C2127" t="str">
            <v>GILANG CELL2</v>
          </cell>
        </row>
        <row r="2128">
          <cell r="B2128">
            <v>17632897</v>
          </cell>
          <cell r="C2128" t="str">
            <v>HM Cell</v>
          </cell>
        </row>
        <row r="2129">
          <cell r="B2129">
            <v>17195026</v>
          </cell>
          <cell r="C2129" t="str">
            <v>JST CELL</v>
          </cell>
        </row>
        <row r="2130">
          <cell r="B2130">
            <v>572677</v>
          </cell>
          <cell r="C2130" t="str">
            <v>Fitri cell</v>
          </cell>
        </row>
        <row r="2131">
          <cell r="B2131">
            <v>1554004</v>
          </cell>
          <cell r="C2131" t="str">
            <v>MANDIRI CELL</v>
          </cell>
        </row>
        <row r="2132">
          <cell r="B2132">
            <v>17215843</v>
          </cell>
          <cell r="C2132" t="str">
            <v>HENDI CELL</v>
          </cell>
        </row>
        <row r="2133">
          <cell r="B2133">
            <v>17260963</v>
          </cell>
          <cell r="C2133" t="str">
            <v>DIKI CELL</v>
          </cell>
        </row>
        <row r="2134">
          <cell r="B2134">
            <v>1305444</v>
          </cell>
          <cell r="C2134" t="str">
            <v>TIME CEL</v>
          </cell>
        </row>
        <row r="2135">
          <cell r="B2135">
            <v>17382744</v>
          </cell>
          <cell r="C2135" t="str">
            <v>Toko pds cell</v>
          </cell>
        </row>
        <row r="2136">
          <cell r="B2136">
            <v>17650936</v>
          </cell>
          <cell r="C2136" t="str">
            <v>PC CIAWI CELL</v>
          </cell>
        </row>
        <row r="2137">
          <cell r="B2137">
            <v>17450776</v>
          </cell>
          <cell r="C2137" t="str">
            <v>Bintang cell</v>
          </cell>
        </row>
        <row r="2138">
          <cell r="B2138">
            <v>17651007</v>
          </cell>
          <cell r="C2138" t="str">
            <v>Jemih Wijaya Cell</v>
          </cell>
        </row>
        <row r="2139">
          <cell r="B2139">
            <v>17670006</v>
          </cell>
          <cell r="C2139" t="str">
            <v>Rai Raka Cell</v>
          </cell>
        </row>
        <row r="2140">
          <cell r="B2140">
            <v>17677163</v>
          </cell>
          <cell r="C2140" t="str">
            <v>WP - Ruswandi</v>
          </cell>
        </row>
        <row r="2141">
          <cell r="B2141">
            <v>17670926</v>
          </cell>
          <cell r="C2141" t="str">
            <v>Jihan Cellular</v>
          </cell>
        </row>
        <row r="2142">
          <cell r="B2142">
            <v>17684033</v>
          </cell>
          <cell r="C2142" t="str">
            <v>WP - Wisnu</v>
          </cell>
        </row>
        <row r="2143">
          <cell r="B2143">
            <v>17695935</v>
          </cell>
          <cell r="C2143" t="str">
            <v>Taufiq cell</v>
          </cell>
        </row>
        <row r="2144">
          <cell r="B2144">
            <v>17716718</v>
          </cell>
          <cell r="C2144" t="str">
            <v>Herlan cell</v>
          </cell>
        </row>
        <row r="2145">
          <cell r="B2145">
            <v>17050774</v>
          </cell>
          <cell r="C2145" t="str">
            <v>HELGISTA CELL</v>
          </cell>
        </row>
        <row r="2146">
          <cell r="B2146">
            <v>17459590</v>
          </cell>
          <cell r="C2146" t="str">
            <v>TOKO MANG MAWI</v>
          </cell>
        </row>
        <row r="2147">
          <cell r="B2147">
            <v>17472717</v>
          </cell>
          <cell r="C2147" t="str">
            <v>RE PHONE STORE</v>
          </cell>
        </row>
        <row r="2148">
          <cell r="B2148">
            <v>17473097</v>
          </cell>
          <cell r="C2148" t="str">
            <v>Wonder cell</v>
          </cell>
        </row>
        <row r="2149">
          <cell r="B2149">
            <v>17645922</v>
          </cell>
          <cell r="C2149" t="str">
            <v>Toko BJM</v>
          </cell>
        </row>
        <row r="2150">
          <cell r="B2150">
            <v>1287331</v>
          </cell>
          <cell r="C2150" t="str">
            <v>AKEW CEL</v>
          </cell>
        </row>
        <row r="2151">
          <cell r="B2151">
            <v>17438405</v>
          </cell>
          <cell r="C2151" t="str">
            <v>ALKHA CELL</v>
          </cell>
        </row>
        <row r="2152">
          <cell r="B2152">
            <v>1553874</v>
          </cell>
          <cell r="C2152" t="str">
            <v>ARROMI CELL</v>
          </cell>
        </row>
        <row r="2153">
          <cell r="B2153">
            <v>17255674</v>
          </cell>
          <cell r="C2153" t="str">
            <v>ARVAN CELL</v>
          </cell>
        </row>
        <row r="2154">
          <cell r="B2154">
            <v>17457844</v>
          </cell>
          <cell r="C2154" t="str">
            <v>BAROKAH CELL</v>
          </cell>
        </row>
        <row r="2155">
          <cell r="B2155">
            <v>17261466</v>
          </cell>
          <cell r="C2155" t="str">
            <v>BINTANG CELL</v>
          </cell>
        </row>
        <row r="2156">
          <cell r="B2156">
            <v>17511631</v>
          </cell>
          <cell r="C2156" t="str">
            <v>BM cell</v>
          </cell>
        </row>
        <row r="2157">
          <cell r="B2157">
            <v>17249927</v>
          </cell>
          <cell r="C2157" t="str">
            <v>BONDAN PULSA</v>
          </cell>
        </row>
        <row r="2158">
          <cell r="B2158">
            <v>17139621</v>
          </cell>
          <cell r="C2158" t="str">
            <v>BRANDAL CINTA CELL</v>
          </cell>
        </row>
        <row r="2159">
          <cell r="B2159">
            <v>17249792</v>
          </cell>
          <cell r="C2159" t="str">
            <v>LESTARI CELL</v>
          </cell>
        </row>
        <row r="2160">
          <cell r="B2160">
            <v>17253568</v>
          </cell>
          <cell r="C2160" t="str">
            <v>AHZACELL</v>
          </cell>
        </row>
        <row r="2161">
          <cell r="B2161">
            <v>17268971</v>
          </cell>
          <cell r="C2161" t="str">
            <v>AKBAR CELL</v>
          </cell>
        </row>
        <row r="2162">
          <cell r="B2162">
            <v>17255778</v>
          </cell>
          <cell r="C2162" t="str">
            <v>ANGLEPULSA</v>
          </cell>
        </row>
        <row r="2163">
          <cell r="B2163">
            <v>1555437</v>
          </cell>
          <cell r="C2163" t="str">
            <v>HIKARU CELL</v>
          </cell>
        </row>
        <row r="2164">
          <cell r="B2164">
            <v>17399911</v>
          </cell>
          <cell r="C2164" t="str">
            <v>HIKARU CELL 2</v>
          </cell>
        </row>
        <row r="2165">
          <cell r="B2165">
            <v>17264618</v>
          </cell>
          <cell r="C2165" t="str">
            <v>HD CELLULAR</v>
          </cell>
        </row>
        <row r="2166">
          <cell r="B2166">
            <v>17438800</v>
          </cell>
          <cell r="C2166" t="str">
            <v>MELI CELL</v>
          </cell>
        </row>
        <row r="2167">
          <cell r="B2167">
            <v>17459602</v>
          </cell>
          <cell r="C2167" t="str">
            <v>DEWALA CELL</v>
          </cell>
        </row>
        <row r="2168">
          <cell r="B2168">
            <v>1553873</v>
          </cell>
          <cell r="C2168" t="str">
            <v>FANS CELL</v>
          </cell>
        </row>
        <row r="2169">
          <cell r="B2169">
            <v>1557173</v>
          </cell>
          <cell r="C2169" t="str">
            <v>ANYU CELL2</v>
          </cell>
        </row>
        <row r="2170">
          <cell r="B2170">
            <v>17264973</v>
          </cell>
          <cell r="C2170" t="str">
            <v>NRGK CELL</v>
          </cell>
        </row>
        <row r="2171">
          <cell r="B2171">
            <v>17044133</v>
          </cell>
          <cell r="C2171" t="str">
            <v>QUEENY CELL</v>
          </cell>
        </row>
        <row r="2172">
          <cell r="B2172">
            <v>718879</v>
          </cell>
          <cell r="C2172" t="str">
            <v>GAYUNG CELL</v>
          </cell>
        </row>
        <row r="2173">
          <cell r="B2173">
            <v>17589115</v>
          </cell>
          <cell r="C2173" t="str">
            <v>GI CELL</v>
          </cell>
        </row>
        <row r="2174">
          <cell r="B2174">
            <v>17381211</v>
          </cell>
          <cell r="C2174" t="str">
            <v>SABISANA CELL</v>
          </cell>
        </row>
        <row r="2175">
          <cell r="B2175">
            <v>17276084</v>
          </cell>
          <cell r="C2175" t="str">
            <v>SHALMA CELL</v>
          </cell>
        </row>
        <row r="2176">
          <cell r="B2176">
            <v>1287335</v>
          </cell>
          <cell r="C2176" t="str">
            <v>HILMAN CEL</v>
          </cell>
        </row>
        <row r="2177">
          <cell r="B2177">
            <v>17541847</v>
          </cell>
          <cell r="C2177" t="str">
            <v>Road cell</v>
          </cell>
        </row>
        <row r="2178">
          <cell r="B2178">
            <v>17256507</v>
          </cell>
          <cell r="C2178" t="str">
            <v>REGYA CELL</v>
          </cell>
        </row>
        <row r="2179">
          <cell r="B2179">
            <v>17286625</v>
          </cell>
          <cell r="C2179" t="str">
            <v>SUNBECELL</v>
          </cell>
        </row>
        <row r="2180">
          <cell r="B2180">
            <v>17261389</v>
          </cell>
          <cell r="C2180" t="str">
            <v>RIKZA CELL</v>
          </cell>
        </row>
        <row r="2181">
          <cell r="B2181">
            <v>17187866</v>
          </cell>
          <cell r="C2181" t="str">
            <v>Wijar cell</v>
          </cell>
        </row>
        <row r="2182">
          <cell r="B2182">
            <v>17445229</v>
          </cell>
          <cell r="C2182" t="str">
            <v>WARUNG DIGITAL</v>
          </cell>
        </row>
        <row r="2183">
          <cell r="B2183">
            <v>17223136</v>
          </cell>
          <cell r="C2183" t="str">
            <v>Salman Cell</v>
          </cell>
        </row>
        <row r="2184">
          <cell r="B2184">
            <v>17473280</v>
          </cell>
          <cell r="C2184" t="str">
            <v>Src</v>
          </cell>
        </row>
        <row r="2185">
          <cell r="B2185">
            <v>17139612</v>
          </cell>
          <cell r="C2185" t="str">
            <v>SPH CELL</v>
          </cell>
        </row>
        <row r="2186">
          <cell r="B2186">
            <v>17253622</v>
          </cell>
          <cell r="C2186" t="str">
            <v>ZAMALLCELL</v>
          </cell>
        </row>
        <row r="2187">
          <cell r="B2187">
            <v>1558179</v>
          </cell>
          <cell r="C2187" t="str">
            <v>ZR STORE</v>
          </cell>
        </row>
        <row r="2188">
          <cell r="B2188">
            <v>17663717</v>
          </cell>
          <cell r="C2188" t="str">
            <v>GHAISAN ADLAN CELL</v>
          </cell>
        </row>
        <row r="2189">
          <cell r="B2189">
            <v>17650729</v>
          </cell>
          <cell r="C2189" t="str">
            <v>Zaidan cell</v>
          </cell>
        </row>
        <row r="2190">
          <cell r="B2190">
            <v>17650895</v>
          </cell>
          <cell r="C2190" t="str">
            <v>Arsyad Copy</v>
          </cell>
        </row>
        <row r="2191">
          <cell r="B2191">
            <v>17670175</v>
          </cell>
          <cell r="C2191" t="str">
            <v>WARJO CELL</v>
          </cell>
        </row>
        <row r="2192">
          <cell r="B2192">
            <v>17677552</v>
          </cell>
          <cell r="C2192" t="str">
            <v>GILANG CELL 4</v>
          </cell>
        </row>
        <row r="2193">
          <cell r="B2193">
            <v>17674288</v>
          </cell>
          <cell r="C2193" t="str">
            <v>WARUNG BU WATI</v>
          </cell>
        </row>
        <row r="2194">
          <cell r="B2194">
            <v>17681962</v>
          </cell>
          <cell r="C2194" t="str">
            <v>WP-Nay Cell</v>
          </cell>
        </row>
        <row r="2195">
          <cell r="B2195">
            <v>17695551</v>
          </cell>
          <cell r="C2195" t="str">
            <v>Andri Store</v>
          </cell>
        </row>
        <row r="2196">
          <cell r="B2196">
            <v>17695552</v>
          </cell>
          <cell r="C2196" t="str">
            <v>Dillara cell</v>
          </cell>
        </row>
        <row r="2197">
          <cell r="B2197">
            <v>17702472</v>
          </cell>
          <cell r="C2197" t="str">
            <v>Andin Cell</v>
          </cell>
        </row>
        <row r="2198">
          <cell r="B2198">
            <v>17711073</v>
          </cell>
          <cell r="C2198" t="str">
            <v>GILANG CELL 3</v>
          </cell>
        </row>
        <row r="2199">
          <cell r="B2199">
            <v>17716333</v>
          </cell>
          <cell r="C2199" t="str">
            <v>UNA CELL</v>
          </cell>
        </row>
        <row r="2200">
          <cell r="B2200">
            <v>17473278</v>
          </cell>
          <cell r="C2200" t="str">
            <v>Edi</v>
          </cell>
        </row>
        <row r="2201">
          <cell r="B2201">
            <v>17458119</v>
          </cell>
          <cell r="C2201" t="str">
            <v>Rizqo cell</v>
          </cell>
        </row>
        <row r="2202">
          <cell r="B2202">
            <v>17684094</v>
          </cell>
          <cell r="C2202" t="str">
            <v>WP - Fathan Cell</v>
          </cell>
        </row>
        <row r="2203">
          <cell r="B2203">
            <v>17690910</v>
          </cell>
          <cell r="C2203" t="str">
            <v>WP - Irzia Cell</v>
          </cell>
        </row>
        <row r="2204">
          <cell r="B2204">
            <v>17708933</v>
          </cell>
          <cell r="C2204" t="str">
            <v>EL CELL</v>
          </cell>
        </row>
        <row r="2205">
          <cell r="B2205">
            <v>17640234</v>
          </cell>
          <cell r="C2205" t="str">
            <v>Agen lancar bersama</v>
          </cell>
        </row>
        <row r="2206">
          <cell r="B2206">
            <v>17468592</v>
          </cell>
          <cell r="C2206" t="str">
            <v>11 Enung cell</v>
          </cell>
        </row>
        <row r="2207">
          <cell r="B2207">
            <v>1305465</v>
          </cell>
          <cell r="C2207" t="str">
            <v>ADI CELL</v>
          </cell>
        </row>
        <row r="2208">
          <cell r="B2208">
            <v>17222900</v>
          </cell>
          <cell r="C2208" t="str">
            <v>AZZAM CELL</v>
          </cell>
        </row>
        <row r="2209">
          <cell r="B2209">
            <v>17438554</v>
          </cell>
          <cell r="C2209" t="str">
            <v>Dian cell</v>
          </cell>
        </row>
        <row r="2210">
          <cell r="B2210">
            <v>1318884</v>
          </cell>
          <cell r="C2210" t="str">
            <v>BETI CELL</v>
          </cell>
        </row>
        <row r="2211">
          <cell r="B2211">
            <v>702377</v>
          </cell>
          <cell r="C2211" t="str">
            <v>CITRA CELL</v>
          </cell>
        </row>
        <row r="2212">
          <cell r="B2212">
            <v>17449414</v>
          </cell>
          <cell r="C2212" t="str">
            <v>Ikeu cell</v>
          </cell>
        </row>
        <row r="2213">
          <cell r="B2213">
            <v>17179164</v>
          </cell>
          <cell r="C2213" t="str">
            <v>JR STORE</v>
          </cell>
        </row>
        <row r="2214">
          <cell r="B2214">
            <v>17466424</v>
          </cell>
          <cell r="C2214" t="str">
            <v>Jovan cell</v>
          </cell>
        </row>
        <row r="2215">
          <cell r="B2215">
            <v>17199166</v>
          </cell>
          <cell r="C2215" t="str">
            <v>Kaysa cell</v>
          </cell>
        </row>
        <row r="2216">
          <cell r="B2216">
            <v>1511652</v>
          </cell>
          <cell r="C2216" t="str">
            <v>KANZA CELL</v>
          </cell>
        </row>
        <row r="2217">
          <cell r="B2217">
            <v>17588132</v>
          </cell>
          <cell r="C2217" t="str">
            <v>LUTHVI STORE</v>
          </cell>
        </row>
        <row r="2218">
          <cell r="B2218">
            <v>1295672</v>
          </cell>
          <cell r="C2218" t="str">
            <v>RAYHAN CELL</v>
          </cell>
        </row>
        <row r="2219">
          <cell r="B2219">
            <v>694114</v>
          </cell>
          <cell r="C2219" t="str">
            <v>TIGA CELL</v>
          </cell>
        </row>
        <row r="2220">
          <cell r="B2220">
            <v>17288556</v>
          </cell>
          <cell r="C2220" t="str">
            <v>M luthvi Qolbi</v>
          </cell>
        </row>
        <row r="2221">
          <cell r="B2221">
            <v>1368488</v>
          </cell>
          <cell r="C2221" t="str">
            <v>TUWU CELL</v>
          </cell>
        </row>
        <row r="2222">
          <cell r="B2222">
            <v>17139607</v>
          </cell>
          <cell r="C2222" t="str">
            <v>TZA CELL</v>
          </cell>
        </row>
        <row r="2223">
          <cell r="B2223">
            <v>17459384</v>
          </cell>
          <cell r="C2223" t="str">
            <v>Mama cell</v>
          </cell>
        </row>
        <row r="2224">
          <cell r="B2224">
            <v>17461654</v>
          </cell>
          <cell r="C2224" t="str">
            <v>Mira olshop cell</v>
          </cell>
        </row>
        <row r="2225">
          <cell r="B2225">
            <v>17187147</v>
          </cell>
          <cell r="C2225" t="str">
            <v>Nazila cell</v>
          </cell>
        </row>
        <row r="2226">
          <cell r="B2226">
            <v>17632947</v>
          </cell>
          <cell r="C2226" t="str">
            <v>Pagelaran Cell</v>
          </cell>
        </row>
        <row r="2227">
          <cell r="B2227">
            <v>17632992</v>
          </cell>
          <cell r="C2227" t="str">
            <v>EZ Cell</v>
          </cell>
        </row>
        <row r="2228">
          <cell r="B2228">
            <v>17438164</v>
          </cell>
          <cell r="C2228" t="str">
            <v>Bima cell</v>
          </cell>
        </row>
        <row r="2229">
          <cell r="B2229">
            <v>17675929</v>
          </cell>
          <cell r="C2229" t="str">
            <v>WP - Lala Yulia</v>
          </cell>
        </row>
        <row r="2230">
          <cell r="B2230">
            <v>17672233</v>
          </cell>
          <cell r="C2230" t="str">
            <v>G-mart Cell</v>
          </cell>
        </row>
        <row r="2231">
          <cell r="B2231">
            <v>17675348</v>
          </cell>
          <cell r="C2231" t="str">
            <v>AF Cell 2</v>
          </cell>
        </row>
        <row r="2232">
          <cell r="B2232">
            <v>17673227</v>
          </cell>
          <cell r="C2232" t="str">
            <v>Sinar agung</v>
          </cell>
        </row>
        <row r="2233">
          <cell r="B2233">
            <v>17680707</v>
          </cell>
          <cell r="C2233" t="str">
            <v>Naura Cell</v>
          </cell>
        </row>
        <row r="2234">
          <cell r="B2234">
            <v>17714089</v>
          </cell>
          <cell r="C2234" t="str">
            <v>Afdhal Cell</v>
          </cell>
        </row>
        <row r="2235">
          <cell r="B2235">
            <v>1455420</v>
          </cell>
          <cell r="C2235" t="str">
            <v>WR CELL</v>
          </cell>
        </row>
        <row r="2236">
          <cell r="B2236">
            <v>774331</v>
          </cell>
          <cell r="C2236" t="str">
            <v>MARDENA CELL</v>
          </cell>
        </row>
        <row r="2237">
          <cell r="B2237">
            <v>1387852</v>
          </cell>
          <cell r="C2237" t="str">
            <v>NAIL CELL</v>
          </cell>
        </row>
        <row r="2238">
          <cell r="B2238">
            <v>637365</v>
          </cell>
          <cell r="C2238" t="str">
            <v>DAFFA CELL</v>
          </cell>
        </row>
        <row r="2239">
          <cell r="B2239">
            <v>1569984</v>
          </cell>
          <cell r="C2239" t="str">
            <v>BARTER 4</v>
          </cell>
        </row>
        <row r="2240">
          <cell r="B2240">
            <v>1332327</v>
          </cell>
          <cell r="C2240" t="str">
            <v>BARTER / CALVIN CELL</v>
          </cell>
        </row>
        <row r="2241">
          <cell r="B2241">
            <v>1555359</v>
          </cell>
          <cell r="C2241" t="str">
            <v>UTAMA JAYA CELL</v>
          </cell>
        </row>
        <row r="2242">
          <cell r="B2242">
            <v>1297812</v>
          </cell>
          <cell r="C2242" t="str">
            <v>YANS CELL</v>
          </cell>
        </row>
        <row r="2243">
          <cell r="B2243">
            <v>1338764</v>
          </cell>
          <cell r="C2243" t="str">
            <v>SANDS CELL 2</v>
          </cell>
        </row>
        <row r="2244">
          <cell r="B2244">
            <v>1386362</v>
          </cell>
          <cell r="C2244" t="str">
            <v>RASYID JR</v>
          </cell>
        </row>
        <row r="2245">
          <cell r="B2245">
            <v>763128</v>
          </cell>
          <cell r="C2245" t="str">
            <v>HENDRA CELL</v>
          </cell>
        </row>
        <row r="2246">
          <cell r="B2246">
            <v>1350434</v>
          </cell>
          <cell r="C2246" t="str">
            <v>IND STUDIO CELL</v>
          </cell>
        </row>
        <row r="2247">
          <cell r="B2247">
            <v>920860</v>
          </cell>
          <cell r="C2247" t="str">
            <v>lembayung 2</v>
          </cell>
        </row>
        <row r="2248">
          <cell r="B2248">
            <v>663219</v>
          </cell>
          <cell r="C2248" t="str">
            <v>SAND S CELL</v>
          </cell>
        </row>
        <row r="2249">
          <cell r="B2249">
            <v>17018791</v>
          </cell>
          <cell r="C2249" t="str">
            <v>DILAN CELL</v>
          </cell>
        </row>
        <row r="2250">
          <cell r="B2250">
            <v>17031868</v>
          </cell>
          <cell r="C2250" t="str">
            <v>HIBAR CELL</v>
          </cell>
        </row>
        <row r="2251">
          <cell r="B2251">
            <v>17139570</v>
          </cell>
          <cell r="C2251" t="str">
            <v>Maharestu cell</v>
          </cell>
        </row>
        <row r="2252">
          <cell r="B2252">
            <v>17151623</v>
          </cell>
          <cell r="C2252" t="str">
            <v>Kayla cell</v>
          </cell>
        </row>
        <row r="2253">
          <cell r="B2253">
            <v>17202018</v>
          </cell>
          <cell r="C2253" t="str">
            <v>SEPUR CELL</v>
          </cell>
        </row>
        <row r="2254">
          <cell r="B2254">
            <v>17215999</v>
          </cell>
          <cell r="C2254" t="str">
            <v>Warpeut cell</v>
          </cell>
        </row>
        <row r="2255">
          <cell r="B2255">
            <v>17229646</v>
          </cell>
          <cell r="C2255" t="str">
            <v>Rio Cell</v>
          </cell>
        </row>
        <row r="2256">
          <cell r="B2256">
            <v>17231624</v>
          </cell>
          <cell r="C2256" t="str">
            <v>Total Cellular</v>
          </cell>
        </row>
        <row r="2257">
          <cell r="B2257">
            <v>17231676</v>
          </cell>
          <cell r="C2257" t="str">
            <v>Glagatz cell</v>
          </cell>
        </row>
        <row r="2258">
          <cell r="B2258">
            <v>17232348</v>
          </cell>
          <cell r="C2258" t="str">
            <v>Wida cell</v>
          </cell>
        </row>
        <row r="2259">
          <cell r="B2259">
            <v>17244335</v>
          </cell>
          <cell r="C2259" t="str">
            <v>Miko cell</v>
          </cell>
        </row>
        <row r="2260">
          <cell r="B2260">
            <v>17247015</v>
          </cell>
          <cell r="C2260" t="str">
            <v>ARS reload</v>
          </cell>
        </row>
        <row r="2261">
          <cell r="B2261">
            <v>17258485</v>
          </cell>
          <cell r="C2261" t="str">
            <v>Akbar Ashidqi cell</v>
          </cell>
        </row>
        <row r="2262">
          <cell r="B2262">
            <v>17293682</v>
          </cell>
          <cell r="C2262" t="str">
            <v>Desti cell</v>
          </cell>
        </row>
        <row r="2263">
          <cell r="B2263">
            <v>17316148</v>
          </cell>
          <cell r="C2263" t="str">
            <v>DILAN 2</v>
          </cell>
        </row>
        <row r="2264">
          <cell r="B2264">
            <v>17328908</v>
          </cell>
          <cell r="C2264" t="str">
            <v>Sand 2 Cell</v>
          </cell>
        </row>
        <row r="2265">
          <cell r="B2265">
            <v>17353996</v>
          </cell>
          <cell r="C2265" t="str">
            <v>RASYID CELL</v>
          </cell>
        </row>
        <row r="2266">
          <cell r="B2266">
            <v>17379854</v>
          </cell>
          <cell r="C2266" t="str">
            <v>KLB PULSA 2</v>
          </cell>
        </row>
        <row r="2267">
          <cell r="B2267">
            <v>17383074</v>
          </cell>
          <cell r="C2267" t="str">
            <v>KENTHU CELULER</v>
          </cell>
        </row>
        <row r="2268">
          <cell r="B2268">
            <v>17383155</v>
          </cell>
          <cell r="C2268" t="str">
            <v>TOKO IBU</v>
          </cell>
        </row>
        <row r="2269">
          <cell r="B2269">
            <v>17403378</v>
          </cell>
          <cell r="C2269" t="str">
            <v>Adlan cell</v>
          </cell>
        </row>
        <row r="2270">
          <cell r="B2270">
            <v>17403598</v>
          </cell>
          <cell r="C2270" t="str">
            <v>Toko Mandor</v>
          </cell>
        </row>
        <row r="2271">
          <cell r="B2271">
            <v>17407735</v>
          </cell>
          <cell r="C2271" t="str">
            <v>DHENIZ CELL</v>
          </cell>
        </row>
        <row r="2272">
          <cell r="B2272">
            <v>17435633</v>
          </cell>
          <cell r="C2272" t="str">
            <v>Ars cell</v>
          </cell>
        </row>
        <row r="2273">
          <cell r="B2273">
            <v>17435637</v>
          </cell>
          <cell r="C2273" t="str">
            <v>Alfian cell</v>
          </cell>
        </row>
        <row r="2274">
          <cell r="B2274">
            <v>17436986</v>
          </cell>
          <cell r="C2274" t="str">
            <v>OLIVYA CELL</v>
          </cell>
        </row>
        <row r="2275">
          <cell r="B2275">
            <v>17444285</v>
          </cell>
          <cell r="C2275" t="str">
            <v>Wa ONE cell</v>
          </cell>
        </row>
        <row r="2276">
          <cell r="B2276">
            <v>17444343</v>
          </cell>
          <cell r="C2276" t="str">
            <v>INAYA cell</v>
          </cell>
        </row>
        <row r="2277">
          <cell r="B2277">
            <v>17446615</v>
          </cell>
          <cell r="C2277" t="str">
            <v>NETTO CELL</v>
          </cell>
        </row>
        <row r="2278">
          <cell r="B2278">
            <v>17446636</v>
          </cell>
          <cell r="C2278" t="str">
            <v>PRIME CELL</v>
          </cell>
        </row>
        <row r="2279">
          <cell r="B2279">
            <v>17446655</v>
          </cell>
          <cell r="C2279" t="str">
            <v>Berkah cell</v>
          </cell>
        </row>
        <row r="2280">
          <cell r="B2280">
            <v>17447869</v>
          </cell>
          <cell r="C2280" t="str">
            <v>Barter Calvin</v>
          </cell>
        </row>
        <row r="2281">
          <cell r="B2281">
            <v>17450962</v>
          </cell>
          <cell r="C2281" t="str">
            <v>FHAZAR CELL</v>
          </cell>
        </row>
        <row r="2282">
          <cell r="B2282">
            <v>17455972</v>
          </cell>
          <cell r="C2282" t="str">
            <v>IG Store</v>
          </cell>
        </row>
        <row r="2283">
          <cell r="B2283">
            <v>17460474</v>
          </cell>
          <cell r="C2283" t="str">
            <v>SYAHID CELL</v>
          </cell>
        </row>
        <row r="2284">
          <cell r="B2284">
            <v>17471771</v>
          </cell>
          <cell r="C2284" t="str">
            <v>Gopur cell</v>
          </cell>
        </row>
        <row r="2285">
          <cell r="B2285">
            <v>17472635</v>
          </cell>
          <cell r="C2285" t="str">
            <v>CR7 Store</v>
          </cell>
        </row>
        <row r="2286">
          <cell r="B2286">
            <v>17473018</v>
          </cell>
          <cell r="C2286" t="str">
            <v>Langit Celll</v>
          </cell>
        </row>
        <row r="2287">
          <cell r="B2287">
            <v>17473037</v>
          </cell>
          <cell r="C2287" t="str">
            <v>Awan Cell</v>
          </cell>
        </row>
        <row r="2288">
          <cell r="B2288">
            <v>17473525</v>
          </cell>
          <cell r="C2288" t="str">
            <v>Anggi cell</v>
          </cell>
        </row>
        <row r="2289">
          <cell r="B2289">
            <v>17473533</v>
          </cell>
          <cell r="C2289" t="str">
            <v>Andi cell</v>
          </cell>
        </row>
        <row r="2290">
          <cell r="B2290">
            <v>17473548</v>
          </cell>
          <cell r="C2290" t="str">
            <v>Bule cell</v>
          </cell>
        </row>
        <row r="2291">
          <cell r="B2291">
            <v>17473562</v>
          </cell>
          <cell r="C2291" t="str">
            <v>Ujang cell</v>
          </cell>
        </row>
        <row r="2292">
          <cell r="B2292">
            <v>17473570</v>
          </cell>
          <cell r="C2292" t="str">
            <v>Bul cell</v>
          </cell>
        </row>
        <row r="2293">
          <cell r="B2293">
            <v>17473581</v>
          </cell>
          <cell r="C2293" t="str">
            <v>Pang cell</v>
          </cell>
        </row>
        <row r="2294">
          <cell r="B2294">
            <v>17480735</v>
          </cell>
          <cell r="C2294" t="str">
            <v>Aneka cell</v>
          </cell>
        </row>
        <row r="2295">
          <cell r="B2295">
            <v>17480737</v>
          </cell>
          <cell r="C2295" t="str">
            <v>Bima cell</v>
          </cell>
        </row>
        <row r="2296">
          <cell r="B2296">
            <v>17480738</v>
          </cell>
          <cell r="C2296" t="str">
            <v>Bek cell</v>
          </cell>
        </row>
        <row r="2297">
          <cell r="B2297">
            <v>17512076</v>
          </cell>
          <cell r="C2297" t="str">
            <v>mikayla cell</v>
          </cell>
        </row>
        <row r="2298">
          <cell r="B2298">
            <v>17512087</v>
          </cell>
          <cell r="C2298" t="str">
            <v>nera cell</v>
          </cell>
        </row>
        <row r="2299">
          <cell r="B2299">
            <v>17513102</v>
          </cell>
          <cell r="C2299" t="str">
            <v>SLB CELL</v>
          </cell>
        </row>
        <row r="2300">
          <cell r="B2300">
            <v>17545711</v>
          </cell>
          <cell r="C2300" t="str">
            <v>Barter srv1</v>
          </cell>
        </row>
        <row r="2301">
          <cell r="B2301">
            <v>17587877</v>
          </cell>
          <cell r="C2301" t="str">
            <v>Lain Celluler</v>
          </cell>
        </row>
        <row r="2302">
          <cell r="B2302">
            <v>17590023</v>
          </cell>
          <cell r="C2302" t="str">
            <v>RUHIYYAH Cell</v>
          </cell>
        </row>
        <row r="2303">
          <cell r="B2303">
            <v>17590024</v>
          </cell>
          <cell r="C2303" t="str">
            <v>ANITA STORE</v>
          </cell>
        </row>
        <row r="2304">
          <cell r="B2304">
            <v>17590025</v>
          </cell>
          <cell r="C2304" t="str">
            <v>246 Cell</v>
          </cell>
        </row>
        <row r="2305">
          <cell r="B2305">
            <v>17590414</v>
          </cell>
          <cell r="C2305" t="str">
            <v>Wara Wiri 1</v>
          </cell>
        </row>
        <row r="2306">
          <cell r="B2306">
            <v>17590416</v>
          </cell>
          <cell r="C2306" t="str">
            <v>Wara Wiri 2</v>
          </cell>
        </row>
        <row r="2307">
          <cell r="B2307">
            <v>17590424</v>
          </cell>
          <cell r="C2307" t="str">
            <v>Waka Waka relod</v>
          </cell>
        </row>
        <row r="2308">
          <cell r="B2308">
            <v>17590430</v>
          </cell>
          <cell r="C2308" t="str">
            <v>Waka Waka pulsa</v>
          </cell>
        </row>
        <row r="2309">
          <cell r="B2309">
            <v>17590432</v>
          </cell>
          <cell r="C2309" t="str">
            <v>Waka paymen</v>
          </cell>
        </row>
        <row r="2310">
          <cell r="B2310">
            <v>17590440</v>
          </cell>
          <cell r="C2310" t="str">
            <v>Sultan relod</v>
          </cell>
        </row>
        <row r="2311">
          <cell r="B2311">
            <v>17590445</v>
          </cell>
          <cell r="C2311" t="str">
            <v>Sultan pulsa</v>
          </cell>
        </row>
        <row r="2312">
          <cell r="B2312">
            <v>17590448</v>
          </cell>
          <cell r="C2312" t="str">
            <v>Jawara pulsa</v>
          </cell>
        </row>
        <row r="2313">
          <cell r="B2313">
            <v>17590449</v>
          </cell>
          <cell r="C2313" t="str">
            <v>Yayang cell</v>
          </cell>
        </row>
        <row r="2314">
          <cell r="B2314">
            <v>17590455</v>
          </cell>
          <cell r="C2314" t="str">
            <v>Jawara relod</v>
          </cell>
        </row>
        <row r="2315">
          <cell r="B2315">
            <v>17590459</v>
          </cell>
          <cell r="C2315" t="str">
            <v>operator cell</v>
          </cell>
        </row>
        <row r="2316">
          <cell r="B2316">
            <v>17599752</v>
          </cell>
          <cell r="C2316" t="str">
            <v>Toko syawal</v>
          </cell>
        </row>
        <row r="2317">
          <cell r="B2317">
            <v>17615973</v>
          </cell>
          <cell r="C2317" t="str">
            <v>ciwaru cell</v>
          </cell>
        </row>
        <row r="2318">
          <cell r="B2318">
            <v>17616155</v>
          </cell>
          <cell r="C2318" t="str">
            <v>Dewi</v>
          </cell>
        </row>
        <row r="2319">
          <cell r="B2319">
            <v>17653773</v>
          </cell>
          <cell r="C2319" t="str">
            <v>One Cell</v>
          </cell>
        </row>
        <row r="2320">
          <cell r="B2320">
            <v>17656511</v>
          </cell>
          <cell r="C2320" t="str">
            <v>cibodas cell</v>
          </cell>
        </row>
        <row r="2321">
          <cell r="B2321">
            <v>17668553</v>
          </cell>
          <cell r="C2321" t="str">
            <v>Hans Motor Cell</v>
          </cell>
        </row>
        <row r="2322">
          <cell r="B2322">
            <v>17670318</v>
          </cell>
          <cell r="C2322" t="str">
            <v>Nani 2 Cell</v>
          </cell>
        </row>
        <row r="2323">
          <cell r="B2323">
            <v>17670346</v>
          </cell>
          <cell r="C2323" t="str">
            <v>Syakira Cell</v>
          </cell>
        </row>
        <row r="2324">
          <cell r="B2324">
            <v>17670650</v>
          </cell>
          <cell r="C2324" t="str">
            <v>AR Store</v>
          </cell>
        </row>
        <row r="2325">
          <cell r="B2325">
            <v>17672367</v>
          </cell>
          <cell r="C2325" t="str">
            <v>Berkah abadi</v>
          </cell>
        </row>
        <row r="2326">
          <cell r="B2326">
            <v>17673816</v>
          </cell>
          <cell r="C2326" t="str">
            <v>Warung deris</v>
          </cell>
        </row>
        <row r="2327">
          <cell r="B2327">
            <v>17674343</v>
          </cell>
          <cell r="C2327" t="str">
            <v>WP_warung ibu siti</v>
          </cell>
        </row>
        <row r="2328">
          <cell r="B2328">
            <v>17675404</v>
          </cell>
          <cell r="C2328" t="str">
            <v>Kios_Warung Ani</v>
          </cell>
        </row>
        <row r="2329">
          <cell r="B2329">
            <v>17675412</v>
          </cell>
          <cell r="C2329" t="str">
            <v>Kios_Nani 2</v>
          </cell>
        </row>
        <row r="2330">
          <cell r="B2330">
            <v>17680343</v>
          </cell>
          <cell r="C2330" t="str">
            <v>Berkah Abadi Cell</v>
          </cell>
        </row>
        <row r="2331">
          <cell r="B2331">
            <v>17684182</v>
          </cell>
          <cell r="C2331" t="str">
            <v>Toko Della</v>
          </cell>
        </row>
        <row r="2332">
          <cell r="B2332">
            <v>17686675</v>
          </cell>
          <cell r="C2332" t="str">
            <v>Wp-babah</v>
          </cell>
        </row>
        <row r="2333">
          <cell r="B2333">
            <v>17686676</v>
          </cell>
          <cell r="C2333" t="str">
            <v>Wp-badrun</v>
          </cell>
        </row>
        <row r="2334">
          <cell r="B2334">
            <v>17686677</v>
          </cell>
          <cell r="C2334" t="str">
            <v>Wp-agil</v>
          </cell>
        </row>
        <row r="2335">
          <cell r="B2335">
            <v>17686678</v>
          </cell>
          <cell r="C2335" t="str">
            <v>Wp-aji</v>
          </cell>
        </row>
        <row r="2336">
          <cell r="B2336">
            <v>17686679</v>
          </cell>
          <cell r="C2336" t="str">
            <v>Wp-cecep</v>
          </cell>
        </row>
        <row r="2337">
          <cell r="B2337">
            <v>17704547</v>
          </cell>
          <cell r="C2337" t="str">
            <v>MOBILE STORE</v>
          </cell>
        </row>
        <row r="2338">
          <cell r="B2338">
            <v>17729700</v>
          </cell>
          <cell r="C2338" t="str">
            <v>Zarfan Cell</v>
          </cell>
        </row>
        <row r="2339">
          <cell r="B2339">
            <v>17729830</v>
          </cell>
          <cell r="C2339" t="str">
            <v>Ryan store</v>
          </cell>
        </row>
        <row r="2340">
          <cell r="B2340">
            <v>17729845</v>
          </cell>
          <cell r="C2340" t="str">
            <v>Lisna cell</v>
          </cell>
        </row>
        <row r="2341">
          <cell r="B2341">
            <v>17729962</v>
          </cell>
          <cell r="C2341" t="str">
            <v>KLB CELL</v>
          </cell>
        </row>
        <row r="2342">
          <cell r="B2342">
            <v>17729987</v>
          </cell>
          <cell r="C2342" t="str">
            <v>RE phonestore</v>
          </cell>
        </row>
        <row r="2343">
          <cell r="B2343">
            <v>17730454</v>
          </cell>
          <cell r="C2343" t="str">
            <v>Wp - Sinar Barokah Cell</v>
          </cell>
        </row>
        <row r="2344">
          <cell r="B2344">
            <v>17730702</v>
          </cell>
          <cell r="C2344" t="str">
            <v>Om Den cell</v>
          </cell>
        </row>
        <row r="2345">
          <cell r="B2345">
            <v>17731188</v>
          </cell>
          <cell r="C2345" t="str">
            <v>TOMZ CELL</v>
          </cell>
        </row>
        <row r="2346">
          <cell r="B2346">
            <v>17731189</v>
          </cell>
          <cell r="C2346" t="str">
            <v>BERKAH CELL</v>
          </cell>
        </row>
        <row r="2347">
          <cell r="B2347">
            <v>17731324</v>
          </cell>
          <cell r="C2347" t="str">
            <v>Wp - AFIQA JAYA</v>
          </cell>
        </row>
        <row r="2348">
          <cell r="B2348">
            <v>17731374</v>
          </cell>
          <cell r="C2348" t="str">
            <v>Lucky Cell</v>
          </cell>
        </row>
        <row r="2349">
          <cell r="B2349">
            <v>17732241</v>
          </cell>
          <cell r="C2349" t="str">
            <v>Toko Bella</v>
          </cell>
        </row>
        <row r="2350">
          <cell r="B2350">
            <v>17732567</v>
          </cell>
          <cell r="C2350" t="str">
            <v>Raffanza cell</v>
          </cell>
        </row>
        <row r="2351">
          <cell r="B2351">
            <v>17733853</v>
          </cell>
          <cell r="C2351" t="str">
            <v>Alifa cell</v>
          </cell>
        </row>
        <row r="2352">
          <cell r="B2352">
            <v>17733903</v>
          </cell>
          <cell r="C2352" t="str">
            <v>ABM CELL</v>
          </cell>
        </row>
        <row r="2353">
          <cell r="B2353">
            <v>17732510</v>
          </cell>
          <cell r="C2353" t="str">
            <v>Mandiri Cell</v>
          </cell>
        </row>
        <row r="2354">
          <cell r="B2354">
            <v>17732554</v>
          </cell>
          <cell r="C2354" t="str">
            <v>Rafqi Pulsa</v>
          </cell>
        </row>
        <row r="2355">
          <cell r="B2355">
            <v>17733268</v>
          </cell>
          <cell r="C2355" t="str">
            <v>Setia Cell</v>
          </cell>
        </row>
        <row r="2356">
          <cell r="B2356">
            <v>17733294</v>
          </cell>
          <cell r="C2356" t="str">
            <v>ARLUGEA STORE</v>
          </cell>
        </row>
        <row r="2357">
          <cell r="B2357">
            <v>17734002</v>
          </cell>
          <cell r="C2357" t="str">
            <v>EBEH CELL</v>
          </cell>
        </row>
        <row r="2358">
          <cell r="B2358">
            <v>17734116</v>
          </cell>
          <cell r="C2358" t="str">
            <v>BAR-BAR CEL</v>
          </cell>
        </row>
        <row r="2359">
          <cell r="B2359">
            <v>17734713</v>
          </cell>
          <cell r="C2359" t="str">
            <v>Aurora cell</v>
          </cell>
        </row>
        <row r="2360">
          <cell r="B2360">
            <v>17735104</v>
          </cell>
          <cell r="C2360" t="str">
            <v>Khedira cell</v>
          </cell>
        </row>
        <row r="2361">
          <cell r="B2361">
            <v>17735392</v>
          </cell>
          <cell r="C2361" t="str">
            <v>Rahmat cell</v>
          </cell>
        </row>
        <row r="2362">
          <cell r="B2362">
            <v>17735572</v>
          </cell>
          <cell r="C2362" t="str">
            <v>Fauziah Cell</v>
          </cell>
        </row>
        <row r="2363">
          <cell r="B2363">
            <v>17737026</v>
          </cell>
          <cell r="C2363" t="str">
            <v>Yan cell</v>
          </cell>
        </row>
        <row r="2364">
          <cell r="B2364">
            <v>17737142</v>
          </cell>
          <cell r="C2364" t="str">
            <v>Riefka cell</v>
          </cell>
        </row>
        <row r="2365">
          <cell r="B2365">
            <v>17737339</v>
          </cell>
          <cell r="C2365" t="str">
            <v>Parhan Cell</v>
          </cell>
        </row>
        <row r="2366">
          <cell r="B2366">
            <v>17737459</v>
          </cell>
          <cell r="C2366" t="str">
            <v>WP - CACA CICI</v>
          </cell>
        </row>
        <row r="2367">
          <cell r="B2367">
            <v>17738322</v>
          </cell>
          <cell r="C2367" t="str">
            <v>Azzura Cell</v>
          </cell>
        </row>
        <row r="2368">
          <cell r="B2368">
            <v>17740037</v>
          </cell>
          <cell r="C2368" t="str">
            <v>SHITA olshop</v>
          </cell>
        </row>
        <row r="2369">
          <cell r="B2369">
            <v>17740226</v>
          </cell>
          <cell r="C2369" t="str">
            <v>Kayla cell</v>
          </cell>
        </row>
        <row r="2370">
          <cell r="B2370">
            <v>17740152</v>
          </cell>
          <cell r="C2370" t="str">
            <v>SILFA FAMILY</v>
          </cell>
        </row>
        <row r="2371">
          <cell r="B2371">
            <v>17739291</v>
          </cell>
          <cell r="C2371" t="str">
            <v>Alfian Cell</v>
          </cell>
        </row>
        <row r="2372">
          <cell r="B2372">
            <v>17740819</v>
          </cell>
          <cell r="C2372" t="str">
            <v>Toko Paisal</v>
          </cell>
        </row>
        <row r="2373">
          <cell r="B2373">
            <v>17640257</v>
          </cell>
          <cell r="C2373" t="str">
            <v>Adijaya2 Cell</v>
          </cell>
        </row>
        <row r="2374">
          <cell r="B2374">
            <v>17195703</v>
          </cell>
          <cell r="C2374" t="str">
            <v>PRABU CELL</v>
          </cell>
        </row>
        <row r="2375">
          <cell r="B2375">
            <v>1381155</v>
          </cell>
          <cell r="C2375" t="str">
            <v>Abriel Cell</v>
          </cell>
        </row>
        <row r="2376">
          <cell r="B2376">
            <v>17191897</v>
          </cell>
          <cell r="C2376" t="str">
            <v>Adi jaya cell</v>
          </cell>
        </row>
        <row r="2377">
          <cell r="B2377">
            <v>17526072</v>
          </cell>
          <cell r="C2377" t="str">
            <v>Ajung cell</v>
          </cell>
        </row>
        <row r="2378">
          <cell r="B2378">
            <v>17270046</v>
          </cell>
          <cell r="C2378" t="str">
            <v>Alo cell</v>
          </cell>
        </row>
        <row r="2379">
          <cell r="B2379">
            <v>789001</v>
          </cell>
          <cell r="C2379" t="str">
            <v>Andini cell</v>
          </cell>
        </row>
        <row r="2380">
          <cell r="B2380">
            <v>17190729</v>
          </cell>
          <cell r="C2380" t="str">
            <v>ANTON CELL</v>
          </cell>
        </row>
        <row r="2381">
          <cell r="B2381">
            <v>17546892</v>
          </cell>
          <cell r="C2381" t="str">
            <v>Apip SRC</v>
          </cell>
        </row>
        <row r="2382">
          <cell r="B2382">
            <v>17470879</v>
          </cell>
          <cell r="C2382" t="str">
            <v>Attiqiah cell</v>
          </cell>
        </row>
        <row r="2383">
          <cell r="B2383">
            <v>17437985</v>
          </cell>
          <cell r="C2383" t="str">
            <v>Bagas cell</v>
          </cell>
        </row>
        <row r="2384">
          <cell r="B2384">
            <v>17257375</v>
          </cell>
          <cell r="C2384" t="str">
            <v>BUNGSU CELL</v>
          </cell>
        </row>
        <row r="2385">
          <cell r="B2385">
            <v>1550717</v>
          </cell>
          <cell r="C2385" t="str">
            <v>Centre flasher2</v>
          </cell>
        </row>
        <row r="2386">
          <cell r="B2386">
            <v>17270036</v>
          </cell>
          <cell r="C2386" t="str">
            <v>Dadali SRC</v>
          </cell>
        </row>
        <row r="2387">
          <cell r="B2387">
            <v>17265057</v>
          </cell>
          <cell r="C2387" t="str">
            <v>DHIMA RETAILER</v>
          </cell>
        </row>
        <row r="2388">
          <cell r="B2388">
            <v>1296489</v>
          </cell>
          <cell r="C2388" t="str">
            <v>Dias cell</v>
          </cell>
        </row>
        <row r="2389">
          <cell r="B2389">
            <v>17308761</v>
          </cell>
          <cell r="C2389" t="str">
            <v>Dias cell 2</v>
          </cell>
        </row>
        <row r="2390">
          <cell r="B2390">
            <v>17522709</v>
          </cell>
          <cell r="C2390" t="str">
            <v>Disya cell</v>
          </cell>
        </row>
        <row r="2391">
          <cell r="B2391">
            <v>1558171</v>
          </cell>
          <cell r="C2391" t="str">
            <v>EKA</v>
          </cell>
        </row>
        <row r="2392">
          <cell r="B2392">
            <v>567156</v>
          </cell>
          <cell r="C2392" t="str">
            <v>EKO CELL</v>
          </cell>
        </row>
        <row r="2393">
          <cell r="B2393">
            <v>17247260</v>
          </cell>
          <cell r="C2393" t="str">
            <v>Epul cell</v>
          </cell>
        </row>
        <row r="2394">
          <cell r="B2394">
            <v>17555856</v>
          </cell>
          <cell r="C2394" t="str">
            <v>ER CELL</v>
          </cell>
        </row>
        <row r="2395">
          <cell r="B2395">
            <v>17583690</v>
          </cell>
          <cell r="C2395" t="str">
            <v>ESA CELL</v>
          </cell>
        </row>
        <row r="2396">
          <cell r="B2396">
            <v>17600502</v>
          </cell>
          <cell r="C2396" t="str">
            <v>Fadhil cell</v>
          </cell>
        </row>
        <row r="2397">
          <cell r="B2397">
            <v>17237777</v>
          </cell>
          <cell r="C2397" t="str">
            <v>FAJAR CELL</v>
          </cell>
        </row>
        <row r="2398">
          <cell r="B2398">
            <v>17149054</v>
          </cell>
          <cell r="C2398" t="str">
            <v>FAMILY CELL</v>
          </cell>
        </row>
        <row r="2399">
          <cell r="B2399">
            <v>17229302</v>
          </cell>
          <cell r="C2399" t="str">
            <v>Global cell</v>
          </cell>
        </row>
        <row r="2400">
          <cell r="B2400">
            <v>17484812</v>
          </cell>
          <cell r="C2400" t="str">
            <v>GM Multy Cell 4</v>
          </cell>
        </row>
        <row r="2401">
          <cell r="B2401">
            <v>17495283</v>
          </cell>
          <cell r="C2401" t="str">
            <v>Goelay cell</v>
          </cell>
        </row>
        <row r="2402">
          <cell r="B2402">
            <v>17522710</v>
          </cell>
          <cell r="C2402" t="str">
            <v>Halim cell</v>
          </cell>
        </row>
        <row r="2403">
          <cell r="B2403">
            <v>17583686</v>
          </cell>
          <cell r="C2403" t="str">
            <v>Henni cell</v>
          </cell>
        </row>
        <row r="2404">
          <cell r="B2404">
            <v>17149093</v>
          </cell>
          <cell r="C2404" t="str">
            <v>JM CELL</v>
          </cell>
        </row>
        <row r="2405">
          <cell r="B2405">
            <v>1556596</v>
          </cell>
          <cell r="C2405" t="str">
            <v>KHIRAN</v>
          </cell>
        </row>
        <row r="2406">
          <cell r="B2406">
            <v>17203997</v>
          </cell>
          <cell r="C2406" t="str">
            <v>MITRA CEL</v>
          </cell>
        </row>
        <row r="2407">
          <cell r="B2407">
            <v>957912</v>
          </cell>
          <cell r="C2407" t="str">
            <v>NISYA CELL</v>
          </cell>
        </row>
        <row r="2408">
          <cell r="B2408">
            <v>17149098</v>
          </cell>
          <cell r="C2408" t="str">
            <v>PM 2 CEL</v>
          </cell>
        </row>
        <row r="2409">
          <cell r="B2409">
            <v>1550718</v>
          </cell>
          <cell r="C2409" t="str">
            <v>PM cell</v>
          </cell>
        </row>
        <row r="2410">
          <cell r="B2410">
            <v>1373033</v>
          </cell>
          <cell r="C2410" t="str">
            <v>Putri Cell</v>
          </cell>
        </row>
        <row r="2411">
          <cell r="B2411">
            <v>1075403</v>
          </cell>
          <cell r="C2411" t="str">
            <v>rans cell</v>
          </cell>
        </row>
        <row r="2412">
          <cell r="B2412">
            <v>17246999</v>
          </cell>
          <cell r="C2412" t="str">
            <v>RATU CELL</v>
          </cell>
        </row>
        <row r="2413">
          <cell r="B2413">
            <v>17546896</v>
          </cell>
          <cell r="C2413" t="str">
            <v>Razka cell</v>
          </cell>
        </row>
        <row r="2414">
          <cell r="B2414">
            <v>1365115</v>
          </cell>
          <cell r="C2414" t="str">
            <v>Samijan 2 cell</v>
          </cell>
        </row>
        <row r="2415">
          <cell r="B2415">
            <v>17332062</v>
          </cell>
          <cell r="C2415" t="str">
            <v>Surya cell</v>
          </cell>
        </row>
        <row r="2416">
          <cell r="B2416">
            <v>17318331</v>
          </cell>
          <cell r="C2416" t="str">
            <v>Tania cell</v>
          </cell>
        </row>
        <row r="2417">
          <cell r="B2417">
            <v>17236249</v>
          </cell>
          <cell r="C2417" t="str">
            <v>U CELL</v>
          </cell>
        </row>
        <row r="2418">
          <cell r="B2418">
            <v>1373839</v>
          </cell>
          <cell r="C2418" t="str">
            <v>yulia 1 cell</v>
          </cell>
        </row>
        <row r="2419">
          <cell r="B2419">
            <v>17214575</v>
          </cell>
          <cell r="C2419" t="str">
            <v>Yulia2 cell</v>
          </cell>
        </row>
        <row r="2420">
          <cell r="B2420">
            <v>17247232</v>
          </cell>
          <cell r="C2420" t="str">
            <v>YUSFI CELL</v>
          </cell>
        </row>
        <row r="2421">
          <cell r="B2421">
            <v>17460823</v>
          </cell>
          <cell r="C2421" t="str">
            <v>Zahir syahir cell</v>
          </cell>
        </row>
        <row r="2422">
          <cell r="B2422">
            <v>1556595</v>
          </cell>
          <cell r="C2422" t="str">
            <v>ZAHRUL</v>
          </cell>
        </row>
        <row r="2423">
          <cell r="B2423">
            <v>17470877</v>
          </cell>
          <cell r="C2423" t="str">
            <v>Zihan cell</v>
          </cell>
        </row>
        <row r="2424">
          <cell r="B2424">
            <v>17615823</v>
          </cell>
          <cell r="C2424" t="str">
            <v>PM 3 CELL</v>
          </cell>
        </row>
        <row r="2425">
          <cell r="B2425">
            <v>17274215</v>
          </cell>
          <cell r="C2425" t="str">
            <v>Ihda cell</v>
          </cell>
        </row>
        <row r="2426">
          <cell r="B2426">
            <v>17166168</v>
          </cell>
          <cell r="C2426" t="str">
            <v>Yufies cell</v>
          </cell>
        </row>
        <row r="2427">
          <cell r="B2427">
            <v>17645181</v>
          </cell>
          <cell r="C2427" t="str">
            <v>DP_RELOAD</v>
          </cell>
        </row>
        <row r="2428">
          <cell r="B2428">
            <v>829269</v>
          </cell>
          <cell r="C2428" t="str">
            <v>768 CELL</v>
          </cell>
        </row>
        <row r="2429">
          <cell r="B2429">
            <v>787192</v>
          </cell>
          <cell r="C2429" t="str">
            <v>ALIF CELL</v>
          </cell>
        </row>
        <row r="2430">
          <cell r="B2430">
            <v>17199765</v>
          </cell>
          <cell r="C2430" t="str">
            <v>ARIES CEL</v>
          </cell>
        </row>
        <row r="2431">
          <cell r="B2431">
            <v>1355241</v>
          </cell>
          <cell r="C2431" t="str">
            <v>Ayu cell</v>
          </cell>
        </row>
        <row r="2432">
          <cell r="B2432">
            <v>17228560</v>
          </cell>
          <cell r="C2432" t="str">
            <v>Azriel cell</v>
          </cell>
        </row>
        <row r="2433">
          <cell r="B2433">
            <v>568870</v>
          </cell>
          <cell r="C2433" t="str">
            <v>BALATAK CELL</v>
          </cell>
        </row>
        <row r="2434">
          <cell r="B2434">
            <v>17539327</v>
          </cell>
          <cell r="C2434" t="str">
            <v>Distro Pay</v>
          </cell>
        </row>
        <row r="2435">
          <cell r="B2435">
            <v>1556083</v>
          </cell>
          <cell r="C2435" t="str">
            <v>dumi cell</v>
          </cell>
        </row>
        <row r="2436">
          <cell r="B2436">
            <v>1369072</v>
          </cell>
          <cell r="C2436" t="str">
            <v>Eri cell</v>
          </cell>
        </row>
        <row r="2437">
          <cell r="B2437">
            <v>1449215</v>
          </cell>
          <cell r="C2437" t="str">
            <v>fadillah cell</v>
          </cell>
        </row>
        <row r="2438">
          <cell r="B2438">
            <v>1363416</v>
          </cell>
          <cell r="C2438" t="str">
            <v>fitur cell</v>
          </cell>
        </row>
        <row r="2439">
          <cell r="B2439">
            <v>607568</v>
          </cell>
          <cell r="C2439" t="str">
            <v>GENERASI CELL</v>
          </cell>
        </row>
        <row r="2440">
          <cell r="B2440">
            <v>1363411</v>
          </cell>
          <cell r="C2440" t="str">
            <v>Hamas2 cell</v>
          </cell>
        </row>
        <row r="2441">
          <cell r="B2441">
            <v>1454104</v>
          </cell>
          <cell r="C2441" t="str">
            <v>Han cell</v>
          </cell>
        </row>
        <row r="2442">
          <cell r="B2442">
            <v>1343302</v>
          </cell>
          <cell r="C2442" t="str">
            <v>hani cell</v>
          </cell>
        </row>
        <row r="2443">
          <cell r="B2443">
            <v>17292609</v>
          </cell>
          <cell r="C2443" t="str">
            <v>Haura cell</v>
          </cell>
        </row>
        <row r="2444">
          <cell r="B2444">
            <v>1452155</v>
          </cell>
          <cell r="C2444" t="str">
            <v>INDAH CEL</v>
          </cell>
        </row>
        <row r="2445">
          <cell r="B2445">
            <v>17483547</v>
          </cell>
          <cell r="C2445" t="str">
            <v>Lestari cell</v>
          </cell>
        </row>
        <row r="2446">
          <cell r="B2446">
            <v>717559</v>
          </cell>
          <cell r="C2446" t="str">
            <v>LINDA CELL</v>
          </cell>
        </row>
        <row r="2447">
          <cell r="B2447">
            <v>746696</v>
          </cell>
          <cell r="C2447" t="str">
            <v>MEDIA CELL</v>
          </cell>
        </row>
        <row r="2448">
          <cell r="B2448">
            <v>1372466</v>
          </cell>
          <cell r="C2448" t="str">
            <v>Moza Cell 2</v>
          </cell>
        </row>
        <row r="2449">
          <cell r="B2449">
            <v>1337441</v>
          </cell>
          <cell r="C2449" t="str">
            <v>mulki cell</v>
          </cell>
        </row>
        <row r="2450">
          <cell r="B2450">
            <v>17517368</v>
          </cell>
          <cell r="C2450" t="str">
            <v>NAI cell</v>
          </cell>
        </row>
        <row r="2451">
          <cell r="B2451">
            <v>17210000</v>
          </cell>
          <cell r="C2451" t="str">
            <v>O ZIEL CELL</v>
          </cell>
        </row>
        <row r="2452">
          <cell r="B2452">
            <v>504288</v>
          </cell>
          <cell r="C2452" t="str">
            <v>ONES CELL</v>
          </cell>
        </row>
        <row r="2453">
          <cell r="B2453">
            <v>646235</v>
          </cell>
          <cell r="C2453" t="str">
            <v>RAMA CELL</v>
          </cell>
        </row>
        <row r="2454">
          <cell r="B2454">
            <v>1449214</v>
          </cell>
          <cell r="C2454" t="str">
            <v>Ramma cell</v>
          </cell>
        </row>
        <row r="2455">
          <cell r="B2455">
            <v>17153284</v>
          </cell>
          <cell r="C2455" t="str">
            <v>Resti cell</v>
          </cell>
        </row>
        <row r="2456">
          <cell r="B2456">
            <v>17516668</v>
          </cell>
          <cell r="C2456" t="str">
            <v>Seldin cell</v>
          </cell>
        </row>
        <row r="2457">
          <cell r="B2457">
            <v>832653</v>
          </cell>
          <cell r="C2457" t="str">
            <v>YENS CELL</v>
          </cell>
        </row>
        <row r="2458">
          <cell r="B2458">
            <v>17525588</v>
          </cell>
          <cell r="C2458" t="str">
            <v>Zeus Realod</v>
          </cell>
        </row>
        <row r="2459">
          <cell r="B2459">
            <v>1340073</v>
          </cell>
          <cell r="C2459" t="str">
            <v>ZODHY 2 CELL</v>
          </cell>
        </row>
        <row r="2460">
          <cell r="B2460">
            <v>17196783</v>
          </cell>
          <cell r="C2460" t="str">
            <v>91CELL</v>
          </cell>
        </row>
        <row r="2461">
          <cell r="B2461">
            <v>17557681</v>
          </cell>
          <cell r="C2461" t="str">
            <v>harum cell</v>
          </cell>
        </row>
        <row r="2462">
          <cell r="B2462">
            <v>17245031</v>
          </cell>
          <cell r="C2462" t="str">
            <v>Hassan cell</v>
          </cell>
        </row>
        <row r="2463">
          <cell r="B2463">
            <v>17197637</v>
          </cell>
          <cell r="C2463" t="str">
            <v>KAZANAH CELL</v>
          </cell>
        </row>
        <row r="2464">
          <cell r="B2464">
            <v>17204517</v>
          </cell>
          <cell r="C2464" t="str">
            <v>Saena cell</v>
          </cell>
        </row>
        <row r="2465">
          <cell r="B2465">
            <v>17331819</v>
          </cell>
          <cell r="C2465" t="str">
            <v>Syila cell</v>
          </cell>
        </row>
        <row r="2466">
          <cell r="B2466">
            <v>17557686</v>
          </cell>
          <cell r="C2466" t="str">
            <v>utama cell</v>
          </cell>
        </row>
        <row r="2467">
          <cell r="B2467">
            <v>17155471</v>
          </cell>
          <cell r="C2467" t="str">
            <v>Acong cell</v>
          </cell>
        </row>
        <row r="2468">
          <cell r="B2468">
            <v>17148996</v>
          </cell>
          <cell r="C2468" t="str">
            <v>Arga</v>
          </cell>
        </row>
        <row r="2469">
          <cell r="B2469">
            <v>17148981</v>
          </cell>
          <cell r="C2469" t="str">
            <v>Fajar</v>
          </cell>
        </row>
        <row r="2470">
          <cell r="B2470">
            <v>17155470</v>
          </cell>
          <cell r="C2470" t="str">
            <v>Fatma cell2</v>
          </cell>
        </row>
        <row r="2471">
          <cell r="B2471">
            <v>17152309</v>
          </cell>
          <cell r="C2471" t="str">
            <v>Online cell</v>
          </cell>
        </row>
        <row r="2472">
          <cell r="B2472">
            <v>17154902</v>
          </cell>
          <cell r="C2472" t="str">
            <v>Sunset cell</v>
          </cell>
        </row>
        <row r="2473">
          <cell r="B2473">
            <v>17388327</v>
          </cell>
          <cell r="C2473" t="str">
            <v>Wan cell</v>
          </cell>
        </row>
        <row r="2474">
          <cell r="B2474">
            <v>17435467</v>
          </cell>
          <cell r="C2474" t="str">
            <v>3D 2 cell</v>
          </cell>
        </row>
        <row r="2475">
          <cell r="B2475">
            <v>17435458</v>
          </cell>
          <cell r="C2475" t="str">
            <v>3D cell</v>
          </cell>
        </row>
        <row r="2476">
          <cell r="B2476">
            <v>17192462</v>
          </cell>
          <cell r="C2476" t="str">
            <v>Ablen cell</v>
          </cell>
        </row>
        <row r="2477">
          <cell r="B2477">
            <v>17437970</v>
          </cell>
          <cell r="C2477" t="str">
            <v>Ajizah</v>
          </cell>
        </row>
        <row r="2478">
          <cell r="B2478">
            <v>17045266</v>
          </cell>
          <cell r="C2478" t="str">
            <v>AL-HUSNA CELL 2</v>
          </cell>
        </row>
        <row r="2479">
          <cell r="B2479">
            <v>17196094</v>
          </cell>
          <cell r="C2479" t="str">
            <v>ALIN CELL</v>
          </cell>
        </row>
        <row r="2480">
          <cell r="B2480">
            <v>17154914</v>
          </cell>
          <cell r="C2480" t="str">
            <v>Anc cell</v>
          </cell>
        </row>
        <row r="2481">
          <cell r="B2481">
            <v>17216307</v>
          </cell>
          <cell r="C2481" t="str">
            <v>ARTHA CELL</v>
          </cell>
        </row>
        <row r="2482">
          <cell r="B2482">
            <v>17437836</v>
          </cell>
          <cell r="C2482" t="str">
            <v>Ce Es Cell</v>
          </cell>
        </row>
        <row r="2483">
          <cell r="B2483">
            <v>1075427</v>
          </cell>
          <cell r="C2483" t="str">
            <v>cido cell</v>
          </cell>
        </row>
        <row r="2484">
          <cell r="B2484">
            <v>17254703</v>
          </cell>
          <cell r="C2484" t="str">
            <v>Dans cell</v>
          </cell>
        </row>
        <row r="2485">
          <cell r="B2485">
            <v>17190092</v>
          </cell>
          <cell r="C2485" t="str">
            <v>Dayu cell</v>
          </cell>
        </row>
        <row r="2486">
          <cell r="B2486">
            <v>17434975</v>
          </cell>
          <cell r="C2486" t="str">
            <v>Dekom cell</v>
          </cell>
        </row>
        <row r="2487">
          <cell r="B2487">
            <v>17154932</v>
          </cell>
          <cell r="C2487" t="str">
            <v>Denix cell</v>
          </cell>
        </row>
        <row r="2488">
          <cell r="B2488">
            <v>17234588</v>
          </cell>
          <cell r="C2488" t="str">
            <v>DINA CELL</v>
          </cell>
        </row>
        <row r="2489">
          <cell r="B2489">
            <v>17529120</v>
          </cell>
          <cell r="C2489" t="str">
            <v>DV Cell</v>
          </cell>
        </row>
        <row r="2490">
          <cell r="B2490">
            <v>1373815</v>
          </cell>
          <cell r="C2490" t="str">
            <v>galaxy cell</v>
          </cell>
        </row>
        <row r="2491">
          <cell r="B2491">
            <v>17167074</v>
          </cell>
          <cell r="C2491" t="str">
            <v>Good store</v>
          </cell>
        </row>
        <row r="2492">
          <cell r="B2492">
            <v>717525</v>
          </cell>
          <cell r="C2492" t="str">
            <v>GUDANG CELL</v>
          </cell>
        </row>
        <row r="2493">
          <cell r="B2493">
            <v>17583553</v>
          </cell>
          <cell r="C2493" t="str">
            <v>Gumilang Cell</v>
          </cell>
        </row>
        <row r="2494">
          <cell r="B2494">
            <v>780279</v>
          </cell>
          <cell r="C2494" t="str">
            <v>HABIBI CELL</v>
          </cell>
        </row>
        <row r="2495">
          <cell r="B2495">
            <v>17494132</v>
          </cell>
          <cell r="C2495" t="str">
            <v>Hijrah cell</v>
          </cell>
        </row>
        <row r="2496">
          <cell r="B2496">
            <v>17229151</v>
          </cell>
          <cell r="C2496" t="str">
            <v>Jaya cell</v>
          </cell>
        </row>
        <row r="2497">
          <cell r="B2497">
            <v>1355240</v>
          </cell>
          <cell r="C2497" t="str">
            <v>jne nagrak</v>
          </cell>
        </row>
        <row r="2498">
          <cell r="B2498">
            <v>17245250</v>
          </cell>
          <cell r="C2498" t="str">
            <v>KEAN CELL</v>
          </cell>
        </row>
        <row r="2499">
          <cell r="B2499">
            <v>17246192</v>
          </cell>
          <cell r="C2499" t="str">
            <v>KEIKO CELL</v>
          </cell>
        </row>
        <row r="2500">
          <cell r="B2500">
            <v>17197347</v>
          </cell>
          <cell r="C2500" t="str">
            <v>Kembar cell</v>
          </cell>
        </row>
        <row r="2501">
          <cell r="B2501">
            <v>17463124</v>
          </cell>
          <cell r="C2501" t="str">
            <v>Khansa cell</v>
          </cell>
        </row>
        <row r="2502">
          <cell r="B2502">
            <v>738004</v>
          </cell>
          <cell r="C2502" t="str">
            <v>KONTER 34</v>
          </cell>
        </row>
        <row r="2503">
          <cell r="B2503">
            <v>17214530</v>
          </cell>
          <cell r="C2503" t="str">
            <v>KYUU CELL</v>
          </cell>
        </row>
        <row r="2504">
          <cell r="B2504">
            <v>17437597</v>
          </cell>
          <cell r="C2504" t="str">
            <v>Manjur cell</v>
          </cell>
        </row>
        <row r="2505">
          <cell r="B2505">
            <v>17011295</v>
          </cell>
          <cell r="C2505" t="str">
            <v>MARS CELL</v>
          </cell>
        </row>
        <row r="2506">
          <cell r="B2506">
            <v>17494045</v>
          </cell>
          <cell r="C2506" t="str">
            <v>Mars Cell 2</v>
          </cell>
        </row>
        <row r="2507">
          <cell r="B2507">
            <v>1552250</v>
          </cell>
          <cell r="C2507" t="str">
            <v>MESI CELL</v>
          </cell>
        </row>
        <row r="2508">
          <cell r="B2508">
            <v>17154920</v>
          </cell>
          <cell r="C2508" t="str">
            <v>Mesi2</v>
          </cell>
        </row>
        <row r="2509">
          <cell r="B2509">
            <v>1337822</v>
          </cell>
          <cell r="C2509" t="str">
            <v>nagrak cell</v>
          </cell>
        </row>
        <row r="2510">
          <cell r="B2510">
            <v>17519541</v>
          </cell>
          <cell r="C2510" t="str">
            <v>Nesa cell</v>
          </cell>
        </row>
        <row r="2511">
          <cell r="B2511">
            <v>17230549</v>
          </cell>
          <cell r="C2511" t="str">
            <v>Noker cell</v>
          </cell>
        </row>
        <row r="2512">
          <cell r="B2512">
            <v>614602</v>
          </cell>
          <cell r="C2512" t="str">
            <v>OKI CELL</v>
          </cell>
        </row>
        <row r="2513">
          <cell r="B2513">
            <v>17447463</v>
          </cell>
          <cell r="C2513" t="str">
            <v>Planet Cell</v>
          </cell>
        </row>
        <row r="2514">
          <cell r="B2514">
            <v>17473708</v>
          </cell>
          <cell r="C2514" t="str">
            <v>Rafiq Cell</v>
          </cell>
        </row>
        <row r="2515">
          <cell r="B2515">
            <v>17175050</v>
          </cell>
          <cell r="C2515" t="str">
            <v>RARISMA CELL</v>
          </cell>
        </row>
        <row r="2516">
          <cell r="B2516">
            <v>17154934</v>
          </cell>
          <cell r="C2516" t="str">
            <v>RC cell</v>
          </cell>
        </row>
        <row r="2517">
          <cell r="B2517">
            <v>17193120</v>
          </cell>
          <cell r="C2517" t="str">
            <v>Rham cell</v>
          </cell>
        </row>
        <row r="2518">
          <cell r="B2518">
            <v>614452</v>
          </cell>
          <cell r="C2518" t="str">
            <v>ROBI CELL</v>
          </cell>
        </row>
        <row r="2519">
          <cell r="B2519">
            <v>17246295</v>
          </cell>
          <cell r="C2519" t="str">
            <v>S4 CELL</v>
          </cell>
        </row>
        <row r="2520">
          <cell r="B2520">
            <v>1449817</v>
          </cell>
          <cell r="C2520" t="str">
            <v>SEPTI CELL</v>
          </cell>
        </row>
        <row r="2521">
          <cell r="B2521">
            <v>17245480</v>
          </cell>
          <cell r="C2521" t="str">
            <v>SINDANGPARA CELL</v>
          </cell>
        </row>
        <row r="2522">
          <cell r="B2522">
            <v>1381289</v>
          </cell>
          <cell r="C2522" t="str">
            <v>wildan cell</v>
          </cell>
        </row>
        <row r="2523">
          <cell r="B2523">
            <v>567237</v>
          </cell>
          <cell r="C2523" t="str">
            <v>XCD 125 CEL</v>
          </cell>
        </row>
        <row r="2524">
          <cell r="B2524">
            <v>17018325</v>
          </cell>
          <cell r="C2524" t="str">
            <v>YEUM CELL</v>
          </cell>
        </row>
        <row r="2525">
          <cell r="B2525">
            <v>17154917</v>
          </cell>
          <cell r="C2525" t="str">
            <v>Zahra cell</v>
          </cell>
        </row>
        <row r="2526">
          <cell r="B2526">
            <v>1380657</v>
          </cell>
          <cell r="C2526" t="str">
            <v>zaw cell</v>
          </cell>
        </row>
        <row r="2527">
          <cell r="B2527">
            <v>17583566</v>
          </cell>
          <cell r="C2527" t="str">
            <v>Zikryllah Cell</v>
          </cell>
        </row>
        <row r="2528">
          <cell r="B2528">
            <v>1299669</v>
          </cell>
          <cell r="C2528" t="str">
            <v>anugrah cell</v>
          </cell>
        </row>
        <row r="2529">
          <cell r="B2529">
            <v>1355243</v>
          </cell>
          <cell r="C2529" t="str">
            <v>NUDEX CELL</v>
          </cell>
        </row>
        <row r="2530">
          <cell r="B2530">
            <v>697753</v>
          </cell>
          <cell r="C2530" t="str">
            <v>RISMA CELL</v>
          </cell>
        </row>
        <row r="2531">
          <cell r="B2531">
            <v>17228502</v>
          </cell>
          <cell r="C2531" t="str">
            <v>Anton cell</v>
          </cell>
        </row>
        <row r="2532">
          <cell r="B2532">
            <v>17259585</v>
          </cell>
          <cell r="C2532" t="str">
            <v>Karina cell</v>
          </cell>
        </row>
        <row r="2533">
          <cell r="B2533">
            <v>17510821</v>
          </cell>
          <cell r="C2533" t="str">
            <v>Nai cell</v>
          </cell>
        </row>
        <row r="2534">
          <cell r="B2534">
            <v>17388318</v>
          </cell>
          <cell r="C2534" t="str">
            <v>Roket cell</v>
          </cell>
        </row>
        <row r="2535">
          <cell r="B2535">
            <v>17263251</v>
          </cell>
          <cell r="C2535" t="str">
            <v>ADENG CELL</v>
          </cell>
        </row>
        <row r="2536">
          <cell r="B2536">
            <v>17178350</v>
          </cell>
          <cell r="C2536" t="str">
            <v>ADIS CEL</v>
          </cell>
        </row>
        <row r="2537">
          <cell r="B2537">
            <v>17326056</v>
          </cell>
          <cell r="C2537" t="str">
            <v>Afil cell</v>
          </cell>
        </row>
        <row r="2538">
          <cell r="B2538">
            <v>1374846</v>
          </cell>
          <cell r="C2538" t="str">
            <v>AGIL CELL</v>
          </cell>
        </row>
        <row r="2539">
          <cell r="B2539">
            <v>1553461</v>
          </cell>
          <cell r="C2539" t="str">
            <v>Al Paiz</v>
          </cell>
        </row>
        <row r="2540">
          <cell r="B2540">
            <v>1345226</v>
          </cell>
          <cell r="C2540" t="str">
            <v>Alex 2</v>
          </cell>
        </row>
        <row r="2541">
          <cell r="B2541">
            <v>604170</v>
          </cell>
          <cell r="C2541" t="str">
            <v>ALEX CELL</v>
          </cell>
        </row>
        <row r="2542">
          <cell r="B2542">
            <v>17525828</v>
          </cell>
          <cell r="C2542" t="str">
            <v>ananda cell</v>
          </cell>
        </row>
        <row r="2543">
          <cell r="B2543">
            <v>17200212</v>
          </cell>
          <cell r="C2543" t="str">
            <v>Aura Cell</v>
          </cell>
        </row>
        <row r="2544">
          <cell r="B2544">
            <v>17209408</v>
          </cell>
          <cell r="C2544" t="str">
            <v>AZIZ CELL</v>
          </cell>
        </row>
        <row r="2545">
          <cell r="B2545">
            <v>17217300</v>
          </cell>
          <cell r="C2545" t="str">
            <v>B29 CELL</v>
          </cell>
        </row>
        <row r="2546">
          <cell r="B2546">
            <v>17230869</v>
          </cell>
          <cell r="C2546" t="str">
            <v>BERKAH PC CELL</v>
          </cell>
        </row>
        <row r="2547">
          <cell r="B2547">
            <v>17238093</v>
          </cell>
          <cell r="C2547" t="str">
            <v>C CELL</v>
          </cell>
        </row>
        <row r="2548">
          <cell r="B2548">
            <v>1357143</v>
          </cell>
          <cell r="C2548" t="str">
            <v>Cills cell</v>
          </cell>
        </row>
        <row r="2549">
          <cell r="B2549">
            <v>17018329</v>
          </cell>
          <cell r="C2549" t="str">
            <v>DARDA CELL</v>
          </cell>
        </row>
        <row r="2550">
          <cell r="B2550">
            <v>17017913</v>
          </cell>
          <cell r="C2550" t="str">
            <v>DERI CELL</v>
          </cell>
        </row>
        <row r="2551">
          <cell r="B2551">
            <v>1297842</v>
          </cell>
          <cell r="C2551" t="str">
            <v>DHIE CELL</v>
          </cell>
        </row>
        <row r="2552">
          <cell r="B2552">
            <v>17583478</v>
          </cell>
          <cell r="C2552" t="str">
            <v>Dull Cell</v>
          </cell>
        </row>
        <row r="2553">
          <cell r="B2553">
            <v>17188692</v>
          </cell>
          <cell r="C2553" t="str">
            <v>Dzakie cell</v>
          </cell>
        </row>
        <row r="2554">
          <cell r="B2554">
            <v>17220928</v>
          </cell>
          <cell r="C2554" t="str">
            <v>EDOS CELL</v>
          </cell>
        </row>
        <row r="2555">
          <cell r="B2555">
            <v>1311603</v>
          </cell>
          <cell r="C2555" t="str">
            <v>farel cell</v>
          </cell>
        </row>
        <row r="2556">
          <cell r="B2556">
            <v>17178414</v>
          </cell>
          <cell r="C2556" t="str">
            <v>FEREL CELL</v>
          </cell>
        </row>
        <row r="2557">
          <cell r="B2557">
            <v>17270628</v>
          </cell>
          <cell r="C2557" t="str">
            <v>G-END cell</v>
          </cell>
        </row>
        <row r="2558">
          <cell r="B2558">
            <v>17315408</v>
          </cell>
          <cell r="C2558" t="str">
            <v>GM Cell</v>
          </cell>
        </row>
        <row r="2559">
          <cell r="B2559">
            <v>1553396</v>
          </cell>
          <cell r="C2559" t="str">
            <v>GM MULTI 2CELL</v>
          </cell>
        </row>
        <row r="2560">
          <cell r="B2560">
            <v>17213675</v>
          </cell>
          <cell r="C2560" t="str">
            <v>HADI CELL</v>
          </cell>
        </row>
        <row r="2561">
          <cell r="B2561">
            <v>1381152</v>
          </cell>
          <cell r="C2561" t="str">
            <v>Hikmah Cell</v>
          </cell>
        </row>
        <row r="2562">
          <cell r="B2562">
            <v>17155508</v>
          </cell>
          <cell r="C2562" t="str">
            <v>INDO PULSA CELL</v>
          </cell>
        </row>
        <row r="2563">
          <cell r="B2563">
            <v>1297839</v>
          </cell>
          <cell r="C2563" t="str">
            <v>IVHAN CELL</v>
          </cell>
        </row>
        <row r="2564">
          <cell r="B2564">
            <v>1070070</v>
          </cell>
          <cell r="C2564" t="str">
            <v>jihan cell</v>
          </cell>
        </row>
        <row r="2565">
          <cell r="B2565">
            <v>17432335</v>
          </cell>
          <cell r="C2565" t="str">
            <v>MS CELL</v>
          </cell>
        </row>
        <row r="2566">
          <cell r="B2566">
            <v>1070089</v>
          </cell>
          <cell r="C2566" t="str">
            <v>mutia cell</v>
          </cell>
        </row>
        <row r="2567">
          <cell r="B2567">
            <v>17232862</v>
          </cell>
          <cell r="C2567" t="str">
            <v>Najriel cell</v>
          </cell>
        </row>
        <row r="2568">
          <cell r="B2568">
            <v>17197903</v>
          </cell>
          <cell r="C2568" t="str">
            <v>Nayla cell</v>
          </cell>
        </row>
        <row r="2569">
          <cell r="B2569">
            <v>746906</v>
          </cell>
          <cell r="C2569" t="str">
            <v>PRIMA CELL</v>
          </cell>
        </row>
        <row r="2570">
          <cell r="B2570">
            <v>17155504</v>
          </cell>
          <cell r="C2570" t="str">
            <v>RAJBA CELL</v>
          </cell>
        </row>
        <row r="2571">
          <cell r="B2571">
            <v>17155162</v>
          </cell>
          <cell r="C2571" t="str">
            <v>RANI CELL</v>
          </cell>
        </row>
        <row r="2572">
          <cell r="B2572">
            <v>17430900</v>
          </cell>
          <cell r="C2572" t="str">
            <v>Ri 2 cell</v>
          </cell>
        </row>
        <row r="2573">
          <cell r="B2573">
            <v>17189530</v>
          </cell>
          <cell r="C2573" t="str">
            <v>RI CELL</v>
          </cell>
        </row>
        <row r="2574">
          <cell r="B2574">
            <v>17017257</v>
          </cell>
          <cell r="C2574" t="str">
            <v>Rian cell</v>
          </cell>
        </row>
        <row r="2575">
          <cell r="B2575">
            <v>17197256</v>
          </cell>
          <cell r="C2575" t="str">
            <v>RISKA CELL</v>
          </cell>
        </row>
        <row r="2576">
          <cell r="B2576">
            <v>1070050</v>
          </cell>
          <cell r="C2576" t="str">
            <v>rm cell</v>
          </cell>
        </row>
        <row r="2577">
          <cell r="B2577">
            <v>17430214</v>
          </cell>
          <cell r="C2577" t="str">
            <v>sarah cell</v>
          </cell>
        </row>
        <row r="2578">
          <cell r="B2578">
            <v>17232810</v>
          </cell>
          <cell r="C2578" t="str">
            <v>SELSAN CEL</v>
          </cell>
        </row>
        <row r="2579">
          <cell r="B2579">
            <v>17274004</v>
          </cell>
          <cell r="C2579" t="str">
            <v>Septia cell</v>
          </cell>
        </row>
        <row r="2580">
          <cell r="B2580">
            <v>1070110</v>
          </cell>
          <cell r="C2580" t="str">
            <v>silvia cell</v>
          </cell>
        </row>
        <row r="2581">
          <cell r="B2581">
            <v>1372454</v>
          </cell>
          <cell r="C2581" t="str">
            <v>Sindy Cell</v>
          </cell>
        </row>
        <row r="2582">
          <cell r="B2582">
            <v>17437216</v>
          </cell>
          <cell r="C2582" t="str">
            <v>Topan cell</v>
          </cell>
        </row>
        <row r="2583">
          <cell r="B2583">
            <v>17510800</v>
          </cell>
          <cell r="C2583" t="str">
            <v>Triple cell</v>
          </cell>
        </row>
        <row r="2584">
          <cell r="B2584">
            <v>17588809</v>
          </cell>
          <cell r="C2584" t="str">
            <v>Zens 2 cell</v>
          </cell>
        </row>
        <row r="2585">
          <cell r="B2585">
            <v>17597410</v>
          </cell>
          <cell r="C2585" t="str">
            <v>Zens 3 cell</v>
          </cell>
        </row>
        <row r="2586">
          <cell r="B2586">
            <v>1357354</v>
          </cell>
          <cell r="C2586" t="str">
            <v>Zens Cell</v>
          </cell>
        </row>
        <row r="2587">
          <cell r="B2587">
            <v>17588179</v>
          </cell>
          <cell r="C2587" t="str">
            <v>Zzuper Brilink</v>
          </cell>
        </row>
        <row r="2588">
          <cell r="B2588">
            <v>1297831</v>
          </cell>
          <cell r="C2588" t="str">
            <v>CENDANA CELL</v>
          </cell>
        </row>
        <row r="2589">
          <cell r="B2589">
            <v>17627815</v>
          </cell>
          <cell r="C2589" t="str">
            <v>Early cell</v>
          </cell>
        </row>
        <row r="2590">
          <cell r="B2590">
            <v>17627827</v>
          </cell>
          <cell r="C2590" t="str">
            <v>Haus cell</v>
          </cell>
        </row>
        <row r="2591">
          <cell r="B2591">
            <v>910616</v>
          </cell>
          <cell r="C2591" t="str">
            <v>aby cel</v>
          </cell>
        </row>
        <row r="2592">
          <cell r="B2592">
            <v>1435540</v>
          </cell>
          <cell r="C2592" t="str">
            <v>ADE CELL</v>
          </cell>
        </row>
        <row r="2593">
          <cell r="B2593">
            <v>17153647</v>
          </cell>
          <cell r="C2593" t="str">
            <v>AGUNG CELL</v>
          </cell>
        </row>
        <row r="2594">
          <cell r="B2594">
            <v>17387227</v>
          </cell>
          <cell r="C2594" t="str">
            <v>ANGKA CELL</v>
          </cell>
        </row>
        <row r="2595">
          <cell r="B2595">
            <v>17251658</v>
          </cell>
          <cell r="C2595" t="str">
            <v>ANTARIKSA 2 CELL</v>
          </cell>
        </row>
        <row r="2596">
          <cell r="B2596">
            <v>17190582</v>
          </cell>
          <cell r="C2596" t="str">
            <v>ARAYAN CELL</v>
          </cell>
        </row>
        <row r="2597">
          <cell r="B2597">
            <v>17437899</v>
          </cell>
          <cell r="C2597" t="str">
            <v>Asma cell</v>
          </cell>
        </row>
        <row r="2598">
          <cell r="B2598">
            <v>1341988</v>
          </cell>
          <cell r="C2598" t="str">
            <v>aster cell2</v>
          </cell>
        </row>
        <row r="2599">
          <cell r="B2599">
            <v>786562</v>
          </cell>
          <cell r="C2599" t="str">
            <v>AUDY CELL</v>
          </cell>
        </row>
        <row r="2600">
          <cell r="B2600">
            <v>1383853</v>
          </cell>
          <cell r="C2600" t="str">
            <v>barokah cell</v>
          </cell>
        </row>
        <row r="2601">
          <cell r="B2601">
            <v>17583776</v>
          </cell>
          <cell r="C2601" t="str">
            <v>Briya cell</v>
          </cell>
        </row>
        <row r="2602">
          <cell r="B2602">
            <v>17190821</v>
          </cell>
          <cell r="C2602" t="str">
            <v>BVNS CELL</v>
          </cell>
        </row>
        <row r="2603">
          <cell r="B2603">
            <v>17259144</v>
          </cell>
          <cell r="C2603" t="str">
            <v>DERANI CELL</v>
          </cell>
        </row>
        <row r="2604">
          <cell r="B2604">
            <v>1386251</v>
          </cell>
          <cell r="C2604" t="str">
            <v>dewi cell</v>
          </cell>
        </row>
        <row r="2605">
          <cell r="B2605">
            <v>17469395</v>
          </cell>
          <cell r="C2605" t="str">
            <v>Erni Cell</v>
          </cell>
        </row>
        <row r="2606">
          <cell r="B2606">
            <v>1306460</v>
          </cell>
          <cell r="C2606" t="str">
            <v>H n M CELL</v>
          </cell>
        </row>
        <row r="2607">
          <cell r="B2607">
            <v>17432392</v>
          </cell>
          <cell r="C2607" t="str">
            <v>Hikmah cell</v>
          </cell>
        </row>
        <row r="2608">
          <cell r="B2608">
            <v>17153693</v>
          </cell>
          <cell r="C2608" t="str">
            <v>IYO CELL</v>
          </cell>
        </row>
        <row r="2609">
          <cell r="B2609">
            <v>17011539</v>
          </cell>
          <cell r="C2609" t="str">
            <v>JAYA CELULER</v>
          </cell>
        </row>
        <row r="2610">
          <cell r="B2610">
            <v>17431535</v>
          </cell>
          <cell r="C2610" t="str">
            <v>Kaysa cell</v>
          </cell>
        </row>
        <row r="2611">
          <cell r="B2611">
            <v>17466549</v>
          </cell>
          <cell r="C2611" t="str">
            <v>Kaysa cell</v>
          </cell>
        </row>
        <row r="2612">
          <cell r="B2612">
            <v>1356104</v>
          </cell>
          <cell r="C2612" t="str">
            <v>Melati cell</v>
          </cell>
        </row>
        <row r="2613">
          <cell r="B2613">
            <v>1360667</v>
          </cell>
          <cell r="C2613" t="str">
            <v>mim 2 cell</v>
          </cell>
        </row>
        <row r="2614">
          <cell r="B2614">
            <v>17231521</v>
          </cell>
          <cell r="C2614" t="str">
            <v>Mini cell</v>
          </cell>
        </row>
        <row r="2615">
          <cell r="B2615">
            <v>17158304</v>
          </cell>
          <cell r="C2615" t="str">
            <v>PADI CELL</v>
          </cell>
        </row>
        <row r="2616">
          <cell r="B2616">
            <v>1553869</v>
          </cell>
          <cell r="C2616" t="str">
            <v>PERMATA CELL</v>
          </cell>
        </row>
        <row r="2617">
          <cell r="B2617">
            <v>17430620</v>
          </cell>
          <cell r="C2617" t="str">
            <v>Purnama</v>
          </cell>
        </row>
        <row r="2618">
          <cell r="B2618">
            <v>1346344</v>
          </cell>
          <cell r="C2618" t="str">
            <v>Rahman 2 cell</v>
          </cell>
        </row>
        <row r="2619">
          <cell r="B2619">
            <v>1372438</v>
          </cell>
          <cell r="C2619" t="str">
            <v>RID ONE 2 CELL</v>
          </cell>
        </row>
        <row r="2620">
          <cell r="B2620">
            <v>17469382</v>
          </cell>
          <cell r="C2620" t="str">
            <v>Speedomba Cell</v>
          </cell>
        </row>
        <row r="2621">
          <cell r="B2621">
            <v>1339364</v>
          </cell>
          <cell r="C2621" t="str">
            <v>star cell</v>
          </cell>
        </row>
        <row r="2622">
          <cell r="B2622">
            <v>17197455</v>
          </cell>
          <cell r="C2622" t="str">
            <v>TRIPLE CELL</v>
          </cell>
        </row>
        <row r="2623">
          <cell r="B2623">
            <v>17217308</v>
          </cell>
          <cell r="C2623" t="str">
            <v>Umi cell</v>
          </cell>
        </row>
        <row r="2624">
          <cell r="B2624">
            <v>742563</v>
          </cell>
          <cell r="C2624" t="str">
            <v>Wil Cell</v>
          </cell>
        </row>
        <row r="2625">
          <cell r="B2625">
            <v>17388007</v>
          </cell>
          <cell r="C2625" t="str">
            <v>Wr kamun</v>
          </cell>
        </row>
        <row r="2626">
          <cell r="B2626">
            <v>520217</v>
          </cell>
          <cell r="C2626" t="str">
            <v>YUDHA PUTRA CELL</v>
          </cell>
        </row>
        <row r="2627">
          <cell r="B2627">
            <v>17387969</v>
          </cell>
          <cell r="C2627" t="str">
            <v>Yudii cell</v>
          </cell>
        </row>
        <row r="2628">
          <cell r="B2628">
            <v>17154909</v>
          </cell>
          <cell r="C2628" t="str">
            <v>ZIRA CELL</v>
          </cell>
        </row>
        <row r="2629">
          <cell r="B2629">
            <v>17615908</v>
          </cell>
          <cell r="C2629" t="str">
            <v>putra</v>
          </cell>
        </row>
        <row r="2630">
          <cell r="B2630">
            <v>17007928</v>
          </cell>
          <cell r="C2630" t="str">
            <v>MAULIDA CELLULAR</v>
          </cell>
        </row>
        <row r="2631">
          <cell r="B2631">
            <v>1426043</v>
          </cell>
          <cell r="C2631" t="str">
            <v>ANTARIKSA CELL</v>
          </cell>
        </row>
        <row r="2632">
          <cell r="B2632">
            <v>17172731</v>
          </cell>
          <cell r="C2632" t="str">
            <v>Angga cell</v>
          </cell>
        </row>
        <row r="2633">
          <cell r="B2633">
            <v>1339386</v>
          </cell>
          <cell r="C2633" t="str">
            <v>enez cell</v>
          </cell>
        </row>
        <row r="2634">
          <cell r="B2634">
            <v>743731</v>
          </cell>
          <cell r="C2634" t="str">
            <v>HOKY CELL</v>
          </cell>
        </row>
        <row r="2635">
          <cell r="B2635">
            <v>1371751</v>
          </cell>
          <cell r="C2635" t="str">
            <v>jaya phoncel 1</v>
          </cell>
        </row>
        <row r="2636">
          <cell r="B2636">
            <v>17172510</v>
          </cell>
          <cell r="C2636" t="str">
            <v>Langgeng cell</v>
          </cell>
        </row>
        <row r="2637">
          <cell r="B2637">
            <v>17158444</v>
          </cell>
          <cell r="C2637" t="str">
            <v>ZIDANE CELL</v>
          </cell>
        </row>
        <row r="2638">
          <cell r="B2638">
            <v>1459389</v>
          </cell>
          <cell r="C2638" t="str">
            <v>AFFAN 01 CELL</v>
          </cell>
        </row>
        <row r="2639">
          <cell r="B2639">
            <v>17388308</v>
          </cell>
          <cell r="C2639" t="str">
            <v>ALEA CELL</v>
          </cell>
        </row>
        <row r="2640">
          <cell r="B2640">
            <v>17256440</v>
          </cell>
          <cell r="C2640" t="str">
            <v>ALZEA CELL</v>
          </cell>
        </row>
        <row r="2641">
          <cell r="B2641">
            <v>17189031</v>
          </cell>
          <cell r="C2641" t="str">
            <v>ANGGI CELL</v>
          </cell>
        </row>
        <row r="2642">
          <cell r="B2642">
            <v>17012202</v>
          </cell>
          <cell r="C2642" t="str">
            <v>CEMERLANG CELL</v>
          </cell>
        </row>
        <row r="2643">
          <cell r="B2643">
            <v>17229369</v>
          </cell>
          <cell r="C2643" t="str">
            <v>Dani cell</v>
          </cell>
        </row>
        <row r="2644">
          <cell r="B2644">
            <v>17158264</v>
          </cell>
          <cell r="C2644" t="str">
            <v>FAMILY CELL</v>
          </cell>
        </row>
        <row r="2645">
          <cell r="B2645">
            <v>17244957</v>
          </cell>
          <cell r="C2645" t="str">
            <v>fikar cell</v>
          </cell>
        </row>
        <row r="2646">
          <cell r="B2646">
            <v>17012889</v>
          </cell>
          <cell r="C2646" t="str">
            <v>FTH CELL</v>
          </cell>
        </row>
        <row r="2647">
          <cell r="B2647">
            <v>17195122</v>
          </cell>
          <cell r="C2647" t="str">
            <v>GHIFAR CELL</v>
          </cell>
        </row>
        <row r="2648">
          <cell r="B2648">
            <v>1365104</v>
          </cell>
          <cell r="C2648" t="str">
            <v>hawu cell</v>
          </cell>
        </row>
        <row r="2649">
          <cell r="B2649">
            <v>17172934</v>
          </cell>
          <cell r="C2649" t="str">
            <v>Hd cell</v>
          </cell>
        </row>
        <row r="2650">
          <cell r="B2650">
            <v>17189072</v>
          </cell>
          <cell r="C2650" t="str">
            <v>HD PAYMENT</v>
          </cell>
        </row>
        <row r="2651">
          <cell r="B2651">
            <v>17511109</v>
          </cell>
          <cell r="C2651" t="str">
            <v>HD Store</v>
          </cell>
        </row>
        <row r="2652">
          <cell r="B2652">
            <v>1372450</v>
          </cell>
          <cell r="C2652" t="str">
            <v>herman cell</v>
          </cell>
        </row>
        <row r="2653">
          <cell r="B2653">
            <v>17172821</v>
          </cell>
          <cell r="C2653" t="str">
            <v>Jadul cell</v>
          </cell>
        </row>
        <row r="2654">
          <cell r="B2654">
            <v>17584067</v>
          </cell>
          <cell r="C2654" t="str">
            <v>Jonn cell</v>
          </cell>
        </row>
        <row r="2655">
          <cell r="B2655">
            <v>17454307</v>
          </cell>
          <cell r="C2655" t="str">
            <v>Kuotakami Cell</v>
          </cell>
        </row>
        <row r="2656">
          <cell r="B2656">
            <v>17431730</v>
          </cell>
          <cell r="C2656" t="str">
            <v>Lapak Rayi Raka</v>
          </cell>
        </row>
        <row r="2657">
          <cell r="B2657">
            <v>17557775</v>
          </cell>
          <cell r="C2657" t="str">
            <v>Lydia Celluler</v>
          </cell>
        </row>
        <row r="2658">
          <cell r="B2658">
            <v>17557774</v>
          </cell>
          <cell r="C2658" t="str">
            <v>Mavi Cell</v>
          </cell>
        </row>
        <row r="2659">
          <cell r="B2659">
            <v>1368348</v>
          </cell>
          <cell r="C2659" t="str">
            <v>mj cell</v>
          </cell>
        </row>
        <row r="2660">
          <cell r="B2660">
            <v>17172904</v>
          </cell>
          <cell r="C2660" t="str">
            <v>Nazla cell</v>
          </cell>
        </row>
        <row r="2661">
          <cell r="B2661">
            <v>1311594</v>
          </cell>
          <cell r="C2661" t="str">
            <v>Nazri cell</v>
          </cell>
        </row>
        <row r="2662">
          <cell r="B2662">
            <v>17135532</v>
          </cell>
          <cell r="C2662" t="str">
            <v>NH CELULER</v>
          </cell>
        </row>
        <row r="2663">
          <cell r="B2663">
            <v>17529213</v>
          </cell>
          <cell r="C2663" t="str">
            <v>Nugraha Kuota</v>
          </cell>
        </row>
        <row r="2664">
          <cell r="B2664">
            <v>17158272</v>
          </cell>
          <cell r="C2664" t="str">
            <v>NUR CELL</v>
          </cell>
        </row>
        <row r="2665">
          <cell r="B2665">
            <v>17245016</v>
          </cell>
          <cell r="C2665" t="str">
            <v>pangestu cell</v>
          </cell>
        </row>
        <row r="2666">
          <cell r="B2666">
            <v>1342119</v>
          </cell>
          <cell r="C2666" t="str">
            <v>putri cell</v>
          </cell>
        </row>
        <row r="2667">
          <cell r="B2667">
            <v>17543660</v>
          </cell>
          <cell r="C2667" t="str">
            <v>Restu Cell</v>
          </cell>
        </row>
        <row r="2668">
          <cell r="B2668">
            <v>17154877</v>
          </cell>
          <cell r="C2668" t="str">
            <v>REXZA CELL</v>
          </cell>
        </row>
        <row r="2669">
          <cell r="B2669">
            <v>17434867</v>
          </cell>
          <cell r="C2669" t="str">
            <v>Ridho Cell</v>
          </cell>
        </row>
        <row r="2670">
          <cell r="B2670">
            <v>17144070</v>
          </cell>
          <cell r="C2670" t="str">
            <v>SUMA CELL</v>
          </cell>
        </row>
        <row r="2671">
          <cell r="B2671">
            <v>17187238</v>
          </cell>
          <cell r="C2671" t="str">
            <v>Alwan cell</v>
          </cell>
        </row>
        <row r="2672">
          <cell r="B2672">
            <v>17231215</v>
          </cell>
          <cell r="C2672" t="str">
            <v>Dey cell</v>
          </cell>
        </row>
        <row r="2673">
          <cell r="B2673">
            <v>17158298</v>
          </cell>
          <cell r="C2673" t="str">
            <v>IWAN ELEKTRIK</v>
          </cell>
        </row>
        <row r="2674">
          <cell r="B2674">
            <v>17206900</v>
          </cell>
          <cell r="C2674" t="str">
            <v>Nia cell</v>
          </cell>
        </row>
        <row r="2675">
          <cell r="B2675">
            <v>17431722</v>
          </cell>
          <cell r="C2675" t="str">
            <v>Satriacell</v>
          </cell>
        </row>
        <row r="2676">
          <cell r="B2676">
            <v>17152327</v>
          </cell>
          <cell r="C2676" t="str">
            <v>Nauval2 Cell</v>
          </cell>
        </row>
        <row r="2677">
          <cell r="B2677">
            <v>17154906</v>
          </cell>
          <cell r="C2677" t="str">
            <v>Rey cell</v>
          </cell>
        </row>
        <row r="2678">
          <cell r="B2678">
            <v>17416406</v>
          </cell>
          <cell r="C2678" t="str">
            <v>ABHISTA</v>
          </cell>
        </row>
        <row r="2679">
          <cell r="B2679">
            <v>17610071</v>
          </cell>
          <cell r="C2679" t="str">
            <v>abhista 2</v>
          </cell>
        </row>
        <row r="2680">
          <cell r="B2680">
            <v>17258747</v>
          </cell>
          <cell r="C2680" t="str">
            <v>ABC Store</v>
          </cell>
        </row>
        <row r="2681">
          <cell r="B2681">
            <v>17437021</v>
          </cell>
          <cell r="C2681" t="str">
            <v>Acay 2</v>
          </cell>
        </row>
        <row r="2682">
          <cell r="B2682">
            <v>746367</v>
          </cell>
          <cell r="C2682" t="str">
            <v>ACAY CELL</v>
          </cell>
        </row>
        <row r="2683">
          <cell r="B2683">
            <v>17506087</v>
          </cell>
          <cell r="C2683" t="str">
            <v>Adi cell</v>
          </cell>
        </row>
        <row r="2684">
          <cell r="B2684">
            <v>17234206</v>
          </cell>
          <cell r="C2684" t="str">
            <v>Adit Cell</v>
          </cell>
        </row>
        <row r="2685">
          <cell r="B2685">
            <v>1078672</v>
          </cell>
          <cell r="C2685" t="str">
            <v>adita cell</v>
          </cell>
        </row>
        <row r="2686">
          <cell r="B2686">
            <v>17481983</v>
          </cell>
          <cell r="C2686" t="str">
            <v>Adita_net</v>
          </cell>
        </row>
        <row r="2687">
          <cell r="B2687">
            <v>17451390</v>
          </cell>
          <cell r="C2687" t="str">
            <v>Aina cell</v>
          </cell>
        </row>
        <row r="2688">
          <cell r="B2688">
            <v>17241918</v>
          </cell>
          <cell r="C2688" t="str">
            <v>Ajo Cell</v>
          </cell>
        </row>
        <row r="2689">
          <cell r="B2689">
            <v>1408108</v>
          </cell>
          <cell r="C2689" t="str">
            <v>Alpindo cell</v>
          </cell>
        </row>
        <row r="2690">
          <cell r="B2690">
            <v>1366351</v>
          </cell>
          <cell r="C2690" t="str">
            <v>AM Cell 1</v>
          </cell>
        </row>
        <row r="2691">
          <cell r="B2691">
            <v>17209413</v>
          </cell>
          <cell r="C2691" t="str">
            <v>AMS Cell</v>
          </cell>
        </row>
        <row r="2692">
          <cell r="B2692">
            <v>17388021</v>
          </cell>
          <cell r="C2692" t="str">
            <v>APAN CELL</v>
          </cell>
        </row>
        <row r="2693">
          <cell r="B2693">
            <v>1311605</v>
          </cell>
          <cell r="C2693" t="str">
            <v>aras cell</v>
          </cell>
        </row>
        <row r="2694">
          <cell r="B2694">
            <v>17493718</v>
          </cell>
          <cell r="C2694" t="str">
            <v>Arkha cell</v>
          </cell>
        </row>
        <row r="2695">
          <cell r="B2695">
            <v>1332757</v>
          </cell>
          <cell r="C2695" t="str">
            <v>AS cell</v>
          </cell>
        </row>
        <row r="2696">
          <cell r="B2696">
            <v>1450299</v>
          </cell>
          <cell r="C2696" t="str">
            <v>BAIM CELL</v>
          </cell>
        </row>
        <row r="2697">
          <cell r="B2697">
            <v>17192791</v>
          </cell>
          <cell r="C2697" t="str">
            <v>Bravo Cell</v>
          </cell>
        </row>
        <row r="2698">
          <cell r="B2698">
            <v>17443664</v>
          </cell>
          <cell r="C2698" t="str">
            <v>Bu diah</v>
          </cell>
        </row>
        <row r="2699">
          <cell r="B2699">
            <v>17196345</v>
          </cell>
          <cell r="C2699" t="str">
            <v>Canaya Cell</v>
          </cell>
        </row>
        <row r="2700">
          <cell r="B2700">
            <v>17260211</v>
          </cell>
          <cell r="C2700" t="str">
            <v>CHIKAL 2 CELL</v>
          </cell>
        </row>
        <row r="2701">
          <cell r="B2701">
            <v>615159</v>
          </cell>
          <cell r="C2701" t="str">
            <v>CHIKAL CELL</v>
          </cell>
        </row>
        <row r="2702">
          <cell r="B2702">
            <v>17248479</v>
          </cell>
          <cell r="C2702" t="str">
            <v>Cod Cell</v>
          </cell>
        </row>
        <row r="2703">
          <cell r="B2703">
            <v>17216608</v>
          </cell>
          <cell r="C2703" t="str">
            <v>D5K Cell</v>
          </cell>
        </row>
        <row r="2704">
          <cell r="B2704">
            <v>17199333</v>
          </cell>
          <cell r="C2704" t="str">
            <v>Daggo Cell</v>
          </cell>
        </row>
        <row r="2705">
          <cell r="B2705">
            <v>17308049</v>
          </cell>
          <cell r="C2705" t="str">
            <v>Dede cell</v>
          </cell>
        </row>
        <row r="2706">
          <cell r="B2706">
            <v>17199237</v>
          </cell>
          <cell r="C2706" t="str">
            <v>Dera Cell</v>
          </cell>
        </row>
        <row r="2707">
          <cell r="B2707">
            <v>1302442</v>
          </cell>
          <cell r="C2707" t="str">
            <v>esa cell</v>
          </cell>
        </row>
        <row r="2708">
          <cell r="B2708">
            <v>17258651</v>
          </cell>
          <cell r="C2708" t="str">
            <v>FAHRI CELL</v>
          </cell>
        </row>
        <row r="2709">
          <cell r="B2709">
            <v>17241995</v>
          </cell>
          <cell r="C2709" t="str">
            <v>Fahril Cell</v>
          </cell>
        </row>
        <row r="2710">
          <cell r="B2710">
            <v>17387079</v>
          </cell>
          <cell r="C2710" t="str">
            <v>Gilang cell</v>
          </cell>
        </row>
        <row r="2711">
          <cell r="B2711">
            <v>1344073</v>
          </cell>
          <cell r="C2711" t="str">
            <v>ikhwan cell</v>
          </cell>
        </row>
        <row r="2712">
          <cell r="B2712">
            <v>17450111</v>
          </cell>
          <cell r="C2712" t="str">
            <v>Keyla cell</v>
          </cell>
        </row>
        <row r="2713">
          <cell r="B2713">
            <v>17251295</v>
          </cell>
          <cell r="C2713" t="str">
            <v>Kiki Cell</v>
          </cell>
        </row>
        <row r="2714">
          <cell r="B2714">
            <v>17266611</v>
          </cell>
          <cell r="C2714" t="str">
            <v>Malik cell</v>
          </cell>
        </row>
        <row r="2715">
          <cell r="B2715">
            <v>17154924</v>
          </cell>
          <cell r="C2715" t="str">
            <v>Media cell</v>
          </cell>
        </row>
        <row r="2716">
          <cell r="B2716">
            <v>17158448</v>
          </cell>
          <cell r="C2716" t="str">
            <v>Mif cell</v>
          </cell>
        </row>
        <row r="2717">
          <cell r="B2717">
            <v>1381364</v>
          </cell>
          <cell r="C2717" t="str">
            <v>N jan cell</v>
          </cell>
        </row>
        <row r="2718">
          <cell r="B2718">
            <v>17264170</v>
          </cell>
          <cell r="C2718" t="str">
            <v>Nana cell</v>
          </cell>
        </row>
        <row r="2719">
          <cell r="B2719">
            <v>17387077</v>
          </cell>
          <cell r="C2719" t="str">
            <v>Pinny cell</v>
          </cell>
        </row>
        <row r="2720">
          <cell r="B2720">
            <v>778850</v>
          </cell>
          <cell r="C2720" t="str">
            <v>PINTU CELL</v>
          </cell>
        </row>
        <row r="2721">
          <cell r="B2721">
            <v>17437004</v>
          </cell>
          <cell r="C2721" t="str">
            <v>Prima cell</v>
          </cell>
        </row>
        <row r="2722">
          <cell r="B2722">
            <v>17493680</v>
          </cell>
          <cell r="C2722" t="str">
            <v>Q cell</v>
          </cell>
        </row>
        <row r="2723">
          <cell r="B2723">
            <v>1456013</v>
          </cell>
          <cell r="C2723" t="str">
            <v>RD CELL</v>
          </cell>
        </row>
        <row r="2724">
          <cell r="B2724">
            <v>1555822</v>
          </cell>
          <cell r="C2724" t="str">
            <v>SASTRA PULSA</v>
          </cell>
        </row>
        <row r="2725">
          <cell r="B2725">
            <v>17219830</v>
          </cell>
          <cell r="C2725" t="str">
            <v>Selin Cell</v>
          </cell>
        </row>
        <row r="2726">
          <cell r="B2726">
            <v>17447135</v>
          </cell>
          <cell r="C2726" t="str">
            <v>Usun cell</v>
          </cell>
        </row>
        <row r="2727">
          <cell r="B2727">
            <v>1344081</v>
          </cell>
          <cell r="C2727" t="str">
            <v>vivi cell</v>
          </cell>
        </row>
        <row r="2728">
          <cell r="B2728">
            <v>508994</v>
          </cell>
          <cell r="C2728" t="str">
            <v>YOLANDA CELL</v>
          </cell>
        </row>
        <row r="2729">
          <cell r="B2729">
            <v>17447081</v>
          </cell>
          <cell r="C2729" t="str">
            <v>E Wang cell</v>
          </cell>
        </row>
        <row r="2730">
          <cell r="B2730">
            <v>1070026</v>
          </cell>
          <cell r="C2730" t="str">
            <v>lira cell</v>
          </cell>
        </row>
        <row r="2731">
          <cell r="B2731">
            <v>17240275</v>
          </cell>
          <cell r="C2731" t="str">
            <v>MARBA CELL</v>
          </cell>
        </row>
        <row r="2732">
          <cell r="B2732">
            <v>17011700</v>
          </cell>
          <cell r="C2732" t="str">
            <v>RANI</v>
          </cell>
        </row>
        <row r="2733">
          <cell r="B2733">
            <v>17279477</v>
          </cell>
          <cell r="C2733" t="str">
            <v>Sahabat 3 cell</v>
          </cell>
        </row>
        <row r="2734">
          <cell r="B2734">
            <v>1498057</v>
          </cell>
          <cell r="C2734" t="str">
            <v>VIA CELL</v>
          </cell>
        </row>
        <row r="2735">
          <cell r="B2735">
            <v>17228365</v>
          </cell>
          <cell r="C2735" t="str">
            <v>ADE Cell</v>
          </cell>
        </row>
        <row r="2736">
          <cell r="B2736">
            <v>17228737</v>
          </cell>
          <cell r="C2736" t="str">
            <v>DH cell</v>
          </cell>
        </row>
        <row r="2737">
          <cell r="B2737">
            <v>17431559</v>
          </cell>
          <cell r="C2737" t="str">
            <v>Ayang azla cell</v>
          </cell>
        </row>
        <row r="2738">
          <cell r="B2738">
            <v>17148967</v>
          </cell>
          <cell r="C2738" t="str">
            <v>Gilang</v>
          </cell>
        </row>
        <row r="2739">
          <cell r="B2739">
            <v>17252907</v>
          </cell>
          <cell r="C2739" t="str">
            <v>V cell</v>
          </cell>
        </row>
        <row r="2740">
          <cell r="B2740">
            <v>1452227</v>
          </cell>
          <cell r="C2740" t="str">
            <v>ABE CEL</v>
          </cell>
        </row>
        <row r="2741">
          <cell r="B2741">
            <v>718199</v>
          </cell>
          <cell r="C2741" t="str">
            <v>ABIL CELL</v>
          </cell>
        </row>
        <row r="2742">
          <cell r="B2742">
            <v>1314261</v>
          </cell>
          <cell r="C2742" t="str">
            <v>adib cel</v>
          </cell>
        </row>
        <row r="2743">
          <cell r="B2743">
            <v>599817</v>
          </cell>
          <cell r="C2743" t="str">
            <v>Aneka 67 Cell</v>
          </cell>
        </row>
        <row r="2744">
          <cell r="B2744">
            <v>17198114</v>
          </cell>
          <cell r="C2744" t="str">
            <v>ASIA JAYA 2</v>
          </cell>
        </row>
        <row r="2745">
          <cell r="B2745">
            <v>17190084</v>
          </cell>
          <cell r="C2745" t="str">
            <v>AZIS CELL</v>
          </cell>
        </row>
        <row r="2746">
          <cell r="B2746">
            <v>17373112</v>
          </cell>
          <cell r="C2746" t="str">
            <v>BAYU M CELL</v>
          </cell>
        </row>
        <row r="2747">
          <cell r="B2747">
            <v>17012496</v>
          </cell>
          <cell r="C2747" t="str">
            <v>BINTANG CELL</v>
          </cell>
        </row>
        <row r="2748">
          <cell r="B2748">
            <v>717567</v>
          </cell>
          <cell r="C2748" t="str">
            <v>BLUE CELL</v>
          </cell>
        </row>
        <row r="2749">
          <cell r="B2749">
            <v>1556150</v>
          </cell>
          <cell r="C2749" t="str">
            <v>DEDI CEL</v>
          </cell>
        </row>
        <row r="2750">
          <cell r="B2750">
            <v>1339358</v>
          </cell>
          <cell r="C2750" t="str">
            <v>fantasi cell</v>
          </cell>
        </row>
        <row r="2751">
          <cell r="B2751">
            <v>1452226</v>
          </cell>
          <cell r="C2751" t="str">
            <v>GARDA 2 CEL</v>
          </cell>
        </row>
        <row r="2752">
          <cell r="B2752">
            <v>1337818</v>
          </cell>
          <cell r="C2752" t="str">
            <v>Geovany cell</v>
          </cell>
        </row>
        <row r="2753">
          <cell r="B2753">
            <v>17247035</v>
          </cell>
          <cell r="C2753" t="str">
            <v>HABIBI CELL</v>
          </cell>
        </row>
        <row r="2754">
          <cell r="B2754">
            <v>1372675</v>
          </cell>
          <cell r="C2754" t="str">
            <v>hana psr cel</v>
          </cell>
        </row>
        <row r="2755">
          <cell r="B2755">
            <v>1372682</v>
          </cell>
          <cell r="C2755" t="str">
            <v>hana wrg cel</v>
          </cell>
        </row>
        <row r="2756">
          <cell r="B2756">
            <v>609191</v>
          </cell>
          <cell r="C2756" t="str">
            <v>HOKY RSW CELL</v>
          </cell>
        </row>
        <row r="2757">
          <cell r="B2757">
            <v>609200</v>
          </cell>
          <cell r="C2757" t="str">
            <v>HOKY WAN</v>
          </cell>
        </row>
        <row r="2758">
          <cell r="B2758">
            <v>676272</v>
          </cell>
          <cell r="C2758" t="str">
            <v>HR CELL</v>
          </cell>
        </row>
        <row r="2759">
          <cell r="B2759">
            <v>17193273</v>
          </cell>
          <cell r="C2759" t="str">
            <v>ID CELL</v>
          </cell>
        </row>
        <row r="2760">
          <cell r="B2760">
            <v>17264028</v>
          </cell>
          <cell r="C2760" t="str">
            <v>KAME ACC</v>
          </cell>
        </row>
        <row r="2761">
          <cell r="B2761">
            <v>1070031</v>
          </cell>
          <cell r="C2761" t="str">
            <v>Nuri cell</v>
          </cell>
        </row>
        <row r="2762">
          <cell r="B2762">
            <v>17229059</v>
          </cell>
          <cell r="C2762" t="str">
            <v>NURLINET</v>
          </cell>
        </row>
        <row r="2763">
          <cell r="B2763">
            <v>17195314</v>
          </cell>
          <cell r="C2763" t="str">
            <v>Piaggio cell</v>
          </cell>
        </row>
        <row r="2764">
          <cell r="B2764">
            <v>17149058</v>
          </cell>
          <cell r="C2764" t="str">
            <v>PRIMER CEL</v>
          </cell>
        </row>
        <row r="2765">
          <cell r="B2765">
            <v>17448159</v>
          </cell>
          <cell r="C2765" t="str">
            <v>RAKA CELL</v>
          </cell>
        </row>
        <row r="2766">
          <cell r="B2766">
            <v>17584149</v>
          </cell>
          <cell r="C2766" t="str">
            <v>Rezaku cell</v>
          </cell>
        </row>
        <row r="2767">
          <cell r="B2767">
            <v>1070017</v>
          </cell>
          <cell r="C2767" t="str">
            <v>Rock cell</v>
          </cell>
        </row>
        <row r="2768">
          <cell r="B2768">
            <v>17153068</v>
          </cell>
          <cell r="C2768" t="str">
            <v>ROXSY PHONE SHOP</v>
          </cell>
        </row>
        <row r="2769">
          <cell r="B2769">
            <v>1318878</v>
          </cell>
          <cell r="C2769" t="str">
            <v>ruly cell</v>
          </cell>
        </row>
        <row r="2770">
          <cell r="B2770">
            <v>17241986</v>
          </cell>
          <cell r="C2770" t="str">
            <v>SALSA  FLASHER</v>
          </cell>
        </row>
        <row r="2771">
          <cell r="B2771">
            <v>1287369</v>
          </cell>
          <cell r="C2771" t="str">
            <v>sinar j3 cell</v>
          </cell>
        </row>
        <row r="2772">
          <cell r="B2772">
            <v>17412197</v>
          </cell>
          <cell r="C2772" t="str">
            <v>SINAR JAYA 1 CELL</v>
          </cell>
        </row>
        <row r="2773">
          <cell r="B2773">
            <v>1337480</v>
          </cell>
          <cell r="C2773" t="str">
            <v>Sinarjaya 2cell</v>
          </cell>
        </row>
        <row r="2774">
          <cell r="B2774">
            <v>1363417</v>
          </cell>
          <cell r="C2774" t="str">
            <v>sky  cell</v>
          </cell>
        </row>
        <row r="2775">
          <cell r="B2775">
            <v>1356441</v>
          </cell>
          <cell r="C2775" t="str">
            <v>Subur cell 2</v>
          </cell>
        </row>
        <row r="2776">
          <cell r="B2776">
            <v>17375155</v>
          </cell>
          <cell r="C2776" t="str">
            <v>SYAHLA CELL</v>
          </cell>
        </row>
        <row r="2777">
          <cell r="B2777">
            <v>1372673</v>
          </cell>
          <cell r="C2777" t="str">
            <v>Vincent cell 1</v>
          </cell>
        </row>
        <row r="2778">
          <cell r="B2778">
            <v>1338554</v>
          </cell>
          <cell r="C2778" t="str">
            <v>VIOLETA</v>
          </cell>
        </row>
        <row r="2779">
          <cell r="B2779">
            <v>17198507</v>
          </cell>
          <cell r="C2779" t="str">
            <v>WIRA PONSEL</v>
          </cell>
        </row>
        <row r="2780">
          <cell r="B2780">
            <v>17373152</v>
          </cell>
          <cell r="C2780" t="str">
            <v>WR MALINGGUT</v>
          </cell>
        </row>
        <row r="2781">
          <cell r="B2781">
            <v>17239807</v>
          </cell>
          <cell r="C2781" t="str">
            <v>wr.abah</v>
          </cell>
        </row>
        <row r="2782">
          <cell r="B2782">
            <v>1325888</v>
          </cell>
          <cell r="C2782" t="str">
            <v>yudi cell</v>
          </cell>
        </row>
        <row r="2783">
          <cell r="B2783">
            <v>17584151</v>
          </cell>
          <cell r="C2783" t="str">
            <v>Z 2 cell</v>
          </cell>
        </row>
        <row r="2784">
          <cell r="B2784">
            <v>17189402</v>
          </cell>
          <cell r="C2784" t="str">
            <v>ZAHIRA CELL</v>
          </cell>
        </row>
        <row r="2785">
          <cell r="B2785">
            <v>17156145</v>
          </cell>
          <cell r="C2785" t="str">
            <v>ASP CELL</v>
          </cell>
        </row>
        <row r="2786">
          <cell r="B2786">
            <v>17583697</v>
          </cell>
          <cell r="C2786" t="str">
            <v>Baraya Cell 182</v>
          </cell>
        </row>
        <row r="2787">
          <cell r="B2787">
            <v>1070151</v>
          </cell>
          <cell r="C2787" t="str">
            <v>fariez cell</v>
          </cell>
        </row>
        <row r="2788">
          <cell r="B2788">
            <v>17244867</v>
          </cell>
          <cell r="C2788" t="str">
            <v>HIKMAH cell</v>
          </cell>
        </row>
        <row r="2789">
          <cell r="B2789">
            <v>17392739</v>
          </cell>
          <cell r="C2789" t="str">
            <v>KAYRA CELL</v>
          </cell>
        </row>
        <row r="2790">
          <cell r="B2790">
            <v>17216727</v>
          </cell>
          <cell r="C2790" t="str">
            <v>LIO FLASHER</v>
          </cell>
        </row>
        <row r="2791">
          <cell r="B2791">
            <v>682929</v>
          </cell>
          <cell r="C2791" t="str">
            <v>ULUM CELL</v>
          </cell>
        </row>
        <row r="2792">
          <cell r="B2792">
            <v>17205663</v>
          </cell>
          <cell r="C2792" t="str">
            <v>YOAN CELL</v>
          </cell>
        </row>
        <row r="2793">
          <cell r="B2793">
            <v>1449337</v>
          </cell>
          <cell r="C2793" t="str">
            <v>Iwan cell</v>
          </cell>
        </row>
        <row r="2794">
          <cell r="B2794">
            <v>17260435</v>
          </cell>
          <cell r="C2794" t="str">
            <v>MELVIN CELL</v>
          </cell>
        </row>
        <row r="2795">
          <cell r="B2795">
            <v>17154905</v>
          </cell>
          <cell r="C2795" t="str">
            <v>MUTIARA CELL</v>
          </cell>
        </row>
        <row r="2796">
          <cell r="B2796">
            <v>1365175</v>
          </cell>
          <cell r="C2796" t="str">
            <v>Nurul 3 cell</v>
          </cell>
        </row>
        <row r="2797">
          <cell r="B2797">
            <v>17174324</v>
          </cell>
          <cell r="C2797" t="str">
            <v>Panji cell</v>
          </cell>
        </row>
        <row r="2798">
          <cell r="B2798">
            <v>17197541</v>
          </cell>
          <cell r="C2798" t="str">
            <v>Queena cell</v>
          </cell>
        </row>
        <row r="2799">
          <cell r="B2799">
            <v>17436079</v>
          </cell>
          <cell r="C2799" t="str">
            <v>Syakila cell</v>
          </cell>
        </row>
        <row r="2800">
          <cell r="B2800">
            <v>608105</v>
          </cell>
          <cell r="C2800" t="str">
            <v>TESAR CELL</v>
          </cell>
        </row>
        <row r="2801">
          <cell r="B2801">
            <v>17149026</v>
          </cell>
          <cell r="C2801" t="str">
            <v>Bunda cell</v>
          </cell>
        </row>
        <row r="2802">
          <cell r="B2802">
            <v>17148989</v>
          </cell>
          <cell r="C2802" t="str">
            <v>Iyus</v>
          </cell>
        </row>
        <row r="2803">
          <cell r="B2803">
            <v>1338771</v>
          </cell>
          <cell r="C2803" t="str">
            <v>rizaal cell</v>
          </cell>
        </row>
        <row r="2804">
          <cell r="B2804">
            <v>17149053</v>
          </cell>
          <cell r="C2804" t="str">
            <v>SAMUDRA CEL</v>
          </cell>
        </row>
        <row r="2805">
          <cell r="B2805">
            <v>614241</v>
          </cell>
          <cell r="C2805" t="str">
            <v>WAYONG 2</v>
          </cell>
        </row>
        <row r="2806">
          <cell r="B2806">
            <v>17149037</v>
          </cell>
          <cell r="C2806" t="str">
            <v>Yandi cell</v>
          </cell>
        </row>
        <row r="2807">
          <cell r="B2807">
            <v>1372462</v>
          </cell>
          <cell r="C2807" t="str">
            <v>yusuf cell</v>
          </cell>
        </row>
        <row r="2808">
          <cell r="B2808">
            <v>17176644</v>
          </cell>
          <cell r="C2808" t="str">
            <v>Abadi cell</v>
          </cell>
        </row>
        <row r="2809">
          <cell r="B2809">
            <v>17246285</v>
          </cell>
          <cell r="C2809" t="str">
            <v>Air cell</v>
          </cell>
        </row>
        <row r="2810">
          <cell r="B2810">
            <v>17246555</v>
          </cell>
          <cell r="C2810" t="str">
            <v>Mamih cell</v>
          </cell>
        </row>
        <row r="2811">
          <cell r="B2811">
            <v>17228972</v>
          </cell>
          <cell r="C2811" t="str">
            <v>Rehka</v>
          </cell>
        </row>
        <row r="2812">
          <cell r="B2812">
            <v>17205298</v>
          </cell>
          <cell r="C2812" t="str">
            <v>SN celluler</v>
          </cell>
        </row>
        <row r="2813">
          <cell r="B2813">
            <v>17517437</v>
          </cell>
          <cell r="C2813" t="str">
            <v>Aam cell</v>
          </cell>
        </row>
        <row r="2814">
          <cell r="B2814">
            <v>17388328</v>
          </cell>
          <cell r="C2814" t="str">
            <v>Abah Cell</v>
          </cell>
        </row>
        <row r="2815">
          <cell r="B2815">
            <v>17365365</v>
          </cell>
          <cell r="C2815" t="str">
            <v>Akbar cell</v>
          </cell>
        </row>
        <row r="2816">
          <cell r="B2816">
            <v>17587786</v>
          </cell>
          <cell r="C2816" t="str">
            <v>Aldo Cell</v>
          </cell>
        </row>
        <row r="2817">
          <cell r="B2817">
            <v>17430915</v>
          </cell>
          <cell r="C2817" t="str">
            <v>Amell</v>
          </cell>
        </row>
        <row r="2818">
          <cell r="B2818">
            <v>17469242</v>
          </cell>
          <cell r="C2818" t="str">
            <v>Away cell</v>
          </cell>
        </row>
        <row r="2819">
          <cell r="B2819">
            <v>17588641</v>
          </cell>
          <cell r="C2819" t="str">
            <v>BAP Store</v>
          </cell>
        </row>
        <row r="2820">
          <cell r="B2820">
            <v>1556090</v>
          </cell>
          <cell r="C2820" t="str">
            <v>BINTANG CELL</v>
          </cell>
        </row>
        <row r="2821">
          <cell r="B2821">
            <v>17583312</v>
          </cell>
          <cell r="C2821" t="str">
            <v>Ceria cell</v>
          </cell>
        </row>
        <row r="2822">
          <cell r="B2822">
            <v>17432452</v>
          </cell>
          <cell r="C2822" t="str">
            <v>Cibatu cell</v>
          </cell>
        </row>
        <row r="2823">
          <cell r="B2823">
            <v>17432450</v>
          </cell>
          <cell r="C2823" t="str">
            <v>Depot cell</v>
          </cell>
        </row>
        <row r="2824">
          <cell r="B2824">
            <v>746709</v>
          </cell>
          <cell r="C2824" t="str">
            <v>DILA CELL</v>
          </cell>
        </row>
        <row r="2825">
          <cell r="B2825">
            <v>514849</v>
          </cell>
          <cell r="C2825" t="str">
            <v>DIN CELL</v>
          </cell>
        </row>
        <row r="2826">
          <cell r="B2826">
            <v>17517502</v>
          </cell>
          <cell r="C2826" t="str">
            <v>Elang cell</v>
          </cell>
        </row>
        <row r="2827">
          <cell r="B2827">
            <v>17587782</v>
          </cell>
          <cell r="C2827" t="str">
            <v>Fiano Cell</v>
          </cell>
        </row>
        <row r="2828">
          <cell r="B2828">
            <v>17583319</v>
          </cell>
          <cell r="C2828" t="str">
            <v>Gembira cell</v>
          </cell>
        </row>
        <row r="2829">
          <cell r="B2829">
            <v>17600481</v>
          </cell>
          <cell r="C2829" t="str">
            <v>Hamiz Cell</v>
          </cell>
        </row>
        <row r="2830">
          <cell r="B2830">
            <v>17446510</v>
          </cell>
          <cell r="C2830" t="str">
            <v>HD electronic</v>
          </cell>
        </row>
        <row r="2831">
          <cell r="B2831">
            <v>17231008</v>
          </cell>
          <cell r="C2831" t="str">
            <v>Kaira cell</v>
          </cell>
        </row>
        <row r="2832">
          <cell r="B2832">
            <v>17228897</v>
          </cell>
          <cell r="C2832" t="str">
            <v>KR Cell</v>
          </cell>
        </row>
        <row r="2833">
          <cell r="B2833">
            <v>17195152</v>
          </cell>
          <cell r="C2833" t="str">
            <v>Maharani cell</v>
          </cell>
        </row>
        <row r="2834">
          <cell r="B2834">
            <v>17576525</v>
          </cell>
          <cell r="C2834" t="str">
            <v>MAJU BERKAH CELL</v>
          </cell>
        </row>
        <row r="2835">
          <cell r="B2835">
            <v>17231168</v>
          </cell>
          <cell r="C2835" t="str">
            <v>Mamah awa cell</v>
          </cell>
        </row>
        <row r="2836">
          <cell r="B2836">
            <v>746703</v>
          </cell>
          <cell r="C2836" t="str">
            <v>MASTER CELL</v>
          </cell>
        </row>
        <row r="2837">
          <cell r="B2837">
            <v>17209400</v>
          </cell>
          <cell r="C2837" t="str">
            <v>Multi cell</v>
          </cell>
        </row>
        <row r="2838">
          <cell r="B2838">
            <v>17437066</v>
          </cell>
          <cell r="C2838" t="str">
            <v>Nasa cell</v>
          </cell>
        </row>
        <row r="2839">
          <cell r="B2839">
            <v>17439509</v>
          </cell>
          <cell r="C2839" t="str">
            <v>Nex cell</v>
          </cell>
        </row>
        <row r="2840">
          <cell r="B2840">
            <v>1294032</v>
          </cell>
          <cell r="C2840" t="str">
            <v>NN CELL</v>
          </cell>
        </row>
        <row r="2841">
          <cell r="B2841">
            <v>17282841</v>
          </cell>
          <cell r="C2841" t="str">
            <v>Pastel</v>
          </cell>
        </row>
        <row r="2842">
          <cell r="B2842">
            <v>17388297</v>
          </cell>
          <cell r="C2842" t="str">
            <v>Raden cell</v>
          </cell>
        </row>
        <row r="2843">
          <cell r="B2843">
            <v>17205982</v>
          </cell>
          <cell r="C2843" t="str">
            <v>Rakha cell</v>
          </cell>
        </row>
        <row r="2844">
          <cell r="B2844">
            <v>17437368</v>
          </cell>
          <cell r="C2844" t="str">
            <v>Rezkha cell</v>
          </cell>
        </row>
        <row r="2845">
          <cell r="B2845">
            <v>17431480</v>
          </cell>
          <cell r="C2845" t="str">
            <v>Rifa</v>
          </cell>
        </row>
        <row r="2846">
          <cell r="B2846">
            <v>17213154</v>
          </cell>
          <cell r="C2846" t="str">
            <v>Rj 4 cell</v>
          </cell>
        </row>
        <row r="2847">
          <cell r="B2847">
            <v>17388285</v>
          </cell>
          <cell r="C2847" t="str">
            <v>RK cell</v>
          </cell>
        </row>
        <row r="2848">
          <cell r="B2848">
            <v>17387939</v>
          </cell>
          <cell r="C2848" t="str">
            <v>Santika cell</v>
          </cell>
        </row>
        <row r="2849">
          <cell r="B2849">
            <v>17438111</v>
          </cell>
          <cell r="C2849" t="str">
            <v>Sarmila Cell</v>
          </cell>
        </row>
        <row r="2850">
          <cell r="B2850">
            <v>1287391</v>
          </cell>
          <cell r="C2850" t="str">
            <v>selvi cell</v>
          </cell>
        </row>
        <row r="2851">
          <cell r="B2851">
            <v>17576531</v>
          </cell>
          <cell r="C2851" t="str">
            <v>SRA CELL</v>
          </cell>
        </row>
        <row r="2852">
          <cell r="B2852">
            <v>17388202</v>
          </cell>
          <cell r="C2852" t="str">
            <v>Toko Bu Eros</v>
          </cell>
        </row>
        <row r="2853">
          <cell r="B2853">
            <v>17387966</v>
          </cell>
          <cell r="C2853" t="str">
            <v>Uce cell</v>
          </cell>
        </row>
        <row r="2854">
          <cell r="B2854">
            <v>17428608</v>
          </cell>
          <cell r="C2854" t="str">
            <v>Wira cell</v>
          </cell>
        </row>
        <row r="2855">
          <cell r="B2855">
            <v>17388400</v>
          </cell>
          <cell r="C2855" t="str">
            <v>Wr Diah</v>
          </cell>
        </row>
        <row r="2856">
          <cell r="B2856">
            <v>17388265</v>
          </cell>
          <cell r="C2856" t="str">
            <v>Wr teh elvie</v>
          </cell>
        </row>
        <row r="2857">
          <cell r="B2857">
            <v>17195464</v>
          </cell>
          <cell r="C2857" t="str">
            <v>YS cell</v>
          </cell>
        </row>
        <row r="2858">
          <cell r="B2858">
            <v>17215373</v>
          </cell>
          <cell r="C2858" t="str">
            <v>Zetha Cell 2</v>
          </cell>
        </row>
        <row r="2859">
          <cell r="B2859">
            <v>17576527</v>
          </cell>
          <cell r="C2859" t="str">
            <v>ZIAN CELL</v>
          </cell>
        </row>
        <row r="2860">
          <cell r="B2860">
            <v>1324770</v>
          </cell>
          <cell r="C2860" t="str">
            <v>jelita cell</v>
          </cell>
        </row>
        <row r="2861">
          <cell r="B2861">
            <v>17387974</v>
          </cell>
          <cell r="C2861" t="str">
            <v>Azay cell</v>
          </cell>
        </row>
        <row r="2862">
          <cell r="B2862">
            <v>17256154</v>
          </cell>
          <cell r="C2862" t="str">
            <v>BAROKAH CELL</v>
          </cell>
        </row>
        <row r="2863">
          <cell r="B2863">
            <v>17469018</v>
          </cell>
          <cell r="C2863" t="str">
            <v>Dasep cell</v>
          </cell>
        </row>
        <row r="2864">
          <cell r="B2864">
            <v>17387925</v>
          </cell>
          <cell r="C2864" t="str">
            <v>Mira cell</v>
          </cell>
        </row>
        <row r="2865">
          <cell r="B2865">
            <v>17437195</v>
          </cell>
          <cell r="C2865" t="str">
            <v>Qianzy cell</v>
          </cell>
        </row>
        <row r="2866">
          <cell r="B2866">
            <v>17190842</v>
          </cell>
          <cell r="C2866" t="str">
            <v>Rumah data</v>
          </cell>
        </row>
        <row r="2867">
          <cell r="B2867">
            <v>17149032</v>
          </cell>
          <cell r="C2867" t="str">
            <v>Ade cell</v>
          </cell>
        </row>
        <row r="2868">
          <cell r="B2868">
            <v>17154912</v>
          </cell>
          <cell r="C2868" t="str">
            <v>ALHIKMAH CELL</v>
          </cell>
        </row>
        <row r="2869">
          <cell r="B2869">
            <v>17430086</v>
          </cell>
          <cell r="C2869" t="str">
            <v>Aulia cell</v>
          </cell>
        </row>
        <row r="2870">
          <cell r="B2870">
            <v>17258276</v>
          </cell>
          <cell r="C2870" t="str">
            <v>Bela cell</v>
          </cell>
        </row>
        <row r="2871">
          <cell r="B2871">
            <v>1287402</v>
          </cell>
          <cell r="C2871" t="str">
            <v>Billy 2 cell</v>
          </cell>
        </row>
        <row r="2872">
          <cell r="B2872">
            <v>515315</v>
          </cell>
          <cell r="C2872" t="str">
            <v>BILY CELL</v>
          </cell>
        </row>
        <row r="2873">
          <cell r="B2873">
            <v>17202092</v>
          </cell>
          <cell r="C2873" t="str">
            <v>BUDI SP2</v>
          </cell>
        </row>
        <row r="2874">
          <cell r="B2874">
            <v>17134912</v>
          </cell>
          <cell r="C2874" t="str">
            <v>D BEST  PONSEL</v>
          </cell>
        </row>
        <row r="2875">
          <cell r="B2875">
            <v>17154923</v>
          </cell>
          <cell r="C2875" t="str">
            <v>DZA CELL</v>
          </cell>
        </row>
        <row r="2876">
          <cell r="B2876">
            <v>1287332</v>
          </cell>
          <cell r="C2876" t="str">
            <v>fastlink 2 cell</v>
          </cell>
        </row>
        <row r="2877">
          <cell r="B2877">
            <v>1372437</v>
          </cell>
          <cell r="C2877" t="str">
            <v>FIFA CELL</v>
          </cell>
        </row>
        <row r="2878">
          <cell r="B2878">
            <v>1075445</v>
          </cell>
          <cell r="C2878" t="str">
            <v>G-TOU</v>
          </cell>
        </row>
        <row r="2879">
          <cell r="B2879">
            <v>1335684</v>
          </cell>
          <cell r="C2879" t="str">
            <v>GTOU NET CEL</v>
          </cell>
        </row>
        <row r="2880">
          <cell r="B2880">
            <v>17007673</v>
          </cell>
          <cell r="C2880" t="str">
            <v>INDAH CELL</v>
          </cell>
        </row>
        <row r="2881">
          <cell r="B2881">
            <v>17154922</v>
          </cell>
          <cell r="C2881" t="str">
            <v>Isma cell</v>
          </cell>
        </row>
        <row r="2882">
          <cell r="B2882">
            <v>17065042</v>
          </cell>
          <cell r="C2882" t="str">
            <v>JENNY CELL</v>
          </cell>
        </row>
        <row r="2883">
          <cell r="B2883">
            <v>1318879</v>
          </cell>
          <cell r="C2883" t="str">
            <v>MI 2 cell</v>
          </cell>
        </row>
        <row r="2884">
          <cell r="B2884">
            <v>17231477</v>
          </cell>
          <cell r="C2884" t="str">
            <v>MOEY CELL</v>
          </cell>
        </row>
        <row r="2885">
          <cell r="B2885">
            <v>1314302</v>
          </cell>
          <cell r="C2885" t="str">
            <v>PK Cell 1</v>
          </cell>
        </row>
        <row r="2886">
          <cell r="B2886">
            <v>17202219</v>
          </cell>
          <cell r="C2886" t="str">
            <v>RARISMACELL 2</v>
          </cell>
        </row>
        <row r="2887">
          <cell r="B2887">
            <v>832658</v>
          </cell>
          <cell r="C2887" t="str">
            <v>RATU 2 CELL</v>
          </cell>
        </row>
        <row r="2888">
          <cell r="B2888">
            <v>1069979</v>
          </cell>
          <cell r="C2888" t="str">
            <v>sahabat cel</v>
          </cell>
        </row>
        <row r="2889">
          <cell r="B2889">
            <v>17542607</v>
          </cell>
          <cell r="C2889" t="str">
            <v>Sifa cell</v>
          </cell>
        </row>
        <row r="2890">
          <cell r="B2890">
            <v>17232980</v>
          </cell>
          <cell r="C2890" t="str">
            <v>STAR CELL</v>
          </cell>
        </row>
        <row r="2891">
          <cell r="B2891">
            <v>17009120</v>
          </cell>
          <cell r="C2891" t="str">
            <v>X-MAS PONSEL</v>
          </cell>
        </row>
        <row r="2892">
          <cell r="B2892">
            <v>17466565</v>
          </cell>
          <cell r="C2892" t="str">
            <v>Kanji Cell</v>
          </cell>
        </row>
        <row r="2893">
          <cell r="B2893">
            <v>17154908</v>
          </cell>
          <cell r="C2893" t="str">
            <v>Dn cell</v>
          </cell>
        </row>
        <row r="2894">
          <cell r="B2894">
            <v>1484289</v>
          </cell>
          <cell r="C2894" t="str">
            <v>ZULFA CELL</v>
          </cell>
        </row>
        <row r="2895">
          <cell r="B2895">
            <v>1493226</v>
          </cell>
          <cell r="C2895" t="str">
            <v>ADI PHONESHOP</v>
          </cell>
        </row>
        <row r="2896">
          <cell r="B2896">
            <v>1483101</v>
          </cell>
          <cell r="C2896" t="str">
            <v>MP MANDIRI PULSA</v>
          </cell>
        </row>
        <row r="2897">
          <cell r="B2897">
            <v>1491613</v>
          </cell>
          <cell r="C2897" t="str">
            <v>PARAMOUNT SQUARE</v>
          </cell>
        </row>
        <row r="2898">
          <cell r="B2898">
            <v>1510169</v>
          </cell>
          <cell r="C2898" t="str">
            <v>paris phone shop</v>
          </cell>
        </row>
        <row r="2899">
          <cell r="B2899">
            <v>1510297</v>
          </cell>
          <cell r="C2899" t="str">
            <v>SJU  CELL</v>
          </cell>
        </row>
        <row r="2900">
          <cell r="B2900">
            <v>17546496</v>
          </cell>
          <cell r="C2900" t="str">
            <v>Aden Cell</v>
          </cell>
        </row>
        <row r="2901">
          <cell r="B2901">
            <v>17258530</v>
          </cell>
          <cell r="C2901" t="str">
            <v>Ais cell</v>
          </cell>
        </row>
        <row r="2902">
          <cell r="B2902">
            <v>17493484</v>
          </cell>
          <cell r="C2902" t="str">
            <v>Akung Cell</v>
          </cell>
        </row>
        <row r="2903">
          <cell r="B2903">
            <v>17478798</v>
          </cell>
          <cell r="C2903" t="str">
            <v>Aruna cell</v>
          </cell>
        </row>
        <row r="2904">
          <cell r="B2904">
            <v>645533</v>
          </cell>
          <cell r="C2904" t="str">
            <v>ATI 2 CELL</v>
          </cell>
        </row>
        <row r="2905">
          <cell r="B2905">
            <v>17438103</v>
          </cell>
          <cell r="C2905" t="str">
            <v>Deds cell</v>
          </cell>
        </row>
        <row r="2906">
          <cell r="B2906">
            <v>17478489</v>
          </cell>
          <cell r="C2906" t="str">
            <v>Defa cell</v>
          </cell>
        </row>
        <row r="2907">
          <cell r="B2907">
            <v>17388284</v>
          </cell>
          <cell r="C2907" t="str">
            <v>Denanto cell</v>
          </cell>
        </row>
        <row r="2908">
          <cell r="B2908">
            <v>17526069</v>
          </cell>
          <cell r="C2908" t="str">
            <v>Dens 47 Cell</v>
          </cell>
        </row>
        <row r="2909">
          <cell r="B2909">
            <v>17489863</v>
          </cell>
          <cell r="C2909" t="str">
            <v>Dens cell</v>
          </cell>
        </row>
        <row r="2910">
          <cell r="B2910">
            <v>17529293</v>
          </cell>
          <cell r="C2910" t="str">
            <v>Dera Cell</v>
          </cell>
        </row>
        <row r="2911">
          <cell r="B2911">
            <v>17493436</v>
          </cell>
          <cell r="C2911" t="str">
            <v>Dewi Cell</v>
          </cell>
        </row>
        <row r="2912">
          <cell r="B2912">
            <v>1332325</v>
          </cell>
          <cell r="C2912" t="str">
            <v>dhima cell</v>
          </cell>
        </row>
        <row r="2913">
          <cell r="B2913">
            <v>17357414</v>
          </cell>
          <cell r="C2913" t="str">
            <v>Dhima Cell 2</v>
          </cell>
        </row>
        <row r="2914">
          <cell r="B2914">
            <v>17588427</v>
          </cell>
          <cell r="C2914" t="str">
            <v>Dhima Cell 3</v>
          </cell>
        </row>
        <row r="2915">
          <cell r="B2915">
            <v>17526063</v>
          </cell>
          <cell r="C2915" t="str">
            <v>Elang cell 1</v>
          </cell>
        </row>
        <row r="2916">
          <cell r="B2916">
            <v>17236964</v>
          </cell>
          <cell r="C2916" t="str">
            <v>Elva cell</v>
          </cell>
        </row>
        <row r="2917">
          <cell r="B2917">
            <v>17241449</v>
          </cell>
          <cell r="C2917" t="str">
            <v>I am cell</v>
          </cell>
        </row>
        <row r="2918">
          <cell r="B2918">
            <v>17430717</v>
          </cell>
          <cell r="C2918" t="str">
            <v>I AM CELL 2</v>
          </cell>
        </row>
        <row r="2919">
          <cell r="B2919">
            <v>17600573</v>
          </cell>
          <cell r="C2919" t="str">
            <v>I am cell 3</v>
          </cell>
        </row>
        <row r="2920">
          <cell r="B2920">
            <v>17492469</v>
          </cell>
          <cell r="C2920" t="str">
            <v>King Cell</v>
          </cell>
        </row>
        <row r="2921">
          <cell r="B2921">
            <v>17493984</v>
          </cell>
          <cell r="C2921" t="str">
            <v>Kurnia Cell</v>
          </cell>
        </row>
        <row r="2922">
          <cell r="B2922">
            <v>17219828</v>
          </cell>
          <cell r="C2922" t="str">
            <v>Lanlan Cell</v>
          </cell>
        </row>
        <row r="2923">
          <cell r="B2923">
            <v>1382303</v>
          </cell>
          <cell r="C2923" t="str">
            <v>lia cell</v>
          </cell>
        </row>
        <row r="2924">
          <cell r="B2924">
            <v>1351427</v>
          </cell>
          <cell r="C2924" t="str">
            <v>MEI MEI CELL</v>
          </cell>
        </row>
        <row r="2925">
          <cell r="B2925">
            <v>17194461</v>
          </cell>
          <cell r="C2925" t="str">
            <v>Mj cell</v>
          </cell>
        </row>
        <row r="2926">
          <cell r="B2926">
            <v>17444330</v>
          </cell>
          <cell r="C2926" t="str">
            <v>Mukti cell</v>
          </cell>
        </row>
        <row r="2927">
          <cell r="B2927">
            <v>504368</v>
          </cell>
          <cell r="C2927" t="str">
            <v>NABIL CELL</v>
          </cell>
        </row>
        <row r="2928">
          <cell r="B2928">
            <v>1075991</v>
          </cell>
          <cell r="C2928" t="str">
            <v>PARJAN CELL</v>
          </cell>
        </row>
        <row r="2929">
          <cell r="B2929">
            <v>17403875</v>
          </cell>
          <cell r="C2929" t="str">
            <v>Putra Cell</v>
          </cell>
        </row>
        <row r="2930">
          <cell r="B2930">
            <v>1450534</v>
          </cell>
          <cell r="C2930" t="str">
            <v>RAI CELL</v>
          </cell>
        </row>
        <row r="2931">
          <cell r="B2931">
            <v>17469015</v>
          </cell>
          <cell r="C2931" t="str">
            <v>Rd cell</v>
          </cell>
        </row>
        <row r="2932">
          <cell r="B2932">
            <v>17468997</v>
          </cell>
          <cell r="C2932" t="str">
            <v>Rey 2</v>
          </cell>
        </row>
        <row r="2933">
          <cell r="B2933">
            <v>17210173</v>
          </cell>
          <cell r="C2933" t="str">
            <v>Rey cell</v>
          </cell>
        </row>
        <row r="2934">
          <cell r="B2934">
            <v>1366715</v>
          </cell>
          <cell r="C2934" t="str">
            <v>Riza Cell</v>
          </cell>
        </row>
        <row r="2935">
          <cell r="B2935">
            <v>17489848</v>
          </cell>
          <cell r="C2935" t="str">
            <v>Sajodo cell</v>
          </cell>
        </row>
        <row r="2936">
          <cell r="B2936">
            <v>17431010</v>
          </cell>
          <cell r="C2936" t="str">
            <v>Serasa cell</v>
          </cell>
        </row>
        <row r="2937">
          <cell r="B2937">
            <v>746748</v>
          </cell>
          <cell r="C2937" t="str">
            <v>SIDOMORO CELL</v>
          </cell>
        </row>
        <row r="2938">
          <cell r="B2938">
            <v>17469007</v>
          </cell>
          <cell r="C2938" t="str">
            <v>Sm cell</v>
          </cell>
        </row>
        <row r="2939">
          <cell r="B2939">
            <v>17241185</v>
          </cell>
          <cell r="C2939" t="str">
            <v>Sunset cell</v>
          </cell>
        </row>
        <row r="2940">
          <cell r="B2940">
            <v>717451</v>
          </cell>
          <cell r="C2940" t="str">
            <v>SYIFA CELL</v>
          </cell>
        </row>
        <row r="2941">
          <cell r="B2941">
            <v>1534510</v>
          </cell>
          <cell r="C2941" t="str">
            <v>WILLIE CELL</v>
          </cell>
        </row>
        <row r="2942">
          <cell r="B2942">
            <v>17507828</v>
          </cell>
          <cell r="C2942" t="str">
            <v>Wr lia</v>
          </cell>
        </row>
        <row r="2943">
          <cell r="B2943">
            <v>17210499</v>
          </cell>
          <cell r="C2943" t="str">
            <v>Yessa cell</v>
          </cell>
        </row>
        <row r="2944">
          <cell r="B2944">
            <v>17194783</v>
          </cell>
          <cell r="C2944" t="str">
            <v>Zahira cell</v>
          </cell>
        </row>
        <row r="2945">
          <cell r="B2945">
            <v>17507824</v>
          </cell>
          <cell r="C2945" t="str">
            <v>Zifanka cell</v>
          </cell>
        </row>
        <row r="2946">
          <cell r="B2946">
            <v>17209932</v>
          </cell>
          <cell r="C2946" t="str">
            <v>HUSNAL CELL</v>
          </cell>
        </row>
        <row r="2947">
          <cell r="B2947">
            <v>17388298</v>
          </cell>
          <cell r="C2947" t="str">
            <v>A.FARI CELL</v>
          </cell>
        </row>
        <row r="2948">
          <cell r="B2948">
            <v>1372432</v>
          </cell>
          <cell r="C2948" t="str">
            <v>abadi cell</v>
          </cell>
        </row>
        <row r="2949">
          <cell r="B2949">
            <v>1343336</v>
          </cell>
          <cell r="C2949" t="str">
            <v>ABY CELL</v>
          </cell>
        </row>
        <row r="2950">
          <cell r="B2950">
            <v>17231523</v>
          </cell>
          <cell r="C2950" t="str">
            <v>ACHEM CELL</v>
          </cell>
        </row>
        <row r="2951">
          <cell r="B2951">
            <v>17438831</v>
          </cell>
          <cell r="C2951" t="str">
            <v>Al husna 4 cell</v>
          </cell>
        </row>
        <row r="2952">
          <cell r="B2952">
            <v>17386253</v>
          </cell>
          <cell r="C2952" t="str">
            <v>Al husna cell</v>
          </cell>
        </row>
        <row r="2953">
          <cell r="B2953">
            <v>1337466</v>
          </cell>
          <cell r="C2953" t="str">
            <v>anas cell</v>
          </cell>
        </row>
        <row r="2954">
          <cell r="B2954">
            <v>17216956</v>
          </cell>
          <cell r="C2954" t="str">
            <v>ANNISA CELL</v>
          </cell>
        </row>
        <row r="2955">
          <cell r="B2955">
            <v>17149092</v>
          </cell>
          <cell r="C2955" t="str">
            <v>ASIA CELL</v>
          </cell>
        </row>
        <row r="2956">
          <cell r="B2956">
            <v>607428</v>
          </cell>
          <cell r="C2956" t="str">
            <v>AZKA CELL</v>
          </cell>
        </row>
        <row r="2957">
          <cell r="B2957">
            <v>17148307</v>
          </cell>
          <cell r="C2957" t="str">
            <v>BANDAR KUOTA</v>
          </cell>
        </row>
        <row r="2958">
          <cell r="B2958">
            <v>17007305</v>
          </cell>
          <cell r="C2958" t="str">
            <v>BINTANG BARU CELLULAR</v>
          </cell>
        </row>
        <row r="2959">
          <cell r="B2959">
            <v>1386385</v>
          </cell>
          <cell r="C2959" t="str">
            <v>bong putra 3</v>
          </cell>
        </row>
        <row r="2960">
          <cell r="B2960">
            <v>1363407</v>
          </cell>
          <cell r="C2960" t="str">
            <v>BONG PUTRA CELULER</v>
          </cell>
        </row>
        <row r="2961">
          <cell r="B2961">
            <v>1372474</v>
          </cell>
          <cell r="C2961" t="str">
            <v>bongputra 2 cell</v>
          </cell>
        </row>
        <row r="2962">
          <cell r="B2962">
            <v>17127538</v>
          </cell>
          <cell r="C2962" t="str">
            <v>CAHAYA CELL</v>
          </cell>
        </row>
        <row r="2963">
          <cell r="B2963">
            <v>1550303</v>
          </cell>
          <cell r="C2963" t="str">
            <v>CITRA CELL</v>
          </cell>
        </row>
        <row r="2964">
          <cell r="B2964">
            <v>1287258</v>
          </cell>
          <cell r="C2964" t="str">
            <v>daun cell</v>
          </cell>
        </row>
        <row r="2965">
          <cell r="B2965">
            <v>17469391</v>
          </cell>
          <cell r="C2965" t="str">
            <v>DHE Cell</v>
          </cell>
        </row>
        <row r="2966">
          <cell r="B2966">
            <v>566725</v>
          </cell>
          <cell r="C2966" t="str">
            <v>DICKY CELL</v>
          </cell>
        </row>
        <row r="2967">
          <cell r="B2967">
            <v>17495176</v>
          </cell>
          <cell r="C2967" t="str">
            <v>DIRAMOTI KIOS</v>
          </cell>
        </row>
        <row r="2968">
          <cell r="B2968">
            <v>615103</v>
          </cell>
          <cell r="C2968" t="str">
            <v>ELSADES</v>
          </cell>
        </row>
        <row r="2969">
          <cell r="B2969">
            <v>17010929</v>
          </cell>
          <cell r="C2969" t="str">
            <v>GEMILANG CELL</v>
          </cell>
        </row>
        <row r="2970">
          <cell r="B2970">
            <v>1450301</v>
          </cell>
          <cell r="C2970" t="str">
            <v>GI cell</v>
          </cell>
        </row>
        <row r="2971">
          <cell r="B2971">
            <v>17265135</v>
          </cell>
          <cell r="C2971" t="str">
            <v>HAKIMAN CELLULAR</v>
          </cell>
        </row>
        <row r="2972">
          <cell r="B2972">
            <v>17227094</v>
          </cell>
          <cell r="C2972" t="str">
            <v>HOKKY CELL</v>
          </cell>
        </row>
        <row r="2973">
          <cell r="B2973">
            <v>17064971</v>
          </cell>
          <cell r="C2973" t="str">
            <v>KING CELL</v>
          </cell>
        </row>
        <row r="2974">
          <cell r="B2974">
            <v>17189132</v>
          </cell>
          <cell r="C2974" t="str">
            <v>LAPAK KOUTA</v>
          </cell>
        </row>
        <row r="2975">
          <cell r="B2975">
            <v>1376285</v>
          </cell>
          <cell r="C2975" t="str">
            <v>libra 2 cell</v>
          </cell>
        </row>
        <row r="2976">
          <cell r="B2976">
            <v>568069</v>
          </cell>
          <cell r="C2976" t="str">
            <v>Lion Cell</v>
          </cell>
        </row>
        <row r="2977">
          <cell r="B2977">
            <v>1373830</v>
          </cell>
          <cell r="C2977" t="str">
            <v>LYDIA cell</v>
          </cell>
        </row>
        <row r="2978">
          <cell r="B2978">
            <v>1372433</v>
          </cell>
          <cell r="C2978" t="str">
            <v>makmur cell</v>
          </cell>
        </row>
        <row r="2979">
          <cell r="B2979">
            <v>17583742</v>
          </cell>
          <cell r="C2979" t="str">
            <v>MAULANA CELL</v>
          </cell>
        </row>
        <row r="2980">
          <cell r="B2980">
            <v>17495151</v>
          </cell>
          <cell r="C2980" t="str">
            <v>MAZDA CELL</v>
          </cell>
        </row>
        <row r="2981">
          <cell r="B2981">
            <v>17231421</v>
          </cell>
          <cell r="C2981" t="str">
            <v>MD CELL</v>
          </cell>
        </row>
        <row r="2982">
          <cell r="B2982">
            <v>17157537</v>
          </cell>
          <cell r="C2982" t="str">
            <v>MEGA PHONE CELL</v>
          </cell>
        </row>
        <row r="2983">
          <cell r="B2983">
            <v>1477409</v>
          </cell>
          <cell r="C2983" t="str">
            <v>metro phone cell</v>
          </cell>
        </row>
        <row r="2984">
          <cell r="B2984">
            <v>17049487</v>
          </cell>
          <cell r="C2984" t="str">
            <v>MITRA PONSEL</v>
          </cell>
        </row>
        <row r="2985">
          <cell r="B2985">
            <v>17194067</v>
          </cell>
          <cell r="C2985" t="str">
            <v>MULTY  PHONE CELL</v>
          </cell>
        </row>
        <row r="2986">
          <cell r="B2986">
            <v>17158319</v>
          </cell>
          <cell r="C2986" t="str">
            <v>PELANGI CELL</v>
          </cell>
        </row>
        <row r="2987">
          <cell r="B2987">
            <v>17127052</v>
          </cell>
          <cell r="C2987" t="str">
            <v>RASYA CELL</v>
          </cell>
        </row>
        <row r="2988">
          <cell r="B2988">
            <v>567129</v>
          </cell>
          <cell r="C2988" t="str">
            <v>REKSA cell</v>
          </cell>
        </row>
        <row r="2989">
          <cell r="B2989">
            <v>17386110</v>
          </cell>
          <cell r="C2989" t="str">
            <v>RIZKY CELL</v>
          </cell>
        </row>
        <row r="2990">
          <cell r="B2990">
            <v>17134011</v>
          </cell>
          <cell r="C2990" t="str">
            <v>SANTRI CELL</v>
          </cell>
        </row>
        <row r="2991">
          <cell r="B2991">
            <v>1365136</v>
          </cell>
          <cell r="C2991" t="str">
            <v>sinar utama cell</v>
          </cell>
        </row>
        <row r="2992">
          <cell r="B2992">
            <v>1372999</v>
          </cell>
          <cell r="C2992" t="str">
            <v>suryajaya cell</v>
          </cell>
        </row>
        <row r="2993">
          <cell r="B2993">
            <v>17010524</v>
          </cell>
          <cell r="C2993" t="str">
            <v>TOP CELL</v>
          </cell>
        </row>
        <row r="2994">
          <cell r="B2994">
            <v>17235436</v>
          </cell>
          <cell r="C2994" t="str">
            <v>UNITY CELL</v>
          </cell>
        </row>
        <row r="2995">
          <cell r="B2995">
            <v>17149022</v>
          </cell>
          <cell r="C2995" t="str">
            <v>VICKY CELL</v>
          </cell>
        </row>
        <row r="2996">
          <cell r="B2996">
            <v>17199540</v>
          </cell>
          <cell r="C2996" t="str">
            <v>VICTORY I79</v>
          </cell>
        </row>
        <row r="2997">
          <cell r="B2997">
            <v>1456055</v>
          </cell>
          <cell r="C2997" t="str">
            <v>warriors</v>
          </cell>
        </row>
        <row r="2998">
          <cell r="B2998">
            <v>730633</v>
          </cell>
          <cell r="C2998" t="str">
            <v>YELLOW CELL</v>
          </cell>
        </row>
        <row r="2999">
          <cell r="B2999">
            <v>17628074</v>
          </cell>
          <cell r="C2999" t="str">
            <v>Siti cel</v>
          </cell>
        </row>
        <row r="3000">
          <cell r="B3000">
            <v>17628082</v>
          </cell>
          <cell r="C3000" t="str">
            <v>Bima cel</v>
          </cell>
        </row>
        <row r="3001">
          <cell r="B3001">
            <v>17628086</v>
          </cell>
          <cell r="C3001" t="str">
            <v>Mulya cel</v>
          </cell>
        </row>
        <row r="3002">
          <cell r="B3002">
            <v>17437848</v>
          </cell>
          <cell r="C3002" t="str">
            <v>AM cell</v>
          </cell>
        </row>
        <row r="3003">
          <cell r="B3003">
            <v>1517630</v>
          </cell>
          <cell r="C3003" t="str">
            <v>aulia cell</v>
          </cell>
        </row>
        <row r="3004">
          <cell r="B3004">
            <v>17515493</v>
          </cell>
          <cell r="C3004" t="str">
            <v>BayuPedia Cell</v>
          </cell>
        </row>
        <row r="3005">
          <cell r="B3005">
            <v>1070113</v>
          </cell>
          <cell r="C3005" t="str">
            <v>berdikari cell</v>
          </cell>
        </row>
        <row r="3006">
          <cell r="B3006">
            <v>1369071</v>
          </cell>
          <cell r="C3006" t="str">
            <v>Buana cell</v>
          </cell>
        </row>
        <row r="3007">
          <cell r="B3007">
            <v>504035</v>
          </cell>
          <cell r="C3007" t="str">
            <v>BURHAN CELL</v>
          </cell>
        </row>
        <row r="3008">
          <cell r="B3008">
            <v>17534072</v>
          </cell>
          <cell r="C3008" t="str">
            <v>Cece</v>
          </cell>
        </row>
        <row r="3009">
          <cell r="B3009">
            <v>17190123</v>
          </cell>
          <cell r="C3009" t="str">
            <v>Chikal Cell</v>
          </cell>
        </row>
        <row r="3010">
          <cell r="B3010">
            <v>1070120</v>
          </cell>
          <cell r="C3010" t="str">
            <v>D cell</v>
          </cell>
        </row>
        <row r="3011">
          <cell r="B3011">
            <v>17583529</v>
          </cell>
          <cell r="C3011" t="str">
            <v>DEVANO CELL</v>
          </cell>
        </row>
        <row r="3012">
          <cell r="B3012">
            <v>17217331</v>
          </cell>
          <cell r="C3012" t="str">
            <v>Diana cell</v>
          </cell>
        </row>
        <row r="3013">
          <cell r="B3013">
            <v>1556226</v>
          </cell>
          <cell r="C3013" t="str">
            <v>FADILAH</v>
          </cell>
        </row>
        <row r="3014">
          <cell r="B3014">
            <v>908334</v>
          </cell>
          <cell r="C3014" t="str">
            <v>FAHRi CELL</v>
          </cell>
        </row>
        <row r="3015">
          <cell r="B3015">
            <v>1287426</v>
          </cell>
          <cell r="C3015" t="str">
            <v>fahri cell 2</v>
          </cell>
        </row>
        <row r="3016">
          <cell r="B3016">
            <v>1287422</v>
          </cell>
          <cell r="C3016" t="str">
            <v>faisal cell</v>
          </cell>
        </row>
        <row r="3017">
          <cell r="B3017">
            <v>17545995</v>
          </cell>
          <cell r="C3017" t="str">
            <v>FARHAN CELL</v>
          </cell>
        </row>
        <row r="3018">
          <cell r="B3018">
            <v>1287388</v>
          </cell>
          <cell r="C3018" t="str">
            <v>fathir cell</v>
          </cell>
        </row>
        <row r="3019">
          <cell r="B3019">
            <v>1292504</v>
          </cell>
          <cell r="C3019" t="str">
            <v>fatma cell</v>
          </cell>
        </row>
        <row r="3020">
          <cell r="B3020">
            <v>1070076</v>
          </cell>
          <cell r="C3020" t="str">
            <v>Fb cell</v>
          </cell>
        </row>
        <row r="3021">
          <cell r="B3021">
            <v>17267715</v>
          </cell>
          <cell r="C3021" t="str">
            <v>Foto cell</v>
          </cell>
        </row>
        <row r="3022">
          <cell r="B3022">
            <v>17436690</v>
          </cell>
          <cell r="C3022" t="str">
            <v>Gres cel</v>
          </cell>
        </row>
        <row r="3023">
          <cell r="B3023">
            <v>1368661</v>
          </cell>
          <cell r="C3023" t="str">
            <v>ibra cell</v>
          </cell>
        </row>
        <row r="3024">
          <cell r="B3024">
            <v>1556778</v>
          </cell>
          <cell r="C3024" t="str">
            <v>IPANG</v>
          </cell>
        </row>
        <row r="3025">
          <cell r="B3025">
            <v>17258823</v>
          </cell>
          <cell r="C3025" t="str">
            <v>Ires cell</v>
          </cell>
        </row>
        <row r="3026">
          <cell r="B3026">
            <v>738012</v>
          </cell>
          <cell r="C3026" t="str">
            <v>IRFAN CELL</v>
          </cell>
        </row>
        <row r="3027">
          <cell r="B3027">
            <v>17194590</v>
          </cell>
          <cell r="C3027" t="str">
            <v>IRMAN 94</v>
          </cell>
        </row>
        <row r="3028">
          <cell r="B3028">
            <v>1371272</v>
          </cell>
          <cell r="C3028" t="str">
            <v>Juang cell</v>
          </cell>
        </row>
        <row r="3029">
          <cell r="B3029">
            <v>17466521</v>
          </cell>
          <cell r="C3029" t="str">
            <v>Kanji cell</v>
          </cell>
        </row>
        <row r="3030">
          <cell r="B3030">
            <v>17557771</v>
          </cell>
          <cell r="C3030" t="str">
            <v>Khansa Cell 2</v>
          </cell>
        </row>
        <row r="3031">
          <cell r="B3031">
            <v>17583507</v>
          </cell>
          <cell r="C3031" t="str">
            <v>MARCO CELL</v>
          </cell>
        </row>
        <row r="3032">
          <cell r="B3032">
            <v>567139</v>
          </cell>
          <cell r="C3032" t="str">
            <v>MHD CELL</v>
          </cell>
        </row>
        <row r="3033">
          <cell r="B3033">
            <v>1070042</v>
          </cell>
          <cell r="C3033" t="str">
            <v>My cell</v>
          </cell>
        </row>
        <row r="3034">
          <cell r="B3034">
            <v>17190058</v>
          </cell>
          <cell r="C3034" t="str">
            <v>Nadya Cell</v>
          </cell>
        </row>
        <row r="3035">
          <cell r="B3035">
            <v>1329848</v>
          </cell>
          <cell r="C3035" t="str">
            <v>najril cell</v>
          </cell>
        </row>
        <row r="3036">
          <cell r="B3036">
            <v>1072681</v>
          </cell>
          <cell r="C3036" t="str">
            <v>najwa cell</v>
          </cell>
        </row>
        <row r="3037">
          <cell r="B3037">
            <v>17431810</v>
          </cell>
          <cell r="C3037" t="str">
            <v>Oces cell</v>
          </cell>
        </row>
        <row r="3038">
          <cell r="B3038">
            <v>17317838</v>
          </cell>
          <cell r="C3038" t="str">
            <v>PADLAN  cell</v>
          </cell>
        </row>
        <row r="3039">
          <cell r="B3039">
            <v>1356440</v>
          </cell>
          <cell r="C3039" t="str">
            <v>PJ cell</v>
          </cell>
        </row>
        <row r="3040">
          <cell r="B3040">
            <v>17587805</v>
          </cell>
          <cell r="C3040" t="str">
            <v>Putri Cellular</v>
          </cell>
        </row>
        <row r="3041">
          <cell r="B3041">
            <v>614780</v>
          </cell>
          <cell r="C3041" t="str">
            <v>REMANG2 CELL</v>
          </cell>
        </row>
        <row r="3042">
          <cell r="B3042">
            <v>17387920</v>
          </cell>
          <cell r="C3042" t="str">
            <v>Rizaal cell</v>
          </cell>
        </row>
        <row r="3043">
          <cell r="B3043">
            <v>17245527</v>
          </cell>
          <cell r="C3043" t="str">
            <v>Satria cell</v>
          </cell>
        </row>
        <row r="3044">
          <cell r="B3044">
            <v>17434789</v>
          </cell>
          <cell r="C3044" t="str">
            <v>Shakil cell</v>
          </cell>
        </row>
        <row r="3045">
          <cell r="B3045">
            <v>17231192</v>
          </cell>
          <cell r="C3045" t="str">
            <v>Siliwangi 2 cell</v>
          </cell>
        </row>
        <row r="3046">
          <cell r="B3046">
            <v>17011630</v>
          </cell>
          <cell r="C3046" t="str">
            <v>SYIFA</v>
          </cell>
        </row>
        <row r="3047">
          <cell r="B3047">
            <v>17531062</v>
          </cell>
          <cell r="C3047" t="str">
            <v>Wijaya Cell</v>
          </cell>
        </row>
        <row r="3048">
          <cell r="B3048">
            <v>17387940</v>
          </cell>
          <cell r="C3048" t="str">
            <v>Wr Fatma cel</v>
          </cell>
        </row>
        <row r="3049">
          <cell r="B3049">
            <v>1517628</v>
          </cell>
          <cell r="C3049" t="str">
            <v>zaky cell</v>
          </cell>
        </row>
        <row r="3050">
          <cell r="B3050">
            <v>786311</v>
          </cell>
          <cell r="C3050" t="str">
            <v>ZEAL CELL</v>
          </cell>
        </row>
        <row r="3051">
          <cell r="B3051">
            <v>17447036</v>
          </cell>
          <cell r="C3051" t="str">
            <v>Zebra cel</v>
          </cell>
        </row>
        <row r="3052">
          <cell r="B3052">
            <v>17628042</v>
          </cell>
          <cell r="C3052" t="str">
            <v>Mandiri Cell</v>
          </cell>
        </row>
        <row r="3053">
          <cell r="B3053">
            <v>17628046</v>
          </cell>
          <cell r="C3053" t="str">
            <v>Alfattih Store</v>
          </cell>
        </row>
        <row r="3054">
          <cell r="B3054">
            <v>17544334</v>
          </cell>
          <cell r="C3054" t="str">
            <v>Tera</v>
          </cell>
        </row>
        <row r="3055">
          <cell r="B3055">
            <v>17436692</v>
          </cell>
          <cell r="C3055" t="str">
            <v>Tiara cel</v>
          </cell>
        </row>
        <row r="3056">
          <cell r="B3056">
            <v>17469240</v>
          </cell>
          <cell r="C3056" t="str">
            <v>Azla cell</v>
          </cell>
        </row>
        <row r="3057">
          <cell r="B3057">
            <v>17493990</v>
          </cell>
          <cell r="C3057" t="str">
            <v>Berkahsop Cell</v>
          </cell>
        </row>
        <row r="3058">
          <cell r="B3058">
            <v>17638797</v>
          </cell>
          <cell r="C3058" t="str">
            <v>Alesha Cell</v>
          </cell>
        </row>
        <row r="3059">
          <cell r="B3059">
            <v>17661851</v>
          </cell>
          <cell r="C3059" t="str">
            <v>AIO STORE</v>
          </cell>
        </row>
        <row r="3060">
          <cell r="B3060">
            <v>17661853</v>
          </cell>
          <cell r="C3060" t="str">
            <v>ARTA CELL</v>
          </cell>
        </row>
        <row r="3061">
          <cell r="B3061">
            <v>17661854</v>
          </cell>
          <cell r="C3061" t="str">
            <v>YOSIE CELL</v>
          </cell>
        </row>
        <row r="3062">
          <cell r="B3062">
            <v>17672923</v>
          </cell>
          <cell r="C3062" t="str">
            <v>I AM CELL 99</v>
          </cell>
        </row>
        <row r="3063">
          <cell r="B3063">
            <v>17676165</v>
          </cell>
          <cell r="C3063" t="str">
            <v>SONIC RELOAD</v>
          </cell>
        </row>
        <row r="3064">
          <cell r="B3064">
            <v>17671215</v>
          </cell>
          <cell r="C3064" t="str">
            <v>DhimaPay4</v>
          </cell>
        </row>
        <row r="3065">
          <cell r="B3065">
            <v>17670689</v>
          </cell>
          <cell r="C3065" t="str">
            <v>Subur Jaya</v>
          </cell>
        </row>
        <row r="3066">
          <cell r="B3066">
            <v>17673521</v>
          </cell>
          <cell r="C3066" t="str">
            <v>wp memey</v>
          </cell>
        </row>
        <row r="3067">
          <cell r="B3067">
            <v>17688907</v>
          </cell>
          <cell r="C3067" t="str">
            <v>WP-Zaenal</v>
          </cell>
        </row>
        <row r="3068">
          <cell r="B3068">
            <v>17688929</v>
          </cell>
          <cell r="C3068" t="str">
            <v>WP-Yana</v>
          </cell>
        </row>
        <row r="3069">
          <cell r="B3069">
            <v>17387946</v>
          </cell>
          <cell r="C3069" t="str">
            <v>GUDANG CELL 2</v>
          </cell>
        </row>
        <row r="3070">
          <cell r="B3070">
            <v>17230825</v>
          </cell>
          <cell r="C3070" t="str">
            <v>ADI CELL</v>
          </cell>
        </row>
        <row r="3071">
          <cell r="B3071">
            <v>17230926</v>
          </cell>
          <cell r="C3071" t="str">
            <v>NAZWA CELL</v>
          </cell>
        </row>
        <row r="3072">
          <cell r="B3072">
            <v>17469233</v>
          </cell>
          <cell r="C3072" t="str">
            <v>Aisyah cell</v>
          </cell>
        </row>
        <row r="3073">
          <cell r="B3073">
            <v>17226631</v>
          </cell>
          <cell r="C3073" t="str">
            <v>AL CELL</v>
          </cell>
        </row>
        <row r="3074">
          <cell r="B3074">
            <v>17174178</v>
          </cell>
          <cell r="C3074" t="str">
            <v>Murah cell</v>
          </cell>
        </row>
        <row r="3075">
          <cell r="B3075">
            <v>17515555</v>
          </cell>
          <cell r="C3075" t="str">
            <v>Aina Cell</v>
          </cell>
        </row>
        <row r="3076">
          <cell r="B3076">
            <v>17477290</v>
          </cell>
          <cell r="C3076" t="str">
            <v>MELATI CELL</v>
          </cell>
        </row>
        <row r="3077">
          <cell r="B3077">
            <v>17587776</v>
          </cell>
          <cell r="C3077" t="str">
            <v>Rinjani Cell</v>
          </cell>
        </row>
        <row r="3078">
          <cell r="B3078">
            <v>17287214</v>
          </cell>
          <cell r="C3078" t="str">
            <v>Alisha cell</v>
          </cell>
        </row>
        <row r="3079">
          <cell r="B3079">
            <v>17256537</v>
          </cell>
          <cell r="C3079" t="str">
            <v>Nissa cell</v>
          </cell>
        </row>
        <row r="3080">
          <cell r="B3080">
            <v>17444322</v>
          </cell>
          <cell r="C3080" t="str">
            <v>Rafisqy</v>
          </cell>
        </row>
        <row r="3081">
          <cell r="B3081">
            <v>17257196</v>
          </cell>
          <cell r="C3081" t="str">
            <v>Z 2 cell</v>
          </cell>
        </row>
        <row r="3082">
          <cell r="B3082">
            <v>1372476</v>
          </cell>
          <cell r="C3082" t="str">
            <v>Raisya cell</v>
          </cell>
        </row>
        <row r="3083">
          <cell r="B3083">
            <v>17470942</v>
          </cell>
          <cell r="C3083" t="str">
            <v>Alif cell</v>
          </cell>
        </row>
        <row r="3084">
          <cell r="B3084">
            <v>17363732</v>
          </cell>
          <cell r="C3084" t="str">
            <v>Gallery 2 cell</v>
          </cell>
        </row>
        <row r="3085">
          <cell r="B3085">
            <v>17247374</v>
          </cell>
          <cell r="C3085" t="str">
            <v>JS Cell</v>
          </cell>
        </row>
        <row r="3086">
          <cell r="B3086">
            <v>17436785</v>
          </cell>
          <cell r="C3086" t="str">
            <v>Queen cell</v>
          </cell>
        </row>
        <row r="3087">
          <cell r="B3087">
            <v>17210253</v>
          </cell>
          <cell r="C3087" t="str">
            <v>Shani cell</v>
          </cell>
        </row>
        <row r="3088">
          <cell r="B3088">
            <v>17220561</v>
          </cell>
          <cell r="C3088" t="str">
            <v>Waysuke Store</v>
          </cell>
        </row>
        <row r="3089">
          <cell r="B3089">
            <v>17437980</v>
          </cell>
          <cell r="C3089" t="str">
            <v>Yusuf cell</v>
          </cell>
        </row>
        <row r="3090">
          <cell r="B3090">
            <v>17259093</v>
          </cell>
          <cell r="C3090" t="str">
            <v>Zahra cell</v>
          </cell>
        </row>
        <row r="3091">
          <cell r="B3091">
            <v>17436707</v>
          </cell>
          <cell r="C3091" t="str">
            <v>Zakhira</v>
          </cell>
        </row>
        <row r="3092">
          <cell r="B3092">
            <v>17627796</v>
          </cell>
          <cell r="C3092" t="str">
            <v>Maniak Cell</v>
          </cell>
        </row>
        <row r="3093">
          <cell r="B3093">
            <v>17627802</v>
          </cell>
          <cell r="C3093" t="str">
            <v>HAPPY CELL</v>
          </cell>
        </row>
        <row r="3094">
          <cell r="B3094">
            <v>17627806</v>
          </cell>
          <cell r="C3094" t="str">
            <v>Waria cell</v>
          </cell>
        </row>
        <row r="3095">
          <cell r="B3095">
            <v>786927</v>
          </cell>
          <cell r="C3095" t="str">
            <v>ASYA2 CELL</v>
          </cell>
        </row>
        <row r="3096">
          <cell r="B3096">
            <v>746691</v>
          </cell>
          <cell r="C3096" t="str">
            <v>GITWO CELL</v>
          </cell>
        </row>
        <row r="3097">
          <cell r="B3097">
            <v>1452440</v>
          </cell>
          <cell r="C3097" t="str">
            <v>rama2 cell</v>
          </cell>
        </row>
        <row r="3098">
          <cell r="B3098">
            <v>606718</v>
          </cell>
          <cell r="C3098" t="str">
            <v>UTAMI CELL</v>
          </cell>
        </row>
        <row r="3099">
          <cell r="B3099">
            <v>1333513</v>
          </cell>
          <cell r="C3099" t="str">
            <v>Via cell</v>
          </cell>
        </row>
        <row r="3100">
          <cell r="B3100">
            <v>17231071</v>
          </cell>
          <cell r="C3100" t="str">
            <v>Bunga cell</v>
          </cell>
        </row>
        <row r="3101">
          <cell r="B3101">
            <v>17331796</v>
          </cell>
          <cell r="C3101" t="str">
            <v>Komando cell</v>
          </cell>
        </row>
        <row r="3102">
          <cell r="B3102">
            <v>17190848</v>
          </cell>
          <cell r="C3102" t="str">
            <v>MJ CELL</v>
          </cell>
        </row>
        <row r="3103">
          <cell r="B3103">
            <v>17434869</v>
          </cell>
          <cell r="C3103" t="str">
            <v>Nindi cell</v>
          </cell>
        </row>
        <row r="3104">
          <cell r="B3104">
            <v>17557112</v>
          </cell>
          <cell r="C3104" t="str">
            <v>OBOY BERKAH JAYA</v>
          </cell>
        </row>
        <row r="3105">
          <cell r="B3105">
            <v>17525821</v>
          </cell>
          <cell r="C3105" t="str">
            <v>olympus cell</v>
          </cell>
        </row>
        <row r="3106">
          <cell r="B3106">
            <v>17431805</v>
          </cell>
          <cell r="C3106" t="str">
            <v>Yanji cell</v>
          </cell>
        </row>
        <row r="3107">
          <cell r="B3107">
            <v>697264</v>
          </cell>
          <cell r="C3107" t="str">
            <v>IDRIS CELL</v>
          </cell>
        </row>
        <row r="3108">
          <cell r="B3108">
            <v>716823</v>
          </cell>
          <cell r="C3108" t="str">
            <v>LEO CKB CELL</v>
          </cell>
        </row>
        <row r="3109">
          <cell r="B3109">
            <v>17627775</v>
          </cell>
          <cell r="C3109" t="str">
            <v>Azriel cell</v>
          </cell>
        </row>
        <row r="3110">
          <cell r="B3110">
            <v>17189753</v>
          </cell>
          <cell r="C3110" t="str">
            <v>Adit cell</v>
          </cell>
        </row>
        <row r="3111">
          <cell r="B3111">
            <v>17210183</v>
          </cell>
          <cell r="C3111" t="str">
            <v>AT CELL</v>
          </cell>
        </row>
        <row r="3112">
          <cell r="B3112">
            <v>568382</v>
          </cell>
          <cell r="C3112" t="str">
            <v>Bibilintik Cell</v>
          </cell>
        </row>
        <row r="3113">
          <cell r="B3113">
            <v>17519552</v>
          </cell>
          <cell r="C3113" t="str">
            <v>Fatma cell</v>
          </cell>
        </row>
        <row r="3114">
          <cell r="B3114">
            <v>17444535</v>
          </cell>
          <cell r="C3114" t="str">
            <v>HANA</v>
          </cell>
        </row>
        <row r="3115">
          <cell r="B3115">
            <v>17407150</v>
          </cell>
          <cell r="C3115" t="str">
            <v>YUDHA CELL</v>
          </cell>
        </row>
        <row r="3116">
          <cell r="B3116">
            <v>17628147</v>
          </cell>
          <cell r="C3116" t="str">
            <v>Neptune cell</v>
          </cell>
        </row>
        <row r="3117">
          <cell r="B3117">
            <v>17628152</v>
          </cell>
          <cell r="C3117" t="str">
            <v>Enigma cell</v>
          </cell>
        </row>
        <row r="3118">
          <cell r="B3118">
            <v>17628158</v>
          </cell>
          <cell r="C3118" t="str">
            <v>Diksi cell</v>
          </cell>
        </row>
        <row r="3119">
          <cell r="B3119">
            <v>17193553</v>
          </cell>
          <cell r="C3119" t="str">
            <v>Bunda cell</v>
          </cell>
        </row>
        <row r="3120">
          <cell r="B3120">
            <v>718295</v>
          </cell>
          <cell r="C3120" t="str">
            <v>GOMEN CELL</v>
          </cell>
        </row>
        <row r="3121">
          <cell r="B3121">
            <v>17153767</v>
          </cell>
          <cell r="C3121" t="str">
            <v>Adelia cell</v>
          </cell>
        </row>
        <row r="3122">
          <cell r="B3122">
            <v>17469494</v>
          </cell>
          <cell r="C3122" t="str">
            <v>Eva Cell</v>
          </cell>
        </row>
        <row r="3123">
          <cell r="B3123">
            <v>17519535</v>
          </cell>
          <cell r="C3123" t="str">
            <v>Faris cell</v>
          </cell>
        </row>
        <row r="3124">
          <cell r="B3124">
            <v>17387908</v>
          </cell>
          <cell r="C3124" t="str">
            <v>FATIMAH CELL</v>
          </cell>
        </row>
        <row r="3125">
          <cell r="B3125">
            <v>17258786</v>
          </cell>
          <cell r="C3125" t="str">
            <v>Kurnia cell</v>
          </cell>
        </row>
        <row r="3126">
          <cell r="B3126">
            <v>17451528</v>
          </cell>
          <cell r="C3126" t="str">
            <v>Mi Cell</v>
          </cell>
        </row>
        <row r="3127">
          <cell r="B3127">
            <v>17494004</v>
          </cell>
          <cell r="C3127" t="str">
            <v>Mila cell</v>
          </cell>
        </row>
        <row r="3128">
          <cell r="B3128">
            <v>17483219</v>
          </cell>
          <cell r="C3128" t="str">
            <v>Mira</v>
          </cell>
        </row>
        <row r="3129">
          <cell r="B3129">
            <v>17473129</v>
          </cell>
          <cell r="C3129" t="str">
            <v>Pixell cell</v>
          </cell>
        </row>
        <row r="3130">
          <cell r="B3130">
            <v>17483210</v>
          </cell>
          <cell r="C3130" t="str">
            <v>Sinar Cell</v>
          </cell>
        </row>
        <row r="3131">
          <cell r="B3131">
            <v>17387903</v>
          </cell>
          <cell r="C3131" t="str">
            <v>WAFI CELL</v>
          </cell>
        </row>
        <row r="3132">
          <cell r="B3132">
            <v>17494747</v>
          </cell>
          <cell r="C3132" t="str">
            <v>Adnan cell</v>
          </cell>
        </row>
        <row r="3133">
          <cell r="B3133">
            <v>17344538</v>
          </cell>
          <cell r="C3133" t="str">
            <v>BERKAH FAS CELL 2</v>
          </cell>
        </row>
        <row r="3134">
          <cell r="B3134">
            <v>1076945</v>
          </cell>
          <cell r="C3134" t="str">
            <v>bungsu cell</v>
          </cell>
        </row>
        <row r="3135">
          <cell r="B3135">
            <v>17510824</v>
          </cell>
          <cell r="C3135" t="str">
            <v>Kiko cell</v>
          </cell>
        </row>
        <row r="3136">
          <cell r="B3136">
            <v>17431608</v>
          </cell>
          <cell r="C3136" t="str">
            <v>Kurnia cell</v>
          </cell>
        </row>
        <row r="3137">
          <cell r="B3137">
            <v>17153275</v>
          </cell>
          <cell r="C3137" t="str">
            <v>Lapak kuota cell</v>
          </cell>
        </row>
        <row r="3138">
          <cell r="B3138">
            <v>17167149</v>
          </cell>
          <cell r="C3138" t="str">
            <v>M2M</v>
          </cell>
        </row>
        <row r="3139">
          <cell r="B3139">
            <v>17494741</v>
          </cell>
          <cell r="C3139" t="str">
            <v>Muhsin cell</v>
          </cell>
        </row>
        <row r="3140">
          <cell r="B3140">
            <v>17388583</v>
          </cell>
          <cell r="C3140" t="str">
            <v>Nino cell</v>
          </cell>
        </row>
        <row r="3141">
          <cell r="B3141">
            <v>721326</v>
          </cell>
          <cell r="C3141" t="str">
            <v>PRAMA CELL</v>
          </cell>
        </row>
        <row r="3142">
          <cell r="B3142">
            <v>17245036</v>
          </cell>
          <cell r="C3142" t="str">
            <v>Qia cell</v>
          </cell>
        </row>
        <row r="3143">
          <cell r="B3143">
            <v>17374992</v>
          </cell>
          <cell r="C3143" t="str">
            <v>Vicky Cell</v>
          </cell>
        </row>
        <row r="3144">
          <cell r="B3144">
            <v>17387721</v>
          </cell>
          <cell r="C3144" t="str">
            <v>Wandi cell</v>
          </cell>
        </row>
        <row r="3145">
          <cell r="B3145">
            <v>17263205</v>
          </cell>
          <cell r="C3145" t="str">
            <v>WIJAYA CEL</v>
          </cell>
        </row>
        <row r="3146">
          <cell r="B3146">
            <v>832659</v>
          </cell>
          <cell r="C3146" t="str">
            <v>Z CELL</v>
          </cell>
        </row>
        <row r="3147">
          <cell r="B3147">
            <v>17214844</v>
          </cell>
          <cell r="C3147" t="str">
            <v>AL FATIH CEL</v>
          </cell>
        </row>
        <row r="3148">
          <cell r="B3148">
            <v>17534758</v>
          </cell>
          <cell r="C3148" t="str">
            <v>Ana Cell</v>
          </cell>
        </row>
        <row r="3149">
          <cell r="B3149">
            <v>17469389</v>
          </cell>
          <cell r="C3149" t="str">
            <v>Dijey Cell</v>
          </cell>
        </row>
        <row r="3150">
          <cell r="B3150">
            <v>17197910</v>
          </cell>
          <cell r="C3150" t="str">
            <v>Pasundan</v>
          </cell>
        </row>
        <row r="3151">
          <cell r="B3151">
            <v>17209671</v>
          </cell>
          <cell r="C3151" t="str">
            <v>PASUNDAN 2 CELL</v>
          </cell>
        </row>
        <row r="3152">
          <cell r="B3152">
            <v>17615822</v>
          </cell>
          <cell r="C3152" t="str">
            <v>Azam cellular</v>
          </cell>
        </row>
        <row r="3153">
          <cell r="B3153">
            <v>17627823</v>
          </cell>
          <cell r="C3153" t="str">
            <v>Budi cell</v>
          </cell>
        </row>
        <row r="3154">
          <cell r="B3154">
            <v>17258768</v>
          </cell>
          <cell r="C3154" t="str">
            <v>ANUGRAH CELL</v>
          </cell>
        </row>
        <row r="3155">
          <cell r="B3155">
            <v>17158347</v>
          </cell>
          <cell r="C3155" t="str">
            <v>BAROKAH CELL</v>
          </cell>
        </row>
        <row r="3156">
          <cell r="B3156">
            <v>17194627</v>
          </cell>
          <cell r="C3156" t="str">
            <v>Baso cell</v>
          </cell>
        </row>
        <row r="3157">
          <cell r="B3157">
            <v>17469279</v>
          </cell>
          <cell r="C3157" t="str">
            <v>Dk cell</v>
          </cell>
        </row>
        <row r="3158">
          <cell r="B3158">
            <v>17247628</v>
          </cell>
          <cell r="C3158" t="str">
            <v>FARIZ CELL</v>
          </cell>
        </row>
        <row r="3159">
          <cell r="B3159">
            <v>17447047</v>
          </cell>
          <cell r="C3159" t="str">
            <v>HIKMAH CELL</v>
          </cell>
        </row>
        <row r="3160">
          <cell r="B3160">
            <v>17246201</v>
          </cell>
          <cell r="C3160" t="str">
            <v>HR CELL</v>
          </cell>
        </row>
        <row r="3161">
          <cell r="B3161">
            <v>17431775</v>
          </cell>
          <cell r="C3161" t="str">
            <v>Iyan cell</v>
          </cell>
        </row>
        <row r="3162">
          <cell r="B3162">
            <v>17202589</v>
          </cell>
          <cell r="C3162" t="str">
            <v>KIRANA CELL</v>
          </cell>
        </row>
        <row r="3163">
          <cell r="B3163">
            <v>17534763</v>
          </cell>
          <cell r="C3163" t="str">
            <v>Kumis Cell</v>
          </cell>
        </row>
        <row r="3164">
          <cell r="B3164">
            <v>17557613</v>
          </cell>
          <cell r="C3164" t="str">
            <v>Mitra cell</v>
          </cell>
        </row>
        <row r="3165">
          <cell r="B3165">
            <v>17583777</v>
          </cell>
          <cell r="C3165" t="str">
            <v>Mutia cell</v>
          </cell>
        </row>
        <row r="3166">
          <cell r="B3166">
            <v>17432388</v>
          </cell>
          <cell r="C3166" t="str">
            <v>NAVISA CELL</v>
          </cell>
        </row>
        <row r="3167">
          <cell r="B3167">
            <v>17154323</v>
          </cell>
          <cell r="C3167" t="str">
            <v>OLIVIA CELL</v>
          </cell>
        </row>
        <row r="3168">
          <cell r="B3168">
            <v>17446495</v>
          </cell>
          <cell r="C3168" t="str">
            <v>Raka Cell</v>
          </cell>
        </row>
        <row r="3169">
          <cell r="B3169">
            <v>17196667</v>
          </cell>
          <cell r="C3169" t="str">
            <v>RAKHA CELL</v>
          </cell>
        </row>
        <row r="3170">
          <cell r="B3170">
            <v>17434898</v>
          </cell>
          <cell r="C3170" t="str">
            <v>Rifa cell</v>
          </cell>
        </row>
        <row r="3171">
          <cell r="B3171">
            <v>1326722</v>
          </cell>
          <cell r="C3171" t="str">
            <v>rizky cell</v>
          </cell>
        </row>
        <row r="3172">
          <cell r="B3172">
            <v>17175145</v>
          </cell>
          <cell r="C3172" t="str">
            <v>WIRA PONSEL</v>
          </cell>
        </row>
        <row r="3173">
          <cell r="B3173">
            <v>614238</v>
          </cell>
          <cell r="C3173" t="str">
            <v>ZHU CELL</v>
          </cell>
        </row>
        <row r="3174">
          <cell r="B3174">
            <v>1341976</v>
          </cell>
          <cell r="C3174" t="str">
            <v>GIGA CELL</v>
          </cell>
        </row>
        <row r="3175">
          <cell r="B3175">
            <v>17567316</v>
          </cell>
          <cell r="C3175" t="str">
            <v>Arfan Cell</v>
          </cell>
        </row>
        <row r="3176">
          <cell r="B3176">
            <v>17194753</v>
          </cell>
          <cell r="C3176" t="str">
            <v>AFIYA CELL</v>
          </cell>
        </row>
        <row r="3177">
          <cell r="B3177">
            <v>17244894</v>
          </cell>
          <cell r="C3177" t="str">
            <v>alfian cell</v>
          </cell>
        </row>
        <row r="3178">
          <cell r="B3178">
            <v>17495274</v>
          </cell>
          <cell r="C3178" t="str">
            <v>AN cell</v>
          </cell>
        </row>
        <row r="3179">
          <cell r="B3179">
            <v>17149069</v>
          </cell>
          <cell r="C3179" t="str">
            <v>FISH CELL</v>
          </cell>
        </row>
        <row r="3180">
          <cell r="B3180">
            <v>1369077</v>
          </cell>
          <cell r="C3180" t="str">
            <v>Dingky 2 cell</v>
          </cell>
        </row>
        <row r="3181">
          <cell r="B3181">
            <v>17415056</v>
          </cell>
          <cell r="C3181" t="str">
            <v>E W putracell</v>
          </cell>
        </row>
        <row r="3182">
          <cell r="B3182">
            <v>17193314</v>
          </cell>
          <cell r="C3182" t="str">
            <v>Pilda cell</v>
          </cell>
        </row>
        <row r="3183">
          <cell r="B3183">
            <v>17546891</v>
          </cell>
          <cell r="C3183" t="str">
            <v>Sadara cell</v>
          </cell>
        </row>
        <row r="3184">
          <cell r="B3184">
            <v>17469031</v>
          </cell>
          <cell r="C3184" t="str">
            <v>Aleeya cell</v>
          </cell>
        </row>
        <row r="3185">
          <cell r="B3185">
            <v>17231113</v>
          </cell>
          <cell r="C3185" t="str">
            <v>Pasarma cell</v>
          </cell>
        </row>
        <row r="3186">
          <cell r="B3186">
            <v>1510581</v>
          </cell>
          <cell r="C3186" t="str">
            <v>purnama cell 2</v>
          </cell>
        </row>
        <row r="3187">
          <cell r="B3187">
            <v>17494176</v>
          </cell>
          <cell r="C3187" t="str">
            <v>Andri cell</v>
          </cell>
        </row>
        <row r="3188">
          <cell r="B3188">
            <v>17231598</v>
          </cell>
          <cell r="C3188" t="str">
            <v>Banceng Cell</v>
          </cell>
        </row>
        <row r="3189">
          <cell r="B3189">
            <v>17196237</v>
          </cell>
          <cell r="C3189" t="str">
            <v>ARIEL CELL</v>
          </cell>
        </row>
        <row r="3190">
          <cell r="B3190">
            <v>17627865</v>
          </cell>
          <cell r="C3190" t="str">
            <v>Army</v>
          </cell>
        </row>
        <row r="3191">
          <cell r="B3191">
            <v>17627868</v>
          </cell>
          <cell r="C3191" t="str">
            <v>Shaka</v>
          </cell>
        </row>
        <row r="3192">
          <cell r="B3192">
            <v>17152201</v>
          </cell>
          <cell r="C3192">
            <v>5758</v>
          </cell>
        </row>
        <row r="3193">
          <cell r="B3193">
            <v>786400</v>
          </cell>
          <cell r="C3193" t="str">
            <v>FAMILLY CELL</v>
          </cell>
        </row>
        <row r="3194">
          <cell r="B3194">
            <v>17029414</v>
          </cell>
          <cell r="C3194" t="str">
            <v>HK CELL</v>
          </cell>
        </row>
        <row r="3195">
          <cell r="B3195">
            <v>17386795</v>
          </cell>
          <cell r="C3195" t="str">
            <v>INKA CELL</v>
          </cell>
        </row>
        <row r="3196">
          <cell r="B3196">
            <v>17243009</v>
          </cell>
          <cell r="C3196" t="str">
            <v>KUDEW CELL</v>
          </cell>
        </row>
        <row r="3197">
          <cell r="B3197">
            <v>1337496</v>
          </cell>
          <cell r="C3197" t="str">
            <v>M.J cel</v>
          </cell>
        </row>
        <row r="3198">
          <cell r="B3198">
            <v>17235690</v>
          </cell>
          <cell r="C3198" t="str">
            <v>SHAKILA</v>
          </cell>
        </row>
        <row r="3199">
          <cell r="B3199">
            <v>17215166</v>
          </cell>
          <cell r="C3199" t="str">
            <v>ADIS CELL</v>
          </cell>
        </row>
        <row r="3200">
          <cell r="B3200">
            <v>17377307</v>
          </cell>
          <cell r="C3200" t="str">
            <v>AL BIRU</v>
          </cell>
        </row>
        <row r="3201">
          <cell r="B3201">
            <v>568643</v>
          </cell>
          <cell r="C3201" t="str">
            <v>ALI CELL</v>
          </cell>
        </row>
        <row r="3202">
          <cell r="B3202">
            <v>17232499</v>
          </cell>
          <cell r="C3202" t="str">
            <v>CATALYA CELL</v>
          </cell>
        </row>
        <row r="3203">
          <cell r="B3203">
            <v>17234309</v>
          </cell>
          <cell r="C3203" t="str">
            <v>Dede cell</v>
          </cell>
        </row>
        <row r="3204">
          <cell r="B3204">
            <v>17387360</v>
          </cell>
          <cell r="C3204" t="str">
            <v>DIKA CELL</v>
          </cell>
        </row>
        <row r="3205">
          <cell r="B3205">
            <v>17257678</v>
          </cell>
          <cell r="C3205" t="str">
            <v>FII CELL</v>
          </cell>
        </row>
        <row r="3206">
          <cell r="B3206">
            <v>17548250</v>
          </cell>
          <cell r="C3206" t="str">
            <v>GM cell</v>
          </cell>
        </row>
        <row r="3207">
          <cell r="B3207">
            <v>17388290</v>
          </cell>
          <cell r="C3207" t="str">
            <v>HARMONI CELL</v>
          </cell>
        </row>
        <row r="3208">
          <cell r="B3208">
            <v>786500</v>
          </cell>
          <cell r="C3208" t="str">
            <v>HELVI CELL</v>
          </cell>
        </row>
        <row r="3209">
          <cell r="B3209">
            <v>17230567</v>
          </cell>
          <cell r="C3209" t="str">
            <v>Kombed cell</v>
          </cell>
        </row>
        <row r="3210">
          <cell r="B3210">
            <v>17172995</v>
          </cell>
          <cell r="C3210" t="str">
            <v>Je 2 cell</v>
          </cell>
        </row>
        <row r="3211">
          <cell r="B3211">
            <v>17013010</v>
          </cell>
          <cell r="C3211" t="str">
            <v>MASTER CELL</v>
          </cell>
        </row>
        <row r="3212">
          <cell r="B3212">
            <v>17279683</v>
          </cell>
          <cell r="C3212" t="str">
            <v>MAWAR CELL</v>
          </cell>
        </row>
        <row r="3213">
          <cell r="B3213">
            <v>1507263</v>
          </cell>
          <cell r="C3213" t="str">
            <v>putra cell</v>
          </cell>
        </row>
        <row r="3214">
          <cell r="B3214">
            <v>17210905</v>
          </cell>
          <cell r="C3214" t="str">
            <v>Radit cell</v>
          </cell>
        </row>
        <row r="3215">
          <cell r="B3215">
            <v>17376997</v>
          </cell>
          <cell r="C3215" t="str">
            <v>Raffan cell</v>
          </cell>
        </row>
        <row r="3216">
          <cell r="B3216">
            <v>17517462</v>
          </cell>
          <cell r="C3216" t="str">
            <v>RIFKI CELL</v>
          </cell>
        </row>
        <row r="3217">
          <cell r="B3217">
            <v>17526808</v>
          </cell>
          <cell r="C3217" t="str">
            <v>Sabira cell</v>
          </cell>
        </row>
        <row r="3218">
          <cell r="B3218">
            <v>1434065</v>
          </cell>
          <cell r="C3218" t="str">
            <v>sahabat cell</v>
          </cell>
        </row>
        <row r="3219">
          <cell r="B3219">
            <v>1311590</v>
          </cell>
          <cell r="C3219" t="str">
            <v>TAP cell</v>
          </cell>
        </row>
        <row r="3220">
          <cell r="B3220">
            <v>17434908</v>
          </cell>
          <cell r="C3220" t="str">
            <v>UDA CELL</v>
          </cell>
        </row>
        <row r="3221">
          <cell r="B3221">
            <v>17437981</v>
          </cell>
          <cell r="C3221" t="str">
            <v>Agung Cell</v>
          </cell>
        </row>
        <row r="3222">
          <cell r="B3222">
            <v>17190844</v>
          </cell>
          <cell r="C3222" t="str">
            <v>Aris cell</v>
          </cell>
        </row>
        <row r="3223">
          <cell r="B3223">
            <v>17244942</v>
          </cell>
          <cell r="C3223" t="str">
            <v>ARVINO CELL</v>
          </cell>
        </row>
        <row r="3224">
          <cell r="B3224">
            <v>17261749</v>
          </cell>
          <cell r="C3224" t="str">
            <v>DEBI CELL</v>
          </cell>
        </row>
        <row r="3225">
          <cell r="B3225">
            <v>17193536</v>
          </cell>
          <cell r="C3225" t="str">
            <v>E Rahma Cell</v>
          </cell>
        </row>
        <row r="3226">
          <cell r="B3226">
            <v>17268611</v>
          </cell>
          <cell r="C3226" t="str">
            <v>Emil cell</v>
          </cell>
        </row>
        <row r="3227">
          <cell r="B3227">
            <v>17370004</v>
          </cell>
          <cell r="C3227" t="str">
            <v>Liberty cell</v>
          </cell>
        </row>
        <row r="3228">
          <cell r="B3228">
            <v>17432331</v>
          </cell>
          <cell r="C3228" t="str">
            <v>MA CELL</v>
          </cell>
        </row>
        <row r="3229">
          <cell r="B3229">
            <v>17258670</v>
          </cell>
          <cell r="C3229" t="str">
            <v>WARVI CELL</v>
          </cell>
        </row>
        <row r="3230">
          <cell r="B3230">
            <v>17012535</v>
          </cell>
          <cell r="C3230" t="str">
            <v>WAWAN CELL</v>
          </cell>
        </row>
        <row r="3231">
          <cell r="B3231">
            <v>17478662</v>
          </cell>
          <cell r="C3231" t="str">
            <v>Yulia cell</v>
          </cell>
        </row>
        <row r="3232">
          <cell r="B3232">
            <v>17262979</v>
          </cell>
          <cell r="C3232" t="str">
            <v>ZAKI CELL</v>
          </cell>
        </row>
        <row r="3233">
          <cell r="B3233">
            <v>17500254</v>
          </cell>
          <cell r="C3233" t="str">
            <v>Herman Cell</v>
          </cell>
        </row>
        <row r="3234">
          <cell r="B3234">
            <v>17587919</v>
          </cell>
          <cell r="C3234" t="str">
            <v>Kanaya Cell</v>
          </cell>
        </row>
        <row r="3235">
          <cell r="B3235">
            <v>17368595</v>
          </cell>
          <cell r="C3235" t="str">
            <v>Melati cell</v>
          </cell>
        </row>
        <row r="3236">
          <cell r="B3236">
            <v>17471800</v>
          </cell>
          <cell r="C3236" t="str">
            <v>Padilah cell</v>
          </cell>
        </row>
        <row r="3237">
          <cell r="B3237">
            <v>17478556</v>
          </cell>
          <cell r="C3237" t="str">
            <v>SHABARLAH CELL</v>
          </cell>
        </row>
        <row r="3238">
          <cell r="B3238">
            <v>17431570</v>
          </cell>
          <cell r="C3238" t="str">
            <v>Florist cell</v>
          </cell>
        </row>
        <row r="3239">
          <cell r="B3239">
            <v>17437359</v>
          </cell>
          <cell r="C3239" t="str">
            <v>Liz cell</v>
          </cell>
        </row>
        <row r="3240">
          <cell r="B3240">
            <v>17431552</v>
          </cell>
          <cell r="C3240" t="str">
            <v>Zahra cell</v>
          </cell>
        </row>
        <row r="3241">
          <cell r="B3241">
            <v>17265692</v>
          </cell>
          <cell r="C3241" t="str">
            <v>Deni cell</v>
          </cell>
        </row>
        <row r="3242">
          <cell r="B3242">
            <v>17229406</v>
          </cell>
          <cell r="C3242" t="str">
            <v>IBOY CELL</v>
          </cell>
        </row>
        <row r="3243">
          <cell r="B3243">
            <v>17245019</v>
          </cell>
          <cell r="C3243" t="str">
            <v>MP CELL</v>
          </cell>
        </row>
        <row r="3244">
          <cell r="B3244">
            <v>1287333</v>
          </cell>
          <cell r="C3244" t="str">
            <v>phone cell</v>
          </cell>
        </row>
        <row r="3245">
          <cell r="B3245">
            <v>17230522</v>
          </cell>
          <cell r="C3245" t="str">
            <v>Multi tell 2</v>
          </cell>
        </row>
        <row r="3246">
          <cell r="B3246">
            <v>17372083</v>
          </cell>
          <cell r="C3246" t="str">
            <v>PASTELCO</v>
          </cell>
        </row>
        <row r="3247">
          <cell r="B3247">
            <v>17493993</v>
          </cell>
          <cell r="C3247" t="str">
            <v>Qiran Cell</v>
          </cell>
        </row>
        <row r="3248">
          <cell r="B3248">
            <v>17510795</v>
          </cell>
          <cell r="C3248" t="str">
            <v>68 cell</v>
          </cell>
        </row>
        <row r="3249">
          <cell r="B3249">
            <v>746894</v>
          </cell>
          <cell r="C3249" t="str">
            <v>9 CELL</v>
          </cell>
        </row>
        <row r="3250">
          <cell r="B3250">
            <v>17173075</v>
          </cell>
          <cell r="C3250" t="str">
            <v>93 cell</v>
          </cell>
        </row>
        <row r="3251">
          <cell r="B3251">
            <v>17437977</v>
          </cell>
          <cell r="C3251" t="str">
            <v>Acong</v>
          </cell>
        </row>
        <row r="3252">
          <cell r="B3252">
            <v>17583538</v>
          </cell>
          <cell r="C3252" t="str">
            <v>Adam cell</v>
          </cell>
        </row>
        <row r="3253">
          <cell r="B3253">
            <v>17436055</v>
          </cell>
          <cell r="C3253" t="str">
            <v>Ayam cell</v>
          </cell>
        </row>
        <row r="3254">
          <cell r="B3254">
            <v>17430630</v>
          </cell>
          <cell r="C3254" t="str">
            <v>Azam cell</v>
          </cell>
        </row>
        <row r="3255">
          <cell r="B3255">
            <v>17469246</v>
          </cell>
          <cell r="C3255" t="str">
            <v>B27</v>
          </cell>
        </row>
        <row r="3256">
          <cell r="B3256">
            <v>17478465</v>
          </cell>
          <cell r="C3256" t="str">
            <v>Bendot Cell</v>
          </cell>
        </row>
        <row r="3257">
          <cell r="B3257">
            <v>17388389</v>
          </cell>
          <cell r="C3257" t="str">
            <v>Cahaya</v>
          </cell>
        </row>
        <row r="3258">
          <cell r="B3258">
            <v>17256461</v>
          </cell>
          <cell r="C3258" t="str">
            <v>EARLY CETA CELL</v>
          </cell>
        </row>
        <row r="3259">
          <cell r="B3259">
            <v>17469433</v>
          </cell>
          <cell r="C3259" t="str">
            <v>Elfano cell</v>
          </cell>
        </row>
        <row r="3260">
          <cell r="B3260">
            <v>1070158</v>
          </cell>
          <cell r="C3260" t="str">
            <v>encep</v>
          </cell>
        </row>
        <row r="3261">
          <cell r="B3261">
            <v>17238073</v>
          </cell>
          <cell r="C3261" t="str">
            <v>Febri cell</v>
          </cell>
        </row>
        <row r="3262">
          <cell r="B3262">
            <v>17525833</v>
          </cell>
          <cell r="C3262" t="str">
            <v>flash cell</v>
          </cell>
        </row>
        <row r="3263">
          <cell r="B3263">
            <v>17525832</v>
          </cell>
          <cell r="C3263" t="str">
            <v>galaxy cell</v>
          </cell>
        </row>
        <row r="3264">
          <cell r="B3264">
            <v>17155506</v>
          </cell>
          <cell r="C3264" t="str">
            <v>GALERY</v>
          </cell>
        </row>
        <row r="3265">
          <cell r="B3265">
            <v>17500309</v>
          </cell>
          <cell r="C3265" t="str">
            <v>Galery 2 cell</v>
          </cell>
        </row>
        <row r="3266">
          <cell r="B3266">
            <v>17583567</v>
          </cell>
          <cell r="C3266" t="str">
            <v>Gm Multy Cell 07</v>
          </cell>
        </row>
        <row r="3267">
          <cell r="B3267">
            <v>17197538</v>
          </cell>
          <cell r="C3267" t="str">
            <v>HARI CELL</v>
          </cell>
        </row>
        <row r="3268">
          <cell r="B3268">
            <v>17264751</v>
          </cell>
          <cell r="C3268" t="str">
            <v>Hermawan ce</v>
          </cell>
        </row>
        <row r="3269">
          <cell r="B3269">
            <v>17430906</v>
          </cell>
          <cell r="C3269" t="str">
            <v>Ilham cell</v>
          </cell>
        </row>
        <row r="3270">
          <cell r="B3270">
            <v>17238672</v>
          </cell>
          <cell r="C3270" t="str">
            <v>ILLA CELL</v>
          </cell>
        </row>
        <row r="3271">
          <cell r="B3271">
            <v>17199913</v>
          </cell>
          <cell r="C3271" t="str">
            <v>ILYAS CELL</v>
          </cell>
        </row>
        <row r="3272">
          <cell r="B3272">
            <v>17439436</v>
          </cell>
          <cell r="C3272" t="str">
            <v>Indah cell</v>
          </cell>
        </row>
        <row r="3273">
          <cell r="B3273">
            <v>17430883</v>
          </cell>
          <cell r="C3273" t="str">
            <v>Jihan 2 cell</v>
          </cell>
        </row>
        <row r="3274">
          <cell r="B3274">
            <v>17588805</v>
          </cell>
          <cell r="C3274" t="str">
            <v>Jj cell</v>
          </cell>
        </row>
        <row r="3275">
          <cell r="B3275">
            <v>17259007</v>
          </cell>
          <cell r="C3275" t="str">
            <v>LIZAM CEL</v>
          </cell>
        </row>
        <row r="3276">
          <cell r="B3276">
            <v>17500316</v>
          </cell>
          <cell r="C3276" t="str">
            <v>Micro cell</v>
          </cell>
        </row>
        <row r="3277">
          <cell r="B3277">
            <v>17430905</v>
          </cell>
          <cell r="C3277" t="str">
            <v>Natasya cell</v>
          </cell>
        </row>
        <row r="3278">
          <cell r="B3278">
            <v>17437973</v>
          </cell>
          <cell r="C3278" t="str">
            <v>Nizam</v>
          </cell>
        </row>
        <row r="3279">
          <cell r="B3279">
            <v>17216997</v>
          </cell>
          <cell r="C3279" t="str">
            <v>NURANGELS</v>
          </cell>
        </row>
        <row r="3280">
          <cell r="B3280">
            <v>17436059</v>
          </cell>
          <cell r="C3280" t="str">
            <v>Prima cell 2</v>
          </cell>
        </row>
        <row r="3281">
          <cell r="B3281">
            <v>17469239</v>
          </cell>
          <cell r="C3281" t="str">
            <v>Rafiq cell</v>
          </cell>
        </row>
        <row r="3282">
          <cell r="B3282">
            <v>17388261</v>
          </cell>
          <cell r="C3282" t="str">
            <v>Rizky</v>
          </cell>
        </row>
        <row r="3283">
          <cell r="B3283">
            <v>1570159</v>
          </cell>
          <cell r="C3283" t="str">
            <v>SANSMITH CELL</v>
          </cell>
        </row>
        <row r="3284">
          <cell r="B3284">
            <v>17388381</v>
          </cell>
          <cell r="C3284" t="str">
            <v>Selina</v>
          </cell>
        </row>
        <row r="3285">
          <cell r="B3285">
            <v>1557060</v>
          </cell>
          <cell r="C3285" t="str">
            <v>ZAHRA CELL</v>
          </cell>
        </row>
        <row r="3286">
          <cell r="B3286">
            <v>17469432</v>
          </cell>
          <cell r="C3286" t="str">
            <v>Ziana cell</v>
          </cell>
        </row>
        <row r="3287">
          <cell r="B3287">
            <v>17515488</v>
          </cell>
          <cell r="C3287" t="str">
            <v>Alfredo Cell</v>
          </cell>
        </row>
        <row r="3288">
          <cell r="B3288">
            <v>17258769</v>
          </cell>
          <cell r="C3288" t="str">
            <v>Delima cell</v>
          </cell>
        </row>
        <row r="3289">
          <cell r="B3289">
            <v>17257016</v>
          </cell>
          <cell r="C3289" t="str">
            <v>Kurnia cell</v>
          </cell>
        </row>
        <row r="3290">
          <cell r="B3290">
            <v>17030597</v>
          </cell>
          <cell r="C3290" t="str">
            <v>BROTHER CELL</v>
          </cell>
        </row>
        <row r="3291">
          <cell r="B3291">
            <v>17600580</v>
          </cell>
          <cell r="C3291" t="str">
            <v>Elang Cell 2</v>
          </cell>
        </row>
        <row r="3292">
          <cell r="B3292">
            <v>17387967</v>
          </cell>
          <cell r="C3292" t="str">
            <v>Haidar cell</v>
          </cell>
        </row>
        <row r="3293">
          <cell r="B3293">
            <v>1307929</v>
          </cell>
          <cell r="C3293" t="str">
            <v>kenji cell</v>
          </cell>
        </row>
        <row r="3294">
          <cell r="B3294">
            <v>17388320</v>
          </cell>
          <cell r="C3294" t="str">
            <v>Khaibar cell</v>
          </cell>
        </row>
        <row r="3295">
          <cell r="B3295">
            <v>17444311</v>
          </cell>
          <cell r="C3295" t="str">
            <v>Putri cell</v>
          </cell>
        </row>
        <row r="3296">
          <cell r="B3296">
            <v>17216835</v>
          </cell>
          <cell r="C3296" t="str">
            <v>SABDA CELL</v>
          </cell>
        </row>
        <row r="3297">
          <cell r="B3297">
            <v>17444304</v>
          </cell>
          <cell r="C3297" t="str">
            <v>Susi cell</v>
          </cell>
        </row>
        <row r="3298">
          <cell r="B3298">
            <v>675280</v>
          </cell>
          <cell r="C3298" t="str">
            <v>WHEVA CELL</v>
          </cell>
        </row>
        <row r="3299">
          <cell r="B3299">
            <v>17154680</v>
          </cell>
          <cell r="C3299" t="str">
            <v>CINTA CELL</v>
          </cell>
        </row>
        <row r="3300">
          <cell r="B3300">
            <v>17148303</v>
          </cell>
          <cell r="C3300" t="str">
            <v>FAJAR CELL</v>
          </cell>
        </row>
        <row r="3301">
          <cell r="B3301">
            <v>1552557</v>
          </cell>
          <cell r="C3301" t="str">
            <v>jiu fuk cell</v>
          </cell>
        </row>
        <row r="3302">
          <cell r="B3302">
            <v>17154880</v>
          </cell>
          <cell r="C3302" t="str">
            <v>JOLIN CELL</v>
          </cell>
        </row>
        <row r="3303">
          <cell r="B3303">
            <v>17199571</v>
          </cell>
          <cell r="C3303" t="str">
            <v>Olivia 2 cell</v>
          </cell>
        </row>
        <row r="3304">
          <cell r="B3304">
            <v>1341975</v>
          </cell>
          <cell r="C3304" t="str">
            <v>SAHRI CELL</v>
          </cell>
        </row>
        <row r="3305">
          <cell r="B3305">
            <v>17388246</v>
          </cell>
          <cell r="C3305" t="str">
            <v>ZAN CELL</v>
          </cell>
        </row>
        <row r="3306">
          <cell r="B3306">
            <v>17267700</v>
          </cell>
          <cell r="C3306" t="str">
            <v>Juan cell</v>
          </cell>
        </row>
        <row r="3307">
          <cell r="B3307">
            <v>17431544</v>
          </cell>
          <cell r="C3307" t="str">
            <v>Navis cell</v>
          </cell>
        </row>
        <row r="3308">
          <cell r="B3308">
            <v>17188044</v>
          </cell>
          <cell r="C3308" t="str">
            <v>Nur cell</v>
          </cell>
        </row>
        <row r="3309">
          <cell r="B3309">
            <v>17431553</v>
          </cell>
          <cell r="C3309" t="str">
            <v>Putri cell</v>
          </cell>
        </row>
        <row r="3310">
          <cell r="B3310">
            <v>17431526</v>
          </cell>
          <cell r="C3310" t="str">
            <v>Sabil cell</v>
          </cell>
        </row>
        <row r="3311">
          <cell r="B3311">
            <v>606065</v>
          </cell>
          <cell r="C3311" t="str">
            <v>SAFARI CELL</v>
          </cell>
        </row>
        <row r="3312">
          <cell r="B3312">
            <v>17154331</v>
          </cell>
          <cell r="C3312" t="str">
            <v>Sahur cell</v>
          </cell>
        </row>
        <row r="3313">
          <cell r="B3313">
            <v>606646</v>
          </cell>
          <cell r="C3313" t="str">
            <v>SCREEN CELL</v>
          </cell>
        </row>
        <row r="3314">
          <cell r="B3314">
            <v>17437212</v>
          </cell>
          <cell r="C3314" t="str">
            <v>Aghnia pulsa</v>
          </cell>
        </row>
        <row r="3315">
          <cell r="B3315">
            <v>17529281</v>
          </cell>
          <cell r="C3315" t="str">
            <v>POINT1</v>
          </cell>
        </row>
        <row r="3316">
          <cell r="B3316">
            <v>17600567</v>
          </cell>
          <cell r="C3316" t="str">
            <v>88 cell</v>
          </cell>
        </row>
        <row r="3317">
          <cell r="B3317">
            <v>17600504</v>
          </cell>
          <cell r="C3317" t="str">
            <v>Abah server</v>
          </cell>
        </row>
        <row r="3318">
          <cell r="B3318">
            <v>17600528</v>
          </cell>
          <cell r="C3318" t="str">
            <v>Agen pulsa</v>
          </cell>
        </row>
        <row r="3319">
          <cell r="B3319">
            <v>17589193</v>
          </cell>
          <cell r="C3319" t="str">
            <v>Aina Cell 2</v>
          </cell>
        </row>
        <row r="3320">
          <cell r="B3320">
            <v>17485483</v>
          </cell>
          <cell r="C3320" t="str">
            <v>AKBR 2</v>
          </cell>
        </row>
        <row r="3321">
          <cell r="B3321">
            <v>17103469</v>
          </cell>
          <cell r="C3321" t="str">
            <v>AKBR1 CELL</v>
          </cell>
        </row>
        <row r="3322">
          <cell r="B3322">
            <v>17567337</v>
          </cell>
          <cell r="C3322" t="str">
            <v>alex 3</v>
          </cell>
        </row>
        <row r="3323">
          <cell r="B3323">
            <v>1449840</v>
          </cell>
          <cell r="C3323" t="str">
            <v>al-husna cell</v>
          </cell>
        </row>
        <row r="3324">
          <cell r="B3324">
            <v>17372912</v>
          </cell>
          <cell r="C3324" t="str">
            <v>ANGKA CELL</v>
          </cell>
        </row>
        <row r="3325">
          <cell r="B3325">
            <v>17600574</v>
          </cell>
          <cell r="C3325" t="str">
            <v>Anies cell</v>
          </cell>
        </row>
        <row r="3326">
          <cell r="B3326">
            <v>17600586</v>
          </cell>
          <cell r="C3326" t="str">
            <v>April cell</v>
          </cell>
        </row>
        <row r="3327">
          <cell r="B3327">
            <v>17588778</v>
          </cell>
          <cell r="C3327" t="str">
            <v>Aprillia cell</v>
          </cell>
        </row>
        <row r="3328">
          <cell r="B3328">
            <v>17567315</v>
          </cell>
          <cell r="C3328" t="str">
            <v>Arba</v>
          </cell>
        </row>
        <row r="3329">
          <cell r="B3329">
            <v>17587824</v>
          </cell>
          <cell r="C3329" t="str">
            <v>Ariska reload</v>
          </cell>
        </row>
        <row r="3330">
          <cell r="B3330">
            <v>17588096</v>
          </cell>
          <cell r="C3330" t="str">
            <v>Arta Retail</v>
          </cell>
        </row>
        <row r="3331">
          <cell r="B3331">
            <v>17588807</v>
          </cell>
          <cell r="C3331" t="str">
            <v>Auto Reload</v>
          </cell>
        </row>
        <row r="3332">
          <cell r="B3332">
            <v>17600592</v>
          </cell>
          <cell r="C3332" t="str">
            <v>Bebe cell</v>
          </cell>
        </row>
        <row r="3333">
          <cell r="B3333">
            <v>17587931</v>
          </cell>
          <cell r="C3333" t="str">
            <v>BELLA 2 CELL</v>
          </cell>
        </row>
        <row r="3334">
          <cell r="B3334">
            <v>17587849</v>
          </cell>
          <cell r="C3334" t="str">
            <v>Boy Cell</v>
          </cell>
        </row>
        <row r="3335">
          <cell r="B3335">
            <v>17587926</v>
          </cell>
          <cell r="C3335" t="str">
            <v>BUDI CS CELL</v>
          </cell>
        </row>
        <row r="3336">
          <cell r="B3336">
            <v>17589065</v>
          </cell>
          <cell r="C3336" t="str">
            <v>Buras</v>
          </cell>
        </row>
        <row r="3337">
          <cell r="B3337">
            <v>1505335</v>
          </cell>
          <cell r="C3337" t="str">
            <v>CAHAYA CELL</v>
          </cell>
        </row>
        <row r="3338">
          <cell r="B3338">
            <v>17587783</v>
          </cell>
          <cell r="C3338" t="str">
            <v>Dean cell</v>
          </cell>
        </row>
        <row r="3339">
          <cell r="B3339">
            <v>17600475</v>
          </cell>
          <cell r="C3339" t="str">
            <v>DEMAM Cell</v>
          </cell>
        </row>
        <row r="3340">
          <cell r="B3340">
            <v>17587800</v>
          </cell>
          <cell r="C3340" t="str">
            <v>Deri Cell</v>
          </cell>
        </row>
        <row r="3341">
          <cell r="B3341">
            <v>17567244</v>
          </cell>
          <cell r="C3341" t="str">
            <v>desi</v>
          </cell>
        </row>
        <row r="3342">
          <cell r="B3342">
            <v>17600568</v>
          </cell>
          <cell r="C3342" t="str">
            <v>Dhima trainer</v>
          </cell>
        </row>
        <row r="3343">
          <cell r="B3343">
            <v>17600642</v>
          </cell>
          <cell r="C3343" t="str">
            <v>Dior cell</v>
          </cell>
        </row>
        <row r="3344">
          <cell r="B3344">
            <v>1530646</v>
          </cell>
          <cell r="C3344" t="str">
            <v>distro 1</v>
          </cell>
        </row>
        <row r="3345">
          <cell r="B3345">
            <v>1530644</v>
          </cell>
          <cell r="C3345" t="str">
            <v>distro 4 cell</v>
          </cell>
        </row>
        <row r="3346">
          <cell r="B3346">
            <v>1530645</v>
          </cell>
          <cell r="C3346" t="str">
            <v>distro 5 cell</v>
          </cell>
        </row>
        <row r="3347">
          <cell r="B3347">
            <v>1530647</v>
          </cell>
          <cell r="C3347" t="str">
            <v>distro 6 celll</v>
          </cell>
        </row>
        <row r="3348">
          <cell r="B3348">
            <v>1530649</v>
          </cell>
          <cell r="C3348" t="str">
            <v>distro 7 cell</v>
          </cell>
        </row>
        <row r="3349">
          <cell r="B3349">
            <v>17589651</v>
          </cell>
          <cell r="C3349" t="str">
            <v>duabelas cell</v>
          </cell>
        </row>
        <row r="3350">
          <cell r="B3350">
            <v>614621</v>
          </cell>
          <cell r="C3350" t="str">
            <v>DVARIASI</v>
          </cell>
        </row>
        <row r="3351">
          <cell r="B3351">
            <v>1372463</v>
          </cell>
          <cell r="C3351" t="str">
            <v>dvariasi cell</v>
          </cell>
        </row>
        <row r="3352">
          <cell r="B3352">
            <v>17148968</v>
          </cell>
          <cell r="C3352" t="str">
            <v>Dyo cell</v>
          </cell>
        </row>
        <row r="3353">
          <cell r="B3353">
            <v>17588888</v>
          </cell>
          <cell r="C3353" t="str">
            <v>enam cell</v>
          </cell>
        </row>
        <row r="3354">
          <cell r="B3354">
            <v>17600576</v>
          </cell>
          <cell r="C3354" t="str">
            <v>ENEN CELL</v>
          </cell>
        </row>
        <row r="3355">
          <cell r="B3355">
            <v>17600554</v>
          </cell>
          <cell r="C3355" t="str">
            <v>EPUL CELL</v>
          </cell>
        </row>
        <row r="3356">
          <cell r="B3356">
            <v>1510582</v>
          </cell>
          <cell r="C3356" t="str">
            <v>ERNA CELL 2</v>
          </cell>
        </row>
        <row r="3357">
          <cell r="B3357">
            <v>17589146</v>
          </cell>
          <cell r="C3357" t="str">
            <v>GC cell</v>
          </cell>
        </row>
        <row r="3358">
          <cell r="B3358">
            <v>17600575</v>
          </cell>
          <cell r="C3358" t="str">
            <v>Geni retail</v>
          </cell>
        </row>
        <row r="3359">
          <cell r="B3359">
            <v>17589160</v>
          </cell>
          <cell r="C3359" t="str">
            <v>GIGA RELOAD</v>
          </cell>
        </row>
        <row r="3360">
          <cell r="B3360">
            <v>17600563</v>
          </cell>
          <cell r="C3360" t="str">
            <v>Go cell</v>
          </cell>
        </row>
        <row r="3361">
          <cell r="B3361">
            <v>17567232</v>
          </cell>
          <cell r="C3361" t="str">
            <v>hans realod</v>
          </cell>
        </row>
        <row r="3362">
          <cell r="B3362">
            <v>17600577</v>
          </cell>
          <cell r="C3362" t="str">
            <v>Haura cell</v>
          </cell>
        </row>
        <row r="3363">
          <cell r="B3363">
            <v>17600538</v>
          </cell>
          <cell r="C3363" t="str">
            <v>Hidon Cell</v>
          </cell>
        </row>
        <row r="3364">
          <cell r="B3364">
            <v>17600647</v>
          </cell>
          <cell r="C3364" t="str">
            <v>IAN CELL</v>
          </cell>
        </row>
        <row r="3365">
          <cell r="B3365">
            <v>17589199</v>
          </cell>
          <cell r="C3365" t="str">
            <v>IND Pulsa</v>
          </cell>
        </row>
        <row r="3366">
          <cell r="B3366">
            <v>738009</v>
          </cell>
          <cell r="C3366" t="str">
            <v>Indo cell</v>
          </cell>
        </row>
        <row r="3367">
          <cell r="B3367">
            <v>17589024</v>
          </cell>
          <cell r="C3367" t="str">
            <v>Indo2</v>
          </cell>
        </row>
        <row r="3368">
          <cell r="B3368">
            <v>17587978</v>
          </cell>
          <cell r="C3368" t="str">
            <v>INDRA CELL</v>
          </cell>
        </row>
        <row r="3369">
          <cell r="B3369">
            <v>17600507</v>
          </cell>
          <cell r="C3369" t="str">
            <v>Insani server</v>
          </cell>
        </row>
        <row r="3370">
          <cell r="B3370">
            <v>17600646</v>
          </cell>
          <cell r="C3370" t="str">
            <v>Inter cell</v>
          </cell>
        </row>
        <row r="3371">
          <cell r="B3371">
            <v>17587851</v>
          </cell>
          <cell r="C3371" t="str">
            <v>Jaran</v>
          </cell>
        </row>
        <row r="3372">
          <cell r="B3372">
            <v>17588064</v>
          </cell>
          <cell r="C3372" t="str">
            <v>JS Cell</v>
          </cell>
        </row>
        <row r="3373">
          <cell r="B3373">
            <v>17600506</v>
          </cell>
          <cell r="C3373" t="str">
            <v>Juragan kuota</v>
          </cell>
        </row>
        <row r="3374">
          <cell r="B3374">
            <v>17600479</v>
          </cell>
          <cell r="C3374" t="str">
            <v>KEJO CELL</v>
          </cell>
        </row>
        <row r="3375">
          <cell r="B3375">
            <v>17600537</v>
          </cell>
          <cell r="C3375" t="str">
            <v>KERAJAAN PULSA</v>
          </cell>
        </row>
        <row r="3376">
          <cell r="B3376">
            <v>17600552</v>
          </cell>
          <cell r="C3376" t="str">
            <v>KOMPA CELL</v>
          </cell>
        </row>
        <row r="3377">
          <cell r="B3377">
            <v>17600547</v>
          </cell>
          <cell r="C3377" t="str">
            <v>Komsih Cell</v>
          </cell>
        </row>
        <row r="3378">
          <cell r="B3378">
            <v>17588732</v>
          </cell>
          <cell r="C3378" t="str">
            <v>Lemka server</v>
          </cell>
        </row>
        <row r="3379">
          <cell r="B3379">
            <v>17587765</v>
          </cell>
          <cell r="C3379" t="str">
            <v>Linda Cell</v>
          </cell>
        </row>
        <row r="3380">
          <cell r="B3380">
            <v>17587779</v>
          </cell>
          <cell r="C3380" t="str">
            <v>Linda retail</v>
          </cell>
        </row>
        <row r="3381">
          <cell r="B3381">
            <v>1314324</v>
          </cell>
          <cell r="C3381" t="str">
            <v>mahira cell</v>
          </cell>
        </row>
        <row r="3382">
          <cell r="B3382">
            <v>17547375</v>
          </cell>
          <cell r="C3382" t="str">
            <v>mahkota cell</v>
          </cell>
        </row>
        <row r="3383">
          <cell r="B3383">
            <v>17600551</v>
          </cell>
          <cell r="C3383" t="str">
            <v>MAXIM CELL</v>
          </cell>
        </row>
        <row r="3384">
          <cell r="B3384">
            <v>17600651</v>
          </cell>
          <cell r="C3384" t="str">
            <v>media reload 1</v>
          </cell>
        </row>
        <row r="3385">
          <cell r="B3385">
            <v>17600652</v>
          </cell>
          <cell r="C3385" t="str">
            <v>media reload 2</v>
          </cell>
        </row>
        <row r="3386">
          <cell r="B3386">
            <v>17600653</v>
          </cell>
          <cell r="C3386" t="str">
            <v>media reload 3</v>
          </cell>
        </row>
        <row r="3387">
          <cell r="B3387">
            <v>17600655</v>
          </cell>
          <cell r="C3387" t="str">
            <v>media reload 4</v>
          </cell>
        </row>
        <row r="3388">
          <cell r="B3388">
            <v>17588115</v>
          </cell>
          <cell r="C3388" t="str">
            <v>Meti retail</v>
          </cell>
        </row>
        <row r="3389">
          <cell r="B3389">
            <v>17600649</v>
          </cell>
          <cell r="C3389" t="str">
            <v>Miami cell</v>
          </cell>
        </row>
        <row r="3390">
          <cell r="B3390">
            <v>17600594</v>
          </cell>
          <cell r="C3390" t="str">
            <v>Miya cell</v>
          </cell>
        </row>
        <row r="3391">
          <cell r="B3391">
            <v>17557592</v>
          </cell>
          <cell r="C3391" t="str">
            <v>Mulia artha</v>
          </cell>
        </row>
        <row r="3392">
          <cell r="B3392">
            <v>17557600</v>
          </cell>
          <cell r="C3392" t="str">
            <v>Mulia artha 2</v>
          </cell>
        </row>
        <row r="3393">
          <cell r="B3393">
            <v>17567239</v>
          </cell>
          <cell r="C3393" t="str">
            <v>Nafiza</v>
          </cell>
        </row>
        <row r="3394">
          <cell r="B3394">
            <v>17588992</v>
          </cell>
          <cell r="C3394" t="str">
            <v>NERAKA CELL</v>
          </cell>
        </row>
        <row r="3395">
          <cell r="B3395">
            <v>520689</v>
          </cell>
          <cell r="C3395" t="str">
            <v>NH NEW CELL</v>
          </cell>
        </row>
        <row r="3396">
          <cell r="B3396">
            <v>17567341</v>
          </cell>
          <cell r="C3396" t="str">
            <v>NJS Cell</v>
          </cell>
        </row>
        <row r="3397">
          <cell r="B3397">
            <v>1288595</v>
          </cell>
          <cell r="C3397" t="str">
            <v>noval cell</v>
          </cell>
        </row>
        <row r="3398">
          <cell r="B3398">
            <v>17588052</v>
          </cell>
          <cell r="C3398" t="str">
            <v>Nurul Cell</v>
          </cell>
        </row>
        <row r="3399">
          <cell r="B3399">
            <v>17600536</v>
          </cell>
          <cell r="C3399" t="str">
            <v>Padi Cell</v>
          </cell>
        </row>
        <row r="3400">
          <cell r="B3400">
            <v>17600545</v>
          </cell>
          <cell r="C3400" t="str">
            <v>PASAR KUOTA</v>
          </cell>
        </row>
        <row r="3401">
          <cell r="B3401">
            <v>17600641</v>
          </cell>
          <cell r="C3401" t="str">
            <v>Pemuda cell</v>
          </cell>
        </row>
        <row r="3402">
          <cell r="B3402">
            <v>1352217</v>
          </cell>
          <cell r="C3402" t="str">
            <v>PEy 2 cell</v>
          </cell>
        </row>
        <row r="3403">
          <cell r="B3403">
            <v>1536876</v>
          </cell>
          <cell r="C3403" t="str">
            <v>pey reaload 4</v>
          </cell>
        </row>
        <row r="3404">
          <cell r="B3404">
            <v>1536874</v>
          </cell>
          <cell r="C3404" t="str">
            <v>pey reaload 5</v>
          </cell>
        </row>
        <row r="3405">
          <cell r="B3405">
            <v>1536873</v>
          </cell>
          <cell r="C3405" t="str">
            <v>pey reaload 7</v>
          </cell>
        </row>
        <row r="3406">
          <cell r="B3406">
            <v>17600543</v>
          </cell>
          <cell r="C3406" t="str">
            <v>Pia Cell</v>
          </cell>
        </row>
        <row r="3407">
          <cell r="B3407">
            <v>1382300</v>
          </cell>
          <cell r="C3407" t="str">
            <v>PRIMER 2 CELL</v>
          </cell>
        </row>
        <row r="3408">
          <cell r="B3408">
            <v>1529348</v>
          </cell>
          <cell r="C3408" t="str">
            <v>PRIMER 4 cel</v>
          </cell>
        </row>
        <row r="3409">
          <cell r="B3409">
            <v>1529349</v>
          </cell>
          <cell r="C3409" t="str">
            <v>PRIMER 5 CELL</v>
          </cell>
        </row>
        <row r="3410">
          <cell r="B3410">
            <v>1529351</v>
          </cell>
          <cell r="C3410" t="str">
            <v>PRIMER 6 CELL</v>
          </cell>
        </row>
        <row r="3411">
          <cell r="B3411">
            <v>1529353</v>
          </cell>
          <cell r="C3411" t="str">
            <v>PRIMER 7 CELL</v>
          </cell>
        </row>
        <row r="3412">
          <cell r="B3412">
            <v>17600472</v>
          </cell>
          <cell r="C3412" t="str">
            <v>PUSING CELL</v>
          </cell>
        </row>
        <row r="3413">
          <cell r="B3413">
            <v>17588760</v>
          </cell>
          <cell r="C3413" t="str">
            <v>Rans cell 2</v>
          </cell>
        </row>
        <row r="3414">
          <cell r="B3414">
            <v>1371756</v>
          </cell>
          <cell r="C3414" t="str">
            <v>Ratna 2 cel</v>
          </cell>
        </row>
        <row r="3415">
          <cell r="B3415">
            <v>1373032</v>
          </cell>
          <cell r="C3415" t="str">
            <v>ratna 3 cell</v>
          </cell>
        </row>
        <row r="3416">
          <cell r="B3416">
            <v>672599</v>
          </cell>
          <cell r="C3416" t="str">
            <v>RATNA CELL</v>
          </cell>
        </row>
        <row r="3417">
          <cell r="B3417">
            <v>17567247</v>
          </cell>
          <cell r="C3417" t="str">
            <v>Rido</v>
          </cell>
        </row>
        <row r="3418">
          <cell r="B3418">
            <v>17588133</v>
          </cell>
          <cell r="C3418" t="str">
            <v>RM Cell</v>
          </cell>
        </row>
        <row r="3419">
          <cell r="B3419">
            <v>17587850</v>
          </cell>
          <cell r="C3419" t="str">
            <v>Rocky Cell</v>
          </cell>
        </row>
        <row r="3420">
          <cell r="B3420">
            <v>17587773</v>
          </cell>
          <cell r="C3420" t="str">
            <v>Salawasna cell</v>
          </cell>
        </row>
        <row r="3421">
          <cell r="B3421">
            <v>17587816</v>
          </cell>
          <cell r="C3421" t="str">
            <v>Salwa cell</v>
          </cell>
        </row>
        <row r="3422">
          <cell r="B3422">
            <v>17600583</v>
          </cell>
          <cell r="C3422" t="str">
            <v>Sarah cell</v>
          </cell>
        </row>
        <row r="3423">
          <cell r="B3423">
            <v>17600531</v>
          </cell>
          <cell r="C3423" t="str">
            <v>Sc Cell</v>
          </cell>
        </row>
        <row r="3424">
          <cell r="B3424">
            <v>1529768</v>
          </cell>
          <cell r="C3424" t="str">
            <v>selvi 1</v>
          </cell>
        </row>
        <row r="3425">
          <cell r="B3425">
            <v>1529769</v>
          </cell>
          <cell r="C3425" t="str">
            <v>selvi 1</v>
          </cell>
        </row>
        <row r="3426">
          <cell r="B3426">
            <v>1529770</v>
          </cell>
          <cell r="C3426" t="str">
            <v>selvi 1</v>
          </cell>
        </row>
        <row r="3427">
          <cell r="B3427">
            <v>1529772</v>
          </cell>
          <cell r="C3427" t="str">
            <v>selvi 3</v>
          </cell>
        </row>
        <row r="3428">
          <cell r="B3428">
            <v>1529773</v>
          </cell>
          <cell r="C3428" t="str">
            <v>selvi 5</v>
          </cell>
        </row>
        <row r="3429">
          <cell r="B3429">
            <v>1525747</v>
          </cell>
          <cell r="C3429" t="str">
            <v>sentral cibadak</v>
          </cell>
        </row>
        <row r="3430">
          <cell r="B3430">
            <v>1532148</v>
          </cell>
          <cell r="C3430" t="str">
            <v>server muliaharta 1</v>
          </cell>
        </row>
        <row r="3431">
          <cell r="B3431">
            <v>1532153</v>
          </cell>
          <cell r="C3431" t="str">
            <v>server muliaharta 1</v>
          </cell>
        </row>
        <row r="3432">
          <cell r="B3432">
            <v>1532155</v>
          </cell>
          <cell r="C3432" t="str">
            <v>server muliaharta 1</v>
          </cell>
        </row>
        <row r="3433">
          <cell r="B3433">
            <v>1540163</v>
          </cell>
          <cell r="C3433" t="str">
            <v>server primer 1</v>
          </cell>
        </row>
        <row r="3434">
          <cell r="B3434">
            <v>1540164</v>
          </cell>
          <cell r="C3434" t="str">
            <v>server primer 8</v>
          </cell>
        </row>
        <row r="3435">
          <cell r="B3435">
            <v>1527029</v>
          </cell>
          <cell r="C3435" t="str">
            <v>server zemgo 1</v>
          </cell>
        </row>
        <row r="3436">
          <cell r="B3436">
            <v>1527030</v>
          </cell>
          <cell r="C3436" t="str">
            <v>server zemgo 2</v>
          </cell>
        </row>
        <row r="3437">
          <cell r="B3437">
            <v>1527031</v>
          </cell>
          <cell r="C3437" t="str">
            <v>server zemgo 3</v>
          </cell>
        </row>
        <row r="3438">
          <cell r="B3438">
            <v>1527032</v>
          </cell>
          <cell r="C3438" t="str">
            <v>server zemgo 4</v>
          </cell>
        </row>
        <row r="3439">
          <cell r="B3439">
            <v>1537190</v>
          </cell>
          <cell r="C3439" t="str">
            <v>SERVER ZEMGO 5</v>
          </cell>
        </row>
        <row r="3440">
          <cell r="B3440">
            <v>1549036</v>
          </cell>
          <cell r="C3440" t="str">
            <v>server zemgo 6</v>
          </cell>
        </row>
        <row r="3441">
          <cell r="B3441">
            <v>1549039</v>
          </cell>
          <cell r="C3441" t="str">
            <v>server zemgo 7</v>
          </cell>
        </row>
        <row r="3442">
          <cell r="B3442">
            <v>1549578</v>
          </cell>
          <cell r="C3442" t="str">
            <v>server zemgo 8</v>
          </cell>
        </row>
        <row r="3443">
          <cell r="B3443">
            <v>17588429</v>
          </cell>
          <cell r="C3443" t="str">
            <v>Sidomoro 2 retail</v>
          </cell>
        </row>
        <row r="3444">
          <cell r="B3444">
            <v>17600579</v>
          </cell>
          <cell r="C3444" t="str">
            <v>Sivi cell</v>
          </cell>
        </row>
        <row r="3445">
          <cell r="B3445">
            <v>17600569</v>
          </cell>
          <cell r="C3445" t="str">
            <v>Syifa cell</v>
          </cell>
        </row>
        <row r="3446">
          <cell r="B3446">
            <v>17589743</v>
          </cell>
          <cell r="C3446" t="str">
            <v>Sylvia cell</v>
          </cell>
        </row>
        <row r="3447">
          <cell r="B3447">
            <v>17567332</v>
          </cell>
          <cell r="C3447" t="str">
            <v>Tarissa Reload</v>
          </cell>
        </row>
        <row r="3448">
          <cell r="B3448">
            <v>17600584</v>
          </cell>
          <cell r="C3448" t="str">
            <v>Tata cell</v>
          </cell>
        </row>
        <row r="3449">
          <cell r="B3449">
            <v>17588997</v>
          </cell>
          <cell r="C3449" t="str">
            <v>TRIO CELL</v>
          </cell>
        </row>
        <row r="3450">
          <cell r="B3450">
            <v>17385868</v>
          </cell>
          <cell r="C3450" t="str">
            <v>VERONICA 1</v>
          </cell>
        </row>
        <row r="3451">
          <cell r="B3451">
            <v>17385887</v>
          </cell>
          <cell r="C3451" t="str">
            <v>VERONICA 2</v>
          </cell>
        </row>
        <row r="3452">
          <cell r="B3452">
            <v>17385891</v>
          </cell>
          <cell r="C3452" t="str">
            <v>VERONICA 3</v>
          </cell>
        </row>
        <row r="3453">
          <cell r="B3453">
            <v>17385895</v>
          </cell>
          <cell r="C3453" t="str">
            <v>VERONICA 4</v>
          </cell>
        </row>
        <row r="3454">
          <cell r="B3454">
            <v>17385899</v>
          </cell>
          <cell r="C3454" t="str">
            <v>VERONICA 5</v>
          </cell>
        </row>
        <row r="3455">
          <cell r="B3455">
            <v>1382301</v>
          </cell>
          <cell r="C3455" t="str">
            <v>victory179 cell</v>
          </cell>
        </row>
        <row r="3456">
          <cell r="B3456">
            <v>17589143</v>
          </cell>
          <cell r="C3456" t="str">
            <v>Well cell</v>
          </cell>
        </row>
        <row r="3457">
          <cell r="B3457">
            <v>17589148</v>
          </cell>
          <cell r="C3457" t="str">
            <v>Yanji cell</v>
          </cell>
        </row>
        <row r="3458">
          <cell r="B3458">
            <v>17600548</v>
          </cell>
          <cell r="C3458" t="str">
            <v>Yoanita Cell</v>
          </cell>
        </row>
        <row r="3459">
          <cell r="B3459">
            <v>1357142</v>
          </cell>
          <cell r="C3459" t="str">
            <v>yuli cell</v>
          </cell>
        </row>
        <row r="3460">
          <cell r="B3460">
            <v>718244</v>
          </cell>
          <cell r="C3460" t="str">
            <v>ZEMGO CELL</v>
          </cell>
        </row>
        <row r="3461">
          <cell r="B3461">
            <v>17600513</v>
          </cell>
          <cell r="C3461" t="str">
            <v>Zens server</v>
          </cell>
        </row>
        <row r="3462">
          <cell r="B3462">
            <v>17600656</v>
          </cell>
          <cell r="C3462" t="str">
            <v>Zodhy reload 1</v>
          </cell>
        </row>
        <row r="3463">
          <cell r="B3463">
            <v>17600657</v>
          </cell>
          <cell r="C3463" t="str">
            <v>Zodhy reload 2</v>
          </cell>
        </row>
        <row r="3464">
          <cell r="B3464">
            <v>17600658</v>
          </cell>
          <cell r="C3464" t="str">
            <v>Zodhy reload 3</v>
          </cell>
        </row>
        <row r="3465">
          <cell r="B3465">
            <v>17600659</v>
          </cell>
          <cell r="C3465" t="str">
            <v>Zodhy reload 4</v>
          </cell>
        </row>
        <row r="3466">
          <cell r="B3466">
            <v>17567349</v>
          </cell>
          <cell r="C3466" t="str">
            <v>ZX Cell</v>
          </cell>
        </row>
        <row r="3467">
          <cell r="B3467">
            <v>17018301</v>
          </cell>
          <cell r="C3467" t="str">
            <v>KANIA CELL</v>
          </cell>
        </row>
        <row r="3468">
          <cell r="B3468">
            <v>1551665</v>
          </cell>
          <cell r="C3468" t="str">
            <v>v1 ade2</v>
          </cell>
        </row>
        <row r="3469">
          <cell r="B3469">
            <v>1528992</v>
          </cell>
          <cell r="C3469" t="str">
            <v>v1 sofia cell</v>
          </cell>
        </row>
        <row r="3470">
          <cell r="B3470">
            <v>1530077</v>
          </cell>
          <cell r="C3470" t="str">
            <v>V2 APING CELL</v>
          </cell>
        </row>
        <row r="3471">
          <cell r="B3471">
            <v>1530076</v>
          </cell>
          <cell r="C3471" t="str">
            <v>V2 goni cell</v>
          </cell>
        </row>
        <row r="3472">
          <cell r="B3472">
            <v>1537080</v>
          </cell>
          <cell r="C3472" t="str">
            <v>V3 cucup</v>
          </cell>
        </row>
        <row r="3473">
          <cell r="B3473">
            <v>1530106</v>
          </cell>
          <cell r="C3473" t="str">
            <v>V3 hikmah cell</v>
          </cell>
        </row>
        <row r="3474">
          <cell r="B3474">
            <v>17600535</v>
          </cell>
          <cell r="C3474" t="str">
            <v>CLD</v>
          </cell>
        </row>
        <row r="3475">
          <cell r="B3475">
            <v>17600526</v>
          </cell>
          <cell r="C3475" t="str">
            <v>Jaya5</v>
          </cell>
        </row>
        <row r="3476">
          <cell r="B3476">
            <v>17600515</v>
          </cell>
          <cell r="C3476" t="str">
            <v>K1</v>
          </cell>
        </row>
        <row r="3477">
          <cell r="B3477">
            <v>17600518</v>
          </cell>
          <cell r="C3477" t="str">
            <v>K2</v>
          </cell>
        </row>
        <row r="3478">
          <cell r="B3478">
            <v>17600525</v>
          </cell>
          <cell r="C3478" t="str">
            <v>K3</v>
          </cell>
        </row>
        <row r="3479">
          <cell r="B3479">
            <v>17600530</v>
          </cell>
          <cell r="C3479" t="str">
            <v>K4</v>
          </cell>
        </row>
        <row r="3480">
          <cell r="B3480">
            <v>17600529</v>
          </cell>
          <cell r="C3480" t="str">
            <v>Nazira</v>
          </cell>
        </row>
        <row r="3481">
          <cell r="B3481">
            <v>17600533</v>
          </cell>
          <cell r="C3481" t="str">
            <v>Votre</v>
          </cell>
        </row>
        <row r="3482">
          <cell r="B3482">
            <v>17615806</v>
          </cell>
          <cell r="C3482" t="str">
            <v>ABAH RETAILER</v>
          </cell>
        </row>
        <row r="3483">
          <cell r="B3483">
            <v>17615810</v>
          </cell>
          <cell r="C3483" t="str">
            <v>Rodri cell</v>
          </cell>
        </row>
        <row r="3484">
          <cell r="B3484">
            <v>17616452</v>
          </cell>
          <cell r="C3484" t="str">
            <v>PIAA</v>
          </cell>
        </row>
        <row r="3485">
          <cell r="B3485">
            <v>17615892</v>
          </cell>
          <cell r="C3485" t="str">
            <v>Malik 3</v>
          </cell>
        </row>
        <row r="3486">
          <cell r="B3486">
            <v>17615873</v>
          </cell>
          <cell r="C3486" t="str">
            <v>GMT CELL</v>
          </cell>
        </row>
        <row r="3487">
          <cell r="B3487">
            <v>17615763</v>
          </cell>
          <cell r="C3487" t="str">
            <v>NO Cell</v>
          </cell>
        </row>
        <row r="3488">
          <cell r="B3488">
            <v>17615814</v>
          </cell>
          <cell r="C3488" t="str">
            <v>Adul cell</v>
          </cell>
        </row>
        <row r="3489">
          <cell r="B3489">
            <v>17615864</v>
          </cell>
          <cell r="C3489" t="str">
            <v>zeus the cell</v>
          </cell>
        </row>
        <row r="3490">
          <cell r="B3490">
            <v>17615882</v>
          </cell>
          <cell r="C3490" t="str">
            <v>Soleh cell</v>
          </cell>
        </row>
        <row r="3491">
          <cell r="B3491">
            <v>17615861</v>
          </cell>
          <cell r="C3491" t="str">
            <v>Quentin Cell</v>
          </cell>
        </row>
        <row r="3492">
          <cell r="B3492">
            <v>17615816</v>
          </cell>
          <cell r="C3492" t="str">
            <v>JEJENGLOT CELL</v>
          </cell>
        </row>
        <row r="3493">
          <cell r="B3493">
            <v>17615868</v>
          </cell>
          <cell r="C3493" t="str">
            <v>An-Nur Reload</v>
          </cell>
        </row>
        <row r="3494">
          <cell r="B3494">
            <v>17615812</v>
          </cell>
          <cell r="C3494" t="str">
            <v>Centrum cell</v>
          </cell>
        </row>
        <row r="3495">
          <cell r="B3495">
            <v>17587822</v>
          </cell>
          <cell r="C3495" t="str">
            <v>Nufa Reload</v>
          </cell>
        </row>
        <row r="3496">
          <cell r="B3496">
            <v>1368660</v>
          </cell>
          <cell r="C3496" t="str">
            <v>irene cell</v>
          </cell>
        </row>
        <row r="3497">
          <cell r="B3497">
            <v>1528887</v>
          </cell>
          <cell r="C3497" t="str">
            <v>sentral 93 cel</v>
          </cell>
        </row>
        <row r="3498">
          <cell r="B3498">
            <v>1556238</v>
          </cell>
          <cell r="C3498" t="str">
            <v>TOJAYA cel</v>
          </cell>
        </row>
        <row r="3499">
          <cell r="B3499">
            <v>17628227</v>
          </cell>
          <cell r="C3499" t="str">
            <v>Clay2</v>
          </cell>
        </row>
        <row r="3500">
          <cell r="B3500">
            <v>17610143</v>
          </cell>
          <cell r="C3500" t="str">
            <v>ISRA CELL</v>
          </cell>
        </row>
        <row r="3501">
          <cell r="B3501">
            <v>17610146</v>
          </cell>
          <cell r="C3501" t="str">
            <v>ISRA CELL</v>
          </cell>
        </row>
        <row r="3502">
          <cell r="B3502">
            <v>17623064</v>
          </cell>
          <cell r="C3502" t="str">
            <v>Bangkit Cell</v>
          </cell>
        </row>
        <row r="3503">
          <cell r="B3503">
            <v>17627201</v>
          </cell>
          <cell r="C3503" t="str">
            <v>Nufuus Ceria</v>
          </cell>
        </row>
        <row r="3504">
          <cell r="B3504">
            <v>17637532</v>
          </cell>
          <cell r="C3504" t="str">
            <v>mrcell</v>
          </cell>
        </row>
        <row r="3505">
          <cell r="B3505">
            <v>17388567</v>
          </cell>
          <cell r="C3505" t="str">
            <v>embon</v>
          </cell>
        </row>
        <row r="3506">
          <cell r="B3506">
            <v>17437010</v>
          </cell>
          <cell r="C3506" t="str">
            <v>MOUNTDAY</v>
          </cell>
        </row>
        <row r="3507">
          <cell r="B3507">
            <v>17651510</v>
          </cell>
          <cell r="C3507" t="str">
            <v>Shamun cell</v>
          </cell>
        </row>
        <row r="3508">
          <cell r="B3508">
            <v>17673385</v>
          </cell>
          <cell r="C3508" t="str">
            <v>WP-Warung Asri</v>
          </cell>
        </row>
        <row r="3509">
          <cell r="B3509">
            <v>17673424</v>
          </cell>
          <cell r="C3509" t="str">
            <v>wp-warung yanti</v>
          </cell>
        </row>
        <row r="3510">
          <cell r="B3510">
            <v>17673314</v>
          </cell>
          <cell r="C3510" t="str">
            <v>WP-wrg.teh indah</v>
          </cell>
        </row>
        <row r="3511">
          <cell r="B3511">
            <v>17676684</v>
          </cell>
          <cell r="C3511" t="str">
            <v>WP_NASUTION</v>
          </cell>
        </row>
        <row r="3512">
          <cell r="B3512">
            <v>17676737</v>
          </cell>
          <cell r="C3512" t="str">
            <v>WP-MGS</v>
          </cell>
        </row>
        <row r="3513">
          <cell r="B3513">
            <v>17677249</v>
          </cell>
          <cell r="C3513" t="str">
            <v>WP-SRC EVA</v>
          </cell>
        </row>
        <row r="3514">
          <cell r="B3514">
            <v>17677322</v>
          </cell>
          <cell r="C3514" t="str">
            <v>WP-DAMDAM</v>
          </cell>
        </row>
        <row r="3515">
          <cell r="B3515">
            <v>17677378</v>
          </cell>
          <cell r="C3515" t="str">
            <v>WP_Annur</v>
          </cell>
        </row>
        <row r="3516">
          <cell r="B3516">
            <v>17678032</v>
          </cell>
          <cell r="C3516" t="str">
            <v>WP-Nisa</v>
          </cell>
        </row>
        <row r="3517">
          <cell r="B3517">
            <v>17680576</v>
          </cell>
          <cell r="C3517" t="str">
            <v>WP - SRC SIDOMORO</v>
          </cell>
        </row>
        <row r="3518">
          <cell r="B3518">
            <v>17680622</v>
          </cell>
          <cell r="C3518" t="str">
            <v>WP-farisna cell</v>
          </cell>
        </row>
        <row r="3519">
          <cell r="B3519">
            <v>17680808</v>
          </cell>
          <cell r="C3519" t="str">
            <v>WP-warung yuli</v>
          </cell>
        </row>
        <row r="3520">
          <cell r="B3520">
            <v>17680844</v>
          </cell>
          <cell r="C3520" t="str">
            <v>Wp_Darto</v>
          </cell>
        </row>
        <row r="3521">
          <cell r="B3521">
            <v>17680991</v>
          </cell>
          <cell r="C3521" t="str">
            <v>WP-Boga Rasa</v>
          </cell>
        </row>
        <row r="3522">
          <cell r="B3522">
            <v>17681016</v>
          </cell>
          <cell r="C3522" t="str">
            <v>WP- warung euis</v>
          </cell>
        </row>
        <row r="3523">
          <cell r="B3523">
            <v>17681153</v>
          </cell>
          <cell r="C3523" t="str">
            <v>WP-Warung sejahtera</v>
          </cell>
        </row>
        <row r="3524">
          <cell r="B3524">
            <v>17681348</v>
          </cell>
          <cell r="C3524" t="str">
            <v>Wp-wawat</v>
          </cell>
        </row>
        <row r="3525">
          <cell r="B3525">
            <v>17681184</v>
          </cell>
          <cell r="C3525" t="str">
            <v>wp-warung teh nela</v>
          </cell>
        </row>
        <row r="3526">
          <cell r="B3526">
            <v>17681201</v>
          </cell>
          <cell r="C3526" t="str">
            <v>WP_HELVI</v>
          </cell>
        </row>
        <row r="3527">
          <cell r="B3527">
            <v>17681596</v>
          </cell>
          <cell r="C3527" t="str">
            <v>WP_Santi</v>
          </cell>
        </row>
        <row r="3528">
          <cell r="B3528">
            <v>17681760</v>
          </cell>
          <cell r="C3528" t="str">
            <v>WP - BU ELVA</v>
          </cell>
        </row>
        <row r="3529">
          <cell r="B3529">
            <v>17683099</v>
          </cell>
          <cell r="C3529" t="str">
            <v>WP_ICA</v>
          </cell>
        </row>
        <row r="3530">
          <cell r="B3530">
            <v>17681974</v>
          </cell>
          <cell r="C3530" t="str">
            <v>WP - WarungDadang</v>
          </cell>
        </row>
        <row r="3531">
          <cell r="B3531">
            <v>17683228</v>
          </cell>
          <cell r="C3531" t="str">
            <v>WP-Haryati</v>
          </cell>
        </row>
        <row r="3532">
          <cell r="B3532">
            <v>17683054</v>
          </cell>
          <cell r="C3532" t="str">
            <v>WP-wrng Bu erni</v>
          </cell>
        </row>
        <row r="3533">
          <cell r="B3533">
            <v>17686091</v>
          </cell>
          <cell r="C3533" t="str">
            <v>WR. ALPIN</v>
          </cell>
        </row>
        <row r="3534">
          <cell r="B3534">
            <v>17686170</v>
          </cell>
          <cell r="C3534" t="str">
            <v>WR-Evi</v>
          </cell>
        </row>
        <row r="3535">
          <cell r="B3535">
            <v>17686324</v>
          </cell>
          <cell r="C3535" t="str">
            <v>WP-Oken</v>
          </cell>
        </row>
        <row r="3536">
          <cell r="B3536">
            <v>17688745</v>
          </cell>
          <cell r="C3536" t="str">
            <v>Wp-zikri</v>
          </cell>
        </row>
        <row r="3537">
          <cell r="B3537">
            <v>17700036</v>
          </cell>
          <cell r="C3537" t="str">
            <v>Rama 3 Cell</v>
          </cell>
        </row>
        <row r="3538">
          <cell r="B3538">
            <v>17697529</v>
          </cell>
          <cell r="C3538" t="str">
            <v>Deriss Cell</v>
          </cell>
        </row>
        <row r="3539">
          <cell r="B3539">
            <v>17706278</v>
          </cell>
          <cell r="C3539" t="str">
            <v>Aroma Cell</v>
          </cell>
        </row>
        <row r="3540">
          <cell r="B3540">
            <v>17708242</v>
          </cell>
          <cell r="C3540" t="str">
            <v>Al-Jabbar</v>
          </cell>
        </row>
        <row r="3541">
          <cell r="B3541">
            <v>17709565</v>
          </cell>
          <cell r="C3541" t="str">
            <v>Waok cell</v>
          </cell>
        </row>
        <row r="3542">
          <cell r="B3542">
            <v>17708669</v>
          </cell>
          <cell r="C3542" t="str">
            <v>Ammar Cell</v>
          </cell>
        </row>
        <row r="3543">
          <cell r="B3543">
            <v>17710991</v>
          </cell>
          <cell r="C3543" t="str">
            <v>Yeni Cell</v>
          </cell>
        </row>
        <row r="3544">
          <cell r="B3544">
            <v>17710368</v>
          </cell>
          <cell r="C3544" t="str">
            <v>Azhura Cell</v>
          </cell>
        </row>
        <row r="3545">
          <cell r="B3545">
            <v>17710569</v>
          </cell>
          <cell r="C3545" t="str">
            <v>Alfarizi Cell</v>
          </cell>
        </row>
        <row r="3546">
          <cell r="B3546">
            <v>17710649</v>
          </cell>
          <cell r="C3546" t="str">
            <v>putri cell</v>
          </cell>
        </row>
        <row r="3547">
          <cell r="B3547">
            <v>17710674</v>
          </cell>
          <cell r="C3547" t="str">
            <v>CAHAYA PHONE SHOP</v>
          </cell>
        </row>
        <row r="3548">
          <cell r="B3548">
            <v>17710749</v>
          </cell>
          <cell r="C3548" t="str">
            <v>DODO CELL</v>
          </cell>
        </row>
        <row r="3549">
          <cell r="B3549">
            <v>17710800</v>
          </cell>
          <cell r="C3549" t="str">
            <v>Lisnawaticell</v>
          </cell>
        </row>
        <row r="3550">
          <cell r="B3550">
            <v>17710881</v>
          </cell>
          <cell r="C3550" t="str">
            <v>Tiara Cell</v>
          </cell>
        </row>
        <row r="3551">
          <cell r="B3551">
            <v>17710954</v>
          </cell>
          <cell r="C3551" t="str">
            <v>Rexxy Cell</v>
          </cell>
        </row>
        <row r="3552">
          <cell r="B3552">
            <v>17710972</v>
          </cell>
          <cell r="C3552" t="str">
            <v>AKALANKA CELL</v>
          </cell>
        </row>
        <row r="3553">
          <cell r="B3553">
            <v>17716222</v>
          </cell>
          <cell r="C3553" t="str">
            <v>Fabian Cell</v>
          </cell>
        </row>
        <row r="3554">
          <cell r="B3554">
            <v>17716804</v>
          </cell>
          <cell r="C3554" t="str">
            <v>Rafa Cell</v>
          </cell>
        </row>
        <row r="3555">
          <cell r="B3555">
            <v>17718488</v>
          </cell>
          <cell r="C3555" t="str">
            <v>TStore</v>
          </cell>
        </row>
        <row r="3556">
          <cell r="B3556">
            <v>17718735</v>
          </cell>
          <cell r="C3556" t="str">
            <v>Darren Cell</v>
          </cell>
        </row>
        <row r="3557">
          <cell r="B3557">
            <v>17719130</v>
          </cell>
          <cell r="C3557" t="str">
            <v>LR Cell</v>
          </cell>
        </row>
        <row r="3558">
          <cell r="B3558">
            <v>17721008</v>
          </cell>
          <cell r="C3558" t="str">
            <v>Sasmita Cell</v>
          </cell>
        </row>
        <row r="3559">
          <cell r="B3559">
            <v>17723890</v>
          </cell>
          <cell r="C3559" t="str">
            <v>Mualif cell</v>
          </cell>
        </row>
        <row r="3560">
          <cell r="B3560">
            <v>17724632</v>
          </cell>
          <cell r="C3560" t="str">
            <v>Toko Rafa</v>
          </cell>
        </row>
        <row r="3561">
          <cell r="B3561">
            <v>17725007</v>
          </cell>
          <cell r="C3561" t="str">
            <v>Ghafi Cell</v>
          </cell>
        </row>
        <row r="3562">
          <cell r="B3562">
            <v>17725670</v>
          </cell>
          <cell r="C3562" t="str">
            <v>MJ Cell</v>
          </cell>
        </row>
        <row r="3563">
          <cell r="B3563">
            <v>17726341</v>
          </cell>
          <cell r="C3563" t="str">
            <v>Khairan Cell</v>
          </cell>
        </row>
        <row r="3564">
          <cell r="B3564">
            <v>17727121</v>
          </cell>
          <cell r="C3564" t="str">
            <v>Ully Cell</v>
          </cell>
        </row>
        <row r="3565">
          <cell r="B3565">
            <v>17727164</v>
          </cell>
          <cell r="C3565" t="str">
            <v>Bena Cell</v>
          </cell>
        </row>
        <row r="3566">
          <cell r="B3566">
            <v>17727750</v>
          </cell>
          <cell r="C3566" t="str">
            <v>Mubarak Cell</v>
          </cell>
        </row>
        <row r="3567">
          <cell r="B3567">
            <v>17729154</v>
          </cell>
          <cell r="C3567" t="str">
            <v>Safari phone21</v>
          </cell>
        </row>
        <row r="3568">
          <cell r="B3568">
            <v>1365883</v>
          </cell>
          <cell r="C3568" t="str">
            <v>Fajar Cell</v>
          </cell>
        </row>
        <row r="3569">
          <cell r="B3569">
            <v>1337467</v>
          </cell>
          <cell r="C3569" t="str">
            <v>idola cell</v>
          </cell>
        </row>
        <row r="3570">
          <cell r="B3570">
            <v>1366350</v>
          </cell>
          <cell r="C3570" t="str">
            <v>AMIRA CELL</v>
          </cell>
        </row>
        <row r="3571">
          <cell r="B3571">
            <v>1357138</v>
          </cell>
          <cell r="C3571" t="str">
            <v>FITRIA CELL</v>
          </cell>
        </row>
        <row r="3572">
          <cell r="B3572">
            <v>17230508</v>
          </cell>
          <cell r="C3572" t="str">
            <v>Multi tell</v>
          </cell>
        </row>
        <row r="3573">
          <cell r="B3573">
            <v>17295420</v>
          </cell>
          <cell r="C3573" t="str">
            <v>Rama dua cell</v>
          </cell>
        </row>
        <row r="3574">
          <cell r="B3574">
            <v>17387991</v>
          </cell>
          <cell r="C3574" t="str">
            <v>Irwansyah 4</v>
          </cell>
        </row>
        <row r="3575">
          <cell r="B3575">
            <v>17510823</v>
          </cell>
          <cell r="C3575" t="str">
            <v>Cr store</v>
          </cell>
        </row>
        <row r="3576">
          <cell r="B3576">
            <v>17545304</v>
          </cell>
          <cell r="C3576" t="str">
            <v>irwansyah 7</v>
          </cell>
        </row>
        <row r="3577">
          <cell r="B3577">
            <v>17600570</v>
          </cell>
          <cell r="C3577" t="str">
            <v>Tina cell</v>
          </cell>
        </row>
        <row r="3578">
          <cell r="B3578">
            <v>17627772</v>
          </cell>
          <cell r="C3578" t="str">
            <v>Irwansyah 8</v>
          </cell>
        </row>
        <row r="3579">
          <cell r="B3579">
            <v>17627788</v>
          </cell>
          <cell r="C3579" t="str">
            <v>Sans cell</v>
          </cell>
        </row>
        <row r="3580">
          <cell r="B3580">
            <v>17729573</v>
          </cell>
          <cell r="C3580" t="str">
            <v>ANR Cell</v>
          </cell>
        </row>
        <row r="3581">
          <cell r="B3581">
            <v>17729444</v>
          </cell>
          <cell r="C3581" t="str">
            <v>Cool Kids Cell</v>
          </cell>
        </row>
        <row r="3582">
          <cell r="B3582">
            <v>17729758</v>
          </cell>
          <cell r="C3582" t="str">
            <v>Benny Cell</v>
          </cell>
        </row>
        <row r="3583">
          <cell r="B3583">
            <v>17729858</v>
          </cell>
          <cell r="C3583" t="str">
            <v>Cano cel</v>
          </cell>
        </row>
        <row r="3584">
          <cell r="B3584">
            <v>17730034</v>
          </cell>
          <cell r="C3584" t="str">
            <v>SM CELL</v>
          </cell>
        </row>
        <row r="3585">
          <cell r="B3585">
            <v>17730356</v>
          </cell>
          <cell r="C3585" t="str">
            <v>Benny1 Cell</v>
          </cell>
        </row>
        <row r="3586">
          <cell r="B3586">
            <v>17730431</v>
          </cell>
          <cell r="C3586" t="str">
            <v>Usep brilink</v>
          </cell>
        </row>
        <row r="3587">
          <cell r="B3587">
            <v>17730485</v>
          </cell>
          <cell r="C3587" t="str">
            <v>Rayhan Cell</v>
          </cell>
        </row>
        <row r="3588">
          <cell r="B3588">
            <v>17730588</v>
          </cell>
          <cell r="C3588" t="str">
            <v>Gisa cell</v>
          </cell>
        </row>
        <row r="3589">
          <cell r="B3589">
            <v>17730684</v>
          </cell>
          <cell r="C3589" t="str">
            <v>NOVAL CELL</v>
          </cell>
        </row>
        <row r="3590">
          <cell r="B3590">
            <v>17730843</v>
          </cell>
          <cell r="C3590" t="str">
            <v>Wie Cell</v>
          </cell>
        </row>
        <row r="3591">
          <cell r="B3591">
            <v>17730893</v>
          </cell>
          <cell r="C3591" t="str">
            <v>Akbar Cell</v>
          </cell>
        </row>
        <row r="3592">
          <cell r="B3592">
            <v>17730959</v>
          </cell>
          <cell r="C3592" t="str">
            <v>Aura cell</v>
          </cell>
        </row>
        <row r="3593">
          <cell r="B3593">
            <v>17731190</v>
          </cell>
          <cell r="C3593" t="str">
            <v>Nurhayanah Cell</v>
          </cell>
        </row>
        <row r="3594">
          <cell r="B3594">
            <v>17731235</v>
          </cell>
          <cell r="C3594" t="str">
            <v>Hanafi Mat</v>
          </cell>
        </row>
        <row r="3595">
          <cell r="B3595">
            <v>17731427</v>
          </cell>
          <cell r="C3595" t="str">
            <v>AN CELL</v>
          </cell>
        </row>
        <row r="3596">
          <cell r="B3596">
            <v>17732811</v>
          </cell>
          <cell r="C3596" t="str">
            <v>Warung Serasa</v>
          </cell>
        </row>
        <row r="3597">
          <cell r="B3597">
            <v>17731887</v>
          </cell>
          <cell r="C3597" t="str">
            <v>RAJAWALI CELL</v>
          </cell>
        </row>
        <row r="3598">
          <cell r="B3598">
            <v>17732759</v>
          </cell>
          <cell r="C3598" t="str">
            <v>Dzara cell</v>
          </cell>
        </row>
        <row r="3599">
          <cell r="B3599">
            <v>17733519</v>
          </cell>
          <cell r="C3599" t="str">
            <v>FADYA CELL</v>
          </cell>
        </row>
        <row r="3600">
          <cell r="B3600">
            <v>17731851</v>
          </cell>
          <cell r="C3600" t="str">
            <v>BANYU Cell</v>
          </cell>
        </row>
        <row r="3601">
          <cell r="B3601">
            <v>17732000</v>
          </cell>
          <cell r="C3601" t="str">
            <v>RAFIK CEL</v>
          </cell>
        </row>
        <row r="3602">
          <cell r="B3602">
            <v>17732034</v>
          </cell>
          <cell r="C3602" t="str">
            <v>Ratna cel</v>
          </cell>
        </row>
        <row r="3603">
          <cell r="B3603">
            <v>17735037</v>
          </cell>
          <cell r="C3603" t="str">
            <v>Kembar cell</v>
          </cell>
        </row>
        <row r="3604">
          <cell r="B3604">
            <v>17735282</v>
          </cell>
          <cell r="C3604" t="str">
            <v>Olx Cell</v>
          </cell>
        </row>
        <row r="3605">
          <cell r="B3605">
            <v>17735373</v>
          </cell>
          <cell r="C3605" t="str">
            <v>Nathan Agen</v>
          </cell>
        </row>
        <row r="3606">
          <cell r="B3606">
            <v>17735647</v>
          </cell>
          <cell r="C3606" t="str">
            <v>RAMMA DUA CEL</v>
          </cell>
        </row>
        <row r="3607">
          <cell r="B3607">
            <v>17736758</v>
          </cell>
          <cell r="C3607" t="str">
            <v>LINDA CELL</v>
          </cell>
        </row>
        <row r="3608">
          <cell r="B3608">
            <v>17736879</v>
          </cell>
          <cell r="C3608" t="str">
            <v>Azam cell</v>
          </cell>
        </row>
        <row r="3609">
          <cell r="B3609">
            <v>17737001</v>
          </cell>
          <cell r="C3609" t="str">
            <v>Zainab Cell</v>
          </cell>
        </row>
        <row r="3610">
          <cell r="B3610">
            <v>17737461</v>
          </cell>
          <cell r="C3610" t="str">
            <v>Alesha1 Cell</v>
          </cell>
        </row>
        <row r="3611">
          <cell r="B3611">
            <v>17737612</v>
          </cell>
          <cell r="C3611" t="str">
            <v>MUDIA CELL</v>
          </cell>
        </row>
        <row r="3612">
          <cell r="B3612">
            <v>17737761</v>
          </cell>
          <cell r="C3612" t="str">
            <v>Jihan cell 2</v>
          </cell>
        </row>
        <row r="3613">
          <cell r="B3613">
            <v>17738340</v>
          </cell>
          <cell r="C3613" t="str">
            <v>Foxes Cell</v>
          </cell>
        </row>
        <row r="3614">
          <cell r="B3614">
            <v>17738977</v>
          </cell>
          <cell r="C3614" t="str">
            <v>TStore 2</v>
          </cell>
        </row>
        <row r="3615">
          <cell r="B3615">
            <v>17740009</v>
          </cell>
          <cell r="C3615" t="str">
            <v>RAJAWALI 2</v>
          </cell>
        </row>
        <row r="3616">
          <cell r="B3616">
            <v>17740285</v>
          </cell>
          <cell r="C3616" t="str">
            <v>Arsy Cell</v>
          </cell>
        </row>
        <row r="3617">
          <cell r="B3617">
            <v>17741035</v>
          </cell>
          <cell r="C3617" t="str">
            <v>Amir Hamzah Cell</v>
          </cell>
        </row>
        <row r="3618">
          <cell r="B3618">
            <v>17741107</v>
          </cell>
          <cell r="C3618" t="str">
            <v>Idris Cell</v>
          </cell>
        </row>
        <row r="3619">
          <cell r="B3619">
            <v>17743559</v>
          </cell>
          <cell r="C3619" t="str">
            <v>Fadl cell</v>
          </cell>
        </row>
        <row r="3620">
          <cell r="B3620">
            <v>17414128</v>
          </cell>
          <cell r="C3620" t="str">
            <v>MIRAH CELL</v>
          </cell>
        </row>
        <row r="3621">
          <cell r="B3621">
            <v>17719712</v>
          </cell>
          <cell r="C3621" t="str">
            <v>4D Cell SMI</v>
          </cell>
        </row>
        <row r="3622">
          <cell r="B3622">
            <v>17173442</v>
          </cell>
          <cell r="C3622" t="str">
            <v>64 CELL</v>
          </cell>
        </row>
        <row r="3623">
          <cell r="B3623">
            <v>17769714</v>
          </cell>
          <cell r="C3623" t="str">
            <v>A2 CELL</v>
          </cell>
        </row>
        <row r="3624">
          <cell r="B3624">
            <v>1326718</v>
          </cell>
          <cell r="C3624" t="str">
            <v>999 CELL</v>
          </cell>
        </row>
        <row r="3625">
          <cell r="B3625">
            <v>17740857</v>
          </cell>
          <cell r="C3625" t="str">
            <v>Adiks Cell</v>
          </cell>
        </row>
        <row r="3626">
          <cell r="B3626">
            <v>17218982</v>
          </cell>
          <cell r="C3626" t="str">
            <v>Aimar Cell</v>
          </cell>
        </row>
        <row r="3627">
          <cell r="B3627">
            <v>17472176</v>
          </cell>
          <cell r="C3627" t="str">
            <v>ARKA CELL</v>
          </cell>
        </row>
        <row r="3628">
          <cell r="B3628">
            <v>1304543</v>
          </cell>
          <cell r="C3628" t="str">
            <v>ABAY CELL</v>
          </cell>
        </row>
        <row r="3629">
          <cell r="B3629">
            <v>17256667</v>
          </cell>
          <cell r="C3629" t="str">
            <v>Eiydin Cell</v>
          </cell>
        </row>
        <row r="3630">
          <cell r="B3630">
            <v>17284142</v>
          </cell>
          <cell r="C3630" t="str">
            <v>GAFA CELL</v>
          </cell>
        </row>
        <row r="3631">
          <cell r="B3631">
            <v>17432527</v>
          </cell>
          <cell r="C3631" t="str">
            <v>HIFNI CELL</v>
          </cell>
        </row>
        <row r="3632">
          <cell r="B3632">
            <v>17234838</v>
          </cell>
          <cell r="C3632" t="str">
            <v>Adzra Cell</v>
          </cell>
        </row>
        <row r="3633">
          <cell r="B3633">
            <v>17479029</v>
          </cell>
          <cell r="C3633" t="str">
            <v>TMS 2 CELL</v>
          </cell>
        </row>
        <row r="3634">
          <cell r="B3634">
            <v>17254750</v>
          </cell>
          <cell r="C3634" t="str">
            <v>Awaa Cell</v>
          </cell>
        </row>
        <row r="3635">
          <cell r="B3635">
            <v>17751263</v>
          </cell>
          <cell r="C3635" t="str">
            <v>Afik cell</v>
          </cell>
        </row>
        <row r="3636">
          <cell r="B3636">
            <v>17434730</v>
          </cell>
          <cell r="C3636" t="str">
            <v>AFIZA CELL</v>
          </cell>
        </row>
        <row r="3637">
          <cell r="B3637">
            <v>17471719</v>
          </cell>
          <cell r="C3637" t="str">
            <v>AHSEN PULSA CELL</v>
          </cell>
        </row>
        <row r="3638">
          <cell r="B3638">
            <v>738646</v>
          </cell>
          <cell r="C3638" t="str">
            <v>Aldi cell</v>
          </cell>
        </row>
        <row r="3639">
          <cell r="B3639">
            <v>17408524</v>
          </cell>
          <cell r="C3639" t="str">
            <v>ALMA CELL</v>
          </cell>
        </row>
        <row r="3640">
          <cell r="B3640">
            <v>17258826</v>
          </cell>
          <cell r="C3640" t="str">
            <v>ARFAN CELL</v>
          </cell>
        </row>
        <row r="3641">
          <cell r="B3641">
            <v>1293971</v>
          </cell>
          <cell r="C3641" t="str">
            <v>ALUNG CELL</v>
          </cell>
        </row>
        <row r="3642">
          <cell r="B3642">
            <v>17214872</v>
          </cell>
          <cell r="C3642" t="str">
            <v>Alwan Celluler</v>
          </cell>
        </row>
        <row r="3643">
          <cell r="B3643">
            <v>17284162</v>
          </cell>
          <cell r="C3643" t="str">
            <v>AMET CELL</v>
          </cell>
        </row>
        <row r="3644">
          <cell r="B3644">
            <v>17534204</v>
          </cell>
          <cell r="C3644" t="str">
            <v>Amy cell</v>
          </cell>
        </row>
        <row r="3645">
          <cell r="B3645">
            <v>17377130</v>
          </cell>
          <cell r="C3645" t="str">
            <v>ANDARA CELL</v>
          </cell>
        </row>
        <row r="3646">
          <cell r="B3646">
            <v>17587911</v>
          </cell>
          <cell r="C3646" t="str">
            <v>ANGGA CELL</v>
          </cell>
        </row>
        <row r="3647">
          <cell r="B3647">
            <v>17122430</v>
          </cell>
          <cell r="C3647" t="str">
            <v>Alawi cell</v>
          </cell>
        </row>
        <row r="3648">
          <cell r="B3648">
            <v>17430264</v>
          </cell>
          <cell r="C3648" t="str">
            <v>JP CELL</v>
          </cell>
        </row>
        <row r="3649">
          <cell r="B3649">
            <v>17354573</v>
          </cell>
          <cell r="C3649" t="str">
            <v>LION CELL</v>
          </cell>
        </row>
        <row r="3650">
          <cell r="B3650">
            <v>635164</v>
          </cell>
          <cell r="C3650" t="str">
            <v>Art Corner</v>
          </cell>
        </row>
        <row r="3651">
          <cell r="B3651">
            <v>1553611</v>
          </cell>
          <cell r="C3651" t="str">
            <v>Asnie cell</v>
          </cell>
        </row>
        <row r="3652">
          <cell r="B3652">
            <v>17467050</v>
          </cell>
          <cell r="C3652" t="str">
            <v>AULIA CELL</v>
          </cell>
        </row>
        <row r="3653">
          <cell r="B3653">
            <v>17435958</v>
          </cell>
          <cell r="C3653" t="str">
            <v>RAFISQI CELL</v>
          </cell>
        </row>
        <row r="3654">
          <cell r="B3654">
            <v>17245637</v>
          </cell>
          <cell r="C3654" t="str">
            <v>AZALEA CELL</v>
          </cell>
        </row>
        <row r="3655">
          <cell r="B3655">
            <v>1448356</v>
          </cell>
          <cell r="C3655" t="str">
            <v>sahabat cell</v>
          </cell>
        </row>
        <row r="3656">
          <cell r="B3656">
            <v>17529461</v>
          </cell>
          <cell r="C3656" t="str">
            <v>BaHe cell</v>
          </cell>
        </row>
        <row r="3657">
          <cell r="B3657">
            <v>17154943</v>
          </cell>
          <cell r="C3657" t="str">
            <v>Sahabat Reload</v>
          </cell>
        </row>
        <row r="3658">
          <cell r="B3658">
            <v>17466949</v>
          </cell>
          <cell r="C3658" t="str">
            <v>BAROKAH CELL</v>
          </cell>
        </row>
        <row r="3659">
          <cell r="B3659">
            <v>17528349</v>
          </cell>
          <cell r="C3659" t="str">
            <v>BELLA 2 CELL</v>
          </cell>
        </row>
        <row r="3660">
          <cell r="B3660">
            <v>17258750</v>
          </cell>
          <cell r="C3660" t="str">
            <v>BELLA CELL</v>
          </cell>
        </row>
        <row r="3661">
          <cell r="B3661">
            <v>17587881</v>
          </cell>
          <cell r="C3661" t="str">
            <v>BERLIAN CELL</v>
          </cell>
        </row>
        <row r="3662">
          <cell r="B3662">
            <v>1295693</v>
          </cell>
          <cell r="C3662" t="str">
            <v>BILQIS CELL</v>
          </cell>
        </row>
        <row r="3663">
          <cell r="B3663">
            <v>17013024</v>
          </cell>
          <cell r="C3663" t="str">
            <v>Bintang</v>
          </cell>
        </row>
        <row r="3664">
          <cell r="B3664">
            <v>1287320</v>
          </cell>
          <cell r="C3664" t="str">
            <v>BINTANG CELL</v>
          </cell>
        </row>
        <row r="3665">
          <cell r="B3665">
            <v>886096</v>
          </cell>
          <cell r="C3665" t="str">
            <v>Brilliant Cell</v>
          </cell>
        </row>
        <row r="3666">
          <cell r="B3666">
            <v>17200905</v>
          </cell>
          <cell r="C3666" t="str">
            <v>BUMI KAYU CELL</v>
          </cell>
        </row>
        <row r="3667">
          <cell r="B3667">
            <v>1505071</v>
          </cell>
          <cell r="C3667" t="str">
            <v>BILL MOBILE</v>
          </cell>
        </row>
        <row r="3668">
          <cell r="B3668">
            <v>17461657</v>
          </cell>
          <cell r="C3668" t="str">
            <v>H I CELL</v>
          </cell>
        </row>
        <row r="3669">
          <cell r="B3669">
            <v>17365131</v>
          </cell>
          <cell r="C3669" t="str">
            <v>HQQ CELL</v>
          </cell>
        </row>
        <row r="3670">
          <cell r="B3670">
            <v>17472465</v>
          </cell>
          <cell r="C3670" t="str">
            <v>IHAN CELL</v>
          </cell>
        </row>
        <row r="3671">
          <cell r="B3671">
            <v>17355725</v>
          </cell>
          <cell r="C3671" t="str">
            <v>OMAJIE CELL</v>
          </cell>
        </row>
        <row r="3672">
          <cell r="B3672">
            <v>17230949</v>
          </cell>
          <cell r="C3672" t="str">
            <v>Q-one Cell</v>
          </cell>
        </row>
        <row r="3673">
          <cell r="B3673">
            <v>17154942</v>
          </cell>
          <cell r="C3673" t="str">
            <v>Qthaza 3</v>
          </cell>
        </row>
        <row r="3674">
          <cell r="B3674">
            <v>17478993</v>
          </cell>
          <cell r="C3674" t="str">
            <v>WR LISDA</v>
          </cell>
        </row>
        <row r="3675">
          <cell r="B3675">
            <v>17612107</v>
          </cell>
          <cell r="C3675" t="str">
            <v>Abdi Jaya</v>
          </cell>
        </row>
        <row r="3676">
          <cell r="B3676">
            <v>17612073</v>
          </cell>
          <cell r="C3676" t="str">
            <v>Sans Cell</v>
          </cell>
        </row>
        <row r="3677">
          <cell r="B3677">
            <v>17727850</v>
          </cell>
          <cell r="C3677" t="str">
            <v>Cahaya cell</v>
          </cell>
        </row>
        <row r="3678">
          <cell r="B3678">
            <v>17648208</v>
          </cell>
          <cell r="C3678" t="str">
            <v>Caringin Teknik</v>
          </cell>
        </row>
        <row r="3679">
          <cell r="B3679">
            <v>17556421</v>
          </cell>
          <cell r="C3679" t="str">
            <v>CIKAL CELL</v>
          </cell>
        </row>
        <row r="3680">
          <cell r="B3680">
            <v>17778754</v>
          </cell>
          <cell r="C3680" t="str">
            <v>A2 cell</v>
          </cell>
        </row>
        <row r="3681">
          <cell r="B3681">
            <v>17742318</v>
          </cell>
          <cell r="C3681" t="str">
            <v>CR cell</v>
          </cell>
        </row>
        <row r="3682">
          <cell r="B3682">
            <v>865885</v>
          </cell>
          <cell r="C3682" t="str">
            <v>DANZ CELL</v>
          </cell>
        </row>
        <row r="3683">
          <cell r="B3683">
            <v>17187351</v>
          </cell>
          <cell r="C3683" t="str">
            <v>Derisa Cell</v>
          </cell>
        </row>
        <row r="3684">
          <cell r="B3684">
            <v>1078725</v>
          </cell>
          <cell r="C3684" t="str">
            <v>Dinar cell</v>
          </cell>
        </row>
        <row r="3685">
          <cell r="B3685">
            <v>17525429</v>
          </cell>
          <cell r="C3685" t="str">
            <v>Dr cell</v>
          </cell>
        </row>
        <row r="3686">
          <cell r="B3686">
            <v>17292289</v>
          </cell>
          <cell r="C3686" t="str">
            <v>Dua putri cell</v>
          </cell>
        </row>
        <row r="3687">
          <cell r="B3687">
            <v>17741032</v>
          </cell>
          <cell r="C3687" t="str">
            <v>Dzikzaya cell</v>
          </cell>
        </row>
        <row r="3688">
          <cell r="B3688">
            <v>17785635</v>
          </cell>
          <cell r="C3688" t="str">
            <v>Edo Cell</v>
          </cell>
        </row>
        <row r="3689">
          <cell r="B3689">
            <v>1347914</v>
          </cell>
          <cell r="C3689" t="str">
            <v>ERMAN CELL</v>
          </cell>
        </row>
        <row r="3690">
          <cell r="B3690">
            <v>17542001</v>
          </cell>
          <cell r="C3690" t="str">
            <v>EV CELL</v>
          </cell>
        </row>
        <row r="3691">
          <cell r="B3691">
            <v>17471957</v>
          </cell>
          <cell r="C3691" t="str">
            <v>A3 cell</v>
          </cell>
        </row>
        <row r="3692">
          <cell r="B3692">
            <v>17769850</v>
          </cell>
          <cell r="C3692" t="str">
            <v>Eydie cell</v>
          </cell>
        </row>
        <row r="3693">
          <cell r="B3693">
            <v>17139050</v>
          </cell>
          <cell r="C3693" t="str">
            <v>Abadi Cell</v>
          </cell>
        </row>
        <row r="3694">
          <cell r="B3694">
            <v>17244903</v>
          </cell>
          <cell r="C3694" t="str">
            <v>ABANG CELL</v>
          </cell>
        </row>
        <row r="3695">
          <cell r="B3695">
            <v>17472274</v>
          </cell>
          <cell r="C3695" t="str">
            <v>Family</v>
          </cell>
        </row>
        <row r="3696">
          <cell r="B3696">
            <v>17230260</v>
          </cell>
          <cell r="C3696" t="str">
            <v>ADEN cell</v>
          </cell>
        </row>
        <row r="3697">
          <cell r="B3697">
            <v>17273122</v>
          </cell>
          <cell r="C3697" t="str">
            <v>FAREL CELL</v>
          </cell>
        </row>
        <row r="3698">
          <cell r="B3698">
            <v>17587750</v>
          </cell>
          <cell r="C3698" t="str">
            <v>Fathiyah store</v>
          </cell>
        </row>
        <row r="3699">
          <cell r="B3699">
            <v>17544052</v>
          </cell>
          <cell r="C3699" t="str">
            <v>AIDI CELL</v>
          </cell>
        </row>
        <row r="3700">
          <cell r="B3700">
            <v>17030843</v>
          </cell>
          <cell r="C3700" t="str">
            <v>Fharyan cell</v>
          </cell>
        </row>
        <row r="3701">
          <cell r="B3701">
            <v>17785712</v>
          </cell>
          <cell r="C3701" t="str">
            <v>Aleem Store</v>
          </cell>
        </row>
        <row r="3702">
          <cell r="B3702">
            <v>586472</v>
          </cell>
          <cell r="C3702" t="str">
            <v>gere cell</v>
          </cell>
        </row>
        <row r="3703">
          <cell r="B3703">
            <v>17675432</v>
          </cell>
          <cell r="C3703" t="str">
            <v>Wp Ihsan Fadhila</v>
          </cell>
        </row>
        <row r="3704">
          <cell r="B3704">
            <v>17680919</v>
          </cell>
          <cell r="C3704" t="str">
            <v>Wp sindew</v>
          </cell>
        </row>
        <row r="3705">
          <cell r="B3705">
            <v>1368855</v>
          </cell>
          <cell r="C3705" t="str">
            <v>GIEM CELL</v>
          </cell>
        </row>
        <row r="3706">
          <cell r="B3706">
            <v>17448194</v>
          </cell>
          <cell r="C3706" t="str">
            <v>Adam cel</v>
          </cell>
        </row>
        <row r="3707">
          <cell r="B3707">
            <v>17408914</v>
          </cell>
          <cell r="C3707" t="str">
            <v>Barokah cell</v>
          </cell>
        </row>
        <row r="3708">
          <cell r="B3708">
            <v>17473137</v>
          </cell>
          <cell r="C3708" t="str">
            <v>Dira Cell</v>
          </cell>
        </row>
        <row r="3709">
          <cell r="B3709">
            <v>17374722</v>
          </cell>
          <cell r="C3709" t="str">
            <v>Shidqia cell</v>
          </cell>
        </row>
        <row r="3710">
          <cell r="B3710">
            <v>17028581</v>
          </cell>
          <cell r="C3710" t="str">
            <v>Aron cell</v>
          </cell>
        </row>
        <row r="3711">
          <cell r="B3711">
            <v>17213603</v>
          </cell>
          <cell r="C3711" t="str">
            <v>Budiguna cell</v>
          </cell>
        </row>
        <row r="3712">
          <cell r="B3712">
            <v>17435129</v>
          </cell>
          <cell r="C3712" t="str">
            <v>DisiniOmo CELL</v>
          </cell>
        </row>
        <row r="3713">
          <cell r="B3713">
            <v>17472049</v>
          </cell>
          <cell r="C3713" t="str">
            <v>DUL Cell</v>
          </cell>
        </row>
        <row r="3714">
          <cell r="B3714">
            <v>17472039</v>
          </cell>
          <cell r="C3714" t="str">
            <v>EL Cell</v>
          </cell>
        </row>
        <row r="3715">
          <cell r="B3715">
            <v>17195203</v>
          </cell>
          <cell r="C3715" t="str">
            <v>FAIZ CELL</v>
          </cell>
        </row>
        <row r="3716">
          <cell r="B3716">
            <v>17431917</v>
          </cell>
          <cell r="C3716" t="str">
            <v>Fitriyani cell</v>
          </cell>
        </row>
        <row r="3717">
          <cell r="B3717">
            <v>17243087</v>
          </cell>
          <cell r="C3717" t="str">
            <v>Nina pulsa</v>
          </cell>
        </row>
        <row r="3718">
          <cell r="B3718">
            <v>17238329</v>
          </cell>
          <cell r="C3718" t="str">
            <v>Pelangi cell</v>
          </cell>
        </row>
        <row r="3719">
          <cell r="B3719">
            <v>17133274</v>
          </cell>
          <cell r="C3719" t="str">
            <v>Radent cell</v>
          </cell>
        </row>
        <row r="3720">
          <cell r="B3720">
            <v>17098285</v>
          </cell>
          <cell r="C3720" t="str">
            <v>Viking 2 cell</v>
          </cell>
        </row>
        <row r="3721">
          <cell r="B3721">
            <v>1385891</v>
          </cell>
          <cell r="C3721" t="str">
            <v>ABI CELL</v>
          </cell>
        </row>
        <row r="3722">
          <cell r="B3722">
            <v>17146673</v>
          </cell>
          <cell r="C3722" t="str">
            <v>ABDI CELL</v>
          </cell>
        </row>
        <row r="3723">
          <cell r="B3723">
            <v>17251340</v>
          </cell>
          <cell r="C3723" t="str">
            <v>Rifky Cell</v>
          </cell>
        </row>
        <row r="3724">
          <cell r="B3724">
            <v>17408851</v>
          </cell>
          <cell r="C3724" t="str">
            <v>AS cell</v>
          </cell>
        </row>
        <row r="3725">
          <cell r="B3725">
            <v>17493430</v>
          </cell>
          <cell r="C3725" t="str">
            <v>J99 cell</v>
          </cell>
        </row>
        <row r="3726">
          <cell r="B3726">
            <v>17182394</v>
          </cell>
          <cell r="C3726" t="str">
            <v>Zakwan cell</v>
          </cell>
        </row>
        <row r="3727">
          <cell r="B3727">
            <v>17493405</v>
          </cell>
          <cell r="C3727" t="str">
            <v>Shafa cell</v>
          </cell>
        </row>
        <row r="3728">
          <cell r="B3728">
            <v>17493386</v>
          </cell>
          <cell r="C3728" t="str">
            <v>Uniq Store</v>
          </cell>
        </row>
        <row r="3729">
          <cell r="B3729">
            <v>17174662</v>
          </cell>
          <cell r="C3729" t="str">
            <v>ALIFA CELL</v>
          </cell>
        </row>
        <row r="3730">
          <cell r="B3730">
            <v>17211969</v>
          </cell>
          <cell r="C3730" t="str">
            <v>ARUL CELLL</v>
          </cell>
        </row>
        <row r="3731">
          <cell r="B3731">
            <v>17211920</v>
          </cell>
          <cell r="C3731" t="str">
            <v>FAJAR CELL</v>
          </cell>
        </row>
        <row r="3732">
          <cell r="B3732">
            <v>1380277</v>
          </cell>
          <cell r="C3732" t="str">
            <v>Lulu cell</v>
          </cell>
        </row>
        <row r="3733">
          <cell r="B3733">
            <v>1388056</v>
          </cell>
          <cell r="C3733" t="str">
            <v>MUNGIL CELL</v>
          </cell>
        </row>
        <row r="3734">
          <cell r="B3734">
            <v>17408940</v>
          </cell>
          <cell r="C3734" t="str">
            <v>DS cell</v>
          </cell>
        </row>
        <row r="3735">
          <cell r="B3735">
            <v>17151189</v>
          </cell>
          <cell r="C3735" t="str">
            <v>ABYAN cell</v>
          </cell>
        </row>
        <row r="3736">
          <cell r="B3736">
            <v>1293979</v>
          </cell>
          <cell r="C3736" t="str">
            <v>MAZALAT CELL</v>
          </cell>
        </row>
        <row r="3737">
          <cell r="B3737">
            <v>17250149</v>
          </cell>
          <cell r="C3737" t="str">
            <v>Nadi Cell 2</v>
          </cell>
        </row>
        <row r="3738">
          <cell r="B3738">
            <v>17244946</v>
          </cell>
          <cell r="C3738" t="str">
            <v>Salsa Cell</v>
          </cell>
        </row>
        <row r="3739">
          <cell r="B3739">
            <v>1294001</v>
          </cell>
          <cell r="C3739" t="str">
            <v>USA CELL</v>
          </cell>
        </row>
        <row r="3740">
          <cell r="B3740">
            <v>17215213</v>
          </cell>
          <cell r="C3740" t="str">
            <v>RCS ORANGE CELL</v>
          </cell>
        </row>
        <row r="3741">
          <cell r="B3741">
            <v>17282589</v>
          </cell>
          <cell r="C3741" t="str">
            <v>Alfana cell</v>
          </cell>
        </row>
        <row r="3742">
          <cell r="B3742">
            <v>17028562</v>
          </cell>
          <cell r="C3742" t="str">
            <v>Apin cell</v>
          </cell>
        </row>
        <row r="3743">
          <cell r="B3743">
            <v>17098257</v>
          </cell>
          <cell r="C3743" t="str">
            <v>CS MASTER 2 cell</v>
          </cell>
        </row>
        <row r="3744">
          <cell r="B3744">
            <v>17449063</v>
          </cell>
          <cell r="C3744" t="str">
            <v>CS MASTER 6</v>
          </cell>
        </row>
        <row r="3745">
          <cell r="B3745">
            <v>786719</v>
          </cell>
          <cell r="C3745" t="str">
            <v>GILFA CELL</v>
          </cell>
        </row>
        <row r="3746">
          <cell r="B3746">
            <v>688572</v>
          </cell>
          <cell r="C3746" t="str">
            <v>MM CELL</v>
          </cell>
        </row>
        <row r="3747">
          <cell r="B3747">
            <v>17296795</v>
          </cell>
          <cell r="C3747" t="str">
            <v>PUTRI CELL</v>
          </cell>
        </row>
        <row r="3748">
          <cell r="B3748">
            <v>923940</v>
          </cell>
          <cell r="C3748" t="str">
            <v>wayan cell</v>
          </cell>
        </row>
        <row r="3749">
          <cell r="B3749">
            <v>17362177</v>
          </cell>
          <cell r="C3749" t="str">
            <v>YUSRILL CELL</v>
          </cell>
        </row>
        <row r="3750">
          <cell r="B3750">
            <v>17191893</v>
          </cell>
          <cell r="C3750" t="str">
            <v>Zam zam elektrik</v>
          </cell>
        </row>
        <row r="3751">
          <cell r="B3751">
            <v>17229078</v>
          </cell>
          <cell r="C3751" t="str">
            <v>Cantix cell</v>
          </cell>
        </row>
        <row r="3752">
          <cell r="B3752">
            <v>17536821</v>
          </cell>
          <cell r="C3752" t="str">
            <v>Cs Master 7</v>
          </cell>
        </row>
        <row r="3753">
          <cell r="B3753">
            <v>17472010</v>
          </cell>
          <cell r="C3753" t="str">
            <v>AJB Cell</v>
          </cell>
        </row>
        <row r="3754">
          <cell r="B3754">
            <v>17471816</v>
          </cell>
          <cell r="C3754" t="str">
            <v>AL Cell</v>
          </cell>
        </row>
        <row r="3755">
          <cell r="B3755">
            <v>17589570</v>
          </cell>
          <cell r="C3755" t="str">
            <v>ALMEERA Store</v>
          </cell>
        </row>
        <row r="3756">
          <cell r="B3756">
            <v>17286983</v>
          </cell>
          <cell r="C3756" t="str">
            <v>ANNASYA STORE</v>
          </cell>
        </row>
        <row r="3757">
          <cell r="B3757">
            <v>17587743</v>
          </cell>
          <cell r="C3757" t="str">
            <v>Arwina Cell</v>
          </cell>
        </row>
        <row r="3758">
          <cell r="B3758">
            <v>17121287</v>
          </cell>
          <cell r="C3758" t="str">
            <v>Barokah1 cell</v>
          </cell>
        </row>
        <row r="3759">
          <cell r="B3759">
            <v>17145297</v>
          </cell>
          <cell r="C3759" t="str">
            <v>CS MASTER 3</v>
          </cell>
        </row>
        <row r="3760">
          <cell r="B3760">
            <v>17356107</v>
          </cell>
          <cell r="C3760" t="str">
            <v>Deresta cell</v>
          </cell>
        </row>
        <row r="3761">
          <cell r="B3761">
            <v>17197820</v>
          </cell>
          <cell r="C3761" t="str">
            <v>Edelewis</v>
          </cell>
        </row>
        <row r="3762">
          <cell r="B3762">
            <v>1293368</v>
          </cell>
          <cell r="C3762" t="str">
            <v>FITO CELL</v>
          </cell>
        </row>
        <row r="3763">
          <cell r="B3763">
            <v>17430485</v>
          </cell>
          <cell r="C3763" t="str">
            <v>HOKY Cell</v>
          </cell>
        </row>
        <row r="3764">
          <cell r="B3764">
            <v>599905</v>
          </cell>
          <cell r="C3764" t="str">
            <v>IMANEZ CELL</v>
          </cell>
        </row>
        <row r="3765">
          <cell r="B3765">
            <v>17231362</v>
          </cell>
          <cell r="C3765" t="str">
            <v>Intan 3 cell</v>
          </cell>
        </row>
        <row r="3766">
          <cell r="B3766">
            <v>700337</v>
          </cell>
          <cell r="C3766" t="str">
            <v>INTAN CELL</v>
          </cell>
        </row>
        <row r="3767">
          <cell r="B3767">
            <v>17396963</v>
          </cell>
          <cell r="C3767" t="str">
            <v>JESLIN Cell</v>
          </cell>
        </row>
        <row r="3768">
          <cell r="B3768">
            <v>17588333</v>
          </cell>
          <cell r="C3768" t="str">
            <v>Media Cell</v>
          </cell>
        </row>
        <row r="3769">
          <cell r="B3769">
            <v>17139070</v>
          </cell>
          <cell r="C3769" t="str">
            <v>Mikayla cell</v>
          </cell>
        </row>
        <row r="3770">
          <cell r="B3770">
            <v>578226</v>
          </cell>
          <cell r="C3770" t="str">
            <v>Nazmina Cell</v>
          </cell>
        </row>
        <row r="3771">
          <cell r="B3771">
            <v>17189607</v>
          </cell>
          <cell r="C3771" t="str">
            <v>PHONE CELL</v>
          </cell>
        </row>
        <row r="3772">
          <cell r="B3772">
            <v>17389787</v>
          </cell>
          <cell r="C3772" t="str">
            <v>Putra Tunggal Store Cell</v>
          </cell>
        </row>
        <row r="3773">
          <cell r="B3773">
            <v>17587740</v>
          </cell>
          <cell r="C3773" t="str">
            <v>Qiandra 2 Celll</v>
          </cell>
        </row>
        <row r="3774">
          <cell r="B3774">
            <v>17432497</v>
          </cell>
          <cell r="C3774" t="str">
            <v>QIANDRA CELL</v>
          </cell>
        </row>
        <row r="3775">
          <cell r="B3775">
            <v>1293347</v>
          </cell>
          <cell r="C3775" t="str">
            <v>QILIUBI CELL</v>
          </cell>
        </row>
        <row r="3776">
          <cell r="B3776">
            <v>605298</v>
          </cell>
          <cell r="C3776" t="str">
            <v>RAFA CELL</v>
          </cell>
        </row>
        <row r="3777">
          <cell r="B3777">
            <v>707278</v>
          </cell>
          <cell r="C3777" t="str">
            <v>RAISYA CELL</v>
          </cell>
        </row>
        <row r="3778">
          <cell r="B3778">
            <v>17281978</v>
          </cell>
          <cell r="C3778" t="str">
            <v>Reiyna cell</v>
          </cell>
        </row>
        <row r="3779">
          <cell r="B3779">
            <v>17235825</v>
          </cell>
          <cell r="C3779" t="str">
            <v>Salman cell</v>
          </cell>
        </row>
        <row r="3780">
          <cell r="B3780">
            <v>919909</v>
          </cell>
          <cell r="C3780" t="str">
            <v>tanama 2</v>
          </cell>
        </row>
        <row r="3781">
          <cell r="B3781">
            <v>687528</v>
          </cell>
          <cell r="C3781" t="str">
            <v>TANAMA CELL</v>
          </cell>
        </row>
        <row r="3782">
          <cell r="B3782">
            <v>604814</v>
          </cell>
          <cell r="C3782" t="str">
            <v>TAUFIK CELL</v>
          </cell>
        </row>
        <row r="3783">
          <cell r="B3783">
            <v>17456276</v>
          </cell>
          <cell r="C3783" t="str">
            <v>Warung cell</v>
          </cell>
        </row>
        <row r="3784">
          <cell r="B3784">
            <v>17258657</v>
          </cell>
          <cell r="C3784" t="str">
            <v>Wr dian cell</v>
          </cell>
        </row>
        <row r="3785">
          <cell r="B3785">
            <v>17472014</v>
          </cell>
          <cell r="C3785" t="str">
            <v>MUSTIKA Cell</v>
          </cell>
        </row>
        <row r="3786">
          <cell r="B3786">
            <v>17122343</v>
          </cell>
          <cell r="C3786" t="str">
            <v>Maulana1 cell</v>
          </cell>
        </row>
        <row r="3787">
          <cell r="B3787">
            <v>17621819</v>
          </cell>
          <cell r="C3787" t="str">
            <v>Souljah cel</v>
          </cell>
        </row>
        <row r="3788">
          <cell r="B3788">
            <v>17670045</v>
          </cell>
          <cell r="C3788" t="str">
            <v>Kios Kuota</v>
          </cell>
        </row>
        <row r="3789">
          <cell r="B3789">
            <v>17705952</v>
          </cell>
          <cell r="C3789" t="str">
            <v>INTAN 2 CELL</v>
          </cell>
        </row>
        <row r="3790">
          <cell r="B3790">
            <v>17711477</v>
          </cell>
          <cell r="C3790" t="str">
            <v>CS CELL</v>
          </cell>
        </row>
        <row r="3791">
          <cell r="B3791">
            <v>17711647</v>
          </cell>
          <cell r="C3791" t="str">
            <v>Mecca Cell</v>
          </cell>
        </row>
        <row r="3792">
          <cell r="B3792">
            <v>17366938</v>
          </cell>
          <cell r="C3792" t="str">
            <v>Khalisa</v>
          </cell>
        </row>
        <row r="3793">
          <cell r="B3793">
            <v>17197728</v>
          </cell>
          <cell r="C3793" t="str">
            <v>Riska cell</v>
          </cell>
        </row>
        <row r="3794">
          <cell r="B3794">
            <v>17436840</v>
          </cell>
          <cell r="C3794" t="str">
            <v>BONANZA Store cell</v>
          </cell>
        </row>
        <row r="3795">
          <cell r="B3795">
            <v>17152693</v>
          </cell>
          <cell r="C3795" t="str">
            <v>DARLAC CELL</v>
          </cell>
        </row>
        <row r="3796">
          <cell r="B3796">
            <v>1287887</v>
          </cell>
          <cell r="C3796" t="str">
            <v>DSIX CELL</v>
          </cell>
        </row>
        <row r="3797">
          <cell r="B3797">
            <v>17378728</v>
          </cell>
          <cell r="C3797" t="str">
            <v>KN Cell 2</v>
          </cell>
        </row>
        <row r="3798">
          <cell r="B3798">
            <v>607361</v>
          </cell>
          <cell r="C3798" t="str">
            <v>MJP CELL</v>
          </cell>
        </row>
        <row r="3799">
          <cell r="B3799">
            <v>17388222</v>
          </cell>
          <cell r="C3799" t="str">
            <v>Rizna cell</v>
          </cell>
        </row>
        <row r="3800">
          <cell r="B3800">
            <v>17208910</v>
          </cell>
          <cell r="C3800" t="str">
            <v>Tie Ressa Cell</v>
          </cell>
        </row>
        <row r="3801">
          <cell r="B3801">
            <v>1318910</v>
          </cell>
          <cell r="C3801" t="str">
            <v>fija cella</v>
          </cell>
        </row>
        <row r="3802">
          <cell r="B3802">
            <v>17290306</v>
          </cell>
          <cell r="C3802" t="str">
            <v>Nazla cell</v>
          </cell>
        </row>
        <row r="3803">
          <cell r="B3803">
            <v>738644</v>
          </cell>
          <cell r="C3803" t="str">
            <v>AJC cell</v>
          </cell>
        </row>
        <row r="3804">
          <cell r="B3804">
            <v>17529459</v>
          </cell>
          <cell r="C3804" t="str">
            <v>Alisha cell 2</v>
          </cell>
        </row>
        <row r="3805">
          <cell r="B3805">
            <v>17785984</v>
          </cell>
          <cell r="C3805" t="str">
            <v>AMANI STORE</v>
          </cell>
        </row>
        <row r="3806">
          <cell r="B3806">
            <v>17185206</v>
          </cell>
          <cell r="C3806" t="str">
            <v>HAFIZ CELL</v>
          </cell>
        </row>
        <row r="3807">
          <cell r="B3807">
            <v>17473385</v>
          </cell>
          <cell r="C3807" t="str">
            <v>5758 Cell</v>
          </cell>
        </row>
        <row r="3808">
          <cell r="B3808">
            <v>17472231</v>
          </cell>
          <cell r="C3808" t="str">
            <v>Aara cell</v>
          </cell>
        </row>
        <row r="3809">
          <cell r="B3809">
            <v>1507264</v>
          </cell>
          <cell r="C3809" t="str">
            <v>anwar</v>
          </cell>
        </row>
        <row r="3810">
          <cell r="B3810">
            <v>1296531</v>
          </cell>
          <cell r="C3810" t="str">
            <v>DAVIN CELL</v>
          </cell>
        </row>
        <row r="3811">
          <cell r="B3811">
            <v>17472992</v>
          </cell>
          <cell r="C3811" t="str">
            <v>Dewa store</v>
          </cell>
        </row>
        <row r="3812">
          <cell r="B3812">
            <v>17472996</v>
          </cell>
          <cell r="C3812" t="str">
            <v>F store</v>
          </cell>
        </row>
        <row r="3813">
          <cell r="B3813">
            <v>17472977</v>
          </cell>
          <cell r="C3813" t="str">
            <v>Hikmat cell</v>
          </cell>
        </row>
        <row r="3814">
          <cell r="B3814">
            <v>586508</v>
          </cell>
          <cell r="C3814" t="str">
            <v>merpati 1 cell</v>
          </cell>
        </row>
        <row r="3815">
          <cell r="B3815">
            <v>17252161</v>
          </cell>
          <cell r="C3815" t="str">
            <v>LAYSA CELL</v>
          </cell>
        </row>
        <row r="3816">
          <cell r="B3816">
            <v>17588319</v>
          </cell>
          <cell r="C3816" t="str">
            <v>Dena cell</v>
          </cell>
        </row>
        <row r="3817">
          <cell r="B3817">
            <v>17373637</v>
          </cell>
          <cell r="C3817" t="str">
            <v>Alika cell</v>
          </cell>
        </row>
        <row r="3818">
          <cell r="B3818">
            <v>17293272</v>
          </cell>
          <cell r="C3818" t="str">
            <v>Afrian</v>
          </cell>
        </row>
        <row r="3819">
          <cell r="B3819">
            <v>17548517</v>
          </cell>
          <cell r="C3819" t="str">
            <v>AG Reload</v>
          </cell>
        </row>
        <row r="3820">
          <cell r="B3820">
            <v>17206587</v>
          </cell>
          <cell r="C3820" t="str">
            <v>AKA STORE 3</v>
          </cell>
        </row>
        <row r="3821">
          <cell r="B3821">
            <v>17599727</v>
          </cell>
          <cell r="C3821" t="str">
            <v>Alvi cell</v>
          </cell>
        </row>
        <row r="3822">
          <cell r="B3822">
            <v>1525045</v>
          </cell>
          <cell r="C3822" t="str">
            <v>ANGKASA 1 CELL</v>
          </cell>
        </row>
        <row r="3823">
          <cell r="B3823">
            <v>1525047</v>
          </cell>
          <cell r="C3823" t="str">
            <v>ANGKASA 2 CELL</v>
          </cell>
        </row>
        <row r="3824">
          <cell r="B3824">
            <v>1340130</v>
          </cell>
          <cell r="C3824" t="str">
            <v>AZUMAR CELL</v>
          </cell>
        </row>
        <row r="3825">
          <cell r="B3825">
            <v>17147777</v>
          </cell>
          <cell r="C3825" t="str">
            <v>AZZAHRA cell</v>
          </cell>
        </row>
        <row r="3826">
          <cell r="B3826">
            <v>17145650</v>
          </cell>
          <cell r="C3826" t="str">
            <v>BANDAR PULSA 1</v>
          </cell>
        </row>
        <row r="3827">
          <cell r="B3827">
            <v>17145651</v>
          </cell>
          <cell r="C3827" t="str">
            <v>BANDAR PULSA 2</v>
          </cell>
        </row>
        <row r="3828">
          <cell r="B3828">
            <v>17545799</v>
          </cell>
          <cell r="C3828" t="str">
            <v>Bat cell</v>
          </cell>
        </row>
        <row r="3829">
          <cell r="B3829">
            <v>17156402</v>
          </cell>
          <cell r="C3829" t="str">
            <v>BEES CELL</v>
          </cell>
        </row>
        <row r="3830">
          <cell r="B3830">
            <v>17214436</v>
          </cell>
          <cell r="C3830" t="str">
            <v>BINTANG REALOD</v>
          </cell>
        </row>
        <row r="3831">
          <cell r="B3831">
            <v>17545855</v>
          </cell>
          <cell r="C3831" t="str">
            <v>BINTANG SERVER</v>
          </cell>
        </row>
        <row r="3832">
          <cell r="B3832">
            <v>17545875</v>
          </cell>
          <cell r="C3832" t="str">
            <v>BINTANG SERVER 2</v>
          </cell>
        </row>
        <row r="3833">
          <cell r="B3833">
            <v>1287259</v>
          </cell>
          <cell r="C3833" t="str">
            <v>BIRU CELL</v>
          </cell>
        </row>
        <row r="3834">
          <cell r="B3834">
            <v>1525074</v>
          </cell>
          <cell r="C3834" t="str">
            <v>biru cell</v>
          </cell>
        </row>
        <row r="3835">
          <cell r="B3835">
            <v>17599721</v>
          </cell>
          <cell r="C3835" t="str">
            <v>Brian cell</v>
          </cell>
        </row>
        <row r="3836">
          <cell r="B3836">
            <v>1536111</v>
          </cell>
          <cell r="C3836" t="str">
            <v>buana20</v>
          </cell>
        </row>
        <row r="3837">
          <cell r="B3837">
            <v>1530001</v>
          </cell>
          <cell r="C3837" t="str">
            <v>CENTRAKOM 2</v>
          </cell>
        </row>
        <row r="3838">
          <cell r="B3838">
            <v>1530003</v>
          </cell>
          <cell r="C3838" t="str">
            <v>CENTRAKOM 4</v>
          </cell>
        </row>
        <row r="3839">
          <cell r="B3839">
            <v>1292001</v>
          </cell>
          <cell r="C3839" t="str">
            <v>CENTRAKOMUNIKA CELL</v>
          </cell>
        </row>
        <row r="3840">
          <cell r="B3840">
            <v>17595550</v>
          </cell>
          <cell r="C3840" t="str">
            <v>Chimot cell</v>
          </cell>
        </row>
        <row r="3841">
          <cell r="B3841">
            <v>17546328</v>
          </cell>
          <cell r="C3841" t="str">
            <v>Diki 2 server</v>
          </cell>
        </row>
        <row r="3842">
          <cell r="B3842">
            <v>1331725</v>
          </cell>
          <cell r="C3842" t="str">
            <v>EJA CELL</v>
          </cell>
        </row>
        <row r="3843">
          <cell r="B3843">
            <v>17554776</v>
          </cell>
          <cell r="C3843" t="str">
            <v>ELDXAKY SERVER</v>
          </cell>
        </row>
        <row r="3844">
          <cell r="B3844">
            <v>17554839</v>
          </cell>
          <cell r="C3844" t="str">
            <v>ENTAR SERVER</v>
          </cell>
        </row>
        <row r="3845">
          <cell r="B3845">
            <v>17595556</v>
          </cell>
          <cell r="C3845" t="str">
            <v>Evi celll</v>
          </cell>
        </row>
        <row r="3846">
          <cell r="B3846">
            <v>17150017</v>
          </cell>
          <cell r="C3846" t="str">
            <v>Fatra cell</v>
          </cell>
        </row>
        <row r="3847">
          <cell r="B3847">
            <v>17175308</v>
          </cell>
          <cell r="C3847" t="str">
            <v>G.A CELL</v>
          </cell>
        </row>
        <row r="3848">
          <cell r="B3848">
            <v>17140579</v>
          </cell>
          <cell r="C3848" t="str">
            <v>Garda pulsa</v>
          </cell>
        </row>
        <row r="3849">
          <cell r="B3849">
            <v>17140497</v>
          </cell>
          <cell r="C3849" t="str">
            <v>GILL STORE</v>
          </cell>
        </row>
        <row r="3850">
          <cell r="B3850">
            <v>802208</v>
          </cell>
          <cell r="C3850" t="str">
            <v>herbie</v>
          </cell>
        </row>
        <row r="3851">
          <cell r="B3851">
            <v>17545877</v>
          </cell>
          <cell r="C3851" t="str">
            <v>Imanez Server</v>
          </cell>
        </row>
        <row r="3852">
          <cell r="B3852">
            <v>17600597</v>
          </cell>
          <cell r="C3852" t="str">
            <v>Indri Cell</v>
          </cell>
        </row>
        <row r="3853">
          <cell r="B3853">
            <v>17176248</v>
          </cell>
          <cell r="C3853" t="str">
            <v>IREN CELL</v>
          </cell>
        </row>
        <row r="3854">
          <cell r="B3854">
            <v>17600470</v>
          </cell>
          <cell r="C3854" t="str">
            <v>Jaya cell</v>
          </cell>
        </row>
        <row r="3855">
          <cell r="B3855">
            <v>17547410</v>
          </cell>
          <cell r="C3855" t="str">
            <v>Jbs1 server</v>
          </cell>
        </row>
        <row r="3856">
          <cell r="B3856">
            <v>17595484</v>
          </cell>
          <cell r="C3856" t="str">
            <v>Juara cell</v>
          </cell>
        </row>
        <row r="3857">
          <cell r="B3857">
            <v>17154544</v>
          </cell>
          <cell r="C3857" t="str">
            <v>KEN CELL</v>
          </cell>
        </row>
        <row r="3858">
          <cell r="B3858">
            <v>17436418</v>
          </cell>
          <cell r="C3858" t="str">
            <v>KEN CELL 2</v>
          </cell>
        </row>
        <row r="3859">
          <cell r="B3859">
            <v>17230136</v>
          </cell>
          <cell r="C3859" t="str">
            <v>Kerin</v>
          </cell>
        </row>
        <row r="3860">
          <cell r="B3860">
            <v>17599813</v>
          </cell>
          <cell r="C3860" t="str">
            <v>KOPUSA Cell</v>
          </cell>
        </row>
        <row r="3861">
          <cell r="B3861">
            <v>17600617</v>
          </cell>
          <cell r="C3861" t="str">
            <v>KURNIAWAN CELL</v>
          </cell>
        </row>
        <row r="3862">
          <cell r="B3862">
            <v>1483019</v>
          </cell>
          <cell r="C3862" t="str">
            <v>MAESTRO CELLULAR</v>
          </cell>
        </row>
        <row r="3863">
          <cell r="B3863">
            <v>17545802</v>
          </cell>
          <cell r="C3863" t="str">
            <v>Mat cell</v>
          </cell>
        </row>
        <row r="3864">
          <cell r="B3864">
            <v>17583242</v>
          </cell>
          <cell r="C3864" t="str">
            <v>Maulana server</v>
          </cell>
        </row>
        <row r="3865">
          <cell r="B3865">
            <v>771487</v>
          </cell>
          <cell r="C3865" t="str">
            <v>MEGA CELL</v>
          </cell>
        </row>
        <row r="3866">
          <cell r="B3866">
            <v>1479444</v>
          </cell>
          <cell r="C3866" t="str">
            <v>MEGA CELLULER</v>
          </cell>
        </row>
        <row r="3867">
          <cell r="B3867">
            <v>17408511</v>
          </cell>
          <cell r="C3867" t="str">
            <v>Melinda cell</v>
          </cell>
        </row>
        <row r="3868">
          <cell r="B3868">
            <v>17595485</v>
          </cell>
          <cell r="C3868" t="str">
            <v>Mitra cell</v>
          </cell>
        </row>
        <row r="3869">
          <cell r="B3869">
            <v>17545978</v>
          </cell>
          <cell r="C3869" t="str">
            <v>Mpot server</v>
          </cell>
        </row>
        <row r="3870">
          <cell r="B3870">
            <v>17545982</v>
          </cell>
          <cell r="C3870" t="str">
            <v>Mpot server 2</v>
          </cell>
        </row>
        <row r="3871">
          <cell r="B3871">
            <v>17546333</v>
          </cell>
          <cell r="C3871" t="str">
            <v>Mustika 3 server</v>
          </cell>
        </row>
        <row r="3872">
          <cell r="B3872">
            <v>17546325</v>
          </cell>
          <cell r="C3872" t="str">
            <v>Mustika server</v>
          </cell>
        </row>
        <row r="3873">
          <cell r="B3873">
            <v>17547397</v>
          </cell>
          <cell r="C3873" t="str">
            <v>Mustika3 server</v>
          </cell>
        </row>
        <row r="3874">
          <cell r="B3874">
            <v>17545879</v>
          </cell>
          <cell r="C3874" t="str">
            <v>Nazmina Server</v>
          </cell>
        </row>
        <row r="3875">
          <cell r="B3875">
            <v>17471700</v>
          </cell>
          <cell r="C3875" t="str">
            <v>Negara cell</v>
          </cell>
        </row>
        <row r="3876">
          <cell r="B3876">
            <v>17545794</v>
          </cell>
          <cell r="C3876" t="str">
            <v>NEW RAFFI</v>
          </cell>
        </row>
        <row r="3877">
          <cell r="B3877">
            <v>17545787</v>
          </cell>
          <cell r="C3877" t="str">
            <v>NEW RAFFI RELOAD</v>
          </cell>
        </row>
        <row r="3878">
          <cell r="B3878">
            <v>17599712</v>
          </cell>
          <cell r="C3878" t="str">
            <v>Novi cell</v>
          </cell>
        </row>
        <row r="3879">
          <cell r="B3879">
            <v>17011940</v>
          </cell>
          <cell r="C3879" t="str">
            <v>PARCELL</v>
          </cell>
        </row>
        <row r="3880">
          <cell r="B3880">
            <v>17150004</v>
          </cell>
          <cell r="C3880" t="str">
            <v>Putry cell</v>
          </cell>
        </row>
        <row r="3881">
          <cell r="B3881">
            <v>17287324</v>
          </cell>
          <cell r="C3881" t="str">
            <v>R Cell</v>
          </cell>
        </row>
        <row r="3882">
          <cell r="B3882">
            <v>1293343</v>
          </cell>
          <cell r="C3882" t="str">
            <v>REY</v>
          </cell>
        </row>
        <row r="3883">
          <cell r="B3883">
            <v>17548526</v>
          </cell>
          <cell r="C3883" t="str">
            <v>Rey cell</v>
          </cell>
        </row>
        <row r="3884">
          <cell r="B3884">
            <v>17595522</v>
          </cell>
          <cell r="C3884" t="str">
            <v>Shifa Cell</v>
          </cell>
        </row>
        <row r="3885">
          <cell r="B3885">
            <v>17157892</v>
          </cell>
          <cell r="C3885" t="str">
            <v>SILVA CELL</v>
          </cell>
        </row>
        <row r="3886">
          <cell r="B3886">
            <v>1483016</v>
          </cell>
          <cell r="C3886" t="str">
            <v>STARPHONE 2 CELL</v>
          </cell>
        </row>
        <row r="3887">
          <cell r="B3887">
            <v>1340521</v>
          </cell>
          <cell r="C3887" t="str">
            <v>SUARA HATI</v>
          </cell>
        </row>
        <row r="3888">
          <cell r="B3888">
            <v>17011090</v>
          </cell>
          <cell r="C3888" t="str">
            <v>Team Cell</v>
          </cell>
        </row>
        <row r="3889">
          <cell r="B3889">
            <v>17595521</v>
          </cell>
          <cell r="C3889" t="str">
            <v>Tiara cell</v>
          </cell>
        </row>
        <row r="3890">
          <cell r="B3890">
            <v>17548457</v>
          </cell>
          <cell r="C3890" t="str">
            <v>VANS CELL</v>
          </cell>
        </row>
        <row r="3891">
          <cell r="B3891">
            <v>17304565</v>
          </cell>
          <cell r="C3891" t="str">
            <v>VINAN KOMUNIKA</v>
          </cell>
        </row>
        <row r="3892">
          <cell r="B3892">
            <v>17600602</v>
          </cell>
          <cell r="C3892" t="str">
            <v>Warung Sakinah</v>
          </cell>
        </row>
        <row r="3893">
          <cell r="B3893">
            <v>17157923</v>
          </cell>
          <cell r="C3893" t="str">
            <v>Win cell</v>
          </cell>
        </row>
        <row r="3894">
          <cell r="B3894">
            <v>17600629</v>
          </cell>
          <cell r="C3894" t="str">
            <v>ZAHRA CELL</v>
          </cell>
        </row>
        <row r="3895">
          <cell r="B3895">
            <v>17122400</v>
          </cell>
          <cell r="C3895" t="str">
            <v>Zakaria CELL</v>
          </cell>
        </row>
        <row r="3896">
          <cell r="B3896">
            <v>832624</v>
          </cell>
          <cell r="C3896" t="str">
            <v>ZODY CELL</v>
          </cell>
        </row>
        <row r="3897">
          <cell r="B3897">
            <v>1328972</v>
          </cell>
          <cell r="C3897" t="str">
            <v>ZODY CELL</v>
          </cell>
        </row>
        <row r="3898">
          <cell r="B3898">
            <v>17588307</v>
          </cell>
          <cell r="C3898" t="str">
            <v>Fath cell</v>
          </cell>
        </row>
        <row r="3899">
          <cell r="B3899">
            <v>17588390</v>
          </cell>
          <cell r="C3899" t="str">
            <v>IRSAN cell</v>
          </cell>
        </row>
        <row r="3900">
          <cell r="B3900">
            <v>17357401</v>
          </cell>
          <cell r="C3900" t="str">
            <v>Nidi 2</v>
          </cell>
        </row>
        <row r="3901">
          <cell r="B3901">
            <v>17357476</v>
          </cell>
          <cell r="C3901" t="str">
            <v>Nidi 3</v>
          </cell>
        </row>
        <row r="3902">
          <cell r="B3902">
            <v>17616275</v>
          </cell>
          <cell r="C3902" t="str">
            <v>LUCKY CELL</v>
          </cell>
        </row>
        <row r="3903">
          <cell r="B3903">
            <v>17616137</v>
          </cell>
          <cell r="C3903" t="str">
            <v>sobat cell</v>
          </cell>
        </row>
        <row r="3904">
          <cell r="B3904">
            <v>17612095</v>
          </cell>
          <cell r="C3904" t="str">
            <v>Bintang cell</v>
          </cell>
        </row>
        <row r="3905">
          <cell r="B3905">
            <v>17616218</v>
          </cell>
          <cell r="C3905" t="str">
            <v>Iso Cell</v>
          </cell>
        </row>
        <row r="3906">
          <cell r="B3906">
            <v>17612079</v>
          </cell>
          <cell r="C3906" t="str">
            <v>Azifa Cell</v>
          </cell>
        </row>
        <row r="3907">
          <cell r="B3907">
            <v>17616382</v>
          </cell>
          <cell r="C3907" t="str">
            <v>Nasution</v>
          </cell>
        </row>
        <row r="3908">
          <cell r="B3908">
            <v>17616254</v>
          </cell>
          <cell r="C3908" t="str">
            <v>Kenzie cell</v>
          </cell>
        </row>
        <row r="3909">
          <cell r="B3909">
            <v>17616521</v>
          </cell>
          <cell r="C3909" t="str">
            <v>Aden server</v>
          </cell>
        </row>
        <row r="3910">
          <cell r="B3910">
            <v>17615820</v>
          </cell>
          <cell r="C3910" t="str">
            <v>Ghea cell</v>
          </cell>
        </row>
        <row r="3911">
          <cell r="B3911">
            <v>17616172</v>
          </cell>
          <cell r="C3911" t="str">
            <v>Vivi cell</v>
          </cell>
        </row>
        <row r="3912">
          <cell r="B3912">
            <v>17616324</v>
          </cell>
          <cell r="C3912" t="str">
            <v>Hasna Cell</v>
          </cell>
        </row>
        <row r="3913">
          <cell r="B3913">
            <v>17616232</v>
          </cell>
          <cell r="C3913" t="str">
            <v>88 Cell</v>
          </cell>
        </row>
        <row r="3914">
          <cell r="B3914">
            <v>17612424</v>
          </cell>
          <cell r="C3914" t="str">
            <v>UCOK Cell</v>
          </cell>
        </row>
        <row r="3915">
          <cell r="B3915">
            <v>17612409</v>
          </cell>
          <cell r="C3915" t="str">
            <v>Ade Cell</v>
          </cell>
        </row>
        <row r="3916">
          <cell r="B3916">
            <v>17616389</v>
          </cell>
          <cell r="C3916" t="str">
            <v>Barokah</v>
          </cell>
        </row>
        <row r="3917">
          <cell r="B3917">
            <v>17616388</v>
          </cell>
          <cell r="C3917" t="str">
            <v>Aulia</v>
          </cell>
        </row>
        <row r="3918">
          <cell r="B3918">
            <v>17616387</v>
          </cell>
          <cell r="C3918" t="str">
            <v>Dafa cell</v>
          </cell>
        </row>
        <row r="3919">
          <cell r="B3919">
            <v>17616342</v>
          </cell>
          <cell r="C3919" t="str">
            <v>Deon cell</v>
          </cell>
        </row>
        <row r="3920">
          <cell r="B3920">
            <v>17616247</v>
          </cell>
          <cell r="C3920" t="str">
            <v>Jaya store</v>
          </cell>
        </row>
        <row r="3921">
          <cell r="B3921">
            <v>17615853</v>
          </cell>
          <cell r="C3921" t="str">
            <v>Basecamp cell</v>
          </cell>
        </row>
        <row r="3922">
          <cell r="B3922">
            <v>17203950</v>
          </cell>
          <cell r="C3922" t="str">
            <v>D Raffa cell</v>
          </cell>
        </row>
        <row r="3923">
          <cell r="B3923">
            <v>17235840</v>
          </cell>
          <cell r="C3923" t="str">
            <v>Alvin Cell</v>
          </cell>
        </row>
        <row r="3924">
          <cell r="B3924">
            <v>17245148</v>
          </cell>
          <cell r="C3924" t="str">
            <v>Biru cell</v>
          </cell>
        </row>
        <row r="3925">
          <cell r="B3925">
            <v>932924</v>
          </cell>
          <cell r="C3925" t="str">
            <v>card cell</v>
          </cell>
        </row>
        <row r="3926">
          <cell r="B3926">
            <v>17140034</v>
          </cell>
          <cell r="C3926" t="str">
            <v>CENTRAKOMUNIKA</v>
          </cell>
        </row>
        <row r="3927">
          <cell r="B3927">
            <v>1292577</v>
          </cell>
          <cell r="C3927" t="str">
            <v>CHU-X CELL</v>
          </cell>
        </row>
        <row r="3928">
          <cell r="B3928">
            <v>661596</v>
          </cell>
          <cell r="C3928" t="str">
            <v>INDRA CELL</v>
          </cell>
        </row>
        <row r="3929">
          <cell r="B3929">
            <v>1287536</v>
          </cell>
          <cell r="C3929" t="str">
            <v>IVAY CELL</v>
          </cell>
        </row>
        <row r="3930">
          <cell r="B3930">
            <v>17267451</v>
          </cell>
          <cell r="C3930" t="str">
            <v>LIA CELL</v>
          </cell>
        </row>
        <row r="3931">
          <cell r="B3931">
            <v>17245673</v>
          </cell>
          <cell r="C3931" t="str">
            <v>Mpot 3 cell</v>
          </cell>
        </row>
        <row r="3932">
          <cell r="B3932">
            <v>17244736</v>
          </cell>
          <cell r="C3932" t="str">
            <v>Nadira Cell</v>
          </cell>
        </row>
        <row r="3933">
          <cell r="B3933">
            <v>17030388</v>
          </cell>
          <cell r="C3933" t="str">
            <v>Rehan Cell</v>
          </cell>
        </row>
        <row r="3934">
          <cell r="B3934">
            <v>17234337</v>
          </cell>
          <cell r="C3934" t="str">
            <v>RERE CELL</v>
          </cell>
        </row>
        <row r="3935">
          <cell r="B3935">
            <v>17256761</v>
          </cell>
          <cell r="C3935" t="str">
            <v>Riyadh cell</v>
          </cell>
        </row>
        <row r="3936">
          <cell r="B3936">
            <v>17190656</v>
          </cell>
          <cell r="C3936" t="str">
            <v>Sygma1</v>
          </cell>
        </row>
        <row r="3937">
          <cell r="B3937">
            <v>17431124</v>
          </cell>
          <cell r="C3937" t="str">
            <v>ZX CELL</v>
          </cell>
        </row>
        <row r="3938">
          <cell r="B3938">
            <v>17173798</v>
          </cell>
          <cell r="C3938" t="str">
            <v>USENG CELL</v>
          </cell>
        </row>
        <row r="3939">
          <cell r="B3939">
            <v>17196594</v>
          </cell>
          <cell r="C3939" t="str">
            <v>Aminah cell</v>
          </cell>
        </row>
        <row r="3940">
          <cell r="B3940">
            <v>1431292</v>
          </cell>
          <cell r="C3940" t="str">
            <v>OBRAL CELL</v>
          </cell>
        </row>
        <row r="3941">
          <cell r="B3941">
            <v>17520298</v>
          </cell>
          <cell r="C3941" t="str">
            <v>AFFAN CELL</v>
          </cell>
        </row>
        <row r="3942">
          <cell r="B3942">
            <v>17176803</v>
          </cell>
          <cell r="C3942" t="str">
            <v>Elena Cell</v>
          </cell>
        </row>
        <row r="3943">
          <cell r="B3943">
            <v>17318694</v>
          </cell>
          <cell r="C3943" t="str">
            <v>Maul cell</v>
          </cell>
        </row>
        <row r="3944">
          <cell r="B3944">
            <v>638309</v>
          </cell>
          <cell r="C3944" t="str">
            <v>RAPLY CELL</v>
          </cell>
        </row>
        <row r="3945">
          <cell r="B3945">
            <v>17648143</v>
          </cell>
          <cell r="C3945" t="str">
            <v>YUNUS CELL</v>
          </cell>
        </row>
        <row r="3946">
          <cell r="B3946">
            <v>17468433</v>
          </cell>
          <cell r="C3946" t="str">
            <v>Image 2 cell</v>
          </cell>
        </row>
        <row r="3947">
          <cell r="B3947">
            <v>17588223</v>
          </cell>
          <cell r="C3947" t="str">
            <v>ABAH cell</v>
          </cell>
        </row>
        <row r="3948">
          <cell r="B3948">
            <v>17448057</v>
          </cell>
          <cell r="C3948" t="str">
            <v>Coffee Phone Cellular</v>
          </cell>
        </row>
        <row r="3949">
          <cell r="B3949">
            <v>17232866</v>
          </cell>
          <cell r="C3949" t="str">
            <v>DADI CELL</v>
          </cell>
        </row>
        <row r="3950">
          <cell r="B3950">
            <v>17253233</v>
          </cell>
          <cell r="C3950" t="str">
            <v>DEKS CELL</v>
          </cell>
        </row>
        <row r="3951">
          <cell r="B3951">
            <v>1292575</v>
          </cell>
          <cell r="C3951" t="str">
            <v>IKHSAN CELL</v>
          </cell>
        </row>
        <row r="3952">
          <cell r="B3952">
            <v>17215941</v>
          </cell>
          <cell r="C3952" t="str">
            <v>jaya cell</v>
          </cell>
        </row>
        <row r="3953">
          <cell r="B3953">
            <v>17235766</v>
          </cell>
          <cell r="C3953" t="str">
            <v>JIHAD CELL</v>
          </cell>
        </row>
        <row r="3954">
          <cell r="B3954">
            <v>17466926</v>
          </cell>
          <cell r="C3954" t="str">
            <v>LATHIF CELL 2</v>
          </cell>
        </row>
        <row r="3955">
          <cell r="B3955">
            <v>17242506</v>
          </cell>
          <cell r="C3955" t="str">
            <v>LESTARI CELL</v>
          </cell>
        </row>
        <row r="3956">
          <cell r="B3956">
            <v>17472257</v>
          </cell>
          <cell r="C3956" t="str">
            <v>Meluncur</v>
          </cell>
        </row>
        <row r="3957">
          <cell r="B3957">
            <v>17191730</v>
          </cell>
          <cell r="C3957" t="str">
            <v>Nazma Cell</v>
          </cell>
        </row>
        <row r="3958">
          <cell r="B3958">
            <v>17193350</v>
          </cell>
          <cell r="C3958" t="str">
            <v>Peto Cell</v>
          </cell>
        </row>
        <row r="3959">
          <cell r="B3959">
            <v>17472342</v>
          </cell>
          <cell r="C3959" t="str">
            <v>Pribe</v>
          </cell>
        </row>
        <row r="3960">
          <cell r="B3960">
            <v>17017745</v>
          </cell>
          <cell r="C3960" t="str">
            <v>Qthaza Cell</v>
          </cell>
        </row>
        <row r="3961">
          <cell r="B3961">
            <v>17199660</v>
          </cell>
          <cell r="C3961" t="str">
            <v>RKP cell</v>
          </cell>
        </row>
        <row r="3962">
          <cell r="B3962">
            <v>1387294</v>
          </cell>
          <cell r="C3962" t="str">
            <v>SHOPIQUA WATER</v>
          </cell>
        </row>
        <row r="3963">
          <cell r="B3963">
            <v>1293556</v>
          </cell>
          <cell r="C3963" t="str">
            <v>SLAAWI CELL</v>
          </cell>
        </row>
        <row r="3964">
          <cell r="B3964">
            <v>17207038</v>
          </cell>
          <cell r="C3964" t="str">
            <v>SOAD Cell</v>
          </cell>
        </row>
        <row r="3965">
          <cell r="B3965">
            <v>17232906</v>
          </cell>
          <cell r="C3965" t="str">
            <v>STAR CELL</v>
          </cell>
        </row>
        <row r="3966">
          <cell r="B3966">
            <v>17403842</v>
          </cell>
          <cell r="C3966" t="str">
            <v>ART CORNER CELL</v>
          </cell>
        </row>
        <row r="3967">
          <cell r="B3967">
            <v>17562648</v>
          </cell>
          <cell r="C3967" t="str">
            <v>SHAKA STORE 2</v>
          </cell>
        </row>
        <row r="3968">
          <cell r="B3968">
            <v>17224396</v>
          </cell>
          <cell r="C3968" t="str">
            <v>TEMA CELL</v>
          </cell>
        </row>
        <row r="3969">
          <cell r="B3969">
            <v>17257882</v>
          </cell>
          <cell r="C3969" t="str">
            <v>ALDO KIDS STORE</v>
          </cell>
        </row>
        <row r="3970">
          <cell r="B3970">
            <v>17588211</v>
          </cell>
          <cell r="C3970" t="str">
            <v>Elpiji</v>
          </cell>
        </row>
        <row r="3971">
          <cell r="B3971">
            <v>17472251</v>
          </cell>
          <cell r="C3971" t="str">
            <v>Hayu</v>
          </cell>
        </row>
        <row r="3972">
          <cell r="B3972">
            <v>17257655</v>
          </cell>
          <cell r="C3972" t="str">
            <v>nur fadillah</v>
          </cell>
        </row>
        <row r="3973">
          <cell r="B3973">
            <v>17584718</v>
          </cell>
          <cell r="C3973" t="str">
            <v>RVR cell</v>
          </cell>
        </row>
        <row r="3974">
          <cell r="B3974">
            <v>1359722</v>
          </cell>
          <cell r="C3974" t="str">
            <v>SUPER CELL</v>
          </cell>
        </row>
        <row r="3975">
          <cell r="B3975">
            <v>17799239</v>
          </cell>
          <cell r="C3975" t="str">
            <v>AMMA2 cell</v>
          </cell>
        </row>
        <row r="3976">
          <cell r="B3976">
            <v>17748437</v>
          </cell>
          <cell r="C3976" t="str">
            <v>Angkasatu cell</v>
          </cell>
        </row>
        <row r="3977">
          <cell r="B3977">
            <v>1553392</v>
          </cell>
          <cell r="C3977" t="str">
            <v>anima cell</v>
          </cell>
        </row>
        <row r="3978">
          <cell r="B3978">
            <v>1379669</v>
          </cell>
          <cell r="C3978" t="str">
            <v>ANIRA CELL</v>
          </cell>
        </row>
        <row r="3979">
          <cell r="B3979">
            <v>17387105</v>
          </cell>
          <cell r="C3979" t="str">
            <v>Anissa cell</v>
          </cell>
        </row>
        <row r="3980">
          <cell r="B3980">
            <v>17781858</v>
          </cell>
          <cell r="C3980" t="str">
            <v>ARKA cell</v>
          </cell>
        </row>
        <row r="3981">
          <cell r="B3981">
            <v>738958</v>
          </cell>
          <cell r="C3981" t="str">
            <v>Ayah cell</v>
          </cell>
        </row>
        <row r="3982">
          <cell r="B3982">
            <v>17778800</v>
          </cell>
          <cell r="C3982" t="str">
            <v>Aye cell</v>
          </cell>
        </row>
        <row r="3983">
          <cell r="B3983">
            <v>921277</v>
          </cell>
          <cell r="C3983" t="str">
            <v>azzuri</v>
          </cell>
        </row>
        <row r="3984">
          <cell r="B3984">
            <v>17287688</v>
          </cell>
          <cell r="C3984" t="str">
            <v>BERKAH Cell</v>
          </cell>
        </row>
        <row r="3985">
          <cell r="B3985">
            <v>17787497</v>
          </cell>
          <cell r="C3985" t="str">
            <v>Bond Cell</v>
          </cell>
        </row>
        <row r="3986">
          <cell r="B3986">
            <v>586513</v>
          </cell>
          <cell r="C3986" t="str">
            <v>breng cell</v>
          </cell>
        </row>
        <row r="3987">
          <cell r="B3987">
            <v>17030443</v>
          </cell>
          <cell r="C3987" t="str">
            <v>Byantara cell</v>
          </cell>
        </row>
        <row r="3988">
          <cell r="B3988">
            <v>17473000</v>
          </cell>
          <cell r="C3988" t="str">
            <v>Corona cell</v>
          </cell>
        </row>
        <row r="3989">
          <cell r="B3989">
            <v>1530114</v>
          </cell>
          <cell r="C3989" t="str">
            <v>cr-5 2</v>
          </cell>
        </row>
        <row r="3990">
          <cell r="B3990">
            <v>1382687</v>
          </cell>
          <cell r="C3990" t="str">
            <v>CR-5 SELABINTANA</v>
          </cell>
        </row>
        <row r="3991">
          <cell r="B3991">
            <v>17378223</v>
          </cell>
          <cell r="C3991" t="str">
            <v>Daffa cell</v>
          </cell>
        </row>
        <row r="3992">
          <cell r="B3992">
            <v>17745484</v>
          </cell>
          <cell r="C3992" t="str">
            <v>DAPUR store</v>
          </cell>
        </row>
        <row r="3993">
          <cell r="B3993">
            <v>17780864</v>
          </cell>
          <cell r="C3993" t="str">
            <v>DAVIN cell</v>
          </cell>
        </row>
        <row r="3994">
          <cell r="B3994">
            <v>17663153</v>
          </cell>
          <cell r="C3994" t="str">
            <v>Qilla Cell</v>
          </cell>
        </row>
        <row r="3995">
          <cell r="B3995">
            <v>17473331</v>
          </cell>
          <cell r="C3995" t="str">
            <v>Andhika Cell</v>
          </cell>
        </row>
        <row r="3996">
          <cell r="B3996">
            <v>17443907</v>
          </cell>
          <cell r="C3996" t="str">
            <v>Linawati Cell</v>
          </cell>
        </row>
        <row r="3997">
          <cell r="B3997">
            <v>17786819</v>
          </cell>
          <cell r="C3997" t="str">
            <v>De Latief Store</v>
          </cell>
        </row>
        <row r="3998">
          <cell r="B3998">
            <v>17736936</v>
          </cell>
          <cell r="C3998" t="str">
            <v>DOEN CELL</v>
          </cell>
        </row>
        <row r="3999">
          <cell r="B3999">
            <v>17481855</v>
          </cell>
          <cell r="C3999" t="str">
            <v>Kinan cell</v>
          </cell>
        </row>
        <row r="4000">
          <cell r="B4000">
            <v>804651</v>
          </cell>
          <cell r="C4000" t="str">
            <v>salsa cell</v>
          </cell>
        </row>
        <row r="4001">
          <cell r="B4001">
            <v>17727904</v>
          </cell>
          <cell r="C4001" t="str">
            <v>DSQ Cell</v>
          </cell>
        </row>
        <row r="4002">
          <cell r="B4002">
            <v>17481845</v>
          </cell>
          <cell r="C4002" t="str">
            <v>Dzaky cell</v>
          </cell>
        </row>
        <row r="4003">
          <cell r="B4003">
            <v>1553756</v>
          </cell>
          <cell r="C4003" t="str">
            <v>DZIKRI CELL</v>
          </cell>
        </row>
        <row r="4004">
          <cell r="B4004">
            <v>1555823</v>
          </cell>
          <cell r="C4004" t="str">
            <v>edit cell</v>
          </cell>
        </row>
        <row r="4005">
          <cell r="B4005">
            <v>17018539</v>
          </cell>
          <cell r="C4005" t="str">
            <v>AFRIAN CELL</v>
          </cell>
        </row>
        <row r="4006">
          <cell r="B4006">
            <v>17263016</v>
          </cell>
          <cell r="C4006" t="str">
            <v>BERKAH CELL</v>
          </cell>
        </row>
        <row r="4007">
          <cell r="B4007">
            <v>17150486</v>
          </cell>
          <cell r="C4007" t="str">
            <v>Brotherpulsa cell</v>
          </cell>
        </row>
        <row r="4008">
          <cell r="B4008">
            <v>17258254</v>
          </cell>
          <cell r="C4008" t="str">
            <v>DITA CELL</v>
          </cell>
        </row>
        <row r="4009">
          <cell r="B4009">
            <v>17330506</v>
          </cell>
          <cell r="C4009" t="str">
            <v>Intan cell</v>
          </cell>
        </row>
        <row r="4010">
          <cell r="B4010">
            <v>17355008</v>
          </cell>
          <cell r="C4010" t="str">
            <v>NZ CELL</v>
          </cell>
        </row>
        <row r="4011">
          <cell r="B4011">
            <v>17204719</v>
          </cell>
          <cell r="C4011" t="str">
            <v>Ocess cell</v>
          </cell>
        </row>
        <row r="4012">
          <cell r="B4012">
            <v>1483099</v>
          </cell>
          <cell r="C4012" t="str">
            <v>PONDOK GALERY</v>
          </cell>
        </row>
        <row r="4013">
          <cell r="B4013">
            <v>17152272</v>
          </cell>
          <cell r="C4013" t="str">
            <v>SINDANG CELL</v>
          </cell>
        </row>
        <row r="4014">
          <cell r="B4014">
            <v>1559197</v>
          </cell>
          <cell r="C4014" t="str">
            <v>skip selulr</v>
          </cell>
        </row>
        <row r="4015">
          <cell r="B4015">
            <v>17258758</v>
          </cell>
          <cell r="C4015" t="str">
            <v>STEVI CELL</v>
          </cell>
        </row>
        <row r="4016">
          <cell r="B4016">
            <v>1333499</v>
          </cell>
          <cell r="C4016" t="str">
            <v>ZAKI CELL</v>
          </cell>
        </row>
        <row r="4017">
          <cell r="B4017">
            <v>17171285</v>
          </cell>
          <cell r="C4017" t="str">
            <v>MUTIARA CELL</v>
          </cell>
        </row>
        <row r="4018">
          <cell r="B4018">
            <v>17307379</v>
          </cell>
          <cell r="C4018" t="str">
            <v>Nazla 2 cell</v>
          </cell>
        </row>
        <row r="4019">
          <cell r="B4019">
            <v>17258819</v>
          </cell>
          <cell r="C4019" t="str">
            <v>One cell</v>
          </cell>
        </row>
        <row r="4020">
          <cell r="B4020">
            <v>17588386</v>
          </cell>
          <cell r="C4020" t="str">
            <v>333 CELL</v>
          </cell>
        </row>
        <row r="4021">
          <cell r="B4021">
            <v>17408413</v>
          </cell>
          <cell r="C4021" t="str">
            <v>Alfarizky cell</v>
          </cell>
        </row>
        <row r="4022">
          <cell r="B4022">
            <v>17377070</v>
          </cell>
          <cell r="C4022" t="str">
            <v>BIG store</v>
          </cell>
        </row>
        <row r="4023">
          <cell r="B4023">
            <v>17588350</v>
          </cell>
          <cell r="C4023" t="str">
            <v>DD FLAZZ</v>
          </cell>
        </row>
        <row r="4024">
          <cell r="B4024">
            <v>500782</v>
          </cell>
          <cell r="C4024" t="str">
            <v>EXCEL CELL</v>
          </cell>
        </row>
        <row r="4025">
          <cell r="B4025">
            <v>17101006</v>
          </cell>
          <cell r="C4025" t="str">
            <v>firda 2</v>
          </cell>
        </row>
        <row r="4026">
          <cell r="B4026">
            <v>1287476</v>
          </cell>
          <cell r="C4026" t="str">
            <v>FIRDA CELL</v>
          </cell>
        </row>
        <row r="4027">
          <cell r="B4027">
            <v>17151973</v>
          </cell>
          <cell r="C4027" t="str">
            <v>PANJI WARDAH ZHAFIRA CELL</v>
          </cell>
        </row>
        <row r="4028">
          <cell r="B4028">
            <v>17600600</v>
          </cell>
          <cell r="C4028" t="str">
            <v>RADIKA CELL</v>
          </cell>
        </row>
        <row r="4029">
          <cell r="B4029">
            <v>17600604</v>
          </cell>
          <cell r="C4029" t="str">
            <v>RAKA CELL</v>
          </cell>
        </row>
        <row r="4030">
          <cell r="B4030">
            <v>1553897</v>
          </cell>
          <cell r="C4030" t="str">
            <v>SALWA CELL</v>
          </cell>
        </row>
        <row r="4031">
          <cell r="B4031">
            <v>1573320</v>
          </cell>
          <cell r="C4031" t="str">
            <v>SONIC RELOAD n KUOTA</v>
          </cell>
        </row>
        <row r="4032">
          <cell r="B4032">
            <v>17218998</v>
          </cell>
          <cell r="C4032" t="str">
            <v>V99</v>
          </cell>
        </row>
        <row r="4033">
          <cell r="B4033">
            <v>17435331</v>
          </cell>
          <cell r="C4033" t="str">
            <v>Wandi cell</v>
          </cell>
        </row>
        <row r="4034">
          <cell r="B4034">
            <v>17588379</v>
          </cell>
          <cell r="C4034" t="str">
            <v>Zenith cell</v>
          </cell>
        </row>
        <row r="4035">
          <cell r="B4035">
            <v>17460603</v>
          </cell>
          <cell r="C4035" t="str">
            <v>Azka cell</v>
          </cell>
        </row>
        <row r="4036">
          <cell r="B4036">
            <v>17460075</v>
          </cell>
          <cell r="C4036" t="str">
            <v>QIYYA CELL</v>
          </cell>
        </row>
        <row r="4037">
          <cell r="B4037">
            <v>17158491</v>
          </cell>
          <cell r="C4037" t="str">
            <v>Delisa</v>
          </cell>
        </row>
        <row r="4038">
          <cell r="B4038">
            <v>17255981</v>
          </cell>
          <cell r="C4038" t="str">
            <v>HILAL CELL</v>
          </cell>
        </row>
        <row r="4039">
          <cell r="B4039">
            <v>17221317</v>
          </cell>
          <cell r="C4039" t="str">
            <v>Min cell</v>
          </cell>
        </row>
        <row r="4040">
          <cell r="B4040">
            <v>17404909</v>
          </cell>
          <cell r="C4040" t="str">
            <v>SILLA CELL</v>
          </cell>
        </row>
        <row r="4041">
          <cell r="B4041">
            <v>17365154</v>
          </cell>
          <cell r="C4041" t="str">
            <v>ABIYU CELL</v>
          </cell>
        </row>
        <row r="4042">
          <cell r="B4042">
            <v>17133597</v>
          </cell>
          <cell r="C4042" t="str">
            <v>Brother</v>
          </cell>
        </row>
        <row r="4043">
          <cell r="B4043">
            <v>1383647</v>
          </cell>
          <cell r="C4043" t="str">
            <v>ECHA CELL</v>
          </cell>
        </row>
        <row r="4044">
          <cell r="B4044">
            <v>17545870</v>
          </cell>
          <cell r="C4044" t="str">
            <v>Green server</v>
          </cell>
        </row>
        <row r="4045">
          <cell r="B4045">
            <v>17638881</v>
          </cell>
          <cell r="C4045" t="str">
            <v>RS STORE 2</v>
          </cell>
        </row>
        <row r="4046">
          <cell r="B4046">
            <v>17221592</v>
          </cell>
          <cell r="C4046" t="str">
            <v>Diki cell</v>
          </cell>
        </row>
        <row r="4047">
          <cell r="B4047">
            <v>17471819</v>
          </cell>
          <cell r="C4047" t="str">
            <v>Calista Cell</v>
          </cell>
        </row>
        <row r="4048">
          <cell r="B4048">
            <v>17139198</v>
          </cell>
          <cell r="C4048" t="str">
            <v>CELL SIUS</v>
          </cell>
        </row>
        <row r="4049">
          <cell r="B4049">
            <v>17185313</v>
          </cell>
          <cell r="C4049" t="str">
            <v>F2 cell</v>
          </cell>
        </row>
        <row r="4050">
          <cell r="B4050">
            <v>17221671</v>
          </cell>
          <cell r="C4050" t="str">
            <v>Kk cell</v>
          </cell>
        </row>
        <row r="4051">
          <cell r="B4051">
            <v>17259154</v>
          </cell>
          <cell r="C4051" t="str">
            <v>Arsen cell</v>
          </cell>
        </row>
        <row r="4052">
          <cell r="B4052">
            <v>913983</v>
          </cell>
          <cell r="C4052" t="str">
            <v>BINJAY 1</v>
          </cell>
        </row>
        <row r="4053">
          <cell r="B4053">
            <v>17588312</v>
          </cell>
          <cell r="C4053" t="str">
            <v>Binjay 2</v>
          </cell>
        </row>
        <row r="4054">
          <cell r="B4054">
            <v>17139554</v>
          </cell>
          <cell r="C4054" t="str">
            <v>CS STORE</v>
          </cell>
        </row>
        <row r="4055">
          <cell r="B4055">
            <v>17139186</v>
          </cell>
          <cell r="C4055" t="str">
            <v>DNA CELL</v>
          </cell>
        </row>
        <row r="4056">
          <cell r="B4056">
            <v>17212321</v>
          </cell>
          <cell r="C4056" t="str">
            <v>Egi cell</v>
          </cell>
        </row>
        <row r="4057">
          <cell r="B4057">
            <v>17139979</v>
          </cell>
          <cell r="C4057" t="str">
            <v>JBS cell</v>
          </cell>
        </row>
        <row r="4058">
          <cell r="B4058">
            <v>519502</v>
          </cell>
          <cell r="C4058" t="str">
            <v>LEO CELL</v>
          </cell>
        </row>
        <row r="4059">
          <cell r="B4059">
            <v>17011551</v>
          </cell>
          <cell r="C4059" t="str">
            <v>RD CELL</v>
          </cell>
        </row>
        <row r="4060">
          <cell r="B4060">
            <v>17590853</v>
          </cell>
          <cell r="C4060" t="str">
            <v>Zianka</v>
          </cell>
        </row>
        <row r="4061">
          <cell r="B4061">
            <v>17663191</v>
          </cell>
          <cell r="C4061" t="str">
            <v>MAWAR CELL</v>
          </cell>
        </row>
        <row r="4062">
          <cell r="B4062">
            <v>17480816</v>
          </cell>
          <cell r="C4062" t="str">
            <v>Rafka cell</v>
          </cell>
        </row>
        <row r="4063">
          <cell r="B4063">
            <v>17680252</v>
          </cell>
          <cell r="C4063" t="str">
            <v>TOKO ILHAM</v>
          </cell>
        </row>
        <row r="4064">
          <cell r="B4064">
            <v>17711385</v>
          </cell>
          <cell r="C4064" t="str">
            <v>EdMalk Cell</v>
          </cell>
        </row>
        <row r="4065">
          <cell r="B4065">
            <v>17408723</v>
          </cell>
          <cell r="C4065" t="str">
            <v>PEKCAY CELL</v>
          </cell>
        </row>
        <row r="4066">
          <cell r="B4066">
            <v>921433</v>
          </cell>
          <cell r="C4066" t="str">
            <v>Leo 2</v>
          </cell>
        </row>
        <row r="4067">
          <cell r="B4067">
            <v>17133370</v>
          </cell>
          <cell r="C4067" t="str">
            <v>Sahabat cell</v>
          </cell>
        </row>
        <row r="4068">
          <cell r="B4068">
            <v>17201121</v>
          </cell>
          <cell r="C4068" t="str">
            <v>GHATAN CELL</v>
          </cell>
        </row>
        <row r="4069">
          <cell r="B4069">
            <v>17460667</v>
          </cell>
          <cell r="C4069" t="str">
            <v>AKM cell</v>
          </cell>
        </row>
        <row r="4070">
          <cell r="B4070">
            <v>17459858</v>
          </cell>
          <cell r="C4070" t="str">
            <v>Kiss cell</v>
          </cell>
        </row>
        <row r="4071">
          <cell r="B4071">
            <v>17445110</v>
          </cell>
          <cell r="C4071" t="str">
            <v>BERKAH CELL</v>
          </cell>
        </row>
        <row r="4072">
          <cell r="B4072">
            <v>17172404</v>
          </cell>
          <cell r="C4072" t="str">
            <v>AZZABAR CELL</v>
          </cell>
        </row>
        <row r="4073">
          <cell r="B4073">
            <v>17272515</v>
          </cell>
          <cell r="C4073" t="str">
            <v>HASUNA CELL</v>
          </cell>
        </row>
        <row r="4074">
          <cell r="B4074">
            <v>17468709</v>
          </cell>
          <cell r="C4074" t="str">
            <v>LA store</v>
          </cell>
        </row>
        <row r="4075">
          <cell r="B4075">
            <v>17029809</v>
          </cell>
          <cell r="C4075" t="str">
            <v>RAFA CELL</v>
          </cell>
        </row>
        <row r="4076">
          <cell r="B4076">
            <v>17434914</v>
          </cell>
          <cell r="C4076" t="str">
            <v>Teduh cell</v>
          </cell>
        </row>
        <row r="4077">
          <cell r="B4077">
            <v>17471799</v>
          </cell>
          <cell r="C4077" t="str">
            <v>Ummi cell</v>
          </cell>
        </row>
        <row r="4078">
          <cell r="B4078">
            <v>17388718</v>
          </cell>
          <cell r="C4078" t="str">
            <v>VERONICA 6</v>
          </cell>
        </row>
        <row r="4079">
          <cell r="B4079">
            <v>17402491</v>
          </cell>
          <cell r="C4079" t="str">
            <v>YANS CELL</v>
          </cell>
        </row>
        <row r="4080">
          <cell r="B4080">
            <v>17782522</v>
          </cell>
          <cell r="C4080" t="str">
            <v>Araffi cell</v>
          </cell>
        </row>
        <row r="4081">
          <cell r="B4081">
            <v>17673366</v>
          </cell>
          <cell r="C4081" t="str">
            <v>WP_warung indra jaya</v>
          </cell>
        </row>
        <row r="4082">
          <cell r="B4082">
            <v>17778896</v>
          </cell>
          <cell r="C4082" t="str">
            <v>ARASH CELL</v>
          </cell>
        </row>
        <row r="4083">
          <cell r="B4083">
            <v>17259505</v>
          </cell>
          <cell r="C4083" t="str">
            <v>Art Corner 2</v>
          </cell>
        </row>
        <row r="4084">
          <cell r="B4084">
            <v>17784657</v>
          </cell>
          <cell r="C4084" t="str">
            <v>Asa Cell</v>
          </cell>
        </row>
        <row r="4085">
          <cell r="B4085">
            <v>1293563</v>
          </cell>
          <cell r="C4085" t="str">
            <v>AUDIO CELL</v>
          </cell>
        </row>
        <row r="4086">
          <cell r="B4086">
            <v>1319402</v>
          </cell>
          <cell r="C4086" t="str">
            <v>AW .COM</v>
          </cell>
        </row>
        <row r="4087">
          <cell r="B4087">
            <v>1380278</v>
          </cell>
          <cell r="C4087" t="str">
            <v>BOZESS</v>
          </cell>
        </row>
        <row r="4088">
          <cell r="B4088">
            <v>613029</v>
          </cell>
          <cell r="C4088" t="str">
            <v>ayonk cell</v>
          </cell>
        </row>
        <row r="4089">
          <cell r="B4089">
            <v>17291057</v>
          </cell>
          <cell r="C4089" t="str">
            <v>Azri Cell</v>
          </cell>
        </row>
        <row r="4090">
          <cell r="B4090">
            <v>17127134</v>
          </cell>
          <cell r="C4090" t="str">
            <v>BALAKUTAK CELL</v>
          </cell>
        </row>
        <row r="4091">
          <cell r="B4091">
            <v>1373880</v>
          </cell>
          <cell r="C4091" t="str">
            <v>BERKAHJAYA CELL</v>
          </cell>
        </row>
        <row r="4092">
          <cell r="B4092">
            <v>17414830</v>
          </cell>
          <cell r="C4092" t="str">
            <v>BERLIN CELL</v>
          </cell>
        </row>
        <row r="4093">
          <cell r="B4093">
            <v>17535666</v>
          </cell>
          <cell r="C4093" t="str">
            <v>Bhubu cell</v>
          </cell>
        </row>
        <row r="4094">
          <cell r="B4094">
            <v>1448940</v>
          </cell>
          <cell r="C4094" t="str">
            <v>CAHAYA CELL</v>
          </cell>
        </row>
        <row r="4095">
          <cell r="B4095">
            <v>1331722</v>
          </cell>
          <cell r="C4095" t="str">
            <v>CEMERLANG CELL</v>
          </cell>
        </row>
        <row r="4096">
          <cell r="B4096">
            <v>17740134</v>
          </cell>
          <cell r="C4096" t="str">
            <v>CT Cell</v>
          </cell>
        </row>
        <row r="4097">
          <cell r="B4097">
            <v>17358007</v>
          </cell>
          <cell r="C4097" t="str">
            <v>DARA CELL</v>
          </cell>
        </row>
        <row r="4098">
          <cell r="B4098">
            <v>1304557</v>
          </cell>
          <cell r="C4098" t="str">
            <v>DENZ CELL</v>
          </cell>
        </row>
        <row r="4099">
          <cell r="B4099">
            <v>17529910</v>
          </cell>
          <cell r="C4099" t="str">
            <v>WPS CELL</v>
          </cell>
        </row>
        <row r="4100">
          <cell r="B4100">
            <v>17545805</v>
          </cell>
          <cell r="C4100" t="str">
            <v>DTG store</v>
          </cell>
        </row>
        <row r="4101">
          <cell r="B4101">
            <v>746755</v>
          </cell>
          <cell r="C4101" t="str">
            <v>Dua Putri 1 cell</v>
          </cell>
        </row>
        <row r="4102">
          <cell r="B4102">
            <v>1340068</v>
          </cell>
          <cell r="C4102" t="str">
            <v>EBOD CELL</v>
          </cell>
        </row>
        <row r="4103">
          <cell r="B4103">
            <v>17405396</v>
          </cell>
          <cell r="C4103" t="str">
            <v>EMON CELL</v>
          </cell>
        </row>
        <row r="4104">
          <cell r="B4104">
            <v>17139578</v>
          </cell>
          <cell r="C4104" t="str">
            <v>E-Poelza</v>
          </cell>
        </row>
        <row r="4105">
          <cell r="B4105">
            <v>1293376</v>
          </cell>
          <cell r="C4105" t="str">
            <v>ERIS CELL</v>
          </cell>
        </row>
        <row r="4106">
          <cell r="B4106">
            <v>1297878</v>
          </cell>
          <cell r="C4106" t="str">
            <v>EVAZ CELL</v>
          </cell>
        </row>
        <row r="4107">
          <cell r="B4107">
            <v>17708953</v>
          </cell>
          <cell r="C4107" t="str">
            <v>FreyaMandiri</v>
          </cell>
        </row>
        <row r="4108">
          <cell r="B4108">
            <v>1553430</v>
          </cell>
          <cell r="C4108" t="str">
            <v>GALVIN CELL</v>
          </cell>
        </row>
        <row r="4109">
          <cell r="B4109">
            <v>17529336</v>
          </cell>
          <cell r="C4109" t="str">
            <v>Garasi cell</v>
          </cell>
        </row>
        <row r="4110">
          <cell r="B4110">
            <v>17769888</v>
          </cell>
          <cell r="C4110" t="str">
            <v>GRADINI CELL</v>
          </cell>
        </row>
        <row r="4111">
          <cell r="B4111">
            <v>1287480</v>
          </cell>
          <cell r="C4111" t="str">
            <v>GREEN CELL</v>
          </cell>
        </row>
        <row r="4112">
          <cell r="B4112">
            <v>17727886</v>
          </cell>
          <cell r="C4112" t="str">
            <v>H CELL</v>
          </cell>
        </row>
        <row r="4113">
          <cell r="B4113">
            <v>17419353</v>
          </cell>
          <cell r="C4113" t="str">
            <v>HAFIZ CELL</v>
          </cell>
        </row>
        <row r="4114">
          <cell r="B4114">
            <v>500777</v>
          </cell>
          <cell r="C4114" t="str">
            <v>HAMAS CELL</v>
          </cell>
        </row>
        <row r="4115">
          <cell r="B4115">
            <v>17028207</v>
          </cell>
          <cell r="C4115" t="str">
            <v>MAHESA 2 CELL</v>
          </cell>
        </row>
        <row r="4116">
          <cell r="B4116">
            <v>17028148</v>
          </cell>
          <cell r="C4116" t="str">
            <v>RAMBAY CELL</v>
          </cell>
        </row>
        <row r="4117">
          <cell r="B4117">
            <v>17383933</v>
          </cell>
          <cell r="C4117" t="str">
            <v>HD CELL</v>
          </cell>
        </row>
        <row r="4118">
          <cell r="B4118">
            <v>509749</v>
          </cell>
          <cell r="C4118" t="str">
            <v>HENA CELL</v>
          </cell>
        </row>
        <row r="4119">
          <cell r="B4119">
            <v>17124575</v>
          </cell>
          <cell r="C4119" t="str">
            <v>RR CELL</v>
          </cell>
        </row>
        <row r="4120">
          <cell r="B4120">
            <v>17154603</v>
          </cell>
          <cell r="C4120" t="str">
            <v>HENDRA CELL</v>
          </cell>
        </row>
        <row r="4121">
          <cell r="B4121">
            <v>17149829</v>
          </cell>
          <cell r="C4121" t="str">
            <v>HOKY CELL</v>
          </cell>
        </row>
        <row r="4122">
          <cell r="B4122">
            <v>587301</v>
          </cell>
          <cell r="C4122" t="str">
            <v>inti berkah</v>
          </cell>
        </row>
        <row r="4123">
          <cell r="B4123">
            <v>17229389</v>
          </cell>
          <cell r="C4123" t="str">
            <v>IRIANDI cell</v>
          </cell>
        </row>
        <row r="4124">
          <cell r="B4124">
            <v>1288573</v>
          </cell>
          <cell r="C4124" t="str">
            <v>BOBBY CELL</v>
          </cell>
        </row>
        <row r="4125">
          <cell r="B4125">
            <v>17435893</v>
          </cell>
          <cell r="C4125" t="str">
            <v>JALAL CELL</v>
          </cell>
        </row>
        <row r="4126">
          <cell r="B4126">
            <v>17231323</v>
          </cell>
          <cell r="C4126" t="str">
            <v>Jenni cell</v>
          </cell>
        </row>
        <row r="4127">
          <cell r="B4127">
            <v>1339982</v>
          </cell>
          <cell r="C4127" t="str">
            <v>JOK CELL</v>
          </cell>
        </row>
        <row r="4128">
          <cell r="B4128">
            <v>1550811</v>
          </cell>
          <cell r="C4128" t="str">
            <v>JUNIOR STORE</v>
          </cell>
        </row>
        <row r="4129">
          <cell r="B4129">
            <v>1294023</v>
          </cell>
          <cell r="C4129" t="str">
            <v>K CELL</v>
          </cell>
        </row>
        <row r="4130">
          <cell r="B4130">
            <v>17013617</v>
          </cell>
          <cell r="C4130" t="str">
            <v>KAKA</v>
          </cell>
        </row>
        <row r="4131">
          <cell r="B4131">
            <v>17431307</v>
          </cell>
          <cell r="C4131" t="str">
            <v>Lucky cell</v>
          </cell>
        </row>
        <row r="4132">
          <cell r="B4132">
            <v>17234515</v>
          </cell>
          <cell r="C4132" t="str">
            <v>MAHADEWI ZODHY</v>
          </cell>
        </row>
        <row r="4133">
          <cell r="B4133">
            <v>17217007</v>
          </cell>
          <cell r="C4133" t="str">
            <v>MD CELL</v>
          </cell>
        </row>
        <row r="4134">
          <cell r="B4134">
            <v>17480791</v>
          </cell>
          <cell r="C4134" t="str">
            <v>Monic</v>
          </cell>
        </row>
        <row r="4135">
          <cell r="B4135">
            <v>17763076</v>
          </cell>
          <cell r="C4135" t="str">
            <v>NACHILLS CELL</v>
          </cell>
        </row>
        <row r="4136">
          <cell r="B4136">
            <v>17542674</v>
          </cell>
          <cell r="C4136" t="str">
            <v>NS cell</v>
          </cell>
        </row>
        <row r="4137">
          <cell r="B4137">
            <v>17702950</v>
          </cell>
          <cell r="C4137" t="str">
            <v>NS celluler 2</v>
          </cell>
        </row>
        <row r="4138">
          <cell r="B4138">
            <v>17472309</v>
          </cell>
          <cell r="C4138" t="str">
            <v>Optimum</v>
          </cell>
        </row>
        <row r="4139">
          <cell r="B4139">
            <v>684129</v>
          </cell>
          <cell r="C4139" t="str">
            <v>orange 2 cell</v>
          </cell>
        </row>
        <row r="4140">
          <cell r="B4140">
            <v>17285168</v>
          </cell>
          <cell r="C4140" t="str">
            <v>ORANGE 2 CELL</v>
          </cell>
        </row>
        <row r="4141">
          <cell r="B4141">
            <v>17472218</v>
          </cell>
          <cell r="C4141" t="str">
            <v>P5 cell</v>
          </cell>
        </row>
        <row r="4142">
          <cell r="B4142">
            <v>17231371</v>
          </cell>
          <cell r="C4142" t="str">
            <v>Nabil cell</v>
          </cell>
        </row>
        <row r="4143">
          <cell r="B4143">
            <v>1369154</v>
          </cell>
          <cell r="C4143" t="str">
            <v>PADAMURU CELL</v>
          </cell>
        </row>
        <row r="4144">
          <cell r="B4144">
            <v>920475</v>
          </cell>
          <cell r="C4144" t="str">
            <v>Paul</v>
          </cell>
        </row>
        <row r="4145">
          <cell r="B4145">
            <v>1449841</v>
          </cell>
          <cell r="C4145" t="str">
            <v>POLARIS CEL</v>
          </cell>
        </row>
        <row r="4146">
          <cell r="B4146">
            <v>1508643</v>
          </cell>
          <cell r="C4146" t="str">
            <v>PAR-CELL</v>
          </cell>
        </row>
        <row r="4147">
          <cell r="B4147">
            <v>17481848</v>
          </cell>
          <cell r="C4147" t="str">
            <v>Pratama Cell</v>
          </cell>
        </row>
        <row r="4148">
          <cell r="B4148">
            <v>1529336</v>
          </cell>
          <cell r="C4148" t="str">
            <v>PRAWIRA CELL</v>
          </cell>
        </row>
        <row r="4149">
          <cell r="B4149">
            <v>17129843</v>
          </cell>
          <cell r="C4149" t="str">
            <v>PURNAMA 2 CELL</v>
          </cell>
        </row>
        <row r="4150">
          <cell r="B4150">
            <v>885989</v>
          </cell>
          <cell r="C4150" t="str">
            <v>Purnama Cell</v>
          </cell>
        </row>
        <row r="4151">
          <cell r="B4151">
            <v>1365164</v>
          </cell>
          <cell r="C4151" t="str">
            <v>PUTRI CELL</v>
          </cell>
        </row>
        <row r="4152">
          <cell r="B4152">
            <v>17255966</v>
          </cell>
          <cell r="C4152" t="str">
            <v>Qthaza Cell 4</v>
          </cell>
        </row>
        <row r="4153">
          <cell r="B4153">
            <v>17028166</v>
          </cell>
          <cell r="C4153" t="str">
            <v>R3 CELL</v>
          </cell>
        </row>
        <row r="4154">
          <cell r="B4154">
            <v>17466339</v>
          </cell>
          <cell r="C4154" t="str">
            <v>RANGGA CELL</v>
          </cell>
        </row>
        <row r="4155">
          <cell r="B4155">
            <v>17799535</v>
          </cell>
          <cell r="C4155" t="str">
            <v>RATU CELL</v>
          </cell>
        </row>
        <row r="4156">
          <cell r="B4156">
            <v>17407812</v>
          </cell>
          <cell r="C4156" t="str">
            <v>R-CELL</v>
          </cell>
        </row>
        <row r="4157">
          <cell r="B4157">
            <v>866010</v>
          </cell>
          <cell r="C4157" t="str">
            <v>Yuz cell</v>
          </cell>
        </row>
        <row r="4158">
          <cell r="B4158">
            <v>913981</v>
          </cell>
          <cell r="C4158" t="str">
            <v>Zaskia</v>
          </cell>
        </row>
        <row r="4159">
          <cell r="B4159">
            <v>17714139</v>
          </cell>
          <cell r="C4159" t="str">
            <v>Hazzma cell</v>
          </cell>
        </row>
        <row r="4160">
          <cell r="B4160">
            <v>502081</v>
          </cell>
          <cell r="C4160" t="str">
            <v>Reza Cell</v>
          </cell>
        </row>
        <row r="4161">
          <cell r="B4161">
            <v>1553669</v>
          </cell>
          <cell r="C4161" t="str">
            <v>Riana cell</v>
          </cell>
        </row>
        <row r="4162">
          <cell r="B4162">
            <v>786623</v>
          </cell>
          <cell r="C4162" t="str">
            <v>riham cell</v>
          </cell>
        </row>
        <row r="4163">
          <cell r="B4163">
            <v>17229428</v>
          </cell>
          <cell r="C4163" t="str">
            <v>RIZKI cell</v>
          </cell>
        </row>
        <row r="4164">
          <cell r="B4164">
            <v>17390288</v>
          </cell>
          <cell r="C4164" t="str">
            <v>RR CELL 2</v>
          </cell>
        </row>
        <row r="4165">
          <cell r="B4165">
            <v>17630723</v>
          </cell>
          <cell r="C4165" t="str">
            <v>sadulur reload 1</v>
          </cell>
        </row>
        <row r="4166">
          <cell r="B4166">
            <v>17583246</v>
          </cell>
          <cell r="C4166" t="str">
            <v>SAE CELL</v>
          </cell>
        </row>
        <row r="4167">
          <cell r="B4167">
            <v>17202419</v>
          </cell>
          <cell r="C4167" t="str">
            <v>SAE cell</v>
          </cell>
        </row>
        <row r="4168">
          <cell r="B4168">
            <v>1385895</v>
          </cell>
          <cell r="C4168" t="str">
            <v>SAGA CELL</v>
          </cell>
        </row>
        <row r="4169">
          <cell r="B4169">
            <v>17640330</v>
          </cell>
          <cell r="C4169" t="str">
            <v>SALIM cell</v>
          </cell>
        </row>
        <row r="4170">
          <cell r="B4170">
            <v>17408900</v>
          </cell>
          <cell r="C4170" t="str">
            <v>SATRIA CELL</v>
          </cell>
        </row>
        <row r="4171">
          <cell r="B4171">
            <v>502142</v>
          </cell>
          <cell r="C4171" t="str">
            <v>SEGER CELL</v>
          </cell>
        </row>
        <row r="4172">
          <cell r="B4172">
            <v>1525068</v>
          </cell>
          <cell r="C4172" t="str">
            <v>SGO CELL</v>
          </cell>
        </row>
        <row r="4173">
          <cell r="B4173">
            <v>17028137</v>
          </cell>
          <cell r="C4173" t="str">
            <v>SHANDY CELL</v>
          </cell>
        </row>
        <row r="4174">
          <cell r="B4174">
            <v>17688860</v>
          </cell>
          <cell r="C4174" t="str">
            <v>NABIL CELL 2</v>
          </cell>
        </row>
        <row r="4175">
          <cell r="B4175">
            <v>17785190</v>
          </cell>
          <cell r="C4175" t="str">
            <v>Shines Cell 2</v>
          </cell>
        </row>
        <row r="4176">
          <cell r="B4176">
            <v>17763710</v>
          </cell>
          <cell r="C4176" t="str">
            <v>Sifa 2 cell</v>
          </cell>
        </row>
        <row r="4177">
          <cell r="B4177">
            <v>17452196</v>
          </cell>
          <cell r="C4177" t="str">
            <v>QUEENNARA</v>
          </cell>
        </row>
        <row r="4178">
          <cell r="B4178">
            <v>17236406</v>
          </cell>
          <cell r="C4178" t="str">
            <v>Faiz Acc</v>
          </cell>
        </row>
        <row r="4179">
          <cell r="B4179">
            <v>17451534</v>
          </cell>
          <cell r="C4179" t="str">
            <v>Amanda cell</v>
          </cell>
        </row>
        <row r="4180">
          <cell r="B4180">
            <v>17234734</v>
          </cell>
          <cell r="C4180" t="str">
            <v>Azrul Cell</v>
          </cell>
        </row>
        <row r="4181">
          <cell r="B4181">
            <v>1292533</v>
          </cell>
          <cell r="C4181" t="str">
            <v>CI CELL</v>
          </cell>
        </row>
        <row r="4182">
          <cell r="B4182">
            <v>17472203</v>
          </cell>
          <cell r="C4182" t="str">
            <v>Coin celluler</v>
          </cell>
        </row>
        <row r="4183">
          <cell r="B4183">
            <v>17443586</v>
          </cell>
          <cell r="C4183" t="str">
            <v>Edi Cell</v>
          </cell>
        </row>
        <row r="4184">
          <cell r="B4184">
            <v>17232030</v>
          </cell>
          <cell r="C4184" t="str">
            <v>Eva Cell</v>
          </cell>
        </row>
        <row r="4185">
          <cell r="B4185">
            <v>17471805</v>
          </cell>
          <cell r="C4185" t="str">
            <v>Hana cell</v>
          </cell>
        </row>
        <row r="4186">
          <cell r="B4186">
            <v>17588329</v>
          </cell>
          <cell r="C4186" t="str">
            <v>IDLI CELL</v>
          </cell>
        </row>
        <row r="4187">
          <cell r="B4187">
            <v>1294028</v>
          </cell>
          <cell r="C4187" t="str">
            <v>PUTRI CELL</v>
          </cell>
        </row>
        <row r="4188">
          <cell r="B4188">
            <v>17443592</v>
          </cell>
          <cell r="C4188" t="str">
            <v>Reyhan Cell</v>
          </cell>
        </row>
        <row r="4189">
          <cell r="B4189">
            <v>17211668</v>
          </cell>
          <cell r="C4189" t="str">
            <v>Rivaldy Cell</v>
          </cell>
        </row>
        <row r="4190">
          <cell r="B4190">
            <v>17441005</v>
          </cell>
          <cell r="C4190" t="str">
            <v>Rizky Pulsa</v>
          </cell>
        </row>
        <row r="4191">
          <cell r="B4191">
            <v>17193922</v>
          </cell>
          <cell r="C4191" t="str">
            <v>Thoriq</v>
          </cell>
        </row>
        <row r="4192">
          <cell r="B4192">
            <v>17440509</v>
          </cell>
          <cell r="C4192" t="str">
            <v>Three M Cell</v>
          </cell>
        </row>
        <row r="4193">
          <cell r="B4193">
            <v>1532518</v>
          </cell>
          <cell r="C4193" t="str">
            <v>UMART CELL</v>
          </cell>
        </row>
        <row r="4194">
          <cell r="B4194">
            <v>17472205</v>
          </cell>
          <cell r="C4194" t="str">
            <v>Omen cell</v>
          </cell>
        </row>
        <row r="4195">
          <cell r="B4195">
            <v>17173007</v>
          </cell>
          <cell r="C4195" t="str">
            <v>SAKA CELL</v>
          </cell>
        </row>
        <row r="4196">
          <cell r="B4196">
            <v>1514508</v>
          </cell>
          <cell r="C4196" t="str">
            <v>aura cell</v>
          </cell>
        </row>
        <row r="4197">
          <cell r="B4197">
            <v>17472243</v>
          </cell>
          <cell r="C4197" t="str">
            <v>Bima cell</v>
          </cell>
        </row>
        <row r="4198">
          <cell r="B4198">
            <v>17193415</v>
          </cell>
          <cell r="C4198" t="str">
            <v>HN cell</v>
          </cell>
        </row>
        <row r="4199">
          <cell r="B4199">
            <v>17150942</v>
          </cell>
          <cell r="C4199" t="str">
            <v>NADILA CELL</v>
          </cell>
        </row>
        <row r="4200">
          <cell r="B4200">
            <v>17408658</v>
          </cell>
          <cell r="C4200" t="str">
            <v>Pratama Cell</v>
          </cell>
        </row>
        <row r="4201">
          <cell r="B4201">
            <v>17430205</v>
          </cell>
          <cell r="C4201" t="str">
            <v>Riki Cell</v>
          </cell>
        </row>
        <row r="4202">
          <cell r="B4202">
            <v>17408673</v>
          </cell>
          <cell r="C4202" t="str">
            <v>Shafira Cell</v>
          </cell>
        </row>
        <row r="4203">
          <cell r="B4203">
            <v>17282160</v>
          </cell>
          <cell r="C4203" t="str">
            <v>Taufik Cell</v>
          </cell>
        </row>
        <row r="4204">
          <cell r="B4204">
            <v>17435750</v>
          </cell>
          <cell r="C4204" t="str">
            <v>Yura cell</v>
          </cell>
        </row>
        <row r="4205">
          <cell r="B4205">
            <v>17661706</v>
          </cell>
          <cell r="C4205" t="str">
            <v>Kw cell</v>
          </cell>
        </row>
        <row r="4206">
          <cell r="B4206">
            <v>17216024</v>
          </cell>
          <cell r="C4206" t="str">
            <v>Perdana Celluler</v>
          </cell>
        </row>
        <row r="4207">
          <cell r="B4207">
            <v>17443630</v>
          </cell>
          <cell r="C4207" t="str">
            <v>Abadi 3</v>
          </cell>
        </row>
        <row r="4208">
          <cell r="B4208">
            <v>919355</v>
          </cell>
          <cell r="C4208" t="str">
            <v>ABADI CELL</v>
          </cell>
        </row>
        <row r="4209">
          <cell r="B4209">
            <v>17256033</v>
          </cell>
          <cell r="C4209" t="str">
            <v>Abadi Cell 2</v>
          </cell>
        </row>
        <row r="4210">
          <cell r="B4210">
            <v>17435908</v>
          </cell>
          <cell r="C4210" t="str">
            <v>Baraya cell</v>
          </cell>
        </row>
        <row r="4211">
          <cell r="B4211">
            <v>17390548</v>
          </cell>
          <cell r="C4211" t="str">
            <v>Berkah Twins Cell</v>
          </cell>
        </row>
        <row r="4212">
          <cell r="B4212">
            <v>17214674</v>
          </cell>
          <cell r="C4212" t="str">
            <v>Biru Cell 2</v>
          </cell>
        </row>
        <row r="4213">
          <cell r="B4213">
            <v>17450774</v>
          </cell>
          <cell r="C4213" t="str">
            <v>C-19 Cell</v>
          </cell>
        </row>
        <row r="4214">
          <cell r="B4214">
            <v>1292566</v>
          </cell>
          <cell r="C4214" t="str">
            <v>CECEP CELL</v>
          </cell>
        </row>
        <row r="4215">
          <cell r="B4215">
            <v>17215494</v>
          </cell>
          <cell r="C4215" t="str">
            <v>Evolution MASTER</v>
          </cell>
        </row>
        <row r="4216">
          <cell r="B4216">
            <v>17246288</v>
          </cell>
          <cell r="C4216" t="str">
            <v>Evolution Store</v>
          </cell>
        </row>
        <row r="4217">
          <cell r="B4217">
            <v>1544315</v>
          </cell>
          <cell r="C4217" t="str">
            <v>FANY CELL</v>
          </cell>
        </row>
        <row r="4218">
          <cell r="B4218">
            <v>17587746</v>
          </cell>
          <cell r="C4218" t="str">
            <v>FATIH CELL</v>
          </cell>
        </row>
        <row r="4219">
          <cell r="B4219">
            <v>1292576</v>
          </cell>
          <cell r="C4219" t="str">
            <v>KUSHOY CELL</v>
          </cell>
        </row>
        <row r="4220">
          <cell r="B4220">
            <v>17411641</v>
          </cell>
          <cell r="C4220" t="str">
            <v>Kushoy Cell 2</v>
          </cell>
        </row>
        <row r="4221">
          <cell r="B4221">
            <v>17408387</v>
          </cell>
          <cell r="C4221" t="str">
            <v>Lili Cell</v>
          </cell>
        </row>
        <row r="4222">
          <cell r="B4222">
            <v>17259381</v>
          </cell>
          <cell r="C4222" t="str">
            <v>Mela Cell 2</v>
          </cell>
        </row>
        <row r="4223">
          <cell r="B4223">
            <v>17443090</v>
          </cell>
          <cell r="C4223" t="str">
            <v>Minions Cell</v>
          </cell>
        </row>
        <row r="4224">
          <cell r="B4224">
            <v>17157913</v>
          </cell>
          <cell r="C4224" t="str">
            <v>NUGRAHA CELL</v>
          </cell>
        </row>
        <row r="4225">
          <cell r="B4225">
            <v>17588642</v>
          </cell>
          <cell r="C4225" t="str">
            <v>Putra cell</v>
          </cell>
        </row>
        <row r="4226">
          <cell r="B4226">
            <v>17246461</v>
          </cell>
          <cell r="C4226" t="str">
            <v>Raja  Cell</v>
          </cell>
        </row>
        <row r="4227">
          <cell r="B4227">
            <v>17030414</v>
          </cell>
          <cell r="C4227" t="str">
            <v>Sahabat cell</v>
          </cell>
        </row>
        <row r="4228">
          <cell r="B4228">
            <v>17254169</v>
          </cell>
          <cell r="C4228" t="str">
            <v>Sahla Cell</v>
          </cell>
        </row>
        <row r="4229">
          <cell r="B4229">
            <v>17458864</v>
          </cell>
          <cell r="C4229" t="str">
            <v>Saluyu Cell</v>
          </cell>
        </row>
        <row r="4230">
          <cell r="B4230">
            <v>17462011</v>
          </cell>
          <cell r="C4230" t="str">
            <v>Setia Cell</v>
          </cell>
        </row>
        <row r="4231">
          <cell r="B4231">
            <v>17299694</v>
          </cell>
          <cell r="C4231" t="str">
            <v>Shania cell</v>
          </cell>
        </row>
        <row r="4232">
          <cell r="B4232">
            <v>773884</v>
          </cell>
          <cell r="C4232" t="str">
            <v>TUNGGAL CELL</v>
          </cell>
        </row>
        <row r="4233">
          <cell r="B4233">
            <v>17281761</v>
          </cell>
          <cell r="C4233" t="str">
            <v>Tunggal Cell 2</v>
          </cell>
        </row>
        <row r="4234">
          <cell r="B4234">
            <v>1531281</v>
          </cell>
          <cell r="C4234" t="str">
            <v>WULAN CELL</v>
          </cell>
        </row>
        <row r="4235">
          <cell r="B4235">
            <v>921497</v>
          </cell>
          <cell r="C4235" t="str">
            <v>ZAMZAM CELL</v>
          </cell>
        </row>
        <row r="4236">
          <cell r="B4236">
            <v>1293967</v>
          </cell>
          <cell r="C4236" t="str">
            <v>MELA CELL</v>
          </cell>
        </row>
        <row r="4237">
          <cell r="B4237">
            <v>763885</v>
          </cell>
          <cell r="C4237" t="str">
            <v>APRI CELL 2</v>
          </cell>
        </row>
        <row r="4238">
          <cell r="B4238">
            <v>521241</v>
          </cell>
          <cell r="C4238" t="str">
            <v>CANTIKA CELL</v>
          </cell>
        </row>
        <row r="4239">
          <cell r="B4239">
            <v>1475449</v>
          </cell>
          <cell r="C4239" t="str">
            <v>DARDA CELL</v>
          </cell>
        </row>
        <row r="4240">
          <cell r="B4240">
            <v>17473319</v>
          </cell>
          <cell r="C4240" t="str">
            <v>Davina Cell</v>
          </cell>
        </row>
        <row r="4241">
          <cell r="B4241">
            <v>608874</v>
          </cell>
          <cell r="C4241" t="str">
            <v>HIKMAH CELL</v>
          </cell>
        </row>
        <row r="4242">
          <cell r="B4242">
            <v>921369</v>
          </cell>
          <cell r="C4242" t="str">
            <v>LinkLink cell</v>
          </cell>
        </row>
        <row r="4243">
          <cell r="B4243">
            <v>1076041</v>
          </cell>
          <cell r="C4243" t="str">
            <v>midar cell</v>
          </cell>
        </row>
        <row r="4244">
          <cell r="B4244">
            <v>17258355</v>
          </cell>
          <cell r="C4244" t="str">
            <v>Nabila cell</v>
          </cell>
        </row>
        <row r="4245">
          <cell r="B4245">
            <v>17151674</v>
          </cell>
          <cell r="C4245" t="str">
            <v>Prima cell</v>
          </cell>
        </row>
        <row r="4246">
          <cell r="B4246">
            <v>1380280</v>
          </cell>
          <cell r="C4246" t="str">
            <v>RAKA CELL</v>
          </cell>
        </row>
        <row r="4247">
          <cell r="B4247">
            <v>17199977</v>
          </cell>
          <cell r="C4247" t="str">
            <v>Zahra cell</v>
          </cell>
        </row>
        <row r="4248">
          <cell r="B4248">
            <v>17100573</v>
          </cell>
          <cell r="C4248" t="str">
            <v>Barito Cell 2</v>
          </cell>
        </row>
        <row r="4249">
          <cell r="B4249">
            <v>17669192</v>
          </cell>
          <cell r="C4249" t="str">
            <v>Yunus Cell</v>
          </cell>
        </row>
        <row r="4250">
          <cell r="B4250">
            <v>17443903</v>
          </cell>
          <cell r="C4250" t="str">
            <v>Perdana cell 2</v>
          </cell>
        </row>
        <row r="4251">
          <cell r="B4251">
            <v>1305530</v>
          </cell>
          <cell r="C4251" t="str">
            <v>JOIS CELL</v>
          </cell>
        </row>
        <row r="4252">
          <cell r="B4252">
            <v>17673554</v>
          </cell>
          <cell r="C4252" t="str">
            <v>Haidar Cell</v>
          </cell>
        </row>
        <row r="4253">
          <cell r="B4253">
            <v>17685701</v>
          </cell>
          <cell r="C4253" t="str">
            <v>KIOS_CALISTO</v>
          </cell>
        </row>
        <row r="4254">
          <cell r="B4254">
            <v>17686977</v>
          </cell>
          <cell r="C4254" t="str">
            <v>KIOS_IBU TATI</v>
          </cell>
        </row>
        <row r="4255">
          <cell r="B4255">
            <v>1346366</v>
          </cell>
          <cell r="C4255" t="str">
            <v>EUIS CELL</v>
          </cell>
        </row>
        <row r="4256">
          <cell r="B4256">
            <v>17493553</v>
          </cell>
          <cell r="C4256" t="str">
            <v>Abang rifa i</v>
          </cell>
        </row>
        <row r="4257">
          <cell r="B4257">
            <v>17493637</v>
          </cell>
          <cell r="C4257" t="str">
            <v>Toko hasibuan cell</v>
          </cell>
        </row>
        <row r="4258">
          <cell r="B4258">
            <v>17147759</v>
          </cell>
          <cell r="C4258" t="str">
            <v>HQQ Cell</v>
          </cell>
        </row>
        <row r="4259">
          <cell r="B4259">
            <v>17796373</v>
          </cell>
          <cell r="C4259" t="str">
            <v>ELJE cell</v>
          </cell>
        </row>
        <row r="4260">
          <cell r="B4260">
            <v>17193333</v>
          </cell>
          <cell r="C4260" t="str">
            <v>Mira cell</v>
          </cell>
        </row>
        <row r="4261">
          <cell r="B4261">
            <v>17460277</v>
          </cell>
          <cell r="C4261" t="str">
            <v>IKIWIDA CELL</v>
          </cell>
        </row>
        <row r="4262">
          <cell r="B4262">
            <v>17190329</v>
          </cell>
          <cell r="C4262" t="str">
            <v>RAFIFA CEL</v>
          </cell>
        </row>
        <row r="4263">
          <cell r="B4263">
            <v>17194720</v>
          </cell>
          <cell r="C4263" t="str">
            <v>De ashraf cell</v>
          </cell>
        </row>
        <row r="4264">
          <cell r="B4264">
            <v>17473134</v>
          </cell>
          <cell r="C4264" t="str">
            <v>Fazri Cell</v>
          </cell>
        </row>
        <row r="4265">
          <cell r="B4265">
            <v>17408939</v>
          </cell>
          <cell r="C4265" t="str">
            <v>Permata Cell</v>
          </cell>
        </row>
        <row r="4266">
          <cell r="B4266">
            <v>17244777</v>
          </cell>
          <cell r="C4266" t="str">
            <v>Dv cell</v>
          </cell>
        </row>
        <row r="4267">
          <cell r="B4267">
            <v>17214334</v>
          </cell>
          <cell r="C4267" t="str">
            <v>Irna Celluler</v>
          </cell>
        </row>
        <row r="4268">
          <cell r="B4268">
            <v>17030897</v>
          </cell>
          <cell r="C4268" t="str">
            <v>Arya cell</v>
          </cell>
        </row>
        <row r="4269">
          <cell r="B4269">
            <v>17157885</v>
          </cell>
          <cell r="C4269" t="str">
            <v>Subhan Cell</v>
          </cell>
        </row>
        <row r="4270">
          <cell r="B4270">
            <v>17139888</v>
          </cell>
          <cell r="C4270" t="str">
            <v>Toko. Erna</v>
          </cell>
        </row>
        <row r="4271">
          <cell r="B4271">
            <v>17264522</v>
          </cell>
          <cell r="C4271" t="str">
            <v>ARUL CELL 2</v>
          </cell>
        </row>
        <row r="4272">
          <cell r="B4272">
            <v>17290307</v>
          </cell>
          <cell r="C4272" t="str">
            <v>Baim cell</v>
          </cell>
        </row>
        <row r="4273">
          <cell r="B4273">
            <v>17544847</v>
          </cell>
          <cell r="C4273" t="str">
            <v>HNM CELL</v>
          </cell>
        </row>
        <row r="4274">
          <cell r="B4274">
            <v>1456015</v>
          </cell>
          <cell r="C4274" t="str">
            <v>IJANG CELL</v>
          </cell>
        </row>
        <row r="4275">
          <cell r="B4275">
            <v>17612045</v>
          </cell>
          <cell r="C4275" t="str">
            <v>Immortal Cell</v>
          </cell>
        </row>
        <row r="4276">
          <cell r="B4276">
            <v>707776</v>
          </cell>
          <cell r="C4276" t="str">
            <v>Indra cell</v>
          </cell>
        </row>
        <row r="4277">
          <cell r="B4277">
            <v>17780851</v>
          </cell>
          <cell r="C4277" t="str">
            <v>Indra Celluler</v>
          </cell>
        </row>
        <row r="4278">
          <cell r="B4278">
            <v>17430269</v>
          </cell>
          <cell r="C4278" t="str">
            <v>Adies cell</v>
          </cell>
        </row>
        <row r="4279">
          <cell r="B4279">
            <v>17249767</v>
          </cell>
          <cell r="C4279" t="str">
            <v>AKBAR CELL</v>
          </cell>
        </row>
        <row r="4280">
          <cell r="B4280">
            <v>17779151</v>
          </cell>
          <cell r="C4280" t="str">
            <v>iO Cell</v>
          </cell>
        </row>
        <row r="4281">
          <cell r="B4281">
            <v>17234922</v>
          </cell>
          <cell r="C4281" t="str">
            <v>KEN CELL</v>
          </cell>
        </row>
        <row r="4282">
          <cell r="B4282">
            <v>17472019</v>
          </cell>
          <cell r="C4282" t="str">
            <v>Ciyuw</v>
          </cell>
        </row>
        <row r="4283">
          <cell r="B4283">
            <v>17211390</v>
          </cell>
          <cell r="C4283" t="str">
            <v>EGI CELL</v>
          </cell>
        </row>
        <row r="4284">
          <cell r="B4284">
            <v>17776596</v>
          </cell>
          <cell r="C4284" t="str">
            <v>Kiki cell</v>
          </cell>
        </row>
        <row r="4285">
          <cell r="B4285">
            <v>17471866</v>
          </cell>
          <cell r="C4285" t="str">
            <v>Gemot cell</v>
          </cell>
        </row>
        <row r="4286">
          <cell r="B4286">
            <v>17446881</v>
          </cell>
          <cell r="C4286" t="str">
            <v>HAFIZ CELL</v>
          </cell>
        </row>
        <row r="4287">
          <cell r="B4287">
            <v>587295</v>
          </cell>
          <cell r="C4287" t="str">
            <v>jawa cell</v>
          </cell>
        </row>
        <row r="4288">
          <cell r="B4288">
            <v>17780450</v>
          </cell>
          <cell r="C4288" t="str">
            <v>Kobef cell 2</v>
          </cell>
        </row>
        <row r="4289">
          <cell r="B4289">
            <v>17271474</v>
          </cell>
          <cell r="C4289" t="str">
            <v>OHARA CELL</v>
          </cell>
        </row>
        <row r="4290">
          <cell r="B4290">
            <v>17466225</v>
          </cell>
          <cell r="C4290" t="str">
            <v>LATHIF CELL</v>
          </cell>
        </row>
        <row r="4291">
          <cell r="B4291">
            <v>17381022</v>
          </cell>
          <cell r="C4291" t="str">
            <v>RIVAL CELL</v>
          </cell>
        </row>
        <row r="4292">
          <cell r="B4292">
            <v>17481804</v>
          </cell>
          <cell r="C4292" t="str">
            <v>RR 2</v>
          </cell>
        </row>
        <row r="4293">
          <cell r="B4293">
            <v>17400594</v>
          </cell>
          <cell r="C4293" t="str">
            <v>LISDA CELL</v>
          </cell>
        </row>
        <row r="4294">
          <cell r="B4294">
            <v>17215145</v>
          </cell>
          <cell r="C4294" t="str">
            <v>SUKMA CELL</v>
          </cell>
        </row>
        <row r="4295">
          <cell r="B4295">
            <v>17629611</v>
          </cell>
          <cell r="C4295" t="str">
            <v>Hanabi cell</v>
          </cell>
        </row>
        <row r="4296">
          <cell r="B4296">
            <v>17545876</v>
          </cell>
          <cell r="C4296" t="str">
            <v>Rafi server</v>
          </cell>
        </row>
        <row r="4297">
          <cell r="B4297">
            <v>17450503</v>
          </cell>
          <cell r="C4297" t="str">
            <v>ALWI CELL</v>
          </cell>
        </row>
        <row r="4298">
          <cell r="B4298">
            <v>17472046</v>
          </cell>
          <cell r="C4298" t="str">
            <v>Hanah</v>
          </cell>
        </row>
        <row r="4299">
          <cell r="B4299">
            <v>17282696</v>
          </cell>
          <cell r="C4299" t="str">
            <v>INEZIA CELL</v>
          </cell>
        </row>
        <row r="4300">
          <cell r="B4300">
            <v>17471712</v>
          </cell>
          <cell r="C4300" t="str">
            <v>Kawa kawa</v>
          </cell>
        </row>
        <row r="4301">
          <cell r="B4301">
            <v>1387194</v>
          </cell>
          <cell r="C4301" t="str">
            <v>MALVIN CELL</v>
          </cell>
        </row>
        <row r="4302">
          <cell r="B4302">
            <v>17356019</v>
          </cell>
          <cell r="C4302" t="str">
            <v>RAHMAH CELL</v>
          </cell>
        </row>
        <row r="4303">
          <cell r="B4303">
            <v>17481794</v>
          </cell>
          <cell r="C4303" t="str">
            <v>RR</v>
          </cell>
        </row>
        <row r="4304">
          <cell r="B4304">
            <v>17481819</v>
          </cell>
          <cell r="C4304" t="str">
            <v>Rr3</v>
          </cell>
        </row>
        <row r="4305">
          <cell r="B4305">
            <v>1505251</v>
          </cell>
          <cell r="C4305" t="str">
            <v>GALIH CELL</v>
          </cell>
        </row>
        <row r="4306">
          <cell r="B4306">
            <v>921522</v>
          </cell>
          <cell r="C4306" t="str">
            <v>Maggot cell</v>
          </cell>
        </row>
        <row r="4307">
          <cell r="B4307">
            <v>1553460</v>
          </cell>
          <cell r="C4307" t="str">
            <v>mayfa cell</v>
          </cell>
        </row>
        <row r="4308">
          <cell r="B4308">
            <v>17229221</v>
          </cell>
          <cell r="C4308" t="str">
            <v>Sifa Cell</v>
          </cell>
        </row>
        <row r="4309">
          <cell r="B4309">
            <v>832651</v>
          </cell>
          <cell r="C4309" t="str">
            <v>KANZ CELL</v>
          </cell>
        </row>
        <row r="4310">
          <cell r="B4310">
            <v>17666964</v>
          </cell>
          <cell r="C4310" t="str">
            <v>Mhardy cell</v>
          </cell>
        </row>
        <row r="4311">
          <cell r="B4311">
            <v>17623954</v>
          </cell>
          <cell r="C4311" t="str">
            <v>Mitra RR</v>
          </cell>
        </row>
        <row r="4312">
          <cell r="B4312">
            <v>17190727</v>
          </cell>
          <cell r="C4312" t="str">
            <v>Munggi Cell</v>
          </cell>
        </row>
        <row r="4313">
          <cell r="B4313">
            <v>17588623</v>
          </cell>
          <cell r="C4313" t="str">
            <v>NAYYIRA STORE</v>
          </cell>
        </row>
        <row r="4314">
          <cell r="B4314">
            <v>17230843</v>
          </cell>
          <cell r="C4314" t="str">
            <v>NEMO CELL</v>
          </cell>
        </row>
        <row r="4315">
          <cell r="B4315">
            <v>17140424</v>
          </cell>
          <cell r="C4315" t="str">
            <v>Newbie Cell</v>
          </cell>
        </row>
        <row r="4316">
          <cell r="B4316">
            <v>17471995</v>
          </cell>
          <cell r="C4316" t="str">
            <v>NIKKO CELL</v>
          </cell>
        </row>
        <row r="4317">
          <cell r="B4317">
            <v>17249869</v>
          </cell>
          <cell r="C4317" t="str">
            <v>NON Cell</v>
          </cell>
        </row>
        <row r="4318">
          <cell r="B4318">
            <v>17588365</v>
          </cell>
          <cell r="C4318" t="str">
            <v>NUNUNG</v>
          </cell>
        </row>
        <row r="4319">
          <cell r="B4319">
            <v>17779146</v>
          </cell>
          <cell r="C4319" t="str">
            <v>oI Cell</v>
          </cell>
        </row>
        <row r="4320">
          <cell r="B4320">
            <v>17231769</v>
          </cell>
          <cell r="C4320" t="str">
            <v>Galaxy Cell</v>
          </cell>
        </row>
        <row r="4321">
          <cell r="B4321">
            <v>613407</v>
          </cell>
          <cell r="C4321" t="str">
            <v>PATAS cell</v>
          </cell>
        </row>
        <row r="4322">
          <cell r="B4322">
            <v>1478392</v>
          </cell>
          <cell r="C4322" t="str">
            <v>pelangi 2 cell</v>
          </cell>
        </row>
        <row r="4323">
          <cell r="B4323">
            <v>17467100</v>
          </cell>
          <cell r="C4323" t="str">
            <v>PERDANA CELL</v>
          </cell>
        </row>
        <row r="4324">
          <cell r="B4324">
            <v>17434790</v>
          </cell>
          <cell r="C4324" t="str">
            <v>PUTRI 2 CELL</v>
          </cell>
        </row>
        <row r="4325">
          <cell r="B4325">
            <v>17437960</v>
          </cell>
          <cell r="C4325" t="str">
            <v>MOCHI CELL</v>
          </cell>
        </row>
        <row r="4326">
          <cell r="B4326">
            <v>17587920</v>
          </cell>
          <cell r="C4326" t="str">
            <v>NAZ CELL</v>
          </cell>
        </row>
        <row r="4327">
          <cell r="B4327">
            <v>17078499</v>
          </cell>
          <cell r="C4327" t="str">
            <v>Qthaza Cell 2</v>
          </cell>
        </row>
        <row r="4328">
          <cell r="B4328">
            <v>17139078</v>
          </cell>
          <cell r="C4328" t="str">
            <v>Rafasya Cell</v>
          </cell>
        </row>
        <row r="4329">
          <cell r="B4329">
            <v>1287883</v>
          </cell>
          <cell r="C4329" t="str">
            <v>RAFI CELL</v>
          </cell>
        </row>
        <row r="4330">
          <cell r="B4330">
            <v>1293993</v>
          </cell>
          <cell r="C4330" t="str">
            <v>PELANGI CELL</v>
          </cell>
        </row>
        <row r="4331">
          <cell r="B4331">
            <v>17280658</v>
          </cell>
          <cell r="C4331" t="str">
            <v>rafi cell 2</v>
          </cell>
        </row>
        <row r="4332">
          <cell r="B4332">
            <v>17471729</v>
          </cell>
          <cell r="C4332" t="str">
            <v>RATU CELL</v>
          </cell>
        </row>
        <row r="4333">
          <cell r="B4333">
            <v>17779132</v>
          </cell>
          <cell r="C4333" t="str">
            <v>Reen cell</v>
          </cell>
        </row>
        <row r="4334">
          <cell r="B4334">
            <v>17355254</v>
          </cell>
          <cell r="C4334" t="str">
            <v>SAHABI CELL</v>
          </cell>
        </row>
        <row r="4335">
          <cell r="B4335">
            <v>586478</v>
          </cell>
          <cell r="C4335" t="str">
            <v>regina cell</v>
          </cell>
        </row>
        <row r="4336">
          <cell r="B4336">
            <v>17276776</v>
          </cell>
          <cell r="C4336" t="str">
            <v>REZA CELL</v>
          </cell>
        </row>
        <row r="4337">
          <cell r="B4337">
            <v>17643444</v>
          </cell>
          <cell r="C4337" t="str">
            <v>CIKAL CELL 2</v>
          </cell>
        </row>
        <row r="4338">
          <cell r="B4338">
            <v>17276778</v>
          </cell>
          <cell r="C4338" t="str">
            <v>REZA CELL 2</v>
          </cell>
        </row>
        <row r="4339">
          <cell r="B4339">
            <v>17406823</v>
          </cell>
          <cell r="C4339" t="str">
            <v>CENTURY CELL</v>
          </cell>
        </row>
        <row r="4340">
          <cell r="B4340">
            <v>17472288</v>
          </cell>
          <cell r="C4340" t="str">
            <v>Friendly</v>
          </cell>
        </row>
        <row r="4341">
          <cell r="B4341">
            <v>17349410</v>
          </cell>
          <cell r="C4341" t="str">
            <v>Harvi Cell</v>
          </cell>
        </row>
        <row r="4342">
          <cell r="B4342">
            <v>633227</v>
          </cell>
          <cell r="C4342" t="str">
            <v>Rama cell</v>
          </cell>
        </row>
        <row r="4343">
          <cell r="B4343">
            <v>17628887</v>
          </cell>
          <cell r="C4343" t="str">
            <v>RR 4</v>
          </cell>
        </row>
        <row r="4344">
          <cell r="B4344">
            <v>17629031</v>
          </cell>
          <cell r="C4344" t="str">
            <v>Putri 2</v>
          </cell>
        </row>
        <row r="4345">
          <cell r="B4345">
            <v>17647368</v>
          </cell>
          <cell r="C4345" t="str">
            <v>Warung pulsa</v>
          </cell>
        </row>
        <row r="4346">
          <cell r="B4346">
            <v>17671659</v>
          </cell>
          <cell r="C4346" t="str">
            <v>Toko Cibogo Cell</v>
          </cell>
        </row>
        <row r="4347">
          <cell r="B4347">
            <v>17707880</v>
          </cell>
          <cell r="C4347" t="str">
            <v>YUDHISTIRA CELL</v>
          </cell>
        </row>
        <row r="4348">
          <cell r="B4348">
            <v>17435768</v>
          </cell>
          <cell r="C4348" t="str">
            <v>Abdul cell</v>
          </cell>
        </row>
        <row r="4349">
          <cell r="B4349">
            <v>17139561</v>
          </cell>
          <cell r="C4349" t="str">
            <v>DR CELL</v>
          </cell>
        </row>
        <row r="4350">
          <cell r="B4350">
            <v>17435228</v>
          </cell>
          <cell r="C4350" t="str">
            <v>Hidayah cell</v>
          </cell>
        </row>
        <row r="4351">
          <cell r="B4351">
            <v>1549591</v>
          </cell>
          <cell r="C4351" t="str">
            <v>keisha cell</v>
          </cell>
        </row>
        <row r="4352">
          <cell r="B4352">
            <v>17471707</v>
          </cell>
          <cell r="C4352" t="str">
            <v>MM93 cell</v>
          </cell>
        </row>
        <row r="4353">
          <cell r="B4353">
            <v>17251589</v>
          </cell>
          <cell r="C4353" t="str">
            <v>YUDA CELL 2</v>
          </cell>
        </row>
        <row r="4354">
          <cell r="B4354">
            <v>17531161</v>
          </cell>
          <cell r="C4354" t="str">
            <v>AKJ cell</v>
          </cell>
        </row>
        <row r="4355">
          <cell r="B4355">
            <v>17214576</v>
          </cell>
          <cell r="C4355" t="str">
            <v>Echa cell</v>
          </cell>
        </row>
        <row r="4356">
          <cell r="B4356">
            <v>17258994</v>
          </cell>
          <cell r="C4356" t="str">
            <v>Panca 6</v>
          </cell>
        </row>
        <row r="4357">
          <cell r="B4357">
            <v>17436054</v>
          </cell>
          <cell r="C4357" t="str">
            <v>Ken pulsa</v>
          </cell>
        </row>
        <row r="4358">
          <cell r="B4358">
            <v>17472051</v>
          </cell>
          <cell r="C4358" t="str">
            <v>M Rafa Cell</v>
          </cell>
        </row>
        <row r="4359">
          <cell r="B4359">
            <v>17196301</v>
          </cell>
          <cell r="C4359" t="str">
            <v>Arsha cell</v>
          </cell>
        </row>
        <row r="4360">
          <cell r="B4360">
            <v>17462315</v>
          </cell>
          <cell r="C4360" t="str">
            <v>Abadi Cell 3</v>
          </cell>
        </row>
        <row r="4361">
          <cell r="B4361">
            <v>17233846</v>
          </cell>
          <cell r="C4361" t="str">
            <v>AZAM CELL</v>
          </cell>
        </row>
        <row r="4362">
          <cell r="B4362">
            <v>17235751</v>
          </cell>
          <cell r="C4362" t="str">
            <v>AZMI CELL</v>
          </cell>
        </row>
        <row r="4363">
          <cell r="B4363">
            <v>17177337</v>
          </cell>
          <cell r="C4363" t="str">
            <v>Biru cell</v>
          </cell>
        </row>
        <row r="4364">
          <cell r="B4364">
            <v>855293</v>
          </cell>
          <cell r="C4364" t="str">
            <v>Bosmee</v>
          </cell>
        </row>
        <row r="4365">
          <cell r="B4365">
            <v>17520448</v>
          </cell>
          <cell r="C4365" t="str">
            <v>Bro Ponsel</v>
          </cell>
        </row>
        <row r="4366">
          <cell r="B4366">
            <v>17251664</v>
          </cell>
          <cell r="C4366" t="str">
            <v>DEON CELL</v>
          </cell>
        </row>
        <row r="4367">
          <cell r="B4367">
            <v>961085</v>
          </cell>
          <cell r="C4367" t="str">
            <v>fendy cell</v>
          </cell>
        </row>
        <row r="4368">
          <cell r="B4368">
            <v>1287467</v>
          </cell>
          <cell r="C4368" t="str">
            <v>HAKIM CELL</v>
          </cell>
        </row>
        <row r="4369">
          <cell r="B4369">
            <v>17158084</v>
          </cell>
          <cell r="C4369" t="str">
            <v>IBOS CELL</v>
          </cell>
        </row>
        <row r="4370">
          <cell r="B4370">
            <v>661353</v>
          </cell>
          <cell r="C4370" t="str">
            <v>IKIN CELL</v>
          </cell>
        </row>
        <row r="4371">
          <cell r="B4371">
            <v>17332924</v>
          </cell>
          <cell r="C4371" t="str">
            <v>Kenzie Store</v>
          </cell>
        </row>
        <row r="4372">
          <cell r="B4372">
            <v>641287</v>
          </cell>
          <cell r="C4372" t="str">
            <v>KOKO CELL</v>
          </cell>
        </row>
        <row r="4373">
          <cell r="B4373">
            <v>17553159</v>
          </cell>
          <cell r="C4373" t="str">
            <v>KURNIA CELL</v>
          </cell>
        </row>
        <row r="4374">
          <cell r="B4374">
            <v>17402768</v>
          </cell>
          <cell r="C4374" t="str">
            <v>LULU CELL</v>
          </cell>
        </row>
        <row r="4375">
          <cell r="B4375">
            <v>17126441</v>
          </cell>
          <cell r="C4375" t="str">
            <v>Risel store</v>
          </cell>
        </row>
        <row r="4376">
          <cell r="B4376">
            <v>17472450</v>
          </cell>
          <cell r="C4376" t="str">
            <v>SUNcell pulsa</v>
          </cell>
        </row>
        <row r="4377">
          <cell r="B4377">
            <v>17248617</v>
          </cell>
          <cell r="C4377" t="str">
            <v>Sygma Cell</v>
          </cell>
        </row>
        <row r="4378">
          <cell r="B4378">
            <v>17228909</v>
          </cell>
          <cell r="C4378" t="str">
            <v>YUNI  ACHYAR CELL</v>
          </cell>
        </row>
        <row r="4379">
          <cell r="B4379">
            <v>17212160</v>
          </cell>
          <cell r="C4379" t="str">
            <v>ZAHWA CELL</v>
          </cell>
        </row>
        <row r="4380">
          <cell r="B4380">
            <v>17214770</v>
          </cell>
          <cell r="C4380" t="str">
            <v>Zakse Cell</v>
          </cell>
        </row>
        <row r="4381">
          <cell r="B4381">
            <v>1292580</v>
          </cell>
          <cell r="C4381" t="str">
            <v>Q CELL</v>
          </cell>
        </row>
        <row r="4382">
          <cell r="B4382">
            <v>17432499</v>
          </cell>
          <cell r="C4382" t="str">
            <v>165 cell</v>
          </cell>
        </row>
        <row r="4383">
          <cell r="B4383">
            <v>17214986</v>
          </cell>
          <cell r="C4383" t="str">
            <v>Aisha cell</v>
          </cell>
        </row>
        <row r="4384">
          <cell r="B4384">
            <v>661356</v>
          </cell>
          <cell r="C4384" t="str">
            <v>ALU CELL</v>
          </cell>
        </row>
        <row r="4385">
          <cell r="B4385">
            <v>1294018</v>
          </cell>
          <cell r="C4385" t="str">
            <v>BILL CELL</v>
          </cell>
        </row>
        <row r="4386">
          <cell r="B4386">
            <v>17471815</v>
          </cell>
          <cell r="C4386" t="str">
            <v>BUNGA CELL</v>
          </cell>
        </row>
        <row r="4387">
          <cell r="B4387">
            <v>17471828</v>
          </cell>
          <cell r="C4387" t="str">
            <v>CARD CELL 2</v>
          </cell>
        </row>
        <row r="4388">
          <cell r="B4388">
            <v>17045035</v>
          </cell>
          <cell r="C4388" t="str">
            <v>CS MASTER</v>
          </cell>
        </row>
        <row r="4389">
          <cell r="B4389">
            <v>17405823</v>
          </cell>
          <cell r="C4389" t="str">
            <v>CS MASTER 5</v>
          </cell>
        </row>
        <row r="4390">
          <cell r="B4390">
            <v>17196542</v>
          </cell>
          <cell r="C4390" t="str">
            <v>Daffa cell</v>
          </cell>
        </row>
        <row r="4391">
          <cell r="B4391">
            <v>734639</v>
          </cell>
          <cell r="C4391" t="str">
            <v>DEVITA CELL</v>
          </cell>
        </row>
        <row r="4392">
          <cell r="B4392">
            <v>17190642</v>
          </cell>
          <cell r="C4392" t="str">
            <v>Family 1</v>
          </cell>
        </row>
        <row r="4393">
          <cell r="B4393">
            <v>17257620</v>
          </cell>
          <cell r="C4393" t="str">
            <v>Gas cell</v>
          </cell>
        </row>
        <row r="4394">
          <cell r="B4394">
            <v>855279</v>
          </cell>
          <cell r="C4394" t="str">
            <v>Goezil cell</v>
          </cell>
        </row>
        <row r="4395">
          <cell r="B4395">
            <v>1330170</v>
          </cell>
          <cell r="C4395" t="str">
            <v>HNY CELL</v>
          </cell>
        </row>
        <row r="4396">
          <cell r="B4396">
            <v>17270311</v>
          </cell>
          <cell r="C4396" t="str">
            <v>Maman cell</v>
          </cell>
        </row>
        <row r="4397">
          <cell r="B4397">
            <v>17350558</v>
          </cell>
          <cell r="C4397" t="str">
            <v>Marwan cell</v>
          </cell>
        </row>
        <row r="4398">
          <cell r="B4398">
            <v>1305531</v>
          </cell>
          <cell r="C4398" t="str">
            <v>MILA CELL</v>
          </cell>
        </row>
        <row r="4399">
          <cell r="B4399">
            <v>17355059</v>
          </cell>
          <cell r="C4399" t="str">
            <v>RAFFA CELL</v>
          </cell>
        </row>
        <row r="4400">
          <cell r="B4400">
            <v>17472058</v>
          </cell>
          <cell r="C4400" t="str">
            <v>REVA CELL</v>
          </cell>
        </row>
        <row r="4401">
          <cell r="B4401">
            <v>17195983</v>
          </cell>
          <cell r="C4401" t="str">
            <v>RF store</v>
          </cell>
        </row>
        <row r="4402">
          <cell r="B4402">
            <v>1339954</v>
          </cell>
          <cell r="C4402" t="str">
            <v>YAKUZA CELL</v>
          </cell>
        </row>
        <row r="4403">
          <cell r="B4403">
            <v>17215840</v>
          </cell>
          <cell r="C4403" t="str">
            <v>Ida cell</v>
          </cell>
        </row>
        <row r="4404">
          <cell r="B4404">
            <v>1380665</v>
          </cell>
          <cell r="C4404" t="str">
            <v>ARUL cell</v>
          </cell>
        </row>
        <row r="4405">
          <cell r="B4405">
            <v>17186068</v>
          </cell>
          <cell r="C4405" t="str">
            <v>ARSHA CELL</v>
          </cell>
        </row>
        <row r="4406">
          <cell r="B4406">
            <v>17714491</v>
          </cell>
          <cell r="C4406" t="str">
            <v>USA cell</v>
          </cell>
        </row>
        <row r="4407">
          <cell r="B4407">
            <v>17435766</v>
          </cell>
          <cell r="C4407" t="str">
            <v>Fariz cell</v>
          </cell>
        </row>
        <row r="4408">
          <cell r="B4408">
            <v>17152623</v>
          </cell>
          <cell r="C4408" t="str">
            <v>Levi cell</v>
          </cell>
        </row>
        <row r="4409">
          <cell r="B4409">
            <v>17493604</v>
          </cell>
          <cell r="C4409" t="str">
            <v>Putri 2 cell</v>
          </cell>
        </row>
        <row r="4410">
          <cell r="B4410">
            <v>17288435</v>
          </cell>
          <cell r="C4410" t="str">
            <v>Twins cell 2</v>
          </cell>
        </row>
        <row r="4411">
          <cell r="B4411">
            <v>17437164</v>
          </cell>
          <cell r="C4411" t="str">
            <v>My way cell</v>
          </cell>
        </row>
        <row r="4412">
          <cell r="B4412">
            <v>17140240</v>
          </cell>
          <cell r="C4412" t="str">
            <v>BAROKAH CELL</v>
          </cell>
        </row>
        <row r="4413">
          <cell r="B4413">
            <v>17531150</v>
          </cell>
          <cell r="C4413" t="str">
            <v>MANS46CELL</v>
          </cell>
        </row>
        <row r="4414">
          <cell r="B4414">
            <v>1287468</v>
          </cell>
          <cell r="C4414" t="str">
            <v>MATRIX CELL</v>
          </cell>
        </row>
        <row r="4415">
          <cell r="B4415">
            <v>17471967</v>
          </cell>
          <cell r="C4415" t="str">
            <v>Azlan 007</v>
          </cell>
        </row>
        <row r="4416">
          <cell r="B4416">
            <v>17126074</v>
          </cell>
          <cell r="C4416" t="str">
            <v>Ezar Cell</v>
          </cell>
        </row>
        <row r="4417">
          <cell r="B4417">
            <v>17730343</v>
          </cell>
          <cell r="C4417" t="str">
            <v>FAIZ CELL</v>
          </cell>
        </row>
        <row r="4418">
          <cell r="B4418">
            <v>17730406</v>
          </cell>
          <cell r="C4418" t="str">
            <v>GALLERINA CELL</v>
          </cell>
        </row>
        <row r="4419">
          <cell r="B4419">
            <v>17450320</v>
          </cell>
          <cell r="C4419" t="str">
            <v>Geisha cell</v>
          </cell>
        </row>
        <row r="4420">
          <cell r="B4420">
            <v>17755563</v>
          </cell>
          <cell r="C4420" t="str">
            <v>Gumilar cell</v>
          </cell>
        </row>
        <row r="4421">
          <cell r="B4421">
            <v>17622224</v>
          </cell>
          <cell r="C4421" t="str">
            <v>HD Cell 2</v>
          </cell>
        </row>
        <row r="4422">
          <cell r="B4422">
            <v>17481939</v>
          </cell>
          <cell r="C4422" t="str">
            <v>Iis cell</v>
          </cell>
        </row>
        <row r="4423">
          <cell r="B4423">
            <v>17375505</v>
          </cell>
          <cell r="C4423" t="str">
            <v>Iza cell</v>
          </cell>
        </row>
        <row r="4424">
          <cell r="B4424">
            <v>17735815</v>
          </cell>
          <cell r="C4424" t="str">
            <v>JAYA CELL</v>
          </cell>
        </row>
        <row r="4425">
          <cell r="B4425">
            <v>17472195</v>
          </cell>
          <cell r="C4425" t="str">
            <v>JP 2 CELL</v>
          </cell>
        </row>
        <row r="4426">
          <cell r="B4426">
            <v>1564149</v>
          </cell>
          <cell r="C4426" t="str">
            <v>liverpool cell</v>
          </cell>
        </row>
        <row r="4427">
          <cell r="B4427">
            <v>17157907</v>
          </cell>
          <cell r="C4427" t="str">
            <v>Sartika cell</v>
          </cell>
        </row>
        <row r="4428">
          <cell r="B4428">
            <v>17194795</v>
          </cell>
          <cell r="C4428" t="str">
            <v>LIVERPOOL CELL 2</v>
          </cell>
        </row>
        <row r="4429">
          <cell r="B4429">
            <v>17712569</v>
          </cell>
          <cell r="C4429" t="str">
            <v>Lulu cell</v>
          </cell>
        </row>
        <row r="4430">
          <cell r="B4430">
            <v>1351993</v>
          </cell>
          <cell r="C4430" t="str">
            <v>NABILA CELL</v>
          </cell>
        </row>
        <row r="4431">
          <cell r="B4431">
            <v>17472472</v>
          </cell>
          <cell r="C4431" t="str">
            <v>Brother Cell</v>
          </cell>
        </row>
        <row r="4432">
          <cell r="B4432">
            <v>17030124</v>
          </cell>
          <cell r="C4432" t="str">
            <v>Setia Cell</v>
          </cell>
        </row>
        <row r="4433">
          <cell r="B4433">
            <v>17435391</v>
          </cell>
          <cell r="C4433" t="str">
            <v>Halawa Cell</v>
          </cell>
        </row>
        <row r="4434">
          <cell r="B4434">
            <v>17600595</v>
          </cell>
          <cell r="C4434" t="str">
            <v>Selawangi cell</v>
          </cell>
        </row>
        <row r="4435">
          <cell r="B4435">
            <v>17384806</v>
          </cell>
          <cell r="C4435" t="str">
            <v>TIARRA CELL</v>
          </cell>
        </row>
        <row r="4436">
          <cell r="B4436">
            <v>17622233</v>
          </cell>
          <cell r="C4436" t="str">
            <v>Babeh cell</v>
          </cell>
        </row>
        <row r="4437">
          <cell r="B4437">
            <v>17626932</v>
          </cell>
          <cell r="C4437" t="str">
            <v>warung pulsa</v>
          </cell>
        </row>
        <row r="4438">
          <cell r="B4438">
            <v>17620171</v>
          </cell>
          <cell r="C4438" t="str">
            <v>Zizis cell</v>
          </cell>
        </row>
        <row r="4439">
          <cell r="B4439">
            <v>17621904</v>
          </cell>
          <cell r="C4439" t="str">
            <v>Re Phonestore</v>
          </cell>
        </row>
        <row r="4440">
          <cell r="B4440">
            <v>17623397</v>
          </cell>
          <cell r="C4440" t="str">
            <v>FER CELL</v>
          </cell>
        </row>
        <row r="4441">
          <cell r="B4441">
            <v>17623616</v>
          </cell>
          <cell r="C4441" t="str">
            <v>mantap cell</v>
          </cell>
        </row>
        <row r="4442">
          <cell r="B4442">
            <v>17625438</v>
          </cell>
          <cell r="C4442" t="str">
            <v>Amanah Cell</v>
          </cell>
        </row>
        <row r="4443">
          <cell r="B4443">
            <v>17626847</v>
          </cell>
          <cell r="C4443" t="str">
            <v>SUNDA PULSA</v>
          </cell>
        </row>
        <row r="4444">
          <cell r="B4444">
            <v>17781162</v>
          </cell>
          <cell r="C4444" t="str">
            <v>SOPIYA CELL</v>
          </cell>
        </row>
        <row r="4445">
          <cell r="B4445">
            <v>17265043</v>
          </cell>
          <cell r="C4445" t="str">
            <v>Nadila cell</v>
          </cell>
        </row>
        <row r="4446">
          <cell r="B4446">
            <v>17631473</v>
          </cell>
          <cell r="C4446" t="str">
            <v>R.A.F CELL</v>
          </cell>
        </row>
        <row r="4447">
          <cell r="B4447">
            <v>17642424</v>
          </cell>
          <cell r="C4447" t="str">
            <v>Rm</v>
          </cell>
        </row>
        <row r="4448">
          <cell r="B4448">
            <v>17611418</v>
          </cell>
          <cell r="C4448" t="str">
            <v>Agung cell</v>
          </cell>
        </row>
        <row r="4449">
          <cell r="B4449">
            <v>17648762</v>
          </cell>
          <cell r="C4449" t="str">
            <v>Aang cell</v>
          </cell>
        </row>
        <row r="4450">
          <cell r="B4450">
            <v>17648775</v>
          </cell>
          <cell r="C4450" t="str">
            <v>Erzhan Cell</v>
          </cell>
        </row>
        <row r="4451">
          <cell r="B4451">
            <v>17649354</v>
          </cell>
          <cell r="C4451" t="str">
            <v>Galaxy</v>
          </cell>
        </row>
        <row r="4452">
          <cell r="B4452">
            <v>1379997</v>
          </cell>
          <cell r="C4452" t="str">
            <v>INTAN 2 CELL</v>
          </cell>
        </row>
        <row r="4453">
          <cell r="B4453">
            <v>17011262</v>
          </cell>
          <cell r="C4453" t="str">
            <v>KOIN CELL</v>
          </cell>
        </row>
        <row r="4454">
          <cell r="B4454">
            <v>1352760</v>
          </cell>
          <cell r="C4454" t="str">
            <v>SULE CELL</v>
          </cell>
        </row>
        <row r="4455">
          <cell r="B4455">
            <v>920914</v>
          </cell>
          <cell r="C4455" t="str">
            <v>sakinah cell</v>
          </cell>
        </row>
        <row r="4456">
          <cell r="B4456">
            <v>17613806</v>
          </cell>
          <cell r="C4456" t="str">
            <v>Surya24 cell</v>
          </cell>
        </row>
        <row r="4457">
          <cell r="B4457">
            <v>1287328</v>
          </cell>
          <cell r="C4457" t="str">
            <v>TEGAR CELL</v>
          </cell>
        </row>
        <row r="4458">
          <cell r="B4458">
            <v>17547925</v>
          </cell>
          <cell r="C4458" t="str">
            <v>Graffari Cell</v>
          </cell>
        </row>
        <row r="4459">
          <cell r="B4459">
            <v>17547927</v>
          </cell>
          <cell r="C4459" t="str">
            <v>GC_VIA CELL</v>
          </cell>
        </row>
        <row r="4460">
          <cell r="B4460">
            <v>17547962</v>
          </cell>
          <cell r="C4460" t="str">
            <v>RJ CELL</v>
          </cell>
        </row>
        <row r="4461">
          <cell r="B4461">
            <v>17548006</v>
          </cell>
          <cell r="C4461" t="str">
            <v>VIONIS CELL</v>
          </cell>
        </row>
        <row r="4462">
          <cell r="B4462">
            <v>17548009</v>
          </cell>
          <cell r="C4462" t="str">
            <v>Parkud Cell</v>
          </cell>
        </row>
        <row r="4463">
          <cell r="B4463">
            <v>17548041</v>
          </cell>
          <cell r="C4463" t="str">
            <v>KEMBAR STORE</v>
          </cell>
        </row>
        <row r="4464">
          <cell r="B4464">
            <v>17548082</v>
          </cell>
          <cell r="C4464" t="str">
            <v>Pley Store</v>
          </cell>
        </row>
        <row r="4465">
          <cell r="B4465">
            <v>17548132</v>
          </cell>
          <cell r="C4465" t="str">
            <v>Eighty Phone Shop</v>
          </cell>
        </row>
        <row r="4466">
          <cell r="B4466">
            <v>17548154</v>
          </cell>
          <cell r="C4466" t="str">
            <v>80 Cell</v>
          </cell>
        </row>
        <row r="4467">
          <cell r="B4467">
            <v>17548173</v>
          </cell>
          <cell r="C4467" t="str">
            <v>ESA CELL</v>
          </cell>
        </row>
        <row r="4468">
          <cell r="B4468">
            <v>17548176</v>
          </cell>
          <cell r="C4468" t="str">
            <v>Nizam Cell</v>
          </cell>
        </row>
        <row r="4469">
          <cell r="B4469">
            <v>17548218</v>
          </cell>
          <cell r="C4469" t="str">
            <v>Kaka Cell</v>
          </cell>
        </row>
        <row r="4470">
          <cell r="B4470">
            <v>17548242</v>
          </cell>
          <cell r="C4470" t="str">
            <v>SRI CELL</v>
          </cell>
        </row>
        <row r="4471">
          <cell r="B4471">
            <v>17548287</v>
          </cell>
          <cell r="C4471" t="str">
            <v>QTELL Cell</v>
          </cell>
        </row>
        <row r="4472">
          <cell r="B4472">
            <v>17548298</v>
          </cell>
          <cell r="C4472" t="str">
            <v>Anggun Cell</v>
          </cell>
        </row>
        <row r="4473">
          <cell r="B4473">
            <v>17548308</v>
          </cell>
          <cell r="C4473" t="str">
            <v>GADGET STORE</v>
          </cell>
        </row>
        <row r="4474">
          <cell r="B4474">
            <v>17548662</v>
          </cell>
          <cell r="C4474" t="str">
            <v>RNY KOMPUTER</v>
          </cell>
        </row>
        <row r="4475">
          <cell r="B4475">
            <v>17548763</v>
          </cell>
          <cell r="C4475" t="str">
            <v>AKA STORE1</v>
          </cell>
        </row>
        <row r="4476">
          <cell r="B4476">
            <v>17548782</v>
          </cell>
          <cell r="C4476" t="str">
            <v>Aka store 2</v>
          </cell>
        </row>
        <row r="4477">
          <cell r="B4477">
            <v>17549407</v>
          </cell>
          <cell r="C4477" t="str">
            <v>The Best Phone Cell</v>
          </cell>
        </row>
        <row r="4478">
          <cell r="B4478">
            <v>17549409</v>
          </cell>
          <cell r="C4478" t="str">
            <v>Simastel</v>
          </cell>
        </row>
        <row r="4479">
          <cell r="B4479">
            <v>17550957</v>
          </cell>
          <cell r="C4479" t="str">
            <v>HALIFE STORE</v>
          </cell>
        </row>
        <row r="4480">
          <cell r="B4480">
            <v>17555759</v>
          </cell>
          <cell r="C4480" t="str">
            <v>QQ CELL</v>
          </cell>
        </row>
        <row r="4481">
          <cell r="B4481">
            <v>17561702</v>
          </cell>
          <cell r="C4481" t="str">
            <v>Gadget Store2</v>
          </cell>
        </row>
        <row r="4482">
          <cell r="B4482">
            <v>17561903</v>
          </cell>
          <cell r="C4482" t="str">
            <v>Central Cell</v>
          </cell>
        </row>
        <row r="4483">
          <cell r="B4483">
            <v>17565538</v>
          </cell>
          <cell r="C4483" t="str">
            <v>KG SUKABUMI</v>
          </cell>
        </row>
        <row r="4484">
          <cell r="B4484">
            <v>17567632</v>
          </cell>
          <cell r="C4484" t="str">
            <v>TRIXY CELL</v>
          </cell>
        </row>
        <row r="4485">
          <cell r="B4485">
            <v>17567984</v>
          </cell>
          <cell r="C4485" t="str">
            <v>G Celluler</v>
          </cell>
        </row>
        <row r="4486">
          <cell r="B4486">
            <v>17568142</v>
          </cell>
          <cell r="C4486" t="str">
            <v>Mega cell</v>
          </cell>
        </row>
        <row r="4487">
          <cell r="B4487">
            <v>17568706</v>
          </cell>
          <cell r="C4487" t="str">
            <v>Chaang cell</v>
          </cell>
        </row>
        <row r="4488">
          <cell r="B4488">
            <v>17568715</v>
          </cell>
          <cell r="C4488" t="str">
            <v>Sinar cell</v>
          </cell>
        </row>
        <row r="4489">
          <cell r="B4489">
            <v>17570676</v>
          </cell>
          <cell r="C4489" t="str">
            <v>Galaxycell</v>
          </cell>
        </row>
        <row r="4490">
          <cell r="B4490">
            <v>17571583</v>
          </cell>
          <cell r="C4490" t="str">
            <v>Nayyara cell</v>
          </cell>
        </row>
        <row r="4491">
          <cell r="B4491">
            <v>17571835</v>
          </cell>
          <cell r="C4491" t="str">
            <v>SJU cell</v>
          </cell>
        </row>
        <row r="4492">
          <cell r="B4492">
            <v>17601145</v>
          </cell>
          <cell r="C4492" t="str">
            <v>MPUS CELLULER</v>
          </cell>
        </row>
        <row r="4493">
          <cell r="B4493">
            <v>17609758</v>
          </cell>
          <cell r="C4493" t="str">
            <v>GS RH CELL</v>
          </cell>
        </row>
        <row r="4494">
          <cell r="B4494">
            <v>17621463</v>
          </cell>
          <cell r="C4494" t="str">
            <v>MI CELL</v>
          </cell>
        </row>
        <row r="4495">
          <cell r="B4495">
            <v>17627609</v>
          </cell>
          <cell r="C4495" t="str">
            <v>M store</v>
          </cell>
        </row>
        <row r="4496">
          <cell r="B4496">
            <v>17636750</v>
          </cell>
          <cell r="C4496" t="str">
            <v>R CELL</v>
          </cell>
        </row>
        <row r="4497">
          <cell r="B4497">
            <v>17653266</v>
          </cell>
          <cell r="C4497" t="str">
            <v>Century Cell</v>
          </cell>
        </row>
        <row r="4498">
          <cell r="B4498">
            <v>17660497</v>
          </cell>
          <cell r="C4498" t="str">
            <v>BBS shop</v>
          </cell>
        </row>
        <row r="4499">
          <cell r="B4499">
            <v>17661602</v>
          </cell>
          <cell r="C4499" t="str">
            <v>indosat center</v>
          </cell>
        </row>
        <row r="4500">
          <cell r="B4500">
            <v>17405596</v>
          </cell>
          <cell r="C4500" t="str">
            <v>Ndeng Cell</v>
          </cell>
        </row>
        <row r="4501">
          <cell r="B4501">
            <v>17718481</v>
          </cell>
          <cell r="C4501" t="str">
            <v>LANGGANAN STORE 1</v>
          </cell>
        </row>
        <row r="4502">
          <cell r="B4502">
            <v>17718753</v>
          </cell>
          <cell r="C4502" t="str">
            <v>LANGGANAN STORE 2</v>
          </cell>
        </row>
        <row r="4503">
          <cell r="B4503">
            <v>17719328</v>
          </cell>
          <cell r="C4503" t="str">
            <v>Abing Phone Cell</v>
          </cell>
        </row>
        <row r="4504">
          <cell r="B4504">
            <v>17720033</v>
          </cell>
          <cell r="C4504" t="str">
            <v>ZAHRA CELL SMI</v>
          </cell>
        </row>
        <row r="4505">
          <cell r="B4505">
            <v>17724784</v>
          </cell>
          <cell r="C4505" t="str">
            <v>165 cell 2</v>
          </cell>
        </row>
        <row r="4506">
          <cell r="B4506">
            <v>17727840</v>
          </cell>
          <cell r="C4506" t="str">
            <v>Rafiffa Cell</v>
          </cell>
        </row>
        <row r="4507">
          <cell r="B4507">
            <v>17472466</v>
          </cell>
          <cell r="C4507" t="str">
            <v>REZA STORE</v>
          </cell>
        </row>
        <row r="4508">
          <cell r="B4508">
            <v>17727869</v>
          </cell>
          <cell r="C4508" t="str">
            <v>Khami store</v>
          </cell>
        </row>
        <row r="4509">
          <cell r="B4509">
            <v>17727877</v>
          </cell>
          <cell r="C4509" t="str">
            <v>RC CELL SMI</v>
          </cell>
        </row>
        <row r="4510">
          <cell r="B4510">
            <v>17782392</v>
          </cell>
          <cell r="C4510" t="str">
            <v>SYABIL 2 CELL</v>
          </cell>
        </row>
        <row r="4511">
          <cell r="B4511">
            <v>17732054</v>
          </cell>
          <cell r="C4511" t="str">
            <v>QILLA CELL2</v>
          </cell>
        </row>
        <row r="4512">
          <cell r="B4512">
            <v>521971</v>
          </cell>
          <cell r="C4512" t="str">
            <v>NAUVAL CELL</v>
          </cell>
        </row>
        <row r="4513">
          <cell r="B4513">
            <v>1306800</v>
          </cell>
          <cell r="C4513" t="str">
            <v>New Dadaly cell</v>
          </cell>
        </row>
        <row r="4514">
          <cell r="B4514">
            <v>1377817</v>
          </cell>
          <cell r="C4514" t="str">
            <v>Rahayu cell</v>
          </cell>
        </row>
        <row r="4515">
          <cell r="B4515">
            <v>1337442</v>
          </cell>
          <cell r="C4515" t="str">
            <v>Ilham cell</v>
          </cell>
        </row>
        <row r="4516">
          <cell r="B4516">
            <v>1338770</v>
          </cell>
          <cell r="C4516" t="str">
            <v>ziloen cell</v>
          </cell>
        </row>
        <row r="4517">
          <cell r="B4517">
            <v>510677</v>
          </cell>
          <cell r="C4517" t="str">
            <v>JB CELL</v>
          </cell>
        </row>
        <row r="4518">
          <cell r="B4518">
            <v>1483623</v>
          </cell>
          <cell r="C4518" t="str">
            <v>SAHABAT CELL</v>
          </cell>
        </row>
        <row r="4519">
          <cell r="B4519">
            <v>1560035</v>
          </cell>
          <cell r="C4519" t="str">
            <v>husna celluler</v>
          </cell>
        </row>
        <row r="4520">
          <cell r="B4520">
            <v>1371271</v>
          </cell>
          <cell r="C4520" t="str">
            <v>Nia Cell</v>
          </cell>
        </row>
        <row r="4521">
          <cell r="B4521">
            <v>1480592</v>
          </cell>
          <cell r="C4521" t="str">
            <v>MAJU PHONESHOP</v>
          </cell>
        </row>
        <row r="4522">
          <cell r="B4522">
            <v>1480591</v>
          </cell>
          <cell r="C4522" t="str">
            <v>RRM CELK</v>
          </cell>
        </row>
        <row r="4523">
          <cell r="B4523">
            <v>1555245</v>
          </cell>
          <cell r="C4523" t="str">
            <v>THE CELL 2</v>
          </cell>
        </row>
        <row r="4524">
          <cell r="B4524">
            <v>1556348</v>
          </cell>
          <cell r="C4524" t="str">
            <v>Robi cell</v>
          </cell>
        </row>
        <row r="4525">
          <cell r="B4525">
            <v>1386246</v>
          </cell>
          <cell r="C4525" t="str">
            <v>Sizka Cell</v>
          </cell>
        </row>
        <row r="4526">
          <cell r="B4526">
            <v>1371270</v>
          </cell>
          <cell r="C4526" t="str">
            <v>Barokah Cell</v>
          </cell>
        </row>
        <row r="4527">
          <cell r="B4527">
            <v>502137</v>
          </cell>
          <cell r="C4527" t="str">
            <v>TAN CELL</v>
          </cell>
        </row>
        <row r="4528">
          <cell r="B4528">
            <v>1481626</v>
          </cell>
          <cell r="C4528" t="str">
            <v>KING 2 CELL</v>
          </cell>
        </row>
        <row r="4529">
          <cell r="B4529">
            <v>1361273</v>
          </cell>
          <cell r="C4529" t="str">
            <v>WAHYU 2</v>
          </cell>
        </row>
        <row r="4530">
          <cell r="B4530">
            <v>1318889</v>
          </cell>
          <cell r="C4530" t="str">
            <v>Eliza Cell</v>
          </cell>
        </row>
        <row r="4531">
          <cell r="B4531">
            <v>1480402</v>
          </cell>
          <cell r="C4531" t="str">
            <v>KINGS CELL</v>
          </cell>
        </row>
        <row r="4532">
          <cell r="B4532">
            <v>1508376</v>
          </cell>
          <cell r="C4532" t="str">
            <v>RISTA CELL 03</v>
          </cell>
        </row>
        <row r="4533">
          <cell r="B4533">
            <v>1555244</v>
          </cell>
          <cell r="C4533" t="str">
            <v>THE CELL</v>
          </cell>
        </row>
        <row r="4534">
          <cell r="B4534">
            <v>1380670</v>
          </cell>
          <cell r="C4534" t="str">
            <v>RNY COM</v>
          </cell>
        </row>
        <row r="4535">
          <cell r="B4535">
            <v>1287257</v>
          </cell>
          <cell r="C4535" t="str">
            <v>DADALY CELL</v>
          </cell>
        </row>
        <row r="4536">
          <cell r="B4536">
            <v>1339973</v>
          </cell>
          <cell r="C4536" t="str">
            <v>NASRUL CELL</v>
          </cell>
        </row>
        <row r="4537">
          <cell r="B4537">
            <v>1365146</v>
          </cell>
          <cell r="C4537" t="str">
            <v>selvi cell</v>
          </cell>
        </row>
        <row r="4538">
          <cell r="B4538">
            <v>1483017</v>
          </cell>
          <cell r="C4538" t="str">
            <v>LUCKY CELL</v>
          </cell>
        </row>
        <row r="4539">
          <cell r="B4539">
            <v>1450304</v>
          </cell>
          <cell r="C4539" t="str">
            <v>Alvin cell</v>
          </cell>
        </row>
        <row r="4540">
          <cell r="B4540">
            <v>1559281</v>
          </cell>
          <cell r="C4540" t="str">
            <v>kaisan selluler</v>
          </cell>
        </row>
        <row r="4541">
          <cell r="B4541">
            <v>1480593</v>
          </cell>
          <cell r="C4541" t="str">
            <v>SUPER PONSEL</v>
          </cell>
        </row>
        <row r="4542">
          <cell r="B4542">
            <v>1338568</v>
          </cell>
          <cell r="C4542" t="str">
            <v>ROHMAN CELL</v>
          </cell>
        </row>
        <row r="4543">
          <cell r="B4543">
            <v>1361275</v>
          </cell>
          <cell r="C4543" t="str">
            <v>CAHAYA NEW</v>
          </cell>
        </row>
        <row r="4544">
          <cell r="B4544">
            <v>1302422</v>
          </cell>
          <cell r="C4544" t="str">
            <v>U-SHOP CELL</v>
          </cell>
        </row>
        <row r="4545">
          <cell r="B4545">
            <v>568121</v>
          </cell>
          <cell r="C4545" t="str">
            <v>Nanda cell</v>
          </cell>
        </row>
        <row r="4546">
          <cell r="B4546">
            <v>509260</v>
          </cell>
          <cell r="C4546" t="str">
            <v>PROVIDER CELL</v>
          </cell>
        </row>
        <row r="4547">
          <cell r="B4547">
            <v>1070155</v>
          </cell>
          <cell r="C4547" t="str">
            <v>radit cell</v>
          </cell>
        </row>
        <row r="4548">
          <cell r="B4548">
            <v>1480590</v>
          </cell>
          <cell r="C4548" t="str">
            <v>VINCENT PHONESHOP</v>
          </cell>
        </row>
        <row r="4549">
          <cell r="B4549">
            <v>1357348</v>
          </cell>
          <cell r="C4549" t="str">
            <v>JB 2</v>
          </cell>
        </row>
        <row r="4550">
          <cell r="B4550">
            <v>1296495</v>
          </cell>
          <cell r="C4550" t="str">
            <v>Dens Cell 2</v>
          </cell>
        </row>
        <row r="4551">
          <cell r="B4551">
            <v>1337478</v>
          </cell>
          <cell r="C4551" t="str">
            <v>Beny new</v>
          </cell>
        </row>
        <row r="4552">
          <cell r="B4552">
            <v>17149036</v>
          </cell>
          <cell r="C4552" t="str">
            <v>MJ.2 cel</v>
          </cell>
        </row>
        <row r="4553">
          <cell r="B4553">
            <v>17152324</v>
          </cell>
          <cell r="C4553" t="str">
            <v>Enda cell</v>
          </cell>
        </row>
        <row r="4554">
          <cell r="B4554">
            <v>17154904</v>
          </cell>
          <cell r="C4554" t="str">
            <v>Putera cell</v>
          </cell>
        </row>
        <row r="4555">
          <cell r="B4555">
            <v>17155466</v>
          </cell>
          <cell r="C4555" t="str">
            <v>My2 cell</v>
          </cell>
        </row>
        <row r="4556">
          <cell r="B4556">
            <v>17158536</v>
          </cell>
          <cell r="C4556" t="str">
            <v>Radit cell</v>
          </cell>
        </row>
        <row r="4557">
          <cell r="B4557">
            <v>17192015</v>
          </cell>
          <cell r="C4557" t="str">
            <v>Afifah Cell</v>
          </cell>
        </row>
        <row r="4558">
          <cell r="B4558">
            <v>17192055</v>
          </cell>
          <cell r="C4558" t="str">
            <v>Mira Cell</v>
          </cell>
        </row>
        <row r="4559">
          <cell r="B4559">
            <v>17194700</v>
          </cell>
          <cell r="C4559" t="str">
            <v>Tile Cell</v>
          </cell>
        </row>
        <row r="4560">
          <cell r="B4560">
            <v>17202425</v>
          </cell>
          <cell r="C4560" t="str">
            <v>Rahmat cell</v>
          </cell>
        </row>
        <row r="4561">
          <cell r="B4561">
            <v>17217633</v>
          </cell>
          <cell r="C4561" t="str">
            <v>Dessy cell</v>
          </cell>
        </row>
        <row r="4562">
          <cell r="B4562">
            <v>17231539</v>
          </cell>
          <cell r="C4562" t="str">
            <v>Alika cell</v>
          </cell>
        </row>
        <row r="4563">
          <cell r="B4563">
            <v>17231592</v>
          </cell>
          <cell r="C4563" t="str">
            <v>Abdul Fatah cell</v>
          </cell>
        </row>
        <row r="4564">
          <cell r="B4564">
            <v>17235697</v>
          </cell>
          <cell r="C4564" t="str">
            <v>Nadhiva cell</v>
          </cell>
        </row>
        <row r="4565">
          <cell r="B4565">
            <v>17246545</v>
          </cell>
          <cell r="C4565" t="str">
            <v>M cell</v>
          </cell>
        </row>
        <row r="4566">
          <cell r="B4566">
            <v>17258180</v>
          </cell>
          <cell r="C4566" t="str">
            <v>Adam cell</v>
          </cell>
        </row>
        <row r="4567">
          <cell r="B4567">
            <v>17258251</v>
          </cell>
          <cell r="C4567" t="str">
            <v>Nabila cell</v>
          </cell>
        </row>
        <row r="4568">
          <cell r="B4568">
            <v>17258809</v>
          </cell>
          <cell r="C4568" t="str">
            <v>Hibban cell</v>
          </cell>
        </row>
        <row r="4569">
          <cell r="B4569">
            <v>17264691</v>
          </cell>
          <cell r="C4569" t="str">
            <v>Rendi cell</v>
          </cell>
        </row>
        <row r="4570">
          <cell r="B4570">
            <v>17266903</v>
          </cell>
          <cell r="C4570" t="str">
            <v>Edp cell</v>
          </cell>
        </row>
        <row r="4571">
          <cell r="B4571">
            <v>17276190</v>
          </cell>
          <cell r="C4571" t="str">
            <v>Kios ray</v>
          </cell>
        </row>
        <row r="4572">
          <cell r="B4572">
            <v>17307426</v>
          </cell>
          <cell r="C4572" t="str">
            <v>Endang cell</v>
          </cell>
        </row>
        <row r="4573">
          <cell r="B4573">
            <v>17317059</v>
          </cell>
          <cell r="C4573" t="str">
            <v>Irwansyah cell</v>
          </cell>
        </row>
        <row r="4574">
          <cell r="B4574">
            <v>17326009</v>
          </cell>
          <cell r="C4574" t="str">
            <v>Noa cell</v>
          </cell>
        </row>
        <row r="4575">
          <cell r="B4575">
            <v>17331620</v>
          </cell>
          <cell r="C4575" t="str">
            <v>Fatih cell</v>
          </cell>
        </row>
        <row r="4576">
          <cell r="B4576">
            <v>17332045</v>
          </cell>
          <cell r="C4576" t="str">
            <v>Garan cell</v>
          </cell>
        </row>
        <row r="4577">
          <cell r="B4577">
            <v>17347648</v>
          </cell>
          <cell r="C4577" t="str">
            <v>IRWANSYAH 2</v>
          </cell>
        </row>
        <row r="4578">
          <cell r="B4578">
            <v>17362933</v>
          </cell>
          <cell r="C4578" t="str">
            <v>G- CELL</v>
          </cell>
        </row>
        <row r="4579">
          <cell r="B4579">
            <v>17363457</v>
          </cell>
          <cell r="C4579" t="str">
            <v>Hilman cell</v>
          </cell>
        </row>
        <row r="4580">
          <cell r="B4580">
            <v>17387960</v>
          </cell>
          <cell r="C4580" t="str">
            <v>Irwansyah 3</v>
          </cell>
        </row>
        <row r="4581">
          <cell r="B4581">
            <v>17388240</v>
          </cell>
          <cell r="C4581" t="str">
            <v>Aboy cell</v>
          </cell>
        </row>
        <row r="4582">
          <cell r="B4582">
            <v>17388263</v>
          </cell>
          <cell r="C4582" t="str">
            <v>Zoe cell</v>
          </cell>
        </row>
        <row r="4583">
          <cell r="B4583">
            <v>17388581</v>
          </cell>
          <cell r="C4583" t="str">
            <v>Affan cell</v>
          </cell>
        </row>
        <row r="4584">
          <cell r="B4584">
            <v>17410512</v>
          </cell>
          <cell r="C4584" t="str">
            <v>Instore pulsa</v>
          </cell>
        </row>
        <row r="4585">
          <cell r="B4585">
            <v>17431117</v>
          </cell>
          <cell r="C4585" t="str">
            <v>Doer</v>
          </cell>
        </row>
        <row r="4586">
          <cell r="B4586">
            <v>17431119</v>
          </cell>
          <cell r="C4586" t="str">
            <v>Iis cell</v>
          </cell>
        </row>
        <row r="4587">
          <cell r="B4587">
            <v>17431372</v>
          </cell>
          <cell r="C4587" t="str">
            <v>Hikmah cell</v>
          </cell>
        </row>
        <row r="4588">
          <cell r="B4588">
            <v>17431375</v>
          </cell>
          <cell r="C4588" t="str">
            <v>Indra cell</v>
          </cell>
        </row>
        <row r="4589">
          <cell r="B4589">
            <v>17431675</v>
          </cell>
          <cell r="C4589" t="str">
            <v>Vano cell</v>
          </cell>
        </row>
        <row r="4590">
          <cell r="B4590">
            <v>17437236</v>
          </cell>
          <cell r="C4590" t="str">
            <v>Hasna</v>
          </cell>
        </row>
        <row r="4591">
          <cell r="B4591">
            <v>17506257</v>
          </cell>
          <cell r="C4591" t="str">
            <v>Irwansyah Pusat</v>
          </cell>
        </row>
        <row r="4592">
          <cell r="B4592">
            <v>17506258</v>
          </cell>
          <cell r="C4592" t="str">
            <v>Irwansyah 5</v>
          </cell>
        </row>
        <row r="4593">
          <cell r="B4593">
            <v>17515498</v>
          </cell>
          <cell r="C4593" t="str">
            <v>Nafis cell</v>
          </cell>
        </row>
        <row r="4594">
          <cell r="B4594">
            <v>17517037</v>
          </cell>
          <cell r="C4594" t="str">
            <v>ALBY CELL</v>
          </cell>
        </row>
        <row r="4595">
          <cell r="B4595">
            <v>17517832</v>
          </cell>
          <cell r="C4595" t="str">
            <v>Warung pulsa</v>
          </cell>
        </row>
        <row r="4596">
          <cell r="B4596">
            <v>17529233</v>
          </cell>
          <cell r="C4596" t="str">
            <v>Wrg Santika</v>
          </cell>
        </row>
        <row r="4597">
          <cell r="B4597">
            <v>17583694</v>
          </cell>
          <cell r="C4597" t="str">
            <v>Musa Cell</v>
          </cell>
        </row>
        <row r="4598">
          <cell r="B4598">
            <v>17583699</v>
          </cell>
          <cell r="C4598" t="str">
            <v>Istiqomah Store</v>
          </cell>
        </row>
        <row r="4599">
          <cell r="B4599">
            <v>17584156</v>
          </cell>
          <cell r="C4599" t="str">
            <v>Ann cell</v>
          </cell>
        </row>
        <row r="4600">
          <cell r="B4600">
            <v>17588362</v>
          </cell>
          <cell r="C4600" t="str">
            <v>Abadi jaya</v>
          </cell>
        </row>
        <row r="4601">
          <cell r="B4601">
            <v>17600486</v>
          </cell>
          <cell r="C4601" t="str">
            <v>Ryosa cell</v>
          </cell>
        </row>
        <row r="4602">
          <cell r="B4602">
            <v>17615841</v>
          </cell>
          <cell r="C4602" t="str">
            <v>Irwan cell</v>
          </cell>
        </row>
        <row r="4603">
          <cell r="B4603">
            <v>17615847</v>
          </cell>
          <cell r="C4603" t="str">
            <v>Iwan Cell</v>
          </cell>
        </row>
        <row r="4604">
          <cell r="B4604">
            <v>17615855</v>
          </cell>
          <cell r="C4604" t="str">
            <v>Nur Cell</v>
          </cell>
        </row>
        <row r="4605">
          <cell r="B4605">
            <v>17622580</v>
          </cell>
          <cell r="C4605" t="str">
            <v>RADISA CELL</v>
          </cell>
        </row>
        <row r="4606">
          <cell r="B4606">
            <v>17626658</v>
          </cell>
          <cell r="C4606" t="str">
            <v>aqilla cell</v>
          </cell>
        </row>
        <row r="4607">
          <cell r="B4607">
            <v>17680326</v>
          </cell>
          <cell r="C4607" t="str">
            <v>WP- Warung Bu IIS</v>
          </cell>
        </row>
        <row r="4608">
          <cell r="B4608">
            <v>17681292</v>
          </cell>
          <cell r="C4608" t="str">
            <v>Wr ibu rohma</v>
          </cell>
        </row>
        <row r="4609">
          <cell r="B4609">
            <v>17707521</v>
          </cell>
          <cell r="C4609" t="str">
            <v>Irwansyah 9</v>
          </cell>
        </row>
        <row r="4610">
          <cell r="B4610">
            <v>17710356</v>
          </cell>
          <cell r="C4610" t="str">
            <v>Shikhazi cell</v>
          </cell>
        </row>
        <row r="4611">
          <cell r="B4611">
            <v>17724962</v>
          </cell>
          <cell r="C4611" t="str">
            <v>TRI YN Cell</v>
          </cell>
        </row>
        <row r="4612">
          <cell r="B4612">
            <v>17726717</v>
          </cell>
          <cell r="C4612" t="str">
            <v>nafiral cell</v>
          </cell>
        </row>
        <row r="4613">
          <cell r="B4613">
            <v>17727980</v>
          </cell>
          <cell r="C4613" t="str">
            <v>IBRA CELL</v>
          </cell>
        </row>
        <row r="4614">
          <cell r="B4614">
            <v>17727986</v>
          </cell>
          <cell r="C4614" t="str">
            <v>Last store</v>
          </cell>
        </row>
        <row r="4615">
          <cell r="B4615">
            <v>17727972</v>
          </cell>
          <cell r="C4615" t="str">
            <v>Warung pulsa sicopos</v>
          </cell>
        </row>
        <row r="4616">
          <cell r="B4616">
            <v>17781767</v>
          </cell>
          <cell r="C4616" t="str">
            <v>RAINA cell</v>
          </cell>
        </row>
        <row r="4617">
          <cell r="B4617">
            <v>17631326</v>
          </cell>
          <cell r="C4617" t="str">
            <v>Ramdani cell</v>
          </cell>
        </row>
        <row r="4618">
          <cell r="B4618">
            <v>17122436</v>
          </cell>
          <cell r="C4618" t="str">
            <v>Resti cell</v>
          </cell>
        </row>
        <row r="4619">
          <cell r="B4619">
            <v>17139168</v>
          </cell>
          <cell r="C4619" t="str">
            <v>Reyhan cell</v>
          </cell>
        </row>
        <row r="4620">
          <cell r="B4620">
            <v>17730359</v>
          </cell>
          <cell r="C4620" t="str">
            <v>RIJWAN CELL</v>
          </cell>
        </row>
        <row r="4621">
          <cell r="B4621">
            <v>17153375</v>
          </cell>
          <cell r="C4621" t="str">
            <v>Rizky18 Cell</v>
          </cell>
        </row>
        <row r="4622">
          <cell r="B4622">
            <v>17481959</v>
          </cell>
          <cell r="C4622" t="str">
            <v>Rox cell</v>
          </cell>
        </row>
        <row r="4623">
          <cell r="B4623" t="str">
            <v>DSFJYSKBM001</v>
          </cell>
          <cell r="C4623" t="str">
            <v>DSFJYSKBM001</v>
          </cell>
        </row>
        <row r="4624">
          <cell r="B4624">
            <v>17430284</v>
          </cell>
          <cell r="C4624" t="str">
            <v>Royal cell</v>
          </cell>
        </row>
        <row r="4625">
          <cell r="B4625">
            <v>17736914</v>
          </cell>
          <cell r="C4625" t="str">
            <v>QISYA CELL</v>
          </cell>
        </row>
        <row r="4626">
          <cell r="B4626">
            <v>17736935</v>
          </cell>
          <cell r="C4626" t="str">
            <v>MOPULSA SMI</v>
          </cell>
        </row>
        <row r="4627">
          <cell r="B4627">
            <v>17436255</v>
          </cell>
          <cell r="C4627" t="str">
            <v>Satu cell</v>
          </cell>
        </row>
        <row r="4628">
          <cell r="B4628">
            <v>17738845</v>
          </cell>
          <cell r="C4628" t="str">
            <v>RADEN CELLULAR</v>
          </cell>
        </row>
        <row r="4629">
          <cell r="B4629">
            <v>17740716</v>
          </cell>
          <cell r="C4629" t="str">
            <v>Nawaf Cell</v>
          </cell>
        </row>
        <row r="4630">
          <cell r="B4630">
            <v>17740295</v>
          </cell>
          <cell r="C4630" t="str">
            <v>TINA CELL</v>
          </cell>
        </row>
        <row r="4631">
          <cell r="B4631">
            <v>17638753</v>
          </cell>
          <cell r="C4631" t="str">
            <v>Syabil crll</v>
          </cell>
        </row>
        <row r="4632">
          <cell r="B4632">
            <v>17740156</v>
          </cell>
          <cell r="C4632" t="str">
            <v>Kenz Cell</v>
          </cell>
        </row>
        <row r="4633">
          <cell r="B4633">
            <v>17740638</v>
          </cell>
          <cell r="C4633" t="str">
            <v>Pawon pulsa</v>
          </cell>
        </row>
        <row r="4634">
          <cell r="B4634">
            <v>17741060</v>
          </cell>
          <cell r="C4634" t="str">
            <v>VII CELL SMI</v>
          </cell>
        </row>
        <row r="4635">
          <cell r="B4635">
            <v>17741078</v>
          </cell>
          <cell r="C4635" t="str">
            <v>COINS CELL SMI</v>
          </cell>
        </row>
        <row r="4636">
          <cell r="B4636">
            <v>17742009</v>
          </cell>
          <cell r="C4636" t="str">
            <v>DIFA CELL</v>
          </cell>
        </row>
        <row r="4637">
          <cell r="B4637">
            <v>17588688</v>
          </cell>
          <cell r="C4637" t="str">
            <v>RHINTA CELL</v>
          </cell>
        </row>
        <row r="4638">
          <cell r="B4638" t="str">
            <v>DSFJYSKB002</v>
          </cell>
          <cell r="C4638" t="str">
            <v>DSFJYSKB002</v>
          </cell>
        </row>
        <row r="4639">
          <cell r="B4639">
            <v>17588205</v>
          </cell>
          <cell r="C4639" t="str">
            <v>RIZKI cell</v>
          </cell>
        </row>
        <row r="4640">
          <cell r="B4640">
            <v>17740745</v>
          </cell>
          <cell r="C4640" t="str">
            <v>Tazkiyya phone</v>
          </cell>
        </row>
        <row r="4641">
          <cell r="B4641">
            <v>17730385</v>
          </cell>
          <cell r="C4641" t="str">
            <v>SAVANA CELL</v>
          </cell>
        </row>
        <row r="4642">
          <cell r="B4642">
            <v>17733830</v>
          </cell>
          <cell r="C4642" t="str">
            <v>SUKAJAYA CELL smi</v>
          </cell>
        </row>
        <row r="4643">
          <cell r="B4643">
            <v>17745181</v>
          </cell>
          <cell r="C4643" t="str">
            <v>Raffa cell2</v>
          </cell>
        </row>
        <row r="4644">
          <cell r="B4644">
            <v>17746172</v>
          </cell>
          <cell r="C4644" t="str">
            <v>CR CELL 17</v>
          </cell>
        </row>
        <row r="4645">
          <cell r="B4645">
            <v>17781698</v>
          </cell>
          <cell r="C4645" t="str">
            <v>Spot Gadget</v>
          </cell>
        </row>
        <row r="4646">
          <cell r="B4646">
            <v>17747896</v>
          </cell>
          <cell r="C4646" t="str">
            <v>Yon cell</v>
          </cell>
        </row>
        <row r="4647">
          <cell r="B4647">
            <v>17749878</v>
          </cell>
          <cell r="C4647" t="str">
            <v>Alooo id cell</v>
          </cell>
        </row>
        <row r="4648">
          <cell r="B4648">
            <v>17751526</v>
          </cell>
          <cell r="C4648" t="str">
            <v>Alfat CELL 2 SMI</v>
          </cell>
        </row>
        <row r="4649">
          <cell r="B4649">
            <v>17751805</v>
          </cell>
          <cell r="C4649" t="str">
            <v>KASWARI CELL</v>
          </cell>
        </row>
        <row r="4650">
          <cell r="B4650">
            <v>17752052</v>
          </cell>
          <cell r="C4650" t="str">
            <v>ARKHAN CELL SMI</v>
          </cell>
        </row>
        <row r="4651">
          <cell r="B4651">
            <v>17752102</v>
          </cell>
          <cell r="C4651" t="str">
            <v>FIKA CELL SMI</v>
          </cell>
        </row>
        <row r="4652">
          <cell r="B4652" t="str">
            <v>DSFJYSKBM003</v>
          </cell>
          <cell r="C4652" t="str">
            <v>DSFJYSKBM003</v>
          </cell>
        </row>
        <row r="4653">
          <cell r="B4653">
            <v>17748322</v>
          </cell>
          <cell r="C4653" t="str">
            <v>Central cell2</v>
          </cell>
        </row>
        <row r="4654">
          <cell r="B4654">
            <v>17761691</v>
          </cell>
          <cell r="C4654" t="str">
            <v>SYABIL cell</v>
          </cell>
        </row>
        <row r="4655">
          <cell r="B4655">
            <v>17748698</v>
          </cell>
          <cell r="C4655" t="str">
            <v>FARHAN CELL SMI</v>
          </cell>
        </row>
        <row r="4656">
          <cell r="B4656">
            <v>17748730</v>
          </cell>
          <cell r="C4656" t="str">
            <v>MR Cell</v>
          </cell>
        </row>
        <row r="4657">
          <cell r="B4657">
            <v>17748753</v>
          </cell>
          <cell r="C4657" t="str">
            <v>Nude cell</v>
          </cell>
        </row>
        <row r="4658">
          <cell r="B4658">
            <v>17750389</v>
          </cell>
          <cell r="C4658" t="str">
            <v>Cartens Cell</v>
          </cell>
        </row>
        <row r="4659">
          <cell r="B4659">
            <v>17751024</v>
          </cell>
          <cell r="C4659" t="str">
            <v>I ONE Cell SMI</v>
          </cell>
        </row>
        <row r="4660">
          <cell r="B4660">
            <v>17527828</v>
          </cell>
          <cell r="C4660" t="str">
            <v>RZ CELL</v>
          </cell>
        </row>
        <row r="4661">
          <cell r="B4661">
            <v>17747733</v>
          </cell>
          <cell r="C4661" t="str">
            <v>NASA Cell</v>
          </cell>
        </row>
        <row r="4662">
          <cell r="B4662">
            <v>17751969</v>
          </cell>
          <cell r="C4662" t="str">
            <v>Dzaky cell</v>
          </cell>
        </row>
        <row r="4663">
          <cell r="B4663">
            <v>17749191</v>
          </cell>
          <cell r="C4663" t="str">
            <v>ICH CELL</v>
          </cell>
        </row>
        <row r="4664">
          <cell r="B4664">
            <v>17746038</v>
          </cell>
          <cell r="C4664" t="str">
            <v>RASYID CELL</v>
          </cell>
        </row>
        <row r="4665">
          <cell r="B4665">
            <v>17748232</v>
          </cell>
          <cell r="C4665" t="str">
            <v>Amanah Cahaya Hati</v>
          </cell>
        </row>
        <row r="4666">
          <cell r="B4666">
            <v>17749264</v>
          </cell>
          <cell r="C4666" t="str">
            <v>Syahila cell</v>
          </cell>
        </row>
        <row r="4667">
          <cell r="B4667">
            <v>17749959</v>
          </cell>
          <cell r="C4667" t="str">
            <v>GIBRAN CELL</v>
          </cell>
        </row>
        <row r="4668">
          <cell r="B4668">
            <v>17750416</v>
          </cell>
          <cell r="C4668" t="str">
            <v>IRNI CELL</v>
          </cell>
        </row>
        <row r="4669">
          <cell r="B4669">
            <v>17750712</v>
          </cell>
          <cell r="C4669" t="str">
            <v>Risalah cell</v>
          </cell>
        </row>
        <row r="4670">
          <cell r="B4670">
            <v>17750758</v>
          </cell>
          <cell r="C4670" t="str">
            <v>ATLAS CELL</v>
          </cell>
        </row>
        <row r="4671">
          <cell r="B4671">
            <v>17751193</v>
          </cell>
          <cell r="C4671" t="str">
            <v>Mini gerai Surade</v>
          </cell>
        </row>
        <row r="4672">
          <cell r="B4672">
            <v>17746540</v>
          </cell>
          <cell r="C4672" t="str">
            <v>JELEGONG CELL</v>
          </cell>
        </row>
        <row r="4673">
          <cell r="B4673">
            <v>17747719</v>
          </cell>
          <cell r="C4673" t="str">
            <v>Ikiw Cell</v>
          </cell>
        </row>
        <row r="4674">
          <cell r="B4674">
            <v>17747923</v>
          </cell>
          <cell r="C4674" t="str">
            <v>Hasan cell</v>
          </cell>
        </row>
        <row r="4675">
          <cell r="B4675">
            <v>17747972</v>
          </cell>
          <cell r="C4675" t="str">
            <v>Jujum Cell</v>
          </cell>
        </row>
        <row r="4676">
          <cell r="B4676">
            <v>17749042</v>
          </cell>
          <cell r="C4676" t="str">
            <v>Cuf cell 2</v>
          </cell>
        </row>
        <row r="4677">
          <cell r="B4677">
            <v>17749333</v>
          </cell>
          <cell r="C4677" t="str">
            <v>WP Toko Ai Tatang</v>
          </cell>
        </row>
        <row r="4678">
          <cell r="B4678">
            <v>17749448</v>
          </cell>
          <cell r="C4678" t="str">
            <v>ZAI CELL</v>
          </cell>
        </row>
        <row r="4679">
          <cell r="B4679">
            <v>17750160</v>
          </cell>
          <cell r="C4679" t="str">
            <v>ICA CELL</v>
          </cell>
        </row>
        <row r="4680">
          <cell r="B4680">
            <v>17750872</v>
          </cell>
          <cell r="C4680" t="str">
            <v>ENY CELL</v>
          </cell>
        </row>
        <row r="4681">
          <cell r="B4681">
            <v>17751205</v>
          </cell>
          <cell r="C4681" t="str">
            <v>Ruspita Cell</v>
          </cell>
        </row>
        <row r="4682">
          <cell r="B4682">
            <v>17751312</v>
          </cell>
          <cell r="C4682" t="str">
            <v>MINI GERAI IM3 SGR</v>
          </cell>
        </row>
        <row r="4683">
          <cell r="B4683">
            <v>17778262</v>
          </cell>
          <cell r="C4683" t="str">
            <v>Sunn cell</v>
          </cell>
        </row>
        <row r="4684">
          <cell r="B4684">
            <v>1388775</v>
          </cell>
          <cell r="C4684" t="str">
            <v>SURADE PULSA</v>
          </cell>
        </row>
        <row r="4685">
          <cell r="B4685">
            <v>17753647</v>
          </cell>
          <cell r="C4685" t="str">
            <v>Aprila cell</v>
          </cell>
        </row>
        <row r="4686">
          <cell r="B4686">
            <v>17753661</v>
          </cell>
          <cell r="C4686" t="str">
            <v>Arisa Cell</v>
          </cell>
        </row>
        <row r="4687">
          <cell r="B4687">
            <v>17753658</v>
          </cell>
          <cell r="C4687" t="str">
            <v>ARLA CELL</v>
          </cell>
        </row>
        <row r="4688">
          <cell r="B4688">
            <v>17753635</v>
          </cell>
          <cell r="C4688" t="str">
            <v>Cyra cell</v>
          </cell>
        </row>
        <row r="4689">
          <cell r="B4689">
            <v>17753644</v>
          </cell>
          <cell r="C4689" t="str">
            <v>Darwin Cell</v>
          </cell>
        </row>
        <row r="4690">
          <cell r="B4690">
            <v>17753655</v>
          </cell>
          <cell r="C4690" t="str">
            <v>GG CELLULER</v>
          </cell>
        </row>
        <row r="4691">
          <cell r="B4691">
            <v>17753627</v>
          </cell>
          <cell r="C4691" t="str">
            <v>HAYYA CELL</v>
          </cell>
        </row>
        <row r="4692">
          <cell r="B4692">
            <v>17753688</v>
          </cell>
          <cell r="C4692" t="str">
            <v>Hesty cell</v>
          </cell>
        </row>
        <row r="4693">
          <cell r="B4693">
            <v>17753725</v>
          </cell>
          <cell r="C4693" t="str">
            <v>Kiyubi cell</v>
          </cell>
        </row>
        <row r="4694">
          <cell r="B4694">
            <v>17753666</v>
          </cell>
          <cell r="C4694" t="str">
            <v>MEKAR CELL</v>
          </cell>
        </row>
        <row r="4695">
          <cell r="B4695">
            <v>17753609</v>
          </cell>
          <cell r="C4695" t="str">
            <v>Mustika cell</v>
          </cell>
        </row>
        <row r="4696">
          <cell r="B4696">
            <v>17753667</v>
          </cell>
          <cell r="C4696" t="str">
            <v>My Cell</v>
          </cell>
        </row>
        <row r="4697">
          <cell r="B4697">
            <v>17753616</v>
          </cell>
          <cell r="C4697" t="str">
            <v>NOVI CELL</v>
          </cell>
        </row>
        <row r="4698">
          <cell r="B4698">
            <v>17753646</v>
          </cell>
          <cell r="C4698" t="str">
            <v>NS CELL</v>
          </cell>
        </row>
        <row r="4699">
          <cell r="B4699">
            <v>17753648</v>
          </cell>
          <cell r="C4699" t="str">
            <v>PRASS CELL</v>
          </cell>
        </row>
        <row r="4700">
          <cell r="B4700">
            <v>17753620</v>
          </cell>
          <cell r="C4700" t="str">
            <v>R2 cell</v>
          </cell>
        </row>
        <row r="4701">
          <cell r="B4701">
            <v>17753659</v>
          </cell>
          <cell r="C4701" t="str">
            <v>Razqya Cell</v>
          </cell>
        </row>
        <row r="4702">
          <cell r="B4702">
            <v>17753665</v>
          </cell>
          <cell r="C4702" t="str">
            <v>REGINA CELL</v>
          </cell>
        </row>
        <row r="4703">
          <cell r="B4703">
            <v>17753626</v>
          </cell>
          <cell r="C4703" t="str">
            <v>Rio Phone Cell</v>
          </cell>
        </row>
        <row r="4704">
          <cell r="B4704">
            <v>17753653</v>
          </cell>
          <cell r="C4704" t="str">
            <v>Safiq brilink</v>
          </cell>
        </row>
        <row r="4705">
          <cell r="B4705">
            <v>17752012</v>
          </cell>
          <cell r="C4705" t="str">
            <v>Toko Diana cell</v>
          </cell>
        </row>
        <row r="4706">
          <cell r="B4706">
            <v>17753631</v>
          </cell>
          <cell r="C4706" t="str">
            <v>Vallen cell</v>
          </cell>
        </row>
        <row r="4707">
          <cell r="B4707">
            <v>17753630</v>
          </cell>
          <cell r="C4707" t="str">
            <v>Zya cell</v>
          </cell>
        </row>
        <row r="4708">
          <cell r="B4708">
            <v>17753639</v>
          </cell>
          <cell r="C4708" t="str">
            <v>WP Bu Heni</v>
          </cell>
        </row>
        <row r="4709">
          <cell r="B4709">
            <v>17730539</v>
          </cell>
          <cell r="C4709" t="str">
            <v>SYAUQI CELL</v>
          </cell>
        </row>
        <row r="4710">
          <cell r="B4710">
            <v>17757961</v>
          </cell>
          <cell r="C4710" t="str">
            <v>HUSNA CELL SMI</v>
          </cell>
        </row>
        <row r="4711">
          <cell r="B4711">
            <v>17754076</v>
          </cell>
          <cell r="C4711" t="str">
            <v>Haura cell</v>
          </cell>
        </row>
        <row r="4712">
          <cell r="B4712">
            <v>17754362</v>
          </cell>
          <cell r="C4712" t="str">
            <v>Wr.Dahlan cell</v>
          </cell>
        </row>
        <row r="4713">
          <cell r="B4713">
            <v>17754363</v>
          </cell>
          <cell r="C4713" t="str">
            <v>Rafa Cell</v>
          </cell>
        </row>
        <row r="4714">
          <cell r="B4714">
            <v>17754379</v>
          </cell>
          <cell r="C4714" t="str">
            <v>Q-ta cell</v>
          </cell>
        </row>
        <row r="4715">
          <cell r="B4715">
            <v>17754420</v>
          </cell>
          <cell r="C4715" t="str">
            <v>MD STORE</v>
          </cell>
        </row>
        <row r="4716">
          <cell r="B4716">
            <v>17754427</v>
          </cell>
          <cell r="C4716" t="str">
            <v>Bravo 2</v>
          </cell>
        </row>
        <row r="4717">
          <cell r="B4717">
            <v>17754462</v>
          </cell>
          <cell r="C4717" t="str">
            <v>Warung bi linda</v>
          </cell>
        </row>
        <row r="4718">
          <cell r="B4718">
            <v>17754528</v>
          </cell>
          <cell r="C4718" t="str">
            <v>Rm cell</v>
          </cell>
        </row>
        <row r="4719">
          <cell r="B4719">
            <v>17754533</v>
          </cell>
          <cell r="C4719" t="str">
            <v>T Celluler</v>
          </cell>
        </row>
        <row r="4720">
          <cell r="B4720">
            <v>17755778</v>
          </cell>
          <cell r="C4720" t="str">
            <v>Agent mandiri Sherly cell</v>
          </cell>
        </row>
        <row r="4721">
          <cell r="B4721">
            <v>17756088</v>
          </cell>
          <cell r="C4721" t="str">
            <v>Azam cel</v>
          </cell>
        </row>
        <row r="4722">
          <cell r="B4722">
            <v>17756167</v>
          </cell>
          <cell r="C4722" t="str">
            <v>Riski Cell</v>
          </cell>
        </row>
        <row r="4723">
          <cell r="B4723">
            <v>17756174</v>
          </cell>
          <cell r="C4723" t="str">
            <v>Aden Cell 2</v>
          </cell>
        </row>
        <row r="4724">
          <cell r="B4724">
            <v>17756191</v>
          </cell>
          <cell r="C4724" t="str">
            <v>WRK Cell</v>
          </cell>
        </row>
        <row r="4725">
          <cell r="B4725">
            <v>17756232</v>
          </cell>
          <cell r="C4725" t="str">
            <v>Puji cell</v>
          </cell>
        </row>
        <row r="4726">
          <cell r="B4726">
            <v>17756516</v>
          </cell>
          <cell r="C4726" t="str">
            <v>Andri SAE Cell</v>
          </cell>
        </row>
        <row r="4727">
          <cell r="B4727">
            <v>17756533</v>
          </cell>
          <cell r="C4727" t="str">
            <v>HUSNA</v>
          </cell>
        </row>
        <row r="4728">
          <cell r="B4728">
            <v>17756541</v>
          </cell>
          <cell r="C4728" t="str">
            <v>Irene 2</v>
          </cell>
        </row>
        <row r="4729">
          <cell r="B4729">
            <v>17757551</v>
          </cell>
          <cell r="C4729" t="str">
            <v>Nugraha 2</v>
          </cell>
        </row>
        <row r="4730">
          <cell r="B4730">
            <v>17757578</v>
          </cell>
          <cell r="C4730" t="str">
            <v>Tstore 3</v>
          </cell>
        </row>
        <row r="4731">
          <cell r="B4731">
            <v>17757847</v>
          </cell>
          <cell r="C4731" t="str">
            <v>SURYA CELL</v>
          </cell>
        </row>
        <row r="4732">
          <cell r="B4732">
            <v>17757946</v>
          </cell>
          <cell r="C4732" t="str">
            <v>HN cell</v>
          </cell>
        </row>
        <row r="4733">
          <cell r="B4733">
            <v>17758014</v>
          </cell>
          <cell r="C4733" t="str">
            <v>Ladang Cell</v>
          </cell>
        </row>
        <row r="4734">
          <cell r="B4734">
            <v>17758031</v>
          </cell>
          <cell r="C4734" t="str">
            <v>Reystore</v>
          </cell>
        </row>
        <row r="4735">
          <cell r="B4735">
            <v>17759491</v>
          </cell>
          <cell r="C4735" t="str">
            <v>Hajwa cell</v>
          </cell>
        </row>
        <row r="4736">
          <cell r="B4736">
            <v>17759704</v>
          </cell>
          <cell r="C4736" t="str">
            <v>Azzura cell</v>
          </cell>
        </row>
        <row r="4737">
          <cell r="B4737">
            <v>17759996</v>
          </cell>
          <cell r="C4737" t="str">
            <v>Rafasha Cell</v>
          </cell>
        </row>
        <row r="4738">
          <cell r="B4738">
            <v>17760343</v>
          </cell>
          <cell r="C4738" t="str">
            <v>Warung Celluler</v>
          </cell>
        </row>
        <row r="4739">
          <cell r="B4739">
            <v>17754435</v>
          </cell>
          <cell r="C4739" t="str">
            <v>Re Phone</v>
          </cell>
        </row>
        <row r="4740">
          <cell r="B4740">
            <v>17757550</v>
          </cell>
          <cell r="C4740" t="str">
            <v>Restu cell</v>
          </cell>
        </row>
        <row r="4741">
          <cell r="B4741">
            <v>17753565</v>
          </cell>
          <cell r="C4741" t="str">
            <v>Japra cell</v>
          </cell>
        </row>
        <row r="4742">
          <cell r="B4742">
            <v>17754807</v>
          </cell>
          <cell r="C4742" t="str">
            <v>Sulam Ratu Store</v>
          </cell>
        </row>
        <row r="4743">
          <cell r="B4743">
            <v>17754885</v>
          </cell>
          <cell r="C4743" t="str">
            <v>Diana Cell</v>
          </cell>
        </row>
        <row r="4744">
          <cell r="B4744">
            <v>17757362</v>
          </cell>
          <cell r="C4744" t="str">
            <v>MEGA CELL</v>
          </cell>
        </row>
        <row r="4745">
          <cell r="B4745">
            <v>17757887</v>
          </cell>
          <cell r="C4745" t="str">
            <v>Aksara Cell</v>
          </cell>
        </row>
        <row r="4746">
          <cell r="B4746">
            <v>17757938</v>
          </cell>
          <cell r="C4746" t="str">
            <v>Helmi Olshop</v>
          </cell>
        </row>
        <row r="4747">
          <cell r="B4747">
            <v>17759478</v>
          </cell>
          <cell r="C4747" t="str">
            <v>HENDI CELL</v>
          </cell>
        </row>
        <row r="4748">
          <cell r="B4748">
            <v>17753617</v>
          </cell>
          <cell r="C4748" t="str">
            <v>MURA BERKAH CELL SMI</v>
          </cell>
        </row>
        <row r="4749">
          <cell r="B4749">
            <v>17217205</v>
          </cell>
          <cell r="C4749" t="str">
            <v>SYIFA CELL</v>
          </cell>
        </row>
        <row r="4750">
          <cell r="B4750">
            <v>17754130</v>
          </cell>
          <cell r="C4750" t="str">
            <v>HOKPAY ID SMI</v>
          </cell>
        </row>
        <row r="4751">
          <cell r="B4751">
            <v>17244423</v>
          </cell>
          <cell r="C4751" t="str">
            <v>Thalita Cell</v>
          </cell>
        </row>
        <row r="4752">
          <cell r="B4752">
            <v>17194782</v>
          </cell>
          <cell r="C4752" t="str">
            <v>TINA CELL</v>
          </cell>
        </row>
        <row r="4753">
          <cell r="B4753">
            <v>17757939</v>
          </cell>
          <cell r="C4753" t="str">
            <v>Angga Cell</v>
          </cell>
        </row>
        <row r="4754">
          <cell r="B4754">
            <v>17663709</v>
          </cell>
          <cell r="C4754" t="str">
            <v>Mars Cell</v>
          </cell>
        </row>
        <row r="4755">
          <cell r="B4755">
            <v>17753730</v>
          </cell>
          <cell r="C4755" t="str">
            <v>zinggo cell</v>
          </cell>
        </row>
        <row r="4756">
          <cell r="B4756">
            <v>17753737</v>
          </cell>
          <cell r="C4756" t="str">
            <v>Takasi cell</v>
          </cell>
        </row>
        <row r="4757">
          <cell r="B4757">
            <v>17753739</v>
          </cell>
          <cell r="C4757" t="str">
            <v>Qwerty cell</v>
          </cell>
        </row>
        <row r="4758">
          <cell r="B4758">
            <v>17755155</v>
          </cell>
          <cell r="C4758" t="str">
            <v>Bijak atk</v>
          </cell>
        </row>
        <row r="4759">
          <cell r="B4759">
            <v>17756595</v>
          </cell>
          <cell r="C4759" t="str">
            <v>Gadget Nusantara</v>
          </cell>
        </row>
        <row r="4760">
          <cell r="B4760">
            <v>17757520</v>
          </cell>
          <cell r="C4760" t="str">
            <v>D-Cell</v>
          </cell>
        </row>
        <row r="4761">
          <cell r="B4761">
            <v>17586263</v>
          </cell>
          <cell r="C4761" t="str">
            <v>Twizz cell</v>
          </cell>
        </row>
        <row r="4762">
          <cell r="B4762">
            <v>17762682</v>
          </cell>
          <cell r="C4762" t="str">
            <v>ANF STORE</v>
          </cell>
        </row>
        <row r="4763">
          <cell r="B4763">
            <v>1287321</v>
          </cell>
          <cell r="C4763" t="str">
            <v>SYARAH CELL</v>
          </cell>
        </row>
        <row r="4764">
          <cell r="B4764">
            <v>17763699</v>
          </cell>
          <cell r="C4764" t="str">
            <v>Ira Cell</v>
          </cell>
        </row>
        <row r="4765">
          <cell r="B4765">
            <v>920922</v>
          </cell>
          <cell r="C4765" t="str">
            <v>Tiara</v>
          </cell>
        </row>
        <row r="4766">
          <cell r="B4766">
            <v>17761715</v>
          </cell>
          <cell r="C4766" t="str">
            <v>Tekno Cell</v>
          </cell>
        </row>
        <row r="4767">
          <cell r="B4767">
            <v>17762478</v>
          </cell>
          <cell r="C4767" t="str">
            <v>Dika Cell</v>
          </cell>
        </row>
        <row r="4768">
          <cell r="B4768">
            <v>17762496</v>
          </cell>
          <cell r="C4768" t="str">
            <v>Monica sari</v>
          </cell>
        </row>
        <row r="4769">
          <cell r="B4769">
            <v>17764365</v>
          </cell>
          <cell r="C4769" t="str">
            <v>Rifki cell</v>
          </cell>
        </row>
        <row r="4770">
          <cell r="B4770">
            <v>17764636</v>
          </cell>
          <cell r="C4770" t="str">
            <v>Faiz Cell</v>
          </cell>
        </row>
        <row r="4771">
          <cell r="B4771">
            <v>17764808</v>
          </cell>
          <cell r="C4771" t="str">
            <v>Rafa Cell 2</v>
          </cell>
        </row>
        <row r="4772">
          <cell r="B4772">
            <v>17765096</v>
          </cell>
          <cell r="C4772" t="str">
            <v>FATHAN CELL</v>
          </cell>
        </row>
        <row r="4773">
          <cell r="B4773">
            <v>17762144</v>
          </cell>
          <cell r="C4773" t="str">
            <v>Chica Cell</v>
          </cell>
        </row>
        <row r="4774">
          <cell r="B4774">
            <v>17762530</v>
          </cell>
          <cell r="C4774" t="str">
            <v>JAY PHONE STORE</v>
          </cell>
        </row>
        <row r="4775">
          <cell r="B4775">
            <v>17763300</v>
          </cell>
          <cell r="C4775" t="str">
            <v>Twoani Store</v>
          </cell>
        </row>
        <row r="4776">
          <cell r="B4776">
            <v>17763475</v>
          </cell>
          <cell r="C4776" t="str">
            <v>Angga cell</v>
          </cell>
        </row>
        <row r="4777">
          <cell r="B4777">
            <v>17763729</v>
          </cell>
          <cell r="C4777" t="str">
            <v>Berkah Queens Cell</v>
          </cell>
        </row>
        <row r="4778">
          <cell r="B4778">
            <v>17764052</v>
          </cell>
          <cell r="C4778" t="str">
            <v>Galaxy cell</v>
          </cell>
        </row>
        <row r="4779">
          <cell r="B4779">
            <v>17762251</v>
          </cell>
          <cell r="C4779" t="str">
            <v>M Ramdan Cell</v>
          </cell>
        </row>
        <row r="4780">
          <cell r="B4780">
            <v>17762736</v>
          </cell>
          <cell r="C4780" t="str">
            <v>Bumikamistore</v>
          </cell>
        </row>
        <row r="4781">
          <cell r="B4781">
            <v>17762686</v>
          </cell>
          <cell r="C4781" t="str">
            <v>Waroeng gadget store 2</v>
          </cell>
        </row>
        <row r="4782">
          <cell r="B4782">
            <v>17763967</v>
          </cell>
          <cell r="C4782" t="str">
            <v>Aang Cell</v>
          </cell>
        </row>
        <row r="4783">
          <cell r="B4783">
            <v>17764104</v>
          </cell>
          <cell r="C4783" t="str">
            <v>Nasya cell</v>
          </cell>
        </row>
        <row r="4784">
          <cell r="B4784">
            <v>17764108</v>
          </cell>
          <cell r="C4784" t="str">
            <v>Berkah Cell</v>
          </cell>
        </row>
        <row r="4785">
          <cell r="B4785">
            <v>17764327</v>
          </cell>
          <cell r="C4785" t="str">
            <v>Irma Cell</v>
          </cell>
        </row>
        <row r="4786">
          <cell r="B4786">
            <v>17764898</v>
          </cell>
          <cell r="C4786" t="str">
            <v>Deva cell</v>
          </cell>
        </row>
        <row r="4787">
          <cell r="B4787">
            <v>17765169</v>
          </cell>
          <cell r="C4787" t="str">
            <v>WP purnama</v>
          </cell>
        </row>
        <row r="4788">
          <cell r="B4788">
            <v>17765210</v>
          </cell>
          <cell r="C4788" t="str">
            <v>Anemo cell</v>
          </cell>
        </row>
        <row r="4789">
          <cell r="B4789">
            <v>17765417</v>
          </cell>
          <cell r="C4789" t="str">
            <v>WP Yesi</v>
          </cell>
        </row>
        <row r="4790">
          <cell r="B4790">
            <v>17765441</v>
          </cell>
          <cell r="C4790" t="str">
            <v>Yudi cell</v>
          </cell>
        </row>
        <row r="4791">
          <cell r="B4791">
            <v>17765443</v>
          </cell>
          <cell r="C4791" t="str">
            <v>Dafa cell</v>
          </cell>
        </row>
        <row r="4792">
          <cell r="B4792">
            <v>17765444</v>
          </cell>
          <cell r="C4792" t="str">
            <v>TOMY CLICK CELL</v>
          </cell>
        </row>
        <row r="4793">
          <cell r="B4793">
            <v>17765448</v>
          </cell>
          <cell r="C4793" t="str">
            <v>Barok phone cell</v>
          </cell>
        </row>
        <row r="4794">
          <cell r="B4794">
            <v>17766916</v>
          </cell>
          <cell r="C4794" t="str">
            <v>KUN CELL</v>
          </cell>
        </row>
        <row r="4795">
          <cell r="B4795">
            <v>17766918</v>
          </cell>
          <cell r="C4795" t="str">
            <v>AMANAH CELL</v>
          </cell>
        </row>
        <row r="4796">
          <cell r="B4796">
            <v>17766923</v>
          </cell>
          <cell r="C4796" t="str">
            <v>BERKAH CELL</v>
          </cell>
        </row>
        <row r="4797">
          <cell r="B4797">
            <v>17766925</v>
          </cell>
          <cell r="C4797" t="str">
            <v>Qurtubi cell</v>
          </cell>
        </row>
        <row r="4798">
          <cell r="B4798">
            <v>17766928</v>
          </cell>
          <cell r="C4798" t="str">
            <v>PULSA STORE</v>
          </cell>
        </row>
        <row r="4799">
          <cell r="B4799">
            <v>17766930</v>
          </cell>
          <cell r="C4799" t="str">
            <v>Im3 Reaload</v>
          </cell>
        </row>
        <row r="4800">
          <cell r="B4800">
            <v>17766931</v>
          </cell>
          <cell r="C4800" t="str">
            <v>GALAXY CELL</v>
          </cell>
        </row>
        <row r="4801">
          <cell r="B4801">
            <v>17766934</v>
          </cell>
          <cell r="C4801" t="str">
            <v>Putra cell</v>
          </cell>
        </row>
        <row r="4802">
          <cell r="B4802">
            <v>17766938</v>
          </cell>
          <cell r="C4802" t="str">
            <v>RATU CELL</v>
          </cell>
        </row>
        <row r="4803">
          <cell r="B4803">
            <v>17766941</v>
          </cell>
          <cell r="C4803" t="str">
            <v>Sultan cell</v>
          </cell>
        </row>
        <row r="4804">
          <cell r="B4804">
            <v>17766942</v>
          </cell>
          <cell r="C4804" t="str">
            <v>RAYYAN PHONE CELL</v>
          </cell>
        </row>
        <row r="4805">
          <cell r="B4805">
            <v>17766948</v>
          </cell>
          <cell r="C4805" t="str">
            <v>PERMATA CELL</v>
          </cell>
        </row>
        <row r="4806">
          <cell r="B4806">
            <v>17766954</v>
          </cell>
          <cell r="C4806" t="str">
            <v>BINTANG CELL</v>
          </cell>
        </row>
        <row r="4807">
          <cell r="B4807">
            <v>17766968</v>
          </cell>
          <cell r="C4807" t="str">
            <v>AMANIA CELL</v>
          </cell>
        </row>
        <row r="4808">
          <cell r="B4808">
            <v>17766971</v>
          </cell>
          <cell r="C4808" t="str">
            <v>ALYA CELL</v>
          </cell>
        </row>
        <row r="4809">
          <cell r="B4809">
            <v>17767690</v>
          </cell>
          <cell r="C4809" t="str">
            <v>Hani cell</v>
          </cell>
        </row>
        <row r="4810">
          <cell r="B4810">
            <v>17767694</v>
          </cell>
          <cell r="C4810" t="str">
            <v>R cell</v>
          </cell>
        </row>
        <row r="4811">
          <cell r="B4811">
            <v>17767695</v>
          </cell>
          <cell r="C4811" t="str">
            <v>City Reaload</v>
          </cell>
        </row>
        <row r="4812">
          <cell r="B4812">
            <v>17767721</v>
          </cell>
          <cell r="C4812" t="str">
            <v>Giga Cell</v>
          </cell>
        </row>
        <row r="4813">
          <cell r="B4813">
            <v>17767725</v>
          </cell>
          <cell r="C4813" t="str">
            <v>Pulsaku</v>
          </cell>
        </row>
        <row r="4814">
          <cell r="B4814">
            <v>17767732</v>
          </cell>
          <cell r="C4814" t="str">
            <v>FAHKRI CELL</v>
          </cell>
        </row>
        <row r="4815">
          <cell r="B4815">
            <v>17767735</v>
          </cell>
          <cell r="C4815" t="str">
            <v>MITRA CELL</v>
          </cell>
        </row>
        <row r="4816">
          <cell r="B4816">
            <v>17767743</v>
          </cell>
          <cell r="C4816" t="str">
            <v>MULTI CELL</v>
          </cell>
        </row>
        <row r="4817">
          <cell r="B4817">
            <v>17767798</v>
          </cell>
          <cell r="C4817" t="str">
            <v>Millenial Cell</v>
          </cell>
        </row>
        <row r="4818">
          <cell r="B4818">
            <v>17767716</v>
          </cell>
          <cell r="C4818" t="str">
            <v>Arsal cell</v>
          </cell>
        </row>
        <row r="4819">
          <cell r="B4819">
            <v>17768476</v>
          </cell>
          <cell r="C4819" t="str">
            <v>Nissa Cell</v>
          </cell>
        </row>
        <row r="4820">
          <cell r="B4820">
            <v>17769022</v>
          </cell>
          <cell r="C4820" t="str">
            <v>RR cell</v>
          </cell>
        </row>
        <row r="4821">
          <cell r="B4821">
            <v>17769534</v>
          </cell>
          <cell r="C4821" t="str">
            <v>Sony cell 2</v>
          </cell>
        </row>
        <row r="4822">
          <cell r="B4822">
            <v>17771010</v>
          </cell>
          <cell r="C4822" t="str">
            <v>Bunda cell</v>
          </cell>
        </row>
        <row r="4823">
          <cell r="B4823">
            <v>17771112</v>
          </cell>
          <cell r="C4823" t="str">
            <v>Bunga cell</v>
          </cell>
        </row>
        <row r="4824">
          <cell r="B4824">
            <v>17768475</v>
          </cell>
          <cell r="C4824" t="str">
            <v>Mars Cell</v>
          </cell>
        </row>
        <row r="4825">
          <cell r="B4825">
            <v>17769326</v>
          </cell>
          <cell r="C4825" t="str">
            <v>SANLEST CELL</v>
          </cell>
        </row>
        <row r="4826">
          <cell r="B4826">
            <v>17769732</v>
          </cell>
          <cell r="C4826" t="str">
            <v>NADHIRA KHANZA CELL</v>
          </cell>
        </row>
        <row r="4827">
          <cell r="B4827">
            <v>17769878</v>
          </cell>
          <cell r="C4827" t="str">
            <v>FREEDOM CELL</v>
          </cell>
        </row>
        <row r="4828">
          <cell r="B4828">
            <v>17770006</v>
          </cell>
          <cell r="C4828" t="str">
            <v>RADEN CELL</v>
          </cell>
        </row>
        <row r="4829">
          <cell r="B4829">
            <v>17770184</v>
          </cell>
          <cell r="C4829" t="str">
            <v>OLIV CELL</v>
          </cell>
        </row>
        <row r="4830">
          <cell r="B4830">
            <v>17770223</v>
          </cell>
          <cell r="C4830" t="str">
            <v>IDES CELL</v>
          </cell>
        </row>
        <row r="4831">
          <cell r="B4831">
            <v>17771061</v>
          </cell>
          <cell r="C4831" t="str">
            <v>SUBARKAH CELL</v>
          </cell>
        </row>
        <row r="4832">
          <cell r="B4832">
            <v>17771401</v>
          </cell>
          <cell r="C4832" t="str">
            <v>AL-FATIH CELL</v>
          </cell>
        </row>
        <row r="4833">
          <cell r="B4833">
            <v>17772432</v>
          </cell>
          <cell r="C4833" t="str">
            <v>UP CELL</v>
          </cell>
        </row>
        <row r="4834">
          <cell r="B4834">
            <v>17768410</v>
          </cell>
          <cell r="C4834" t="str">
            <v>Nakula cell</v>
          </cell>
        </row>
        <row r="4835">
          <cell r="B4835">
            <v>17768418</v>
          </cell>
          <cell r="C4835" t="str">
            <v>Aneka cell</v>
          </cell>
        </row>
        <row r="4836">
          <cell r="B4836">
            <v>17771032</v>
          </cell>
          <cell r="C4836" t="str">
            <v>Yayang cell</v>
          </cell>
        </row>
        <row r="4837">
          <cell r="B4837">
            <v>17771421</v>
          </cell>
          <cell r="C4837" t="str">
            <v>Afifah cell</v>
          </cell>
        </row>
        <row r="4838">
          <cell r="B4838">
            <v>17772461</v>
          </cell>
          <cell r="C4838" t="str">
            <v>IBRA CELL</v>
          </cell>
        </row>
        <row r="4839">
          <cell r="B4839">
            <v>17768898</v>
          </cell>
          <cell r="C4839" t="str">
            <v>Mira cell</v>
          </cell>
        </row>
        <row r="4840">
          <cell r="B4840">
            <v>17772497</v>
          </cell>
          <cell r="C4840" t="str">
            <v>Ayom store</v>
          </cell>
        </row>
        <row r="4841">
          <cell r="B4841">
            <v>17770163</v>
          </cell>
          <cell r="C4841" t="str">
            <v>Mentari cell</v>
          </cell>
        </row>
        <row r="4842">
          <cell r="B4842">
            <v>17770612</v>
          </cell>
          <cell r="C4842" t="str">
            <v>Dewi mart</v>
          </cell>
        </row>
        <row r="4843">
          <cell r="B4843">
            <v>17771018</v>
          </cell>
          <cell r="C4843" t="str">
            <v>Adeeva cell</v>
          </cell>
        </row>
        <row r="4844">
          <cell r="B4844">
            <v>17771828</v>
          </cell>
          <cell r="C4844" t="str">
            <v>AL-FATIH</v>
          </cell>
        </row>
        <row r="4845">
          <cell r="B4845">
            <v>17772404</v>
          </cell>
          <cell r="C4845" t="str">
            <v>Niaga cell</v>
          </cell>
        </row>
        <row r="4846">
          <cell r="B4846">
            <v>17768157</v>
          </cell>
          <cell r="C4846" t="str">
            <v>JG Cell</v>
          </cell>
        </row>
        <row r="4847">
          <cell r="B4847">
            <v>17481953</v>
          </cell>
          <cell r="C4847" t="str">
            <v>Warung Bu nia</v>
          </cell>
        </row>
        <row r="4848">
          <cell r="B4848">
            <v>17769748</v>
          </cell>
          <cell r="C4848" t="str">
            <v>ELZEERA CELL</v>
          </cell>
        </row>
        <row r="4849">
          <cell r="B4849">
            <v>17769778</v>
          </cell>
          <cell r="C4849" t="str">
            <v>Wr Yola</v>
          </cell>
        </row>
        <row r="4850">
          <cell r="B4850">
            <v>17769844</v>
          </cell>
          <cell r="C4850" t="str">
            <v>A2 cell</v>
          </cell>
        </row>
        <row r="4851">
          <cell r="B4851">
            <v>17778222</v>
          </cell>
          <cell r="C4851" t="str">
            <v>Sabila cell</v>
          </cell>
        </row>
        <row r="4852">
          <cell r="B4852">
            <v>17769855</v>
          </cell>
          <cell r="C4852" t="str">
            <v>V3 cell</v>
          </cell>
        </row>
        <row r="4853">
          <cell r="B4853">
            <v>17769865</v>
          </cell>
          <cell r="C4853" t="str">
            <v>Nabil cell</v>
          </cell>
        </row>
        <row r="4854">
          <cell r="B4854">
            <v>717558</v>
          </cell>
          <cell r="C4854" t="str">
            <v>tipiez cell</v>
          </cell>
        </row>
        <row r="4855">
          <cell r="B4855">
            <v>17769976</v>
          </cell>
          <cell r="C4855" t="str">
            <v>CAHAYA CELL</v>
          </cell>
        </row>
        <row r="4856">
          <cell r="B4856">
            <v>17768166</v>
          </cell>
          <cell r="C4856" t="str">
            <v>AMMA CELL</v>
          </cell>
        </row>
        <row r="4857">
          <cell r="B4857">
            <v>17769197</v>
          </cell>
          <cell r="C4857" t="str">
            <v>Rizki Cell</v>
          </cell>
        </row>
        <row r="4858">
          <cell r="B4858">
            <v>17769808</v>
          </cell>
          <cell r="C4858" t="str">
            <v>Juan Cell</v>
          </cell>
        </row>
        <row r="4859">
          <cell r="B4859">
            <v>17769828</v>
          </cell>
          <cell r="C4859" t="str">
            <v>Wr Seblak Teh Pepi</v>
          </cell>
        </row>
        <row r="4860">
          <cell r="B4860">
            <v>17769836</v>
          </cell>
          <cell r="C4860" t="str">
            <v>DISTRO STORE</v>
          </cell>
        </row>
        <row r="4861">
          <cell r="B4861">
            <v>17769886</v>
          </cell>
          <cell r="C4861" t="str">
            <v>Rakyat Cell</v>
          </cell>
        </row>
        <row r="4862">
          <cell r="B4862">
            <v>17769906</v>
          </cell>
          <cell r="C4862" t="str">
            <v>WR Bu rose</v>
          </cell>
        </row>
        <row r="4863">
          <cell r="B4863">
            <v>17769918</v>
          </cell>
          <cell r="C4863" t="str">
            <v>AR CELL</v>
          </cell>
        </row>
        <row r="4864">
          <cell r="B4864">
            <v>17769928</v>
          </cell>
          <cell r="C4864" t="str">
            <v>Usun cell</v>
          </cell>
        </row>
        <row r="4865">
          <cell r="B4865">
            <v>17769947</v>
          </cell>
          <cell r="C4865" t="str">
            <v>Msa shop</v>
          </cell>
        </row>
        <row r="4866">
          <cell r="B4866">
            <v>17769949</v>
          </cell>
          <cell r="C4866" t="str">
            <v>RG CELL</v>
          </cell>
        </row>
        <row r="4867">
          <cell r="B4867">
            <v>17769970</v>
          </cell>
          <cell r="C4867" t="str">
            <v>Mohan cell</v>
          </cell>
        </row>
        <row r="4868">
          <cell r="B4868">
            <v>17770403</v>
          </cell>
          <cell r="C4868" t="str">
            <v>SAQILA RELOAD</v>
          </cell>
        </row>
        <row r="4869">
          <cell r="B4869">
            <v>17768292</v>
          </cell>
          <cell r="C4869" t="str">
            <v>SENTRAL KUOTA RELOAD</v>
          </cell>
        </row>
        <row r="4870">
          <cell r="B4870">
            <v>17769809</v>
          </cell>
          <cell r="C4870" t="str">
            <v>SRC ARSYILA</v>
          </cell>
        </row>
        <row r="4871">
          <cell r="B4871">
            <v>17769948</v>
          </cell>
          <cell r="C4871" t="str">
            <v>Indosat im3</v>
          </cell>
        </row>
        <row r="4872">
          <cell r="B4872">
            <v>17770177</v>
          </cell>
          <cell r="C4872" t="str">
            <v>Flash cell</v>
          </cell>
        </row>
        <row r="4873">
          <cell r="B4873">
            <v>17770210</v>
          </cell>
          <cell r="C4873" t="str">
            <v>CENTRAL PULSA</v>
          </cell>
        </row>
        <row r="4874">
          <cell r="B4874">
            <v>17770229</v>
          </cell>
          <cell r="C4874" t="str">
            <v>SYIFA CELL</v>
          </cell>
        </row>
        <row r="4875">
          <cell r="B4875">
            <v>17769354</v>
          </cell>
          <cell r="C4875" t="str">
            <v>MIDINOS Store</v>
          </cell>
        </row>
        <row r="4876">
          <cell r="B4876">
            <v>17769363</v>
          </cell>
          <cell r="C4876" t="str">
            <v>NURANI CELL</v>
          </cell>
        </row>
        <row r="4877">
          <cell r="B4877">
            <v>17769389</v>
          </cell>
          <cell r="C4877" t="str">
            <v>HASANAH STORE</v>
          </cell>
        </row>
        <row r="4878">
          <cell r="B4878">
            <v>17769744</v>
          </cell>
          <cell r="C4878" t="str">
            <v>RJ cell</v>
          </cell>
        </row>
        <row r="4879">
          <cell r="B4879">
            <v>17769751</v>
          </cell>
          <cell r="C4879" t="str">
            <v>Nabila cell</v>
          </cell>
        </row>
        <row r="4880">
          <cell r="B4880">
            <v>17769760</v>
          </cell>
          <cell r="C4880" t="str">
            <v>Wakiah cell</v>
          </cell>
        </row>
        <row r="4881">
          <cell r="B4881">
            <v>17769829</v>
          </cell>
          <cell r="C4881" t="str">
            <v>Keysya Cell</v>
          </cell>
        </row>
        <row r="4882">
          <cell r="B4882">
            <v>17769860</v>
          </cell>
          <cell r="C4882" t="str">
            <v>GIBRAN CELL</v>
          </cell>
        </row>
        <row r="4883">
          <cell r="B4883">
            <v>17770551</v>
          </cell>
          <cell r="C4883" t="str">
            <v>Ani Cell</v>
          </cell>
        </row>
        <row r="4884">
          <cell r="B4884">
            <v>17672352</v>
          </cell>
          <cell r="C4884" t="str">
            <v>Toko cecep</v>
          </cell>
        </row>
        <row r="4885">
          <cell r="B4885">
            <v>17139913</v>
          </cell>
          <cell r="C4885" t="str">
            <v>Twins cell</v>
          </cell>
        </row>
        <row r="4886">
          <cell r="B4886">
            <v>17769890</v>
          </cell>
          <cell r="C4886" t="str">
            <v>QILLA CELL SMI</v>
          </cell>
        </row>
        <row r="4887">
          <cell r="B4887">
            <v>17769916</v>
          </cell>
          <cell r="C4887" t="str">
            <v>MAMIH CELL</v>
          </cell>
        </row>
        <row r="4888">
          <cell r="B4888">
            <v>17769933</v>
          </cell>
          <cell r="C4888" t="str">
            <v>Key top-up</v>
          </cell>
        </row>
        <row r="4889">
          <cell r="B4889">
            <v>17769968</v>
          </cell>
          <cell r="C4889" t="str">
            <v>RAKSA CELL</v>
          </cell>
        </row>
        <row r="4890">
          <cell r="B4890">
            <v>17770237</v>
          </cell>
          <cell r="C4890" t="str">
            <v>Lestari store</v>
          </cell>
        </row>
        <row r="4891">
          <cell r="B4891">
            <v>17773014</v>
          </cell>
          <cell r="C4891" t="str">
            <v>M Rafa Cell</v>
          </cell>
        </row>
        <row r="4892">
          <cell r="B4892">
            <v>17772596</v>
          </cell>
          <cell r="C4892" t="str">
            <v>TITA CELL</v>
          </cell>
        </row>
        <row r="4893">
          <cell r="B4893">
            <v>17773357</v>
          </cell>
          <cell r="C4893" t="str">
            <v>Berkah R2 cell</v>
          </cell>
        </row>
        <row r="4894">
          <cell r="B4894">
            <v>17775721</v>
          </cell>
          <cell r="C4894" t="str">
            <v>Fadilah cell</v>
          </cell>
        </row>
        <row r="4895">
          <cell r="B4895">
            <v>17775725</v>
          </cell>
          <cell r="C4895" t="str">
            <v>ZYD Store</v>
          </cell>
        </row>
        <row r="4896">
          <cell r="B4896">
            <v>17775812</v>
          </cell>
          <cell r="C4896" t="str">
            <v>Febry cell</v>
          </cell>
        </row>
        <row r="4897">
          <cell r="B4897">
            <v>17775815</v>
          </cell>
          <cell r="C4897" t="str">
            <v>Uji cell</v>
          </cell>
        </row>
        <row r="4898">
          <cell r="B4898">
            <v>17775980</v>
          </cell>
          <cell r="C4898" t="str">
            <v>Robi Cell</v>
          </cell>
        </row>
        <row r="4899">
          <cell r="B4899">
            <v>17775983</v>
          </cell>
          <cell r="C4899" t="str">
            <v>Abdie Cell</v>
          </cell>
        </row>
        <row r="4900">
          <cell r="B4900">
            <v>17776285</v>
          </cell>
          <cell r="C4900" t="str">
            <v>Aquina cell</v>
          </cell>
        </row>
        <row r="4901">
          <cell r="B4901">
            <v>17309596</v>
          </cell>
          <cell r="C4901" t="str">
            <v>Sahabat Cell 3</v>
          </cell>
        </row>
        <row r="4902">
          <cell r="B4902">
            <v>17437932</v>
          </cell>
          <cell r="C4902" t="str">
            <v>SAYLA CELL</v>
          </cell>
        </row>
        <row r="4903">
          <cell r="B4903">
            <v>17774864</v>
          </cell>
          <cell r="C4903" t="str">
            <v>WR arsill</v>
          </cell>
        </row>
        <row r="4904">
          <cell r="B4904">
            <v>17775139</v>
          </cell>
          <cell r="C4904" t="str">
            <v>Horas cell</v>
          </cell>
        </row>
        <row r="4905">
          <cell r="B4905">
            <v>17776004</v>
          </cell>
          <cell r="C4905" t="str">
            <v>GALERI PULSA</v>
          </cell>
        </row>
        <row r="4906">
          <cell r="B4906">
            <v>17776006</v>
          </cell>
          <cell r="C4906" t="str">
            <v>HAFIDZ CELL</v>
          </cell>
        </row>
        <row r="4907">
          <cell r="B4907">
            <v>17776007</v>
          </cell>
          <cell r="C4907" t="str">
            <v>PULSA RELOAD CELL</v>
          </cell>
        </row>
        <row r="4908">
          <cell r="B4908">
            <v>17776012</v>
          </cell>
          <cell r="C4908" t="str">
            <v>GUDANG KUOTA</v>
          </cell>
        </row>
        <row r="4909">
          <cell r="B4909">
            <v>17776013</v>
          </cell>
          <cell r="C4909" t="str">
            <v>KONTER PULSA</v>
          </cell>
        </row>
        <row r="4910">
          <cell r="B4910">
            <v>17774358</v>
          </cell>
          <cell r="C4910" t="str">
            <v>Hafiza Cell</v>
          </cell>
        </row>
        <row r="4911">
          <cell r="B4911">
            <v>17774883</v>
          </cell>
          <cell r="C4911" t="str">
            <v>MDF CELL</v>
          </cell>
        </row>
        <row r="4912">
          <cell r="B4912">
            <v>17775117</v>
          </cell>
          <cell r="C4912" t="str">
            <v>YANA SAPUTRA CELL</v>
          </cell>
        </row>
        <row r="4913">
          <cell r="B4913">
            <v>17776796</v>
          </cell>
          <cell r="C4913" t="str">
            <v>Hafiza cell 2</v>
          </cell>
        </row>
        <row r="4914">
          <cell r="B4914">
            <v>17774561</v>
          </cell>
          <cell r="C4914" t="str">
            <v>MAMIH CELL</v>
          </cell>
        </row>
        <row r="4915">
          <cell r="B4915">
            <v>17776463</v>
          </cell>
          <cell r="C4915" t="str">
            <v>RADEYA CELL</v>
          </cell>
        </row>
        <row r="4916">
          <cell r="B4916">
            <v>17776474</v>
          </cell>
          <cell r="C4916" t="str">
            <v>Hevii Cell</v>
          </cell>
        </row>
        <row r="4917">
          <cell r="B4917">
            <v>17773970</v>
          </cell>
          <cell r="C4917" t="str">
            <v>Tati cell</v>
          </cell>
        </row>
        <row r="4918">
          <cell r="B4918">
            <v>17773976</v>
          </cell>
          <cell r="C4918" t="str">
            <v>Lyra Cell</v>
          </cell>
        </row>
        <row r="4919">
          <cell r="B4919">
            <v>17773977</v>
          </cell>
          <cell r="C4919" t="str">
            <v>95 cell</v>
          </cell>
        </row>
        <row r="4920">
          <cell r="B4920">
            <v>17773986</v>
          </cell>
          <cell r="C4920" t="str">
            <v>Bilal cell</v>
          </cell>
        </row>
        <row r="4921">
          <cell r="B4921">
            <v>17774005</v>
          </cell>
          <cell r="C4921" t="str">
            <v>Solihat Cell</v>
          </cell>
        </row>
        <row r="4922">
          <cell r="B4922">
            <v>17774246</v>
          </cell>
          <cell r="C4922" t="str">
            <v>Brilink laz one</v>
          </cell>
        </row>
        <row r="4923">
          <cell r="B4923">
            <v>17774469</v>
          </cell>
          <cell r="C4923" t="str">
            <v>Mirra Cell</v>
          </cell>
        </row>
        <row r="4924">
          <cell r="B4924">
            <v>17774681</v>
          </cell>
          <cell r="C4924" t="str">
            <v>I-one cell</v>
          </cell>
        </row>
        <row r="4925">
          <cell r="B4925">
            <v>17774689</v>
          </cell>
          <cell r="C4925" t="str">
            <v>KHANZA CELL</v>
          </cell>
        </row>
        <row r="4926">
          <cell r="B4926">
            <v>17774893</v>
          </cell>
          <cell r="C4926" t="str">
            <v>All cell</v>
          </cell>
        </row>
        <row r="4927">
          <cell r="B4927">
            <v>17775159</v>
          </cell>
          <cell r="C4927" t="str">
            <v>Gus Cell</v>
          </cell>
        </row>
        <row r="4928">
          <cell r="B4928">
            <v>17775297</v>
          </cell>
          <cell r="C4928" t="str">
            <v>Android Pajampangan</v>
          </cell>
        </row>
        <row r="4929">
          <cell r="B4929">
            <v>17775326</v>
          </cell>
          <cell r="C4929" t="str">
            <v>SITI Cell</v>
          </cell>
        </row>
        <row r="4930">
          <cell r="B4930">
            <v>17775430</v>
          </cell>
          <cell r="C4930" t="str">
            <v>BADRU CELL</v>
          </cell>
        </row>
        <row r="4931">
          <cell r="B4931">
            <v>17775624</v>
          </cell>
          <cell r="C4931" t="str">
            <v>AIS CELL</v>
          </cell>
        </row>
        <row r="4932">
          <cell r="B4932">
            <v>17775886</v>
          </cell>
          <cell r="C4932" t="str">
            <v>AANG CELL 1</v>
          </cell>
        </row>
        <row r="4933">
          <cell r="B4933">
            <v>17776465</v>
          </cell>
          <cell r="C4933" t="str">
            <v>AIS KUOTA CELL</v>
          </cell>
        </row>
        <row r="4934">
          <cell r="B4934">
            <v>17776792</v>
          </cell>
          <cell r="C4934" t="str">
            <v>Ahmad cell</v>
          </cell>
        </row>
        <row r="4935">
          <cell r="B4935">
            <v>17776813</v>
          </cell>
          <cell r="C4935" t="str">
            <v>AMI AMANAH CELL</v>
          </cell>
        </row>
        <row r="4936">
          <cell r="B4936">
            <v>17776822</v>
          </cell>
          <cell r="C4936" t="str">
            <v>WP Zahra</v>
          </cell>
        </row>
        <row r="4937">
          <cell r="B4937">
            <v>17777260</v>
          </cell>
          <cell r="C4937" t="str">
            <v>QTWOS CELL</v>
          </cell>
        </row>
        <row r="4938">
          <cell r="B4938">
            <v>17777951</v>
          </cell>
          <cell r="C4938" t="str">
            <v>Adam cell</v>
          </cell>
        </row>
        <row r="4939">
          <cell r="B4939">
            <v>17778056</v>
          </cell>
          <cell r="C4939" t="str">
            <v>Rifki 2</v>
          </cell>
        </row>
        <row r="4940">
          <cell r="B4940">
            <v>17776876</v>
          </cell>
          <cell r="C4940" t="str">
            <v>AMANAH CELL</v>
          </cell>
        </row>
        <row r="4941">
          <cell r="B4941">
            <v>17777415</v>
          </cell>
          <cell r="C4941" t="str">
            <v>RANIA CELL</v>
          </cell>
        </row>
        <row r="4942">
          <cell r="B4942">
            <v>17778250</v>
          </cell>
          <cell r="C4942" t="str">
            <v>Siti Nuraeni</v>
          </cell>
        </row>
        <row r="4943">
          <cell r="B4943">
            <v>17777660</v>
          </cell>
          <cell r="C4943" t="str">
            <v>YANI CELL SMI</v>
          </cell>
        </row>
        <row r="4944">
          <cell r="B4944">
            <v>17701889</v>
          </cell>
          <cell r="C4944" t="str">
            <v>VEAY PULSA</v>
          </cell>
        </row>
        <row r="4945">
          <cell r="B4945">
            <v>17776961</v>
          </cell>
          <cell r="C4945" t="str">
            <v>Nurfalah Store</v>
          </cell>
        </row>
        <row r="4946">
          <cell r="B4946">
            <v>17403660</v>
          </cell>
          <cell r="C4946" t="str">
            <v>SONIC RELOAD</v>
          </cell>
        </row>
        <row r="4947">
          <cell r="B4947">
            <v>17778224</v>
          </cell>
          <cell r="C4947" t="str">
            <v>Barokah cell</v>
          </cell>
        </row>
        <row r="4948">
          <cell r="B4948">
            <v>17778264</v>
          </cell>
          <cell r="C4948" t="str">
            <v>DNS CELL</v>
          </cell>
        </row>
        <row r="4949">
          <cell r="B4949">
            <v>17778419</v>
          </cell>
          <cell r="C4949" t="str">
            <v>REY CELL</v>
          </cell>
        </row>
        <row r="4950">
          <cell r="B4950">
            <v>17778450</v>
          </cell>
          <cell r="C4950" t="str">
            <v>SARTIKA CELL</v>
          </cell>
        </row>
        <row r="4951">
          <cell r="B4951">
            <v>17778481</v>
          </cell>
          <cell r="C4951" t="str">
            <v>DHA CELL</v>
          </cell>
        </row>
        <row r="4952">
          <cell r="B4952">
            <v>17778332</v>
          </cell>
          <cell r="C4952" t="str">
            <v>Early cell</v>
          </cell>
        </row>
        <row r="4953">
          <cell r="B4953">
            <v>17778347</v>
          </cell>
          <cell r="C4953" t="str">
            <v>Zaqi cell</v>
          </cell>
        </row>
        <row r="4954">
          <cell r="B4954">
            <v>17778460</v>
          </cell>
          <cell r="C4954" t="str">
            <v>DIRGA CELL</v>
          </cell>
        </row>
        <row r="4955">
          <cell r="B4955">
            <v>17778482</v>
          </cell>
          <cell r="C4955" t="str">
            <v>GREEN CELL</v>
          </cell>
        </row>
        <row r="4956">
          <cell r="B4956">
            <v>17778492</v>
          </cell>
          <cell r="C4956" t="str">
            <v>Dr. Store</v>
          </cell>
        </row>
        <row r="4957">
          <cell r="B4957">
            <v>17778186</v>
          </cell>
          <cell r="C4957" t="str">
            <v>Ayesha cell</v>
          </cell>
        </row>
        <row r="4958">
          <cell r="B4958">
            <v>1293375</v>
          </cell>
          <cell r="C4958" t="str">
            <v>VERA</v>
          </cell>
        </row>
        <row r="4959">
          <cell r="B4959">
            <v>17778303</v>
          </cell>
          <cell r="C4959" t="str">
            <v>Micro Cell</v>
          </cell>
        </row>
        <row r="4960">
          <cell r="B4960">
            <v>17778356</v>
          </cell>
          <cell r="C4960" t="str">
            <v>M RAFA CELL</v>
          </cell>
        </row>
        <row r="4961">
          <cell r="B4961">
            <v>17778374</v>
          </cell>
          <cell r="C4961" t="str">
            <v>TOKO SILALAHI CELL</v>
          </cell>
        </row>
        <row r="4962">
          <cell r="B4962">
            <v>17778214</v>
          </cell>
          <cell r="C4962" t="str">
            <v>Ardian cell</v>
          </cell>
        </row>
        <row r="4963">
          <cell r="B4963">
            <v>17778240</v>
          </cell>
          <cell r="C4963" t="str">
            <v>DHR CELL</v>
          </cell>
        </row>
        <row r="4964">
          <cell r="B4964">
            <v>17778325</v>
          </cell>
          <cell r="C4964" t="str">
            <v>Mullet store</v>
          </cell>
        </row>
        <row r="4965">
          <cell r="B4965">
            <v>17778396</v>
          </cell>
          <cell r="C4965" t="str">
            <v>WP SEJAHTERA CELL</v>
          </cell>
        </row>
        <row r="4966">
          <cell r="B4966">
            <v>17778495</v>
          </cell>
          <cell r="C4966" t="str">
            <v>Ara cell</v>
          </cell>
        </row>
        <row r="4967">
          <cell r="B4967">
            <v>17778406</v>
          </cell>
          <cell r="C4967" t="str">
            <v>RAFLI CELL</v>
          </cell>
        </row>
        <row r="4968">
          <cell r="B4968">
            <v>17778544</v>
          </cell>
          <cell r="C4968" t="str">
            <v>AYU CELL</v>
          </cell>
        </row>
        <row r="4969">
          <cell r="B4969">
            <v>17778591</v>
          </cell>
          <cell r="C4969" t="str">
            <v>PRABU CELL</v>
          </cell>
        </row>
        <row r="4970">
          <cell r="B4970">
            <v>1379998</v>
          </cell>
          <cell r="C4970" t="str">
            <v>UDAY CELL</v>
          </cell>
        </row>
        <row r="4971">
          <cell r="B4971">
            <v>17473007</v>
          </cell>
          <cell r="C4971" t="str">
            <v>Warung Bu Santi</v>
          </cell>
        </row>
        <row r="4972">
          <cell r="B4972">
            <v>17778883</v>
          </cell>
          <cell r="C4972" t="str">
            <v>Raffasya Cell</v>
          </cell>
        </row>
        <row r="4973">
          <cell r="B4973">
            <v>17012664</v>
          </cell>
          <cell r="C4973" t="str">
            <v>U-SHOP CELL 2</v>
          </cell>
        </row>
        <row r="4974">
          <cell r="B4974">
            <v>17779071</v>
          </cell>
          <cell r="C4974" t="str">
            <v>Nadira Cell</v>
          </cell>
        </row>
        <row r="4975">
          <cell r="B4975">
            <v>17776593</v>
          </cell>
          <cell r="C4975" t="str">
            <v>Src Hanifa</v>
          </cell>
        </row>
        <row r="4976">
          <cell r="B4976">
            <v>17231150</v>
          </cell>
          <cell r="C4976" t="str">
            <v>STORE CELL</v>
          </cell>
        </row>
        <row r="4977">
          <cell r="B4977">
            <v>17236164</v>
          </cell>
          <cell r="C4977" t="str">
            <v>SURYA CELL</v>
          </cell>
        </row>
        <row r="4978">
          <cell r="B4978">
            <v>17779287</v>
          </cell>
          <cell r="C4978" t="str">
            <v>SAFA CELL</v>
          </cell>
        </row>
        <row r="4979">
          <cell r="B4979">
            <v>17779530</v>
          </cell>
          <cell r="C4979" t="str">
            <v>CSM 303</v>
          </cell>
        </row>
        <row r="4980">
          <cell r="B4980">
            <v>17779581</v>
          </cell>
          <cell r="C4980" t="str">
            <v>Kaka Phone Cell</v>
          </cell>
        </row>
        <row r="4981">
          <cell r="B4981">
            <v>17780175</v>
          </cell>
          <cell r="C4981" t="str">
            <v>Sandi Cell</v>
          </cell>
        </row>
        <row r="4982">
          <cell r="B4982">
            <v>17780233</v>
          </cell>
          <cell r="C4982" t="str">
            <v>Berkah cell</v>
          </cell>
        </row>
        <row r="4983">
          <cell r="B4983">
            <v>1342117</v>
          </cell>
          <cell r="C4983" t="str">
            <v>SYIFA CELL</v>
          </cell>
        </row>
        <row r="4984">
          <cell r="B4984">
            <v>17600488</v>
          </cell>
          <cell r="C4984" t="str">
            <v>Threea Cell</v>
          </cell>
        </row>
        <row r="4985">
          <cell r="B4985">
            <v>17672371</v>
          </cell>
          <cell r="C4985" t="str">
            <v>Warung rudi</v>
          </cell>
        </row>
        <row r="4986">
          <cell r="B4986">
            <v>17780879</v>
          </cell>
          <cell r="C4986" t="str">
            <v>Ratu cell</v>
          </cell>
        </row>
        <row r="4987">
          <cell r="B4987">
            <v>17480826</v>
          </cell>
          <cell r="C4987" t="str">
            <v>Vanstore</v>
          </cell>
        </row>
        <row r="4988">
          <cell r="B4988">
            <v>17781205</v>
          </cell>
          <cell r="C4988" t="str">
            <v>Jasoen Cell</v>
          </cell>
        </row>
        <row r="4989">
          <cell r="B4989">
            <v>17588231</v>
          </cell>
          <cell r="C4989" t="str">
            <v>Why Cell</v>
          </cell>
        </row>
        <row r="4990">
          <cell r="B4990">
            <v>17781784</v>
          </cell>
          <cell r="C4990" t="str">
            <v>Toko Ken</v>
          </cell>
        </row>
        <row r="4991">
          <cell r="B4991">
            <v>17041969</v>
          </cell>
          <cell r="C4991" t="str">
            <v>WHY cell</v>
          </cell>
        </row>
        <row r="4992">
          <cell r="B4992">
            <v>17782359</v>
          </cell>
          <cell r="C4992" t="str">
            <v>Nadin cell</v>
          </cell>
        </row>
        <row r="4993">
          <cell r="B4993">
            <v>17244876</v>
          </cell>
          <cell r="C4993" t="str">
            <v>VI CELL</v>
          </cell>
        </row>
        <row r="4994">
          <cell r="B4994">
            <v>17782451</v>
          </cell>
          <cell r="C4994" t="str">
            <v>KHAYRA CELL</v>
          </cell>
        </row>
        <row r="4995">
          <cell r="B4995">
            <v>17436676</v>
          </cell>
          <cell r="C4995" t="str">
            <v>Warung cell</v>
          </cell>
        </row>
        <row r="4996">
          <cell r="B4996">
            <v>17783170</v>
          </cell>
          <cell r="C4996" t="str">
            <v>LISNA CELL</v>
          </cell>
        </row>
        <row r="4997">
          <cell r="B4997">
            <v>17783344</v>
          </cell>
          <cell r="C4997" t="str">
            <v>GALLERY CELL</v>
          </cell>
        </row>
        <row r="4998">
          <cell r="B4998">
            <v>17783523</v>
          </cell>
          <cell r="C4998" t="str">
            <v>Aulia Cell</v>
          </cell>
        </row>
        <row r="4999">
          <cell r="B4999">
            <v>17778120</v>
          </cell>
          <cell r="C4999" t="str">
            <v>Yumin cell</v>
          </cell>
        </row>
        <row r="5000">
          <cell r="B5000">
            <v>17778119</v>
          </cell>
          <cell r="C5000" t="str">
            <v>Yumin cell</v>
          </cell>
        </row>
        <row r="5001">
          <cell r="B5001">
            <v>17778976</v>
          </cell>
          <cell r="C5001" t="str">
            <v>AWAIS CELL</v>
          </cell>
        </row>
        <row r="5002">
          <cell r="B5002">
            <v>17779031</v>
          </cell>
          <cell r="C5002" t="str">
            <v>ZAHRA CELL</v>
          </cell>
        </row>
        <row r="5003">
          <cell r="B5003">
            <v>17779068</v>
          </cell>
          <cell r="C5003" t="str">
            <v>Intan cell</v>
          </cell>
        </row>
        <row r="5004">
          <cell r="B5004">
            <v>17779123</v>
          </cell>
          <cell r="C5004" t="str">
            <v>Virage store</v>
          </cell>
        </row>
        <row r="5005">
          <cell r="B5005">
            <v>17779176</v>
          </cell>
          <cell r="C5005" t="str">
            <v>Revi cell</v>
          </cell>
        </row>
        <row r="5006">
          <cell r="B5006">
            <v>17779440</v>
          </cell>
          <cell r="C5006" t="str">
            <v>WP DEDE CELL</v>
          </cell>
        </row>
        <row r="5007">
          <cell r="B5007">
            <v>17779606</v>
          </cell>
          <cell r="C5007" t="str">
            <v>Star cell</v>
          </cell>
        </row>
        <row r="5008">
          <cell r="B5008">
            <v>17779610</v>
          </cell>
          <cell r="C5008" t="str">
            <v>Konter ciemas</v>
          </cell>
        </row>
        <row r="5009">
          <cell r="B5009">
            <v>17779616</v>
          </cell>
          <cell r="C5009" t="str">
            <v>Ilham brilink</v>
          </cell>
        </row>
        <row r="5010">
          <cell r="B5010">
            <v>17779645</v>
          </cell>
          <cell r="C5010" t="str">
            <v>Mr Celluler</v>
          </cell>
        </row>
        <row r="5011">
          <cell r="B5011">
            <v>17780141</v>
          </cell>
          <cell r="C5011" t="str">
            <v>Rahayu brilink</v>
          </cell>
        </row>
        <row r="5012">
          <cell r="B5012">
            <v>17780222</v>
          </cell>
          <cell r="C5012" t="str">
            <v>Teh Dhini cell</v>
          </cell>
        </row>
        <row r="5013">
          <cell r="B5013">
            <v>17780387</v>
          </cell>
          <cell r="C5013" t="str">
            <v>Alireza cell</v>
          </cell>
        </row>
        <row r="5014">
          <cell r="B5014">
            <v>17780425</v>
          </cell>
          <cell r="C5014" t="str">
            <v>CBR CELL</v>
          </cell>
        </row>
        <row r="5015">
          <cell r="B5015">
            <v>17780433</v>
          </cell>
          <cell r="C5015" t="str">
            <v>ELZIO CELL2</v>
          </cell>
        </row>
        <row r="5016">
          <cell r="B5016">
            <v>17780840</v>
          </cell>
          <cell r="C5016" t="str">
            <v>Cucu cell</v>
          </cell>
        </row>
        <row r="5017">
          <cell r="B5017">
            <v>17780906</v>
          </cell>
          <cell r="C5017" t="str">
            <v>Mardian phone cell</v>
          </cell>
        </row>
        <row r="5018">
          <cell r="B5018">
            <v>17780911</v>
          </cell>
          <cell r="C5018" t="str">
            <v>GHOZZAL CELL</v>
          </cell>
        </row>
        <row r="5019">
          <cell r="B5019">
            <v>17780919</v>
          </cell>
          <cell r="C5019" t="str">
            <v>Rohmah cell</v>
          </cell>
        </row>
        <row r="5020">
          <cell r="B5020">
            <v>17780948</v>
          </cell>
          <cell r="C5020" t="str">
            <v>NLS CELL</v>
          </cell>
        </row>
        <row r="5021">
          <cell r="B5021">
            <v>17781747</v>
          </cell>
          <cell r="C5021" t="str">
            <v>HERDA CELL</v>
          </cell>
        </row>
        <row r="5022">
          <cell r="B5022">
            <v>17781783</v>
          </cell>
          <cell r="C5022" t="str">
            <v>Bahagia Cell</v>
          </cell>
        </row>
        <row r="5023">
          <cell r="B5023">
            <v>17781806</v>
          </cell>
          <cell r="C5023" t="str">
            <v>Anton cell</v>
          </cell>
        </row>
        <row r="5024">
          <cell r="B5024">
            <v>17781831</v>
          </cell>
          <cell r="C5024" t="str">
            <v>Warung Cell</v>
          </cell>
        </row>
        <row r="5025">
          <cell r="B5025">
            <v>17781916</v>
          </cell>
          <cell r="C5025" t="str">
            <v>Erna Cell</v>
          </cell>
        </row>
        <row r="5026">
          <cell r="B5026">
            <v>17781932</v>
          </cell>
          <cell r="C5026" t="str">
            <v>Calista cell</v>
          </cell>
        </row>
        <row r="5027">
          <cell r="B5027">
            <v>17782356</v>
          </cell>
          <cell r="C5027" t="str">
            <v>Rina cell</v>
          </cell>
        </row>
        <row r="5028">
          <cell r="B5028">
            <v>17782365</v>
          </cell>
          <cell r="C5028" t="str">
            <v>Bismillah cell</v>
          </cell>
        </row>
        <row r="5029">
          <cell r="B5029">
            <v>17782380</v>
          </cell>
          <cell r="C5029" t="str">
            <v>Anugrah Cell</v>
          </cell>
        </row>
        <row r="5030">
          <cell r="B5030">
            <v>17782454</v>
          </cell>
          <cell r="C5030" t="str">
            <v>BRJ CELL</v>
          </cell>
        </row>
        <row r="5031">
          <cell r="B5031">
            <v>17782614</v>
          </cell>
          <cell r="C5031" t="str">
            <v>Divya cell</v>
          </cell>
        </row>
        <row r="5032">
          <cell r="B5032">
            <v>17782604</v>
          </cell>
          <cell r="C5032" t="str">
            <v>Viery cell</v>
          </cell>
        </row>
        <row r="5033">
          <cell r="B5033">
            <v>17779262</v>
          </cell>
          <cell r="C5033" t="str">
            <v>SAGARA 49 CELL</v>
          </cell>
        </row>
        <row r="5034">
          <cell r="B5034">
            <v>17779299</v>
          </cell>
          <cell r="C5034" t="str">
            <v>Family cell smi</v>
          </cell>
        </row>
        <row r="5035">
          <cell r="B5035">
            <v>17779459</v>
          </cell>
          <cell r="C5035" t="str">
            <v>Fira cell smi</v>
          </cell>
        </row>
        <row r="5036">
          <cell r="B5036">
            <v>17786925</v>
          </cell>
          <cell r="C5036" t="str">
            <v>Warung Pulsa</v>
          </cell>
        </row>
        <row r="5037">
          <cell r="B5037">
            <v>17780218</v>
          </cell>
          <cell r="C5037" t="str">
            <v>RAFLY CELL</v>
          </cell>
        </row>
        <row r="5038">
          <cell r="B5038">
            <v>17780244</v>
          </cell>
          <cell r="C5038" t="str">
            <v>TransJaya Cell</v>
          </cell>
        </row>
        <row r="5039">
          <cell r="B5039">
            <v>17780286</v>
          </cell>
          <cell r="C5039" t="str">
            <v>Kaka cell smi</v>
          </cell>
        </row>
        <row r="5040">
          <cell r="B5040">
            <v>17780389</v>
          </cell>
          <cell r="C5040" t="str">
            <v>Toko fajar fajrin cell</v>
          </cell>
        </row>
        <row r="5041">
          <cell r="B5041">
            <v>17780391</v>
          </cell>
          <cell r="C5041" t="str">
            <v>AA PONSEL SMI</v>
          </cell>
        </row>
        <row r="5042">
          <cell r="B5042">
            <v>17409089</v>
          </cell>
          <cell r="C5042" t="str">
            <v>Warunk cell</v>
          </cell>
        </row>
        <row r="5043">
          <cell r="B5043">
            <v>17780848</v>
          </cell>
          <cell r="C5043" t="str">
            <v>PANORAMA CELL</v>
          </cell>
        </row>
        <row r="5044">
          <cell r="B5044">
            <v>17781232</v>
          </cell>
          <cell r="C5044" t="str">
            <v>Helios cell</v>
          </cell>
        </row>
        <row r="5045">
          <cell r="B5045">
            <v>17781398</v>
          </cell>
          <cell r="C5045" t="str">
            <v>Ratu pay</v>
          </cell>
        </row>
        <row r="5046">
          <cell r="B5046">
            <v>17471974</v>
          </cell>
          <cell r="C5046" t="str">
            <v>Wildan cell</v>
          </cell>
        </row>
        <row r="5047">
          <cell r="B5047">
            <v>17781751</v>
          </cell>
          <cell r="C5047" t="str">
            <v>RESA CELL SMI</v>
          </cell>
        </row>
        <row r="5048">
          <cell r="B5048">
            <v>17781766</v>
          </cell>
          <cell r="C5048" t="str">
            <v>DR Cellular</v>
          </cell>
        </row>
        <row r="5049">
          <cell r="B5049">
            <v>17778968</v>
          </cell>
          <cell r="C5049" t="str">
            <v>Wildan cell</v>
          </cell>
        </row>
        <row r="5050">
          <cell r="B5050">
            <v>17781821</v>
          </cell>
          <cell r="C5050" t="str">
            <v>TATI  CELL SMI</v>
          </cell>
        </row>
        <row r="5051">
          <cell r="B5051">
            <v>17781823</v>
          </cell>
          <cell r="C5051" t="str">
            <v>PISKA CELL</v>
          </cell>
        </row>
        <row r="5052">
          <cell r="B5052">
            <v>17781844</v>
          </cell>
          <cell r="C5052" t="str">
            <v>STAR CELL</v>
          </cell>
        </row>
        <row r="5053">
          <cell r="B5053">
            <v>17782598</v>
          </cell>
          <cell r="C5053" t="str">
            <v>Unic cell</v>
          </cell>
        </row>
        <row r="5054">
          <cell r="B5054">
            <v>17787526</v>
          </cell>
          <cell r="C5054" t="str">
            <v>WR cell</v>
          </cell>
        </row>
        <row r="5055">
          <cell r="B5055">
            <v>17783578</v>
          </cell>
          <cell r="C5055" t="str">
            <v>Pray cell</v>
          </cell>
        </row>
        <row r="5056">
          <cell r="B5056">
            <v>17778873</v>
          </cell>
          <cell r="C5056" t="str">
            <v>FAKHRI CELL</v>
          </cell>
        </row>
        <row r="5057">
          <cell r="B5057">
            <v>17779453</v>
          </cell>
          <cell r="C5057" t="str">
            <v>ABAY CELL</v>
          </cell>
        </row>
        <row r="5058">
          <cell r="B5058">
            <v>17780368</v>
          </cell>
          <cell r="C5058" t="str">
            <v>Toko Dewi</v>
          </cell>
        </row>
        <row r="5059">
          <cell r="B5059">
            <v>17780409</v>
          </cell>
          <cell r="C5059" t="str">
            <v>Aditya Cell</v>
          </cell>
        </row>
        <row r="5060">
          <cell r="B5060">
            <v>17781688</v>
          </cell>
          <cell r="C5060" t="str">
            <v>Cikupa Cell</v>
          </cell>
        </row>
        <row r="5061">
          <cell r="B5061">
            <v>17781703</v>
          </cell>
          <cell r="C5061" t="str">
            <v>BINTANG CELL</v>
          </cell>
        </row>
        <row r="5062">
          <cell r="B5062">
            <v>17781760</v>
          </cell>
          <cell r="C5062" t="str">
            <v>NASIR CELL</v>
          </cell>
        </row>
        <row r="5063">
          <cell r="B5063">
            <v>17781791</v>
          </cell>
          <cell r="C5063" t="str">
            <v>Mamet cell</v>
          </cell>
        </row>
        <row r="5064">
          <cell r="B5064">
            <v>17781808</v>
          </cell>
          <cell r="C5064" t="str">
            <v>Delisa cell</v>
          </cell>
        </row>
        <row r="5065">
          <cell r="B5065">
            <v>17781894</v>
          </cell>
          <cell r="C5065" t="str">
            <v>Magnum Cell</v>
          </cell>
        </row>
        <row r="5066">
          <cell r="B5066">
            <v>17782396</v>
          </cell>
          <cell r="C5066" t="str">
            <v>Almira</v>
          </cell>
        </row>
        <row r="5067">
          <cell r="B5067">
            <v>17782418</v>
          </cell>
          <cell r="C5067" t="str">
            <v>Farel Cell</v>
          </cell>
        </row>
        <row r="5068">
          <cell r="B5068">
            <v>17782464</v>
          </cell>
          <cell r="C5068" t="str">
            <v>JSM</v>
          </cell>
        </row>
        <row r="5069">
          <cell r="B5069">
            <v>17782476</v>
          </cell>
          <cell r="C5069" t="str">
            <v>Vix cell</v>
          </cell>
        </row>
        <row r="5070">
          <cell r="B5070">
            <v>17782501</v>
          </cell>
          <cell r="C5070" t="str">
            <v>CICA CELL</v>
          </cell>
        </row>
        <row r="5071">
          <cell r="B5071">
            <v>17782535</v>
          </cell>
          <cell r="C5071" t="str">
            <v>Foto Copy Cell</v>
          </cell>
        </row>
        <row r="5072">
          <cell r="B5072">
            <v>17782547</v>
          </cell>
          <cell r="C5072" t="str">
            <v>Alya Cell</v>
          </cell>
        </row>
        <row r="5073">
          <cell r="B5073">
            <v>17782560</v>
          </cell>
          <cell r="C5073" t="str">
            <v>Andi Cell</v>
          </cell>
        </row>
        <row r="5074">
          <cell r="B5074">
            <v>17782585</v>
          </cell>
          <cell r="C5074" t="str">
            <v>Family Cell</v>
          </cell>
        </row>
        <row r="5075">
          <cell r="B5075">
            <v>17782593</v>
          </cell>
          <cell r="C5075" t="str">
            <v>King Cell</v>
          </cell>
        </row>
        <row r="5076">
          <cell r="B5076">
            <v>17782596</v>
          </cell>
          <cell r="C5076" t="str">
            <v>AULIA CELL</v>
          </cell>
        </row>
        <row r="5077">
          <cell r="B5077">
            <v>17782619</v>
          </cell>
          <cell r="C5077" t="str">
            <v>Fourteen cell</v>
          </cell>
        </row>
        <row r="5078">
          <cell r="B5078">
            <v>17778587</v>
          </cell>
          <cell r="C5078" t="str">
            <v>Jali cell</v>
          </cell>
        </row>
        <row r="5079">
          <cell r="B5079">
            <v>17779229</v>
          </cell>
          <cell r="C5079" t="str">
            <v>SALDRA CELL</v>
          </cell>
        </row>
        <row r="5080">
          <cell r="B5080">
            <v>17779260</v>
          </cell>
          <cell r="C5080" t="str">
            <v>Arrizal cell</v>
          </cell>
        </row>
        <row r="5081">
          <cell r="B5081">
            <v>17779285</v>
          </cell>
          <cell r="C5081" t="str">
            <v>Wildan Cell 2</v>
          </cell>
        </row>
        <row r="5082">
          <cell r="B5082">
            <v>17779292</v>
          </cell>
          <cell r="C5082" t="str">
            <v>Aroma 2 cell</v>
          </cell>
        </row>
        <row r="5083">
          <cell r="B5083">
            <v>17779380</v>
          </cell>
          <cell r="C5083" t="str">
            <v>Raline Cell</v>
          </cell>
        </row>
        <row r="5084">
          <cell r="B5084">
            <v>17779705</v>
          </cell>
          <cell r="C5084" t="str">
            <v>Wrg Bu Yuli</v>
          </cell>
        </row>
        <row r="5085">
          <cell r="B5085">
            <v>17779725</v>
          </cell>
          <cell r="C5085" t="str">
            <v>Dadi cel</v>
          </cell>
        </row>
        <row r="5086">
          <cell r="B5086">
            <v>17779736</v>
          </cell>
          <cell r="C5086" t="str">
            <v>Wr Sinta Cell</v>
          </cell>
        </row>
        <row r="5087">
          <cell r="B5087">
            <v>17779750</v>
          </cell>
          <cell r="C5087" t="str">
            <v>Arta Digital</v>
          </cell>
        </row>
        <row r="5088">
          <cell r="B5088">
            <v>17779794</v>
          </cell>
          <cell r="C5088" t="str">
            <v>Eight Cell</v>
          </cell>
        </row>
        <row r="5089">
          <cell r="B5089">
            <v>17779797</v>
          </cell>
          <cell r="C5089" t="str">
            <v>Milla Pays</v>
          </cell>
        </row>
        <row r="5090">
          <cell r="B5090">
            <v>17779819</v>
          </cell>
          <cell r="C5090" t="str">
            <v>Frysta cell</v>
          </cell>
        </row>
        <row r="5091">
          <cell r="B5091">
            <v>17779903</v>
          </cell>
          <cell r="C5091" t="str">
            <v>Alvaro R.F</v>
          </cell>
        </row>
        <row r="5092">
          <cell r="B5092">
            <v>17780059</v>
          </cell>
          <cell r="C5092" t="str">
            <v>Pertiga Cell</v>
          </cell>
        </row>
        <row r="5093">
          <cell r="B5093">
            <v>17780082</v>
          </cell>
          <cell r="C5093" t="str">
            <v>Haursan cell</v>
          </cell>
        </row>
        <row r="5094">
          <cell r="B5094">
            <v>17780266</v>
          </cell>
          <cell r="C5094" t="str">
            <v>ALSHA CELL</v>
          </cell>
        </row>
        <row r="5095">
          <cell r="B5095">
            <v>17780322</v>
          </cell>
          <cell r="C5095" t="str">
            <v>MELLA CELL</v>
          </cell>
        </row>
        <row r="5096">
          <cell r="B5096">
            <v>17781096</v>
          </cell>
          <cell r="C5096" t="str">
            <v>Rafisqy Cell</v>
          </cell>
        </row>
        <row r="5097">
          <cell r="B5097">
            <v>17781482</v>
          </cell>
          <cell r="C5097" t="str">
            <v>AF CELL</v>
          </cell>
        </row>
        <row r="5098">
          <cell r="B5098">
            <v>17781714</v>
          </cell>
          <cell r="C5098" t="str">
            <v>Anasya cell</v>
          </cell>
        </row>
        <row r="5099">
          <cell r="B5099">
            <v>17781744</v>
          </cell>
          <cell r="C5099" t="str">
            <v>TANPANAMA CEL</v>
          </cell>
        </row>
        <row r="5100">
          <cell r="B5100">
            <v>17781811</v>
          </cell>
          <cell r="C5100" t="str">
            <v>Toko feri</v>
          </cell>
        </row>
        <row r="5101">
          <cell r="B5101">
            <v>17781888</v>
          </cell>
          <cell r="C5101" t="str">
            <v>Raysa</v>
          </cell>
        </row>
        <row r="5102">
          <cell r="B5102">
            <v>17781912</v>
          </cell>
          <cell r="C5102" t="str">
            <v>SRC BETI</v>
          </cell>
        </row>
        <row r="5103">
          <cell r="B5103">
            <v>17781915</v>
          </cell>
          <cell r="C5103" t="str">
            <v>SRC ADE</v>
          </cell>
        </row>
        <row r="5104">
          <cell r="B5104">
            <v>17781928</v>
          </cell>
          <cell r="C5104" t="str">
            <v>Ralilne cell</v>
          </cell>
        </row>
        <row r="5105">
          <cell r="B5105">
            <v>17781943</v>
          </cell>
          <cell r="C5105" t="str">
            <v>L cell</v>
          </cell>
        </row>
        <row r="5106">
          <cell r="B5106">
            <v>17781975</v>
          </cell>
          <cell r="C5106" t="str">
            <v>Bri Link Mesa Jaya</v>
          </cell>
        </row>
        <row r="5107">
          <cell r="B5107">
            <v>17782055</v>
          </cell>
          <cell r="C5107" t="str">
            <v>MD STORE 2</v>
          </cell>
        </row>
        <row r="5108">
          <cell r="B5108">
            <v>17782108</v>
          </cell>
          <cell r="C5108" t="str">
            <v>POM MINI SRC</v>
          </cell>
        </row>
        <row r="5109">
          <cell r="B5109">
            <v>17782118</v>
          </cell>
          <cell r="C5109" t="str">
            <v>Toko Nurul</v>
          </cell>
        </row>
        <row r="5110">
          <cell r="B5110">
            <v>17782125</v>
          </cell>
          <cell r="C5110" t="str">
            <v>Note celll</v>
          </cell>
        </row>
        <row r="5111">
          <cell r="B5111">
            <v>17782145</v>
          </cell>
          <cell r="C5111" t="str">
            <v>Faqih Cell</v>
          </cell>
        </row>
        <row r="5112">
          <cell r="B5112">
            <v>17782149</v>
          </cell>
          <cell r="C5112" t="str">
            <v>Raka Cell</v>
          </cell>
        </row>
        <row r="5113">
          <cell r="B5113">
            <v>17782316</v>
          </cell>
          <cell r="C5113" t="str">
            <v>Smut cell</v>
          </cell>
        </row>
        <row r="5114">
          <cell r="B5114">
            <v>17782562</v>
          </cell>
          <cell r="C5114" t="str">
            <v>Digi Cell</v>
          </cell>
        </row>
        <row r="5115">
          <cell r="B5115">
            <v>17782615</v>
          </cell>
          <cell r="C5115" t="str">
            <v>Dilan cell</v>
          </cell>
        </row>
        <row r="5116">
          <cell r="B5116">
            <v>17782620</v>
          </cell>
          <cell r="C5116" t="str">
            <v>NRC CELL</v>
          </cell>
        </row>
        <row r="5117">
          <cell r="B5117">
            <v>17782652</v>
          </cell>
          <cell r="C5117" t="str">
            <v>Warung Bi Hj Neneng</v>
          </cell>
        </row>
        <row r="5118">
          <cell r="B5118">
            <v>17782877</v>
          </cell>
          <cell r="C5118" t="str">
            <v>D21</v>
          </cell>
        </row>
        <row r="5119">
          <cell r="B5119">
            <v>17783538</v>
          </cell>
          <cell r="C5119" t="str">
            <v>Toko Bunda Grosir</v>
          </cell>
        </row>
        <row r="5120">
          <cell r="B5120">
            <v>17783548</v>
          </cell>
          <cell r="C5120" t="str">
            <v>Nex Cell Payment Point</v>
          </cell>
        </row>
        <row r="5121">
          <cell r="B5121">
            <v>17779096</v>
          </cell>
          <cell r="C5121" t="str">
            <v>PRABUU CELL</v>
          </cell>
        </row>
        <row r="5122">
          <cell r="B5122">
            <v>17779190</v>
          </cell>
          <cell r="C5122" t="str">
            <v>Manan cell</v>
          </cell>
        </row>
        <row r="5123">
          <cell r="B5123">
            <v>17779194</v>
          </cell>
          <cell r="C5123" t="str">
            <v>Anugerah Cell</v>
          </cell>
        </row>
        <row r="5124">
          <cell r="B5124">
            <v>17779197</v>
          </cell>
          <cell r="C5124" t="str">
            <v>IM3 only cellular</v>
          </cell>
        </row>
        <row r="5125">
          <cell r="B5125">
            <v>17779199</v>
          </cell>
          <cell r="C5125" t="str">
            <v>SN CELL</v>
          </cell>
        </row>
        <row r="5126">
          <cell r="B5126">
            <v>17779484</v>
          </cell>
          <cell r="C5126" t="str">
            <v>Shadow M</v>
          </cell>
        </row>
        <row r="5127">
          <cell r="B5127">
            <v>17779496</v>
          </cell>
          <cell r="C5127" t="str">
            <v>BLUE CELL</v>
          </cell>
        </row>
        <row r="5128">
          <cell r="B5128">
            <v>17779524</v>
          </cell>
          <cell r="C5128" t="str">
            <v>Kuota cellular</v>
          </cell>
        </row>
        <row r="5129">
          <cell r="B5129">
            <v>17779540</v>
          </cell>
          <cell r="C5129" t="str">
            <v>KENZIE CELL</v>
          </cell>
        </row>
        <row r="5130">
          <cell r="B5130">
            <v>17779558</v>
          </cell>
          <cell r="C5130" t="str">
            <v>RN STORE</v>
          </cell>
        </row>
        <row r="5131">
          <cell r="B5131">
            <v>17780236</v>
          </cell>
          <cell r="C5131" t="str">
            <v>Barokah Jaya Abadi</v>
          </cell>
        </row>
        <row r="5132">
          <cell r="B5132">
            <v>17780237</v>
          </cell>
          <cell r="C5132" t="str">
            <v>BRILINK MYFAV</v>
          </cell>
        </row>
        <row r="5133">
          <cell r="B5133">
            <v>17780279</v>
          </cell>
          <cell r="C5133" t="str">
            <v>BILAL CELL</v>
          </cell>
        </row>
        <row r="5134">
          <cell r="B5134">
            <v>17780289</v>
          </cell>
          <cell r="C5134" t="str">
            <v>One cell</v>
          </cell>
        </row>
        <row r="5135">
          <cell r="B5135">
            <v>17780304</v>
          </cell>
          <cell r="C5135" t="str">
            <v>Zilla cell</v>
          </cell>
        </row>
        <row r="5136">
          <cell r="B5136">
            <v>17781002</v>
          </cell>
          <cell r="C5136" t="str">
            <v>ARRUMI Cell</v>
          </cell>
        </row>
        <row r="5137">
          <cell r="B5137">
            <v>17781005</v>
          </cell>
          <cell r="C5137" t="str">
            <v>BRILINK ALFEZA</v>
          </cell>
        </row>
        <row r="5138">
          <cell r="B5138">
            <v>17781006</v>
          </cell>
          <cell r="C5138" t="str">
            <v>Delta cell</v>
          </cell>
        </row>
        <row r="5139">
          <cell r="B5139">
            <v>17781020</v>
          </cell>
          <cell r="C5139" t="str">
            <v>ADINDA CELL</v>
          </cell>
        </row>
        <row r="5140">
          <cell r="B5140">
            <v>17781041</v>
          </cell>
          <cell r="C5140" t="str">
            <v>CSL store</v>
          </cell>
        </row>
        <row r="5141">
          <cell r="B5141">
            <v>17781465</v>
          </cell>
          <cell r="C5141" t="str">
            <v>AZKA CELL</v>
          </cell>
        </row>
        <row r="5142">
          <cell r="B5142">
            <v>17781681</v>
          </cell>
          <cell r="C5142" t="str">
            <v>LISDA CELL</v>
          </cell>
        </row>
        <row r="5143">
          <cell r="B5143">
            <v>17781686</v>
          </cell>
          <cell r="C5143" t="str">
            <v>Katilu Store</v>
          </cell>
        </row>
        <row r="5144">
          <cell r="B5144">
            <v>17781708</v>
          </cell>
          <cell r="C5144" t="str">
            <v>Angga cellular</v>
          </cell>
        </row>
        <row r="5145">
          <cell r="B5145">
            <v>17781720</v>
          </cell>
          <cell r="C5145" t="str">
            <v>KAYSHA CELL</v>
          </cell>
        </row>
        <row r="5146">
          <cell r="B5146">
            <v>17781772</v>
          </cell>
          <cell r="C5146" t="str">
            <v>Zona murah</v>
          </cell>
        </row>
        <row r="5147">
          <cell r="B5147">
            <v>17782076</v>
          </cell>
          <cell r="C5147" t="str">
            <v>AKBAR CELL</v>
          </cell>
        </row>
        <row r="5148">
          <cell r="B5148">
            <v>17782435</v>
          </cell>
          <cell r="C5148" t="str">
            <v>Mega cell</v>
          </cell>
        </row>
        <row r="5149">
          <cell r="B5149">
            <v>17782492</v>
          </cell>
          <cell r="C5149" t="str">
            <v>ARDANI CELL</v>
          </cell>
        </row>
        <row r="5150">
          <cell r="B5150">
            <v>17782524</v>
          </cell>
          <cell r="C5150" t="str">
            <v>Assa jaya</v>
          </cell>
        </row>
        <row r="5151">
          <cell r="B5151">
            <v>17782525</v>
          </cell>
          <cell r="C5151" t="str">
            <v>Reska cell</v>
          </cell>
        </row>
        <row r="5152">
          <cell r="B5152">
            <v>17782559</v>
          </cell>
          <cell r="C5152" t="str">
            <v>RUZMA CELL</v>
          </cell>
        </row>
        <row r="5153">
          <cell r="B5153">
            <v>17782574</v>
          </cell>
          <cell r="C5153" t="str">
            <v>PERTAMINA CELL</v>
          </cell>
        </row>
        <row r="5154">
          <cell r="B5154">
            <v>17782594</v>
          </cell>
          <cell r="C5154" t="str">
            <v>Laris store</v>
          </cell>
        </row>
        <row r="5155">
          <cell r="B5155">
            <v>17784423</v>
          </cell>
          <cell r="C5155" t="str">
            <v>Cantika Cell</v>
          </cell>
        </row>
        <row r="5156">
          <cell r="B5156">
            <v>17784637</v>
          </cell>
          <cell r="C5156" t="str">
            <v>Irwansyah 10</v>
          </cell>
        </row>
        <row r="5157">
          <cell r="B5157">
            <v>586433</v>
          </cell>
          <cell r="C5157" t="str">
            <v>Wins Cell</v>
          </cell>
        </row>
        <row r="5158">
          <cell r="B5158">
            <v>17784569</v>
          </cell>
          <cell r="C5158" t="str">
            <v>Rafasya cell</v>
          </cell>
        </row>
        <row r="5159">
          <cell r="B5159">
            <v>17784741</v>
          </cell>
          <cell r="C5159" t="str">
            <v>WP sarry frozen</v>
          </cell>
        </row>
        <row r="5160">
          <cell r="B5160">
            <v>17784846</v>
          </cell>
          <cell r="C5160" t="str">
            <v>ZISS CELL 4</v>
          </cell>
        </row>
        <row r="5161">
          <cell r="B5161">
            <v>17784870</v>
          </cell>
          <cell r="C5161" t="str">
            <v>Hedrik cell</v>
          </cell>
        </row>
        <row r="5162">
          <cell r="B5162">
            <v>17786900</v>
          </cell>
          <cell r="C5162" t="str">
            <v>ONO SURONO CELL</v>
          </cell>
        </row>
        <row r="5163">
          <cell r="B5163">
            <v>17787149</v>
          </cell>
          <cell r="C5163" t="str">
            <v>Cyra cell</v>
          </cell>
        </row>
        <row r="5164">
          <cell r="B5164">
            <v>17787509</v>
          </cell>
          <cell r="C5164" t="str">
            <v>Home cell</v>
          </cell>
        </row>
        <row r="5165">
          <cell r="B5165">
            <v>17786671</v>
          </cell>
          <cell r="C5165" t="str">
            <v>Pandawa Cell</v>
          </cell>
        </row>
        <row r="5166">
          <cell r="B5166">
            <v>17787697</v>
          </cell>
          <cell r="C5166" t="str">
            <v>Bayu M Cell</v>
          </cell>
        </row>
        <row r="5167">
          <cell r="B5167">
            <v>17786742</v>
          </cell>
          <cell r="C5167" t="str">
            <v>Rindu cell</v>
          </cell>
        </row>
        <row r="5168">
          <cell r="B5168">
            <v>17787143</v>
          </cell>
          <cell r="C5168" t="str">
            <v>Tajilun cell</v>
          </cell>
        </row>
        <row r="5169">
          <cell r="B5169">
            <v>17787491</v>
          </cell>
          <cell r="C5169" t="str">
            <v>Asya cell</v>
          </cell>
        </row>
        <row r="5170">
          <cell r="B5170">
            <v>17785810</v>
          </cell>
          <cell r="C5170" t="str">
            <v>RIP CELL</v>
          </cell>
        </row>
        <row r="5171">
          <cell r="B5171">
            <v>17786947</v>
          </cell>
          <cell r="C5171" t="str">
            <v>Deriss Cell</v>
          </cell>
        </row>
        <row r="5172">
          <cell r="B5172">
            <v>17787916</v>
          </cell>
          <cell r="C5172" t="str">
            <v>Nasa 2 Cell</v>
          </cell>
        </row>
        <row r="5173">
          <cell r="B5173">
            <v>17785957</v>
          </cell>
          <cell r="C5173" t="str">
            <v>KIKI CELL</v>
          </cell>
        </row>
        <row r="5174">
          <cell r="B5174">
            <v>17786817</v>
          </cell>
          <cell r="C5174" t="str">
            <v>LEMBAH ASRI CELL</v>
          </cell>
        </row>
        <row r="5175">
          <cell r="B5175">
            <v>17785774</v>
          </cell>
          <cell r="C5175" t="str">
            <v>R2 Cell</v>
          </cell>
        </row>
        <row r="5176">
          <cell r="B5176">
            <v>17789357</v>
          </cell>
          <cell r="C5176" t="str">
            <v>Erna cell</v>
          </cell>
        </row>
        <row r="5177">
          <cell r="B5177">
            <v>17786811</v>
          </cell>
          <cell r="C5177" t="str">
            <v>Cherry Cell</v>
          </cell>
        </row>
        <row r="5178">
          <cell r="B5178">
            <v>17787173</v>
          </cell>
          <cell r="C5178" t="str">
            <v>Ficky Cell</v>
          </cell>
        </row>
        <row r="5179">
          <cell r="B5179">
            <v>17786873</v>
          </cell>
          <cell r="C5179" t="str">
            <v>Zera cell</v>
          </cell>
        </row>
        <row r="5180">
          <cell r="B5180">
            <v>17790662</v>
          </cell>
          <cell r="C5180" t="str">
            <v>LM phone Cell</v>
          </cell>
        </row>
        <row r="5181">
          <cell r="B5181">
            <v>17672388</v>
          </cell>
          <cell r="C5181" t="str">
            <v>Wr osin</v>
          </cell>
        </row>
        <row r="5182">
          <cell r="B5182">
            <v>17786809</v>
          </cell>
          <cell r="C5182" t="str">
            <v>WR ZAHRA</v>
          </cell>
        </row>
        <row r="5183">
          <cell r="B5183">
            <v>17786687</v>
          </cell>
          <cell r="C5183" t="str">
            <v>Olis cell</v>
          </cell>
        </row>
        <row r="5184">
          <cell r="B5184">
            <v>17785705</v>
          </cell>
          <cell r="C5184" t="str">
            <v>Toechya165 cell</v>
          </cell>
        </row>
        <row r="5185">
          <cell r="B5185">
            <v>17786813</v>
          </cell>
          <cell r="C5185" t="str">
            <v>Toko Agam</v>
          </cell>
        </row>
        <row r="5186">
          <cell r="B5186">
            <v>17787294</v>
          </cell>
          <cell r="C5186" t="str">
            <v>Kharisma cell</v>
          </cell>
        </row>
        <row r="5187">
          <cell r="B5187">
            <v>17437949</v>
          </cell>
          <cell r="C5187" t="str">
            <v>Yastwins Cell</v>
          </cell>
        </row>
        <row r="5188">
          <cell r="B5188">
            <v>609211</v>
          </cell>
          <cell r="C5188" t="str">
            <v>YOGA CELL</v>
          </cell>
        </row>
        <row r="5189">
          <cell r="B5189">
            <v>17648148</v>
          </cell>
          <cell r="C5189" t="str">
            <v>Yuli cell</v>
          </cell>
        </row>
        <row r="5190">
          <cell r="B5190">
            <v>17785978</v>
          </cell>
          <cell r="C5190" t="str">
            <v>UNIQ STORE</v>
          </cell>
        </row>
        <row r="5191">
          <cell r="B5191">
            <v>17786829</v>
          </cell>
          <cell r="C5191" t="str">
            <v>Warkop Cell</v>
          </cell>
        </row>
        <row r="5192">
          <cell r="B5192">
            <v>17787091</v>
          </cell>
          <cell r="C5192" t="str">
            <v>Andi Cell</v>
          </cell>
        </row>
        <row r="5193">
          <cell r="B5193">
            <v>17788516</v>
          </cell>
          <cell r="C5193" t="str">
            <v>BANYU CEL</v>
          </cell>
        </row>
        <row r="5194">
          <cell r="B5194">
            <v>17785505</v>
          </cell>
          <cell r="C5194" t="str">
            <v>IMELDA CELL SMI</v>
          </cell>
        </row>
        <row r="5195">
          <cell r="B5195">
            <v>17786907</v>
          </cell>
          <cell r="C5195" t="str">
            <v>ROKRAK CELL</v>
          </cell>
        </row>
        <row r="5196">
          <cell r="B5196">
            <v>17787489</v>
          </cell>
          <cell r="C5196" t="str">
            <v>AULIA18 CELL</v>
          </cell>
        </row>
        <row r="5197">
          <cell r="B5197">
            <v>1437582</v>
          </cell>
          <cell r="C5197" t="str">
            <v>xtream cell</v>
          </cell>
        </row>
        <row r="5198">
          <cell r="B5198">
            <v>17364239</v>
          </cell>
          <cell r="C5198" t="str">
            <v>YIN YANG CELL</v>
          </cell>
        </row>
        <row r="5199">
          <cell r="B5199">
            <v>17784810</v>
          </cell>
          <cell r="C5199" t="str">
            <v>Yogi cell</v>
          </cell>
        </row>
        <row r="5200">
          <cell r="B5200">
            <v>17435739</v>
          </cell>
          <cell r="C5200" t="str">
            <v>Yopy cell 2</v>
          </cell>
        </row>
        <row r="5201">
          <cell r="B5201">
            <v>17408987</v>
          </cell>
          <cell r="C5201" t="str">
            <v>Zahra ce</v>
          </cell>
        </row>
        <row r="5202">
          <cell r="B5202">
            <v>17011333</v>
          </cell>
          <cell r="C5202" t="str">
            <v>ZAHRA CELL</v>
          </cell>
        </row>
        <row r="5203">
          <cell r="B5203">
            <v>17786934</v>
          </cell>
          <cell r="C5203" t="str">
            <v>RISSA CELL</v>
          </cell>
        </row>
        <row r="5204">
          <cell r="B5204">
            <v>17787503</v>
          </cell>
          <cell r="C5204" t="str">
            <v>RMK STORE</v>
          </cell>
        </row>
        <row r="5205">
          <cell r="B5205">
            <v>17784706</v>
          </cell>
          <cell r="C5205" t="str">
            <v>KEDAI SANTUY CELL</v>
          </cell>
        </row>
        <row r="5206">
          <cell r="B5206">
            <v>17786912</v>
          </cell>
          <cell r="C5206" t="str">
            <v>Husna phone</v>
          </cell>
        </row>
        <row r="5207">
          <cell r="B5207">
            <v>17787518</v>
          </cell>
          <cell r="C5207" t="str">
            <v>Zafran cellular</v>
          </cell>
        </row>
        <row r="5208">
          <cell r="B5208">
            <v>17788624</v>
          </cell>
          <cell r="C5208" t="str">
            <v>Nia cell</v>
          </cell>
        </row>
        <row r="5209">
          <cell r="B5209">
            <v>17788699</v>
          </cell>
          <cell r="C5209" t="str">
            <v>Jasmine cell smi</v>
          </cell>
        </row>
        <row r="5210">
          <cell r="B5210">
            <v>17790140</v>
          </cell>
          <cell r="C5210" t="str">
            <v>Disa store 3</v>
          </cell>
        </row>
        <row r="5211">
          <cell r="B5211">
            <v>17785480</v>
          </cell>
          <cell r="C5211" t="str">
            <v>AB STORE</v>
          </cell>
        </row>
        <row r="5212">
          <cell r="B5212">
            <v>17787141</v>
          </cell>
          <cell r="C5212" t="str">
            <v>MY CELL 2</v>
          </cell>
        </row>
        <row r="5213">
          <cell r="B5213">
            <v>17787495</v>
          </cell>
          <cell r="C5213" t="str">
            <v>ELSHANUM CELL 2</v>
          </cell>
        </row>
        <row r="5214">
          <cell r="B5214">
            <v>17788806</v>
          </cell>
          <cell r="C5214" t="str">
            <v>BROTHER CELL</v>
          </cell>
        </row>
        <row r="5215">
          <cell r="B5215">
            <v>17787814</v>
          </cell>
          <cell r="C5215" t="str">
            <v>ICA CELL</v>
          </cell>
        </row>
        <row r="5216">
          <cell r="B5216">
            <v>17788641</v>
          </cell>
          <cell r="C5216" t="str">
            <v>RARAN RAINA STORE</v>
          </cell>
        </row>
        <row r="5217">
          <cell r="B5217">
            <v>17455574</v>
          </cell>
          <cell r="C5217" t="str">
            <v>YUKI CELL</v>
          </cell>
        </row>
        <row r="5218">
          <cell r="B5218">
            <v>1318210</v>
          </cell>
          <cell r="C5218" t="str">
            <v>YUSI</v>
          </cell>
        </row>
        <row r="5219">
          <cell r="B5219">
            <v>17785449</v>
          </cell>
          <cell r="C5219" t="str">
            <v>emenk bengkel hp</v>
          </cell>
        </row>
        <row r="5220">
          <cell r="B5220">
            <v>17785790</v>
          </cell>
          <cell r="C5220" t="str">
            <v>asni cell</v>
          </cell>
        </row>
        <row r="5221">
          <cell r="B5221">
            <v>17788756</v>
          </cell>
          <cell r="C5221" t="str">
            <v>Mondy cell</v>
          </cell>
        </row>
        <row r="5222">
          <cell r="B5222">
            <v>17789811</v>
          </cell>
          <cell r="C5222" t="str">
            <v>Asqitata cell</v>
          </cell>
        </row>
        <row r="5223">
          <cell r="B5223">
            <v>17789872</v>
          </cell>
          <cell r="C5223" t="str">
            <v>Asqitata cell</v>
          </cell>
        </row>
        <row r="5224">
          <cell r="B5224">
            <v>17788431</v>
          </cell>
          <cell r="C5224" t="str">
            <v>nandar</v>
          </cell>
        </row>
        <row r="5225">
          <cell r="B5225">
            <v>17784480</v>
          </cell>
          <cell r="C5225" t="str">
            <v>mamah shauqi azmi cell</v>
          </cell>
        </row>
        <row r="5226">
          <cell r="B5226">
            <v>17789163</v>
          </cell>
          <cell r="C5226" t="str">
            <v>opik</v>
          </cell>
        </row>
        <row r="5227">
          <cell r="B5227">
            <v>17786058</v>
          </cell>
          <cell r="C5227" t="str">
            <v>florist</v>
          </cell>
        </row>
        <row r="5228">
          <cell r="B5228">
            <v>17784307</v>
          </cell>
          <cell r="C5228" t="str">
            <v>WPS</v>
          </cell>
        </row>
        <row r="5229">
          <cell r="B5229">
            <v>17785169</v>
          </cell>
          <cell r="C5229" t="str">
            <v>ndra</v>
          </cell>
        </row>
        <row r="5230">
          <cell r="B5230">
            <v>17785845</v>
          </cell>
          <cell r="C5230" t="str">
            <v>husnicell</v>
          </cell>
        </row>
        <row r="5231">
          <cell r="B5231">
            <v>17787977</v>
          </cell>
          <cell r="C5231" t="str">
            <v>shepia cell</v>
          </cell>
        </row>
        <row r="5232">
          <cell r="B5232">
            <v>17788009</v>
          </cell>
          <cell r="C5232" t="str">
            <v>lindacell</v>
          </cell>
        </row>
        <row r="5233">
          <cell r="B5233">
            <v>17787611</v>
          </cell>
          <cell r="C5233" t="str">
            <v>ANUGRAH CELL</v>
          </cell>
        </row>
        <row r="5234">
          <cell r="B5234">
            <v>17786820</v>
          </cell>
          <cell r="C5234" t="str">
            <v>RayiRaka CELL</v>
          </cell>
        </row>
        <row r="5235">
          <cell r="B5235">
            <v>17788077</v>
          </cell>
          <cell r="C5235" t="str">
            <v>AIM CELL</v>
          </cell>
        </row>
        <row r="5236">
          <cell r="B5236">
            <v>17788084</v>
          </cell>
          <cell r="C5236" t="str">
            <v>NASYA CELL</v>
          </cell>
        </row>
        <row r="5237">
          <cell r="B5237">
            <v>17788087</v>
          </cell>
          <cell r="C5237" t="str">
            <v>SM CELL</v>
          </cell>
        </row>
        <row r="5238">
          <cell r="B5238">
            <v>17789556</v>
          </cell>
          <cell r="C5238" t="str">
            <v>AM CELL</v>
          </cell>
        </row>
        <row r="5239">
          <cell r="B5239">
            <v>17789557</v>
          </cell>
          <cell r="C5239" t="str">
            <v>WR DHIDHA</v>
          </cell>
        </row>
        <row r="5240">
          <cell r="B5240">
            <v>17786855</v>
          </cell>
          <cell r="C5240" t="str">
            <v>NADIA CELL</v>
          </cell>
        </row>
        <row r="5241">
          <cell r="B5241">
            <v>17787024</v>
          </cell>
          <cell r="C5241" t="str">
            <v>Nathan BRILink</v>
          </cell>
        </row>
        <row r="5242">
          <cell r="B5242">
            <v>17787345</v>
          </cell>
          <cell r="C5242" t="str">
            <v>TOKO CM 4 PUTRA</v>
          </cell>
        </row>
        <row r="5243">
          <cell r="B5243">
            <v>17788095</v>
          </cell>
          <cell r="C5243" t="str">
            <v>RF CELL</v>
          </cell>
        </row>
        <row r="5244">
          <cell r="B5244">
            <v>17788098</v>
          </cell>
          <cell r="C5244" t="str">
            <v>DEVIRA CELL</v>
          </cell>
        </row>
        <row r="5245">
          <cell r="B5245">
            <v>17788100</v>
          </cell>
          <cell r="C5245" t="str">
            <v>BRILINK WIRA</v>
          </cell>
        </row>
        <row r="5246">
          <cell r="B5246">
            <v>17787463</v>
          </cell>
          <cell r="C5246" t="str">
            <v>10 Cell</v>
          </cell>
        </row>
        <row r="5247">
          <cell r="B5247">
            <v>17787825</v>
          </cell>
          <cell r="C5247" t="str">
            <v>Abjad Ce</v>
          </cell>
        </row>
        <row r="5248">
          <cell r="B5248">
            <v>17787022</v>
          </cell>
          <cell r="C5248" t="str">
            <v>DHIMA CELL 3</v>
          </cell>
        </row>
        <row r="5249">
          <cell r="B5249">
            <v>17787176</v>
          </cell>
          <cell r="C5249" t="str">
            <v>Jasmine pay</v>
          </cell>
        </row>
        <row r="5250">
          <cell r="B5250">
            <v>17787186</v>
          </cell>
          <cell r="C5250" t="str">
            <v>Iwan phone cell</v>
          </cell>
        </row>
        <row r="5251">
          <cell r="B5251">
            <v>17787475</v>
          </cell>
          <cell r="C5251" t="str">
            <v>Arsyad cell</v>
          </cell>
        </row>
        <row r="5252">
          <cell r="B5252">
            <v>17787481</v>
          </cell>
          <cell r="C5252" t="str">
            <v>Maharani cell</v>
          </cell>
        </row>
        <row r="5253">
          <cell r="B5253">
            <v>17787482</v>
          </cell>
          <cell r="C5253" t="str">
            <v>ADD CELL</v>
          </cell>
        </row>
        <row r="5254">
          <cell r="B5254">
            <v>17787914</v>
          </cell>
          <cell r="C5254" t="str">
            <v>SATYA CELL</v>
          </cell>
        </row>
        <row r="5255">
          <cell r="B5255">
            <v>17787903</v>
          </cell>
          <cell r="C5255" t="str">
            <v>Zyan Bersinar Cell</v>
          </cell>
        </row>
        <row r="5256">
          <cell r="B5256">
            <v>17786878</v>
          </cell>
          <cell r="C5256" t="str">
            <v>Deuis cell</v>
          </cell>
        </row>
        <row r="5257">
          <cell r="B5257">
            <v>17787525</v>
          </cell>
          <cell r="C5257" t="str">
            <v>Kia cell</v>
          </cell>
        </row>
        <row r="5258">
          <cell r="B5258">
            <v>17790130</v>
          </cell>
          <cell r="C5258" t="str">
            <v>Toko Rita</v>
          </cell>
        </row>
        <row r="5259">
          <cell r="B5259">
            <v>17790133</v>
          </cell>
          <cell r="C5259" t="str">
            <v>Gabut pay cell</v>
          </cell>
        </row>
        <row r="5260">
          <cell r="B5260">
            <v>17787313</v>
          </cell>
          <cell r="C5260" t="str">
            <v>Aura cell</v>
          </cell>
        </row>
        <row r="5261">
          <cell r="B5261">
            <v>17787603</v>
          </cell>
          <cell r="C5261" t="str">
            <v>Susi cell</v>
          </cell>
        </row>
        <row r="5262">
          <cell r="B5262">
            <v>17788677</v>
          </cell>
          <cell r="C5262" t="str">
            <v>Kharisma celluler</v>
          </cell>
        </row>
        <row r="5263">
          <cell r="B5263">
            <v>17784802</v>
          </cell>
          <cell r="C5263" t="str">
            <v>Win cell</v>
          </cell>
        </row>
        <row r="5264">
          <cell r="B5264">
            <v>17785560</v>
          </cell>
          <cell r="C5264" t="str">
            <v>Lakuning cell</v>
          </cell>
        </row>
        <row r="5265">
          <cell r="B5265">
            <v>17786069</v>
          </cell>
          <cell r="C5265" t="str">
            <v>Rani cell</v>
          </cell>
        </row>
        <row r="5266">
          <cell r="B5266">
            <v>17787171</v>
          </cell>
          <cell r="C5266" t="str">
            <v>Mugni cell</v>
          </cell>
        </row>
        <row r="5267">
          <cell r="B5267">
            <v>17787539</v>
          </cell>
          <cell r="C5267" t="str">
            <v>Ramdani cell</v>
          </cell>
        </row>
        <row r="5268">
          <cell r="B5268">
            <v>17788679</v>
          </cell>
          <cell r="C5268" t="str">
            <v>Sami cell</v>
          </cell>
        </row>
        <row r="5269">
          <cell r="B5269">
            <v>17789968</v>
          </cell>
          <cell r="C5269" t="str">
            <v>Yanti cell</v>
          </cell>
        </row>
        <row r="5270">
          <cell r="B5270">
            <v>17785523</v>
          </cell>
          <cell r="C5270" t="str">
            <v>Waroeng hape</v>
          </cell>
        </row>
        <row r="5271">
          <cell r="B5271">
            <v>17786020</v>
          </cell>
          <cell r="C5271" t="str">
            <v>Haura cell</v>
          </cell>
        </row>
        <row r="5272">
          <cell r="B5272">
            <v>17787228</v>
          </cell>
          <cell r="C5272" t="str">
            <v>Rina cell</v>
          </cell>
        </row>
        <row r="5273">
          <cell r="B5273">
            <v>17787484</v>
          </cell>
          <cell r="C5273" t="str">
            <v>M-tris</v>
          </cell>
        </row>
        <row r="5274">
          <cell r="B5274">
            <v>17788642</v>
          </cell>
          <cell r="C5274" t="str">
            <v>Android Pajampangan 2</v>
          </cell>
        </row>
        <row r="5275">
          <cell r="B5275">
            <v>17786047</v>
          </cell>
          <cell r="C5275" t="str">
            <v>Android Pajampangan 03</v>
          </cell>
        </row>
        <row r="5276">
          <cell r="B5276">
            <v>17786238</v>
          </cell>
          <cell r="C5276" t="str">
            <v>Panca cell</v>
          </cell>
        </row>
        <row r="5277">
          <cell r="B5277">
            <v>17787364</v>
          </cell>
          <cell r="C5277" t="str">
            <v>Dans cell</v>
          </cell>
        </row>
        <row r="5278">
          <cell r="B5278">
            <v>17787566</v>
          </cell>
          <cell r="C5278" t="str">
            <v>Dinar cell</v>
          </cell>
        </row>
        <row r="5279">
          <cell r="B5279">
            <v>17788700</v>
          </cell>
          <cell r="C5279" t="str">
            <v>Anggun cell</v>
          </cell>
        </row>
        <row r="5280">
          <cell r="B5280">
            <v>17790021</v>
          </cell>
          <cell r="C5280" t="str">
            <v>Piroh store</v>
          </cell>
        </row>
        <row r="5281">
          <cell r="B5281">
            <v>17786083</v>
          </cell>
          <cell r="C5281" t="str">
            <v>RADIAS CELL</v>
          </cell>
        </row>
        <row r="5282">
          <cell r="B5282">
            <v>17787310</v>
          </cell>
          <cell r="C5282" t="str">
            <v>RNV CELL</v>
          </cell>
        </row>
        <row r="5283">
          <cell r="B5283">
            <v>17787636</v>
          </cell>
          <cell r="C5283" t="str">
            <v>Saturn cell</v>
          </cell>
        </row>
        <row r="5284">
          <cell r="B5284">
            <v>17788691</v>
          </cell>
          <cell r="C5284" t="str">
            <v>MONDY CELL</v>
          </cell>
        </row>
        <row r="5285">
          <cell r="B5285">
            <v>17796191</v>
          </cell>
          <cell r="C5285" t="str">
            <v>Alvin Cell</v>
          </cell>
        </row>
        <row r="5286">
          <cell r="B5286">
            <v>17791027</v>
          </cell>
          <cell r="C5286" t="str">
            <v>ary</v>
          </cell>
        </row>
        <row r="5287">
          <cell r="B5287">
            <v>17794068</v>
          </cell>
          <cell r="C5287" t="str">
            <v>berkah ceel</v>
          </cell>
        </row>
        <row r="5288">
          <cell r="B5288">
            <v>17792615</v>
          </cell>
          <cell r="C5288" t="str">
            <v>Cerah cell</v>
          </cell>
        </row>
        <row r="5289">
          <cell r="B5289">
            <v>17795515</v>
          </cell>
          <cell r="C5289" t="str">
            <v>cumicell</v>
          </cell>
        </row>
        <row r="5290">
          <cell r="B5290">
            <v>17796590</v>
          </cell>
          <cell r="C5290" t="str">
            <v>deffcell</v>
          </cell>
        </row>
        <row r="5291">
          <cell r="B5291">
            <v>17792018</v>
          </cell>
          <cell r="C5291" t="str">
            <v>IBNU SINA</v>
          </cell>
        </row>
        <row r="5292">
          <cell r="B5292">
            <v>17794294</v>
          </cell>
          <cell r="C5292" t="str">
            <v>Janurcel</v>
          </cell>
        </row>
        <row r="5293">
          <cell r="B5293">
            <v>17794292</v>
          </cell>
          <cell r="C5293" t="str">
            <v>Khairil ammar</v>
          </cell>
        </row>
        <row r="5294">
          <cell r="B5294">
            <v>17791026</v>
          </cell>
          <cell r="C5294" t="str">
            <v>mafazacell</v>
          </cell>
        </row>
        <row r="5295">
          <cell r="B5295">
            <v>17796039</v>
          </cell>
          <cell r="C5295" t="str">
            <v>marsiyah shop</v>
          </cell>
        </row>
        <row r="5296">
          <cell r="B5296">
            <v>17795430</v>
          </cell>
          <cell r="C5296" t="str">
            <v>najla</v>
          </cell>
        </row>
        <row r="5297">
          <cell r="B5297">
            <v>17793888</v>
          </cell>
          <cell r="C5297" t="str">
            <v>nazzcall</v>
          </cell>
        </row>
        <row r="5298">
          <cell r="B5298">
            <v>17793902</v>
          </cell>
          <cell r="C5298" t="str">
            <v>Nevi Amalia</v>
          </cell>
        </row>
        <row r="5299">
          <cell r="B5299">
            <v>17794084</v>
          </cell>
          <cell r="C5299" t="str">
            <v>Qiara cell</v>
          </cell>
        </row>
        <row r="5300">
          <cell r="B5300">
            <v>17790774</v>
          </cell>
          <cell r="C5300" t="str">
            <v>REGYACELL2</v>
          </cell>
        </row>
        <row r="5301">
          <cell r="B5301">
            <v>17795221</v>
          </cell>
          <cell r="C5301" t="str">
            <v>Rudian Store</v>
          </cell>
        </row>
        <row r="5302">
          <cell r="B5302">
            <v>17794366</v>
          </cell>
          <cell r="C5302" t="str">
            <v>RUMAH KUOTA</v>
          </cell>
        </row>
        <row r="5303">
          <cell r="B5303">
            <v>17794112</v>
          </cell>
          <cell r="C5303" t="str">
            <v>sajdin</v>
          </cell>
        </row>
        <row r="5304">
          <cell r="B5304">
            <v>17795427</v>
          </cell>
          <cell r="C5304" t="str">
            <v>Sehab</v>
          </cell>
        </row>
        <row r="5305">
          <cell r="B5305">
            <v>17795566</v>
          </cell>
          <cell r="C5305" t="str">
            <v>syaif cell</v>
          </cell>
        </row>
        <row r="5306">
          <cell r="B5306">
            <v>17796693</v>
          </cell>
          <cell r="C5306" t="str">
            <v>toko indra leibande cell</v>
          </cell>
        </row>
        <row r="5307">
          <cell r="B5307">
            <v>17796679</v>
          </cell>
          <cell r="C5307" t="str">
            <v>yesyacel</v>
          </cell>
        </row>
        <row r="5308">
          <cell r="B5308">
            <v>17796054</v>
          </cell>
          <cell r="C5308" t="str">
            <v>Wiwi</v>
          </cell>
        </row>
        <row r="5309">
          <cell r="B5309">
            <v>17793370</v>
          </cell>
          <cell r="C5309" t="str">
            <v>M.S.14 Cell</v>
          </cell>
        </row>
        <row r="5310">
          <cell r="B5310">
            <v>17796361</v>
          </cell>
          <cell r="C5310" t="str">
            <v>ANDRA FLASHER</v>
          </cell>
        </row>
        <row r="5311">
          <cell r="B5311">
            <v>17794570</v>
          </cell>
          <cell r="C5311" t="str">
            <v>Evie cell</v>
          </cell>
        </row>
        <row r="5312">
          <cell r="B5312">
            <v>17796055</v>
          </cell>
          <cell r="C5312" t="str">
            <v>Sundul cell</v>
          </cell>
        </row>
        <row r="5313">
          <cell r="B5313">
            <v>17796378</v>
          </cell>
          <cell r="C5313" t="str">
            <v>Azu Cell</v>
          </cell>
        </row>
        <row r="5314">
          <cell r="B5314">
            <v>17793433</v>
          </cell>
          <cell r="C5314" t="str">
            <v>Bilbil cell</v>
          </cell>
        </row>
        <row r="5315">
          <cell r="B5315">
            <v>17793414</v>
          </cell>
          <cell r="C5315" t="str">
            <v>Ical Cell</v>
          </cell>
        </row>
        <row r="5316">
          <cell r="B5316">
            <v>17796358</v>
          </cell>
          <cell r="C5316" t="str">
            <v>Hagiwara store</v>
          </cell>
        </row>
        <row r="5317">
          <cell r="B5317">
            <v>17796043</v>
          </cell>
          <cell r="C5317" t="str">
            <v>Klinik ponsel</v>
          </cell>
        </row>
        <row r="5318">
          <cell r="B5318">
            <v>17791468</v>
          </cell>
          <cell r="C5318" t="str">
            <v>ALEX CELL 3</v>
          </cell>
        </row>
        <row r="5319">
          <cell r="B5319">
            <v>17791668</v>
          </cell>
          <cell r="C5319" t="str">
            <v>EL CELL</v>
          </cell>
        </row>
        <row r="5320">
          <cell r="B5320">
            <v>1288591</v>
          </cell>
          <cell r="C5320" t="str">
            <v>ZA NET CELL</v>
          </cell>
        </row>
        <row r="5321">
          <cell r="B5321">
            <v>17796352</v>
          </cell>
          <cell r="C5321" t="str">
            <v>SC CELL</v>
          </cell>
        </row>
        <row r="5322">
          <cell r="B5322">
            <v>17796325</v>
          </cell>
          <cell r="C5322" t="str">
            <v>VIVI CELL SMI</v>
          </cell>
        </row>
        <row r="5323">
          <cell r="B5323">
            <v>17796374</v>
          </cell>
          <cell r="C5323" t="str">
            <v>3 putra cell</v>
          </cell>
        </row>
        <row r="5324">
          <cell r="B5324">
            <v>17796331</v>
          </cell>
          <cell r="C5324" t="str">
            <v>Raja Cell</v>
          </cell>
        </row>
        <row r="5325">
          <cell r="B5325">
            <v>17794351</v>
          </cell>
          <cell r="C5325" t="str">
            <v>Aden cell</v>
          </cell>
        </row>
        <row r="5326">
          <cell r="B5326">
            <v>17796083</v>
          </cell>
          <cell r="C5326" t="str">
            <v>Agen cell</v>
          </cell>
        </row>
        <row r="5327">
          <cell r="B5327">
            <v>17792292</v>
          </cell>
          <cell r="C5327" t="str">
            <v>Gilang cell 6</v>
          </cell>
        </row>
        <row r="5328">
          <cell r="B5328">
            <v>17796087</v>
          </cell>
          <cell r="C5328" t="str">
            <v>Wp Berkah</v>
          </cell>
        </row>
        <row r="5329">
          <cell r="B5329">
            <v>17793789</v>
          </cell>
          <cell r="C5329" t="str">
            <v>XELL STORE</v>
          </cell>
        </row>
        <row r="5330">
          <cell r="B5330">
            <v>17795918</v>
          </cell>
          <cell r="C5330" t="str">
            <v>Toko berkah</v>
          </cell>
        </row>
        <row r="5331">
          <cell r="B5331">
            <v>17795966</v>
          </cell>
          <cell r="C5331" t="str">
            <v>ALPAN CELL</v>
          </cell>
        </row>
        <row r="5332">
          <cell r="B5332">
            <v>17795837</v>
          </cell>
          <cell r="C5332" t="str">
            <v>BABAKAN CELL</v>
          </cell>
        </row>
        <row r="5333">
          <cell r="B5333">
            <v>17795840</v>
          </cell>
          <cell r="C5333" t="str">
            <v>GALANG CELL</v>
          </cell>
        </row>
        <row r="5334">
          <cell r="B5334">
            <v>17795834</v>
          </cell>
          <cell r="C5334" t="str">
            <v>INDRA CELL</v>
          </cell>
        </row>
        <row r="5335">
          <cell r="B5335">
            <v>17795965</v>
          </cell>
          <cell r="C5335" t="str">
            <v>KEENAN CELL</v>
          </cell>
        </row>
        <row r="5336">
          <cell r="B5336">
            <v>17795833</v>
          </cell>
          <cell r="C5336" t="str">
            <v>KLINIK PONSEL</v>
          </cell>
        </row>
        <row r="5337">
          <cell r="B5337">
            <v>17795841</v>
          </cell>
          <cell r="C5337" t="str">
            <v>RISALAH CELL</v>
          </cell>
        </row>
        <row r="5338">
          <cell r="B5338">
            <v>17795958</v>
          </cell>
          <cell r="C5338" t="str">
            <v>TEN CELL</v>
          </cell>
        </row>
        <row r="5339">
          <cell r="B5339">
            <v>17795952</v>
          </cell>
          <cell r="C5339" t="str">
            <v>ZIO PHONE</v>
          </cell>
        </row>
        <row r="5340">
          <cell r="B5340">
            <v>17795695</v>
          </cell>
          <cell r="C5340" t="str">
            <v>DEWA CELL</v>
          </cell>
        </row>
        <row r="5341">
          <cell r="B5341">
            <v>17795867</v>
          </cell>
          <cell r="C5341" t="str">
            <v>FELIS CELL</v>
          </cell>
        </row>
        <row r="5342">
          <cell r="B5342">
            <v>17795849</v>
          </cell>
          <cell r="C5342" t="str">
            <v>MARSELA CELL</v>
          </cell>
        </row>
        <row r="5343">
          <cell r="B5343">
            <v>17795866</v>
          </cell>
          <cell r="C5343" t="str">
            <v>PUTRI CELL</v>
          </cell>
        </row>
        <row r="5344">
          <cell r="B5344">
            <v>17793232</v>
          </cell>
          <cell r="C5344" t="str">
            <v>Vit Cell</v>
          </cell>
        </row>
        <row r="5345">
          <cell r="B5345">
            <v>17796097</v>
          </cell>
          <cell r="C5345" t="str">
            <v>Walet Cell</v>
          </cell>
        </row>
        <row r="5346">
          <cell r="B5346">
            <v>17795872</v>
          </cell>
          <cell r="C5346" t="str">
            <v>Adryan cell</v>
          </cell>
        </row>
        <row r="5347">
          <cell r="B5347">
            <v>17795945</v>
          </cell>
          <cell r="C5347" t="str">
            <v>Aqila cell</v>
          </cell>
        </row>
        <row r="5348">
          <cell r="B5348">
            <v>17795881</v>
          </cell>
          <cell r="C5348" t="str">
            <v>Kia cell</v>
          </cell>
        </row>
        <row r="5349">
          <cell r="B5349">
            <v>17795882</v>
          </cell>
          <cell r="C5349" t="str">
            <v>Kopra net</v>
          </cell>
        </row>
        <row r="5350">
          <cell r="B5350">
            <v>17795876</v>
          </cell>
          <cell r="C5350" t="str">
            <v>Quinsya cell</v>
          </cell>
        </row>
        <row r="5351">
          <cell r="B5351">
            <v>17795949</v>
          </cell>
          <cell r="C5351" t="str">
            <v>Rizky cell</v>
          </cell>
        </row>
        <row r="5352">
          <cell r="B5352">
            <v>17793761</v>
          </cell>
          <cell r="C5352" t="str">
            <v>AR 2 STORE</v>
          </cell>
        </row>
        <row r="5353">
          <cell r="B5353">
            <v>17796077</v>
          </cell>
          <cell r="C5353" t="str">
            <v>Mafia Pulsa</v>
          </cell>
        </row>
        <row r="5354">
          <cell r="B5354">
            <v>17796084</v>
          </cell>
          <cell r="C5354" t="str">
            <v>Oky Cell</v>
          </cell>
        </row>
        <row r="5355">
          <cell r="B5355">
            <v>17793754</v>
          </cell>
          <cell r="C5355" t="str">
            <v>Tini Cell</v>
          </cell>
        </row>
        <row r="5356">
          <cell r="B5356">
            <v>17795925</v>
          </cell>
          <cell r="C5356" t="str">
            <v>A3 cell</v>
          </cell>
        </row>
        <row r="5357">
          <cell r="B5357">
            <v>17795853</v>
          </cell>
          <cell r="C5357" t="str">
            <v>Azirin cell</v>
          </cell>
        </row>
        <row r="5358">
          <cell r="B5358">
            <v>17795707</v>
          </cell>
          <cell r="C5358" t="str">
            <v>Jerry cell</v>
          </cell>
        </row>
        <row r="5359">
          <cell r="B5359">
            <v>17795938</v>
          </cell>
          <cell r="C5359" t="str">
            <v>King brilink</v>
          </cell>
        </row>
        <row r="5360">
          <cell r="B5360">
            <v>17795922</v>
          </cell>
          <cell r="C5360" t="str">
            <v>Narry cell</v>
          </cell>
        </row>
        <row r="5361">
          <cell r="B5361">
            <v>17795712</v>
          </cell>
          <cell r="C5361" t="str">
            <v>Rinjani cell</v>
          </cell>
        </row>
        <row r="5362">
          <cell r="B5362">
            <v>17795924</v>
          </cell>
          <cell r="C5362" t="str">
            <v>Unyil cell</v>
          </cell>
        </row>
        <row r="5363">
          <cell r="B5363">
            <v>17795934</v>
          </cell>
          <cell r="C5363" t="str">
            <v>Zahra cell</v>
          </cell>
        </row>
        <row r="5364">
          <cell r="B5364">
            <v>17795708</v>
          </cell>
          <cell r="C5364" t="str">
            <v>Zilla store cell</v>
          </cell>
        </row>
        <row r="5365">
          <cell r="B5365">
            <v>17791541</v>
          </cell>
          <cell r="C5365" t="str">
            <v>Eps Cell</v>
          </cell>
        </row>
        <row r="5366">
          <cell r="B5366">
            <v>17791771</v>
          </cell>
          <cell r="C5366" t="str">
            <v>Fia Cell</v>
          </cell>
        </row>
        <row r="5367">
          <cell r="B5367">
            <v>17790951</v>
          </cell>
          <cell r="C5367" t="str">
            <v>Susi cell</v>
          </cell>
        </row>
        <row r="5368">
          <cell r="B5368">
            <v>17795656</v>
          </cell>
          <cell r="C5368" t="str">
            <v>Yoga Cell</v>
          </cell>
        </row>
        <row r="5369">
          <cell r="B5369">
            <v>17790898</v>
          </cell>
          <cell r="C5369" t="str">
            <v>Cahya cell</v>
          </cell>
        </row>
        <row r="5370">
          <cell r="B5370">
            <v>17791537</v>
          </cell>
          <cell r="C5370" t="str">
            <v>Adelia cell</v>
          </cell>
        </row>
        <row r="5371">
          <cell r="B5371">
            <v>17794883</v>
          </cell>
          <cell r="C5371" t="str">
            <v>Lestari cell</v>
          </cell>
        </row>
        <row r="5372">
          <cell r="B5372">
            <v>17793716</v>
          </cell>
          <cell r="C5372" t="str">
            <v>Wulan cell</v>
          </cell>
        </row>
        <row r="5373">
          <cell r="B5373">
            <v>17795683</v>
          </cell>
          <cell r="C5373" t="str">
            <v>Piroh store</v>
          </cell>
        </row>
        <row r="5374">
          <cell r="B5374">
            <v>17790930</v>
          </cell>
          <cell r="C5374" t="str">
            <v>Toko punceling</v>
          </cell>
        </row>
        <row r="5375">
          <cell r="B5375">
            <v>17791512</v>
          </cell>
          <cell r="C5375" t="str">
            <v>APEY CELL</v>
          </cell>
        </row>
        <row r="5376">
          <cell r="B5376">
            <v>17791540</v>
          </cell>
          <cell r="C5376" t="str">
            <v>TRILAGA CELL</v>
          </cell>
        </row>
        <row r="5377">
          <cell r="B5377">
            <v>17799576</v>
          </cell>
          <cell r="C5377" t="str">
            <v>NAY'S CELLE</v>
          </cell>
        </row>
        <row r="5378">
          <cell r="B5378">
            <v>17799889</v>
          </cell>
          <cell r="C5378" t="str">
            <v>Unicell Servis IP</v>
          </cell>
        </row>
        <row r="5379">
          <cell r="B5379">
            <v>17797856</v>
          </cell>
          <cell r="C5379" t="str">
            <v>Cahaya repair</v>
          </cell>
        </row>
        <row r="5380">
          <cell r="B5380">
            <v>17798151</v>
          </cell>
          <cell r="C5380" t="str">
            <v>NSukses cell</v>
          </cell>
        </row>
        <row r="5381">
          <cell r="B5381">
            <v>17801507</v>
          </cell>
          <cell r="C5381" t="str">
            <v>Tens Cell</v>
          </cell>
        </row>
        <row r="5382">
          <cell r="B5382">
            <v>17798355</v>
          </cell>
          <cell r="C5382" t="str">
            <v>Yasmin Cell</v>
          </cell>
        </row>
        <row r="5383">
          <cell r="B5383">
            <v>17799231</v>
          </cell>
          <cell r="C5383" t="str">
            <v>ANUGRAH CELL</v>
          </cell>
        </row>
        <row r="5384">
          <cell r="B5384">
            <v>17800260</v>
          </cell>
          <cell r="C5384" t="str">
            <v>TANAMA CELL BAROS</v>
          </cell>
        </row>
        <row r="5385">
          <cell r="B5385">
            <v>17801475</v>
          </cell>
          <cell r="C5385" t="str">
            <v>Himalaya Cell</v>
          </cell>
        </row>
        <row r="5386">
          <cell r="B5386">
            <v>17799592</v>
          </cell>
          <cell r="C5386" t="str">
            <v>LAKU CELL</v>
          </cell>
        </row>
        <row r="5387">
          <cell r="B5387">
            <v>17796981</v>
          </cell>
          <cell r="C5387" t="str">
            <v>Pratama cell</v>
          </cell>
        </row>
        <row r="5388">
          <cell r="B5388">
            <v>17797057</v>
          </cell>
          <cell r="C5388" t="str">
            <v>Leibande cell</v>
          </cell>
        </row>
        <row r="5389">
          <cell r="B5389">
            <v>17797464</v>
          </cell>
          <cell r="C5389" t="str">
            <v>LH CELL</v>
          </cell>
        </row>
        <row r="5390">
          <cell r="B5390">
            <v>17797872</v>
          </cell>
          <cell r="C5390" t="str">
            <v>Double pulsa</v>
          </cell>
        </row>
        <row r="5391">
          <cell r="B5391">
            <v>17797889</v>
          </cell>
          <cell r="C5391" t="str">
            <v>Fiona Cell</v>
          </cell>
        </row>
        <row r="5392">
          <cell r="B5392">
            <v>17797968</v>
          </cell>
          <cell r="C5392" t="str">
            <v>Syifa brilink</v>
          </cell>
        </row>
        <row r="5393">
          <cell r="B5393">
            <v>17797970</v>
          </cell>
          <cell r="C5393" t="str">
            <v>Ayunda cell</v>
          </cell>
        </row>
        <row r="5394">
          <cell r="B5394">
            <v>17797971</v>
          </cell>
          <cell r="C5394" t="str">
            <v>Lilis brilink</v>
          </cell>
        </row>
        <row r="5395">
          <cell r="B5395">
            <v>17798457</v>
          </cell>
          <cell r="C5395" t="str">
            <v>Wp ibu imas</v>
          </cell>
        </row>
        <row r="5396">
          <cell r="B5396">
            <v>17799415</v>
          </cell>
          <cell r="C5396" t="str">
            <v>BERI CELL</v>
          </cell>
        </row>
        <row r="5397">
          <cell r="B5397">
            <v>17801044</v>
          </cell>
          <cell r="C5397" t="str">
            <v>MDR CELL</v>
          </cell>
        </row>
        <row r="5398">
          <cell r="B5398">
            <v>17799358</v>
          </cell>
          <cell r="C5398" t="str">
            <v>ADAM Cell</v>
          </cell>
        </row>
        <row r="5399">
          <cell r="B5399">
            <v>17799060</v>
          </cell>
          <cell r="C5399" t="str">
            <v>FRORP Cell</v>
          </cell>
        </row>
        <row r="5400">
          <cell r="B5400">
            <v>17799541</v>
          </cell>
          <cell r="C5400" t="str">
            <v>SRC ENJANG</v>
          </cell>
        </row>
        <row r="5401">
          <cell r="B5401">
            <v>17140310</v>
          </cell>
          <cell r="C5401" t="str">
            <v>ZODY 3 cell</v>
          </cell>
        </row>
        <row r="5402">
          <cell r="B5402">
            <v>1555655</v>
          </cell>
          <cell r="C5402" t="str">
            <v>zain electrik 2 cell</v>
          </cell>
        </row>
        <row r="5403">
          <cell r="B5403">
            <v>17799034</v>
          </cell>
          <cell r="C5403" t="str">
            <v>Melati Ponsel</v>
          </cell>
        </row>
        <row r="5404">
          <cell r="B5404">
            <v>17801902</v>
          </cell>
          <cell r="C5404" t="str">
            <v>REVAN CELL</v>
          </cell>
        </row>
        <row r="5405">
          <cell r="B5405">
            <v>17804853</v>
          </cell>
          <cell r="C5405" t="str">
            <v>Oe cell</v>
          </cell>
        </row>
        <row r="5406">
          <cell r="B5406">
            <v>17780406</v>
          </cell>
          <cell r="C5406" t="str">
            <v>Zayyan cell</v>
          </cell>
        </row>
        <row r="5407">
          <cell r="B5407">
            <v>17756765</v>
          </cell>
          <cell r="C5407" t="str">
            <v>Ziany cell</v>
          </cell>
        </row>
        <row r="5408">
          <cell r="B5408">
            <v>17802575</v>
          </cell>
          <cell r="C5408" t="str">
            <v>G Cell</v>
          </cell>
        </row>
        <row r="5409">
          <cell r="B5409">
            <v>17802612</v>
          </cell>
          <cell r="C5409" t="str">
            <v>Hazzma cell</v>
          </cell>
        </row>
        <row r="5410">
          <cell r="B5410">
            <v>17802630</v>
          </cell>
          <cell r="C5410" t="str">
            <v>A2 Cell</v>
          </cell>
        </row>
        <row r="5411">
          <cell r="B5411">
            <v>17802645</v>
          </cell>
          <cell r="C5411" t="str">
            <v>R3 Cell</v>
          </cell>
        </row>
        <row r="5412">
          <cell r="B5412">
            <v>17802659</v>
          </cell>
          <cell r="C5412" t="str">
            <v>Alika Cell</v>
          </cell>
        </row>
        <row r="5413">
          <cell r="B5413">
            <v>17803729</v>
          </cell>
          <cell r="C5413" t="str">
            <v>OK CELL 2</v>
          </cell>
        </row>
        <row r="5414">
          <cell r="B5414">
            <v>17803913</v>
          </cell>
          <cell r="C5414" t="str">
            <v>TOKO AZKI</v>
          </cell>
        </row>
        <row r="5415">
          <cell r="B5415">
            <v>17804774</v>
          </cell>
          <cell r="C5415" t="str">
            <v>DIFA 2 CELL</v>
          </cell>
        </row>
        <row r="5416">
          <cell r="B5416">
            <v>17804821</v>
          </cell>
          <cell r="C5416" t="str">
            <v>AA CELL</v>
          </cell>
        </row>
        <row r="5417">
          <cell r="B5417">
            <v>17804827</v>
          </cell>
          <cell r="C5417" t="str">
            <v>Rindu cell</v>
          </cell>
        </row>
        <row r="5418">
          <cell r="B5418">
            <v>17805018</v>
          </cell>
          <cell r="C5418" t="str">
            <v>De Latief Cell</v>
          </cell>
        </row>
        <row r="5419">
          <cell r="B5419">
            <v>17805024</v>
          </cell>
          <cell r="C5419" t="str">
            <v>A2 Cell</v>
          </cell>
        </row>
        <row r="5420">
          <cell r="B5420">
            <v>17805033</v>
          </cell>
          <cell r="C5420" t="str">
            <v>Hazzma Cell</v>
          </cell>
        </row>
        <row r="5421">
          <cell r="B5421">
            <v>17805051</v>
          </cell>
          <cell r="C5421" t="str">
            <v>ARJ CELL</v>
          </cell>
        </row>
        <row r="5422">
          <cell r="B5422">
            <v>17805357</v>
          </cell>
          <cell r="C5422" t="str">
            <v>Mey Cell</v>
          </cell>
        </row>
        <row r="5423">
          <cell r="B5423">
            <v>17805502</v>
          </cell>
          <cell r="C5423" t="str">
            <v>JN Cell</v>
          </cell>
        </row>
        <row r="5424">
          <cell r="B5424">
            <v>17805506</v>
          </cell>
          <cell r="C5424" t="str">
            <v>NJ Cell</v>
          </cell>
        </row>
        <row r="5425">
          <cell r="B5425">
            <v>17805595</v>
          </cell>
          <cell r="C5425" t="str">
            <v>Eris Cell</v>
          </cell>
        </row>
        <row r="5426">
          <cell r="B5426">
            <v>17805603</v>
          </cell>
          <cell r="C5426" t="str">
            <v>Yuki cell</v>
          </cell>
        </row>
        <row r="5427">
          <cell r="B5427">
            <v>17805745</v>
          </cell>
          <cell r="C5427" t="str">
            <v>Hasbi cell</v>
          </cell>
        </row>
        <row r="5428">
          <cell r="B5428">
            <v>17805878</v>
          </cell>
          <cell r="C5428" t="str">
            <v>Threea Cell</v>
          </cell>
        </row>
        <row r="5429">
          <cell r="B5429">
            <v>17805880</v>
          </cell>
          <cell r="C5429" t="str">
            <v>Art Corner</v>
          </cell>
        </row>
        <row r="5430">
          <cell r="B5430">
            <v>17805911</v>
          </cell>
          <cell r="C5430" t="str">
            <v>Amy cell</v>
          </cell>
        </row>
        <row r="5431">
          <cell r="B5431">
            <v>17806085</v>
          </cell>
          <cell r="C5431" t="str">
            <v>Juju Cell</v>
          </cell>
        </row>
        <row r="5432">
          <cell r="B5432">
            <v>17806087</v>
          </cell>
          <cell r="C5432" t="str">
            <v>Jaja Cell</v>
          </cell>
        </row>
        <row r="5433">
          <cell r="B5433">
            <v>17806088</v>
          </cell>
          <cell r="C5433" t="str">
            <v>Zifan cell</v>
          </cell>
        </row>
      </sheetData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rga &amp; Nama CSO"/>
      <sheetName val="SUMMARY"/>
      <sheetName val="SGR"/>
      <sheetName val="SALDO MOBO"/>
      <sheetName val="BUKTI STOR &amp; TRF"/>
      <sheetName val="prog"/>
      <sheetName val="OUTLET"/>
      <sheetName val="Sheet1"/>
      <sheetName val="Sheet2"/>
      <sheetName val="HARGA"/>
      <sheetName val="Sheet3"/>
    </sheetNames>
    <sheetDataSet>
      <sheetData sheetId="0">
        <row r="2">
          <cell r="H2" t="str">
            <v>KET</v>
          </cell>
        </row>
        <row r="116">
          <cell r="A116" t="str">
            <v>SAGARANTEN</v>
          </cell>
          <cell r="B116" t="str">
            <v>SP ZERO</v>
          </cell>
          <cell r="C116" t="str">
            <v>SP 3GB</v>
          </cell>
          <cell r="D116" t="str">
            <v>SP 3GB ORI</v>
          </cell>
          <cell r="E116" t="str">
            <v>SP 9GB</v>
          </cell>
          <cell r="F116" t="str">
            <v>VDK</v>
          </cell>
          <cell r="G116" t="str">
            <v>V 1 GB</v>
          </cell>
          <cell r="H116" t="str">
            <v>V 2.5 GB</v>
          </cell>
          <cell r="I116" t="str">
            <v>V 3 GB</v>
          </cell>
          <cell r="J116" t="str">
            <v>V 3.5 GB</v>
          </cell>
          <cell r="K116" t="str">
            <v>V 5 GB</v>
          </cell>
          <cell r="L116" t="str">
            <v>V 7GB</v>
          </cell>
          <cell r="M116" t="str">
            <v>V 6GB</v>
          </cell>
          <cell r="N116" t="str">
            <v>V 1.5 GB</v>
          </cell>
          <cell r="O116" t="str">
            <v>V 3GB 1</v>
          </cell>
          <cell r="P116" t="str">
            <v>VCR 3GB 3</v>
          </cell>
          <cell r="Q116" t="str">
            <v>VCR 5GB 2</v>
          </cell>
          <cell r="R116" t="str">
            <v>VCR 5GB 3</v>
          </cell>
          <cell r="S116" t="str">
            <v>SP 10GB</v>
          </cell>
        </row>
        <row r="117">
          <cell r="A117" t="str">
            <v>PAKET1</v>
          </cell>
          <cell r="D117">
            <v>3</v>
          </cell>
          <cell r="H117">
            <v>3</v>
          </cell>
          <cell r="N117">
            <v>3</v>
          </cell>
        </row>
        <row r="118">
          <cell r="A118" t="str">
            <v>PAKET2</v>
          </cell>
          <cell r="D118">
            <v>3</v>
          </cell>
          <cell r="H118">
            <v>3</v>
          </cell>
          <cell r="R118">
            <v>3</v>
          </cell>
        </row>
        <row r="119">
          <cell r="A119" t="str">
            <v>PAKET3</v>
          </cell>
          <cell r="D119">
            <v>3</v>
          </cell>
          <cell r="G119">
            <v>3</v>
          </cell>
          <cell r="H119">
            <v>3</v>
          </cell>
        </row>
        <row r="120">
          <cell r="A120" t="str">
            <v>PAKET4</v>
          </cell>
          <cell r="D120">
            <v>3</v>
          </cell>
          <cell r="J120">
            <v>3</v>
          </cell>
          <cell r="N120">
            <v>3</v>
          </cell>
        </row>
        <row r="121">
          <cell r="A121" t="str">
            <v>HT</v>
          </cell>
          <cell r="C121">
            <v>1</v>
          </cell>
        </row>
        <row r="122">
          <cell r="A122" t="str">
            <v>GOL</v>
          </cell>
          <cell r="C122">
            <v>3</v>
          </cell>
          <cell r="S122">
            <v>1</v>
          </cell>
        </row>
        <row r="135">
          <cell r="N135" t="str">
            <v xml:space="preserve"> </v>
          </cell>
        </row>
      </sheetData>
      <sheetData sheetId="1">
        <row r="3">
          <cell r="A3" t="str">
            <v>Muhamad Parhan</v>
          </cell>
        </row>
      </sheetData>
      <sheetData sheetId="2"/>
      <sheetData sheetId="3"/>
      <sheetData sheetId="4"/>
      <sheetData sheetId="5"/>
      <sheetData sheetId="6">
        <row r="1">
          <cell r="B1" t="str">
            <v>ID OUTLET</v>
          </cell>
        </row>
      </sheetData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4.689921296296" createdVersion="8" refreshedVersion="8" minRefreshableVersion="3" recordCount="21" xr:uid="{AC468A2A-9ACD-4B3A-86CA-A6EB5D3EA15B}">
  <cacheSource type="worksheet">
    <worksheetSource ref="A36:P57" sheet="index"/>
  </cacheSource>
  <cacheFields count="16">
    <cacheField name="No." numFmtId="0">
      <sharedItems containsString="0" containsBlank="1" containsNumber="1" containsInteger="1" minValue="1" maxValue="211"/>
    </cacheField>
    <cacheField name="Tanggal Pengambilan" numFmtId="14">
      <sharedItems containsSemiMixedTypes="0" containsNonDate="0" containsDate="1" containsString="0" minDate="2026-06-03T00:00:00" maxDate="2026-07-01T00:00:00"/>
    </cacheField>
    <cacheField name="PAKET" numFmtId="0">
      <sharedItems/>
    </cacheField>
    <cacheField name="Micro Cluster" numFmtId="0">
      <sharedItems containsBlank="1"/>
    </cacheField>
    <cacheField name="Id  Outlet" numFmtId="0">
      <sharedItems containsNonDate="0" containsString="0" containsBlank="1"/>
    </cacheField>
    <cacheField name="Nama Outlet" numFmtId="0">
      <sharedItems containsBlank="1"/>
    </cacheField>
    <cacheField name="Nama CSO" numFmtId="0">
      <sharedItems count="4">
        <s v="Muhamad Parhan"/>
        <s v="Andi Sutiawan"/>
        <s v="M. Enden Abdul Latif"/>
        <s v="Pebrian Sahri Ramdani"/>
      </sharedItems>
    </cacheField>
    <cacheField name="QTY" numFmtId="0">
      <sharedItems containsString="0" containsBlank="1" containsNumber="1" containsInteger="1" minValue="25" maxValue="213"/>
    </cacheField>
    <cacheField name="Tagihan" numFmtId="0">
      <sharedItems containsSemiMixedTypes="0" containsString="0" containsNumber="1" containsInteger="1" minValue="0" maxValue="3195000"/>
    </cacheField>
    <cacheField name="Tanggal Pembayaran" numFmtId="0">
      <sharedItems containsSemiMixedTypes="0" containsDate="1" containsString="0" containsMixedTypes="1" minDate="2026-06-10T00:00:00" maxDate="1900-01-06T02:51:04"/>
    </cacheField>
    <cacheField name="Qty2" numFmtId="0">
      <sharedItems containsSemiMixedTypes="0" containsString="0" containsNumber="1" containsInteger="1" minValue="1" maxValue="213"/>
    </cacheField>
    <cacheField name="Jumlah Pembayaran" numFmtId="0">
      <sharedItems containsSemiMixedTypes="0" containsString="0" containsNumber="1" containsInteger="1" minValue="25000" maxValue="3195000"/>
    </cacheField>
    <cacheField name="Metode _x000a_Pembayaran" numFmtId="0">
      <sharedItems/>
    </cacheField>
    <cacheField name="Selisih" numFmtId="0">
      <sharedItems containsSemiMixedTypes="0" containsString="0" containsNumber="1" containsInteger="1" minValue="-375000" maxValue="450000"/>
    </cacheField>
    <cacheField name="Keterangan Setoran" numFmtId="0">
      <sharedItems containsSemiMixedTypes="0" containsDate="1" containsString="0" containsMixedTypes="1" minDate="2026-06-10T00:00:00" maxDate="1900-01-06T02:51:04"/>
    </cacheField>
    <cacheField name="SALDO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04.692882754629" createdVersion="8" refreshedVersion="8" minRefreshableVersion="3" recordCount="40" xr:uid="{D9518E9E-301D-4BBD-BF61-5BC9F40E5E76}">
  <cacheSource type="worksheet">
    <worksheetSource ref="A70:AG110" sheet="index"/>
  </cacheSource>
  <cacheFields count="33">
    <cacheField name="No." numFmtId="0">
      <sharedItems containsString="0" containsBlank="1" containsNumber="1" containsInteger="1" minValue="166" maxValue="199"/>
    </cacheField>
    <cacheField name="Tanggal Pengambilan" numFmtId="14">
      <sharedItems containsSemiMixedTypes="0" containsNonDate="0" containsDate="1" containsString="0" minDate="2026-06-24T00:00:00" maxDate="2026-07-01T00:00:00"/>
    </cacheField>
    <cacheField name="PAKET" numFmtId="0">
      <sharedItems/>
    </cacheField>
    <cacheField name="Micro Cluster" numFmtId="0">
      <sharedItems/>
    </cacheField>
    <cacheField name="Id  Outlet" numFmtId="0">
      <sharedItems containsSemiMixedTypes="0" containsString="0" containsNumber="1" containsInteger="1" minValue="572677" maxValue="17787825"/>
    </cacheField>
    <cacheField name="Nama Outlet" numFmtId="0">
      <sharedItems/>
    </cacheField>
    <cacheField name="Nama CSO" numFmtId="0">
      <sharedItems count="4">
        <s v="Muhamad Parhan"/>
        <s v="Andi Sutiawan"/>
        <s v="M. Enden Abdul Latif"/>
        <s v="Pebrian Sahri Ramdani"/>
      </sharedItems>
    </cacheField>
    <cacheField name="QTY" numFmtId="0">
      <sharedItems containsSemiMixedTypes="0" containsString="0" containsNumber="1" containsInteger="1" minValue="1" maxValue="27"/>
    </cacheField>
    <cacheField name="SP ZERO" numFmtId="0">
      <sharedItems containsSemiMixedTypes="0" containsString="0" containsNumber="1" containsInteger="1" minValue="0" maxValue="0"/>
    </cacheField>
    <cacheField name="SP 3GB" numFmtId="0">
      <sharedItems containsSemiMixedTypes="0" containsString="0" containsNumber="1" containsInteger="1" minValue="3" maxValue="81"/>
    </cacheField>
    <cacheField name="SP 6GB" numFmtId="0">
      <sharedItems containsSemiMixedTypes="0" containsString="0" containsNumber="1" containsInteger="1" minValue="0" maxValue="0"/>
    </cacheField>
    <cacheField name="SP 9GB" numFmtId="0">
      <sharedItems containsSemiMixedTypes="0" containsString="0" containsNumber="1" containsInteger="1" minValue="0" maxValue="0"/>
    </cacheField>
    <cacheField name="VDK" numFmtId="0">
      <sharedItems containsSemiMixedTypes="0" containsString="0" containsNumber="1" containsInteger="1" minValue="0" maxValue="0"/>
    </cacheField>
    <cacheField name="V 1 GB" numFmtId="0">
      <sharedItems containsSemiMixedTypes="0" containsString="0" containsNumber="1" containsInteger="1" minValue="0" maxValue="0"/>
    </cacheField>
    <cacheField name="V 2.5 GB" numFmtId="0">
      <sharedItems containsSemiMixedTypes="0" containsString="0" containsNumber="1" containsInteger="1" minValue="0" maxValue="0"/>
    </cacheField>
    <cacheField name="V 3 GB" numFmtId="0">
      <sharedItems containsSemiMixedTypes="0" containsString="0" containsNumber="1" containsInteger="1" minValue="0" maxValue="0"/>
    </cacheField>
    <cacheField name="V 3.5 GB" numFmtId="0">
      <sharedItems containsSemiMixedTypes="0" containsString="0" containsNumber="1" containsInteger="1" minValue="0" maxValue="0"/>
    </cacheField>
    <cacheField name="V 5 GB" numFmtId="0">
      <sharedItems containsSemiMixedTypes="0" containsString="0" containsNumber="1" containsInteger="1" minValue="0" maxValue="0"/>
    </cacheField>
    <cacheField name="V 7GB" numFmtId="0">
      <sharedItems containsSemiMixedTypes="0" containsString="0" containsNumber="1" containsInteger="1" minValue="0" maxValue="0"/>
    </cacheField>
    <cacheField name="V 6GB" numFmtId="0">
      <sharedItems containsSemiMixedTypes="0" containsString="0" containsNumber="1" containsInteger="1" minValue="0" maxValue="0"/>
    </cacheField>
    <cacheField name="V 1.5 GB" numFmtId="0">
      <sharedItems containsSemiMixedTypes="0" containsString="0" containsNumber="1" containsInteger="1" minValue="0" maxValue="0"/>
    </cacheField>
    <cacheField name="V 3GB 1" numFmtId="0">
      <sharedItems containsSemiMixedTypes="0" containsString="0" containsNumber="1" containsInteger="1" minValue="0" maxValue="0"/>
    </cacheField>
    <cacheField name="VCR 3GB 3" numFmtId="0">
      <sharedItems containsSemiMixedTypes="0" containsString="0" containsNumber="1" containsInteger="1" minValue="0" maxValue="0"/>
    </cacheField>
    <cacheField name="VCR 5GB 2" numFmtId="0">
      <sharedItems containsSemiMixedTypes="0" containsString="0" containsNumber="1" containsInteger="1" minValue="0" maxValue="0"/>
    </cacheField>
    <cacheField name="VCR 5GB 3" numFmtId="0">
      <sharedItems containsSemiMixedTypes="0" containsString="0" containsNumber="1" containsInteger="1" minValue="0" maxValue="0"/>
    </cacheField>
    <cacheField name="SP 10GB" numFmtId="0">
      <sharedItems containsSemiMixedTypes="0" containsString="0" containsNumber="1" containsInteger="1" minValue="1" maxValue="27"/>
    </cacheField>
    <cacheField name="Tagihan" numFmtId="0">
      <sharedItems containsSemiMixedTypes="0" containsString="0" containsNumber="1" containsInteger="1" minValue="75000" maxValue="2025000"/>
    </cacheField>
    <cacheField name="Tanggal Pembayaran" numFmtId="14">
      <sharedItems containsSemiMixedTypes="0" containsNonDate="0" containsDate="1" containsString="0" minDate="2026-06-24T00:00:00" maxDate="2026-07-01T00:00:00"/>
    </cacheField>
    <cacheField name="Qty2" numFmtId="0">
      <sharedItems containsSemiMixedTypes="0" containsString="0" containsNumber="1" containsInteger="1" minValue="1" maxValue="27"/>
    </cacheField>
    <cacheField name="Jumlah Pembayaran" numFmtId="0">
      <sharedItems containsSemiMixedTypes="0" containsString="0" containsNumber="1" containsInteger="1" minValue="75000" maxValue="2025000"/>
    </cacheField>
    <cacheField name="Metode _x000a_Pembayaran" numFmtId="0">
      <sharedItems/>
    </cacheField>
    <cacheField name="Selisih" numFmtId="0">
      <sharedItems containsSemiMixedTypes="0" containsString="0" containsNumber="1" containsInteger="1" minValue="0" maxValue="25000"/>
    </cacheField>
    <cacheField name="Keterangan Setoran" numFmtId="0">
      <sharedItems containsSemiMixedTypes="0" containsString="0" containsNumber="1" containsInteger="1" minValue="46198" maxValue="462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d v="2026-06-03T00:00:00"/>
    <s v="HT"/>
    <s v="MC-SAGARANTEN"/>
    <m/>
    <e v="#N/A"/>
    <x v="0"/>
    <n v="25"/>
    <n v="375000"/>
    <d v="2026-06-12T00:00:00"/>
    <n v="25"/>
    <n v="375000"/>
    <s v="CASH"/>
    <n v="0"/>
    <d v="2026-06-15T00:00:00"/>
    <n v="0"/>
  </r>
  <r>
    <n v="2"/>
    <d v="2026-06-03T00:00:00"/>
    <s v="HT"/>
    <s v="MC-SAGARANTEN"/>
    <m/>
    <e v="#N/A"/>
    <x v="1"/>
    <n v="25"/>
    <n v="375000"/>
    <d v="2026-06-11T00:00:00"/>
    <n v="25"/>
    <n v="375000"/>
    <s v="CASH"/>
    <n v="0"/>
    <d v="2026-06-11T00:00:00"/>
    <n v="0"/>
  </r>
  <r>
    <n v="3"/>
    <d v="2026-06-03T00:00:00"/>
    <s v="HT"/>
    <s v="MC-SAGARANTEN"/>
    <m/>
    <e v="#N/A"/>
    <x v="2"/>
    <n v="25"/>
    <n v="375000"/>
    <d v="2026-06-10T00:00:00"/>
    <n v="25"/>
    <n v="375000"/>
    <s v="CASH"/>
    <n v="0"/>
    <d v="2026-06-10T00:00:00"/>
    <n v="0"/>
  </r>
  <r>
    <n v="4"/>
    <d v="2026-06-03T00:00:00"/>
    <s v="HT"/>
    <s v="MC-SAGARANTEN"/>
    <m/>
    <e v="#N/A"/>
    <x v="3"/>
    <n v="25"/>
    <n v="375000"/>
    <d v="2026-06-12T00:00:00"/>
    <n v="25"/>
    <n v="375000"/>
    <s v="CASH"/>
    <n v="0"/>
    <d v="2026-06-15T00:00:00"/>
    <n v="0"/>
  </r>
  <r>
    <n v="82"/>
    <d v="2026-06-12T00:00:00"/>
    <s v="HT"/>
    <s v="MC-SAGARANTEN"/>
    <m/>
    <e v="#N/A"/>
    <x v="0"/>
    <n v="25"/>
    <n v="375000"/>
    <d v="2026-06-29T00:00:00"/>
    <n v="25"/>
    <n v="375000"/>
    <s v="CASH"/>
    <n v="0"/>
    <d v="2026-06-30T00:00:00"/>
    <n v="0"/>
  </r>
  <r>
    <n v="83"/>
    <d v="2026-06-12T00:00:00"/>
    <s v="HT"/>
    <s v="MC-SAGARANTEN"/>
    <m/>
    <e v="#N/A"/>
    <x v="1"/>
    <n v="25"/>
    <n v="375000"/>
    <d v="2026-06-20T00:00:00"/>
    <n v="25"/>
    <n v="375000"/>
    <s v="CASH"/>
    <n v="0"/>
    <d v="2026-06-20T00:00:00"/>
    <n v="0"/>
  </r>
  <r>
    <n v="84"/>
    <d v="2026-06-12T00:00:00"/>
    <s v="HT"/>
    <s v="MC-SAGARANTEN"/>
    <m/>
    <e v="#N/A"/>
    <x v="2"/>
    <n v="25"/>
    <n v="375000"/>
    <d v="2026-06-17T00:00:00"/>
    <n v="25"/>
    <n v="375000"/>
    <s v="CASH"/>
    <n v="0"/>
    <d v="2026-06-17T00:00:00"/>
    <n v="0"/>
  </r>
  <r>
    <n v="85"/>
    <d v="2026-06-12T00:00:00"/>
    <s v="HT"/>
    <s v="MC-SAGARANTEN"/>
    <m/>
    <e v="#N/A"/>
    <x v="3"/>
    <n v="25"/>
    <n v="375000"/>
    <d v="2026-06-23T00:00:00"/>
    <n v="25"/>
    <n v="375000"/>
    <s v="CASH"/>
    <n v="0"/>
    <d v="2026-06-24T00:00:00"/>
    <n v="0"/>
  </r>
  <r>
    <n v="134"/>
    <d v="2026-06-20T00:00:00"/>
    <s v="HT"/>
    <s v="MC-SAGARANTEN"/>
    <m/>
    <e v="#N/A"/>
    <x v="1"/>
    <n v="50"/>
    <n v="750000"/>
    <d v="2026-06-20T00:00:00"/>
    <n v="30"/>
    <n v="450000"/>
    <s v="CASH"/>
    <n v="300000"/>
    <d v="2026-06-22T00:00:00"/>
    <n v="0"/>
  </r>
  <r>
    <n v="135"/>
    <d v="2026-06-20T00:00:00"/>
    <s v="HT"/>
    <s v="MC-SAGARANTEN"/>
    <m/>
    <e v="#N/A"/>
    <x v="0"/>
    <n v="50"/>
    <n v="750000"/>
    <d v="2026-06-30T00:00:00"/>
    <n v="50"/>
    <n v="750000"/>
    <s v="CASH"/>
    <n v="0"/>
    <d v="2026-07-01T00:00:00"/>
    <n v="0"/>
  </r>
  <r>
    <n v="136"/>
    <d v="2026-06-20T00:00:00"/>
    <s v="HT"/>
    <s v="MC-SAGARANTEN"/>
    <m/>
    <e v="#N/A"/>
    <x v="2"/>
    <n v="50"/>
    <n v="750000"/>
    <d v="2026-06-22T00:00:00"/>
    <n v="20"/>
    <n v="300000"/>
    <s v="CASH"/>
    <n v="450000"/>
    <d v="2026-06-22T00:00:00"/>
    <n v="0"/>
  </r>
  <r>
    <n v="137"/>
    <d v="2026-06-20T00:00:00"/>
    <s v="HT"/>
    <s v="MC-SAGARANTEN"/>
    <m/>
    <e v="#N/A"/>
    <x v="3"/>
    <n v="50"/>
    <n v="750000"/>
    <d v="2026-06-23T00:00:00"/>
    <n v="25"/>
    <n v="375000"/>
    <s v="CASH"/>
    <n v="375000"/>
    <d v="2026-06-24T00:00:00"/>
    <n v="0"/>
  </r>
  <r>
    <n v="154"/>
    <d v="2026-06-23T00:00:00"/>
    <s v="HT"/>
    <s v="MC-SAGARANTEN"/>
    <m/>
    <e v="#N/A"/>
    <x v="1"/>
    <m/>
    <n v="0"/>
    <d v="2026-06-23T00:00:00"/>
    <n v="10"/>
    <n v="150000"/>
    <s v="CASH"/>
    <n v="-150000"/>
    <d v="2026-06-24T00:00:00"/>
    <n v="0"/>
  </r>
  <r>
    <n v="155"/>
    <d v="2026-06-23T00:00:00"/>
    <s v="HT"/>
    <s v="MC-SAGARANTEN"/>
    <m/>
    <e v="#N/A"/>
    <x v="2"/>
    <m/>
    <n v="0"/>
    <d v="2026-06-23T00:00:00"/>
    <n v="20"/>
    <n v="300000"/>
    <s v="CASH"/>
    <n v="-300000"/>
    <d v="2026-06-24T00:00:00"/>
    <n v="0"/>
  </r>
  <r>
    <n v="196"/>
    <d v="2026-06-25T00:00:00"/>
    <s v="HT"/>
    <s v="MC-SAGARANTEN"/>
    <m/>
    <e v="#N/A"/>
    <x v="2"/>
    <m/>
    <n v="0"/>
    <d v="2026-06-25T00:00:00"/>
    <n v="10"/>
    <n v="150000"/>
    <s v="CASH"/>
    <n v="-150000"/>
    <d v="2026-06-26T00:00:00"/>
    <n v="0"/>
  </r>
  <r>
    <n v="207"/>
    <d v="2026-06-29T00:00:00"/>
    <s v="HT"/>
    <m/>
    <m/>
    <m/>
    <x v="1"/>
    <m/>
    <n v="0"/>
    <d v="2026-06-29T00:00:00"/>
    <n v="10"/>
    <n v="150000"/>
    <s v="CASH"/>
    <n v="-150000"/>
    <d v="2026-06-30T00:00:00"/>
    <n v="0"/>
  </r>
  <r>
    <n v="208"/>
    <d v="2026-06-30T00:00:00"/>
    <s v="HT"/>
    <s v="MC-SAGARANTEN"/>
    <m/>
    <e v="#N/A"/>
    <x v="0"/>
    <n v="25"/>
    <n v="375000"/>
    <n v="46203"/>
    <n v="25"/>
    <n v="375000"/>
    <s v="CASH"/>
    <n v="0"/>
    <d v="2026-07-01T00:00:00"/>
    <n v="0"/>
  </r>
  <r>
    <n v="209"/>
    <d v="2026-06-30T00:00:00"/>
    <s v="HT"/>
    <s v="MC-SAGARANTEN"/>
    <m/>
    <e v="#N/A"/>
    <x v="1"/>
    <n v="213"/>
    <n v="3195000"/>
    <n v="46203"/>
    <n v="213"/>
    <n v="3195000"/>
    <s v="CASH"/>
    <n v="0"/>
    <d v="2026-07-01T00:00:00"/>
    <n v="0"/>
  </r>
  <r>
    <n v="210"/>
    <d v="2026-06-30T00:00:00"/>
    <s v="HT"/>
    <s v="MC-SAGARANTEN"/>
    <m/>
    <e v="#N/A"/>
    <x v="2"/>
    <n v="50"/>
    <n v="750000"/>
    <n v="46203"/>
    <n v="50"/>
    <n v="750000"/>
    <s v="CASH"/>
    <n v="0"/>
    <d v="2026-07-01T00:00:00"/>
    <n v="0"/>
  </r>
  <r>
    <n v="211"/>
    <d v="2026-06-30T00:00:00"/>
    <s v="HT"/>
    <s v="MC-SAGARANTEN"/>
    <m/>
    <e v="#N/A"/>
    <x v="3"/>
    <m/>
    <n v="0"/>
    <n v="46203"/>
    <n v="25"/>
    <n v="375000"/>
    <s v="CASH"/>
    <n v="-375000"/>
    <d v="2026-07-01T00:00:00"/>
    <n v="0"/>
  </r>
  <r>
    <m/>
    <d v="2026-06-30T00:00:00"/>
    <s v="HT"/>
    <s v="MC-SAGARANTEN"/>
    <m/>
    <e v="#N/A"/>
    <x v="0"/>
    <m/>
    <n v="0"/>
    <n v="46203"/>
    <n v="1"/>
    <n v="25000"/>
    <s v="CASH"/>
    <n v="-25000"/>
    <n v="4620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66"/>
    <d v="2026-06-24T00:00:00"/>
    <s v="GOL"/>
    <s v="MC-SAGARANTEN"/>
    <n v="17734713"/>
    <s v="Aurora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67"/>
    <d v="2026-06-24T00:00:00"/>
    <s v="GOL"/>
    <s v="MC-SAGARANTEN"/>
    <n v="17787825"/>
    <s v="Abjad Ce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68"/>
    <d v="2026-06-24T00:00:00"/>
    <s v="GOL"/>
    <s v="MC-SAGARANTEN"/>
    <n v="17732567"/>
    <s v="Raffanza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69"/>
    <d v="2026-06-24T00:00:00"/>
    <s v="GOL"/>
    <s v="MC-SAGARANTEN"/>
    <n v="17197757"/>
    <s v="GIAN ABDULLAH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70"/>
    <d v="2026-06-24T00:00:00"/>
    <s v="GOL"/>
    <s v="MC-SAGARANTEN"/>
    <n v="1306929"/>
    <s v="SM 3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71"/>
    <d v="2026-06-24T00:00:00"/>
    <s v="GOL"/>
    <s v="MC-SAGARANTEN"/>
    <n v="17234805"/>
    <s v="MHIKA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72"/>
    <d v="2026-06-24T00:00:00"/>
    <s v="GOL"/>
    <s v="MC-SAGARANTEN"/>
    <n v="1559327"/>
    <s v="dzaki cell"/>
    <x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4T00:00:00"/>
    <n v="1"/>
    <n v="75000"/>
    <s v="CASH"/>
    <n v="0"/>
    <n v="46198"/>
  </r>
  <r>
    <n v="173"/>
    <d v="2026-06-24T00:00:00"/>
    <s v="GOL"/>
    <s v="MC-SAGARANTEN"/>
    <n v="17670175"/>
    <s v="WARJO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4"/>
    <d v="2026-06-24T00:00:00"/>
    <s v="GOL"/>
    <s v="MC-SAGARANTEN"/>
    <n v="17650729"/>
    <s v="Zaidan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5"/>
    <d v="2026-06-24T00:00:00"/>
    <s v="GOL"/>
    <s v="MC-SAGARANTEN"/>
    <n v="17645922"/>
    <s v="Toko BJM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6"/>
    <d v="2026-06-24T00:00:00"/>
    <s v="GOL"/>
    <s v="MC-SAGARANTEN"/>
    <n v="17695551"/>
    <s v="Andri Store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7"/>
    <d v="2026-06-24T00:00:00"/>
    <s v="GOL"/>
    <s v="MC-SAGARANTEN"/>
    <n v="17139621"/>
    <s v="BRANDAL CINTA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8"/>
    <d v="2026-06-24T00:00:00"/>
    <s v="GOL"/>
    <s v="MC-SAGARANTEN"/>
    <n v="17681962"/>
    <s v="WP-Nay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79"/>
    <d v="2026-06-24T00:00:00"/>
    <s v="GOL"/>
    <s v="MC-SAGARANTEN"/>
    <n v="17381211"/>
    <s v="SABISANA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80"/>
    <d v="2026-06-24T00:00:00"/>
    <s v="GOL"/>
    <s v="MC-SAGARANTEN"/>
    <n v="17255674"/>
    <s v="ARVAN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81"/>
    <d v="2026-06-24T00:00:00"/>
    <s v="GOL"/>
    <s v="MC-SAGARANTEN"/>
    <n v="17459602"/>
    <s v="DEWALA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82"/>
    <d v="2026-06-24T00:00:00"/>
    <s v="GOL"/>
    <s v="MC-SAGARANTEN"/>
    <n v="17187866"/>
    <s v="Wijar cell"/>
    <x v="1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6T00:00:00"/>
    <n v="1"/>
    <n v="75000"/>
    <s v="CASH"/>
    <n v="0"/>
    <n v="46202"/>
  </r>
  <r>
    <n v="183"/>
    <d v="2026-06-24T00:00:00"/>
    <s v="GOL"/>
    <s v="MC-SAGARANTEN"/>
    <n v="17588132"/>
    <s v="LUTHVI STORE"/>
    <x v="2"/>
    <n v="5"/>
    <n v="0"/>
    <n v="15"/>
    <n v="0"/>
    <n v="0"/>
    <n v="0"/>
    <n v="0"/>
    <n v="0"/>
    <n v="0"/>
    <n v="0"/>
    <n v="0"/>
    <n v="0"/>
    <n v="0"/>
    <n v="0"/>
    <n v="0"/>
    <n v="0"/>
    <n v="0"/>
    <n v="0"/>
    <n v="5"/>
    <n v="375000"/>
    <d v="2026-06-24T00:00:00"/>
    <n v="5"/>
    <n v="375000"/>
    <s v="CASH"/>
    <n v="0"/>
    <n v="46198"/>
  </r>
  <r>
    <n v="184"/>
    <d v="2026-06-24T00:00:00"/>
    <s v="GOL"/>
    <s v="MC-SAGARANTEN"/>
    <n v="1368488"/>
    <s v="TUWU CELL"/>
    <x v="2"/>
    <n v="5"/>
    <n v="0"/>
    <n v="15"/>
    <n v="0"/>
    <n v="0"/>
    <n v="0"/>
    <n v="0"/>
    <n v="0"/>
    <n v="0"/>
    <n v="0"/>
    <n v="0"/>
    <n v="0"/>
    <n v="0"/>
    <n v="0"/>
    <n v="0"/>
    <n v="0"/>
    <n v="0"/>
    <n v="0"/>
    <n v="5"/>
    <n v="375000"/>
    <d v="2026-06-24T00:00:00"/>
    <n v="5"/>
    <n v="375000"/>
    <s v="CASH"/>
    <n v="0"/>
    <n v="46198"/>
  </r>
  <r>
    <n v="185"/>
    <d v="2026-06-24T00:00:00"/>
    <s v="GOL"/>
    <s v="MC-SAGARANTEN"/>
    <n v="17139607"/>
    <s v="TZA CELL"/>
    <x v="2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2"/>
    <n v="150000"/>
    <d v="2026-06-24T00:00:00"/>
    <n v="2"/>
    <n v="150000"/>
    <s v="CASH"/>
    <n v="0"/>
    <n v="46198"/>
  </r>
  <r>
    <n v="186"/>
    <d v="2026-06-24T00:00:00"/>
    <s v="GOL"/>
    <s v="MC-SAGARANTEN"/>
    <n v="17234958"/>
    <s v="Mega Citra Cell"/>
    <x v="2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2"/>
    <n v="150000"/>
    <d v="2026-06-24T00:00:00"/>
    <n v="2"/>
    <n v="150000"/>
    <s v="CASH"/>
    <n v="0"/>
    <n v="46198"/>
  </r>
  <r>
    <n v="187"/>
    <d v="2026-06-24T00:00:00"/>
    <s v="GOL"/>
    <s v="MC-SAGARANTEN"/>
    <n v="17449694"/>
    <s v="CENTRAL PHONE ACC"/>
    <x v="3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2"/>
    <n v="150000"/>
    <d v="2026-06-25T00:00:00"/>
    <n v="2"/>
    <n v="150000"/>
    <s v="CASH"/>
    <n v="0"/>
    <n v="46199"/>
  </r>
  <r>
    <n v="188"/>
    <d v="2026-06-24T00:00:00"/>
    <s v="GOL"/>
    <s v="MC-SAGARANTEN"/>
    <n v="1554006"/>
    <s v="ABUELA CELL"/>
    <x v="3"/>
    <n v="5"/>
    <n v="0"/>
    <n v="15"/>
    <n v="0"/>
    <n v="0"/>
    <n v="0"/>
    <n v="0"/>
    <n v="0"/>
    <n v="0"/>
    <n v="0"/>
    <n v="0"/>
    <n v="0"/>
    <n v="0"/>
    <n v="0"/>
    <n v="0"/>
    <n v="0"/>
    <n v="0"/>
    <n v="0"/>
    <n v="5"/>
    <n v="375000"/>
    <d v="2026-06-25T00:00:00"/>
    <n v="5"/>
    <n v="375000"/>
    <s v="CASH"/>
    <n v="0"/>
    <n v="46199"/>
  </r>
  <r>
    <n v="189"/>
    <d v="2026-06-24T00:00:00"/>
    <s v="GOL"/>
    <s v="MC-SAGARANTEN"/>
    <n v="1555825"/>
    <s v="SILVI CELL"/>
    <x v="3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5T00:00:00"/>
    <n v="1"/>
    <n v="75000"/>
    <s v="CASH"/>
    <n v="0"/>
    <n v="46199"/>
  </r>
  <r>
    <n v="190"/>
    <d v="2026-06-24T00:00:00"/>
    <s v="GOL"/>
    <s v="MC-SAGARANTEN"/>
    <n v="17138377"/>
    <s v="EMYRATE CELL"/>
    <x v="3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2"/>
    <n v="150000"/>
    <d v="2026-06-25T00:00:00"/>
    <n v="2"/>
    <n v="150000"/>
    <s v="CASH"/>
    <n v="0"/>
    <n v="46199"/>
  </r>
  <r>
    <n v="192"/>
    <d v="2026-06-25T00:00:00"/>
    <s v="GOL"/>
    <s v="MC-SAGARANTEN"/>
    <n v="17399911"/>
    <s v="HIKARU CELL 2"/>
    <x v="1"/>
    <n v="10"/>
    <n v="0"/>
    <n v="30"/>
    <n v="0"/>
    <n v="0"/>
    <n v="0"/>
    <n v="0"/>
    <n v="0"/>
    <n v="0"/>
    <n v="0"/>
    <n v="0"/>
    <n v="0"/>
    <n v="0"/>
    <n v="0"/>
    <n v="0"/>
    <n v="0"/>
    <n v="0"/>
    <n v="0"/>
    <n v="10"/>
    <n v="750000"/>
    <d v="2026-06-27T00:00:00"/>
    <n v="10"/>
    <n v="750000"/>
    <s v="CASH"/>
    <n v="0"/>
    <n v="46202"/>
  </r>
  <r>
    <n v="193"/>
    <d v="2026-06-25T00:00:00"/>
    <s v="GOL"/>
    <s v="MC-SAGARANTEN"/>
    <n v="17190542"/>
    <s v="BERKAH CELLULAR"/>
    <x v="0"/>
    <n v="6"/>
    <n v="0"/>
    <n v="18"/>
    <n v="0"/>
    <n v="0"/>
    <n v="0"/>
    <n v="0"/>
    <n v="0"/>
    <n v="0"/>
    <n v="0"/>
    <n v="0"/>
    <n v="0"/>
    <n v="0"/>
    <n v="0"/>
    <n v="0"/>
    <n v="0"/>
    <n v="0"/>
    <n v="0"/>
    <n v="6"/>
    <n v="450000"/>
    <d v="2026-06-25T00:00:00"/>
    <n v="6"/>
    <n v="425000"/>
    <s v="CASH"/>
    <n v="25000"/>
    <n v="46199"/>
  </r>
  <r>
    <n v="194"/>
    <d v="2026-06-25T00:00:00"/>
    <s v="GOL"/>
    <s v="MC-SAGARANTEN"/>
    <n v="17179164"/>
    <s v="JR STORE"/>
    <x v="2"/>
    <n v="10"/>
    <n v="0"/>
    <n v="30"/>
    <n v="0"/>
    <n v="0"/>
    <n v="0"/>
    <n v="0"/>
    <n v="0"/>
    <n v="0"/>
    <n v="0"/>
    <n v="0"/>
    <n v="0"/>
    <n v="0"/>
    <n v="0"/>
    <n v="0"/>
    <n v="0"/>
    <n v="0"/>
    <n v="0"/>
    <n v="10"/>
    <n v="750000"/>
    <d v="2026-06-25T00:00:00"/>
    <n v="10"/>
    <n v="750000"/>
    <s v="CASH"/>
    <n v="0"/>
    <n v="46199"/>
  </r>
  <r>
    <n v="195"/>
    <d v="2026-06-25T00:00:00"/>
    <s v="GOL"/>
    <s v="MC-SAGARANTEN"/>
    <n v="1287387"/>
    <s v="DEAN CLL"/>
    <x v="3"/>
    <n v="10"/>
    <n v="0"/>
    <n v="30"/>
    <n v="0"/>
    <n v="0"/>
    <n v="0"/>
    <n v="0"/>
    <n v="0"/>
    <n v="0"/>
    <n v="0"/>
    <n v="0"/>
    <n v="0"/>
    <n v="0"/>
    <n v="0"/>
    <n v="0"/>
    <n v="0"/>
    <n v="0"/>
    <n v="0"/>
    <n v="10"/>
    <n v="750000"/>
    <d v="2026-06-26T00:00:00"/>
    <n v="10"/>
    <n v="750000"/>
    <s v="CASH"/>
    <n v="0"/>
    <n v="46202"/>
  </r>
  <r>
    <n v="196"/>
    <d v="2026-06-26T00:00:00"/>
    <s v="GOL"/>
    <s v="MC-SAGARANTEN"/>
    <n v="17737026"/>
    <s v="Yan cell"/>
    <x v="0"/>
    <n v="9"/>
    <n v="0"/>
    <n v="27"/>
    <n v="0"/>
    <n v="0"/>
    <n v="0"/>
    <n v="0"/>
    <n v="0"/>
    <n v="0"/>
    <n v="0"/>
    <n v="0"/>
    <n v="0"/>
    <n v="0"/>
    <n v="0"/>
    <n v="0"/>
    <n v="0"/>
    <n v="0"/>
    <n v="0"/>
    <n v="9"/>
    <n v="675000"/>
    <d v="2026-06-26T00:00:00"/>
    <n v="9"/>
    <n v="675000"/>
    <s v="CASH"/>
    <n v="0"/>
    <n v="46202"/>
  </r>
  <r>
    <n v="197"/>
    <d v="2026-06-26T00:00:00"/>
    <s v="GOL"/>
    <s v="MC-SAGARANTEN"/>
    <n v="17288556"/>
    <s v="M luthvi Qolbi"/>
    <x v="2"/>
    <n v="5"/>
    <n v="0"/>
    <n v="15"/>
    <n v="0"/>
    <n v="0"/>
    <n v="0"/>
    <n v="0"/>
    <n v="0"/>
    <n v="0"/>
    <n v="0"/>
    <n v="0"/>
    <n v="0"/>
    <n v="0"/>
    <n v="0"/>
    <n v="0"/>
    <n v="0"/>
    <n v="0"/>
    <n v="0"/>
    <n v="5"/>
    <n v="375000"/>
    <d v="2026-06-26T00:00:00"/>
    <n v="5"/>
    <n v="375000"/>
    <s v="CASH"/>
    <n v="0"/>
    <n v="46202"/>
  </r>
  <r>
    <n v="198"/>
    <d v="2026-06-26T00:00:00"/>
    <s v="GOL"/>
    <s v="MC-SAGARANTEN"/>
    <n v="17695935"/>
    <s v="Taufiq cell"/>
    <x v="3"/>
    <n v="7"/>
    <n v="0"/>
    <n v="21"/>
    <n v="0"/>
    <n v="0"/>
    <n v="0"/>
    <n v="0"/>
    <n v="0"/>
    <n v="0"/>
    <n v="0"/>
    <n v="0"/>
    <n v="0"/>
    <n v="0"/>
    <n v="0"/>
    <n v="0"/>
    <n v="0"/>
    <n v="0"/>
    <n v="0"/>
    <n v="7"/>
    <n v="525000"/>
    <d v="2026-06-27T00:00:00"/>
    <n v="7"/>
    <n v="525000"/>
    <s v="CASH"/>
    <n v="0"/>
    <n v="46202"/>
  </r>
  <r>
    <n v="199"/>
    <d v="2026-06-26T00:00:00"/>
    <s v="GOL"/>
    <s v="MC-SAGARANTEN"/>
    <n v="17437435"/>
    <s v="FIRMAN CELL"/>
    <x v="3"/>
    <n v="3"/>
    <n v="0"/>
    <n v="9"/>
    <n v="0"/>
    <n v="0"/>
    <n v="0"/>
    <n v="0"/>
    <n v="0"/>
    <n v="0"/>
    <n v="0"/>
    <n v="0"/>
    <n v="0"/>
    <n v="0"/>
    <n v="0"/>
    <n v="0"/>
    <n v="0"/>
    <n v="0"/>
    <n v="0"/>
    <n v="3"/>
    <n v="225000"/>
    <d v="2026-06-27T00:00:00"/>
    <n v="3"/>
    <n v="225000"/>
    <s v="CASH"/>
    <n v="0"/>
    <n v="46202"/>
  </r>
  <r>
    <m/>
    <d v="2026-06-27T00:00:00"/>
    <s v="GOL"/>
    <s v="MC-SAGARANTEN"/>
    <n v="17031672"/>
    <s v="ZM CELLULER"/>
    <x v="0"/>
    <n v="7"/>
    <n v="0"/>
    <n v="21"/>
    <n v="0"/>
    <n v="0"/>
    <n v="0"/>
    <n v="0"/>
    <n v="0"/>
    <n v="0"/>
    <n v="0"/>
    <n v="0"/>
    <n v="0"/>
    <n v="0"/>
    <n v="0"/>
    <n v="0"/>
    <n v="0"/>
    <n v="0"/>
    <n v="0"/>
    <n v="7"/>
    <n v="525000"/>
    <d v="2026-06-27T00:00:00"/>
    <n v="7"/>
    <n v="525000"/>
    <s v="CASH"/>
    <n v="0"/>
    <n v="46202"/>
  </r>
  <r>
    <m/>
    <d v="2026-06-27T00:00:00"/>
    <s v="GOL"/>
    <s v="MC-SAGARANTEN"/>
    <n v="17268971"/>
    <s v="AKBAR CELL"/>
    <x v="1"/>
    <n v="4"/>
    <n v="0"/>
    <n v="12"/>
    <n v="0"/>
    <n v="0"/>
    <n v="0"/>
    <n v="0"/>
    <n v="0"/>
    <n v="0"/>
    <n v="0"/>
    <n v="0"/>
    <n v="0"/>
    <n v="0"/>
    <n v="0"/>
    <n v="0"/>
    <n v="0"/>
    <n v="0"/>
    <n v="0"/>
    <n v="4"/>
    <n v="300000"/>
    <d v="2026-06-29T00:00:00"/>
    <n v="4"/>
    <n v="300000"/>
    <s v="CASH"/>
    <n v="0"/>
    <n v="46203"/>
  </r>
  <r>
    <m/>
    <d v="2026-06-27T00:00:00"/>
    <s v="GOL"/>
    <s v="MC-SAGARANTEN"/>
    <n v="17672233"/>
    <s v="G-mart Cell"/>
    <x v="2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75000"/>
    <d v="2026-06-27T00:00:00"/>
    <n v="1"/>
    <n v="75000"/>
    <s v="CASH"/>
    <n v="0"/>
    <n v="46202"/>
  </r>
  <r>
    <m/>
    <d v="2026-06-29T00:00:00"/>
    <s v="GOL"/>
    <s v="MC-SAGARANTEN"/>
    <n v="17437773"/>
    <s v="Kimo stor"/>
    <x v="0"/>
    <n v="2"/>
    <n v="0"/>
    <n v="6"/>
    <n v="0"/>
    <n v="0"/>
    <n v="0"/>
    <n v="0"/>
    <n v="0"/>
    <n v="0"/>
    <n v="0"/>
    <n v="0"/>
    <n v="0"/>
    <n v="0"/>
    <n v="0"/>
    <n v="0"/>
    <n v="0"/>
    <n v="0"/>
    <n v="0"/>
    <n v="2"/>
    <n v="150000"/>
    <d v="2026-06-29T00:00:00"/>
    <n v="2"/>
    <n v="150000"/>
    <s v="CASH"/>
    <n v="0"/>
    <n v="46203"/>
  </r>
  <r>
    <m/>
    <d v="2026-06-29T00:00:00"/>
    <s v="GOL"/>
    <s v="MC-SAGARANTEN"/>
    <n v="1305465"/>
    <s v="ADI CELL"/>
    <x v="2"/>
    <n v="3"/>
    <n v="0"/>
    <n v="9"/>
    <n v="0"/>
    <n v="0"/>
    <n v="0"/>
    <n v="0"/>
    <n v="0"/>
    <n v="0"/>
    <n v="0"/>
    <n v="0"/>
    <n v="0"/>
    <n v="0"/>
    <n v="0"/>
    <n v="0"/>
    <n v="0"/>
    <n v="0"/>
    <n v="0"/>
    <n v="3"/>
    <n v="225000"/>
    <d v="2026-06-29T00:00:00"/>
    <n v="3"/>
    <n v="225000"/>
    <s v="CASH"/>
    <n v="0"/>
    <n v="46203"/>
  </r>
  <r>
    <m/>
    <d v="2026-06-29T00:00:00"/>
    <s v="GOL"/>
    <s v="MC-SAGARANTEN"/>
    <n v="572677"/>
    <s v="Fitri cell"/>
    <x v="3"/>
    <n v="19"/>
    <n v="0"/>
    <n v="57"/>
    <n v="0"/>
    <n v="0"/>
    <n v="0"/>
    <n v="0"/>
    <n v="0"/>
    <n v="0"/>
    <n v="0"/>
    <n v="0"/>
    <n v="0"/>
    <n v="0"/>
    <n v="0"/>
    <n v="0"/>
    <n v="0"/>
    <n v="0"/>
    <n v="0"/>
    <n v="19"/>
    <n v="1425000"/>
    <d v="2026-06-29T00:00:00"/>
    <n v="19"/>
    <n v="1425000"/>
    <s v="CASH"/>
    <n v="0"/>
    <n v="46203"/>
  </r>
  <r>
    <m/>
    <d v="2026-06-30T00:00:00"/>
    <s v="GOL"/>
    <s v="MC-SAGARANTEN"/>
    <n v="572677"/>
    <s v="Fitri cell"/>
    <x v="3"/>
    <n v="27"/>
    <n v="0"/>
    <n v="81"/>
    <n v="0"/>
    <n v="0"/>
    <n v="0"/>
    <n v="0"/>
    <n v="0"/>
    <n v="0"/>
    <n v="0"/>
    <n v="0"/>
    <n v="0"/>
    <n v="0"/>
    <n v="0"/>
    <n v="0"/>
    <n v="0"/>
    <n v="0"/>
    <n v="0"/>
    <n v="27"/>
    <n v="2025000"/>
    <d v="2026-06-30T00:00:00"/>
    <n v="27"/>
    <n v="2025000"/>
    <s v="CASH"/>
    <n v="0"/>
    <n v="462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1CE32-F3CA-4C5C-9247-0914C5402CDA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70:AK75" firstHeaderRow="0" firstDataRow="1" firstDataCol="1"/>
  <pivotFields count="33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P 3GB" fld="9" baseField="0" baseItem="0"/>
    <dataField name="Sum of SP 10GB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C5B1F-D962-4D54-A585-F4B0600858C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36:T41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7" baseField="0" baseItem="0"/>
    <dataField name="Sum of Qty2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215D-50DE-4902-AC8C-D667D0BE309C}">
  <dimension ref="A1:D21"/>
  <sheetViews>
    <sheetView workbookViewId="0">
      <selection activeCell="F8" sqref="F8"/>
    </sheetView>
  </sheetViews>
  <sheetFormatPr defaultRowHeight="14.5" x14ac:dyDescent="0.35"/>
  <cols>
    <col min="1" max="1" width="11.1796875" bestFit="1" customWidth="1"/>
    <col min="2" max="2" width="5.36328125" bestFit="1" customWidth="1"/>
    <col min="3" max="3" width="5.08984375" bestFit="1" customWidth="1"/>
    <col min="4" max="4" width="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3" spans="1:4" x14ac:dyDescent="0.35">
      <c r="A3" t="s">
        <v>4</v>
      </c>
      <c r="B3" s="1">
        <f>index!B4</f>
        <v>100</v>
      </c>
      <c r="C3">
        <f>index!C4</f>
        <v>0</v>
      </c>
      <c r="D3" s="1">
        <f>B3+C3</f>
        <v>100</v>
      </c>
    </row>
    <row r="4" spans="1:4" x14ac:dyDescent="0.35">
      <c r="A4" t="s">
        <v>5</v>
      </c>
      <c r="B4">
        <f>index!B5</f>
        <v>4413</v>
      </c>
      <c r="C4">
        <f>index!C5</f>
        <v>15</v>
      </c>
      <c r="D4" s="1">
        <f t="shared" ref="D4:D21" si="0">B4+C4</f>
        <v>4428</v>
      </c>
    </row>
    <row r="5" spans="1:4" x14ac:dyDescent="0.35">
      <c r="A5" t="s">
        <v>6</v>
      </c>
      <c r="B5">
        <f>index!B6</f>
        <v>70</v>
      </c>
      <c r="C5">
        <f>index!C6</f>
        <v>8</v>
      </c>
      <c r="D5" s="1">
        <f t="shared" si="0"/>
        <v>78</v>
      </c>
    </row>
    <row r="6" spans="1:4" x14ac:dyDescent="0.35">
      <c r="A6" t="s">
        <v>7</v>
      </c>
      <c r="B6">
        <f>index!B7</f>
        <v>0</v>
      </c>
      <c r="C6">
        <f>index!C7</f>
        <v>0</v>
      </c>
      <c r="D6" s="1">
        <f t="shared" si="0"/>
        <v>0</v>
      </c>
    </row>
    <row r="7" spans="1:4" x14ac:dyDescent="0.35">
      <c r="A7" t="s">
        <v>205</v>
      </c>
      <c r="B7">
        <f>index!B8</f>
        <v>746</v>
      </c>
      <c r="C7">
        <f>index!C8</f>
        <v>0</v>
      </c>
      <c r="D7" s="1">
        <f t="shared" si="0"/>
        <v>746</v>
      </c>
    </row>
    <row r="8" spans="1:4" x14ac:dyDescent="0.35">
      <c r="B8">
        <f>index!B9</f>
        <v>0</v>
      </c>
      <c r="C8">
        <f>index!C9</f>
        <v>0</v>
      </c>
      <c r="D8" s="1">
        <f t="shared" si="0"/>
        <v>0</v>
      </c>
    </row>
    <row r="9" spans="1:4" x14ac:dyDescent="0.35">
      <c r="A9" t="s">
        <v>8</v>
      </c>
      <c r="B9" s="1">
        <f>index!B10</f>
        <v>7649</v>
      </c>
      <c r="C9">
        <f>index!C10</f>
        <v>0</v>
      </c>
      <c r="D9" s="1">
        <f t="shared" si="0"/>
        <v>7649</v>
      </c>
    </row>
    <row r="10" spans="1:4" x14ac:dyDescent="0.35">
      <c r="A10" t="s">
        <v>9</v>
      </c>
      <c r="B10">
        <f>index!B11</f>
        <v>0</v>
      </c>
      <c r="C10">
        <f>index!C11</f>
        <v>97</v>
      </c>
      <c r="D10" s="1">
        <f t="shared" si="0"/>
        <v>97</v>
      </c>
    </row>
    <row r="11" spans="1:4" x14ac:dyDescent="0.35">
      <c r="A11" t="s">
        <v>10</v>
      </c>
      <c r="B11">
        <f>index!B12</f>
        <v>300</v>
      </c>
      <c r="C11">
        <f>index!C12</f>
        <v>815</v>
      </c>
      <c r="D11" s="1">
        <f t="shared" si="0"/>
        <v>1115</v>
      </c>
    </row>
    <row r="12" spans="1:4" x14ac:dyDescent="0.35">
      <c r="A12" t="s">
        <v>11</v>
      </c>
      <c r="B12">
        <f>index!B13</f>
        <v>0</v>
      </c>
      <c r="C12">
        <f>index!C13</f>
        <v>0</v>
      </c>
      <c r="D12" s="1">
        <f t="shared" si="0"/>
        <v>0</v>
      </c>
    </row>
    <row r="13" spans="1:4" x14ac:dyDescent="0.35">
      <c r="A13" t="s">
        <v>12</v>
      </c>
      <c r="B13">
        <f>index!B14</f>
        <v>300</v>
      </c>
      <c r="C13">
        <f>index!C14</f>
        <v>71</v>
      </c>
      <c r="D13" s="1">
        <f t="shared" si="0"/>
        <v>371</v>
      </c>
    </row>
    <row r="14" spans="1:4" x14ac:dyDescent="0.35">
      <c r="A14" t="s">
        <v>13</v>
      </c>
      <c r="B14">
        <f>index!B15</f>
        <v>450</v>
      </c>
      <c r="C14">
        <f>index!C15</f>
        <v>0</v>
      </c>
      <c r="D14" s="1">
        <f t="shared" si="0"/>
        <v>450</v>
      </c>
    </row>
    <row r="15" spans="1:4" x14ac:dyDescent="0.35">
      <c r="A15" t="s">
        <v>14</v>
      </c>
      <c r="B15">
        <f>index!B16</f>
        <v>426</v>
      </c>
      <c r="C15">
        <f>index!C16</f>
        <v>15</v>
      </c>
      <c r="D15" s="1">
        <f t="shared" si="0"/>
        <v>441</v>
      </c>
    </row>
    <row r="16" spans="1:4" x14ac:dyDescent="0.35">
      <c r="A16" t="s">
        <v>15</v>
      </c>
      <c r="B16">
        <f>index!B17</f>
        <v>0</v>
      </c>
      <c r="C16">
        <f>index!C17</f>
        <v>0</v>
      </c>
      <c r="D16" s="1">
        <f t="shared" si="0"/>
        <v>0</v>
      </c>
    </row>
    <row r="17" spans="1:4" x14ac:dyDescent="0.35">
      <c r="A17" t="s">
        <v>16</v>
      </c>
      <c r="B17">
        <f>index!B18</f>
        <v>0</v>
      </c>
      <c r="C17">
        <f>index!C18</f>
        <v>51</v>
      </c>
      <c r="D17" s="1">
        <f t="shared" si="0"/>
        <v>51</v>
      </c>
    </row>
    <row r="18" spans="1:4" x14ac:dyDescent="0.35">
      <c r="A18" t="s">
        <v>17</v>
      </c>
      <c r="B18">
        <f>index!B19</f>
        <v>0</v>
      </c>
      <c r="C18">
        <f>index!C19</f>
        <v>0</v>
      </c>
      <c r="D18" s="1">
        <f t="shared" si="0"/>
        <v>0</v>
      </c>
    </row>
    <row r="19" spans="1:4" x14ac:dyDescent="0.35">
      <c r="A19" t="s">
        <v>18</v>
      </c>
      <c r="B19">
        <f>index!B20</f>
        <v>0</v>
      </c>
      <c r="C19">
        <f>index!C20</f>
        <v>0</v>
      </c>
      <c r="D19" s="1">
        <f t="shared" si="0"/>
        <v>0</v>
      </c>
    </row>
    <row r="20" spans="1:4" x14ac:dyDescent="0.35">
      <c r="A20" t="s">
        <v>19</v>
      </c>
      <c r="B20">
        <f>index!B21</f>
        <v>450</v>
      </c>
      <c r="C20">
        <f>index!C21</f>
        <v>904</v>
      </c>
      <c r="D20" s="1">
        <f t="shared" si="0"/>
        <v>1354</v>
      </c>
    </row>
    <row r="21" spans="1:4" x14ac:dyDescent="0.35">
      <c r="A21" t="s">
        <v>20</v>
      </c>
      <c r="B21">
        <f>index!B22</f>
        <v>207</v>
      </c>
      <c r="C21">
        <f>index!C22</f>
        <v>10</v>
      </c>
      <c r="D21" s="1">
        <f t="shared" si="0"/>
        <v>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1FDC-0336-462A-A043-91B508E2B511}">
  <dimension ref="A1:G23"/>
  <sheetViews>
    <sheetView workbookViewId="0">
      <selection activeCell="A7" sqref="A7"/>
    </sheetView>
  </sheetViews>
  <sheetFormatPr defaultRowHeight="14.5" x14ac:dyDescent="0.35"/>
  <cols>
    <col min="1" max="1" width="19.26953125" bestFit="1" customWidth="1"/>
    <col min="2" max="2" width="5.08984375" bestFit="1" customWidth="1"/>
    <col min="3" max="3" width="7.6328125" bestFit="1" customWidth="1"/>
    <col min="4" max="4" width="6.7265625" bestFit="1" customWidth="1"/>
    <col min="5" max="5" width="7.90625" bestFit="1" customWidth="1"/>
    <col min="6" max="6" width="4.1796875" bestFit="1" customWidth="1"/>
    <col min="7" max="7" width="6.08984375" bestFit="1" customWidth="1"/>
  </cols>
  <sheetData>
    <row r="1" spans="1:7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2" spans="1:7" x14ac:dyDescent="0.35">
      <c r="A2" t="s">
        <v>4</v>
      </c>
      <c r="B2">
        <f>index!G5</f>
        <v>86</v>
      </c>
      <c r="C2">
        <f>index!H5</f>
        <v>80</v>
      </c>
      <c r="D2">
        <f>index!I5</f>
        <v>96</v>
      </c>
      <c r="E2">
        <f>index!J5</f>
        <v>100</v>
      </c>
      <c r="G2">
        <f>SUM(B2:F2)</f>
        <v>362</v>
      </c>
    </row>
    <row r="3" spans="1:7" x14ac:dyDescent="0.35">
      <c r="A3" t="s">
        <v>29</v>
      </c>
      <c r="B3">
        <f>index!G6</f>
        <v>122</v>
      </c>
      <c r="C3">
        <f>index!H6</f>
        <v>64</v>
      </c>
      <c r="D3">
        <f>index!I6</f>
        <v>48</v>
      </c>
      <c r="E3">
        <f>index!J6</f>
        <v>59</v>
      </c>
      <c r="G3">
        <f t="shared" ref="G3:G22" si="0">SUM(B3:F3)</f>
        <v>293</v>
      </c>
    </row>
    <row r="4" spans="1:7" x14ac:dyDescent="0.35">
      <c r="A4" t="s">
        <v>30</v>
      </c>
      <c r="B4">
        <f>index!G7</f>
        <v>0</v>
      </c>
      <c r="C4">
        <f>index!H7</f>
        <v>63</v>
      </c>
      <c r="D4">
        <f>index!I7</f>
        <v>90</v>
      </c>
      <c r="E4">
        <f>index!J7</f>
        <v>183</v>
      </c>
      <c r="G4">
        <f t="shared" si="0"/>
        <v>336</v>
      </c>
    </row>
    <row r="5" spans="1:7" x14ac:dyDescent="0.35">
      <c r="A5" t="s">
        <v>7</v>
      </c>
      <c r="B5">
        <f>index!G8</f>
        <v>0</v>
      </c>
      <c r="C5">
        <f>index!H8</f>
        <v>0</v>
      </c>
      <c r="D5">
        <f>index!I8</f>
        <v>0</v>
      </c>
      <c r="E5">
        <f>index!J8</f>
        <v>5</v>
      </c>
      <c r="G5">
        <f t="shared" si="0"/>
        <v>5</v>
      </c>
    </row>
    <row r="6" spans="1:7" x14ac:dyDescent="0.35">
      <c r="A6" t="s">
        <v>205</v>
      </c>
      <c r="B6">
        <f>index!G9</f>
        <v>0</v>
      </c>
      <c r="C6">
        <f>index!H9</f>
        <v>0</v>
      </c>
      <c r="D6">
        <f>index!I9</f>
        <v>0</v>
      </c>
      <c r="E6">
        <f>index!J9</f>
        <v>0</v>
      </c>
      <c r="G6">
        <f t="shared" si="0"/>
        <v>0</v>
      </c>
    </row>
    <row r="7" spans="1:7" x14ac:dyDescent="0.35">
      <c r="B7">
        <f>index!G10</f>
        <v>0</v>
      </c>
      <c r="C7">
        <f>index!H10</f>
        <v>0</v>
      </c>
      <c r="D7">
        <f>index!I10</f>
        <v>0</v>
      </c>
      <c r="E7">
        <f>index!J10</f>
        <v>0</v>
      </c>
      <c r="G7">
        <f t="shared" si="0"/>
        <v>0</v>
      </c>
    </row>
    <row r="8" spans="1:7" x14ac:dyDescent="0.35">
      <c r="A8" t="s">
        <v>8</v>
      </c>
      <c r="B8">
        <f>index!G11</f>
        <v>100</v>
      </c>
      <c r="C8">
        <f>index!H11</f>
        <v>300</v>
      </c>
      <c r="D8">
        <f>index!I11</f>
        <v>44</v>
      </c>
      <c r="E8">
        <f>index!J11</f>
        <v>150</v>
      </c>
      <c r="G8">
        <f t="shared" si="0"/>
        <v>594</v>
      </c>
    </row>
    <row r="9" spans="1:7" x14ac:dyDescent="0.35">
      <c r="A9" t="s">
        <v>31</v>
      </c>
      <c r="B9">
        <f>index!G12</f>
        <v>0</v>
      </c>
      <c r="C9">
        <f>index!H12</f>
        <v>0</v>
      </c>
      <c r="D9">
        <f>index!I12</f>
        <v>0</v>
      </c>
      <c r="E9">
        <f>index!J12</f>
        <v>0</v>
      </c>
      <c r="G9">
        <f t="shared" si="0"/>
        <v>0</v>
      </c>
    </row>
    <row r="10" spans="1:7" x14ac:dyDescent="0.35">
      <c r="A10" t="s">
        <v>32</v>
      </c>
      <c r="B10">
        <f>index!G13</f>
        <v>96</v>
      </c>
      <c r="C10">
        <f>index!H13</f>
        <v>104</v>
      </c>
      <c r="D10">
        <f>index!I13</f>
        <v>68</v>
      </c>
      <c r="E10">
        <f>index!J13</f>
        <v>202</v>
      </c>
      <c r="G10">
        <f t="shared" si="0"/>
        <v>470</v>
      </c>
    </row>
    <row r="11" spans="1:7" x14ac:dyDescent="0.35">
      <c r="A11" t="s">
        <v>33</v>
      </c>
      <c r="B11">
        <f>index!G14</f>
        <v>0</v>
      </c>
      <c r="C11">
        <f>index!H14</f>
        <v>0</v>
      </c>
      <c r="D11">
        <f>index!I14</f>
        <v>0</v>
      </c>
      <c r="E11">
        <f>index!J14</f>
        <v>0</v>
      </c>
      <c r="G11">
        <f t="shared" si="0"/>
        <v>0</v>
      </c>
    </row>
    <row r="12" spans="1:7" x14ac:dyDescent="0.35">
      <c r="A12" t="s">
        <v>34</v>
      </c>
      <c r="B12">
        <f>index!G15</f>
        <v>9</v>
      </c>
      <c r="C12">
        <f>index!H15</f>
        <v>0</v>
      </c>
      <c r="D12">
        <f>index!I15</f>
        <v>35</v>
      </c>
      <c r="E12">
        <f>index!J15</f>
        <v>5</v>
      </c>
      <c r="G12">
        <f t="shared" si="0"/>
        <v>49</v>
      </c>
    </row>
    <row r="13" spans="1:7" x14ac:dyDescent="0.35">
      <c r="A13" t="s">
        <v>35</v>
      </c>
      <c r="B13">
        <f>index!G16</f>
        <v>32</v>
      </c>
      <c r="C13">
        <f>index!H16</f>
        <v>50</v>
      </c>
      <c r="D13">
        <f>index!I16</f>
        <v>23</v>
      </c>
      <c r="E13">
        <f>index!J16</f>
        <v>16</v>
      </c>
      <c r="G13">
        <f t="shared" si="0"/>
        <v>121</v>
      </c>
    </row>
    <row r="14" spans="1:7" x14ac:dyDescent="0.35">
      <c r="A14" t="s">
        <v>36</v>
      </c>
      <c r="B14">
        <f>index!G17</f>
        <v>15</v>
      </c>
      <c r="C14">
        <f>index!H17</f>
        <v>22</v>
      </c>
      <c r="D14">
        <f>index!I17</f>
        <v>24</v>
      </c>
      <c r="E14">
        <f>index!J17</f>
        <v>69</v>
      </c>
      <c r="G14">
        <f t="shared" si="0"/>
        <v>130</v>
      </c>
    </row>
    <row r="15" spans="1:7" x14ac:dyDescent="0.35">
      <c r="A15" t="s">
        <v>15</v>
      </c>
      <c r="B15">
        <f>index!G18</f>
        <v>0</v>
      </c>
      <c r="C15">
        <f>index!H18</f>
        <v>35</v>
      </c>
      <c r="D15">
        <f>index!I18</f>
        <v>0</v>
      </c>
      <c r="E15">
        <f>index!J18</f>
        <v>0</v>
      </c>
      <c r="G15">
        <f t="shared" si="0"/>
        <v>35</v>
      </c>
    </row>
    <row r="16" spans="1:7" x14ac:dyDescent="0.35">
      <c r="A16" t="s">
        <v>16</v>
      </c>
      <c r="B16">
        <f>index!G19</f>
        <v>0</v>
      </c>
      <c r="C16">
        <f>index!H19</f>
        <v>0</v>
      </c>
      <c r="D16">
        <f>index!I19</f>
        <v>0</v>
      </c>
      <c r="E16">
        <f>index!J19</f>
        <v>0</v>
      </c>
      <c r="G16">
        <f t="shared" si="0"/>
        <v>0</v>
      </c>
    </row>
    <row r="17" spans="1:7" x14ac:dyDescent="0.35">
      <c r="A17" t="s">
        <v>17</v>
      </c>
      <c r="B17">
        <f>index!G20</f>
        <v>0</v>
      </c>
      <c r="C17">
        <f>index!H20</f>
        <v>0</v>
      </c>
      <c r="D17">
        <f>index!I20</f>
        <v>0</v>
      </c>
      <c r="E17">
        <f>index!J20</f>
        <v>0</v>
      </c>
      <c r="G17">
        <f t="shared" si="0"/>
        <v>0</v>
      </c>
    </row>
    <row r="18" spans="1:7" x14ac:dyDescent="0.35">
      <c r="A18" t="s">
        <v>18</v>
      </c>
      <c r="B18">
        <f>index!G21</f>
        <v>11</v>
      </c>
      <c r="C18">
        <f>index!H21</f>
        <v>14</v>
      </c>
      <c r="D18">
        <f>index!I21</f>
        <v>9</v>
      </c>
      <c r="E18">
        <f>index!J21</f>
        <v>0</v>
      </c>
      <c r="G18">
        <f t="shared" si="0"/>
        <v>34</v>
      </c>
    </row>
    <row r="19" spans="1:7" x14ac:dyDescent="0.35">
      <c r="A19" t="s">
        <v>19</v>
      </c>
      <c r="B19">
        <f>index!G22</f>
        <v>25</v>
      </c>
      <c r="C19">
        <f>index!H22</f>
        <v>15</v>
      </c>
      <c r="D19">
        <f>index!I22</f>
        <v>96</v>
      </c>
      <c r="E19">
        <f>index!J22</f>
        <v>92</v>
      </c>
      <c r="G19">
        <f t="shared" si="0"/>
        <v>228</v>
      </c>
    </row>
    <row r="20" spans="1:7" x14ac:dyDescent="0.35">
      <c r="A20" t="s">
        <v>20</v>
      </c>
      <c r="B20">
        <f>index!G23</f>
        <v>15</v>
      </c>
      <c r="C20">
        <f>index!H23</f>
        <v>0</v>
      </c>
      <c r="D20">
        <f>index!I23</f>
        <v>3</v>
      </c>
      <c r="E20">
        <f>index!J23</f>
        <v>54</v>
      </c>
      <c r="G20">
        <f t="shared" si="0"/>
        <v>72</v>
      </c>
    </row>
    <row r="21" spans="1:7" x14ac:dyDescent="0.35"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>
        <f t="shared" si="0"/>
        <v>0</v>
      </c>
    </row>
    <row r="22" spans="1:7" x14ac:dyDescent="0.35">
      <c r="B22" t="s">
        <v>28</v>
      </c>
      <c r="C22" t="s">
        <v>28</v>
      </c>
      <c r="D22" t="s">
        <v>28</v>
      </c>
      <c r="E22" t="s">
        <v>28</v>
      </c>
      <c r="F22" t="s">
        <v>28</v>
      </c>
      <c r="G22">
        <f t="shared" si="0"/>
        <v>0</v>
      </c>
    </row>
    <row r="23" spans="1:7" x14ac:dyDescent="0.35">
      <c r="A23" t="s">
        <v>27</v>
      </c>
      <c r="B23">
        <f>SUM(B2:B22)</f>
        <v>511</v>
      </c>
      <c r="C23">
        <f t="shared" ref="C23:G23" si="1">SUM(C2:C22)</f>
        <v>747</v>
      </c>
      <c r="D23">
        <f t="shared" si="1"/>
        <v>536</v>
      </c>
      <c r="E23">
        <f t="shared" si="1"/>
        <v>935</v>
      </c>
      <c r="F23">
        <f t="shared" si="1"/>
        <v>0</v>
      </c>
      <c r="G23">
        <f t="shared" si="1"/>
        <v>2729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3B40A-92CD-4728-BD2C-3FD996AF2E99}">
  <dimension ref="A1:B6"/>
  <sheetViews>
    <sheetView workbookViewId="0">
      <selection activeCell="A2" sqref="A2"/>
    </sheetView>
  </sheetViews>
  <sheetFormatPr defaultRowHeight="14.5" x14ac:dyDescent="0.35"/>
  <cols>
    <col min="1" max="1" width="19.6328125" bestFit="1" customWidth="1"/>
    <col min="2" max="2" width="11.453125" bestFit="1" customWidth="1"/>
  </cols>
  <sheetData>
    <row r="1" spans="1:2" x14ac:dyDescent="0.35">
      <c r="A1" t="s">
        <v>37</v>
      </c>
      <c r="B1" t="s">
        <v>38</v>
      </c>
    </row>
    <row r="2" spans="1:2" x14ac:dyDescent="0.35">
      <c r="A2" t="s">
        <v>78</v>
      </c>
      <c r="B2">
        <f>index!O3</f>
        <v>32259000</v>
      </c>
    </row>
    <row r="3" spans="1:2" x14ac:dyDescent="0.35">
      <c r="A3" t="s">
        <v>40</v>
      </c>
      <c r="B3">
        <f>index!O4</f>
        <v>52263000</v>
      </c>
    </row>
    <row r="4" spans="1:2" x14ac:dyDescent="0.35">
      <c r="A4" t="s">
        <v>41</v>
      </c>
      <c r="B4">
        <f>index!O5</f>
        <v>43042000</v>
      </c>
    </row>
    <row r="5" spans="1:2" x14ac:dyDescent="0.35">
      <c r="A5" t="s">
        <v>42</v>
      </c>
      <c r="B5">
        <f>index!O6</f>
        <v>50945000</v>
      </c>
    </row>
    <row r="6" spans="1:2" x14ac:dyDescent="0.35">
      <c r="A6" t="s">
        <v>43</v>
      </c>
      <c r="B6">
        <f>SUM(B2:B5)</f>
        <v>178509000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2372-7161-41F4-99F8-CC7A23014CAA}">
  <dimension ref="A1:AM23"/>
  <sheetViews>
    <sheetView topLeftCell="J6" workbookViewId="0">
      <selection activeCell="K4" sqref="K4"/>
    </sheetView>
  </sheetViews>
  <sheetFormatPr defaultRowHeight="14.5" x14ac:dyDescent="0.35"/>
  <cols>
    <col min="1" max="1" width="19.36328125" bestFit="1" customWidth="1"/>
    <col min="2" max="2" width="19.36328125" customWidth="1"/>
    <col min="3" max="3" width="9.81640625" bestFit="1" customWidth="1"/>
    <col min="4" max="4" width="9.81640625" customWidth="1"/>
    <col min="5" max="5" width="9.81640625" bestFit="1" customWidth="1"/>
    <col min="6" max="6" width="9.81640625" customWidth="1"/>
    <col min="7" max="7" width="9.81640625" bestFit="1" customWidth="1"/>
    <col min="8" max="8" width="9.81640625" customWidth="1"/>
    <col min="9" max="9" width="9.26953125" bestFit="1" customWidth="1"/>
    <col min="10" max="10" width="11" bestFit="1" customWidth="1"/>
    <col min="11" max="11" width="8.7265625" bestFit="1" customWidth="1"/>
    <col min="12" max="12" width="6.7265625" bestFit="1" customWidth="1"/>
    <col min="13" max="13" width="11" bestFit="1" customWidth="1"/>
    <col min="14" max="14" width="9.453125" bestFit="1" customWidth="1"/>
    <col min="16" max="16" width="23" bestFit="1" customWidth="1"/>
  </cols>
  <sheetData>
    <row r="1" spans="1:39" x14ac:dyDescent="0.35">
      <c r="A1" t="s">
        <v>79</v>
      </c>
      <c r="B1" s="66" t="str">
        <f ca="1">"Andi " &amp; TEXT(TODAY()-1, "dd-mmm")</f>
        <v>Andi 12-Aug</v>
      </c>
      <c r="C1" t="s">
        <v>47</v>
      </c>
      <c r="D1" s="66" t="str">
        <f ca="1">"Parhan " &amp; TEXT(TODAY()-1, "dd-mmm")</f>
        <v>Parhan 12-Aug</v>
      </c>
      <c r="E1" t="s">
        <v>39</v>
      </c>
      <c r="F1" s="66" t="str">
        <f ca="1">"Enden " &amp; TEXT(TODAY()-1, "dd-mmm")</f>
        <v>Enden 12-Aug</v>
      </c>
      <c r="G1" t="s">
        <v>48</v>
      </c>
      <c r="H1" s="66" t="str">
        <f ca="1">"Pebrian " &amp; TEXT(TODAY()-1, "dd-mmm")</f>
        <v>Pebrian 12-Aug</v>
      </c>
      <c r="I1" t="s">
        <v>49</v>
      </c>
      <c r="J1" t="s">
        <v>176</v>
      </c>
      <c r="K1" t="s">
        <v>80</v>
      </c>
      <c r="L1" t="s">
        <v>81</v>
      </c>
      <c r="M1" t="s">
        <v>176</v>
      </c>
      <c r="N1" t="s">
        <v>82</v>
      </c>
      <c r="P1" t="s">
        <v>173</v>
      </c>
      <c r="Q1" t="s">
        <v>187</v>
      </c>
      <c r="R1" t="s">
        <v>188</v>
      </c>
      <c r="S1" t="s">
        <v>189</v>
      </c>
      <c r="T1" t="s">
        <v>190</v>
      </c>
      <c r="U1" t="s">
        <v>182</v>
      </c>
      <c r="V1" t="s">
        <v>191</v>
      </c>
      <c r="W1" t="s">
        <v>192</v>
      </c>
      <c r="X1" t="s">
        <v>193</v>
      </c>
      <c r="Y1" t="s">
        <v>194</v>
      </c>
      <c r="Z1" t="s">
        <v>182</v>
      </c>
      <c r="AA1" t="s">
        <v>195</v>
      </c>
      <c r="AB1" t="s">
        <v>196</v>
      </c>
      <c r="AC1" t="s">
        <v>197</v>
      </c>
      <c r="AD1" t="s">
        <v>198</v>
      </c>
      <c r="AE1" t="s">
        <v>182</v>
      </c>
      <c r="AF1" t="s">
        <v>199</v>
      </c>
      <c r="AG1" t="s">
        <v>200</v>
      </c>
      <c r="AH1" t="s">
        <v>201</v>
      </c>
      <c r="AI1" t="s">
        <v>202</v>
      </c>
      <c r="AJ1" t="s">
        <v>182</v>
      </c>
      <c r="AK1" t="s">
        <v>183</v>
      </c>
      <c r="AL1" t="s">
        <v>81</v>
      </c>
      <c r="AM1" t="s">
        <v>38</v>
      </c>
    </row>
    <row r="2" spans="1:39" x14ac:dyDescent="0.35">
      <c r="A2" t="s">
        <v>4</v>
      </c>
      <c r="B2" s="70">
        <f>index!R4</f>
        <v>0</v>
      </c>
      <c r="C2">
        <f>index!S4</f>
        <v>0</v>
      </c>
      <c r="D2" s="70">
        <f>index!T4</f>
        <v>0</v>
      </c>
      <c r="E2">
        <f>index!U4</f>
        <v>0</v>
      </c>
      <c r="F2" s="70">
        <f>index!V4</f>
        <v>0</v>
      </c>
      <c r="G2">
        <f>index!W4</f>
        <v>0</v>
      </c>
      <c r="H2">
        <f>index!X4</f>
        <v>0</v>
      </c>
      <c r="I2">
        <f>index!Y4</f>
        <v>0</v>
      </c>
      <c r="J2" s="70">
        <f>B2+D2+F2+H2</f>
        <v>0</v>
      </c>
      <c r="K2">
        <f>SUM(C2:I2)</f>
        <v>0</v>
      </c>
      <c r="L2">
        <v>11000</v>
      </c>
      <c r="M2">
        <f>J2*L2</f>
        <v>0</v>
      </c>
      <c r="N2">
        <f>K2*L2</f>
        <v>0</v>
      </c>
      <c r="P2" t="s">
        <v>4</v>
      </c>
      <c r="Q2">
        <f>index!DG4</f>
        <v>0</v>
      </c>
      <c r="R2">
        <f>index!DH4</f>
        <v>0</v>
      </c>
      <c r="S2">
        <f>index!DI4</f>
        <v>0</v>
      </c>
      <c r="T2">
        <f>index!DJ4</f>
        <v>0</v>
      </c>
      <c r="U2">
        <f>index!DK4</f>
        <v>0</v>
      </c>
      <c r="V2">
        <f>index!DL4</f>
        <v>0</v>
      </c>
      <c r="W2">
        <f>index!DM4</f>
        <v>0</v>
      </c>
      <c r="X2">
        <f>index!DN4</f>
        <v>0</v>
      </c>
      <c r="Y2">
        <f>index!DO4</f>
        <v>0</v>
      </c>
      <c r="Z2">
        <f>index!DP4</f>
        <v>0</v>
      </c>
      <c r="AA2">
        <f>index!DQ4</f>
        <v>0</v>
      </c>
      <c r="AB2">
        <f>index!DR4</f>
        <v>0</v>
      </c>
      <c r="AC2">
        <f>index!DS4</f>
        <v>0</v>
      </c>
      <c r="AD2">
        <f>index!DT4</f>
        <v>0</v>
      </c>
      <c r="AE2">
        <f>index!DU4</f>
        <v>0</v>
      </c>
      <c r="AF2">
        <f>index!DV4</f>
        <v>0</v>
      </c>
      <c r="AG2">
        <f>index!DW4</f>
        <v>0</v>
      </c>
      <c r="AH2">
        <f>index!DX4</f>
        <v>0</v>
      </c>
      <c r="AI2">
        <f>index!DY4</f>
        <v>0</v>
      </c>
      <c r="AJ2">
        <f>index!DZ4</f>
        <v>0</v>
      </c>
      <c r="AK2">
        <f>index!EA4</f>
        <v>49</v>
      </c>
      <c r="AL2">
        <f>index!EB4</f>
        <v>11000</v>
      </c>
      <c r="AM2">
        <f>index!EC4</f>
        <v>539000</v>
      </c>
    </row>
    <row r="3" spans="1:39" x14ac:dyDescent="0.35">
      <c r="A3" t="s">
        <v>29</v>
      </c>
      <c r="B3" s="70">
        <f>index!R5</f>
        <v>0</v>
      </c>
      <c r="C3">
        <f>index!S5</f>
        <v>364</v>
      </c>
      <c r="D3" s="70">
        <f>index!T5</f>
        <v>0</v>
      </c>
      <c r="E3">
        <f>index!U5</f>
        <v>255</v>
      </c>
      <c r="F3" s="70">
        <f>index!V5</f>
        <v>0</v>
      </c>
      <c r="G3">
        <f>index!W5</f>
        <v>339</v>
      </c>
      <c r="H3">
        <f>index!X5</f>
        <v>0</v>
      </c>
      <c r="I3">
        <f>index!Y5</f>
        <v>303</v>
      </c>
      <c r="J3" s="70">
        <f t="shared" ref="J3:J5" si="0">B3+D3+F3+H3</f>
        <v>0</v>
      </c>
      <c r="K3">
        <f t="shared" ref="K3:K5" si="1">SUM(C3:I3)</f>
        <v>1261</v>
      </c>
      <c r="L3">
        <v>30000</v>
      </c>
      <c r="M3">
        <f t="shared" ref="M3:M5" si="2">J3*L3</f>
        <v>0</v>
      </c>
      <c r="N3">
        <f>K3*L3</f>
        <v>37830000</v>
      </c>
      <c r="P3" t="s">
        <v>29</v>
      </c>
      <c r="Q3">
        <f>index!DG5</f>
        <v>0</v>
      </c>
      <c r="R3">
        <f>index!DH5+index!K37</f>
        <v>29</v>
      </c>
      <c r="S3">
        <f>index!DI5+index!K42+index!K45</f>
        <v>55</v>
      </c>
      <c r="T3">
        <f>index!DJ5+index!K49</f>
        <v>10</v>
      </c>
      <c r="U3">
        <f>index!DK5</f>
        <v>4</v>
      </c>
      <c r="V3">
        <f>index!DL5</f>
        <v>42</v>
      </c>
      <c r="W3">
        <f>index!DM5+index!K37</f>
        <v>44</v>
      </c>
      <c r="X3">
        <f>index!DN5</f>
        <v>0</v>
      </c>
      <c r="Y3">
        <f>index!DO5</f>
        <v>0</v>
      </c>
      <c r="Z3">
        <f>index!DP5</f>
        <v>61</v>
      </c>
      <c r="AA3">
        <f>index!DQ5</f>
        <v>80</v>
      </c>
      <c r="AB3">
        <f>index!DR5+index!K39</f>
        <v>35</v>
      </c>
      <c r="AC3">
        <f>index!DS5+index!K43</f>
        <v>25</v>
      </c>
      <c r="AD3">
        <f>index!DT5+index!K47+index!K50+index!K51</f>
        <v>50</v>
      </c>
      <c r="AE3">
        <f>index!DU5</f>
        <v>90</v>
      </c>
      <c r="AF3">
        <f>index!DV5</f>
        <v>0</v>
      </c>
      <c r="AG3">
        <f>index!DW5+index!K40</f>
        <v>25</v>
      </c>
      <c r="AH3">
        <f>index!DX5</f>
        <v>0</v>
      </c>
      <c r="AI3">
        <f>index!DY5+index!K44+index!K48</f>
        <v>50</v>
      </c>
      <c r="AJ3">
        <f>index!DZ5</f>
        <v>0</v>
      </c>
      <c r="AK3">
        <f>index!EA5</f>
        <v>0</v>
      </c>
      <c r="AL3">
        <f>index!EB5</f>
        <v>30000</v>
      </c>
      <c r="AM3">
        <f>index!EC5</f>
        <v>0</v>
      </c>
    </row>
    <row r="4" spans="1:39" x14ac:dyDescent="0.35">
      <c r="A4" t="s">
        <v>30</v>
      </c>
      <c r="B4" s="70">
        <f>index!R6</f>
        <v>0</v>
      </c>
      <c r="C4">
        <f>index!S6</f>
        <v>119</v>
      </c>
      <c r="D4" s="70">
        <f>index!T6</f>
        <v>0</v>
      </c>
      <c r="E4">
        <f>index!U6</f>
        <v>166</v>
      </c>
      <c r="F4" s="70">
        <f>index!V6</f>
        <v>0</v>
      </c>
      <c r="G4">
        <f>index!W6</f>
        <v>126</v>
      </c>
      <c r="H4">
        <f>index!X6</f>
        <v>0</v>
      </c>
      <c r="I4">
        <f>index!Y6</f>
        <v>63</v>
      </c>
      <c r="J4" s="70">
        <f t="shared" si="0"/>
        <v>0</v>
      </c>
      <c r="K4">
        <f t="shared" si="1"/>
        <v>474</v>
      </c>
      <c r="L4">
        <v>25000</v>
      </c>
      <c r="M4">
        <f t="shared" si="2"/>
        <v>0</v>
      </c>
      <c r="N4">
        <f>K4*L4</f>
        <v>11850000</v>
      </c>
      <c r="P4" t="s">
        <v>30</v>
      </c>
      <c r="Q4">
        <f>index!DG6</f>
        <v>0</v>
      </c>
      <c r="R4">
        <f>index!DH6</f>
        <v>5</v>
      </c>
      <c r="S4">
        <f>index!DI6</f>
        <v>0</v>
      </c>
      <c r="T4">
        <f>index!DJ6</f>
        <v>0</v>
      </c>
      <c r="U4">
        <f>index!DK6</f>
        <v>5</v>
      </c>
      <c r="V4">
        <f>index!DL6</f>
        <v>0</v>
      </c>
      <c r="W4">
        <f>index!DM6</f>
        <v>4</v>
      </c>
      <c r="X4">
        <f>index!DN6</f>
        <v>0</v>
      </c>
      <c r="Y4">
        <f>index!DO6</f>
        <v>0</v>
      </c>
      <c r="Z4">
        <f>index!DP6</f>
        <v>4</v>
      </c>
      <c r="AA4">
        <f>index!DQ6</f>
        <v>0</v>
      </c>
      <c r="AB4">
        <f>index!DR6</f>
        <v>0</v>
      </c>
      <c r="AC4">
        <f>index!DS6</f>
        <v>0</v>
      </c>
      <c r="AD4">
        <f>index!DT6</f>
        <v>0</v>
      </c>
      <c r="AE4">
        <f>index!DU6</f>
        <v>0</v>
      </c>
      <c r="AF4">
        <f>index!DV6</f>
        <v>0</v>
      </c>
      <c r="AG4">
        <f>index!DW6</f>
        <v>0</v>
      </c>
      <c r="AH4">
        <f>index!DX6</f>
        <v>0</v>
      </c>
      <c r="AI4">
        <f>index!DY6</f>
        <v>0</v>
      </c>
      <c r="AJ4">
        <f>index!DZ6</f>
        <v>0</v>
      </c>
      <c r="AK4">
        <f>index!EA6</f>
        <v>672</v>
      </c>
      <c r="AL4">
        <f>index!EB6</f>
        <v>25000</v>
      </c>
      <c r="AM4">
        <f>index!EC6</f>
        <v>16800000</v>
      </c>
    </row>
    <row r="5" spans="1:39" x14ac:dyDescent="0.35">
      <c r="A5" t="s">
        <v>7</v>
      </c>
      <c r="B5" s="70">
        <f>index!R7</f>
        <v>0</v>
      </c>
      <c r="C5">
        <f>index!S7</f>
        <v>0</v>
      </c>
      <c r="D5" s="70">
        <f>index!T7</f>
        <v>0</v>
      </c>
      <c r="E5">
        <f>index!U7</f>
        <v>5</v>
      </c>
      <c r="F5" s="70">
        <f>index!V7</f>
        <v>0</v>
      </c>
      <c r="G5">
        <f>index!W7</f>
        <v>5</v>
      </c>
      <c r="H5">
        <f>index!X7</f>
        <v>0</v>
      </c>
      <c r="I5">
        <f>index!Y7</f>
        <v>0</v>
      </c>
      <c r="J5" s="70">
        <f t="shared" si="0"/>
        <v>0</v>
      </c>
      <c r="K5">
        <f t="shared" si="1"/>
        <v>10</v>
      </c>
      <c r="L5">
        <v>40000</v>
      </c>
      <c r="M5">
        <f t="shared" si="2"/>
        <v>0</v>
      </c>
      <c r="N5">
        <f>K5*L5</f>
        <v>400000</v>
      </c>
      <c r="P5" t="s">
        <v>7</v>
      </c>
      <c r="Q5">
        <f>index!DG7</f>
        <v>0</v>
      </c>
      <c r="R5">
        <f>index!DH7</f>
        <v>0</v>
      </c>
      <c r="S5">
        <f>index!DI7</f>
        <v>0</v>
      </c>
      <c r="T5">
        <f>index!DJ7</f>
        <v>0</v>
      </c>
      <c r="U5">
        <f>index!DK7</f>
        <v>0</v>
      </c>
      <c r="V5">
        <f>index!DL7</f>
        <v>0</v>
      </c>
      <c r="W5">
        <f>index!DM7</f>
        <v>5</v>
      </c>
      <c r="X5">
        <f>index!DN7</f>
        <v>0</v>
      </c>
      <c r="Y5">
        <f>index!DO7</f>
        <v>0</v>
      </c>
      <c r="Z5">
        <f>index!DP7</f>
        <v>5</v>
      </c>
      <c r="AA5">
        <f>index!DQ7</f>
        <v>5</v>
      </c>
      <c r="AB5">
        <f>index!DR7</f>
        <v>0</v>
      </c>
      <c r="AC5">
        <f>index!DS7</f>
        <v>0</v>
      </c>
      <c r="AD5">
        <f>index!DT7</f>
        <v>0</v>
      </c>
      <c r="AE5">
        <f>index!DU7</f>
        <v>5</v>
      </c>
      <c r="AF5">
        <f>index!DV7</f>
        <v>0</v>
      </c>
      <c r="AG5">
        <f>index!DW7</f>
        <v>0</v>
      </c>
      <c r="AH5">
        <f>index!DX7</f>
        <v>0</v>
      </c>
      <c r="AI5">
        <f>index!DY7</f>
        <v>0</v>
      </c>
      <c r="AJ5">
        <f>index!DZ7</f>
        <v>0</v>
      </c>
      <c r="AK5">
        <f>index!EA7</f>
        <v>0</v>
      </c>
      <c r="AL5">
        <f>index!EB7</f>
        <v>40000</v>
      </c>
      <c r="AM5">
        <f>index!EC7</f>
        <v>0</v>
      </c>
    </row>
    <row r="6" spans="1:39" x14ac:dyDescent="0.35">
      <c r="A6" t="s">
        <v>205</v>
      </c>
      <c r="B6" s="70">
        <f>index!R8</f>
        <v>0</v>
      </c>
      <c r="C6" s="70">
        <f>index!S8</f>
        <v>24</v>
      </c>
      <c r="D6" s="70">
        <f>index!T8</f>
        <v>0</v>
      </c>
      <c r="E6" s="70">
        <f>index!U8</f>
        <v>31</v>
      </c>
      <c r="F6" s="70">
        <f>index!V8</f>
        <v>0</v>
      </c>
      <c r="G6" s="70">
        <f>index!W8</f>
        <v>33</v>
      </c>
      <c r="H6" s="70">
        <f>index!X8</f>
        <v>0</v>
      </c>
      <c r="I6" s="70">
        <f>index!Y8</f>
        <v>76</v>
      </c>
      <c r="J6" s="70">
        <f>index!Z8</f>
        <v>0</v>
      </c>
      <c r="K6" s="70">
        <f>index!AA8</f>
        <v>164</v>
      </c>
      <c r="L6" s="70">
        <f>index!AB8</f>
        <v>0</v>
      </c>
      <c r="M6" s="70">
        <f>index!AC8</f>
        <v>0</v>
      </c>
      <c r="N6" s="70">
        <f>index!AD8</f>
        <v>0</v>
      </c>
      <c r="P6" t="s">
        <v>205</v>
      </c>
      <c r="Q6">
        <f>index!DG9</f>
        <v>0</v>
      </c>
      <c r="R6">
        <f>index!DH9</f>
        <v>0</v>
      </c>
      <c r="S6">
        <f>index!DI9</f>
        <v>0</v>
      </c>
      <c r="T6">
        <f>index!DJ9</f>
        <v>0</v>
      </c>
      <c r="U6">
        <f>index!DK9</f>
        <v>9</v>
      </c>
      <c r="V6">
        <f>index!DL9</f>
        <v>0</v>
      </c>
      <c r="W6">
        <f>index!DM9</f>
        <v>0</v>
      </c>
      <c r="X6">
        <f>index!DN9</f>
        <v>0</v>
      </c>
      <c r="Y6">
        <f>index!DO9</f>
        <v>0</v>
      </c>
      <c r="Z6">
        <f>index!DP9</f>
        <v>70</v>
      </c>
      <c r="AA6">
        <f>index!DQ9</f>
        <v>0</v>
      </c>
      <c r="AB6">
        <f>index!DR9</f>
        <v>0</v>
      </c>
      <c r="AC6">
        <f>index!DS9</f>
        <v>0</v>
      </c>
      <c r="AD6">
        <f>index!DT9</f>
        <v>0</v>
      </c>
      <c r="AE6">
        <f>index!DU9</f>
        <v>95</v>
      </c>
      <c r="AF6">
        <f>index!DV9</f>
        <v>0</v>
      </c>
      <c r="AG6">
        <f>index!DW9</f>
        <v>0</v>
      </c>
      <c r="AH6">
        <f>index!DX9</f>
        <v>0</v>
      </c>
      <c r="AI6">
        <f>index!DY9</f>
        <v>0</v>
      </c>
      <c r="AJ6">
        <f>index!DZ9</f>
        <v>0</v>
      </c>
      <c r="AK6">
        <f>index!EA9</f>
        <v>721</v>
      </c>
      <c r="AL6">
        <f>index!EB9</f>
        <v>0</v>
      </c>
      <c r="AM6">
        <f>index!EC9</f>
        <v>17339000</v>
      </c>
    </row>
    <row r="7" spans="1:39" s="46" customFormat="1" x14ac:dyDescent="0.35">
      <c r="A7" t="s">
        <v>83</v>
      </c>
      <c r="B7" s="70">
        <f t="shared" ref="B7:K7" si="3">SUM(B2:B5)</f>
        <v>0</v>
      </c>
      <c r="C7">
        <f t="shared" si="3"/>
        <v>483</v>
      </c>
      <c r="D7" s="70">
        <f t="shared" si="3"/>
        <v>0</v>
      </c>
      <c r="E7">
        <f t="shared" si="3"/>
        <v>426</v>
      </c>
      <c r="F7" s="70">
        <f t="shared" si="3"/>
        <v>0</v>
      </c>
      <c r="G7">
        <f t="shared" si="3"/>
        <v>470</v>
      </c>
      <c r="H7">
        <f t="shared" si="3"/>
        <v>0</v>
      </c>
      <c r="I7">
        <f t="shared" si="3"/>
        <v>366</v>
      </c>
      <c r="J7" s="70">
        <f t="shared" si="3"/>
        <v>0</v>
      </c>
      <c r="K7">
        <f t="shared" si="3"/>
        <v>1745</v>
      </c>
      <c r="L7"/>
      <c r="M7">
        <f>SUM(M2:M5)</f>
        <v>0</v>
      </c>
      <c r="N7">
        <f>SUM(N2:N5)</f>
        <v>50080000</v>
      </c>
      <c r="O7"/>
      <c r="P7" t="s">
        <v>206</v>
      </c>
      <c r="Q7">
        <f>index!DG9</f>
        <v>0</v>
      </c>
      <c r="R7">
        <f>index!DH9</f>
        <v>0</v>
      </c>
      <c r="S7">
        <f>index!DI9</f>
        <v>0</v>
      </c>
      <c r="T7">
        <f>index!DJ9</f>
        <v>0</v>
      </c>
      <c r="U7">
        <f>index!DK9</f>
        <v>9</v>
      </c>
      <c r="V7">
        <f>index!DL9</f>
        <v>0</v>
      </c>
      <c r="W7">
        <f>index!DM9</f>
        <v>0</v>
      </c>
      <c r="X7">
        <f>index!DN9</f>
        <v>0</v>
      </c>
      <c r="Y7">
        <f>index!DO9</f>
        <v>0</v>
      </c>
      <c r="Z7">
        <f>index!DP9</f>
        <v>70</v>
      </c>
      <c r="AA7">
        <f>index!DQ9</f>
        <v>0</v>
      </c>
      <c r="AB7">
        <f>index!DR9</f>
        <v>0</v>
      </c>
      <c r="AC7">
        <f>index!DS9</f>
        <v>0</v>
      </c>
      <c r="AD7">
        <f>index!DT9</f>
        <v>0</v>
      </c>
      <c r="AE7">
        <f>index!DU9</f>
        <v>95</v>
      </c>
      <c r="AF7">
        <f>index!DV9</f>
        <v>0</v>
      </c>
      <c r="AG7">
        <f>index!DW9</f>
        <v>0</v>
      </c>
      <c r="AH7">
        <f>index!DX9</f>
        <v>0</v>
      </c>
      <c r="AI7">
        <f>index!DY9</f>
        <v>0</v>
      </c>
      <c r="AJ7">
        <f>index!DZ9</f>
        <v>0</v>
      </c>
      <c r="AK7">
        <f>index!EA9</f>
        <v>721</v>
      </c>
      <c r="AL7">
        <f>index!EB9</f>
        <v>0</v>
      </c>
      <c r="AM7">
        <f>index!EC9</f>
        <v>17339000</v>
      </c>
    </row>
    <row r="8" spans="1:39" x14ac:dyDescent="0.35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46"/>
    </row>
    <row r="9" spans="1:39" x14ac:dyDescent="0.35">
      <c r="A9" t="s">
        <v>84</v>
      </c>
      <c r="B9" s="66" t="s">
        <v>175</v>
      </c>
      <c r="C9" t="s">
        <v>47</v>
      </c>
      <c r="D9" s="66" t="s">
        <v>175</v>
      </c>
      <c r="E9" t="s">
        <v>39</v>
      </c>
      <c r="F9" s="66" t="s">
        <v>175</v>
      </c>
      <c r="G9" t="s">
        <v>48</v>
      </c>
      <c r="H9" s="66" t="s">
        <v>175</v>
      </c>
      <c r="I9" t="s">
        <v>49</v>
      </c>
      <c r="J9" t="s">
        <v>176</v>
      </c>
      <c r="K9" t="s">
        <v>80</v>
      </c>
      <c r="L9" t="s">
        <v>81</v>
      </c>
      <c r="M9" t="s">
        <v>176</v>
      </c>
      <c r="N9" t="s">
        <v>82</v>
      </c>
      <c r="P9" t="s">
        <v>84</v>
      </c>
    </row>
    <row r="10" spans="1:39" x14ac:dyDescent="0.35">
      <c r="A10" t="s">
        <v>8</v>
      </c>
      <c r="B10" s="70">
        <f>index!R10</f>
        <v>0</v>
      </c>
      <c r="C10">
        <f>index!S10</f>
        <v>238</v>
      </c>
      <c r="D10" s="70">
        <f>index!T10</f>
        <v>0</v>
      </c>
      <c r="E10">
        <f>index!U10</f>
        <v>600</v>
      </c>
      <c r="F10" s="70">
        <f>index!V10</f>
        <v>0</v>
      </c>
      <c r="G10">
        <f>index!W10</f>
        <v>189</v>
      </c>
      <c r="H10">
        <f>index!X10</f>
        <v>0</v>
      </c>
      <c r="I10">
        <f>index!Y10</f>
        <v>600</v>
      </c>
      <c r="J10" s="70">
        <f>B10+D10+F10+H10</f>
        <v>0</v>
      </c>
      <c r="K10">
        <f>SUM(C10:I10)</f>
        <v>1627</v>
      </c>
      <c r="L10">
        <v>600</v>
      </c>
      <c r="M10">
        <f>K10*L10</f>
        <v>976200</v>
      </c>
      <c r="N10">
        <f>K10*L10</f>
        <v>976200</v>
      </c>
      <c r="P10" t="s">
        <v>8</v>
      </c>
      <c r="Q10">
        <f>index!DG12</f>
        <v>138</v>
      </c>
      <c r="R10">
        <f>index!DH12</f>
        <v>100</v>
      </c>
      <c r="S10">
        <f>index!DI12</f>
        <v>0</v>
      </c>
      <c r="T10">
        <f>index!DJ12</f>
        <v>0</v>
      </c>
      <c r="U10">
        <f>index!DK12</f>
        <v>238</v>
      </c>
      <c r="V10">
        <f>index!DL12</f>
        <v>450</v>
      </c>
      <c r="W10">
        <f>index!DM12</f>
        <v>150</v>
      </c>
      <c r="X10">
        <f>index!DN12</f>
        <v>0</v>
      </c>
      <c r="Y10">
        <f>index!DO12</f>
        <v>0</v>
      </c>
      <c r="Z10">
        <f>index!DP12</f>
        <v>600</v>
      </c>
      <c r="AA10">
        <f>index!DQ12</f>
        <v>162</v>
      </c>
      <c r="AB10">
        <f>index!DR12</f>
        <v>27</v>
      </c>
      <c r="AC10">
        <f>index!DS12</f>
        <v>0</v>
      </c>
      <c r="AD10">
        <f>index!DT12</f>
        <v>0</v>
      </c>
      <c r="AE10">
        <f>index!DU12</f>
        <v>189</v>
      </c>
      <c r="AF10">
        <f>index!DV12</f>
        <v>150</v>
      </c>
      <c r="AG10">
        <f>index!DW12</f>
        <v>450</v>
      </c>
      <c r="AH10">
        <f>index!DX12</f>
        <v>0</v>
      </c>
      <c r="AI10">
        <f>index!DY12</f>
        <v>0</v>
      </c>
      <c r="AJ10">
        <f>index!DZ12</f>
        <v>600</v>
      </c>
      <c r="AK10">
        <f>index!EA12</f>
        <v>105</v>
      </c>
      <c r="AL10">
        <f>index!EB12</f>
        <v>600</v>
      </c>
      <c r="AM10">
        <f>index!EC12</f>
        <v>63000</v>
      </c>
    </row>
    <row r="11" spans="1:39" x14ac:dyDescent="0.35">
      <c r="A11" t="s">
        <v>31</v>
      </c>
      <c r="B11" s="70">
        <f>index!R11</f>
        <v>0</v>
      </c>
      <c r="C11">
        <f>index!S11</f>
        <v>0</v>
      </c>
      <c r="D11" s="70">
        <f>index!T11</f>
        <v>0</v>
      </c>
      <c r="E11">
        <f>index!U11</f>
        <v>27</v>
      </c>
      <c r="F11" s="70">
        <f>index!V11</f>
        <v>0</v>
      </c>
      <c r="G11">
        <f>index!W11</f>
        <v>25</v>
      </c>
      <c r="H11">
        <f>index!X11</f>
        <v>0</v>
      </c>
      <c r="I11">
        <f>index!Y11</f>
        <v>4</v>
      </c>
      <c r="J11" s="70">
        <f t="shared" ref="J11:J22" si="4">B11+D11+F11+H11</f>
        <v>0</v>
      </c>
      <c r="K11">
        <f t="shared" ref="K11:K22" si="5">SUM(C11:I11)</f>
        <v>56</v>
      </c>
      <c r="L11">
        <v>22500</v>
      </c>
      <c r="M11">
        <f t="shared" ref="M11:M22" si="6">K11*L11</f>
        <v>1260000</v>
      </c>
      <c r="N11">
        <f t="shared" ref="N11:N22" si="7">K11*L11</f>
        <v>1260000</v>
      </c>
      <c r="P11" t="s">
        <v>31</v>
      </c>
      <c r="Q11">
        <f>index!DG13</f>
        <v>0</v>
      </c>
      <c r="R11">
        <f>index!DH13</f>
        <v>0</v>
      </c>
      <c r="S11">
        <f>index!DI13</f>
        <v>0</v>
      </c>
      <c r="T11">
        <f>index!DJ13</f>
        <v>0</v>
      </c>
      <c r="U11">
        <f>index!DK13</f>
        <v>0</v>
      </c>
      <c r="V11">
        <f>index!DL13</f>
        <v>0</v>
      </c>
      <c r="W11">
        <f>index!DM13</f>
        <v>0</v>
      </c>
      <c r="X11">
        <f>index!DN13</f>
        <v>0</v>
      </c>
      <c r="Y11">
        <f>index!DO13</f>
        <v>0</v>
      </c>
      <c r="Z11">
        <f>index!DP13</f>
        <v>0</v>
      </c>
      <c r="AA11">
        <f>index!DQ13</f>
        <v>0</v>
      </c>
      <c r="AB11">
        <f>index!DR13</f>
        <v>4</v>
      </c>
      <c r="AC11">
        <f>index!DS13</f>
        <v>0</v>
      </c>
      <c r="AD11">
        <f>index!DT13</f>
        <v>0</v>
      </c>
      <c r="AE11">
        <f>index!DU13</f>
        <v>4</v>
      </c>
      <c r="AF11">
        <f>index!DV13</f>
        <v>4</v>
      </c>
      <c r="AG11">
        <f>index!DW13</f>
        <v>0</v>
      </c>
      <c r="AH11">
        <f>index!DX13</f>
        <v>0</v>
      </c>
      <c r="AI11">
        <f>index!DY13</f>
        <v>0</v>
      </c>
      <c r="AJ11">
        <f>index!DZ13</f>
        <v>4</v>
      </c>
      <c r="AK11">
        <f>index!EA13</f>
        <v>0</v>
      </c>
      <c r="AL11">
        <f>index!EB13</f>
        <v>22500</v>
      </c>
      <c r="AM11">
        <f>index!EC13</f>
        <v>0</v>
      </c>
    </row>
    <row r="12" spans="1:39" x14ac:dyDescent="0.35">
      <c r="A12" t="s">
        <v>32</v>
      </c>
      <c r="B12" s="70">
        <f>index!R12</f>
        <v>0</v>
      </c>
      <c r="C12">
        <f>index!S12</f>
        <v>99</v>
      </c>
      <c r="D12" s="70">
        <f>index!T12</f>
        <v>0</v>
      </c>
      <c r="E12">
        <f>index!U12</f>
        <v>245</v>
      </c>
      <c r="F12" s="70">
        <f>index!V12</f>
        <v>3</v>
      </c>
      <c r="G12">
        <f>index!W12</f>
        <v>131</v>
      </c>
      <c r="H12">
        <f>index!X12</f>
        <v>0</v>
      </c>
      <c r="I12">
        <f>index!Y12</f>
        <v>22</v>
      </c>
      <c r="J12" s="70">
        <f t="shared" si="4"/>
        <v>3</v>
      </c>
      <c r="K12">
        <f t="shared" si="5"/>
        <v>500</v>
      </c>
      <c r="L12">
        <v>13500</v>
      </c>
      <c r="M12">
        <f t="shared" si="6"/>
        <v>6750000</v>
      </c>
      <c r="N12">
        <f t="shared" si="7"/>
        <v>6750000</v>
      </c>
      <c r="P12" t="s">
        <v>32</v>
      </c>
      <c r="Q12">
        <f>index!DG14</f>
        <v>0</v>
      </c>
      <c r="R12">
        <f>index!DH14</f>
        <v>12</v>
      </c>
      <c r="S12">
        <f>index!DI14</f>
        <v>0</v>
      </c>
      <c r="T12">
        <f>index!DJ14</f>
        <v>0</v>
      </c>
      <c r="U12">
        <f>index!DK14</f>
        <v>12</v>
      </c>
      <c r="V12">
        <f>index!DL14</f>
        <v>61</v>
      </c>
      <c r="W12">
        <f>index!DM14</f>
        <v>55</v>
      </c>
      <c r="X12">
        <f>index!DN14</f>
        <v>0</v>
      </c>
      <c r="Y12">
        <f>index!DO14</f>
        <v>0</v>
      </c>
      <c r="Z12">
        <f>index!DP14</f>
        <v>116</v>
      </c>
      <c r="AA12">
        <f>index!DQ14</f>
        <v>61</v>
      </c>
      <c r="AB12">
        <f>index!DR14</f>
        <v>25</v>
      </c>
      <c r="AC12">
        <f>index!DS14</f>
        <v>0</v>
      </c>
      <c r="AD12">
        <f>index!DT14</f>
        <v>0</v>
      </c>
      <c r="AE12">
        <f>index!DU14</f>
        <v>86</v>
      </c>
      <c r="AF12">
        <f>index!DV14</f>
        <v>10</v>
      </c>
      <c r="AG12">
        <f>index!DW14</f>
        <v>0</v>
      </c>
      <c r="AH12">
        <f>index!DX14</f>
        <v>0</v>
      </c>
      <c r="AI12">
        <f>index!DY14</f>
        <v>0</v>
      </c>
      <c r="AJ12">
        <f>index!DZ14</f>
        <v>10</v>
      </c>
      <c r="AK12">
        <f>index!EA14</f>
        <v>322</v>
      </c>
      <c r="AL12">
        <f>index!EB14</f>
        <v>13500</v>
      </c>
      <c r="AM12">
        <f>index!EC14</f>
        <v>4266000</v>
      </c>
    </row>
    <row r="13" spans="1:39" x14ac:dyDescent="0.35">
      <c r="A13" t="s">
        <v>33</v>
      </c>
      <c r="B13" s="70">
        <f>index!R13</f>
        <v>0</v>
      </c>
      <c r="C13">
        <f>index!S13</f>
        <v>0</v>
      </c>
      <c r="D13" s="70">
        <f>index!T13</f>
        <v>0</v>
      </c>
      <c r="E13">
        <f>index!U13</f>
        <v>0</v>
      </c>
      <c r="F13" s="70">
        <f>index!V13</f>
        <v>0</v>
      </c>
      <c r="G13">
        <f>index!W13</f>
        <v>0</v>
      </c>
      <c r="H13">
        <f>index!X13</f>
        <v>0</v>
      </c>
      <c r="I13">
        <f>index!Y13</f>
        <v>0</v>
      </c>
      <c r="J13" s="70">
        <f t="shared" si="4"/>
        <v>0</v>
      </c>
      <c r="K13">
        <f t="shared" si="5"/>
        <v>0</v>
      </c>
      <c r="L13">
        <v>20000</v>
      </c>
      <c r="M13">
        <f t="shared" si="6"/>
        <v>0</v>
      </c>
      <c r="N13">
        <f t="shared" si="7"/>
        <v>0</v>
      </c>
      <c r="P13" t="s">
        <v>33</v>
      </c>
      <c r="Q13">
        <f>index!DG15</f>
        <v>0</v>
      </c>
      <c r="R13">
        <f>index!DH15</f>
        <v>0</v>
      </c>
      <c r="S13">
        <f>index!DI15</f>
        <v>0</v>
      </c>
      <c r="T13">
        <f>index!DJ15</f>
        <v>0</v>
      </c>
      <c r="U13">
        <f>index!DK15</f>
        <v>0</v>
      </c>
      <c r="V13">
        <f>index!DL15</f>
        <v>0</v>
      </c>
      <c r="W13">
        <f>index!DM15</f>
        <v>0</v>
      </c>
      <c r="X13">
        <f>index!DN15</f>
        <v>0</v>
      </c>
      <c r="Y13">
        <f>index!DO15</f>
        <v>0</v>
      </c>
      <c r="Z13">
        <f>index!DP15</f>
        <v>0</v>
      </c>
      <c r="AA13">
        <f>index!DQ15</f>
        <v>0</v>
      </c>
      <c r="AB13">
        <f>index!DR15</f>
        <v>0</v>
      </c>
      <c r="AC13">
        <f>index!DS15</f>
        <v>0</v>
      </c>
      <c r="AD13">
        <f>index!DT15</f>
        <v>0</v>
      </c>
      <c r="AE13">
        <f>index!DU15</f>
        <v>0</v>
      </c>
      <c r="AF13">
        <f>index!DV15</f>
        <v>0</v>
      </c>
      <c r="AG13">
        <f>index!DW15</f>
        <v>0</v>
      </c>
      <c r="AH13">
        <f>index!DX15</f>
        <v>0</v>
      </c>
      <c r="AI13">
        <f>index!DY15</f>
        <v>0</v>
      </c>
      <c r="AJ13">
        <f>index!DZ15</f>
        <v>0</v>
      </c>
      <c r="AK13">
        <f>index!EA15</f>
        <v>0</v>
      </c>
      <c r="AL13">
        <f>index!EB15</f>
        <v>20000</v>
      </c>
      <c r="AM13">
        <f>index!EC15</f>
        <v>0</v>
      </c>
    </row>
    <row r="14" spans="1:39" x14ac:dyDescent="0.35">
      <c r="A14" t="s">
        <v>34</v>
      </c>
      <c r="B14" s="70">
        <f>index!R14</f>
        <v>0</v>
      </c>
      <c r="C14">
        <f>index!S14</f>
        <v>33</v>
      </c>
      <c r="D14" s="70">
        <f>index!T14</f>
        <v>0</v>
      </c>
      <c r="E14">
        <f>index!U14</f>
        <v>52</v>
      </c>
      <c r="F14" s="70">
        <f>index!V14</f>
        <v>0</v>
      </c>
      <c r="G14">
        <f>index!W14</f>
        <v>91</v>
      </c>
      <c r="H14">
        <f>index!X14</f>
        <v>0</v>
      </c>
      <c r="I14">
        <f>index!Y14</f>
        <v>107</v>
      </c>
      <c r="J14" s="70">
        <f t="shared" si="4"/>
        <v>0</v>
      </c>
      <c r="K14">
        <f t="shared" si="5"/>
        <v>283</v>
      </c>
      <c r="L14">
        <v>15400</v>
      </c>
      <c r="M14">
        <f t="shared" si="6"/>
        <v>4358200</v>
      </c>
      <c r="N14">
        <f t="shared" si="7"/>
        <v>4358200</v>
      </c>
      <c r="P14" t="s">
        <v>34</v>
      </c>
      <c r="Q14">
        <f>index!DG16</f>
        <v>0</v>
      </c>
      <c r="R14">
        <f>index!DH16</f>
        <v>6</v>
      </c>
      <c r="S14">
        <f>index!DI16</f>
        <v>0</v>
      </c>
      <c r="T14">
        <f>index!DJ16</f>
        <v>0</v>
      </c>
      <c r="U14">
        <f>index!DK16</f>
        <v>6</v>
      </c>
      <c r="V14">
        <f>index!DL16</f>
        <v>19</v>
      </c>
      <c r="W14">
        <f>index!DM16</f>
        <v>0</v>
      </c>
      <c r="X14">
        <f>index!DN16</f>
        <v>0</v>
      </c>
      <c r="Y14">
        <f>index!DO16</f>
        <v>0</v>
      </c>
      <c r="Z14">
        <f>index!DP16</f>
        <v>19</v>
      </c>
      <c r="AA14">
        <f>index!DQ16</f>
        <v>10</v>
      </c>
      <c r="AB14">
        <f>index!DR16</f>
        <v>0</v>
      </c>
      <c r="AC14">
        <f>index!DS16</f>
        <v>0</v>
      </c>
      <c r="AD14">
        <f>index!DT16</f>
        <v>0</v>
      </c>
      <c r="AE14">
        <f>index!DU16</f>
        <v>10</v>
      </c>
      <c r="AF14">
        <f>index!DV16</f>
        <v>0</v>
      </c>
      <c r="AG14">
        <f>index!DW16</f>
        <v>56</v>
      </c>
      <c r="AH14">
        <f>index!DX16</f>
        <v>0</v>
      </c>
      <c r="AI14">
        <f>index!DY16</f>
        <v>0</v>
      </c>
      <c r="AJ14">
        <f>index!DZ16</f>
        <v>56</v>
      </c>
      <c r="AK14">
        <f>index!EA16</f>
        <v>61</v>
      </c>
      <c r="AL14">
        <f>index!EB16</f>
        <v>15400</v>
      </c>
      <c r="AM14">
        <f>index!EC16</f>
        <v>939400</v>
      </c>
    </row>
    <row r="15" spans="1:39" x14ac:dyDescent="0.35">
      <c r="A15" t="s">
        <v>35</v>
      </c>
      <c r="B15" s="70">
        <f>index!R15</f>
        <v>0</v>
      </c>
      <c r="C15">
        <f>index!S15</f>
        <v>12</v>
      </c>
      <c r="D15" s="70">
        <f>index!T15</f>
        <v>0</v>
      </c>
      <c r="E15">
        <f>index!U15</f>
        <v>146</v>
      </c>
      <c r="F15" s="70">
        <f>index!V15</f>
        <v>0</v>
      </c>
      <c r="G15">
        <f>index!W15</f>
        <v>50</v>
      </c>
      <c r="H15">
        <f>index!X15</f>
        <v>10</v>
      </c>
      <c r="I15">
        <f>index!Y15</f>
        <v>60</v>
      </c>
      <c r="J15" s="70">
        <f t="shared" si="4"/>
        <v>10</v>
      </c>
      <c r="K15">
        <f t="shared" si="5"/>
        <v>278</v>
      </c>
      <c r="L15">
        <v>17250</v>
      </c>
      <c r="M15">
        <f t="shared" si="6"/>
        <v>4795500</v>
      </c>
      <c r="N15">
        <f t="shared" si="7"/>
        <v>4795500</v>
      </c>
      <c r="P15" t="s">
        <v>35</v>
      </c>
      <c r="Q15">
        <f>index!DG17</f>
        <v>12</v>
      </c>
      <c r="R15">
        <f>index!DH17</f>
        <v>0</v>
      </c>
      <c r="S15">
        <f>index!DI17</f>
        <v>0</v>
      </c>
      <c r="T15">
        <f>index!DJ17</f>
        <v>0</v>
      </c>
      <c r="U15">
        <f>index!DK17</f>
        <v>12</v>
      </c>
      <c r="V15">
        <f>index!DL17</f>
        <v>76</v>
      </c>
      <c r="W15">
        <f>index!DM17</f>
        <v>70</v>
      </c>
      <c r="X15">
        <f>index!DN17</f>
        <v>0</v>
      </c>
      <c r="Y15">
        <f>index!DO17</f>
        <v>0</v>
      </c>
      <c r="Z15">
        <f>index!DP17</f>
        <v>146</v>
      </c>
      <c r="AA15">
        <f>index!DQ17</f>
        <v>37</v>
      </c>
      <c r="AB15">
        <f>index!DR17</f>
        <v>13</v>
      </c>
      <c r="AC15">
        <f>index!DS17</f>
        <v>0</v>
      </c>
      <c r="AD15">
        <f>index!DT17</f>
        <v>0</v>
      </c>
      <c r="AE15">
        <f>index!DU17</f>
        <v>50</v>
      </c>
      <c r="AF15">
        <f>index!DV17</f>
        <v>30</v>
      </c>
      <c r="AG15">
        <f>index!DW17</f>
        <v>30</v>
      </c>
      <c r="AH15">
        <f>index!DX17</f>
        <v>0</v>
      </c>
      <c r="AI15">
        <f>index!DY17</f>
        <v>0</v>
      </c>
      <c r="AJ15">
        <f>index!DZ17</f>
        <v>60</v>
      </c>
      <c r="AK15">
        <f>index!EA17</f>
        <v>593</v>
      </c>
      <c r="AL15">
        <f>index!EB17</f>
        <v>17250</v>
      </c>
      <c r="AM15">
        <f>index!EC17</f>
        <v>9780750</v>
      </c>
    </row>
    <row r="16" spans="1:39" x14ac:dyDescent="0.35">
      <c r="A16" t="s">
        <v>36</v>
      </c>
      <c r="B16" s="70">
        <f>index!R16</f>
        <v>0</v>
      </c>
      <c r="C16">
        <f>index!S16</f>
        <v>0</v>
      </c>
      <c r="D16" s="70">
        <f>index!T16</f>
        <v>0</v>
      </c>
      <c r="E16">
        <f>index!U16</f>
        <v>34</v>
      </c>
      <c r="F16" s="70">
        <f>index!V16</f>
        <v>0</v>
      </c>
      <c r="G16">
        <f>index!W16</f>
        <v>0</v>
      </c>
      <c r="H16">
        <f>index!X16</f>
        <v>0</v>
      </c>
      <c r="I16">
        <f>index!Y16</f>
        <v>3</v>
      </c>
      <c r="J16" s="70">
        <f t="shared" si="4"/>
        <v>0</v>
      </c>
      <c r="K16">
        <f t="shared" si="5"/>
        <v>37</v>
      </c>
      <c r="L16">
        <v>23800</v>
      </c>
      <c r="M16">
        <f t="shared" si="6"/>
        <v>880600</v>
      </c>
      <c r="N16">
        <f t="shared" si="7"/>
        <v>880600</v>
      </c>
      <c r="P16" t="s">
        <v>36</v>
      </c>
      <c r="Q16">
        <f>index!DG18</f>
        <v>0</v>
      </c>
      <c r="R16">
        <f>index!DH18</f>
        <v>0</v>
      </c>
      <c r="S16">
        <f>index!DI18</f>
        <v>0</v>
      </c>
      <c r="T16">
        <f>index!DJ18</f>
        <v>0</v>
      </c>
      <c r="U16">
        <f>index!DK18</f>
        <v>0</v>
      </c>
      <c r="V16">
        <f>index!DL18</f>
        <v>15</v>
      </c>
      <c r="W16">
        <f>index!DM18</f>
        <v>19</v>
      </c>
      <c r="X16">
        <f>index!DN18</f>
        <v>0</v>
      </c>
      <c r="Y16">
        <f>index!DO18</f>
        <v>0</v>
      </c>
      <c r="Z16">
        <f>index!DP18</f>
        <v>34</v>
      </c>
      <c r="AA16">
        <f>index!DQ18</f>
        <v>0</v>
      </c>
      <c r="AB16">
        <f>index!DR18</f>
        <v>0</v>
      </c>
      <c r="AC16">
        <f>index!DS18</f>
        <v>0</v>
      </c>
      <c r="AD16">
        <f>index!DT18</f>
        <v>0</v>
      </c>
      <c r="AE16">
        <f>index!DU18</f>
        <v>0</v>
      </c>
      <c r="AF16">
        <f>index!DV18</f>
        <v>0</v>
      </c>
      <c r="AG16">
        <f>index!DW18</f>
        <v>3</v>
      </c>
      <c r="AH16">
        <f>index!DX18</f>
        <v>0</v>
      </c>
      <c r="AI16">
        <f>index!DY18</f>
        <v>0</v>
      </c>
      <c r="AJ16">
        <f>index!DZ18</f>
        <v>3</v>
      </c>
      <c r="AK16">
        <f>index!EA18</f>
        <v>140</v>
      </c>
      <c r="AL16">
        <f>index!EB18</f>
        <v>23800</v>
      </c>
      <c r="AM16">
        <f>index!EC18</f>
        <v>3332000</v>
      </c>
    </row>
    <row r="17" spans="1:39" x14ac:dyDescent="0.35">
      <c r="A17" t="s">
        <v>15</v>
      </c>
      <c r="B17" s="70">
        <f>index!R17</f>
        <v>0</v>
      </c>
      <c r="C17">
        <f>index!S17</f>
        <v>0</v>
      </c>
      <c r="D17" s="70">
        <f>index!T17</f>
        <v>0</v>
      </c>
      <c r="E17">
        <f>index!U17</f>
        <v>21</v>
      </c>
      <c r="F17" s="70">
        <f>index!V17</f>
        <v>0</v>
      </c>
      <c r="G17">
        <f>index!W17</f>
        <v>6</v>
      </c>
      <c r="H17">
        <f>index!X17</f>
        <v>0</v>
      </c>
      <c r="I17">
        <f>index!Y17</f>
        <v>0</v>
      </c>
      <c r="J17" s="70">
        <f t="shared" si="4"/>
        <v>0</v>
      </c>
      <c r="K17">
        <f t="shared" si="5"/>
        <v>27</v>
      </c>
      <c r="L17">
        <v>30000</v>
      </c>
      <c r="M17">
        <f t="shared" si="6"/>
        <v>810000</v>
      </c>
      <c r="N17">
        <f t="shared" si="7"/>
        <v>810000</v>
      </c>
      <c r="P17" t="s">
        <v>15</v>
      </c>
      <c r="Q17">
        <f>index!DG19</f>
        <v>0</v>
      </c>
      <c r="R17">
        <f>index!DH19</f>
        <v>0</v>
      </c>
      <c r="S17">
        <f>index!DI19</f>
        <v>0</v>
      </c>
      <c r="T17">
        <f>index!DJ19</f>
        <v>0</v>
      </c>
      <c r="U17">
        <f>index!DK19</f>
        <v>0</v>
      </c>
      <c r="V17">
        <f>index!DL19</f>
        <v>16</v>
      </c>
      <c r="W17">
        <f>index!DM19</f>
        <v>5</v>
      </c>
      <c r="X17">
        <f>index!DN19</f>
        <v>0</v>
      </c>
      <c r="Y17">
        <f>index!DO19</f>
        <v>0</v>
      </c>
      <c r="Z17">
        <f>index!DP19</f>
        <v>21</v>
      </c>
      <c r="AA17">
        <f>index!DQ19</f>
        <v>6</v>
      </c>
      <c r="AB17">
        <f>index!DR19</f>
        <v>0</v>
      </c>
      <c r="AC17">
        <f>index!DS19</f>
        <v>0</v>
      </c>
      <c r="AD17">
        <f>index!DT19</f>
        <v>0</v>
      </c>
      <c r="AE17">
        <f>index!DU19</f>
        <v>6</v>
      </c>
      <c r="AF17">
        <f>index!DV19</f>
        <v>0</v>
      </c>
      <c r="AG17">
        <f>index!DW19</f>
        <v>0</v>
      </c>
      <c r="AH17">
        <f>index!DX19</f>
        <v>0</v>
      </c>
      <c r="AI17">
        <f>index!DY19</f>
        <v>0</v>
      </c>
      <c r="AJ17">
        <f>index!DZ19</f>
        <v>0</v>
      </c>
      <c r="AK17">
        <f>index!EA19</f>
        <v>41</v>
      </c>
      <c r="AL17">
        <f>index!EB19</f>
        <v>30000</v>
      </c>
      <c r="AM17">
        <f>index!EC19</f>
        <v>1230000</v>
      </c>
    </row>
    <row r="18" spans="1:39" x14ac:dyDescent="0.35">
      <c r="A18" t="s">
        <v>16</v>
      </c>
      <c r="B18" s="70">
        <f>index!R18</f>
        <v>0</v>
      </c>
      <c r="C18">
        <f>index!S18</f>
        <v>114</v>
      </c>
      <c r="D18" s="70">
        <f>index!T18</f>
        <v>0</v>
      </c>
      <c r="E18">
        <f>index!U18</f>
        <v>135</v>
      </c>
      <c r="F18" s="70">
        <f>index!V18</f>
        <v>0</v>
      </c>
      <c r="G18">
        <f>index!W18</f>
        <v>105</v>
      </c>
      <c r="H18">
        <f>index!X18</f>
        <v>0</v>
      </c>
      <c r="I18">
        <f>index!Y18</f>
        <v>63</v>
      </c>
      <c r="J18" s="70">
        <f t="shared" si="4"/>
        <v>0</v>
      </c>
      <c r="K18">
        <f t="shared" si="5"/>
        <v>417</v>
      </c>
      <c r="L18">
        <v>6900</v>
      </c>
      <c r="M18">
        <f t="shared" si="6"/>
        <v>2877300</v>
      </c>
      <c r="N18">
        <f t="shared" si="7"/>
        <v>2877300</v>
      </c>
      <c r="P18" t="s">
        <v>16</v>
      </c>
      <c r="Q18">
        <f>index!DG20</f>
        <v>0</v>
      </c>
      <c r="R18">
        <f>index!DH20</f>
        <v>0</v>
      </c>
      <c r="S18">
        <f>index!DI20</f>
        <v>0</v>
      </c>
      <c r="T18">
        <f>index!DJ20</f>
        <v>0</v>
      </c>
      <c r="U18">
        <f>index!DK20</f>
        <v>0</v>
      </c>
      <c r="V18">
        <f>index!DL20</f>
        <v>0</v>
      </c>
      <c r="W18">
        <f>index!DM20</f>
        <v>0</v>
      </c>
      <c r="X18">
        <f>index!DN20</f>
        <v>0</v>
      </c>
      <c r="Y18">
        <f>index!DO20</f>
        <v>0</v>
      </c>
      <c r="Z18">
        <f>index!DP20</f>
        <v>0</v>
      </c>
      <c r="AA18">
        <f>index!DQ20</f>
        <v>0</v>
      </c>
      <c r="AB18">
        <f>index!DR20</f>
        <v>0</v>
      </c>
      <c r="AC18">
        <f>index!DS20</f>
        <v>0</v>
      </c>
      <c r="AD18">
        <f>index!DT20</f>
        <v>0</v>
      </c>
      <c r="AE18">
        <f>index!DU20</f>
        <v>0</v>
      </c>
      <c r="AF18">
        <f>index!DV20</f>
        <v>0</v>
      </c>
      <c r="AG18">
        <f>index!DW20</f>
        <v>0</v>
      </c>
      <c r="AH18">
        <f>index!DX20</f>
        <v>0</v>
      </c>
      <c r="AI18">
        <f>index!DY20</f>
        <v>0</v>
      </c>
      <c r="AJ18">
        <f>index!DZ20</f>
        <v>0</v>
      </c>
      <c r="AK18">
        <f>index!EA20</f>
        <v>0</v>
      </c>
      <c r="AL18">
        <f>index!EB20</f>
        <v>6900</v>
      </c>
      <c r="AM18">
        <f>index!EC20</f>
        <v>0</v>
      </c>
    </row>
    <row r="19" spans="1:39" x14ac:dyDescent="0.35">
      <c r="A19" t="s">
        <v>17</v>
      </c>
      <c r="B19" s="70">
        <f>index!R19</f>
        <v>0</v>
      </c>
      <c r="C19">
        <f>index!S19</f>
        <v>0</v>
      </c>
      <c r="D19" s="70">
        <f>index!T19</f>
        <v>0</v>
      </c>
      <c r="E19">
        <f>index!U19</f>
        <v>0</v>
      </c>
      <c r="F19" s="70">
        <f>index!V19</f>
        <v>0</v>
      </c>
      <c r="G19">
        <f>index!W19</f>
        <v>0</v>
      </c>
      <c r="H19">
        <f>index!X19</f>
        <v>0</v>
      </c>
      <c r="I19">
        <f>index!Y19</f>
        <v>0</v>
      </c>
      <c r="J19" s="70">
        <f t="shared" si="4"/>
        <v>0</v>
      </c>
      <c r="K19">
        <f t="shared" si="5"/>
        <v>0</v>
      </c>
      <c r="L19">
        <v>7000</v>
      </c>
      <c r="M19">
        <f t="shared" si="6"/>
        <v>0</v>
      </c>
      <c r="N19">
        <f t="shared" si="7"/>
        <v>0</v>
      </c>
      <c r="P19" t="s">
        <v>17</v>
      </c>
      <c r="Q19">
        <f>index!DG21</f>
        <v>0</v>
      </c>
      <c r="R19">
        <f>index!DH21</f>
        <v>0</v>
      </c>
      <c r="S19">
        <f>index!DI21</f>
        <v>0</v>
      </c>
      <c r="T19">
        <f>index!DJ21</f>
        <v>0</v>
      </c>
      <c r="U19">
        <f>index!DK21</f>
        <v>0</v>
      </c>
      <c r="V19">
        <f>index!DL21</f>
        <v>0</v>
      </c>
      <c r="W19">
        <f>index!DM21</f>
        <v>0</v>
      </c>
      <c r="X19">
        <f>index!DN21</f>
        <v>0</v>
      </c>
      <c r="Y19">
        <f>index!DO21</f>
        <v>0</v>
      </c>
      <c r="Z19">
        <f>index!DP21</f>
        <v>0</v>
      </c>
      <c r="AA19">
        <f>index!DQ21</f>
        <v>0</v>
      </c>
      <c r="AB19">
        <f>index!DR21</f>
        <v>0</v>
      </c>
      <c r="AC19">
        <f>index!DS21</f>
        <v>0</v>
      </c>
      <c r="AD19">
        <f>index!DT21</f>
        <v>0</v>
      </c>
      <c r="AE19">
        <f>index!DU21</f>
        <v>0</v>
      </c>
      <c r="AF19">
        <f>index!DV21</f>
        <v>0</v>
      </c>
      <c r="AG19">
        <f>index!DW21</f>
        <v>0</v>
      </c>
      <c r="AH19">
        <f>index!DX21</f>
        <v>0</v>
      </c>
      <c r="AI19">
        <f>index!DY21</f>
        <v>0</v>
      </c>
      <c r="AJ19">
        <f>index!DZ21</f>
        <v>0</v>
      </c>
      <c r="AK19">
        <f>index!EA21</f>
        <v>1</v>
      </c>
      <c r="AL19">
        <f>index!EB21</f>
        <v>7000</v>
      </c>
      <c r="AM19">
        <f>index!EC21</f>
        <v>7000</v>
      </c>
    </row>
    <row r="20" spans="1:39" x14ac:dyDescent="0.35">
      <c r="A20" t="s">
        <v>18</v>
      </c>
      <c r="B20" s="70">
        <f>index!R20</f>
        <v>0</v>
      </c>
      <c r="C20">
        <f>index!S20</f>
        <v>0</v>
      </c>
      <c r="D20" s="70">
        <f>index!T20</f>
        <v>0</v>
      </c>
      <c r="E20">
        <f>index!U20</f>
        <v>31</v>
      </c>
      <c r="F20" s="70">
        <f>index!V20</f>
        <v>0</v>
      </c>
      <c r="G20">
        <f>index!W20</f>
        <v>6</v>
      </c>
      <c r="H20">
        <f>index!X20</f>
        <v>0</v>
      </c>
      <c r="I20">
        <f>index!Y20</f>
        <v>0</v>
      </c>
      <c r="J20" s="70">
        <f t="shared" si="4"/>
        <v>0</v>
      </c>
      <c r="K20">
        <f t="shared" si="5"/>
        <v>37</v>
      </c>
      <c r="L20">
        <v>12000</v>
      </c>
      <c r="M20">
        <f t="shared" si="6"/>
        <v>444000</v>
      </c>
      <c r="N20">
        <f t="shared" si="7"/>
        <v>444000</v>
      </c>
      <c r="P20" t="s">
        <v>18</v>
      </c>
      <c r="Q20">
        <f>index!DG22</f>
        <v>0</v>
      </c>
      <c r="R20">
        <f>index!DH22</f>
        <v>0</v>
      </c>
      <c r="S20">
        <f>index!DI22</f>
        <v>0</v>
      </c>
      <c r="T20">
        <f>index!DJ22</f>
        <v>0</v>
      </c>
      <c r="U20">
        <f>index!DK22</f>
        <v>0</v>
      </c>
      <c r="V20">
        <f>index!DL22</f>
        <v>31</v>
      </c>
      <c r="W20">
        <f>index!DM22</f>
        <v>0</v>
      </c>
      <c r="X20">
        <f>index!DN22</f>
        <v>0</v>
      </c>
      <c r="Y20">
        <f>index!DO22</f>
        <v>0</v>
      </c>
      <c r="Z20">
        <f>index!DP22</f>
        <v>31</v>
      </c>
      <c r="AA20">
        <f>index!DQ22</f>
        <v>6</v>
      </c>
      <c r="AB20">
        <f>index!DR22</f>
        <v>0</v>
      </c>
      <c r="AC20">
        <f>index!DS22</f>
        <v>0</v>
      </c>
      <c r="AD20">
        <f>index!DT22</f>
        <v>0</v>
      </c>
      <c r="AE20">
        <f>index!DU22</f>
        <v>6</v>
      </c>
      <c r="AF20">
        <f>index!DV22</f>
        <v>0</v>
      </c>
      <c r="AG20">
        <f>index!DW22</f>
        <v>0</v>
      </c>
      <c r="AH20">
        <f>index!DX22</f>
        <v>0</v>
      </c>
      <c r="AI20">
        <f>index!DY22</f>
        <v>0</v>
      </c>
      <c r="AJ20">
        <f>index!DZ22</f>
        <v>0</v>
      </c>
      <c r="AK20">
        <f>index!EA22</f>
        <v>56</v>
      </c>
      <c r="AL20">
        <f>index!EB22</f>
        <v>12000</v>
      </c>
      <c r="AM20">
        <f>index!EC22</f>
        <v>672000</v>
      </c>
    </row>
    <row r="21" spans="1:39" x14ac:dyDescent="0.35">
      <c r="A21" t="s">
        <v>19</v>
      </c>
      <c r="B21" s="70">
        <f>index!R21</f>
        <v>0</v>
      </c>
      <c r="C21">
        <f>index!S21</f>
        <v>65</v>
      </c>
      <c r="D21" s="70">
        <f>index!T21</f>
        <v>10</v>
      </c>
      <c r="E21">
        <f>index!U21</f>
        <v>76</v>
      </c>
      <c r="F21" s="70">
        <f>index!V21</f>
        <v>4</v>
      </c>
      <c r="G21">
        <f>index!W21</f>
        <v>42</v>
      </c>
      <c r="H21">
        <f>index!X21</f>
        <v>0</v>
      </c>
      <c r="I21">
        <f>index!Y21</f>
        <v>27</v>
      </c>
      <c r="J21" s="70">
        <f t="shared" si="4"/>
        <v>14</v>
      </c>
      <c r="K21">
        <f t="shared" si="5"/>
        <v>224</v>
      </c>
      <c r="L21">
        <v>9600</v>
      </c>
      <c r="M21">
        <f t="shared" si="6"/>
        <v>2150400</v>
      </c>
      <c r="N21">
        <f t="shared" si="7"/>
        <v>2150400</v>
      </c>
      <c r="P21" t="s">
        <v>19</v>
      </c>
      <c r="Q21">
        <f>index!DG23</f>
        <v>30</v>
      </c>
      <c r="R21">
        <f>index!DH23</f>
        <v>35</v>
      </c>
      <c r="S21">
        <f>index!DI23</f>
        <v>0</v>
      </c>
      <c r="T21">
        <f>index!DJ23</f>
        <v>0</v>
      </c>
      <c r="U21">
        <f>index!DK23</f>
        <v>65</v>
      </c>
      <c r="V21">
        <f>index!DL23</f>
        <v>13</v>
      </c>
      <c r="W21">
        <f>index!DM23</f>
        <v>63</v>
      </c>
      <c r="X21">
        <f>index!DN23</f>
        <v>0</v>
      </c>
      <c r="Y21">
        <f>index!DO23</f>
        <v>0</v>
      </c>
      <c r="Z21">
        <f>index!DP23</f>
        <v>76</v>
      </c>
      <c r="AA21">
        <f>index!DQ23</f>
        <v>35</v>
      </c>
      <c r="AB21">
        <f>index!DR23</f>
        <v>7</v>
      </c>
      <c r="AC21">
        <f>index!DS23</f>
        <v>0</v>
      </c>
      <c r="AD21">
        <f>index!DT23</f>
        <v>0</v>
      </c>
      <c r="AE21">
        <f>index!DU23</f>
        <v>42</v>
      </c>
      <c r="AF21">
        <f>index!DV23</f>
        <v>12</v>
      </c>
      <c r="AG21">
        <f>index!DW23</f>
        <v>15</v>
      </c>
      <c r="AH21">
        <f>index!DX23</f>
        <v>0</v>
      </c>
      <c r="AI21">
        <f>index!DY23</f>
        <v>0</v>
      </c>
      <c r="AJ21">
        <f>index!DZ23</f>
        <v>27</v>
      </c>
      <c r="AK21">
        <f>index!EA23</f>
        <v>434</v>
      </c>
      <c r="AL21">
        <f>index!EB23</f>
        <v>9600</v>
      </c>
      <c r="AM21">
        <f>index!EC23</f>
        <v>4070400</v>
      </c>
    </row>
    <row r="22" spans="1:39" x14ac:dyDescent="0.35">
      <c r="A22" t="s">
        <v>20</v>
      </c>
      <c r="B22" s="70">
        <f>index!R22</f>
        <v>0</v>
      </c>
      <c r="C22">
        <f>index!S22</f>
        <v>0</v>
      </c>
      <c r="D22" s="70">
        <f>index!T22</f>
        <v>0</v>
      </c>
      <c r="E22">
        <f>index!U22</f>
        <v>4</v>
      </c>
      <c r="F22" s="70">
        <f>index!V22</f>
        <v>0</v>
      </c>
      <c r="G22">
        <f>index!W22</f>
        <v>0</v>
      </c>
      <c r="H22">
        <f>index!X22</f>
        <v>0</v>
      </c>
      <c r="I22">
        <f>index!Y22</f>
        <v>1</v>
      </c>
      <c r="J22" s="70">
        <f t="shared" si="4"/>
        <v>0</v>
      </c>
      <c r="K22">
        <f t="shared" si="5"/>
        <v>5</v>
      </c>
      <c r="L22">
        <v>13200</v>
      </c>
      <c r="M22">
        <f t="shared" si="6"/>
        <v>66000</v>
      </c>
      <c r="N22">
        <f t="shared" si="7"/>
        <v>66000</v>
      </c>
      <c r="P22" t="s">
        <v>20</v>
      </c>
      <c r="Q22">
        <f>index!DG24</f>
        <v>0</v>
      </c>
      <c r="R22">
        <f>index!DH24</f>
        <v>0</v>
      </c>
      <c r="S22">
        <f>index!DI24</f>
        <v>0</v>
      </c>
      <c r="T22">
        <f>index!DJ24</f>
        <v>0</v>
      </c>
      <c r="U22">
        <f>index!DK24</f>
        <v>0</v>
      </c>
      <c r="V22">
        <f>index!DL24</f>
        <v>0</v>
      </c>
      <c r="W22">
        <f>index!DM24</f>
        <v>4</v>
      </c>
      <c r="X22">
        <f>index!DN24</f>
        <v>0</v>
      </c>
      <c r="Y22">
        <f>index!DO24</f>
        <v>0</v>
      </c>
      <c r="Z22">
        <f>index!DP24</f>
        <v>4</v>
      </c>
      <c r="AA22">
        <f>index!DQ24</f>
        <v>0</v>
      </c>
      <c r="AB22">
        <f>index!DR24</f>
        <v>0</v>
      </c>
      <c r="AC22">
        <f>index!DS24</f>
        <v>0</v>
      </c>
      <c r="AD22">
        <f>index!DT24</f>
        <v>0</v>
      </c>
      <c r="AE22">
        <f>index!DU24</f>
        <v>0</v>
      </c>
      <c r="AF22">
        <f>index!DV24</f>
        <v>0</v>
      </c>
      <c r="AG22">
        <f>index!DW24</f>
        <v>1</v>
      </c>
      <c r="AH22">
        <f>index!DX24</f>
        <v>0</v>
      </c>
      <c r="AI22">
        <f>index!DY24</f>
        <v>0</v>
      </c>
      <c r="AJ22">
        <f>index!DZ24</f>
        <v>1</v>
      </c>
      <c r="AK22">
        <f>index!EA24</f>
        <v>0</v>
      </c>
      <c r="AL22">
        <f>index!EB24</f>
        <v>13200</v>
      </c>
      <c r="AM22">
        <f>index!EC24</f>
        <v>0</v>
      </c>
    </row>
    <row r="23" spans="1:39" x14ac:dyDescent="0.35">
      <c r="A23" t="s">
        <v>50</v>
      </c>
      <c r="B23" s="70">
        <f>SUM(B10:B22)</f>
        <v>0</v>
      </c>
      <c r="C23">
        <f>SUM(C10:C22)</f>
        <v>561</v>
      </c>
      <c r="D23" s="70">
        <f>SUM(D10:D22)</f>
        <v>10</v>
      </c>
      <c r="E23">
        <f t="shared" ref="E23:N23" si="8">SUM(E10:E22)</f>
        <v>1371</v>
      </c>
      <c r="F23" s="70">
        <f>SUM(F10:F22)</f>
        <v>7</v>
      </c>
      <c r="G23">
        <f t="shared" si="8"/>
        <v>645</v>
      </c>
      <c r="H23">
        <f>SUM(H10:H22)</f>
        <v>10</v>
      </c>
      <c r="I23">
        <f t="shared" si="8"/>
        <v>887</v>
      </c>
      <c r="J23" s="70">
        <f>SUM(J10:J22)</f>
        <v>27</v>
      </c>
      <c r="K23">
        <f t="shared" si="8"/>
        <v>3491</v>
      </c>
      <c r="M23">
        <f>SUM(M10:M22)</f>
        <v>25368200</v>
      </c>
      <c r="N23">
        <f t="shared" si="8"/>
        <v>25368200</v>
      </c>
      <c r="P23" t="s">
        <v>50</v>
      </c>
      <c r="Q23">
        <f>index!DG25</f>
        <v>132</v>
      </c>
      <c r="R23">
        <f>index!DH25</f>
        <v>162</v>
      </c>
      <c r="S23">
        <f>index!DI25</f>
        <v>120</v>
      </c>
      <c r="T23">
        <f>index!DJ25</f>
        <v>0</v>
      </c>
      <c r="U23">
        <f>index!DK25</f>
        <v>414</v>
      </c>
      <c r="V23">
        <f>index!DL25</f>
        <v>149</v>
      </c>
      <c r="W23">
        <f>index!DM25</f>
        <v>191</v>
      </c>
      <c r="X23">
        <f>index!DN25</f>
        <v>231</v>
      </c>
      <c r="Y23">
        <f>index!DO25</f>
        <v>0</v>
      </c>
      <c r="Z23">
        <f>index!DP25</f>
        <v>571</v>
      </c>
      <c r="AA23">
        <f>index!DQ25</f>
        <v>95</v>
      </c>
      <c r="AB23">
        <f>index!DR25</f>
        <v>191</v>
      </c>
      <c r="AC23">
        <f>index!DS25</f>
        <v>231</v>
      </c>
      <c r="AD23">
        <f>index!DT25</f>
        <v>0</v>
      </c>
      <c r="AE23">
        <f>index!DU25</f>
        <v>517</v>
      </c>
      <c r="AF23">
        <f>index!DV25</f>
        <v>80</v>
      </c>
      <c r="AG23">
        <f>index!DW25</f>
        <v>88</v>
      </c>
      <c r="AH23">
        <f>index!DX25</f>
        <v>121</v>
      </c>
      <c r="AI23">
        <f>index!DY25</f>
        <v>0</v>
      </c>
      <c r="AJ23">
        <f>index!DZ25</f>
        <v>289</v>
      </c>
      <c r="AK23">
        <f>index!EA25</f>
        <v>1791</v>
      </c>
      <c r="AL23">
        <f>index!EB25</f>
        <v>0</v>
      </c>
      <c r="AM23">
        <f>index!EC25</f>
        <v>31311900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1183-B6CD-4DBC-9962-CF06051A507E}">
  <dimension ref="A1:L250"/>
  <sheetViews>
    <sheetView topLeftCell="G385" workbookViewId="0">
      <selection sqref="A1:B1"/>
    </sheetView>
  </sheetViews>
  <sheetFormatPr defaultRowHeight="14.5" x14ac:dyDescent="0.35"/>
  <cols>
    <col min="1" max="1" width="3.7265625" bestFit="1" customWidth="1"/>
    <col min="2" max="2" width="19.7265625" bestFit="1" customWidth="1"/>
    <col min="3" max="3" width="7.81640625" bestFit="1" customWidth="1"/>
    <col min="4" max="4" width="15.7265625" bestFit="1" customWidth="1"/>
    <col min="5" max="5" width="9.453125" bestFit="1" customWidth="1"/>
    <col min="6" max="6" width="18.81640625" bestFit="1" customWidth="1"/>
    <col min="7" max="7" width="19.7265625" bestFit="1" customWidth="1"/>
    <col min="8" max="8" width="5.08984375" bestFit="1" customWidth="1"/>
    <col min="9" max="11" width="9.6328125" bestFit="1" customWidth="1"/>
    <col min="12" max="12" width="8.7265625" bestFit="1" customWidth="1"/>
  </cols>
  <sheetData>
    <row r="1" spans="1:12" s="46" customFormat="1" ht="19.5" customHeight="1" x14ac:dyDescent="0.35">
      <c r="A1" s="34" t="s">
        <v>85</v>
      </c>
      <c r="B1" s="45" t="s">
        <v>86</v>
      </c>
      <c r="C1" s="37" t="s">
        <v>87</v>
      </c>
      <c r="D1" s="34" t="s">
        <v>88</v>
      </c>
      <c r="E1" s="35" t="s">
        <v>89</v>
      </c>
      <c r="F1" s="36" t="s">
        <v>90</v>
      </c>
      <c r="G1" s="35" t="s">
        <v>51</v>
      </c>
      <c r="H1" s="37" t="s">
        <v>91</v>
      </c>
      <c r="I1" s="38" t="s">
        <v>92</v>
      </c>
      <c r="J1" s="38" t="s">
        <v>93</v>
      </c>
      <c r="K1" s="38" t="s">
        <v>94</v>
      </c>
      <c r="L1" s="38" t="s">
        <v>95</v>
      </c>
    </row>
    <row r="2" spans="1:12" x14ac:dyDescent="0.35">
      <c r="A2" s="39">
        <v>1</v>
      </c>
      <c r="B2" s="40">
        <f>index!AP3</f>
        <v>46204</v>
      </c>
      <c r="C2" s="41" t="str">
        <f>index!AQ3</f>
        <v>GOL</v>
      </c>
      <c r="D2" s="42" t="str">
        <f>index!AR3</f>
        <v>MC-SAGARANTEN</v>
      </c>
      <c r="E2" s="31">
        <f>index!AS3</f>
        <v>17190542</v>
      </c>
      <c r="F2" s="31" t="str">
        <f>index!AT3</f>
        <v>BERKAH CELLULAR</v>
      </c>
      <c r="G2" s="43" t="str">
        <f>index!AU3</f>
        <v>Muhamad Parhan</v>
      </c>
      <c r="H2" s="6">
        <f>index!AV3</f>
        <v>10</v>
      </c>
      <c r="I2" s="44">
        <f>index!BO3</f>
        <v>750000</v>
      </c>
      <c r="J2" s="44">
        <f>index!BR3</f>
        <v>750000</v>
      </c>
      <c r="K2" s="44">
        <f>index!BT3</f>
        <v>0</v>
      </c>
      <c r="L2" s="40">
        <f>index!BU3</f>
        <v>46205</v>
      </c>
    </row>
    <row r="3" spans="1:12" x14ac:dyDescent="0.35">
      <c r="A3" s="39">
        <v>2</v>
      </c>
      <c r="B3" s="40">
        <f>index!AP4</f>
        <v>46204</v>
      </c>
      <c r="C3" s="41" t="str">
        <f>index!AQ4</f>
        <v>GOL</v>
      </c>
      <c r="D3" s="42" t="str">
        <f>index!AR4</f>
        <v>MC-SAGARANTEN</v>
      </c>
      <c r="E3" s="31">
        <f>index!AS4</f>
        <v>17187147</v>
      </c>
      <c r="F3" s="31" t="str">
        <f>index!AT4</f>
        <v>Nazila cell</v>
      </c>
      <c r="G3" s="43" t="str">
        <f>index!AU4</f>
        <v>M. Enden Abdul Latif</v>
      </c>
      <c r="H3" s="6">
        <f>index!AV4</f>
        <v>5</v>
      </c>
      <c r="I3" s="44">
        <f>index!BO4</f>
        <v>375000</v>
      </c>
      <c r="J3" s="44">
        <f>index!BR4</f>
        <v>375000</v>
      </c>
      <c r="K3" s="44">
        <f>index!BT4</f>
        <v>0</v>
      </c>
      <c r="L3" s="40">
        <f>index!BU4</f>
        <v>46205</v>
      </c>
    </row>
    <row r="4" spans="1:12" x14ac:dyDescent="0.35">
      <c r="A4" s="39">
        <v>3</v>
      </c>
      <c r="B4" s="40">
        <f>index!AP5</f>
        <v>46204</v>
      </c>
      <c r="C4" s="41" t="str">
        <f>index!AQ5</f>
        <v>GOL</v>
      </c>
      <c r="D4" s="42" t="str">
        <f>index!AR5</f>
        <v>MC-SAGARANTEN</v>
      </c>
      <c r="E4" s="31">
        <f>index!AS5</f>
        <v>1287387</v>
      </c>
      <c r="F4" s="31" t="str">
        <f>index!AT5</f>
        <v>DEAN CLL</v>
      </c>
      <c r="G4" s="43" t="str">
        <f>index!AU5</f>
        <v>Pebrian Sahri Ramdani</v>
      </c>
      <c r="H4" s="6">
        <f>index!AV5</f>
        <v>4</v>
      </c>
      <c r="I4" s="44">
        <f>index!BO5</f>
        <v>300000</v>
      </c>
      <c r="J4" s="44">
        <f>index!BR5</f>
        <v>300000</v>
      </c>
      <c r="K4" s="44">
        <f>index!BT5</f>
        <v>0</v>
      </c>
      <c r="L4" s="40">
        <f>index!BU5</f>
        <v>46205</v>
      </c>
    </row>
    <row r="5" spans="1:12" x14ac:dyDescent="0.35">
      <c r="A5" s="39">
        <v>4</v>
      </c>
      <c r="B5" s="40">
        <f>index!AP6</f>
        <v>46205</v>
      </c>
      <c r="C5" s="41" t="str">
        <f>index!AQ6</f>
        <v>GOL</v>
      </c>
      <c r="D5" s="42" t="str">
        <f>index!AR6</f>
        <v>MC-SAGARANTEN</v>
      </c>
      <c r="E5" s="31">
        <f>index!AS6</f>
        <v>17288556</v>
      </c>
      <c r="F5" s="31" t="str">
        <f>index!AT6</f>
        <v>M luthvi Qolbi</v>
      </c>
      <c r="G5" s="43" t="str">
        <f>index!AU6</f>
        <v>M. Enden Abdul Latif</v>
      </c>
      <c r="H5" s="6">
        <f>index!AV6</f>
        <v>23</v>
      </c>
      <c r="I5" s="44">
        <f>index!BO6</f>
        <v>1725000</v>
      </c>
      <c r="J5" s="44">
        <f>index!BR6</f>
        <v>1725000</v>
      </c>
      <c r="K5" s="44">
        <f>index!BT6</f>
        <v>0</v>
      </c>
      <c r="L5" s="40">
        <f>index!BU6</f>
        <v>46206</v>
      </c>
    </row>
    <row r="6" spans="1:12" x14ac:dyDescent="0.35">
      <c r="A6" s="39">
        <v>5</v>
      </c>
      <c r="B6" s="40">
        <f>index!AP7</f>
        <v>46205</v>
      </c>
      <c r="C6" s="41" t="str">
        <f>index!AQ7</f>
        <v>GOL</v>
      </c>
      <c r="D6" s="42" t="str">
        <f>index!AR7</f>
        <v>MC-SAGARANTEN</v>
      </c>
      <c r="E6" s="31">
        <f>index!AS7</f>
        <v>17779453</v>
      </c>
      <c r="F6" s="31" t="str">
        <f>index!AT7</f>
        <v>ABAY CELL</v>
      </c>
      <c r="G6" s="43" t="str">
        <f>index!AU7</f>
        <v>Muhamad Parhan</v>
      </c>
      <c r="H6" s="6">
        <f>index!AV7</f>
        <v>10</v>
      </c>
      <c r="I6" s="44">
        <f>index!BO7</f>
        <v>750000</v>
      </c>
      <c r="J6" s="44">
        <f>index!BR7</f>
        <v>750000</v>
      </c>
      <c r="K6" s="44">
        <f>index!BT7</f>
        <v>0</v>
      </c>
      <c r="L6" s="40">
        <f>index!BU7</f>
        <v>46206</v>
      </c>
    </row>
    <row r="7" spans="1:12" x14ac:dyDescent="0.35">
      <c r="A7" s="39">
        <v>6</v>
      </c>
      <c r="B7" s="40">
        <f>index!AP8</f>
        <v>46205</v>
      </c>
      <c r="C7" s="41" t="str">
        <f>index!AQ8</f>
        <v>GOL</v>
      </c>
      <c r="D7" s="42" t="str">
        <f>index!AR8</f>
        <v>MC-SAGARANTEN</v>
      </c>
      <c r="E7" s="31">
        <f>index!AS8</f>
        <v>1555825</v>
      </c>
      <c r="F7" s="31" t="str">
        <f>index!AT8</f>
        <v>SILVI CELL</v>
      </c>
      <c r="G7" s="43" t="str">
        <f>index!AU8</f>
        <v>Pebrian Sahri Ramdani</v>
      </c>
      <c r="H7" s="6">
        <f>index!AV8</f>
        <v>7</v>
      </c>
      <c r="I7" s="44">
        <f>index!BO8</f>
        <v>525000</v>
      </c>
      <c r="J7" s="44">
        <f>index!BR8</f>
        <v>525000</v>
      </c>
      <c r="K7" s="44">
        <f>index!BT8</f>
        <v>0</v>
      </c>
      <c r="L7" s="40">
        <f>index!BU8</f>
        <v>46206</v>
      </c>
    </row>
    <row r="8" spans="1:12" x14ac:dyDescent="0.35">
      <c r="A8" s="39">
        <v>7</v>
      </c>
      <c r="B8" s="40">
        <f>index!AP9</f>
        <v>46207</v>
      </c>
      <c r="C8" s="41" t="str">
        <f>index!AQ9</f>
        <v>GOL</v>
      </c>
      <c r="D8" s="42" t="str">
        <f>index!AR9</f>
        <v>MC-SAGARANTEN</v>
      </c>
      <c r="E8" s="31">
        <f>index!AS9</f>
        <v>17678324</v>
      </c>
      <c r="F8" s="31" t="str">
        <f>index!AT9</f>
        <v>OJH Celluar</v>
      </c>
      <c r="G8" s="43" t="str">
        <f>index!AU9</f>
        <v>Muhamad Parhan</v>
      </c>
      <c r="H8" s="6">
        <f>index!AV9</f>
        <v>6</v>
      </c>
      <c r="I8" s="44">
        <f>index!BO9</f>
        <v>450000</v>
      </c>
      <c r="J8" s="44">
        <f>index!BR9</f>
        <v>450000</v>
      </c>
      <c r="K8" s="44">
        <f>index!BT9</f>
        <v>0</v>
      </c>
      <c r="L8" s="40">
        <f>index!BU9</f>
        <v>46209</v>
      </c>
    </row>
    <row r="9" spans="1:12" x14ac:dyDescent="0.35">
      <c r="A9" s="39">
        <v>8</v>
      </c>
      <c r="B9" s="40">
        <f>index!AP10</f>
        <v>46207</v>
      </c>
      <c r="C9" s="41" t="str">
        <f>index!AQ10</f>
        <v>GOL</v>
      </c>
      <c r="D9" s="42" t="str">
        <f>index!AR10</f>
        <v>MC-SAGARANTEN</v>
      </c>
      <c r="E9" s="31">
        <f>index!AS10</f>
        <v>17769860</v>
      </c>
      <c r="F9" s="31" t="str">
        <f>index!AT10</f>
        <v>GIBRAN CELL</v>
      </c>
      <c r="G9" s="43" t="str">
        <f>index!AU10</f>
        <v>Kurnia</v>
      </c>
      <c r="H9" s="6">
        <f>index!AV10</f>
        <v>5</v>
      </c>
      <c r="I9" s="44">
        <f>index!BO10</f>
        <v>375000</v>
      </c>
      <c r="J9" s="44">
        <f>index!BR10</f>
        <v>375000</v>
      </c>
      <c r="K9" s="44">
        <f>index!BT10</f>
        <v>0</v>
      </c>
      <c r="L9" s="40">
        <f>index!BU10</f>
        <v>46209</v>
      </c>
    </row>
    <row r="10" spans="1:12" x14ac:dyDescent="0.35">
      <c r="A10" s="39">
        <v>9</v>
      </c>
      <c r="B10" s="40">
        <f>index!AP11</f>
        <v>46207</v>
      </c>
      <c r="C10" s="41" t="str">
        <f>index!AQ11</f>
        <v>GOL</v>
      </c>
      <c r="D10" s="42" t="str">
        <f>index!AR11</f>
        <v>MC-SAGARANTEN</v>
      </c>
      <c r="E10" s="31">
        <f>index!AS11</f>
        <v>1555825</v>
      </c>
      <c r="F10" s="31" t="str">
        <f>index!AT11</f>
        <v>SILVI CELL</v>
      </c>
      <c r="G10" s="43" t="str">
        <f>index!AU11</f>
        <v>Pebrian Sahri Ramdani</v>
      </c>
      <c r="H10" s="6">
        <f>index!AV11</f>
        <v>7</v>
      </c>
      <c r="I10" s="44">
        <f>index!BO11</f>
        <v>525000</v>
      </c>
      <c r="J10" s="44">
        <f>index!BR11</f>
        <v>525000</v>
      </c>
      <c r="K10" s="44">
        <f>index!BT11</f>
        <v>0</v>
      </c>
      <c r="L10" s="40">
        <f>index!BU11</f>
        <v>46209</v>
      </c>
    </row>
    <row r="11" spans="1:12" x14ac:dyDescent="0.35">
      <c r="A11" s="39">
        <v>10</v>
      </c>
      <c r="B11" s="40">
        <f>index!AP12</f>
        <v>46209</v>
      </c>
      <c r="C11" s="41" t="str">
        <f>index!AQ12</f>
        <v>GOL</v>
      </c>
      <c r="D11" s="42" t="str">
        <f>index!AR12</f>
        <v>MC-SAGARANTEN</v>
      </c>
      <c r="E11" s="31">
        <f>index!AS12</f>
        <v>1287331</v>
      </c>
      <c r="F11" s="31" t="str">
        <f>index!AT12</f>
        <v>AKEW CEL</v>
      </c>
      <c r="G11" s="43" t="str">
        <f>index!AU12</f>
        <v>Kurnia</v>
      </c>
      <c r="H11" s="6">
        <f>index!AV12</f>
        <v>2</v>
      </c>
      <c r="I11" s="44">
        <f>index!BO12</f>
        <v>150000</v>
      </c>
      <c r="J11" s="44">
        <f>index!BR12</f>
        <v>150000</v>
      </c>
      <c r="K11" s="44">
        <f>index!BT12</f>
        <v>0</v>
      </c>
      <c r="L11" s="40">
        <f>index!BU12</f>
        <v>46210</v>
      </c>
    </row>
    <row r="12" spans="1:12" x14ac:dyDescent="0.35">
      <c r="A12" s="39">
        <v>11</v>
      </c>
      <c r="B12" s="40">
        <f>index!AP13</f>
        <v>46209</v>
      </c>
      <c r="C12" s="41" t="str">
        <f>index!AQ13</f>
        <v>GOL</v>
      </c>
      <c r="D12" s="42" t="str">
        <f>index!AR13</f>
        <v>MC-SAGARANTEN</v>
      </c>
      <c r="E12" s="31">
        <f>index!AS13</f>
        <v>17792292</v>
      </c>
      <c r="F12" s="31" t="str">
        <f>index!AT13</f>
        <v>Gilang cell 6</v>
      </c>
      <c r="G12" s="43" t="str">
        <f>index!AU13</f>
        <v>Pebrian Sahri Ramdani</v>
      </c>
      <c r="H12" s="6">
        <f>index!AV13</f>
        <v>9</v>
      </c>
      <c r="I12" s="44">
        <f>index!BO13</f>
        <v>675000</v>
      </c>
      <c r="J12" s="44">
        <f>index!BR13</f>
        <v>675000</v>
      </c>
      <c r="K12" s="44">
        <f>index!BT13</f>
        <v>0</v>
      </c>
      <c r="L12" s="40">
        <f>index!BU13</f>
        <v>46210</v>
      </c>
    </row>
    <row r="13" spans="1:12" x14ac:dyDescent="0.35">
      <c r="A13" s="39">
        <v>12</v>
      </c>
      <c r="B13" s="40">
        <f>index!AP14</f>
        <v>46210</v>
      </c>
      <c r="C13" s="41" t="str">
        <f>index!AQ14</f>
        <v>GOL</v>
      </c>
      <c r="D13" s="42" t="str">
        <f>index!AR14</f>
        <v>MC-SAGARANTEN</v>
      </c>
      <c r="E13" s="31">
        <f>index!AS14</f>
        <v>17253568</v>
      </c>
      <c r="F13" s="31" t="str">
        <f>index!AT14</f>
        <v>AHZACELL</v>
      </c>
      <c r="G13" s="43" t="str">
        <f>index!AU14</f>
        <v>Kurnia</v>
      </c>
      <c r="H13" s="6">
        <f>index!AV14</f>
        <v>2</v>
      </c>
      <c r="I13" s="44">
        <f>index!BO14</f>
        <v>150000</v>
      </c>
      <c r="J13" s="44">
        <f>index!BR14</f>
        <v>150000</v>
      </c>
      <c r="K13" s="44">
        <f>index!BT14</f>
        <v>0</v>
      </c>
      <c r="L13" s="40">
        <f>index!BU14</f>
        <v>46211</v>
      </c>
    </row>
    <row r="14" spans="1:12" x14ac:dyDescent="0.35">
      <c r="A14" s="39">
        <v>13</v>
      </c>
      <c r="B14" s="40">
        <f>index!AP15</f>
        <v>46210</v>
      </c>
      <c r="C14" s="41" t="str">
        <f>index!AQ15</f>
        <v>GOL</v>
      </c>
      <c r="D14" s="42" t="str">
        <f>index!AR15</f>
        <v>MC-SAGARANTEN</v>
      </c>
      <c r="E14" s="31">
        <f>index!AS15</f>
        <v>1348548</v>
      </c>
      <c r="F14" s="31" t="str">
        <f>index!AT15</f>
        <v>MIRRA CELL</v>
      </c>
      <c r="G14" s="43" t="str">
        <f>index!AU15</f>
        <v>Pebrian Sahri Ramdani</v>
      </c>
      <c r="H14" s="6">
        <f>index!AV15</f>
        <v>7</v>
      </c>
      <c r="I14" s="44">
        <f>index!BO15</f>
        <v>525000</v>
      </c>
      <c r="J14" s="44">
        <f>index!BR15</f>
        <v>525000</v>
      </c>
      <c r="K14" s="44">
        <f>index!BT15</f>
        <v>0</v>
      </c>
      <c r="L14" s="40">
        <f>index!BU15</f>
        <v>46211</v>
      </c>
    </row>
    <row r="15" spans="1:12" x14ac:dyDescent="0.35">
      <c r="A15" s="39">
        <v>14</v>
      </c>
      <c r="B15" s="40">
        <f>index!AP16</f>
        <v>46211</v>
      </c>
      <c r="C15" s="41" t="str">
        <f>index!AQ16</f>
        <v>GOL</v>
      </c>
      <c r="D15" s="42" t="str">
        <f>index!AR16</f>
        <v>MC-SAGARANTEN</v>
      </c>
      <c r="E15" s="31">
        <f>index!AS16</f>
        <v>17729830</v>
      </c>
      <c r="F15" s="31" t="str">
        <f>index!AT16</f>
        <v>Ryan store</v>
      </c>
      <c r="G15" s="43" t="str">
        <f>index!AU16</f>
        <v>Muhamad Parhan</v>
      </c>
      <c r="H15" s="6">
        <f>index!AV16</f>
        <v>6</v>
      </c>
      <c r="I15" s="44">
        <f>index!BO16</f>
        <v>450000</v>
      </c>
      <c r="J15" s="44">
        <f>index!BR16</f>
        <v>450000</v>
      </c>
      <c r="K15" s="44">
        <f>index!BT16</f>
        <v>0</v>
      </c>
      <c r="L15" s="40">
        <f>index!BU16</f>
        <v>46212</v>
      </c>
    </row>
    <row r="16" spans="1:12" x14ac:dyDescent="0.35">
      <c r="A16" s="39">
        <v>15</v>
      </c>
      <c r="B16" s="40">
        <f>index!AP17</f>
        <v>46211</v>
      </c>
      <c r="C16" s="41" t="str">
        <f>index!AQ17</f>
        <v>GOL</v>
      </c>
      <c r="D16" s="42" t="str">
        <f>index!AR17</f>
        <v>MC-SAGARANTEN</v>
      </c>
      <c r="E16" s="31">
        <f>index!AS17</f>
        <v>17737459</v>
      </c>
      <c r="F16" s="31" t="str">
        <f>index!AT17</f>
        <v>WP - CACA CICI</v>
      </c>
      <c r="G16" s="43" t="str">
        <f>index!AU17</f>
        <v>M. Enden Abdul Latif</v>
      </c>
      <c r="H16" s="6">
        <f>index!AV17</f>
        <v>12</v>
      </c>
      <c r="I16" s="44">
        <f>index!BO17</f>
        <v>900000</v>
      </c>
      <c r="J16" s="44">
        <f>index!BR17</f>
        <v>900000</v>
      </c>
      <c r="K16" s="44">
        <f>index!BT17</f>
        <v>0</v>
      </c>
      <c r="L16" s="40">
        <f>index!BU17</f>
        <v>46212</v>
      </c>
    </row>
    <row r="17" spans="1:12" x14ac:dyDescent="0.35">
      <c r="A17" s="39">
        <v>16</v>
      </c>
      <c r="B17" s="40">
        <f>index!AP18</f>
        <v>46211</v>
      </c>
      <c r="C17" s="41" t="str">
        <f>index!AQ18</f>
        <v>GOL</v>
      </c>
      <c r="D17" s="42" t="str">
        <f>index!AR18</f>
        <v>MC-SAGARANTEN</v>
      </c>
      <c r="E17" s="31">
        <f>index!AS18</f>
        <v>572677</v>
      </c>
      <c r="F17" s="31" t="str">
        <f>index!AT18</f>
        <v>Fitri cell</v>
      </c>
      <c r="G17" s="43" t="str">
        <f>index!AU18</f>
        <v>Pebrian Sahri Ramdani</v>
      </c>
      <c r="H17" s="6">
        <f>index!AV18</f>
        <v>8</v>
      </c>
      <c r="I17" s="44">
        <f>index!BO18</f>
        <v>600000</v>
      </c>
      <c r="J17" s="44">
        <f>index!BR18</f>
        <v>600000</v>
      </c>
      <c r="K17" s="44">
        <f>index!BT18</f>
        <v>0</v>
      </c>
      <c r="L17" s="40">
        <f>index!BU18</f>
        <v>46212</v>
      </c>
    </row>
    <row r="18" spans="1:12" x14ac:dyDescent="0.35">
      <c r="A18" s="39">
        <v>17</v>
      </c>
      <c r="B18" s="40">
        <f>index!AP19</f>
        <v>46212</v>
      </c>
      <c r="C18" s="41" t="str">
        <f>index!AQ19</f>
        <v>GOL</v>
      </c>
      <c r="D18" s="42" t="str">
        <f>index!AR19</f>
        <v>MC-SAGARANTEN</v>
      </c>
      <c r="E18" s="31">
        <f>index!AS19</f>
        <v>17729987</v>
      </c>
      <c r="F18" s="31" t="str">
        <f>index!AT19</f>
        <v>RE phonestore</v>
      </c>
      <c r="G18" s="43" t="str">
        <f>index!AU19</f>
        <v>Muhamad Parhan</v>
      </c>
      <c r="H18" s="6">
        <f>index!AV19</f>
        <v>6</v>
      </c>
      <c r="I18" s="44">
        <f>index!BO19</f>
        <v>450000</v>
      </c>
      <c r="J18" s="44">
        <f>index!BR19</f>
        <v>450000</v>
      </c>
      <c r="K18" s="44">
        <f>index!BT19</f>
        <v>0</v>
      </c>
      <c r="L18" s="40">
        <f>index!BU19</f>
        <v>46213</v>
      </c>
    </row>
    <row r="19" spans="1:12" x14ac:dyDescent="0.35">
      <c r="A19" s="39">
        <v>18</v>
      </c>
      <c r="B19" s="40">
        <f>index!AP20</f>
        <v>46212</v>
      </c>
      <c r="C19" s="41" t="str">
        <f>index!AQ20</f>
        <v>GOL</v>
      </c>
      <c r="D19" s="42" t="str">
        <f>index!AR20</f>
        <v>MC-SAGARANTEN</v>
      </c>
      <c r="E19" s="31">
        <f>index!AS20</f>
        <v>1295672</v>
      </c>
      <c r="F19" s="31" t="str">
        <f>index!AT20</f>
        <v>RAYHAN CELL</v>
      </c>
      <c r="G19" s="43" t="str">
        <f>index!AU20</f>
        <v>M. Enden Abdul Latif</v>
      </c>
      <c r="H19" s="6">
        <f>index!AV20</f>
        <v>7</v>
      </c>
      <c r="I19" s="44">
        <f>index!BO20</f>
        <v>525000</v>
      </c>
      <c r="J19" s="44">
        <f>index!BR20</f>
        <v>525000</v>
      </c>
      <c r="K19" s="44">
        <f>index!BT20</f>
        <v>0</v>
      </c>
      <c r="L19" s="40">
        <f>index!BU20</f>
        <v>46213</v>
      </c>
    </row>
    <row r="20" spans="1:12" x14ac:dyDescent="0.35">
      <c r="A20" s="39">
        <v>19</v>
      </c>
      <c r="B20" s="40">
        <f>index!AP21</f>
        <v>46212</v>
      </c>
      <c r="C20" s="41" t="str">
        <f>index!AQ21</f>
        <v>GOL</v>
      </c>
      <c r="D20" s="42" t="str">
        <f>index!AR21</f>
        <v>MC-SAGARANTEN</v>
      </c>
      <c r="E20" s="31">
        <f>index!AS21</f>
        <v>1554004</v>
      </c>
      <c r="F20" s="31" t="str">
        <f>index!AT21</f>
        <v>MANDIRI CELL</v>
      </c>
      <c r="G20" s="43" t="str">
        <f>index!AU21</f>
        <v>Pebrian Sahri Ramdani</v>
      </c>
      <c r="H20" s="6">
        <f>index!AV21</f>
        <v>6</v>
      </c>
      <c r="I20" s="44">
        <f>index!BO21</f>
        <v>450000</v>
      </c>
      <c r="J20" s="44">
        <f>index!BR21</f>
        <v>450000</v>
      </c>
      <c r="K20" s="44">
        <f>index!BT21</f>
        <v>0</v>
      </c>
      <c r="L20" s="40">
        <f>index!BU21</f>
        <v>46213</v>
      </c>
    </row>
    <row r="21" spans="1:12" x14ac:dyDescent="0.35">
      <c r="A21" s="39">
        <v>20</v>
      </c>
      <c r="B21" s="40">
        <f>index!AP22</f>
        <v>46212</v>
      </c>
      <c r="C21" s="41" t="str">
        <f>index!AQ22</f>
        <v>GOL</v>
      </c>
      <c r="D21" s="42" t="str">
        <f>index!AR22</f>
        <v>MC-SAGARANTEN</v>
      </c>
      <c r="E21" s="31">
        <f>index!AS22</f>
        <v>1554004</v>
      </c>
      <c r="F21" s="31" t="str">
        <f>index!AT22</f>
        <v>MANDIRI CELL</v>
      </c>
      <c r="G21" s="43" t="str">
        <f>index!AU22</f>
        <v>Kurnia</v>
      </c>
      <c r="H21" s="6">
        <f>index!AV22</f>
        <v>2</v>
      </c>
      <c r="I21" s="44">
        <f>index!BO22</f>
        <v>150000</v>
      </c>
      <c r="J21" s="44">
        <f>index!BR22</f>
        <v>150000</v>
      </c>
      <c r="K21" s="44">
        <f>index!BT22</f>
        <v>0</v>
      </c>
      <c r="L21" s="40">
        <f>index!BU22</f>
        <v>46213</v>
      </c>
    </row>
    <row r="22" spans="1:12" x14ac:dyDescent="0.35">
      <c r="A22" s="39">
        <v>21</v>
      </c>
      <c r="B22" s="40">
        <f>index!AP23</f>
        <v>46213</v>
      </c>
      <c r="C22" s="41" t="str">
        <f>index!AQ23</f>
        <v>GOL</v>
      </c>
      <c r="D22" s="42" t="str">
        <f>index!AR23</f>
        <v>MC-SAGARANTEN</v>
      </c>
      <c r="E22" s="31">
        <f>index!AS23</f>
        <v>0</v>
      </c>
      <c r="F22" s="31" t="e">
        <f>index!AT23</f>
        <v>#N/A</v>
      </c>
      <c r="G22" s="43" t="str">
        <f>index!AU23</f>
        <v>Muhamad Parhan</v>
      </c>
      <c r="H22" s="6">
        <f>index!AV23</f>
        <v>32</v>
      </c>
      <c r="I22" s="44">
        <f>index!BO23</f>
        <v>2400000</v>
      </c>
      <c r="J22" s="44">
        <f>index!BR23</f>
        <v>0</v>
      </c>
      <c r="K22" s="44">
        <f>index!BT23</f>
        <v>2400000</v>
      </c>
      <c r="L22" s="40">
        <f>index!BU23</f>
        <v>0</v>
      </c>
    </row>
    <row r="23" spans="1:12" x14ac:dyDescent="0.35">
      <c r="A23" s="39">
        <v>22</v>
      </c>
      <c r="B23" s="40">
        <f>index!AP24</f>
        <v>46213</v>
      </c>
      <c r="C23" s="41" t="str">
        <f>index!AQ24</f>
        <v>GOL</v>
      </c>
      <c r="D23" s="42" t="str">
        <f>index!AR24</f>
        <v>MC-SAGARANTEN</v>
      </c>
      <c r="E23" s="31">
        <f>index!AS24</f>
        <v>0</v>
      </c>
      <c r="F23" s="31" t="e">
        <f>index!AT24</f>
        <v>#N/A</v>
      </c>
      <c r="G23" s="43" t="str">
        <f>index!AU24</f>
        <v>M. Enden Abdul Latif</v>
      </c>
      <c r="H23" s="6">
        <f>index!AV24</f>
        <v>31</v>
      </c>
      <c r="I23" s="44">
        <f>index!BO24</f>
        <v>2325000</v>
      </c>
      <c r="J23" s="44">
        <f>index!BR24</f>
        <v>0</v>
      </c>
      <c r="K23" s="44">
        <f>index!BT24</f>
        <v>2325000</v>
      </c>
      <c r="L23" s="40">
        <f>index!BU24</f>
        <v>0</v>
      </c>
    </row>
    <row r="24" spans="1:12" x14ac:dyDescent="0.35">
      <c r="A24" s="39">
        <v>23</v>
      </c>
      <c r="B24" s="40">
        <f>index!AP25</f>
        <v>46213</v>
      </c>
      <c r="C24" s="41" t="str">
        <f>index!AQ25</f>
        <v>GOL</v>
      </c>
      <c r="D24" s="42" t="str">
        <f>index!AR25</f>
        <v>MC-SAGARANTEN</v>
      </c>
      <c r="E24" s="31">
        <f>index!AS25</f>
        <v>0</v>
      </c>
      <c r="F24" s="31" t="e">
        <f>index!AT25</f>
        <v>#N/A</v>
      </c>
      <c r="G24" s="43" t="str">
        <f>index!AU25</f>
        <v>Pebrian Sahri Ramdani</v>
      </c>
      <c r="H24" s="6">
        <f>index!AV25</f>
        <v>32</v>
      </c>
      <c r="I24" s="44">
        <f>index!BO25</f>
        <v>2400000</v>
      </c>
      <c r="J24" s="44">
        <f>index!BR25</f>
        <v>0</v>
      </c>
      <c r="K24" s="44">
        <f>index!BT25</f>
        <v>2400000</v>
      </c>
      <c r="L24" s="40">
        <f>index!BU25</f>
        <v>0</v>
      </c>
    </row>
    <row r="25" spans="1:12" x14ac:dyDescent="0.35">
      <c r="A25" s="39">
        <v>24</v>
      </c>
      <c r="B25" s="40">
        <f>index!AP26</f>
        <v>46213</v>
      </c>
      <c r="C25" s="41" t="str">
        <f>index!AQ26</f>
        <v>GOL</v>
      </c>
      <c r="D25" s="42" t="str">
        <f>index!AR26</f>
        <v>MC-SAGARANTEN</v>
      </c>
      <c r="E25" s="31">
        <f>index!AS26</f>
        <v>0</v>
      </c>
      <c r="F25" s="31" t="e">
        <f>index!AT26</f>
        <v>#N/A</v>
      </c>
      <c r="G25" s="43" t="str">
        <f>index!AU26</f>
        <v>Kurnia</v>
      </c>
      <c r="H25" s="6">
        <f>index!AV26</f>
        <v>8</v>
      </c>
      <c r="I25" s="44">
        <f>index!BO26</f>
        <v>600000</v>
      </c>
      <c r="J25" s="44">
        <f>index!BR26</f>
        <v>0</v>
      </c>
      <c r="K25" s="44">
        <f>index!BT26</f>
        <v>600000</v>
      </c>
      <c r="L25" s="40">
        <f>index!BU26</f>
        <v>0</v>
      </c>
    </row>
    <row r="26" spans="1:12" x14ac:dyDescent="0.35">
      <c r="A26" s="39">
        <v>25</v>
      </c>
      <c r="B26" s="40">
        <f>index!AP27</f>
        <v>46214</v>
      </c>
      <c r="C26" s="41" t="str">
        <f>index!AQ27</f>
        <v>GOL</v>
      </c>
      <c r="D26" s="42" t="str">
        <f>index!AR27</f>
        <v>MC-SAGARANTEN</v>
      </c>
      <c r="E26" s="31">
        <f>index!AS27</f>
        <v>17383074</v>
      </c>
      <c r="F26" s="31" t="str">
        <f>index!AT27</f>
        <v>KENTHU CELULER</v>
      </c>
      <c r="G26" s="43" t="str">
        <f>index!AU27</f>
        <v>Muhamad Parhan</v>
      </c>
      <c r="H26" s="6">
        <f>index!AV27</f>
        <v>0</v>
      </c>
      <c r="I26" s="44">
        <f>index!BO27</f>
        <v>0</v>
      </c>
      <c r="J26" s="44">
        <f>index!BR27</f>
        <v>375000</v>
      </c>
      <c r="K26" s="44">
        <f>index!BT27</f>
        <v>-375000</v>
      </c>
      <c r="L26" s="40">
        <f>index!BU27</f>
        <v>46216</v>
      </c>
    </row>
    <row r="27" spans="1:12" x14ac:dyDescent="0.35">
      <c r="A27" s="39">
        <v>26</v>
      </c>
      <c r="B27" s="40">
        <f>index!AP28</f>
        <v>46214</v>
      </c>
      <c r="C27" s="41" t="str">
        <f>index!AQ28</f>
        <v>GOL</v>
      </c>
      <c r="D27" s="42" t="str">
        <f>index!AR28</f>
        <v>MC-SAGARANTEN</v>
      </c>
      <c r="E27" s="31">
        <f>index!AS28</f>
        <v>17138377</v>
      </c>
      <c r="F27" s="31" t="str">
        <f>index!AT28</f>
        <v>EMYRATE CELL</v>
      </c>
      <c r="G27" s="43" t="str">
        <f>index!AU28</f>
        <v>Pebrian Sahri Ramdani</v>
      </c>
      <c r="H27" s="6">
        <f>index!AV28</f>
        <v>0</v>
      </c>
      <c r="I27" s="44">
        <f>index!BO28</f>
        <v>0</v>
      </c>
      <c r="J27" s="44">
        <f>index!BR28</f>
        <v>750000</v>
      </c>
      <c r="K27" s="44">
        <f>index!BT28</f>
        <v>-750000</v>
      </c>
      <c r="L27" s="40">
        <f>index!BU28</f>
        <v>46216</v>
      </c>
    </row>
    <row r="28" spans="1:12" x14ac:dyDescent="0.35">
      <c r="A28" s="39">
        <v>27</v>
      </c>
      <c r="B28" s="40">
        <f>index!AP29</f>
        <v>46214</v>
      </c>
      <c r="C28" s="41" t="str">
        <f>index!AQ29</f>
        <v>GOL</v>
      </c>
      <c r="D28" s="42" t="str">
        <f>index!AR29</f>
        <v>MC-SAGARANTEN</v>
      </c>
      <c r="E28" s="31">
        <f>index!AS29</f>
        <v>17737026</v>
      </c>
      <c r="F28" s="31" t="str">
        <f>index!AT29</f>
        <v>Yan cell</v>
      </c>
      <c r="G28" s="43" t="str">
        <f>index!AU29</f>
        <v>Muhamad Parhan</v>
      </c>
      <c r="H28" s="6">
        <f>index!AV29</f>
        <v>0</v>
      </c>
      <c r="I28" s="44">
        <f>index!BO29</f>
        <v>0</v>
      </c>
      <c r="J28" s="44">
        <f>index!BR29</f>
        <v>450000</v>
      </c>
      <c r="K28" s="44">
        <f>index!BT29</f>
        <v>-450000</v>
      </c>
      <c r="L28" s="40">
        <f>index!BU29</f>
        <v>46216</v>
      </c>
    </row>
    <row r="29" spans="1:12" x14ac:dyDescent="0.35">
      <c r="A29" s="39">
        <v>28</v>
      </c>
      <c r="B29" s="40">
        <f>index!AP30</f>
        <v>46214</v>
      </c>
      <c r="C29" s="41" t="str">
        <f>index!AQ30</f>
        <v>GOL</v>
      </c>
      <c r="D29" s="42" t="str">
        <f>index!AR30</f>
        <v>MC-SAGARANTEN</v>
      </c>
      <c r="E29" s="31">
        <f>index!AS30</f>
        <v>17675348</v>
      </c>
      <c r="F29" s="31" t="str">
        <f>index!AT30</f>
        <v>AF Cell 2</v>
      </c>
      <c r="G29" s="43" t="str">
        <f>index!AU30</f>
        <v>M. Enden Abdul Latif</v>
      </c>
      <c r="H29" s="6">
        <f>index!AV30</f>
        <v>0</v>
      </c>
      <c r="I29" s="44">
        <f>index!BO30</f>
        <v>0</v>
      </c>
      <c r="J29" s="44">
        <f>index!BR30</f>
        <v>375000</v>
      </c>
      <c r="K29" s="44">
        <f>index!BT30</f>
        <v>-375000</v>
      </c>
      <c r="L29" s="40">
        <f>index!BU30</f>
        <v>46216</v>
      </c>
    </row>
    <row r="30" spans="1:12" x14ac:dyDescent="0.35">
      <c r="A30" s="39">
        <v>29</v>
      </c>
      <c r="B30" s="40">
        <f>index!AP31</f>
        <v>46214</v>
      </c>
      <c r="C30" s="41" t="str">
        <f>index!AQ31</f>
        <v>GOL</v>
      </c>
      <c r="D30" s="42" t="str">
        <f>index!AR31</f>
        <v>MC-SAGARANTEN</v>
      </c>
      <c r="E30" s="31">
        <f>index!AS31</f>
        <v>17260654</v>
      </c>
      <c r="F30" s="31" t="str">
        <f>index!AT31</f>
        <v>GILANG CELL2</v>
      </c>
      <c r="G30" s="43" t="str">
        <f>index!AU31</f>
        <v>Pebrian Sahri Ramdani</v>
      </c>
      <c r="H30" s="6">
        <f>index!AV31</f>
        <v>0</v>
      </c>
      <c r="I30" s="44">
        <f>index!BO31</f>
        <v>0</v>
      </c>
      <c r="J30" s="44">
        <f>index!BR31</f>
        <v>750000</v>
      </c>
      <c r="K30" s="44">
        <f>index!BT31</f>
        <v>-750000</v>
      </c>
      <c r="L30" s="40">
        <f>index!BU31</f>
        <v>46216</v>
      </c>
    </row>
    <row r="31" spans="1:12" x14ac:dyDescent="0.35">
      <c r="A31" s="39">
        <v>30</v>
      </c>
      <c r="B31" s="40">
        <f>index!AP32</f>
        <v>46216</v>
      </c>
      <c r="C31" s="41" t="str">
        <f>index!AQ32</f>
        <v>GOL</v>
      </c>
      <c r="D31" s="42" t="str">
        <f>index!AR32</f>
        <v>MC-SAGARANTEN</v>
      </c>
      <c r="E31" s="31">
        <f>index!AS32</f>
        <v>0</v>
      </c>
      <c r="F31" s="31" t="e">
        <f>index!AT32</f>
        <v>#N/A</v>
      </c>
      <c r="G31" s="43" t="str">
        <f>index!AU32</f>
        <v>Muhamad Parhan</v>
      </c>
      <c r="H31" s="6">
        <f>index!AV32</f>
        <v>0</v>
      </c>
      <c r="I31" s="44">
        <f>index!BO32</f>
        <v>0</v>
      </c>
      <c r="J31" s="44">
        <f>index!BR32</f>
        <v>300000</v>
      </c>
      <c r="K31" s="44">
        <f>index!BT32</f>
        <v>-300000</v>
      </c>
      <c r="L31" s="40">
        <f>index!BU32</f>
        <v>0</v>
      </c>
    </row>
    <row r="32" spans="1:12" x14ac:dyDescent="0.35">
      <c r="A32" s="39">
        <v>31</v>
      </c>
      <c r="B32" s="40">
        <f>index!AP33</f>
        <v>46216</v>
      </c>
      <c r="C32" s="41" t="str">
        <f>index!AQ33</f>
        <v>GOL</v>
      </c>
      <c r="D32" s="42" t="str">
        <f>index!AR33</f>
        <v>MC-SAGARANTEN</v>
      </c>
      <c r="E32" s="31">
        <f>index!AS33</f>
        <v>0</v>
      </c>
      <c r="F32" s="31" t="e">
        <f>index!AT33</f>
        <v>#N/A</v>
      </c>
      <c r="G32" s="43" t="str">
        <f>index!AU33</f>
        <v>Kurnia</v>
      </c>
      <c r="H32" s="6">
        <f>index!AV33</f>
        <v>0</v>
      </c>
      <c r="I32" s="44">
        <f>index!BO33</f>
        <v>0</v>
      </c>
      <c r="J32" s="44">
        <f>index!BR33</f>
        <v>375000</v>
      </c>
      <c r="K32" s="44">
        <f>index!BT33</f>
        <v>-375000</v>
      </c>
      <c r="L32" s="40">
        <f>index!BU33</f>
        <v>0</v>
      </c>
    </row>
    <row r="33" spans="1:12" x14ac:dyDescent="0.35">
      <c r="A33" s="39">
        <v>32</v>
      </c>
      <c r="B33" s="40">
        <f>index!AP34</f>
        <v>46216</v>
      </c>
      <c r="C33" s="41" t="str">
        <f>index!AQ34</f>
        <v>GOL</v>
      </c>
      <c r="D33" s="42" t="str">
        <f>index!AR34</f>
        <v>MC-SAGARANTEN</v>
      </c>
      <c r="E33" s="31">
        <f>index!AS34</f>
        <v>0</v>
      </c>
      <c r="F33" s="31" t="e">
        <f>index!AT34</f>
        <v>#N/A</v>
      </c>
      <c r="G33" s="43" t="str">
        <f>index!AU34</f>
        <v>M. Enden Abdul Latif</v>
      </c>
      <c r="H33" s="6">
        <f>index!AV34</f>
        <v>0</v>
      </c>
      <c r="I33" s="44">
        <f>index!BO34</f>
        <v>0</v>
      </c>
      <c r="J33" s="44">
        <f>index!BR34</f>
        <v>375000</v>
      </c>
      <c r="K33" s="44">
        <f>index!BT34</f>
        <v>-375000</v>
      </c>
      <c r="L33" s="40">
        <f>index!BU34</f>
        <v>0</v>
      </c>
    </row>
    <row r="34" spans="1:12" x14ac:dyDescent="0.35">
      <c r="A34" s="39">
        <v>33</v>
      </c>
      <c r="B34" s="40">
        <f>index!AP35</f>
        <v>46216</v>
      </c>
      <c r="C34" s="41" t="str">
        <f>index!AQ35</f>
        <v>GOL</v>
      </c>
      <c r="D34" s="42" t="str">
        <f>index!AR35</f>
        <v>MC-SAGARANTEN</v>
      </c>
      <c r="E34" s="31">
        <f>index!AS35</f>
        <v>0</v>
      </c>
      <c r="F34" s="31" t="e">
        <f>index!AT35</f>
        <v>#N/A</v>
      </c>
      <c r="G34" s="43" t="str">
        <f>index!AU35</f>
        <v>Pebrian Sahri Ramdani</v>
      </c>
      <c r="H34" s="6">
        <f>index!AV35</f>
        <v>0</v>
      </c>
      <c r="I34" s="44">
        <f>index!BO35</f>
        <v>0</v>
      </c>
      <c r="J34" s="44">
        <f>index!BR35</f>
        <v>375000</v>
      </c>
      <c r="K34" s="44">
        <f>index!BT35</f>
        <v>-375000</v>
      </c>
      <c r="L34" s="40">
        <f>index!BU35</f>
        <v>0</v>
      </c>
    </row>
    <row r="35" spans="1:12" x14ac:dyDescent="0.35">
      <c r="A35" s="39">
        <v>34</v>
      </c>
      <c r="B35" s="40">
        <f>index!AP36</f>
        <v>46217</v>
      </c>
      <c r="C35" s="41" t="str">
        <f>index!AQ36</f>
        <v>GOL</v>
      </c>
      <c r="D35" s="42" t="str">
        <f>index!AR36</f>
        <v>MC-SAGARANTEN</v>
      </c>
      <c r="E35" s="31">
        <f>index!AS36</f>
        <v>0</v>
      </c>
      <c r="F35" s="31" t="e">
        <f>index!AT36</f>
        <v>#N/A</v>
      </c>
      <c r="G35" s="43" t="str">
        <f>index!AU36</f>
        <v>Kurnia</v>
      </c>
      <c r="H35" s="6">
        <f>index!AV36</f>
        <v>28</v>
      </c>
      <c r="I35" s="44">
        <f>index!BO36</f>
        <v>2100000</v>
      </c>
      <c r="J35" s="44">
        <f>index!BR36</f>
        <v>0</v>
      </c>
      <c r="K35" s="44">
        <f>index!BT36</f>
        <v>2100000</v>
      </c>
      <c r="L35" s="40">
        <f>index!BU36</f>
        <v>0</v>
      </c>
    </row>
    <row r="36" spans="1:12" x14ac:dyDescent="0.35">
      <c r="A36" s="39">
        <v>35</v>
      </c>
      <c r="B36" s="40">
        <f>index!AP37</f>
        <v>0</v>
      </c>
      <c r="C36" s="41">
        <f>index!AQ37</f>
        <v>0</v>
      </c>
      <c r="D36" s="42">
        <f>index!AR37</f>
        <v>0</v>
      </c>
      <c r="E36" s="31">
        <f>index!AS37</f>
        <v>0</v>
      </c>
      <c r="F36" s="31">
        <f>index!AT37</f>
        <v>0</v>
      </c>
      <c r="G36" s="43">
        <f>index!AU37</f>
        <v>0</v>
      </c>
      <c r="H36" s="6">
        <f>index!AV37</f>
        <v>0</v>
      </c>
      <c r="I36" s="44">
        <f>index!BO37</f>
        <v>0</v>
      </c>
      <c r="J36" s="44">
        <f>index!BR37</f>
        <v>0</v>
      </c>
      <c r="K36" s="44">
        <f>index!BT37</f>
        <v>0</v>
      </c>
      <c r="L36" s="40">
        <f>index!BU37</f>
        <v>0</v>
      </c>
    </row>
    <row r="37" spans="1:12" x14ac:dyDescent="0.35">
      <c r="A37" s="39">
        <v>36</v>
      </c>
      <c r="B37" s="40">
        <f>index!AP38</f>
        <v>0</v>
      </c>
      <c r="C37" s="41">
        <f>index!AQ38</f>
        <v>0</v>
      </c>
      <c r="D37" s="42">
        <f>index!AR38</f>
        <v>0</v>
      </c>
      <c r="E37" s="31">
        <f>index!AS38</f>
        <v>0</v>
      </c>
      <c r="F37" s="31">
        <f>index!AT38</f>
        <v>0</v>
      </c>
      <c r="G37" s="43">
        <f>index!AU38</f>
        <v>0</v>
      </c>
      <c r="H37" s="6">
        <f>index!AV38</f>
        <v>0</v>
      </c>
      <c r="I37" s="44">
        <f>index!BO38</f>
        <v>0</v>
      </c>
      <c r="J37" s="44">
        <f>index!BR38</f>
        <v>0</v>
      </c>
      <c r="K37" s="44">
        <f>index!BT38</f>
        <v>0</v>
      </c>
      <c r="L37" s="40">
        <f>index!BU38</f>
        <v>0</v>
      </c>
    </row>
    <row r="38" spans="1:12" x14ac:dyDescent="0.35">
      <c r="A38" s="39">
        <v>37</v>
      </c>
      <c r="B38" s="40">
        <f>index!AP39</f>
        <v>0</v>
      </c>
      <c r="C38" s="41">
        <f>index!AQ39</f>
        <v>0</v>
      </c>
      <c r="D38" s="42">
        <f>index!AR39</f>
        <v>0</v>
      </c>
      <c r="E38" s="31">
        <f>index!AS39</f>
        <v>0</v>
      </c>
      <c r="F38" s="31">
        <f>index!AT39</f>
        <v>0</v>
      </c>
      <c r="G38" s="43">
        <f>index!AU39</f>
        <v>0</v>
      </c>
      <c r="H38" s="6">
        <f>index!AV39</f>
        <v>0</v>
      </c>
      <c r="I38" s="44">
        <f>index!BO39</f>
        <v>0</v>
      </c>
      <c r="J38" s="44">
        <f>index!BR39</f>
        <v>0</v>
      </c>
      <c r="K38" s="44">
        <f>index!BT39</f>
        <v>0</v>
      </c>
      <c r="L38" s="40">
        <f>index!BU39</f>
        <v>0</v>
      </c>
    </row>
    <row r="39" spans="1:12" x14ac:dyDescent="0.35">
      <c r="A39" s="39">
        <v>38</v>
      </c>
      <c r="B39" s="40">
        <f>index!AP40</f>
        <v>0</v>
      </c>
      <c r="C39" s="41">
        <f>index!AQ40</f>
        <v>0</v>
      </c>
      <c r="D39" s="42">
        <f>index!AR40</f>
        <v>0</v>
      </c>
      <c r="E39" s="31">
        <f>index!AS40</f>
        <v>0</v>
      </c>
      <c r="F39" s="31">
        <f>index!AT40</f>
        <v>0</v>
      </c>
      <c r="G39" s="43">
        <f>index!AU40</f>
        <v>0</v>
      </c>
      <c r="H39" s="6">
        <f>index!AV40</f>
        <v>0</v>
      </c>
      <c r="I39" s="44">
        <f>index!BO40</f>
        <v>0</v>
      </c>
      <c r="J39" s="44">
        <f>index!BR40</f>
        <v>0</v>
      </c>
      <c r="K39" s="44">
        <f>index!BT40</f>
        <v>0</v>
      </c>
      <c r="L39" s="40">
        <f>index!BU40</f>
        <v>0</v>
      </c>
    </row>
    <row r="40" spans="1:12" x14ac:dyDescent="0.35">
      <c r="A40" s="39">
        <v>39</v>
      </c>
      <c r="B40" s="40">
        <f>index!AP41</f>
        <v>0</v>
      </c>
      <c r="C40" s="41">
        <f>index!AQ41</f>
        <v>0</v>
      </c>
      <c r="D40" s="42">
        <f>index!AR41</f>
        <v>0</v>
      </c>
      <c r="E40" s="31">
        <f>index!AS41</f>
        <v>0</v>
      </c>
      <c r="F40" s="31">
        <f>index!AT41</f>
        <v>0</v>
      </c>
      <c r="G40" s="43">
        <f>index!AU41</f>
        <v>0</v>
      </c>
      <c r="H40" s="6">
        <f>index!AV41</f>
        <v>0</v>
      </c>
      <c r="I40" s="44">
        <f>index!BO41</f>
        <v>0</v>
      </c>
      <c r="J40" s="44">
        <f>index!BR41</f>
        <v>0</v>
      </c>
      <c r="K40" s="44">
        <f>index!BT41</f>
        <v>0</v>
      </c>
      <c r="L40" s="40">
        <f>index!BU41</f>
        <v>0</v>
      </c>
    </row>
    <row r="41" spans="1:12" x14ac:dyDescent="0.35">
      <c r="A41" s="39">
        <v>40</v>
      </c>
      <c r="B41" s="40">
        <f>index!AP42</f>
        <v>0</v>
      </c>
      <c r="C41" s="41">
        <f>index!AQ42</f>
        <v>0</v>
      </c>
      <c r="D41" s="42">
        <f>index!AR42</f>
        <v>0</v>
      </c>
      <c r="E41" s="31">
        <f>index!AS42</f>
        <v>0</v>
      </c>
      <c r="F41" s="31">
        <f>index!AT42</f>
        <v>0</v>
      </c>
      <c r="G41" s="43">
        <f>index!AU42</f>
        <v>0</v>
      </c>
      <c r="H41" s="6">
        <f>index!AV42</f>
        <v>0</v>
      </c>
      <c r="I41" s="44">
        <f>index!BO42</f>
        <v>0</v>
      </c>
      <c r="J41" s="44">
        <f>index!BR42</f>
        <v>0</v>
      </c>
      <c r="K41" s="44">
        <f>index!BT42</f>
        <v>0</v>
      </c>
      <c r="L41" s="40">
        <f>index!BU42</f>
        <v>0</v>
      </c>
    </row>
    <row r="42" spans="1:12" x14ac:dyDescent="0.35">
      <c r="A42" s="39">
        <v>41</v>
      </c>
      <c r="B42" s="40">
        <f>index!AP43</f>
        <v>0</v>
      </c>
      <c r="C42" s="41">
        <f>index!AQ43</f>
        <v>0</v>
      </c>
      <c r="D42" s="42">
        <f>index!AR43</f>
        <v>0</v>
      </c>
      <c r="E42" s="31">
        <f>index!AS43</f>
        <v>0</v>
      </c>
      <c r="F42" s="31">
        <f>index!AT43</f>
        <v>0</v>
      </c>
      <c r="G42" s="43">
        <f>index!AU43</f>
        <v>0</v>
      </c>
      <c r="H42" s="6">
        <f>index!AV43</f>
        <v>0</v>
      </c>
      <c r="I42" s="44">
        <f>index!BO43</f>
        <v>0</v>
      </c>
      <c r="J42" s="44">
        <f>index!BR43</f>
        <v>0</v>
      </c>
      <c r="K42" s="44">
        <f>index!BT43</f>
        <v>0</v>
      </c>
      <c r="L42" s="40">
        <f>index!BU43</f>
        <v>0</v>
      </c>
    </row>
    <row r="43" spans="1:12" x14ac:dyDescent="0.35">
      <c r="A43" s="39">
        <v>42</v>
      </c>
      <c r="B43" s="40">
        <f>index!AP44</f>
        <v>0</v>
      </c>
      <c r="C43" s="41">
        <f>index!AQ44</f>
        <v>0</v>
      </c>
      <c r="D43" s="42">
        <f>index!AR44</f>
        <v>0</v>
      </c>
      <c r="E43" s="31">
        <f>index!AS44</f>
        <v>0</v>
      </c>
      <c r="F43" s="31">
        <f>index!AT44</f>
        <v>0</v>
      </c>
      <c r="G43" s="43">
        <f>index!AU44</f>
        <v>0</v>
      </c>
      <c r="H43" s="6">
        <f>index!AV44</f>
        <v>0</v>
      </c>
      <c r="I43" s="44">
        <f>index!BO44</f>
        <v>0</v>
      </c>
      <c r="J43" s="44">
        <f>index!BR44</f>
        <v>0</v>
      </c>
      <c r="K43" s="44">
        <f>index!BT44</f>
        <v>0</v>
      </c>
      <c r="L43" s="40">
        <f>index!BU44</f>
        <v>0</v>
      </c>
    </row>
    <row r="44" spans="1:12" x14ac:dyDescent="0.35">
      <c r="A44" s="39">
        <v>43</v>
      </c>
      <c r="B44" s="40">
        <f>index!AP45</f>
        <v>0</v>
      </c>
      <c r="C44" s="41">
        <f>index!AQ45</f>
        <v>0</v>
      </c>
      <c r="D44" s="42">
        <f>index!AR45</f>
        <v>0</v>
      </c>
      <c r="E44" s="31">
        <f>index!AS45</f>
        <v>0</v>
      </c>
      <c r="F44" s="31">
        <f>index!AT45</f>
        <v>0</v>
      </c>
      <c r="G44" s="43">
        <f>index!AU45</f>
        <v>0</v>
      </c>
      <c r="H44" s="6">
        <f>index!AV45</f>
        <v>0</v>
      </c>
      <c r="I44" s="44">
        <f>index!BO45</f>
        <v>0</v>
      </c>
      <c r="J44" s="44">
        <f>index!BR45</f>
        <v>0</v>
      </c>
      <c r="K44" s="44">
        <f>index!BT45</f>
        <v>0</v>
      </c>
      <c r="L44" s="40">
        <f>index!BU45</f>
        <v>0</v>
      </c>
    </row>
    <row r="45" spans="1:12" x14ac:dyDescent="0.35">
      <c r="A45" s="39">
        <v>44</v>
      </c>
      <c r="B45" s="40">
        <f>index!AP46</f>
        <v>0</v>
      </c>
      <c r="C45" s="41">
        <f>index!AQ46</f>
        <v>0</v>
      </c>
      <c r="D45" s="42">
        <f>index!AR46</f>
        <v>0</v>
      </c>
      <c r="E45" s="31">
        <f>index!AS46</f>
        <v>0</v>
      </c>
      <c r="F45" s="31">
        <f>index!AT46</f>
        <v>0</v>
      </c>
      <c r="G45" s="43">
        <f>index!AU46</f>
        <v>0</v>
      </c>
      <c r="H45" s="6">
        <f>index!AV46</f>
        <v>0</v>
      </c>
      <c r="I45" s="44">
        <f>index!BO46</f>
        <v>0</v>
      </c>
      <c r="J45" s="44">
        <f>index!BR46</f>
        <v>0</v>
      </c>
      <c r="K45" s="44">
        <f>index!BT46</f>
        <v>0</v>
      </c>
      <c r="L45" s="40">
        <f>index!BU46</f>
        <v>0</v>
      </c>
    </row>
    <row r="46" spans="1:12" x14ac:dyDescent="0.35">
      <c r="A46" s="39">
        <v>45</v>
      </c>
      <c r="B46" s="40">
        <f>index!AP47</f>
        <v>0</v>
      </c>
      <c r="C46" s="41">
        <f>index!AQ47</f>
        <v>0</v>
      </c>
      <c r="D46" s="42">
        <f>index!AR47</f>
        <v>0</v>
      </c>
      <c r="E46" s="31">
        <f>index!AS47</f>
        <v>0</v>
      </c>
      <c r="F46" s="31">
        <f>index!AT47</f>
        <v>0</v>
      </c>
      <c r="G46" s="43">
        <f>index!AU47</f>
        <v>0</v>
      </c>
      <c r="H46" s="6">
        <f>index!AV47</f>
        <v>0</v>
      </c>
      <c r="I46" s="44">
        <f>index!BO47</f>
        <v>0</v>
      </c>
      <c r="J46" s="44">
        <f>index!BR47</f>
        <v>0</v>
      </c>
      <c r="K46" s="44">
        <f>index!BT47</f>
        <v>0</v>
      </c>
      <c r="L46" s="40">
        <f>index!BU47</f>
        <v>0</v>
      </c>
    </row>
    <row r="47" spans="1:12" x14ac:dyDescent="0.35">
      <c r="A47" s="39">
        <v>46</v>
      </c>
      <c r="B47" s="40">
        <f>index!AP48</f>
        <v>0</v>
      </c>
      <c r="C47" s="41">
        <f>index!AQ48</f>
        <v>0</v>
      </c>
      <c r="D47" s="42">
        <f>index!AR48</f>
        <v>0</v>
      </c>
      <c r="E47" s="31">
        <f>index!AS48</f>
        <v>0</v>
      </c>
      <c r="F47" s="31">
        <f>index!AT48</f>
        <v>0</v>
      </c>
      <c r="G47" s="43">
        <f>index!AU48</f>
        <v>0</v>
      </c>
      <c r="H47" s="6">
        <f>index!AV48</f>
        <v>0</v>
      </c>
      <c r="I47" s="44">
        <f>index!BO48</f>
        <v>0</v>
      </c>
      <c r="J47" s="44">
        <f>index!BR48</f>
        <v>0</v>
      </c>
      <c r="K47" s="44">
        <f>index!BT48</f>
        <v>0</v>
      </c>
      <c r="L47" s="40">
        <f>index!BU48</f>
        <v>0</v>
      </c>
    </row>
    <row r="48" spans="1:12" x14ac:dyDescent="0.35">
      <c r="A48" s="39">
        <v>47</v>
      </c>
      <c r="B48" s="40">
        <f>index!AP49</f>
        <v>0</v>
      </c>
      <c r="C48" s="41">
        <f>index!AQ49</f>
        <v>0</v>
      </c>
      <c r="D48" s="42">
        <f>index!AR49</f>
        <v>0</v>
      </c>
      <c r="E48" s="31">
        <f>index!AS49</f>
        <v>0</v>
      </c>
      <c r="F48" s="31">
        <f>index!AT49</f>
        <v>0</v>
      </c>
      <c r="G48" s="43">
        <f>index!AU49</f>
        <v>0</v>
      </c>
      <c r="H48" s="6">
        <f>index!AV49</f>
        <v>0</v>
      </c>
      <c r="I48" s="44">
        <f>index!BO49</f>
        <v>0</v>
      </c>
      <c r="J48" s="44">
        <f>index!BR49</f>
        <v>0</v>
      </c>
      <c r="K48" s="44">
        <f>index!BT49</f>
        <v>0</v>
      </c>
      <c r="L48" s="40">
        <f>index!BU49</f>
        <v>0</v>
      </c>
    </row>
    <row r="49" spans="1:12" x14ac:dyDescent="0.35">
      <c r="A49" s="39">
        <v>48</v>
      </c>
      <c r="B49" s="40">
        <f>index!AP50</f>
        <v>0</v>
      </c>
      <c r="C49" s="41">
        <f>index!AQ50</f>
        <v>0</v>
      </c>
      <c r="D49" s="42">
        <f>index!AR50</f>
        <v>0</v>
      </c>
      <c r="E49" s="31">
        <f>index!AS50</f>
        <v>0</v>
      </c>
      <c r="F49" s="31">
        <f>index!AT50</f>
        <v>0</v>
      </c>
      <c r="G49" s="43">
        <f>index!AU50</f>
        <v>0</v>
      </c>
      <c r="H49" s="6">
        <f>index!AV50</f>
        <v>0</v>
      </c>
      <c r="I49" s="44">
        <f>index!BO50</f>
        <v>0</v>
      </c>
      <c r="J49" s="44">
        <f>index!BR50</f>
        <v>0</v>
      </c>
      <c r="K49" s="44">
        <f>index!BT50</f>
        <v>0</v>
      </c>
      <c r="L49" s="40">
        <f>index!BU50</f>
        <v>0</v>
      </c>
    </row>
    <row r="50" spans="1:12" x14ac:dyDescent="0.35">
      <c r="A50" s="39">
        <v>49</v>
      </c>
      <c r="B50" s="40">
        <f>index!AP51</f>
        <v>0</v>
      </c>
      <c r="C50" s="41">
        <f>index!AQ51</f>
        <v>0</v>
      </c>
      <c r="D50" s="42">
        <f>index!AR51</f>
        <v>0</v>
      </c>
      <c r="E50" s="31">
        <f>index!AS51</f>
        <v>0</v>
      </c>
      <c r="F50" s="31">
        <f>index!AT51</f>
        <v>0</v>
      </c>
      <c r="G50" s="43">
        <f>index!AU51</f>
        <v>0</v>
      </c>
      <c r="H50" s="6">
        <f>index!AV51</f>
        <v>0</v>
      </c>
      <c r="I50" s="44">
        <f>index!BO51</f>
        <v>0</v>
      </c>
      <c r="J50" s="44">
        <f>index!BR51</f>
        <v>0</v>
      </c>
      <c r="K50" s="44">
        <f>index!BT51</f>
        <v>0</v>
      </c>
      <c r="L50" s="40">
        <f>index!BU51</f>
        <v>0</v>
      </c>
    </row>
    <row r="51" spans="1:12" x14ac:dyDescent="0.35">
      <c r="A51" s="39">
        <v>50</v>
      </c>
      <c r="B51" s="40">
        <f>index!AP52</f>
        <v>0</v>
      </c>
      <c r="C51" s="41">
        <f>index!AQ52</f>
        <v>0</v>
      </c>
      <c r="D51" s="42">
        <f>index!AR52</f>
        <v>0</v>
      </c>
      <c r="E51" s="31">
        <f>index!AS52</f>
        <v>0</v>
      </c>
      <c r="F51" s="31">
        <f>index!AT52</f>
        <v>0</v>
      </c>
      <c r="G51" s="43">
        <f>index!AU52</f>
        <v>0</v>
      </c>
      <c r="H51" s="6">
        <f>index!AV52</f>
        <v>0</v>
      </c>
      <c r="I51" s="44">
        <f>index!BO52</f>
        <v>0</v>
      </c>
      <c r="J51" s="44">
        <f>index!BR52</f>
        <v>0</v>
      </c>
      <c r="K51" s="44">
        <f>index!BT52</f>
        <v>0</v>
      </c>
      <c r="L51" s="40">
        <f>index!BU52</f>
        <v>0</v>
      </c>
    </row>
    <row r="52" spans="1:12" x14ac:dyDescent="0.35">
      <c r="A52" s="39">
        <v>51</v>
      </c>
      <c r="B52" s="40">
        <f>index!AP53</f>
        <v>0</v>
      </c>
      <c r="C52" s="41">
        <f>index!AQ53</f>
        <v>0</v>
      </c>
      <c r="D52" s="42">
        <f>index!AR53</f>
        <v>0</v>
      </c>
      <c r="E52" s="31">
        <f>index!AS53</f>
        <v>0</v>
      </c>
      <c r="F52" s="31">
        <f>index!AT53</f>
        <v>0</v>
      </c>
      <c r="G52" s="43">
        <f>index!AU53</f>
        <v>0</v>
      </c>
      <c r="H52" s="6">
        <f>index!AV53</f>
        <v>0</v>
      </c>
      <c r="I52" s="44">
        <f>index!BO53</f>
        <v>0</v>
      </c>
      <c r="J52" s="44">
        <f>index!BR53</f>
        <v>0</v>
      </c>
      <c r="K52" s="44">
        <f>index!BT53</f>
        <v>0</v>
      </c>
      <c r="L52" s="40">
        <f>index!BU53</f>
        <v>0</v>
      </c>
    </row>
    <row r="53" spans="1:12" x14ac:dyDescent="0.35">
      <c r="A53" s="39">
        <v>52</v>
      </c>
      <c r="B53" s="40">
        <f>index!AP54</f>
        <v>0</v>
      </c>
      <c r="C53" s="41">
        <f>index!AQ54</f>
        <v>0</v>
      </c>
      <c r="D53" s="42">
        <f>index!AR54</f>
        <v>0</v>
      </c>
      <c r="E53" s="31">
        <f>index!AS54</f>
        <v>0</v>
      </c>
      <c r="F53" s="31">
        <f>index!AT54</f>
        <v>0</v>
      </c>
      <c r="G53" s="43">
        <f>index!AU54</f>
        <v>0</v>
      </c>
      <c r="H53" s="6">
        <f>index!AV54</f>
        <v>0</v>
      </c>
      <c r="I53" s="44">
        <f>index!BO54</f>
        <v>0</v>
      </c>
      <c r="J53" s="44">
        <f>index!BR54</f>
        <v>0</v>
      </c>
      <c r="K53" s="44">
        <f>index!BT54</f>
        <v>0</v>
      </c>
      <c r="L53" s="40">
        <f>index!BU54</f>
        <v>0</v>
      </c>
    </row>
    <row r="54" spans="1:12" x14ac:dyDescent="0.35">
      <c r="A54" s="39">
        <v>53</v>
      </c>
      <c r="B54" s="40">
        <f>index!AP55</f>
        <v>0</v>
      </c>
      <c r="C54" s="41">
        <f>index!AQ55</f>
        <v>0</v>
      </c>
      <c r="D54" s="42">
        <f>index!AR55</f>
        <v>0</v>
      </c>
      <c r="E54" s="31">
        <f>index!AS55</f>
        <v>0</v>
      </c>
      <c r="F54" s="31">
        <f>index!AT55</f>
        <v>0</v>
      </c>
      <c r="G54" s="43">
        <f>index!AU55</f>
        <v>0</v>
      </c>
      <c r="H54" s="6">
        <f>index!AV55</f>
        <v>0</v>
      </c>
      <c r="I54" s="44">
        <f>index!BO55</f>
        <v>0</v>
      </c>
      <c r="J54" s="44">
        <f>index!BR55</f>
        <v>0</v>
      </c>
      <c r="K54" s="44">
        <f>index!BT55</f>
        <v>0</v>
      </c>
      <c r="L54" s="40">
        <f>index!BU55</f>
        <v>0</v>
      </c>
    </row>
    <row r="55" spans="1:12" x14ac:dyDescent="0.35">
      <c r="A55" s="39">
        <v>54</v>
      </c>
      <c r="B55" s="40">
        <f>index!AP56</f>
        <v>0</v>
      </c>
      <c r="C55" s="41">
        <f>index!AQ56</f>
        <v>0</v>
      </c>
      <c r="D55" s="42">
        <f>index!AR56</f>
        <v>0</v>
      </c>
      <c r="E55" s="31">
        <f>index!AS56</f>
        <v>0</v>
      </c>
      <c r="F55" s="31">
        <f>index!AT56</f>
        <v>0</v>
      </c>
      <c r="G55" s="43">
        <f>index!AU56</f>
        <v>0</v>
      </c>
      <c r="H55" s="6">
        <f>index!AV56</f>
        <v>0</v>
      </c>
      <c r="I55" s="44">
        <f>index!BO56</f>
        <v>0</v>
      </c>
      <c r="J55" s="44">
        <f>index!BR56</f>
        <v>0</v>
      </c>
      <c r="K55" s="44">
        <f>index!BT56</f>
        <v>0</v>
      </c>
      <c r="L55" s="40">
        <f>index!BU56</f>
        <v>0</v>
      </c>
    </row>
    <row r="56" spans="1:12" x14ac:dyDescent="0.35">
      <c r="A56" s="39">
        <v>55</v>
      </c>
      <c r="B56" s="40">
        <f>index!AP57</f>
        <v>0</v>
      </c>
      <c r="C56" s="41">
        <f>index!AQ57</f>
        <v>0</v>
      </c>
      <c r="D56" s="42">
        <f>index!AR57</f>
        <v>0</v>
      </c>
      <c r="E56" s="31">
        <f>index!AS57</f>
        <v>0</v>
      </c>
      <c r="F56" s="31">
        <f>index!AT57</f>
        <v>0</v>
      </c>
      <c r="G56" s="43">
        <f>index!AU57</f>
        <v>0</v>
      </c>
      <c r="H56" s="6">
        <f>index!AV57</f>
        <v>0</v>
      </c>
      <c r="I56" s="44">
        <f>index!BO57</f>
        <v>0</v>
      </c>
      <c r="J56" s="44">
        <f>index!BR57</f>
        <v>0</v>
      </c>
      <c r="K56" s="44">
        <f>index!BT57</f>
        <v>0</v>
      </c>
      <c r="L56" s="40">
        <f>index!BU57</f>
        <v>0</v>
      </c>
    </row>
    <row r="57" spans="1:12" x14ac:dyDescent="0.35">
      <c r="A57" s="39">
        <v>56</v>
      </c>
      <c r="B57" s="40">
        <f>index!AP58</f>
        <v>0</v>
      </c>
      <c r="C57" s="41">
        <f>index!AQ58</f>
        <v>0</v>
      </c>
      <c r="D57" s="42">
        <f>index!AR58</f>
        <v>0</v>
      </c>
      <c r="E57" s="31">
        <f>index!AS58</f>
        <v>0</v>
      </c>
      <c r="F57" s="31">
        <f>index!AT58</f>
        <v>0</v>
      </c>
      <c r="G57" s="43">
        <f>index!AU58</f>
        <v>0</v>
      </c>
      <c r="H57" s="6">
        <f>index!AV58</f>
        <v>0</v>
      </c>
      <c r="I57" s="44">
        <f>index!BO58</f>
        <v>0</v>
      </c>
      <c r="J57" s="44">
        <f>index!BR58</f>
        <v>0</v>
      </c>
      <c r="K57" s="44">
        <f>index!BT58</f>
        <v>0</v>
      </c>
      <c r="L57" s="40">
        <f>index!BU58</f>
        <v>0</v>
      </c>
    </row>
    <row r="58" spans="1:12" x14ac:dyDescent="0.35">
      <c r="A58" s="39">
        <v>57</v>
      </c>
      <c r="B58" s="40">
        <f>index!AP59</f>
        <v>0</v>
      </c>
      <c r="C58" s="41">
        <f>index!AQ59</f>
        <v>0</v>
      </c>
      <c r="D58" s="42">
        <f>index!AR59</f>
        <v>0</v>
      </c>
      <c r="E58" s="31">
        <f>index!AS59</f>
        <v>0</v>
      </c>
      <c r="F58" s="31">
        <f>index!AT59</f>
        <v>0</v>
      </c>
      <c r="G58" s="43">
        <f>index!AU59</f>
        <v>0</v>
      </c>
      <c r="H58" s="6">
        <f>index!AV59</f>
        <v>0</v>
      </c>
      <c r="I58" s="44">
        <f>index!BO59</f>
        <v>0</v>
      </c>
      <c r="J58" s="44">
        <f>index!BR59</f>
        <v>0</v>
      </c>
      <c r="K58" s="44">
        <f>index!BT59</f>
        <v>0</v>
      </c>
      <c r="L58" s="40">
        <f>index!BU59</f>
        <v>0</v>
      </c>
    </row>
    <row r="59" spans="1:12" x14ac:dyDescent="0.35">
      <c r="A59" s="39">
        <v>58</v>
      </c>
      <c r="B59" s="40">
        <f>index!AP60</f>
        <v>0</v>
      </c>
      <c r="C59" s="41">
        <f>index!AQ60</f>
        <v>0</v>
      </c>
      <c r="D59" s="42">
        <f>index!AR60</f>
        <v>0</v>
      </c>
      <c r="E59" s="31">
        <f>index!AS60</f>
        <v>0</v>
      </c>
      <c r="F59" s="31">
        <f>index!AT60</f>
        <v>0</v>
      </c>
      <c r="G59" s="43">
        <f>index!AU60</f>
        <v>0</v>
      </c>
      <c r="H59" s="6">
        <f>index!AV60</f>
        <v>0</v>
      </c>
      <c r="I59" s="44">
        <f>index!BO60</f>
        <v>0</v>
      </c>
      <c r="J59" s="44">
        <f>index!BR60</f>
        <v>0</v>
      </c>
      <c r="K59" s="44">
        <f>index!BT60</f>
        <v>0</v>
      </c>
      <c r="L59" s="40">
        <f>index!BU60</f>
        <v>0</v>
      </c>
    </row>
    <row r="60" spans="1:12" x14ac:dyDescent="0.35">
      <c r="A60" s="39">
        <v>59</v>
      </c>
      <c r="B60" s="40">
        <f>index!AP61</f>
        <v>0</v>
      </c>
      <c r="C60" s="41">
        <f>index!AQ61</f>
        <v>0</v>
      </c>
      <c r="D60" s="42">
        <f>index!AR61</f>
        <v>0</v>
      </c>
      <c r="E60" s="31">
        <f>index!AS61</f>
        <v>0</v>
      </c>
      <c r="F60" s="31">
        <f>index!AT61</f>
        <v>0</v>
      </c>
      <c r="G60" s="43">
        <f>index!AU61</f>
        <v>0</v>
      </c>
      <c r="H60" s="6">
        <f>index!AV61</f>
        <v>0</v>
      </c>
      <c r="I60" s="44">
        <f>index!BO61</f>
        <v>0</v>
      </c>
      <c r="J60" s="44">
        <f>index!BR61</f>
        <v>0</v>
      </c>
      <c r="K60" s="44">
        <f>index!BT61</f>
        <v>0</v>
      </c>
      <c r="L60" s="40">
        <f>index!BU61</f>
        <v>0</v>
      </c>
    </row>
    <row r="61" spans="1:12" x14ac:dyDescent="0.35">
      <c r="A61" s="39">
        <v>60</v>
      </c>
      <c r="B61" s="40">
        <f>index!AP62</f>
        <v>0</v>
      </c>
      <c r="C61" s="41">
        <f>index!AQ62</f>
        <v>0</v>
      </c>
      <c r="D61" s="42">
        <f>index!AR62</f>
        <v>0</v>
      </c>
      <c r="E61" s="31">
        <f>index!AS62</f>
        <v>0</v>
      </c>
      <c r="F61" s="31">
        <f>index!AT62</f>
        <v>0</v>
      </c>
      <c r="G61" s="43">
        <f>index!AU62</f>
        <v>0</v>
      </c>
      <c r="H61" s="6">
        <f>index!AV62</f>
        <v>0</v>
      </c>
      <c r="I61" s="44">
        <f>index!BO62</f>
        <v>0</v>
      </c>
      <c r="J61" s="44">
        <f>index!BR62</f>
        <v>0</v>
      </c>
      <c r="K61" s="44">
        <f>index!BT62</f>
        <v>0</v>
      </c>
      <c r="L61" s="40">
        <f>index!BU62</f>
        <v>0</v>
      </c>
    </row>
    <row r="62" spans="1:12" x14ac:dyDescent="0.35">
      <c r="A62" s="39">
        <v>61</v>
      </c>
      <c r="B62" s="40">
        <f>index!AP63</f>
        <v>0</v>
      </c>
      <c r="C62" s="41">
        <f>index!AQ63</f>
        <v>0</v>
      </c>
      <c r="D62" s="42">
        <f>index!AR63</f>
        <v>0</v>
      </c>
      <c r="E62" s="31">
        <f>index!AS63</f>
        <v>0</v>
      </c>
      <c r="F62" s="31">
        <f>index!AT63</f>
        <v>0</v>
      </c>
      <c r="G62" s="43">
        <f>index!AU63</f>
        <v>0</v>
      </c>
      <c r="H62" s="6">
        <f>index!AV63</f>
        <v>0</v>
      </c>
      <c r="I62" s="44">
        <f>index!BO63</f>
        <v>0</v>
      </c>
      <c r="J62" s="44">
        <f>index!BR63</f>
        <v>0</v>
      </c>
      <c r="K62" s="44">
        <f>index!BT63</f>
        <v>0</v>
      </c>
      <c r="L62" s="40">
        <f>index!BU63</f>
        <v>0</v>
      </c>
    </row>
    <row r="63" spans="1:12" x14ac:dyDescent="0.35">
      <c r="A63" s="39">
        <v>62</v>
      </c>
      <c r="B63" s="40">
        <f>index!AP64</f>
        <v>0</v>
      </c>
      <c r="C63" s="41">
        <f>index!AQ64</f>
        <v>0</v>
      </c>
      <c r="D63" s="42">
        <f>index!AR64</f>
        <v>0</v>
      </c>
      <c r="E63" s="31">
        <f>index!AS64</f>
        <v>0</v>
      </c>
      <c r="F63" s="31">
        <f>index!AT64</f>
        <v>0</v>
      </c>
      <c r="G63" s="43">
        <f>index!AU64</f>
        <v>0</v>
      </c>
      <c r="H63" s="6">
        <f>index!AV64</f>
        <v>0</v>
      </c>
      <c r="I63" s="44">
        <f>index!BO64</f>
        <v>0</v>
      </c>
      <c r="J63" s="44">
        <f>index!BR64</f>
        <v>0</v>
      </c>
      <c r="K63" s="44">
        <f>index!BT64</f>
        <v>0</v>
      </c>
      <c r="L63" s="40">
        <f>index!BU64</f>
        <v>0</v>
      </c>
    </row>
    <row r="64" spans="1:12" x14ac:dyDescent="0.35">
      <c r="A64" s="39">
        <v>63</v>
      </c>
      <c r="B64" s="40">
        <f>index!AP65</f>
        <v>0</v>
      </c>
      <c r="C64" s="41">
        <f>index!AQ65</f>
        <v>0</v>
      </c>
      <c r="D64" s="42">
        <f>index!AR65</f>
        <v>0</v>
      </c>
      <c r="E64" s="31">
        <f>index!AS65</f>
        <v>0</v>
      </c>
      <c r="F64" s="31">
        <f>index!AT65</f>
        <v>0</v>
      </c>
      <c r="G64" s="43">
        <f>index!AU65</f>
        <v>0</v>
      </c>
      <c r="H64" s="6">
        <f>index!AV65</f>
        <v>0</v>
      </c>
      <c r="I64" s="44">
        <f>index!BO65</f>
        <v>0</v>
      </c>
      <c r="J64" s="44">
        <f>index!BR65</f>
        <v>0</v>
      </c>
      <c r="K64" s="44">
        <f>index!BT65</f>
        <v>0</v>
      </c>
      <c r="L64" s="40">
        <f>index!BU65</f>
        <v>0</v>
      </c>
    </row>
    <row r="65" spans="1:12" x14ac:dyDescent="0.35">
      <c r="A65" s="39">
        <v>64</v>
      </c>
      <c r="B65" s="40">
        <f>index!AP66</f>
        <v>0</v>
      </c>
      <c r="C65" s="41">
        <f>index!AQ66</f>
        <v>0</v>
      </c>
      <c r="D65" s="42">
        <f>index!AR66</f>
        <v>0</v>
      </c>
      <c r="E65" s="31">
        <f>index!AS66</f>
        <v>0</v>
      </c>
      <c r="F65" s="31">
        <f>index!AT66</f>
        <v>0</v>
      </c>
      <c r="G65" s="43">
        <f>index!AU66</f>
        <v>0</v>
      </c>
      <c r="H65" s="6">
        <f>index!AV66</f>
        <v>0</v>
      </c>
      <c r="I65" s="44">
        <f>index!BO66</f>
        <v>0</v>
      </c>
      <c r="J65" s="44">
        <f>index!BR66</f>
        <v>0</v>
      </c>
      <c r="K65" s="44">
        <f>index!BT66</f>
        <v>0</v>
      </c>
      <c r="L65" s="40">
        <f>index!BU66</f>
        <v>0</v>
      </c>
    </row>
    <row r="66" spans="1:12" x14ac:dyDescent="0.35">
      <c r="A66" s="39">
        <v>65</v>
      </c>
      <c r="B66" s="40">
        <f>index!AP67</f>
        <v>0</v>
      </c>
      <c r="C66" s="41">
        <f>index!AQ67</f>
        <v>0</v>
      </c>
      <c r="D66" s="42">
        <f>index!AR67</f>
        <v>0</v>
      </c>
      <c r="E66" s="31">
        <f>index!AS67</f>
        <v>0</v>
      </c>
      <c r="F66" s="31">
        <f>index!AT67</f>
        <v>0</v>
      </c>
      <c r="G66" s="43">
        <f>index!AU67</f>
        <v>0</v>
      </c>
      <c r="H66" s="6">
        <f>index!AV67</f>
        <v>0</v>
      </c>
      <c r="I66" s="44">
        <f>index!BO67</f>
        <v>0</v>
      </c>
      <c r="J66" s="44">
        <f>index!BR67</f>
        <v>0</v>
      </c>
      <c r="K66" s="44">
        <f>index!BT67</f>
        <v>0</v>
      </c>
      <c r="L66" s="40">
        <f>index!BU67</f>
        <v>0</v>
      </c>
    </row>
    <row r="67" spans="1:12" x14ac:dyDescent="0.35">
      <c r="A67" s="39">
        <v>66</v>
      </c>
      <c r="B67" s="40">
        <f>index!AP68</f>
        <v>0</v>
      </c>
      <c r="C67" s="41">
        <f>index!AQ68</f>
        <v>0</v>
      </c>
      <c r="D67" s="42">
        <f>index!AR68</f>
        <v>0</v>
      </c>
      <c r="E67" s="31">
        <f>index!AS68</f>
        <v>0</v>
      </c>
      <c r="F67" s="31">
        <f>index!AT68</f>
        <v>0</v>
      </c>
      <c r="G67" s="43">
        <f>index!AU68</f>
        <v>0</v>
      </c>
      <c r="H67" s="6">
        <f>index!AV68</f>
        <v>0</v>
      </c>
      <c r="I67" s="44">
        <f>index!BO68</f>
        <v>0</v>
      </c>
      <c r="J67" s="44">
        <f>index!BR68</f>
        <v>0</v>
      </c>
      <c r="K67" s="44">
        <f>index!BT68</f>
        <v>0</v>
      </c>
      <c r="L67" s="40">
        <f>index!BU68</f>
        <v>0</v>
      </c>
    </row>
    <row r="68" spans="1:12" x14ac:dyDescent="0.35">
      <c r="A68" s="39">
        <v>67</v>
      </c>
      <c r="B68" s="40">
        <f>index!AP69</f>
        <v>0</v>
      </c>
      <c r="C68" s="41">
        <f>index!AQ69</f>
        <v>0</v>
      </c>
      <c r="D68" s="42">
        <f>index!AR69</f>
        <v>0</v>
      </c>
      <c r="E68" s="31">
        <f>index!AS69</f>
        <v>0</v>
      </c>
      <c r="F68" s="31">
        <f>index!AT69</f>
        <v>0</v>
      </c>
      <c r="G68" s="43">
        <f>index!AU69</f>
        <v>0</v>
      </c>
      <c r="H68" s="6">
        <f>index!AV69</f>
        <v>0</v>
      </c>
      <c r="I68" s="44">
        <f>index!BO69</f>
        <v>0</v>
      </c>
      <c r="J68" s="44">
        <f>index!BR69</f>
        <v>0</v>
      </c>
      <c r="K68" s="44">
        <f>index!BT69</f>
        <v>0</v>
      </c>
      <c r="L68" s="40">
        <f>index!BU69</f>
        <v>0</v>
      </c>
    </row>
    <row r="69" spans="1:12" x14ac:dyDescent="0.35">
      <c r="A69" s="39">
        <v>68</v>
      </c>
      <c r="B69" s="40">
        <f>index!AP70</f>
        <v>0</v>
      </c>
      <c r="C69" s="41">
        <f>index!AQ70</f>
        <v>0</v>
      </c>
      <c r="D69" s="42">
        <f>index!AR70</f>
        <v>0</v>
      </c>
      <c r="E69" s="31">
        <f>index!AS70</f>
        <v>0</v>
      </c>
      <c r="F69" s="31">
        <f>index!AT70</f>
        <v>0</v>
      </c>
      <c r="G69" s="43">
        <f>index!AU70</f>
        <v>0</v>
      </c>
      <c r="H69" s="6">
        <f>index!AV70</f>
        <v>0</v>
      </c>
      <c r="I69" s="44">
        <f>index!BO70</f>
        <v>0</v>
      </c>
      <c r="J69" s="44">
        <f>index!BR70</f>
        <v>0</v>
      </c>
      <c r="K69" s="44">
        <f>index!BT70</f>
        <v>0</v>
      </c>
      <c r="L69" s="40">
        <f>index!BU70</f>
        <v>0</v>
      </c>
    </row>
    <row r="70" spans="1:12" x14ac:dyDescent="0.35">
      <c r="A70" s="39">
        <v>69</v>
      </c>
      <c r="B70" s="40">
        <f>index!AP71</f>
        <v>0</v>
      </c>
      <c r="C70" s="41">
        <f>index!AQ71</f>
        <v>0</v>
      </c>
      <c r="D70" s="42">
        <f>index!AR71</f>
        <v>0</v>
      </c>
      <c r="E70" s="31">
        <f>index!AS71</f>
        <v>0</v>
      </c>
      <c r="F70" s="31">
        <f>index!AT71</f>
        <v>0</v>
      </c>
      <c r="G70" s="43">
        <f>index!AU71</f>
        <v>0</v>
      </c>
      <c r="H70" s="6">
        <f>index!AV71</f>
        <v>0</v>
      </c>
      <c r="I70" s="44">
        <f>index!BO71</f>
        <v>0</v>
      </c>
      <c r="J70" s="44">
        <f>index!BR71</f>
        <v>0</v>
      </c>
      <c r="K70" s="44">
        <f>index!BT71</f>
        <v>0</v>
      </c>
      <c r="L70" s="40">
        <f>index!BU71</f>
        <v>0</v>
      </c>
    </row>
    <row r="71" spans="1:12" x14ac:dyDescent="0.35">
      <c r="A71" s="39">
        <v>70</v>
      </c>
      <c r="B71" s="40">
        <f>index!AP72</f>
        <v>0</v>
      </c>
      <c r="C71" s="41">
        <f>index!AQ72</f>
        <v>0</v>
      </c>
      <c r="D71" s="42">
        <f>index!AR72</f>
        <v>0</v>
      </c>
      <c r="E71" s="31">
        <f>index!AS72</f>
        <v>0</v>
      </c>
      <c r="F71" s="31">
        <f>index!AT72</f>
        <v>0</v>
      </c>
      <c r="G71" s="43">
        <f>index!AU72</f>
        <v>0</v>
      </c>
      <c r="H71" s="6">
        <f>index!AV72</f>
        <v>0</v>
      </c>
      <c r="I71" s="44">
        <f>index!BO72</f>
        <v>0</v>
      </c>
      <c r="J71" s="44">
        <f>index!BR72</f>
        <v>0</v>
      </c>
      <c r="K71" s="44">
        <f>index!BT72</f>
        <v>0</v>
      </c>
      <c r="L71" s="40">
        <f>index!BU72</f>
        <v>0</v>
      </c>
    </row>
    <row r="72" spans="1:12" x14ac:dyDescent="0.35">
      <c r="A72" s="39">
        <v>71</v>
      </c>
      <c r="B72" s="40">
        <f>index!AP73</f>
        <v>0</v>
      </c>
      <c r="C72" s="41">
        <f>index!AQ73</f>
        <v>0</v>
      </c>
      <c r="D72" s="42">
        <f>index!AR73</f>
        <v>0</v>
      </c>
      <c r="E72" s="31">
        <f>index!AS73</f>
        <v>0</v>
      </c>
      <c r="F72" s="31">
        <f>index!AT73</f>
        <v>0</v>
      </c>
      <c r="G72" s="43">
        <f>index!AU73</f>
        <v>0</v>
      </c>
      <c r="H72" s="6">
        <f>index!AV73</f>
        <v>0</v>
      </c>
      <c r="I72" s="44">
        <f>index!BO73</f>
        <v>0</v>
      </c>
      <c r="J72" s="44">
        <f>index!BR73</f>
        <v>0</v>
      </c>
      <c r="K72" s="44">
        <f>index!BT73</f>
        <v>0</v>
      </c>
      <c r="L72" s="40">
        <f>index!BU73</f>
        <v>0</v>
      </c>
    </row>
    <row r="73" spans="1:12" x14ac:dyDescent="0.35">
      <c r="A73" s="39">
        <v>72</v>
      </c>
      <c r="B73" s="40">
        <f>index!AP74</f>
        <v>0</v>
      </c>
      <c r="C73" s="41">
        <f>index!AQ74</f>
        <v>0</v>
      </c>
      <c r="D73" s="42">
        <f>index!AR74</f>
        <v>0</v>
      </c>
      <c r="E73" s="31">
        <f>index!AS74</f>
        <v>0</v>
      </c>
      <c r="F73" s="31">
        <f>index!AT74</f>
        <v>0</v>
      </c>
      <c r="G73" s="43">
        <f>index!AU74</f>
        <v>0</v>
      </c>
      <c r="H73" s="6">
        <f>index!AV74</f>
        <v>0</v>
      </c>
      <c r="I73" s="44">
        <f>index!BO74</f>
        <v>0</v>
      </c>
      <c r="J73" s="44">
        <f>index!BR74</f>
        <v>0</v>
      </c>
      <c r="K73" s="44">
        <f>index!BT74</f>
        <v>0</v>
      </c>
      <c r="L73" s="40">
        <f>index!BU74</f>
        <v>0</v>
      </c>
    </row>
    <row r="74" spans="1:12" x14ac:dyDescent="0.35">
      <c r="A74" s="39">
        <v>73</v>
      </c>
      <c r="B74" s="40">
        <f>index!AP75</f>
        <v>0</v>
      </c>
      <c r="C74" s="41">
        <f>index!AQ75</f>
        <v>0</v>
      </c>
      <c r="D74" s="42">
        <f>index!AR75</f>
        <v>0</v>
      </c>
      <c r="E74" s="31">
        <f>index!AS75</f>
        <v>0</v>
      </c>
      <c r="F74" s="31">
        <f>index!AT75</f>
        <v>0</v>
      </c>
      <c r="G74" s="43">
        <f>index!AU75</f>
        <v>0</v>
      </c>
      <c r="H74" s="6">
        <f>index!AV75</f>
        <v>0</v>
      </c>
      <c r="I74" s="44">
        <f>index!BO75</f>
        <v>0</v>
      </c>
      <c r="J74" s="44">
        <f>index!BR75</f>
        <v>0</v>
      </c>
      <c r="K74" s="44">
        <f>index!BT75</f>
        <v>0</v>
      </c>
      <c r="L74" s="40">
        <f>index!BU75</f>
        <v>0</v>
      </c>
    </row>
    <row r="75" spans="1:12" x14ac:dyDescent="0.35">
      <c r="A75" s="39">
        <v>74</v>
      </c>
      <c r="B75" s="40">
        <f>index!AP76</f>
        <v>0</v>
      </c>
      <c r="C75" s="41">
        <f>index!AQ76</f>
        <v>0</v>
      </c>
      <c r="D75" s="42">
        <f>index!AR76</f>
        <v>0</v>
      </c>
      <c r="E75" s="31">
        <f>index!AS76</f>
        <v>0</v>
      </c>
      <c r="F75" s="31">
        <f>index!AT76</f>
        <v>0</v>
      </c>
      <c r="G75" s="43">
        <f>index!AU76</f>
        <v>0</v>
      </c>
      <c r="H75" s="6">
        <f>index!AV76</f>
        <v>0</v>
      </c>
      <c r="I75" s="44">
        <f>index!BO76</f>
        <v>0</v>
      </c>
      <c r="J75" s="44">
        <f>index!BR76</f>
        <v>0</v>
      </c>
      <c r="K75" s="44">
        <f>index!BT76</f>
        <v>0</v>
      </c>
      <c r="L75" s="40">
        <f>index!BU76</f>
        <v>0</v>
      </c>
    </row>
    <row r="76" spans="1:12" x14ac:dyDescent="0.35">
      <c r="A76" s="39">
        <v>75</v>
      </c>
      <c r="B76" s="40">
        <f>index!AP77</f>
        <v>0</v>
      </c>
      <c r="C76" s="41">
        <f>index!AQ77</f>
        <v>0</v>
      </c>
      <c r="D76" s="42">
        <f>index!AR77</f>
        <v>0</v>
      </c>
      <c r="E76" s="31">
        <f>index!AS77</f>
        <v>0</v>
      </c>
      <c r="F76" s="31">
        <f>index!AT77</f>
        <v>0</v>
      </c>
      <c r="G76" s="43">
        <f>index!AU77</f>
        <v>0</v>
      </c>
      <c r="H76" s="6">
        <f>index!AV77</f>
        <v>0</v>
      </c>
      <c r="I76" s="44">
        <f>index!BO77</f>
        <v>0</v>
      </c>
      <c r="J76" s="44">
        <f>index!BR77</f>
        <v>0</v>
      </c>
      <c r="K76" s="44">
        <f>index!BT77</f>
        <v>0</v>
      </c>
      <c r="L76" s="40">
        <f>index!BU77</f>
        <v>0</v>
      </c>
    </row>
    <row r="77" spans="1:12" x14ac:dyDescent="0.35">
      <c r="A77" s="39">
        <v>76</v>
      </c>
      <c r="B77" s="40">
        <f>index!AP78</f>
        <v>0</v>
      </c>
      <c r="C77" s="41">
        <f>index!AQ78</f>
        <v>0</v>
      </c>
      <c r="D77" s="42">
        <f>index!AR78</f>
        <v>0</v>
      </c>
      <c r="E77" s="31">
        <f>index!AS78</f>
        <v>0</v>
      </c>
      <c r="F77" s="31">
        <f>index!AT78</f>
        <v>0</v>
      </c>
      <c r="G77" s="43">
        <f>index!AU78</f>
        <v>0</v>
      </c>
      <c r="H77" s="6">
        <f>index!AV78</f>
        <v>0</v>
      </c>
      <c r="I77" s="44">
        <f>index!BO78</f>
        <v>0</v>
      </c>
      <c r="J77" s="44">
        <f>index!BR78</f>
        <v>0</v>
      </c>
      <c r="K77" s="44">
        <f>index!BT78</f>
        <v>0</v>
      </c>
      <c r="L77" s="40">
        <f>index!BU78</f>
        <v>0</v>
      </c>
    </row>
    <row r="78" spans="1:12" x14ac:dyDescent="0.35">
      <c r="A78" s="39">
        <v>77</v>
      </c>
      <c r="B78" s="40">
        <f>index!AP79</f>
        <v>0</v>
      </c>
      <c r="C78" s="41">
        <f>index!AQ79</f>
        <v>0</v>
      </c>
      <c r="D78" s="42">
        <f>index!AR79</f>
        <v>0</v>
      </c>
      <c r="E78" s="31">
        <f>index!AS79</f>
        <v>0</v>
      </c>
      <c r="F78" s="31">
        <f>index!AT79</f>
        <v>0</v>
      </c>
      <c r="G78" s="43">
        <f>index!AU79</f>
        <v>0</v>
      </c>
      <c r="H78" s="6">
        <f>index!AV79</f>
        <v>0</v>
      </c>
      <c r="I78" s="44">
        <f>index!BO79</f>
        <v>0</v>
      </c>
      <c r="J78" s="44">
        <f>index!BR79</f>
        <v>0</v>
      </c>
      <c r="K78" s="44">
        <f>index!BT79</f>
        <v>0</v>
      </c>
      <c r="L78" s="40">
        <f>index!BU79</f>
        <v>0</v>
      </c>
    </row>
    <row r="79" spans="1:12" x14ac:dyDescent="0.35">
      <c r="A79" s="39">
        <v>78</v>
      </c>
      <c r="B79" s="40">
        <f>index!AP80</f>
        <v>0</v>
      </c>
      <c r="C79" s="41">
        <f>index!AQ80</f>
        <v>0</v>
      </c>
      <c r="D79" s="42">
        <f>index!AR80</f>
        <v>0</v>
      </c>
      <c r="E79" s="31">
        <f>index!AS80</f>
        <v>0</v>
      </c>
      <c r="F79" s="31">
        <f>index!AT80</f>
        <v>0</v>
      </c>
      <c r="G79" s="43">
        <f>index!AU80</f>
        <v>0</v>
      </c>
      <c r="H79" s="6">
        <f>index!AV80</f>
        <v>0</v>
      </c>
      <c r="I79" s="44">
        <f>index!BO80</f>
        <v>0</v>
      </c>
      <c r="J79" s="44">
        <f>index!BR80</f>
        <v>0</v>
      </c>
      <c r="K79" s="44">
        <f>index!BT80</f>
        <v>0</v>
      </c>
      <c r="L79" s="40">
        <f>index!BU80</f>
        <v>0</v>
      </c>
    </row>
    <row r="80" spans="1:12" x14ac:dyDescent="0.35">
      <c r="A80" s="39">
        <v>79</v>
      </c>
      <c r="B80" s="40">
        <f>index!AP81</f>
        <v>0</v>
      </c>
      <c r="C80" s="41">
        <f>index!AQ81</f>
        <v>0</v>
      </c>
      <c r="D80" s="42">
        <f>index!AR81</f>
        <v>0</v>
      </c>
      <c r="E80" s="31">
        <f>index!AS81</f>
        <v>0</v>
      </c>
      <c r="F80" s="31">
        <f>index!AT81</f>
        <v>0</v>
      </c>
      <c r="G80" s="43">
        <f>index!AU81</f>
        <v>0</v>
      </c>
      <c r="H80" s="6">
        <f>index!AV81</f>
        <v>0</v>
      </c>
      <c r="I80" s="44">
        <f>index!BO81</f>
        <v>0</v>
      </c>
      <c r="J80" s="44">
        <f>index!BR81</f>
        <v>0</v>
      </c>
      <c r="K80" s="44">
        <f>index!BT81</f>
        <v>0</v>
      </c>
      <c r="L80" s="40">
        <f>index!BU81</f>
        <v>0</v>
      </c>
    </row>
    <row r="81" spans="1:12" x14ac:dyDescent="0.35">
      <c r="A81" s="39">
        <v>80</v>
      </c>
      <c r="B81" s="40">
        <f>index!AP82</f>
        <v>0</v>
      </c>
      <c r="C81" s="41">
        <f>index!AQ82</f>
        <v>0</v>
      </c>
      <c r="D81" s="42">
        <f>index!AR82</f>
        <v>0</v>
      </c>
      <c r="E81" s="31">
        <f>index!AS82</f>
        <v>0</v>
      </c>
      <c r="F81" s="31">
        <f>index!AT82</f>
        <v>0</v>
      </c>
      <c r="G81" s="43">
        <f>index!AU82</f>
        <v>0</v>
      </c>
      <c r="H81" s="6">
        <f>index!AV82</f>
        <v>0</v>
      </c>
      <c r="I81" s="44">
        <f>index!BO82</f>
        <v>0</v>
      </c>
      <c r="J81" s="44">
        <f>index!BR82</f>
        <v>0</v>
      </c>
      <c r="K81" s="44">
        <f>index!BT82</f>
        <v>0</v>
      </c>
      <c r="L81" s="40">
        <f>index!BU82</f>
        <v>0</v>
      </c>
    </row>
    <row r="82" spans="1:12" x14ac:dyDescent="0.35">
      <c r="A82" s="39">
        <v>81</v>
      </c>
      <c r="B82" s="40">
        <f>index!AP83</f>
        <v>0</v>
      </c>
      <c r="C82" s="41">
        <f>index!AQ83</f>
        <v>0</v>
      </c>
      <c r="D82" s="42">
        <f>index!AR83</f>
        <v>0</v>
      </c>
      <c r="E82" s="31">
        <f>index!AS83</f>
        <v>0</v>
      </c>
      <c r="F82" s="31">
        <f>index!AT83</f>
        <v>0</v>
      </c>
      <c r="G82" s="43">
        <f>index!AU83</f>
        <v>0</v>
      </c>
      <c r="H82" s="6">
        <f>index!AV83</f>
        <v>0</v>
      </c>
      <c r="I82" s="44">
        <f>index!BO83</f>
        <v>0</v>
      </c>
      <c r="J82" s="44">
        <f>index!BR83</f>
        <v>0</v>
      </c>
      <c r="K82" s="44">
        <f>index!BT83</f>
        <v>0</v>
      </c>
      <c r="L82" s="40">
        <f>index!BU83</f>
        <v>0</v>
      </c>
    </row>
    <row r="83" spans="1:12" x14ac:dyDescent="0.35">
      <c r="A83" s="39">
        <v>82</v>
      </c>
      <c r="B83" s="40">
        <f>index!AP84</f>
        <v>0</v>
      </c>
      <c r="C83" s="41">
        <f>index!AQ84</f>
        <v>0</v>
      </c>
      <c r="D83" s="42">
        <f>index!AR84</f>
        <v>0</v>
      </c>
      <c r="E83" s="31">
        <f>index!AS84</f>
        <v>0</v>
      </c>
      <c r="F83" s="31">
        <f>index!AT84</f>
        <v>0</v>
      </c>
      <c r="G83" s="43">
        <f>index!AU84</f>
        <v>0</v>
      </c>
      <c r="H83" s="6">
        <f>index!AV84</f>
        <v>0</v>
      </c>
      <c r="I83" s="44">
        <f>index!BO84</f>
        <v>0</v>
      </c>
      <c r="J83" s="44">
        <f>index!BR84</f>
        <v>0</v>
      </c>
      <c r="K83" s="44">
        <f>index!BT84</f>
        <v>0</v>
      </c>
      <c r="L83" s="40">
        <f>index!BU84</f>
        <v>0</v>
      </c>
    </row>
    <row r="84" spans="1:12" x14ac:dyDescent="0.35">
      <c r="A84" s="39">
        <v>83</v>
      </c>
      <c r="B84" s="40">
        <f>index!AP85</f>
        <v>0</v>
      </c>
      <c r="C84" s="41">
        <f>index!AQ85</f>
        <v>0</v>
      </c>
      <c r="D84" s="42">
        <f>index!AR85</f>
        <v>0</v>
      </c>
      <c r="E84" s="31">
        <f>index!AS85</f>
        <v>0</v>
      </c>
      <c r="F84" s="31">
        <f>index!AT85</f>
        <v>0</v>
      </c>
      <c r="G84" s="43">
        <f>index!AU85</f>
        <v>0</v>
      </c>
      <c r="H84" s="6">
        <f>index!AV85</f>
        <v>0</v>
      </c>
      <c r="I84" s="44">
        <f>index!BO85</f>
        <v>0</v>
      </c>
      <c r="J84" s="44">
        <f>index!BR85</f>
        <v>0</v>
      </c>
      <c r="K84" s="44">
        <f>index!BT85</f>
        <v>0</v>
      </c>
      <c r="L84" s="40">
        <f>index!BU85</f>
        <v>0</v>
      </c>
    </row>
    <row r="85" spans="1:12" x14ac:dyDescent="0.35">
      <c r="A85" s="39">
        <v>84</v>
      </c>
      <c r="B85" s="40">
        <f>index!AP86</f>
        <v>0</v>
      </c>
      <c r="C85" s="41">
        <f>index!AQ86</f>
        <v>0</v>
      </c>
      <c r="D85" s="42">
        <f>index!AR86</f>
        <v>0</v>
      </c>
      <c r="E85" s="31">
        <f>index!AS86</f>
        <v>0</v>
      </c>
      <c r="F85" s="31">
        <f>index!AT86</f>
        <v>0</v>
      </c>
      <c r="G85" s="43">
        <f>index!AU86</f>
        <v>0</v>
      </c>
      <c r="H85" s="6">
        <f>index!AV86</f>
        <v>0</v>
      </c>
      <c r="I85" s="44">
        <f>index!BO86</f>
        <v>0</v>
      </c>
      <c r="J85" s="44">
        <f>index!BR86</f>
        <v>0</v>
      </c>
      <c r="K85" s="44">
        <f>index!BT86</f>
        <v>0</v>
      </c>
      <c r="L85" s="40">
        <f>index!BU86</f>
        <v>0</v>
      </c>
    </row>
    <row r="86" spans="1:12" x14ac:dyDescent="0.35">
      <c r="A86" s="39">
        <v>85</v>
      </c>
      <c r="B86" s="40">
        <f>index!AP87</f>
        <v>0</v>
      </c>
      <c r="C86" s="41">
        <f>index!AQ87</f>
        <v>0</v>
      </c>
      <c r="D86" s="42">
        <f>index!AR87</f>
        <v>0</v>
      </c>
      <c r="E86" s="31">
        <f>index!AS87</f>
        <v>0</v>
      </c>
      <c r="F86" s="31">
        <f>index!AT87</f>
        <v>0</v>
      </c>
      <c r="G86" s="43">
        <f>index!AU87</f>
        <v>0</v>
      </c>
      <c r="H86" s="6">
        <f>index!AV87</f>
        <v>0</v>
      </c>
      <c r="I86" s="44">
        <f>index!BO87</f>
        <v>0</v>
      </c>
      <c r="J86" s="44">
        <f>index!BR87</f>
        <v>0</v>
      </c>
      <c r="K86" s="44">
        <f>index!BT87</f>
        <v>0</v>
      </c>
      <c r="L86" s="40">
        <f>index!BU87</f>
        <v>0</v>
      </c>
    </row>
    <row r="87" spans="1:12" x14ac:dyDescent="0.35">
      <c r="A87" s="39">
        <v>86</v>
      </c>
      <c r="B87" s="40">
        <f>index!AP88</f>
        <v>0</v>
      </c>
      <c r="C87" s="41">
        <f>index!AQ88</f>
        <v>0</v>
      </c>
      <c r="D87" s="42">
        <f>index!AR88</f>
        <v>0</v>
      </c>
      <c r="E87" s="31">
        <f>index!AS88</f>
        <v>0</v>
      </c>
      <c r="F87" s="31">
        <f>index!AT88</f>
        <v>0</v>
      </c>
      <c r="G87" s="43">
        <f>index!AU88</f>
        <v>0</v>
      </c>
      <c r="H87" s="6">
        <f>index!AV88</f>
        <v>0</v>
      </c>
      <c r="I87" s="44">
        <f>index!BO88</f>
        <v>0</v>
      </c>
      <c r="J87" s="44">
        <f>index!BR88</f>
        <v>0</v>
      </c>
      <c r="K87" s="44">
        <f>index!BT88</f>
        <v>0</v>
      </c>
      <c r="L87" s="40">
        <f>index!BU88</f>
        <v>0</v>
      </c>
    </row>
    <row r="88" spans="1:12" x14ac:dyDescent="0.35">
      <c r="A88" s="39">
        <v>87</v>
      </c>
      <c r="B88" s="40">
        <f>index!AP89</f>
        <v>0</v>
      </c>
      <c r="C88" s="41">
        <f>index!AQ89</f>
        <v>0</v>
      </c>
      <c r="D88" s="42">
        <f>index!AR89</f>
        <v>0</v>
      </c>
      <c r="E88" s="31">
        <f>index!AS89</f>
        <v>0</v>
      </c>
      <c r="F88" s="31">
        <f>index!AT89</f>
        <v>0</v>
      </c>
      <c r="G88" s="43">
        <f>index!AU89</f>
        <v>0</v>
      </c>
      <c r="H88" s="6">
        <f>index!AV89</f>
        <v>0</v>
      </c>
      <c r="I88" s="44">
        <f>index!BO89</f>
        <v>0</v>
      </c>
      <c r="J88" s="44">
        <f>index!BR89</f>
        <v>0</v>
      </c>
      <c r="K88" s="44">
        <f>index!BT89</f>
        <v>0</v>
      </c>
      <c r="L88" s="40">
        <f>index!BU89</f>
        <v>0</v>
      </c>
    </row>
    <row r="89" spans="1:12" x14ac:dyDescent="0.35">
      <c r="A89" s="39">
        <v>88</v>
      </c>
      <c r="B89" s="40">
        <f>index!AP90</f>
        <v>0</v>
      </c>
      <c r="C89" s="41">
        <f>index!AQ90</f>
        <v>0</v>
      </c>
      <c r="D89" s="42">
        <f>index!AR90</f>
        <v>0</v>
      </c>
      <c r="E89" s="31">
        <f>index!AS90</f>
        <v>0</v>
      </c>
      <c r="F89" s="31">
        <f>index!AT90</f>
        <v>0</v>
      </c>
      <c r="G89" s="43">
        <f>index!AU90</f>
        <v>0</v>
      </c>
      <c r="H89" s="6">
        <f>index!AV90</f>
        <v>0</v>
      </c>
      <c r="I89" s="44">
        <f>index!BO90</f>
        <v>0</v>
      </c>
      <c r="J89" s="44">
        <f>index!BR90</f>
        <v>0</v>
      </c>
      <c r="K89" s="44">
        <f>index!BT90</f>
        <v>0</v>
      </c>
      <c r="L89" s="40">
        <f>index!BU90</f>
        <v>0</v>
      </c>
    </row>
    <row r="90" spans="1:12" x14ac:dyDescent="0.35">
      <c r="A90" s="39">
        <v>89</v>
      </c>
      <c r="B90" s="40">
        <f>index!AP91</f>
        <v>0</v>
      </c>
      <c r="C90" s="41">
        <f>index!AQ91</f>
        <v>0</v>
      </c>
      <c r="D90" s="42">
        <f>index!AR91</f>
        <v>0</v>
      </c>
      <c r="E90" s="31">
        <f>index!AS91</f>
        <v>0</v>
      </c>
      <c r="F90" s="31">
        <f>index!AT91</f>
        <v>0</v>
      </c>
      <c r="G90" s="43">
        <f>index!AU91</f>
        <v>0</v>
      </c>
      <c r="H90" s="6">
        <f>index!AV91</f>
        <v>0</v>
      </c>
      <c r="I90" s="44">
        <f>index!BO91</f>
        <v>0</v>
      </c>
      <c r="J90" s="44">
        <f>index!BR91</f>
        <v>0</v>
      </c>
      <c r="K90" s="44">
        <f>index!BT91</f>
        <v>0</v>
      </c>
      <c r="L90" s="40">
        <f>index!BU91</f>
        <v>0</v>
      </c>
    </row>
    <row r="91" spans="1:12" x14ac:dyDescent="0.35">
      <c r="A91" s="39">
        <v>90</v>
      </c>
      <c r="B91" s="40">
        <f>index!AP92</f>
        <v>0</v>
      </c>
      <c r="C91" s="41">
        <f>index!AQ92</f>
        <v>0</v>
      </c>
      <c r="D91" s="42">
        <f>index!AR92</f>
        <v>0</v>
      </c>
      <c r="E91" s="31">
        <f>index!AS92</f>
        <v>0</v>
      </c>
      <c r="F91" s="31">
        <f>index!AT92</f>
        <v>0</v>
      </c>
      <c r="G91" s="43">
        <f>index!AU92</f>
        <v>0</v>
      </c>
      <c r="H91" s="6">
        <f>index!AV92</f>
        <v>0</v>
      </c>
      <c r="I91" s="44">
        <f>index!BO92</f>
        <v>0</v>
      </c>
      <c r="J91" s="44">
        <f>index!BR92</f>
        <v>0</v>
      </c>
      <c r="K91" s="44">
        <f>index!BT92</f>
        <v>0</v>
      </c>
      <c r="L91" s="40">
        <f>index!BU92</f>
        <v>0</v>
      </c>
    </row>
    <row r="92" spans="1:12" x14ac:dyDescent="0.35">
      <c r="A92" s="39">
        <v>91</v>
      </c>
      <c r="B92" s="40">
        <f>index!AP93</f>
        <v>0</v>
      </c>
      <c r="C92" s="41">
        <f>index!AQ93</f>
        <v>0</v>
      </c>
      <c r="D92" s="42">
        <f>index!AR93</f>
        <v>0</v>
      </c>
      <c r="E92" s="31">
        <f>index!AS93</f>
        <v>0</v>
      </c>
      <c r="F92" s="31">
        <f>index!AT93</f>
        <v>0</v>
      </c>
      <c r="G92" s="43">
        <f>index!AU93</f>
        <v>0</v>
      </c>
      <c r="H92" s="6">
        <f>index!AV93</f>
        <v>0</v>
      </c>
      <c r="I92" s="44">
        <f>index!BO93</f>
        <v>0</v>
      </c>
      <c r="J92" s="44">
        <f>index!BR93</f>
        <v>0</v>
      </c>
      <c r="K92" s="44">
        <f>index!BT93</f>
        <v>0</v>
      </c>
      <c r="L92" s="40">
        <f>index!BU93</f>
        <v>0</v>
      </c>
    </row>
    <row r="93" spans="1:12" x14ac:dyDescent="0.35">
      <c r="A93" s="39">
        <v>92</v>
      </c>
      <c r="B93" s="40">
        <f>index!AP94</f>
        <v>0</v>
      </c>
      <c r="C93" s="41">
        <f>index!AQ94</f>
        <v>0</v>
      </c>
      <c r="D93" s="42">
        <f>index!AR94</f>
        <v>0</v>
      </c>
      <c r="E93" s="31">
        <f>index!AS94</f>
        <v>0</v>
      </c>
      <c r="F93" s="31">
        <f>index!AT94</f>
        <v>0</v>
      </c>
      <c r="G93" s="43">
        <f>index!AU94</f>
        <v>0</v>
      </c>
      <c r="H93" s="6">
        <f>index!AV94</f>
        <v>0</v>
      </c>
      <c r="I93" s="44">
        <f>index!BO94</f>
        <v>0</v>
      </c>
      <c r="J93" s="44">
        <f>index!BR94</f>
        <v>0</v>
      </c>
      <c r="K93" s="44">
        <f>index!BT94</f>
        <v>0</v>
      </c>
      <c r="L93" s="40">
        <f>index!BU94</f>
        <v>0</v>
      </c>
    </row>
    <row r="94" spans="1:12" x14ac:dyDescent="0.35">
      <c r="A94" s="39">
        <v>93</v>
      </c>
      <c r="B94" s="40">
        <f>index!AP95</f>
        <v>0</v>
      </c>
      <c r="C94" s="41">
        <f>index!AQ95</f>
        <v>0</v>
      </c>
      <c r="D94" s="42">
        <f>index!AR95</f>
        <v>0</v>
      </c>
      <c r="E94" s="31">
        <f>index!AS95</f>
        <v>0</v>
      </c>
      <c r="F94" s="31">
        <f>index!AT95</f>
        <v>0</v>
      </c>
      <c r="G94" s="43">
        <f>index!AU95</f>
        <v>0</v>
      </c>
      <c r="H94" s="6">
        <f>index!AV95</f>
        <v>0</v>
      </c>
      <c r="I94" s="44">
        <f>index!BO95</f>
        <v>0</v>
      </c>
      <c r="J94" s="44">
        <f>index!BR95</f>
        <v>0</v>
      </c>
      <c r="K94" s="44">
        <f>index!BT95</f>
        <v>0</v>
      </c>
      <c r="L94" s="40">
        <f>index!BU95</f>
        <v>0</v>
      </c>
    </row>
    <row r="95" spans="1:12" x14ac:dyDescent="0.35">
      <c r="A95" s="39">
        <v>94</v>
      </c>
      <c r="B95" s="40">
        <f>index!AP96</f>
        <v>0</v>
      </c>
      <c r="C95" s="41">
        <f>index!AQ96</f>
        <v>0</v>
      </c>
      <c r="D95" s="42">
        <f>index!AR96</f>
        <v>0</v>
      </c>
      <c r="E95" s="31">
        <f>index!AS96</f>
        <v>0</v>
      </c>
      <c r="F95" s="31">
        <f>index!AT96</f>
        <v>0</v>
      </c>
      <c r="G95" s="43">
        <f>index!AU96</f>
        <v>0</v>
      </c>
      <c r="H95" s="6">
        <f>index!AV96</f>
        <v>0</v>
      </c>
      <c r="I95" s="44">
        <f>index!BO96</f>
        <v>0</v>
      </c>
      <c r="J95" s="44">
        <f>index!BR96</f>
        <v>0</v>
      </c>
      <c r="K95" s="44">
        <f>index!BT96</f>
        <v>0</v>
      </c>
      <c r="L95" s="40">
        <f>index!BU96</f>
        <v>0</v>
      </c>
    </row>
    <row r="96" spans="1:12" x14ac:dyDescent="0.35">
      <c r="A96" s="39">
        <v>95</v>
      </c>
      <c r="B96" s="40">
        <f>index!AP97</f>
        <v>0</v>
      </c>
      <c r="C96" s="41">
        <f>index!AQ97</f>
        <v>0</v>
      </c>
      <c r="D96" s="42">
        <f>index!AR97</f>
        <v>0</v>
      </c>
      <c r="E96" s="31">
        <f>index!AS97</f>
        <v>0</v>
      </c>
      <c r="F96" s="31">
        <f>index!AT97</f>
        <v>0</v>
      </c>
      <c r="G96" s="43">
        <f>index!AU97</f>
        <v>0</v>
      </c>
      <c r="H96" s="6">
        <f>index!AV97</f>
        <v>0</v>
      </c>
      <c r="I96" s="44">
        <f>index!BO97</f>
        <v>0</v>
      </c>
      <c r="J96" s="44">
        <f>index!BR97</f>
        <v>0</v>
      </c>
      <c r="K96" s="44">
        <f>index!BT97</f>
        <v>0</v>
      </c>
      <c r="L96" s="40">
        <f>index!BU97</f>
        <v>0</v>
      </c>
    </row>
    <row r="97" spans="1:12" x14ac:dyDescent="0.35">
      <c r="A97" s="39">
        <v>96</v>
      </c>
      <c r="B97" s="40">
        <f>index!AP98</f>
        <v>0</v>
      </c>
      <c r="C97" s="41">
        <f>index!AQ98</f>
        <v>0</v>
      </c>
      <c r="D97" s="42">
        <f>index!AR98</f>
        <v>0</v>
      </c>
      <c r="E97" s="31">
        <f>index!AS98</f>
        <v>0</v>
      </c>
      <c r="F97" s="31">
        <f>index!AT98</f>
        <v>0</v>
      </c>
      <c r="G97" s="43">
        <f>index!AU98</f>
        <v>0</v>
      </c>
      <c r="H97" s="6">
        <f>index!AV98</f>
        <v>0</v>
      </c>
      <c r="I97" s="44">
        <f>index!BO98</f>
        <v>0</v>
      </c>
      <c r="J97" s="44">
        <f>index!BR98</f>
        <v>0</v>
      </c>
      <c r="K97" s="44">
        <f>index!BT98</f>
        <v>0</v>
      </c>
      <c r="L97" s="40">
        <f>index!BU98</f>
        <v>0</v>
      </c>
    </row>
    <row r="98" spans="1:12" x14ac:dyDescent="0.35">
      <c r="A98" s="39">
        <v>97</v>
      </c>
      <c r="B98" s="40">
        <f>index!AP99</f>
        <v>0</v>
      </c>
      <c r="C98" s="41">
        <f>index!AQ99</f>
        <v>0</v>
      </c>
      <c r="D98" s="42">
        <f>index!AR99</f>
        <v>0</v>
      </c>
      <c r="E98" s="31">
        <f>index!AS99</f>
        <v>0</v>
      </c>
      <c r="F98" s="31">
        <f>index!AT99</f>
        <v>0</v>
      </c>
      <c r="G98" s="43">
        <f>index!AU99</f>
        <v>0</v>
      </c>
      <c r="H98" s="6">
        <f>index!AV99</f>
        <v>0</v>
      </c>
      <c r="I98" s="44">
        <f>index!BO99</f>
        <v>0</v>
      </c>
      <c r="J98" s="44">
        <f>index!BR99</f>
        <v>0</v>
      </c>
      <c r="K98" s="44">
        <f>index!BT99</f>
        <v>0</v>
      </c>
      <c r="L98" s="40">
        <f>index!BU99</f>
        <v>0</v>
      </c>
    </row>
    <row r="99" spans="1:12" x14ac:dyDescent="0.35">
      <c r="A99" s="39">
        <v>98</v>
      </c>
      <c r="B99" s="40">
        <f>index!AP100</f>
        <v>0</v>
      </c>
      <c r="C99" s="41">
        <f>index!AQ100</f>
        <v>0</v>
      </c>
      <c r="D99" s="42">
        <f>index!AR100</f>
        <v>0</v>
      </c>
      <c r="E99" s="31">
        <f>index!AS100</f>
        <v>0</v>
      </c>
      <c r="F99" s="31">
        <f>index!AT100</f>
        <v>0</v>
      </c>
      <c r="G99" s="43">
        <f>index!AU100</f>
        <v>0</v>
      </c>
      <c r="H99" s="6">
        <f>index!AV100</f>
        <v>0</v>
      </c>
      <c r="I99" s="44">
        <f>index!BO100</f>
        <v>0</v>
      </c>
      <c r="J99" s="44">
        <f>index!BR100</f>
        <v>0</v>
      </c>
      <c r="K99" s="44">
        <f>index!BT100</f>
        <v>0</v>
      </c>
      <c r="L99" s="40">
        <f>index!BU100</f>
        <v>0</v>
      </c>
    </row>
    <row r="100" spans="1:12" x14ac:dyDescent="0.35">
      <c r="A100" s="39">
        <v>99</v>
      </c>
      <c r="B100" s="40">
        <f>index!AP101</f>
        <v>0</v>
      </c>
      <c r="C100" s="41">
        <f>index!AQ101</f>
        <v>0</v>
      </c>
      <c r="D100" s="42">
        <f>index!AR101</f>
        <v>0</v>
      </c>
      <c r="E100" s="31">
        <f>index!AS101</f>
        <v>0</v>
      </c>
      <c r="F100" s="31">
        <f>index!AT101</f>
        <v>0</v>
      </c>
      <c r="G100" s="43">
        <f>index!AU101</f>
        <v>0</v>
      </c>
      <c r="H100" s="6">
        <f>index!AV101</f>
        <v>0</v>
      </c>
      <c r="I100" s="44">
        <f>index!BO101</f>
        <v>0</v>
      </c>
      <c r="J100" s="44">
        <f>index!BR101</f>
        <v>0</v>
      </c>
      <c r="K100" s="44">
        <f>index!BT101</f>
        <v>0</v>
      </c>
      <c r="L100" s="40">
        <f>index!BU101</f>
        <v>0</v>
      </c>
    </row>
    <row r="101" spans="1:12" x14ac:dyDescent="0.35">
      <c r="A101" s="39">
        <v>100</v>
      </c>
      <c r="B101" s="40">
        <f>index!AP102</f>
        <v>0</v>
      </c>
      <c r="C101" s="41">
        <f>index!AQ102</f>
        <v>0</v>
      </c>
      <c r="D101" s="42">
        <f>index!AR102</f>
        <v>0</v>
      </c>
      <c r="E101" s="31">
        <f>index!AS102</f>
        <v>0</v>
      </c>
      <c r="F101" s="31">
        <f>index!AT102</f>
        <v>0</v>
      </c>
      <c r="G101" s="43">
        <f>index!AU102</f>
        <v>0</v>
      </c>
      <c r="H101" s="6">
        <f>index!AV102</f>
        <v>0</v>
      </c>
      <c r="I101" s="44">
        <f>index!BO102</f>
        <v>0</v>
      </c>
      <c r="J101" s="44">
        <f>index!BR102</f>
        <v>0</v>
      </c>
      <c r="K101" s="44">
        <f>index!BT102</f>
        <v>0</v>
      </c>
      <c r="L101" s="40">
        <f>index!BU102</f>
        <v>0</v>
      </c>
    </row>
    <row r="102" spans="1:12" x14ac:dyDescent="0.35">
      <c r="A102" s="39">
        <v>101</v>
      </c>
      <c r="B102" s="40">
        <f>index!AP103</f>
        <v>0</v>
      </c>
      <c r="C102" s="41">
        <f>index!AQ103</f>
        <v>0</v>
      </c>
      <c r="D102" s="42">
        <f>index!AR103</f>
        <v>0</v>
      </c>
      <c r="E102" s="31">
        <f>index!AS103</f>
        <v>0</v>
      </c>
      <c r="F102" s="31">
        <f>index!AT103</f>
        <v>0</v>
      </c>
      <c r="G102" s="43">
        <f>index!AU103</f>
        <v>0</v>
      </c>
      <c r="H102" s="6">
        <f>index!AV103</f>
        <v>0</v>
      </c>
      <c r="I102" s="44">
        <f>index!BO103</f>
        <v>0</v>
      </c>
      <c r="J102" s="44">
        <f>index!BR103</f>
        <v>0</v>
      </c>
      <c r="K102" s="44">
        <f>index!BT103</f>
        <v>0</v>
      </c>
      <c r="L102" s="40">
        <f>index!BU103</f>
        <v>0</v>
      </c>
    </row>
    <row r="103" spans="1:12" x14ac:dyDescent="0.35">
      <c r="A103" s="39">
        <v>102</v>
      </c>
      <c r="B103" s="40">
        <f>index!AP104</f>
        <v>0</v>
      </c>
      <c r="C103" s="41">
        <f>index!AQ104</f>
        <v>0</v>
      </c>
      <c r="D103" s="42">
        <f>index!AR104</f>
        <v>0</v>
      </c>
      <c r="E103" s="31">
        <f>index!AS104</f>
        <v>0</v>
      </c>
      <c r="F103" s="31">
        <f>index!AT104</f>
        <v>0</v>
      </c>
      <c r="G103" s="43">
        <f>index!AU104</f>
        <v>0</v>
      </c>
      <c r="H103" s="6">
        <f>index!AV104</f>
        <v>0</v>
      </c>
      <c r="I103" s="44">
        <f>index!BO104</f>
        <v>0</v>
      </c>
      <c r="J103" s="44">
        <f>index!BR104</f>
        <v>0</v>
      </c>
      <c r="K103" s="44">
        <f>index!BT104</f>
        <v>0</v>
      </c>
      <c r="L103" s="40">
        <f>index!BU104</f>
        <v>0</v>
      </c>
    </row>
    <row r="104" spans="1:12" x14ac:dyDescent="0.35">
      <c r="A104" s="39">
        <v>103</v>
      </c>
      <c r="B104" s="40">
        <f>index!AP105</f>
        <v>0</v>
      </c>
      <c r="C104" s="41">
        <f>index!AQ105</f>
        <v>0</v>
      </c>
      <c r="D104" s="42">
        <f>index!AR105</f>
        <v>0</v>
      </c>
      <c r="E104" s="31">
        <f>index!AS105</f>
        <v>0</v>
      </c>
      <c r="F104" s="31">
        <f>index!AT105</f>
        <v>0</v>
      </c>
      <c r="G104" s="43">
        <f>index!AU105</f>
        <v>0</v>
      </c>
      <c r="H104" s="6">
        <f>index!AV105</f>
        <v>0</v>
      </c>
      <c r="I104" s="44">
        <f>index!BO105</f>
        <v>0</v>
      </c>
      <c r="J104" s="44">
        <f>index!BR105</f>
        <v>0</v>
      </c>
      <c r="K104" s="44">
        <f>index!BT105</f>
        <v>0</v>
      </c>
      <c r="L104" s="40">
        <f>index!BU105</f>
        <v>0</v>
      </c>
    </row>
    <row r="105" spans="1:12" x14ac:dyDescent="0.35">
      <c r="A105" s="39">
        <v>104</v>
      </c>
      <c r="B105" s="40">
        <f>index!AP106</f>
        <v>0</v>
      </c>
      <c r="C105" s="41">
        <f>index!AQ106</f>
        <v>0</v>
      </c>
      <c r="D105" s="42">
        <f>index!AR106</f>
        <v>0</v>
      </c>
      <c r="E105" s="31">
        <f>index!AS106</f>
        <v>0</v>
      </c>
      <c r="F105" s="31">
        <f>index!AT106</f>
        <v>0</v>
      </c>
      <c r="G105" s="43">
        <f>index!AU106</f>
        <v>0</v>
      </c>
      <c r="H105" s="6">
        <f>index!AV106</f>
        <v>0</v>
      </c>
      <c r="I105" s="44">
        <f>index!BO106</f>
        <v>0</v>
      </c>
      <c r="J105" s="44">
        <f>index!BR106</f>
        <v>0</v>
      </c>
      <c r="K105" s="44">
        <f>index!BT106</f>
        <v>0</v>
      </c>
      <c r="L105" s="40">
        <f>index!BU106</f>
        <v>0</v>
      </c>
    </row>
    <row r="106" spans="1:12" x14ac:dyDescent="0.35">
      <c r="A106" s="39">
        <v>105</v>
      </c>
      <c r="B106" s="40">
        <f>index!AP107</f>
        <v>0</v>
      </c>
      <c r="C106" s="41">
        <f>index!AQ107</f>
        <v>0</v>
      </c>
      <c r="D106" s="42">
        <f>index!AR107</f>
        <v>0</v>
      </c>
      <c r="E106" s="31">
        <f>index!AS107</f>
        <v>0</v>
      </c>
      <c r="F106" s="31">
        <f>index!AT107</f>
        <v>0</v>
      </c>
      <c r="G106" s="43">
        <f>index!AU107</f>
        <v>0</v>
      </c>
      <c r="H106" s="6">
        <f>index!AV107</f>
        <v>0</v>
      </c>
      <c r="I106" s="44">
        <f>index!BO107</f>
        <v>0</v>
      </c>
      <c r="J106" s="44">
        <f>index!BR107</f>
        <v>0</v>
      </c>
      <c r="K106" s="44">
        <f>index!BT107</f>
        <v>0</v>
      </c>
      <c r="L106" s="40">
        <f>index!BU107</f>
        <v>0</v>
      </c>
    </row>
    <row r="107" spans="1:12" x14ac:dyDescent="0.35">
      <c r="A107" s="39">
        <v>106</v>
      </c>
      <c r="B107" s="40">
        <f>index!AP108</f>
        <v>0</v>
      </c>
      <c r="C107" s="41">
        <f>index!AQ108</f>
        <v>0</v>
      </c>
      <c r="D107" s="42">
        <f>index!AR108</f>
        <v>0</v>
      </c>
      <c r="E107" s="31">
        <f>index!AS108</f>
        <v>0</v>
      </c>
      <c r="F107" s="31">
        <f>index!AT108</f>
        <v>0</v>
      </c>
      <c r="G107" s="43">
        <f>index!AU108</f>
        <v>0</v>
      </c>
      <c r="H107" s="6">
        <f>index!AV108</f>
        <v>0</v>
      </c>
      <c r="I107" s="44">
        <f>index!BO108</f>
        <v>0</v>
      </c>
      <c r="J107" s="44">
        <f>index!BR108</f>
        <v>0</v>
      </c>
      <c r="K107" s="44">
        <f>index!BT108</f>
        <v>0</v>
      </c>
      <c r="L107" s="40">
        <f>index!BU108</f>
        <v>0</v>
      </c>
    </row>
    <row r="108" spans="1:12" x14ac:dyDescent="0.35">
      <c r="A108" s="39">
        <v>107</v>
      </c>
      <c r="B108" s="40">
        <f>index!AP109</f>
        <v>0</v>
      </c>
      <c r="C108" s="41">
        <f>index!AQ109</f>
        <v>0</v>
      </c>
      <c r="D108" s="42">
        <f>index!AR109</f>
        <v>0</v>
      </c>
      <c r="E108" s="31">
        <f>index!AS109</f>
        <v>0</v>
      </c>
      <c r="F108" s="31">
        <f>index!AT109</f>
        <v>0</v>
      </c>
      <c r="G108" s="43">
        <f>index!AU109</f>
        <v>0</v>
      </c>
      <c r="H108" s="6">
        <f>index!AV109</f>
        <v>0</v>
      </c>
      <c r="I108" s="44">
        <f>index!BO109</f>
        <v>0</v>
      </c>
      <c r="J108" s="44">
        <f>index!BR109</f>
        <v>0</v>
      </c>
      <c r="K108" s="44">
        <f>index!BT109</f>
        <v>0</v>
      </c>
      <c r="L108" s="40">
        <f>index!BU109</f>
        <v>0</v>
      </c>
    </row>
    <row r="109" spans="1:12" x14ac:dyDescent="0.35">
      <c r="A109" s="39">
        <v>108</v>
      </c>
      <c r="B109" s="40">
        <f>index!AP110</f>
        <v>0</v>
      </c>
      <c r="C109" s="41">
        <f>index!AQ110</f>
        <v>0</v>
      </c>
      <c r="D109" s="42">
        <f>index!AR110</f>
        <v>0</v>
      </c>
      <c r="E109" s="31">
        <f>index!AS110</f>
        <v>0</v>
      </c>
      <c r="F109" s="31">
        <f>index!AT110</f>
        <v>0</v>
      </c>
      <c r="G109" s="43">
        <f>index!AU110</f>
        <v>0</v>
      </c>
      <c r="H109" s="6">
        <f>index!AV110</f>
        <v>0</v>
      </c>
      <c r="I109" s="44">
        <f>index!BO110</f>
        <v>0</v>
      </c>
      <c r="J109" s="44">
        <f>index!BR110</f>
        <v>0</v>
      </c>
      <c r="K109" s="44">
        <f>index!BT110</f>
        <v>0</v>
      </c>
      <c r="L109" s="40">
        <f>index!BU110</f>
        <v>0</v>
      </c>
    </row>
    <row r="110" spans="1:12" x14ac:dyDescent="0.35">
      <c r="A110" s="39">
        <v>109</v>
      </c>
      <c r="B110" s="40">
        <f>index!AP111</f>
        <v>0</v>
      </c>
      <c r="C110" s="41">
        <f>index!AQ111</f>
        <v>0</v>
      </c>
      <c r="D110" s="42">
        <f>index!AR111</f>
        <v>0</v>
      </c>
      <c r="E110" s="31">
        <f>index!AS111</f>
        <v>0</v>
      </c>
      <c r="F110" s="31">
        <f>index!AT111</f>
        <v>0</v>
      </c>
      <c r="G110" s="43">
        <f>index!AU111</f>
        <v>0</v>
      </c>
      <c r="H110" s="6">
        <f>index!AV111</f>
        <v>0</v>
      </c>
      <c r="I110" s="44">
        <f>index!BO111</f>
        <v>0</v>
      </c>
      <c r="J110" s="44">
        <f>index!BR111</f>
        <v>0</v>
      </c>
      <c r="K110" s="44">
        <f>index!BT111</f>
        <v>0</v>
      </c>
      <c r="L110" s="40">
        <f>index!BU111</f>
        <v>0</v>
      </c>
    </row>
    <row r="111" spans="1:12" x14ac:dyDescent="0.35">
      <c r="A111" s="39">
        <v>110</v>
      </c>
      <c r="B111" s="40">
        <f>index!AP112</f>
        <v>0</v>
      </c>
      <c r="C111" s="41">
        <f>index!AQ112</f>
        <v>0</v>
      </c>
      <c r="D111" s="42">
        <f>index!AR112</f>
        <v>0</v>
      </c>
      <c r="E111" s="31">
        <f>index!AS112</f>
        <v>0</v>
      </c>
      <c r="F111" s="31">
        <f>index!AT112</f>
        <v>0</v>
      </c>
      <c r="G111" s="43">
        <f>index!AU112</f>
        <v>0</v>
      </c>
      <c r="H111" s="6">
        <f>index!AV112</f>
        <v>0</v>
      </c>
      <c r="I111" s="44">
        <f>index!BO112</f>
        <v>0</v>
      </c>
      <c r="J111" s="44">
        <f>index!BR112</f>
        <v>0</v>
      </c>
      <c r="K111" s="44">
        <f>index!BT112</f>
        <v>0</v>
      </c>
      <c r="L111" s="40">
        <f>index!BU112</f>
        <v>0</v>
      </c>
    </row>
    <row r="112" spans="1:12" x14ac:dyDescent="0.35">
      <c r="A112" s="39">
        <v>111</v>
      </c>
      <c r="B112" s="40">
        <f>index!AP113</f>
        <v>0</v>
      </c>
      <c r="C112" s="41">
        <f>index!AQ113</f>
        <v>0</v>
      </c>
      <c r="D112" s="42">
        <f>index!AR113</f>
        <v>0</v>
      </c>
      <c r="E112" s="31">
        <f>index!AS113</f>
        <v>0</v>
      </c>
      <c r="F112" s="31">
        <f>index!AT113</f>
        <v>0</v>
      </c>
      <c r="G112" s="43">
        <f>index!AU113</f>
        <v>0</v>
      </c>
      <c r="H112" s="6">
        <f>index!AV113</f>
        <v>0</v>
      </c>
      <c r="I112" s="44">
        <f>index!BO113</f>
        <v>0</v>
      </c>
      <c r="J112" s="44">
        <f>index!BR113</f>
        <v>0</v>
      </c>
      <c r="K112" s="44">
        <f>index!BT113</f>
        <v>0</v>
      </c>
      <c r="L112" s="40">
        <f>index!BU113</f>
        <v>0</v>
      </c>
    </row>
    <row r="113" spans="1:12" x14ac:dyDescent="0.35">
      <c r="A113" s="39">
        <v>112</v>
      </c>
      <c r="B113" s="40">
        <f>index!AP114</f>
        <v>0</v>
      </c>
      <c r="C113" s="41">
        <f>index!AQ114</f>
        <v>0</v>
      </c>
      <c r="D113" s="42">
        <f>index!AR114</f>
        <v>0</v>
      </c>
      <c r="E113" s="31">
        <f>index!AS114</f>
        <v>0</v>
      </c>
      <c r="F113" s="31">
        <f>index!AT114</f>
        <v>0</v>
      </c>
      <c r="G113" s="43">
        <f>index!AU114</f>
        <v>0</v>
      </c>
      <c r="H113" s="6">
        <f>index!AV114</f>
        <v>0</v>
      </c>
      <c r="I113" s="44">
        <f>index!BO114</f>
        <v>0</v>
      </c>
      <c r="J113" s="44">
        <f>index!BR114</f>
        <v>0</v>
      </c>
      <c r="K113" s="44">
        <f>index!BT114</f>
        <v>0</v>
      </c>
      <c r="L113" s="40">
        <f>index!BU114</f>
        <v>0</v>
      </c>
    </row>
    <row r="114" spans="1:12" x14ac:dyDescent="0.35">
      <c r="A114" s="39">
        <v>113</v>
      </c>
      <c r="B114" s="40">
        <f>index!AP115</f>
        <v>0</v>
      </c>
      <c r="C114" s="41">
        <f>index!AQ115</f>
        <v>0</v>
      </c>
      <c r="D114" s="42">
        <f>index!AR115</f>
        <v>0</v>
      </c>
      <c r="E114" s="31">
        <f>index!AS115</f>
        <v>0</v>
      </c>
      <c r="F114" s="31">
        <f>index!AT115</f>
        <v>0</v>
      </c>
      <c r="G114" s="43">
        <f>index!AU115</f>
        <v>0</v>
      </c>
      <c r="H114" s="6">
        <f>index!AV115</f>
        <v>0</v>
      </c>
      <c r="I114" s="44">
        <f>index!BO115</f>
        <v>0</v>
      </c>
      <c r="J114" s="44">
        <f>index!BR115</f>
        <v>0</v>
      </c>
      <c r="K114" s="44">
        <f>index!BT115</f>
        <v>0</v>
      </c>
      <c r="L114" s="40">
        <f>index!BU115</f>
        <v>0</v>
      </c>
    </row>
    <row r="115" spans="1:12" x14ac:dyDescent="0.35">
      <c r="A115" s="39">
        <v>114</v>
      </c>
      <c r="B115" s="40">
        <f>index!AP116</f>
        <v>0</v>
      </c>
      <c r="C115" s="41">
        <f>index!AQ116</f>
        <v>0</v>
      </c>
      <c r="D115" s="42">
        <f>index!AR116</f>
        <v>0</v>
      </c>
      <c r="E115" s="31">
        <f>index!AS116</f>
        <v>0</v>
      </c>
      <c r="F115" s="31">
        <f>index!AT116</f>
        <v>0</v>
      </c>
      <c r="G115" s="43">
        <f>index!AU116</f>
        <v>0</v>
      </c>
      <c r="H115" s="6">
        <f>index!AV116</f>
        <v>0</v>
      </c>
      <c r="I115" s="44">
        <f>index!BO116</f>
        <v>0</v>
      </c>
      <c r="J115" s="44">
        <f>index!BR116</f>
        <v>0</v>
      </c>
      <c r="K115" s="44">
        <f>index!BT116</f>
        <v>0</v>
      </c>
      <c r="L115" s="40">
        <f>index!BU116</f>
        <v>0</v>
      </c>
    </row>
    <row r="116" spans="1:12" x14ac:dyDescent="0.35">
      <c r="A116" s="39">
        <v>115</v>
      </c>
      <c r="B116" s="40">
        <f>index!AP117</f>
        <v>0</v>
      </c>
      <c r="C116" s="41">
        <f>index!AQ117</f>
        <v>0</v>
      </c>
      <c r="D116" s="42">
        <f>index!AR117</f>
        <v>0</v>
      </c>
      <c r="E116" s="31">
        <f>index!AS117</f>
        <v>0</v>
      </c>
      <c r="F116" s="31">
        <f>index!AT117</f>
        <v>0</v>
      </c>
      <c r="G116" s="43">
        <f>index!AU117</f>
        <v>0</v>
      </c>
      <c r="H116" s="6">
        <f>index!AV117</f>
        <v>0</v>
      </c>
      <c r="I116" s="44">
        <f>index!BO117</f>
        <v>0</v>
      </c>
      <c r="J116" s="44">
        <f>index!BR117</f>
        <v>0</v>
      </c>
      <c r="K116" s="44">
        <f>index!BT117</f>
        <v>0</v>
      </c>
      <c r="L116" s="40">
        <f>index!BU117</f>
        <v>0</v>
      </c>
    </row>
    <row r="117" spans="1:12" x14ac:dyDescent="0.35">
      <c r="A117" s="39">
        <v>116</v>
      </c>
      <c r="B117" s="40">
        <f>index!AP118</f>
        <v>0</v>
      </c>
      <c r="C117" s="41">
        <f>index!AQ118</f>
        <v>0</v>
      </c>
      <c r="D117" s="42">
        <f>index!AR118</f>
        <v>0</v>
      </c>
      <c r="E117" s="31">
        <f>index!AS118</f>
        <v>0</v>
      </c>
      <c r="F117" s="31">
        <f>index!AT118</f>
        <v>0</v>
      </c>
      <c r="G117" s="43">
        <f>index!AU118</f>
        <v>0</v>
      </c>
      <c r="H117" s="6">
        <f>index!AV118</f>
        <v>0</v>
      </c>
      <c r="I117" s="44">
        <f>index!BO118</f>
        <v>0</v>
      </c>
      <c r="J117" s="44">
        <f>index!BR118</f>
        <v>0</v>
      </c>
      <c r="K117" s="44">
        <f>index!BT118</f>
        <v>0</v>
      </c>
      <c r="L117" s="40">
        <f>index!BU118</f>
        <v>0</v>
      </c>
    </row>
    <row r="118" spans="1:12" x14ac:dyDescent="0.35">
      <c r="A118" s="39">
        <v>117</v>
      </c>
      <c r="B118" s="40">
        <f>index!AP119</f>
        <v>0</v>
      </c>
      <c r="C118" s="41">
        <f>index!AQ119</f>
        <v>0</v>
      </c>
      <c r="D118" s="42">
        <f>index!AR119</f>
        <v>0</v>
      </c>
      <c r="E118" s="31">
        <f>index!AS119</f>
        <v>0</v>
      </c>
      <c r="F118" s="31">
        <f>index!AT119</f>
        <v>0</v>
      </c>
      <c r="G118" s="43">
        <f>index!AU119</f>
        <v>0</v>
      </c>
      <c r="H118" s="6">
        <f>index!AV119</f>
        <v>0</v>
      </c>
      <c r="I118" s="44">
        <f>index!BO119</f>
        <v>0</v>
      </c>
      <c r="J118" s="44">
        <f>index!BR119</f>
        <v>0</v>
      </c>
      <c r="K118" s="44">
        <f>index!BT119</f>
        <v>0</v>
      </c>
      <c r="L118" s="40">
        <f>index!BU119</f>
        <v>0</v>
      </c>
    </row>
    <row r="119" spans="1:12" x14ac:dyDescent="0.35">
      <c r="A119" s="39">
        <v>118</v>
      </c>
      <c r="B119" s="40">
        <f>index!AP120</f>
        <v>0</v>
      </c>
      <c r="C119" s="41">
        <f>index!AQ120</f>
        <v>0</v>
      </c>
      <c r="D119" s="42">
        <f>index!AR120</f>
        <v>0</v>
      </c>
      <c r="E119" s="31">
        <f>index!AS120</f>
        <v>0</v>
      </c>
      <c r="F119" s="31">
        <f>index!AT120</f>
        <v>0</v>
      </c>
      <c r="G119" s="43">
        <f>index!AU120</f>
        <v>0</v>
      </c>
      <c r="H119" s="6">
        <f>index!AV120</f>
        <v>0</v>
      </c>
      <c r="I119" s="44">
        <f>index!BO120</f>
        <v>0</v>
      </c>
      <c r="J119" s="44">
        <f>index!BR120</f>
        <v>0</v>
      </c>
      <c r="K119" s="44">
        <f>index!BT120</f>
        <v>0</v>
      </c>
      <c r="L119" s="40">
        <f>index!BU120</f>
        <v>0</v>
      </c>
    </row>
    <row r="120" spans="1:12" x14ac:dyDescent="0.35">
      <c r="A120" s="39">
        <v>119</v>
      </c>
      <c r="B120" s="40">
        <f>index!AP121</f>
        <v>0</v>
      </c>
      <c r="C120" s="41">
        <f>index!AQ121</f>
        <v>0</v>
      </c>
      <c r="D120" s="42">
        <f>index!AR121</f>
        <v>0</v>
      </c>
      <c r="E120" s="31">
        <f>index!AS121</f>
        <v>0</v>
      </c>
      <c r="F120" s="31">
        <f>index!AT121</f>
        <v>0</v>
      </c>
      <c r="G120" s="43">
        <f>index!AU121</f>
        <v>0</v>
      </c>
      <c r="H120" s="6">
        <f>index!AV121</f>
        <v>0</v>
      </c>
      <c r="I120" s="44">
        <f>index!BO121</f>
        <v>0</v>
      </c>
      <c r="J120" s="44">
        <f>index!BR121</f>
        <v>0</v>
      </c>
      <c r="K120" s="44">
        <f>index!BT121</f>
        <v>0</v>
      </c>
      <c r="L120" s="40">
        <f>index!BU121</f>
        <v>0</v>
      </c>
    </row>
    <row r="121" spans="1:12" x14ac:dyDescent="0.35">
      <c r="A121" s="39">
        <v>120</v>
      </c>
      <c r="B121" s="40">
        <f>index!AP122</f>
        <v>0</v>
      </c>
      <c r="C121" s="41">
        <f>index!AQ122</f>
        <v>0</v>
      </c>
      <c r="D121" s="42">
        <f>index!AR122</f>
        <v>0</v>
      </c>
      <c r="E121" s="31">
        <f>index!AS122</f>
        <v>0</v>
      </c>
      <c r="F121" s="31">
        <f>index!AT122</f>
        <v>0</v>
      </c>
      <c r="G121" s="43">
        <f>index!AU122</f>
        <v>0</v>
      </c>
      <c r="H121" s="6">
        <f>index!AV122</f>
        <v>0</v>
      </c>
      <c r="I121" s="44">
        <f>index!BO122</f>
        <v>0</v>
      </c>
      <c r="J121" s="44">
        <f>index!BR122</f>
        <v>0</v>
      </c>
      <c r="K121" s="44">
        <f>index!BT122</f>
        <v>0</v>
      </c>
      <c r="L121" s="40">
        <f>index!BU122</f>
        <v>0</v>
      </c>
    </row>
    <row r="122" spans="1:12" x14ac:dyDescent="0.35">
      <c r="A122" s="39">
        <v>121</v>
      </c>
      <c r="B122" s="40">
        <f>index!AP123</f>
        <v>0</v>
      </c>
      <c r="C122" s="41">
        <f>index!AQ123</f>
        <v>0</v>
      </c>
      <c r="D122" s="42">
        <f>index!AR123</f>
        <v>0</v>
      </c>
      <c r="E122" s="31">
        <f>index!AS123</f>
        <v>0</v>
      </c>
      <c r="F122" s="31">
        <f>index!AT123</f>
        <v>0</v>
      </c>
      <c r="G122" s="43">
        <f>index!AU123</f>
        <v>0</v>
      </c>
      <c r="H122" s="6">
        <f>index!AV123</f>
        <v>0</v>
      </c>
      <c r="I122" s="44">
        <f>index!BO123</f>
        <v>0</v>
      </c>
      <c r="J122" s="44">
        <f>index!BR123</f>
        <v>0</v>
      </c>
      <c r="K122" s="44">
        <f>index!BT123</f>
        <v>0</v>
      </c>
      <c r="L122" s="40">
        <f>index!BU123</f>
        <v>0</v>
      </c>
    </row>
    <row r="123" spans="1:12" x14ac:dyDescent="0.35">
      <c r="A123" s="39">
        <v>122</v>
      </c>
      <c r="B123" s="40">
        <f>index!AP124</f>
        <v>0</v>
      </c>
      <c r="C123" s="41">
        <f>index!AQ124</f>
        <v>0</v>
      </c>
      <c r="D123" s="42">
        <f>index!AR124</f>
        <v>0</v>
      </c>
      <c r="E123" s="31">
        <f>index!AS124</f>
        <v>0</v>
      </c>
      <c r="F123" s="31">
        <f>index!AT124</f>
        <v>0</v>
      </c>
      <c r="G123" s="43">
        <f>index!AU124</f>
        <v>0</v>
      </c>
      <c r="H123" s="6">
        <f>index!AV124</f>
        <v>0</v>
      </c>
      <c r="I123" s="44">
        <f>index!BO124</f>
        <v>0</v>
      </c>
      <c r="J123" s="44">
        <f>index!BR124</f>
        <v>0</v>
      </c>
      <c r="K123" s="44">
        <f>index!BT124</f>
        <v>0</v>
      </c>
      <c r="L123" s="40">
        <f>index!BU124</f>
        <v>0</v>
      </c>
    </row>
    <row r="124" spans="1:12" x14ac:dyDescent="0.35">
      <c r="A124" s="39">
        <v>123</v>
      </c>
      <c r="B124" s="40">
        <f>index!AP125</f>
        <v>0</v>
      </c>
      <c r="C124" s="41">
        <f>index!AQ125</f>
        <v>0</v>
      </c>
      <c r="D124" s="42">
        <f>index!AR125</f>
        <v>0</v>
      </c>
      <c r="E124" s="31">
        <f>index!AS125</f>
        <v>0</v>
      </c>
      <c r="F124" s="31">
        <f>index!AT125</f>
        <v>0</v>
      </c>
      <c r="G124" s="43">
        <f>index!AU125</f>
        <v>0</v>
      </c>
      <c r="H124" s="6">
        <f>index!AV125</f>
        <v>0</v>
      </c>
      <c r="I124" s="44">
        <f>index!BO125</f>
        <v>0</v>
      </c>
      <c r="J124" s="44">
        <f>index!BR125</f>
        <v>0</v>
      </c>
      <c r="K124" s="44">
        <f>index!BT125</f>
        <v>0</v>
      </c>
      <c r="L124" s="40">
        <f>index!BU125</f>
        <v>0</v>
      </c>
    </row>
    <row r="125" spans="1:12" x14ac:dyDescent="0.35">
      <c r="A125" s="39">
        <v>124</v>
      </c>
      <c r="B125" s="40">
        <f>index!AP126</f>
        <v>0</v>
      </c>
      <c r="C125" s="41">
        <f>index!AQ126</f>
        <v>0</v>
      </c>
      <c r="D125" s="42">
        <f>index!AR126</f>
        <v>0</v>
      </c>
      <c r="E125" s="31">
        <f>index!AS126</f>
        <v>0</v>
      </c>
      <c r="F125" s="31">
        <f>index!AT126</f>
        <v>0</v>
      </c>
      <c r="G125" s="43">
        <f>index!AU126</f>
        <v>0</v>
      </c>
      <c r="H125" s="6">
        <f>index!AV126</f>
        <v>0</v>
      </c>
      <c r="I125" s="44">
        <f>index!BO126</f>
        <v>0</v>
      </c>
      <c r="J125" s="44">
        <f>index!BR126</f>
        <v>0</v>
      </c>
      <c r="K125" s="44">
        <f>index!BT126</f>
        <v>0</v>
      </c>
      <c r="L125" s="40">
        <f>index!BU126</f>
        <v>0</v>
      </c>
    </row>
    <row r="126" spans="1:12" x14ac:dyDescent="0.35">
      <c r="A126" s="39">
        <v>125</v>
      </c>
      <c r="B126" s="40">
        <f>index!AP127</f>
        <v>0</v>
      </c>
      <c r="C126" s="41">
        <f>index!AQ127</f>
        <v>0</v>
      </c>
      <c r="D126" s="42">
        <f>index!AR127</f>
        <v>0</v>
      </c>
      <c r="E126" s="31">
        <f>index!AS127</f>
        <v>0</v>
      </c>
      <c r="F126" s="31">
        <f>index!AT127</f>
        <v>0</v>
      </c>
      <c r="G126" s="43">
        <f>index!AU127</f>
        <v>0</v>
      </c>
      <c r="H126" s="6">
        <f>index!AV127</f>
        <v>0</v>
      </c>
      <c r="I126" s="44">
        <f>index!BO127</f>
        <v>0</v>
      </c>
      <c r="J126" s="44">
        <f>index!BR127</f>
        <v>0</v>
      </c>
      <c r="K126" s="44">
        <f>index!BT127</f>
        <v>0</v>
      </c>
      <c r="L126" s="40">
        <f>index!BU127</f>
        <v>0</v>
      </c>
    </row>
    <row r="127" spans="1:12" x14ac:dyDescent="0.35">
      <c r="A127" s="39">
        <v>126</v>
      </c>
      <c r="B127" s="40">
        <f>index!AP128</f>
        <v>0</v>
      </c>
      <c r="C127" s="41">
        <f>index!AQ128</f>
        <v>0</v>
      </c>
      <c r="D127" s="42">
        <f>index!AR128</f>
        <v>0</v>
      </c>
      <c r="E127" s="31">
        <f>index!AS128</f>
        <v>0</v>
      </c>
      <c r="F127" s="31">
        <f>index!AT128</f>
        <v>0</v>
      </c>
      <c r="G127" s="43">
        <f>index!AU128</f>
        <v>0</v>
      </c>
      <c r="H127" s="6">
        <f>index!AV128</f>
        <v>0</v>
      </c>
      <c r="I127" s="44">
        <f>index!BO128</f>
        <v>0</v>
      </c>
      <c r="J127" s="44">
        <f>index!BR128</f>
        <v>0</v>
      </c>
      <c r="K127" s="44">
        <f>index!BT128</f>
        <v>0</v>
      </c>
      <c r="L127" s="40">
        <f>index!BU128</f>
        <v>0</v>
      </c>
    </row>
    <row r="128" spans="1:12" x14ac:dyDescent="0.35">
      <c r="A128" s="39">
        <v>127</v>
      </c>
      <c r="B128" s="40">
        <f>index!AP129</f>
        <v>0</v>
      </c>
      <c r="C128" s="41">
        <f>index!AQ129</f>
        <v>0</v>
      </c>
      <c r="D128" s="42">
        <f>index!AR129</f>
        <v>0</v>
      </c>
      <c r="E128" s="31">
        <f>index!AS129</f>
        <v>0</v>
      </c>
      <c r="F128" s="31">
        <f>index!AT129</f>
        <v>0</v>
      </c>
      <c r="G128" s="43">
        <f>index!AU129</f>
        <v>0</v>
      </c>
      <c r="H128" s="6">
        <f>index!AV129</f>
        <v>0</v>
      </c>
      <c r="I128" s="44">
        <f>index!BO129</f>
        <v>0</v>
      </c>
      <c r="J128" s="44">
        <f>index!BR129</f>
        <v>0</v>
      </c>
      <c r="K128" s="44">
        <f>index!BT129</f>
        <v>0</v>
      </c>
      <c r="L128" s="40">
        <f>index!BU129</f>
        <v>0</v>
      </c>
    </row>
    <row r="129" spans="1:12" x14ac:dyDescent="0.35">
      <c r="A129" s="39">
        <v>128</v>
      </c>
      <c r="B129" s="40">
        <f>index!AP130</f>
        <v>0</v>
      </c>
      <c r="C129" s="41">
        <f>index!AQ130</f>
        <v>0</v>
      </c>
      <c r="D129" s="42">
        <f>index!AR130</f>
        <v>0</v>
      </c>
      <c r="E129" s="31">
        <f>index!AS130</f>
        <v>0</v>
      </c>
      <c r="F129" s="31">
        <f>index!AT130</f>
        <v>0</v>
      </c>
      <c r="G129" s="43">
        <f>index!AU130</f>
        <v>0</v>
      </c>
      <c r="H129" s="6">
        <f>index!AV130</f>
        <v>0</v>
      </c>
      <c r="I129" s="44">
        <f>index!BO130</f>
        <v>0</v>
      </c>
      <c r="J129" s="44">
        <f>index!BR130</f>
        <v>0</v>
      </c>
      <c r="K129" s="44">
        <f>index!BT130</f>
        <v>0</v>
      </c>
      <c r="L129" s="40">
        <f>index!BU130</f>
        <v>0</v>
      </c>
    </row>
    <row r="130" spans="1:12" x14ac:dyDescent="0.35">
      <c r="A130" s="39">
        <v>129</v>
      </c>
      <c r="B130" s="40">
        <f>index!AP131</f>
        <v>0</v>
      </c>
      <c r="C130" s="41">
        <f>index!AQ131</f>
        <v>0</v>
      </c>
      <c r="D130" s="42">
        <f>index!AR131</f>
        <v>0</v>
      </c>
      <c r="E130" s="31">
        <f>index!AS131</f>
        <v>0</v>
      </c>
      <c r="F130" s="31">
        <f>index!AT131</f>
        <v>0</v>
      </c>
      <c r="G130" s="43">
        <f>index!AU131</f>
        <v>0</v>
      </c>
      <c r="H130" s="6">
        <f>index!AV131</f>
        <v>0</v>
      </c>
      <c r="I130" s="44">
        <f>index!BO131</f>
        <v>0</v>
      </c>
      <c r="J130" s="44">
        <f>index!BR131</f>
        <v>0</v>
      </c>
      <c r="K130" s="44">
        <f>index!BT131</f>
        <v>0</v>
      </c>
      <c r="L130" s="40">
        <f>index!BU131</f>
        <v>0</v>
      </c>
    </row>
    <row r="131" spans="1:12" x14ac:dyDescent="0.35">
      <c r="A131" s="39">
        <v>130</v>
      </c>
      <c r="B131" s="40">
        <f>index!AP132</f>
        <v>0</v>
      </c>
      <c r="C131" s="41">
        <f>index!AQ132</f>
        <v>0</v>
      </c>
      <c r="D131" s="42">
        <f>index!AR132</f>
        <v>0</v>
      </c>
      <c r="E131" s="31">
        <f>index!AS132</f>
        <v>0</v>
      </c>
      <c r="F131" s="31">
        <f>index!AT132</f>
        <v>0</v>
      </c>
      <c r="G131" s="43">
        <f>index!AU132</f>
        <v>0</v>
      </c>
      <c r="H131" s="6">
        <f>index!AV132</f>
        <v>0</v>
      </c>
      <c r="I131" s="44">
        <f>index!BO132</f>
        <v>0</v>
      </c>
      <c r="J131" s="44">
        <f>index!BR132</f>
        <v>0</v>
      </c>
      <c r="K131" s="44">
        <f>index!BT132</f>
        <v>0</v>
      </c>
      <c r="L131" s="40">
        <f>index!BU132</f>
        <v>0</v>
      </c>
    </row>
    <row r="132" spans="1:12" x14ac:dyDescent="0.35">
      <c r="A132" s="39">
        <v>131</v>
      </c>
      <c r="B132" s="40">
        <f>index!AP133</f>
        <v>0</v>
      </c>
      <c r="C132" s="41">
        <f>index!AQ133</f>
        <v>0</v>
      </c>
      <c r="D132" s="42">
        <f>index!AR133</f>
        <v>0</v>
      </c>
      <c r="E132" s="31">
        <f>index!AS133</f>
        <v>0</v>
      </c>
      <c r="F132" s="31">
        <f>index!AT133</f>
        <v>0</v>
      </c>
      <c r="G132" s="43">
        <f>index!AU133</f>
        <v>0</v>
      </c>
      <c r="H132" s="6">
        <f>index!AV133</f>
        <v>0</v>
      </c>
      <c r="I132" s="44">
        <f>index!BO133</f>
        <v>0</v>
      </c>
      <c r="J132" s="44">
        <f>index!BR133</f>
        <v>0</v>
      </c>
      <c r="K132" s="44">
        <f>index!BT133</f>
        <v>0</v>
      </c>
      <c r="L132" s="40">
        <f>index!BU133</f>
        <v>0</v>
      </c>
    </row>
    <row r="133" spans="1:12" x14ac:dyDescent="0.35">
      <c r="A133" s="39">
        <v>132</v>
      </c>
      <c r="B133" s="40">
        <f>index!AP134</f>
        <v>0</v>
      </c>
      <c r="C133" s="41">
        <f>index!AQ134</f>
        <v>0</v>
      </c>
      <c r="D133" s="42">
        <f>index!AR134</f>
        <v>0</v>
      </c>
      <c r="E133" s="31">
        <f>index!AS134</f>
        <v>0</v>
      </c>
      <c r="F133" s="31">
        <f>index!AT134</f>
        <v>0</v>
      </c>
      <c r="G133" s="43">
        <f>index!AU134</f>
        <v>0</v>
      </c>
      <c r="H133" s="6">
        <f>index!AV134</f>
        <v>0</v>
      </c>
      <c r="I133" s="44">
        <f>index!BO134</f>
        <v>0</v>
      </c>
      <c r="J133" s="44">
        <f>index!BR134</f>
        <v>0</v>
      </c>
      <c r="K133" s="44">
        <f>index!BT134</f>
        <v>0</v>
      </c>
      <c r="L133" s="40">
        <f>index!BU134</f>
        <v>0</v>
      </c>
    </row>
    <row r="134" spans="1:12" x14ac:dyDescent="0.35">
      <c r="A134" s="39">
        <v>133</v>
      </c>
      <c r="B134" s="40">
        <f>index!AP135</f>
        <v>0</v>
      </c>
      <c r="C134" s="41">
        <f>index!AQ135</f>
        <v>0</v>
      </c>
      <c r="D134" s="42">
        <f>index!AR135</f>
        <v>0</v>
      </c>
      <c r="E134" s="31">
        <f>index!AS135</f>
        <v>0</v>
      </c>
      <c r="F134" s="31">
        <f>index!AT135</f>
        <v>0</v>
      </c>
      <c r="G134" s="43">
        <f>index!AU135</f>
        <v>0</v>
      </c>
      <c r="H134" s="6">
        <f>index!AV135</f>
        <v>0</v>
      </c>
      <c r="I134" s="44">
        <f>index!BO135</f>
        <v>0</v>
      </c>
      <c r="J134" s="44">
        <f>index!BR135</f>
        <v>0</v>
      </c>
      <c r="K134" s="44">
        <f>index!BT135</f>
        <v>0</v>
      </c>
      <c r="L134" s="40">
        <f>index!BU135</f>
        <v>0</v>
      </c>
    </row>
    <row r="135" spans="1:12" x14ac:dyDescent="0.35">
      <c r="A135" s="39">
        <v>134</v>
      </c>
      <c r="B135" s="40">
        <f>index!AP136</f>
        <v>0</v>
      </c>
      <c r="C135" s="41">
        <f>index!AQ136</f>
        <v>0</v>
      </c>
      <c r="D135" s="42">
        <f>index!AR136</f>
        <v>0</v>
      </c>
      <c r="E135" s="31">
        <f>index!AS136</f>
        <v>0</v>
      </c>
      <c r="F135" s="31">
        <f>index!AT136</f>
        <v>0</v>
      </c>
      <c r="G135" s="43">
        <f>index!AU136</f>
        <v>0</v>
      </c>
      <c r="H135" s="6">
        <f>index!AV136</f>
        <v>0</v>
      </c>
      <c r="I135" s="44">
        <f>index!BO136</f>
        <v>0</v>
      </c>
      <c r="J135" s="44">
        <f>index!BR136</f>
        <v>0</v>
      </c>
      <c r="K135" s="44">
        <f>index!BT136</f>
        <v>0</v>
      </c>
      <c r="L135" s="40">
        <f>index!BU136</f>
        <v>0</v>
      </c>
    </row>
    <row r="136" spans="1:12" x14ac:dyDescent="0.35">
      <c r="A136" s="39">
        <v>135</v>
      </c>
      <c r="B136" s="40">
        <f>index!AP137</f>
        <v>0</v>
      </c>
      <c r="C136" s="41">
        <f>index!AQ137</f>
        <v>0</v>
      </c>
      <c r="D136" s="42">
        <f>index!AR137</f>
        <v>0</v>
      </c>
      <c r="E136" s="31">
        <f>index!AS137</f>
        <v>0</v>
      </c>
      <c r="F136" s="31">
        <f>index!AT137</f>
        <v>0</v>
      </c>
      <c r="G136" s="43">
        <f>index!AU137</f>
        <v>0</v>
      </c>
      <c r="H136" s="6">
        <f>index!AV137</f>
        <v>0</v>
      </c>
      <c r="I136" s="44">
        <f>index!BO137</f>
        <v>0</v>
      </c>
      <c r="J136" s="44">
        <f>index!BR137</f>
        <v>0</v>
      </c>
      <c r="K136" s="44">
        <f>index!BT137</f>
        <v>0</v>
      </c>
      <c r="L136" s="40">
        <f>index!BU137</f>
        <v>0</v>
      </c>
    </row>
    <row r="137" spans="1:12" x14ac:dyDescent="0.35">
      <c r="A137" s="39">
        <v>136</v>
      </c>
      <c r="B137" s="40">
        <f>index!AP138</f>
        <v>0</v>
      </c>
      <c r="C137" s="41">
        <f>index!AQ138</f>
        <v>0</v>
      </c>
      <c r="D137" s="42">
        <f>index!AR138</f>
        <v>0</v>
      </c>
      <c r="E137" s="31">
        <f>index!AS138</f>
        <v>0</v>
      </c>
      <c r="F137" s="31">
        <f>index!AT138</f>
        <v>0</v>
      </c>
      <c r="G137" s="43">
        <f>index!AU138</f>
        <v>0</v>
      </c>
      <c r="H137" s="6">
        <f>index!AV138</f>
        <v>0</v>
      </c>
      <c r="I137" s="44">
        <f>index!BO138</f>
        <v>0</v>
      </c>
      <c r="J137" s="44">
        <f>index!BR138</f>
        <v>0</v>
      </c>
      <c r="K137" s="44">
        <f>index!BT138</f>
        <v>0</v>
      </c>
      <c r="L137" s="40">
        <f>index!BU138</f>
        <v>0</v>
      </c>
    </row>
    <row r="138" spans="1:12" x14ac:dyDescent="0.35">
      <c r="A138" s="39">
        <v>137</v>
      </c>
      <c r="B138" s="40">
        <f>index!AP139</f>
        <v>0</v>
      </c>
      <c r="C138" s="41">
        <f>index!AQ139</f>
        <v>0</v>
      </c>
      <c r="D138" s="42">
        <f>index!AR139</f>
        <v>0</v>
      </c>
      <c r="E138" s="31">
        <f>index!AS139</f>
        <v>0</v>
      </c>
      <c r="F138" s="31">
        <f>index!AT139</f>
        <v>0</v>
      </c>
      <c r="G138" s="43">
        <f>index!AU139</f>
        <v>0</v>
      </c>
      <c r="H138" s="6">
        <f>index!AV139</f>
        <v>0</v>
      </c>
      <c r="I138" s="44">
        <f>index!BO139</f>
        <v>0</v>
      </c>
      <c r="J138" s="44">
        <f>index!BR139</f>
        <v>0</v>
      </c>
      <c r="K138" s="44">
        <f>index!BT139</f>
        <v>0</v>
      </c>
      <c r="L138" s="40">
        <f>index!BU139</f>
        <v>0</v>
      </c>
    </row>
    <row r="139" spans="1:12" x14ac:dyDescent="0.35">
      <c r="A139" s="39">
        <v>138</v>
      </c>
      <c r="B139" s="40">
        <f>index!AP140</f>
        <v>0</v>
      </c>
      <c r="C139" s="41">
        <f>index!AQ140</f>
        <v>0</v>
      </c>
      <c r="D139" s="42">
        <f>index!AR140</f>
        <v>0</v>
      </c>
      <c r="E139" s="31">
        <f>index!AS140</f>
        <v>0</v>
      </c>
      <c r="F139" s="31">
        <f>index!AT140</f>
        <v>0</v>
      </c>
      <c r="G139" s="43">
        <f>index!AU140</f>
        <v>0</v>
      </c>
      <c r="H139" s="6">
        <f>index!AV140</f>
        <v>0</v>
      </c>
      <c r="I139" s="44">
        <f>index!BO140</f>
        <v>0</v>
      </c>
      <c r="J139" s="44">
        <f>index!BR140</f>
        <v>0</v>
      </c>
      <c r="K139" s="44">
        <f>index!BT140</f>
        <v>0</v>
      </c>
      <c r="L139" s="40">
        <f>index!BU140</f>
        <v>0</v>
      </c>
    </row>
    <row r="140" spans="1:12" x14ac:dyDescent="0.35">
      <c r="A140" s="39">
        <v>139</v>
      </c>
      <c r="B140" s="40">
        <f>index!AP141</f>
        <v>0</v>
      </c>
      <c r="C140" s="41">
        <f>index!AQ141</f>
        <v>0</v>
      </c>
      <c r="D140" s="42">
        <f>index!AR141</f>
        <v>0</v>
      </c>
      <c r="E140" s="31">
        <f>index!AS141</f>
        <v>0</v>
      </c>
      <c r="F140" s="31">
        <f>index!AT141</f>
        <v>0</v>
      </c>
      <c r="G140" s="43">
        <f>index!AU141</f>
        <v>0</v>
      </c>
      <c r="H140" s="6">
        <f>index!AV141</f>
        <v>0</v>
      </c>
      <c r="I140" s="44">
        <f>index!BO141</f>
        <v>0</v>
      </c>
      <c r="J140" s="44">
        <f>index!BR141</f>
        <v>0</v>
      </c>
      <c r="K140" s="44">
        <f>index!BT141</f>
        <v>0</v>
      </c>
      <c r="L140" s="40">
        <f>index!BU141</f>
        <v>0</v>
      </c>
    </row>
    <row r="141" spans="1:12" x14ac:dyDescent="0.35">
      <c r="A141" s="39">
        <v>140</v>
      </c>
      <c r="B141" s="40">
        <f>index!AP142</f>
        <v>0</v>
      </c>
      <c r="C141" s="41">
        <f>index!AQ142</f>
        <v>0</v>
      </c>
      <c r="D141" s="42">
        <f>index!AR142</f>
        <v>0</v>
      </c>
      <c r="E141" s="31">
        <f>index!AS142</f>
        <v>0</v>
      </c>
      <c r="F141" s="31">
        <f>index!AT142</f>
        <v>0</v>
      </c>
      <c r="G141" s="43">
        <f>index!AU142</f>
        <v>0</v>
      </c>
      <c r="H141" s="6">
        <f>index!AV142</f>
        <v>0</v>
      </c>
      <c r="I141" s="44">
        <f>index!BO142</f>
        <v>0</v>
      </c>
      <c r="J141" s="44">
        <f>index!BR142</f>
        <v>0</v>
      </c>
      <c r="K141" s="44">
        <f>index!BT142</f>
        <v>0</v>
      </c>
      <c r="L141" s="40">
        <f>index!BU142</f>
        <v>0</v>
      </c>
    </row>
    <row r="142" spans="1:12" x14ac:dyDescent="0.35">
      <c r="A142" s="39">
        <v>141</v>
      </c>
      <c r="B142" s="40">
        <f>index!AP143</f>
        <v>0</v>
      </c>
      <c r="C142" s="41">
        <f>index!AQ143</f>
        <v>0</v>
      </c>
      <c r="D142" s="42">
        <f>index!AR143</f>
        <v>0</v>
      </c>
      <c r="E142" s="31">
        <f>index!AS143</f>
        <v>0</v>
      </c>
      <c r="F142" s="31">
        <f>index!AT143</f>
        <v>0</v>
      </c>
      <c r="G142" s="43">
        <f>index!AU143</f>
        <v>0</v>
      </c>
      <c r="H142" s="6">
        <f>index!AV143</f>
        <v>0</v>
      </c>
      <c r="I142" s="44">
        <f>index!BO143</f>
        <v>0</v>
      </c>
      <c r="J142" s="44">
        <f>index!BR143</f>
        <v>0</v>
      </c>
      <c r="K142" s="44">
        <f>index!BT143</f>
        <v>0</v>
      </c>
      <c r="L142" s="40">
        <f>index!BU143</f>
        <v>0</v>
      </c>
    </row>
    <row r="143" spans="1:12" x14ac:dyDescent="0.35">
      <c r="A143" s="39">
        <v>142</v>
      </c>
      <c r="B143" s="40">
        <f>index!AP144</f>
        <v>0</v>
      </c>
      <c r="C143" s="41">
        <f>index!AQ144</f>
        <v>0</v>
      </c>
      <c r="D143" s="42">
        <f>index!AR144</f>
        <v>0</v>
      </c>
      <c r="E143" s="31">
        <f>index!AS144</f>
        <v>0</v>
      </c>
      <c r="F143" s="31">
        <f>index!AT144</f>
        <v>0</v>
      </c>
      <c r="G143" s="43">
        <f>index!AU144</f>
        <v>0</v>
      </c>
      <c r="H143" s="6">
        <f>index!AV144</f>
        <v>0</v>
      </c>
      <c r="I143" s="44">
        <f>index!BO144</f>
        <v>0</v>
      </c>
      <c r="J143" s="44">
        <f>index!BR144</f>
        <v>0</v>
      </c>
      <c r="K143" s="44">
        <f>index!BT144</f>
        <v>0</v>
      </c>
      <c r="L143" s="40">
        <f>index!BU144</f>
        <v>0</v>
      </c>
    </row>
    <row r="144" spans="1:12" x14ac:dyDescent="0.35">
      <c r="A144" s="39">
        <v>143</v>
      </c>
      <c r="B144" s="40">
        <f>index!AP145</f>
        <v>0</v>
      </c>
      <c r="C144" s="41">
        <f>index!AQ145</f>
        <v>0</v>
      </c>
      <c r="D144" s="42">
        <f>index!AR145</f>
        <v>0</v>
      </c>
      <c r="E144" s="31">
        <f>index!AS145</f>
        <v>0</v>
      </c>
      <c r="F144" s="31">
        <f>index!AT145</f>
        <v>0</v>
      </c>
      <c r="G144" s="43">
        <f>index!AU145</f>
        <v>0</v>
      </c>
      <c r="H144" s="6">
        <f>index!AV145</f>
        <v>0</v>
      </c>
      <c r="I144" s="44">
        <f>index!BO145</f>
        <v>0</v>
      </c>
      <c r="J144" s="44">
        <f>index!BR145</f>
        <v>0</v>
      </c>
      <c r="K144" s="44">
        <f>index!BT145</f>
        <v>0</v>
      </c>
      <c r="L144" s="40">
        <f>index!BU145</f>
        <v>0</v>
      </c>
    </row>
    <row r="145" spans="1:12" x14ac:dyDescent="0.35">
      <c r="A145" s="39">
        <v>144</v>
      </c>
      <c r="B145" s="40">
        <f>index!AP146</f>
        <v>0</v>
      </c>
      <c r="C145" s="41">
        <f>index!AQ146</f>
        <v>0</v>
      </c>
      <c r="D145" s="42">
        <f>index!AR146</f>
        <v>0</v>
      </c>
      <c r="E145" s="31">
        <f>index!AS146</f>
        <v>0</v>
      </c>
      <c r="F145" s="31">
        <f>index!AT146</f>
        <v>0</v>
      </c>
      <c r="G145" s="43">
        <f>index!AU146</f>
        <v>0</v>
      </c>
      <c r="H145" s="6">
        <f>index!AV146</f>
        <v>0</v>
      </c>
      <c r="I145" s="44">
        <f>index!BO146</f>
        <v>0</v>
      </c>
      <c r="J145" s="44">
        <f>index!BR146</f>
        <v>0</v>
      </c>
      <c r="K145" s="44">
        <f>index!BT146</f>
        <v>0</v>
      </c>
      <c r="L145" s="40">
        <f>index!BU146</f>
        <v>0</v>
      </c>
    </row>
    <row r="146" spans="1:12" x14ac:dyDescent="0.35">
      <c r="A146" s="39">
        <v>145</v>
      </c>
      <c r="B146" s="40">
        <f>index!AP147</f>
        <v>0</v>
      </c>
      <c r="C146" s="41">
        <f>index!AQ147</f>
        <v>0</v>
      </c>
      <c r="D146" s="42">
        <f>index!AR147</f>
        <v>0</v>
      </c>
      <c r="E146" s="31">
        <f>index!AS147</f>
        <v>0</v>
      </c>
      <c r="F146" s="31">
        <f>index!AT147</f>
        <v>0</v>
      </c>
      <c r="G146" s="43">
        <f>index!AU147</f>
        <v>0</v>
      </c>
      <c r="H146" s="6">
        <f>index!AV147</f>
        <v>0</v>
      </c>
      <c r="I146" s="44">
        <f>index!BO147</f>
        <v>0</v>
      </c>
      <c r="J146" s="44">
        <f>index!BR147</f>
        <v>0</v>
      </c>
      <c r="K146" s="44">
        <f>index!BT147</f>
        <v>0</v>
      </c>
      <c r="L146" s="40">
        <f>index!BU147</f>
        <v>0</v>
      </c>
    </row>
    <row r="147" spans="1:12" x14ac:dyDescent="0.35">
      <c r="A147" s="39">
        <v>146</v>
      </c>
      <c r="B147" s="40">
        <f>index!AP148</f>
        <v>0</v>
      </c>
      <c r="C147" s="41">
        <f>index!AQ148</f>
        <v>0</v>
      </c>
      <c r="D147" s="42">
        <f>index!AR148</f>
        <v>0</v>
      </c>
      <c r="E147" s="31">
        <f>index!AS148</f>
        <v>0</v>
      </c>
      <c r="F147" s="31">
        <f>index!AT148</f>
        <v>0</v>
      </c>
      <c r="G147" s="43">
        <f>index!AU148</f>
        <v>0</v>
      </c>
      <c r="H147" s="6">
        <f>index!AV148</f>
        <v>0</v>
      </c>
      <c r="I147" s="44">
        <f>index!BO148</f>
        <v>0</v>
      </c>
      <c r="J147" s="44">
        <f>index!BR148</f>
        <v>0</v>
      </c>
      <c r="K147" s="44">
        <f>index!BT148</f>
        <v>0</v>
      </c>
      <c r="L147" s="40">
        <f>index!BU148</f>
        <v>0</v>
      </c>
    </row>
    <row r="148" spans="1:12" x14ac:dyDescent="0.35">
      <c r="A148" s="39">
        <v>147</v>
      </c>
      <c r="B148" s="40">
        <f>index!AP149</f>
        <v>0</v>
      </c>
      <c r="C148" s="41">
        <f>index!AQ149</f>
        <v>0</v>
      </c>
      <c r="D148" s="42">
        <f>index!AR149</f>
        <v>0</v>
      </c>
      <c r="E148" s="31">
        <f>index!AS149</f>
        <v>0</v>
      </c>
      <c r="F148" s="31">
        <f>index!AT149</f>
        <v>0</v>
      </c>
      <c r="G148" s="43">
        <f>index!AU149</f>
        <v>0</v>
      </c>
      <c r="H148" s="6">
        <f>index!AV149</f>
        <v>0</v>
      </c>
      <c r="I148" s="44">
        <f>index!BO149</f>
        <v>0</v>
      </c>
      <c r="J148" s="44">
        <f>index!BR149</f>
        <v>0</v>
      </c>
      <c r="K148" s="44">
        <f>index!BT149</f>
        <v>0</v>
      </c>
      <c r="L148" s="40">
        <f>index!BU149</f>
        <v>0</v>
      </c>
    </row>
    <row r="149" spans="1:12" x14ac:dyDescent="0.35">
      <c r="A149" s="39">
        <v>148</v>
      </c>
      <c r="B149" s="40">
        <f>index!AP150</f>
        <v>0</v>
      </c>
      <c r="C149" s="41">
        <f>index!AQ150</f>
        <v>0</v>
      </c>
      <c r="D149" s="42">
        <f>index!AR150</f>
        <v>0</v>
      </c>
      <c r="E149" s="31">
        <f>index!AS150</f>
        <v>0</v>
      </c>
      <c r="F149" s="31">
        <f>index!AT150</f>
        <v>0</v>
      </c>
      <c r="G149" s="43">
        <f>index!AU150</f>
        <v>0</v>
      </c>
      <c r="H149" s="6">
        <f>index!AV150</f>
        <v>0</v>
      </c>
      <c r="I149" s="44">
        <f>index!BO150</f>
        <v>0</v>
      </c>
      <c r="J149" s="44">
        <f>index!BR150</f>
        <v>0</v>
      </c>
      <c r="K149" s="44">
        <f>index!BT150</f>
        <v>0</v>
      </c>
      <c r="L149" s="40">
        <f>index!BU150</f>
        <v>0</v>
      </c>
    </row>
    <row r="150" spans="1:12" x14ac:dyDescent="0.35">
      <c r="A150" s="39">
        <v>149</v>
      </c>
      <c r="B150" s="40">
        <f>index!AP151</f>
        <v>0</v>
      </c>
      <c r="C150" s="41">
        <f>index!AQ151</f>
        <v>0</v>
      </c>
      <c r="D150" s="42">
        <f>index!AR151</f>
        <v>0</v>
      </c>
      <c r="E150" s="31">
        <f>index!AS151</f>
        <v>0</v>
      </c>
      <c r="F150" s="31">
        <f>index!AT151</f>
        <v>0</v>
      </c>
      <c r="G150" s="43">
        <f>index!AU151</f>
        <v>0</v>
      </c>
      <c r="H150" s="6">
        <f>index!AV151</f>
        <v>0</v>
      </c>
      <c r="I150" s="44">
        <f>index!BO151</f>
        <v>0</v>
      </c>
      <c r="J150" s="44">
        <f>index!BR151</f>
        <v>0</v>
      </c>
      <c r="K150" s="44">
        <f>index!BT151</f>
        <v>0</v>
      </c>
      <c r="L150" s="40">
        <f>index!BU151</f>
        <v>0</v>
      </c>
    </row>
    <row r="151" spans="1:12" x14ac:dyDescent="0.35">
      <c r="A151" s="39">
        <v>150</v>
      </c>
      <c r="B151" s="40">
        <f>index!AP152</f>
        <v>0</v>
      </c>
      <c r="C151" s="41">
        <f>index!AQ152</f>
        <v>0</v>
      </c>
      <c r="D151" s="42">
        <f>index!AR152</f>
        <v>0</v>
      </c>
      <c r="E151" s="31">
        <f>index!AS152</f>
        <v>0</v>
      </c>
      <c r="F151" s="31">
        <f>index!AT152</f>
        <v>0</v>
      </c>
      <c r="G151" s="43">
        <f>index!AU152</f>
        <v>0</v>
      </c>
      <c r="H151" s="6">
        <f>index!AV152</f>
        <v>0</v>
      </c>
      <c r="I151" s="44">
        <f>index!BO152</f>
        <v>0</v>
      </c>
      <c r="J151" s="44">
        <f>index!BR152</f>
        <v>0</v>
      </c>
      <c r="K151" s="44">
        <f>index!BT152</f>
        <v>0</v>
      </c>
      <c r="L151" s="40">
        <f>index!BU152</f>
        <v>0</v>
      </c>
    </row>
    <row r="152" spans="1:12" x14ac:dyDescent="0.35">
      <c r="A152" s="39">
        <v>151</v>
      </c>
      <c r="B152" s="40">
        <f>index!AP153</f>
        <v>0</v>
      </c>
      <c r="C152" s="41">
        <f>index!AQ153</f>
        <v>0</v>
      </c>
      <c r="D152" s="42">
        <f>index!AR153</f>
        <v>0</v>
      </c>
      <c r="E152" s="31">
        <f>index!AS153</f>
        <v>0</v>
      </c>
      <c r="F152" s="31">
        <f>index!AT153</f>
        <v>0</v>
      </c>
      <c r="G152" s="43">
        <f>index!AU153</f>
        <v>0</v>
      </c>
      <c r="H152" s="6">
        <f>index!AV153</f>
        <v>0</v>
      </c>
      <c r="I152" s="44">
        <f>index!BO153</f>
        <v>0</v>
      </c>
      <c r="J152" s="44">
        <f>index!BR153</f>
        <v>0</v>
      </c>
      <c r="K152" s="44">
        <f>index!BT153</f>
        <v>0</v>
      </c>
      <c r="L152" s="40">
        <f>index!BU153</f>
        <v>0</v>
      </c>
    </row>
    <row r="153" spans="1:12" x14ac:dyDescent="0.35">
      <c r="A153" s="39">
        <v>152</v>
      </c>
      <c r="B153" s="40">
        <f>index!AP154</f>
        <v>0</v>
      </c>
      <c r="C153" s="41">
        <f>index!AQ154</f>
        <v>0</v>
      </c>
      <c r="D153" s="42">
        <f>index!AR154</f>
        <v>0</v>
      </c>
      <c r="E153" s="31">
        <f>index!AS154</f>
        <v>0</v>
      </c>
      <c r="F153" s="31">
        <f>index!AT154</f>
        <v>0</v>
      </c>
      <c r="G153" s="43">
        <f>index!AU154</f>
        <v>0</v>
      </c>
      <c r="H153" s="6">
        <f>index!AV154</f>
        <v>0</v>
      </c>
      <c r="I153" s="44">
        <f>index!BO154</f>
        <v>0</v>
      </c>
      <c r="J153" s="44">
        <f>index!BR154</f>
        <v>0</v>
      </c>
      <c r="K153" s="44">
        <f>index!BT154</f>
        <v>0</v>
      </c>
      <c r="L153" s="40">
        <f>index!BU154</f>
        <v>0</v>
      </c>
    </row>
    <row r="154" spans="1:12" x14ac:dyDescent="0.35">
      <c r="A154" s="39">
        <v>153</v>
      </c>
      <c r="B154" s="40">
        <f>index!AP155</f>
        <v>0</v>
      </c>
      <c r="C154" s="41">
        <f>index!AQ155</f>
        <v>0</v>
      </c>
      <c r="D154" s="42">
        <f>index!AR155</f>
        <v>0</v>
      </c>
      <c r="E154" s="31">
        <f>index!AS155</f>
        <v>0</v>
      </c>
      <c r="F154" s="31">
        <f>index!AT155</f>
        <v>0</v>
      </c>
      <c r="G154" s="43">
        <f>index!AU155</f>
        <v>0</v>
      </c>
      <c r="H154" s="6">
        <f>index!AV155</f>
        <v>0</v>
      </c>
      <c r="I154" s="44">
        <f>index!BO155</f>
        <v>0</v>
      </c>
      <c r="J154" s="44">
        <f>index!BR155</f>
        <v>0</v>
      </c>
      <c r="K154" s="44">
        <f>index!BT155</f>
        <v>0</v>
      </c>
      <c r="L154" s="40">
        <f>index!BU155</f>
        <v>0</v>
      </c>
    </row>
    <row r="155" spans="1:12" x14ac:dyDescent="0.35">
      <c r="A155" s="39">
        <v>154</v>
      </c>
      <c r="B155" s="40">
        <f>index!AP156</f>
        <v>0</v>
      </c>
      <c r="C155" s="41">
        <f>index!AQ156</f>
        <v>0</v>
      </c>
      <c r="D155" s="42">
        <f>index!AR156</f>
        <v>0</v>
      </c>
      <c r="E155" s="31">
        <f>index!AS156</f>
        <v>0</v>
      </c>
      <c r="F155" s="31">
        <f>index!AT156</f>
        <v>0</v>
      </c>
      <c r="G155" s="43">
        <f>index!AU156</f>
        <v>0</v>
      </c>
      <c r="H155" s="6">
        <f>index!AV156</f>
        <v>0</v>
      </c>
      <c r="I155" s="44">
        <f>index!BO156</f>
        <v>0</v>
      </c>
      <c r="J155" s="44">
        <f>index!BR156</f>
        <v>0</v>
      </c>
      <c r="K155" s="44">
        <f>index!BT156</f>
        <v>0</v>
      </c>
      <c r="L155" s="40">
        <f>index!BU156</f>
        <v>0</v>
      </c>
    </row>
    <row r="156" spans="1:12" x14ac:dyDescent="0.35">
      <c r="A156" s="39">
        <v>155</v>
      </c>
      <c r="B156" s="40">
        <f>index!AP157</f>
        <v>0</v>
      </c>
      <c r="C156" s="41">
        <f>index!AQ157</f>
        <v>0</v>
      </c>
      <c r="D156" s="42">
        <f>index!AR157</f>
        <v>0</v>
      </c>
      <c r="E156" s="31">
        <f>index!AS157</f>
        <v>0</v>
      </c>
      <c r="F156" s="31">
        <f>index!AT157</f>
        <v>0</v>
      </c>
      <c r="G156" s="43">
        <f>index!AU157</f>
        <v>0</v>
      </c>
      <c r="H156" s="6">
        <f>index!AV157</f>
        <v>0</v>
      </c>
      <c r="I156" s="44">
        <f>index!BO157</f>
        <v>0</v>
      </c>
      <c r="J156" s="44">
        <f>index!BR157</f>
        <v>0</v>
      </c>
      <c r="K156" s="44">
        <f>index!BT157</f>
        <v>0</v>
      </c>
      <c r="L156" s="40">
        <f>index!BU157</f>
        <v>0</v>
      </c>
    </row>
    <row r="157" spans="1:12" x14ac:dyDescent="0.35">
      <c r="A157" s="39">
        <v>156</v>
      </c>
      <c r="B157" s="40">
        <f>index!AP158</f>
        <v>0</v>
      </c>
      <c r="C157" s="41">
        <f>index!AQ158</f>
        <v>0</v>
      </c>
      <c r="D157" s="42">
        <f>index!AR158</f>
        <v>0</v>
      </c>
      <c r="E157" s="31">
        <f>index!AS158</f>
        <v>0</v>
      </c>
      <c r="F157" s="31">
        <f>index!AT158</f>
        <v>0</v>
      </c>
      <c r="G157" s="43">
        <f>index!AU158</f>
        <v>0</v>
      </c>
      <c r="H157" s="6">
        <f>index!AV158</f>
        <v>0</v>
      </c>
      <c r="I157" s="44">
        <f>index!BO158</f>
        <v>0</v>
      </c>
      <c r="J157" s="44">
        <f>index!BR158</f>
        <v>0</v>
      </c>
      <c r="K157" s="44">
        <f>index!BT158</f>
        <v>0</v>
      </c>
      <c r="L157" s="40">
        <f>index!BU158</f>
        <v>0</v>
      </c>
    </row>
    <row r="158" spans="1:12" x14ac:dyDescent="0.35">
      <c r="A158" s="39">
        <v>157</v>
      </c>
      <c r="B158" s="40">
        <f>index!AP159</f>
        <v>0</v>
      </c>
      <c r="C158" s="41">
        <f>index!AQ159</f>
        <v>0</v>
      </c>
      <c r="D158" s="42">
        <f>index!AR159</f>
        <v>0</v>
      </c>
      <c r="E158" s="31">
        <f>index!AS159</f>
        <v>0</v>
      </c>
      <c r="F158" s="31">
        <f>index!AT159</f>
        <v>0</v>
      </c>
      <c r="G158" s="43">
        <f>index!AU159</f>
        <v>0</v>
      </c>
      <c r="H158" s="6">
        <f>index!AV159</f>
        <v>0</v>
      </c>
      <c r="I158" s="44">
        <f>index!BO159</f>
        <v>0</v>
      </c>
      <c r="J158" s="44">
        <f>index!BR159</f>
        <v>0</v>
      </c>
      <c r="K158" s="44">
        <f>index!BT159</f>
        <v>0</v>
      </c>
      <c r="L158" s="40">
        <f>index!BU159</f>
        <v>0</v>
      </c>
    </row>
    <row r="159" spans="1:12" x14ac:dyDescent="0.35">
      <c r="A159" s="39">
        <v>158</v>
      </c>
      <c r="B159" s="40">
        <f>index!AP160</f>
        <v>0</v>
      </c>
      <c r="C159" s="41">
        <f>index!AQ160</f>
        <v>0</v>
      </c>
      <c r="D159" s="42">
        <f>index!AR160</f>
        <v>0</v>
      </c>
      <c r="E159" s="31">
        <f>index!AS160</f>
        <v>0</v>
      </c>
      <c r="F159" s="31">
        <f>index!AT160</f>
        <v>0</v>
      </c>
      <c r="G159" s="43">
        <f>index!AU160</f>
        <v>0</v>
      </c>
      <c r="H159" s="6">
        <f>index!AV160</f>
        <v>0</v>
      </c>
      <c r="I159" s="44">
        <f>index!BO160</f>
        <v>0</v>
      </c>
      <c r="J159" s="44">
        <f>index!BR160</f>
        <v>0</v>
      </c>
      <c r="K159" s="44">
        <f>index!BT160</f>
        <v>0</v>
      </c>
      <c r="L159" s="40">
        <f>index!BU160</f>
        <v>0</v>
      </c>
    </row>
    <row r="160" spans="1:12" x14ac:dyDescent="0.35">
      <c r="A160" s="39">
        <v>159</v>
      </c>
      <c r="B160" s="40">
        <f>index!AP161</f>
        <v>0</v>
      </c>
      <c r="C160" s="41">
        <f>index!AQ161</f>
        <v>0</v>
      </c>
      <c r="D160" s="42">
        <f>index!AR161</f>
        <v>0</v>
      </c>
      <c r="E160" s="31">
        <f>index!AS161</f>
        <v>0</v>
      </c>
      <c r="F160" s="31">
        <f>index!AT161</f>
        <v>0</v>
      </c>
      <c r="G160" s="43">
        <f>index!AU161</f>
        <v>0</v>
      </c>
      <c r="H160" s="6">
        <f>index!AV161</f>
        <v>0</v>
      </c>
      <c r="I160" s="44">
        <f>index!BO161</f>
        <v>0</v>
      </c>
      <c r="J160" s="44">
        <f>index!BR161</f>
        <v>0</v>
      </c>
      <c r="K160" s="44">
        <f>index!BT161</f>
        <v>0</v>
      </c>
      <c r="L160" s="40">
        <f>index!BU161</f>
        <v>0</v>
      </c>
    </row>
    <row r="161" spans="1:12" x14ac:dyDescent="0.35">
      <c r="A161" s="39">
        <v>160</v>
      </c>
      <c r="B161" s="40">
        <f>index!AP162</f>
        <v>0</v>
      </c>
      <c r="C161" s="41">
        <f>index!AQ162</f>
        <v>0</v>
      </c>
      <c r="D161" s="42">
        <f>index!AR162</f>
        <v>0</v>
      </c>
      <c r="E161" s="31">
        <f>index!AS162</f>
        <v>0</v>
      </c>
      <c r="F161" s="31">
        <f>index!AT162</f>
        <v>0</v>
      </c>
      <c r="G161" s="43">
        <f>index!AU162</f>
        <v>0</v>
      </c>
      <c r="H161" s="6">
        <f>index!AV162</f>
        <v>0</v>
      </c>
      <c r="I161" s="44">
        <f>index!BO162</f>
        <v>0</v>
      </c>
      <c r="J161" s="44">
        <f>index!BR162</f>
        <v>0</v>
      </c>
      <c r="K161" s="44">
        <f>index!BT162</f>
        <v>0</v>
      </c>
      <c r="L161" s="40">
        <f>index!BU162</f>
        <v>0</v>
      </c>
    </row>
    <row r="162" spans="1:12" x14ac:dyDescent="0.35">
      <c r="A162" s="39">
        <v>161</v>
      </c>
      <c r="B162" s="40">
        <f>index!AP163</f>
        <v>0</v>
      </c>
      <c r="C162" s="41">
        <f>index!AQ163</f>
        <v>0</v>
      </c>
      <c r="D162" s="42">
        <f>index!AR163</f>
        <v>0</v>
      </c>
      <c r="E162" s="31">
        <f>index!AS163</f>
        <v>0</v>
      </c>
      <c r="F162" s="31">
        <f>index!AT163</f>
        <v>0</v>
      </c>
      <c r="G162" s="43">
        <f>index!AU163</f>
        <v>0</v>
      </c>
      <c r="H162" s="6">
        <f>index!AV163</f>
        <v>0</v>
      </c>
      <c r="I162" s="44">
        <f>index!BO163</f>
        <v>0</v>
      </c>
      <c r="J162" s="44">
        <f>index!BR163</f>
        <v>0</v>
      </c>
      <c r="K162" s="44">
        <f>index!BT163</f>
        <v>0</v>
      </c>
      <c r="L162" s="40">
        <f>index!BU163</f>
        <v>0</v>
      </c>
    </row>
    <row r="163" spans="1:12" x14ac:dyDescent="0.35">
      <c r="A163" s="39">
        <v>162</v>
      </c>
      <c r="B163" s="40">
        <f>index!AP164</f>
        <v>0</v>
      </c>
      <c r="C163" s="41">
        <f>index!AQ164</f>
        <v>0</v>
      </c>
      <c r="D163" s="42">
        <f>index!AR164</f>
        <v>0</v>
      </c>
      <c r="E163" s="31">
        <f>index!AS164</f>
        <v>0</v>
      </c>
      <c r="F163" s="31">
        <f>index!AT164</f>
        <v>0</v>
      </c>
      <c r="G163" s="43">
        <f>index!AU164</f>
        <v>0</v>
      </c>
      <c r="H163" s="6">
        <f>index!AV164</f>
        <v>0</v>
      </c>
      <c r="I163" s="44">
        <f>index!BO164</f>
        <v>0</v>
      </c>
      <c r="J163" s="44">
        <f>index!BR164</f>
        <v>0</v>
      </c>
      <c r="K163" s="44">
        <f>index!BT164</f>
        <v>0</v>
      </c>
      <c r="L163" s="40">
        <f>index!BU164</f>
        <v>0</v>
      </c>
    </row>
    <row r="164" spans="1:12" x14ac:dyDescent="0.35">
      <c r="A164" s="39">
        <v>163</v>
      </c>
      <c r="B164" s="40">
        <f>index!AP165</f>
        <v>0</v>
      </c>
      <c r="C164" s="41">
        <f>index!AQ165</f>
        <v>0</v>
      </c>
      <c r="D164" s="42">
        <f>index!AR165</f>
        <v>0</v>
      </c>
      <c r="E164" s="31">
        <f>index!AS165</f>
        <v>0</v>
      </c>
      <c r="F164" s="31">
        <f>index!AT165</f>
        <v>0</v>
      </c>
      <c r="G164" s="43">
        <f>index!AU165</f>
        <v>0</v>
      </c>
      <c r="H164" s="6">
        <f>index!AV165</f>
        <v>0</v>
      </c>
      <c r="I164" s="44">
        <f>index!BO165</f>
        <v>0</v>
      </c>
      <c r="J164" s="44">
        <f>index!BR165</f>
        <v>0</v>
      </c>
      <c r="K164" s="44">
        <f>index!BT165</f>
        <v>0</v>
      </c>
      <c r="L164" s="40">
        <f>index!BU165</f>
        <v>0</v>
      </c>
    </row>
    <row r="165" spans="1:12" x14ac:dyDescent="0.35">
      <c r="A165" s="39">
        <v>164</v>
      </c>
      <c r="B165" s="40">
        <f>index!AP166</f>
        <v>0</v>
      </c>
      <c r="C165" s="41">
        <f>index!AQ166</f>
        <v>0</v>
      </c>
      <c r="D165" s="42">
        <f>index!AR166</f>
        <v>0</v>
      </c>
      <c r="E165" s="31">
        <f>index!AS166</f>
        <v>0</v>
      </c>
      <c r="F165" s="31">
        <f>index!AT166</f>
        <v>0</v>
      </c>
      <c r="G165" s="43">
        <f>index!AU166</f>
        <v>0</v>
      </c>
      <c r="H165" s="6">
        <f>index!AV166</f>
        <v>0</v>
      </c>
      <c r="I165" s="44">
        <f>index!BO166</f>
        <v>0</v>
      </c>
      <c r="J165" s="44">
        <f>index!BR166</f>
        <v>0</v>
      </c>
      <c r="K165" s="44">
        <f>index!BT166</f>
        <v>0</v>
      </c>
      <c r="L165" s="40">
        <f>index!BU166</f>
        <v>0</v>
      </c>
    </row>
    <row r="166" spans="1:12" x14ac:dyDescent="0.35">
      <c r="A166" s="39">
        <v>165</v>
      </c>
      <c r="B166" s="40">
        <f>index!AP167</f>
        <v>0</v>
      </c>
      <c r="C166" s="41">
        <f>index!AQ167</f>
        <v>0</v>
      </c>
      <c r="D166" s="42">
        <f>index!AR167</f>
        <v>0</v>
      </c>
      <c r="E166" s="31">
        <f>index!AS167</f>
        <v>0</v>
      </c>
      <c r="F166" s="31">
        <f>index!AT167</f>
        <v>0</v>
      </c>
      <c r="G166" s="43">
        <f>index!AU167</f>
        <v>0</v>
      </c>
      <c r="H166" s="6">
        <f>index!AV167</f>
        <v>0</v>
      </c>
      <c r="I166" s="44">
        <f>index!BO167</f>
        <v>0</v>
      </c>
      <c r="J166" s="44">
        <f>index!BR167</f>
        <v>0</v>
      </c>
      <c r="K166" s="44">
        <f>index!BT167</f>
        <v>0</v>
      </c>
      <c r="L166" s="40">
        <f>index!BU167</f>
        <v>0</v>
      </c>
    </row>
    <row r="167" spans="1:12" x14ac:dyDescent="0.35">
      <c r="A167" s="39">
        <v>166</v>
      </c>
      <c r="B167" s="40">
        <f>index!AP168</f>
        <v>0</v>
      </c>
      <c r="C167" s="41">
        <f>index!AQ168</f>
        <v>0</v>
      </c>
      <c r="D167" s="42">
        <f>index!AR168</f>
        <v>0</v>
      </c>
      <c r="E167" s="31">
        <f>index!AS168</f>
        <v>0</v>
      </c>
      <c r="F167" s="31">
        <f>index!AT168</f>
        <v>0</v>
      </c>
      <c r="G167" s="43">
        <f>index!AU168</f>
        <v>0</v>
      </c>
      <c r="H167" s="6">
        <f>index!AV168</f>
        <v>0</v>
      </c>
      <c r="I167" s="44">
        <f>index!BO168</f>
        <v>0</v>
      </c>
      <c r="J167" s="44">
        <f>index!BR168</f>
        <v>0</v>
      </c>
      <c r="K167" s="44">
        <f>index!BT168</f>
        <v>0</v>
      </c>
      <c r="L167" s="40">
        <f>index!BU168</f>
        <v>0</v>
      </c>
    </row>
    <row r="168" spans="1:12" x14ac:dyDescent="0.35">
      <c r="A168" s="39">
        <v>167</v>
      </c>
      <c r="B168" s="40">
        <f>index!AP169</f>
        <v>0</v>
      </c>
      <c r="C168" s="41">
        <f>index!AQ169</f>
        <v>0</v>
      </c>
      <c r="D168" s="42">
        <f>index!AR169</f>
        <v>0</v>
      </c>
      <c r="E168" s="31">
        <f>index!AS169</f>
        <v>0</v>
      </c>
      <c r="F168" s="31">
        <f>index!AT169</f>
        <v>0</v>
      </c>
      <c r="G168" s="43">
        <f>index!AU169</f>
        <v>0</v>
      </c>
      <c r="H168" s="6">
        <f>index!AV169</f>
        <v>0</v>
      </c>
      <c r="I168" s="44">
        <f>index!BO169</f>
        <v>0</v>
      </c>
      <c r="J168" s="44">
        <f>index!BR169</f>
        <v>0</v>
      </c>
      <c r="K168" s="44">
        <f>index!BT169</f>
        <v>0</v>
      </c>
      <c r="L168" s="40">
        <f>index!BU169</f>
        <v>0</v>
      </c>
    </row>
    <row r="169" spans="1:12" x14ac:dyDescent="0.35">
      <c r="A169" s="39">
        <v>168</v>
      </c>
      <c r="B169" s="40">
        <f>index!AP170</f>
        <v>0</v>
      </c>
      <c r="C169" s="41">
        <f>index!AQ170</f>
        <v>0</v>
      </c>
      <c r="D169" s="42">
        <f>index!AR170</f>
        <v>0</v>
      </c>
      <c r="E169" s="31">
        <f>index!AS170</f>
        <v>0</v>
      </c>
      <c r="F169" s="31">
        <f>index!AT170</f>
        <v>0</v>
      </c>
      <c r="G169" s="43">
        <f>index!AU170</f>
        <v>0</v>
      </c>
      <c r="H169" s="6">
        <f>index!AV170</f>
        <v>0</v>
      </c>
      <c r="I169" s="44">
        <f>index!BO170</f>
        <v>0</v>
      </c>
      <c r="J169" s="44">
        <f>index!BR170</f>
        <v>0</v>
      </c>
      <c r="K169" s="44">
        <f>index!BT170</f>
        <v>0</v>
      </c>
      <c r="L169" s="40">
        <f>index!BU170</f>
        <v>0</v>
      </c>
    </row>
    <row r="170" spans="1:12" x14ac:dyDescent="0.35">
      <c r="A170" s="39">
        <v>169</v>
      </c>
      <c r="B170" s="40">
        <f>index!AP171</f>
        <v>0</v>
      </c>
      <c r="C170" s="41">
        <f>index!AQ171</f>
        <v>0</v>
      </c>
      <c r="D170" s="42">
        <f>index!AR171</f>
        <v>0</v>
      </c>
      <c r="E170" s="31">
        <f>index!AS171</f>
        <v>0</v>
      </c>
      <c r="F170" s="31">
        <f>index!AT171</f>
        <v>0</v>
      </c>
      <c r="G170" s="43">
        <f>index!AU171</f>
        <v>0</v>
      </c>
      <c r="H170" s="6">
        <f>index!AV171</f>
        <v>0</v>
      </c>
      <c r="I170" s="44">
        <f>index!BO171</f>
        <v>0</v>
      </c>
      <c r="J170" s="44">
        <f>index!BR171</f>
        <v>0</v>
      </c>
      <c r="K170" s="44">
        <f>index!BT171</f>
        <v>0</v>
      </c>
      <c r="L170" s="40">
        <f>index!BU171</f>
        <v>0</v>
      </c>
    </row>
    <row r="171" spans="1:12" x14ac:dyDescent="0.35">
      <c r="A171" s="39">
        <v>170</v>
      </c>
      <c r="B171" s="40">
        <f>index!AP172</f>
        <v>0</v>
      </c>
      <c r="C171" s="41">
        <f>index!AQ172</f>
        <v>0</v>
      </c>
      <c r="D171" s="42">
        <f>index!AR172</f>
        <v>0</v>
      </c>
      <c r="E171" s="31">
        <f>index!AS172</f>
        <v>0</v>
      </c>
      <c r="F171" s="31">
        <f>index!AT172</f>
        <v>0</v>
      </c>
      <c r="G171" s="43">
        <f>index!AU172</f>
        <v>0</v>
      </c>
      <c r="H171" s="6">
        <f>index!AV172</f>
        <v>0</v>
      </c>
      <c r="I171" s="44">
        <f>index!BO172</f>
        <v>0</v>
      </c>
      <c r="J171" s="44">
        <f>index!BR172</f>
        <v>0</v>
      </c>
      <c r="K171" s="44">
        <f>index!BT172</f>
        <v>0</v>
      </c>
      <c r="L171" s="40">
        <f>index!BU172</f>
        <v>0</v>
      </c>
    </row>
    <row r="172" spans="1:12" x14ac:dyDescent="0.35">
      <c r="A172" s="39">
        <v>171</v>
      </c>
      <c r="B172" s="40">
        <f>index!AP173</f>
        <v>0</v>
      </c>
      <c r="C172" s="41">
        <f>index!AQ173</f>
        <v>0</v>
      </c>
      <c r="D172" s="42">
        <f>index!AR173</f>
        <v>0</v>
      </c>
      <c r="E172" s="31">
        <f>index!AS173</f>
        <v>0</v>
      </c>
      <c r="F172" s="31">
        <f>index!AT173</f>
        <v>0</v>
      </c>
      <c r="G172" s="43">
        <f>index!AU173</f>
        <v>0</v>
      </c>
      <c r="H172" s="6">
        <f>index!AV173</f>
        <v>0</v>
      </c>
      <c r="I172" s="44">
        <f>index!BO173</f>
        <v>0</v>
      </c>
      <c r="J172" s="44">
        <f>index!BR173</f>
        <v>0</v>
      </c>
      <c r="K172" s="44">
        <f>index!BT173</f>
        <v>0</v>
      </c>
      <c r="L172" s="40">
        <f>index!BU173</f>
        <v>0</v>
      </c>
    </row>
    <row r="173" spans="1:12" x14ac:dyDescent="0.35">
      <c r="A173" s="39">
        <v>172</v>
      </c>
      <c r="B173" s="40">
        <f>index!AP174</f>
        <v>0</v>
      </c>
      <c r="C173" s="41">
        <f>index!AQ174</f>
        <v>0</v>
      </c>
      <c r="D173" s="42">
        <f>index!AR174</f>
        <v>0</v>
      </c>
      <c r="E173" s="31">
        <f>index!AS174</f>
        <v>0</v>
      </c>
      <c r="F173" s="31">
        <f>index!AT174</f>
        <v>0</v>
      </c>
      <c r="G173" s="43">
        <f>index!AU174</f>
        <v>0</v>
      </c>
      <c r="H173" s="6">
        <f>index!AV174</f>
        <v>0</v>
      </c>
      <c r="I173" s="44">
        <f>index!BO174</f>
        <v>0</v>
      </c>
      <c r="J173" s="44">
        <f>index!BR174</f>
        <v>0</v>
      </c>
      <c r="K173" s="44">
        <f>index!BT174</f>
        <v>0</v>
      </c>
      <c r="L173" s="40">
        <f>index!BU174</f>
        <v>0</v>
      </c>
    </row>
    <row r="174" spans="1:12" x14ac:dyDescent="0.35">
      <c r="A174" s="39">
        <v>173</v>
      </c>
      <c r="B174" s="40">
        <f>index!AP175</f>
        <v>0</v>
      </c>
      <c r="C174" s="41">
        <f>index!AQ175</f>
        <v>0</v>
      </c>
      <c r="D174" s="42">
        <f>index!AR175</f>
        <v>0</v>
      </c>
      <c r="E174" s="31">
        <f>index!AS175</f>
        <v>0</v>
      </c>
      <c r="F174" s="31">
        <f>index!AT175</f>
        <v>0</v>
      </c>
      <c r="G174" s="43">
        <f>index!AU175</f>
        <v>0</v>
      </c>
      <c r="H174" s="6">
        <f>index!AV175</f>
        <v>0</v>
      </c>
      <c r="I174" s="44">
        <f>index!BO175</f>
        <v>0</v>
      </c>
      <c r="J174" s="44">
        <f>index!BR175</f>
        <v>0</v>
      </c>
      <c r="K174" s="44">
        <f>index!BT175</f>
        <v>0</v>
      </c>
      <c r="L174" s="40">
        <f>index!BU175</f>
        <v>0</v>
      </c>
    </row>
    <row r="175" spans="1:12" x14ac:dyDescent="0.35">
      <c r="A175" s="39">
        <v>174</v>
      </c>
      <c r="B175" s="40">
        <f>index!AP176</f>
        <v>0</v>
      </c>
      <c r="C175" s="41">
        <f>index!AQ176</f>
        <v>0</v>
      </c>
      <c r="D175" s="42">
        <f>index!AR176</f>
        <v>0</v>
      </c>
      <c r="E175" s="31">
        <f>index!AS176</f>
        <v>0</v>
      </c>
      <c r="F175" s="31">
        <f>index!AT176</f>
        <v>0</v>
      </c>
      <c r="G175" s="43">
        <f>index!AU176</f>
        <v>0</v>
      </c>
      <c r="H175" s="6">
        <f>index!AV176</f>
        <v>0</v>
      </c>
      <c r="I175" s="44">
        <f>index!BO176</f>
        <v>0</v>
      </c>
      <c r="J175" s="44">
        <f>index!BR176</f>
        <v>0</v>
      </c>
      <c r="K175" s="44">
        <f>index!BT176</f>
        <v>0</v>
      </c>
      <c r="L175" s="40">
        <f>index!BU176</f>
        <v>0</v>
      </c>
    </row>
    <row r="176" spans="1:12" x14ac:dyDescent="0.35">
      <c r="A176" s="39">
        <v>175</v>
      </c>
      <c r="B176" s="40">
        <f>index!AP177</f>
        <v>0</v>
      </c>
      <c r="C176" s="41">
        <f>index!AQ177</f>
        <v>0</v>
      </c>
      <c r="D176" s="42">
        <f>index!AR177</f>
        <v>0</v>
      </c>
      <c r="E176" s="31">
        <f>index!AS177</f>
        <v>0</v>
      </c>
      <c r="F176" s="31">
        <f>index!AT177</f>
        <v>0</v>
      </c>
      <c r="G176" s="43">
        <f>index!AU177</f>
        <v>0</v>
      </c>
      <c r="H176" s="6">
        <f>index!AV177</f>
        <v>0</v>
      </c>
      <c r="I176" s="44">
        <f>index!BO177</f>
        <v>0</v>
      </c>
      <c r="J176" s="44">
        <f>index!BR177</f>
        <v>0</v>
      </c>
      <c r="K176" s="44">
        <f>index!BT177</f>
        <v>0</v>
      </c>
      <c r="L176" s="40">
        <f>index!BU177</f>
        <v>0</v>
      </c>
    </row>
    <row r="177" spans="1:12" x14ac:dyDescent="0.35">
      <c r="A177" s="39">
        <v>176</v>
      </c>
      <c r="B177" s="40">
        <f>index!AP178</f>
        <v>0</v>
      </c>
      <c r="C177" s="41">
        <f>index!AQ178</f>
        <v>0</v>
      </c>
      <c r="D177" s="42">
        <f>index!AR178</f>
        <v>0</v>
      </c>
      <c r="E177" s="31">
        <f>index!AS178</f>
        <v>0</v>
      </c>
      <c r="F177" s="31">
        <f>index!AT178</f>
        <v>0</v>
      </c>
      <c r="G177" s="43">
        <f>index!AU178</f>
        <v>0</v>
      </c>
      <c r="H177" s="6">
        <f>index!AV178</f>
        <v>0</v>
      </c>
      <c r="I177" s="44">
        <f>index!BO178</f>
        <v>0</v>
      </c>
      <c r="J177" s="44">
        <f>index!BR178</f>
        <v>0</v>
      </c>
      <c r="K177" s="44">
        <f>index!BT178</f>
        <v>0</v>
      </c>
      <c r="L177" s="40">
        <f>index!BU178</f>
        <v>0</v>
      </c>
    </row>
    <row r="178" spans="1:12" x14ac:dyDescent="0.35">
      <c r="A178" s="39">
        <v>177</v>
      </c>
      <c r="B178" s="40">
        <f>index!AP179</f>
        <v>0</v>
      </c>
      <c r="C178" s="41">
        <f>index!AQ179</f>
        <v>0</v>
      </c>
      <c r="D178" s="42">
        <f>index!AR179</f>
        <v>0</v>
      </c>
      <c r="E178" s="31">
        <f>index!AS179</f>
        <v>0</v>
      </c>
      <c r="F178" s="31">
        <f>index!AT179</f>
        <v>0</v>
      </c>
      <c r="G178" s="43">
        <f>index!AU179</f>
        <v>0</v>
      </c>
      <c r="H178" s="6">
        <f>index!AV179</f>
        <v>0</v>
      </c>
      <c r="I178" s="44">
        <f>index!BO179</f>
        <v>0</v>
      </c>
      <c r="J178" s="44">
        <f>index!BR179</f>
        <v>0</v>
      </c>
      <c r="K178" s="44">
        <f>index!BT179</f>
        <v>0</v>
      </c>
      <c r="L178" s="40">
        <f>index!BU179</f>
        <v>0</v>
      </c>
    </row>
    <row r="179" spans="1:12" x14ac:dyDescent="0.35">
      <c r="A179" s="39">
        <v>178</v>
      </c>
      <c r="B179" s="40">
        <f>index!AP180</f>
        <v>0</v>
      </c>
      <c r="C179" s="41">
        <f>index!AQ180</f>
        <v>0</v>
      </c>
      <c r="D179" s="42">
        <f>index!AR180</f>
        <v>0</v>
      </c>
      <c r="E179" s="31">
        <f>index!AS180</f>
        <v>0</v>
      </c>
      <c r="F179" s="31">
        <f>index!AT180</f>
        <v>0</v>
      </c>
      <c r="G179" s="43">
        <f>index!AU180</f>
        <v>0</v>
      </c>
      <c r="H179" s="6">
        <f>index!AV180</f>
        <v>0</v>
      </c>
      <c r="I179" s="44">
        <f>index!BO180</f>
        <v>0</v>
      </c>
      <c r="J179" s="44">
        <f>index!BR180</f>
        <v>0</v>
      </c>
      <c r="K179" s="44">
        <f>index!BT180</f>
        <v>0</v>
      </c>
      <c r="L179" s="40">
        <f>index!BU180</f>
        <v>0</v>
      </c>
    </row>
    <row r="180" spans="1:12" x14ac:dyDescent="0.35">
      <c r="A180" s="39">
        <v>179</v>
      </c>
      <c r="B180" s="40">
        <f>index!AP181</f>
        <v>0</v>
      </c>
      <c r="C180" s="41">
        <f>index!AQ181</f>
        <v>0</v>
      </c>
      <c r="D180" s="42">
        <f>index!AR181</f>
        <v>0</v>
      </c>
      <c r="E180" s="31">
        <f>index!AS181</f>
        <v>0</v>
      </c>
      <c r="F180" s="31">
        <f>index!AT181</f>
        <v>0</v>
      </c>
      <c r="G180" s="43">
        <f>index!AU181</f>
        <v>0</v>
      </c>
      <c r="H180" s="6">
        <f>index!AV181</f>
        <v>0</v>
      </c>
      <c r="I180" s="44">
        <f>index!BO181</f>
        <v>0</v>
      </c>
      <c r="J180" s="44">
        <f>index!BR181</f>
        <v>0</v>
      </c>
      <c r="K180" s="44">
        <f>index!BT181</f>
        <v>0</v>
      </c>
      <c r="L180" s="40">
        <f>index!BU181</f>
        <v>0</v>
      </c>
    </row>
    <row r="181" spans="1:12" x14ac:dyDescent="0.35">
      <c r="A181" s="39">
        <v>180</v>
      </c>
      <c r="B181" s="40">
        <f>index!AP182</f>
        <v>0</v>
      </c>
      <c r="C181" s="41">
        <f>index!AQ182</f>
        <v>0</v>
      </c>
      <c r="D181" s="42">
        <f>index!AR182</f>
        <v>0</v>
      </c>
      <c r="E181" s="31">
        <f>index!AS182</f>
        <v>0</v>
      </c>
      <c r="F181" s="31">
        <f>index!AT182</f>
        <v>0</v>
      </c>
      <c r="G181" s="43">
        <f>index!AU182</f>
        <v>0</v>
      </c>
      <c r="H181" s="6">
        <f>index!AV182</f>
        <v>0</v>
      </c>
      <c r="I181" s="44">
        <f>index!BO182</f>
        <v>0</v>
      </c>
      <c r="J181" s="44">
        <f>index!BR182</f>
        <v>0</v>
      </c>
      <c r="K181" s="44">
        <f>index!BT182</f>
        <v>0</v>
      </c>
      <c r="L181" s="40">
        <f>index!BU182</f>
        <v>0</v>
      </c>
    </row>
    <row r="182" spans="1:12" x14ac:dyDescent="0.35">
      <c r="A182" s="39">
        <v>181</v>
      </c>
      <c r="B182" s="40">
        <f>index!AP183</f>
        <v>0</v>
      </c>
      <c r="C182" s="41">
        <f>index!AQ183</f>
        <v>0</v>
      </c>
      <c r="D182" s="42">
        <f>index!AR183</f>
        <v>0</v>
      </c>
      <c r="E182" s="31">
        <f>index!AS183</f>
        <v>0</v>
      </c>
      <c r="F182" s="31">
        <f>index!AT183</f>
        <v>0</v>
      </c>
      <c r="G182" s="43">
        <f>index!AU183</f>
        <v>0</v>
      </c>
      <c r="H182" s="6">
        <f>index!AV183</f>
        <v>0</v>
      </c>
      <c r="I182" s="44">
        <f>index!BO183</f>
        <v>0</v>
      </c>
      <c r="J182" s="44">
        <f>index!BR183</f>
        <v>0</v>
      </c>
      <c r="K182" s="44">
        <f>index!BT183</f>
        <v>0</v>
      </c>
      <c r="L182" s="40">
        <f>index!BU183</f>
        <v>0</v>
      </c>
    </row>
    <row r="183" spans="1:12" x14ac:dyDescent="0.35">
      <c r="A183" s="39">
        <v>182</v>
      </c>
      <c r="B183" s="40">
        <f>index!AP184</f>
        <v>0</v>
      </c>
      <c r="C183" s="41">
        <f>index!AQ184</f>
        <v>0</v>
      </c>
      <c r="D183" s="42">
        <f>index!AR184</f>
        <v>0</v>
      </c>
      <c r="E183" s="31">
        <f>index!AS184</f>
        <v>0</v>
      </c>
      <c r="F183" s="31">
        <f>index!AT184</f>
        <v>0</v>
      </c>
      <c r="G183" s="43">
        <f>index!AU184</f>
        <v>0</v>
      </c>
      <c r="H183" s="6">
        <f>index!AV184</f>
        <v>0</v>
      </c>
      <c r="I183" s="44">
        <f>index!BO184</f>
        <v>0</v>
      </c>
      <c r="J183" s="44">
        <f>index!BR184</f>
        <v>0</v>
      </c>
      <c r="K183" s="44">
        <f>index!BT184</f>
        <v>0</v>
      </c>
      <c r="L183" s="40">
        <f>index!BU184</f>
        <v>0</v>
      </c>
    </row>
    <row r="184" spans="1:12" x14ac:dyDescent="0.35">
      <c r="A184" s="39">
        <v>183</v>
      </c>
      <c r="B184" s="40">
        <f>index!AP185</f>
        <v>0</v>
      </c>
      <c r="C184" s="41">
        <f>index!AQ185</f>
        <v>0</v>
      </c>
      <c r="D184" s="42">
        <f>index!AR185</f>
        <v>0</v>
      </c>
      <c r="E184" s="31">
        <f>index!AS185</f>
        <v>0</v>
      </c>
      <c r="F184" s="31">
        <f>index!AT185</f>
        <v>0</v>
      </c>
      <c r="G184" s="43">
        <f>index!AU185</f>
        <v>0</v>
      </c>
      <c r="H184" s="6">
        <f>index!AV185</f>
        <v>0</v>
      </c>
      <c r="I184" s="44">
        <f>index!BO185</f>
        <v>0</v>
      </c>
      <c r="J184" s="44">
        <f>index!BR185</f>
        <v>0</v>
      </c>
      <c r="K184" s="44">
        <f>index!BT185</f>
        <v>0</v>
      </c>
      <c r="L184" s="40">
        <f>index!BU185</f>
        <v>0</v>
      </c>
    </row>
    <row r="185" spans="1:12" x14ac:dyDescent="0.35">
      <c r="A185" s="39">
        <v>184</v>
      </c>
      <c r="B185" s="40">
        <f>index!AP186</f>
        <v>0</v>
      </c>
      <c r="C185" s="41">
        <f>index!AQ186</f>
        <v>0</v>
      </c>
      <c r="D185" s="42">
        <f>index!AR186</f>
        <v>0</v>
      </c>
      <c r="E185" s="31">
        <f>index!AS186</f>
        <v>0</v>
      </c>
      <c r="F185" s="31">
        <f>index!AT186</f>
        <v>0</v>
      </c>
      <c r="G185" s="43">
        <f>index!AU186</f>
        <v>0</v>
      </c>
      <c r="H185" s="6">
        <f>index!AV186</f>
        <v>0</v>
      </c>
      <c r="I185" s="44">
        <f>index!BO186</f>
        <v>0</v>
      </c>
      <c r="J185" s="44">
        <f>index!BR186</f>
        <v>0</v>
      </c>
      <c r="K185" s="44">
        <f>index!BT186</f>
        <v>0</v>
      </c>
      <c r="L185" s="40">
        <f>index!BU186</f>
        <v>0</v>
      </c>
    </row>
    <row r="186" spans="1:12" x14ac:dyDescent="0.35">
      <c r="A186" s="39">
        <v>185</v>
      </c>
      <c r="B186" s="40">
        <f>index!AP187</f>
        <v>0</v>
      </c>
      <c r="C186" s="41">
        <f>index!AQ187</f>
        <v>0</v>
      </c>
      <c r="D186" s="42">
        <f>index!AR187</f>
        <v>0</v>
      </c>
      <c r="E186" s="31">
        <f>index!AS187</f>
        <v>0</v>
      </c>
      <c r="F186" s="31">
        <f>index!AT187</f>
        <v>0</v>
      </c>
      <c r="G186" s="43">
        <f>index!AU187</f>
        <v>0</v>
      </c>
      <c r="H186" s="6">
        <f>index!AV187</f>
        <v>0</v>
      </c>
      <c r="I186" s="44">
        <f>index!BO187</f>
        <v>0</v>
      </c>
      <c r="J186" s="44">
        <f>index!BR187</f>
        <v>0</v>
      </c>
      <c r="K186" s="44">
        <f>index!BT187</f>
        <v>0</v>
      </c>
      <c r="L186" s="40">
        <f>index!BU187</f>
        <v>0</v>
      </c>
    </row>
    <row r="187" spans="1:12" x14ac:dyDescent="0.35">
      <c r="A187" s="39">
        <v>186</v>
      </c>
      <c r="B187" s="40">
        <f>index!AP188</f>
        <v>0</v>
      </c>
      <c r="C187" s="41">
        <f>index!AQ188</f>
        <v>0</v>
      </c>
      <c r="D187" s="42">
        <f>index!AR188</f>
        <v>0</v>
      </c>
      <c r="E187" s="31">
        <f>index!AS188</f>
        <v>0</v>
      </c>
      <c r="F187" s="31">
        <f>index!AT188</f>
        <v>0</v>
      </c>
      <c r="G187" s="43">
        <f>index!AU188</f>
        <v>0</v>
      </c>
      <c r="H187" s="6">
        <f>index!AV188</f>
        <v>0</v>
      </c>
      <c r="I187" s="44">
        <f>index!BO188</f>
        <v>0</v>
      </c>
      <c r="J187" s="44">
        <f>index!BR188</f>
        <v>0</v>
      </c>
      <c r="K187" s="44">
        <f>index!BT188</f>
        <v>0</v>
      </c>
      <c r="L187" s="40">
        <f>index!BU188</f>
        <v>0</v>
      </c>
    </row>
    <row r="188" spans="1:12" x14ac:dyDescent="0.35">
      <c r="A188" s="39">
        <v>187</v>
      </c>
      <c r="B188" s="40">
        <f>index!AP189</f>
        <v>0</v>
      </c>
      <c r="C188" s="41">
        <f>index!AQ189</f>
        <v>0</v>
      </c>
      <c r="D188" s="42">
        <f>index!AR189</f>
        <v>0</v>
      </c>
      <c r="E188" s="31">
        <f>index!AS189</f>
        <v>0</v>
      </c>
      <c r="F188" s="31">
        <f>index!AT189</f>
        <v>0</v>
      </c>
      <c r="G188" s="43">
        <f>index!AU189</f>
        <v>0</v>
      </c>
      <c r="H188" s="6">
        <f>index!AV189</f>
        <v>0</v>
      </c>
      <c r="I188" s="44">
        <f>index!BO189</f>
        <v>0</v>
      </c>
      <c r="J188" s="44">
        <f>index!BR189</f>
        <v>0</v>
      </c>
      <c r="K188" s="44">
        <f>index!BT189</f>
        <v>0</v>
      </c>
      <c r="L188" s="40">
        <f>index!BU189</f>
        <v>0</v>
      </c>
    </row>
    <row r="189" spans="1:12" x14ac:dyDescent="0.35">
      <c r="A189" s="39">
        <v>188</v>
      </c>
      <c r="B189" s="40">
        <f>index!AP190</f>
        <v>0</v>
      </c>
      <c r="C189" s="41">
        <f>index!AQ190</f>
        <v>0</v>
      </c>
      <c r="D189" s="42">
        <f>index!AR190</f>
        <v>0</v>
      </c>
      <c r="E189" s="31">
        <f>index!AS190</f>
        <v>0</v>
      </c>
      <c r="F189" s="31">
        <f>index!AT190</f>
        <v>0</v>
      </c>
      <c r="G189" s="43">
        <f>index!AU190</f>
        <v>0</v>
      </c>
      <c r="H189" s="6">
        <f>index!AV190</f>
        <v>0</v>
      </c>
      <c r="I189" s="44">
        <f>index!BO190</f>
        <v>0</v>
      </c>
      <c r="J189" s="44">
        <f>index!BR190</f>
        <v>0</v>
      </c>
      <c r="K189" s="44">
        <f>index!BT190</f>
        <v>0</v>
      </c>
      <c r="L189" s="40">
        <f>index!BU190</f>
        <v>0</v>
      </c>
    </row>
    <row r="190" spans="1:12" x14ac:dyDescent="0.35">
      <c r="A190" s="39">
        <v>189</v>
      </c>
      <c r="B190" s="40">
        <f>index!AP191</f>
        <v>0</v>
      </c>
      <c r="C190" s="41">
        <f>index!AQ191</f>
        <v>0</v>
      </c>
      <c r="D190" s="42">
        <f>index!AR191</f>
        <v>0</v>
      </c>
      <c r="E190" s="31">
        <f>index!AS191</f>
        <v>0</v>
      </c>
      <c r="F190" s="31">
        <f>index!AT191</f>
        <v>0</v>
      </c>
      <c r="G190" s="43">
        <f>index!AU191</f>
        <v>0</v>
      </c>
      <c r="H190" s="6">
        <f>index!AV191</f>
        <v>0</v>
      </c>
      <c r="I190" s="44">
        <f>index!BO191</f>
        <v>0</v>
      </c>
      <c r="J190" s="44">
        <f>index!BR191</f>
        <v>0</v>
      </c>
      <c r="K190" s="44">
        <f>index!BT191</f>
        <v>0</v>
      </c>
      <c r="L190" s="40">
        <f>index!BU191</f>
        <v>0</v>
      </c>
    </row>
    <row r="191" spans="1:12" x14ac:dyDescent="0.35">
      <c r="A191" s="39">
        <v>190</v>
      </c>
      <c r="B191" s="40">
        <f>index!AP192</f>
        <v>0</v>
      </c>
      <c r="C191" s="41">
        <f>index!AQ192</f>
        <v>0</v>
      </c>
      <c r="D191" s="42">
        <f>index!AR192</f>
        <v>0</v>
      </c>
      <c r="E191" s="31">
        <f>index!AS192</f>
        <v>0</v>
      </c>
      <c r="F191" s="31">
        <f>index!AT192</f>
        <v>0</v>
      </c>
      <c r="G191" s="43">
        <f>index!AU192</f>
        <v>0</v>
      </c>
      <c r="H191" s="6">
        <f>index!AV192</f>
        <v>0</v>
      </c>
      <c r="I191" s="44">
        <f>index!BO192</f>
        <v>0</v>
      </c>
      <c r="J191" s="44">
        <f>index!BR192</f>
        <v>0</v>
      </c>
      <c r="K191" s="44">
        <f>index!BT192</f>
        <v>0</v>
      </c>
      <c r="L191" s="40">
        <f>index!BU192</f>
        <v>0</v>
      </c>
    </row>
    <row r="192" spans="1:12" x14ac:dyDescent="0.35">
      <c r="A192" s="39">
        <v>191</v>
      </c>
      <c r="B192" s="40">
        <f>index!AP193</f>
        <v>0</v>
      </c>
      <c r="C192" s="41">
        <f>index!AQ193</f>
        <v>0</v>
      </c>
      <c r="D192" s="42">
        <f>index!AR193</f>
        <v>0</v>
      </c>
      <c r="E192" s="31">
        <f>index!AS193</f>
        <v>0</v>
      </c>
      <c r="F192" s="31">
        <f>index!AT193</f>
        <v>0</v>
      </c>
      <c r="G192" s="43">
        <f>index!AU193</f>
        <v>0</v>
      </c>
      <c r="H192" s="6">
        <f>index!AV193</f>
        <v>0</v>
      </c>
      <c r="I192" s="44">
        <f>index!BO193</f>
        <v>0</v>
      </c>
      <c r="J192" s="44">
        <f>index!BR193</f>
        <v>0</v>
      </c>
      <c r="K192" s="44">
        <f>index!BT193</f>
        <v>0</v>
      </c>
      <c r="L192" s="40">
        <f>index!BU193</f>
        <v>0</v>
      </c>
    </row>
    <row r="193" spans="1:12" x14ac:dyDescent="0.35">
      <c r="A193" s="39">
        <v>192</v>
      </c>
      <c r="B193" s="40">
        <f>index!AP194</f>
        <v>0</v>
      </c>
      <c r="C193" s="41">
        <f>index!AQ194</f>
        <v>0</v>
      </c>
      <c r="D193" s="42">
        <f>index!AR194</f>
        <v>0</v>
      </c>
      <c r="E193" s="31">
        <f>index!AS194</f>
        <v>0</v>
      </c>
      <c r="F193" s="31">
        <f>index!AT194</f>
        <v>0</v>
      </c>
      <c r="G193" s="43">
        <f>index!AU194</f>
        <v>0</v>
      </c>
      <c r="H193" s="6">
        <f>index!AV194</f>
        <v>0</v>
      </c>
      <c r="I193" s="44">
        <f>index!BO194</f>
        <v>0</v>
      </c>
      <c r="J193" s="44">
        <f>index!BR194</f>
        <v>0</v>
      </c>
      <c r="K193" s="44">
        <f>index!BT194</f>
        <v>0</v>
      </c>
      <c r="L193" s="40">
        <f>index!BU194</f>
        <v>0</v>
      </c>
    </row>
    <row r="194" spans="1:12" x14ac:dyDescent="0.35">
      <c r="A194" s="39">
        <v>193</v>
      </c>
      <c r="B194" s="40">
        <f>index!AP195</f>
        <v>0</v>
      </c>
      <c r="C194" s="41">
        <f>index!AQ195</f>
        <v>0</v>
      </c>
      <c r="D194" s="42">
        <f>index!AR195</f>
        <v>0</v>
      </c>
      <c r="E194" s="31">
        <f>index!AS195</f>
        <v>0</v>
      </c>
      <c r="F194" s="31">
        <f>index!AT195</f>
        <v>0</v>
      </c>
      <c r="G194" s="43">
        <f>index!AU195</f>
        <v>0</v>
      </c>
      <c r="H194" s="6">
        <f>index!AV195</f>
        <v>0</v>
      </c>
      <c r="I194" s="44">
        <f>index!BO195</f>
        <v>0</v>
      </c>
      <c r="J194" s="44">
        <f>index!BR195</f>
        <v>0</v>
      </c>
      <c r="K194" s="44">
        <f>index!BT195</f>
        <v>0</v>
      </c>
      <c r="L194" s="40">
        <f>index!BU195</f>
        <v>0</v>
      </c>
    </row>
    <row r="195" spans="1:12" x14ac:dyDescent="0.35">
      <c r="A195" s="39">
        <v>194</v>
      </c>
      <c r="B195" s="40">
        <f>index!AP196</f>
        <v>0</v>
      </c>
      <c r="C195" s="41">
        <f>index!AQ196</f>
        <v>0</v>
      </c>
      <c r="D195" s="42">
        <f>index!AR196</f>
        <v>0</v>
      </c>
      <c r="E195" s="31">
        <f>index!AS196</f>
        <v>0</v>
      </c>
      <c r="F195" s="31">
        <f>index!AT196</f>
        <v>0</v>
      </c>
      <c r="G195" s="43">
        <f>index!AU196</f>
        <v>0</v>
      </c>
      <c r="H195" s="6">
        <f>index!AV196</f>
        <v>0</v>
      </c>
      <c r="I195" s="44">
        <f>index!BO196</f>
        <v>0</v>
      </c>
      <c r="J195" s="44">
        <f>index!BR196</f>
        <v>0</v>
      </c>
      <c r="K195" s="44">
        <f>index!BT196</f>
        <v>0</v>
      </c>
      <c r="L195" s="40">
        <f>index!BU196</f>
        <v>0</v>
      </c>
    </row>
    <row r="196" spans="1:12" x14ac:dyDescent="0.35">
      <c r="A196" s="39">
        <v>195</v>
      </c>
      <c r="B196" s="40">
        <f>index!AP197</f>
        <v>0</v>
      </c>
      <c r="C196" s="41">
        <f>index!AQ197</f>
        <v>0</v>
      </c>
      <c r="D196" s="42">
        <f>index!AR197</f>
        <v>0</v>
      </c>
      <c r="E196" s="31">
        <f>index!AS197</f>
        <v>0</v>
      </c>
      <c r="F196" s="31">
        <f>index!AT197</f>
        <v>0</v>
      </c>
      <c r="G196" s="43">
        <f>index!AU197</f>
        <v>0</v>
      </c>
      <c r="H196" s="6">
        <f>index!AV197</f>
        <v>0</v>
      </c>
      <c r="I196" s="44">
        <f>index!BO197</f>
        <v>0</v>
      </c>
      <c r="J196" s="44">
        <f>index!BR197</f>
        <v>0</v>
      </c>
      <c r="K196" s="44">
        <f>index!BT197</f>
        <v>0</v>
      </c>
      <c r="L196" s="40">
        <f>index!BU197</f>
        <v>0</v>
      </c>
    </row>
    <row r="197" spans="1:12" x14ac:dyDescent="0.35">
      <c r="A197" s="39">
        <v>196</v>
      </c>
      <c r="B197" s="40">
        <f>index!AP198</f>
        <v>0</v>
      </c>
      <c r="C197" s="41">
        <f>index!AQ198</f>
        <v>0</v>
      </c>
      <c r="D197" s="42">
        <f>index!AR198</f>
        <v>0</v>
      </c>
      <c r="E197" s="31">
        <f>index!AS198</f>
        <v>0</v>
      </c>
      <c r="F197" s="31">
        <f>index!AT198</f>
        <v>0</v>
      </c>
      <c r="G197" s="43">
        <f>index!AU198</f>
        <v>0</v>
      </c>
      <c r="H197" s="6">
        <f>index!AV198</f>
        <v>0</v>
      </c>
      <c r="I197" s="44">
        <f>index!BO198</f>
        <v>0</v>
      </c>
      <c r="J197" s="44">
        <f>index!BR198</f>
        <v>0</v>
      </c>
      <c r="K197" s="44">
        <f>index!BT198</f>
        <v>0</v>
      </c>
      <c r="L197" s="40">
        <f>index!BU198</f>
        <v>0</v>
      </c>
    </row>
    <row r="198" spans="1:12" x14ac:dyDescent="0.35">
      <c r="A198" s="39">
        <v>197</v>
      </c>
      <c r="B198" s="40">
        <f>index!AP199</f>
        <v>0</v>
      </c>
      <c r="C198" s="41">
        <f>index!AQ199</f>
        <v>0</v>
      </c>
      <c r="D198" s="42">
        <f>index!AR199</f>
        <v>0</v>
      </c>
      <c r="E198" s="31">
        <f>index!AS199</f>
        <v>0</v>
      </c>
      <c r="F198" s="31">
        <f>index!AT199</f>
        <v>0</v>
      </c>
      <c r="G198" s="43">
        <f>index!AU199</f>
        <v>0</v>
      </c>
      <c r="H198" s="6">
        <f>index!AV199</f>
        <v>0</v>
      </c>
      <c r="I198" s="44">
        <f>index!BO199</f>
        <v>0</v>
      </c>
      <c r="J198" s="44">
        <f>index!BR199</f>
        <v>0</v>
      </c>
      <c r="K198" s="44">
        <f>index!BT199</f>
        <v>0</v>
      </c>
      <c r="L198" s="40">
        <f>index!BU199</f>
        <v>0</v>
      </c>
    </row>
    <row r="199" spans="1:12" x14ac:dyDescent="0.35">
      <c r="A199" s="39">
        <v>198</v>
      </c>
      <c r="B199" s="40">
        <f>index!AP200</f>
        <v>0</v>
      </c>
      <c r="C199" s="41">
        <f>index!AQ200</f>
        <v>0</v>
      </c>
      <c r="D199" s="42">
        <f>index!AR200</f>
        <v>0</v>
      </c>
      <c r="E199" s="31">
        <f>index!AS200</f>
        <v>0</v>
      </c>
      <c r="F199" s="31">
        <f>index!AT200</f>
        <v>0</v>
      </c>
      <c r="G199" s="43">
        <f>index!AU200</f>
        <v>0</v>
      </c>
      <c r="H199" s="6">
        <f>index!AV200</f>
        <v>0</v>
      </c>
      <c r="I199" s="44">
        <f>index!BO200</f>
        <v>0</v>
      </c>
      <c r="J199" s="44">
        <f>index!BR200</f>
        <v>0</v>
      </c>
      <c r="K199" s="44">
        <f>index!BT200</f>
        <v>0</v>
      </c>
      <c r="L199" s="40">
        <f>index!BU200</f>
        <v>0</v>
      </c>
    </row>
    <row r="200" spans="1:12" x14ac:dyDescent="0.35">
      <c r="A200" s="39">
        <v>199</v>
      </c>
      <c r="B200" s="40">
        <f>index!AP201</f>
        <v>0</v>
      </c>
      <c r="C200" s="41">
        <f>index!AQ201</f>
        <v>0</v>
      </c>
      <c r="D200" s="42">
        <f>index!AR201</f>
        <v>0</v>
      </c>
      <c r="E200" s="31">
        <f>index!AS201</f>
        <v>0</v>
      </c>
      <c r="F200" s="31">
        <f>index!AT201</f>
        <v>0</v>
      </c>
      <c r="G200" s="43">
        <f>index!AU201</f>
        <v>0</v>
      </c>
      <c r="H200" s="6">
        <f>index!AV201</f>
        <v>0</v>
      </c>
      <c r="I200" s="44">
        <f>index!BO201</f>
        <v>0</v>
      </c>
      <c r="J200" s="44">
        <f>index!BR201</f>
        <v>0</v>
      </c>
      <c r="K200" s="44">
        <f>index!BT201</f>
        <v>0</v>
      </c>
      <c r="L200" s="40">
        <f>index!BU201</f>
        <v>0</v>
      </c>
    </row>
    <row r="201" spans="1:12" x14ac:dyDescent="0.35">
      <c r="A201" s="39">
        <v>200</v>
      </c>
      <c r="B201" s="40">
        <f>index!AP202</f>
        <v>0</v>
      </c>
      <c r="C201" s="41">
        <f>index!AQ202</f>
        <v>0</v>
      </c>
      <c r="D201" s="42">
        <f>index!AR202</f>
        <v>0</v>
      </c>
      <c r="E201" s="31">
        <f>index!AS202</f>
        <v>0</v>
      </c>
      <c r="F201" s="31">
        <f>index!AT202</f>
        <v>0</v>
      </c>
      <c r="G201" s="43">
        <f>index!AU202</f>
        <v>0</v>
      </c>
      <c r="H201" s="6">
        <f>index!AV202</f>
        <v>0</v>
      </c>
      <c r="I201" s="44">
        <f>index!BO202</f>
        <v>0</v>
      </c>
      <c r="J201" s="44">
        <f>index!BR202</f>
        <v>0</v>
      </c>
      <c r="K201" s="44">
        <f>index!BT202</f>
        <v>0</v>
      </c>
      <c r="L201" s="40">
        <f>index!BU202</f>
        <v>0</v>
      </c>
    </row>
    <row r="202" spans="1:12" x14ac:dyDescent="0.35">
      <c r="A202" s="39">
        <v>201</v>
      </c>
      <c r="B202" s="40">
        <f>index!AP203</f>
        <v>0</v>
      </c>
      <c r="C202" s="41">
        <f>index!AQ203</f>
        <v>0</v>
      </c>
      <c r="D202" s="42">
        <f>index!AR203</f>
        <v>0</v>
      </c>
      <c r="E202" s="31">
        <f>index!AS203</f>
        <v>0</v>
      </c>
      <c r="F202" s="31">
        <f>index!AT203</f>
        <v>0</v>
      </c>
      <c r="G202" s="43">
        <f>index!AU203</f>
        <v>0</v>
      </c>
      <c r="H202" s="6">
        <f>index!AV203</f>
        <v>0</v>
      </c>
      <c r="I202" s="44">
        <f>index!BO203</f>
        <v>0</v>
      </c>
      <c r="J202" s="44">
        <f>index!BR203</f>
        <v>0</v>
      </c>
      <c r="K202" s="44">
        <f>index!BT203</f>
        <v>0</v>
      </c>
      <c r="L202" s="40">
        <f>index!BU203</f>
        <v>0</v>
      </c>
    </row>
    <row r="203" spans="1:12" x14ac:dyDescent="0.35">
      <c r="A203" s="39">
        <v>202</v>
      </c>
      <c r="B203" s="40">
        <f>index!AP204</f>
        <v>0</v>
      </c>
      <c r="C203" s="41">
        <f>index!AQ204</f>
        <v>0</v>
      </c>
      <c r="D203" s="42">
        <f>index!AR204</f>
        <v>0</v>
      </c>
      <c r="E203" s="31">
        <f>index!AS204</f>
        <v>0</v>
      </c>
      <c r="F203" s="31">
        <f>index!AT204</f>
        <v>0</v>
      </c>
      <c r="G203" s="43">
        <f>index!AU204</f>
        <v>0</v>
      </c>
      <c r="H203" s="6">
        <f>index!AV204</f>
        <v>0</v>
      </c>
      <c r="I203" s="44">
        <f>index!BO204</f>
        <v>0</v>
      </c>
      <c r="J203" s="44">
        <f>index!BR204</f>
        <v>0</v>
      </c>
      <c r="K203" s="44">
        <f>index!BT204</f>
        <v>0</v>
      </c>
      <c r="L203" s="40">
        <f>index!BU204</f>
        <v>0</v>
      </c>
    </row>
    <row r="204" spans="1:12" x14ac:dyDescent="0.35">
      <c r="A204" s="39">
        <v>203</v>
      </c>
      <c r="B204" s="40">
        <f>index!AP205</f>
        <v>0</v>
      </c>
      <c r="C204" s="41">
        <f>index!AQ205</f>
        <v>0</v>
      </c>
      <c r="D204" s="42">
        <f>index!AR205</f>
        <v>0</v>
      </c>
      <c r="E204" s="31">
        <f>index!AS205</f>
        <v>0</v>
      </c>
      <c r="F204" s="31">
        <f>index!AT205</f>
        <v>0</v>
      </c>
      <c r="G204" s="43">
        <f>index!AU205</f>
        <v>0</v>
      </c>
      <c r="H204" s="6">
        <f>index!AV205</f>
        <v>0</v>
      </c>
      <c r="I204" s="44">
        <f>index!BO205</f>
        <v>0</v>
      </c>
      <c r="J204" s="44">
        <f>index!BR205</f>
        <v>0</v>
      </c>
      <c r="K204" s="44">
        <f>index!BT205</f>
        <v>0</v>
      </c>
      <c r="L204" s="40">
        <f>index!BU205</f>
        <v>0</v>
      </c>
    </row>
    <row r="205" spans="1:12" x14ac:dyDescent="0.35">
      <c r="A205" s="39">
        <v>204</v>
      </c>
      <c r="B205" s="40">
        <f>index!AP206</f>
        <v>0</v>
      </c>
      <c r="C205" s="41">
        <f>index!AQ206</f>
        <v>0</v>
      </c>
      <c r="D205" s="42">
        <f>index!AR206</f>
        <v>0</v>
      </c>
      <c r="E205" s="31">
        <f>index!AS206</f>
        <v>0</v>
      </c>
      <c r="F205" s="31">
        <f>index!AT206</f>
        <v>0</v>
      </c>
      <c r="G205" s="43">
        <f>index!AU206</f>
        <v>0</v>
      </c>
      <c r="H205" s="6">
        <f>index!AV206</f>
        <v>0</v>
      </c>
      <c r="I205" s="44">
        <f>index!BO206</f>
        <v>0</v>
      </c>
      <c r="J205" s="44">
        <f>index!BR206</f>
        <v>0</v>
      </c>
      <c r="K205" s="44">
        <f>index!BT206</f>
        <v>0</v>
      </c>
      <c r="L205" s="40">
        <f>index!BU206</f>
        <v>0</v>
      </c>
    </row>
    <row r="206" spans="1:12" x14ac:dyDescent="0.35">
      <c r="A206" s="39">
        <v>205</v>
      </c>
      <c r="B206" s="40">
        <f>index!AP207</f>
        <v>0</v>
      </c>
      <c r="C206" s="41">
        <f>index!AQ207</f>
        <v>0</v>
      </c>
      <c r="D206" s="42">
        <f>index!AR207</f>
        <v>0</v>
      </c>
      <c r="E206" s="31">
        <f>index!AS207</f>
        <v>0</v>
      </c>
      <c r="F206" s="31">
        <f>index!AT207</f>
        <v>0</v>
      </c>
      <c r="G206" s="43">
        <f>index!AU207</f>
        <v>0</v>
      </c>
      <c r="H206" s="6">
        <f>index!AV207</f>
        <v>0</v>
      </c>
      <c r="I206" s="44">
        <f>index!BO207</f>
        <v>0</v>
      </c>
      <c r="J206" s="44">
        <f>index!BR207</f>
        <v>0</v>
      </c>
      <c r="K206" s="44">
        <f>index!BT207</f>
        <v>0</v>
      </c>
      <c r="L206" s="40">
        <f>index!BU207</f>
        <v>0</v>
      </c>
    </row>
    <row r="207" spans="1:12" x14ac:dyDescent="0.35">
      <c r="A207" s="39">
        <v>206</v>
      </c>
      <c r="B207" s="40">
        <f>index!AP208</f>
        <v>0</v>
      </c>
      <c r="C207" s="41">
        <f>index!AQ208</f>
        <v>0</v>
      </c>
      <c r="D207" s="42">
        <f>index!AR208</f>
        <v>0</v>
      </c>
      <c r="E207" s="31">
        <f>index!AS208</f>
        <v>0</v>
      </c>
      <c r="F207" s="31">
        <f>index!AT208</f>
        <v>0</v>
      </c>
      <c r="G207" s="43">
        <f>index!AU208</f>
        <v>0</v>
      </c>
      <c r="H207" s="6">
        <f>index!AV208</f>
        <v>0</v>
      </c>
      <c r="I207" s="44">
        <f>index!BO208</f>
        <v>0</v>
      </c>
      <c r="J207" s="44">
        <f>index!BR208</f>
        <v>0</v>
      </c>
      <c r="K207" s="44">
        <f>index!BT208</f>
        <v>0</v>
      </c>
      <c r="L207" s="40">
        <f>index!BU208</f>
        <v>0</v>
      </c>
    </row>
    <row r="208" spans="1:12" x14ac:dyDescent="0.35">
      <c r="A208" s="39">
        <v>207</v>
      </c>
      <c r="B208" s="40">
        <f>index!AP209</f>
        <v>0</v>
      </c>
      <c r="C208" s="41">
        <f>index!AQ209</f>
        <v>0</v>
      </c>
      <c r="D208" s="42">
        <f>index!AR209</f>
        <v>0</v>
      </c>
      <c r="E208" s="31">
        <f>index!AS209</f>
        <v>0</v>
      </c>
      <c r="F208" s="31">
        <f>index!AT209</f>
        <v>0</v>
      </c>
      <c r="G208" s="43">
        <f>index!AU209</f>
        <v>0</v>
      </c>
      <c r="H208" s="6">
        <f>index!AV209</f>
        <v>0</v>
      </c>
      <c r="I208" s="44">
        <f>index!BO209</f>
        <v>0</v>
      </c>
      <c r="J208" s="44">
        <f>index!BR209</f>
        <v>0</v>
      </c>
      <c r="K208" s="44">
        <f>index!BT209</f>
        <v>0</v>
      </c>
      <c r="L208" s="40">
        <f>index!BU209</f>
        <v>0</v>
      </c>
    </row>
    <row r="209" spans="1:12" x14ac:dyDescent="0.35">
      <c r="A209" s="39">
        <v>208</v>
      </c>
      <c r="B209" s="40">
        <f>index!AP210</f>
        <v>0</v>
      </c>
      <c r="C209" s="41">
        <f>index!AQ210</f>
        <v>0</v>
      </c>
      <c r="D209" s="42">
        <f>index!AR210</f>
        <v>0</v>
      </c>
      <c r="E209" s="31">
        <f>index!AS210</f>
        <v>0</v>
      </c>
      <c r="F209" s="31">
        <f>index!AT210</f>
        <v>0</v>
      </c>
      <c r="G209" s="43">
        <f>index!AU210</f>
        <v>0</v>
      </c>
      <c r="H209" s="6">
        <f>index!AV210</f>
        <v>0</v>
      </c>
      <c r="I209" s="44">
        <f>index!BO210</f>
        <v>0</v>
      </c>
      <c r="J209" s="44">
        <f>index!BR210</f>
        <v>0</v>
      </c>
      <c r="K209" s="44">
        <f>index!BT210</f>
        <v>0</v>
      </c>
      <c r="L209" s="40">
        <f>index!BU210</f>
        <v>0</v>
      </c>
    </row>
    <row r="210" spans="1:12" x14ac:dyDescent="0.35">
      <c r="A210" s="39">
        <v>209</v>
      </c>
      <c r="B210" s="40">
        <f>index!AP211</f>
        <v>0</v>
      </c>
      <c r="C210" s="41">
        <f>index!AQ211</f>
        <v>0</v>
      </c>
      <c r="D210" s="42">
        <f>index!AR211</f>
        <v>0</v>
      </c>
      <c r="E210" s="31">
        <f>index!AS211</f>
        <v>0</v>
      </c>
      <c r="F210" s="31">
        <f>index!AT211</f>
        <v>0</v>
      </c>
      <c r="G210" s="43">
        <f>index!AU211</f>
        <v>0</v>
      </c>
      <c r="H210" s="6">
        <f>index!AV211</f>
        <v>0</v>
      </c>
      <c r="I210" s="44">
        <f>index!BO211</f>
        <v>0</v>
      </c>
      <c r="J210" s="44">
        <f>index!BR211</f>
        <v>0</v>
      </c>
      <c r="K210" s="44">
        <f>index!BT211</f>
        <v>0</v>
      </c>
      <c r="L210" s="40">
        <f>index!BU211</f>
        <v>0</v>
      </c>
    </row>
    <row r="211" spans="1:12" x14ac:dyDescent="0.35">
      <c r="A211" s="39">
        <v>210</v>
      </c>
      <c r="B211" s="40">
        <f>index!AP212</f>
        <v>0</v>
      </c>
      <c r="C211" s="41">
        <f>index!AQ212</f>
        <v>0</v>
      </c>
      <c r="D211" s="42">
        <f>index!AR212</f>
        <v>0</v>
      </c>
      <c r="E211" s="31">
        <f>index!AS212</f>
        <v>0</v>
      </c>
      <c r="F211" s="31">
        <f>index!AT212</f>
        <v>0</v>
      </c>
      <c r="G211" s="43">
        <f>index!AU212</f>
        <v>0</v>
      </c>
      <c r="H211" s="6">
        <f>index!AV212</f>
        <v>0</v>
      </c>
      <c r="I211" s="44">
        <f>index!BO212</f>
        <v>0</v>
      </c>
      <c r="J211" s="44">
        <f>index!BR212</f>
        <v>0</v>
      </c>
      <c r="K211" s="44">
        <f>index!BT212</f>
        <v>0</v>
      </c>
      <c r="L211" s="40">
        <f>index!BU212</f>
        <v>0</v>
      </c>
    </row>
    <row r="212" spans="1:12" x14ac:dyDescent="0.35">
      <c r="A212" s="39">
        <v>211</v>
      </c>
      <c r="B212" s="40">
        <f>index!AP213</f>
        <v>0</v>
      </c>
      <c r="C212" s="41">
        <f>index!AQ213</f>
        <v>0</v>
      </c>
      <c r="D212" s="42">
        <f>index!AR213</f>
        <v>0</v>
      </c>
      <c r="E212" s="31">
        <f>index!AS213</f>
        <v>0</v>
      </c>
      <c r="F212" s="31">
        <f>index!AT213</f>
        <v>0</v>
      </c>
      <c r="G212" s="43">
        <f>index!AU213</f>
        <v>0</v>
      </c>
      <c r="H212" s="6">
        <f>index!AV213</f>
        <v>0</v>
      </c>
      <c r="I212" s="44">
        <f>index!BO213</f>
        <v>0</v>
      </c>
      <c r="J212" s="44">
        <f>index!BR213</f>
        <v>0</v>
      </c>
      <c r="K212" s="44">
        <f>index!BT213</f>
        <v>0</v>
      </c>
      <c r="L212" s="40">
        <f>index!BU213</f>
        <v>0</v>
      </c>
    </row>
    <row r="213" spans="1:12" x14ac:dyDescent="0.35">
      <c r="A213" s="39">
        <v>212</v>
      </c>
      <c r="B213" s="40">
        <f>index!AP214</f>
        <v>0</v>
      </c>
      <c r="C213" s="41">
        <f>index!AQ214</f>
        <v>0</v>
      </c>
      <c r="D213" s="42" t="str">
        <f>index!AR214</f>
        <v/>
      </c>
      <c r="E213" s="31">
        <f>index!AS214</f>
        <v>0</v>
      </c>
      <c r="F213" s="31" t="e">
        <f>index!AT214</f>
        <v>#N/A</v>
      </c>
      <c r="G213" s="43">
        <f>index!AU214</f>
        <v>0</v>
      </c>
      <c r="H213" s="6">
        <f>index!AV214</f>
        <v>0</v>
      </c>
      <c r="I213" s="44">
        <f>index!BO214</f>
        <v>0</v>
      </c>
      <c r="J213" s="44">
        <f>index!BR214</f>
        <v>0</v>
      </c>
      <c r="K213" s="44">
        <f>index!BT214</f>
        <v>0</v>
      </c>
      <c r="L213" s="40">
        <f>index!BU214</f>
        <v>0</v>
      </c>
    </row>
    <row r="214" spans="1:12" x14ac:dyDescent="0.35">
      <c r="A214" s="39">
        <v>213</v>
      </c>
      <c r="B214" s="40">
        <f>index!AP215</f>
        <v>0</v>
      </c>
      <c r="C214" s="41">
        <f>index!AQ215</f>
        <v>0</v>
      </c>
      <c r="D214" s="42" t="str">
        <f>index!AR215</f>
        <v/>
      </c>
      <c r="E214" s="31">
        <f>index!AS215</f>
        <v>0</v>
      </c>
      <c r="F214" s="31" t="e">
        <f>index!AT215</f>
        <v>#N/A</v>
      </c>
      <c r="G214" s="43">
        <f>index!AU215</f>
        <v>0</v>
      </c>
      <c r="H214" s="6">
        <f>index!AV215</f>
        <v>0</v>
      </c>
      <c r="I214" s="44">
        <f>index!BO215</f>
        <v>0</v>
      </c>
      <c r="J214" s="44">
        <f>index!BR215</f>
        <v>0</v>
      </c>
      <c r="K214" s="44">
        <f>index!BT215</f>
        <v>0</v>
      </c>
      <c r="L214" s="40">
        <f>index!BU215</f>
        <v>0</v>
      </c>
    </row>
    <row r="215" spans="1:12" x14ac:dyDescent="0.35">
      <c r="A215" s="39">
        <v>214</v>
      </c>
      <c r="B215" s="40">
        <f>index!AP216</f>
        <v>0</v>
      </c>
      <c r="C215" s="41">
        <f>index!AQ216</f>
        <v>0</v>
      </c>
      <c r="D215" s="42" t="str">
        <f>index!AR216</f>
        <v/>
      </c>
      <c r="E215" s="31">
        <f>index!AS216</f>
        <v>0</v>
      </c>
      <c r="F215" s="31" t="e">
        <f>index!AT216</f>
        <v>#N/A</v>
      </c>
      <c r="G215" s="43">
        <f>index!AU216</f>
        <v>0</v>
      </c>
      <c r="H215" s="6">
        <f>index!AV216</f>
        <v>0</v>
      </c>
      <c r="I215" s="44">
        <f>index!BO216</f>
        <v>0</v>
      </c>
      <c r="J215" s="44">
        <f>index!BR216</f>
        <v>0</v>
      </c>
      <c r="K215" s="44">
        <f>index!BT216</f>
        <v>0</v>
      </c>
      <c r="L215" s="40">
        <f>index!BU216</f>
        <v>0</v>
      </c>
    </row>
    <row r="216" spans="1:12" x14ac:dyDescent="0.35">
      <c r="A216" s="39">
        <v>215</v>
      </c>
      <c r="B216" s="40">
        <f>index!AP217</f>
        <v>0</v>
      </c>
      <c r="C216" s="41">
        <f>index!AQ217</f>
        <v>0</v>
      </c>
      <c r="D216" s="42" t="str">
        <f>index!AR217</f>
        <v/>
      </c>
      <c r="E216" s="31">
        <f>index!AS217</f>
        <v>0</v>
      </c>
      <c r="F216" s="31" t="e">
        <f>index!AT217</f>
        <v>#N/A</v>
      </c>
      <c r="G216" s="43">
        <f>index!AU217</f>
        <v>0</v>
      </c>
      <c r="H216" s="6">
        <f>index!AV217</f>
        <v>0</v>
      </c>
      <c r="I216" s="44">
        <f>index!BO217</f>
        <v>0</v>
      </c>
      <c r="J216" s="44">
        <f>index!BR217</f>
        <v>0</v>
      </c>
      <c r="K216" s="44">
        <f>index!BT217</f>
        <v>0</v>
      </c>
      <c r="L216" s="40">
        <f>index!BU217</f>
        <v>0</v>
      </c>
    </row>
    <row r="217" spans="1:12" x14ac:dyDescent="0.35">
      <c r="A217" s="39">
        <v>216</v>
      </c>
      <c r="B217" s="40">
        <f>index!AP218</f>
        <v>0</v>
      </c>
      <c r="C217" s="41">
        <f>index!AQ218</f>
        <v>0</v>
      </c>
      <c r="D217" s="42" t="str">
        <f>index!AR218</f>
        <v/>
      </c>
      <c r="E217" s="31">
        <f>index!AS218</f>
        <v>0</v>
      </c>
      <c r="F217" s="31" t="e">
        <f>index!AT218</f>
        <v>#N/A</v>
      </c>
      <c r="G217" s="43">
        <f>index!AU218</f>
        <v>0</v>
      </c>
      <c r="H217" s="6">
        <f>index!AV218</f>
        <v>0</v>
      </c>
      <c r="I217" s="44">
        <f>index!BO218</f>
        <v>0</v>
      </c>
      <c r="J217" s="44">
        <f>index!BR218</f>
        <v>0</v>
      </c>
      <c r="K217" s="44">
        <f>index!BT218</f>
        <v>0</v>
      </c>
      <c r="L217" s="40">
        <f>index!BU218</f>
        <v>0</v>
      </c>
    </row>
    <row r="218" spans="1:12" x14ac:dyDescent="0.35">
      <c r="A218" s="39">
        <v>217</v>
      </c>
      <c r="B218" s="40">
        <f>index!AP219</f>
        <v>0</v>
      </c>
      <c r="C218" s="41">
        <f>index!AQ219</f>
        <v>0</v>
      </c>
      <c r="D218" s="42" t="str">
        <f>index!AR219</f>
        <v/>
      </c>
      <c r="E218" s="31">
        <f>index!AS219</f>
        <v>0</v>
      </c>
      <c r="F218" s="31" t="e">
        <f>index!AT219</f>
        <v>#N/A</v>
      </c>
      <c r="G218" s="43">
        <f>index!AU219</f>
        <v>0</v>
      </c>
      <c r="H218" s="6">
        <f>index!AV219</f>
        <v>0</v>
      </c>
      <c r="I218" s="44">
        <f>index!BO219</f>
        <v>0</v>
      </c>
      <c r="J218" s="44">
        <f>index!BR219</f>
        <v>0</v>
      </c>
      <c r="K218" s="44">
        <f>index!BT219</f>
        <v>0</v>
      </c>
      <c r="L218" s="40">
        <f>index!BU219</f>
        <v>0</v>
      </c>
    </row>
    <row r="219" spans="1:12" x14ac:dyDescent="0.35">
      <c r="A219" s="39">
        <v>218</v>
      </c>
      <c r="B219" s="40">
        <f>index!AP220</f>
        <v>0</v>
      </c>
      <c r="C219" s="41">
        <f>index!AQ220</f>
        <v>0</v>
      </c>
      <c r="D219" s="42" t="str">
        <f>index!AR220</f>
        <v/>
      </c>
      <c r="E219" s="31">
        <f>index!AS220</f>
        <v>0</v>
      </c>
      <c r="F219" s="31" t="e">
        <f>index!AT220</f>
        <v>#N/A</v>
      </c>
      <c r="G219" s="43">
        <f>index!AU220</f>
        <v>0</v>
      </c>
      <c r="H219" s="6">
        <f>index!AV220</f>
        <v>0</v>
      </c>
      <c r="I219" s="44">
        <f>index!BO220</f>
        <v>0</v>
      </c>
      <c r="J219" s="44">
        <f>index!BR220</f>
        <v>0</v>
      </c>
      <c r="K219" s="44">
        <f>index!BT220</f>
        <v>0</v>
      </c>
      <c r="L219" s="40">
        <f>index!BU220</f>
        <v>0</v>
      </c>
    </row>
    <row r="220" spans="1:12" x14ac:dyDescent="0.35">
      <c r="A220" s="39">
        <v>219</v>
      </c>
      <c r="B220" s="40">
        <f>index!AP221</f>
        <v>0</v>
      </c>
      <c r="C220" s="41">
        <f>index!AQ221</f>
        <v>0</v>
      </c>
      <c r="D220" s="42" t="str">
        <f>index!AR221</f>
        <v/>
      </c>
      <c r="E220" s="31">
        <f>index!AS221</f>
        <v>0</v>
      </c>
      <c r="F220" s="31" t="e">
        <f>index!AT221</f>
        <v>#N/A</v>
      </c>
      <c r="G220" s="43">
        <f>index!AU221</f>
        <v>0</v>
      </c>
      <c r="H220" s="6">
        <f>index!AV221</f>
        <v>0</v>
      </c>
      <c r="I220" s="44">
        <f>index!BO221</f>
        <v>0</v>
      </c>
      <c r="J220" s="44">
        <f>index!BR221</f>
        <v>0</v>
      </c>
      <c r="K220" s="44">
        <f>index!BT221</f>
        <v>0</v>
      </c>
      <c r="L220" s="40">
        <f>index!BU221</f>
        <v>0</v>
      </c>
    </row>
    <row r="221" spans="1:12" x14ac:dyDescent="0.35">
      <c r="A221" s="39">
        <v>220</v>
      </c>
      <c r="B221" s="40">
        <f>index!AP222</f>
        <v>0</v>
      </c>
      <c r="C221" s="41">
        <f>index!AQ222</f>
        <v>0</v>
      </c>
      <c r="D221" s="42" t="str">
        <f>index!AR222</f>
        <v/>
      </c>
      <c r="E221" s="31">
        <f>index!AS222</f>
        <v>0</v>
      </c>
      <c r="F221" s="31" t="e">
        <f>index!AT222</f>
        <v>#N/A</v>
      </c>
      <c r="G221" s="43">
        <f>index!AU222</f>
        <v>0</v>
      </c>
      <c r="H221" s="6">
        <f>index!AV222</f>
        <v>0</v>
      </c>
      <c r="I221" s="44">
        <f>index!BO222</f>
        <v>0</v>
      </c>
      <c r="J221" s="44">
        <f>index!BR222</f>
        <v>0</v>
      </c>
      <c r="K221" s="44">
        <f>index!BT222</f>
        <v>0</v>
      </c>
      <c r="L221" s="40">
        <f>index!BU222</f>
        <v>0</v>
      </c>
    </row>
    <row r="222" spans="1:12" x14ac:dyDescent="0.35">
      <c r="A222" s="39">
        <v>221</v>
      </c>
      <c r="B222" s="40">
        <f>index!AP223</f>
        <v>0</v>
      </c>
      <c r="C222" s="41">
        <f>index!AQ223</f>
        <v>0</v>
      </c>
      <c r="D222" s="42" t="str">
        <f>index!AR223</f>
        <v/>
      </c>
      <c r="E222" s="31">
        <f>index!AS223</f>
        <v>0</v>
      </c>
      <c r="F222" s="31" t="e">
        <f>index!AT223</f>
        <v>#N/A</v>
      </c>
      <c r="G222" s="43">
        <f>index!AU223</f>
        <v>0</v>
      </c>
      <c r="H222" s="6">
        <f>index!AV223</f>
        <v>0</v>
      </c>
      <c r="I222" s="44">
        <f>index!BO223</f>
        <v>0</v>
      </c>
      <c r="J222" s="44">
        <f>index!BR223</f>
        <v>0</v>
      </c>
      <c r="K222" s="44">
        <f>index!BT223</f>
        <v>0</v>
      </c>
      <c r="L222" s="40">
        <f>index!BU223</f>
        <v>0</v>
      </c>
    </row>
    <row r="223" spans="1:12" x14ac:dyDescent="0.35">
      <c r="A223" s="39">
        <v>222</v>
      </c>
      <c r="B223" s="40">
        <f>index!AP224</f>
        <v>0</v>
      </c>
      <c r="C223" s="41">
        <f>index!AQ224</f>
        <v>0</v>
      </c>
      <c r="D223" s="42" t="str">
        <f>index!AR224</f>
        <v/>
      </c>
      <c r="E223" s="31">
        <f>index!AS224</f>
        <v>0</v>
      </c>
      <c r="F223" s="31" t="e">
        <f>index!AT224</f>
        <v>#N/A</v>
      </c>
      <c r="G223" s="43">
        <f>index!AU224</f>
        <v>0</v>
      </c>
      <c r="H223" s="6">
        <f>index!AV224</f>
        <v>0</v>
      </c>
      <c r="I223" s="44">
        <f>index!BO224</f>
        <v>0</v>
      </c>
      <c r="J223" s="44">
        <f>index!BR224</f>
        <v>0</v>
      </c>
      <c r="K223" s="44">
        <f>index!BT224</f>
        <v>0</v>
      </c>
      <c r="L223" s="40">
        <f>index!BU224</f>
        <v>0</v>
      </c>
    </row>
    <row r="224" spans="1:12" x14ac:dyDescent="0.35">
      <c r="A224" s="39">
        <v>223</v>
      </c>
      <c r="B224" s="40">
        <f>index!AP225</f>
        <v>0</v>
      </c>
      <c r="C224" s="41">
        <f>index!AQ225</f>
        <v>0</v>
      </c>
      <c r="D224" s="42" t="str">
        <f>index!AR225</f>
        <v/>
      </c>
      <c r="E224" s="31">
        <f>index!AS225</f>
        <v>0</v>
      </c>
      <c r="F224" s="31" t="e">
        <f>index!AT225</f>
        <v>#N/A</v>
      </c>
      <c r="G224" s="43">
        <f>index!AU225</f>
        <v>0</v>
      </c>
      <c r="H224" s="6">
        <f>index!AV225</f>
        <v>0</v>
      </c>
      <c r="I224" s="44">
        <f>index!BO225</f>
        <v>0</v>
      </c>
      <c r="J224" s="44">
        <f>index!BR225</f>
        <v>0</v>
      </c>
      <c r="K224" s="44">
        <f>index!BT225</f>
        <v>0</v>
      </c>
      <c r="L224" s="40">
        <f>index!BU225</f>
        <v>0</v>
      </c>
    </row>
    <row r="225" spans="1:12" x14ac:dyDescent="0.35">
      <c r="A225" s="39">
        <v>224</v>
      </c>
      <c r="B225" s="40">
        <f>index!AP226</f>
        <v>0</v>
      </c>
      <c r="C225" s="41">
        <f>index!AQ226</f>
        <v>0</v>
      </c>
      <c r="D225" s="42" t="str">
        <f>index!AR226</f>
        <v/>
      </c>
      <c r="E225" s="31">
        <f>index!AS226</f>
        <v>0</v>
      </c>
      <c r="F225" s="31" t="e">
        <f>index!AT226</f>
        <v>#N/A</v>
      </c>
      <c r="G225" s="43">
        <f>index!AU226</f>
        <v>0</v>
      </c>
      <c r="H225" s="6">
        <f>index!AV226</f>
        <v>0</v>
      </c>
      <c r="I225" s="44">
        <f>index!BO226</f>
        <v>0</v>
      </c>
      <c r="J225" s="44">
        <f>index!BR226</f>
        <v>0</v>
      </c>
      <c r="K225" s="44">
        <f>index!BT226</f>
        <v>0</v>
      </c>
      <c r="L225" s="40">
        <f>index!BU226</f>
        <v>0</v>
      </c>
    </row>
    <row r="226" spans="1:12" x14ac:dyDescent="0.35">
      <c r="A226" s="39">
        <v>225</v>
      </c>
      <c r="B226" s="40">
        <f>index!AP227</f>
        <v>0</v>
      </c>
      <c r="C226" s="41">
        <f>index!AQ227</f>
        <v>0</v>
      </c>
      <c r="D226" s="42" t="str">
        <f>index!AR227</f>
        <v/>
      </c>
      <c r="E226" s="31">
        <f>index!AS227</f>
        <v>0</v>
      </c>
      <c r="F226" s="31" t="e">
        <f>index!AT227</f>
        <v>#N/A</v>
      </c>
      <c r="G226" s="43">
        <f>index!AU227</f>
        <v>0</v>
      </c>
      <c r="H226" s="6">
        <f>index!AV227</f>
        <v>0</v>
      </c>
      <c r="I226" s="44">
        <f>index!BO227</f>
        <v>0</v>
      </c>
      <c r="J226" s="44">
        <f>index!BR227</f>
        <v>0</v>
      </c>
      <c r="K226" s="44">
        <f>index!BT227</f>
        <v>0</v>
      </c>
      <c r="L226" s="40">
        <f>index!BU227</f>
        <v>0</v>
      </c>
    </row>
    <row r="227" spans="1:12" x14ac:dyDescent="0.35">
      <c r="A227" s="39">
        <v>226</v>
      </c>
      <c r="B227" s="40">
        <f>index!AP228</f>
        <v>0</v>
      </c>
      <c r="C227" s="41">
        <f>index!AQ228</f>
        <v>0</v>
      </c>
      <c r="D227" s="42" t="str">
        <f>index!AR228</f>
        <v/>
      </c>
      <c r="E227" s="31">
        <f>index!AS228</f>
        <v>0</v>
      </c>
      <c r="F227" s="31" t="e">
        <f>index!AT228</f>
        <v>#N/A</v>
      </c>
      <c r="G227" s="43">
        <f>index!AU228</f>
        <v>0</v>
      </c>
      <c r="H227" s="6">
        <f>index!AV228</f>
        <v>0</v>
      </c>
      <c r="I227" s="44">
        <f>index!BO228</f>
        <v>0</v>
      </c>
      <c r="J227" s="44">
        <f>index!BR228</f>
        <v>0</v>
      </c>
      <c r="K227" s="44">
        <f>index!BT228</f>
        <v>0</v>
      </c>
      <c r="L227" s="40">
        <f>index!BU228</f>
        <v>0</v>
      </c>
    </row>
    <row r="228" spans="1:12" x14ac:dyDescent="0.35">
      <c r="A228" s="39">
        <v>227</v>
      </c>
      <c r="B228" s="40">
        <f>index!AP229</f>
        <v>0</v>
      </c>
      <c r="C228" s="41">
        <f>index!AQ229</f>
        <v>0</v>
      </c>
      <c r="D228" s="42" t="str">
        <f>index!AR229</f>
        <v/>
      </c>
      <c r="E228" s="31">
        <f>index!AS229</f>
        <v>0</v>
      </c>
      <c r="F228" s="31" t="e">
        <f>index!AT229</f>
        <v>#N/A</v>
      </c>
      <c r="G228" s="43">
        <f>index!AU229</f>
        <v>0</v>
      </c>
      <c r="H228" s="6">
        <f>index!AV229</f>
        <v>0</v>
      </c>
      <c r="I228" s="44">
        <f>index!BO229</f>
        <v>0</v>
      </c>
      <c r="J228" s="44">
        <f>index!BR229</f>
        <v>0</v>
      </c>
      <c r="K228" s="44">
        <f>index!BT229</f>
        <v>0</v>
      </c>
      <c r="L228" s="40">
        <f>index!BU229</f>
        <v>0</v>
      </c>
    </row>
    <row r="229" spans="1:12" x14ac:dyDescent="0.35">
      <c r="A229" s="39">
        <v>228</v>
      </c>
      <c r="B229" s="40">
        <f>index!AP230</f>
        <v>0</v>
      </c>
      <c r="C229" s="41">
        <f>index!AQ230</f>
        <v>0</v>
      </c>
      <c r="D229" s="42" t="str">
        <f>index!AR230</f>
        <v/>
      </c>
      <c r="E229" s="31">
        <f>index!AS230</f>
        <v>0</v>
      </c>
      <c r="F229" s="31" t="e">
        <f>index!AT230</f>
        <v>#N/A</v>
      </c>
      <c r="G229" s="43">
        <f>index!AU230</f>
        <v>0</v>
      </c>
      <c r="H229" s="6">
        <f>index!AV230</f>
        <v>0</v>
      </c>
      <c r="I229" s="44">
        <f>index!BO230</f>
        <v>0</v>
      </c>
      <c r="J229" s="44">
        <f>index!BR230</f>
        <v>0</v>
      </c>
      <c r="K229" s="44">
        <f>index!BT230</f>
        <v>0</v>
      </c>
      <c r="L229" s="40">
        <f>index!BU230</f>
        <v>0</v>
      </c>
    </row>
    <row r="230" spans="1:12" x14ac:dyDescent="0.35">
      <c r="A230" s="39">
        <v>229</v>
      </c>
      <c r="B230" s="40">
        <f>index!AP231</f>
        <v>0</v>
      </c>
      <c r="C230" s="41">
        <f>index!AQ231</f>
        <v>0</v>
      </c>
      <c r="D230" s="42" t="str">
        <f>index!AR231</f>
        <v/>
      </c>
      <c r="E230" s="31">
        <f>index!AS231</f>
        <v>0</v>
      </c>
      <c r="F230" s="31" t="e">
        <f>index!AT231</f>
        <v>#N/A</v>
      </c>
      <c r="G230" s="43">
        <f>index!AU231</f>
        <v>0</v>
      </c>
      <c r="H230" s="6">
        <f>index!AV231</f>
        <v>0</v>
      </c>
      <c r="I230" s="44">
        <f>index!BO231</f>
        <v>0</v>
      </c>
      <c r="J230" s="44">
        <f>index!BR231</f>
        <v>0</v>
      </c>
      <c r="K230" s="44">
        <f>index!BT231</f>
        <v>0</v>
      </c>
      <c r="L230" s="40">
        <f>index!BU231</f>
        <v>0</v>
      </c>
    </row>
    <row r="231" spans="1:12" x14ac:dyDescent="0.35">
      <c r="A231" s="39">
        <v>230</v>
      </c>
      <c r="B231" s="40">
        <f>index!AP232</f>
        <v>0</v>
      </c>
      <c r="C231" s="41">
        <f>index!AQ232</f>
        <v>0</v>
      </c>
      <c r="D231" s="42" t="str">
        <f>index!AR232</f>
        <v/>
      </c>
      <c r="E231" s="31">
        <f>index!AS232</f>
        <v>0</v>
      </c>
      <c r="F231" s="31" t="e">
        <f>index!AT232</f>
        <v>#N/A</v>
      </c>
      <c r="G231" s="43">
        <f>index!AU232</f>
        <v>0</v>
      </c>
      <c r="H231" s="6">
        <f>index!AV232</f>
        <v>0</v>
      </c>
      <c r="I231" s="44">
        <f>index!BO232</f>
        <v>0</v>
      </c>
      <c r="J231" s="44">
        <f>index!BR232</f>
        <v>0</v>
      </c>
      <c r="K231" s="44">
        <f>index!BT232</f>
        <v>0</v>
      </c>
      <c r="L231" s="40">
        <f>index!BU232</f>
        <v>0</v>
      </c>
    </row>
    <row r="232" spans="1:12" x14ac:dyDescent="0.35">
      <c r="A232" s="39">
        <v>231</v>
      </c>
      <c r="B232" s="40">
        <f>index!AP233</f>
        <v>0</v>
      </c>
      <c r="C232" s="41">
        <f>index!AQ233</f>
        <v>0</v>
      </c>
      <c r="D232" s="42" t="str">
        <f>index!AR233</f>
        <v/>
      </c>
      <c r="E232" s="31">
        <f>index!AS233</f>
        <v>0</v>
      </c>
      <c r="F232" s="31" t="e">
        <f>index!AT233</f>
        <v>#N/A</v>
      </c>
      <c r="G232" s="43">
        <f>index!AU233</f>
        <v>0</v>
      </c>
      <c r="H232" s="6">
        <f>index!AV233</f>
        <v>0</v>
      </c>
      <c r="I232" s="44">
        <f>index!BO233</f>
        <v>0</v>
      </c>
      <c r="J232" s="44">
        <f>index!BR233</f>
        <v>0</v>
      </c>
      <c r="K232" s="44">
        <f>index!BT233</f>
        <v>0</v>
      </c>
      <c r="L232" s="40">
        <f>index!BU233</f>
        <v>0</v>
      </c>
    </row>
    <row r="233" spans="1:12" x14ac:dyDescent="0.35">
      <c r="A233" s="39">
        <v>232</v>
      </c>
      <c r="B233" s="40">
        <f>index!AP234</f>
        <v>0</v>
      </c>
      <c r="C233" s="41">
        <f>index!AQ234</f>
        <v>0</v>
      </c>
      <c r="D233" s="42" t="str">
        <f>index!AR234</f>
        <v/>
      </c>
      <c r="E233" s="31">
        <f>index!AS234</f>
        <v>0</v>
      </c>
      <c r="F233" s="31" t="e">
        <f>index!AT234</f>
        <v>#N/A</v>
      </c>
      <c r="G233" s="43">
        <f>index!AU234</f>
        <v>0</v>
      </c>
      <c r="H233" s="6">
        <f>index!AV234</f>
        <v>0</v>
      </c>
      <c r="I233" s="44">
        <f>index!BO234</f>
        <v>0</v>
      </c>
      <c r="J233" s="44">
        <f>index!BR234</f>
        <v>0</v>
      </c>
      <c r="K233" s="44">
        <f>index!BT234</f>
        <v>0</v>
      </c>
      <c r="L233" s="40">
        <f>index!BU234</f>
        <v>0</v>
      </c>
    </row>
    <row r="234" spans="1:12" x14ac:dyDescent="0.35">
      <c r="A234" s="39">
        <v>233</v>
      </c>
      <c r="B234" s="40">
        <f>index!AP235</f>
        <v>0</v>
      </c>
      <c r="C234" s="41">
        <f>index!AQ235</f>
        <v>0</v>
      </c>
      <c r="D234" s="42" t="str">
        <f>index!AR235</f>
        <v/>
      </c>
      <c r="E234" s="31">
        <f>index!AS235</f>
        <v>0</v>
      </c>
      <c r="F234" s="31" t="e">
        <f>index!AT235</f>
        <v>#N/A</v>
      </c>
      <c r="G234" s="43">
        <f>index!AU235</f>
        <v>0</v>
      </c>
      <c r="H234" s="6">
        <f>index!AV235</f>
        <v>0</v>
      </c>
      <c r="I234" s="44">
        <f>index!BO235</f>
        <v>0</v>
      </c>
      <c r="J234" s="44">
        <f>index!BR235</f>
        <v>0</v>
      </c>
      <c r="K234" s="44">
        <f>index!BT235</f>
        <v>0</v>
      </c>
      <c r="L234" s="40">
        <f>index!BU235</f>
        <v>0</v>
      </c>
    </row>
    <row r="235" spans="1:12" x14ac:dyDescent="0.35">
      <c r="A235" s="39">
        <v>234</v>
      </c>
      <c r="B235" s="40">
        <f>index!AP236</f>
        <v>0</v>
      </c>
      <c r="C235" s="41">
        <f>index!AQ236</f>
        <v>0</v>
      </c>
      <c r="D235" s="42" t="str">
        <f>index!AR236</f>
        <v/>
      </c>
      <c r="E235" s="31">
        <f>index!AS236</f>
        <v>0</v>
      </c>
      <c r="F235" s="31" t="e">
        <f>index!AT236</f>
        <v>#N/A</v>
      </c>
      <c r="G235" s="43">
        <f>index!AU236</f>
        <v>0</v>
      </c>
      <c r="H235" s="6">
        <f>index!AV236</f>
        <v>0</v>
      </c>
      <c r="I235" s="44">
        <f>index!BO236</f>
        <v>0</v>
      </c>
      <c r="J235" s="44">
        <f>index!BR236</f>
        <v>0</v>
      </c>
      <c r="K235" s="44">
        <f>index!BT236</f>
        <v>0</v>
      </c>
      <c r="L235" s="40">
        <f>index!BU236</f>
        <v>0</v>
      </c>
    </row>
    <row r="236" spans="1:12" x14ac:dyDescent="0.35">
      <c r="A236" s="39">
        <v>235</v>
      </c>
      <c r="B236" s="40">
        <f>index!AP237</f>
        <v>0</v>
      </c>
      <c r="C236" s="41">
        <f>index!AQ237</f>
        <v>0</v>
      </c>
      <c r="D236" s="42" t="str">
        <f>index!AR237</f>
        <v/>
      </c>
      <c r="E236" s="31">
        <f>index!AS237</f>
        <v>0</v>
      </c>
      <c r="F236" s="31" t="e">
        <f>index!AT237</f>
        <v>#N/A</v>
      </c>
      <c r="G236" s="43">
        <f>index!AU237</f>
        <v>0</v>
      </c>
      <c r="H236" s="6">
        <f>index!AV237</f>
        <v>0</v>
      </c>
      <c r="I236" s="44">
        <f>index!BO237</f>
        <v>0</v>
      </c>
      <c r="J236" s="44">
        <f>index!BR237</f>
        <v>0</v>
      </c>
      <c r="K236" s="44">
        <f>index!BT237</f>
        <v>0</v>
      </c>
      <c r="L236" s="40">
        <f>index!BU237</f>
        <v>0</v>
      </c>
    </row>
    <row r="237" spans="1:12" x14ac:dyDescent="0.35">
      <c r="A237" s="39">
        <v>236</v>
      </c>
      <c r="B237" s="40">
        <f>index!AP238</f>
        <v>0</v>
      </c>
      <c r="C237" s="41">
        <f>index!AQ238</f>
        <v>0</v>
      </c>
      <c r="D237" s="42" t="str">
        <f>index!AR238</f>
        <v/>
      </c>
      <c r="E237" s="31">
        <f>index!AS238</f>
        <v>0</v>
      </c>
      <c r="F237" s="31" t="e">
        <f>index!AT238</f>
        <v>#N/A</v>
      </c>
      <c r="G237" s="43">
        <f>index!AU238</f>
        <v>0</v>
      </c>
      <c r="H237" s="6">
        <f>index!AV238</f>
        <v>0</v>
      </c>
      <c r="I237" s="44">
        <f>index!BO238</f>
        <v>0</v>
      </c>
      <c r="J237" s="44">
        <f>index!BR238</f>
        <v>0</v>
      </c>
      <c r="K237" s="44">
        <f>index!BT238</f>
        <v>0</v>
      </c>
      <c r="L237" s="40">
        <f>index!BU238</f>
        <v>0</v>
      </c>
    </row>
    <row r="238" spans="1:12" x14ac:dyDescent="0.35">
      <c r="A238" s="39">
        <v>237</v>
      </c>
      <c r="B238" s="40">
        <f>index!AP239</f>
        <v>0</v>
      </c>
      <c r="C238" s="41">
        <f>index!AQ239</f>
        <v>0</v>
      </c>
      <c r="D238" s="42" t="str">
        <f>index!AR239</f>
        <v/>
      </c>
      <c r="E238" s="31">
        <f>index!AS239</f>
        <v>0</v>
      </c>
      <c r="F238" s="31" t="e">
        <f>index!AT239</f>
        <v>#N/A</v>
      </c>
      <c r="G238" s="43">
        <f>index!AU239</f>
        <v>0</v>
      </c>
      <c r="H238" s="6">
        <f>index!AV239</f>
        <v>0</v>
      </c>
      <c r="I238" s="44">
        <f>index!BO239</f>
        <v>0</v>
      </c>
      <c r="J238" s="44">
        <f>index!BR239</f>
        <v>0</v>
      </c>
      <c r="K238" s="44">
        <f>index!BT239</f>
        <v>0</v>
      </c>
      <c r="L238" s="40">
        <f>index!BU239</f>
        <v>0</v>
      </c>
    </row>
    <row r="239" spans="1:12" x14ac:dyDescent="0.35">
      <c r="A239" s="39">
        <v>238</v>
      </c>
      <c r="B239" s="40">
        <f>index!AP240</f>
        <v>0</v>
      </c>
      <c r="C239" s="41">
        <f>index!AQ240</f>
        <v>0</v>
      </c>
      <c r="D239" s="42" t="str">
        <f>index!AR240</f>
        <v/>
      </c>
      <c r="E239" s="31">
        <f>index!AS240</f>
        <v>0</v>
      </c>
      <c r="F239" s="31" t="e">
        <f>index!AT240</f>
        <v>#N/A</v>
      </c>
      <c r="G239" s="43">
        <f>index!AU240</f>
        <v>0</v>
      </c>
      <c r="H239" s="6">
        <f>index!AV240</f>
        <v>0</v>
      </c>
      <c r="I239" s="44">
        <f>index!BO240</f>
        <v>0</v>
      </c>
      <c r="J239" s="44">
        <f>index!BR240</f>
        <v>0</v>
      </c>
      <c r="K239" s="44">
        <f>index!BT240</f>
        <v>0</v>
      </c>
      <c r="L239" s="40">
        <f>index!BU240</f>
        <v>0</v>
      </c>
    </row>
    <row r="240" spans="1:12" x14ac:dyDescent="0.35">
      <c r="A240" s="39">
        <v>239</v>
      </c>
      <c r="B240" s="40">
        <f>index!AP241</f>
        <v>0</v>
      </c>
      <c r="C240" s="41">
        <f>index!AQ241</f>
        <v>0</v>
      </c>
      <c r="D240" s="42" t="str">
        <f>index!AR241</f>
        <v/>
      </c>
      <c r="E240" s="31">
        <f>index!AS241</f>
        <v>0</v>
      </c>
      <c r="F240" s="31" t="e">
        <f>index!AT241</f>
        <v>#N/A</v>
      </c>
      <c r="G240" s="43">
        <f>index!AU241</f>
        <v>0</v>
      </c>
      <c r="H240" s="6">
        <f>index!AV241</f>
        <v>0</v>
      </c>
      <c r="I240" s="44">
        <f>index!BO241</f>
        <v>0</v>
      </c>
      <c r="J240" s="44">
        <f>index!BR241</f>
        <v>0</v>
      </c>
      <c r="K240" s="44">
        <f>index!BT241</f>
        <v>0</v>
      </c>
      <c r="L240" s="40">
        <f>index!BU241</f>
        <v>0</v>
      </c>
    </row>
    <row r="241" spans="1:12" x14ac:dyDescent="0.35">
      <c r="A241" s="39">
        <v>240</v>
      </c>
      <c r="B241" s="40">
        <f>index!AP242</f>
        <v>0</v>
      </c>
      <c r="C241" s="41">
        <f>index!AQ242</f>
        <v>0</v>
      </c>
      <c r="D241" s="42" t="str">
        <f>index!AR242</f>
        <v/>
      </c>
      <c r="E241" s="31">
        <f>index!AS242</f>
        <v>0</v>
      </c>
      <c r="F241" s="31" t="e">
        <f>index!AT242</f>
        <v>#N/A</v>
      </c>
      <c r="G241" s="43">
        <f>index!AU242</f>
        <v>0</v>
      </c>
      <c r="H241" s="6">
        <f>index!AV242</f>
        <v>0</v>
      </c>
      <c r="I241" s="44">
        <f>index!BO242</f>
        <v>0</v>
      </c>
      <c r="J241" s="44">
        <f>index!BR242</f>
        <v>0</v>
      </c>
      <c r="K241" s="44">
        <f>index!BT242</f>
        <v>0</v>
      </c>
      <c r="L241" s="40">
        <f>index!BU242</f>
        <v>0</v>
      </c>
    </row>
    <row r="242" spans="1:12" x14ac:dyDescent="0.35">
      <c r="A242" s="39">
        <v>241</v>
      </c>
      <c r="B242" s="40">
        <f>index!AP243</f>
        <v>0</v>
      </c>
      <c r="C242" s="41">
        <f>index!AQ243</f>
        <v>0</v>
      </c>
      <c r="D242" s="42" t="str">
        <f>index!AR243</f>
        <v/>
      </c>
      <c r="E242" s="31">
        <f>index!AS243</f>
        <v>0</v>
      </c>
      <c r="F242" s="31" t="e">
        <f>index!AT243</f>
        <v>#N/A</v>
      </c>
      <c r="G242" s="43">
        <f>index!AU243</f>
        <v>0</v>
      </c>
      <c r="H242" s="6">
        <f>index!AV243</f>
        <v>0</v>
      </c>
      <c r="I242" s="44">
        <f>index!BO243</f>
        <v>0</v>
      </c>
      <c r="J242" s="44">
        <f>index!BR243</f>
        <v>0</v>
      </c>
      <c r="K242" s="44">
        <f>index!BT243</f>
        <v>0</v>
      </c>
      <c r="L242" s="40">
        <f>index!BU243</f>
        <v>0</v>
      </c>
    </row>
    <row r="243" spans="1:12" x14ac:dyDescent="0.35">
      <c r="A243" s="39">
        <v>242</v>
      </c>
      <c r="B243" s="40">
        <f>index!AP244</f>
        <v>0</v>
      </c>
      <c r="C243" s="41">
        <f>index!AQ244</f>
        <v>0</v>
      </c>
      <c r="D243" s="42" t="str">
        <f>index!AR244</f>
        <v/>
      </c>
      <c r="E243" s="31">
        <f>index!AS244</f>
        <v>0</v>
      </c>
      <c r="F243" s="31" t="e">
        <f>index!AT244</f>
        <v>#N/A</v>
      </c>
      <c r="G243" s="43">
        <f>index!AU244</f>
        <v>0</v>
      </c>
      <c r="H243" s="6">
        <f>index!AV244</f>
        <v>0</v>
      </c>
      <c r="I243" s="44">
        <f>index!BO244</f>
        <v>0</v>
      </c>
      <c r="J243" s="44">
        <f>index!BR244</f>
        <v>0</v>
      </c>
      <c r="K243" s="44">
        <f>index!BT244</f>
        <v>0</v>
      </c>
      <c r="L243" s="40">
        <f>index!BU244</f>
        <v>0</v>
      </c>
    </row>
    <row r="244" spans="1:12" x14ac:dyDescent="0.35">
      <c r="A244" s="39">
        <v>243</v>
      </c>
      <c r="B244" s="40">
        <f>index!AP245</f>
        <v>0</v>
      </c>
      <c r="C244" s="41">
        <f>index!AQ245</f>
        <v>0</v>
      </c>
      <c r="D244" s="42" t="str">
        <f>index!AR245</f>
        <v/>
      </c>
      <c r="E244" s="31">
        <f>index!AS245</f>
        <v>0</v>
      </c>
      <c r="F244" s="31" t="e">
        <f>index!AT245</f>
        <v>#N/A</v>
      </c>
      <c r="G244" s="43">
        <f>index!AU245</f>
        <v>0</v>
      </c>
      <c r="H244" s="6">
        <f>index!AV245</f>
        <v>0</v>
      </c>
      <c r="I244" s="44">
        <f>index!BO245</f>
        <v>0</v>
      </c>
      <c r="J244" s="44">
        <f>index!BR245</f>
        <v>0</v>
      </c>
      <c r="K244" s="44">
        <f>index!BT245</f>
        <v>0</v>
      </c>
      <c r="L244" s="40">
        <f>index!BU245</f>
        <v>0</v>
      </c>
    </row>
    <row r="245" spans="1:12" x14ac:dyDescent="0.35">
      <c r="A245" s="39">
        <v>244</v>
      </c>
      <c r="B245" s="40">
        <f>index!AP246</f>
        <v>0</v>
      </c>
      <c r="C245" s="41">
        <f>index!AQ246</f>
        <v>0</v>
      </c>
      <c r="D245" s="42" t="str">
        <f>index!AR246</f>
        <v/>
      </c>
      <c r="E245" s="31">
        <f>index!AS246</f>
        <v>0</v>
      </c>
      <c r="F245" s="31" t="e">
        <f>index!AT246</f>
        <v>#N/A</v>
      </c>
      <c r="G245" s="43">
        <f>index!AU246</f>
        <v>0</v>
      </c>
      <c r="H245" s="6">
        <f>index!AV246</f>
        <v>0</v>
      </c>
      <c r="I245" s="44">
        <f>index!BO246</f>
        <v>0</v>
      </c>
      <c r="J245" s="44">
        <f>index!BR246</f>
        <v>0</v>
      </c>
      <c r="K245" s="44">
        <f>index!BT246</f>
        <v>0</v>
      </c>
      <c r="L245" s="40">
        <f>index!BU246</f>
        <v>0</v>
      </c>
    </row>
    <row r="246" spans="1:12" x14ac:dyDescent="0.35">
      <c r="A246" s="39">
        <v>245</v>
      </c>
      <c r="B246" s="40">
        <f>index!AP247</f>
        <v>0</v>
      </c>
      <c r="C246" s="41">
        <f>index!AQ247</f>
        <v>0</v>
      </c>
      <c r="D246" s="42" t="str">
        <f>index!AR247</f>
        <v/>
      </c>
      <c r="E246" s="31">
        <f>index!AS247</f>
        <v>0</v>
      </c>
      <c r="F246" s="31" t="e">
        <f>index!AT247</f>
        <v>#N/A</v>
      </c>
      <c r="G246" s="43">
        <f>index!AU247</f>
        <v>0</v>
      </c>
      <c r="H246" s="6">
        <f>index!AV247</f>
        <v>0</v>
      </c>
      <c r="I246" s="44">
        <f>index!BO247</f>
        <v>0</v>
      </c>
      <c r="J246" s="44">
        <f>index!BR247</f>
        <v>0</v>
      </c>
      <c r="K246" s="44">
        <f>index!BT247</f>
        <v>0</v>
      </c>
      <c r="L246" s="40">
        <f>index!BU247</f>
        <v>0</v>
      </c>
    </row>
    <row r="247" spans="1:12" x14ac:dyDescent="0.35">
      <c r="A247" s="39">
        <v>246</v>
      </c>
      <c r="B247" s="40">
        <f>index!AP248</f>
        <v>0</v>
      </c>
      <c r="C247" s="41">
        <f>index!AQ248</f>
        <v>0</v>
      </c>
      <c r="D247" s="42" t="str">
        <f>index!AR248</f>
        <v/>
      </c>
      <c r="E247" s="31">
        <f>index!AS248</f>
        <v>0</v>
      </c>
      <c r="F247" s="31" t="e">
        <f>index!AT248</f>
        <v>#N/A</v>
      </c>
      <c r="G247" s="43">
        <f>index!AU248</f>
        <v>0</v>
      </c>
      <c r="H247" s="6">
        <f>index!AV248</f>
        <v>0</v>
      </c>
      <c r="I247" s="44">
        <f>index!BO248</f>
        <v>0</v>
      </c>
      <c r="J247" s="44">
        <f>index!BR248</f>
        <v>0</v>
      </c>
      <c r="K247" s="44">
        <f>index!BT248</f>
        <v>0</v>
      </c>
      <c r="L247" s="40">
        <f>index!BU248</f>
        <v>0</v>
      </c>
    </row>
    <row r="248" spans="1:12" x14ac:dyDescent="0.35">
      <c r="A248" s="39">
        <v>247</v>
      </c>
      <c r="B248" s="40">
        <f>index!AP249</f>
        <v>0</v>
      </c>
      <c r="C248" s="41">
        <f>index!AQ249</f>
        <v>0</v>
      </c>
      <c r="D248" s="42" t="str">
        <f>index!AR249</f>
        <v/>
      </c>
      <c r="E248" s="31">
        <f>index!AS249</f>
        <v>0</v>
      </c>
      <c r="F248" s="31" t="e">
        <f>index!AT249</f>
        <v>#N/A</v>
      </c>
      <c r="G248" s="43">
        <f>index!AU249</f>
        <v>0</v>
      </c>
      <c r="H248" s="6">
        <f>index!AV249</f>
        <v>0</v>
      </c>
      <c r="I248" s="44">
        <f>index!BO249</f>
        <v>0</v>
      </c>
      <c r="J248" s="44">
        <f>index!BR249</f>
        <v>0</v>
      </c>
      <c r="K248" s="44">
        <f>index!BT249</f>
        <v>0</v>
      </c>
      <c r="L248" s="40">
        <f>index!BU249</f>
        <v>0</v>
      </c>
    </row>
    <row r="249" spans="1:12" x14ac:dyDescent="0.35">
      <c r="A249" s="39">
        <v>248</v>
      </c>
      <c r="B249" s="40">
        <f>index!AP250</f>
        <v>0</v>
      </c>
      <c r="C249" s="41">
        <f>index!AQ250</f>
        <v>0</v>
      </c>
      <c r="D249" s="42" t="str">
        <f>index!AR250</f>
        <v/>
      </c>
      <c r="E249" s="31">
        <f>index!AS250</f>
        <v>0</v>
      </c>
      <c r="F249" s="31" t="e">
        <f>index!AT250</f>
        <v>#N/A</v>
      </c>
      <c r="G249" s="43">
        <f>index!AU250</f>
        <v>0</v>
      </c>
      <c r="H249" s="6">
        <f>index!AV250</f>
        <v>0</v>
      </c>
      <c r="I249" s="44">
        <f>index!BO250</f>
        <v>0</v>
      </c>
      <c r="J249" s="44">
        <f>index!BR250</f>
        <v>0</v>
      </c>
      <c r="K249" s="44">
        <f>index!BT250</f>
        <v>0</v>
      </c>
      <c r="L249" s="40">
        <f>index!BU250</f>
        <v>0</v>
      </c>
    </row>
    <row r="250" spans="1:12" x14ac:dyDescent="0.35">
      <c r="A250" s="39">
        <v>249</v>
      </c>
      <c r="B250" s="40">
        <f>index!AP251</f>
        <v>0</v>
      </c>
      <c r="C250" s="41">
        <f>index!AQ251</f>
        <v>0</v>
      </c>
      <c r="D250" s="42" t="str">
        <f>index!AR251</f>
        <v/>
      </c>
      <c r="E250" s="31">
        <f>index!AS251</f>
        <v>0</v>
      </c>
      <c r="F250" s="31" t="e">
        <f>index!AT251</f>
        <v>#N/A</v>
      </c>
      <c r="G250" s="43">
        <f>index!AU251</f>
        <v>0</v>
      </c>
      <c r="H250" s="6">
        <f>index!AV251</f>
        <v>0</v>
      </c>
      <c r="I250" s="44">
        <f>index!BO251</f>
        <v>0</v>
      </c>
      <c r="J250" s="44">
        <f>index!BR251</f>
        <v>0</v>
      </c>
      <c r="K250" s="44">
        <f>index!BT251</f>
        <v>0</v>
      </c>
      <c r="L250" s="40">
        <f>index!BU251</f>
        <v>0</v>
      </c>
    </row>
  </sheetData>
  <conditionalFormatting sqref="E2:E250">
    <cfRule type="duplicateValues" dxfId="9" priority="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DCE8-6448-4A3A-8492-4A393F719B5E}">
  <dimension ref="A1:H6"/>
  <sheetViews>
    <sheetView topLeftCell="B1" workbookViewId="0">
      <selection sqref="A1:B1"/>
    </sheetView>
  </sheetViews>
  <sheetFormatPr defaultRowHeight="14.5" x14ac:dyDescent="0.35"/>
  <cols>
    <col min="1" max="1" width="19.08984375" bestFit="1" customWidth="1"/>
    <col min="2" max="2" width="15.36328125" bestFit="1" customWidth="1"/>
    <col min="3" max="3" width="6.7265625" bestFit="1" customWidth="1"/>
    <col min="4" max="4" width="12.90625" bestFit="1" customWidth="1"/>
    <col min="5" max="5" width="12.08984375" bestFit="1" customWidth="1"/>
    <col min="6" max="6" width="9.1796875" customWidth="1"/>
    <col min="7" max="7" width="4.26953125" bestFit="1" customWidth="1"/>
    <col min="8" max="8" width="5.90625" bestFit="1" customWidth="1"/>
  </cols>
  <sheetData>
    <row r="1" spans="1:8" x14ac:dyDescent="0.35">
      <c r="A1" t="s">
        <v>55</v>
      </c>
      <c r="B1" t="s">
        <v>51</v>
      </c>
      <c r="C1" t="s">
        <v>52</v>
      </c>
      <c r="D1" t="s">
        <v>56</v>
      </c>
      <c r="E1" t="s">
        <v>57</v>
      </c>
      <c r="F1" t="s">
        <v>203</v>
      </c>
      <c r="G1" t="s">
        <v>108</v>
      </c>
      <c r="H1" t="s">
        <v>27</v>
      </c>
    </row>
    <row r="2" spans="1:8" x14ac:dyDescent="0.35">
      <c r="A2" t="s">
        <v>58</v>
      </c>
      <c r="B2" t="s">
        <v>53</v>
      </c>
      <c r="C2">
        <f>index!AG12</f>
        <v>125</v>
      </c>
      <c r="D2">
        <f>index!AH12</f>
        <v>1875000</v>
      </c>
      <c r="E2">
        <f>index!AI12</f>
        <v>3285000</v>
      </c>
      <c r="F2">
        <f>index!AJ12</f>
        <v>125</v>
      </c>
      <c r="G2">
        <f>index!AK12</f>
        <v>0</v>
      </c>
      <c r="H2">
        <f>index!AL12</f>
        <v>125</v>
      </c>
    </row>
    <row r="3" spans="1:8" x14ac:dyDescent="0.35">
      <c r="A3" t="s">
        <v>59</v>
      </c>
      <c r="B3" t="s">
        <v>54</v>
      </c>
      <c r="C3">
        <f>index!AG13</f>
        <v>313</v>
      </c>
      <c r="D3">
        <f>index!AH13</f>
        <v>4695000</v>
      </c>
      <c r="E3">
        <f>index!AI13</f>
        <v>5775000</v>
      </c>
      <c r="F3">
        <f>index!AJ13</f>
        <v>313</v>
      </c>
      <c r="G3">
        <f>index!AK13</f>
        <v>0</v>
      </c>
      <c r="H3">
        <f>index!AL13</f>
        <v>313</v>
      </c>
    </row>
    <row r="4" spans="1:8" x14ac:dyDescent="0.35">
      <c r="A4" t="s">
        <v>60</v>
      </c>
      <c r="B4" t="s">
        <v>41</v>
      </c>
      <c r="C4">
        <f>index!AG14</f>
        <v>150</v>
      </c>
      <c r="D4">
        <f>index!AH14</f>
        <v>2250000</v>
      </c>
      <c r="E4">
        <f>index!AI14</f>
        <v>1500000</v>
      </c>
      <c r="F4">
        <f>index!AJ14</f>
        <v>150</v>
      </c>
      <c r="G4">
        <f>index!AK14</f>
        <v>0</v>
      </c>
      <c r="H4">
        <f>index!AL14</f>
        <v>150</v>
      </c>
    </row>
    <row r="5" spans="1:8" x14ac:dyDescent="0.35">
      <c r="A5" t="s">
        <v>61</v>
      </c>
      <c r="B5" t="s">
        <v>42</v>
      </c>
      <c r="C5">
        <f>index!AG15</f>
        <v>100</v>
      </c>
      <c r="D5">
        <f>index!AH15</f>
        <v>1500000</v>
      </c>
      <c r="E5">
        <f>index!AI15</f>
        <v>4920000</v>
      </c>
      <c r="F5">
        <f>index!AJ15</f>
        <v>100</v>
      </c>
      <c r="G5">
        <f>index!AK15</f>
        <v>0</v>
      </c>
      <c r="H5">
        <f>index!AL15</f>
        <v>100</v>
      </c>
    </row>
    <row r="6" spans="1:8" x14ac:dyDescent="0.35">
      <c r="C6">
        <f>SUM(C2:C5)</f>
        <v>688</v>
      </c>
      <c r="D6">
        <f t="shared" ref="D6:H6" si="0">SUM(D2:D5)</f>
        <v>10320000</v>
      </c>
      <c r="E6">
        <f t="shared" si="0"/>
        <v>15480000</v>
      </c>
      <c r="F6">
        <f t="shared" si="0"/>
        <v>688</v>
      </c>
      <c r="G6">
        <f t="shared" si="0"/>
        <v>0</v>
      </c>
      <c r="H6">
        <f t="shared" si="0"/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FCA9-A1AA-40B8-899C-39858A4BC2FF}">
  <dimension ref="A1:L17"/>
  <sheetViews>
    <sheetView topLeftCell="F1" workbookViewId="0">
      <selection sqref="A1:B1"/>
    </sheetView>
  </sheetViews>
  <sheetFormatPr defaultRowHeight="14.5" x14ac:dyDescent="0.35"/>
  <cols>
    <col min="1" max="1" width="3.1796875" bestFit="1" customWidth="1"/>
    <col min="2" max="2" width="7.81640625" style="11" bestFit="1" customWidth="1"/>
    <col min="3" max="3" width="6.7265625" bestFit="1" customWidth="1"/>
    <col min="4" max="4" width="13.81640625" bestFit="1" customWidth="1"/>
    <col min="5" max="5" width="21.08984375" bestFit="1" customWidth="1"/>
    <col min="6" max="6" width="15.90625" bestFit="1" customWidth="1"/>
    <col min="7" max="7" width="11.26953125" bestFit="1" customWidth="1"/>
    <col min="8" max="8" width="5.81640625" bestFit="1" customWidth="1"/>
    <col min="9" max="10" width="13.81640625" bestFit="1" customWidth="1"/>
    <col min="11" max="11" width="13.1796875" bestFit="1" customWidth="1"/>
    <col min="12" max="12" width="8.6328125" bestFit="1" customWidth="1"/>
  </cols>
  <sheetData>
    <row r="1" spans="1:12" x14ac:dyDescent="0.35">
      <c r="A1" s="2" t="s">
        <v>62</v>
      </c>
      <c r="B1" s="3" t="s">
        <v>65</v>
      </c>
      <c r="C1" s="3" t="s">
        <v>66</v>
      </c>
      <c r="D1" s="3" t="s">
        <v>67</v>
      </c>
      <c r="E1" s="3" t="s">
        <v>119</v>
      </c>
      <c r="F1" s="3" t="s">
        <v>68</v>
      </c>
      <c r="G1" s="3" t="s">
        <v>64</v>
      </c>
      <c r="H1" s="3" t="s">
        <v>81</v>
      </c>
      <c r="I1" s="2" t="s">
        <v>63</v>
      </c>
      <c r="J1" s="3" t="s">
        <v>69</v>
      </c>
      <c r="K1" s="3" t="s">
        <v>70</v>
      </c>
      <c r="L1" s="3" t="s">
        <v>71</v>
      </c>
    </row>
    <row r="2" spans="1:12" x14ac:dyDescent="0.35">
      <c r="A2" s="4">
        <v>1</v>
      </c>
      <c r="B2" s="6" t="str">
        <f>index!BZ3</f>
        <v>HIFI IM3</v>
      </c>
      <c r="C2" s="6">
        <f>index!CA3</f>
        <v>1</v>
      </c>
      <c r="D2" s="6" t="str">
        <f>index!CB3</f>
        <v>085882767329</v>
      </c>
      <c r="E2" s="6" t="str">
        <f>index!CC3</f>
        <v>89620100002033537644</v>
      </c>
      <c r="F2" s="6" t="str">
        <f>index!CD3</f>
        <v>355806671137009</v>
      </c>
      <c r="G2" s="6" t="str">
        <f>index!CE3</f>
        <v>PARHAN</v>
      </c>
      <c r="H2" s="6">
        <f>index!CF3</f>
        <v>310000</v>
      </c>
      <c r="I2" s="64">
        <f>index!CG3</f>
        <v>46185</v>
      </c>
      <c r="J2" s="64">
        <f>index!CH3</f>
        <v>46212</v>
      </c>
      <c r="K2" s="6" t="str">
        <f>index!CI3</f>
        <v>LUNAS</v>
      </c>
      <c r="L2" s="6">
        <f>index!CJ3</f>
        <v>0</v>
      </c>
    </row>
    <row r="3" spans="1:12" x14ac:dyDescent="0.35">
      <c r="A3" s="4">
        <v>2</v>
      </c>
      <c r="B3" s="6" t="str">
        <f>index!BZ4</f>
        <v>HIFI IM3</v>
      </c>
      <c r="C3" s="6">
        <f>index!CA4</f>
        <v>1</v>
      </c>
      <c r="D3" s="6" t="str">
        <f>index!CB4</f>
        <v>085882767330</v>
      </c>
      <c r="E3" s="6" t="str">
        <f>index!CC4</f>
        <v>89620100002033537651</v>
      </c>
      <c r="F3" s="6" t="str">
        <f>index!CD4</f>
        <v>355806671137223</v>
      </c>
      <c r="G3" s="6" t="str">
        <f>index!CE4</f>
        <v>ANDI</v>
      </c>
      <c r="H3" s="6">
        <f>index!CF4</f>
        <v>0</v>
      </c>
      <c r="I3" s="64">
        <f>index!CG4</f>
        <v>46185</v>
      </c>
      <c r="J3" s="64">
        <f>index!CH4</f>
        <v>0</v>
      </c>
      <c r="K3" s="6" t="str">
        <f>index!CI4</f>
        <v>ON HAND DSE</v>
      </c>
      <c r="L3" s="6">
        <f>index!CJ4</f>
        <v>0</v>
      </c>
    </row>
    <row r="4" spans="1:12" x14ac:dyDescent="0.35">
      <c r="A4" s="4">
        <v>3</v>
      </c>
      <c r="B4" s="6" t="str">
        <f>index!BZ5</f>
        <v>HIFI IM3</v>
      </c>
      <c r="C4" s="6">
        <f>index!CA5</f>
        <v>1</v>
      </c>
      <c r="D4" s="6" t="str">
        <f>index!CB5</f>
        <v>085882767331</v>
      </c>
      <c r="E4" s="6" t="str">
        <f>index!CC5</f>
        <v>89620100002033537652</v>
      </c>
      <c r="F4" s="6" t="str">
        <f>index!CD5</f>
        <v>355806671159425</v>
      </c>
      <c r="G4" s="6" t="str">
        <f>index!CE5</f>
        <v>ENDEN</v>
      </c>
      <c r="H4" s="6">
        <f>index!CF5</f>
        <v>310000</v>
      </c>
      <c r="I4" s="64">
        <f>index!CG5</f>
        <v>46185</v>
      </c>
      <c r="J4" s="64">
        <f>index!CH5</f>
        <v>46205</v>
      </c>
      <c r="K4" s="6" t="str">
        <f>index!CI5</f>
        <v>LUNAS</v>
      </c>
      <c r="L4" s="6">
        <f>index!CJ5</f>
        <v>0</v>
      </c>
    </row>
    <row r="5" spans="1:12" x14ac:dyDescent="0.35">
      <c r="A5" s="4">
        <v>4</v>
      </c>
      <c r="B5" s="6" t="str">
        <f>index!BZ6</f>
        <v>HIFI IM3</v>
      </c>
      <c r="C5" s="6">
        <f>index!CA6</f>
        <v>1</v>
      </c>
      <c r="D5" s="6" t="str">
        <f>index!CB6</f>
        <v>085882767332</v>
      </c>
      <c r="E5" s="6" t="str">
        <f>index!CC6</f>
        <v>89620100002033537677</v>
      </c>
      <c r="F5" s="6" t="str">
        <f>index!CD6</f>
        <v>355806671159581</v>
      </c>
      <c r="G5" s="6" t="str">
        <f>index!CE6</f>
        <v>PEBRIAN</v>
      </c>
      <c r="H5" s="6">
        <f>index!CF6</f>
        <v>0</v>
      </c>
      <c r="I5" s="64">
        <f>index!CG6</f>
        <v>46185</v>
      </c>
      <c r="J5" s="64">
        <f>index!CH6</f>
        <v>0</v>
      </c>
      <c r="K5" s="6" t="str">
        <f>index!CI6</f>
        <v>ON HAND DSE</v>
      </c>
      <c r="L5" s="6">
        <f>index!CJ6</f>
        <v>0</v>
      </c>
    </row>
    <row r="6" spans="1:12" x14ac:dyDescent="0.35">
      <c r="A6" s="4">
        <v>5</v>
      </c>
      <c r="B6" s="6" t="str">
        <f>index!BZ7</f>
        <v>HIFI IM3</v>
      </c>
      <c r="C6" s="6">
        <f>index!CA7</f>
        <v>1</v>
      </c>
      <c r="D6" s="6" t="str">
        <f>index!CB7</f>
        <v>085882768254</v>
      </c>
      <c r="E6" s="6" t="str">
        <f>index!CC7</f>
        <v>89620100002033543817</v>
      </c>
      <c r="F6" s="6" t="str">
        <f>index!CD7</f>
        <v>355806671162734</v>
      </c>
      <c r="G6" s="6" t="str">
        <f>index!CE7</f>
        <v>PARHAN</v>
      </c>
      <c r="H6" s="6">
        <f>index!CF7</f>
        <v>310000</v>
      </c>
      <c r="I6" s="64">
        <f>index!CG7</f>
        <v>46197</v>
      </c>
      <c r="J6" s="64">
        <f>index!CH7</f>
        <v>46212</v>
      </c>
      <c r="K6" s="6" t="str">
        <f>index!CI7</f>
        <v>LUNAS</v>
      </c>
      <c r="L6" s="6">
        <f>index!CJ7</f>
        <v>0</v>
      </c>
    </row>
    <row r="7" spans="1:12" x14ac:dyDescent="0.35">
      <c r="A7" s="4">
        <v>6</v>
      </c>
      <c r="B7" s="6" t="str">
        <f>index!BZ8</f>
        <v>HIFI IM3</v>
      </c>
      <c r="C7" s="6">
        <f>index!CA8</f>
        <v>1</v>
      </c>
      <c r="D7" s="6" t="str">
        <f>index!CB8</f>
        <v>085882768256</v>
      </c>
      <c r="E7" s="6" t="str">
        <f>index!CC8</f>
        <v>89620100002033543833</v>
      </c>
      <c r="F7" s="6" t="str">
        <f>index!CD8</f>
        <v>355806671166644</v>
      </c>
      <c r="G7" s="6" t="str">
        <f>index!CE8</f>
        <v>ANDI</v>
      </c>
      <c r="H7" s="6">
        <f>index!CF8</f>
        <v>0</v>
      </c>
      <c r="I7" s="64">
        <f>index!CG8</f>
        <v>46197</v>
      </c>
      <c r="J7" s="64">
        <f>index!CH8</f>
        <v>0</v>
      </c>
      <c r="K7" s="6" t="str">
        <f>index!CI8</f>
        <v>ON HAND DSE</v>
      </c>
      <c r="L7" s="6">
        <f>index!CJ8</f>
        <v>0</v>
      </c>
    </row>
    <row r="8" spans="1:12" x14ac:dyDescent="0.35">
      <c r="A8" s="4">
        <v>7</v>
      </c>
      <c r="B8" s="6" t="str">
        <f>index!BZ9</f>
        <v>HIFI IM3</v>
      </c>
      <c r="C8" s="6">
        <f>index!CA9</f>
        <v>1</v>
      </c>
      <c r="D8" s="6" t="str">
        <f>index!CB9</f>
        <v>085882768385</v>
      </c>
      <c r="E8" s="6" t="str">
        <f>index!CC9</f>
        <v>89620100002033544741</v>
      </c>
      <c r="F8" s="6" t="str">
        <f>index!CD9</f>
        <v>355806671205749</v>
      </c>
      <c r="G8" s="6" t="str">
        <f>index!CE9</f>
        <v>ENDEN</v>
      </c>
      <c r="H8" s="6">
        <f>index!CF9</f>
        <v>310000</v>
      </c>
      <c r="I8" s="64">
        <f>index!CG9</f>
        <v>46197</v>
      </c>
      <c r="J8" s="64">
        <f>index!CH9</f>
        <v>46205</v>
      </c>
      <c r="K8" s="6" t="str">
        <f>index!CI9</f>
        <v>LUNAS</v>
      </c>
      <c r="L8" s="6">
        <f>index!CJ9</f>
        <v>0</v>
      </c>
    </row>
    <row r="9" spans="1:12" x14ac:dyDescent="0.35">
      <c r="A9" s="4">
        <v>8</v>
      </c>
      <c r="B9" s="6" t="str">
        <f>index!BZ10</f>
        <v>HIFI IM3</v>
      </c>
      <c r="C9" s="6">
        <f>index!CA10</f>
        <v>1</v>
      </c>
      <c r="D9" s="6" t="str">
        <f>index!CB10</f>
        <v>085882768387</v>
      </c>
      <c r="E9" s="6" t="str">
        <f>index!CC10</f>
        <v>89620100002033544766</v>
      </c>
      <c r="F9" s="6" t="str">
        <f>index!CD10</f>
        <v>355806671170737</v>
      </c>
      <c r="G9" s="6" t="str">
        <f>index!CE10</f>
        <v>PEBRIAN</v>
      </c>
      <c r="H9" s="6">
        <f>index!CF10</f>
        <v>0</v>
      </c>
      <c r="I9" s="64">
        <f>index!CG10</f>
        <v>46197</v>
      </c>
      <c r="J9" s="64">
        <f>index!CH10</f>
        <v>0</v>
      </c>
      <c r="K9" s="6" t="str">
        <f>index!CI10</f>
        <v>ON HAND DSE</v>
      </c>
      <c r="L9" s="6">
        <f>index!CJ10</f>
        <v>0</v>
      </c>
    </row>
    <row r="10" spans="1:12" x14ac:dyDescent="0.35">
      <c r="A10" s="4">
        <v>9</v>
      </c>
      <c r="B10" s="6" t="str">
        <f>index!BZ11</f>
        <v>HIFI IM3</v>
      </c>
      <c r="C10" s="6">
        <f>index!CA11</f>
        <v>1</v>
      </c>
      <c r="D10" s="6" t="str">
        <f>index!CB11</f>
        <v>085882767231</v>
      </c>
      <c r="E10" s="6" t="str">
        <f>index!CC11</f>
        <v>89620100002033537141</v>
      </c>
      <c r="F10" s="6" t="str">
        <f>index!CD11</f>
        <v>355806671183334</v>
      </c>
      <c r="G10" s="6" t="str">
        <f>index!CE11</f>
        <v>PAK VIJE</v>
      </c>
      <c r="H10" s="6">
        <f>index!CF11</f>
        <v>0</v>
      </c>
      <c r="I10" s="64">
        <f>index!CG11</f>
        <v>46198</v>
      </c>
      <c r="J10" s="64">
        <f>index!CH11</f>
        <v>0</v>
      </c>
      <c r="K10" s="6" t="str">
        <f>index!CI11</f>
        <v>ON HAND DSE</v>
      </c>
      <c r="L10" s="6">
        <f>index!CJ11</f>
        <v>0</v>
      </c>
    </row>
    <row r="11" spans="1:12" x14ac:dyDescent="0.35">
      <c r="A11" s="4">
        <v>10</v>
      </c>
      <c r="B11" s="6" t="str">
        <f>index!BZ12</f>
        <v>HIFI IM3</v>
      </c>
      <c r="C11" s="6">
        <f>index!CA12</f>
        <v>1</v>
      </c>
      <c r="D11" s="6" t="str">
        <f>index!CB12</f>
        <v>085882767236</v>
      </c>
      <c r="E11" s="6" t="str">
        <f>index!CC12</f>
        <v>89620100002033537174</v>
      </c>
      <c r="F11" s="6" t="str">
        <f>index!CD12</f>
        <v>355806671220904</v>
      </c>
      <c r="G11" s="6" t="str">
        <f>index!CE12</f>
        <v>PAK VIJE</v>
      </c>
      <c r="H11" s="6">
        <f>index!CF12</f>
        <v>0</v>
      </c>
      <c r="I11" s="64">
        <f>index!CG12</f>
        <v>46203</v>
      </c>
      <c r="J11" s="64">
        <f>index!CH12</f>
        <v>0</v>
      </c>
      <c r="K11" s="6" t="str">
        <f>index!CI12</f>
        <v>STOK GUDANG</v>
      </c>
      <c r="L11" s="6">
        <f>index!CJ12</f>
        <v>0</v>
      </c>
    </row>
    <row r="12" spans="1:12" x14ac:dyDescent="0.35">
      <c r="A12" s="4">
        <v>11</v>
      </c>
      <c r="B12" s="6" t="str">
        <f>index!BZ13</f>
        <v>HIFI 3ID</v>
      </c>
      <c r="C12" s="6">
        <f>index!CA13</f>
        <v>1</v>
      </c>
      <c r="D12" s="6" t="str">
        <f>index!CB13</f>
        <v>0895613208575</v>
      </c>
      <c r="E12" s="6" t="str">
        <f>index!CC13</f>
        <v>8962893000244846652</v>
      </c>
      <c r="F12" s="6" t="str">
        <f>index!CD13</f>
        <v>355806671150283</v>
      </c>
      <c r="G12" s="6">
        <f>index!CE13</f>
        <v>0</v>
      </c>
      <c r="H12" s="6">
        <f>index!CF13</f>
        <v>0</v>
      </c>
      <c r="I12" s="64">
        <f>index!CG13</f>
        <v>0</v>
      </c>
      <c r="J12" s="64">
        <f>index!CH13</f>
        <v>0</v>
      </c>
      <c r="K12" s="6" t="str">
        <f>index!CI13</f>
        <v>STOK GUDANG</v>
      </c>
      <c r="L12" s="6">
        <f>index!CJ13</f>
        <v>0</v>
      </c>
    </row>
    <row r="13" spans="1:12" x14ac:dyDescent="0.35">
      <c r="A13" s="4">
        <v>12</v>
      </c>
      <c r="B13" s="6" t="str">
        <f>index!BZ14</f>
        <v>HIFI 3ID</v>
      </c>
      <c r="C13" s="6">
        <f>index!CA14</f>
        <v>1</v>
      </c>
      <c r="D13" s="6" t="str">
        <f>index!CB14</f>
        <v>0895613208576</v>
      </c>
      <c r="E13" s="6" t="str">
        <f>index!CC14</f>
        <v>8962893000244846653</v>
      </c>
      <c r="F13" s="6" t="str">
        <f>index!CD14</f>
        <v>355806671150689</v>
      </c>
      <c r="G13" s="6">
        <f>index!CE14</f>
        <v>0</v>
      </c>
      <c r="H13" s="6">
        <f>index!CF14</f>
        <v>0</v>
      </c>
      <c r="I13" s="64">
        <f>index!CG14</f>
        <v>0</v>
      </c>
      <c r="J13" s="64">
        <f>index!CH14</f>
        <v>0</v>
      </c>
      <c r="K13" s="6" t="str">
        <f>index!CI14</f>
        <v>STOK GUDANG</v>
      </c>
      <c r="L13" s="6">
        <f>index!CJ14</f>
        <v>0</v>
      </c>
    </row>
    <row r="14" spans="1:12" x14ac:dyDescent="0.35">
      <c r="A14" s="4">
        <v>13</v>
      </c>
      <c r="B14" s="6" t="str">
        <f>index!BZ15</f>
        <v>HIFI 3ID</v>
      </c>
      <c r="C14" s="6">
        <f>index!CA15</f>
        <v>1</v>
      </c>
      <c r="D14" s="6" t="str">
        <f>index!CB15</f>
        <v>0895613208577</v>
      </c>
      <c r="E14" s="6" t="str">
        <f>index!CC15</f>
        <v>8962893000244846654</v>
      </c>
      <c r="F14" s="6" t="str">
        <f>index!CD15</f>
        <v>355806671131176</v>
      </c>
      <c r="G14" s="6">
        <f>index!CE15</f>
        <v>0</v>
      </c>
      <c r="H14" s="6">
        <f>index!CF15</f>
        <v>0</v>
      </c>
      <c r="I14" s="64">
        <f>index!CG15</f>
        <v>0</v>
      </c>
      <c r="J14" s="64">
        <f>index!CH15</f>
        <v>0</v>
      </c>
      <c r="K14" s="6" t="str">
        <f>index!CI15</f>
        <v>STOK GUDANG</v>
      </c>
      <c r="L14" s="6">
        <f>index!CJ15</f>
        <v>0</v>
      </c>
    </row>
    <row r="15" spans="1:12" x14ac:dyDescent="0.35">
      <c r="A15" s="4">
        <v>14</v>
      </c>
      <c r="B15" s="6" t="str">
        <f>index!BZ16</f>
        <v>HIFI 3ID</v>
      </c>
      <c r="C15" s="6">
        <f>index!CA16</f>
        <v>1</v>
      </c>
      <c r="D15" s="6" t="str">
        <f>index!CB16</f>
        <v>0895613208578</v>
      </c>
      <c r="E15" s="6" t="str">
        <f>index!CC16</f>
        <v>8962893000244846655</v>
      </c>
      <c r="F15" s="6" t="str">
        <f>index!CD16</f>
        <v>355806671150630</v>
      </c>
      <c r="G15" s="6">
        <f>index!CE16</f>
        <v>0</v>
      </c>
      <c r="H15" s="6">
        <f>index!CF16</f>
        <v>0</v>
      </c>
      <c r="I15" s="64">
        <f>index!CG16</f>
        <v>0</v>
      </c>
      <c r="J15" s="64">
        <f>index!CH16</f>
        <v>0</v>
      </c>
      <c r="K15" s="6" t="str">
        <f>index!CI16</f>
        <v>STOK GUDANG</v>
      </c>
      <c r="L15" s="6">
        <f>index!CJ16</f>
        <v>0</v>
      </c>
    </row>
    <row r="16" spans="1:12" x14ac:dyDescent="0.35">
      <c r="A16" s="4">
        <v>15</v>
      </c>
      <c r="B16" s="6"/>
      <c r="C16" s="4"/>
      <c r="D16" s="7"/>
      <c r="E16" s="7"/>
      <c r="F16" s="7"/>
      <c r="G16" s="6">
        <f>index!CE17</f>
        <v>0</v>
      </c>
      <c r="H16" s="6">
        <f>index!CF17</f>
        <v>0</v>
      </c>
      <c r="I16" s="64">
        <f>index!CG17</f>
        <v>0</v>
      </c>
      <c r="J16" s="64">
        <f>index!CH17</f>
        <v>0</v>
      </c>
      <c r="K16" s="6" t="str">
        <f>index!CI17</f>
        <v>STOK GUDANG</v>
      </c>
      <c r="L16" s="6">
        <f>index!CJ17</f>
        <v>0</v>
      </c>
    </row>
    <row r="17" spans="1:12" x14ac:dyDescent="0.35">
      <c r="A17" s="4">
        <v>16</v>
      </c>
      <c r="B17" s="6"/>
      <c r="C17" s="4"/>
      <c r="D17" s="7"/>
      <c r="E17" s="7"/>
      <c r="F17" s="7"/>
      <c r="G17" s="6">
        <f>index!CE18</f>
        <v>0</v>
      </c>
      <c r="H17" s="6">
        <f>index!CF18</f>
        <v>0</v>
      </c>
      <c r="I17" s="64">
        <f>index!CG18</f>
        <v>0</v>
      </c>
      <c r="J17" s="64">
        <f>index!CH18</f>
        <v>0</v>
      </c>
      <c r="K17" s="6" t="str">
        <f>index!CI18</f>
        <v>STOK GUDANG</v>
      </c>
      <c r="L17" s="6">
        <f>index!CJ18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ADC2-F58B-944C-A6E9-60E16616E714}">
  <dimension ref="A1:D2"/>
  <sheetViews>
    <sheetView zoomScaleNormal="60" zoomScaleSheetLayoutView="100" workbookViewId="0">
      <selection activeCell="D2" sqref="D2"/>
    </sheetView>
  </sheetViews>
  <sheetFormatPr defaultRowHeight="14.5" x14ac:dyDescent="0.35"/>
  <cols>
    <col min="1" max="1" width="10.1796875" bestFit="1" customWidth="1"/>
    <col min="2" max="3" width="9.26953125" bestFit="1" customWidth="1"/>
  </cols>
  <sheetData>
    <row r="1" spans="1:4" x14ac:dyDescent="0.35">
      <c r="A1" t="s">
        <v>262</v>
      </c>
      <c r="B1" t="s">
        <v>263</v>
      </c>
      <c r="C1" t="s">
        <v>264</v>
      </c>
      <c r="D1" t="s">
        <v>265</v>
      </c>
    </row>
    <row r="2" spans="1:4" x14ac:dyDescent="0.35">
      <c r="A2">
        <f>'penjualan-salmo'!B6</f>
        <v>178509000</v>
      </c>
      <c r="B2">
        <f>'penjualan-reguler-new'!N7+'penjualan-reguler-new'!N23</f>
        <v>75448200</v>
      </c>
      <c r="C2">
        <f>SUM('penjualan-paket-jupiter'!J2:J400)+'penjualan-direct-selling'!E6</f>
        <v>30405000</v>
      </c>
      <c r="D2">
        <f>SUM('penjualan-hifi'!H2:H17)</f>
        <v>1240000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C411-0E9B-4587-8457-DC4C81104AEC}">
  <dimension ref="A1:EC1804"/>
  <sheetViews>
    <sheetView tabSelected="1" zoomScale="70" zoomScaleNormal="70" workbookViewId="0">
      <selection activeCell="G5" sqref="G5:J23"/>
    </sheetView>
  </sheetViews>
  <sheetFormatPr defaultRowHeight="14.5" x14ac:dyDescent="0.35"/>
  <cols>
    <col min="2" max="2" width="20" bestFit="1" customWidth="1"/>
    <col min="10" max="10" width="9.453125" bestFit="1" customWidth="1"/>
    <col min="15" max="15" width="13.54296875" bestFit="1" customWidth="1"/>
    <col min="17" max="17" width="20.54296875" bestFit="1" customWidth="1"/>
    <col min="18" max="18" width="19.81640625" bestFit="1" customWidth="1"/>
    <col min="19" max="19" width="10.453125" bestFit="1" customWidth="1"/>
    <col min="20" max="20" width="11.08984375" bestFit="1" customWidth="1"/>
    <col min="28" max="29" width="9.453125" bestFit="1" customWidth="1"/>
    <col min="34" max="34" width="9.453125" bestFit="1" customWidth="1"/>
    <col min="35" max="35" width="19.81640625" bestFit="1" customWidth="1"/>
    <col min="36" max="36" width="13" bestFit="1" customWidth="1"/>
    <col min="37" max="37" width="14" bestFit="1" customWidth="1"/>
    <col min="42" max="42" width="11" style="47" bestFit="1" customWidth="1"/>
    <col min="45" max="45" width="9.453125" bestFit="1" customWidth="1"/>
    <col min="56" max="56" width="18.26953125" style="47" bestFit="1" customWidth="1"/>
    <col min="61" max="61" width="17.36328125" style="47" bestFit="1" customWidth="1"/>
    <col min="66" max="66" width="6.54296875" style="58" customWidth="1"/>
    <col min="68" max="68" width="8.90625" bestFit="1" customWidth="1"/>
    <col min="73" max="73" width="8.90625" bestFit="1" customWidth="1"/>
    <col min="85" max="85" width="10.90625" bestFit="1" customWidth="1"/>
    <col min="90" max="90" width="9.1796875" bestFit="1" customWidth="1"/>
    <col min="98" max="98" width="9.453125" bestFit="1" customWidth="1"/>
    <col min="108" max="108" width="9.453125" bestFit="1" customWidth="1"/>
    <col min="133" max="133" width="9.453125" bestFit="1" customWidth="1"/>
  </cols>
  <sheetData>
    <row r="1" spans="1:133" ht="20" x14ac:dyDescent="0.4">
      <c r="A1" t="s">
        <v>72</v>
      </c>
      <c r="F1" t="s">
        <v>73</v>
      </c>
      <c r="N1" t="s">
        <v>75</v>
      </c>
      <c r="Q1" t="s">
        <v>76</v>
      </c>
      <c r="AO1" t="s">
        <v>98</v>
      </c>
      <c r="AP1"/>
      <c r="BD1"/>
      <c r="BI1"/>
      <c r="BN1" s="72"/>
      <c r="CL1" t="s">
        <v>171</v>
      </c>
    </row>
    <row r="2" spans="1:133" ht="42" x14ac:dyDescent="0.45">
      <c r="A2" s="98" t="s">
        <v>0</v>
      </c>
      <c r="B2" s="98" t="s">
        <v>1</v>
      </c>
      <c r="C2" s="98" t="s">
        <v>2</v>
      </c>
      <c r="D2" s="98" t="s">
        <v>3</v>
      </c>
      <c r="F2" s="100" t="s">
        <v>74</v>
      </c>
      <c r="G2" s="101"/>
      <c r="H2" s="101"/>
      <c r="I2" s="101"/>
      <c r="J2" s="101"/>
      <c r="K2" s="101"/>
      <c r="L2" s="102"/>
      <c r="N2" s="29" t="s">
        <v>37</v>
      </c>
      <c r="O2" s="30" t="s">
        <v>38</v>
      </c>
      <c r="Q2" s="25" t="s">
        <v>21</v>
      </c>
      <c r="R2" s="65" t="s">
        <v>167</v>
      </c>
      <c r="S2" s="26">
        <v>1</v>
      </c>
      <c r="T2" s="65" t="s">
        <v>167</v>
      </c>
      <c r="U2" s="26">
        <v>2</v>
      </c>
      <c r="V2" s="65" t="s">
        <v>167</v>
      </c>
      <c r="W2" s="26">
        <v>3</v>
      </c>
      <c r="X2" s="65" t="s">
        <v>167</v>
      </c>
      <c r="Y2" s="26">
        <v>4</v>
      </c>
      <c r="Z2" s="103" t="s">
        <v>168</v>
      </c>
      <c r="AA2" s="103" t="s">
        <v>44</v>
      </c>
      <c r="AB2" s="94" t="s">
        <v>45</v>
      </c>
      <c r="AC2" s="96" t="s">
        <v>46</v>
      </c>
      <c r="AE2" t="s">
        <v>51</v>
      </c>
      <c r="AO2" s="34" t="s">
        <v>85</v>
      </c>
      <c r="AP2" s="48" t="s">
        <v>86</v>
      </c>
      <c r="AQ2" s="49" t="s">
        <v>87</v>
      </c>
      <c r="AR2" s="34" t="s">
        <v>88</v>
      </c>
      <c r="AS2" s="35" t="s">
        <v>89</v>
      </c>
      <c r="AT2" s="36" t="s">
        <v>90</v>
      </c>
      <c r="AU2" s="35" t="s">
        <v>51</v>
      </c>
      <c r="AV2" s="37" t="s">
        <v>91</v>
      </c>
      <c r="AW2" s="38" t="s">
        <v>4</v>
      </c>
      <c r="AX2" s="38" t="s">
        <v>52</v>
      </c>
      <c r="AY2" s="38" t="s">
        <v>99</v>
      </c>
      <c r="AZ2" s="38" t="s">
        <v>7</v>
      </c>
      <c r="BA2" s="38" t="s">
        <v>8</v>
      </c>
      <c r="BB2" s="38" t="s">
        <v>111</v>
      </c>
      <c r="BC2" s="38" t="s">
        <v>100</v>
      </c>
      <c r="BD2" s="38" t="s">
        <v>101</v>
      </c>
      <c r="BE2" s="38" t="s">
        <v>102</v>
      </c>
      <c r="BF2" s="38" t="s">
        <v>112</v>
      </c>
      <c r="BG2" s="38" t="s">
        <v>113</v>
      </c>
      <c r="BH2" s="38" t="s">
        <v>114</v>
      </c>
      <c r="BI2" s="38" t="s">
        <v>103</v>
      </c>
      <c r="BJ2" s="38" t="s">
        <v>115</v>
      </c>
      <c r="BK2" s="38" t="s">
        <v>116</v>
      </c>
      <c r="BL2" s="38" t="s">
        <v>117</v>
      </c>
      <c r="BM2" s="38" t="s">
        <v>104</v>
      </c>
      <c r="BN2" s="38" t="s">
        <v>205</v>
      </c>
      <c r="BO2" s="50" t="s">
        <v>92</v>
      </c>
      <c r="BP2" s="48" t="s">
        <v>105</v>
      </c>
      <c r="BQ2" s="49" t="s">
        <v>106</v>
      </c>
      <c r="BR2" s="51" t="s">
        <v>93</v>
      </c>
      <c r="BS2" s="49" t="s">
        <v>118</v>
      </c>
      <c r="BT2" s="52" t="s">
        <v>94</v>
      </c>
      <c r="BU2" s="48" t="s">
        <v>95</v>
      </c>
      <c r="BV2" s="53" t="s">
        <v>107</v>
      </c>
      <c r="BW2" s="54" t="s">
        <v>108</v>
      </c>
      <c r="BY2" s="2" t="s">
        <v>62</v>
      </c>
      <c r="BZ2" s="3" t="s">
        <v>65</v>
      </c>
      <c r="CA2" s="3" t="s">
        <v>66</v>
      </c>
      <c r="CB2" s="3" t="s">
        <v>67</v>
      </c>
      <c r="CC2" s="3" t="s">
        <v>119</v>
      </c>
      <c r="CD2" s="3" t="s">
        <v>68</v>
      </c>
      <c r="CE2" s="3" t="s">
        <v>64</v>
      </c>
      <c r="CF2" s="3" t="s">
        <v>81</v>
      </c>
      <c r="CG2" s="2" t="s">
        <v>63</v>
      </c>
      <c r="CH2" s="3" t="s">
        <v>69</v>
      </c>
      <c r="CI2" s="3" t="s">
        <v>70</v>
      </c>
      <c r="CJ2" s="3" t="s">
        <v>71</v>
      </c>
      <c r="DF2" t="s">
        <v>177</v>
      </c>
      <c r="DG2" t="s">
        <v>47</v>
      </c>
      <c r="DL2" t="s">
        <v>39</v>
      </c>
      <c r="DQ2" t="s">
        <v>48</v>
      </c>
      <c r="DV2" t="s">
        <v>49</v>
      </c>
    </row>
    <row r="3" spans="1:133" x14ac:dyDescent="0.35">
      <c r="A3" s="99"/>
      <c r="B3" s="99"/>
      <c r="C3" s="99"/>
      <c r="D3" s="99"/>
      <c r="F3" s="15"/>
      <c r="G3" s="16"/>
      <c r="H3" s="17"/>
      <c r="I3" s="17"/>
      <c r="J3" s="17"/>
      <c r="K3" s="17"/>
      <c r="L3" s="18"/>
      <c r="N3" s="31" t="s">
        <v>39</v>
      </c>
      <c r="O3" s="33">
        <f>29759000+O9</f>
        <v>32259000</v>
      </c>
      <c r="Q3" s="25"/>
      <c r="R3" s="25"/>
      <c r="S3" s="26" t="s">
        <v>47</v>
      </c>
      <c r="T3" s="26"/>
      <c r="U3" s="26" t="s">
        <v>39</v>
      </c>
      <c r="V3" s="26"/>
      <c r="W3" s="26" t="s">
        <v>48</v>
      </c>
      <c r="X3" s="26"/>
      <c r="Y3" s="26" t="s">
        <v>49</v>
      </c>
      <c r="Z3" s="104"/>
      <c r="AA3" s="104"/>
      <c r="AB3" s="95"/>
      <c r="AC3" s="97"/>
      <c r="AF3" t="s">
        <v>5</v>
      </c>
      <c r="AG3" t="s">
        <v>52</v>
      </c>
      <c r="AH3" t="s">
        <v>169</v>
      </c>
      <c r="AI3" t="s">
        <v>100</v>
      </c>
      <c r="AJ3" t="s">
        <v>102</v>
      </c>
      <c r="AK3" t="s">
        <v>103</v>
      </c>
      <c r="AL3" t="s">
        <v>104</v>
      </c>
      <c r="AM3" t="s">
        <v>205</v>
      </c>
      <c r="AO3" s="39">
        <v>1</v>
      </c>
      <c r="AP3" s="40">
        <v>46204</v>
      </c>
      <c r="AQ3" s="39" t="s">
        <v>204</v>
      </c>
      <c r="AR3" s="39" t="s">
        <v>184</v>
      </c>
      <c r="AS3" s="31">
        <v>17190542</v>
      </c>
      <c r="AT3" s="31" t="s">
        <v>255</v>
      </c>
      <c r="AU3" s="43" t="s">
        <v>53</v>
      </c>
      <c r="AV3" s="6">
        <v>10</v>
      </c>
      <c r="AW3" s="44">
        <v>0</v>
      </c>
      <c r="AX3" s="44">
        <v>30</v>
      </c>
      <c r="AY3" s="44">
        <v>0</v>
      </c>
      <c r="AZ3" s="44">
        <v>0</v>
      </c>
      <c r="BA3" s="44">
        <v>0</v>
      </c>
      <c r="BB3" s="44">
        <v>0</v>
      </c>
      <c r="BC3" s="44">
        <v>0</v>
      </c>
      <c r="BD3" s="44">
        <v>0</v>
      </c>
      <c r="BE3" s="44">
        <v>0</v>
      </c>
      <c r="BF3" s="44">
        <v>0</v>
      </c>
      <c r="BG3" s="44">
        <v>0</v>
      </c>
      <c r="BH3" s="44">
        <v>0</v>
      </c>
      <c r="BI3" s="44">
        <v>0</v>
      </c>
      <c r="BJ3" s="44">
        <v>0</v>
      </c>
      <c r="BK3" s="44">
        <v>0</v>
      </c>
      <c r="BL3" s="44">
        <v>0</v>
      </c>
      <c r="BM3" s="44">
        <v>0</v>
      </c>
      <c r="BN3" s="44">
        <v>10</v>
      </c>
      <c r="BO3" s="55">
        <v>750000</v>
      </c>
      <c r="BP3" s="40">
        <v>46204</v>
      </c>
      <c r="BQ3" s="39">
        <v>10</v>
      </c>
      <c r="BR3" s="56">
        <v>750000</v>
      </c>
      <c r="BS3" s="88" t="s">
        <v>109</v>
      </c>
      <c r="BT3" s="57">
        <v>0</v>
      </c>
      <c r="BU3" s="40">
        <v>46205</v>
      </c>
      <c r="BV3" s="9">
        <v>200000</v>
      </c>
      <c r="BW3" s="58"/>
      <c r="BY3" s="4">
        <v>1</v>
      </c>
      <c r="BZ3" s="6" t="s">
        <v>120</v>
      </c>
      <c r="CA3" s="4">
        <v>1</v>
      </c>
      <c r="CB3" s="7" t="s">
        <v>121</v>
      </c>
      <c r="CC3" s="7" t="s">
        <v>122</v>
      </c>
      <c r="CD3" s="7" t="s">
        <v>123</v>
      </c>
      <c r="CE3" s="4" t="s">
        <v>163</v>
      </c>
      <c r="CF3" s="8">
        <v>310000</v>
      </c>
      <c r="CG3" s="5">
        <v>46185</v>
      </c>
      <c r="CH3" s="5">
        <v>46212</v>
      </c>
      <c r="CI3" s="4" t="s">
        <v>284</v>
      </c>
      <c r="CJ3" s="5"/>
      <c r="CL3" s="67">
        <f ca="1">TODAY()-1</f>
        <v>46246</v>
      </c>
      <c r="CV3" t="s">
        <v>173</v>
      </c>
      <c r="CW3" t="s">
        <v>47</v>
      </c>
      <c r="CX3" t="s">
        <v>39</v>
      </c>
      <c r="CY3" t="s">
        <v>48</v>
      </c>
      <c r="CZ3" t="s">
        <v>49</v>
      </c>
      <c r="DA3" t="s">
        <v>174</v>
      </c>
      <c r="DB3" t="s">
        <v>44</v>
      </c>
      <c r="DC3" t="s">
        <v>81</v>
      </c>
      <c r="DD3" t="s">
        <v>38</v>
      </c>
      <c r="DF3" t="s">
        <v>173</v>
      </c>
      <c r="DG3" t="s">
        <v>178</v>
      </c>
      <c r="DH3" t="s">
        <v>179</v>
      </c>
      <c r="DI3" t="s">
        <v>180</v>
      </c>
      <c r="DJ3" t="s">
        <v>181</v>
      </c>
      <c r="DK3" t="s">
        <v>182</v>
      </c>
      <c r="DL3" t="s">
        <v>178</v>
      </c>
      <c r="DM3" t="s">
        <v>179</v>
      </c>
      <c r="DN3" t="s">
        <v>180</v>
      </c>
      <c r="DO3" t="s">
        <v>181</v>
      </c>
      <c r="DP3" t="s">
        <v>182</v>
      </c>
      <c r="DQ3" t="s">
        <v>178</v>
      </c>
      <c r="DR3" t="s">
        <v>179</v>
      </c>
      <c r="DS3" t="s">
        <v>180</v>
      </c>
      <c r="DT3" t="s">
        <v>181</v>
      </c>
      <c r="DU3" t="s">
        <v>182</v>
      </c>
      <c r="DV3" t="s">
        <v>178</v>
      </c>
      <c r="DW3" t="s">
        <v>179</v>
      </c>
      <c r="DX3" t="s">
        <v>180</v>
      </c>
      <c r="DY3" t="s">
        <v>181</v>
      </c>
      <c r="DZ3" t="s">
        <v>182</v>
      </c>
      <c r="EA3" t="s">
        <v>183</v>
      </c>
      <c r="EB3" t="s">
        <v>81</v>
      </c>
      <c r="EC3" t="s">
        <v>38</v>
      </c>
    </row>
    <row r="4" spans="1:133" x14ac:dyDescent="0.35">
      <c r="A4" s="12" t="s">
        <v>4</v>
      </c>
      <c r="B4" s="13">
        <v>100</v>
      </c>
      <c r="C4" s="14">
        <v>0</v>
      </c>
      <c r="D4" s="13">
        <f>C4+B4</f>
        <v>100</v>
      </c>
      <c r="F4" s="19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N4" s="31" t="s">
        <v>40</v>
      </c>
      <c r="O4" s="33">
        <f>45713000+O10</f>
        <v>52263000</v>
      </c>
      <c r="Q4" s="20" t="s">
        <v>4</v>
      </c>
      <c r="R4" s="68">
        <f>CM6</f>
        <v>0</v>
      </c>
      <c r="S4" s="69">
        <f>CW4</f>
        <v>0</v>
      </c>
      <c r="T4" s="69">
        <f>CN6</f>
        <v>0</v>
      </c>
      <c r="U4" s="27">
        <f>CX4</f>
        <v>0</v>
      </c>
      <c r="V4" s="69">
        <f>CO6</f>
        <v>0</v>
      </c>
      <c r="W4" s="27">
        <f>CY4</f>
        <v>0</v>
      </c>
      <c r="X4" s="27">
        <f>CP6</f>
        <v>0</v>
      </c>
      <c r="Y4" s="27">
        <f>CZ4</f>
        <v>0</v>
      </c>
      <c r="Z4" s="27">
        <f>R4+T4+V4+X4</f>
        <v>0</v>
      </c>
      <c r="AA4" s="69">
        <f>S4+U4+W4+Y4</f>
        <v>0</v>
      </c>
      <c r="AB4" s="4">
        <v>11000</v>
      </c>
      <c r="AC4" s="27">
        <f>AA4*AB4</f>
        <v>0</v>
      </c>
      <c r="AE4" t="s">
        <v>53</v>
      </c>
      <c r="AF4">
        <f>GETPIVOTDATA("Sum of Qty2",$R$36,"Nama CSO","Muhamad Parhan")+GETPIVOTDATA("SP 3GB",$AI$70,"Nama CSO","Muhamad Parhan")</f>
        <v>219</v>
      </c>
      <c r="AG4" s="82">
        <f>E31</f>
        <v>162</v>
      </c>
      <c r="AH4" s="82">
        <f>H31</f>
        <v>27</v>
      </c>
      <c r="AI4" s="82">
        <f>I31</f>
        <v>129</v>
      </c>
      <c r="AJ4" s="83">
        <f>K31</f>
        <v>33</v>
      </c>
      <c r="AK4" s="83">
        <f>O31</f>
        <v>135</v>
      </c>
      <c r="AL4" s="83">
        <f>S31</f>
        <v>0</v>
      </c>
      <c r="AM4" s="83">
        <f>T31</f>
        <v>31</v>
      </c>
      <c r="AO4" s="39">
        <v>2</v>
      </c>
      <c r="AP4" s="40">
        <v>46204</v>
      </c>
      <c r="AQ4" s="39" t="s">
        <v>204</v>
      </c>
      <c r="AR4" s="39" t="s">
        <v>184</v>
      </c>
      <c r="AS4" s="31">
        <v>17187147</v>
      </c>
      <c r="AT4" s="31" t="s">
        <v>274</v>
      </c>
      <c r="AU4" s="31" t="s">
        <v>41</v>
      </c>
      <c r="AV4" s="6">
        <v>5</v>
      </c>
      <c r="AW4" s="44">
        <v>0</v>
      </c>
      <c r="AX4" s="44">
        <v>15</v>
      </c>
      <c r="AY4" s="44">
        <v>0</v>
      </c>
      <c r="AZ4" s="44">
        <v>0</v>
      </c>
      <c r="BA4" s="44">
        <v>0</v>
      </c>
      <c r="BB4" s="44">
        <v>0</v>
      </c>
      <c r="BC4" s="44">
        <v>0</v>
      </c>
      <c r="BD4" s="44">
        <v>0</v>
      </c>
      <c r="BE4" s="44">
        <v>0</v>
      </c>
      <c r="BF4" s="44">
        <v>0</v>
      </c>
      <c r="BG4" s="44">
        <v>0</v>
      </c>
      <c r="BH4" s="44">
        <v>0</v>
      </c>
      <c r="BI4" s="44">
        <v>0</v>
      </c>
      <c r="BJ4" s="44">
        <v>0</v>
      </c>
      <c r="BK4" s="44">
        <v>0</v>
      </c>
      <c r="BL4" s="44">
        <v>0</v>
      </c>
      <c r="BM4" s="44">
        <v>0</v>
      </c>
      <c r="BN4" s="44">
        <v>5</v>
      </c>
      <c r="BO4" s="55">
        <v>375000</v>
      </c>
      <c r="BP4" s="40">
        <v>46204</v>
      </c>
      <c r="BQ4" s="39">
        <v>5</v>
      </c>
      <c r="BR4" s="56">
        <v>375000</v>
      </c>
      <c r="BS4" s="88" t="s">
        <v>109</v>
      </c>
      <c r="BT4" s="57">
        <v>0</v>
      </c>
      <c r="BU4" s="40">
        <v>46205</v>
      </c>
      <c r="BV4" s="9">
        <v>1150000</v>
      </c>
      <c r="BW4" s="58"/>
      <c r="BY4" s="4">
        <v>2</v>
      </c>
      <c r="BZ4" s="6" t="s">
        <v>120</v>
      </c>
      <c r="CA4" s="4">
        <v>1</v>
      </c>
      <c r="CB4" s="7" t="s">
        <v>125</v>
      </c>
      <c r="CC4" s="7" t="s">
        <v>126</v>
      </c>
      <c r="CD4" s="7" t="s">
        <v>127</v>
      </c>
      <c r="CE4" s="4" t="s">
        <v>22</v>
      </c>
      <c r="CF4" s="8"/>
      <c r="CG4" s="5">
        <v>46185</v>
      </c>
      <c r="CH4" s="5"/>
      <c r="CI4" s="4" t="s">
        <v>162</v>
      </c>
      <c r="CJ4" s="5"/>
      <c r="CL4" t="s">
        <v>21</v>
      </c>
      <c r="CM4">
        <v>1</v>
      </c>
      <c r="CN4">
        <v>2</v>
      </c>
      <c r="CO4">
        <v>3</v>
      </c>
      <c r="CP4">
        <v>4</v>
      </c>
      <c r="CQ4">
        <v>5</v>
      </c>
      <c r="CR4" t="s">
        <v>172</v>
      </c>
      <c r="CS4" t="s">
        <v>45</v>
      </c>
      <c r="CT4" t="s">
        <v>46</v>
      </c>
      <c r="CV4" t="s">
        <v>4</v>
      </c>
      <c r="CW4">
        <v>0</v>
      </c>
      <c r="CX4">
        <v>0</v>
      </c>
      <c r="CY4">
        <v>0</v>
      </c>
      <c r="CZ4">
        <v>0</v>
      </c>
      <c r="DB4">
        <v>35</v>
      </c>
      <c r="DC4">
        <v>11000</v>
      </c>
      <c r="DD4">
        <v>385000</v>
      </c>
      <c r="DF4" t="s">
        <v>4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49</v>
      </c>
      <c r="EB4">
        <v>11000</v>
      </c>
      <c r="EC4">
        <v>539000</v>
      </c>
    </row>
    <row r="5" spans="1:133" x14ac:dyDescent="0.35">
      <c r="A5" s="12" t="s">
        <v>5</v>
      </c>
      <c r="B5" s="13">
        <v>4413</v>
      </c>
      <c r="C5" s="14">
        <v>15</v>
      </c>
      <c r="D5" s="13">
        <f t="shared" ref="D5:D22" si="0">C5+B5</f>
        <v>4428</v>
      </c>
      <c r="F5" s="20" t="s">
        <v>4</v>
      </c>
      <c r="G5" s="21">
        <v>86</v>
      </c>
      <c r="H5" s="21">
        <v>80</v>
      </c>
      <c r="I5" s="21">
        <v>96</v>
      </c>
      <c r="J5" s="21">
        <v>100</v>
      </c>
      <c r="K5" s="21">
        <v>22</v>
      </c>
      <c r="L5" s="22">
        <f>SUM(G5:K5)</f>
        <v>384</v>
      </c>
      <c r="N5" s="31" t="s">
        <v>41</v>
      </c>
      <c r="O5" s="33">
        <f>38942000+O11</f>
        <v>43042000</v>
      </c>
      <c r="Q5" s="20" t="s">
        <v>29</v>
      </c>
      <c r="R5" s="68">
        <f>CM7+AF20</f>
        <v>0</v>
      </c>
      <c r="S5" s="69">
        <f>CW5+AF5-25</f>
        <v>364</v>
      </c>
      <c r="T5" s="69">
        <f>CN7+AF19</f>
        <v>0</v>
      </c>
      <c r="U5" s="27">
        <f>CX5+AF4-25</f>
        <v>255</v>
      </c>
      <c r="V5" s="69">
        <f>CO7+AF21</f>
        <v>0</v>
      </c>
      <c r="W5" s="27">
        <f>CY5+AF6</f>
        <v>339</v>
      </c>
      <c r="X5" s="69">
        <f>CP7+AF22</f>
        <v>0</v>
      </c>
      <c r="Y5" s="27">
        <f>CZ5+AF7+-25</f>
        <v>303</v>
      </c>
      <c r="Z5" s="27">
        <f t="shared" ref="Z5:Z24" si="1">R5+T5+V5+X5</f>
        <v>0</v>
      </c>
      <c r="AA5" s="69">
        <f t="shared" ref="AA5:AA22" si="2">S5+U5+W5+Y5</f>
        <v>1261</v>
      </c>
      <c r="AB5" s="4">
        <v>30000</v>
      </c>
      <c r="AC5" s="27">
        <f t="shared" ref="AC5:AC22" si="3">AA5*AB5</f>
        <v>37830000</v>
      </c>
      <c r="AE5" t="s">
        <v>54</v>
      </c>
      <c r="AF5">
        <f>GETPIVOTDATA("Sum of Qty2",$R$36,"Nama CSO","Andi Sutiawan")+GETPIVOTDATA("SP 3GB",$AI$70,"Nama CSO","Andi Sutiawan")</f>
        <v>385</v>
      </c>
      <c r="AG5" s="82">
        <f t="shared" ref="AG5:AG7" si="4">E32</f>
        <v>114</v>
      </c>
      <c r="AH5" s="82">
        <f t="shared" ref="AH5:AH7" si="5">H32</f>
        <v>0</v>
      </c>
      <c r="AI5" s="82">
        <f t="shared" ref="AI5:AI7" si="6">I32</f>
        <v>87</v>
      </c>
      <c r="AJ5" s="83">
        <f t="shared" ref="AJ5:AJ7" si="7">K32</f>
        <v>27</v>
      </c>
      <c r="AK5" s="83">
        <f t="shared" ref="AK5:AK7" si="8">O32</f>
        <v>114</v>
      </c>
      <c r="AL5" s="83">
        <f t="shared" ref="AL5:AL7" si="9">S32</f>
        <v>0</v>
      </c>
      <c r="AM5" s="83">
        <f t="shared" ref="AM5:AM7" si="10">T32</f>
        <v>24</v>
      </c>
      <c r="AO5" s="39">
        <v>3</v>
      </c>
      <c r="AP5" s="40">
        <v>46204</v>
      </c>
      <c r="AQ5" s="39" t="s">
        <v>204</v>
      </c>
      <c r="AR5" s="39" t="s">
        <v>184</v>
      </c>
      <c r="AS5" s="31">
        <v>1287387</v>
      </c>
      <c r="AT5" s="31" t="s">
        <v>185</v>
      </c>
      <c r="AU5" s="31" t="s">
        <v>42</v>
      </c>
      <c r="AV5" s="6">
        <v>4</v>
      </c>
      <c r="AW5" s="44">
        <v>0</v>
      </c>
      <c r="AX5" s="44">
        <v>12</v>
      </c>
      <c r="AY5" s="44">
        <v>0</v>
      </c>
      <c r="AZ5" s="44">
        <v>0</v>
      </c>
      <c r="BA5" s="44">
        <v>0</v>
      </c>
      <c r="BB5" s="44">
        <v>0</v>
      </c>
      <c r="BC5" s="44">
        <v>0</v>
      </c>
      <c r="BD5" s="44">
        <v>0</v>
      </c>
      <c r="BE5" s="44">
        <v>0</v>
      </c>
      <c r="BF5" s="44">
        <v>0</v>
      </c>
      <c r="BG5" s="44">
        <v>0</v>
      </c>
      <c r="BH5" s="44">
        <v>0</v>
      </c>
      <c r="BI5" s="44">
        <v>0</v>
      </c>
      <c r="BJ5" s="44">
        <v>0</v>
      </c>
      <c r="BK5" s="44">
        <v>0</v>
      </c>
      <c r="BL5" s="44">
        <v>0</v>
      </c>
      <c r="BM5" s="44">
        <v>0</v>
      </c>
      <c r="BN5" s="44">
        <v>4</v>
      </c>
      <c r="BO5" s="55">
        <v>300000</v>
      </c>
      <c r="BP5" s="40">
        <v>46204</v>
      </c>
      <c r="BQ5" s="39">
        <v>4</v>
      </c>
      <c r="BR5" s="56">
        <v>300000</v>
      </c>
      <c r="BS5" s="88" t="s">
        <v>109</v>
      </c>
      <c r="BT5" s="57">
        <v>0</v>
      </c>
      <c r="BU5" s="40">
        <v>46205</v>
      </c>
      <c r="BV5" s="9">
        <v>2200000</v>
      </c>
      <c r="BW5" s="58"/>
      <c r="BY5" s="4">
        <v>3</v>
      </c>
      <c r="BZ5" s="6" t="s">
        <v>120</v>
      </c>
      <c r="CA5" s="4">
        <v>1</v>
      </c>
      <c r="CB5" s="7" t="s">
        <v>128</v>
      </c>
      <c r="CC5" s="7" t="s">
        <v>129</v>
      </c>
      <c r="CD5" s="7" t="s">
        <v>130</v>
      </c>
      <c r="CE5" s="4" t="s">
        <v>24</v>
      </c>
      <c r="CF5" s="8">
        <v>310000</v>
      </c>
      <c r="CG5" s="5">
        <v>46185</v>
      </c>
      <c r="CH5" s="5">
        <v>46205</v>
      </c>
      <c r="CI5" s="4" t="s">
        <v>284</v>
      </c>
      <c r="CJ5" s="5"/>
      <c r="CM5" t="s">
        <v>22</v>
      </c>
      <c r="CN5" t="s">
        <v>23</v>
      </c>
      <c r="CO5" t="s">
        <v>24</v>
      </c>
      <c r="CP5" t="s">
        <v>25</v>
      </c>
      <c r="CQ5" t="s">
        <v>26</v>
      </c>
      <c r="CV5" t="s">
        <v>29</v>
      </c>
      <c r="CW5">
        <v>4</v>
      </c>
      <c r="CX5">
        <v>61</v>
      </c>
      <c r="CY5">
        <v>90</v>
      </c>
      <c r="CZ5">
        <v>0</v>
      </c>
      <c r="DB5">
        <v>0</v>
      </c>
      <c r="DC5">
        <v>30000</v>
      </c>
      <c r="DD5">
        <v>0</v>
      </c>
      <c r="DF5" t="s">
        <v>29</v>
      </c>
      <c r="DG5">
        <v>0</v>
      </c>
      <c r="DH5">
        <v>4</v>
      </c>
      <c r="DI5">
        <v>0</v>
      </c>
      <c r="DJ5">
        <v>0</v>
      </c>
      <c r="DK5">
        <v>4</v>
      </c>
      <c r="DL5">
        <v>42</v>
      </c>
      <c r="DM5">
        <v>19</v>
      </c>
      <c r="DN5">
        <v>0</v>
      </c>
      <c r="DO5">
        <v>0</v>
      </c>
      <c r="DP5">
        <v>61</v>
      </c>
      <c r="DQ5">
        <v>80</v>
      </c>
      <c r="DR5">
        <v>10</v>
      </c>
      <c r="DS5">
        <v>0</v>
      </c>
      <c r="DT5">
        <v>0</v>
      </c>
      <c r="DU5">
        <v>90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30000</v>
      </c>
      <c r="EC5">
        <v>0</v>
      </c>
    </row>
    <row r="6" spans="1:133" x14ac:dyDescent="0.35">
      <c r="A6" s="12" t="s">
        <v>6</v>
      </c>
      <c r="B6" s="13">
        <v>70</v>
      </c>
      <c r="C6" s="14">
        <v>8</v>
      </c>
      <c r="D6" s="13">
        <f t="shared" si="0"/>
        <v>78</v>
      </c>
      <c r="F6" s="20" t="s">
        <v>29</v>
      </c>
      <c r="G6" s="21">
        <v>122</v>
      </c>
      <c r="H6" s="21">
        <v>64</v>
      </c>
      <c r="I6" s="21">
        <v>48</v>
      </c>
      <c r="J6" s="21">
        <v>59</v>
      </c>
      <c r="K6" s="21">
        <v>0</v>
      </c>
      <c r="L6" s="22">
        <f t="shared" ref="L6:L25" si="11">SUM(G6:K6)</f>
        <v>293</v>
      </c>
      <c r="N6" s="4" t="s">
        <v>42</v>
      </c>
      <c r="O6" s="33">
        <f>47595000+O12</f>
        <v>50945000</v>
      </c>
      <c r="Q6" s="20" t="s">
        <v>30</v>
      </c>
      <c r="R6" s="68">
        <f>CM8+AG20</f>
        <v>0</v>
      </c>
      <c r="S6" s="69">
        <f>CW6+AG5</f>
        <v>119</v>
      </c>
      <c r="T6" s="69">
        <f>CN8+AG19</f>
        <v>0</v>
      </c>
      <c r="U6" s="27">
        <f>CX6+AG4</f>
        <v>166</v>
      </c>
      <c r="V6" s="69">
        <f>CO8+AG21</f>
        <v>0</v>
      </c>
      <c r="W6" s="27">
        <f>CY6+AG6</f>
        <v>126</v>
      </c>
      <c r="X6" s="69">
        <f>CP8+AG22</f>
        <v>0</v>
      </c>
      <c r="Y6" s="27">
        <f>CZ6+AG7</f>
        <v>63</v>
      </c>
      <c r="Z6" s="27">
        <f t="shared" si="1"/>
        <v>0</v>
      </c>
      <c r="AA6" s="69">
        <f t="shared" si="2"/>
        <v>474</v>
      </c>
      <c r="AB6" s="4">
        <v>25000</v>
      </c>
      <c r="AC6" s="27">
        <f t="shared" si="3"/>
        <v>11850000</v>
      </c>
      <c r="AE6" t="s">
        <v>41</v>
      </c>
      <c r="AF6">
        <f>GETPIVOTDATA("Sum of Qty2",$R$36,"Nama CSO","M. Enden Abdul Latif")+GETPIVOTDATA("SP 3GB",$AI$70,"Nama CSO","M. Enden Abdul Latif")</f>
        <v>249</v>
      </c>
      <c r="AG6" s="82">
        <f t="shared" si="4"/>
        <v>126</v>
      </c>
      <c r="AH6" s="82">
        <f t="shared" si="5"/>
        <v>21</v>
      </c>
      <c r="AI6" s="82">
        <f t="shared" si="6"/>
        <v>45</v>
      </c>
      <c r="AJ6" s="83">
        <f t="shared" si="7"/>
        <v>81</v>
      </c>
      <c r="AK6" s="83">
        <f t="shared" si="8"/>
        <v>105</v>
      </c>
      <c r="AL6" s="83">
        <f t="shared" si="9"/>
        <v>0</v>
      </c>
      <c r="AM6" s="83">
        <f t="shared" si="10"/>
        <v>33</v>
      </c>
      <c r="AO6" s="39">
        <v>4</v>
      </c>
      <c r="AP6" s="40">
        <v>46205</v>
      </c>
      <c r="AQ6" s="39" t="s">
        <v>204</v>
      </c>
      <c r="AR6" s="39" t="s">
        <v>184</v>
      </c>
      <c r="AS6" s="31">
        <v>17288556</v>
      </c>
      <c r="AT6" s="31" t="s">
        <v>259</v>
      </c>
      <c r="AU6" s="31" t="s">
        <v>41</v>
      </c>
      <c r="AV6" s="6">
        <v>23</v>
      </c>
      <c r="AW6" s="44">
        <v>0</v>
      </c>
      <c r="AX6" s="44">
        <v>69</v>
      </c>
      <c r="AY6" s="44">
        <v>0</v>
      </c>
      <c r="AZ6" s="44">
        <v>0</v>
      </c>
      <c r="BA6" s="44">
        <v>0</v>
      </c>
      <c r="BB6" s="44">
        <v>0</v>
      </c>
      <c r="BC6" s="44">
        <v>0</v>
      </c>
      <c r="BD6" s="44">
        <v>0</v>
      </c>
      <c r="BE6" s="44">
        <v>0</v>
      </c>
      <c r="BF6" s="44">
        <v>0</v>
      </c>
      <c r="BG6" s="44">
        <v>0</v>
      </c>
      <c r="BH6" s="44">
        <v>0</v>
      </c>
      <c r="BI6" s="44">
        <v>0</v>
      </c>
      <c r="BJ6" s="44">
        <v>0</v>
      </c>
      <c r="BK6" s="44">
        <v>0</v>
      </c>
      <c r="BL6" s="44">
        <v>0</v>
      </c>
      <c r="BM6" s="44">
        <v>0</v>
      </c>
      <c r="BN6" s="44">
        <v>23</v>
      </c>
      <c r="BO6" s="55">
        <v>1725000</v>
      </c>
      <c r="BP6" s="40">
        <v>46205</v>
      </c>
      <c r="BQ6" s="39">
        <v>23</v>
      </c>
      <c r="BR6" s="59">
        <v>1725000</v>
      </c>
      <c r="BS6" s="88" t="s">
        <v>109</v>
      </c>
      <c r="BT6" s="57">
        <v>0</v>
      </c>
      <c r="BU6" s="40">
        <v>46206</v>
      </c>
      <c r="BV6" s="9">
        <v>3000000</v>
      </c>
      <c r="BW6" s="58"/>
      <c r="BY6" s="4">
        <v>4</v>
      </c>
      <c r="BZ6" s="6" t="s">
        <v>120</v>
      </c>
      <c r="CA6" s="4">
        <v>1</v>
      </c>
      <c r="CB6" s="7" t="s">
        <v>131</v>
      </c>
      <c r="CC6" s="7" t="s">
        <v>132</v>
      </c>
      <c r="CD6" s="7" t="s">
        <v>133</v>
      </c>
      <c r="CE6" s="4" t="s">
        <v>25</v>
      </c>
      <c r="CF6" s="8"/>
      <c r="CG6" s="5">
        <v>46185</v>
      </c>
      <c r="CH6" s="5"/>
      <c r="CI6" s="4" t="s">
        <v>162</v>
      </c>
      <c r="CJ6" s="5"/>
      <c r="CL6" t="s">
        <v>4</v>
      </c>
      <c r="CM6" s="70">
        <v>0</v>
      </c>
      <c r="CN6" s="70">
        <v>0</v>
      </c>
      <c r="CO6" s="70">
        <v>0</v>
      </c>
      <c r="CP6" s="70">
        <v>0</v>
      </c>
      <c r="CQ6">
        <v>0</v>
      </c>
      <c r="CR6" t="s">
        <v>28</v>
      </c>
      <c r="CS6" s="1">
        <v>11000</v>
      </c>
      <c r="CT6" t="s">
        <v>28</v>
      </c>
      <c r="CV6" t="s">
        <v>30</v>
      </c>
      <c r="CW6">
        <v>5</v>
      </c>
      <c r="CX6">
        <v>4</v>
      </c>
      <c r="CY6">
        <v>0</v>
      </c>
      <c r="CZ6">
        <v>0</v>
      </c>
      <c r="DB6">
        <v>581</v>
      </c>
      <c r="DC6">
        <v>25000</v>
      </c>
      <c r="DD6">
        <v>14525000</v>
      </c>
      <c r="DF6" t="s">
        <v>30</v>
      </c>
      <c r="DG6">
        <v>0</v>
      </c>
      <c r="DH6">
        <v>5</v>
      </c>
      <c r="DI6">
        <v>0</v>
      </c>
      <c r="DJ6">
        <v>0</v>
      </c>
      <c r="DK6">
        <v>5</v>
      </c>
      <c r="DL6">
        <v>0</v>
      </c>
      <c r="DM6">
        <v>4</v>
      </c>
      <c r="DN6">
        <v>0</v>
      </c>
      <c r="DO6">
        <v>0</v>
      </c>
      <c r="DP6">
        <v>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672</v>
      </c>
      <c r="EB6">
        <v>25000</v>
      </c>
      <c r="EC6">
        <v>16800000</v>
      </c>
    </row>
    <row r="7" spans="1:133" x14ac:dyDescent="0.35">
      <c r="A7" s="12" t="s">
        <v>7</v>
      </c>
      <c r="B7" s="13">
        <v>0</v>
      </c>
      <c r="C7" s="14">
        <v>0</v>
      </c>
      <c r="D7" s="13">
        <f t="shared" si="0"/>
        <v>0</v>
      </c>
      <c r="F7" s="20" t="s">
        <v>30</v>
      </c>
      <c r="G7" s="21">
        <v>0</v>
      </c>
      <c r="H7" s="21">
        <v>63</v>
      </c>
      <c r="I7" s="21">
        <v>90</v>
      </c>
      <c r="J7" s="21">
        <v>183</v>
      </c>
      <c r="K7" s="21">
        <v>10</v>
      </c>
      <c r="L7" s="22">
        <f t="shared" si="11"/>
        <v>346</v>
      </c>
      <c r="N7" s="31" t="s">
        <v>43</v>
      </c>
      <c r="O7" s="8">
        <f>SUM(O3:O6)</f>
        <v>178509000</v>
      </c>
      <c r="Q7" s="20" t="s">
        <v>7</v>
      </c>
      <c r="R7" s="68">
        <f t="shared" ref="R7:R21" si="12">CM9</f>
        <v>0</v>
      </c>
      <c r="S7" s="69">
        <f t="shared" ref="S7:S21" si="13">CW7</f>
        <v>0</v>
      </c>
      <c r="T7" s="69">
        <f t="shared" ref="T7:T21" si="14">CN9</f>
        <v>0</v>
      </c>
      <c r="U7" s="27">
        <f t="shared" ref="U7:U21" si="15">CX7</f>
        <v>5</v>
      </c>
      <c r="V7" s="69">
        <f t="shared" ref="V7:V17" si="16">CO9</f>
        <v>0</v>
      </c>
      <c r="W7" s="27">
        <f t="shared" ref="W7:W21" si="17">CY7</f>
        <v>5</v>
      </c>
      <c r="X7" s="27">
        <f t="shared" ref="X7:X23" si="18">CP9</f>
        <v>0</v>
      </c>
      <c r="Y7" s="27">
        <f t="shared" ref="Y7:Y21" si="19">CZ7</f>
        <v>0</v>
      </c>
      <c r="Z7" s="27">
        <f t="shared" si="1"/>
        <v>0</v>
      </c>
      <c r="AA7" s="69">
        <f t="shared" si="2"/>
        <v>10</v>
      </c>
      <c r="AB7" s="4">
        <v>40000</v>
      </c>
      <c r="AC7" s="27">
        <f t="shared" si="3"/>
        <v>400000</v>
      </c>
      <c r="AE7" t="s">
        <v>42</v>
      </c>
      <c r="AF7">
        <f>GETPIVOTDATA("Sum of Qty2",$R$36,"Nama CSO","Pebrian Sahri Ramdani")+GETPIVOTDATA("SP 3GB",$AI$70,"Nama CSO","Pebrian Sahri Ramdani")</f>
        <v>328</v>
      </c>
      <c r="AG7" s="82">
        <f t="shared" si="4"/>
        <v>63</v>
      </c>
      <c r="AH7" s="82">
        <f t="shared" si="5"/>
        <v>0</v>
      </c>
      <c r="AI7" s="82">
        <f t="shared" si="6"/>
        <v>12</v>
      </c>
      <c r="AJ7" s="83">
        <f t="shared" si="7"/>
        <v>51</v>
      </c>
      <c r="AK7" s="83">
        <f t="shared" si="8"/>
        <v>63</v>
      </c>
      <c r="AL7" s="83">
        <f t="shared" si="9"/>
        <v>0</v>
      </c>
      <c r="AM7" s="83">
        <f t="shared" si="10"/>
        <v>76</v>
      </c>
      <c r="AO7" s="39">
        <v>5</v>
      </c>
      <c r="AP7" s="40">
        <v>46205</v>
      </c>
      <c r="AQ7" s="39" t="s">
        <v>204</v>
      </c>
      <c r="AR7" s="39" t="s">
        <v>184</v>
      </c>
      <c r="AS7" s="31">
        <v>17779453</v>
      </c>
      <c r="AT7" s="31" t="s">
        <v>275</v>
      </c>
      <c r="AU7" s="31" t="s">
        <v>53</v>
      </c>
      <c r="AV7" s="6">
        <v>10</v>
      </c>
      <c r="AW7" s="44">
        <v>0</v>
      </c>
      <c r="AX7" s="44">
        <v>30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</v>
      </c>
      <c r="BF7" s="44">
        <v>0</v>
      </c>
      <c r="BG7" s="44">
        <v>0</v>
      </c>
      <c r="BH7" s="44">
        <v>0</v>
      </c>
      <c r="BI7" s="44">
        <v>0</v>
      </c>
      <c r="BJ7" s="44">
        <v>0</v>
      </c>
      <c r="BK7" s="44">
        <v>0</v>
      </c>
      <c r="BL7" s="44">
        <v>0</v>
      </c>
      <c r="BM7" s="44">
        <v>0</v>
      </c>
      <c r="BN7" s="44">
        <v>10</v>
      </c>
      <c r="BO7" s="55">
        <v>750000</v>
      </c>
      <c r="BP7" s="40">
        <v>46205</v>
      </c>
      <c r="BQ7" s="39">
        <v>10</v>
      </c>
      <c r="BR7" s="59">
        <v>750000</v>
      </c>
      <c r="BS7" s="88" t="s">
        <v>109</v>
      </c>
      <c r="BT7" s="57">
        <v>0</v>
      </c>
      <c r="BU7" s="40">
        <v>46206</v>
      </c>
      <c r="BV7" s="9">
        <v>500000</v>
      </c>
      <c r="BW7" s="58"/>
      <c r="BY7" s="4">
        <v>5</v>
      </c>
      <c r="BZ7" s="6" t="s">
        <v>120</v>
      </c>
      <c r="CA7" s="4">
        <v>1</v>
      </c>
      <c r="CB7" s="7" t="s">
        <v>134</v>
      </c>
      <c r="CC7" s="7" t="s">
        <v>135</v>
      </c>
      <c r="CD7" s="7" t="s">
        <v>136</v>
      </c>
      <c r="CE7" s="4" t="s">
        <v>163</v>
      </c>
      <c r="CF7" s="8">
        <v>310000</v>
      </c>
      <c r="CG7" s="5">
        <v>46197</v>
      </c>
      <c r="CH7" s="5">
        <v>46212</v>
      </c>
      <c r="CI7" s="4" t="s">
        <v>284</v>
      </c>
      <c r="CJ7" s="5"/>
      <c r="CL7" t="s">
        <v>29</v>
      </c>
      <c r="CM7" s="70">
        <v>0</v>
      </c>
      <c r="CN7" s="70">
        <v>0</v>
      </c>
      <c r="CO7" s="70">
        <v>0</v>
      </c>
      <c r="CP7" s="70">
        <v>0</v>
      </c>
      <c r="CQ7">
        <v>0</v>
      </c>
      <c r="CR7" t="s">
        <v>28</v>
      </c>
      <c r="CS7" s="1">
        <v>30000</v>
      </c>
      <c r="CT7" t="s">
        <v>28</v>
      </c>
      <c r="CV7" t="s">
        <v>7</v>
      </c>
      <c r="CW7">
        <v>0</v>
      </c>
      <c r="CX7">
        <v>5</v>
      </c>
      <c r="CY7">
        <v>5</v>
      </c>
      <c r="CZ7">
        <v>0</v>
      </c>
      <c r="DB7">
        <v>0</v>
      </c>
      <c r="DC7">
        <v>30000</v>
      </c>
      <c r="DD7">
        <v>0</v>
      </c>
      <c r="DF7" t="s">
        <v>7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5</v>
      </c>
      <c r="DN7">
        <v>0</v>
      </c>
      <c r="DO7">
        <v>0</v>
      </c>
      <c r="DP7">
        <v>5</v>
      </c>
      <c r="DQ7">
        <v>5</v>
      </c>
      <c r="DR7">
        <v>0</v>
      </c>
      <c r="DS7">
        <v>0</v>
      </c>
      <c r="DT7">
        <v>0</v>
      </c>
      <c r="DU7">
        <v>5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40000</v>
      </c>
      <c r="EC7">
        <v>0</v>
      </c>
    </row>
    <row r="8" spans="1:133" x14ac:dyDescent="0.35">
      <c r="A8" s="12" t="s">
        <v>205</v>
      </c>
      <c r="B8" s="13">
        <v>746</v>
      </c>
      <c r="C8" s="14">
        <v>0</v>
      </c>
      <c r="D8" s="13">
        <f t="shared" si="0"/>
        <v>746</v>
      </c>
      <c r="F8" s="20" t="s">
        <v>7</v>
      </c>
      <c r="G8" s="21">
        <v>0</v>
      </c>
      <c r="H8" s="21">
        <v>0</v>
      </c>
      <c r="I8" s="21">
        <v>0</v>
      </c>
      <c r="J8" s="21">
        <v>5</v>
      </c>
      <c r="K8" s="21">
        <v>0</v>
      </c>
      <c r="L8" s="22">
        <f t="shared" si="11"/>
        <v>5</v>
      </c>
      <c r="Q8" s="20" t="s">
        <v>205</v>
      </c>
      <c r="R8" s="68">
        <f t="shared" si="12"/>
        <v>0</v>
      </c>
      <c r="S8" s="69">
        <f>AM5</f>
        <v>24</v>
      </c>
      <c r="T8" s="69">
        <f t="shared" si="14"/>
        <v>0</v>
      </c>
      <c r="U8" s="87">
        <f>AM4</f>
        <v>31</v>
      </c>
      <c r="V8" s="69">
        <f t="shared" si="16"/>
        <v>0</v>
      </c>
      <c r="W8" s="87">
        <f>AM6</f>
        <v>33</v>
      </c>
      <c r="X8" s="27">
        <f t="shared" si="18"/>
        <v>0</v>
      </c>
      <c r="Y8" s="87">
        <f>AM7</f>
        <v>76</v>
      </c>
      <c r="Z8" s="27">
        <f t="shared" si="1"/>
        <v>0</v>
      </c>
      <c r="AA8" s="69">
        <f t="shared" si="2"/>
        <v>164</v>
      </c>
      <c r="AB8" s="19"/>
      <c r="AC8" s="27">
        <f t="shared" si="3"/>
        <v>0</v>
      </c>
      <c r="AF8">
        <v>200</v>
      </c>
      <c r="AG8">
        <v>348</v>
      </c>
      <c r="AH8" s="28">
        <v>48</v>
      </c>
      <c r="AI8" s="28">
        <v>219</v>
      </c>
      <c r="AJ8">
        <v>129</v>
      </c>
      <c r="AK8">
        <v>300</v>
      </c>
      <c r="AL8">
        <v>300</v>
      </c>
      <c r="AM8">
        <v>300</v>
      </c>
      <c r="AO8" s="39">
        <v>6</v>
      </c>
      <c r="AP8" s="40">
        <v>46205</v>
      </c>
      <c r="AQ8" s="39" t="s">
        <v>204</v>
      </c>
      <c r="AR8" s="39" t="s">
        <v>184</v>
      </c>
      <c r="AS8" s="31">
        <v>1555825</v>
      </c>
      <c r="AT8" s="31" t="s">
        <v>252</v>
      </c>
      <c r="AU8" s="31" t="s">
        <v>42</v>
      </c>
      <c r="AV8" s="6">
        <v>7</v>
      </c>
      <c r="AW8" s="44">
        <v>0</v>
      </c>
      <c r="AX8" s="44">
        <v>21</v>
      </c>
      <c r="AY8" s="44">
        <v>0</v>
      </c>
      <c r="AZ8" s="44">
        <v>0</v>
      </c>
      <c r="BA8" s="44">
        <v>0</v>
      </c>
      <c r="BB8" s="44">
        <v>0</v>
      </c>
      <c r="BC8" s="44">
        <v>0</v>
      </c>
      <c r="BD8" s="44">
        <v>0</v>
      </c>
      <c r="BE8" s="44">
        <v>0</v>
      </c>
      <c r="BF8" s="44">
        <v>0</v>
      </c>
      <c r="BG8" s="44">
        <v>0</v>
      </c>
      <c r="BH8" s="44">
        <v>0</v>
      </c>
      <c r="BI8" s="44">
        <v>0</v>
      </c>
      <c r="BJ8" s="44">
        <v>0</v>
      </c>
      <c r="BK8" s="44">
        <v>0</v>
      </c>
      <c r="BL8" s="44">
        <v>0</v>
      </c>
      <c r="BM8" s="44">
        <v>0</v>
      </c>
      <c r="BN8" s="44">
        <v>7</v>
      </c>
      <c r="BO8" s="55">
        <v>525000</v>
      </c>
      <c r="BP8" s="40">
        <v>46205</v>
      </c>
      <c r="BQ8" s="39">
        <v>7</v>
      </c>
      <c r="BR8" s="59">
        <v>525000</v>
      </c>
      <c r="BS8" s="88" t="s">
        <v>109</v>
      </c>
      <c r="BT8" s="57">
        <v>0</v>
      </c>
      <c r="BU8" s="40">
        <v>46206</v>
      </c>
      <c r="BV8" s="9">
        <v>200000</v>
      </c>
      <c r="BW8" s="58"/>
      <c r="BY8" s="4">
        <v>6</v>
      </c>
      <c r="BZ8" s="6" t="s">
        <v>120</v>
      </c>
      <c r="CA8" s="4">
        <v>1</v>
      </c>
      <c r="CB8" s="7" t="s">
        <v>137</v>
      </c>
      <c r="CC8" s="7" t="s">
        <v>138</v>
      </c>
      <c r="CD8" s="7" t="s">
        <v>139</v>
      </c>
      <c r="CE8" s="4" t="s">
        <v>22</v>
      </c>
      <c r="CF8" s="8"/>
      <c r="CG8" s="5">
        <v>46197</v>
      </c>
      <c r="CH8" s="5"/>
      <c r="CI8" s="4" t="s">
        <v>162</v>
      </c>
      <c r="CJ8" s="5"/>
      <c r="CL8" t="s">
        <v>30</v>
      </c>
      <c r="CM8" s="70">
        <v>0</v>
      </c>
      <c r="CN8" s="70">
        <v>0</v>
      </c>
      <c r="CO8" s="70">
        <v>0</v>
      </c>
      <c r="CP8" s="70">
        <v>0</v>
      </c>
      <c r="CQ8">
        <v>0</v>
      </c>
      <c r="CR8">
        <v>75</v>
      </c>
      <c r="CS8" s="1">
        <v>25000</v>
      </c>
      <c r="CT8" s="1">
        <v>1875000</v>
      </c>
      <c r="CV8" t="s">
        <v>205</v>
      </c>
      <c r="CW8">
        <v>0</v>
      </c>
      <c r="CX8">
        <v>0</v>
      </c>
      <c r="CY8">
        <v>0</v>
      </c>
      <c r="CZ8">
        <v>0</v>
      </c>
      <c r="DB8">
        <v>0</v>
      </c>
      <c r="DD8">
        <v>0</v>
      </c>
      <c r="DF8" t="s">
        <v>205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40000</v>
      </c>
      <c r="EC8">
        <v>0</v>
      </c>
    </row>
    <row r="9" spans="1:133" x14ac:dyDescent="0.35">
      <c r="A9" s="12"/>
      <c r="B9" s="13">
        <v>0</v>
      </c>
      <c r="C9" s="14">
        <v>0</v>
      </c>
      <c r="D9" s="13">
        <f t="shared" si="0"/>
        <v>0</v>
      </c>
      <c r="F9" s="20"/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2">
        <f t="shared" si="11"/>
        <v>0</v>
      </c>
      <c r="N9" s="32"/>
      <c r="O9">
        <v>2500000</v>
      </c>
      <c r="Q9" s="20"/>
      <c r="R9" s="68">
        <f t="shared" si="12"/>
        <v>0</v>
      </c>
      <c r="S9" s="69">
        <f t="shared" si="13"/>
        <v>9</v>
      </c>
      <c r="T9" s="69">
        <f t="shared" si="14"/>
        <v>0</v>
      </c>
      <c r="U9" s="27">
        <f t="shared" si="15"/>
        <v>65</v>
      </c>
      <c r="V9" s="69">
        <f t="shared" si="16"/>
        <v>0</v>
      </c>
      <c r="W9" s="27">
        <f t="shared" si="17"/>
        <v>90</v>
      </c>
      <c r="X9" s="27">
        <f t="shared" si="18"/>
        <v>0</v>
      </c>
      <c r="Y9" s="27">
        <f t="shared" si="19"/>
        <v>0</v>
      </c>
      <c r="Z9" s="27">
        <f t="shared" si="1"/>
        <v>0</v>
      </c>
      <c r="AA9" s="69">
        <f t="shared" si="2"/>
        <v>164</v>
      </c>
      <c r="AB9" s="4"/>
      <c r="AC9" s="27">
        <f t="shared" si="3"/>
        <v>0</v>
      </c>
      <c r="AO9" s="39">
        <v>7</v>
      </c>
      <c r="AP9" s="40">
        <v>46207</v>
      </c>
      <c r="AQ9" s="39" t="s">
        <v>204</v>
      </c>
      <c r="AR9" s="39" t="s">
        <v>184</v>
      </c>
      <c r="AS9" s="31">
        <v>17678324</v>
      </c>
      <c r="AT9" s="31" t="s">
        <v>276</v>
      </c>
      <c r="AU9" s="43" t="s">
        <v>53</v>
      </c>
      <c r="AV9" s="6">
        <v>6</v>
      </c>
      <c r="AW9" s="44">
        <v>0</v>
      </c>
      <c r="AX9" s="44">
        <v>18</v>
      </c>
      <c r="AY9" s="44">
        <v>0</v>
      </c>
      <c r="AZ9" s="44">
        <v>0</v>
      </c>
      <c r="BA9" s="44">
        <v>0</v>
      </c>
      <c r="BB9" s="44">
        <v>0</v>
      </c>
      <c r="BC9" s="44">
        <v>0</v>
      </c>
      <c r="BD9" s="44">
        <v>0</v>
      </c>
      <c r="BE9" s="44">
        <v>0</v>
      </c>
      <c r="BF9" s="44">
        <v>0</v>
      </c>
      <c r="BG9" s="44">
        <v>0</v>
      </c>
      <c r="BH9" s="44">
        <v>0</v>
      </c>
      <c r="BI9" s="44">
        <v>0</v>
      </c>
      <c r="BJ9" s="44">
        <v>0</v>
      </c>
      <c r="BK9" s="44">
        <v>0</v>
      </c>
      <c r="BL9" s="44">
        <v>0</v>
      </c>
      <c r="BM9" s="44">
        <v>0</v>
      </c>
      <c r="BN9" s="44">
        <v>6</v>
      </c>
      <c r="BO9" s="55">
        <v>450000</v>
      </c>
      <c r="BP9" s="40">
        <v>46207</v>
      </c>
      <c r="BQ9" s="39">
        <v>6</v>
      </c>
      <c r="BR9" s="55">
        <v>450000</v>
      </c>
      <c r="BS9" s="88" t="s">
        <v>109</v>
      </c>
      <c r="BT9" s="57">
        <v>0</v>
      </c>
      <c r="BU9" s="40">
        <v>46209</v>
      </c>
      <c r="BV9" s="9">
        <v>800000</v>
      </c>
      <c r="BW9" s="58"/>
      <c r="BY9" s="4">
        <v>7</v>
      </c>
      <c r="BZ9" s="6" t="s">
        <v>120</v>
      </c>
      <c r="CA9" s="4">
        <v>1</v>
      </c>
      <c r="CB9" s="7" t="s">
        <v>140</v>
      </c>
      <c r="CC9" s="7" t="s">
        <v>141</v>
      </c>
      <c r="CD9" s="7" t="s">
        <v>142</v>
      </c>
      <c r="CE9" s="4" t="s">
        <v>24</v>
      </c>
      <c r="CF9" s="8">
        <v>310000</v>
      </c>
      <c r="CG9" s="5">
        <v>46197</v>
      </c>
      <c r="CH9" s="5">
        <v>46205</v>
      </c>
      <c r="CI9" s="4" t="s">
        <v>284</v>
      </c>
      <c r="CJ9" s="5"/>
      <c r="CL9" t="s">
        <v>7</v>
      </c>
      <c r="CM9" s="70">
        <v>0</v>
      </c>
      <c r="CN9" s="70">
        <v>0</v>
      </c>
      <c r="CO9" s="70">
        <v>0</v>
      </c>
      <c r="CP9" s="70">
        <v>0</v>
      </c>
      <c r="CQ9">
        <v>0</v>
      </c>
      <c r="CR9" t="s">
        <v>28</v>
      </c>
      <c r="CS9" s="1">
        <v>40000</v>
      </c>
      <c r="CT9" t="s">
        <v>28</v>
      </c>
      <c r="CW9">
        <v>9</v>
      </c>
      <c r="CX9">
        <v>65</v>
      </c>
      <c r="CY9">
        <v>90</v>
      </c>
      <c r="CZ9">
        <v>0</v>
      </c>
      <c r="DB9">
        <v>0</v>
      </c>
      <c r="DD9">
        <v>0</v>
      </c>
      <c r="DF9" t="s">
        <v>206</v>
      </c>
      <c r="DG9">
        <v>0</v>
      </c>
      <c r="DH9">
        <v>0</v>
      </c>
      <c r="DI9">
        <v>0</v>
      </c>
      <c r="DJ9">
        <v>0</v>
      </c>
      <c r="DK9">
        <v>9</v>
      </c>
      <c r="DL9">
        <v>0</v>
      </c>
      <c r="DM9">
        <v>0</v>
      </c>
      <c r="DN9">
        <v>0</v>
      </c>
      <c r="DO9">
        <v>0</v>
      </c>
      <c r="DP9">
        <v>70</v>
      </c>
      <c r="DQ9">
        <v>0</v>
      </c>
      <c r="DR9">
        <v>0</v>
      </c>
      <c r="DS9">
        <v>0</v>
      </c>
      <c r="DT9">
        <v>0</v>
      </c>
      <c r="DU9">
        <v>95</v>
      </c>
      <c r="DV9">
        <v>0</v>
      </c>
      <c r="DW9">
        <v>0</v>
      </c>
      <c r="DX9">
        <v>0</v>
      </c>
      <c r="DY9">
        <v>0</v>
      </c>
      <c r="DZ9">
        <v>0</v>
      </c>
      <c r="EA9">
        <v>721</v>
      </c>
      <c r="EC9">
        <v>17339000</v>
      </c>
    </row>
    <row r="10" spans="1:133" x14ac:dyDescent="0.35">
      <c r="A10" s="12" t="s">
        <v>8</v>
      </c>
      <c r="B10" s="13">
        <v>7649</v>
      </c>
      <c r="C10" s="14">
        <v>0</v>
      </c>
      <c r="D10" s="13">
        <f t="shared" si="0"/>
        <v>7649</v>
      </c>
      <c r="F10" s="23"/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2">
        <f t="shared" si="11"/>
        <v>0</v>
      </c>
      <c r="O10">
        <v>6550000</v>
      </c>
      <c r="Q10" s="20" t="s">
        <v>8</v>
      </c>
      <c r="R10" s="68">
        <f t="shared" si="12"/>
        <v>0</v>
      </c>
      <c r="S10" s="69">
        <f t="shared" si="13"/>
        <v>238</v>
      </c>
      <c r="T10" s="69">
        <f t="shared" si="14"/>
        <v>0</v>
      </c>
      <c r="U10" s="27">
        <f t="shared" si="15"/>
        <v>600</v>
      </c>
      <c r="V10" s="69">
        <f t="shared" si="16"/>
        <v>0</v>
      </c>
      <c r="W10" s="27">
        <f t="shared" si="17"/>
        <v>189</v>
      </c>
      <c r="X10" s="27">
        <f t="shared" si="18"/>
        <v>0</v>
      </c>
      <c r="Y10" s="27">
        <f t="shared" si="19"/>
        <v>600</v>
      </c>
      <c r="Z10" s="27">
        <f t="shared" si="1"/>
        <v>0</v>
      </c>
      <c r="AA10" s="69">
        <f t="shared" si="2"/>
        <v>1627</v>
      </c>
      <c r="AB10" s="4">
        <v>600</v>
      </c>
      <c r="AC10" s="27">
        <f t="shared" si="3"/>
        <v>976200</v>
      </c>
      <c r="AE10" t="s">
        <v>77</v>
      </c>
      <c r="AO10" s="39">
        <v>8</v>
      </c>
      <c r="AP10" s="40">
        <v>46207</v>
      </c>
      <c r="AQ10" s="39" t="s">
        <v>204</v>
      </c>
      <c r="AR10" s="39" t="s">
        <v>184</v>
      </c>
      <c r="AS10" s="31">
        <v>17769860</v>
      </c>
      <c r="AT10" s="31" t="s">
        <v>277</v>
      </c>
      <c r="AU10" s="4" t="s">
        <v>273</v>
      </c>
      <c r="AV10" s="6">
        <v>5</v>
      </c>
      <c r="AW10" s="44">
        <v>0</v>
      </c>
      <c r="AX10" s="44">
        <v>15</v>
      </c>
      <c r="AY10" s="44">
        <v>0</v>
      </c>
      <c r="AZ10" s="44">
        <v>0</v>
      </c>
      <c r="BA10" s="44">
        <v>0</v>
      </c>
      <c r="BB10" s="44">
        <v>0</v>
      </c>
      <c r="BC10" s="44">
        <v>0</v>
      </c>
      <c r="BD10" s="44">
        <v>0</v>
      </c>
      <c r="BE10" s="44"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0</v>
      </c>
      <c r="BK10" s="44">
        <v>0</v>
      </c>
      <c r="BL10" s="44">
        <v>0</v>
      </c>
      <c r="BM10" s="44">
        <v>0</v>
      </c>
      <c r="BN10" s="44">
        <v>5</v>
      </c>
      <c r="BO10" s="55">
        <v>375000</v>
      </c>
      <c r="BP10" s="40">
        <v>46207</v>
      </c>
      <c r="BQ10" s="39">
        <v>5</v>
      </c>
      <c r="BR10" s="55">
        <v>375000</v>
      </c>
      <c r="BS10" s="88" t="s">
        <v>109</v>
      </c>
      <c r="BT10" s="57">
        <v>0</v>
      </c>
      <c r="BU10" s="40">
        <v>46209</v>
      </c>
      <c r="BV10" s="9">
        <v>800000</v>
      </c>
      <c r="BW10" s="58"/>
      <c r="BY10" s="4">
        <v>8</v>
      </c>
      <c r="BZ10" s="6" t="s">
        <v>120</v>
      </c>
      <c r="CA10" s="4">
        <v>1</v>
      </c>
      <c r="CB10" s="7" t="s">
        <v>143</v>
      </c>
      <c r="CC10" s="7" t="s">
        <v>144</v>
      </c>
      <c r="CD10" s="7" t="s">
        <v>145</v>
      </c>
      <c r="CE10" s="4" t="s">
        <v>25</v>
      </c>
      <c r="CF10" s="8"/>
      <c r="CG10" s="5">
        <v>46197</v>
      </c>
      <c r="CH10" s="5"/>
      <c r="CI10" s="4" t="s">
        <v>162</v>
      </c>
      <c r="CJ10" s="5"/>
      <c r="CL10" t="s">
        <v>205</v>
      </c>
      <c r="CM10" s="70"/>
      <c r="CN10" s="70"/>
      <c r="CO10" s="70"/>
      <c r="CP10" s="70"/>
      <c r="CR10" t="s">
        <v>28</v>
      </c>
      <c r="CT10" t="s">
        <v>28</v>
      </c>
      <c r="CV10" t="s">
        <v>8</v>
      </c>
      <c r="CW10">
        <v>238</v>
      </c>
      <c r="CX10">
        <v>600</v>
      </c>
      <c r="CY10">
        <v>189</v>
      </c>
      <c r="CZ10">
        <v>600</v>
      </c>
      <c r="DB10">
        <v>70</v>
      </c>
      <c r="DC10">
        <v>600</v>
      </c>
      <c r="DD10">
        <v>42000</v>
      </c>
      <c r="EC10">
        <v>0</v>
      </c>
    </row>
    <row r="11" spans="1:133" x14ac:dyDescent="0.35">
      <c r="A11" s="12" t="s">
        <v>9</v>
      </c>
      <c r="B11" s="13">
        <v>0</v>
      </c>
      <c r="C11" s="14">
        <v>97</v>
      </c>
      <c r="D11" s="13">
        <f t="shared" si="0"/>
        <v>97</v>
      </c>
      <c r="F11" s="20" t="s">
        <v>8</v>
      </c>
      <c r="G11" s="21">
        <v>100</v>
      </c>
      <c r="H11" s="21">
        <v>300</v>
      </c>
      <c r="I11" s="21">
        <v>44</v>
      </c>
      <c r="J11" s="21">
        <v>150</v>
      </c>
      <c r="K11" s="21">
        <v>0</v>
      </c>
      <c r="L11" s="22">
        <f t="shared" si="11"/>
        <v>594</v>
      </c>
      <c r="O11">
        <v>4100000</v>
      </c>
      <c r="Q11" s="20" t="s">
        <v>31</v>
      </c>
      <c r="R11" s="68">
        <f>CM13+AH20</f>
        <v>0</v>
      </c>
      <c r="S11" s="69">
        <f>CW11+AH5</f>
        <v>0</v>
      </c>
      <c r="T11" s="69">
        <f>CN13+AH19</f>
        <v>0</v>
      </c>
      <c r="U11" s="27">
        <f>CX11+AH4</f>
        <v>27</v>
      </c>
      <c r="V11" s="69">
        <f>CO13+AH21</f>
        <v>0</v>
      </c>
      <c r="W11" s="27">
        <f>CY11+AH6</f>
        <v>25</v>
      </c>
      <c r="X11" s="69">
        <f>CP13+AH22</f>
        <v>0</v>
      </c>
      <c r="Y11" s="27">
        <f>CZ11+AH7</f>
        <v>4</v>
      </c>
      <c r="Z11" s="27">
        <f t="shared" si="1"/>
        <v>0</v>
      </c>
      <c r="AA11" s="69">
        <f t="shared" si="2"/>
        <v>56</v>
      </c>
      <c r="AB11" s="4">
        <v>22500</v>
      </c>
      <c r="AC11" s="27">
        <f t="shared" si="3"/>
        <v>1260000</v>
      </c>
      <c r="AE11" t="s">
        <v>55</v>
      </c>
      <c r="AF11" t="s">
        <v>51</v>
      </c>
      <c r="AG11" t="s">
        <v>52</v>
      </c>
      <c r="AH11" t="s">
        <v>56</v>
      </c>
      <c r="AI11" t="s">
        <v>57</v>
      </c>
      <c r="AJ11" t="s">
        <v>203</v>
      </c>
      <c r="AK11" t="s">
        <v>108</v>
      </c>
      <c r="AL11" t="s">
        <v>27</v>
      </c>
      <c r="AO11" s="39">
        <v>9</v>
      </c>
      <c r="AP11" s="40">
        <v>46207</v>
      </c>
      <c r="AQ11" s="39" t="s">
        <v>204</v>
      </c>
      <c r="AR11" s="39" t="s">
        <v>184</v>
      </c>
      <c r="AS11" s="31">
        <v>1555825</v>
      </c>
      <c r="AT11" s="31" t="s">
        <v>252</v>
      </c>
      <c r="AU11" s="4" t="s">
        <v>42</v>
      </c>
      <c r="AV11" s="6">
        <v>7</v>
      </c>
      <c r="AW11" s="44">
        <v>0</v>
      </c>
      <c r="AX11" s="44">
        <v>21</v>
      </c>
      <c r="AY11" s="44">
        <v>0</v>
      </c>
      <c r="AZ11" s="44">
        <v>0</v>
      </c>
      <c r="BA11" s="44">
        <v>0</v>
      </c>
      <c r="BB11" s="44">
        <v>0</v>
      </c>
      <c r="BC11" s="44">
        <v>0</v>
      </c>
      <c r="BD11" s="44">
        <v>0</v>
      </c>
      <c r="BE11" s="44"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0</v>
      </c>
      <c r="BK11" s="44">
        <v>0</v>
      </c>
      <c r="BL11" s="44">
        <v>0</v>
      </c>
      <c r="BM11" s="44">
        <v>0</v>
      </c>
      <c r="BN11" s="44">
        <v>7</v>
      </c>
      <c r="BO11" s="55">
        <v>525000</v>
      </c>
      <c r="BP11" s="40">
        <v>46207</v>
      </c>
      <c r="BQ11" s="39">
        <v>7</v>
      </c>
      <c r="BR11" s="55">
        <v>525000</v>
      </c>
      <c r="BS11" s="88" t="s">
        <v>109</v>
      </c>
      <c r="BT11" s="57">
        <v>0</v>
      </c>
      <c r="BU11" s="40">
        <v>46209</v>
      </c>
      <c r="BV11" s="9">
        <v>200000</v>
      </c>
      <c r="BW11" s="58"/>
      <c r="BY11" s="4">
        <v>9</v>
      </c>
      <c r="BZ11" s="6" t="s">
        <v>120</v>
      </c>
      <c r="CA11" s="4">
        <v>1</v>
      </c>
      <c r="CB11" s="7" t="s">
        <v>207</v>
      </c>
      <c r="CC11" s="7" t="s">
        <v>208</v>
      </c>
      <c r="CD11" s="7" t="s">
        <v>209</v>
      </c>
      <c r="CE11" s="4" t="s">
        <v>210</v>
      </c>
      <c r="CF11" s="8"/>
      <c r="CG11" s="5">
        <v>46198</v>
      </c>
      <c r="CH11" s="5"/>
      <c r="CI11" s="4" t="s">
        <v>162</v>
      </c>
      <c r="CJ11" s="5"/>
      <c r="CM11" s="70"/>
      <c r="CN11" s="70"/>
      <c r="CO11" s="70"/>
      <c r="CP11" s="70"/>
      <c r="CR11" t="s">
        <v>28</v>
      </c>
      <c r="CT11" t="s">
        <v>28</v>
      </c>
      <c r="CV11" t="s">
        <v>31</v>
      </c>
      <c r="CW11">
        <v>0</v>
      </c>
      <c r="CX11">
        <v>0</v>
      </c>
      <c r="CY11">
        <v>4</v>
      </c>
      <c r="CZ11">
        <v>4</v>
      </c>
      <c r="DB11">
        <v>0</v>
      </c>
      <c r="DC11">
        <v>22500</v>
      </c>
      <c r="DD11">
        <v>0</v>
      </c>
      <c r="DF11" t="s">
        <v>84</v>
      </c>
    </row>
    <row r="12" spans="1:133" x14ac:dyDescent="0.35">
      <c r="A12" s="12" t="s">
        <v>10</v>
      </c>
      <c r="B12" s="13">
        <v>300</v>
      </c>
      <c r="C12" s="14">
        <v>815</v>
      </c>
      <c r="D12" s="13">
        <f>C12+B12</f>
        <v>1115</v>
      </c>
      <c r="F12" s="20" t="s">
        <v>31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2">
        <f t="shared" si="11"/>
        <v>0</v>
      </c>
      <c r="O12">
        <v>3350000</v>
      </c>
      <c r="Q12" s="20" t="s">
        <v>32</v>
      </c>
      <c r="R12" s="68">
        <f>CM14+AI20</f>
        <v>0</v>
      </c>
      <c r="S12" s="69">
        <f>CW12+AI5</f>
        <v>99</v>
      </c>
      <c r="T12" s="69">
        <f>CN14+AI19</f>
        <v>0</v>
      </c>
      <c r="U12" s="27">
        <f>CX12+AI4</f>
        <v>245</v>
      </c>
      <c r="V12" s="69">
        <f>CO14+AI21</f>
        <v>3</v>
      </c>
      <c r="W12" s="27">
        <f>CY12+AI6</f>
        <v>131</v>
      </c>
      <c r="X12" s="69">
        <f>CP14+AI22</f>
        <v>0</v>
      </c>
      <c r="Y12" s="27">
        <f>CZ12+AI7</f>
        <v>22</v>
      </c>
      <c r="Z12" s="27">
        <f t="shared" si="1"/>
        <v>3</v>
      </c>
      <c r="AA12" s="69">
        <f t="shared" si="2"/>
        <v>497</v>
      </c>
      <c r="AB12" s="4">
        <v>13500</v>
      </c>
      <c r="AC12" s="27">
        <f t="shared" si="3"/>
        <v>6709500</v>
      </c>
      <c r="AE12" t="s">
        <v>58</v>
      </c>
      <c r="AF12" t="s">
        <v>53</v>
      </c>
      <c r="AG12">
        <f>GETPIVOTDATA("Sum of QTY",$R$36,"Nama CSO","Muhamad Parhan")</f>
        <v>125</v>
      </c>
      <c r="AH12">
        <f>15000*AG12</f>
        <v>1875000</v>
      </c>
      <c r="AI12">
        <f>AF4*15000</f>
        <v>3285000</v>
      </c>
      <c r="AJ12">
        <f>GETPIVOTDATA("Sum of Qty2",$R$36,"Nama CSO","Muhamad Parhan")-1</f>
        <v>125</v>
      </c>
      <c r="AK12">
        <f>AG12-AJ12</f>
        <v>0</v>
      </c>
      <c r="AL12">
        <f>AJ12+AK12</f>
        <v>125</v>
      </c>
      <c r="AO12" s="39">
        <v>10</v>
      </c>
      <c r="AP12" s="40">
        <v>46209</v>
      </c>
      <c r="AQ12" s="39" t="s">
        <v>204</v>
      </c>
      <c r="AR12" s="39" t="s">
        <v>184</v>
      </c>
      <c r="AS12" s="31">
        <v>1287331</v>
      </c>
      <c r="AT12" s="31" t="s">
        <v>278</v>
      </c>
      <c r="AU12" s="31" t="s">
        <v>273</v>
      </c>
      <c r="AV12" s="6">
        <v>2</v>
      </c>
      <c r="AW12" s="44">
        <v>0</v>
      </c>
      <c r="AX12" s="44">
        <v>6</v>
      </c>
      <c r="AY12" s="44">
        <v>0</v>
      </c>
      <c r="AZ12" s="44">
        <v>0</v>
      </c>
      <c r="BA12" s="44">
        <v>0</v>
      </c>
      <c r="BB12" s="44">
        <v>0</v>
      </c>
      <c r="BC12" s="44">
        <v>0</v>
      </c>
      <c r="BD12" s="44">
        <v>0</v>
      </c>
      <c r="BE12" s="44"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0</v>
      </c>
      <c r="BK12" s="44">
        <v>0</v>
      </c>
      <c r="BL12" s="44">
        <v>0</v>
      </c>
      <c r="BM12" s="44">
        <v>0</v>
      </c>
      <c r="BN12" s="44">
        <v>2</v>
      </c>
      <c r="BO12" s="55">
        <v>150000</v>
      </c>
      <c r="BP12" s="40">
        <v>46209</v>
      </c>
      <c r="BQ12" s="39">
        <v>2</v>
      </c>
      <c r="BR12" s="59">
        <v>150000</v>
      </c>
      <c r="BS12" s="88" t="s">
        <v>109</v>
      </c>
      <c r="BT12" s="57">
        <v>0</v>
      </c>
      <c r="BU12" s="60">
        <v>46210</v>
      </c>
      <c r="BV12" s="9">
        <v>2600000</v>
      </c>
      <c r="BW12" s="58"/>
      <c r="BY12" s="4">
        <v>10</v>
      </c>
      <c r="BZ12" s="6" t="s">
        <v>120</v>
      </c>
      <c r="CA12" s="4">
        <v>1</v>
      </c>
      <c r="CB12" s="7" t="s">
        <v>211</v>
      </c>
      <c r="CC12" s="7" t="s">
        <v>212</v>
      </c>
      <c r="CD12" s="7" t="s">
        <v>213</v>
      </c>
      <c r="CE12" s="4" t="s">
        <v>210</v>
      </c>
      <c r="CF12" s="9"/>
      <c r="CG12" s="5">
        <v>46203</v>
      </c>
      <c r="CH12" s="5"/>
      <c r="CI12" s="4" t="s">
        <v>124</v>
      </c>
      <c r="CJ12" s="5"/>
      <c r="CL12" t="s">
        <v>8</v>
      </c>
      <c r="CM12" s="70">
        <v>0</v>
      </c>
      <c r="CN12" s="70">
        <v>0</v>
      </c>
      <c r="CO12" s="70">
        <v>0</v>
      </c>
      <c r="CP12" s="70">
        <v>0</v>
      </c>
      <c r="CQ12">
        <v>0</v>
      </c>
      <c r="CR12" t="s">
        <v>28</v>
      </c>
      <c r="CS12">
        <v>600</v>
      </c>
      <c r="CT12" t="s">
        <v>28</v>
      </c>
      <c r="CV12" t="s">
        <v>32</v>
      </c>
      <c r="CW12">
        <v>12</v>
      </c>
      <c r="CX12">
        <v>116</v>
      </c>
      <c r="CY12">
        <v>86</v>
      </c>
      <c r="CZ12">
        <v>10</v>
      </c>
      <c r="DB12">
        <v>171</v>
      </c>
      <c r="DC12">
        <v>13500</v>
      </c>
      <c r="DD12">
        <v>2308500</v>
      </c>
      <c r="DF12" t="s">
        <v>8</v>
      </c>
      <c r="DG12">
        <v>138</v>
      </c>
      <c r="DH12">
        <v>100</v>
      </c>
      <c r="DI12">
        <v>0</v>
      </c>
      <c r="DJ12">
        <v>0</v>
      </c>
      <c r="DK12">
        <v>238</v>
      </c>
      <c r="DL12">
        <v>450</v>
      </c>
      <c r="DM12">
        <v>150</v>
      </c>
      <c r="DN12">
        <v>0</v>
      </c>
      <c r="DO12">
        <v>0</v>
      </c>
      <c r="DP12">
        <v>600</v>
      </c>
      <c r="DQ12">
        <v>162</v>
      </c>
      <c r="DR12">
        <v>27</v>
      </c>
      <c r="DS12">
        <v>0</v>
      </c>
      <c r="DT12">
        <v>0</v>
      </c>
      <c r="DU12">
        <v>189</v>
      </c>
      <c r="DV12">
        <v>150</v>
      </c>
      <c r="DW12">
        <v>450</v>
      </c>
      <c r="DX12">
        <v>0</v>
      </c>
      <c r="DY12">
        <v>0</v>
      </c>
      <c r="DZ12">
        <v>600</v>
      </c>
      <c r="EA12">
        <v>105</v>
      </c>
      <c r="EB12">
        <v>600</v>
      </c>
      <c r="EC12">
        <v>63000</v>
      </c>
    </row>
    <row r="13" spans="1:133" x14ac:dyDescent="0.35">
      <c r="A13" s="12" t="s">
        <v>11</v>
      </c>
      <c r="B13" s="13">
        <v>0</v>
      </c>
      <c r="C13" s="14">
        <v>0</v>
      </c>
      <c r="D13" s="13">
        <f t="shared" si="0"/>
        <v>0</v>
      </c>
      <c r="F13" s="20" t="s">
        <v>32</v>
      </c>
      <c r="G13" s="21">
        <v>96</v>
      </c>
      <c r="H13" s="21">
        <v>104</v>
      </c>
      <c r="I13" s="21">
        <v>68</v>
      </c>
      <c r="J13" s="21">
        <v>202</v>
      </c>
      <c r="K13" s="21">
        <v>18</v>
      </c>
      <c r="L13" s="22">
        <f t="shared" si="11"/>
        <v>488</v>
      </c>
      <c r="Q13" s="20" t="s">
        <v>33</v>
      </c>
      <c r="R13" s="68">
        <f t="shared" si="12"/>
        <v>0</v>
      </c>
      <c r="S13" s="69">
        <f t="shared" si="13"/>
        <v>0</v>
      </c>
      <c r="T13" s="69">
        <f t="shared" si="14"/>
        <v>0</v>
      </c>
      <c r="U13" s="27">
        <f t="shared" si="15"/>
        <v>0</v>
      </c>
      <c r="V13" s="69">
        <f t="shared" si="16"/>
        <v>0</v>
      </c>
      <c r="W13" s="27">
        <f t="shared" si="17"/>
        <v>0</v>
      </c>
      <c r="X13" s="27">
        <f t="shared" si="18"/>
        <v>0</v>
      </c>
      <c r="Y13" s="27">
        <f t="shared" si="19"/>
        <v>0</v>
      </c>
      <c r="Z13" s="27">
        <f t="shared" si="1"/>
        <v>0</v>
      </c>
      <c r="AA13" s="69">
        <f t="shared" si="2"/>
        <v>0</v>
      </c>
      <c r="AB13" s="4">
        <v>20000</v>
      </c>
      <c r="AC13" s="27">
        <f t="shared" si="3"/>
        <v>0</v>
      </c>
      <c r="AE13" t="s">
        <v>59</v>
      </c>
      <c r="AF13" t="s">
        <v>54</v>
      </c>
      <c r="AG13">
        <f>GETPIVOTDATA("Sum of QTY",$R$36,"Nama CSO","Andi Sutiawan")</f>
        <v>313</v>
      </c>
      <c r="AH13">
        <f t="shared" ref="AH13:AH15" si="20">15000*AG13</f>
        <v>4695000</v>
      </c>
      <c r="AI13">
        <f t="shared" ref="AI13:AI15" si="21">AF5*15000</f>
        <v>5775000</v>
      </c>
      <c r="AJ13">
        <f>GETPIVOTDATA("Sum of Qty2",$R$36,"Nama CSO","Andi Sutiawan")</f>
        <v>313</v>
      </c>
      <c r="AK13">
        <f t="shared" ref="AK13:AK15" si="22">AG13-AJ13</f>
        <v>0</v>
      </c>
      <c r="AL13">
        <f t="shared" ref="AL13:AL15" si="23">AJ13+AK13</f>
        <v>313</v>
      </c>
      <c r="AO13" s="39">
        <v>11</v>
      </c>
      <c r="AP13" s="40">
        <v>46209</v>
      </c>
      <c r="AQ13" s="39" t="s">
        <v>204</v>
      </c>
      <c r="AR13" s="39" t="s">
        <v>184</v>
      </c>
      <c r="AS13" s="31">
        <v>17792292</v>
      </c>
      <c r="AT13" s="31" t="s">
        <v>279</v>
      </c>
      <c r="AU13" s="31" t="s">
        <v>42</v>
      </c>
      <c r="AV13" s="6">
        <v>9</v>
      </c>
      <c r="AW13" s="44">
        <v>0</v>
      </c>
      <c r="AX13" s="44">
        <v>27</v>
      </c>
      <c r="AY13" s="44">
        <v>0</v>
      </c>
      <c r="AZ13" s="44">
        <v>0</v>
      </c>
      <c r="BA13" s="44">
        <v>0</v>
      </c>
      <c r="BB13" s="44">
        <v>0</v>
      </c>
      <c r="BC13" s="44">
        <v>0</v>
      </c>
      <c r="BD13" s="44">
        <v>0</v>
      </c>
      <c r="BE13" s="44"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0</v>
      </c>
      <c r="BK13" s="44">
        <v>0</v>
      </c>
      <c r="BL13" s="44">
        <v>0</v>
      </c>
      <c r="BM13" s="44">
        <v>0</v>
      </c>
      <c r="BN13" s="44">
        <v>9</v>
      </c>
      <c r="BO13" s="55">
        <v>675000</v>
      </c>
      <c r="BP13" s="40">
        <v>46209</v>
      </c>
      <c r="BQ13" s="39">
        <v>9</v>
      </c>
      <c r="BR13" s="59">
        <v>675000</v>
      </c>
      <c r="BS13" s="88" t="s">
        <v>109</v>
      </c>
      <c r="BT13" s="57">
        <v>0</v>
      </c>
      <c r="BU13" s="60">
        <v>46210</v>
      </c>
      <c r="BV13" s="9">
        <v>1700000</v>
      </c>
      <c r="BW13" s="58"/>
      <c r="BY13" s="4">
        <v>11</v>
      </c>
      <c r="BZ13" s="6" t="s">
        <v>146</v>
      </c>
      <c r="CA13" s="4">
        <v>1</v>
      </c>
      <c r="CB13" s="7" t="s">
        <v>147</v>
      </c>
      <c r="CC13" s="7" t="s">
        <v>148</v>
      </c>
      <c r="CD13" s="7" t="s">
        <v>149</v>
      </c>
      <c r="CE13" s="4"/>
      <c r="CF13" s="9"/>
      <c r="CG13" s="5"/>
      <c r="CH13" s="5"/>
      <c r="CI13" s="4" t="s">
        <v>124</v>
      </c>
      <c r="CJ13" s="5"/>
      <c r="CL13" t="s">
        <v>31</v>
      </c>
      <c r="CM13" s="70">
        <v>0</v>
      </c>
      <c r="CN13" s="70">
        <v>0</v>
      </c>
      <c r="CO13" s="70">
        <v>0</v>
      </c>
      <c r="CP13" s="70">
        <v>0</v>
      </c>
      <c r="CQ13">
        <v>0</v>
      </c>
      <c r="CR13" t="s">
        <v>28</v>
      </c>
      <c r="CS13" s="1">
        <v>22500</v>
      </c>
      <c r="CT13" t="s">
        <v>28</v>
      </c>
      <c r="CV13" t="s">
        <v>33</v>
      </c>
      <c r="CW13">
        <v>0</v>
      </c>
      <c r="CX13">
        <v>0</v>
      </c>
      <c r="CY13">
        <v>0</v>
      </c>
      <c r="CZ13">
        <v>0</v>
      </c>
      <c r="DB13">
        <v>0</v>
      </c>
      <c r="DC13">
        <v>20000</v>
      </c>
      <c r="DD13">
        <v>0</v>
      </c>
      <c r="DF13" t="s">
        <v>31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4</v>
      </c>
      <c r="DS13">
        <v>0</v>
      </c>
      <c r="DT13">
        <v>0</v>
      </c>
      <c r="DU13">
        <v>4</v>
      </c>
      <c r="DV13">
        <v>4</v>
      </c>
      <c r="DW13">
        <v>0</v>
      </c>
      <c r="DX13">
        <v>0</v>
      </c>
      <c r="DY13">
        <v>0</v>
      </c>
      <c r="DZ13">
        <v>4</v>
      </c>
      <c r="EA13">
        <v>0</v>
      </c>
      <c r="EB13">
        <v>22500</v>
      </c>
      <c r="EC13">
        <v>0</v>
      </c>
    </row>
    <row r="14" spans="1:133" x14ac:dyDescent="0.35">
      <c r="A14" s="12" t="s">
        <v>12</v>
      </c>
      <c r="B14" s="13">
        <v>300</v>
      </c>
      <c r="C14" s="14">
        <v>71</v>
      </c>
      <c r="D14" s="13">
        <f t="shared" si="0"/>
        <v>371</v>
      </c>
      <c r="F14" s="20" t="s">
        <v>33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2">
        <f t="shared" si="11"/>
        <v>0</v>
      </c>
      <c r="O14">
        <v>2800000</v>
      </c>
      <c r="Q14" s="20" t="s">
        <v>34</v>
      </c>
      <c r="R14" s="68">
        <f>CM16+AJ20</f>
        <v>0</v>
      </c>
      <c r="S14" s="69">
        <f>CW14+AJ5</f>
        <v>33</v>
      </c>
      <c r="T14" s="69">
        <f>CN16+AJ19</f>
        <v>0</v>
      </c>
      <c r="U14" s="27">
        <f>CX14+AJ4</f>
        <v>52</v>
      </c>
      <c r="V14" s="69">
        <f>CO16+AJ21</f>
        <v>0</v>
      </c>
      <c r="W14" s="27">
        <f>CY14+AJ6</f>
        <v>91</v>
      </c>
      <c r="X14" s="69">
        <f>CP16+AJ22</f>
        <v>0</v>
      </c>
      <c r="Y14" s="27">
        <f>CZ14+AJ7</f>
        <v>107</v>
      </c>
      <c r="Z14" s="27">
        <f t="shared" si="1"/>
        <v>0</v>
      </c>
      <c r="AA14" s="69">
        <f t="shared" si="2"/>
        <v>283</v>
      </c>
      <c r="AB14" s="4">
        <v>15400</v>
      </c>
      <c r="AC14" s="27">
        <f t="shared" si="3"/>
        <v>4358200</v>
      </c>
      <c r="AE14" t="s">
        <v>60</v>
      </c>
      <c r="AF14" t="s">
        <v>41</v>
      </c>
      <c r="AG14">
        <f>GETPIVOTDATA("Sum of QTY",$R$36,"Nama CSO","M. Enden Abdul Latif")</f>
        <v>150</v>
      </c>
      <c r="AH14">
        <f t="shared" si="20"/>
        <v>2250000</v>
      </c>
      <c r="AI14">
        <v>1500000</v>
      </c>
      <c r="AJ14">
        <f>GETPIVOTDATA("Sum of Qty2",$R$36,"Nama CSO","M. Enden Abdul Latif")</f>
        <v>150</v>
      </c>
      <c r="AK14">
        <f t="shared" si="22"/>
        <v>0</v>
      </c>
      <c r="AL14">
        <f t="shared" si="23"/>
        <v>150</v>
      </c>
      <c r="AO14" s="39">
        <v>12</v>
      </c>
      <c r="AP14" s="40">
        <v>46210</v>
      </c>
      <c r="AQ14" s="41" t="s">
        <v>204</v>
      </c>
      <c r="AR14" s="42" t="s">
        <v>184</v>
      </c>
      <c r="AS14" s="31">
        <v>17253568</v>
      </c>
      <c r="AT14" s="31" t="s">
        <v>280</v>
      </c>
      <c r="AU14" s="43" t="s">
        <v>273</v>
      </c>
      <c r="AV14" s="6">
        <v>2</v>
      </c>
      <c r="AW14" s="44">
        <v>0</v>
      </c>
      <c r="AX14" s="44">
        <v>6</v>
      </c>
      <c r="AY14" s="44">
        <v>0</v>
      </c>
      <c r="AZ14" s="44">
        <v>0</v>
      </c>
      <c r="BA14" s="44">
        <v>0</v>
      </c>
      <c r="BB14" s="44">
        <v>0</v>
      </c>
      <c r="BC14" s="44">
        <v>0</v>
      </c>
      <c r="BD14" s="44">
        <v>0</v>
      </c>
      <c r="BE14" s="44"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0</v>
      </c>
      <c r="BK14" s="44">
        <v>0</v>
      </c>
      <c r="BL14" s="44">
        <v>0</v>
      </c>
      <c r="BM14" s="44">
        <v>0</v>
      </c>
      <c r="BN14" s="44">
        <v>2</v>
      </c>
      <c r="BO14" s="55">
        <v>150000</v>
      </c>
      <c r="BP14" s="40">
        <v>46210</v>
      </c>
      <c r="BQ14" s="39">
        <v>2</v>
      </c>
      <c r="BR14" s="59">
        <v>150000</v>
      </c>
      <c r="BS14" s="39" t="s">
        <v>109</v>
      </c>
      <c r="BT14" s="57">
        <v>0</v>
      </c>
      <c r="BU14" s="40">
        <v>46211</v>
      </c>
      <c r="BV14" s="9">
        <v>7500000</v>
      </c>
      <c r="BW14" s="58"/>
      <c r="BY14" s="4">
        <v>12</v>
      </c>
      <c r="BZ14" s="6" t="s">
        <v>146</v>
      </c>
      <c r="CA14" s="4">
        <v>1</v>
      </c>
      <c r="CB14" s="7" t="s">
        <v>150</v>
      </c>
      <c r="CC14" s="7" t="s">
        <v>151</v>
      </c>
      <c r="CD14" s="7" t="s">
        <v>152</v>
      </c>
      <c r="CE14" s="4"/>
      <c r="CF14" s="9"/>
      <c r="CG14" s="5"/>
      <c r="CH14" s="5"/>
      <c r="CI14" s="4" t="s">
        <v>124</v>
      </c>
      <c r="CJ14" s="5"/>
      <c r="CL14" t="s">
        <v>32</v>
      </c>
      <c r="CM14" s="70">
        <v>0</v>
      </c>
      <c r="CN14" s="70">
        <v>0</v>
      </c>
      <c r="CO14" s="70">
        <v>3</v>
      </c>
      <c r="CP14" s="70">
        <v>0</v>
      </c>
      <c r="CQ14">
        <v>3</v>
      </c>
      <c r="CR14" t="s">
        <v>28</v>
      </c>
      <c r="CS14" s="1">
        <v>13500</v>
      </c>
      <c r="CT14" t="s">
        <v>28</v>
      </c>
      <c r="CV14" t="s">
        <v>34</v>
      </c>
      <c r="CW14">
        <v>6</v>
      </c>
      <c r="CX14">
        <v>19</v>
      </c>
      <c r="CY14">
        <v>10</v>
      </c>
      <c r="CZ14">
        <v>56</v>
      </c>
      <c r="DB14">
        <v>56</v>
      </c>
      <c r="DC14">
        <v>14500</v>
      </c>
      <c r="DD14">
        <v>812000</v>
      </c>
      <c r="DF14" t="s">
        <v>32</v>
      </c>
      <c r="DG14">
        <v>0</v>
      </c>
      <c r="DH14">
        <v>12</v>
      </c>
      <c r="DI14">
        <v>0</v>
      </c>
      <c r="DJ14">
        <v>0</v>
      </c>
      <c r="DK14">
        <v>12</v>
      </c>
      <c r="DL14">
        <v>61</v>
      </c>
      <c r="DM14">
        <v>55</v>
      </c>
      <c r="DN14">
        <v>0</v>
      </c>
      <c r="DO14">
        <v>0</v>
      </c>
      <c r="DP14">
        <v>116</v>
      </c>
      <c r="DQ14">
        <v>61</v>
      </c>
      <c r="DR14">
        <v>25</v>
      </c>
      <c r="DS14">
        <v>0</v>
      </c>
      <c r="DT14">
        <v>0</v>
      </c>
      <c r="DU14">
        <v>86</v>
      </c>
      <c r="DV14">
        <v>10</v>
      </c>
      <c r="DW14">
        <v>0</v>
      </c>
      <c r="DX14">
        <v>0</v>
      </c>
      <c r="DY14">
        <v>0</v>
      </c>
      <c r="DZ14">
        <v>10</v>
      </c>
      <c r="EA14">
        <v>322</v>
      </c>
      <c r="EB14">
        <v>13500</v>
      </c>
      <c r="EC14">
        <v>4266000</v>
      </c>
    </row>
    <row r="15" spans="1:133" x14ac:dyDescent="0.35">
      <c r="A15" s="12" t="s">
        <v>13</v>
      </c>
      <c r="B15" s="13">
        <v>450</v>
      </c>
      <c r="C15" s="14">
        <v>0</v>
      </c>
      <c r="D15" s="13">
        <f t="shared" si="0"/>
        <v>450</v>
      </c>
      <c r="F15" s="20" t="s">
        <v>34</v>
      </c>
      <c r="G15" s="21">
        <v>9</v>
      </c>
      <c r="H15" s="21">
        <v>0</v>
      </c>
      <c r="I15" s="21">
        <v>35</v>
      </c>
      <c r="J15" s="21">
        <v>5</v>
      </c>
      <c r="K15" s="21">
        <v>0</v>
      </c>
      <c r="L15" s="22">
        <f t="shared" si="11"/>
        <v>49</v>
      </c>
      <c r="O15">
        <v>6800000</v>
      </c>
      <c r="Q15" s="20" t="s">
        <v>35</v>
      </c>
      <c r="R15" s="68">
        <f t="shared" si="12"/>
        <v>0</v>
      </c>
      <c r="S15" s="69">
        <f t="shared" si="13"/>
        <v>12</v>
      </c>
      <c r="T15" s="69">
        <f t="shared" si="14"/>
        <v>0</v>
      </c>
      <c r="U15" s="27">
        <f t="shared" si="15"/>
        <v>146</v>
      </c>
      <c r="V15" s="69">
        <f t="shared" si="16"/>
        <v>0</v>
      </c>
      <c r="W15" s="27">
        <f t="shared" si="17"/>
        <v>50</v>
      </c>
      <c r="X15" s="27">
        <f t="shared" si="18"/>
        <v>10</v>
      </c>
      <c r="Y15" s="27">
        <f t="shared" si="19"/>
        <v>60</v>
      </c>
      <c r="Z15" s="27">
        <f t="shared" si="1"/>
        <v>10</v>
      </c>
      <c r="AA15" s="69">
        <f t="shared" si="2"/>
        <v>268</v>
      </c>
      <c r="AB15" s="4">
        <v>17250</v>
      </c>
      <c r="AC15" s="27">
        <f t="shared" si="3"/>
        <v>4623000</v>
      </c>
      <c r="AE15" t="s">
        <v>61</v>
      </c>
      <c r="AF15" t="s">
        <v>42</v>
      </c>
      <c r="AG15">
        <f>GETPIVOTDATA("Sum of QTY",$R$36,"Nama CSO","Pebrian Sahri Ramdani")</f>
        <v>100</v>
      </c>
      <c r="AH15">
        <f t="shared" si="20"/>
        <v>1500000</v>
      </c>
      <c r="AI15">
        <f t="shared" si="21"/>
        <v>4920000</v>
      </c>
      <c r="AJ15">
        <f>GETPIVOTDATA("Sum of Qty2",$R$36,"Nama CSO","Pebrian Sahri Ramdani")</f>
        <v>100</v>
      </c>
      <c r="AK15">
        <f t="shared" si="22"/>
        <v>0</v>
      </c>
      <c r="AL15">
        <f t="shared" si="23"/>
        <v>100</v>
      </c>
      <c r="AO15" s="39">
        <v>13</v>
      </c>
      <c r="AP15" s="40">
        <v>46210</v>
      </c>
      <c r="AQ15" s="41" t="s">
        <v>204</v>
      </c>
      <c r="AR15" s="42" t="s">
        <v>184</v>
      </c>
      <c r="AS15" s="31">
        <v>1348548</v>
      </c>
      <c r="AT15" s="31" t="s">
        <v>281</v>
      </c>
      <c r="AU15" s="43" t="s">
        <v>42</v>
      </c>
      <c r="AV15" s="6">
        <v>7</v>
      </c>
      <c r="AW15" s="44">
        <v>0</v>
      </c>
      <c r="AX15" s="44">
        <v>21</v>
      </c>
      <c r="AY15" s="44">
        <v>0</v>
      </c>
      <c r="AZ15" s="44">
        <v>0</v>
      </c>
      <c r="BA15" s="44">
        <v>0</v>
      </c>
      <c r="BB15" s="44">
        <v>0</v>
      </c>
      <c r="BC15" s="44">
        <v>0</v>
      </c>
      <c r="BD15" s="44">
        <v>0</v>
      </c>
      <c r="BE15" s="44"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0</v>
      </c>
      <c r="BK15" s="44">
        <v>0</v>
      </c>
      <c r="BL15" s="44">
        <v>0</v>
      </c>
      <c r="BM15" s="44">
        <v>0</v>
      </c>
      <c r="BN15" s="44">
        <v>7</v>
      </c>
      <c r="BO15" s="55">
        <v>525000</v>
      </c>
      <c r="BP15" s="40">
        <v>46210</v>
      </c>
      <c r="BQ15" s="39">
        <v>7</v>
      </c>
      <c r="BR15" s="59">
        <v>525000</v>
      </c>
      <c r="BS15" s="39" t="s">
        <v>109</v>
      </c>
      <c r="BT15" s="57">
        <v>0</v>
      </c>
      <c r="BU15" s="40">
        <v>46211</v>
      </c>
      <c r="BV15" s="9">
        <v>450000</v>
      </c>
      <c r="BW15" s="58"/>
      <c r="BY15" s="4">
        <v>13</v>
      </c>
      <c r="BZ15" s="6" t="s">
        <v>146</v>
      </c>
      <c r="CA15" s="4">
        <v>1</v>
      </c>
      <c r="CB15" s="7" t="s">
        <v>153</v>
      </c>
      <c r="CC15" s="7" t="s">
        <v>154</v>
      </c>
      <c r="CD15" s="7" t="s">
        <v>155</v>
      </c>
      <c r="CE15" s="4"/>
      <c r="CF15" s="8"/>
      <c r="CG15" s="5"/>
      <c r="CH15" s="5"/>
      <c r="CI15" s="4" t="s">
        <v>124</v>
      </c>
      <c r="CJ15" s="5"/>
      <c r="CL15" t="s">
        <v>33</v>
      </c>
      <c r="CM15" s="70">
        <v>0</v>
      </c>
      <c r="CN15" s="70">
        <v>0</v>
      </c>
      <c r="CO15" s="70">
        <v>0</v>
      </c>
      <c r="CP15" s="70">
        <v>0</v>
      </c>
      <c r="CQ15">
        <v>0</v>
      </c>
      <c r="CR15" t="s">
        <v>28</v>
      </c>
      <c r="CS15" s="1">
        <v>20000</v>
      </c>
      <c r="CT15" t="s">
        <v>28</v>
      </c>
      <c r="CV15" t="s">
        <v>35</v>
      </c>
      <c r="CW15">
        <v>12</v>
      </c>
      <c r="CX15">
        <v>146</v>
      </c>
      <c r="CY15">
        <v>50</v>
      </c>
      <c r="CZ15">
        <v>60</v>
      </c>
      <c r="DB15">
        <v>323</v>
      </c>
      <c r="DC15">
        <v>17250</v>
      </c>
      <c r="DD15">
        <v>5571750</v>
      </c>
      <c r="DF15" t="s">
        <v>33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20000</v>
      </c>
      <c r="EC15">
        <v>0</v>
      </c>
    </row>
    <row r="16" spans="1:133" x14ac:dyDescent="0.35">
      <c r="A16" s="12" t="s">
        <v>14</v>
      </c>
      <c r="B16" s="13">
        <f>426</f>
        <v>426</v>
      </c>
      <c r="C16" s="14">
        <v>15</v>
      </c>
      <c r="D16" s="13">
        <f t="shared" si="0"/>
        <v>441</v>
      </c>
      <c r="F16" s="20" t="s">
        <v>35</v>
      </c>
      <c r="G16" s="21">
        <v>32</v>
      </c>
      <c r="H16" s="21">
        <v>50</v>
      </c>
      <c r="I16" s="21">
        <v>23</v>
      </c>
      <c r="J16" s="21">
        <v>16</v>
      </c>
      <c r="K16" s="21">
        <v>18</v>
      </c>
      <c r="L16" s="22">
        <f t="shared" si="11"/>
        <v>139</v>
      </c>
      <c r="O16">
        <v>3950000</v>
      </c>
      <c r="Q16" s="20" t="s">
        <v>36</v>
      </c>
      <c r="R16" s="68">
        <f t="shared" si="12"/>
        <v>0</v>
      </c>
      <c r="S16" s="69">
        <f t="shared" si="13"/>
        <v>0</v>
      </c>
      <c r="T16" s="69">
        <f t="shared" si="14"/>
        <v>0</v>
      </c>
      <c r="U16" s="27">
        <f t="shared" si="15"/>
        <v>34</v>
      </c>
      <c r="V16" s="69">
        <f t="shared" si="16"/>
        <v>0</v>
      </c>
      <c r="W16" s="27">
        <f t="shared" si="17"/>
        <v>0</v>
      </c>
      <c r="X16" s="27">
        <f t="shared" si="18"/>
        <v>0</v>
      </c>
      <c r="Y16" s="27">
        <f t="shared" si="19"/>
        <v>3</v>
      </c>
      <c r="Z16" s="27">
        <f t="shared" si="1"/>
        <v>0</v>
      </c>
      <c r="AA16" s="69">
        <f t="shared" si="2"/>
        <v>37</v>
      </c>
      <c r="AB16" s="4">
        <v>23800</v>
      </c>
      <c r="AC16" s="27">
        <f t="shared" si="3"/>
        <v>880600</v>
      </c>
      <c r="AG16">
        <f>SUM(AG12:AG15)</f>
        <v>688</v>
      </c>
      <c r="AH16">
        <f t="shared" ref="AH16:AL16" si="24">SUM(AH12:AH15)</f>
        <v>10320000</v>
      </c>
      <c r="AI16">
        <f t="shared" si="24"/>
        <v>15480000</v>
      </c>
      <c r="AJ16">
        <f t="shared" si="24"/>
        <v>688</v>
      </c>
      <c r="AK16">
        <f t="shared" si="24"/>
        <v>0</v>
      </c>
      <c r="AL16">
        <f t="shared" si="24"/>
        <v>688</v>
      </c>
      <c r="AO16" s="39">
        <v>14</v>
      </c>
      <c r="AP16" s="40">
        <v>46211</v>
      </c>
      <c r="AQ16" s="41" t="s">
        <v>204</v>
      </c>
      <c r="AR16" s="42" t="s">
        <v>184</v>
      </c>
      <c r="AS16" s="31">
        <v>17729830</v>
      </c>
      <c r="AT16" s="31" t="s">
        <v>282</v>
      </c>
      <c r="AU16" s="43" t="s">
        <v>53</v>
      </c>
      <c r="AV16" s="6">
        <v>6</v>
      </c>
      <c r="AW16" s="44">
        <v>0</v>
      </c>
      <c r="AX16" s="44">
        <v>18</v>
      </c>
      <c r="AY16" s="44">
        <v>0</v>
      </c>
      <c r="AZ16" s="44">
        <v>0</v>
      </c>
      <c r="BA16" s="44">
        <v>0</v>
      </c>
      <c r="BB16" s="44">
        <v>0</v>
      </c>
      <c r="BC16" s="44">
        <v>0</v>
      </c>
      <c r="BD16" s="44">
        <v>0</v>
      </c>
      <c r="BE16" s="44"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0</v>
      </c>
      <c r="BK16" s="44">
        <v>0</v>
      </c>
      <c r="BL16" s="44">
        <v>0</v>
      </c>
      <c r="BM16" s="44">
        <v>0</v>
      </c>
      <c r="BN16" s="44">
        <v>6</v>
      </c>
      <c r="BO16" s="55">
        <v>450000</v>
      </c>
      <c r="BP16" s="40">
        <v>46211</v>
      </c>
      <c r="BQ16" s="39">
        <v>6</v>
      </c>
      <c r="BR16" s="59">
        <v>450000</v>
      </c>
      <c r="BS16" s="39" t="s">
        <v>109</v>
      </c>
      <c r="BT16" s="57">
        <v>0</v>
      </c>
      <c r="BU16" s="40">
        <v>46212</v>
      </c>
      <c r="BV16" s="9">
        <v>1800000</v>
      </c>
      <c r="BW16" s="58"/>
      <c r="BY16" s="4">
        <v>14</v>
      </c>
      <c r="BZ16" s="6" t="s">
        <v>146</v>
      </c>
      <c r="CA16" s="4">
        <v>1</v>
      </c>
      <c r="CB16" s="7" t="s">
        <v>156</v>
      </c>
      <c r="CC16" s="7" t="s">
        <v>157</v>
      </c>
      <c r="CD16" s="7" t="s">
        <v>158</v>
      </c>
      <c r="CE16" s="4"/>
      <c r="CF16" s="9"/>
      <c r="CG16" s="5"/>
      <c r="CH16" s="10"/>
      <c r="CI16" s="4" t="s">
        <v>124</v>
      </c>
      <c r="CJ16" s="10"/>
      <c r="CL16" t="s">
        <v>34</v>
      </c>
      <c r="CM16" s="70">
        <v>0</v>
      </c>
      <c r="CN16" s="70">
        <v>0</v>
      </c>
      <c r="CO16" s="70">
        <v>0</v>
      </c>
      <c r="CP16" s="70">
        <v>0</v>
      </c>
      <c r="CQ16">
        <v>0</v>
      </c>
      <c r="CR16" t="s">
        <v>28</v>
      </c>
      <c r="CS16" s="1">
        <v>15400</v>
      </c>
      <c r="CT16" t="s">
        <v>28</v>
      </c>
      <c r="CV16" t="s">
        <v>36</v>
      </c>
      <c r="CW16">
        <v>0</v>
      </c>
      <c r="CX16">
        <v>34</v>
      </c>
      <c r="CY16">
        <v>0</v>
      </c>
      <c r="CZ16">
        <v>3</v>
      </c>
      <c r="DB16">
        <v>92</v>
      </c>
      <c r="DC16">
        <v>23000</v>
      </c>
      <c r="DD16">
        <v>2116000</v>
      </c>
      <c r="DF16" t="s">
        <v>34</v>
      </c>
      <c r="DG16">
        <v>0</v>
      </c>
      <c r="DH16">
        <v>6</v>
      </c>
      <c r="DI16">
        <v>0</v>
      </c>
      <c r="DJ16">
        <v>0</v>
      </c>
      <c r="DK16">
        <v>6</v>
      </c>
      <c r="DL16">
        <v>19</v>
      </c>
      <c r="DM16">
        <v>0</v>
      </c>
      <c r="DN16">
        <v>0</v>
      </c>
      <c r="DO16">
        <v>0</v>
      </c>
      <c r="DP16">
        <v>19</v>
      </c>
      <c r="DQ16">
        <v>10</v>
      </c>
      <c r="DR16">
        <v>0</v>
      </c>
      <c r="DS16">
        <v>0</v>
      </c>
      <c r="DT16">
        <v>0</v>
      </c>
      <c r="DU16">
        <v>10</v>
      </c>
      <c r="DV16">
        <v>0</v>
      </c>
      <c r="DW16">
        <v>56</v>
      </c>
      <c r="DX16">
        <v>0</v>
      </c>
      <c r="DY16">
        <v>0</v>
      </c>
      <c r="DZ16">
        <v>56</v>
      </c>
      <c r="EA16">
        <v>61</v>
      </c>
      <c r="EB16">
        <v>15400</v>
      </c>
      <c r="EC16">
        <v>939400</v>
      </c>
    </row>
    <row r="17" spans="1:133" x14ac:dyDescent="0.35">
      <c r="A17" s="12" t="s">
        <v>15</v>
      </c>
      <c r="B17" s="13">
        <v>0</v>
      </c>
      <c r="C17" s="14">
        <v>0</v>
      </c>
      <c r="D17" s="13">
        <f t="shared" si="0"/>
        <v>0</v>
      </c>
      <c r="F17" s="20" t="s">
        <v>36</v>
      </c>
      <c r="G17" s="21">
        <v>15</v>
      </c>
      <c r="H17" s="21">
        <v>22</v>
      </c>
      <c r="I17" s="21">
        <v>24</v>
      </c>
      <c r="J17" s="21">
        <v>69</v>
      </c>
      <c r="K17" s="21">
        <v>16</v>
      </c>
      <c r="L17" s="22">
        <f t="shared" si="11"/>
        <v>146</v>
      </c>
      <c r="O17">
        <v>4070100</v>
      </c>
      <c r="Q17" s="20" t="s">
        <v>15</v>
      </c>
      <c r="R17" s="68">
        <f t="shared" si="12"/>
        <v>0</v>
      </c>
      <c r="S17" s="69">
        <f t="shared" si="13"/>
        <v>0</v>
      </c>
      <c r="T17" s="69">
        <f t="shared" si="14"/>
        <v>0</v>
      </c>
      <c r="U17" s="27">
        <f t="shared" si="15"/>
        <v>21</v>
      </c>
      <c r="V17" s="69">
        <f t="shared" si="16"/>
        <v>0</v>
      </c>
      <c r="W17" s="27">
        <f t="shared" si="17"/>
        <v>6</v>
      </c>
      <c r="X17" s="27">
        <f t="shared" si="18"/>
        <v>0</v>
      </c>
      <c r="Y17" s="27">
        <f t="shared" si="19"/>
        <v>0</v>
      </c>
      <c r="Z17" s="27">
        <f t="shared" si="1"/>
        <v>0</v>
      </c>
      <c r="AA17" s="69">
        <f t="shared" si="2"/>
        <v>27</v>
      </c>
      <c r="AB17" s="4">
        <v>30000</v>
      </c>
      <c r="AC17" s="27">
        <f t="shared" si="3"/>
        <v>810000</v>
      </c>
      <c r="AO17" s="39">
        <v>15</v>
      </c>
      <c r="AP17" s="40">
        <v>46211</v>
      </c>
      <c r="AQ17" s="41" t="s">
        <v>204</v>
      </c>
      <c r="AR17" s="42" t="s">
        <v>184</v>
      </c>
      <c r="AS17" s="31">
        <v>17737459</v>
      </c>
      <c r="AT17" s="31" t="s">
        <v>283</v>
      </c>
      <c r="AU17" s="43" t="s">
        <v>41</v>
      </c>
      <c r="AV17" s="6">
        <v>12</v>
      </c>
      <c r="AW17" s="44">
        <v>0</v>
      </c>
      <c r="AX17" s="44">
        <v>36</v>
      </c>
      <c r="AY17" s="44">
        <v>0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12</v>
      </c>
      <c r="BO17" s="55">
        <v>900000</v>
      </c>
      <c r="BP17" s="40">
        <v>46211</v>
      </c>
      <c r="BQ17" s="39">
        <v>12</v>
      </c>
      <c r="BR17" s="59">
        <v>900000</v>
      </c>
      <c r="BS17" s="39" t="s">
        <v>109</v>
      </c>
      <c r="BT17" s="57">
        <v>0</v>
      </c>
      <c r="BU17" s="40">
        <v>46212</v>
      </c>
      <c r="BV17" s="9">
        <v>300000</v>
      </c>
      <c r="BW17" s="58"/>
      <c r="BY17" s="4">
        <v>15</v>
      </c>
      <c r="BZ17" s="6" t="s">
        <v>146</v>
      </c>
      <c r="CA17" s="4">
        <v>1</v>
      </c>
      <c r="CB17" s="7" t="s">
        <v>159</v>
      </c>
      <c r="CC17" s="7" t="s">
        <v>160</v>
      </c>
      <c r="CD17" s="7" t="s">
        <v>161</v>
      </c>
      <c r="CE17" s="4"/>
      <c r="CF17" s="9"/>
      <c r="CG17" s="5"/>
      <c r="CH17" s="10"/>
      <c r="CI17" s="4" t="s">
        <v>124</v>
      </c>
      <c r="CJ17" s="10"/>
      <c r="CL17" t="s">
        <v>35</v>
      </c>
      <c r="CM17" s="70">
        <v>0</v>
      </c>
      <c r="CN17" s="70">
        <v>0</v>
      </c>
      <c r="CO17" s="70">
        <v>0</v>
      </c>
      <c r="CP17" s="70">
        <v>10</v>
      </c>
      <c r="CQ17">
        <v>10</v>
      </c>
      <c r="CR17">
        <v>5</v>
      </c>
      <c r="CS17" s="1">
        <v>17250</v>
      </c>
      <c r="CT17" s="1">
        <v>86250</v>
      </c>
      <c r="CV17" t="s">
        <v>15</v>
      </c>
      <c r="CW17">
        <v>0</v>
      </c>
      <c r="CX17">
        <v>21</v>
      </c>
      <c r="CY17">
        <v>6</v>
      </c>
      <c r="CZ17">
        <v>0</v>
      </c>
      <c r="DB17">
        <v>24</v>
      </c>
      <c r="DC17">
        <v>30000</v>
      </c>
      <c r="DD17">
        <v>720000</v>
      </c>
      <c r="DF17" t="s">
        <v>35</v>
      </c>
      <c r="DG17">
        <v>12</v>
      </c>
      <c r="DH17">
        <v>0</v>
      </c>
      <c r="DI17">
        <v>0</v>
      </c>
      <c r="DJ17">
        <v>0</v>
      </c>
      <c r="DK17">
        <v>12</v>
      </c>
      <c r="DL17">
        <v>76</v>
      </c>
      <c r="DM17">
        <v>70</v>
      </c>
      <c r="DN17">
        <v>0</v>
      </c>
      <c r="DO17">
        <v>0</v>
      </c>
      <c r="DP17">
        <v>146</v>
      </c>
      <c r="DQ17">
        <v>37</v>
      </c>
      <c r="DR17">
        <v>13</v>
      </c>
      <c r="DS17">
        <v>0</v>
      </c>
      <c r="DT17">
        <v>0</v>
      </c>
      <c r="DU17">
        <v>50</v>
      </c>
      <c r="DV17">
        <v>30</v>
      </c>
      <c r="DW17">
        <v>30</v>
      </c>
      <c r="DX17">
        <v>0</v>
      </c>
      <c r="DY17">
        <v>0</v>
      </c>
      <c r="DZ17">
        <v>60</v>
      </c>
      <c r="EA17">
        <v>593</v>
      </c>
      <c r="EB17">
        <v>17250</v>
      </c>
      <c r="EC17">
        <v>9780750</v>
      </c>
    </row>
    <row r="18" spans="1:133" x14ac:dyDescent="0.35">
      <c r="A18" s="12" t="s">
        <v>16</v>
      </c>
      <c r="B18" s="13">
        <v>0</v>
      </c>
      <c r="C18" s="14">
        <v>51</v>
      </c>
      <c r="D18" s="13">
        <f t="shared" si="0"/>
        <v>51</v>
      </c>
      <c r="F18" s="20" t="s">
        <v>15</v>
      </c>
      <c r="G18" s="21">
        <v>0</v>
      </c>
      <c r="H18" s="21">
        <v>35</v>
      </c>
      <c r="I18" s="21">
        <v>0</v>
      </c>
      <c r="J18" s="21">
        <v>0</v>
      </c>
      <c r="K18" s="21">
        <v>0</v>
      </c>
      <c r="L18" s="22">
        <f t="shared" si="11"/>
        <v>35</v>
      </c>
      <c r="Q18" s="20" t="s">
        <v>16</v>
      </c>
      <c r="R18" s="68">
        <f>CM20+AK20</f>
        <v>0</v>
      </c>
      <c r="S18" s="69">
        <f>CW18+AK5</f>
        <v>114</v>
      </c>
      <c r="T18" s="69">
        <f>CN20+AK19</f>
        <v>0</v>
      </c>
      <c r="U18" s="27">
        <f>CX18+AK4</f>
        <v>135</v>
      </c>
      <c r="V18" s="69">
        <f>CO20+AK21</f>
        <v>0</v>
      </c>
      <c r="W18" s="27">
        <f>CY18+AK6</f>
        <v>105</v>
      </c>
      <c r="X18" s="69">
        <f>CP20+AK22</f>
        <v>0</v>
      </c>
      <c r="Y18" s="27">
        <f>CZ18+AK7</f>
        <v>63</v>
      </c>
      <c r="Z18" s="27">
        <f t="shared" si="1"/>
        <v>0</v>
      </c>
      <c r="AA18" s="69">
        <f t="shared" si="2"/>
        <v>417</v>
      </c>
      <c r="AB18" s="4">
        <v>6900</v>
      </c>
      <c r="AC18" s="27">
        <f t="shared" si="3"/>
        <v>2877300</v>
      </c>
      <c r="AF18" t="s">
        <v>5</v>
      </c>
      <c r="AG18" t="s">
        <v>52</v>
      </c>
      <c r="AH18" t="s">
        <v>169</v>
      </c>
      <c r="AI18" t="s">
        <v>100</v>
      </c>
      <c r="AJ18" t="s">
        <v>102</v>
      </c>
      <c r="AK18" t="s">
        <v>103</v>
      </c>
      <c r="AL18" t="s">
        <v>104</v>
      </c>
      <c r="AO18" s="39">
        <v>16</v>
      </c>
      <c r="AP18" s="40">
        <v>46211</v>
      </c>
      <c r="AQ18" s="41" t="s">
        <v>204</v>
      </c>
      <c r="AR18" s="42" t="s">
        <v>184</v>
      </c>
      <c r="AS18" s="31">
        <v>572677</v>
      </c>
      <c r="AT18" s="31" t="s">
        <v>266</v>
      </c>
      <c r="AU18" s="43" t="s">
        <v>42</v>
      </c>
      <c r="AV18" s="6">
        <v>8</v>
      </c>
      <c r="AW18" s="44">
        <v>0</v>
      </c>
      <c r="AX18" s="44">
        <v>24</v>
      </c>
      <c r="AY18" s="44">
        <v>0</v>
      </c>
      <c r="AZ18" s="44">
        <v>0</v>
      </c>
      <c r="BA18" s="44">
        <v>0</v>
      </c>
      <c r="BB18" s="44">
        <v>0</v>
      </c>
      <c r="BC18" s="44">
        <v>0</v>
      </c>
      <c r="BD18" s="44">
        <v>0</v>
      </c>
      <c r="BE18" s="44"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8</v>
      </c>
      <c r="BO18" s="55">
        <v>600000</v>
      </c>
      <c r="BP18" s="40">
        <v>46211</v>
      </c>
      <c r="BQ18" s="39">
        <v>8</v>
      </c>
      <c r="BR18" s="59">
        <v>600000</v>
      </c>
      <c r="BS18" s="39" t="s">
        <v>109</v>
      </c>
      <c r="BT18" s="57">
        <v>0</v>
      </c>
      <c r="BU18" s="40">
        <v>46212</v>
      </c>
      <c r="BV18" s="9">
        <v>5200000</v>
      </c>
      <c r="BW18" s="58"/>
      <c r="BY18" s="4">
        <v>16</v>
      </c>
      <c r="BZ18" s="6" t="s">
        <v>146</v>
      </c>
      <c r="CA18" s="4">
        <v>1</v>
      </c>
      <c r="CB18" s="7" t="s">
        <v>164</v>
      </c>
      <c r="CC18" s="7" t="s">
        <v>165</v>
      </c>
      <c r="CD18" s="7" t="s">
        <v>166</v>
      </c>
      <c r="CE18" s="4"/>
      <c r="CF18" s="9"/>
      <c r="CG18" s="5"/>
      <c r="CH18" s="10"/>
      <c r="CI18" s="4" t="s">
        <v>124</v>
      </c>
      <c r="CJ18" s="10"/>
      <c r="CL18" t="s">
        <v>36</v>
      </c>
      <c r="CM18" s="70">
        <v>0</v>
      </c>
      <c r="CN18" s="70">
        <v>0</v>
      </c>
      <c r="CO18" s="70">
        <v>0</v>
      </c>
      <c r="CP18" s="70">
        <v>0</v>
      </c>
      <c r="CQ18">
        <v>0</v>
      </c>
      <c r="CR18" t="s">
        <v>28</v>
      </c>
      <c r="CS18" s="1">
        <v>23800</v>
      </c>
      <c r="CT18" t="s">
        <v>28</v>
      </c>
      <c r="CV18" t="s">
        <v>16</v>
      </c>
      <c r="CW18">
        <v>0</v>
      </c>
      <c r="CX18">
        <v>0</v>
      </c>
      <c r="CY18">
        <v>0</v>
      </c>
      <c r="CZ18">
        <v>0</v>
      </c>
      <c r="DB18">
        <v>0</v>
      </c>
      <c r="DC18">
        <v>6900</v>
      </c>
      <c r="DD18">
        <v>0</v>
      </c>
      <c r="DF18" t="s">
        <v>36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15</v>
      </c>
      <c r="DM18">
        <v>19</v>
      </c>
      <c r="DN18">
        <v>0</v>
      </c>
      <c r="DO18">
        <v>0</v>
      </c>
      <c r="DP18">
        <v>34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3</v>
      </c>
      <c r="DX18">
        <v>0</v>
      </c>
      <c r="DY18">
        <v>0</v>
      </c>
      <c r="DZ18">
        <v>3</v>
      </c>
      <c r="EA18">
        <v>140</v>
      </c>
      <c r="EB18">
        <v>23800</v>
      </c>
      <c r="EC18">
        <v>3332000</v>
      </c>
    </row>
    <row r="19" spans="1:133" x14ac:dyDescent="0.35">
      <c r="A19" s="12" t="s">
        <v>17</v>
      </c>
      <c r="B19" s="13">
        <v>0</v>
      </c>
      <c r="C19" s="14">
        <v>0</v>
      </c>
      <c r="D19" s="13">
        <f t="shared" si="0"/>
        <v>0</v>
      </c>
      <c r="F19" s="20" t="s">
        <v>16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2">
        <f t="shared" si="11"/>
        <v>0</v>
      </c>
      <c r="Q19" s="20" t="s">
        <v>17</v>
      </c>
      <c r="R19" s="68">
        <f t="shared" si="12"/>
        <v>0</v>
      </c>
      <c r="S19" s="69">
        <f t="shared" si="13"/>
        <v>0</v>
      </c>
      <c r="T19" s="69">
        <f t="shared" si="14"/>
        <v>0</v>
      </c>
      <c r="U19" s="27">
        <f t="shared" si="15"/>
        <v>0</v>
      </c>
      <c r="V19" s="27">
        <f t="shared" ref="V19:V23" si="25">CO21</f>
        <v>0</v>
      </c>
      <c r="W19" s="27">
        <f t="shared" si="17"/>
        <v>0</v>
      </c>
      <c r="X19" s="27">
        <f t="shared" si="18"/>
        <v>0</v>
      </c>
      <c r="Y19" s="27">
        <f t="shared" si="19"/>
        <v>0</v>
      </c>
      <c r="Z19" s="27">
        <f t="shared" si="1"/>
        <v>0</v>
      </c>
      <c r="AA19" s="69">
        <f t="shared" si="2"/>
        <v>0</v>
      </c>
      <c r="AB19" s="4">
        <v>7000</v>
      </c>
      <c r="AC19" s="27">
        <f t="shared" si="3"/>
        <v>0</v>
      </c>
      <c r="AE19" t="s">
        <v>53</v>
      </c>
      <c r="AJ19" s="63"/>
      <c r="AL19" s="63"/>
      <c r="AO19" s="39">
        <v>17</v>
      </c>
      <c r="AP19" s="40">
        <v>46212</v>
      </c>
      <c r="AQ19" s="41" t="s">
        <v>204</v>
      </c>
      <c r="AR19" s="42" t="s">
        <v>184</v>
      </c>
      <c r="AS19" s="31">
        <v>17729987</v>
      </c>
      <c r="AT19" s="31" t="s">
        <v>285</v>
      </c>
      <c r="AU19" s="43" t="s">
        <v>53</v>
      </c>
      <c r="AV19" s="6">
        <v>6</v>
      </c>
      <c r="AW19" s="44">
        <v>0</v>
      </c>
      <c r="AX19" s="44">
        <v>18</v>
      </c>
      <c r="AY19" s="44">
        <v>0</v>
      </c>
      <c r="AZ19" s="44">
        <v>0</v>
      </c>
      <c r="BA19" s="44">
        <v>0</v>
      </c>
      <c r="BB19" s="44">
        <v>0</v>
      </c>
      <c r="BC19" s="44">
        <v>0</v>
      </c>
      <c r="BD19" s="44">
        <v>0</v>
      </c>
      <c r="BE19" s="44"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0</v>
      </c>
      <c r="BK19" s="44">
        <v>0</v>
      </c>
      <c r="BL19" s="44">
        <v>0</v>
      </c>
      <c r="BM19" s="44">
        <v>0</v>
      </c>
      <c r="BN19" s="44">
        <v>6</v>
      </c>
      <c r="BO19" s="55">
        <v>450000</v>
      </c>
      <c r="BP19" s="40">
        <v>46212</v>
      </c>
      <c r="BQ19" s="39">
        <v>6</v>
      </c>
      <c r="BR19" s="59">
        <v>450000</v>
      </c>
      <c r="BS19" s="39" t="s">
        <v>109</v>
      </c>
      <c r="BT19" s="57">
        <v>0</v>
      </c>
      <c r="BU19" s="40">
        <v>46213</v>
      </c>
      <c r="BV19" s="9">
        <v>400000</v>
      </c>
      <c r="BW19" s="58"/>
      <c r="CL19" t="s">
        <v>15</v>
      </c>
      <c r="CM19" s="70">
        <v>0</v>
      </c>
      <c r="CN19" s="70">
        <v>0</v>
      </c>
      <c r="CO19" s="70">
        <v>0</v>
      </c>
      <c r="CP19" s="70">
        <v>0</v>
      </c>
      <c r="CQ19">
        <v>0</v>
      </c>
      <c r="CR19" t="s">
        <v>28</v>
      </c>
      <c r="CS19" s="1">
        <v>30000</v>
      </c>
      <c r="CT19" t="s">
        <v>28</v>
      </c>
      <c r="CV19" t="s">
        <v>17</v>
      </c>
      <c r="CW19">
        <v>0</v>
      </c>
      <c r="CX19">
        <v>0</v>
      </c>
      <c r="CY19">
        <v>0</v>
      </c>
      <c r="CZ19">
        <v>0</v>
      </c>
      <c r="DB19">
        <v>0</v>
      </c>
      <c r="DC19">
        <v>7000</v>
      </c>
      <c r="DD19">
        <v>0</v>
      </c>
      <c r="DF19" t="s">
        <v>15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16</v>
      </c>
      <c r="DM19">
        <v>5</v>
      </c>
      <c r="DN19">
        <v>0</v>
      </c>
      <c r="DO19">
        <v>0</v>
      </c>
      <c r="DP19">
        <v>21</v>
      </c>
      <c r="DQ19">
        <v>6</v>
      </c>
      <c r="DR19">
        <v>0</v>
      </c>
      <c r="DS19">
        <v>0</v>
      </c>
      <c r="DT19">
        <v>0</v>
      </c>
      <c r="DU19">
        <v>6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41</v>
      </c>
      <c r="EB19">
        <v>30000</v>
      </c>
      <c r="EC19">
        <v>1230000</v>
      </c>
    </row>
    <row r="20" spans="1:133" x14ac:dyDescent="0.35">
      <c r="A20" s="12" t="s">
        <v>18</v>
      </c>
      <c r="B20" s="13">
        <v>0</v>
      </c>
      <c r="C20" s="14">
        <v>0</v>
      </c>
      <c r="D20" s="13">
        <f t="shared" si="0"/>
        <v>0</v>
      </c>
      <c r="F20" s="20" t="s">
        <v>17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2">
        <f t="shared" si="11"/>
        <v>0</v>
      </c>
      <c r="Q20" s="20" t="s">
        <v>18</v>
      </c>
      <c r="R20" s="68">
        <f t="shared" si="12"/>
        <v>0</v>
      </c>
      <c r="S20" s="69">
        <f t="shared" si="13"/>
        <v>0</v>
      </c>
      <c r="T20" s="69">
        <f t="shared" si="14"/>
        <v>0</v>
      </c>
      <c r="U20" s="27">
        <f t="shared" si="15"/>
        <v>31</v>
      </c>
      <c r="V20" s="27">
        <f t="shared" si="25"/>
        <v>0</v>
      </c>
      <c r="W20" s="27">
        <f t="shared" si="17"/>
        <v>6</v>
      </c>
      <c r="X20" s="27">
        <f t="shared" si="18"/>
        <v>0</v>
      </c>
      <c r="Y20" s="27">
        <f t="shared" si="19"/>
        <v>0</v>
      </c>
      <c r="Z20" s="27">
        <f t="shared" si="1"/>
        <v>0</v>
      </c>
      <c r="AA20" s="69">
        <f t="shared" si="2"/>
        <v>37</v>
      </c>
      <c r="AB20" s="4">
        <v>12000</v>
      </c>
      <c r="AC20" s="27">
        <f t="shared" si="3"/>
        <v>444000</v>
      </c>
      <c r="AE20" t="s">
        <v>54</v>
      </c>
      <c r="AH20" s="28"/>
      <c r="AJ20" s="63"/>
      <c r="AL20" s="63"/>
      <c r="AO20" s="39">
        <v>18</v>
      </c>
      <c r="AP20" s="40">
        <v>46212</v>
      </c>
      <c r="AQ20" s="41" t="s">
        <v>204</v>
      </c>
      <c r="AR20" s="42" t="s">
        <v>184</v>
      </c>
      <c r="AS20" s="31">
        <v>1295672</v>
      </c>
      <c r="AT20" s="31" t="s">
        <v>286</v>
      </c>
      <c r="AU20" s="43" t="s">
        <v>41</v>
      </c>
      <c r="AV20" s="6">
        <v>7</v>
      </c>
      <c r="AW20" s="44">
        <v>0</v>
      </c>
      <c r="AX20" s="44">
        <v>21</v>
      </c>
      <c r="AY20" s="44">
        <v>0</v>
      </c>
      <c r="AZ20" s="44">
        <v>0</v>
      </c>
      <c r="BA20" s="44">
        <v>0</v>
      </c>
      <c r="BB20" s="44">
        <v>0</v>
      </c>
      <c r="BC20" s="44">
        <v>0</v>
      </c>
      <c r="BD20" s="44">
        <v>0</v>
      </c>
      <c r="BE20" s="44"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0</v>
      </c>
      <c r="BK20" s="44">
        <v>0</v>
      </c>
      <c r="BL20" s="44">
        <v>0</v>
      </c>
      <c r="BM20" s="44">
        <v>0</v>
      </c>
      <c r="BN20" s="44">
        <v>7</v>
      </c>
      <c r="BO20" s="55">
        <v>525000</v>
      </c>
      <c r="BP20" s="40">
        <v>46212</v>
      </c>
      <c r="BQ20" s="39">
        <v>7</v>
      </c>
      <c r="BR20" s="59">
        <v>525000</v>
      </c>
      <c r="BS20" s="39" t="s">
        <v>109</v>
      </c>
      <c r="BT20" s="57">
        <v>0</v>
      </c>
      <c r="BU20" s="40">
        <v>46213</v>
      </c>
      <c r="BV20" s="8">
        <v>3950000</v>
      </c>
      <c r="BW20" s="58"/>
      <c r="CL20" t="s">
        <v>16</v>
      </c>
      <c r="CM20" s="70">
        <v>0</v>
      </c>
      <c r="CN20" s="70">
        <v>0</v>
      </c>
      <c r="CO20" s="70">
        <v>0</v>
      </c>
      <c r="CP20" s="70">
        <v>0</v>
      </c>
      <c r="CQ20">
        <v>0</v>
      </c>
      <c r="CR20" t="s">
        <v>28</v>
      </c>
      <c r="CS20" s="1">
        <v>6900</v>
      </c>
      <c r="CT20" t="s">
        <v>28</v>
      </c>
      <c r="CV20" t="s">
        <v>18</v>
      </c>
      <c r="CW20">
        <v>0</v>
      </c>
      <c r="CX20">
        <v>31</v>
      </c>
      <c r="CY20">
        <v>6</v>
      </c>
      <c r="CZ20">
        <v>0</v>
      </c>
      <c r="DB20">
        <v>12</v>
      </c>
      <c r="DC20">
        <v>12000</v>
      </c>
      <c r="DD20">
        <v>144000</v>
      </c>
      <c r="DF20" t="s">
        <v>16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6900</v>
      </c>
      <c r="EC20">
        <v>0</v>
      </c>
    </row>
    <row r="21" spans="1:133" x14ac:dyDescent="0.35">
      <c r="A21" s="12" t="s">
        <v>19</v>
      </c>
      <c r="B21" s="13">
        <v>450</v>
      </c>
      <c r="C21" s="14">
        <v>904</v>
      </c>
      <c r="D21" s="13">
        <f t="shared" si="0"/>
        <v>1354</v>
      </c>
      <c r="F21" s="20" t="s">
        <v>18</v>
      </c>
      <c r="G21" s="21">
        <v>11</v>
      </c>
      <c r="H21" s="21">
        <v>14</v>
      </c>
      <c r="I21" s="21">
        <v>9</v>
      </c>
      <c r="J21" s="21">
        <v>0</v>
      </c>
      <c r="K21" s="21">
        <v>0</v>
      </c>
      <c r="L21" s="22">
        <f t="shared" si="11"/>
        <v>34</v>
      </c>
      <c r="Q21" s="20" t="s">
        <v>19</v>
      </c>
      <c r="R21" s="68">
        <f t="shared" si="12"/>
        <v>0</v>
      </c>
      <c r="S21" s="69">
        <f t="shared" si="13"/>
        <v>65</v>
      </c>
      <c r="T21" s="69">
        <f t="shared" si="14"/>
        <v>10</v>
      </c>
      <c r="U21" s="27">
        <f t="shared" si="15"/>
        <v>76</v>
      </c>
      <c r="V21" s="27">
        <f t="shared" si="25"/>
        <v>4</v>
      </c>
      <c r="W21" s="27">
        <f t="shared" si="17"/>
        <v>42</v>
      </c>
      <c r="X21" s="27">
        <f t="shared" si="18"/>
        <v>0</v>
      </c>
      <c r="Y21" s="27">
        <f t="shared" si="19"/>
        <v>27</v>
      </c>
      <c r="Z21" s="27">
        <f t="shared" si="1"/>
        <v>14</v>
      </c>
      <c r="AA21" s="69">
        <f t="shared" si="2"/>
        <v>210</v>
      </c>
      <c r="AB21" s="4">
        <v>9600</v>
      </c>
      <c r="AC21" s="27">
        <f t="shared" si="3"/>
        <v>2016000</v>
      </c>
      <c r="AE21" t="s">
        <v>41</v>
      </c>
      <c r="AH21" s="28"/>
      <c r="AI21" s="28"/>
      <c r="AJ21" s="63"/>
      <c r="AK21" s="63"/>
      <c r="AL21" s="63"/>
      <c r="AO21" s="39">
        <v>19</v>
      </c>
      <c r="AP21" s="40">
        <v>46212</v>
      </c>
      <c r="AQ21" s="41" t="s">
        <v>204</v>
      </c>
      <c r="AR21" s="42" t="s">
        <v>184</v>
      </c>
      <c r="AS21" s="31">
        <v>1554004</v>
      </c>
      <c r="AT21" s="31" t="s">
        <v>287</v>
      </c>
      <c r="AU21" s="43" t="s">
        <v>42</v>
      </c>
      <c r="AV21" s="6">
        <v>6</v>
      </c>
      <c r="AW21" s="44">
        <v>0</v>
      </c>
      <c r="AX21" s="44">
        <v>18</v>
      </c>
      <c r="AY21" s="44">
        <v>0</v>
      </c>
      <c r="AZ21" s="44">
        <v>0</v>
      </c>
      <c r="BA21" s="44">
        <v>0</v>
      </c>
      <c r="BB21" s="44">
        <v>0</v>
      </c>
      <c r="BC21" s="44">
        <v>0</v>
      </c>
      <c r="BD21" s="44">
        <v>0</v>
      </c>
      <c r="BE21" s="44"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0</v>
      </c>
      <c r="BK21" s="44">
        <v>0</v>
      </c>
      <c r="BL21" s="44">
        <v>0</v>
      </c>
      <c r="BM21" s="44">
        <v>0</v>
      </c>
      <c r="BN21" s="44">
        <v>6</v>
      </c>
      <c r="BO21" s="55">
        <v>450000</v>
      </c>
      <c r="BP21" s="40">
        <v>46212</v>
      </c>
      <c r="BQ21" s="39">
        <v>6</v>
      </c>
      <c r="BR21" s="59">
        <v>450000</v>
      </c>
      <c r="BS21" s="39" t="s">
        <v>109</v>
      </c>
      <c r="BT21" s="57">
        <v>0</v>
      </c>
      <c r="BU21" s="40">
        <v>46213</v>
      </c>
      <c r="BV21" s="8">
        <v>800000</v>
      </c>
      <c r="BW21" s="58"/>
      <c r="CL21" t="s">
        <v>17</v>
      </c>
      <c r="CM21" s="70">
        <v>0</v>
      </c>
      <c r="CN21" s="70">
        <v>0</v>
      </c>
      <c r="CO21" s="70">
        <v>0</v>
      </c>
      <c r="CP21" s="70">
        <v>0</v>
      </c>
      <c r="CQ21">
        <v>0</v>
      </c>
      <c r="CR21" t="s">
        <v>28</v>
      </c>
      <c r="CS21" s="1">
        <v>7000</v>
      </c>
      <c r="CT21" t="s">
        <v>28</v>
      </c>
      <c r="CV21" t="s">
        <v>19</v>
      </c>
      <c r="CW21">
        <v>65</v>
      </c>
      <c r="CX21">
        <v>76</v>
      </c>
      <c r="CY21">
        <v>42</v>
      </c>
      <c r="CZ21">
        <v>27</v>
      </c>
      <c r="DB21">
        <v>253</v>
      </c>
      <c r="DC21">
        <v>9600</v>
      </c>
      <c r="DD21">
        <v>2428800</v>
      </c>
      <c r="DF21" t="s">
        <v>17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7000</v>
      </c>
      <c r="EC21">
        <v>7000</v>
      </c>
    </row>
    <row r="22" spans="1:133" x14ac:dyDescent="0.35">
      <c r="A22" s="12" t="s">
        <v>20</v>
      </c>
      <c r="B22" s="13">
        <v>207</v>
      </c>
      <c r="C22" s="14">
        <v>10</v>
      </c>
      <c r="D22" s="13">
        <f t="shared" si="0"/>
        <v>217</v>
      </c>
      <c r="F22" s="20" t="s">
        <v>19</v>
      </c>
      <c r="G22" s="21">
        <v>25</v>
      </c>
      <c r="H22" s="21">
        <v>15</v>
      </c>
      <c r="I22" s="21">
        <v>96</v>
      </c>
      <c r="J22" s="21">
        <v>92</v>
      </c>
      <c r="K22" s="21">
        <v>12</v>
      </c>
      <c r="L22" s="22">
        <f t="shared" si="11"/>
        <v>240</v>
      </c>
      <c r="Q22" s="20" t="s">
        <v>20</v>
      </c>
      <c r="R22" s="68">
        <f>CM24+AL20</f>
        <v>0</v>
      </c>
      <c r="S22" s="69">
        <f>CW22+AL4</f>
        <v>0</v>
      </c>
      <c r="T22" s="69">
        <f>CN24+AL19</f>
        <v>0</v>
      </c>
      <c r="U22" s="27">
        <f>CX22+AL4</f>
        <v>4</v>
      </c>
      <c r="V22" s="69">
        <f>CO24+AL21</f>
        <v>0</v>
      </c>
      <c r="W22" s="27">
        <f>CY22+AL6</f>
        <v>0</v>
      </c>
      <c r="X22" s="69">
        <f>CP24+AL22</f>
        <v>0</v>
      </c>
      <c r="Y22" s="27">
        <f>CZ22+AL7</f>
        <v>1</v>
      </c>
      <c r="Z22" s="27">
        <f t="shared" si="1"/>
        <v>0</v>
      </c>
      <c r="AA22" s="69">
        <f t="shared" si="2"/>
        <v>5</v>
      </c>
      <c r="AB22" s="4">
        <v>13200</v>
      </c>
      <c r="AC22" s="27">
        <f t="shared" si="3"/>
        <v>66000</v>
      </c>
      <c r="AE22" t="s">
        <v>42</v>
      </c>
      <c r="AH22" s="28"/>
      <c r="AI22" s="28"/>
      <c r="AJ22" s="63"/>
      <c r="AK22" s="63"/>
      <c r="AL22" s="63"/>
      <c r="AO22" s="39">
        <v>20</v>
      </c>
      <c r="AP22" s="40">
        <v>46212</v>
      </c>
      <c r="AQ22" s="41" t="s">
        <v>204</v>
      </c>
      <c r="AR22" s="42" t="s">
        <v>184</v>
      </c>
      <c r="AS22" s="31">
        <v>1554004</v>
      </c>
      <c r="AT22" s="31" t="s">
        <v>287</v>
      </c>
      <c r="AU22" s="43" t="s">
        <v>273</v>
      </c>
      <c r="AV22" s="6">
        <v>2</v>
      </c>
      <c r="AW22" s="44">
        <v>0</v>
      </c>
      <c r="AX22" s="44">
        <v>6</v>
      </c>
      <c r="AY22" s="44">
        <v>0</v>
      </c>
      <c r="AZ22" s="44">
        <v>0</v>
      </c>
      <c r="BA22" s="44">
        <v>0</v>
      </c>
      <c r="BB22" s="44">
        <v>0</v>
      </c>
      <c r="BC22" s="44">
        <v>0</v>
      </c>
      <c r="BD22" s="44">
        <v>0</v>
      </c>
      <c r="BE22" s="44"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0</v>
      </c>
      <c r="BK22" s="44">
        <v>0</v>
      </c>
      <c r="BL22" s="44">
        <v>0</v>
      </c>
      <c r="BM22" s="44">
        <v>0</v>
      </c>
      <c r="BN22" s="44">
        <v>2</v>
      </c>
      <c r="BO22" s="55">
        <v>150000</v>
      </c>
      <c r="BP22" s="40">
        <v>46212</v>
      </c>
      <c r="BQ22" s="39">
        <v>2</v>
      </c>
      <c r="BR22" s="59">
        <v>150000</v>
      </c>
      <c r="BS22" s="39" t="s">
        <v>109</v>
      </c>
      <c r="BT22" s="57">
        <v>0</v>
      </c>
      <c r="BU22" s="40">
        <v>46213</v>
      </c>
      <c r="BV22" s="8">
        <v>800000</v>
      </c>
      <c r="BW22" s="58"/>
      <c r="CL22" t="s">
        <v>18</v>
      </c>
      <c r="CM22" s="70">
        <v>0</v>
      </c>
      <c r="CN22" s="70">
        <v>0</v>
      </c>
      <c r="CO22" s="70">
        <v>0</v>
      </c>
      <c r="CP22" s="70">
        <v>0</v>
      </c>
      <c r="CQ22">
        <v>0</v>
      </c>
      <c r="CR22" t="s">
        <v>28</v>
      </c>
      <c r="CS22" s="1">
        <v>12000</v>
      </c>
      <c r="CT22" t="s">
        <v>28</v>
      </c>
      <c r="CV22" t="s">
        <v>20</v>
      </c>
      <c r="CW22">
        <v>0</v>
      </c>
      <c r="CX22">
        <v>4</v>
      </c>
      <c r="CY22">
        <v>0</v>
      </c>
      <c r="CZ22">
        <v>1</v>
      </c>
      <c r="DB22">
        <v>0</v>
      </c>
      <c r="DC22">
        <v>13200</v>
      </c>
      <c r="DD22">
        <v>0</v>
      </c>
      <c r="DF22" t="s">
        <v>18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31</v>
      </c>
      <c r="DM22">
        <v>0</v>
      </c>
      <c r="DN22">
        <v>0</v>
      </c>
      <c r="DO22">
        <v>0</v>
      </c>
      <c r="DP22">
        <v>31</v>
      </c>
      <c r="DQ22">
        <v>6</v>
      </c>
      <c r="DR22">
        <v>0</v>
      </c>
      <c r="DS22">
        <v>0</v>
      </c>
      <c r="DT22">
        <v>0</v>
      </c>
      <c r="DU22">
        <v>6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56</v>
      </c>
      <c r="EB22">
        <v>12000</v>
      </c>
      <c r="EC22">
        <v>672000</v>
      </c>
    </row>
    <row r="23" spans="1:133" x14ac:dyDescent="0.35">
      <c r="A23" s="12" t="s">
        <v>291</v>
      </c>
      <c r="B23" s="13">
        <v>300</v>
      </c>
      <c r="C23" s="14"/>
      <c r="D23" s="13">
        <f t="shared" ref="D23" si="26">C23+B23</f>
        <v>300</v>
      </c>
      <c r="F23" s="20" t="s">
        <v>20</v>
      </c>
      <c r="G23" s="21">
        <v>15</v>
      </c>
      <c r="H23" s="21">
        <v>0</v>
      </c>
      <c r="I23" s="21">
        <v>3</v>
      </c>
      <c r="J23" s="21">
        <v>54</v>
      </c>
      <c r="K23" s="21">
        <v>9</v>
      </c>
      <c r="L23" s="22">
        <f t="shared" si="11"/>
        <v>81</v>
      </c>
      <c r="Q23" s="20"/>
      <c r="R23" s="20"/>
      <c r="S23" s="27">
        <v>0</v>
      </c>
      <c r="T23" s="27"/>
      <c r="U23" s="27">
        <v>0</v>
      </c>
      <c r="V23" s="27">
        <f t="shared" si="25"/>
        <v>0</v>
      </c>
      <c r="W23" s="27">
        <v>0</v>
      </c>
      <c r="X23" s="27">
        <f t="shared" si="18"/>
        <v>0</v>
      </c>
      <c r="Y23" s="27">
        <v>0</v>
      </c>
      <c r="Z23" s="27">
        <f t="shared" si="1"/>
        <v>0</v>
      </c>
      <c r="AA23" s="27">
        <v>0</v>
      </c>
      <c r="AB23" s="4"/>
      <c r="AC23" s="27">
        <v>0</v>
      </c>
      <c r="AF23">
        <v>200</v>
      </c>
      <c r="AG23">
        <v>348</v>
      </c>
      <c r="AH23" s="28">
        <v>48</v>
      </c>
      <c r="AI23" s="28">
        <v>219</v>
      </c>
      <c r="AJ23">
        <v>129</v>
      </c>
      <c r="AK23">
        <v>300</v>
      </c>
      <c r="AL23" t="s">
        <v>170</v>
      </c>
      <c r="AO23" s="39">
        <v>21</v>
      </c>
      <c r="AP23" s="40">
        <v>46213</v>
      </c>
      <c r="AQ23" s="41" t="s">
        <v>204</v>
      </c>
      <c r="AR23" s="42" t="s">
        <v>184</v>
      </c>
      <c r="AS23" s="31"/>
      <c r="AT23" s="31" t="e">
        <v>#N/A</v>
      </c>
      <c r="AU23" s="43" t="s">
        <v>53</v>
      </c>
      <c r="AV23" s="6">
        <v>32</v>
      </c>
      <c r="AW23" s="44">
        <v>0</v>
      </c>
      <c r="AX23" s="44">
        <v>96</v>
      </c>
      <c r="AY23" s="44">
        <v>0</v>
      </c>
      <c r="AZ23" s="44">
        <v>0</v>
      </c>
      <c r="BA23" s="44">
        <v>0</v>
      </c>
      <c r="BB23" s="44">
        <v>0</v>
      </c>
      <c r="BC23" s="44">
        <v>0</v>
      </c>
      <c r="BD23" s="44">
        <v>0</v>
      </c>
      <c r="BE23" s="44"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0</v>
      </c>
      <c r="BK23" s="44">
        <v>0</v>
      </c>
      <c r="BL23" s="44">
        <v>0</v>
      </c>
      <c r="BM23" s="44">
        <v>0</v>
      </c>
      <c r="BN23" s="44">
        <v>32</v>
      </c>
      <c r="BO23" s="55">
        <v>2400000</v>
      </c>
      <c r="BP23" s="40"/>
      <c r="BQ23" s="39"/>
      <c r="BR23" s="59"/>
      <c r="BS23" s="39"/>
      <c r="BT23" s="57">
        <v>2400000</v>
      </c>
      <c r="BU23" s="40"/>
      <c r="BV23" s="8">
        <v>0</v>
      </c>
      <c r="BW23" s="58"/>
      <c r="CL23" t="s">
        <v>19</v>
      </c>
      <c r="CM23" s="70">
        <v>0</v>
      </c>
      <c r="CN23" s="70">
        <v>10</v>
      </c>
      <c r="CO23" s="70">
        <v>4</v>
      </c>
      <c r="CP23" s="70">
        <v>0</v>
      </c>
      <c r="CQ23">
        <v>14</v>
      </c>
      <c r="CR23">
        <v>24</v>
      </c>
      <c r="CS23" s="1">
        <v>9600</v>
      </c>
      <c r="CT23" s="1">
        <v>230400</v>
      </c>
      <c r="CV23" t="s">
        <v>50</v>
      </c>
      <c r="CW23">
        <v>364</v>
      </c>
      <c r="CX23">
        <v>523</v>
      </c>
      <c r="CY23">
        <v>370</v>
      </c>
      <c r="CZ23">
        <v>284</v>
      </c>
      <c r="DA23">
        <v>76</v>
      </c>
      <c r="DB23">
        <v>1617</v>
      </c>
      <c r="DD23">
        <v>29053050</v>
      </c>
      <c r="DF23" t="s">
        <v>19</v>
      </c>
      <c r="DG23">
        <v>30</v>
      </c>
      <c r="DH23">
        <v>35</v>
      </c>
      <c r="DI23">
        <v>0</v>
      </c>
      <c r="DJ23">
        <v>0</v>
      </c>
      <c r="DK23">
        <v>65</v>
      </c>
      <c r="DL23">
        <v>13</v>
      </c>
      <c r="DM23">
        <v>63</v>
      </c>
      <c r="DN23">
        <v>0</v>
      </c>
      <c r="DO23">
        <v>0</v>
      </c>
      <c r="DP23">
        <v>76</v>
      </c>
      <c r="DQ23">
        <v>35</v>
      </c>
      <c r="DR23">
        <v>7</v>
      </c>
      <c r="DS23">
        <v>0</v>
      </c>
      <c r="DT23">
        <v>0</v>
      </c>
      <c r="DU23">
        <v>42</v>
      </c>
      <c r="DV23">
        <v>12</v>
      </c>
      <c r="DW23">
        <v>15</v>
      </c>
      <c r="DX23">
        <v>0</v>
      </c>
      <c r="DY23">
        <v>0</v>
      </c>
      <c r="DZ23">
        <v>27</v>
      </c>
      <c r="EA23">
        <v>434</v>
      </c>
      <c r="EB23">
        <v>9600</v>
      </c>
      <c r="EC23">
        <v>4070400</v>
      </c>
    </row>
    <row r="24" spans="1:133" x14ac:dyDescent="0.35">
      <c r="F24" s="20"/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2">
        <f t="shared" si="11"/>
        <v>0</v>
      </c>
      <c r="Q24" s="20"/>
      <c r="R24" s="20"/>
      <c r="S24" s="27">
        <v>0</v>
      </c>
      <c r="T24" s="27"/>
      <c r="U24" s="27">
        <v>0</v>
      </c>
      <c r="V24" s="27"/>
      <c r="W24" s="27">
        <v>0</v>
      </c>
      <c r="X24" s="27"/>
      <c r="Y24" s="27">
        <v>0</v>
      </c>
      <c r="Z24" s="27">
        <f t="shared" si="1"/>
        <v>0</v>
      </c>
      <c r="AA24" s="27">
        <v>0</v>
      </c>
      <c r="AB24" s="4"/>
      <c r="AC24" s="27">
        <v>0</v>
      </c>
      <c r="AO24" s="39">
        <v>22</v>
      </c>
      <c r="AP24" s="40">
        <v>46213</v>
      </c>
      <c r="AQ24" s="41" t="s">
        <v>204</v>
      </c>
      <c r="AR24" s="42" t="s">
        <v>184</v>
      </c>
      <c r="AS24" s="31"/>
      <c r="AT24" s="31" t="e">
        <v>#N/A</v>
      </c>
      <c r="AU24" s="43" t="s">
        <v>41</v>
      </c>
      <c r="AV24" s="6">
        <v>31</v>
      </c>
      <c r="AW24" s="44">
        <v>0</v>
      </c>
      <c r="AX24" s="44">
        <v>93</v>
      </c>
      <c r="AY24" s="44">
        <v>0</v>
      </c>
      <c r="AZ24" s="44">
        <v>0</v>
      </c>
      <c r="BA24" s="44">
        <v>0</v>
      </c>
      <c r="BB24" s="44">
        <v>0</v>
      </c>
      <c r="BC24" s="44">
        <v>0</v>
      </c>
      <c r="BD24" s="44">
        <v>0</v>
      </c>
      <c r="BE24" s="44"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0</v>
      </c>
      <c r="BK24" s="44">
        <v>0</v>
      </c>
      <c r="BL24" s="44">
        <v>0</v>
      </c>
      <c r="BM24" s="44">
        <v>0</v>
      </c>
      <c r="BN24" s="44">
        <v>31</v>
      </c>
      <c r="BO24" s="55">
        <v>2325000</v>
      </c>
      <c r="BP24" s="40"/>
      <c r="BQ24" s="39"/>
      <c r="BR24" s="59"/>
      <c r="BS24" s="39"/>
      <c r="BT24" s="57">
        <v>2325000</v>
      </c>
      <c r="BU24" s="40"/>
      <c r="BV24" s="8">
        <v>0</v>
      </c>
      <c r="BW24" s="58"/>
      <c r="CL24" t="s">
        <v>20</v>
      </c>
      <c r="CM24" s="70">
        <v>0</v>
      </c>
      <c r="CN24" s="70">
        <v>0</v>
      </c>
      <c r="CO24" s="70">
        <v>0</v>
      </c>
      <c r="CP24" s="70">
        <v>0</v>
      </c>
      <c r="CQ24">
        <v>0</v>
      </c>
      <c r="CR24" t="s">
        <v>28</v>
      </c>
      <c r="CS24" s="1">
        <v>13200</v>
      </c>
      <c r="CT24" t="s">
        <v>28</v>
      </c>
      <c r="DF24" t="s">
        <v>20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4</v>
      </c>
      <c r="DN24">
        <v>0</v>
      </c>
      <c r="DO24">
        <v>0</v>
      </c>
      <c r="DP24">
        <v>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1</v>
      </c>
      <c r="EA24">
        <v>0</v>
      </c>
      <c r="EB24">
        <v>13200</v>
      </c>
      <c r="EC24">
        <v>0</v>
      </c>
    </row>
    <row r="25" spans="1:133" x14ac:dyDescent="0.35">
      <c r="F25" s="20"/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2">
        <f t="shared" si="11"/>
        <v>0</v>
      </c>
      <c r="Q25" s="23" t="s">
        <v>50</v>
      </c>
      <c r="R25" s="23"/>
      <c r="S25" s="19">
        <f>SUM(S4:S24)</f>
        <v>1077</v>
      </c>
      <c r="T25" s="19"/>
      <c r="U25" s="19">
        <f t="shared" ref="U25:AC25" si="27">SUM(U4:U24)</f>
        <v>1893</v>
      </c>
      <c r="V25" s="19"/>
      <c r="W25" s="19">
        <f t="shared" si="27"/>
        <v>1238</v>
      </c>
      <c r="X25" s="19"/>
      <c r="Y25" s="19">
        <f t="shared" si="27"/>
        <v>1329</v>
      </c>
      <c r="Z25" s="19">
        <f>SUM(Z4:Z24)</f>
        <v>27</v>
      </c>
      <c r="AA25" s="19">
        <f t="shared" si="27"/>
        <v>5537</v>
      </c>
      <c r="AB25" s="19"/>
      <c r="AC25" s="19">
        <f t="shared" si="27"/>
        <v>75100800</v>
      </c>
      <c r="AO25" s="39">
        <v>23</v>
      </c>
      <c r="AP25" s="40">
        <v>46213</v>
      </c>
      <c r="AQ25" s="41" t="s">
        <v>204</v>
      </c>
      <c r="AR25" s="42" t="s">
        <v>184</v>
      </c>
      <c r="AS25" s="31"/>
      <c r="AT25" s="31" t="e">
        <v>#N/A</v>
      </c>
      <c r="AU25" s="43" t="s">
        <v>42</v>
      </c>
      <c r="AV25" s="6">
        <v>32</v>
      </c>
      <c r="AW25" s="44">
        <v>0</v>
      </c>
      <c r="AX25" s="44">
        <v>96</v>
      </c>
      <c r="AY25" s="44">
        <v>0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0</v>
      </c>
      <c r="BK25" s="44">
        <v>0</v>
      </c>
      <c r="BL25" s="44">
        <v>0</v>
      </c>
      <c r="BM25" s="44">
        <v>0</v>
      </c>
      <c r="BN25" s="44">
        <v>32</v>
      </c>
      <c r="BO25" s="55">
        <v>2400000</v>
      </c>
      <c r="BP25" s="40"/>
      <c r="BQ25" s="39"/>
      <c r="BR25" s="59"/>
      <c r="BS25" s="39"/>
      <c r="BT25" s="57">
        <v>2400000</v>
      </c>
      <c r="BU25" s="40"/>
      <c r="BV25" s="8">
        <v>0</v>
      </c>
      <c r="BW25" s="58"/>
      <c r="CM25" s="70">
        <v>0</v>
      </c>
      <c r="CN25" s="70">
        <v>0</v>
      </c>
      <c r="CO25" s="70">
        <v>0</v>
      </c>
      <c r="CP25" s="70">
        <v>0</v>
      </c>
      <c r="CQ25" t="s">
        <v>28</v>
      </c>
      <c r="CR25" t="s">
        <v>28</v>
      </c>
      <c r="CT25" t="s">
        <v>28</v>
      </c>
      <c r="DF25" t="s">
        <v>50</v>
      </c>
      <c r="DG25">
        <v>132</v>
      </c>
      <c r="DH25">
        <v>162</v>
      </c>
      <c r="DI25">
        <v>120</v>
      </c>
      <c r="DJ25">
        <v>0</v>
      </c>
      <c r="DK25">
        <v>414</v>
      </c>
      <c r="DL25">
        <v>149</v>
      </c>
      <c r="DM25">
        <v>191</v>
      </c>
      <c r="DN25">
        <v>231</v>
      </c>
      <c r="DO25">
        <v>0</v>
      </c>
      <c r="DP25">
        <v>571</v>
      </c>
      <c r="DQ25">
        <v>95</v>
      </c>
      <c r="DR25">
        <v>191</v>
      </c>
      <c r="DS25">
        <v>231</v>
      </c>
      <c r="DT25">
        <v>0</v>
      </c>
      <c r="DU25">
        <v>517</v>
      </c>
      <c r="DV25">
        <v>80</v>
      </c>
      <c r="DW25">
        <v>88</v>
      </c>
      <c r="DX25">
        <v>121</v>
      </c>
      <c r="DY25">
        <v>0</v>
      </c>
      <c r="DZ25">
        <v>289</v>
      </c>
      <c r="EA25">
        <v>1791</v>
      </c>
      <c r="EC25">
        <v>31311900</v>
      </c>
    </row>
    <row r="26" spans="1:133" x14ac:dyDescent="0.35">
      <c r="F26" s="23" t="s">
        <v>27</v>
      </c>
      <c r="G26" s="24">
        <f t="shared" ref="G26:K26" si="28">SUM(G5:G25)</f>
        <v>511</v>
      </c>
      <c r="H26" s="24">
        <f t="shared" si="28"/>
        <v>747</v>
      </c>
      <c r="I26" s="24">
        <f t="shared" si="28"/>
        <v>536</v>
      </c>
      <c r="J26" s="24">
        <f t="shared" si="28"/>
        <v>935</v>
      </c>
      <c r="K26" s="24">
        <f t="shared" si="28"/>
        <v>105</v>
      </c>
      <c r="L26" s="24">
        <f>SUM(L5:L25)</f>
        <v>2834</v>
      </c>
      <c r="AO26" s="39">
        <v>24</v>
      </c>
      <c r="AP26" s="40">
        <v>46213</v>
      </c>
      <c r="AQ26" s="41" t="s">
        <v>204</v>
      </c>
      <c r="AR26" s="42" t="s">
        <v>184</v>
      </c>
      <c r="AS26" s="31"/>
      <c r="AT26" s="31" t="e">
        <v>#N/A</v>
      </c>
      <c r="AU26" s="43" t="s">
        <v>273</v>
      </c>
      <c r="AV26" s="6">
        <v>8</v>
      </c>
      <c r="AW26" s="44">
        <v>0</v>
      </c>
      <c r="AX26" s="44">
        <v>24</v>
      </c>
      <c r="AY26" s="44">
        <v>0</v>
      </c>
      <c r="AZ26" s="44">
        <v>0</v>
      </c>
      <c r="BA26" s="44">
        <v>0</v>
      </c>
      <c r="BB26" s="44">
        <v>0</v>
      </c>
      <c r="BC26" s="44">
        <v>0</v>
      </c>
      <c r="BD26" s="44">
        <v>0</v>
      </c>
      <c r="BE26" s="44"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0</v>
      </c>
      <c r="BK26" s="44">
        <v>0</v>
      </c>
      <c r="BL26" s="44">
        <v>0</v>
      </c>
      <c r="BM26" s="44">
        <v>0</v>
      </c>
      <c r="BN26" s="44">
        <v>8</v>
      </c>
      <c r="BO26" s="55">
        <v>600000</v>
      </c>
      <c r="BP26" s="40"/>
      <c r="BQ26" s="39"/>
      <c r="BR26" s="59"/>
      <c r="BS26" s="39"/>
      <c r="BT26" s="57">
        <v>600000</v>
      </c>
      <c r="BU26" s="40"/>
      <c r="BV26" s="8">
        <v>0</v>
      </c>
      <c r="BW26" s="58"/>
      <c r="CM26" s="70">
        <v>0</v>
      </c>
      <c r="CN26" s="70">
        <v>0</v>
      </c>
      <c r="CO26" s="70">
        <v>0</v>
      </c>
      <c r="CP26" s="70">
        <v>0</v>
      </c>
      <c r="CQ26" t="s">
        <v>28</v>
      </c>
      <c r="CR26" t="s">
        <v>28</v>
      </c>
      <c r="CT26" t="s">
        <v>28</v>
      </c>
    </row>
    <row r="27" spans="1:133" x14ac:dyDescent="0.35">
      <c r="AO27" s="39">
        <v>25</v>
      </c>
      <c r="AP27" s="40">
        <v>46214</v>
      </c>
      <c r="AQ27" s="41" t="s">
        <v>204</v>
      </c>
      <c r="AR27" s="42" t="s">
        <v>184</v>
      </c>
      <c r="AS27" s="31">
        <v>17383074</v>
      </c>
      <c r="AT27" s="31" t="s">
        <v>288</v>
      </c>
      <c r="AU27" s="43" t="s">
        <v>53</v>
      </c>
      <c r="AV27" s="6"/>
      <c r="AW27" s="44">
        <v>0</v>
      </c>
      <c r="AX27" s="44">
        <v>0</v>
      </c>
      <c r="AY27" s="44">
        <v>0</v>
      </c>
      <c r="AZ27" s="44">
        <v>0</v>
      </c>
      <c r="BA27" s="44">
        <v>0</v>
      </c>
      <c r="BB27" s="44">
        <v>0</v>
      </c>
      <c r="BC27" s="44">
        <v>0</v>
      </c>
      <c r="BD27" s="44">
        <v>0</v>
      </c>
      <c r="BE27" s="44">
        <v>0</v>
      </c>
      <c r="BF27" s="44">
        <v>0</v>
      </c>
      <c r="BG27" s="44">
        <v>0</v>
      </c>
      <c r="BH27" s="44">
        <v>0</v>
      </c>
      <c r="BI27" s="44">
        <v>0</v>
      </c>
      <c r="BJ27" s="44">
        <v>0</v>
      </c>
      <c r="BK27" s="44">
        <v>0</v>
      </c>
      <c r="BL27" s="44">
        <v>0</v>
      </c>
      <c r="BM27" s="44">
        <v>0</v>
      </c>
      <c r="BN27" s="44">
        <v>0</v>
      </c>
      <c r="BO27" s="55">
        <v>0</v>
      </c>
      <c r="BP27" s="40">
        <v>46214</v>
      </c>
      <c r="BQ27" s="39">
        <v>5</v>
      </c>
      <c r="BR27" s="59">
        <v>375000</v>
      </c>
      <c r="BS27" s="39" t="s">
        <v>109</v>
      </c>
      <c r="BT27" s="57">
        <v>-375000</v>
      </c>
      <c r="BU27" s="40">
        <v>46216</v>
      </c>
      <c r="BV27" s="8">
        <v>501000</v>
      </c>
      <c r="BW27" s="58"/>
      <c r="CL27" t="s">
        <v>27</v>
      </c>
      <c r="CM27">
        <v>16</v>
      </c>
      <c r="CN27">
        <v>40</v>
      </c>
      <c r="CO27">
        <v>33</v>
      </c>
      <c r="CP27">
        <v>15</v>
      </c>
      <c r="CQ27" t="s">
        <v>28</v>
      </c>
      <c r="CR27">
        <v>104</v>
      </c>
      <c r="CT27" s="1">
        <v>2191650</v>
      </c>
    </row>
    <row r="28" spans="1:133" x14ac:dyDescent="0.35">
      <c r="AO28" s="39">
        <v>26</v>
      </c>
      <c r="AP28" s="40">
        <v>46214</v>
      </c>
      <c r="AQ28" s="41" t="s">
        <v>204</v>
      </c>
      <c r="AR28" s="42" t="s">
        <v>184</v>
      </c>
      <c r="AS28" s="31">
        <v>17138377</v>
      </c>
      <c r="AT28" s="31" t="s">
        <v>253</v>
      </c>
      <c r="AU28" s="43" t="s">
        <v>42</v>
      </c>
      <c r="AV28" s="6"/>
      <c r="AW28" s="44">
        <v>0</v>
      </c>
      <c r="AX28" s="44">
        <v>0</v>
      </c>
      <c r="AY28" s="44">
        <v>0</v>
      </c>
      <c r="AZ28" s="44">
        <v>0</v>
      </c>
      <c r="BA28" s="44">
        <v>0</v>
      </c>
      <c r="BB28" s="44">
        <v>0</v>
      </c>
      <c r="BC28" s="44">
        <v>0</v>
      </c>
      <c r="BD28" s="44">
        <v>0</v>
      </c>
      <c r="BE28" s="44">
        <v>0</v>
      </c>
      <c r="BF28" s="44">
        <v>0</v>
      </c>
      <c r="BG28" s="44">
        <v>0</v>
      </c>
      <c r="BH28" s="44">
        <v>0</v>
      </c>
      <c r="BI28" s="44">
        <v>0</v>
      </c>
      <c r="BJ28" s="44">
        <v>0</v>
      </c>
      <c r="BK28" s="44">
        <v>0</v>
      </c>
      <c r="BL28" s="44">
        <v>0</v>
      </c>
      <c r="BM28" s="44">
        <v>0</v>
      </c>
      <c r="BN28" s="44">
        <v>0</v>
      </c>
      <c r="BO28" s="55">
        <v>0</v>
      </c>
      <c r="BP28" s="40">
        <v>46214</v>
      </c>
      <c r="BQ28" s="39">
        <v>10</v>
      </c>
      <c r="BR28" s="59">
        <v>750000</v>
      </c>
      <c r="BS28" s="39" t="s">
        <v>109</v>
      </c>
      <c r="BT28" s="57">
        <v>-750000</v>
      </c>
      <c r="BU28" s="40">
        <v>46216</v>
      </c>
      <c r="BV28" s="8">
        <v>1000000</v>
      </c>
      <c r="BW28" s="58"/>
    </row>
    <row r="29" spans="1:133" x14ac:dyDescent="0.35">
      <c r="A29" s="90" t="s">
        <v>51</v>
      </c>
      <c r="B29" s="91" t="s">
        <v>214</v>
      </c>
      <c r="C29" s="92" t="s">
        <v>215</v>
      </c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73"/>
      <c r="U29" s="93" t="s">
        <v>216</v>
      </c>
      <c r="V29" s="93"/>
      <c r="W29" s="93"/>
      <c r="X29" s="93" t="s">
        <v>217</v>
      </c>
      <c r="Y29" s="93"/>
      <c r="Z29" s="93"/>
      <c r="AA29" s="93"/>
      <c r="AB29" s="93"/>
      <c r="AC29" s="93"/>
      <c r="AD29" s="93"/>
      <c r="AE29" s="93"/>
      <c r="AF29" s="93"/>
      <c r="AG29" s="89" t="s">
        <v>218</v>
      </c>
      <c r="AO29" s="39">
        <v>27</v>
      </c>
      <c r="AP29" s="40">
        <v>46214</v>
      </c>
      <c r="AQ29" s="41" t="s">
        <v>204</v>
      </c>
      <c r="AR29" s="42" t="s">
        <v>184</v>
      </c>
      <c r="AS29" s="31">
        <v>17737026</v>
      </c>
      <c r="AT29" s="31" t="s">
        <v>258</v>
      </c>
      <c r="AU29" s="43" t="s">
        <v>53</v>
      </c>
      <c r="AV29" s="6"/>
      <c r="AW29" s="44">
        <v>0</v>
      </c>
      <c r="AX29" s="44">
        <v>0</v>
      </c>
      <c r="AY29" s="44">
        <v>0</v>
      </c>
      <c r="AZ29" s="44">
        <v>0</v>
      </c>
      <c r="BA29" s="44">
        <v>0</v>
      </c>
      <c r="BB29" s="44">
        <v>0</v>
      </c>
      <c r="BC29" s="44">
        <v>0</v>
      </c>
      <c r="BD29" s="44">
        <v>0</v>
      </c>
      <c r="BE29" s="44">
        <v>0</v>
      </c>
      <c r="BF29" s="44">
        <v>0</v>
      </c>
      <c r="BG29" s="44">
        <v>0</v>
      </c>
      <c r="BH29" s="44">
        <v>0</v>
      </c>
      <c r="BI29" s="44">
        <v>0</v>
      </c>
      <c r="BJ29" s="44">
        <v>0</v>
      </c>
      <c r="BK29" s="44">
        <v>0</v>
      </c>
      <c r="BL29" s="44">
        <v>0</v>
      </c>
      <c r="BM29" s="44">
        <v>0</v>
      </c>
      <c r="BN29" s="44">
        <v>0</v>
      </c>
      <c r="BO29" s="55">
        <v>0</v>
      </c>
      <c r="BP29" s="40">
        <v>46214</v>
      </c>
      <c r="BQ29" s="39">
        <v>6</v>
      </c>
      <c r="BR29" s="59">
        <v>450000</v>
      </c>
      <c r="BS29" s="39" t="s">
        <v>109</v>
      </c>
      <c r="BT29" s="57">
        <v>-450000</v>
      </c>
      <c r="BU29" s="40">
        <v>46216</v>
      </c>
      <c r="BV29" s="8">
        <v>201000</v>
      </c>
      <c r="BW29" s="58"/>
    </row>
    <row r="30" spans="1:133" x14ac:dyDescent="0.35">
      <c r="A30" s="90"/>
      <c r="B30" s="91"/>
      <c r="C30" s="74" t="s">
        <v>4</v>
      </c>
      <c r="D30" s="74" t="s">
        <v>52</v>
      </c>
      <c r="E30" s="74" t="s">
        <v>52</v>
      </c>
      <c r="F30" s="74" t="s">
        <v>219</v>
      </c>
      <c r="G30" s="74" t="s">
        <v>8</v>
      </c>
      <c r="H30" s="74" t="s">
        <v>169</v>
      </c>
      <c r="I30" s="74" t="s">
        <v>100</v>
      </c>
      <c r="J30" s="74" t="s">
        <v>101</v>
      </c>
      <c r="K30" s="74" t="s">
        <v>102</v>
      </c>
      <c r="L30" s="74" t="s">
        <v>112</v>
      </c>
      <c r="M30" s="74" t="s">
        <v>113</v>
      </c>
      <c r="N30" s="74" t="s">
        <v>114</v>
      </c>
      <c r="O30" s="74" t="s">
        <v>103</v>
      </c>
      <c r="P30" s="74" t="s">
        <v>115</v>
      </c>
      <c r="Q30" s="74" t="s">
        <v>116</v>
      </c>
      <c r="R30" s="74" t="s">
        <v>117</v>
      </c>
      <c r="S30" s="74" t="s">
        <v>104</v>
      </c>
      <c r="T30" s="74" t="s">
        <v>205</v>
      </c>
      <c r="U30" s="75" t="s">
        <v>220</v>
      </c>
      <c r="V30" s="75" t="s">
        <v>221</v>
      </c>
      <c r="W30" s="76" t="s">
        <v>222</v>
      </c>
      <c r="X30" s="76" t="s">
        <v>96</v>
      </c>
      <c r="Y30" s="76" t="s">
        <v>223</v>
      </c>
      <c r="Z30" s="76" t="s">
        <v>110</v>
      </c>
      <c r="AA30" s="76" t="s">
        <v>97</v>
      </c>
      <c r="AB30" s="76" t="s">
        <v>224</v>
      </c>
      <c r="AC30" s="76" t="s">
        <v>204</v>
      </c>
      <c r="AD30" s="76" t="s">
        <v>225</v>
      </c>
      <c r="AE30" s="76" t="s">
        <v>226</v>
      </c>
      <c r="AF30" s="77" t="s">
        <v>27</v>
      </c>
      <c r="AG30" s="89"/>
      <c r="AO30" s="39">
        <v>28</v>
      </c>
      <c r="AP30" s="40">
        <v>46214</v>
      </c>
      <c r="AQ30" s="41" t="s">
        <v>204</v>
      </c>
      <c r="AR30" s="42" t="s">
        <v>184</v>
      </c>
      <c r="AS30" s="31">
        <v>17675348</v>
      </c>
      <c r="AT30" s="31" t="s">
        <v>289</v>
      </c>
      <c r="AU30" s="31" t="s">
        <v>41</v>
      </c>
      <c r="AV30" s="6"/>
      <c r="AW30" s="44">
        <v>0</v>
      </c>
      <c r="AX30" s="44">
        <v>0</v>
      </c>
      <c r="AY30" s="44">
        <v>0</v>
      </c>
      <c r="AZ30" s="44">
        <v>0</v>
      </c>
      <c r="BA30" s="44">
        <v>0</v>
      </c>
      <c r="BB30" s="44">
        <v>0</v>
      </c>
      <c r="BC30" s="44">
        <v>0</v>
      </c>
      <c r="BD30" s="44">
        <v>0</v>
      </c>
      <c r="BE30" s="44"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0</v>
      </c>
      <c r="BK30" s="44">
        <v>0</v>
      </c>
      <c r="BL30" s="44">
        <v>0</v>
      </c>
      <c r="BM30" s="44">
        <v>0</v>
      </c>
      <c r="BN30" s="44">
        <v>0</v>
      </c>
      <c r="BO30" s="55">
        <v>0</v>
      </c>
      <c r="BP30" s="40">
        <v>46214</v>
      </c>
      <c r="BQ30" s="39">
        <v>5</v>
      </c>
      <c r="BR30" s="59">
        <v>375000</v>
      </c>
      <c r="BS30" s="39" t="s">
        <v>109</v>
      </c>
      <c r="BT30" s="57">
        <v>-375000</v>
      </c>
      <c r="BU30" s="40">
        <v>46216</v>
      </c>
      <c r="BV30" s="8">
        <v>601000</v>
      </c>
      <c r="BW30" s="58"/>
    </row>
    <row r="31" spans="1:133" x14ac:dyDescent="0.35">
      <c r="A31" s="43" t="s">
        <v>53</v>
      </c>
      <c r="B31" s="4" t="s">
        <v>184</v>
      </c>
      <c r="C31" s="78">
        <v>0</v>
      </c>
      <c r="D31" s="78">
        <v>218</v>
      </c>
      <c r="E31" s="78">
        <v>162</v>
      </c>
      <c r="F31" s="78">
        <v>0</v>
      </c>
      <c r="G31" s="78">
        <v>0</v>
      </c>
      <c r="H31" s="78">
        <v>27</v>
      </c>
      <c r="I31" s="78">
        <v>129</v>
      </c>
      <c r="J31" s="78">
        <v>0</v>
      </c>
      <c r="K31" s="78">
        <v>33</v>
      </c>
      <c r="L31" s="78">
        <v>0</v>
      </c>
      <c r="M31" s="78">
        <v>0</v>
      </c>
      <c r="N31" s="78">
        <v>0</v>
      </c>
      <c r="O31" s="78">
        <v>135</v>
      </c>
      <c r="P31" s="78">
        <v>0</v>
      </c>
      <c r="Q31" s="78">
        <v>0</v>
      </c>
      <c r="R31" s="78">
        <v>0</v>
      </c>
      <c r="S31" s="78">
        <v>0</v>
      </c>
      <c r="T31" s="78">
        <v>31</v>
      </c>
      <c r="U31" s="78">
        <v>10900800</v>
      </c>
      <c r="V31" s="78">
        <v>10900800</v>
      </c>
      <c r="W31" s="79">
        <v>0</v>
      </c>
      <c r="X31" s="80">
        <v>34</v>
      </c>
      <c r="Y31" s="80">
        <v>0</v>
      </c>
      <c r="Z31" s="80">
        <v>9</v>
      </c>
      <c r="AA31" s="80">
        <v>11</v>
      </c>
      <c r="AB31" s="80">
        <v>125</v>
      </c>
      <c r="AC31" s="81">
        <v>31</v>
      </c>
      <c r="AD31" s="81">
        <v>0</v>
      </c>
      <c r="AE31" s="81">
        <v>0</v>
      </c>
      <c r="AF31" s="81">
        <v>210</v>
      </c>
      <c r="AG31" s="81">
        <v>0</v>
      </c>
      <c r="AO31" s="39">
        <v>29</v>
      </c>
      <c r="AP31" s="40">
        <v>46214</v>
      </c>
      <c r="AQ31" s="41" t="s">
        <v>204</v>
      </c>
      <c r="AR31" s="42" t="s">
        <v>184</v>
      </c>
      <c r="AS31" s="31">
        <v>17260654</v>
      </c>
      <c r="AT31" s="31" t="s">
        <v>290</v>
      </c>
      <c r="AU31" s="31" t="s">
        <v>42</v>
      </c>
      <c r="AV31" s="6"/>
      <c r="AW31" s="44">
        <v>0</v>
      </c>
      <c r="AX31" s="44">
        <v>0</v>
      </c>
      <c r="AY31" s="44">
        <v>0</v>
      </c>
      <c r="AZ31" s="44">
        <v>0</v>
      </c>
      <c r="BA31" s="44">
        <v>0</v>
      </c>
      <c r="BB31" s="44">
        <v>0</v>
      </c>
      <c r="BC31" s="44">
        <v>0</v>
      </c>
      <c r="BD31" s="44">
        <v>0</v>
      </c>
      <c r="BE31" s="44"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0</v>
      </c>
      <c r="BK31" s="44">
        <v>0</v>
      </c>
      <c r="BL31" s="44">
        <v>0</v>
      </c>
      <c r="BM31" s="44">
        <v>0</v>
      </c>
      <c r="BN31" s="44">
        <v>0</v>
      </c>
      <c r="BO31" s="55">
        <v>0</v>
      </c>
      <c r="BP31" s="40">
        <v>46214</v>
      </c>
      <c r="BQ31" s="39">
        <v>10</v>
      </c>
      <c r="BR31" s="59">
        <v>750000</v>
      </c>
      <c r="BS31" s="39" t="s">
        <v>109</v>
      </c>
      <c r="BT31" s="57">
        <v>-750000</v>
      </c>
      <c r="BU31" s="40">
        <v>46216</v>
      </c>
      <c r="BV31" s="8">
        <v>3000100</v>
      </c>
      <c r="BW31" s="58"/>
    </row>
    <row r="32" spans="1:133" x14ac:dyDescent="0.35">
      <c r="A32" s="43" t="s">
        <v>54</v>
      </c>
      <c r="B32" s="4" t="s">
        <v>184</v>
      </c>
      <c r="C32" s="78">
        <v>0</v>
      </c>
      <c r="D32" s="78">
        <v>385</v>
      </c>
      <c r="E32" s="78">
        <v>114</v>
      </c>
      <c r="F32" s="78">
        <v>0</v>
      </c>
      <c r="G32" s="78">
        <v>0</v>
      </c>
      <c r="H32" s="78">
        <v>0</v>
      </c>
      <c r="I32" s="78">
        <v>87</v>
      </c>
      <c r="J32" s="78">
        <v>0</v>
      </c>
      <c r="K32" s="78">
        <v>27</v>
      </c>
      <c r="L32" s="78">
        <v>0</v>
      </c>
      <c r="M32" s="78">
        <v>0</v>
      </c>
      <c r="N32" s="78">
        <v>0</v>
      </c>
      <c r="O32" s="78">
        <v>114</v>
      </c>
      <c r="P32" s="78">
        <v>0</v>
      </c>
      <c r="Q32" s="78">
        <v>0</v>
      </c>
      <c r="R32" s="78">
        <v>0</v>
      </c>
      <c r="S32" s="78">
        <v>0</v>
      </c>
      <c r="T32" s="78">
        <v>24</v>
      </c>
      <c r="U32" s="78">
        <v>10917000</v>
      </c>
      <c r="V32" s="78">
        <v>10916800</v>
      </c>
      <c r="W32" s="79">
        <v>200</v>
      </c>
      <c r="X32" s="80">
        <v>29</v>
      </c>
      <c r="Y32" s="80">
        <v>0</v>
      </c>
      <c r="Z32" s="80">
        <v>0</v>
      </c>
      <c r="AA32" s="80">
        <v>9</v>
      </c>
      <c r="AB32" s="80">
        <v>313</v>
      </c>
      <c r="AC32" s="81">
        <v>24</v>
      </c>
      <c r="AD32" s="81">
        <v>0</v>
      </c>
      <c r="AE32" s="81">
        <v>0</v>
      </c>
      <c r="AF32" s="81">
        <v>375</v>
      </c>
      <c r="AG32" s="81">
        <v>8.0000000000000002E-3</v>
      </c>
      <c r="AO32" s="39">
        <v>30</v>
      </c>
      <c r="AP32" s="40">
        <v>46216</v>
      </c>
      <c r="AQ32" s="41" t="s">
        <v>204</v>
      </c>
      <c r="AR32" s="42" t="s">
        <v>184</v>
      </c>
      <c r="AS32" s="31"/>
      <c r="AT32" s="31" t="e">
        <v>#N/A</v>
      </c>
      <c r="AU32" s="31" t="s">
        <v>53</v>
      </c>
      <c r="AV32" s="6"/>
      <c r="AW32" s="44"/>
      <c r="AX32" s="44">
        <v>0</v>
      </c>
      <c r="AY32" s="44">
        <v>0</v>
      </c>
      <c r="AZ32" s="44">
        <v>0</v>
      </c>
      <c r="BA32" s="44">
        <v>0</v>
      </c>
      <c r="BB32" s="44">
        <v>0</v>
      </c>
      <c r="BC32" s="44">
        <v>0</v>
      </c>
      <c r="BD32" s="44">
        <v>0</v>
      </c>
      <c r="BE32" s="44">
        <v>0</v>
      </c>
      <c r="BF32" s="44">
        <v>0</v>
      </c>
      <c r="BG32" s="44">
        <v>0</v>
      </c>
      <c r="BH32" s="44">
        <v>0</v>
      </c>
      <c r="BI32" s="44">
        <v>0</v>
      </c>
      <c r="BJ32" s="44">
        <v>0</v>
      </c>
      <c r="BK32" s="44">
        <v>0</v>
      </c>
      <c r="BL32" s="44">
        <v>0</v>
      </c>
      <c r="BM32" s="44">
        <v>0</v>
      </c>
      <c r="BN32" s="44">
        <v>0</v>
      </c>
      <c r="BO32" s="55">
        <v>0</v>
      </c>
      <c r="BP32" s="40">
        <v>46216</v>
      </c>
      <c r="BQ32" s="39">
        <v>4</v>
      </c>
      <c r="BR32" s="59">
        <v>300000</v>
      </c>
      <c r="BS32" s="39" t="s">
        <v>109</v>
      </c>
      <c r="BT32" s="57">
        <v>-300000</v>
      </c>
      <c r="BU32" s="40"/>
      <c r="BV32" s="8">
        <v>0</v>
      </c>
      <c r="BW32" s="58"/>
    </row>
    <row r="33" spans="1:75" x14ac:dyDescent="0.35">
      <c r="A33" s="43" t="s">
        <v>41</v>
      </c>
      <c r="B33" s="4" t="s">
        <v>184</v>
      </c>
      <c r="C33" s="78">
        <v>0</v>
      </c>
      <c r="D33" s="78">
        <v>249</v>
      </c>
      <c r="E33" s="78">
        <v>126</v>
      </c>
      <c r="F33" s="78">
        <v>0</v>
      </c>
      <c r="G33" s="78">
        <v>0</v>
      </c>
      <c r="H33" s="78">
        <v>21</v>
      </c>
      <c r="I33" s="78">
        <v>45</v>
      </c>
      <c r="J33" s="78">
        <v>0</v>
      </c>
      <c r="K33" s="78">
        <v>81</v>
      </c>
      <c r="L33" s="78">
        <v>0</v>
      </c>
      <c r="M33" s="78">
        <v>0</v>
      </c>
      <c r="N33" s="78">
        <v>0</v>
      </c>
      <c r="O33" s="78">
        <v>105</v>
      </c>
      <c r="P33" s="78">
        <v>0</v>
      </c>
      <c r="Q33" s="78">
        <v>0</v>
      </c>
      <c r="R33" s="78">
        <v>0</v>
      </c>
      <c r="S33" s="78">
        <v>0</v>
      </c>
      <c r="T33" s="78">
        <v>33</v>
      </c>
      <c r="U33" s="78">
        <v>9981000</v>
      </c>
      <c r="V33" s="78">
        <v>9981400</v>
      </c>
      <c r="W33" s="79">
        <v>-400</v>
      </c>
      <c r="X33" s="80">
        <v>8</v>
      </c>
      <c r="Y33" s="80">
        <v>0</v>
      </c>
      <c r="Z33" s="80">
        <v>7</v>
      </c>
      <c r="AA33" s="80">
        <v>27</v>
      </c>
      <c r="AB33" s="80">
        <v>150</v>
      </c>
      <c r="AC33" s="81">
        <v>33</v>
      </c>
      <c r="AD33" s="81">
        <v>0</v>
      </c>
      <c r="AE33" s="81">
        <v>0</v>
      </c>
      <c r="AF33" s="81">
        <v>225</v>
      </c>
      <c r="AG33" s="81">
        <v>-1.6E-2</v>
      </c>
      <c r="AO33" s="39">
        <v>31</v>
      </c>
      <c r="AP33" s="40">
        <v>46216</v>
      </c>
      <c r="AQ33" s="41" t="s">
        <v>204</v>
      </c>
      <c r="AR33" s="42" t="s">
        <v>184</v>
      </c>
      <c r="AS33" s="31"/>
      <c r="AT33" s="31" t="e">
        <v>#N/A</v>
      </c>
      <c r="AU33" s="31" t="s">
        <v>273</v>
      </c>
      <c r="AV33" s="6"/>
      <c r="AW33" s="44"/>
      <c r="AX33" s="44">
        <v>0</v>
      </c>
      <c r="AY33" s="44">
        <v>0</v>
      </c>
      <c r="AZ33" s="44">
        <v>0</v>
      </c>
      <c r="BA33" s="44">
        <v>0</v>
      </c>
      <c r="BB33" s="44">
        <v>0</v>
      </c>
      <c r="BC33" s="44">
        <v>0</v>
      </c>
      <c r="BD33" s="44">
        <v>0</v>
      </c>
      <c r="BE33" s="44"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0</v>
      </c>
      <c r="BK33" s="44">
        <v>0</v>
      </c>
      <c r="BL33" s="44">
        <v>0</v>
      </c>
      <c r="BM33" s="44">
        <v>0</v>
      </c>
      <c r="BN33" s="44">
        <v>0</v>
      </c>
      <c r="BO33" s="55">
        <v>0</v>
      </c>
      <c r="BP33" s="40">
        <v>46216</v>
      </c>
      <c r="BQ33" s="39">
        <v>5</v>
      </c>
      <c r="BR33" s="59">
        <v>375000</v>
      </c>
      <c r="BS33" s="39" t="s">
        <v>109</v>
      </c>
      <c r="BT33" s="57">
        <v>-375000</v>
      </c>
      <c r="BU33" s="40"/>
      <c r="BV33" s="8">
        <v>0</v>
      </c>
      <c r="BW33" s="58"/>
    </row>
    <row r="34" spans="1:75" x14ac:dyDescent="0.35">
      <c r="A34" s="43" t="s">
        <v>42</v>
      </c>
      <c r="B34" s="4" t="s">
        <v>184</v>
      </c>
      <c r="C34" s="78">
        <v>0</v>
      </c>
      <c r="D34" s="78">
        <v>328</v>
      </c>
      <c r="E34" s="78">
        <v>63</v>
      </c>
      <c r="F34" s="78">
        <v>0</v>
      </c>
      <c r="G34" s="78">
        <v>0</v>
      </c>
      <c r="H34" s="78">
        <v>0</v>
      </c>
      <c r="I34" s="78">
        <v>12</v>
      </c>
      <c r="J34" s="78">
        <v>0</v>
      </c>
      <c r="K34" s="78">
        <v>51</v>
      </c>
      <c r="L34" s="78">
        <v>0</v>
      </c>
      <c r="M34" s="78">
        <v>0</v>
      </c>
      <c r="N34" s="78">
        <v>0</v>
      </c>
      <c r="O34" s="78">
        <v>63</v>
      </c>
      <c r="P34" s="78">
        <v>0</v>
      </c>
      <c r="Q34" s="78">
        <v>0</v>
      </c>
      <c r="R34" s="78">
        <v>0</v>
      </c>
      <c r="S34" s="78">
        <v>0</v>
      </c>
      <c r="T34" s="78">
        <v>76</v>
      </c>
      <c r="U34" s="78">
        <v>9672600</v>
      </c>
      <c r="V34" s="78">
        <v>9672900</v>
      </c>
      <c r="W34" s="79">
        <v>-300</v>
      </c>
      <c r="X34" s="80">
        <v>4</v>
      </c>
      <c r="Y34" s="80">
        <v>0</v>
      </c>
      <c r="Z34" s="80">
        <v>0</v>
      </c>
      <c r="AA34" s="80">
        <v>17</v>
      </c>
      <c r="AB34" s="80">
        <v>100</v>
      </c>
      <c r="AC34" s="81">
        <v>76</v>
      </c>
      <c r="AD34" s="81">
        <v>0</v>
      </c>
      <c r="AE34" s="81">
        <v>0</v>
      </c>
      <c r="AF34" s="81">
        <v>197</v>
      </c>
      <c r="AG34" s="81">
        <v>-1.2E-2</v>
      </c>
      <c r="AO34" s="39">
        <v>32</v>
      </c>
      <c r="AP34" s="40">
        <v>46216</v>
      </c>
      <c r="AQ34" s="41" t="s">
        <v>204</v>
      </c>
      <c r="AR34" s="42" t="s">
        <v>184</v>
      </c>
      <c r="AS34" s="31"/>
      <c r="AT34" s="31" t="e">
        <v>#N/A</v>
      </c>
      <c r="AU34" s="31" t="s">
        <v>41</v>
      </c>
      <c r="AV34" s="6"/>
      <c r="AW34" s="44"/>
      <c r="AX34" s="44">
        <v>0</v>
      </c>
      <c r="AY34" s="44">
        <v>0</v>
      </c>
      <c r="AZ34" s="44">
        <v>0</v>
      </c>
      <c r="BA34" s="44">
        <v>0</v>
      </c>
      <c r="BB34" s="44">
        <v>0</v>
      </c>
      <c r="BC34" s="44">
        <v>0</v>
      </c>
      <c r="BD34" s="44">
        <v>0</v>
      </c>
      <c r="BE34" s="44"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0</v>
      </c>
      <c r="BK34" s="44">
        <v>0</v>
      </c>
      <c r="BL34" s="44">
        <v>0</v>
      </c>
      <c r="BM34" s="44">
        <v>0</v>
      </c>
      <c r="BN34" s="44">
        <v>0</v>
      </c>
      <c r="BO34" s="55">
        <v>0</v>
      </c>
      <c r="BP34" s="40">
        <v>46216</v>
      </c>
      <c r="BQ34" s="39">
        <v>5</v>
      </c>
      <c r="BR34" s="59">
        <v>375000</v>
      </c>
      <c r="BS34" s="39" t="s">
        <v>109</v>
      </c>
      <c r="BT34" s="57">
        <v>-375000</v>
      </c>
      <c r="BU34" s="40"/>
      <c r="BV34" s="8">
        <v>0</v>
      </c>
      <c r="BW34" s="58"/>
    </row>
    <row r="35" spans="1:75" x14ac:dyDescent="0.35">
      <c r="AO35" s="39">
        <v>33</v>
      </c>
      <c r="AP35" s="40">
        <v>46216</v>
      </c>
      <c r="AQ35" s="41" t="s">
        <v>204</v>
      </c>
      <c r="AR35" s="42" t="s">
        <v>184</v>
      </c>
      <c r="AS35" s="31"/>
      <c r="AT35" s="31" t="e">
        <v>#N/A</v>
      </c>
      <c r="AU35" s="31" t="s">
        <v>42</v>
      </c>
      <c r="AV35" s="6"/>
      <c r="AW35" s="44"/>
      <c r="AX35" s="44">
        <v>0</v>
      </c>
      <c r="AY35" s="44">
        <v>0</v>
      </c>
      <c r="AZ35" s="44">
        <v>0</v>
      </c>
      <c r="BA35" s="44">
        <v>0</v>
      </c>
      <c r="BB35" s="44">
        <v>0</v>
      </c>
      <c r="BC35" s="44">
        <v>0</v>
      </c>
      <c r="BD35" s="44">
        <v>0</v>
      </c>
      <c r="BE35" s="44"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0</v>
      </c>
      <c r="BK35" s="44">
        <v>0</v>
      </c>
      <c r="BL35" s="44">
        <v>0</v>
      </c>
      <c r="BM35" s="44">
        <v>0</v>
      </c>
      <c r="BN35" s="44">
        <v>0</v>
      </c>
      <c r="BO35" s="55">
        <v>0</v>
      </c>
      <c r="BP35" s="40">
        <v>46216</v>
      </c>
      <c r="BQ35" s="39">
        <v>5</v>
      </c>
      <c r="BR35" s="59">
        <v>375000</v>
      </c>
      <c r="BS35" s="39" t="s">
        <v>109</v>
      </c>
      <c r="BT35" s="57">
        <v>-375000</v>
      </c>
      <c r="BU35" s="40"/>
      <c r="BV35" s="8">
        <v>0</v>
      </c>
      <c r="BW35" s="58"/>
    </row>
    <row r="36" spans="1:75" x14ac:dyDescent="0.35">
      <c r="A36" t="s">
        <v>85</v>
      </c>
      <c r="B36" t="s">
        <v>86</v>
      </c>
      <c r="C36" t="s">
        <v>87</v>
      </c>
      <c r="D36" t="s">
        <v>88</v>
      </c>
      <c r="E36" t="s">
        <v>89</v>
      </c>
      <c r="F36" t="s">
        <v>90</v>
      </c>
      <c r="G36" t="s">
        <v>51</v>
      </c>
      <c r="H36" t="s">
        <v>91</v>
      </c>
      <c r="I36" t="s">
        <v>92</v>
      </c>
      <c r="J36" t="s">
        <v>105</v>
      </c>
      <c r="K36" t="s">
        <v>106</v>
      </c>
      <c r="L36" t="s">
        <v>93</v>
      </c>
      <c r="M36" t="s">
        <v>118</v>
      </c>
      <c r="N36" t="s">
        <v>94</v>
      </c>
      <c r="O36" t="s">
        <v>95</v>
      </c>
      <c r="P36" t="s">
        <v>107</v>
      </c>
      <c r="R36" s="84" t="s">
        <v>227</v>
      </c>
      <c r="S36" t="s">
        <v>228</v>
      </c>
      <c r="T36" t="s">
        <v>229</v>
      </c>
      <c r="AO36" s="39">
        <v>34</v>
      </c>
      <c r="AP36" s="40">
        <v>46217</v>
      </c>
      <c r="AQ36" s="41" t="s">
        <v>204</v>
      </c>
      <c r="AR36" s="42" t="s">
        <v>184</v>
      </c>
      <c r="AS36" s="31"/>
      <c r="AT36" s="31" t="e">
        <v>#N/A</v>
      </c>
      <c r="AU36" s="31" t="s">
        <v>273</v>
      </c>
      <c r="AV36" s="6">
        <v>28</v>
      </c>
      <c r="AW36" s="44"/>
      <c r="AX36" s="44">
        <v>84</v>
      </c>
      <c r="AY36" s="44">
        <v>0</v>
      </c>
      <c r="AZ36" s="44">
        <v>0</v>
      </c>
      <c r="BA36" s="44">
        <v>0</v>
      </c>
      <c r="BB36" s="44">
        <v>0</v>
      </c>
      <c r="BC36" s="44">
        <v>0</v>
      </c>
      <c r="BD36" s="44">
        <v>0</v>
      </c>
      <c r="BE36" s="44"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0</v>
      </c>
      <c r="BK36" s="44">
        <v>0</v>
      </c>
      <c r="BL36" s="44">
        <v>0</v>
      </c>
      <c r="BM36" s="44">
        <v>0</v>
      </c>
      <c r="BN36" s="44">
        <v>28</v>
      </c>
      <c r="BO36" s="55">
        <v>2100000</v>
      </c>
      <c r="BP36" s="40"/>
      <c r="BQ36" s="39"/>
      <c r="BR36" s="59"/>
      <c r="BS36" s="39"/>
      <c r="BT36" s="57">
        <v>2100000</v>
      </c>
      <c r="BU36" s="40"/>
      <c r="BV36" s="8">
        <v>0</v>
      </c>
      <c r="BW36" s="58"/>
    </row>
    <row r="37" spans="1:75" x14ac:dyDescent="0.35">
      <c r="A37">
        <v>1</v>
      </c>
      <c r="B37" s="11">
        <v>46176</v>
      </c>
      <c r="C37" t="s">
        <v>224</v>
      </c>
      <c r="D37" t="s">
        <v>184</v>
      </c>
      <c r="F37" t="e">
        <v>#N/A</v>
      </c>
      <c r="G37" t="s">
        <v>53</v>
      </c>
      <c r="H37">
        <v>25</v>
      </c>
      <c r="I37">
        <v>375000</v>
      </c>
      <c r="J37" s="11">
        <v>46185</v>
      </c>
      <c r="K37">
        <v>25</v>
      </c>
      <c r="L37">
        <v>375000</v>
      </c>
      <c r="M37" t="s">
        <v>109</v>
      </c>
      <c r="N37">
        <v>0</v>
      </c>
      <c r="O37" s="11">
        <v>46188</v>
      </c>
      <c r="P37">
        <v>0</v>
      </c>
      <c r="R37" s="85" t="s">
        <v>54</v>
      </c>
      <c r="S37" s="28">
        <v>313</v>
      </c>
      <c r="T37" s="28">
        <v>313</v>
      </c>
      <c r="AO37" s="39">
        <v>35</v>
      </c>
      <c r="AP37" s="40"/>
      <c r="AQ37" s="41"/>
      <c r="AR37" s="42"/>
      <c r="AS37" s="31"/>
      <c r="AT37" s="31"/>
      <c r="AU37" s="31"/>
      <c r="AV37" s="6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55"/>
      <c r="BP37" s="40"/>
      <c r="BQ37" s="39"/>
      <c r="BR37" s="59"/>
      <c r="BS37" s="39"/>
      <c r="BT37" s="57"/>
      <c r="BU37" s="40"/>
      <c r="BV37" s="8"/>
      <c r="BW37" s="58"/>
    </row>
    <row r="38" spans="1:75" x14ac:dyDescent="0.35">
      <c r="A38">
        <v>2</v>
      </c>
      <c r="B38" s="11">
        <v>46176</v>
      </c>
      <c r="C38" t="s">
        <v>224</v>
      </c>
      <c r="D38" t="s">
        <v>184</v>
      </c>
      <c r="F38" t="e">
        <v>#N/A</v>
      </c>
      <c r="G38" t="s">
        <v>54</v>
      </c>
      <c r="H38">
        <v>25</v>
      </c>
      <c r="I38">
        <v>375000</v>
      </c>
      <c r="J38" s="11">
        <v>46184</v>
      </c>
      <c r="K38">
        <v>25</v>
      </c>
      <c r="L38">
        <v>375000</v>
      </c>
      <c r="M38" t="s">
        <v>109</v>
      </c>
      <c r="N38">
        <v>0</v>
      </c>
      <c r="O38" s="11">
        <v>46184</v>
      </c>
      <c r="P38">
        <v>0</v>
      </c>
      <c r="R38" s="85" t="s">
        <v>41</v>
      </c>
      <c r="S38" s="28">
        <v>150</v>
      </c>
      <c r="T38" s="28">
        <v>150</v>
      </c>
      <c r="AO38" s="39">
        <v>36</v>
      </c>
      <c r="AP38" s="40"/>
      <c r="AQ38" s="41"/>
      <c r="AR38" s="42"/>
      <c r="AS38" s="31"/>
      <c r="AT38" s="31"/>
      <c r="AU38" s="31"/>
      <c r="AV38" s="6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55"/>
      <c r="BP38" s="40"/>
      <c r="BQ38" s="39"/>
      <c r="BR38" s="59"/>
      <c r="BS38" s="39"/>
      <c r="BT38" s="57"/>
      <c r="BU38" s="40"/>
      <c r="BV38" s="8"/>
      <c r="BW38" s="58"/>
    </row>
    <row r="39" spans="1:75" x14ac:dyDescent="0.35">
      <c r="A39">
        <v>3</v>
      </c>
      <c r="B39" s="11">
        <v>46176</v>
      </c>
      <c r="C39" t="s">
        <v>224</v>
      </c>
      <c r="D39" t="s">
        <v>184</v>
      </c>
      <c r="F39" t="e">
        <v>#N/A</v>
      </c>
      <c r="G39" t="s">
        <v>41</v>
      </c>
      <c r="H39">
        <v>25</v>
      </c>
      <c r="I39">
        <v>375000</v>
      </c>
      <c r="J39" s="11">
        <v>46183</v>
      </c>
      <c r="K39">
        <v>25</v>
      </c>
      <c r="L39">
        <v>375000</v>
      </c>
      <c r="M39" t="s">
        <v>109</v>
      </c>
      <c r="N39">
        <v>0</v>
      </c>
      <c r="O39" s="11">
        <v>46183</v>
      </c>
      <c r="P39">
        <v>0</v>
      </c>
      <c r="R39" s="85" t="s">
        <v>53</v>
      </c>
      <c r="S39" s="28">
        <v>125</v>
      </c>
      <c r="T39" s="28">
        <v>126</v>
      </c>
      <c r="AO39" s="39">
        <v>37</v>
      </c>
      <c r="AP39" s="40"/>
      <c r="AQ39" s="41"/>
      <c r="AR39" s="42"/>
      <c r="AS39" s="31"/>
      <c r="AT39" s="31"/>
      <c r="AU39" s="31"/>
      <c r="AV39" s="6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55"/>
      <c r="BP39" s="40"/>
      <c r="BQ39" s="39"/>
      <c r="BR39" s="59"/>
      <c r="BS39" s="39"/>
      <c r="BT39" s="57"/>
      <c r="BU39" s="40"/>
      <c r="BV39" s="8"/>
      <c r="BW39" s="58"/>
    </row>
    <row r="40" spans="1:75" x14ac:dyDescent="0.35">
      <c r="A40">
        <v>4</v>
      </c>
      <c r="B40" s="11">
        <v>46176</v>
      </c>
      <c r="C40" t="s">
        <v>224</v>
      </c>
      <c r="D40" t="s">
        <v>184</v>
      </c>
      <c r="F40" t="e">
        <v>#N/A</v>
      </c>
      <c r="G40" t="s">
        <v>42</v>
      </c>
      <c r="H40">
        <v>25</v>
      </c>
      <c r="I40">
        <v>375000</v>
      </c>
      <c r="J40" s="11">
        <v>46185</v>
      </c>
      <c r="K40">
        <v>25</v>
      </c>
      <c r="L40">
        <v>375000</v>
      </c>
      <c r="M40" t="s">
        <v>109</v>
      </c>
      <c r="N40">
        <v>0</v>
      </c>
      <c r="O40" s="11">
        <v>46188</v>
      </c>
      <c r="P40">
        <v>0</v>
      </c>
      <c r="R40" s="85" t="s">
        <v>42</v>
      </c>
      <c r="S40" s="28">
        <v>100</v>
      </c>
      <c r="T40" s="28">
        <v>100</v>
      </c>
      <c r="AO40" s="39">
        <v>38</v>
      </c>
      <c r="AP40" s="40"/>
      <c r="AQ40" s="41"/>
      <c r="AR40" s="42"/>
      <c r="AS40" s="31"/>
      <c r="AT40" s="31"/>
      <c r="AU40" s="31"/>
      <c r="AV40" s="6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55"/>
      <c r="BP40" s="40"/>
      <c r="BQ40" s="39"/>
      <c r="BR40" s="59"/>
      <c r="BS40" s="39"/>
      <c r="BT40" s="57"/>
      <c r="BU40" s="40"/>
      <c r="BV40" s="8"/>
      <c r="BW40" s="58"/>
    </row>
    <row r="41" spans="1:75" x14ac:dyDescent="0.35">
      <c r="A41">
        <v>82</v>
      </c>
      <c r="B41" s="11">
        <v>46185</v>
      </c>
      <c r="C41" t="s">
        <v>224</v>
      </c>
      <c r="D41" t="s">
        <v>184</v>
      </c>
      <c r="F41" t="e">
        <v>#N/A</v>
      </c>
      <c r="G41" t="s">
        <v>53</v>
      </c>
      <c r="H41">
        <v>25</v>
      </c>
      <c r="I41">
        <v>375000</v>
      </c>
      <c r="J41" s="11">
        <v>46202</v>
      </c>
      <c r="K41">
        <v>25</v>
      </c>
      <c r="L41">
        <v>375000</v>
      </c>
      <c r="M41" t="s">
        <v>109</v>
      </c>
      <c r="N41">
        <v>0</v>
      </c>
      <c r="O41" s="11">
        <v>46203</v>
      </c>
      <c r="P41">
        <v>0</v>
      </c>
      <c r="R41" s="85" t="s">
        <v>43</v>
      </c>
      <c r="S41" s="28">
        <v>688</v>
      </c>
      <c r="T41" s="28">
        <v>689</v>
      </c>
      <c r="AO41" s="39">
        <v>39</v>
      </c>
      <c r="AP41" s="40"/>
      <c r="AQ41" s="41"/>
      <c r="AR41" s="42"/>
      <c r="AS41" s="31"/>
      <c r="AT41" s="31"/>
      <c r="AU41" s="31"/>
      <c r="AV41" s="6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55"/>
      <c r="BP41" s="40"/>
      <c r="BQ41" s="39"/>
      <c r="BR41" s="59"/>
      <c r="BS41" s="39"/>
      <c r="BT41" s="57"/>
      <c r="BU41" s="40"/>
      <c r="BV41" s="8"/>
      <c r="BW41" s="58"/>
    </row>
    <row r="42" spans="1:75" x14ac:dyDescent="0.35">
      <c r="A42">
        <v>83</v>
      </c>
      <c r="B42" s="11">
        <v>46185</v>
      </c>
      <c r="C42" t="s">
        <v>224</v>
      </c>
      <c r="D42" t="s">
        <v>184</v>
      </c>
      <c r="F42" t="e">
        <v>#N/A</v>
      </c>
      <c r="G42" t="s">
        <v>54</v>
      </c>
      <c r="H42">
        <v>25</v>
      </c>
      <c r="I42">
        <v>375000</v>
      </c>
      <c r="J42" s="11">
        <v>46193</v>
      </c>
      <c r="K42">
        <v>25</v>
      </c>
      <c r="L42">
        <v>375000</v>
      </c>
      <c r="M42" t="s">
        <v>109</v>
      </c>
      <c r="N42">
        <v>0</v>
      </c>
      <c r="O42" s="11">
        <v>46193</v>
      </c>
      <c r="P42">
        <v>0</v>
      </c>
      <c r="AO42" s="39">
        <v>40</v>
      </c>
      <c r="AP42" s="40"/>
      <c r="AQ42" s="41"/>
      <c r="AR42" s="42"/>
      <c r="AS42" s="42"/>
      <c r="AT42" s="31"/>
      <c r="AU42" s="31"/>
      <c r="AV42" s="6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55"/>
      <c r="BP42" s="40"/>
      <c r="BQ42" s="39"/>
      <c r="BR42" s="59"/>
      <c r="BS42" s="39"/>
      <c r="BT42" s="57"/>
      <c r="BU42" s="40"/>
      <c r="BV42" s="8"/>
      <c r="BW42" s="58"/>
    </row>
    <row r="43" spans="1:75" x14ac:dyDescent="0.35">
      <c r="A43">
        <v>84</v>
      </c>
      <c r="B43" s="11">
        <v>46185</v>
      </c>
      <c r="C43" t="s">
        <v>224</v>
      </c>
      <c r="D43" t="s">
        <v>184</v>
      </c>
      <c r="F43" t="e">
        <v>#N/A</v>
      </c>
      <c r="G43" t="s">
        <v>41</v>
      </c>
      <c r="H43">
        <v>25</v>
      </c>
      <c r="I43">
        <v>375000</v>
      </c>
      <c r="J43" s="11">
        <v>46190</v>
      </c>
      <c r="K43">
        <v>25</v>
      </c>
      <c r="L43">
        <v>375000</v>
      </c>
      <c r="M43" t="s">
        <v>109</v>
      </c>
      <c r="N43">
        <v>0</v>
      </c>
      <c r="O43" s="11">
        <v>46190</v>
      </c>
      <c r="P43">
        <v>0</v>
      </c>
      <c r="AO43" s="39">
        <v>41</v>
      </c>
      <c r="AP43" s="40"/>
      <c r="AQ43" s="41"/>
      <c r="AR43" s="42"/>
      <c r="AS43" s="42"/>
      <c r="AT43" s="31"/>
      <c r="AU43" s="31"/>
      <c r="AV43" s="6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55"/>
      <c r="BP43" s="40"/>
      <c r="BQ43" s="39"/>
      <c r="BR43" s="59"/>
      <c r="BS43" s="39"/>
      <c r="BT43" s="57"/>
      <c r="BU43" s="40"/>
      <c r="BV43" s="8"/>
      <c r="BW43" s="58"/>
    </row>
    <row r="44" spans="1:75" x14ac:dyDescent="0.35">
      <c r="A44">
        <v>85</v>
      </c>
      <c r="B44" s="11">
        <v>46185</v>
      </c>
      <c r="C44" t="s">
        <v>224</v>
      </c>
      <c r="D44" t="s">
        <v>184</v>
      </c>
      <c r="F44" t="e">
        <v>#N/A</v>
      </c>
      <c r="G44" t="s">
        <v>42</v>
      </c>
      <c r="H44">
        <v>25</v>
      </c>
      <c r="I44">
        <v>375000</v>
      </c>
      <c r="J44" s="11">
        <v>46196</v>
      </c>
      <c r="K44">
        <v>25</v>
      </c>
      <c r="L44">
        <v>375000</v>
      </c>
      <c r="M44" t="s">
        <v>109</v>
      </c>
      <c r="N44">
        <v>0</v>
      </c>
      <c r="O44" s="11">
        <v>46197</v>
      </c>
      <c r="P44">
        <v>0</v>
      </c>
      <c r="AO44" s="39">
        <v>42</v>
      </c>
      <c r="AP44" s="40"/>
      <c r="AQ44" s="41"/>
      <c r="AR44" s="42"/>
      <c r="AS44" s="42"/>
      <c r="AT44" s="31"/>
      <c r="AU44" s="31"/>
      <c r="AV44" s="6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55"/>
      <c r="BP44" s="40"/>
      <c r="BQ44" s="39"/>
      <c r="BR44" s="59"/>
      <c r="BS44" s="39"/>
      <c r="BT44" s="57"/>
      <c r="BU44" s="40"/>
      <c r="BV44" s="8"/>
      <c r="BW44" s="58"/>
    </row>
    <row r="45" spans="1:75" x14ac:dyDescent="0.35">
      <c r="A45">
        <v>134</v>
      </c>
      <c r="B45" s="11">
        <v>46193</v>
      </c>
      <c r="C45" t="s">
        <v>224</v>
      </c>
      <c r="D45" t="s">
        <v>184</v>
      </c>
      <c r="F45" t="e">
        <v>#N/A</v>
      </c>
      <c r="G45" t="s">
        <v>54</v>
      </c>
      <c r="H45">
        <v>50</v>
      </c>
      <c r="I45">
        <v>750000</v>
      </c>
      <c r="J45" s="11">
        <v>46193</v>
      </c>
      <c r="K45">
        <v>30</v>
      </c>
      <c r="L45">
        <v>450000</v>
      </c>
      <c r="M45" t="s">
        <v>109</v>
      </c>
      <c r="N45">
        <v>300000</v>
      </c>
      <c r="O45" s="11">
        <v>46195</v>
      </c>
      <c r="P45">
        <v>0</v>
      </c>
      <c r="AO45" s="39">
        <v>43</v>
      </c>
      <c r="AP45" s="40"/>
      <c r="AQ45" s="41"/>
      <c r="AR45" s="42"/>
      <c r="AS45" s="42"/>
      <c r="AT45" s="31"/>
      <c r="AU45" s="43"/>
      <c r="AV45" s="6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55"/>
      <c r="BP45" s="40"/>
      <c r="BQ45" s="39"/>
      <c r="BR45" s="59"/>
      <c r="BS45" s="39"/>
      <c r="BT45" s="57"/>
      <c r="BU45" s="40"/>
      <c r="BV45" s="8"/>
      <c r="BW45" s="58"/>
    </row>
    <row r="46" spans="1:75" x14ac:dyDescent="0.35">
      <c r="A46">
        <v>135</v>
      </c>
      <c r="B46" s="11">
        <v>46193</v>
      </c>
      <c r="C46" t="s">
        <v>224</v>
      </c>
      <c r="D46" t="s">
        <v>184</v>
      </c>
      <c r="F46" t="e">
        <v>#N/A</v>
      </c>
      <c r="G46" t="s">
        <v>53</v>
      </c>
      <c r="H46">
        <v>50</v>
      </c>
      <c r="I46">
        <v>750000</v>
      </c>
      <c r="J46" s="11">
        <v>46203</v>
      </c>
      <c r="K46">
        <v>50</v>
      </c>
      <c r="L46">
        <v>750000</v>
      </c>
      <c r="M46" t="s">
        <v>109</v>
      </c>
      <c r="N46">
        <v>0</v>
      </c>
      <c r="O46" s="11">
        <v>46204</v>
      </c>
      <c r="P46">
        <v>0</v>
      </c>
      <c r="AO46" s="39">
        <v>44</v>
      </c>
      <c r="AP46" s="40"/>
      <c r="AQ46" s="41"/>
      <c r="AR46" s="42"/>
      <c r="AS46" s="42"/>
      <c r="AT46" s="31"/>
      <c r="AU46" s="43"/>
      <c r="AV46" s="6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55"/>
      <c r="BP46" s="40"/>
      <c r="BQ46" s="39"/>
      <c r="BR46" s="59"/>
      <c r="BS46" s="39"/>
      <c r="BT46" s="57"/>
      <c r="BU46" s="40"/>
      <c r="BV46" s="8"/>
      <c r="BW46" s="58"/>
    </row>
    <row r="47" spans="1:75" x14ac:dyDescent="0.35">
      <c r="A47">
        <v>136</v>
      </c>
      <c r="B47" s="11">
        <v>46193</v>
      </c>
      <c r="C47" t="s">
        <v>224</v>
      </c>
      <c r="D47" t="s">
        <v>184</v>
      </c>
      <c r="F47" t="e">
        <v>#N/A</v>
      </c>
      <c r="G47" t="s">
        <v>41</v>
      </c>
      <c r="H47">
        <v>50</v>
      </c>
      <c r="I47">
        <v>750000</v>
      </c>
      <c r="J47" s="11">
        <v>46195</v>
      </c>
      <c r="K47">
        <v>20</v>
      </c>
      <c r="L47">
        <v>300000</v>
      </c>
      <c r="M47" t="s">
        <v>109</v>
      </c>
      <c r="N47">
        <v>450000</v>
      </c>
      <c r="O47" s="11">
        <v>46195</v>
      </c>
      <c r="P47">
        <v>0</v>
      </c>
      <c r="AO47" s="39">
        <v>45</v>
      </c>
      <c r="AP47" s="40"/>
      <c r="AQ47" s="41"/>
      <c r="AR47" s="42"/>
      <c r="AS47" s="42"/>
      <c r="AT47" s="31"/>
      <c r="AU47" s="43"/>
      <c r="AV47" s="6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55"/>
      <c r="BP47" s="40"/>
      <c r="BQ47" s="39"/>
      <c r="BR47" s="59"/>
      <c r="BS47" s="39"/>
      <c r="BT47" s="57"/>
      <c r="BU47" s="40"/>
      <c r="BV47" s="8"/>
      <c r="BW47" s="58"/>
    </row>
    <row r="48" spans="1:75" x14ac:dyDescent="0.35">
      <c r="A48">
        <v>137</v>
      </c>
      <c r="B48" s="11">
        <v>46193</v>
      </c>
      <c r="C48" t="s">
        <v>224</v>
      </c>
      <c r="D48" t="s">
        <v>184</v>
      </c>
      <c r="F48" t="e">
        <v>#N/A</v>
      </c>
      <c r="G48" t="s">
        <v>42</v>
      </c>
      <c r="H48">
        <v>50</v>
      </c>
      <c r="I48">
        <v>750000</v>
      </c>
      <c r="J48" s="11">
        <v>46196</v>
      </c>
      <c r="K48">
        <v>25</v>
      </c>
      <c r="L48">
        <v>375000</v>
      </c>
      <c r="M48" t="s">
        <v>109</v>
      </c>
      <c r="N48">
        <v>375000</v>
      </c>
      <c r="O48" s="11">
        <v>46197</v>
      </c>
      <c r="P48">
        <v>0</v>
      </c>
      <c r="AO48" s="39">
        <v>46</v>
      </c>
      <c r="AP48" s="40"/>
      <c r="AQ48" s="41"/>
      <c r="AR48" s="42"/>
      <c r="AS48" s="42"/>
      <c r="AT48" s="31"/>
      <c r="AU48" s="43"/>
      <c r="AV48" s="6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55"/>
      <c r="BP48" s="40"/>
      <c r="BQ48" s="39"/>
      <c r="BR48" s="55"/>
      <c r="BS48" s="39"/>
      <c r="BT48" s="57"/>
      <c r="BU48" s="40"/>
      <c r="BV48" s="8"/>
      <c r="BW48" s="58"/>
    </row>
    <row r="49" spans="1:75" x14ac:dyDescent="0.35">
      <c r="A49">
        <v>154</v>
      </c>
      <c r="B49" s="11">
        <v>46196</v>
      </c>
      <c r="C49" t="s">
        <v>224</v>
      </c>
      <c r="D49" t="s">
        <v>184</v>
      </c>
      <c r="F49" t="e">
        <v>#N/A</v>
      </c>
      <c r="G49" t="s">
        <v>54</v>
      </c>
      <c r="I49">
        <v>0</v>
      </c>
      <c r="J49" s="11">
        <v>46196</v>
      </c>
      <c r="K49">
        <v>10</v>
      </c>
      <c r="L49">
        <v>150000</v>
      </c>
      <c r="M49" t="s">
        <v>109</v>
      </c>
      <c r="N49">
        <v>-150000</v>
      </c>
      <c r="O49" s="11">
        <v>46197</v>
      </c>
      <c r="P49">
        <v>0</v>
      </c>
      <c r="AO49" s="39">
        <v>47</v>
      </c>
      <c r="AP49" s="40"/>
      <c r="AQ49" s="41"/>
      <c r="AR49" s="42"/>
      <c r="AS49" s="42"/>
      <c r="AT49" s="31"/>
      <c r="AU49" s="43"/>
      <c r="AV49" s="6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55"/>
      <c r="BP49" s="40"/>
      <c r="BQ49" s="39"/>
      <c r="BR49" s="55"/>
      <c r="BS49" s="39"/>
      <c r="BT49" s="57"/>
      <c r="BU49" s="40"/>
      <c r="BV49" s="8"/>
      <c r="BW49" s="58"/>
    </row>
    <row r="50" spans="1:75" x14ac:dyDescent="0.35">
      <c r="A50">
        <v>155</v>
      </c>
      <c r="B50" s="11">
        <v>46196</v>
      </c>
      <c r="C50" t="s">
        <v>224</v>
      </c>
      <c r="D50" t="s">
        <v>184</v>
      </c>
      <c r="F50" t="e">
        <v>#N/A</v>
      </c>
      <c r="G50" t="s">
        <v>41</v>
      </c>
      <c r="I50">
        <v>0</v>
      </c>
      <c r="J50" s="11">
        <v>46196</v>
      </c>
      <c r="K50">
        <v>20</v>
      </c>
      <c r="L50">
        <v>300000</v>
      </c>
      <c r="M50" t="s">
        <v>109</v>
      </c>
      <c r="N50">
        <v>-300000</v>
      </c>
      <c r="O50" s="11">
        <v>46197</v>
      </c>
      <c r="P50">
        <v>0</v>
      </c>
      <c r="AO50" s="39">
        <v>48</v>
      </c>
      <c r="AP50" s="40"/>
      <c r="AQ50" s="41"/>
      <c r="AR50" s="42"/>
      <c r="AS50" s="42"/>
      <c r="AT50" s="31"/>
      <c r="AU50" s="43"/>
      <c r="AV50" s="6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55"/>
      <c r="BP50" s="40"/>
      <c r="BQ50" s="39"/>
      <c r="BR50" s="55"/>
      <c r="BS50" s="39"/>
      <c r="BT50" s="57"/>
      <c r="BU50" s="40"/>
      <c r="BV50" s="8"/>
      <c r="BW50" s="58"/>
    </row>
    <row r="51" spans="1:75" x14ac:dyDescent="0.35">
      <c r="A51">
        <v>196</v>
      </c>
      <c r="B51" s="11">
        <v>46198</v>
      </c>
      <c r="C51" t="s">
        <v>224</v>
      </c>
      <c r="D51" t="s">
        <v>184</v>
      </c>
      <c r="F51" t="e">
        <v>#N/A</v>
      </c>
      <c r="G51" t="s">
        <v>41</v>
      </c>
      <c r="I51">
        <v>0</v>
      </c>
      <c r="J51" s="11">
        <v>46198</v>
      </c>
      <c r="K51">
        <v>10</v>
      </c>
      <c r="L51">
        <v>150000</v>
      </c>
      <c r="M51" t="s">
        <v>109</v>
      </c>
      <c r="N51">
        <v>-150000</v>
      </c>
      <c r="O51" s="11">
        <v>46199</v>
      </c>
      <c r="P51">
        <v>0</v>
      </c>
      <c r="AO51" s="39">
        <v>49</v>
      </c>
      <c r="AP51" s="40"/>
      <c r="AQ51" s="41"/>
      <c r="AR51" s="42"/>
      <c r="AS51" s="42"/>
      <c r="AT51" s="31"/>
      <c r="AU51" s="43"/>
      <c r="AV51" s="6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55"/>
      <c r="BP51" s="40"/>
      <c r="BQ51" s="39"/>
      <c r="BR51" s="55"/>
      <c r="BS51" s="39"/>
      <c r="BT51" s="57"/>
      <c r="BU51" s="40"/>
      <c r="BV51" s="8"/>
      <c r="BW51" s="58"/>
    </row>
    <row r="52" spans="1:75" x14ac:dyDescent="0.35">
      <c r="A52">
        <v>207</v>
      </c>
      <c r="B52" s="11">
        <v>46202</v>
      </c>
      <c r="C52" t="s">
        <v>224</v>
      </c>
      <c r="G52" t="s">
        <v>54</v>
      </c>
      <c r="I52">
        <v>0</v>
      </c>
      <c r="J52" s="11">
        <v>46202</v>
      </c>
      <c r="K52">
        <v>10</v>
      </c>
      <c r="L52">
        <v>150000</v>
      </c>
      <c r="M52" t="s">
        <v>109</v>
      </c>
      <c r="N52">
        <v>-150000</v>
      </c>
      <c r="O52" s="11">
        <v>46203</v>
      </c>
      <c r="P52">
        <v>0</v>
      </c>
      <c r="AO52" s="39">
        <v>50</v>
      </c>
      <c r="AP52" s="40"/>
      <c r="AQ52" s="41"/>
      <c r="AR52" s="42"/>
      <c r="AS52" s="42"/>
      <c r="AT52" s="31"/>
      <c r="AU52" s="43"/>
      <c r="AV52" s="6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55"/>
      <c r="BP52" s="40"/>
      <c r="BQ52" s="39"/>
      <c r="BR52" s="55"/>
      <c r="BS52" s="39"/>
      <c r="BT52" s="57"/>
      <c r="BU52" s="40"/>
      <c r="BV52" s="8"/>
      <c r="BW52" s="58"/>
    </row>
    <row r="53" spans="1:75" x14ac:dyDescent="0.35">
      <c r="A53">
        <v>208</v>
      </c>
      <c r="B53" s="11">
        <v>46203</v>
      </c>
      <c r="C53" t="s">
        <v>224</v>
      </c>
      <c r="D53" t="s">
        <v>184</v>
      </c>
      <c r="F53" t="e">
        <v>#N/A</v>
      </c>
      <c r="G53" t="s">
        <v>53</v>
      </c>
      <c r="H53">
        <v>25</v>
      </c>
      <c r="I53">
        <v>375000</v>
      </c>
      <c r="J53">
        <v>46203</v>
      </c>
      <c r="K53">
        <v>25</v>
      </c>
      <c r="L53">
        <v>375000</v>
      </c>
      <c r="M53" t="s">
        <v>109</v>
      </c>
      <c r="N53">
        <v>0</v>
      </c>
      <c r="O53" s="11">
        <v>46204</v>
      </c>
      <c r="P53">
        <v>0</v>
      </c>
      <c r="AO53" s="39">
        <v>51</v>
      </c>
      <c r="AP53" s="40"/>
      <c r="AQ53" s="41"/>
      <c r="AR53" s="42"/>
      <c r="AS53" s="42"/>
      <c r="AT53" s="31"/>
      <c r="AU53" s="43"/>
      <c r="AV53" s="6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55"/>
      <c r="BP53" s="40"/>
      <c r="BQ53" s="39"/>
      <c r="BR53" s="55"/>
      <c r="BS53" s="39"/>
      <c r="BT53" s="57"/>
      <c r="BU53" s="40"/>
      <c r="BV53" s="8"/>
      <c r="BW53" s="58"/>
    </row>
    <row r="54" spans="1:75" x14ac:dyDescent="0.35">
      <c r="A54">
        <v>209</v>
      </c>
      <c r="B54" s="11">
        <v>46203</v>
      </c>
      <c r="C54" t="s">
        <v>224</v>
      </c>
      <c r="D54" t="s">
        <v>184</v>
      </c>
      <c r="F54" t="e">
        <v>#N/A</v>
      </c>
      <c r="G54" t="s">
        <v>54</v>
      </c>
      <c r="H54">
        <v>213</v>
      </c>
      <c r="I54">
        <v>3195000</v>
      </c>
      <c r="J54">
        <v>46203</v>
      </c>
      <c r="K54">
        <v>213</v>
      </c>
      <c r="L54">
        <v>3195000</v>
      </c>
      <c r="M54" t="s">
        <v>109</v>
      </c>
      <c r="N54">
        <v>0</v>
      </c>
      <c r="O54" s="11">
        <v>46204</v>
      </c>
      <c r="P54">
        <v>0</v>
      </c>
      <c r="AO54" s="39">
        <v>52</v>
      </c>
      <c r="AP54" s="40"/>
      <c r="AQ54" s="41"/>
      <c r="AR54" s="42"/>
      <c r="AS54" s="42"/>
      <c r="AT54" s="31"/>
      <c r="AU54" s="43"/>
      <c r="AV54" s="6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55"/>
      <c r="BP54" s="40"/>
      <c r="BQ54" s="39"/>
      <c r="BR54" s="55"/>
      <c r="BS54" s="39"/>
      <c r="BT54" s="57"/>
      <c r="BU54" s="40"/>
      <c r="BV54" s="8"/>
      <c r="BW54" s="58"/>
    </row>
    <row r="55" spans="1:75" x14ac:dyDescent="0.35">
      <c r="A55">
        <v>210</v>
      </c>
      <c r="B55" s="11">
        <v>46203</v>
      </c>
      <c r="C55" t="s">
        <v>224</v>
      </c>
      <c r="D55" t="s">
        <v>184</v>
      </c>
      <c r="F55" t="e">
        <v>#N/A</v>
      </c>
      <c r="G55" t="s">
        <v>41</v>
      </c>
      <c r="H55">
        <v>50</v>
      </c>
      <c r="I55">
        <v>750000</v>
      </c>
      <c r="J55">
        <v>46203</v>
      </c>
      <c r="K55">
        <v>50</v>
      </c>
      <c r="L55">
        <v>750000</v>
      </c>
      <c r="M55" t="s">
        <v>109</v>
      </c>
      <c r="N55">
        <v>0</v>
      </c>
      <c r="O55" s="11">
        <v>46204</v>
      </c>
      <c r="P55">
        <v>0</v>
      </c>
      <c r="AO55" s="39">
        <v>53</v>
      </c>
      <c r="AP55" s="40"/>
      <c r="AQ55" s="41"/>
      <c r="AR55" s="42"/>
      <c r="AS55" s="42"/>
      <c r="AT55" s="31"/>
      <c r="AU55" s="43"/>
      <c r="AV55" s="6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55"/>
      <c r="BP55" s="40"/>
      <c r="BQ55" s="39"/>
      <c r="BR55" s="55"/>
      <c r="BS55" s="39"/>
      <c r="BT55" s="57"/>
      <c r="BU55" s="40"/>
      <c r="BV55" s="8"/>
      <c r="BW55" s="58"/>
    </row>
    <row r="56" spans="1:75" x14ac:dyDescent="0.35">
      <c r="A56">
        <v>211</v>
      </c>
      <c r="B56" s="11">
        <v>46203</v>
      </c>
      <c r="C56" t="s">
        <v>224</v>
      </c>
      <c r="D56" t="s">
        <v>184</v>
      </c>
      <c r="F56" t="e">
        <v>#N/A</v>
      </c>
      <c r="G56" t="s">
        <v>42</v>
      </c>
      <c r="I56">
        <v>0</v>
      </c>
      <c r="J56">
        <v>46203</v>
      </c>
      <c r="K56">
        <v>25</v>
      </c>
      <c r="L56">
        <v>375000</v>
      </c>
      <c r="M56" t="s">
        <v>109</v>
      </c>
      <c r="N56">
        <v>-375000</v>
      </c>
      <c r="O56" s="11">
        <v>46204</v>
      </c>
      <c r="P56">
        <v>0</v>
      </c>
      <c r="AO56" s="39">
        <v>54</v>
      </c>
      <c r="AP56" s="40"/>
      <c r="AQ56" s="41"/>
      <c r="AR56" s="42"/>
      <c r="AS56" s="42"/>
      <c r="AT56" s="31"/>
      <c r="AU56" s="43"/>
      <c r="AV56" s="6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55"/>
      <c r="BP56" s="40"/>
      <c r="BQ56" s="39"/>
      <c r="BR56" s="55"/>
      <c r="BS56" s="39"/>
      <c r="BT56" s="57"/>
      <c r="BU56" s="40"/>
      <c r="BV56" s="8"/>
      <c r="BW56" s="58"/>
    </row>
    <row r="57" spans="1:75" x14ac:dyDescent="0.35">
      <c r="B57" s="11">
        <v>46203</v>
      </c>
      <c r="C57" t="s">
        <v>224</v>
      </c>
      <c r="D57" t="s">
        <v>184</v>
      </c>
      <c r="F57" t="e">
        <v>#N/A</v>
      </c>
      <c r="G57" t="s">
        <v>53</v>
      </c>
      <c r="I57">
        <v>0</v>
      </c>
      <c r="J57">
        <v>46203</v>
      </c>
      <c r="K57">
        <v>1</v>
      </c>
      <c r="L57">
        <v>25000</v>
      </c>
      <c r="M57" t="s">
        <v>109</v>
      </c>
      <c r="N57">
        <v>-25000</v>
      </c>
      <c r="O57">
        <v>46204</v>
      </c>
      <c r="AO57" s="39">
        <v>55</v>
      </c>
      <c r="AP57" s="40"/>
      <c r="AQ57" s="41"/>
      <c r="AR57" s="42"/>
      <c r="AS57" s="31"/>
      <c r="AT57" s="31"/>
      <c r="AU57" s="43"/>
      <c r="AV57" s="6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55"/>
      <c r="BP57" s="40"/>
      <c r="BQ57" s="39"/>
      <c r="BR57" s="55"/>
      <c r="BS57" s="39"/>
      <c r="BT57" s="57"/>
      <c r="BU57" s="40"/>
      <c r="BV57" s="8"/>
      <c r="BW57" s="58"/>
    </row>
    <row r="58" spans="1:75" x14ac:dyDescent="0.35">
      <c r="AO58" s="39">
        <v>56</v>
      </c>
      <c r="AP58" s="40"/>
      <c r="AQ58" s="41"/>
      <c r="AR58" s="42"/>
      <c r="AS58" s="31"/>
      <c r="AT58" s="31"/>
      <c r="AU58" s="43"/>
      <c r="AV58" s="6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55"/>
      <c r="BP58" s="40"/>
      <c r="BQ58" s="39"/>
      <c r="BR58" s="55"/>
      <c r="BS58" s="39"/>
      <c r="BT58" s="57"/>
      <c r="BU58" s="40"/>
      <c r="BV58" s="8"/>
      <c r="BW58" s="58"/>
    </row>
    <row r="59" spans="1:75" x14ac:dyDescent="0.35">
      <c r="AO59" s="39">
        <v>57</v>
      </c>
      <c r="AP59" s="40"/>
      <c r="AQ59" s="41"/>
      <c r="AR59" s="42"/>
      <c r="AS59" s="31"/>
      <c r="AT59" s="31"/>
      <c r="AU59" s="43"/>
      <c r="AV59" s="6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55"/>
      <c r="BP59" s="40"/>
      <c r="BQ59" s="39"/>
      <c r="BR59" s="55"/>
      <c r="BS59" s="39"/>
      <c r="BT59" s="57"/>
      <c r="BU59" s="40"/>
      <c r="BV59" s="8"/>
      <c r="BW59" s="58"/>
    </row>
    <row r="60" spans="1:75" x14ac:dyDescent="0.35">
      <c r="AO60" s="39">
        <v>58</v>
      </c>
      <c r="AP60" s="40"/>
      <c r="AQ60" s="41"/>
      <c r="AR60" s="42"/>
      <c r="AS60" s="31"/>
      <c r="AT60" s="31"/>
      <c r="AU60" s="43"/>
      <c r="AV60" s="6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55"/>
      <c r="BP60" s="40"/>
      <c r="BQ60" s="39"/>
      <c r="BR60" s="55"/>
      <c r="BS60" s="39"/>
      <c r="BT60" s="57"/>
      <c r="BU60" s="40"/>
      <c r="BV60" s="8"/>
      <c r="BW60" s="58"/>
    </row>
    <row r="61" spans="1:75" x14ac:dyDescent="0.35">
      <c r="AO61" s="39">
        <v>59</v>
      </c>
      <c r="AP61" s="40"/>
      <c r="AQ61" s="41"/>
      <c r="AR61" s="42"/>
      <c r="AS61" s="31"/>
      <c r="AT61" s="31"/>
      <c r="AU61" s="43"/>
      <c r="AV61" s="6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55"/>
      <c r="BP61" s="40"/>
      <c r="BQ61" s="39"/>
      <c r="BR61" s="55"/>
      <c r="BS61" s="39"/>
      <c r="BT61" s="57"/>
      <c r="BU61" s="40"/>
      <c r="BV61" s="8"/>
      <c r="BW61" s="58"/>
    </row>
    <row r="62" spans="1:75" x14ac:dyDescent="0.35">
      <c r="AO62" s="39">
        <v>60</v>
      </c>
      <c r="AP62" s="40"/>
      <c r="AQ62" s="41"/>
      <c r="AR62" s="42"/>
      <c r="AS62" s="31"/>
      <c r="AT62" s="31"/>
      <c r="AU62" s="43"/>
      <c r="AV62" s="6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55"/>
      <c r="BP62" s="40"/>
      <c r="BQ62" s="39"/>
      <c r="BR62" s="55"/>
      <c r="BS62" s="39"/>
      <c r="BT62" s="57"/>
      <c r="BU62" s="40"/>
      <c r="BV62" s="8"/>
      <c r="BW62" s="58"/>
    </row>
    <row r="63" spans="1:75" x14ac:dyDescent="0.35">
      <c r="AO63" s="39">
        <v>61</v>
      </c>
      <c r="AP63" s="40"/>
      <c r="AQ63" s="41"/>
      <c r="AR63" s="42"/>
      <c r="AS63" s="31"/>
      <c r="AT63" s="31"/>
      <c r="AU63" s="31"/>
      <c r="AV63" s="6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55"/>
      <c r="BP63" s="40"/>
      <c r="BQ63" s="39"/>
      <c r="BR63" s="55"/>
      <c r="BS63" s="39"/>
      <c r="BT63" s="57"/>
      <c r="BU63" s="40"/>
      <c r="BV63" s="8"/>
      <c r="BW63" s="58"/>
    </row>
    <row r="64" spans="1:75" x14ac:dyDescent="0.35">
      <c r="AO64" s="39">
        <v>62</v>
      </c>
      <c r="AP64" s="40"/>
      <c r="AQ64" s="41"/>
      <c r="AR64" s="42"/>
      <c r="AS64" s="31"/>
      <c r="AT64" s="31"/>
      <c r="AU64" s="31"/>
      <c r="AV64" s="6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55"/>
      <c r="BP64" s="40"/>
      <c r="BQ64" s="39"/>
      <c r="BR64" s="55"/>
      <c r="BS64" s="39"/>
      <c r="BT64" s="57"/>
      <c r="BU64" s="40"/>
      <c r="BV64" s="8"/>
      <c r="BW64" s="58"/>
    </row>
    <row r="65" spans="1:75" x14ac:dyDescent="0.35">
      <c r="AO65" s="39">
        <v>63</v>
      </c>
      <c r="AP65" s="40"/>
      <c r="AQ65" s="41"/>
      <c r="AR65" s="42"/>
      <c r="AS65" s="31"/>
      <c r="AT65" s="31"/>
      <c r="AU65" s="31"/>
      <c r="AV65" s="6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55"/>
      <c r="BP65" s="40"/>
      <c r="BQ65" s="39"/>
      <c r="BR65" s="55"/>
      <c r="BS65" s="39"/>
      <c r="BT65" s="57"/>
      <c r="BU65" s="40"/>
      <c r="BV65" s="8"/>
      <c r="BW65" s="58"/>
    </row>
    <row r="66" spans="1:75" x14ac:dyDescent="0.35">
      <c r="AO66" s="39">
        <v>64</v>
      </c>
      <c r="AP66" s="40"/>
      <c r="AQ66" s="41"/>
      <c r="AR66" s="42"/>
      <c r="AS66" s="31"/>
      <c r="AT66" s="31"/>
      <c r="AU66" s="31"/>
      <c r="AV66" s="6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55"/>
      <c r="BP66" s="40"/>
      <c r="BQ66" s="39"/>
      <c r="BR66" s="55"/>
      <c r="BS66" s="39"/>
      <c r="BT66" s="57"/>
      <c r="BU66" s="40"/>
      <c r="BV66" s="8"/>
      <c r="BW66" s="58"/>
    </row>
    <row r="67" spans="1:75" x14ac:dyDescent="0.35">
      <c r="AO67" s="39">
        <v>65</v>
      </c>
      <c r="AP67" s="40"/>
      <c r="AQ67" s="41"/>
      <c r="AR67" s="42"/>
      <c r="AS67" s="31"/>
      <c r="AT67" s="31"/>
      <c r="AU67" s="31"/>
      <c r="AV67" s="6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55"/>
      <c r="BP67" s="40"/>
      <c r="BQ67" s="39"/>
      <c r="BR67" s="55"/>
      <c r="BS67" s="39"/>
      <c r="BT67" s="57"/>
      <c r="BU67" s="40"/>
      <c r="BV67" s="8"/>
      <c r="BW67" s="58"/>
    </row>
    <row r="68" spans="1:75" x14ac:dyDescent="0.35">
      <c r="AO68" s="39">
        <v>66</v>
      </c>
      <c r="AP68" s="40"/>
      <c r="AQ68" s="41"/>
      <c r="AR68" s="42"/>
      <c r="AS68" s="31"/>
      <c r="AT68" s="31"/>
      <c r="AU68" s="31"/>
      <c r="AV68" s="6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55"/>
      <c r="BP68" s="40"/>
      <c r="BQ68" s="39"/>
      <c r="BR68" s="59"/>
      <c r="BS68" s="39"/>
      <c r="BT68" s="57"/>
      <c r="BU68" s="40"/>
      <c r="BV68" s="8"/>
      <c r="BW68" s="58"/>
    </row>
    <row r="69" spans="1:75" x14ac:dyDescent="0.35">
      <c r="AO69" s="39">
        <v>67</v>
      </c>
      <c r="AP69" s="40"/>
      <c r="AQ69" s="41"/>
      <c r="AR69" s="42"/>
      <c r="AS69" s="31"/>
      <c r="AT69" s="31"/>
      <c r="AU69" s="31"/>
      <c r="AV69" s="6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55"/>
      <c r="BP69" s="40"/>
      <c r="BQ69" s="39"/>
      <c r="BR69" s="59"/>
      <c r="BS69" s="39"/>
      <c r="BT69" s="57"/>
      <c r="BU69" s="40"/>
      <c r="BV69" s="8"/>
      <c r="BW69" s="58"/>
    </row>
    <row r="70" spans="1:75" x14ac:dyDescent="0.35">
      <c r="A70" t="s">
        <v>85</v>
      </c>
      <c r="B70" t="s">
        <v>86</v>
      </c>
      <c r="C70" t="s">
        <v>87</v>
      </c>
      <c r="D70" t="s">
        <v>88</v>
      </c>
      <c r="E70" t="s">
        <v>89</v>
      </c>
      <c r="F70" t="s">
        <v>90</v>
      </c>
      <c r="G70" t="s">
        <v>51</v>
      </c>
      <c r="H70" t="s">
        <v>91</v>
      </c>
      <c r="I70" t="s">
        <v>4</v>
      </c>
      <c r="J70" t="s">
        <v>52</v>
      </c>
      <c r="K70" t="s">
        <v>99</v>
      </c>
      <c r="L70" t="s">
        <v>7</v>
      </c>
      <c r="M70" t="s">
        <v>8</v>
      </c>
      <c r="N70" t="s">
        <v>111</v>
      </c>
      <c r="O70" t="s">
        <v>100</v>
      </c>
      <c r="P70" t="s">
        <v>101</v>
      </c>
      <c r="Q70" t="s">
        <v>102</v>
      </c>
      <c r="R70" t="s">
        <v>112</v>
      </c>
      <c r="S70" t="s">
        <v>113</v>
      </c>
      <c r="T70" t="s">
        <v>114</v>
      </c>
      <c r="U70" t="s">
        <v>103</v>
      </c>
      <c r="V70" t="s">
        <v>115</v>
      </c>
      <c r="W70" t="s">
        <v>116</v>
      </c>
      <c r="X70" t="s">
        <v>117</v>
      </c>
      <c r="Y70" t="s">
        <v>104</v>
      </c>
      <c r="Z70" t="s">
        <v>205</v>
      </c>
      <c r="AA70" t="s">
        <v>92</v>
      </c>
      <c r="AB70" t="s">
        <v>105</v>
      </c>
      <c r="AC70" t="s">
        <v>106</v>
      </c>
      <c r="AD70" t="s">
        <v>93</v>
      </c>
      <c r="AE70" t="s">
        <v>118</v>
      </c>
      <c r="AF70" t="s">
        <v>94</v>
      </c>
      <c r="AG70" t="s">
        <v>95</v>
      </c>
      <c r="AI70" s="84" t="s">
        <v>227</v>
      </c>
      <c r="AJ70" t="s">
        <v>257</v>
      </c>
      <c r="AK70" t="s">
        <v>272</v>
      </c>
      <c r="AO70" s="39">
        <v>68</v>
      </c>
      <c r="AP70" s="40"/>
      <c r="AQ70" s="41"/>
      <c r="AR70" s="42"/>
      <c r="AS70" s="31"/>
      <c r="AT70" s="31"/>
      <c r="AU70" s="31"/>
      <c r="AV70" s="6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55"/>
      <c r="BP70" s="40"/>
      <c r="BQ70" s="39"/>
      <c r="BR70" s="59"/>
      <c r="BS70" s="39"/>
      <c r="BT70" s="57"/>
      <c r="BU70" s="40"/>
      <c r="BV70" s="8"/>
      <c r="BW70" s="58"/>
    </row>
    <row r="71" spans="1:75" x14ac:dyDescent="0.35">
      <c r="A71">
        <v>166</v>
      </c>
      <c r="B71" s="11">
        <v>46197</v>
      </c>
      <c r="C71" t="s">
        <v>204</v>
      </c>
      <c r="D71" t="s">
        <v>184</v>
      </c>
      <c r="E71">
        <v>17734713</v>
      </c>
      <c r="F71" t="s">
        <v>230</v>
      </c>
      <c r="G71" t="s">
        <v>53</v>
      </c>
      <c r="H71">
        <v>1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75000</v>
      </c>
      <c r="AB71" s="11">
        <v>46197</v>
      </c>
      <c r="AC71">
        <v>1</v>
      </c>
      <c r="AD71">
        <v>75000</v>
      </c>
      <c r="AE71" t="s">
        <v>109</v>
      </c>
      <c r="AF71">
        <v>0</v>
      </c>
      <c r="AG71">
        <v>46198</v>
      </c>
      <c r="AI71" s="85" t="s">
        <v>54</v>
      </c>
      <c r="AJ71" s="28">
        <v>72</v>
      </c>
      <c r="AK71" s="28">
        <v>24</v>
      </c>
      <c r="AO71" s="39">
        <v>69</v>
      </c>
      <c r="AP71" s="40"/>
      <c r="AQ71" s="41"/>
      <c r="AR71" s="42"/>
      <c r="AS71" s="31"/>
      <c r="AT71" s="31"/>
      <c r="AU71" s="31"/>
      <c r="AV71" s="6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55"/>
      <c r="BP71" s="40"/>
      <c r="BQ71" s="39"/>
      <c r="BR71" s="59"/>
      <c r="BS71" s="39"/>
      <c r="BT71" s="57"/>
      <c r="BU71" s="40"/>
      <c r="BV71" s="8"/>
      <c r="BW71" s="58"/>
    </row>
    <row r="72" spans="1:75" x14ac:dyDescent="0.35">
      <c r="A72">
        <v>167</v>
      </c>
      <c r="B72" s="11">
        <v>46197</v>
      </c>
      <c r="C72" t="s">
        <v>204</v>
      </c>
      <c r="D72" t="s">
        <v>184</v>
      </c>
      <c r="E72">
        <v>17787825</v>
      </c>
      <c r="F72" t="s">
        <v>231</v>
      </c>
      <c r="G72" t="s">
        <v>53</v>
      </c>
      <c r="H72">
        <v>1</v>
      </c>
      <c r="I72">
        <v>0</v>
      </c>
      <c r="J72">
        <v>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75000</v>
      </c>
      <c r="AB72" s="11">
        <v>46197</v>
      </c>
      <c r="AC72">
        <v>1</v>
      </c>
      <c r="AD72">
        <v>75000</v>
      </c>
      <c r="AE72" t="s">
        <v>109</v>
      </c>
      <c r="AF72">
        <v>0</v>
      </c>
      <c r="AG72">
        <v>46198</v>
      </c>
      <c r="AI72" s="85" t="s">
        <v>41</v>
      </c>
      <c r="AJ72" s="28">
        <v>99</v>
      </c>
      <c r="AK72" s="28">
        <v>33</v>
      </c>
      <c r="AO72" s="39">
        <v>70</v>
      </c>
      <c r="AP72" s="40"/>
      <c r="AQ72" s="41"/>
      <c r="AR72" s="42"/>
      <c r="AS72" s="31"/>
      <c r="AT72" s="31"/>
      <c r="AU72" s="31"/>
      <c r="AV72" s="6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55"/>
      <c r="BP72" s="40"/>
      <c r="BQ72" s="39"/>
      <c r="BR72" s="59"/>
      <c r="BS72" s="39"/>
      <c r="BT72" s="57"/>
      <c r="BU72" s="40"/>
      <c r="BV72" s="8"/>
      <c r="BW72" s="58"/>
    </row>
    <row r="73" spans="1:75" x14ac:dyDescent="0.35">
      <c r="A73">
        <v>168</v>
      </c>
      <c r="B73" s="11">
        <v>46197</v>
      </c>
      <c r="C73" t="s">
        <v>204</v>
      </c>
      <c r="D73" t="s">
        <v>184</v>
      </c>
      <c r="E73">
        <v>17732567</v>
      </c>
      <c r="F73" t="s">
        <v>232</v>
      </c>
      <c r="G73" t="s">
        <v>53</v>
      </c>
      <c r="H73">
        <v>1</v>
      </c>
      <c r="I73">
        <v>0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75000</v>
      </c>
      <c r="AB73" s="11">
        <v>46197</v>
      </c>
      <c r="AC73">
        <v>1</v>
      </c>
      <c r="AD73">
        <v>75000</v>
      </c>
      <c r="AE73" t="s">
        <v>109</v>
      </c>
      <c r="AF73">
        <v>0</v>
      </c>
      <c r="AG73">
        <v>46198</v>
      </c>
      <c r="AI73" s="85" t="s">
        <v>53</v>
      </c>
      <c r="AJ73" s="28">
        <v>93</v>
      </c>
      <c r="AK73" s="28">
        <v>31</v>
      </c>
      <c r="AO73" s="39">
        <v>71</v>
      </c>
      <c r="AP73" s="40"/>
      <c r="AQ73" s="41"/>
      <c r="AR73" s="42"/>
      <c r="AS73" s="31"/>
      <c r="AT73" s="31"/>
      <c r="AU73" s="31"/>
      <c r="AV73" s="6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55"/>
      <c r="BP73" s="40"/>
      <c r="BQ73" s="39"/>
      <c r="BR73" s="59"/>
      <c r="BS73" s="39"/>
      <c r="BT73" s="57"/>
      <c r="BU73" s="40"/>
      <c r="BV73" s="8"/>
      <c r="BW73" s="58"/>
    </row>
    <row r="74" spans="1:75" x14ac:dyDescent="0.35">
      <c r="A74">
        <v>169</v>
      </c>
      <c r="B74" s="11">
        <v>46197</v>
      </c>
      <c r="C74" t="s">
        <v>204</v>
      </c>
      <c r="D74" t="s">
        <v>184</v>
      </c>
      <c r="E74">
        <v>17197757</v>
      </c>
      <c r="F74" t="s">
        <v>233</v>
      </c>
      <c r="G74" t="s">
        <v>53</v>
      </c>
      <c r="H74">
        <v>1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75000</v>
      </c>
      <c r="AB74" s="11">
        <v>46197</v>
      </c>
      <c r="AC74">
        <v>1</v>
      </c>
      <c r="AD74">
        <v>75000</v>
      </c>
      <c r="AE74" t="s">
        <v>109</v>
      </c>
      <c r="AF74">
        <v>0</v>
      </c>
      <c r="AG74">
        <v>46198</v>
      </c>
      <c r="AI74" s="85" t="s">
        <v>42</v>
      </c>
      <c r="AJ74" s="28">
        <v>228</v>
      </c>
      <c r="AK74" s="28">
        <v>76</v>
      </c>
      <c r="AO74" s="39">
        <v>72</v>
      </c>
      <c r="AP74" s="40"/>
      <c r="AQ74" s="41"/>
      <c r="AR74" s="42"/>
      <c r="AS74" s="31"/>
      <c r="AT74" s="31"/>
      <c r="AU74" s="31"/>
      <c r="AV74" s="6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55"/>
      <c r="BP74" s="40"/>
      <c r="BQ74" s="39"/>
      <c r="BR74" s="59"/>
      <c r="BS74" s="39"/>
      <c r="BT74" s="57"/>
      <c r="BU74" s="40"/>
      <c r="BV74" s="8"/>
      <c r="BW74" s="58"/>
    </row>
    <row r="75" spans="1:75" x14ac:dyDescent="0.35">
      <c r="A75">
        <v>170</v>
      </c>
      <c r="B75" s="11">
        <v>46197</v>
      </c>
      <c r="C75" t="s">
        <v>204</v>
      </c>
      <c r="D75" t="s">
        <v>184</v>
      </c>
      <c r="E75">
        <v>1306929</v>
      </c>
      <c r="F75" t="s">
        <v>234</v>
      </c>
      <c r="G75" t="s">
        <v>53</v>
      </c>
      <c r="H75">
        <v>1</v>
      </c>
      <c r="I75">
        <v>0</v>
      </c>
      <c r="J75">
        <v>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75000</v>
      </c>
      <c r="AB75" s="11">
        <v>46197</v>
      </c>
      <c r="AC75">
        <v>1</v>
      </c>
      <c r="AD75">
        <v>75000</v>
      </c>
      <c r="AE75" t="s">
        <v>109</v>
      </c>
      <c r="AF75">
        <v>0</v>
      </c>
      <c r="AG75">
        <v>46198</v>
      </c>
      <c r="AI75" s="85" t="s">
        <v>43</v>
      </c>
      <c r="AJ75" s="28">
        <v>492</v>
      </c>
      <c r="AK75" s="28">
        <v>164</v>
      </c>
      <c r="AO75" s="39">
        <v>73</v>
      </c>
      <c r="AP75" s="40"/>
      <c r="AQ75" s="41"/>
      <c r="AR75" s="42"/>
      <c r="AS75" s="31"/>
      <c r="AT75" s="31"/>
      <c r="AU75" s="31"/>
      <c r="AV75" s="6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55"/>
      <c r="BP75" s="40"/>
      <c r="BQ75" s="39"/>
      <c r="BR75" s="59"/>
      <c r="BS75" s="39"/>
      <c r="BT75" s="57"/>
      <c r="BU75" s="40"/>
      <c r="BV75" s="8"/>
      <c r="BW75" s="58"/>
    </row>
    <row r="76" spans="1:75" x14ac:dyDescent="0.35">
      <c r="A76">
        <v>171</v>
      </c>
      <c r="B76" s="11">
        <v>46197</v>
      </c>
      <c r="C76" t="s">
        <v>204</v>
      </c>
      <c r="D76" t="s">
        <v>184</v>
      </c>
      <c r="E76">
        <v>17234805</v>
      </c>
      <c r="F76" t="s">
        <v>235</v>
      </c>
      <c r="G76" t="s">
        <v>53</v>
      </c>
      <c r="H76">
        <v>1</v>
      </c>
      <c r="I76">
        <v>0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75000</v>
      </c>
      <c r="AB76" s="11">
        <v>46197</v>
      </c>
      <c r="AC76">
        <v>1</v>
      </c>
      <c r="AD76">
        <v>75000</v>
      </c>
      <c r="AE76" t="s">
        <v>109</v>
      </c>
      <c r="AF76">
        <v>0</v>
      </c>
      <c r="AG76">
        <v>46198</v>
      </c>
      <c r="AO76" s="39">
        <v>74</v>
      </c>
      <c r="AP76" s="40"/>
      <c r="AQ76" s="41"/>
      <c r="AR76" s="42"/>
      <c r="AS76" s="31"/>
      <c r="AT76" s="31"/>
      <c r="AU76" s="31"/>
      <c r="AV76" s="6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55"/>
      <c r="BP76" s="40"/>
      <c r="BQ76" s="39"/>
      <c r="BR76" s="59"/>
      <c r="BS76" s="39"/>
      <c r="BT76" s="57"/>
      <c r="BU76" s="40"/>
      <c r="BV76" s="8"/>
      <c r="BW76" s="58"/>
    </row>
    <row r="77" spans="1:75" x14ac:dyDescent="0.35">
      <c r="A77">
        <v>172</v>
      </c>
      <c r="B77" s="11">
        <v>46197</v>
      </c>
      <c r="C77" t="s">
        <v>204</v>
      </c>
      <c r="D77" t="s">
        <v>184</v>
      </c>
      <c r="E77">
        <v>1559327</v>
      </c>
      <c r="F77" t="s">
        <v>236</v>
      </c>
      <c r="G77" t="s">
        <v>53</v>
      </c>
      <c r="H77">
        <v>1</v>
      </c>
      <c r="I77">
        <v>0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75000</v>
      </c>
      <c r="AB77" s="11">
        <v>46197</v>
      </c>
      <c r="AC77">
        <v>1</v>
      </c>
      <c r="AD77">
        <v>75000</v>
      </c>
      <c r="AE77" t="s">
        <v>109</v>
      </c>
      <c r="AF77">
        <v>0</v>
      </c>
      <c r="AG77">
        <v>46198</v>
      </c>
      <c r="AO77" s="39">
        <v>75</v>
      </c>
      <c r="AP77" s="40"/>
      <c r="AQ77" s="41"/>
      <c r="AR77" s="42"/>
      <c r="AS77" s="31"/>
      <c r="AT77" s="31"/>
      <c r="AU77" s="31"/>
      <c r="AV77" s="6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55"/>
      <c r="BP77" s="40"/>
      <c r="BQ77" s="39"/>
      <c r="BR77" s="59"/>
      <c r="BS77" s="39"/>
      <c r="BT77" s="57"/>
      <c r="BU77" s="40"/>
      <c r="BV77" s="8"/>
      <c r="BW77" s="58"/>
    </row>
    <row r="78" spans="1:75" x14ac:dyDescent="0.35">
      <c r="A78">
        <v>173</v>
      </c>
      <c r="B78" s="11">
        <v>46197</v>
      </c>
      <c r="C78" t="s">
        <v>204</v>
      </c>
      <c r="D78" t="s">
        <v>184</v>
      </c>
      <c r="E78">
        <v>17670175</v>
      </c>
      <c r="F78" t="s">
        <v>237</v>
      </c>
      <c r="G78" t="s">
        <v>54</v>
      </c>
      <c r="H78">
        <v>1</v>
      </c>
      <c r="I78">
        <v>0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75000</v>
      </c>
      <c r="AB78" s="11">
        <v>46199</v>
      </c>
      <c r="AC78">
        <v>1</v>
      </c>
      <c r="AD78">
        <v>75000</v>
      </c>
      <c r="AE78" t="s">
        <v>109</v>
      </c>
      <c r="AF78">
        <v>0</v>
      </c>
      <c r="AG78">
        <v>46202</v>
      </c>
      <c r="AO78" s="39">
        <v>76</v>
      </c>
      <c r="AP78" s="40"/>
      <c r="AQ78" s="41"/>
      <c r="AR78" s="42"/>
      <c r="AS78" s="31"/>
      <c r="AT78" s="31"/>
      <c r="AU78" s="31"/>
      <c r="AV78" s="6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55"/>
      <c r="BP78" s="40"/>
      <c r="BQ78" s="39"/>
      <c r="BR78" s="59"/>
      <c r="BS78" s="39"/>
      <c r="BT78" s="57"/>
      <c r="BU78" s="40"/>
      <c r="BV78" s="8"/>
      <c r="BW78" s="58"/>
    </row>
    <row r="79" spans="1:75" x14ac:dyDescent="0.35">
      <c r="A79">
        <v>174</v>
      </c>
      <c r="B79" s="11">
        <v>46197</v>
      </c>
      <c r="C79" t="s">
        <v>204</v>
      </c>
      <c r="D79" t="s">
        <v>184</v>
      </c>
      <c r="E79">
        <v>17650729</v>
      </c>
      <c r="F79" t="s">
        <v>238</v>
      </c>
      <c r="G79" t="s">
        <v>54</v>
      </c>
      <c r="H79">
        <v>1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75000</v>
      </c>
      <c r="AB79" s="11">
        <v>46199</v>
      </c>
      <c r="AC79">
        <v>1</v>
      </c>
      <c r="AD79">
        <v>75000</v>
      </c>
      <c r="AE79" t="s">
        <v>109</v>
      </c>
      <c r="AF79">
        <v>0</v>
      </c>
      <c r="AG79">
        <v>46202</v>
      </c>
      <c r="AO79" s="39">
        <v>77</v>
      </c>
      <c r="AP79" s="40"/>
      <c r="AQ79" s="41"/>
      <c r="AR79" s="42"/>
      <c r="AS79" s="31"/>
      <c r="AT79" s="31"/>
      <c r="AU79" s="31"/>
      <c r="AV79" s="6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55"/>
      <c r="BP79" s="40"/>
      <c r="BQ79" s="39"/>
      <c r="BR79" s="59"/>
      <c r="BS79" s="39"/>
      <c r="BT79" s="57"/>
      <c r="BU79" s="40"/>
      <c r="BV79" s="8"/>
      <c r="BW79" s="58"/>
    </row>
    <row r="80" spans="1:75" x14ac:dyDescent="0.35">
      <c r="A80">
        <v>175</v>
      </c>
      <c r="B80" s="11">
        <v>46197</v>
      </c>
      <c r="C80" t="s">
        <v>204</v>
      </c>
      <c r="D80" t="s">
        <v>184</v>
      </c>
      <c r="E80">
        <v>17645922</v>
      </c>
      <c r="F80" t="s">
        <v>239</v>
      </c>
      <c r="G80" t="s">
        <v>54</v>
      </c>
      <c r="H80">
        <v>1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75000</v>
      </c>
      <c r="AB80" s="11">
        <v>46199</v>
      </c>
      <c r="AC80">
        <v>1</v>
      </c>
      <c r="AD80">
        <v>75000</v>
      </c>
      <c r="AE80" t="s">
        <v>109</v>
      </c>
      <c r="AF80">
        <v>0</v>
      </c>
      <c r="AG80">
        <v>46202</v>
      </c>
      <c r="AO80" s="39">
        <v>78</v>
      </c>
      <c r="AP80" s="40"/>
      <c r="AQ80" s="41"/>
      <c r="AR80" s="42"/>
      <c r="AS80" s="31"/>
      <c r="AT80" s="31"/>
      <c r="AU80" s="31"/>
      <c r="AV80" s="6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55"/>
      <c r="BP80" s="40"/>
      <c r="BQ80" s="39"/>
      <c r="BR80" s="59"/>
      <c r="BS80" s="39"/>
      <c r="BT80" s="57"/>
      <c r="BU80" s="40"/>
      <c r="BV80" s="8"/>
      <c r="BW80" s="58"/>
    </row>
    <row r="81" spans="1:75" x14ac:dyDescent="0.35">
      <c r="A81">
        <v>176</v>
      </c>
      <c r="B81" s="11">
        <v>46197</v>
      </c>
      <c r="C81" t="s">
        <v>204</v>
      </c>
      <c r="D81" t="s">
        <v>184</v>
      </c>
      <c r="E81">
        <v>17695551</v>
      </c>
      <c r="F81" t="s">
        <v>240</v>
      </c>
      <c r="G81" t="s">
        <v>54</v>
      </c>
      <c r="H81">
        <v>1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75000</v>
      </c>
      <c r="AB81" s="11">
        <v>46199</v>
      </c>
      <c r="AC81">
        <v>1</v>
      </c>
      <c r="AD81">
        <v>75000</v>
      </c>
      <c r="AE81" t="s">
        <v>109</v>
      </c>
      <c r="AF81">
        <v>0</v>
      </c>
      <c r="AG81">
        <v>46202</v>
      </c>
      <c r="AO81" s="39">
        <v>79</v>
      </c>
      <c r="AP81" s="40"/>
      <c r="AQ81" s="41"/>
      <c r="AR81" s="42"/>
      <c r="AS81" s="31"/>
      <c r="AT81" s="31"/>
      <c r="AU81" s="31"/>
      <c r="AV81" s="6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55"/>
      <c r="BP81" s="40"/>
      <c r="BQ81" s="39"/>
      <c r="BR81" s="59"/>
      <c r="BS81" s="39"/>
      <c r="BT81" s="57"/>
      <c r="BU81" s="40"/>
      <c r="BV81" s="8"/>
      <c r="BW81" s="58"/>
    </row>
    <row r="82" spans="1:75" x14ac:dyDescent="0.35">
      <c r="A82">
        <v>177</v>
      </c>
      <c r="B82" s="11">
        <v>46197</v>
      </c>
      <c r="C82" t="s">
        <v>204</v>
      </c>
      <c r="D82" t="s">
        <v>184</v>
      </c>
      <c r="E82">
        <v>17139621</v>
      </c>
      <c r="F82" t="s">
        <v>241</v>
      </c>
      <c r="G82" t="s">
        <v>54</v>
      </c>
      <c r="H82">
        <v>1</v>
      </c>
      <c r="I82">
        <v>0</v>
      </c>
      <c r="J82">
        <v>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75000</v>
      </c>
      <c r="AB82" s="11">
        <v>46199</v>
      </c>
      <c r="AC82">
        <v>1</v>
      </c>
      <c r="AD82">
        <v>75000</v>
      </c>
      <c r="AE82" t="s">
        <v>109</v>
      </c>
      <c r="AF82">
        <v>0</v>
      </c>
      <c r="AG82">
        <v>46202</v>
      </c>
      <c r="AO82" s="39">
        <v>80</v>
      </c>
      <c r="AP82" s="40"/>
      <c r="AQ82" s="41"/>
      <c r="AR82" s="42"/>
      <c r="AS82" s="31"/>
      <c r="AT82" s="31"/>
      <c r="AU82" s="31"/>
      <c r="AV82" s="6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55"/>
      <c r="BP82" s="40"/>
      <c r="BQ82" s="39"/>
      <c r="BR82" s="59"/>
      <c r="BS82" s="39"/>
      <c r="BT82" s="57"/>
      <c r="BU82" s="40"/>
      <c r="BV82" s="8"/>
      <c r="BW82" s="58"/>
    </row>
    <row r="83" spans="1:75" x14ac:dyDescent="0.35">
      <c r="A83">
        <v>178</v>
      </c>
      <c r="B83" s="11">
        <v>46197</v>
      </c>
      <c r="C83" t="s">
        <v>204</v>
      </c>
      <c r="D83" t="s">
        <v>184</v>
      </c>
      <c r="E83">
        <v>17681962</v>
      </c>
      <c r="F83" t="s">
        <v>242</v>
      </c>
      <c r="G83" t="s">
        <v>54</v>
      </c>
      <c r="H83">
        <v>1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75000</v>
      </c>
      <c r="AB83" s="11">
        <v>46199</v>
      </c>
      <c r="AC83">
        <v>1</v>
      </c>
      <c r="AD83">
        <v>75000</v>
      </c>
      <c r="AE83" t="s">
        <v>109</v>
      </c>
      <c r="AF83">
        <v>0</v>
      </c>
      <c r="AG83">
        <v>46202</v>
      </c>
      <c r="AO83" s="39">
        <v>81</v>
      </c>
      <c r="AP83" s="40"/>
      <c r="AQ83" s="41"/>
      <c r="AR83" s="42"/>
      <c r="AS83" s="31"/>
      <c r="AT83" s="31"/>
      <c r="AU83" s="31"/>
      <c r="AV83" s="6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55"/>
      <c r="BP83" s="40"/>
      <c r="BQ83" s="39"/>
      <c r="BR83" s="59"/>
      <c r="BS83" s="39"/>
      <c r="BT83" s="57"/>
      <c r="BU83" s="40"/>
      <c r="BV83" s="8"/>
      <c r="BW83" s="58"/>
    </row>
    <row r="84" spans="1:75" x14ac:dyDescent="0.35">
      <c r="A84">
        <v>179</v>
      </c>
      <c r="B84" s="11">
        <v>46197</v>
      </c>
      <c r="C84" t="s">
        <v>204</v>
      </c>
      <c r="D84" t="s">
        <v>184</v>
      </c>
      <c r="E84">
        <v>17381211</v>
      </c>
      <c r="F84" t="s">
        <v>243</v>
      </c>
      <c r="G84" t="s">
        <v>54</v>
      </c>
      <c r="H84">
        <v>1</v>
      </c>
      <c r="I84">
        <v>0</v>
      </c>
      <c r="J84">
        <v>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75000</v>
      </c>
      <c r="AB84" s="11">
        <v>46199</v>
      </c>
      <c r="AC84">
        <v>1</v>
      </c>
      <c r="AD84">
        <v>75000</v>
      </c>
      <c r="AE84" t="s">
        <v>109</v>
      </c>
      <c r="AF84">
        <v>0</v>
      </c>
      <c r="AG84">
        <v>46202</v>
      </c>
      <c r="AO84" s="39">
        <v>82</v>
      </c>
      <c r="AP84" s="40"/>
      <c r="AQ84" s="41"/>
      <c r="AR84" s="42"/>
      <c r="AS84" s="31"/>
      <c r="AT84" s="31"/>
      <c r="AU84" s="31"/>
      <c r="AV84" s="6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55"/>
      <c r="BP84" s="40"/>
      <c r="BQ84" s="39"/>
      <c r="BR84" s="59"/>
      <c r="BS84" s="39"/>
      <c r="BT84" s="57"/>
      <c r="BU84" s="40"/>
      <c r="BV84" s="8"/>
      <c r="BW84" s="58"/>
    </row>
    <row r="85" spans="1:75" x14ac:dyDescent="0.35">
      <c r="A85">
        <v>180</v>
      </c>
      <c r="B85" s="11">
        <v>46197</v>
      </c>
      <c r="C85" t="s">
        <v>204</v>
      </c>
      <c r="D85" t="s">
        <v>184</v>
      </c>
      <c r="E85">
        <v>17255674</v>
      </c>
      <c r="F85" t="s">
        <v>186</v>
      </c>
      <c r="G85" t="s">
        <v>54</v>
      </c>
      <c r="H85">
        <v>1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75000</v>
      </c>
      <c r="AB85" s="11">
        <v>46199</v>
      </c>
      <c r="AC85">
        <v>1</v>
      </c>
      <c r="AD85">
        <v>75000</v>
      </c>
      <c r="AE85" t="s">
        <v>109</v>
      </c>
      <c r="AF85">
        <v>0</v>
      </c>
      <c r="AG85">
        <v>46202</v>
      </c>
      <c r="AO85" s="39">
        <v>83</v>
      </c>
      <c r="AP85" s="40"/>
      <c r="AQ85" s="41"/>
      <c r="AR85" s="42"/>
      <c r="AS85" s="31"/>
      <c r="AT85" s="31"/>
      <c r="AU85" s="31"/>
      <c r="AV85" s="6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55"/>
      <c r="BP85" s="40"/>
      <c r="BQ85" s="39"/>
      <c r="BR85" s="59"/>
      <c r="BS85" s="39"/>
      <c r="BT85" s="57"/>
      <c r="BU85" s="40"/>
      <c r="BV85" s="8"/>
      <c r="BW85" s="58"/>
    </row>
    <row r="86" spans="1:75" x14ac:dyDescent="0.35">
      <c r="A86">
        <v>181</v>
      </c>
      <c r="B86" s="11">
        <v>46197</v>
      </c>
      <c r="C86" t="s">
        <v>204</v>
      </c>
      <c r="D86" t="s">
        <v>184</v>
      </c>
      <c r="E86">
        <v>17459602</v>
      </c>
      <c r="F86" t="s">
        <v>244</v>
      </c>
      <c r="G86" t="s">
        <v>54</v>
      </c>
      <c r="H86">
        <v>1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75000</v>
      </c>
      <c r="AB86" s="11">
        <v>46199</v>
      </c>
      <c r="AC86">
        <v>1</v>
      </c>
      <c r="AD86">
        <v>75000</v>
      </c>
      <c r="AE86" t="s">
        <v>109</v>
      </c>
      <c r="AF86">
        <v>0</v>
      </c>
      <c r="AG86">
        <v>46202</v>
      </c>
      <c r="AO86" s="39">
        <v>84</v>
      </c>
      <c r="AP86" s="40"/>
      <c r="AQ86" s="41"/>
      <c r="AR86" s="42"/>
      <c r="AS86" s="31"/>
      <c r="AT86" s="31"/>
      <c r="AU86" s="31"/>
      <c r="AV86" s="6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55"/>
      <c r="BP86" s="40"/>
      <c r="BQ86" s="39"/>
      <c r="BR86" s="59"/>
      <c r="BS86" s="39"/>
      <c r="BT86" s="57"/>
      <c r="BU86" s="40"/>
      <c r="BV86" s="8"/>
      <c r="BW86" s="58"/>
    </row>
    <row r="87" spans="1:75" x14ac:dyDescent="0.35">
      <c r="A87">
        <v>182</v>
      </c>
      <c r="B87" s="11">
        <v>46197</v>
      </c>
      <c r="C87" t="s">
        <v>204</v>
      </c>
      <c r="D87" t="s">
        <v>184</v>
      </c>
      <c r="E87">
        <v>17187866</v>
      </c>
      <c r="F87" t="s">
        <v>245</v>
      </c>
      <c r="G87" t="s">
        <v>54</v>
      </c>
      <c r="H87">
        <v>1</v>
      </c>
      <c r="I87">
        <v>0</v>
      </c>
      <c r="J87">
        <v>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75000</v>
      </c>
      <c r="AB87" s="11">
        <v>46199</v>
      </c>
      <c r="AC87">
        <v>1</v>
      </c>
      <c r="AD87">
        <v>75000</v>
      </c>
      <c r="AE87" t="s">
        <v>109</v>
      </c>
      <c r="AF87">
        <v>0</v>
      </c>
      <c r="AG87">
        <v>46202</v>
      </c>
      <c r="AO87" s="39">
        <v>85</v>
      </c>
      <c r="AP87" s="40"/>
      <c r="AQ87" s="41"/>
      <c r="AR87" s="42"/>
      <c r="AS87" s="31"/>
      <c r="AT87" s="31"/>
      <c r="AU87" s="31"/>
      <c r="AV87" s="6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55"/>
      <c r="BP87" s="40"/>
      <c r="BQ87" s="39"/>
      <c r="BR87" s="59"/>
      <c r="BS87" s="39"/>
      <c r="BT87" s="57"/>
      <c r="BU87" s="40"/>
      <c r="BV87" s="8"/>
      <c r="BW87" s="58"/>
    </row>
    <row r="88" spans="1:75" x14ac:dyDescent="0.35">
      <c r="A88">
        <v>183</v>
      </c>
      <c r="B88" s="11">
        <v>46197</v>
      </c>
      <c r="C88" t="s">
        <v>204</v>
      </c>
      <c r="D88" t="s">
        <v>184</v>
      </c>
      <c r="E88">
        <v>17588132</v>
      </c>
      <c r="F88" t="s">
        <v>246</v>
      </c>
      <c r="G88" t="s">
        <v>41</v>
      </c>
      <c r="H88">
        <v>5</v>
      </c>
      <c r="I88">
        <v>0</v>
      </c>
      <c r="J88">
        <v>15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5</v>
      </c>
      <c r="AA88">
        <v>375000</v>
      </c>
      <c r="AB88" s="11">
        <v>46197</v>
      </c>
      <c r="AC88">
        <v>5</v>
      </c>
      <c r="AD88">
        <v>375000</v>
      </c>
      <c r="AE88" t="s">
        <v>109</v>
      </c>
      <c r="AF88">
        <v>0</v>
      </c>
      <c r="AG88">
        <v>46198</v>
      </c>
      <c r="AO88" s="39">
        <v>86</v>
      </c>
      <c r="AP88" s="60"/>
      <c r="AQ88" s="41"/>
      <c r="AR88" s="42"/>
      <c r="AS88" s="31"/>
      <c r="AT88" s="31"/>
      <c r="AU88" s="31"/>
      <c r="AV88" s="6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55"/>
      <c r="BP88" s="40"/>
      <c r="BQ88" s="39"/>
      <c r="BR88" s="59"/>
      <c r="BS88" s="39"/>
      <c r="BT88" s="57"/>
      <c r="BU88" s="40"/>
      <c r="BV88" s="8"/>
      <c r="BW88" s="58"/>
    </row>
    <row r="89" spans="1:75" x14ac:dyDescent="0.35">
      <c r="A89">
        <v>184</v>
      </c>
      <c r="B89" s="11">
        <v>46197</v>
      </c>
      <c r="C89" t="s">
        <v>204</v>
      </c>
      <c r="D89" t="s">
        <v>184</v>
      </c>
      <c r="E89">
        <v>1368488</v>
      </c>
      <c r="F89" t="s">
        <v>247</v>
      </c>
      <c r="G89" t="s">
        <v>41</v>
      </c>
      <c r="H89">
        <v>5</v>
      </c>
      <c r="I89">
        <v>0</v>
      </c>
      <c r="J89">
        <v>15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5</v>
      </c>
      <c r="AA89">
        <v>375000</v>
      </c>
      <c r="AB89" s="11">
        <v>46197</v>
      </c>
      <c r="AC89">
        <v>5</v>
      </c>
      <c r="AD89">
        <v>375000</v>
      </c>
      <c r="AE89" t="s">
        <v>109</v>
      </c>
      <c r="AF89">
        <v>0</v>
      </c>
      <c r="AG89">
        <v>46198</v>
      </c>
      <c r="AO89" s="39">
        <v>87</v>
      </c>
      <c r="AP89" s="60"/>
      <c r="AQ89" s="41"/>
      <c r="AR89" s="42"/>
      <c r="AS89" s="31"/>
      <c r="AT89" s="31"/>
      <c r="AU89" s="31"/>
      <c r="AV89" s="6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55"/>
      <c r="BP89" s="40"/>
      <c r="BQ89" s="39"/>
      <c r="BR89" s="59"/>
      <c r="BS89" s="39"/>
      <c r="BT89" s="57"/>
      <c r="BU89" s="40"/>
      <c r="BV89" s="8"/>
      <c r="BW89" s="58"/>
    </row>
    <row r="90" spans="1:75" x14ac:dyDescent="0.35">
      <c r="A90">
        <v>185</v>
      </c>
      <c r="B90" s="11">
        <v>46197</v>
      </c>
      <c r="C90" t="s">
        <v>204</v>
      </c>
      <c r="D90" t="s">
        <v>184</v>
      </c>
      <c r="E90">
        <v>17139607</v>
      </c>
      <c r="F90" t="s">
        <v>248</v>
      </c>
      <c r="G90" t="s">
        <v>41</v>
      </c>
      <c r="H90">
        <v>2</v>
      </c>
      <c r="I90">
        <v>0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</v>
      </c>
      <c r="AA90">
        <v>150000</v>
      </c>
      <c r="AB90" s="11">
        <v>46197</v>
      </c>
      <c r="AC90">
        <v>2</v>
      </c>
      <c r="AD90">
        <v>150000</v>
      </c>
      <c r="AE90" t="s">
        <v>109</v>
      </c>
      <c r="AF90">
        <v>0</v>
      </c>
      <c r="AG90">
        <v>46198</v>
      </c>
      <c r="AO90" s="39">
        <v>88</v>
      </c>
      <c r="AP90" s="60"/>
      <c r="AQ90" s="41"/>
      <c r="AR90" s="42"/>
      <c r="AS90" s="31"/>
      <c r="AT90" s="31"/>
      <c r="AU90" s="31"/>
      <c r="AV90" s="6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55"/>
      <c r="BP90" s="40"/>
      <c r="BQ90" s="39"/>
      <c r="BR90" s="59"/>
      <c r="BS90" s="39"/>
      <c r="BT90" s="57"/>
      <c r="BU90" s="40"/>
      <c r="BV90" s="8"/>
      <c r="BW90" s="58"/>
    </row>
    <row r="91" spans="1:75" x14ac:dyDescent="0.35">
      <c r="A91">
        <v>186</v>
      </c>
      <c r="B91" s="11">
        <v>46197</v>
      </c>
      <c r="C91" t="s">
        <v>204</v>
      </c>
      <c r="D91" t="s">
        <v>184</v>
      </c>
      <c r="E91">
        <v>17234958</v>
      </c>
      <c r="F91" t="s">
        <v>249</v>
      </c>
      <c r="G91" t="s">
        <v>41</v>
      </c>
      <c r="H91">
        <v>2</v>
      </c>
      <c r="I91">
        <v>0</v>
      </c>
      <c r="J91">
        <v>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</v>
      </c>
      <c r="AA91">
        <v>150000</v>
      </c>
      <c r="AB91" s="11">
        <v>46197</v>
      </c>
      <c r="AC91">
        <v>2</v>
      </c>
      <c r="AD91">
        <v>150000</v>
      </c>
      <c r="AE91" t="s">
        <v>109</v>
      </c>
      <c r="AF91">
        <v>0</v>
      </c>
      <c r="AG91">
        <v>46198</v>
      </c>
      <c r="AO91" s="39">
        <v>89</v>
      </c>
      <c r="AP91" s="60"/>
      <c r="AQ91" s="41"/>
      <c r="AR91" s="42"/>
      <c r="AS91" s="31"/>
      <c r="AT91" s="31"/>
      <c r="AU91" s="31"/>
      <c r="AV91" s="6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55"/>
      <c r="BP91" s="40"/>
      <c r="BQ91" s="39"/>
      <c r="BR91" s="59"/>
      <c r="BS91" s="39"/>
      <c r="BT91" s="57"/>
      <c r="BU91" s="40"/>
      <c r="BV91" s="8"/>
      <c r="BW91" s="58"/>
    </row>
    <row r="92" spans="1:75" x14ac:dyDescent="0.35">
      <c r="A92">
        <v>187</v>
      </c>
      <c r="B92" s="11">
        <v>46197</v>
      </c>
      <c r="C92" t="s">
        <v>204</v>
      </c>
      <c r="D92" t="s">
        <v>184</v>
      </c>
      <c r="E92">
        <v>17449694</v>
      </c>
      <c r="F92" t="s">
        <v>250</v>
      </c>
      <c r="G92" t="s">
        <v>42</v>
      </c>
      <c r="H92">
        <v>2</v>
      </c>
      <c r="I92">
        <v>0</v>
      </c>
      <c r="J92">
        <v>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150000</v>
      </c>
      <c r="AB92" s="11">
        <v>46198</v>
      </c>
      <c r="AC92">
        <v>2</v>
      </c>
      <c r="AD92">
        <v>150000</v>
      </c>
      <c r="AE92" t="s">
        <v>109</v>
      </c>
      <c r="AF92">
        <v>0</v>
      </c>
      <c r="AG92">
        <v>46199</v>
      </c>
      <c r="AO92" s="39">
        <v>90</v>
      </c>
      <c r="AP92" s="60"/>
      <c r="AQ92" s="41"/>
      <c r="AR92" s="42"/>
      <c r="AS92" s="31"/>
      <c r="AT92" s="31"/>
      <c r="AU92" s="31"/>
      <c r="AV92" s="6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55"/>
      <c r="BP92" s="40"/>
      <c r="BQ92" s="39"/>
      <c r="BR92" s="59"/>
      <c r="BS92" s="39"/>
      <c r="BT92" s="57"/>
      <c r="BU92" s="40"/>
      <c r="BV92" s="8"/>
      <c r="BW92" s="58"/>
    </row>
    <row r="93" spans="1:75" x14ac:dyDescent="0.35">
      <c r="A93">
        <v>188</v>
      </c>
      <c r="B93" s="11">
        <v>46197</v>
      </c>
      <c r="C93" t="s">
        <v>204</v>
      </c>
      <c r="D93" t="s">
        <v>184</v>
      </c>
      <c r="E93">
        <v>1554006</v>
      </c>
      <c r="F93" t="s">
        <v>251</v>
      </c>
      <c r="G93" t="s">
        <v>42</v>
      </c>
      <c r="H93">
        <v>5</v>
      </c>
      <c r="I93">
        <v>0</v>
      </c>
      <c r="J93">
        <v>15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</v>
      </c>
      <c r="AA93">
        <v>375000</v>
      </c>
      <c r="AB93" s="11">
        <v>46198</v>
      </c>
      <c r="AC93">
        <v>5</v>
      </c>
      <c r="AD93">
        <v>375000</v>
      </c>
      <c r="AE93" t="s">
        <v>109</v>
      </c>
      <c r="AF93">
        <v>0</v>
      </c>
      <c r="AG93">
        <v>46199</v>
      </c>
      <c r="AO93" s="39">
        <v>91</v>
      </c>
      <c r="AP93" s="60"/>
      <c r="AQ93" s="41"/>
      <c r="AR93" s="42"/>
      <c r="AS93" s="31"/>
      <c r="AT93" s="31"/>
      <c r="AU93" s="31"/>
      <c r="AV93" s="6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55"/>
      <c r="BP93" s="40"/>
      <c r="BQ93" s="39"/>
      <c r="BR93" s="59"/>
      <c r="BS93" s="39"/>
      <c r="BT93" s="57"/>
      <c r="BU93" s="40"/>
      <c r="BV93" s="8"/>
      <c r="BW93" s="58"/>
    </row>
    <row r="94" spans="1:75" x14ac:dyDescent="0.35">
      <c r="A94">
        <v>189</v>
      </c>
      <c r="B94" s="11">
        <v>46197</v>
      </c>
      <c r="C94" t="s">
        <v>204</v>
      </c>
      <c r="D94" t="s">
        <v>184</v>
      </c>
      <c r="E94">
        <v>1555825</v>
      </c>
      <c r="F94" t="s">
        <v>252</v>
      </c>
      <c r="G94" t="s">
        <v>42</v>
      </c>
      <c r="H94">
        <v>1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75000</v>
      </c>
      <c r="AB94" s="11">
        <v>46198</v>
      </c>
      <c r="AC94">
        <v>1</v>
      </c>
      <c r="AD94">
        <v>75000</v>
      </c>
      <c r="AE94" t="s">
        <v>109</v>
      </c>
      <c r="AF94">
        <v>0</v>
      </c>
      <c r="AG94">
        <v>46199</v>
      </c>
      <c r="AO94" s="39">
        <v>92</v>
      </c>
      <c r="AP94" s="60"/>
      <c r="AQ94" s="41"/>
      <c r="AR94" s="42"/>
      <c r="AS94" s="31"/>
      <c r="AT94" s="31"/>
      <c r="AU94" s="31"/>
      <c r="AV94" s="6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55"/>
      <c r="BP94" s="40"/>
      <c r="BQ94" s="39"/>
      <c r="BR94" s="59"/>
      <c r="BS94" s="39"/>
      <c r="BT94" s="57"/>
      <c r="BU94" s="40"/>
      <c r="BV94" s="8"/>
      <c r="BW94" s="58"/>
    </row>
    <row r="95" spans="1:75" x14ac:dyDescent="0.35">
      <c r="A95">
        <v>190</v>
      </c>
      <c r="B95" s="11">
        <v>46197</v>
      </c>
      <c r="C95" t="s">
        <v>204</v>
      </c>
      <c r="D95" t="s">
        <v>184</v>
      </c>
      <c r="E95">
        <v>17138377</v>
      </c>
      <c r="F95" t="s">
        <v>253</v>
      </c>
      <c r="G95" t="s">
        <v>42</v>
      </c>
      <c r="H95">
        <v>2</v>
      </c>
      <c r="I95">
        <v>0</v>
      </c>
      <c r="J95">
        <v>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150000</v>
      </c>
      <c r="AB95" s="11">
        <v>46198</v>
      </c>
      <c r="AC95">
        <v>2</v>
      </c>
      <c r="AD95">
        <v>150000</v>
      </c>
      <c r="AE95" t="s">
        <v>109</v>
      </c>
      <c r="AF95">
        <v>0</v>
      </c>
      <c r="AG95">
        <v>46199</v>
      </c>
      <c r="AO95" s="39">
        <v>93</v>
      </c>
      <c r="AP95" s="60"/>
      <c r="AQ95" s="41"/>
      <c r="AR95" s="42"/>
      <c r="AS95" s="31"/>
      <c r="AT95" s="31"/>
      <c r="AU95" s="31"/>
      <c r="AV95" s="6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55"/>
      <c r="BP95" s="40"/>
      <c r="BQ95" s="39"/>
      <c r="BR95" s="59"/>
      <c r="BS95" s="39"/>
      <c r="BT95" s="57"/>
      <c r="BU95" s="40"/>
      <c r="BV95" s="8"/>
      <c r="BW95" s="58"/>
    </row>
    <row r="96" spans="1:75" x14ac:dyDescent="0.35">
      <c r="A96">
        <v>192</v>
      </c>
      <c r="B96" s="11">
        <v>46198</v>
      </c>
      <c r="C96" t="s">
        <v>204</v>
      </c>
      <c r="D96" t="s">
        <v>184</v>
      </c>
      <c r="E96">
        <v>17399911</v>
      </c>
      <c r="F96" t="s">
        <v>254</v>
      </c>
      <c r="G96" t="s">
        <v>54</v>
      </c>
      <c r="H96">
        <v>10</v>
      </c>
      <c r="I96">
        <v>0</v>
      </c>
      <c r="J96">
        <v>30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10</v>
      </c>
      <c r="AA96">
        <v>750000</v>
      </c>
      <c r="AB96" s="11">
        <v>46200</v>
      </c>
      <c r="AC96">
        <v>10</v>
      </c>
      <c r="AD96">
        <v>750000</v>
      </c>
      <c r="AE96" t="s">
        <v>109</v>
      </c>
      <c r="AF96">
        <v>0</v>
      </c>
      <c r="AG96">
        <v>46202</v>
      </c>
      <c r="AO96" s="39">
        <v>94</v>
      </c>
      <c r="AP96" s="60"/>
      <c r="AQ96" s="41"/>
      <c r="AR96" s="42"/>
      <c r="AS96" s="31"/>
      <c r="AT96" s="31"/>
      <c r="AU96" s="31"/>
      <c r="AV96" s="6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55"/>
      <c r="BP96" s="40"/>
      <c r="BQ96" s="39"/>
      <c r="BR96" s="59"/>
      <c r="BS96" s="39"/>
      <c r="BT96" s="57"/>
      <c r="BU96" s="40"/>
      <c r="BV96" s="8"/>
      <c r="BW96" s="58"/>
    </row>
    <row r="97" spans="1:75" x14ac:dyDescent="0.35">
      <c r="A97">
        <v>193</v>
      </c>
      <c r="B97" s="11">
        <v>46198</v>
      </c>
      <c r="C97" t="s">
        <v>204</v>
      </c>
      <c r="D97" t="s">
        <v>184</v>
      </c>
      <c r="E97">
        <v>17190542</v>
      </c>
      <c r="F97" t="s">
        <v>255</v>
      </c>
      <c r="G97" t="s">
        <v>53</v>
      </c>
      <c r="H97">
        <v>6</v>
      </c>
      <c r="I97">
        <v>0</v>
      </c>
      <c r="J97">
        <v>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6</v>
      </c>
      <c r="AA97">
        <v>450000</v>
      </c>
      <c r="AB97" s="11">
        <v>46198</v>
      </c>
      <c r="AC97">
        <v>6</v>
      </c>
      <c r="AD97">
        <v>425000</v>
      </c>
      <c r="AE97" t="s">
        <v>109</v>
      </c>
      <c r="AF97">
        <v>25000</v>
      </c>
      <c r="AG97">
        <v>46199</v>
      </c>
      <c r="AO97" s="39">
        <v>95</v>
      </c>
      <c r="AP97" s="60"/>
      <c r="AQ97" s="41"/>
      <c r="AR97" s="42"/>
      <c r="AS97" s="31"/>
      <c r="AT97" s="31"/>
      <c r="AU97" s="31"/>
      <c r="AV97" s="6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55"/>
      <c r="BP97" s="40"/>
      <c r="BQ97" s="39"/>
      <c r="BR97" s="59"/>
      <c r="BS97" s="39"/>
      <c r="BT97" s="57"/>
      <c r="BU97" s="40"/>
      <c r="BV97" s="8"/>
      <c r="BW97" s="58"/>
    </row>
    <row r="98" spans="1:75" x14ac:dyDescent="0.35">
      <c r="A98">
        <v>194</v>
      </c>
      <c r="B98" s="11">
        <v>46198</v>
      </c>
      <c r="C98" t="s">
        <v>204</v>
      </c>
      <c r="D98" t="s">
        <v>184</v>
      </c>
      <c r="E98">
        <v>17179164</v>
      </c>
      <c r="F98" t="s">
        <v>256</v>
      </c>
      <c r="G98" t="s">
        <v>41</v>
      </c>
      <c r="H98">
        <v>10</v>
      </c>
      <c r="I98">
        <v>0</v>
      </c>
      <c r="J98">
        <v>30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10</v>
      </c>
      <c r="AA98">
        <v>750000</v>
      </c>
      <c r="AB98" s="11">
        <v>46198</v>
      </c>
      <c r="AC98">
        <v>10</v>
      </c>
      <c r="AD98">
        <v>750000</v>
      </c>
      <c r="AE98" t="s">
        <v>109</v>
      </c>
      <c r="AF98">
        <v>0</v>
      </c>
      <c r="AG98">
        <v>46199</v>
      </c>
      <c r="AO98" s="39">
        <v>96</v>
      </c>
      <c r="AP98" s="60"/>
      <c r="AQ98" s="41"/>
      <c r="AR98" s="42"/>
      <c r="AS98" s="31"/>
      <c r="AT98" s="31"/>
      <c r="AU98" s="31"/>
      <c r="AV98" s="6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55"/>
      <c r="BP98" s="40"/>
      <c r="BQ98" s="39"/>
      <c r="BR98" s="59"/>
      <c r="BS98" s="39"/>
      <c r="BT98" s="57"/>
      <c r="BU98" s="40"/>
      <c r="BV98" s="8"/>
      <c r="BW98" s="58"/>
    </row>
    <row r="99" spans="1:75" x14ac:dyDescent="0.35">
      <c r="A99">
        <v>195</v>
      </c>
      <c r="B99" s="11">
        <v>46198</v>
      </c>
      <c r="C99" t="s">
        <v>204</v>
      </c>
      <c r="D99" t="s">
        <v>184</v>
      </c>
      <c r="E99">
        <v>1287387</v>
      </c>
      <c r="F99" t="s">
        <v>185</v>
      </c>
      <c r="G99" t="s">
        <v>42</v>
      </c>
      <c r="H99">
        <v>10</v>
      </c>
      <c r="I99">
        <v>0</v>
      </c>
      <c r="J99">
        <v>30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10</v>
      </c>
      <c r="AA99">
        <v>750000</v>
      </c>
      <c r="AB99" s="11">
        <v>46199</v>
      </c>
      <c r="AC99">
        <v>10</v>
      </c>
      <c r="AD99">
        <v>750000</v>
      </c>
      <c r="AE99" t="s">
        <v>109</v>
      </c>
      <c r="AF99">
        <v>0</v>
      </c>
      <c r="AG99">
        <v>46202</v>
      </c>
      <c r="AO99" s="39">
        <v>97</v>
      </c>
      <c r="AP99" s="60"/>
      <c r="AQ99" s="41"/>
      <c r="AR99" s="42"/>
      <c r="AS99" s="31"/>
      <c r="AT99" s="31"/>
      <c r="AU99" s="31"/>
      <c r="AV99" s="6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55"/>
      <c r="BP99" s="40"/>
      <c r="BQ99" s="39"/>
      <c r="BR99" s="59"/>
      <c r="BS99" s="39"/>
      <c r="BT99" s="57"/>
      <c r="BU99" s="40"/>
      <c r="BV99" s="8"/>
      <c r="BW99" s="58"/>
    </row>
    <row r="100" spans="1:75" x14ac:dyDescent="0.35">
      <c r="A100">
        <v>196</v>
      </c>
      <c r="B100" s="11">
        <v>46199</v>
      </c>
      <c r="C100" t="s">
        <v>204</v>
      </c>
      <c r="D100" t="s">
        <v>184</v>
      </c>
      <c r="E100">
        <v>17737026</v>
      </c>
      <c r="F100" t="s">
        <v>258</v>
      </c>
      <c r="G100" t="s">
        <v>53</v>
      </c>
      <c r="H100">
        <v>9</v>
      </c>
      <c r="I100">
        <v>0</v>
      </c>
      <c r="J100">
        <v>27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9</v>
      </c>
      <c r="AA100">
        <v>675000</v>
      </c>
      <c r="AB100" s="11">
        <v>46199</v>
      </c>
      <c r="AC100">
        <v>9</v>
      </c>
      <c r="AD100">
        <v>675000</v>
      </c>
      <c r="AE100" t="s">
        <v>109</v>
      </c>
      <c r="AF100">
        <v>0</v>
      </c>
      <c r="AG100">
        <v>46202</v>
      </c>
      <c r="AO100" s="39">
        <v>98</v>
      </c>
      <c r="AP100" s="60"/>
      <c r="AQ100" s="41"/>
      <c r="AR100" s="42"/>
      <c r="AS100" s="31"/>
      <c r="AT100" s="31"/>
      <c r="AU100" s="31"/>
      <c r="AV100" s="6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55"/>
      <c r="BP100" s="40"/>
      <c r="BQ100" s="39"/>
      <c r="BR100" s="59"/>
      <c r="BS100" s="39"/>
      <c r="BT100" s="57"/>
      <c r="BU100" s="40"/>
      <c r="BV100" s="8"/>
      <c r="BW100" s="58"/>
    </row>
    <row r="101" spans="1:75" x14ac:dyDescent="0.35">
      <c r="A101">
        <v>197</v>
      </c>
      <c r="B101" s="11">
        <v>46199</v>
      </c>
      <c r="C101" t="s">
        <v>204</v>
      </c>
      <c r="D101" t="s">
        <v>184</v>
      </c>
      <c r="E101">
        <v>17288556</v>
      </c>
      <c r="F101" t="s">
        <v>259</v>
      </c>
      <c r="G101" t="s">
        <v>41</v>
      </c>
      <c r="H101">
        <v>5</v>
      </c>
      <c r="I101">
        <v>0</v>
      </c>
      <c r="J101">
        <v>15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5</v>
      </c>
      <c r="AA101">
        <v>375000</v>
      </c>
      <c r="AB101" s="11">
        <v>46199</v>
      </c>
      <c r="AC101">
        <v>5</v>
      </c>
      <c r="AD101">
        <v>375000</v>
      </c>
      <c r="AE101" t="s">
        <v>109</v>
      </c>
      <c r="AF101">
        <v>0</v>
      </c>
      <c r="AG101">
        <v>46202</v>
      </c>
      <c r="AO101" s="39">
        <v>99</v>
      </c>
      <c r="AP101" s="60"/>
      <c r="AQ101" s="41"/>
      <c r="AR101" s="42"/>
      <c r="AS101" s="31"/>
      <c r="AT101" s="31"/>
      <c r="AU101" s="31"/>
      <c r="AV101" s="6"/>
      <c r="AW101" s="44"/>
      <c r="AX101" s="44"/>
      <c r="AY101" s="44"/>
      <c r="AZ101" s="44"/>
      <c r="BA101" s="44"/>
      <c r="BB101" s="44"/>
      <c r="BC101" s="44"/>
      <c r="BD101" s="44"/>
      <c r="BE101" s="44"/>
      <c r="BF101" s="44"/>
      <c r="BG101" s="44"/>
      <c r="BH101" s="44"/>
      <c r="BI101" s="44"/>
      <c r="BJ101" s="44"/>
      <c r="BK101" s="44"/>
      <c r="BL101" s="44"/>
      <c r="BM101" s="44"/>
      <c r="BN101" s="44"/>
      <c r="BO101" s="55"/>
      <c r="BP101" s="40"/>
      <c r="BQ101" s="39"/>
      <c r="BR101" s="59"/>
      <c r="BS101" s="39"/>
      <c r="BT101" s="57"/>
      <c r="BU101" s="40"/>
      <c r="BV101" s="8"/>
      <c r="BW101" s="58"/>
    </row>
    <row r="102" spans="1:75" x14ac:dyDescent="0.35">
      <c r="A102">
        <v>198</v>
      </c>
      <c r="B102" s="11">
        <v>46199</v>
      </c>
      <c r="C102" t="s">
        <v>204</v>
      </c>
      <c r="D102" t="s">
        <v>184</v>
      </c>
      <c r="E102">
        <v>17695935</v>
      </c>
      <c r="F102" t="s">
        <v>260</v>
      </c>
      <c r="G102" t="s">
        <v>42</v>
      </c>
      <c r="H102">
        <v>7</v>
      </c>
      <c r="I102">
        <v>0</v>
      </c>
      <c r="J102">
        <v>21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7</v>
      </c>
      <c r="AA102">
        <v>525000</v>
      </c>
      <c r="AB102" s="11">
        <v>46200</v>
      </c>
      <c r="AC102">
        <v>7</v>
      </c>
      <c r="AD102">
        <v>525000</v>
      </c>
      <c r="AE102" t="s">
        <v>109</v>
      </c>
      <c r="AF102">
        <v>0</v>
      </c>
      <c r="AG102">
        <v>46202</v>
      </c>
      <c r="AO102" s="39">
        <v>100</v>
      </c>
      <c r="AP102" s="60"/>
      <c r="AQ102" s="41"/>
      <c r="AR102" s="42"/>
      <c r="AS102" s="31"/>
      <c r="AT102" s="31"/>
      <c r="AU102" s="31"/>
      <c r="AV102" s="6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55"/>
      <c r="BP102" s="40"/>
      <c r="BQ102" s="39"/>
      <c r="BR102" s="59"/>
      <c r="BS102" s="39"/>
      <c r="BT102" s="57"/>
      <c r="BU102" s="40"/>
      <c r="BV102" s="8"/>
      <c r="BW102" s="58"/>
    </row>
    <row r="103" spans="1:75" x14ac:dyDescent="0.35">
      <c r="A103">
        <v>199</v>
      </c>
      <c r="B103" s="11">
        <v>46199</v>
      </c>
      <c r="C103" t="s">
        <v>204</v>
      </c>
      <c r="D103" t="s">
        <v>184</v>
      </c>
      <c r="E103">
        <v>17437435</v>
      </c>
      <c r="F103" t="s">
        <v>261</v>
      </c>
      <c r="G103" t="s">
        <v>42</v>
      </c>
      <c r="H103">
        <v>3</v>
      </c>
      <c r="I103">
        <v>0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</v>
      </c>
      <c r="AA103">
        <v>225000</v>
      </c>
      <c r="AB103" s="11">
        <v>46200</v>
      </c>
      <c r="AC103">
        <v>3</v>
      </c>
      <c r="AD103">
        <v>225000</v>
      </c>
      <c r="AE103" t="s">
        <v>109</v>
      </c>
      <c r="AF103">
        <v>0</v>
      </c>
      <c r="AG103">
        <v>46202</v>
      </c>
      <c r="AO103" s="39">
        <v>101</v>
      </c>
      <c r="AP103" s="60"/>
      <c r="AQ103" s="41"/>
      <c r="AR103" s="42"/>
      <c r="AS103" s="31"/>
      <c r="AT103" s="31"/>
      <c r="AU103" s="31"/>
      <c r="AV103" s="6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55"/>
      <c r="BP103" s="40"/>
      <c r="BQ103" s="39"/>
      <c r="BR103" s="59"/>
      <c r="BS103" s="39"/>
      <c r="BT103" s="57"/>
      <c r="BU103" s="40"/>
      <c r="BV103" s="8"/>
      <c r="BW103" s="58"/>
    </row>
    <row r="104" spans="1:75" x14ac:dyDescent="0.35">
      <c r="B104" s="11">
        <v>46200</v>
      </c>
      <c r="C104" t="s">
        <v>204</v>
      </c>
      <c r="D104" t="s">
        <v>184</v>
      </c>
      <c r="E104">
        <v>17031672</v>
      </c>
      <c r="F104" t="s">
        <v>267</v>
      </c>
      <c r="G104" t="s">
        <v>53</v>
      </c>
      <c r="H104">
        <v>7</v>
      </c>
      <c r="I104">
        <v>0</v>
      </c>
      <c r="J104">
        <v>21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7</v>
      </c>
      <c r="AA104">
        <v>525000</v>
      </c>
      <c r="AB104" s="11">
        <v>46200</v>
      </c>
      <c r="AC104">
        <v>7</v>
      </c>
      <c r="AD104">
        <v>525000</v>
      </c>
      <c r="AE104" t="s">
        <v>109</v>
      </c>
      <c r="AF104">
        <v>0</v>
      </c>
      <c r="AG104">
        <v>46202</v>
      </c>
      <c r="AO104" s="39">
        <v>102</v>
      </c>
      <c r="AP104" s="60"/>
      <c r="AQ104" s="41"/>
      <c r="AR104" s="42"/>
      <c r="AS104" s="31"/>
      <c r="AT104" s="31"/>
      <c r="AU104" s="31"/>
      <c r="AV104" s="6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55"/>
      <c r="BP104" s="40"/>
      <c r="BQ104" s="39"/>
      <c r="BR104" s="59"/>
      <c r="BS104" s="39"/>
      <c r="BT104" s="57"/>
      <c r="BU104" s="40"/>
      <c r="BV104" s="8"/>
      <c r="BW104" s="58"/>
    </row>
    <row r="105" spans="1:75" x14ac:dyDescent="0.35">
      <c r="B105" s="11">
        <v>46200</v>
      </c>
      <c r="C105" t="s">
        <v>204</v>
      </c>
      <c r="D105" t="s">
        <v>184</v>
      </c>
      <c r="E105">
        <v>17268971</v>
      </c>
      <c r="F105" t="s">
        <v>268</v>
      </c>
      <c r="G105" t="s">
        <v>54</v>
      </c>
      <c r="H105">
        <v>4</v>
      </c>
      <c r="I105">
        <v>0</v>
      </c>
      <c r="J105">
        <v>12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4</v>
      </c>
      <c r="AA105">
        <v>300000</v>
      </c>
      <c r="AB105" s="11">
        <v>46202</v>
      </c>
      <c r="AC105">
        <v>4</v>
      </c>
      <c r="AD105">
        <v>300000</v>
      </c>
      <c r="AE105" t="s">
        <v>109</v>
      </c>
      <c r="AF105">
        <v>0</v>
      </c>
      <c r="AG105">
        <v>46203</v>
      </c>
      <c r="AO105" s="39">
        <v>103</v>
      </c>
      <c r="AP105" s="60"/>
      <c r="AQ105" s="41"/>
      <c r="AR105" s="42"/>
      <c r="AS105" s="31"/>
      <c r="AT105" s="31"/>
      <c r="AU105" s="31"/>
      <c r="AV105" s="6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55"/>
      <c r="BP105" s="40"/>
      <c r="BQ105" s="39"/>
      <c r="BR105" s="59"/>
      <c r="BS105" s="39"/>
      <c r="BT105" s="57"/>
      <c r="BU105" s="40"/>
      <c r="BV105" s="8"/>
      <c r="BW105" s="58"/>
    </row>
    <row r="106" spans="1:75" x14ac:dyDescent="0.35">
      <c r="B106" s="11">
        <v>46200</v>
      </c>
      <c r="C106" t="s">
        <v>204</v>
      </c>
      <c r="D106" t="s">
        <v>184</v>
      </c>
      <c r="E106">
        <v>17672233</v>
      </c>
      <c r="F106" t="s">
        <v>269</v>
      </c>
      <c r="G106" t="s">
        <v>41</v>
      </c>
      <c r="H106">
        <v>1</v>
      </c>
      <c r="I106">
        <v>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75000</v>
      </c>
      <c r="AB106" s="11">
        <v>46200</v>
      </c>
      <c r="AC106">
        <v>1</v>
      </c>
      <c r="AD106">
        <v>75000</v>
      </c>
      <c r="AE106" t="s">
        <v>109</v>
      </c>
      <c r="AF106">
        <v>0</v>
      </c>
      <c r="AG106">
        <v>46202</v>
      </c>
      <c r="AO106" s="39">
        <v>104</v>
      </c>
      <c r="AP106" s="60"/>
      <c r="AQ106" s="41"/>
      <c r="AR106" s="42"/>
      <c r="AS106" s="31"/>
      <c r="AT106" s="31"/>
      <c r="AU106" s="31"/>
      <c r="AV106" s="6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55"/>
      <c r="BP106" s="40"/>
      <c r="BQ106" s="39"/>
      <c r="BR106" s="59"/>
      <c r="BS106" s="39"/>
      <c r="BT106" s="57"/>
      <c r="BU106" s="40"/>
      <c r="BV106" s="8"/>
      <c r="BW106" s="58"/>
    </row>
    <row r="107" spans="1:75" x14ac:dyDescent="0.35">
      <c r="B107" s="11">
        <v>46202</v>
      </c>
      <c r="C107" t="s">
        <v>204</v>
      </c>
      <c r="D107" t="s">
        <v>184</v>
      </c>
      <c r="E107">
        <v>17437773</v>
      </c>
      <c r="F107" t="s">
        <v>270</v>
      </c>
      <c r="G107" t="s">
        <v>53</v>
      </c>
      <c r="H107">
        <v>2</v>
      </c>
      <c r="I107">
        <v>0</v>
      </c>
      <c r="J107">
        <v>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150000</v>
      </c>
      <c r="AB107" s="11">
        <v>46202</v>
      </c>
      <c r="AC107">
        <v>2</v>
      </c>
      <c r="AD107">
        <v>150000</v>
      </c>
      <c r="AE107" t="s">
        <v>109</v>
      </c>
      <c r="AF107">
        <v>0</v>
      </c>
      <c r="AG107">
        <v>46203</v>
      </c>
      <c r="AO107" s="39">
        <v>105</v>
      </c>
      <c r="AP107" s="60"/>
      <c r="AQ107" s="41"/>
      <c r="AR107" s="42"/>
      <c r="AS107" s="31"/>
      <c r="AT107" s="31"/>
      <c r="AU107" s="31"/>
      <c r="AV107" s="6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55"/>
      <c r="BP107" s="40"/>
      <c r="BQ107" s="39"/>
      <c r="BR107" s="59"/>
      <c r="BS107" s="39"/>
      <c r="BT107" s="57"/>
      <c r="BU107" s="40"/>
      <c r="BV107" s="8"/>
      <c r="BW107" s="58"/>
    </row>
    <row r="108" spans="1:75" x14ac:dyDescent="0.35">
      <c r="B108" s="11">
        <v>46202</v>
      </c>
      <c r="C108" t="s">
        <v>204</v>
      </c>
      <c r="D108" t="s">
        <v>184</v>
      </c>
      <c r="E108">
        <v>1305465</v>
      </c>
      <c r="F108" t="s">
        <v>271</v>
      </c>
      <c r="G108" t="s">
        <v>41</v>
      </c>
      <c r="H108">
        <v>3</v>
      </c>
      <c r="I108">
        <v>0</v>
      </c>
      <c r="J108">
        <v>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225000</v>
      </c>
      <c r="AB108" s="11">
        <v>46202</v>
      </c>
      <c r="AC108">
        <v>3</v>
      </c>
      <c r="AD108">
        <v>225000</v>
      </c>
      <c r="AE108" t="s">
        <v>109</v>
      </c>
      <c r="AF108">
        <v>0</v>
      </c>
      <c r="AG108">
        <v>46203</v>
      </c>
      <c r="AO108" s="39">
        <v>106</v>
      </c>
      <c r="AP108" s="60"/>
      <c r="AQ108" s="41"/>
      <c r="AR108" s="42"/>
      <c r="AS108" s="31"/>
      <c r="AT108" s="31"/>
      <c r="AU108" s="31"/>
      <c r="AV108" s="6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55"/>
      <c r="BP108" s="40"/>
      <c r="BQ108" s="39"/>
      <c r="BR108" s="59"/>
      <c r="BS108" s="39"/>
      <c r="BT108" s="57"/>
      <c r="BU108" s="40"/>
      <c r="BV108" s="8"/>
      <c r="BW108" s="58"/>
    </row>
    <row r="109" spans="1:75" x14ac:dyDescent="0.35">
      <c r="B109" s="11">
        <v>46202</v>
      </c>
      <c r="C109" t="s">
        <v>204</v>
      </c>
      <c r="D109" t="s">
        <v>184</v>
      </c>
      <c r="E109">
        <v>572677</v>
      </c>
      <c r="F109" t="s">
        <v>266</v>
      </c>
      <c r="G109" t="s">
        <v>42</v>
      </c>
      <c r="H109">
        <v>19</v>
      </c>
      <c r="I109">
        <v>0</v>
      </c>
      <c r="J109">
        <v>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19</v>
      </c>
      <c r="AA109">
        <v>1425000</v>
      </c>
      <c r="AB109" s="11">
        <v>46202</v>
      </c>
      <c r="AC109">
        <v>19</v>
      </c>
      <c r="AD109">
        <v>1425000</v>
      </c>
      <c r="AE109" t="s">
        <v>109</v>
      </c>
      <c r="AF109">
        <v>0</v>
      </c>
      <c r="AG109">
        <v>46203</v>
      </c>
      <c r="AO109" s="39">
        <v>107</v>
      </c>
      <c r="AP109" s="60"/>
      <c r="AQ109" s="41"/>
      <c r="AR109" s="42"/>
      <c r="AS109" s="31"/>
      <c r="AT109" s="31"/>
      <c r="AU109" s="31"/>
      <c r="AV109" s="6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55"/>
      <c r="BP109" s="40"/>
      <c r="BQ109" s="39"/>
      <c r="BR109" s="59"/>
      <c r="BS109" s="39"/>
      <c r="BT109" s="57"/>
      <c r="BU109" s="40"/>
      <c r="BV109" s="8"/>
      <c r="BW109" s="58"/>
    </row>
    <row r="110" spans="1:75" x14ac:dyDescent="0.35">
      <c r="B110" s="11">
        <v>46203</v>
      </c>
      <c r="C110" t="s">
        <v>204</v>
      </c>
      <c r="D110" t="s">
        <v>184</v>
      </c>
      <c r="E110">
        <v>572677</v>
      </c>
      <c r="F110" t="s">
        <v>266</v>
      </c>
      <c r="G110" t="s">
        <v>42</v>
      </c>
      <c r="H110">
        <v>27</v>
      </c>
      <c r="I110">
        <v>0</v>
      </c>
      <c r="J110">
        <v>81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27</v>
      </c>
      <c r="AA110">
        <v>2025000</v>
      </c>
      <c r="AB110" s="11">
        <v>46203</v>
      </c>
      <c r="AC110">
        <v>27</v>
      </c>
      <c r="AD110">
        <v>2025000</v>
      </c>
      <c r="AE110" t="s">
        <v>109</v>
      </c>
      <c r="AF110">
        <v>0</v>
      </c>
      <c r="AG110">
        <v>46204</v>
      </c>
      <c r="AO110" s="39">
        <v>108</v>
      </c>
      <c r="AP110" s="60"/>
      <c r="AQ110" s="41"/>
      <c r="AR110" s="42"/>
      <c r="AS110" s="31"/>
      <c r="AT110" s="31"/>
      <c r="AU110" s="31"/>
      <c r="AV110" s="6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55"/>
      <c r="BP110" s="40"/>
      <c r="BQ110" s="39"/>
      <c r="BR110" s="59"/>
      <c r="BS110" s="39"/>
      <c r="BT110" s="57"/>
      <c r="BU110" s="40"/>
      <c r="BV110" s="8"/>
      <c r="BW110" s="58"/>
    </row>
    <row r="111" spans="1:75" x14ac:dyDescent="0.35">
      <c r="AO111" s="39">
        <v>109</v>
      </c>
      <c r="AP111" s="60"/>
      <c r="AQ111" s="41"/>
      <c r="AR111" s="42"/>
      <c r="AS111" s="31"/>
      <c r="AT111" s="31"/>
      <c r="AU111" s="31"/>
      <c r="AV111" s="6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55"/>
      <c r="BP111" s="40"/>
      <c r="BQ111" s="39"/>
      <c r="BR111" s="59"/>
      <c r="BS111" s="39"/>
      <c r="BT111" s="57"/>
      <c r="BU111" s="40"/>
      <c r="BV111" s="8"/>
      <c r="BW111" s="58"/>
    </row>
    <row r="112" spans="1:75" x14ac:dyDescent="0.35">
      <c r="AO112" s="39">
        <v>110</v>
      </c>
      <c r="AP112" s="60"/>
      <c r="AQ112" s="41"/>
      <c r="AR112" s="42"/>
      <c r="AS112" s="31"/>
      <c r="AT112" s="31"/>
      <c r="AU112" s="31"/>
      <c r="AV112" s="6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55"/>
      <c r="BP112" s="40"/>
      <c r="BQ112" s="39"/>
      <c r="BR112" s="59"/>
      <c r="BS112" s="39"/>
      <c r="BT112" s="57"/>
      <c r="BU112" s="40"/>
      <c r="BV112" s="8"/>
      <c r="BW112" s="58"/>
    </row>
    <row r="113" spans="41:75" x14ac:dyDescent="0.35">
      <c r="AO113" s="39">
        <v>111</v>
      </c>
      <c r="AP113" s="60"/>
      <c r="AQ113" s="41"/>
      <c r="AR113" s="42"/>
      <c r="AS113" s="31"/>
      <c r="AT113" s="31"/>
      <c r="AU113" s="31"/>
      <c r="AV113" s="6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55"/>
      <c r="BP113" s="40"/>
      <c r="BQ113" s="39"/>
      <c r="BR113" s="59"/>
      <c r="BS113" s="39"/>
      <c r="BT113" s="57"/>
      <c r="BU113" s="40"/>
      <c r="BV113" s="8"/>
      <c r="BW113" s="58"/>
    </row>
    <row r="114" spans="41:75" x14ac:dyDescent="0.35">
      <c r="AO114" s="39">
        <v>112</v>
      </c>
      <c r="AP114" s="60"/>
      <c r="AQ114" s="41"/>
      <c r="AR114" s="42"/>
      <c r="AS114" s="31"/>
      <c r="AT114" s="31"/>
      <c r="AU114" s="31"/>
      <c r="AV114" s="6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55"/>
      <c r="BP114" s="40"/>
      <c r="BQ114" s="39"/>
      <c r="BR114" s="59"/>
      <c r="BS114" s="39"/>
      <c r="BT114" s="57"/>
      <c r="BU114" s="40"/>
      <c r="BV114" s="8"/>
      <c r="BW114" s="58"/>
    </row>
    <row r="115" spans="41:75" x14ac:dyDescent="0.35">
      <c r="AO115" s="39">
        <v>113</v>
      </c>
      <c r="AP115" s="60"/>
      <c r="AQ115" s="41"/>
      <c r="AR115" s="42"/>
      <c r="AS115" s="42"/>
      <c r="AT115" s="31"/>
      <c r="AU115" s="31"/>
      <c r="AV115" s="6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55"/>
      <c r="BP115" s="40"/>
      <c r="BQ115" s="39"/>
      <c r="BR115" s="59"/>
      <c r="BS115" s="39"/>
      <c r="BT115" s="57"/>
      <c r="BU115" s="40"/>
      <c r="BV115" s="8"/>
      <c r="BW115" s="58"/>
    </row>
    <row r="116" spans="41:75" x14ac:dyDescent="0.35">
      <c r="AO116" s="39">
        <v>114</v>
      </c>
      <c r="AP116" s="60"/>
      <c r="AQ116" s="41"/>
      <c r="AR116" s="42"/>
      <c r="AS116" s="42"/>
      <c r="AT116" s="31"/>
      <c r="AU116" s="31"/>
      <c r="AV116" s="6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55"/>
      <c r="BP116" s="40"/>
      <c r="BQ116" s="39"/>
      <c r="BR116" s="59"/>
      <c r="BS116" s="39"/>
      <c r="BT116" s="57"/>
      <c r="BU116" s="40"/>
      <c r="BV116" s="8"/>
      <c r="BW116" s="58"/>
    </row>
    <row r="117" spans="41:75" x14ac:dyDescent="0.35">
      <c r="AO117" s="39">
        <v>115</v>
      </c>
      <c r="AP117" s="60"/>
      <c r="AQ117" s="41"/>
      <c r="AR117" s="42"/>
      <c r="AS117" s="42"/>
      <c r="AT117" s="31"/>
      <c r="AU117" s="31"/>
      <c r="AV117" s="6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55"/>
      <c r="BP117" s="40"/>
      <c r="BQ117" s="39"/>
      <c r="BR117" s="59"/>
      <c r="BS117" s="39"/>
      <c r="BT117" s="57"/>
      <c r="BU117" s="40"/>
      <c r="BV117" s="8"/>
      <c r="BW117" s="58"/>
    </row>
    <row r="118" spans="41:75" x14ac:dyDescent="0.35">
      <c r="AO118" s="39">
        <v>116</v>
      </c>
      <c r="AP118" s="60"/>
      <c r="AQ118" s="41"/>
      <c r="AR118" s="42"/>
      <c r="AS118" s="42"/>
      <c r="AT118" s="31"/>
      <c r="AU118" s="31"/>
      <c r="AV118" s="6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55"/>
      <c r="BP118" s="40"/>
      <c r="BQ118" s="39"/>
      <c r="BR118" s="59"/>
      <c r="BS118" s="39"/>
      <c r="BT118" s="57"/>
      <c r="BU118" s="40"/>
      <c r="BV118" s="8"/>
      <c r="BW118" s="58"/>
    </row>
    <row r="119" spans="41:75" x14ac:dyDescent="0.35">
      <c r="AO119" s="39">
        <v>117</v>
      </c>
      <c r="AP119" s="60"/>
      <c r="AQ119" s="41"/>
      <c r="AR119" s="42"/>
      <c r="AS119" s="42"/>
      <c r="AT119" s="31"/>
      <c r="AU119" s="42"/>
      <c r="AV119" s="6"/>
      <c r="AW119" s="44"/>
      <c r="AX119" s="44"/>
      <c r="AY119" s="44"/>
      <c r="AZ119" s="44"/>
      <c r="BA119" s="44"/>
      <c r="BB119" s="44"/>
      <c r="BC119" s="44"/>
      <c r="BD119" s="44"/>
      <c r="BE119" s="44"/>
      <c r="BF119" s="44"/>
      <c r="BG119" s="44"/>
      <c r="BH119" s="44"/>
      <c r="BI119" s="44"/>
      <c r="BJ119" s="44"/>
      <c r="BK119" s="44"/>
      <c r="BL119" s="44"/>
      <c r="BM119" s="44"/>
      <c r="BN119" s="44"/>
      <c r="BO119" s="55"/>
      <c r="BP119" s="40"/>
      <c r="BQ119" s="39"/>
      <c r="BR119" s="59"/>
      <c r="BS119" s="39"/>
      <c r="BT119" s="57"/>
      <c r="BU119" s="40"/>
      <c r="BV119" s="8"/>
      <c r="BW119" s="58"/>
    </row>
    <row r="120" spans="41:75" x14ac:dyDescent="0.35">
      <c r="AO120" s="39">
        <v>118</v>
      </c>
      <c r="AP120" s="60"/>
      <c r="AQ120" s="41"/>
      <c r="AR120" s="42"/>
      <c r="AS120" s="42"/>
      <c r="AT120" s="31"/>
      <c r="AU120" s="42"/>
      <c r="AV120" s="6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55"/>
      <c r="BP120" s="40"/>
      <c r="BQ120" s="39"/>
      <c r="BR120" s="59"/>
      <c r="BS120" s="39"/>
      <c r="BT120" s="57"/>
      <c r="BU120" s="40"/>
      <c r="BV120" s="8"/>
      <c r="BW120" s="58"/>
    </row>
    <row r="121" spans="41:75" x14ac:dyDescent="0.35">
      <c r="AO121" s="39">
        <v>119</v>
      </c>
      <c r="AP121" s="60"/>
      <c r="AQ121" s="41"/>
      <c r="AR121" s="42"/>
      <c r="AS121" s="42"/>
      <c r="AT121" s="31"/>
      <c r="AU121" s="42"/>
      <c r="AV121" s="6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55"/>
      <c r="BP121" s="40"/>
      <c r="BQ121" s="39"/>
      <c r="BR121" s="59"/>
      <c r="BS121" s="39"/>
      <c r="BT121" s="57"/>
      <c r="BU121" s="40"/>
      <c r="BV121" s="8"/>
      <c r="BW121" s="58"/>
    </row>
    <row r="122" spans="41:75" x14ac:dyDescent="0.35">
      <c r="AO122" s="39">
        <v>120</v>
      </c>
      <c r="AP122" s="60"/>
      <c r="AQ122" s="41"/>
      <c r="AR122" s="42"/>
      <c r="AS122" s="42"/>
      <c r="AT122" s="31"/>
      <c r="AU122" s="42"/>
      <c r="AV122" s="6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/>
      <c r="BK122" s="44"/>
      <c r="BL122" s="44"/>
      <c r="BM122" s="44"/>
      <c r="BN122" s="44"/>
      <c r="BO122" s="55"/>
      <c r="BP122" s="40"/>
      <c r="BQ122" s="39"/>
      <c r="BR122" s="59"/>
      <c r="BS122" s="39"/>
      <c r="BT122" s="57"/>
      <c r="BU122" s="40"/>
      <c r="BV122" s="8"/>
      <c r="BW122" s="58"/>
    </row>
    <row r="123" spans="41:75" x14ac:dyDescent="0.35">
      <c r="AO123" s="39">
        <v>121</v>
      </c>
      <c r="AP123" s="60"/>
      <c r="AQ123" s="41"/>
      <c r="AR123" s="42"/>
      <c r="AS123" s="42"/>
      <c r="AT123" s="31"/>
      <c r="AU123" s="42"/>
      <c r="AV123" s="6"/>
      <c r="AW123" s="44"/>
      <c r="AX123" s="44"/>
      <c r="AY123" s="44"/>
      <c r="AZ123" s="44"/>
      <c r="BA123" s="44"/>
      <c r="BB123" s="44"/>
      <c r="BC123" s="44"/>
      <c r="BD123" s="44"/>
      <c r="BE123" s="44"/>
      <c r="BF123" s="44"/>
      <c r="BG123" s="44"/>
      <c r="BH123" s="44"/>
      <c r="BI123" s="44"/>
      <c r="BJ123" s="44"/>
      <c r="BK123" s="44"/>
      <c r="BL123" s="44"/>
      <c r="BM123" s="44"/>
      <c r="BN123" s="44"/>
      <c r="BO123" s="55"/>
      <c r="BP123" s="40"/>
      <c r="BQ123" s="39"/>
      <c r="BR123" s="59"/>
      <c r="BS123" s="39"/>
      <c r="BT123" s="57"/>
      <c r="BU123" s="40"/>
      <c r="BV123" s="8"/>
      <c r="BW123" s="58"/>
    </row>
    <row r="124" spans="41:75" x14ac:dyDescent="0.35">
      <c r="AO124" s="39">
        <v>122</v>
      </c>
      <c r="AP124" s="60"/>
      <c r="AQ124" s="41"/>
      <c r="AR124" s="42"/>
      <c r="AS124" s="42"/>
      <c r="AT124" s="31"/>
      <c r="AU124" s="42"/>
      <c r="AV124" s="6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55"/>
      <c r="BP124" s="40"/>
      <c r="BQ124" s="39"/>
      <c r="BR124" s="59"/>
      <c r="BS124" s="39"/>
      <c r="BT124" s="57"/>
      <c r="BU124" s="40"/>
      <c r="BV124" s="8"/>
      <c r="BW124" s="58"/>
    </row>
    <row r="125" spans="41:75" x14ac:dyDescent="0.35">
      <c r="AO125" s="39">
        <v>123</v>
      </c>
      <c r="AP125" s="60"/>
      <c r="AQ125" s="41"/>
      <c r="AR125" s="42"/>
      <c r="AS125" s="42"/>
      <c r="AT125" s="31"/>
      <c r="AU125" s="42"/>
      <c r="AV125" s="6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55"/>
      <c r="BP125" s="40"/>
      <c r="BQ125" s="39"/>
      <c r="BR125" s="59"/>
      <c r="BS125" s="39"/>
      <c r="BT125" s="57"/>
      <c r="BU125" s="40"/>
      <c r="BV125" s="8"/>
      <c r="BW125" s="58"/>
    </row>
    <row r="126" spans="41:75" x14ac:dyDescent="0.35">
      <c r="AO126" s="39">
        <v>124</v>
      </c>
      <c r="AP126" s="60"/>
      <c r="AQ126" s="41"/>
      <c r="AR126" s="42"/>
      <c r="AS126" s="42"/>
      <c r="AT126" s="31"/>
      <c r="AU126" s="42"/>
      <c r="AV126" s="6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55"/>
      <c r="BP126" s="40"/>
      <c r="BQ126" s="39"/>
      <c r="BR126" s="59"/>
      <c r="BS126" s="39"/>
      <c r="BT126" s="57"/>
      <c r="BU126" s="40"/>
      <c r="BV126" s="8"/>
      <c r="BW126" s="58"/>
    </row>
    <row r="127" spans="41:75" x14ac:dyDescent="0.35">
      <c r="AO127" s="39">
        <v>125</v>
      </c>
      <c r="AP127" s="60"/>
      <c r="AQ127" s="41"/>
      <c r="AR127" s="42"/>
      <c r="AS127" s="42"/>
      <c r="AT127" s="31"/>
      <c r="AU127" s="42"/>
      <c r="AV127" s="6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55"/>
      <c r="BP127" s="40"/>
      <c r="BQ127" s="39"/>
      <c r="BR127" s="59"/>
      <c r="BS127" s="39"/>
      <c r="BT127" s="57"/>
      <c r="BU127" s="40"/>
      <c r="BV127" s="8"/>
      <c r="BW127" s="58"/>
    </row>
    <row r="128" spans="41:75" x14ac:dyDescent="0.35">
      <c r="AO128" s="39">
        <v>126</v>
      </c>
      <c r="AP128" s="60"/>
      <c r="AQ128" s="41"/>
      <c r="AR128" s="42"/>
      <c r="AS128" s="42"/>
      <c r="AT128" s="31"/>
      <c r="AU128" s="42"/>
      <c r="AV128" s="39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55"/>
      <c r="BP128" s="40"/>
      <c r="BQ128" s="39"/>
      <c r="BR128" s="59"/>
      <c r="BS128" s="39"/>
      <c r="BT128" s="57"/>
      <c r="BU128" s="40"/>
      <c r="BV128" s="8"/>
      <c r="BW128" s="58"/>
    </row>
    <row r="129" spans="41:75" x14ac:dyDescent="0.35">
      <c r="AO129" s="39">
        <v>127</v>
      </c>
      <c r="AP129" s="60"/>
      <c r="AQ129" s="41"/>
      <c r="AR129" s="42"/>
      <c r="AS129" s="42"/>
      <c r="AT129" s="31"/>
      <c r="AU129" s="42"/>
      <c r="AV129" s="39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55"/>
      <c r="BP129" s="40"/>
      <c r="BQ129" s="39"/>
      <c r="BR129" s="59"/>
      <c r="BS129" s="39"/>
      <c r="BT129" s="57"/>
      <c r="BU129" s="40"/>
      <c r="BV129" s="8"/>
      <c r="BW129" s="58"/>
    </row>
    <row r="130" spans="41:75" x14ac:dyDescent="0.35">
      <c r="AO130" s="39">
        <v>128</v>
      </c>
      <c r="AP130" s="60"/>
      <c r="AQ130" s="41"/>
      <c r="AR130" s="42"/>
      <c r="AS130" s="42"/>
      <c r="AT130" s="31"/>
      <c r="AU130" s="42"/>
      <c r="AV130" s="39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55"/>
      <c r="BP130" s="40"/>
      <c r="BQ130" s="39"/>
      <c r="BR130" s="59"/>
      <c r="BS130" s="39"/>
      <c r="BT130" s="57"/>
      <c r="BU130" s="40"/>
      <c r="BV130" s="8"/>
      <c r="BW130" s="58"/>
    </row>
    <row r="131" spans="41:75" x14ac:dyDescent="0.35">
      <c r="AO131" s="39">
        <v>129</v>
      </c>
      <c r="AP131" s="60"/>
      <c r="AQ131" s="41"/>
      <c r="AR131" s="42"/>
      <c r="AS131" s="42"/>
      <c r="AT131" s="31"/>
      <c r="AU131" s="42"/>
      <c r="AV131" s="39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55"/>
      <c r="BP131" s="40"/>
      <c r="BQ131" s="39"/>
      <c r="BR131" s="59"/>
      <c r="BS131" s="39"/>
      <c r="BT131" s="57"/>
      <c r="BU131" s="60"/>
      <c r="BV131" s="8"/>
      <c r="BW131" s="58"/>
    </row>
    <row r="132" spans="41:75" x14ac:dyDescent="0.35">
      <c r="AO132" s="39">
        <v>130</v>
      </c>
      <c r="AP132" s="60"/>
      <c r="AQ132" s="41"/>
      <c r="AR132" s="42"/>
      <c r="AS132" s="42"/>
      <c r="AT132" s="31"/>
      <c r="AU132" s="42"/>
      <c r="AV132" s="39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55"/>
      <c r="BP132" s="40"/>
      <c r="BQ132" s="39"/>
      <c r="BR132" s="59"/>
      <c r="BS132" s="39"/>
      <c r="BT132" s="57"/>
      <c r="BU132" s="60"/>
      <c r="BV132" s="8"/>
      <c r="BW132" s="58"/>
    </row>
    <row r="133" spans="41:75" x14ac:dyDescent="0.35">
      <c r="AO133" s="39">
        <v>131</v>
      </c>
      <c r="AP133" s="60"/>
      <c r="AQ133" s="41"/>
      <c r="AR133" s="42"/>
      <c r="AS133" s="42"/>
      <c r="AT133" s="31"/>
      <c r="AU133" s="42"/>
      <c r="AV133" s="39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55"/>
      <c r="BP133" s="40"/>
      <c r="BQ133" s="39"/>
      <c r="BR133" s="59"/>
      <c r="BS133" s="39"/>
      <c r="BT133" s="57"/>
      <c r="BU133" s="60"/>
      <c r="BV133" s="8"/>
      <c r="BW133" s="58"/>
    </row>
    <row r="134" spans="41:75" x14ac:dyDescent="0.35">
      <c r="AO134" s="39">
        <v>132</v>
      </c>
      <c r="AP134" s="60"/>
      <c r="AQ134" s="41"/>
      <c r="AR134" s="42"/>
      <c r="AS134" s="42"/>
      <c r="AT134" s="31"/>
      <c r="AU134" s="42"/>
      <c r="AV134" s="39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55"/>
      <c r="BP134" s="40"/>
      <c r="BQ134" s="39"/>
      <c r="BR134" s="59"/>
      <c r="BS134" s="39"/>
      <c r="BT134" s="57"/>
      <c r="BU134" s="60"/>
      <c r="BV134" s="8"/>
      <c r="BW134" s="58"/>
    </row>
    <row r="135" spans="41:75" x14ac:dyDescent="0.35">
      <c r="AO135" s="39">
        <v>133</v>
      </c>
      <c r="AP135" s="60"/>
      <c r="AQ135" s="41"/>
      <c r="AR135" s="42"/>
      <c r="AS135" s="42"/>
      <c r="AT135" s="31"/>
      <c r="AU135" s="42"/>
      <c r="AV135" s="39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55"/>
      <c r="BP135" s="40"/>
      <c r="BQ135" s="39"/>
      <c r="BR135" s="59"/>
      <c r="BS135" s="39"/>
      <c r="BT135" s="57"/>
      <c r="BU135" s="60"/>
      <c r="BV135" s="8"/>
      <c r="BW135" s="58"/>
    </row>
    <row r="136" spans="41:75" x14ac:dyDescent="0.35">
      <c r="AO136" s="39">
        <v>134</v>
      </c>
      <c r="AP136" s="60"/>
      <c r="AQ136" s="41"/>
      <c r="AR136" s="42"/>
      <c r="AS136" s="42"/>
      <c r="AT136" s="31"/>
      <c r="AU136" s="42"/>
      <c r="AV136" s="39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55"/>
      <c r="BP136" s="40"/>
      <c r="BQ136" s="39"/>
      <c r="BR136" s="59"/>
      <c r="BS136" s="39"/>
      <c r="BT136" s="57"/>
      <c r="BU136" s="60"/>
      <c r="BV136" s="8"/>
      <c r="BW136" s="58"/>
    </row>
    <row r="137" spans="41:75" x14ac:dyDescent="0.35">
      <c r="AO137" s="39">
        <v>135</v>
      </c>
      <c r="AP137" s="60"/>
      <c r="AQ137" s="41"/>
      <c r="AR137" s="42"/>
      <c r="AS137" s="42"/>
      <c r="AT137" s="31"/>
      <c r="AU137" s="42"/>
      <c r="AV137" s="39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55"/>
      <c r="BP137" s="40"/>
      <c r="BQ137" s="39"/>
      <c r="BR137" s="59"/>
      <c r="BS137" s="39"/>
      <c r="BT137" s="57"/>
      <c r="BU137" s="60"/>
      <c r="BV137" s="8"/>
      <c r="BW137" s="58"/>
    </row>
    <row r="138" spans="41:75" x14ac:dyDescent="0.35">
      <c r="AO138" s="39">
        <v>136</v>
      </c>
      <c r="AP138" s="60"/>
      <c r="AQ138" s="41"/>
      <c r="AR138" s="42"/>
      <c r="AS138" s="31"/>
      <c r="AT138" s="31"/>
      <c r="AU138" s="42"/>
      <c r="AV138" s="39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55"/>
      <c r="BP138" s="60"/>
      <c r="BQ138" s="39"/>
      <c r="BR138" s="59"/>
      <c r="BS138" s="39"/>
      <c r="BT138" s="57"/>
      <c r="BU138" s="60"/>
      <c r="BV138" s="8"/>
      <c r="BW138" s="58"/>
    </row>
    <row r="139" spans="41:75" x14ac:dyDescent="0.35">
      <c r="AO139" s="39">
        <v>137</v>
      </c>
      <c r="AP139" s="60"/>
      <c r="AQ139" s="41"/>
      <c r="AR139" s="42"/>
      <c r="AS139" s="31"/>
      <c r="AT139" s="31"/>
      <c r="AU139" s="42"/>
      <c r="AV139" s="39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55"/>
      <c r="BP139" s="60"/>
      <c r="BQ139" s="39"/>
      <c r="BR139" s="59"/>
      <c r="BS139" s="39"/>
      <c r="BT139" s="57"/>
      <c r="BU139" s="60"/>
      <c r="BV139" s="8"/>
      <c r="BW139" s="58"/>
    </row>
    <row r="140" spans="41:75" x14ac:dyDescent="0.35">
      <c r="AO140" s="39">
        <v>138</v>
      </c>
      <c r="AP140" s="60"/>
      <c r="AQ140" s="41"/>
      <c r="AR140" s="42"/>
      <c r="AS140" s="42"/>
      <c r="AT140" s="31"/>
      <c r="AU140" s="42"/>
      <c r="AV140" s="39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55"/>
      <c r="BP140" s="60"/>
      <c r="BQ140" s="39"/>
      <c r="BR140" s="59"/>
      <c r="BS140" s="39"/>
      <c r="BT140" s="57"/>
      <c r="BU140" s="60"/>
      <c r="BV140" s="8"/>
      <c r="BW140" s="58"/>
    </row>
    <row r="141" spans="41:75" x14ac:dyDescent="0.35">
      <c r="AO141" s="39">
        <v>139</v>
      </c>
      <c r="AP141" s="60"/>
      <c r="AQ141" s="41"/>
      <c r="AR141" s="42"/>
      <c r="AS141" s="42"/>
      <c r="AT141" s="31"/>
      <c r="AU141" s="42"/>
      <c r="AV141" s="39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55"/>
      <c r="BP141" s="60"/>
      <c r="BQ141" s="39"/>
      <c r="BR141" s="59"/>
      <c r="BS141" s="39"/>
      <c r="BT141" s="57"/>
      <c r="BU141" s="60"/>
      <c r="BV141" s="8"/>
      <c r="BW141" s="58"/>
    </row>
    <row r="142" spans="41:75" x14ac:dyDescent="0.35">
      <c r="AO142" s="39">
        <v>140</v>
      </c>
      <c r="AP142" s="60"/>
      <c r="AQ142" s="41"/>
      <c r="AR142" s="42"/>
      <c r="AS142" s="42"/>
      <c r="AT142" s="31"/>
      <c r="AU142" s="42"/>
      <c r="AV142" s="39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55"/>
      <c r="BP142" s="60"/>
      <c r="BQ142" s="39"/>
      <c r="BR142" s="59"/>
      <c r="BS142" s="39"/>
      <c r="BT142" s="57"/>
      <c r="BU142" s="60"/>
      <c r="BV142" s="8"/>
      <c r="BW142" s="58"/>
    </row>
    <row r="143" spans="41:75" x14ac:dyDescent="0.35">
      <c r="AO143" s="39">
        <v>141</v>
      </c>
      <c r="AP143" s="60"/>
      <c r="AQ143" s="41"/>
      <c r="AR143" s="42"/>
      <c r="AS143" s="42"/>
      <c r="AT143" s="31"/>
      <c r="AU143" s="42"/>
      <c r="AV143" s="39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55"/>
      <c r="BP143" s="60"/>
      <c r="BQ143" s="39"/>
      <c r="BR143" s="59"/>
      <c r="BS143" s="39"/>
      <c r="BT143" s="57"/>
      <c r="BU143" s="60"/>
      <c r="BV143" s="8"/>
      <c r="BW143" s="58"/>
    </row>
    <row r="144" spans="41:75" x14ac:dyDescent="0.35">
      <c r="AO144" s="39">
        <v>142</v>
      </c>
      <c r="AP144" s="60"/>
      <c r="AQ144" s="41"/>
      <c r="AR144" s="42"/>
      <c r="AS144" s="42"/>
      <c r="AT144" s="31"/>
      <c r="AU144" s="42"/>
      <c r="AV144" s="39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55"/>
      <c r="BP144" s="40"/>
      <c r="BQ144" s="39"/>
      <c r="BR144" s="59"/>
      <c r="BS144" s="39"/>
      <c r="BT144" s="57"/>
      <c r="BU144" s="60"/>
      <c r="BV144" s="8"/>
      <c r="BW144" s="58"/>
    </row>
    <row r="145" spans="41:75" x14ac:dyDescent="0.35">
      <c r="AO145" s="39">
        <v>143</v>
      </c>
      <c r="AP145" s="60"/>
      <c r="AQ145" s="41"/>
      <c r="AR145" s="42"/>
      <c r="AS145" s="42"/>
      <c r="AT145" s="31"/>
      <c r="AU145" s="42"/>
      <c r="AV145" s="39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55"/>
      <c r="BP145" s="40"/>
      <c r="BQ145" s="39"/>
      <c r="BR145" s="59"/>
      <c r="BS145" s="39"/>
      <c r="BT145" s="57"/>
      <c r="BU145" s="60"/>
      <c r="BV145" s="8"/>
      <c r="BW145" s="58"/>
    </row>
    <row r="146" spans="41:75" x14ac:dyDescent="0.35">
      <c r="AO146" s="39">
        <v>144</v>
      </c>
      <c r="AP146" s="60"/>
      <c r="AQ146" s="41"/>
      <c r="AR146" s="42"/>
      <c r="AS146" s="42"/>
      <c r="AT146" s="31"/>
      <c r="AU146" s="42"/>
      <c r="AV146" s="39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55"/>
      <c r="BP146" s="40"/>
      <c r="BQ146" s="39"/>
      <c r="BR146" s="59"/>
      <c r="BS146" s="39"/>
      <c r="BT146" s="57"/>
      <c r="BU146" s="60"/>
      <c r="BV146" s="8"/>
      <c r="BW146" s="58"/>
    </row>
    <row r="147" spans="41:75" x14ac:dyDescent="0.35">
      <c r="AO147" s="39">
        <v>145</v>
      </c>
      <c r="AP147" s="60"/>
      <c r="AQ147" s="41"/>
      <c r="AR147" s="42"/>
      <c r="AS147" s="42"/>
      <c r="AT147" s="31"/>
      <c r="AU147" s="42"/>
      <c r="AV147" s="39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55"/>
      <c r="BP147" s="40"/>
      <c r="BQ147" s="39"/>
      <c r="BR147" s="59"/>
      <c r="BS147" s="39"/>
      <c r="BT147" s="57"/>
      <c r="BU147" s="60"/>
      <c r="BV147" s="8"/>
      <c r="BW147" s="58"/>
    </row>
    <row r="148" spans="41:75" x14ac:dyDescent="0.35">
      <c r="AO148" s="39">
        <v>146</v>
      </c>
      <c r="AP148" s="60"/>
      <c r="AQ148" s="41"/>
      <c r="AR148" s="42"/>
      <c r="AS148" s="42"/>
      <c r="AT148" s="31"/>
      <c r="AU148" s="42"/>
      <c r="AV148" s="39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55"/>
      <c r="BP148" s="40"/>
      <c r="BQ148" s="39"/>
      <c r="BR148" s="59"/>
      <c r="BS148" s="39"/>
      <c r="BT148" s="57"/>
      <c r="BU148" s="60"/>
      <c r="BV148" s="8"/>
      <c r="BW148" s="58"/>
    </row>
    <row r="149" spans="41:75" x14ac:dyDescent="0.35">
      <c r="AO149" s="39">
        <v>147</v>
      </c>
      <c r="AP149" s="60"/>
      <c r="AQ149" s="41"/>
      <c r="AR149" s="42"/>
      <c r="AS149" s="42"/>
      <c r="AT149" s="31"/>
      <c r="AU149" s="42"/>
      <c r="AV149" s="39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55"/>
      <c r="BP149" s="40"/>
      <c r="BQ149" s="39"/>
      <c r="BR149" s="59"/>
      <c r="BS149" s="39"/>
      <c r="BT149" s="57"/>
      <c r="BU149" s="60"/>
      <c r="BV149" s="8"/>
      <c r="BW149" s="58"/>
    </row>
    <row r="150" spans="41:75" x14ac:dyDescent="0.35">
      <c r="AO150" s="39">
        <v>148</v>
      </c>
      <c r="AP150" s="60"/>
      <c r="AQ150" s="41"/>
      <c r="AR150" s="42"/>
      <c r="AS150" s="42"/>
      <c r="AT150" s="31"/>
      <c r="AU150" s="42"/>
      <c r="AV150" s="39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4"/>
      <c r="BN150" s="44"/>
      <c r="BO150" s="55"/>
      <c r="BP150" s="40"/>
      <c r="BQ150" s="39"/>
      <c r="BR150" s="59"/>
      <c r="BS150" s="39"/>
      <c r="BT150" s="57"/>
      <c r="BU150" s="60"/>
      <c r="BV150" s="8"/>
      <c r="BW150" s="58"/>
    </row>
    <row r="151" spans="41:75" x14ac:dyDescent="0.35">
      <c r="AO151" s="39">
        <v>149</v>
      </c>
      <c r="AP151" s="60"/>
      <c r="AQ151" s="41"/>
      <c r="AR151" s="42"/>
      <c r="AS151" s="42"/>
      <c r="AT151" s="31"/>
      <c r="AU151" s="42"/>
      <c r="AV151" s="39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55"/>
      <c r="BP151" s="40"/>
      <c r="BQ151" s="39"/>
      <c r="BR151" s="59"/>
      <c r="BS151" s="39"/>
      <c r="BT151" s="57"/>
      <c r="BU151" s="60"/>
      <c r="BV151" s="8"/>
      <c r="BW151" s="58"/>
    </row>
    <row r="152" spans="41:75" x14ac:dyDescent="0.35">
      <c r="AO152" s="39">
        <v>150</v>
      </c>
      <c r="AP152" s="60"/>
      <c r="AQ152" s="41"/>
      <c r="AR152" s="42"/>
      <c r="AS152" s="42"/>
      <c r="AT152" s="31"/>
      <c r="AU152" s="42"/>
      <c r="AV152" s="39"/>
      <c r="AW152" s="44"/>
      <c r="AX152" s="44"/>
      <c r="AY152" s="44"/>
      <c r="AZ152" s="44"/>
      <c r="BA152" s="44"/>
      <c r="BB152" s="44"/>
      <c r="BC152" s="44"/>
      <c r="BD152" s="44"/>
      <c r="BE152" s="44"/>
      <c r="BF152" s="44"/>
      <c r="BG152" s="44"/>
      <c r="BH152" s="44"/>
      <c r="BI152" s="44"/>
      <c r="BJ152" s="44"/>
      <c r="BK152" s="44"/>
      <c r="BL152" s="44"/>
      <c r="BM152" s="44"/>
      <c r="BN152" s="44"/>
      <c r="BO152" s="55"/>
      <c r="BP152" s="40"/>
      <c r="BQ152" s="39"/>
      <c r="BR152" s="59"/>
      <c r="BS152" s="39"/>
      <c r="BT152" s="57"/>
      <c r="BU152" s="60"/>
      <c r="BV152" s="8"/>
      <c r="BW152" s="58"/>
    </row>
    <row r="153" spans="41:75" x14ac:dyDescent="0.35">
      <c r="AO153" s="39">
        <v>151</v>
      </c>
      <c r="AP153" s="60"/>
      <c r="AQ153" s="41"/>
      <c r="AR153" s="42"/>
      <c r="AS153" s="42"/>
      <c r="AT153" s="31"/>
      <c r="AU153" s="42"/>
      <c r="AV153" s="39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55"/>
      <c r="BP153" s="40"/>
      <c r="BQ153" s="39"/>
      <c r="BR153" s="59"/>
      <c r="BS153" s="39"/>
      <c r="BT153" s="57"/>
      <c r="BU153" s="60"/>
      <c r="BV153" s="8"/>
      <c r="BW153" s="58"/>
    </row>
    <row r="154" spans="41:75" x14ac:dyDescent="0.35">
      <c r="AO154" s="39">
        <v>152</v>
      </c>
      <c r="AP154" s="60"/>
      <c r="AQ154" s="41"/>
      <c r="AR154" s="42"/>
      <c r="AS154" s="42"/>
      <c r="AT154" s="31"/>
      <c r="AU154" s="42"/>
      <c r="AV154" s="39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55"/>
      <c r="BP154" s="40"/>
      <c r="BQ154" s="39"/>
      <c r="BR154" s="59"/>
      <c r="BS154" s="39"/>
      <c r="BT154" s="57"/>
      <c r="BU154" s="60"/>
      <c r="BV154" s="8"/>
      <c r="BW154" s="58"/>
    </row>
    <row r="155" spans="41:75" x14ac:dyDescent="0.35">
      <c r="AO155" s="39">
        <v>153</v>
      </c>
      <c r="AP155" s="60"/>
      <c r="AQ155" s="41"/>
      <c r="AR155" s="42"/>
      <c r="AS155" s="42"/>
      <c r="AT155" s="31"/>
      <c r="AU155" s="42"/>
      <c r="AV155" s="39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55"/>
      <c r="BP155" s="40"/>
      <c r="BQ155" s="39"/>
      <c r="BR155" s="59"/>
      <c r="BS155" s="39"/>
      <c r="BT155" s="57"/>
      <c r="BU155" s="60"/>
      <c r="BV155" s="8"/>
      <c r="BW155" s="58"/>
    </row>
    <row r="156" spans="41:75" x14ac:dyDescent="0.35">
      <c r="AO156" s="39">
        <v>154</v>
      </c>
      <c r="AP156" s="60"/>
      <c r="AQ156" s="41"/>
      <c r="AR156" s="42"/>
      <c r="AS156" s="42"/>
      <c r="AT156" s="31"/>
      <c r="AU156" s="42"/>
      <c r="AV156" s="39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55"/>
      <c r="BP156" s="40"/>
      <c r="BQ156" s="39"/>
      <c r="BR156" s="59"/>
      <c r="BS156" s="39"/>
      <c r="BT156" s="57"/>
      <c r="BU156" s="60"/>
      <c r="BV156" s="8"/>
      <c r="BW156" s="58"/>
    </row>
    <row r="157" spans="41:75" x14ac:dyDescent="0.35">
      <c r="AO157" s="39">
        <v>155</v>
      </c>
      <c r="AP157" s="60"/>
      <c r="AQ157" s="41"/>
      <c r="AR157" s="42"/>
      <c r="AS157" s="42"/>
      <c r="AT157" s="31"/>
      <c r="AU157" s="42"/>
      <c r="AV157" s="39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55"/>
      <c r="BP157" s="40"/>
      <c r="BQ157" s="39"/>
      <c r="BR157" s="59"/>
      <c r="BS157" s="39"/>
      <c r="BT157" s="57"/>
      <c r="BU157" s="60"/>
      <c r="BV157" s="8"/>
      <c r="BW157" s="58"/>
    </row>
    <row r="158" spans="41:75" x14ac:dyDescent="0.35">
      <c r="AO158" s="39">
        <v>156</v>
      </c>
      <c r="AP158" s="60"/>
      <c r="AQ158" s="41"/>
      <c r="AR158" s="42"/>
      <c r="AS158" s="42"/>
      <c r="AT158" s="31"/>
      <c r="AU158" s="42"/>
      <c r="AV158" s="39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55"/>
      <c r="BP158" s="40"/>
      <c r="BQ158" s="39"/>
      <c r="BR158" s="59"/>
      <c r="BS158" s="39"/>
      <c r="BT158" s="57"/>
      <c r="BU158" s="60"/>
      <c r="BV158" s="8"/>
      <c r="BW158" s="58"/>
    </row>
    <row r="159" spans="41:75" x14ac:dyDescent="0.35">
      <c r="AO159" s="39">
        <v>157</v>
      </c>
      <c r="AP159" s="60"/>
      <c r="AQ159" s="41"/>
      <c r="AR159" s="42"/>
      <c r="AS159" s="42"/>
      <c r="AT159" s="31"/>
      <c r="AU159" s="42"/>
      <c r="AV159" s="39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55"/>
      <c r="BP159" s="40"/>
      <c r="BQ159" s="39"/>
      <c r="BR159" s="59"/>
      <c r="BS159" s="39"/>
      <c r="BT159" s="57"/>
      <c r="BU159" s="60"/>
      <c r="BV159" s="8"/>
      <c r="BW159" s="58"/>
    </row>
    <row r="160" spans="41:75" x14ac:dyDescent="0.35">
      <c r="AO160" s="39">
        <v>158</v>
      </c>
      <c r="AP160" s="60"/>
      <c r="AQ160" s="41"/>
      <c r="AR160" s="42"/>
      <c r="AS160" s="42"/>
      <c r="AT160" s="31"/>
      <c r="AU160" s="42"/>
      <c r="AV160" s="39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55"/>
      <c r="BP160" s="40"/>
      <c r="BQ160" s="39"/>
      <c r="BR160" s="59"/>
      <c r="BS160" s="39"/>
      <c r="BT160" s="57"/>
      <c r="BU160" s="60"/>
      <c r="BV160" s="8"/>
      <c r="BW160" s="58"/>
    </row>
    <row r="161" spans="41:75" x14ac:dyDescent="0.35">
      <c r="AO161" s="39">
        <v>159</v>
      </c>
      <c r="AP161" s="60"/>
      <c r="AQ161" s="41"/>
      <c r="AR161" s="42"/>
      <c r="AS161" s="42"/>
      <c r="AT161" s="31"/>
      <c r="AU161" s="42"/>
      <c r="AV161" s="39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55"/>
      <c r="BP161" s="40"/>
      <c r="BQ161" s="39"/>
      <c r="BR161" s="59"/>
      <c r="BS161" s="39"/>
      <c r="BT161" s="57"/>
      <c r="BU161" s="60"/>
      <c r="BV161" s="8"/>
      <c r="BW161" s="58"/>
    </row>
    <row r="162" spans="41:75" x14ac:dyDescent="0.35">
      <c r="AO162" s="39">
        <v>160</v>
      </c>
      <c r="AP162" s="60"/>
      <c r="AQ162" s="41"/>
      <c r="AR162" s="42"/>
      <c r="AS162" s="42"/>
      <c r="AT162" s="31"/>
      <c r="AU162" s="42"/>
      <c r="AV162" s="39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55"/>
      <c r="BP162" s="40"/>
      <c r="BQ162" s="39"/>
      <c r="BR162" s="59"/>
      <c r="BS162" s="39"/>
      <c r="BT162" s="57"/>
      <c r="BU162" s="60"/>
      <c r="BV162" s="8"/>
      <c r="BW162" s="58"/>
    </row>
    <row r="163" spans="41:75" x14ac:dyDescent="0.35">
      <c r="AO163" s="39">
        <v>161</v>
      </c>
      <c r="AP163" s="60"/>
      <c r="AQ163" s="41"/>
      <c r="AR163" s="42"/>
      <c r="AS163" s="42"/>
      <c r="AT163" s="31"/>
      <c r="AU163" s="42"/>
      <c r="AV163" s="39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55"/>
      <c r="BP163" s="40"/>
      <c r="BQ163" s="39"/>
      <c r="BR163" s="59"/>
      <c r="BS163" s="39"/>
      <c r="BT163" s="57"/>
      <c r="BU163" s="60"/>
      <c r="BV163" s="8"/>
      <c r="BW163" s="58"/>
    </row>
    <row r="164" spans="41:75" x14ac:dyDescent="0.35">
      <c r="AO164" s="39">
        <v>162</v>
      </c>
      <c r="AP164" s="60"/>
      <c r="AQ164" s="41"/>
      <c r="AR164" s="42"/>
      <c r="AS164" s="42"/>
      <c r="AT164" s="31"/>
      <c r="AU164" s="42"/>
      <c r="AV164" s="39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55"/>
      <c r="BP164" s="40"/>
      <c r="BQ164" s="39"/>
      <c r="BR164" s="59"/>
      <c r="BS164" s="39"/>
      <c r="BT164" s="57"/>
      <c r="BU164" s="60"/>
      <c r="BV164" s="8"/>
      <c r="BW164" s="58"/>
    </row>
    <row r="165" spans="41:75" x14ac:dyDescent="0.35">
      <c r="AO165" s="39">
        <v>163</v>
      </c>
      <c r="AP165" s="60"/>
      <c r="AQ165" s="41"/>
      <c r="AR165" s="42"/>
      <c r="AS165" s="42"/>
      <c r="AT165" s="31"/>
      <c r="AU165" s="42"/>
      <c r="AV165" s="39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55"/>
      <c r="BP165" s="40"/>
      <c r="BQ165" s="39"/>
      <c r="BR165" s="59"/>
      <c r="BS165" s="39"/>
      <c r="BT165" s="57"/>
      <c r="BU165" s="60"/>
      <c r="BV165" s="8"/>
      <c r="BW165" s="58"/>
    </row>
    <row r="166" spans="41:75" x14ac:dyDescent="0.35">
      <c r="AO166" s="39">
        <v>164</v>
      </c>
      <c r="AP166" s="60"/>
      <c r="AQ166" s="41"/>
      <c r="AR166" s="42"/>
      <c r="AS166" s="42"/>
      <c r="AT166" s="31"/>
      <c r="AU166" s="42"/>
      <c r="AV166" s="39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55"/>
      <c r="BP166" s="40"/>
      <c r="BQ166" s="39"/>
      <c r="BR166" s="59"/>
      <c r="BS166" s="39"/>
      <c r="BT166" s="57"/>
      <c r="BU166" s="60"/>
      <c r="BV166" s="8"/>
      <c r="BW166" s="58"/>
    </row>
    <row r="167" spans="41:75" x14ac:dyDescent="0.35">
      <c r="AO167" s="39">
        <v>165</v>
      </c>
      <c r="AP167" s="60"/>
      <c r="AQ167" s="41"/>
      <c r="AR167" s="42"/>
      <c r="AS167" s="42"/>
      <c r="AT167" s="31"/>
      <c r="AU167" s="42"/>
      <c r="AV167" s="39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55"/>
      <c r="BP167" s="40"/>
      <c r="BQ167" s="39"/>
      <c r="BR167" s="59"/>
      <c r="BS167" s="39"/>
      <c r="BT167" s="57"/>
      <c r="BU167" s="60"/>
      <c r="BV167" s="8"/>
      <c r="BW167" s="58"/>
    </row>
    <row r="168" spans="41:75" x14ac:dyDescent="0.35">
      <c r="AO168" s="39">
        <v>166</v>
      </c>
      <c r="AP168" s="60"/>
      <c r="AQ168" s="41"/>
      <c r="AR168" s="42"/>
      <c r="AS168" s="42"/>
      <c r="AT168" s="31"/>
      <c r="AU168" s="42"/>
      <c r="AV168" s="39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55"/>
      <c r="BP168" s="40"/>
      <c r="BQ168" s="39"/>
      <c r="BR168" s="59"/>
      <c r="BS168" s="39"/>
      <c r="BT168" s="57"/>
      <c r="BU168" s="60"/>
      <c r="BV168" s="8"/>
      <c r="BW168" s="58"/>
    </row>
    <row r="169" spans="41:75" x14ac:dyDescent="0.35">
      <c r="AO169" s="39">
        <v>167</v>
      </c>
      <c r="AP169" s="60"/>
      <c r="AQ169" s="41"/>
      <c r="AR169" s="42"/>
      <c r="AS169" s="42"/>
      <c r="AT169" s="31"/>
      <c r="AU169" s="42"/>
      <c r="AV169" s="39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55"/>
      <c r="BP169" s="40"/>
      <c r="BQ169" s="39"/>
      <c r="BR169" s="59"/>
      <c r="BS169" s="39"/>
      <c r="BT169" s="57"/>
      <c r="BU169" s="60"/>
      <c r="BV169" s="8"/>
      <c r="BW169" s="58"/>
    </row>
    <row r="170" spans="41:75" x14ac:dyDescent="0.35">
      <c r="AO170" s="39">
        <v>168</v>
      </c>
      <c r="AP170" s="60"/>
      <c r="AQ170" s="41"/>
      <c r="AR170" s="42"/>
      <c r="AS170" s="42"/>
      <c r="AT170" s="31"/>
      <c r="AU170" s="42"/>
      <c r="AV170" s="39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55"/>
      <c r="BP170" s="40"/>
      <c r="BQ170" s="39"/>
      <c r="BR170" s="59"/>
      <c r="BS170" s="39"/>
      <c r="BT170" s="57"/>
      <c r="BU170" s="60"/>
      <c r="BV170" s="8"/>
      <c r="BW170" s="58"/>
    </row>
    <row r="171" spans="41:75" x14ac:dyDescent="0.35">
      <c r="AO171" s="39">
        <v>169</v>
      </c>
      <c r="AP171" s="60"/>
      <c r="AQ171" s="41"/>
      <c r="AR171" s="42"/>
      <c r="AS171" s="42"/>
      <c r="AT171" s="31"/>
      <c r="AU171" s="42"/>
      <c r="AV171" s="39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55"/>
      <c r="BP171" s="40"/>
      <c r="BQ171" s="39"/>
      <c r="BR171" s="59"/>
      <c r="BS171" s="39"/>
      <c r="BT171" s="57"/>
      <c r="BU171" s="60"/>
      <c r="BV171" s="8"/>
      <c r="BW171" s="58"/>
    </row>
    <row r="172" spans="41:75" x14ac:dyDescent="0.35">
      <c r="AO172" s="39">
        <v>170</v>
      </c>
      <c r="AP172" s="60"/>
      <c r="AQ172" s="41"/>
      <c r="AR172" s="42"/>
      <c r="AS172" s="42"/>
      <c r="AT172" s="31"/>
      <c r="AU172" s="42"/>
      <c r="AV172" s="39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55"/>
      <c r="BP172" s="40"/>
      <c r="BQ172" s="39"/>
      <c r="BR172" s="59"/>
      <c r="BS172" s="39"/>
      <c r="BT172" s="57"/>
      <c r="BU172" s="60"/>
      <c r="BV172" s="8"/>
      <c r="BW172" s="58"/>
    </row>
    <row r="173" spans="41:75" x14ac:dyDescent="0.35">
      <c r="AO173" s="39">
        <v>171</v>
      </c>
      <c r="AP173" s="60"/>
      <c r="AQ173" s="41"/>
      <c r="AR173" s="42"/>
      <c r="AS173" s="42"/>
      <c r="AT173" s="31"/>
      <c r="AU173" s="42"/>
      <c r="AV173" s="39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55"/>
      <c r="BP173" s="40"/>
      <c r="BQ173" s="39"/>
      <c r="BR173" s="59"/>
      <c r="BS173" s="39"/>
      <c r="BT173" s="57"/>
      <c r="BU173" s="60"/>
      <c r="BV173" s="8"/>
      <c r="BW173" s="58"/>
    </row>
    <row r="174" spans="41:75" x14ac:dyDescent="0.35">
      <c r="AO174" s="39">
        <v>172</v>
      </c>
      <c r="AP174" s="60"/>
      <c r="AQ174" s="41"/>
      <c r="AR174" s="42"/>
      <c r="AS174" s="42"/>
      <c r="AT174" s="31"/>
      <c r="AU174" s="42"/>
      <c r="AV174" s="39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55"/>
      <c r="BP174" s="40"/>
      <c r="BQ174" s="39"/>
      <c r="BR174" s="59"/>
      <c r="BS174" s="39"/>
      <c r="BT174" s="57"/>
      <c r="BU174" s="60"/>
      <c r="BV174" s="8"/>
      <c r="BW174" s="58"/>
    </row>
    <row r="175" spans="41:75" x14ac:dyDescent="0.35">
      <c r="AO175" s="39">
        <v>173</v>
      </c>
      <c r="AP175" s="60"/>
      <c r="AQ175" s="41"/>
      <c r="AR175" s="42"/>
      <c r="AS175" s="42"/>
      <c r="AT175" s="31"/>
      <c r="AU175" s="42"/>
      <c r="AV175" s="39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55"/>
      <c r="BP175" s="40"/>
      <c r="BQ175" s="39"/>
      <c r="BR175" s="59"/>
      <c r="BS175" s="39"/>
      <c r="BT175" s="57"/>
      <c r="BU175" s="60"/>
      <c r="BV175" s="8"/>
      <c r="BW175" s="58"/>
    </row>
    <row r="176" spans="41:75" x14ac:dyDescent="0.35">
      <c r="AO176" s="39">
        <v>174</v>
      </c>
      <c r="AP176" s="60"/>
      <c r="AQ176" s="41"/>
      <c r="AR176" s="42"/>
      <c r="AS176" s="42"/>
      <c r="AT176" s="31"/>
      <c r="AU176" s="42"/>
      <c r="AV176" s="39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55"/>
      <c r="BP176" s="40"/>
      <c r="BQ176" s="39"/>
      <c r="BR176" s="59"/>
      <c r="BS176" s="39"/>
      <c r="BT176" s="57"/>
      <c r="BU176" s="60"/>
      <c r="BV176" s="8"/>
      <c r="BW176" s="58"/>
    </row>
    <row r="177" spans="41:75" x14ac:dyDescent="0.35">
      <c r="AO177" s="39">
        <v>175</v>
      </c>
      <c r="AP177" s="60"/>
      <c r="AQ177" s="41"/>
      <c r="AR177" s="42"/>
      <c r="AS177" s="42"/>
      <c r="AT177" s="31"/>
      <c r="AU177" s="42"/>
      <c r="AV177" s="39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55"/>
      <c r="BP177" s="40"/>
      <c r="BQ177" s="39"/>
      <c r="BR177" s="59"/>
      <c r="BS177" s="39"/>
      <c r="BT177" s="57"/>
      <c r="BU177" s="60"/>
      <c r="BV177" s="8"/>
      <c r="BW177" s="58"/>
    </row>
    <row r="178" spans="41:75" x14ac:dyDescent="0.35">
      <c r="AO178" s="39">
        <v>176</v>
      </c>
      <c r="AP178" s="60"/>
      <c r="AQ178" s="41"/>
      <c r="AR178" s="42"/>
      <c r="AS178" s="42"/>
      <c r="AT178" s="31"/>
      <c r="AU178" s="42"/>
      <c r="AV178" s="39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55"/>
      <c r="BP178" s="40"/>
      <c r="BQ178" s="39"/>
      <c r="BR178" s="59"/>
      <c r="BS178" s="39"/>
      <c r="BT178" s="57"/>
      <c r="BU178" s="60"/>
      <c r="BV178" s="8"/>
      <c r="BW178" s="58"/>
    </row>
    <row r="179" spans="41:75" x14ac:dyDescent="0.35">
      <c r="AO179" s="39">
        <v>177</v>
      </c>
      <c r="AP179" s="60"/>
      <c r="AQ179" s="41"/>
      <c r="AR179" s="42"/>
      <c r="AS179" s="42"/>
      <c r="AT179" s="31"/>
      <c r="AU179" s="42"/>
      <c r="AV179" s="39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55"/>
      <c r="BP179" s="40"/>
      <c r="BQ179" s="39"/>
      <c r="BR179" s="59"/>
      <c r="BS179" s="39"/>
      <c r="BT179" s="57"/>
      <c r="BU179" s="60"/>
      <c r="BV179" s="8"/>
      <c r="BW179" s="58"/>
    </row>
    <row r="180" spans="41:75" x14ac:dyDescent="0.35">
      <c r="AO180" s="39">
        <v>178</v>
      </c>
      <c r="AP180" s="60"/>
      <c r="AQ180" s="41"/>
      <c r="AR180" s="42"/>
      <c r="AS180" s="42"/>
      <c r="AT180" s="31"/>
      <c r="AU180" s="42"/>
      <c r="AV180" s="39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55"/>
      <c r="BP180" s="60"/>
      <c r="BQ180" s="39"/>
      <c r="BR180" s="59"/>
      <c r="BS180" s="39"/>
      <c r="BT180" s="57"/>
      <c r="BU180" s="60"/>
      <c r="BV180" s="8"/>
      <c r="BW180" s="58"/>
    </row>
    <row r="181" spans="41:75" x14ac:dyDescent="0.35">
      <c r="AO181" s="39">
        <v>179</v>
      </c>
      <c r="AP181" s="60"/>
      <c r="AQ181" s="41"/>
      <c r="AR181" s="42"/>
      <c r="AS181" s="42"/>
      <c r="AT181" s="31"/>
      <c r="AU181" s="42"/>
      <c r="AV181" s="39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55"/>
      <c r="BP181" s="40"/>
      <c r="BQ181" s="39"/>
      <c r="BR181" s="59"/>
      <c r="BS181" s="39"/>
      <c r="BT181" s="57"/>
      <c r="BU181" s="60"/>
      <c r="BV181" s="8"/>
      <c r="BW181" s="58"/>
    </row>
    <row r="182" spans="41:75" x14ac:dyDescent="0.35">
      <c r="AO182" s="39">
        <v>180</v>
      </c>
      <c r="AP182" s="60"/>
      <c r="AQ182" s="41"/>
      <c r="AR182" s="42"/>
      <c r="AS182" s="42"/>
      <c r="AT182" s="31"/>
      <c r="AU182" s="42"/>
      <c r="AV182" s="39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55"/>
      <c r="BP182" s="40"/>
      <c r="BQ182" s="39"/>
      <c r="BR182" s="59"/>
      <c r="BS182" s="39"/>
      <c r="BT182" s="57"/>
      <c r="BU182" s="60"/>
      <c r="BV182" s="8"/>
      <c r="BW182" s="58"/>
    </row>
    <row r="183" spans="41:75" x14ac:dyDescent="0.35">
      <c r="AO183" s="39">
        <v>181</v>
      </c>
      <c r="AP183" s="60"/>
      <c r="AQ183" s="41"/>
      <c r="AR183" s="42"/>
      <c r="AS183" s="42"/>
      <c r="AT183" s="31"/>
      <c r="AU183" s="42"/>
      <c r="AV183" s="39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55"/>
      <c r="BP183" s="40"/>
      <c r="BQ183" s="39"/>
      <c r="BR183" s="59"/>
      <c r="BS183" s="39"/>
      <c r="BT183" s="57"/>
      <c r="BU183" s="60"/>
      <c r="BV183" s="8"/>
      <c r="BW183" s="58"/>
    </row>
    <row r="184" spans="41:75" x14ac:dyDescent="0.35">
      <c r="AO184" s="39">
        <v>182</v>
      </c>
      <c r="AP184" s="60"/>
      <c r="AQ184" s="41"/>
      <c r="AR184" s="42"/>
      <c r="AS184" s="42"/>
      <c r="AT184" s="31"/>
      <c r="AU184" s="42"/>
      <c r="AV184" s="39"/>
      <c r="AW184" s="44"/>
      <c r="AX184" s="44"/>
      <c r="AY184" s="44"/>
      <c r="AZ184" s="44"/>
      <c r="BA184" s="44"/>
      <c r="BB184" s="44"/>
      <c r="BC184" s="44"/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55"/>
      <c r="BP184" s="40"/>
      <c r="BQ184" s="39"/>
      <c r="BR184" s="59"/>
      <c r="BS184" s="39"/>
      <c r="BT184" s="57"/>
      <c r="BU184" s="60"/>
      <c r="BV184" s="8"/>
      <c r="BW184" s="58"/>
    </row>
    <row r="185" spans="41:75" x14ac:dyDescent="0.35">
      <c r="AO185" s="39">
        <v>183</v>
      </c>
      <c r="AP185" s="60"/>
      <c r="AQ185" s="41"/>
      <c r="AR185" s="42"/>
      <c r="AS185" s="42"/>
      <c r="AT185" s="31"/>
      <c r="AU185" s="42"/>
      <c r="AV185" s="39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55"/>
      <c r="BP185" s="40"/>
      <c r="BQ185" s="39"/>
      <c r="BR185" s="59"/>
      <c r="BS185" s="39"/>
      <c r="BT185" s="57"/>
      <c r="BU185" s="60"/>
      <c r="BV185" s="8"/>
      <c r="BW185" s="58"/>
    </row>
    <row r="186" spans="41:75" x14ac:dyDescent="0.35">
      <c r="AO186" s="39">
        <v>184</v>
      </c>
      <c r="AP186" s="60"/>
      <c r="AQ186" s="41"/>
      <c r="AR186" s="42"/>
      <c r="AS186" s="42"/>
      <c r="AT186" s="31"/>
      <c r="AU186" s="42"/>
      <c r="AV186" s="39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55"/>
      <c r="BP186" s="60"/>
      <c r="BQ186" s="39"/>
      <c r="BR186" s="59"/>
      <c r="BS186" s="39"/>
      <c r="BT186" s="57"/>
      <c r="BU186" s="60"/>
      <c r="BV186" s="8"/>
      <c r="BW186" s="58"/>
    </row>
    <row r="187" spans="41:75" x14ac:dyDescent="0.35">
      <c r="AO187" s="39">
        <v>185</v>
      </c>
      <c r="AP187" s="60"/>
      <c r="AQ187" s="41"/>
      <c r="AR187" s="42"/>
      <c r="AS187" s="42"/>
      <c r="AT187" s="31"/>
      <c r="AU187" s="42"/>
      <c r="AV187" s="39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55"/>
      <c r="BP187" s="60"/>
      <c r="BQ187" s="39"/>
      <c r="BR187" s="59"/>
      <c r="BS187" s="39"/>
      <c r="BT187" s="57"/>
      <c r="BU187" s="60"/>
      <c r="BV187" s="8"/>
      <c r="BW187" s="58"/>
    </row>
    <row r="188" spans="41:75" x14ac:dyDescent="0.35">
      <c r="AO188" s="39">
        <v>186</v>
      </c>
      <c r="AP188" s="60"/>
      <c r="AQ188" s="41"/>
      <c r="AR188" s="42"/>
      <c r="AS188" s="42"/>
      <c r="AT188" s="31"/>
      <c r="AU188" s="42"/>
      <c r="AV188" s="39"/>
      <c r="AW188" s="44"/>
      <c r="AX188" s="44"/>
      <c r="AY188" s="44"/>
      <c r="AZ188" s="44"/>
      <c r="BA188" s="44"/>
      <c r="BB188" s="44"/>
      <c r="BC188" s="44"/>
      <c r="BD188" s="44"/>
      <c r="BE188" s="44"/>
      <c r="BF188" s="44"/>
      <c r="BG188" s="44"/>
      <c r="BH188" s="44"/>
      <c r="BI188" s="44"/>
      <c r="BJ188" s="44"/>
      <c r="BK188" s="44"/>
      <c r="BL188" s="44"/>
      <c r="BM188" s="44"/>
      <c r="BN188" s="44"/>
      <c r="BO188" s="55"/>
      <c r="BP188" s="60"/>
      <c r="BQ188" s="39"/>
      <c r="BR188" s="59"/>
      <c r="BS188" s="39"/>
      <c r="BT188" s="57"/>
      <c r="BU188" s="60"/>
      <c r="BV188" s="8"/>
      <c r="BW188" s="58"/>
    </row>
    <row r="189" spans="41:75" x14ac:dyDescent="0.35">
      <c r="AO189" s="39">
        <v>187</v>
      </c>
      <c r="AP189" s="60"/>
      <c r="AQ189" s="41"/>
      <c r="AR189" s="42"/>
      <c r="AS189" s="42"/>
      <c r="AT189" s="31"/>
      <c r="AU189" s="42"/>
      <c r="AV189" s="39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55"/>
      <c r="BP189" s="86"/>
      <c r="BQ189" s="39"/>
      <c r="BR189" s="59"/>
      <c r="BS189" s="39"/>
      <c r="BT189" s="57"/>
      <c r="BU189" s="60"/>
      <c r="BV189" s="8"/>
      <c r="BW189" s="58"/>
    </row>
    <row r="190" spans="41:75" x14ac:dyDescent="0.35">
      <c r="AO190" s="39">
        <v>188</v>
      </c>
      <c r="AP190" s="60"/>
      <c r="AQ190" s="41"/>
      <c r="AR190" s="42"/>
      <c r="AS190" s="42"/>
      <c r="AT190" s="31"/>
      <c r="AU190" s="42"/>
      <c r="AV190" s="39"/>
      <c r="AW190" s="44"/>
      <c r="AX190" s="44"/>
      <c r="AY190" s="44"/>
      <c r="AZ190" s="44"/>
      <c r="BA190" s="44"/>
      <c r="BB190" s="44"/>
      <c r="BC190" s="44"/>
      <c r="BD190" s="44"/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55"/>
      <c r="BP190" s="60"/>
      <c r="BQ190" s="39"/>
      <c r="BR190" s="59"/>
      <c r="BS190" s="39"/>
      <c r="BT190" s="57"/>
      <c r="BU190" s="60"/>
      <c r="BV190" s="8"/>
      <c r="BW190" s="58"/>
    </row>
    <row r="191" spans="41:75" x14ac:dyDescent="0.35">
      <c r="AO191" s="39">
        <v>189</v>
      </c>
      <c r="AP191" s="60"/>
      <c r="AQ191" s="41"/>
      <c r="AR191" s="42"/>
      <c r="AS191" s="42"/>
      <c r="AT191" s="31"/>
      <c r="AU191" s="42"/>
      <c r="AV191" s="39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55"/>
      <c r="BP191" s="86"/>
      <c r="BQ191" s="39"/>
      <c r="BR191" s="59"/>
      <c r="BS191" s="39"/>
      <c r="BT191" s="57"/>
      <c r="BU191" s="60"/>
      <c r="BV191" s="8"/>
      <c r="BW191" s="58"/>
    </row>
    <row r="192" spans="41:75" x14ac:dyDescent="0.35">
      <c r="AO192" s="39">
        <v>190</v>
      </c>
      <c r="AP192" s="60"/>
      <c r="AQ192" s="41"/>
      <c r="AR192" s="42"/>
      <c r="AS192" s="42"/>
      <c r="AT192" s="31"/>
      <c r="AU192" s="42"/>
      <c r="AV192" s="39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55"/>
      <c r="BP192" s="86"/>
      <c r="BQ192" s="39"/>
      <c r="BR192" s="59"/>
      <c r="BS192" s="39"/>
      <c r="BT192" s="57"/>
      <c r="BU192" s="60"/>
      <c r="BV192" s="8"/>
      <c r="BW192" s="58"/>
    </row>
    <row r="193" spans="41:75" x14ac:dyDescent="0.35">
      <c r="AO193" s="39">
        <v>191</v>
      </c>
      <c r="AP193" s="60"/>
      <c r="AQ193" s="41"/>
      <c r="AR193" s="42"/>
      <c r="AS193" s="42"/>
      <c r="AT193" s="31"/>
      <c r="AU193" s="42"/>
      <c r="AV193" s="39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55"/>
      <c r="BP193" s="86"/>
      <c r="BQ193" s="39"/>
      <c r="BR193" s="59"/>
      <c r="BS193" s="39"/>
      <c r="BT193" s="57"/>
      <c r="BU193" s="60"/>
      <c r="BV193" s="8"/>
      <c r="BW193" s="58"/>
    </row>
    <row r="194" spans="41:75" x14ac:dyDescent="0.35">
      <c r="AO194" s="39">
        <v>192</v>
      </c>
      <c r="AP194" s="60"/>
      <c r="AQ194" s="41"/>
      <c r="AR194" s="42"/>
      <c r="AS194" s="42"/>
      <c r="AT194" s="31"/>
      <c r="AU194" s="42"/>
      <c r="AV194" s="39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55"/>
      <c r="BP194" s="86"/>
      <c r="BQ194" s="39"/>
      <c r="BR194" s="59"/>
      <c r="BS194" s="39"/>
      <c r="BT194" s="57"/>
      <c r="BU194" s="60"/>
      <c r="BV194" s="8"/>
      <c r="BW194" s="58"/>
    </row>
    <row r="195" spans="41:75" x14ac:dyDescent="0.35">
      <c r="AO195" s="39">
        <v>193</v>
      </c>
      <c r="AP195" s="60"/>
      <c r="AQ195" s="41"/>
      <c r="AR195" s="42"/>
      <c r="AS195" s="42"/>
      <c r="AT195" s="31"/>
      <c r="AU195" s="42"/>
      <c r="AV195" s="39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55"/>
      <c r="BP195" s="86"/>
      <c r="BQ195" s="39"/>
      <c r="BR195" s="59"/>
      <c r="BS195" s="39"/>
      <c r="BT195" s="57"/>
      <c r="BU195" s="60"/>
      <c r="BV195" s="8"/>
      <c r="BW195" s="58"/>
    </row>
    <row r="196" spans="41:75" x14ac:dyDescent="0.35">
      <c r="AO196" s="39">
        <v>194</v>
      </c>
      <c r="AP196" s="60"/>
      <c r="AQ196" s="41"/>
      <c r="AR196" s="42"/>
      <c r="AS196" s="42"/>
      <c r="AT196" s="31"/>
      <c r="AU196" s="42"/>
      <c r="AV196" s="39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55"/>
      <c r="BP196" s="86"/>
      <c r="BQ196" s="39"/>
      <c r="BR196" s="59"/>
      <c r="BS196" s="39"/>
      <c r="BT196" s="57"/>
      <c r="BU196" s="60"/>
      <c r="BV196" s="8"/>
      <c r="BW196" s="58"/>
    </row>
    <row r="197" spans="41:75" x14ac:dyDescent="0.35">
      <c r="AO197" s="39">
        <v>195</v>
      </c>
      <c r="AP197" s="60"/>
      <c r="AQ197" s="41"/>
      <c r="AR197" s="42"/>
      <c r="AS197" s="42"/>
      <c r="AT197" s="31"/>
      <c r="AU197" s="42"/>
      <c r="AV197" s="39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44"/>
      <c r="BJ197" s="44"/>
      <c r="BK197" s="44"/>
      <c r="BL197" s="44"/>
      <c r="BM197" s="44"/>
      <c r="BN197" s="44"/>
      <c r="BO197" s="55"/>
      <c r="BP197" s="86"/>
      <c r="BQ197" s="39"/>
      <c r="BR197" s="59"/>
      <c r="BS197" s="39"/>
      <c r="BT197" s="57"/>
      <c r="BU197" s="60"/>
      <c r="BV197" s="8"/>
      <c r="BW197" s="58"/>
    </row>
    <row r="198" spans="41:75" x14ac:dyDescent="0.35">
      <c r="AO198" s="39">
        <v>196</v>
      </c>
      <c r="AP198" s="60"/>
      <c r="AQ198" s="41"/>
      <c r="AR198" s="42"/>
      <c r="AS198" s="42"/>
      <c r="AT198" s="31"/>
      <c r="AU198" s="42"/>
      <c r="AV198" s="39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55"/>
      <c r="BP198" s="40"/>
      <c r="BQ198" s="39"/>
      <c r="BR198" s="59"/>
      <c r="BS198" s="39"/>
      <c r="BT198" s="57"/>
      <c r="BU198" s="60"/>
      <c r="BV198" s="8"/>
      <c r="BW198" s="58"/>
    </row>
    <row r="199" spans="41:75" x14ac:dyDescent="0.35">
      <c r="AO199" s="39">
        <v>197</v>
      </c>
      <c r="AP199" s="60"/>
      <c r="AQ199" s="41"/>
      <c r="AR199" s="42"/>
      <c r="AS199" s="42"/>
      <c r="AT199" s="31"/>
      <c r="AU199" s="42"/>
      <c r="AV199" s="39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55"/>
      <c r="BP199" s="40"/>
      <c r="BQ199" s="39"/>
      <c r="BR199" s="59"/>
      <c r="BS199" s="39"/>
      <c r="BT199" s="57"/>
      <c r="BU199" s="60"/>
      <c r="BV199" s="8"/>
      <c r="BW199" s="58"/>
    </row>
    <row r="200" spans="41:75" x14ac:dyDescent="0.35">
      <c r="AO200" s="39">
        <v>198</v>
      </c>
      <c r="AP200" s="60"/>
      <c r="AQ200" s="41"/>
      <c r="AR200" s="42"/>
      <c r="AS200" s="42"/>
      <c r="AT200" s="31"/>
      <c r="AU200" s="42"/>
      <c r="AV200" s="39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55"/>
      <c r="BP200" s="40"/>
      <c r="BQ200" s="39"/>
      <c r="BR200" s="59"/>
      <c r="BS200" s="39"/>
      <c r="BT200" s="57"/>
      <c r="BU200" s="60"/>
      <c r="BV200" s="8"/>
      <c r="BW200" s="58"/>
    </row>
    <row r="201" spans="41:75" x14ac:dyDescent="0.35">
      <c r="AO201" s="39">
        <v>199</v>
      </c>
      <c r="AP201" s="60"/>
      <c r="AQ201" s="41"/>
      <c r="AR201" s="42"/>
      <c r="AS201" s="42"/>
      <c r="AT201" s="31"/>
      <c r="AU201" s="42"/>
      <c r="AV201" s="39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55"/>
      <c r="BP201" s="40"/>
      <c r="BQ201" s="39"/>
      <c r="BR201" s="59"/>
      <c r="BS201" s="39"/>
      <c r="BT201" s="57"/>
      <c r="BU201" s="60"/>
      <c r="BV201" s="8"/>
      <c r="BW201" s="58"/>
    </row>
    <row r="202" spans="41:75" x14ac:dyDescent="0.35">
      <c r="AO202" s="39">
        <v>200</v>
      </c>
      <c r="AP202" s="60"/>
      <c r="AQ202" s="41"/>
      <c r="AR202" s="42"/>
      <c r="AS202" s="42"/>
      <c r="AT202" s="31"/>
      <c r="AU202" s="42"/>
      <c r="AV202" s="39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55"/>
      <c r="BP202" s="40"/>
      <c r="BQ202" s="39"/>
      <c r="BR202" s="59"/>
      <c r="BS202" s="39"/>
      <c r="BT202" s="57"/>
      <c r="BU202" s="60"/>
      <c r="BV202" s="8"/>
      <c r="BW202" s="58"/>
    </row>
    <row r="203" spans="41:75" x14ac:dyDescent="0.35">
      <c r="AO203" s="39">
        <v>201</v>
      </c>
      <c r="AP203" s="60"/>
      <c r="AQ203" s="41"/>
      <c r="AR203" s="42"/>
      <c r="AS203" s="42"/>
      <c r="AT203" s="31"/>
      <c r="AU203" s="42"/>
      <c r="AV203" s="39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55"/>
      <c r="BP203" s="40"/>
      <c r="BQ203" s="39"/>
      <c r="BR203" s="59"/>
      <c r="BS203" s="39"/>
      <c r="BT203" s="57"/>
      <c r="BU203" s="60"/>
      <c r="BV203" s="8"/>
      <c r="BW203" s="58"/>
    </row>
    <row r="204" spans="41:75" x14ac:dyDescent="0.35">
      <c r="AO204" s="39">
        <v>202</v>
      </c>
      <c r="AP204" s="60"/>
      <c r="AQ204" s="41"/>
      <c r="AR204" s="42"/>
      <c r="AS204" s="42"/>
      <c r="AT204" s="31"/>
      <c r="AU204" s="42"/>
      <c r="AV204" s="39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55"/>
      <c r="BP204" s="40"/>
      <c r="BQ204" s="39"/>
      <c r="BR204" s="59"/>
      <c r="BS204" s="39"/>
      <c r="BT204" s="57"/>
      <c r="BU204" s="60"/>
      <c r="BV204" s="8"/>
      <c r="BW204" s="58"/>
    </row>
    <row r="205" spans="41:75" x14ac:dyDescent="0.35">
      <c r="AO205" s="39">
        <v>203</v>
      </c>
      <c r="AP205" s="60"/>
      <c r="AQ205" s="41"/>
      <c r="AR205" s="42"/>
      <c r="AS205" s="42"/>
      <c r="AT205" s="31"/>
      <c r="AU205" s="42"/>
      <c r="AV205" s="39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55"/>
      <c r="BP205" s="40"/>
      <c r="BQ205" s="39"/>
      <c r="BR205" s="59"/>
      <c r="BS205" s="39"/>
      <c r="BT205" s="57"/>
      <c r="BU205" s="60"/>
      <c r="BV205" s="8"/>
      <c r="BW205" s="58"/>
    </row>
    <row r="206" spans="41:75" x14ac:dyDescent="0.35">
      <c r="AO206" s="39">
        <v>204</v>
      </c>
      <c r="AP206" s="60"/>
      <c r="AQ206" s="41"/>
      <c r="AR206" s="42"/>
      <c r="AS206" s="42"/>
      <c r="AT206" s="31"/>
      <c r="AU206" s="42"/>
      <c r="AV206" s="39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55"/>
      <c r="BP206" s="40"/>
      <c r="BQ206" s="39"/>
      <c r="BR206" s="59"/>
      <c r="BS206" s="39"/>
      <c r="BT206" s="57"/>
      <c r="BU206" s="60"/>
      <c r="BV206" s="8"/>
      <c r="BW206" s="58"/>
    </row>
    <row r="207" spans="41:75" x14ac:dyDescent="0.35">
      <c r="AO207" s="39">
        <v>205</v>
      </c>
      <c r="AP207" s="60"/>
      <c r="AQ207" s="41"/>
      <c r="AR207" s="42"/>
      <c r="AS207" s="42"/>
      <c r="AT207" s="31"/>
      <c r="AU207" s="42"/>
      <c r="AV207" s="39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55"/>
      <c r="BP207" s="40"/>
      <c r="BQ207" s="39"/>
      <c r="BR207" s="59"/>
      <c r="BS207" s="39"/>
      <c r="BT207" s="57"/>
      <c r="BU207" s="60"/>
      <c r="BV207" s="8"/>
      <c r="BW207" s="58"/>
    </row>
    <row r="208" spans="41:75" x14ac:dyDescent="0.35">
      <c r="AO208" s="39">
        <v>206</v>
      </c>
      <c r="AP208" s="60"/>
      <c r="AQ208" s="41"/>
      <c r="AR208" s="42"/>
      <c r="AS208" s="42"/>
      <c r="AT208" s="31"/>
      <c r="AU208" s="42"/>
      <c r="AV208" s="39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55"/>
      <c r="BP208" s="40"/>
      <c r="BQ208" s="39"/>
      <c r="BR208" s="59"/>
      <c r="BS208" s="39"/>
      <c r="BT208" s="57"/>
      <c r="BU208" s="60"/>
      <c r="BV208" s="8"/>
      <c r="BW208" s="58"/>
    </row>
    <row r="209" spans="41:75" x14ac:dyDescent="0.35">
      <c r="AO209" s="39">
        <v>207</v>
      </c>
      <c r="AP209" s="60"/>
      <c r="AQ209" s="41"/>
      <c r="AR209" s="42"/>
      <c r="AS209" s="42"/>
      <c r="AT209" s="31"/>
      <c r="AU209" s="42"/>
      <c r="AV209" s="39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55"/>
      <c r="BP209" s="40"/>
      <c r="BQ209" s="39"/>
      <c r="BR209" s="59"/>
      <c r="BS209" s="39"/>
      <c r="BT209" s="57"/>
      <c r="BU209" s="60"/>
      <c r="BV209" s="8"/>
      <c r="BW209" s="58"/>
    </row>
    <row r="210" spans="41:75" x14ac:dyDescent="0.35">
      <c r="AO210" s="39">
        <v>208</v>
      </c>
      <c r="AP210" s="60"/>
      <c r="AQ210" s="41"/>
      <c r="AR210" s="42"/>
      <c r="AS210" s="42"/>
      <c r="AT210" s="31"/>
      <c r="AU210" s="42"/>
      <c r="AV210" s="39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55"/>
      <c r="BP210" s="40"/>
      <c r="BQ210" s="39"/>
      <c r="BR210" s="59"/>
      <c r="BS210" s="39"/>
      <c r="BT210" s="57"/>
      <c r="BU210" s="60"/>
      <c r="BV210" s="8"/>
      <c r="BW210" s="58"/>
    </row>
    <row r="211" spans="41:75" x14ac:dyDescent="0.35">
      <c r="AO211" s="39">
        <v>209</v>
      </c>
      <c r="AP211" s="60"/>
      <c r="AQ211" s="41"/>
      <c r="AR211" s="42"/>
      <c r="AS211" s="42"/>
      <c r="AT211" s="31"/>
      <c r="AU211" s="42"/>
      <c r="AV211" s="39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55"/>
      <c r="BP211" s="40"/>
      <c r="BQ211" s="39"/>
      <c r="BR211" s="59"/>
      <c r="BS211" s="39"/>
      <c r="BT211" s="57"/>
      <c r="BU211" s="60"/>
      <c r="BV211" s="8"/>
      <c r="BW211" s="58"/>
    </row>
    <row r="212" spans="41:75" x14ac:dyDescent="0.35">
      <c r="AO212" s="39">
        <v>210</v>
      </c>
      <c r="AP212" s="60"/>
      <c r="AQ212" s="41"/>
      <c r="AR212" s="42"/>
      <c r="AS212" s="42"/>
      <c r="AT212" s="31"/>
      <c r="AU212" s="42"/>
      <c r="AV212" s="39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55"/>
      <c r="BP212" s="40"/>
      <c r="BQ212" s="39"/>
      <c r="BR212" s="59"/>
      <c r="BS212" s="39"/>
      <c r="BT212" s="57"/>
      <c r="BU212" s="60"/>
      <c r="BV212" s="8"/>
      <c r="BW212" s="58"/>
    </row>
    <row r="213" spans="41:75" x14ac:dyDescent="0.35">
      <c r="AO213" s="39">
        <v>211</v>
      </c>
      <c r="AP213" s="60"/>
      <c r="AQ213" s="41"/>
      <c r="AR213" s="42"/>
      <c r="AS213" s="42"/>
      <c r="AT213" s="31"/>
      <c r="AU213" s="42"/>
      <c r="AV213" s="39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55"/>
      <c r="BP213" s="40"/>
      <c r="BQ213" s="39"/>
      <c r="BR213" s="59"/>
      <c r="BS213" s="39"/>
      <c r="BT213" s="57"/>
      <c r="BU213" s="60"/>
      <c r="BV213" s="8"/>
      <c r="BW213" s="58"/>
    </row>
    <row r="214" spans="41:75" x14ac:dyDescent="0.35">
      <c r="AO214" s="39">
        <v>212</v>
      </c>
      <c r="AP214" s="60"/>
      <c r="AQ214" s="41"/>
      <c r="AR214" s="42" t="str">
        <f>IFERROR(VLOOKUP(AU214,[1]SUMMARY!$A$3:$B$7,2,FALSE),"")</f>
        <v/>
      </c>
      <c r="AS214" s="42"/>
      <c r="AT214" s="31" t="e">
        <f>VLOOKUP(AS214,[1]OUTLET!$B:$C,2,0)</f>
        <v>#N/A</v>
      </c>
      <c r="AU214" s="42"/>
      <c r="AV214" s="39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55"/>
      <c r="BP214" s="40"/>
      <c r="BQ214" s="39"/>
      <c r="BR214" s="59"/>
      <c r="BS214" s="39"/>
      <c r="BT214" s="57"/>
      <c r="BU214" s="60"/>
      <c r="BV214" s="8"/>
      <c r="BW214" s="58"/>
    </row>
    <row r="215" spans="41:75" x14ac:dyDescent="0.35">
      <c r="AO215" s="39">
        <v>213</v>
      </c>
      <c r="AP215" s="60"/>
      <c r="AQ215" s="41"/>
      <c r="AR215" s="42" t="str">
        <f>IFERROR(VLOOKUP(AU215,[1]SUMMARY!$A$3:$B$7,2,FALSE),"")</f>
        <v/>
      </c>
      <c r="AS215" s="42"/>
      <c r="AT215" s="31" t="e">
        <f>VLOOKUP(AS215,[1]OUTLET!$B:$C,2,0)</f>
        <v>#N/A</v>
      </c>
      <c r="AU215" s="42"/>
      <c r="AV215" s="39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55"/>
      <c r="BP215" s="40"/>
      <c r="BQ215" s="39"/>
      <c r="BR215" s="59"/>
      <c r="BS215" s="39"/>
      <c r="BT215" s="57"/>
      <c r="BU215" s="60"/>
      <c r="BV215" s="8"/>
      <c r="BW215" s="58"/>
    </row>
    <row r="216" spans="41:75" x14ac:dyDescent="0.35">
      <c r="AO216" s="39">
        <v>214</v>
      </c>
      <c r="AP216" s="60"/>
      <c r="AQ216" s="41"/>
      <c r="AR216" s="42" t="str">
        <f>IFERROR(VLOOKUP(AU216,[1]SUMMARY!$A$3:$B$7,2,FALSE),"")</f>
        <v/>
      </c>
      <c r="AS216" s="42"/>
      <c r="AT216" s="31" t="e">
        <f>VLOOKUP(AS216,[1]OUTLET!$B:$C,2,0)</f>
        <v>#N/A</v>
      </c>
      <c r="AU216" s="42"/>
      <c r="AV216" s="39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55"/>
      <c r="BP216" s="40"/>
      <c r="BQ216" s="39"/>
      <c r="BR216" s="59"/>
      <c r="BS216" s="39"/>
      <c r="BT216" s="57"/>
      <c r="BU216" s="60"/>
      <c r="BV216" s="8"/>
      <c r="BW216" s="58"/>
    </row>
    <row r="217" spans="41:75" x14ac:dyDescent="0.35">
      <c r="AO217" s="39">
        <v>215</v>
      </c>
      <c r="AP217" s="60"/>
      <c r="AQ217" s="41"/>
      <c r="AR217" s="42" t="str">
        <f>IFERROR(VLOOKUP(AU217,[1]SUMMARY!$A$3:$B$7,2,FALSE),"")</f>
        <v/>
      </c>
      <c r="AS217" s="42"/>
      <c r="AT217" s="31" t="e">
        <f>VLOOKUP(AS217,[1]OUTLET!$B:$C,2,0)</f>
        <v>#N/A</v>
      </c>
      <c r="AU217" s="42"/>
      <c r="AV217" s="39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55"/>
      <c r="BP217" s="40"/>
      <c r="BQ217" s="39"/>
      <c r="BR217" s="59"/>
      <c r="BS217" s="39"/>
      <c r="BT217" s="57"/>
      <c r="BU217" s="60"/>
      <c r="BV217" s="8"/>
      <c r="BW217" s="58"/>
    </row>
    <row r="218" spans="41:75" x14ac:dyDescent="0.35">
      <c r="AO218" s="39">
        <v>216</v>
      </c>
      <c r="AP218" s="60"/>
      <c r="AQ218" s="41"/>
      <c r="AR218" s="42" t="str">
        <f>IFERROR(VLOOKUP(AU218,[1]SUMMARY!$A$3:$B$7,2,FALSE),"")</f>
        <v/>
      </c>
      <c r="AS218" s="42"/>
      <c r="AT218" s="31" t="e">
        <f>VLOOKUP(AS218,[1]OUTLET!$B:$C,2,0)</f>
        <v>#N/A</v>
      </c>
      <c r="AU218" s="42"/>
      <c r="AV218" s="39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55"/>
      <c r="BP218" s="40"/>
      <c r="BQ218" s="39"/>
      <c r="BR218" s="59"/>
      <c r="BS218" s="39"/>
      <c r="BT218" s="57"/>
      <c r="BU218" s="60"/>
      <c r="BV218" s="8"/>
      <c r="BW218" s="58"/>
    </row>
    <row r="219" spans="41:75" x14ac:dyDescent="0.35">
      <c r="AO219" s="39">
        <v>217</v>
      </c>
      <c r="AP219" s="60"/>
      <c r="AQ219" s="41"/>
      <c r="AR219" s="42" t="str">
        <f>IFERROR(VLOOKUP(AU219,[1]SUMMARY!$A$3:$B$7,2,FALSE),"")</f>
        <v/>
      </c>
      <c r="AS219" s="42"/>
      <c r="AT219" s="31" t="e">
        <f>VLOOKUP(AS219,[1]OUTLET!$B:$C,2,0)</f>
        <v>#N/A</v>
      </c>
      <c r="AU219" s="42"/>
      <c r="AV219" s="39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55"/>
      <c r="BP219" s="40"/>
      <c r="BQ219" s="39"/>
      <c r="BR219" s="59"/>
      <c r="BS219" s="39"/>
      <c r="BT219" s="57"/>
      <c r="BU219" s="60"/>
      <c r="BV219" s="8"/>
      <c r="BW219" s="58"/>
    </row>
    <row r="220" spans="41:75" x14ac:dyDescent="0.35">
      <c r="AO220" s="39">
        <v>218</v>
      </c>
      <c r="AP220" s="60"/>
      <c r="AQ220" s="41"/>
      <c r="AR220" s="42" t="str">
        <f>IFERROR(VLOOKUP(AU220,[1]SUMMARY!$A$3:$B$7,2,FALSE),"")</f>
        <v/>
      </c>
      <c r="AS220" s="42"/>
      <c r="AT220" s="31" t="e">
        <f>VLOOKUP(AS220,[1]OUTLET!$B:$C,2,0)</f>
        <v>#N/A</v>
      </c>
      <c r="AU220" s="42"/>
      <c r="AV220" s="39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55"/>
      <c r="BP220" s="40"/>
      <c r="BQ220" s="39"/>
      <c r="BR220" s="59"/>
      <c r="BS220" s="39"/>
      <c r="BT220" s="57"/>
      <c r="BU220" s="60"/>
      <c r="BV220" s="8"/>
      <c r="BW220" s="58"/>
    </row>
    <row r="221" spans="41:75" x14ac:dyDescent="0.35">
      <c r="AO221" s="39">
        <v>219</v>
      </c>
      <c r="AP221" s="60"/>
      <c r="AQ221" s="41"/>
      <c r="AR221" s="42" t="str">
        <f>IFERROR(VLOOKUP(AU221,[1]SUMMARY!$A$3:$B$7,2,FALSE),"")</f>
        <v/>
      </c>
      <c r="AS221" s="42"/>
      <c r="AT221" s="31" t="e">
        <f>VLOOKUP(AS221,[1]OUTLET!$B:$C,2,0)</f>
        <v>#N/A</v>
      </c>
      <c r="AU221" s="42"/>
      <c r="AV221" s="39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55"/>
      <c r="BP221" s="40"/>
      <c r="BQ221" s="39"/>
      <c r="BR221" s="59"/>
      <c r="BS221" s="39"/>
      <c r="BT221" s="57"/>
      <c r="BU221" s="60"/>
      <c r="BV221" s="8"/>
      <c r="BW221" s="58"/>
    </row>
    <row r="222" spans="41:75" x14ac:dyDescent="0.35">
      <c r="AO222" s="39">
        <v>220</v>
      </c>
      <c r="AP222" s="60"/>
      <c r="AQ222" s="41"/>
      <c r="AR222" s="42" t="str">
        <f>IFERROR(VLOOKUP(AU222,[1]SUMMARY!$A$3:$B$7,2,FALSE),"")</f>
        <v/>
      </c>
      <c r="AS222" s="42"/>
      <c r="AT222" s="31" t="e">
        <f>VLOOKUP(AS222,[1]OUTLET!$B:$C,2,0)</f>
        <v>#N/A</v>
      </c>
      <c r="AU222" s="42"/>
      <c r="AV222" s="39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55"/>
      <c r="BP222" s="40"/>
      <c r="BQ222" s="39"/>
      <c r="BR222" s="59"/>
      <c r="BS222" s="39"/>
      <c r="BT222" s="57"/>
      <c r="BU222" s="60"/>
      <c r="BV222" s="8"/>
      <c r="BW222" s="58"/>
    </row>
    <row r="223" spans="41:75" x14ac:dyDescent="0.35">
      <c r="AO223" s="39">
        <v>221</v>
      </c>
      <c r="AP223" s="60"/>
      <c r="AQ223" s="41"/>
      <c r="AR223" s="42" t="str">
        <f>IFERROR(VLOOKUP(AU223,[1]SUMMARY!$A$3:$B$7,2,FALSE),"")</f>
        <v/>
      </c>
      <c r="AS223" s="42"/>
      <c r="AT223" s="31" t="e">
        <f>VLOOKUP(AS223,[1]OUTLET!$B:$C,2,0)</f>
        <v>#N/A</v>
      </c>
      <c r="AU223" s="42"/>
      <c r="AV223" s="39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55"/>
      <c r="BP223" s="40"/>
      <c r="BQ223" s="39"/>
      <c r="BR223" s="59"/>
      <c r="BS223" s="39"/>
      <c r="BT223" s="57"/>
      <c r="BU223" s="60"/>
      <c r="BV223" s="8"/>
      <c r="BW223" s="58"/>
    </row>
    <row r="224" spans="41:75" x14ac:dyDescent="0.35">
      <c r="AO224" s="39">
        <v>222</v>
      </c>
      <c r="AP224" s="60"/>
      <c r="AQ224" s="41"/>
      <c r="AR224" s="42" t="str">
        <f>IFERROR(VLOOKUP(AU224,[1]SUMMARY!$A$3:$B$7,2,FALSE),"")</f>
        <v/>
      </c>
      <c r="AS224" s="42"/>
      <c r="AT224" s="31" t="e">
        <f>VLOOKUP(AS224,[1]OUTLET!$B:$C,2,0)</f>
        <v>#N/A</v>
      </c>
      <c r="AU224" s="42"/>
      <c r="AV224" s="39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55"/>
      <c r="BP224" s="40"/>
      <c r="BQ224" s="39"/>
      <c r="BR224" s="59"/>
      <c r="BS224" s="39"/>
      <c r="BT224" s="57"/>
      <c r="BU224" s="60"/>
      <c r="BV224" s="8"/>
      <c r="BW224" s="58"/>
    </row>
    <row r="225" spans="41:75" x14ac:dyDescent="0.35">
      <c r="AO225" s="39">
        <v>223</v>
      </c>
      <c r="AP225" s="60"/>
      <c r="AQ225" s="41"/>
      <c r="AR225" s="42" t="str">
        <f>IFERROR(VLOOKUP(AU225,[1]SUMMARY!$A$3:$B$7,2,FALSE),"")</f>
        <v/>
      </c>
      <c r="AS225" s="42"/>
      <c r="AT225" s="31" t="e">
        <f>VLOOKUP(AS225,[1]OUTLET!$B:$C,2,0)</f>
        <v>#N/A</v>
      </c>
      <c r="AU225" s="31"/>
      <c r="AV225" s="39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55"/>
      <c r="BP225" s="40"/>
      <c r="BQ225" s="39"/>
      <c r="BR225" s="59"/>
      <c r="BS225" s="39"/>
      <c r="BT225" s="57"/>
      <c r="BU225" s="60"/>
      <c r="BV225" s="8"/>
      <c r="BW225" s="58"/>
    </row>
    <row r="226" spans="41:75" x14ac:dyDescent="0.35">
      <c r="AO226" s="39">
        <v>224</v>
      </c>
      <c r="AP226" s="60"/>
      <c r="AQ226" s="41"/>
      <c r="AR226" s="42" t="str">
        <f>IFERROR(VLOOKUP(AU226,[1]SUMMARY!$A$3:$B$7,2,FALSE),"")</f>
        <v/>
      </c>
      <c r="AS226" s="42"/>
      <c r="AT226" s="31" t="e">
        <f>VLOOKUP(AS226,[1]OUTLET!$B:$C,2,0)</f>
        <v>#N/A</v>
      </c>
      <c r="AU226" s="42"/>
      <c r="AV226" s="39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55"/>
      <c r="BP226" s="40"/>
      <c r="BQ226" s="39"/>
      <c r="BR226" s="59"/>
      <c r="BS226" s="39"/>
      <c r="BT226" s="57"/>
      <c r="BU226" s="60"/>
      <c r="BV226" s="8"/>
      <c r="BW226" s="58"/>
    </row>
    <row r="227" spans="41:75" x14ac:dyDescent="0.35">
      <c r="AO227" s="39">
        <v>225</v>
      </c>
      <c r="AP227" s="60"/>
      <c r="AQ227" s="41"/>
      <c r="AR227" s="42" t="str">
        <f>IFERROR(VLOOKUP(AU227,[1]SUMMARY!$A$3:$B$7,2,FALSE),"")</f>
        <v/>
      </c>
      <c r="AS227" s="42"/>
      <c r="AT227" s="31" t="e">
        <f>VLOOKUP(AS227,[1]OUTLET!$B:$C,2,0)</f>
        <v>#N/A</v>
      </c>
      <c r="AU227" s="42"/>
      <c r="AV227" s="39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55"/>
      <c r="BP227" s="40"/>
      <c r="BQ227" s="39"/>
      <c r="BR227" s="59"/>
      <c r="BS227" s="39"/>
      <c r="BT227" s="57"/>
      <c r="BU227" s="60"/>
      <c r="BV227" s="8"/>
      <c r="BW227" s="58"/>
    </row>
    <row r="228" spans="41:75" x14ac:dyDescent="0.35">
      <c r="AO228" s="39">
        <v>226</v>
      </c>
      <c r="AP228" s="60"/>
      <c r="AQ228" s="41"/>
      <c r="AR228" s="42" t="str">
        <f>IFERROR(VLOOKUP(AU228,[1]SUMMARY!$A$3:$B$7,2,FALSE),"")</f>
        <v/>
      </c>
      <c r="AS228" s="42"/>
      <c r="AT228" s="31" t="e">
        <f>VLOOKUP(AS228,[1]OUTLET!$B:$C,2,0)</f>
        <v>#N/A</v>
      </c>
      <c r="AU228" s="42"/>
      <c r="AV228" s="39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55"/>
      <c r="BP228" s="40"/>
      <c r="BQ228" s="39"/>
      <c r="BR228" s="59"/>
      <c r="BS228" s="39"/>
      <c r="BT228" s="57"/>
      <c r="BU228" s="60"/>
      <c r="BV228" s="8"/>
      <c r="BW228" s="58"/>
    </row>
    <row r="229" spans="41:75" x14ac:dyDescent="0.35">
      <c r="AO229" s="39">
        <v>227</v>
      </c>
      <c r="AP229" s="60"/>
      <c r="AQ229" s="41"/>
      <c r="AR229" s="42" t="str">
        <f>IFERROR(VLOOKUP(AU229,[1]SUMMARY!$A$3:$B$7,2,FALSE),"")</f>
        <v/>
      </c>
      <c r="AS229" s="42"/>
      <c r="AT229" s="31" t="e">
        <f>VLOOKUP(AS229,[1]OUTLET!$B:$C,2,0)</f>
        <v>#N/A</v>
      </c>
      <c r="AU229" s="42"/>
      <c r="AV229" s="39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55"/>
      <c r="BP229" s="40"/>
      <c r="BQ229" s="39"/>
      <c r="BR229" s="59"/>
      <c r="BS229" s="39"/>
      <c r="BT229" s="57"/>
      <c r="BU229" s="60"/>
      <c r="BV229" s="8"/>
      <c r="BW229" s="58"/>
    </row>
    <row r="230" spans="41:75" x14ac:dyDescent="0.35">
      <c r="AO230" s="39">
        <v>228</v>
      </c>
      <c r="AP230" s="60"/>
      <c r="AQ230" s="41"/>
      <c r="AR230" s="42" t="str">
        <f>IFERROR(VLOOKUP(AU230,[1]SUMMARY!$A$3:$B$7,2,FALSE),"")</f>
        <v/>
      </c>
      <c r="AS230" s="42"/>
      <c r="AT230" s="31" t="e">
        <f>VLOOKUP(AS230,[1]OUTLET!$B:$C,2,0)</f>
        <v>#N/A</v>
      </c>
      <c r="AU230" s="42"/>
      <c r="AV230" s="39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55"/>
      <c r="BP230" s="40"/>
      <c r="BQ230" s="39"/>
      <c r="BR230" s="59"/>
      <c r="BS230" s="39"/>
      <c r="BT230" s="57"/>
      <c r="BU230" s="60"/>
      <c r="BV230" s="8"/>
      <c r="BW230" s="58"/>
    </row>
    <row r="231" spans="41:75" x14ac:dyDescent="0.35">
      <c r="AO231" s="39">
        <v>229</v>
      </c>
      <c r="AP231" s="60"/>
      <c r="AQ231" s="41"/>
      <c r="AR231" s="42" t="str">
        <f>IFERROR(VLOOKUP(AU231,[1]SUMMARY!$A$3:$B$7,2,FALSE),"")</f>
        <v/>
      </c>
      <c r="AS231" s="42"/>
      <c r="AT231" s="31" t="e">
        <f>VLOOKUP(AS231,[1]OUTLET!$B:$C,2,0)</f>
        <v>#N/A</v>
      </c>
      <c r="AU231" s="42"/>
      <c r="AV231" s="39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55"/>
      <c r="BP231" s="40"/>
      <c r="BQ231" s="39"/>
      <c r="BR231" s="59"/>
      <c r="BS231" s="39"/>
      <c r="BT231" s="57"/>
      <c r="BU231" s="60"/>
      <c r="BV231" s="8"/>
      <c r="BW231" s="58"/>
    </row>
    <row r="232" spans="41:75" x14ac:dyDescent="0.35">
      <c r="AO232" s="39">
        <v>230</v>
      </c>
      <c r="AP232" s="60"/>
      <c r="AQ232" s="41"/>
      <c r="AR232" s="42" t="str">
        <f>IFERROR(VLOOKUP(AU232,[1]SUMMARY!$A$3:$B$7,2,FALSE),"")</f>
        <v/>
      </c>
      <c r="AS232" s="42"/>
      <c r="AT232" s="31" t="e">
        <f>VLOOKUP(AS232,[1]OUTLET!$B:$C,2,0)</f>
        <v>#N/A</v>
      </c>
      <c r="AU232" s="42"/>
      <c r="AV232" s="39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55"/>
      <c r="BP232" s="40"/>
      <c r="BQ232" s="39"/>
      <c r="BR232" s="59"/>
      <c r="BS232" s="39"/>
      <c r="BT232" s="57"/>
      <c r="BU232" s="60"/>
      <c r="BV232" s="8"/>
      <c r="BW232" s="58"/>
    </row>
    <row r="233" spans="41:75" x14ac:dyDescent="0.35">
      <c r="AO233" s="39">
        <v>231</v>
      </c>
      <c r="AP233" s="60"/>
      <c r="AQ233" s="41"/>
      <c r="AR233" s="42" t="str">
        <f>IFERROR(VLOOKUP(AU233,[1]SUMMARY!$A$3:$B$7,2,FALSE),"")</f>
        <v/>
      </c>
      <c r="AS233" s="42"/>
      <c r="AT233" s="31" t="e">
        <f>VLOOKUP(AS233,[1]OUTLET!$B:$C,2,0)</f>
        <v>#N/A</v>
      </c>
      <c r="AU233" s="42"/>
      <c r="AV233" s="39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55"/>
      <c r="BP233" s="40"/>
      <c r="BQ233" s="39"/>
      <c r="BR233" s="59"/>
      <c r="BS233" s="39"/>
      <c r="BT233" s="57"/>
      <c r="BU233" s="60"/>
      <c r="BV233" s="8"/>
      <c r="BW233" s="58"/>
    </row>
    <row r="234" spans="41:75" x14ac:dyDescent="0.35">
      <c r="AO234" s="39">
        <v>232</v>
      </c>
      <c r="AP234" s="60"/>
      <c r="AQ234" s="41"/>
      <c r="AR234" s="42" t="str">
        <f>IFERROR(VLOOKUP(AU234,[1]SUMMARY!$A$3:$B$7,2,FALSE),"")</f>
        <v/>
      </c>
      <c r="AS234" s="42"/>
      <c r="AT234" s="31" t="e">
        <f>VLOOKUP(AS234,[1]OUTLET!$B:$C,2,0)</f>
        <v>#N/A</v>
      </c>
      <c r="AU234" s="42"/>
      <c r="AV234" s="39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55"/>
      <c r="BP234" s="40"/>
      <c r="BQ234" s="39"/>
      <c r="BR234" s="59"/>
      <c r="BS234" s="39"/>
      <c r="BT234" s="57"/>
      <c r="BU234" s="60"/>
      <c r="BV234" s="8"/>
      <c r="BW234" s="58"/>
    </row>
    <row r="235" spans="41:75" x14ac:dyDescent="0.35">
      <c r="AO235" s="39">
        <v>233</v>
      </c>
      <c r="AP235" s="60"/>
      <c r="AQ235" s="41"/>
      <c r="AR235" s="42" t="str">
        <f>IFERROR(VLOOKUP(AU235,[1]SUMMARY!$A$3:$B$7,2,FALSE),"")</f>
        <v/>
      </c>
      <c r="AS235" s="42"/>
      <c r="AT235" s="31" t="e">
        <f>VLOOKUP(AS235,[1]OUTLET!$B:$C,2,0)</f>
        <v>#N/A</v>
      </c>
      <c r="AU235" s="42"/>
      <c r="AV235" s="39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55"/>
      <c r="BP235" s="40"/>
      <c r="BQ235" s="39"/>
      <c r="BR235" s="59"/>
      <c r="BS235" s="39"/>
      <c r="BT235" s="57"/>
      <c r="BU235" s="60"/>
      <c r="BV235" s="8"/>
      <c r="BW235" s="58"/>
    </row>
    <row r="236" spans="41:75" x14ac:dyDescent="0.35">
      <c r="AO236" s="39">
        <v>234</v>
      </c>
      <c r="AP236" s="60"/>
      <c r="AQ236" s="41"/>
      <c r="AR236" s="42" t="str">
        <f>IFERROR(VLOOKUP(AU236,[1]SUMMARY!$A$3:$B$7,2,FALSE),"")</f>
        <v/>
      </c>
      <c r="AS236" s="42"/>
      <c r="AT236" s="31" t="e">
        <f>VLOOKUP(AS236,[1]OUTLET!$B:$C,2,0)</f>
        <v>#N/A</v>
      </c>
      <c r="AU236" s="42"/>
      <c r="AV236" s="39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55"/>
      <c r="BP236" s="40"/>
      <c r="BQ236" s="39"/>
      <c r="BR236" s="59"/>
      <c r="BS236" s="39"/>
      <c r="BT236" s="57"/>
      <c r="BU236" s="60"/>
      <c r="BV236" s="8"/>
      <c r="BW236" s="58"/>
    </row>
    <row r="237" spans="41:75" x14ac:dyDescent="0.35">
      <c r="AO237" s="39">
        <v>235</v>
      </c>
      <c r="AP237" s="60"/>
      <c r="AQ237" s="41"/>
      <c r="AR237" s="42" t="str">
        <f>IFERROR(VLOOKUP(AU237,[1]SUMMARY!$A$3:$B$7,2,FALSE),"")</f>
        <v/>
      </c>
      <c r="AS237" s="42"/>
      <c r="AT237" s="31" t="e">
        <f>VLOOKUP(AS237,[1]OUTLET!$B:$C,2,0)</f>
        <v>#N/A</v>
      </c>
      <c r="AU237" s="42"/>
      <c r="AV237" s="39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55"/>
      <c r="BP237" s="40"/>
      <c r="BQ237" s="39"/>
      <c r="BR237" s="59"/>
      <c r="BS237" s="39"/>
      <c r="BT237" s="57"/>
      <c r="BU237" s="60"/>
      <c r="BV237" s="8"/>
      <c r="BW237" s="58"/>
    </row>
    <row r="238" spans="41:75" x14ac:dyDescent="0.35">
      <c r="AO238" s="39">
        <v>236</v>
      </c>
      <c r="AP238" s="60"/>
      <c r="AQ238" s="41"/>
      <c r="AR238" s="42" t="str">
        <f>IFERROR(VLOOKUP(AU238,[1]SUMMARY!$A$3:$B$7,2,FALSE),"")</f>
        <v/>
      </c>
      <c r="AS238" s="42"/>
      <c r="AT238" s="31" t="e">
        <f>VLOOKUP(AS238,[1]OUTLET!$B:$C,2,0)</f>
        <v>#N/A</v>
      </c>
      <c r="AU238" s="42"/>
      <c r="AV238" s="39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55"/>
      <c r="BP238" s="40"/>
      <c r="BQ238" s="39"/>
      <c r="BR238" s="59"/>
      <c r="BS238" s="39"/>
      <c r="BT238" s="57"/>
      <c r="BU238" s="60"/>
      <c r="BV238" s="8"/>
      <c r="BW238" s="58"/>
    </row>
    <row r="239" spans="41:75" x14ac:dyDescent="0.35">
      <c r="AO239" s="39">
        <v>237</v>
      </c>
      <c r="AP239" s="60"/>
      <c r="AQ239" s="41"/>
      <c r="AR239" s="42" t="str">
        <f>IFERROR(VLOOKUP(AU239,[1]SUMMARY!$A$3:$B$7,2,FALSE),"")</f>
        <v/>
      </c>
      <c r="AS239" s="42"/>
      <c r="AT239" s="31" t="e">
        <f>VLOOKUP(AS239,[1]OUTLET!$B:$C,2,0)</f>
        <v>#N/A</v>
      </c>
      <c r="AU239" s="42"/>
      <c r="AV239" s="39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55"/>
      <c r="BP239" s="40"/>
      <c r="BQ239" s="39"/>
      <c r="BR239" s="59"/>
      <c r="BS239" s="39"/>
      <c r="BT239" s="57"/>
      <c r="BU239" s="60"/>
      <c r="BV239" s="8"/>
      <c r="BW239" s="58"/>
    </row>
    <row r="240" spans="41:75" x14ac:dyDescent="0.35">
      <c r="AO240" s="39">
        <v>238</v>
      </c>
      <c r="AP240" s="60"/>
      <c r="AQ240" s="41"/>
      <c r="AR240" s="42" t="str">
        <f>IFERROR(VLOOKUP(AU240,[1]SUMMARY!$A$3:$B$7,2,FALSE),"")</f>
        <v/>
      </c>
      <c r="AS240" s="42"/>
      <c r="AT240" s="31" t="e">
        <f>VLOOKUP(AS240,[1]OUTLET!$B:$C,2,0)</f>
        <v>#N/A</v>
      </c>
      <c r="AU240" s="42"/>
      <c r="AV240" s="39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55"/>
      <c r="BP240" s="40"/>
      <c r="BQ240" s="39"/>
      <c r="BR240" s="59"/>
      <c r="BS240" s="39"/>
      <c r="BT240" s="57"/>
      <c r="BU240" s="60"/>
      <c r="BV240" s="8"/>
      <c r="BW240" s="58"/>
    </row>
    <row r="241" spans="41:75" x14ac:dyDescent="0.35">
      <c r="AO241" s="39">
        <v>239</v>
      </c>
      <c r="AP241" s="60"/>
      <c r="AQ241" s="41"/>
      <c r="AR241" s="42" t="str">
        <f>IFERROR(VLOOKUP(AU241,[1]SUMMARY!$A$3:$B$7,2,FALSE),"")</f>
        <v/>
      </c>
      <c r="AS241" s="42"/>
      <c r="AT241" s="31" t="e">
        <f>VLOOKUP(AS241,[1]OUTLET!$B:$C,2,0)</f>
        <v>#N/A</v>
      </c>
      <c r="AU241" s="42"/>
      <c r="AV241" s="39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55"/>
      <c r="BP241" s="40"/>
      <c r="BQ241" s="39"/>
      <c r="BR241" s="59"/>
      <c r="BS241" s="39"/>
      <c r="BT241" s="57"/>
      <c r="BU241" s="60"/>
      <c r="BV241" s="8"/>
      <c r="BW241" s="58"/>
    </row>
    <row r="242" spans="41:75" x14ac:dyDescent="0.35">
      <c r="AO242" s="39">
        <v>240</v>
      </c>
      <c r="AP242" s="60"/>
      <c r="AQ242" s="41"/>
      <c r="AR242" s="42" t="str">
        <f>IFERROR(VLOOKUP(AU242,[1]SUMMARY!$A$3:$B$7,2,FALSE),"")</f>
        <v/>
      </c>
      <c r="AS242" s="42"/>
      <c r="AT242" s="31" t="e">
        <f>VLOOKUP(AS242,[1]OUTLET!$B:$C,2,0)</f>
        <v>#N/A</v>
      </c>
      <c r="AU242" s="42"/>
      <c r="AV242" s="39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55"/>
      <c r="BP242" s="40"/>
      <c r="BQ242" s="39"/>
      <c r="BR242" s="59"/>
      <c r="BS242" s="39"/>
      <c r="BT242" s="57"/>
      <c r="BU242" s="60"/>
      <c r="BV242" s="8"/>
      <c r="BW242" s="58"/>
    </row>
    <row r="243" spans="41:75" x14ac:dyDescent="0.35">
      <c r="AO243" s="39">
        <v>241</v>
      </c>
      <c r="AP243" s="60"/>
      <c r="AQ243" s="41"/>
      <c r="AR243" s="42" t="str">
        <f>IFERROR(VLOOKUP(AU243,[1]SUMMARY!$A$3:$B$7,2,FALSE),"")</f>
        <v/>
      </c>
      <c r="AS243" s="42"/>
      <c r="AT243" s="31" t="e">
        <f>VLOOKUP(AS243,[1]OUTLET!$B:$C,2,0)</f>
        <v>#N/A</v>
      </c>
      <c r="AU243" s="42"/>
      <c r="AV243" s="39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55"/>
      <c r="BP243" s="40"/>
      <c r="BQ243" s="39"/>
      <c r="BR243" s="59"/>
      <c r="BS243" s="39"/>
      <c r="BT243" s="57"/>
      <c r="BU243" s="60"/>
      <c r="BV243" s="8"/>
      <c r="BW243" s="58"/>
    </row>
    <row r="244" spans="41:75" x14ac:dyDescent="0.35">
      <c r="AO244" s="39">
        <v>242</v>
      </c>
      <c r="AP244" s="60"/>
      <c r="AQ244" s="41"/>
      <c r="AR244" s="42" t="str">
        <f>IFERROR(VLOOKUP(AU244,[1]SUMMARY!$A$3:$B$7,2,FALSE),"")</f>
        <v/>
      </c>
      <c r="AS244" s="42"/>
      <c r="AT244" s="31" t="e">
        <f>VLOOKUP(AS244,[1]OUTLET!$B:$C,2,0)</f>
        <v>#N/A</v>
      </c>
      <c r="AU244" s="42"/>
      <c r="AV244" s="39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55"/>
      <c r="BP244" s="40"/>
      <c r="BQ244" s="39"/>
      <c r="BR244" s="59"/>
      <c r="BS244" s="39"/>
      <c r="BT244" s="57"/>
      <c r="BU244" s="60"/>
      <c r="BV244" s="8"/>
      <c r="BW244" s="58"/>
    </row>
    <row r="245" spans="41:75" x14ac:dyDescent="0.35">
      <c r="AO245" s="39">
        <v>243</v>
      </c>
      <c r="AP245" s="60"/>
      <c r="AQ245" s="41"/>
      <c r="AR245" s="42" t="str">
        <f>IFERROR(VLOOKUP(AU245,[1]SUMMARY!$A$3:$B$7,2,FALSE),"")</f>
        <v/>
      </c>
      <c r="AS245" s="42"/>
      <c r="AT245" s="31" t="e">
        <f>VLOOKUP(AS245,[1]OUTLET!$B:$C,2,0)</f>
        <v>#N/A</v>
      </c>
      <c r="AU245" s="42"/>
      <c r="AV245" s="39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55"/>
      <c r="BP245" s="40"/>
      <c r="BQ245" s="39"/>
      <c r="BR245" s="59"/>
      <c r="BS245" s="39"/>
      <c r="BT245" s="57"/>
      <c r="BU245" s="60"/>
      <c r="BV245" s="8"/>
      <c r="BW245" s="58"/>
    </row>
    <row r="246" spans="41:75" x14ac:dyDescent="0.35">
      <c r="AO246" s="39">
        <v>244</v>
      </c>
      <c r="AP246" s="60"/>
      <c r="AQ246" s="41"/>
      <c r="AR246" s="42" t="str">
        <f>IFERROR(VLOOKUP(AU246,[1]SUMMARY!$A$3:$B$7,2,FALSE),"")</f>
        <v/>
      </c>
      <c r="AS246" s="42"/>
      <c r="AT246" s="31" t="e">
        <f>VLOOKUP(AS246,[1]OUTLET!$B:$C,2,0)</f>
        <v>#N/A</v>
      </c>
      <c r="AU246" s="42"/>
      <c r="AV246" s="39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55"/>
      <c r="BP246" s="40"/>
      <c r="BQ246" s="39"/>
      <c r="BR246" s="59"/>
      <c r="BS246" s="39"/>
      <c r="BT246" s="57"/>
      <c r="BU246" s="60"/>
      <c r="BV246" s="8"/>
      <c r="BW246" s="58"/>
    </row>
    <row r="247" spans="41:75" x14ac:dyDescent="0.35">
      <c r="AO247" s="39">
        <v>245</v>
      </c>
      <c r="AP247" s="60"/>
      <c r="AQ247" s="41"/>
      <c r="AR247" s="42" t="str">
        <f>IFERROR(VLOOKUP(AU247,[1]SUMMARY!$A$3:$B$7,2,FALSE),"")</f>
        <v/>
      </c>
      <c r="AS247" s="42"/>
      <c r="AT247" s="31" t="e">
        <f>VLOOKUP(AS247,[1]OUTLET!$B:$C,2,0)</f>
        <v>#N/A</v>
      </c>
      <c r="AU247" s="42"/>
      <c r="AV247" s="39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55"/>
      <c r="BP247" s="40"/>
      <c r="BQ247" s="39"/>
      <c r="BR247" s="59"/>
      <c r="BS247" s="39"/>
      <c r="BT247" s="57"/>
      <c r="BU247" s="60"/>
      <c r="BV247" s="8"/>
      <c r="BW247" s="58"/>
    </row>
    <row r="248" spans="41:75" x14ac:dyDescent="0.35">
      <c r="AO248" s="39">
        <v>246</v>
      </c>
      <c r="AP248" s="60"/>
      <c r="AQ248" s="41"/>
      <c r="AR248" s="42" t="str">
        <f>IFERROR(VLOOKUP(AU248,[1]SUMMARY!$A$3:$B$7,2,FALSE),"")</f>
        <v/>
      </c>
      <c r="AS248" s="42"/>
      <c r="AT248" s="31" t="e">
        <f>VLOOKUP(AS248,[1]OUTLET!$B:$C,2,0)</f>
        <v>#N/A</v>
      </c>
      <c r="AU248" s="42"/>
      <c r="AV248" s="39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55"/>
      <c r="BP248" s="40"/>
      <c r="BQ248" s="39"/>
      <c r="BR248" s="59"/>
      <c r="BS248" s="39"/>
      <c r="BT248" s="57"/>
      <c r="BU248" s="60"/>
      <c r="BV248" s="8"/>
      <c r="BW248" s="58"/>
    </row>
    <row r="249" spans="41:75" x14ac:dyDescent="0.35">
      <c r="AO249" s="39">
        <v>247</v>
      </c>
      <c r="AP249" s="60"/>
      <c r="AQ249" s="41"/>
      <c r="AR249" s="42" t="str">
        <f>IFERROR(VLOOKUP(AU249,[1]SUMMARY!$A$3:$B$7,2,FALSE),"")</f>
        <v/>
      </c>
      <c r="AS249" s="42"/>
      <c r="AT249" s="31" t="e">
        <f>VLOOKUP(AS249,[1]OUTLET!$B:$C,2,0)</f>
        <v>#N/A</v>
      </c>
      <c r="AU249" s="42"/>
      <c r="AV249" s="39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55"/>
      <c r="BP249" s="40"/>
      <c r="BQ249" s="39"/>
      <c r="BR249" s="59"/>
      <c r="BS249" s="39"/>
      <c r="BT249" s="57"/>
      <c r="BU249" s="60"/>
      <c r="BV249" s="8"/>
      <c r="BW249" s="58"/>
    </row>
    <row r="250" spans="41:75" x14ac:dyDescent="0.35">
      <c r="AO250" s="39">
        <v>248</v>
      </c>
      <c r="AP250" s="60"/>
      <c r="AQ250" s="41"/>
      <c r="AR250" s="42" t="str">
        <f>IFERROR(VLOOKUP(AU250,[1]SUMMARY!$A$3:$B$7,2,FALSE),"")</f>
        <v/>
      </c>
      <c r="AS250" s="42"/>
      <c r="AT250" s="31" t="e">
        <f>VLOOKUP(AS250,[1]OUTLET!$B:$C,2,0)</f>
        <v>#N/A</v>
      </c>
      <c r="AU250" s="42"/>
      <c r="AV250" s="39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55"/>
      <c r="BP250" s="40"/>
      <c r="BQ250" s="39"/>
      <c r="BR250" s="59"/>
      <c r="BS250" s="39"/>
      <c r="BT250" s="57"/>
      <c r="BU250" s="60"/>
      <c r="BV250" s="8"/>
      <c r="BW250" s="58"/>
    </row>
    <row r="251" spans="41:75" x14ac:dyDescent="0.35">
      <c r="AO251" s="39">
        <v>249</v>
      </c>
      <c r="AP251" s="60"/>
      <c r="AQ251" s="41"/>
      <c r="AR251" s="42" t="str">
        <f>IFERROR(VLOOKUP(AU251,[1]SUMMARY!$A$3:$B$7,2,FALSE),"")</f>
        <v/>
      </c>
      <c r="AS251" s="42"/>
      <c r="AT251" s="31" t="e">
        <f>VLOOKUP(AS251,[1]OUTLET!$B:$C,2,0)</f>
        <v>#N/A</v>
      </c>
      <c r="AU251" s="42"/>
      <c r="AV251" s="39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55"/>
      <c r="BP251" s="40"/>
      <c r="BQ251" s="39"/>
      <c r="BR251" s="59"/>
      <c r="BS251" s="39"/>
      <c r="BT251" s="57"/>
      <c r="BU251" s="60"/>
      <c r="BV251" s="8"/>
      <c r="BW251" s="58"/>
    </row>
    <row r="252" spans="41:75" x14ac:dyDescent="0.35">
      <c r="AO252" s="39">
        <v>250</v>
      </c>
      <c r="AP252" s="60"/>
      <c r="AQ252" s="41"/>
      <c r="AR252" s="42" t="str">
        <f>IFERROR(VLOOKUP(AU252,[1]SUMMARY!$A$3:$B$7,2,FALSE),"")</f>
        <v/>
      </c>
      <c r="AS252" s="42"/>
      <c r="AT252" s="31" t="e">
        <f>VLOOKUP(AS252,[1]OUTLET!$B:$C,2,0)</f>
        <v>#N/A</v>
      </c>
      <c r="AU252" s="42"/>
      <c r="AV252" s="39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55"/>
      <c r="BP252" s="40"/>
      <c r="BQ252" s="39"/>
      <c r="BR252" s="59"/>
      <c r="BS252" s="39"/>
      <c r="BT252" s="57"/>
      <c r="BU252" s="60"/>
      <c r="BV252" s="8"/>
      <c r="BW252" s="58"/>
    </row>
    <row r="253" spans="41:75" x14ac:dyDescent="0.35">
      <c r="AO253" s="39">
        <v>251</v>
      </c>
      <c r="AP253" s="60"/>
      <c r="AQ253" s="41"/>
      <c r="AR253" s="42" t="str">
        <f>IFERROR(VLOOKUP(AU253,[1]SUMMARY!$A$3:$B$7,2,FALSE),"")</f>
        <v/>
      </c>
      <c r="AS253" s="42"/>
      <c r="AT253" s="31" t="e">
        <f>VLOOKUP(AS253,[1]OUTLET!$B:$C,2,0)</f>
        <v>#N/A</v>
      </c>
      <c r="AU253" s="42"/>
      <c r="AV253" s="39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55"/>
      <c r="BP253" s="40"/>
      <c r="BQ253" s="39"/>
      <c r="BR253" s="59"/>
      <c r="BS253" s="39"/>
      <c r="BT253" s="57"/>
      <c r="BU253" s="60"/>
      <c r="BV253" s="8"/>
      <c r="BW253" s="58"/>
    </row>
    <row r="254" spans="41:75" x14ac:dyDescent="0.35">
      <c r="AO254" s="39">
        <v>252</v>
      </c>
      <c r="AP254" s="60"/>
      <c r="AQ254" s="41"/>
      <c r="AR254" s="42" t="str">
        <f>IFERROR(VLOOKUP(AU254,[1]SUMMARY!$A$3:$B$7,2,FALSE),"")</f>
        <v/>
      </c>
      <c r="AS254" s="42"/>
      <c r="AT254" s="31" t="e">
        <f>VLOOKUP(AS254,[1]OUTLET!$B:$C,2,0)</f>
        <v>#N/A</v>
      </c>
      <c r="AU254" s="42"/>
      <c r="AV254" s="39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55"/>
      <c r="BP254" s="40"/>
      <c r="BQ254" s="39"/>
      <c r="BR254" s="59"/>
      <c r="BS254" s="39"/>
      <c r="BT254" s="57"/>
      <c r="BU254" s="60"/>
      <c r="BV254" s="8"/>
      <c r="BW254" s="58"/>
    </row>
    <row r="255" spans="41:75" x14ac:dyDescent="0.35">
      <c r="AO255" s="39">
        <v>253</v>
      </c>
      <c r="AP255" s="60"/>
      <c r="AQ255" s="41"/>
      <c r="AR255" s="42" t="str">
        <f>IFERROR(VLOOKUP(AU255,[1]SUMMARY!$A$3:$B$7,2,FALSE),"")</f>
        <v/>
      </c>
      <c r="AS255" s="42"/>
      <c r="AT255" s="31" t="e">
        <f>VLOOKUP(AS255,[1]OUTLET!$B:$C,2,0)</f>
        <v>#N/A</v>
      </c>
      <c r="AU255" s="42"/>
      <c r="AV255" s="39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55"/>
      <c r="BP255" s="40"/>
      <c r="BQ255" s="39"/>
      <c r="BR255" s="59"/>
      <c r="BS255" s="39"/>
      <c r="BT255" s="57"/>
      <c r="BU255" s="60"/>
      <c r="BV255" s="8"/>
      <c r="BW255" s="58"/>
    </row>
    <row r="256" spans="41:75" x14ac:dyDescent="0.35">
      <c r="AO256" s="39">
        <v>254</v>
      </c>
      <c r="AP256" s="60"/>
      <c r="AQ256" s="41"/>
      <c r="AR256" s="42" t="str">
        <f>IFERROR(VLOOKUP(AU256,[1]SUMMARY!$A$3:$B$7,2,FALSE),"")</f>
        <v/>
      </c>
      <c r="AS256" s="42"/>
      <c r="AT256" s="31" t="e">
        <f>VLOOKUP(AS256,[1]OUTLET!$B:$C,2,0)</f>
        <v>#N/A</v>
      </c>
      <c r="AU256" s="42"/>
      <c r="AV256" s="39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55"/>
      <c r="BP256" s="40"/>
      <c r="BQ256" s="39"/>
      <c r="BR256" s="59"/>
      <c r="BS256" s="39"/>
      <c r="BT256" s="57"/>
      <c r="BU256" s="60"/>
      <c r="BV256" s="8"/>
      <c r="BW256" s="58"/>
    </row>
    <row r="257" spans="41:75" x14ac:dyDescent="0.35">
      <c r="AO257" s="39">
        <v>255</v>
      </c>
      <c r="AP257" s="60"/>
      <c r="AQ257" s="41"/>
      <c r="AR257" s="42" t="str">
        <f>IFERROR(VLOOKUP(AU257,[1]SUMMARY!$A$3:$B$7,2,FALSE),"")</f>
        <v/>
      </c>
      <c r="AS257" s="42"/>
      <c r="AT257" s="31" t="e">
        <f>VLOOKUP(AS257,[1]OUTLET!$B:$C,2,0)</f>
        <v>#N/A</v>
      </c>
      <c r="AU257" s="42"/>
      <c r="AV257" s="39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55"/>
      <c r="BP257" s="40"/>
      <c r="BQ257" s="39"/>
      <c r="BR257" s="59"/>
      <c r="BS257" s="39"/>
      <c r="BT257" s="57"/>
      <c r="BU257" s="60"/>
      <c r="BV257" s="8"/>
      <c r="BW257" s="58"/>
    </row>
    <row r="258" spans="41:75" x14ac:dyDescent="0.35">
      <c r="AO258" s="39">
        <v>256</v>
      </c>
      <c r="AP258" s="60"/>
      <c r="AQ258" s="41"/>
      <c r="AR258" s="42" t="str">
        <f>IFERROR(VLOOKUP(AU258,[1]SUMMARY!$A$3:$B$7,2,FALSE),"")</f>
        <v/>
      </c>
      <c r="AS258" s="42"/>
      <c r="AT258" s="31" t="e">
        <f>VLOOKUP(AS258,[1]OUTLET!$B:$C,2,0)</f>
        <v>#N/A</v>
      </c>
      <c r="AU258" s="42"/>
      <c r="AV258" s="39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55"/>
      <c r="BP258" s="40"/>
      <c r="BQ258" s="39"/>
      <c r="BR258" s="59"/>
      <c r="BS258" s="39"/>
      <c r="BT258" s="57"/>
      <c r="BU258" s="60"/>
      <c r="BV258" s="8"/>
      <c r="BW258" s="58"/>
    </row>
    <row r="259" spans="41:75" x14ac:dyDescent="0.35">
      <c r="AO259" s="39">
        <v>257</v>
      </c>
      <c r="AP259" s="60"/>
      <c r="AQ259" s="41"/>
      <c r="AR259" s="42" t="str">
        <f>IFERROR(VLOOKUP(AU259,[1]SUMMARY!$A$3:$B$7,2,FALSE),"")</f>
        <v/>
      </c>
      <c r="AS259" s="42"/>
      <c r="AT259" s="31" t="e">
        <f>VLOOKUP(AS259,[1]OUTLET!$B:$C,2,0)</f>
        <v>#N/A</v>
      </c>
      <c r="AU259" s="42"/>
      <c r="AV259" s="39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55"/>
      <c r="BP259" s="40"/>
      <c r="BQ259" s="39"/>
      <c r="BR259" s="59"/>
      <c r="BS259" s="39"/>
      <c r="BT259" s="57"/>
      <c r="BU259" s="60"/>
      <c r="BV259" s="8"/>
      <c r="BW259" s="58"/>
    </row>
    <row r="260" spans="41:75" x14ac:dyDescent="0.35">
      <c r="AO260" s="39">
        <v>258</v>
      </c>
      <c r="AP260" s="60"/>
      <c r="AQ260" s="41"/>
      <c r="AR260" s="42" t="str">
        <f>IFERROR(VLOOKUP(AU260,[1]SUMMARY!$A$3:$B$7,2,FALSE),"")</f>
        <v/>
      </c>
      <c r="AS260" s="42"/>
      <c r="AT260" s="31" t="e">
        <f>VLOOKUP(AS260,[1]OUTLET!$B:$C,2,0)</f>
        <v>#N/A</v>
      </c>
      <c r="AU260" s="42"/>
      <c r="AV260" s="39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55"/>
      <c r="BP260" s="40"/>
      <c r="BQ260" s="39"/>
      <c r="BR260" s="59"/>
      <c r="BS260" s="39"/>
      <c r="BT260" s="57"/>
      <c r="BU260" s="60"/>
      <c r="BV260" s="8"/>
      <c r="BW260" s="58"/>
    </row>
    <row r="261" spans="41:75" x14ac:dyDescent="0.35">
      <c r="AO261" s="39">
        <v>259</v>
      </c>
      <c r="AP261" s="60"/>
      <c r="AQ261" s="41"/>
      <c r="AR261" s="42" t="str">
        <f>IFERROR(VLOOKUP(AU261,[1]SUMMARY!$A$3:$B$7,2,FALSE),"")</f>
        <v/>
      </c>
      <c r="AS261" s="42"/>
      <c r="AT261" s="31" t="e">
        <f>VLOOKUP(AS261,[1]OUTLET!$B:$C,2,0)</f>
        <v>#N/A</v>
      </c>
      <c r="AU261" s="42"/>
      <c r="AV261" s="39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55"/>
      <c r="BP261" s="40"/>
      <c r="BQ261" s="39"/>
      <c r="BR261" s="59"/>
      <c r="BS261" s="39"/>
      <c r="BT261" s="57"/>
      <c r="BU261" s="60"/>
      <c r="BV261" s="8"/>
      <c r="BW261" s="58"/>
    </row>
    <row r="262" spans="41:75" x14ac:dyDescent="0.35">
      <c r="AO262" s="39">
        <v>260</v>
      </c>
      <c r="AP262" s="60"/>
      <c r="AQ262" s="41"/>
      <c r="AR262" s="42" t="str">
        <f>IFERROR(VLOOKUP(AU262,[1]SUMMARY!$A$3:$B$7,2,FALSE),"")</f>
        <v/>
      </c>
      <c r="AS262" s="42"/>
      <c r="AT262" s="31" t="e">
        <f>VLOOKUP(AS262,[1]OUTLET!$B:$C,2,0)</f>
        <v>#N/A</v>
      </c>
      <c r="AU262" s="42"/>
      <c r="AV262" s="39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55"/>
      <c r="BP262" s="40"/>
      <c r="BQ262" s="39"/>
      <c r="BR262" s="59"/>
      <c r="BS262" s="39"/>
      <c r="BT262" s="57"/>
      <c r="BU262" s="60"/>
      <c r="BV262" s="8"/>
      <c r="BW262" s="58"/>
    </row>
    <row r="263" spans="41:75" x14ac:dyDescent="0.35">
      <c r="AO263" s="39">
        <v>261</v>
      </c>
      <c r="AP263" s="60"/>
      <c r="AQ263" s="41"/>
      <c r="AR263" s="42" t="str">
        <f>IFERROR(VLOOKUP(AU263,[1]SUMMARY!$A$3:$B$7,2,FALSE),"")</f>
        <v/>
      </c>
      <c r="AS263" s="42"/>
      <c r="AT263" s="31" t="e">
        <f>VLOOKUP(AS263,[1]OUTLET!$B:$C,2,0)</f>
        <v>#N/A</v>
      </c>
      <c r="AU263" s="42"/>
      <c r="AV263" s="39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55"/>
      <c r="BP263" s="40"/>
      <c r="BQ263" s="39"/>
      <c r="BR263" s="59"/>
      <c r="BS263" s="39"/>
      <c r="BT263" s="57"/>
      <c r="BU263" s="60"/>
      <c r="BV263" s="8"/>
      <c r="BW263" s="58"/>
    </row>
    <row r="264" spans="41:75" x14ac:dyDescent="0.35">
      <c r="AO264" s="39">
        <v>262</v>
      </c>
      <c r="AP264" s="60"/>
      <c r="AQ264" s="41"/>
      <c r="AR264" s="42" t="str">
        <f>IFERROR(VLOOKUP(AU264,[1]SUMMARY!$A$3:$B$7,2,FALSE),"")</f>
        <v/>
      </c>
      <c r="AS264" s="42"/>
      <c r="AT264" s="31" t="e">
        <f>VLOOKUP(AS264,[1]OUTLET!$B:$C,2,0)</f>
        <v>#N/A</v>
      </c>
      <c r="AU264" s="42"/>
      <c r="AV264" s="39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55"/>
      <c r="BP264" s="40"/>
      <c r="BQ264" s="39"/>
      <c r="BR264" s="59"/>
      <c r="BS264" s="39"/>
      <c r="BT264" s="57"/>
      <c r="BU264" s="60"/>
      <c r="BV264" s="8"/>
      <c r="BW264" s="58"/>
    </row>
    <row r="265" spans="41:75" x14ac:dyDescent="0.35">
      <c r="AO265" s="39">
        <v>263</v>
      </c>
      <c r="AP265" s="60"/>
      <c r="AQ265" s="41"/>
      <c r="AR265" s="42" t="str">
        <f>IFERROR(VLOOKUP(AU265,[1]SUMMARY!$A$3:$B$7,2,FALSE),"")</f>
        <v/>
      </c>
      <c r="AS265" s="42"/>
      <c r="AT265" s="31" t="e">
        <f>VLOOKUP(AS265,[1]OUTLET!$B:$C,2,0)</f>
        <v>#N/A</v>
      </c>
      <c r="AU265" s="42"/>
      <c r="AV265" s="39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55"/>
      <c r="BP265" s="40"/>
      <c r="BQ265" s="39"/>
      <c r="BR265" s="59"/>
      <c r="BS265" s="39"/>
      <c r="BT265" s="57"/>
      <c r="BU265" s="60"/>
      <c r="BV265" s="8"/>
      <c r="BW265" s="58"/>
    </row>
    <row r="266" spans="41:75" x14ac:dyDescent="0.35">
      <c r="AO266" s="39">
        <v>264</v>
      </c>
      <c r="AP266" s="60"/>
      <c r="AQ266" s="41"/>
      <c r="AR266" s="42" t="str">
        <f>IFERROR(VLOOKUP(AU266,[1]SUMMARY!$A$3:$B$7,2,FALSE),"")</f>
        <v/>
      </c>
      <c r="AS266" s="42"/>
      <c r="AT266" s="31" t="e">
        <f>VLOOKUP(AS266,[1]OUTLET!$B:$C,2,0)</f>
        <v>#N/A</v>
      </c>
      <c r="AU266" s="42"/>
      <c r="AV266" s="39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55"/>
      <c r="BP266" s="40"/>
      <c r="BQ266" s="39"/>
      <c r="BR266" s="59"/>
      <c r="BS266" s="39"/>
      <c r="BT266" s="57"/>
      <c r="BU266" s="60"/>
      <c r="BV266" s="8"/>
      <c r="BW266" s="58"/>
    </row>
    <row r="267" spans="41:75" x14ac:dyDescent="0.35">
      <c r="AO267" s="39">
        <v>265</v>
      </c>
      <c r="AP267" s="60"/>
      <c r="AQ267" s="41"/>
      <c r="AR267" s="42" t="str">
        <f>IFERROR(VLOOKUP(AU267,[1]SUMMARY!$A$3:$B$7,2,FALSE),"")</f>
        <v/>
      </c>
      <c r="AS267" s="42"/>
      <c r="AT267" s="31" t="e">
        <f>VLOOKUP(AS267,[1]OUTLET!$B:$C,2,0)</f>
        <v>#N/A</v>
      </c>
      <c r="AU267" s="42"/>
      <c r="AV267" s="39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55"/>
      <c r="BP267" s="40"/>
      <c r="BQ267" s="39"/>
      <c r="BR267" s="59"/>
      <c r="BS267" s="39"/>
      <c r="BT267" s="57"/>
      <c r="BU267" s="60"/>
      <c r="BV267" s="8"/>
      <c r="BW267" s="58"/>
    </row>
    <row r="268" spans="41:75" x14ac:dyDescent="0.35">
      <c r="AO268" s="39">
        <v>266</v>
      </c>
      <c r="AP268" s="60"/>
      <c r="AQ268" s="41"/>
      <c r="AR268" s="42" t="str">
        <f>IFERROR(VLOOKUP(AU268,[1]SUMMARY!$A$3:$B$7,2,FALSE),"")</f>
        <v/>
      </c>
      <c r="AS268" s="42"/>
      <c r="AT268" s="31" t="e">
        <f>VLOOKUP(AS268,[1]OUTLET!$B:$C,2,0)</f>
        <v>#N/A</v>
      </c>
      <c r="AU268" s="42"/>
      <c r="AV268" s="39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55"/>
      <c r="BP268" s="40"/>
      <c r="BQ268" s="39"/>
      <c r="BR268" s="59"/>
      <c r="BS268" s="39"/>
      <c r="BT268" s="57"/>
      <c r="BU268" s="60"/>
      <c r="BV268" s="8"/>
      <c r="BW268" s="58"/>
    </row>
    <row r="269" spans="41:75" x14ac:dyDescent="0.35">
      <c r="AO269" s="39">
        <v>267</v>
      </c>
      <c r="AP269" s="60"/>
      <c r="AQ269" s="41"/>
      <c r="AR269" s="42" t="str">
        <f>IFERROR(VLOOKUP(AU269,[1]SUMMARY!$A$3:$B$7,2,FALSE),"")</f>
        <v/>
      </c>
      <c r="AS269" s="42"/>
      <c r="AT269" s="31" t="e">
        <f>VLOOKUP(AS269,[1]OUTLET!$B:$C,2,0)</f>
        <v>#N/A</v>
      </c>
      <c r="AU269" s="42"/>
      <c r="AV269" s="39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55"/>
      <c r="BP269" s="40"/>
      <c r="BQ269" s="39"/>
      <c r="BR269" s="59"/>
      <c r="BS269" s="39"/>
      <c r="BT269" s="57"/>
      <c r="BU269" s="60"/>
      <c r="BV269" s="8"/>
      <c r="BW269" s="58"/>
    </row>
    <row r="270" spans="41:75" x14ac:dyDescent="0.35">
      <c r="AO270" s="39">
        <v>268</v>
      </c>
      <c r="AP270" s="60"/>
      <c r="AQ270" s="41"/>
      <c r="AR270" s="42" t="str">
        <f>IFERROR(VLOOKUP(AU270,[1]SUMMARY!$A$3:$B$7,2,FALSE),"")</f>
        <v/>
      </c>
      <c r="AS270" s="42"/>
      <c r="AT270" s="31" t="e">
        <f>VLOOKUP(AS270,[1]OUTLET!$B:$C,2,0)</f>
        <v>#N/A</v>
      </c>
      <c r="AU270" s="42"/>
      <c r="AV270" s="39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55"/>
      <c r="BP270" s="40"/>
      <c r="BQ270" s="39"/>
      <c r="BR270" s="59"/>
      <c r="BS270" s="39"/>
      <c r="BT270" s="57"/>
      <c r="BU270" s="60"/>
      <c r="BV270" s="8"/>
      <c r="BW270" s="58"/>
    </row>
    <row r="271" spans="41:75" x14ac:dyDescent="0.35">
      <c r="AO271" s="39">
        <v>269</v>
      </c>
      <c r="AP271" s="60"/>
      <c r="AQ271" s="41"/>
      <c r="AR271" s="42" t="str">
        <f>IFERROR(VLOOKUP(AU271,[1]SUMMARY!$A$3:$B$7,2,FALSE),"")</f>
        <v/>
      </c>
      <c r="AS271" s="42"/>
      <c r="AT271" s="31" t="e">
        <f>VLOOKUP(AS271,[1]OUTLET!$B:$C,2,0)</f>
        <v>#N/A</v>
      </c>
      <c r="AU271" s="42"/>
      <c r="AV271" s="39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55"/>
      <c r="BP271" s="40"/>
      <c r="BQ271" s="39"/>
      <c r="BR271" s="59"/>
      <c r="BS271" s="39"/>
      <c r="BT271" s="57"/>
      <c r="BU271" s="60"/>
      <c r="BV271" s="8"/>
      <c r="BW271" s="58"/>
    </row>
    <row r="272" spans="41:75" x14ac:dyDescent="0.35">
      <c r="AO272" s="39">
        <v>270</v>
      </c>
      <c r="AP272" s="60"/>
      <c r="AQ272" s="41"/>
      <c r="AR272" s="42" t="str">
        <f>IFERROR(VLOOKUP(AU272,[1]SUMMARY!$A$3:$B$7,2,FALSE),"")</f>
        <v/>
      </c>
      <c r="AS272" s="42"/>
      <c r="AT272" s="31" t="e">
        <f>VLOOKUP(AS272,[1]OUTLET!$B:$C,2,0)</f>
        <v>#N/A</v>
      </c>
      <c r="AU272" s="42"/>
      <c r="AV272" s="39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55"/>
      <c r="BP272" s="40"/>
      <c r="BQ272" s="39"/>
      <c r="BR272" s="59"/>
      <c r="BS272" s="39"/>
      <c r="BT272" s="57"/>
      <c r="BU272" s="60"/>
      <c r="BV272" s="8"/>
      <c r="BW272" s="58"/>
    </row>
    <row r="273" spans="41:75" x14ac:dyDescent="0.35">
      <c r="AO273" s="39">
        <v>271</v>
      </c>
      <c r="AP273" s="60"/>
      <c r="AQ273" s="41"/>
      <c r="AR273" s="42" t="str">
        <f>IFERROR(VLOOKUP(AU273,[1]SUMMARY!$A$3:$B$7,2,FALSE),"")</f>
        <v/>
      </c>
      <c r="AS273" s="42"/>
      <c r="AT273" s="31" t="e">
        <f>VLOOKUP(AS273,[1]OUTLET!$B:$C,2,0)</f>
        <v>#N/A</v>
      </c>
      <c r="AU273" s="42"/>
      <c r="AV273" s="39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55"/>
      <c r="BP273" s="40"/>
      <c r="BQ273" s="39"/>
      <c r="BR273" s="59"/>
      <c r="BS273" s="39"/>
      <c r="BT273" s="57"/>
      <c r="BU273" s="60"/>
      <c r="BV273" s="8"/>
      <c r="BW273" s="58"/>
    </row>
    <row r="274" spans="41:75" x14ac:dyDescent="0.35">
      <c r="AO274" s="39">
        <v>272</v>
      </c>
      <c r="AP274" s="60"/>
      <c r="AQ274" s="41"/>
      <c r="AR274" s="42" t="str">
        <f>IFERROR(VLOOKUP(AU274,[1]SUMMARY!$A$3:$B$7,2,FALSE),"")</f>
        <v/>
      </c>
      <c r="AS274" s="42"/>
      <c r="AT274" s="31" t="e">
        <f>VLOOKUP(AS274,[1]OUTLET!$B:$C,2,0)</f>
        <v>#N/A</v>
      </c>
      <c r="AU274" s="42"/>
      <c r="AV274" s="39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55"/>
      <c r="BP274" s="40"/>
      <c r="BQ274" s="39"/>
      <c r="BR274" s="59"/>
      <c r="BS274" s="39"/>
      <c r="BT274" s="57"/>
      <c r="BU274" s="60"/>
      <c r="BV274" s="8"/>
      <c r="BW274" s="58"/>
    </row>
    <row r="275" spans="41:75" x14ac:dyDescent="0.35">
      <c r="AO275" s="39">
        <v>273</v>
      </c>
      <c r="AP275" s="60"/>
      <c r="AQ275" s="41"/>
      <c r="AR275" s="42" t="str">
        <f>IFERROR(VLOOKUP(AU275,[1]SUMMARY!$A$3:$B$7,2,FALSE),"")</f>
        <v/>
      </c>
      <c r="AS275" s="42"/>
      <c r="AT275" s="31" t="e">
        <f>VLOOKUP(AS275,[1]OUTLET!$B:$C,2,0)</f>
        <v>#N/A</v>
      </c>
      <c r="AU275" s="42"/>
      <c r="AV275" s="39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55"/>
      <c r="BP275" s="40"/>
      <c r="BQ275" s="39"/>
      <c r="BR275" s="59"/>
      <c r="BS275" s="39"/>
      <c r="BT275" s="57"/>
      <c r="BU275" s="60"/>
      <c r="BV275" s="8"/>
      <c r="BW275" s="58"/>
    </row>
    <row r="276" spans="41:75" x14ac:dyDescent="0.35">
      <c r="AO276" s="39">
        <v>274</v>
      </c>
      <c r="AP276" s="60"/>
      <c r="AQ276" s="41"/>
      <c r="AR276" s="42" t="str">
        <f>IFERROR(VLOOKUP(AU276,[1]SUMMARY!$A$3:$B$7,2,FALSE),"")</f>
        <v/>
      </c>
      <c r="AS276" s="42"/>
      <c r="AT276" s="31" t="e">
        <f>VLOOKUP(AS276,[1]OUTLET!$B:$C,2,0)</f>
        <v>#N/A</v>
      </c>
      <c r="AU276" s="42"/>
      <c r="AV276" s="39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55"/>
      <c r="BP276" s="40"/>
      <c r="BQ276" s="39"/>
      <c r="BR276" s="59"/>
      <c r="BS276" s="39"/>
      <c r="BT276" s="57"/>
      <c r="BU276" s="60"/>
      <c r="BV276" s="8"/>
      <c r="BW276" s="58"/>
    </row>
    <row r="277" spans="41:75" x14ac:dyDescent="0.35">
      <c r="AO277" s="39">
        <v>275</v>
      </c>
      <c r="AP277" s="60"/>
      <c r="AQ277" s="41"/>
      <c r="AR277" s="42" t="str">
        <f>IFERROR(VLOOKUP(AU277,[1]SUMMARY!$A$3:$B$7,2,FALSE),"")</f>
        <v/>
      </c>
      <c r="AS277" s="42"/>
      <c r="AT277" s="31" t="e">
        <f>VLOOKUP(AS277,[1]OUTLET!$B:$C,2,0)</f>
        <v>#N/A</v>
      </c>
      <c r="AU277" s="42"/>
      <c r="AV277" s="39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55"/>
      <c r="BP277" s="40"/>
      <c r="BQ277" s="39"/>
      <c r="BR277" s="59"/>
      <c r="BS277" s="39"/>
      <c r="BT277" s="57"/>
      <c r="BU277" s="60"/>
      <c r="BV277" s="8"/>
      <c r="BW277" s="58"/>
    </row>
    <row r="278" spans="41:75" x14ac:dyDescent="0.35">
      <c r="AO278" s="39">
        <v>276</v>
      </c>
      <c r="AP278" s="60"/>
      <c r="AQ278" s="41"/>
      <c r="AR278" s="42" t="str">
        <f>IFERROR(VLOOKUP(AU278,[1]SUMMARY!$A$3:$B$7,2,FALSE),"")</f>
        <v/>
      </c>
      <c r="AS278" s="42"/>
      <c r="AT278" s="31" t="e">
        <f>VLOOKUP(AS278,[1]OUTLET!$B:$C,2,0)</f>
        <v>#N/A</v>
      </c>
      <c r="AU278" s="42"/>
      <c r="AV278" s="39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55"/>
      <c r="BP278" s="40"/>
      <c r="BQ278" s="39"/>
      <c r="BR278" s="59"/>
      <c r="BS278" s="39"/>
      <c r="BT278" s="57"/>
      <c r="BU278" s="60"/>
      <c r="BV278" s="8"/>
      <c r="BW278" s="58"/>
    </row>
    <row r="279" spans="41:75" x14ac:dyDescent="0.35">
      <c r="AO279" s="39">
        <v>277</v>
      </c>
      <c r="AP279" s="60"/>
      <c r="AQ279" s="41"/>
      <c r="AR279" s="42" t="str">
        <f>IFERROR(VLOOKUP(AU279,[1]SUMMARY!$A$3:$B$7,2,FALSE),"")</f>
        <v/>
      </c>
      <c r="AS279" s="42"/>
      <c r="AT279" s="31" t="e">
        <f>VLOOKUP(AS279,[1]OUTLET!$B:$C,2,0)</f>
        <v>#N/A</v>
      </c>
      <c r="AU279" s="42"/>
      <c r="AV279" s="39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55"/>
      <c r="BP279" s="40"/>
      <c r="BQ279" s="39"/>
      <c r="BR279" s="59"/>
      <c r="BS279" s="39"/>
      <c r="BT279" s="57"/>
      <c r="BU279" s="60"/>
      <c r="BV279" s="8"/>
      <c r="BW279" s="58"/>
    </row>
    <row r="280" spans="41:75" x14ac:dyDescent="0.35">
      <c r="AO280" s="39">
        <v>278</v>
      </c>
      <c r="AP280" s="60"/>
      <c r="AQ280" s="41"/>
      <c r="AR280" s="42" t="str">
        <f>IFERROR(VLOOKUP(AU280,[1]SUMMARY!$A$3:$B$7,2,FALSE),"")</f>
        <v/>
      </c>
      <c r="AS280" s="42"/>
      <c r="AT280" s="31" t="e">
        <f>VLOOKUP(AS280,[1]OUTLET!$B:$C,2,0)</f>
        <v>#N/A</v>
      </c>
      <c r="AU280" s="42"/>
      <c r="AV280" s="39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55"/>
      <c r="BP280" s="40"/>
      <c r="BQ280" s="39"/>
      <c r="BR280" s="59"/>
      <c r="BS280" s="39"/>
      <c r="BT280" s="57"/>
      <c r="BU280" s="60"/>
      <c r="BV280" s="8"/>
      <c r="BW280" s="58"/>
    </row>
    <row r="281" spans="41:75" x14ac:dyDescent="0.35">
      <c r="AO281" s="39">
        <v>279</v>
      </c>
      <c r="AP281" s="60"/>
      <c r="AQ281" s="41"/>
      <c r="AR281" s="42" t="str">
        <f>IFERROR(VLOOKUP(AU281,[1]SUMMARY!$A$3:$B$7,2,FALSE),"")</f>
        <v/>
      </c>
      <c r="AS281" s="42"/>
      <c r="AT281" s="31" t="e">
        <f>VLOOKUP(AS281,[1]OUTLET!$B:$C,2,0)</f>
        <v>#N/A</v>
      </c>
      <c r="AU281" s="42"/>
      <c r="AV281" s="39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55"/>
      <c r="BP281" s="40"/>
      <c r="BQ281" s="39"/>
      <c r="BR281" s="59"/>
      <c r="BS281" s="39"/>
      <c r="BT281" s="57"/>
      <c r="BU281" s="60"/>
      <c r="BV281" s="8"/>
      <c r="BW281" s="58"/>
    </row>
    <row r="282" spans="41:75" x14ac:dyDescent="0.35">
      <c r="AO282" s="39">
        <v>280</v>
      </c>
      <c r="AP282" s="60"/>
      <c r="AQ282" s="41"/>
      <c r="AR282" s="42" t="str">
        <f>IFERROR(VLOOKUP(AU282,[1]SUMMARY!$A$3:$B$7,2,FALSE),"")</f>
        <v/>
      </c>
      <c r="AS282" s="42"/>
      <c r="AT282" s="31" t="e">
        <f>VLOOKUP(AS282,[1]OUTLET!$B:$C,2,0)</f>
        <v>#N/A</v>
      </c>
      <c r="AU282" s="42"/>
      <c r="AV282" s="39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55"/>
      <c r="BP282" s="40"/>
      <c r="BQ282" s="39"/>
      <c r="BR282" s="59"/>
      <c r="BS282" s="39"/>
      <c r="BT282" s="57"/>
      <c r="BU282" s="60"/>
      <c r="BV282" s="8"/>
      <c r="BW282" s="58"/>
    </row>
    <row r="283" spans="41:75" x14ac:dyDescent="0.35">
      <c r="AO283" s="39">
        <v>281</v>
      </c>
      <c r="AP283" s="60"/>
      <c r="AQ283" s="41"/>
      <c r="AR283" s="42" t="str">
        <f>IFERROR(VLOOKUP(AU283,[1]SUMMARY!$A$3:$B$7,2,FALSE),"")</f>
        <v/>
      </c>
      <c r="AS283" s="42"/>
      <c r="AT283" s="31" t="e">
        <f>VLOOKUP(AS283,[1]OUTLET!$B:$C,2,0)</f>
        <v>#N/A</v>
      </c>
      <c r="AU283" s="42"/>
      <c r="AV283" s="39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55"/>
      <c r="BP283" s="40"/>
      <c r="BQ283" s="39"/>
      <c r="BR283" s="59"/>
      <c r="BS283" s="39"/>
      <c r="BT283" s="57"/>
      <c r="BU283" s="60"/>
      <c r="BV283" s="8"/>
      <c r="BW283" s="58"/>
    </row>
    <row r="284" spans="41:75" x14ac:dyDescent="0.35">
      <c r="AO284" s="39">
        <v>282</v>
      </c>
      <c r="AP284" s="60"/>
      <c r="AQ284" s="41"/>
      <c r="AR284" s="42" t="str">
        <f>IFERROR(VLOOKUP(AU284,[1]SUMMARY!$A$3:$B$7,2,FALSE),"")</f>
        <v/>
      </c>
      <c r="AS284" s="42"/>
      <c r="AT284" s="31" t="e">
        <f>VLOOKUP(AS284,[1]OUTLET!$B:$C,2,0)</f>
        <v>#N/A</v>
      </c>
      <c r="AU284" s="42"/>
      <c r="AV284" s="39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55"/>
      <c r="BP284" s="40"/>
      <c r="BQ284" s="39"/>
      <c r="BR284" s="59"/>
      <c r="BS284" s="39"/>
      <c r="BT284" s="57"/>
      <c r="BU284" s="60"/>
      <c r="BV284" s="8"/>
      <c r="BW284" s="58"/>
    </row>
    <row r="285" spans="41:75" x14ac:dyDescent="0.35">
      <c r="AO285" s="39">
        <v>283</v>
      </c>
      <c r="AP285" s="60"/>
      <c r="AQ285" s="41"/>
      <c r="AR285" s="42" t="str">
        <f>IFERROR(VLOOKUP(AU285,[1]SUMMARY!$A$3:$B$7,2,FALSE),"")</f>
        <v/>
      </c>
      <c r="AS285" s="42"/>
      <c r="AT285" s="31" t="e">
        <f>VLOOKUP(AS285,[1]OUTLET!$B:$C,2,0)</f>
        <v>#N/A</v>
      </c>
      <c r="AU285" s="42"/>
      <c r="AV285" s="39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55"/>
      <c r="BP285" s="40"/>
      <c r="BQ285" s="39"/>
      <c r="BR285" s="59"/>
      <c r="BS285" s="39"/>
      <c r="BT285" s="57"/>
      <c r="BU285" s="60"/>
      <c r="BV285" s="8"/>
      <c r="BW285" s="58"/>
    </row>
    <row r="286" spans="41:75" x14ac:dyDescent="0.35">
      <c r="AO286" s="39">
        <v>284</v>
      </c>
      <c r="AP286" s="60"/>
      <c r="AQ286" s="41"/>
      <c r="AR286" s="42" t="str">
        <f>IFERROR(VLOOKUP(AU286,[1]SUMMARY!$A$3:$B$7,2,FALSE),"")</f>
        <v/>
      </c>
      <c r="AS286" s="42"/>
      <c r="AT286" s="31" t="e">
        <f>VLOOKUP(AS286,[1]OUTLET!$B:$C,2,0)</f>
        <v>#N/A</v>
      </c>
      <c r="AU286" s="42"/>
      <c r="AV286" s="39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55"/>
      <c r="BP286" s="40"/>
      <c r="BQ286" s="39"/>
      <c r="BR286" s="59"/>
      <c r="BS286" s="39"/>
      <c r="BT286" s="57"/>
      <c r="BU286" s="60"/>
      <c r="BV286" s="8"/>
      <c r="BW286" s="58"/>
    </row>
    <row r="287" spans="41:75" x14ac:dyDescent="0.35">
      <c r="AO287" s="39">
        <v>285</v>
      </c>
      <c r="AP287" s="60"/>
      <c r="AQ287" s="41"/>
      <c r="AR287" s="42" t="str">
        <f>IFERROR(VLOOKUP(AU287,[1]SUMMARY!$A$3:$B$7,2,FALSE),"")</f>
        <v/>
      </c>
      <c r="AS287" s="42"/>
      <c r="AT287" s="31" t="e">
        <f>VLOOKUP(AS287,[1]OUTLET!$B:$C,2,0)</f>
        <v>#N/A</v>
      </c>
      <c r="AU287" s="42"/>
      <c r="AV287" s="39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55"/>
      <c r="BP287" s="40"/>
      <c r="BQ287" s="39"/>
      <c r="BR287" s="59"/>
      <c r="BS287" s="39"/>
      <c r="BT287" s="57"/>
      <c r="BU287" s="60"/>
      <c r="BV287" s="8"/>
      <c r="BW287" s="58"/>
    </row>
    <row r="288" spans="41:75" x14ac:dyDescent="0.35">
      <c r="AO288" s="39">
        <v>286</v>
      </c>
      <c r="AP288" s="60"/>
      <c r="AQ288" s="41"/>
      <c r="AR288" s="42" t="str">
        <f>IFERROR(VLOOKUP(AU288,[1]SUMMARY!$A$3:$B$7,2,FALSE),"")</f>
        <v/>
      </c>
      <c r="AS288" s="42"/>
      <c r="AT288" s="31" t="e">
        <f>VLOOKUP(AS288,[1]OUTLET!$B:$C,2,0)</f>
        <v>#N/A</v>
      </c>
      <c r="AU288" s="42"/>
      <c r="AV288" s="39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55"/>
      <c r="BP288" s="40"/>
      <c r="BQ288" s="39"/>
      <c r="BR288" s="59"/>
      <c r="BS288" s="39"/>
      <c r="BT288" s="57"/>
      <c r="BU288" s="60"/>
      <c r="BV288" s="8"/>
      <c r="BW288" s="58"/>
    </row>
    <row r="289" spans="41:75" x14ac:dyDescent="0.35">
      <c r="AO289" s="39">
        <v>287</v>
      </c>
      <c r="AP289" s="60"/>
      <c r="AQ289" s="41"/>
      <c r="AR289" s="42" t="str">
        <f>IFERROR(VLOOKUP(AU289,[1]SUMMARY!$A$3:$B$7,2,FALSE),"")</f>
        <v/>
      </c>
      <c r="AS289" s="42"/>
      <c r="AT289" s="31" t="e">
        <f>VLOOKUP(AS289,[1]OUTLET!$B:$C,2,0)</f>
        <v>#N/A</v>
      </c>
      <c r="AU289" s="42"/>
      <c r="AV289" s="39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55"/>
      <c r="BP289" s="40"/>
      <c r="BQ289" s="39"/>
      <c r="BR289" s="59"/>
      <c r="BS289" s="39"/>
      <c r="BT289" s="57"/>
      <c r="BU289" s="60"/>
      <c r="BV289" s="8"/>
      <c r="BW289" s="58"/>
    </row>
    <row r="290" spans="41:75" x14ac:dyDescent="0.35">
      <c r="AO290" s="39">
        <v>288</v>
      </c>
      <c r="AP290" s="60"/>
      <c r="AQ290" s="41"/>
      <c r="AR290" s="42" t="str">
        <f>IFERROR(VLOOKUP(AU290,[1]SUMMARY!$A$3:$B$7,2,FALSE),"")</f>
        <v/>
      </c>
      <c r="AS290" s="42"/>
      <c r="AT290" s="31" t="e">
        <f>VLOOKUP(AS290,[1]OUTLET!$B:$C,2,0)</f>
        <v>#N/A</v>
      </c>
      <c r="AU290" s="42"/>
      <c r="AV290" s="39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55"/>
      <c r="BP290" s="40"/>
      <c r="BQ290" s="39"/>
      <c r="BR290" s="59"/>
      <c r="BS290" s="39"/>
      <c r="BT290" s="57"/>
      <c r="BU290" s="60"/>
      <c r="BV290" s="8"/>
      <c r="BW290" s="58"/>
    </row>
    <row r="291" spans="41:75" x14ac:dyDescent="0.35">
      <c r="AO291" s="39">
        <v>289</v>
      </c>
      <c r="AP291" s="60"/>
      <c r="AQ291" s="41"/>
      <c r="AR291" s="42" t="str">
        <f>IFERROR(VLOOKUP(AU291,[1]SUMMARY!$A$3:$B$7,2,FALSE),"")</f>
        <v/>
      </c>
      <c r="AS291" s="42"/>
      <c r="AT291" s="31" t="e">
        <f>VLOOKUP(AS291,[1]OUTLET!$B:$C,2,0)</f>
        <v>#N/A</v>
      </c>
      <c r="AU291" s="42"/>
      <c r="AV291" s="39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55"/>
      <c r="BP291" s="40"/>
      <c r="BQ291" s="39"/>
      <c r="BR291" s="59"/>
      <c r="BS291" s="39"/>
      <c r="BT291" s="57"/>
      <c r="BU291" s="60"/>
      <c r="BV291" s="8"/>
      <c r="BW291" s="58"/>
    </row>
    <row r="292" spans="41:75" x14ac:dyDescent="0.35">
      <c r="AO292" s="39">
        <v>290</v>
      </c>
      <c r="AP292" s="60"/>
      <c r="AQ292" s="41"/>
      <c r="AR292" s="42" t="str">
        <f>IFERROR(VLOOKUP(AU292,[1]SUMMARY!$A$3:$B$7,2,FALSE),"")</f>
        <v/>
      </c>
      <c r="AS292" s="42"/>
      <c r="AT292" s="31" t="e">
        <f>VLOOKUP(AS292,[1]OUTLET!$B:$C,2,0)</f>
        <v>#N/A</v>
      </c>
      <c r="AU292" s="42"/>
      <c r="AV292" s="39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55"/>
      <c r="BP292" s="40"/>
      <c r="BQ292" s="39"/>
      <c r="BR292" s="59"/>
      <c r="BS292" s="39"/>
      <c r="BT292" s="57"/>
      <c r="BU292" s="60"/>
      <c r="BV292" s="8"/>
      <c r="BW292" s="58"/>
    </row>
    <row r="293" spans="41:75" x14ac:dyDescent="0.35">
      <c r="AO293" s="39">
        <v>291</v>
      </c>
      <c r="AP293" s="60"/>
      <c r="AQ293" s="41"/>
      <c r="AR293" s="42" t="str">
        <f>IFERROR(VLOOKUP(AU293,[1]SUMMARY!$A$3:$B$7,2,FALSE),"")</f>
        <v/>
      </c>
      <c r="AS293" s="42"/>
      <c r="AT293" s="31" t="e">
        <f>VLOOKUP(AS293,[1]OUTLET!$B:$C,2,0)</f>
        <v>#N/A</v>
      </c>
      <c r="AU293" s="42"/>
      <c r="AV293" s="39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55"/>
      <c r="BP293" s="40"/>
      <c r="BQ293" s="39"/>
      <c r="BR293" s="59"/>
      <c r="BS293" s="39"/>
      <c r="BT293" s="57"/>
      <c r="BU293" s="60"/>
      <c r="BV293" s="8"/>
      <c r="BW293" s="58"/>
    </row>
    <row r="294" spans="41:75" x14ac:dyDescent="0.35">
      <c r="AO294" s="39">
        <v>292</v>
      </c>
      <c r="AP294" s="60"/>
      <c r="AQ294" s="41"/>
      <c r="AR294" s="42" t="str">
        <f>IFERROR(VLOOKUP(AU294,[1]SUMMARY!$A$3:$B$7,2,FALSE),"")</f>
        <v/>
      </c>
      <c r="AS294" s="42"/>
      <c r="AT294" s="31" t="e">
        <f>VLOOKUP(AS294,[1]OUTLET!$B:$C,2,0)</f>
        <v>#N/A</v>
      </c>
      <c r="AU294" s="42"/>
      <c r="AV294" s="39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55"/>
      <c r="BP294" s="40"/>
      <c r="BQ294" s="39"/>
      <c r="BR294" s="59"/>
      <c r="BS294" s="39"/>
      <c r="BT294" s="57"/>
      <c r="BU294" s="60"/>
      <c r="BV294" s="8"/>
      <c r="BW294" s="58"/>
    </row>
    <row r="295" spans="41:75" x14ac:dyDescent="0.35">
      <c r="AO295" s="39">
        <v>293</v>
      </c>
      <c r="AP295" s="60"/>
      <c r="AQ295" s="41"/>
      <c r="AR295" s="42" t="str">
        <f>IFERROR(VLOOKUP(AU295,[1]SUMMARY!$A$3:$B$7,2,FALSE),"")</f>
        <v/>
      </c>
      <c r="AS295" s="42"/>
      <c r="AT295" s="31" t="e">
        <f>VLOOKUP(AS295,[1]OUTLET!$B:$C,2,0)</f>
        <v>#N/A</v>
      </c>
      <c r="AU295" s="42"/>
      <c r="AV295" s="39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55"/>
      <c r="BP295" s="40"/>
      <c r="BQ295" s="39"/>
      <c r="BR295" s="59"/>
      <c r="BS295" s="39"/>
      <c r="BT295" s="57"/>
      <c r="BU295" s="60"/>
      <c r="BV295" s="8"/>
      <c r="BW295" s="58"/>
    </row>
    <row r="296" spans="41:75" x14ac:dyDescent="0.35">
      <c r="AO296" s="39">
        <v>294</v>
      </c>
      <c r="AP296" s="60"/>
      <c r="AQ296" s="41"/>
      <c r="AR296" s="42" t="str">
        <f>IFERROR(VLOOKUP(AU296,[1]SUMMARY!$A$3:$B$7,2,FALSE),"")</f>
        <v/>
      </c>
      <c r="AS296" s="42"/>
      <c r="AT296" s="31" t="e">
        <f>VLOOKUP(AS296,[1]OUTLET!$B:$C,2,0)</f>
        <v>#N/A</v>
      </c>
      <c r="AU296" s="42"/>
      <c r="AV296" s="39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55"/>
      <c r="BP296" s="40"/>
      <c r="BQ296" s="39"/>
      <c r="BR296" s="59"/>
      <c r="BS296" s="39"/>
      <c r="BT296" s="57"/>
      <c r="BU296" s="60"/>
      <c r="BV296" s="8"/>
      <c r="BW296" s="58"/>
    </row>
    <row r="297" spans="41:75" x14ac:dyDescent="0.35">
      <c r="AO297" s="39">
        <v>295</v>
      </c>
      <c r="AP297" s="60"/>
      <c r="AQ297" s="41"/>
      <c r="AR297" s="42" t="str">
        <f>IFERROR(VLOOKUP(AU297,[1]SUMMARY!$A$3:$B$7,2,FALSE),"")</f>
        <v/>
      </c>
      <c r="AS297" s="42"/>
      <c r="AT297" s="31" t="e">
        <f>VLOOKUP(AS297,[1]OUTLET!$B:$C,2,0)</f>
        <v>#N/A</v>
      </c>
      <c r="AU297" s="42"/>
      <c r="AV297" s="39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55"/>
      <c r="BP297" s="40"/>
      <c r="BQ297" s="39"/>
      <c r="BR297" s="59"/>
      <c r="BS297" s="39"/>
      <c r="BT297" s="57"/>
      <c r="BU297" s="60"/>
      <c r="BV297" s="8"/>
      <c r="BW297" s="58"/>
    </row>
    <row r="298" spans="41:75" x14ac:dyDescent="0.35">
      <c r="AO298" s="39">
        <v>296</v>
      </c>
      <c r="AP298" s="60"/>
      <c r="AQ298" s="41"/>
      <c r="AR298" s="42" t="str">
        <f>IFERROR(VLOOKUP(AU298,[1]SUMMARY!$A$3:$B$7,2,FALSE),"")</f>
        <v/>
      </c>
      <c r="AS298" s="42"/>
      <c r="AT298" s="31" t="e">
        <f>VLOOKUP(AS298,[1]OUTLET!$B:$C,2,0)</f>
        <v>#N/A</v>
      </c>
      <c r="AU298" s="42"/>
      <c r="AV298" s="39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55"/>
      <c r="BP298" s="40"/>
      <c r="BQ298" s="39"/>
      <c r="BR298" s="59"/>
      <c r="BS298" s="39"/>
      <c r="BT298" s="57"/>
      <c r="BU298" s="60"/>
      <c r="BV298" s="8"/>
      <c r="BW298" s="58"/>
    </row>
    <row r="299" spans="41:75" x14ac:dyDescent="0.35">
      <c r="AO299" s="39">
        <v>297</v>
      </c>
      <c r="AP299" s="60"/>
      <c r="AQ299" s="41"/>
      <c r="AR299" s="42" t="str">
        <f>IFERROR(VLOOKUP(AU299,[1]SUMMARY!$A$3:$B$7,2,FALSE),"")</f>
        <v/>
      </c>
      <c r="AS299" s="42"/>
      <c r="AT299" s="31" t="e">
        <f>VLOOKUP(AS299,[1]OUTLET!$B:$C,2,0)</f>
        <v>#N/A</v>
      </c>
      <c r="AU299" s="42"/>
      <c r="AV299" s="39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55"/>
      <c r="BP299" s="40"/>
      <c r="BQ299" s="39"/>
      <c r="BR299" s="59"/>
      <c r="BS299" s="39"/>
      <c r="BT299" s="57"/>
      <c r="BU299" s="60"/>
      <c r="BV299" s="8"/>
      <c r="BW299" s="58"/>
    </row>
    <row r="300" spans="41:75" x14ac:dyDescent="0.35">
      <c r="AO300" s="39">
        <v>298</v>
      </c>
      <c r="AP300" s="60"/>
      <c r="AQ300" s="41"/>
      <c r="AR300" s="42" t="str">
        <f>IFERROR(VLOOKUP(AU300,[1]SUMMARY!$A$3:$B$7,2,FALSE),"")</f>
        <v/>
      </c>
      <c r="AS300" s="42"/>
      <c r="AT300" s="31" t="e">
        <f>VLOOKUP(AS300,[1]OUTLET!$B:$C,2,0)</f>
        <v>#N/A</v>
      </c>
      <c r="AU300" s="42"/>
      <c r="AV300" s="39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55"/>
      <c r="BP300" s="40"/>
      <c r="BQ300" s="39"/>
      <c r="BR300" s="59"/>
      <c r="BS300" s="39"/>
      <c r="BT300" s="57"/>
      <c r="BU300" s="60"/>
      <c r="BV300" s="8"/>
      <c r="BW300" s="58"/>
    </row>
    <row r="301" spans="41:75" x14ac:dyDescent="0.35">
      <c r="AO301" s="39">
        <v>299</v>
      </c>
      <c r="AP301" s="60"/>
      <c r="AQ301" s="41"/>
      <c r="AR301" s="42" t="str">
        <f>IFERROR(VLOOKUP(AU301,[1]SUMMARY!$A$3:$B$7,2,FALSE),"")</f>
        <v/>
      </c>
      <c r="AS301" s="42"/>
      <c r="AT301" s="31" t="e">
        <f>VLOOKUP(AS301,[1]OUTLET!$B:$C,2,0)</f>
        <v>#N/A</v>
      </c>
      <c r="AU301" s="42"/>
      <c r="AV301" s="39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55"/>
      <c r="BP301" s="40"/>
      <c r="BQ301" s="39"/>
      <c r="BR301" s="59"/>
      <c r="BS301" s="39"/>
      <c r="BT301" s="57"/>
      <c r="BU301" s="60"/>
      <c r="BV301" s="8"/>
      <c r="BW301" s="58"/>
    </row>
    <row r="302" spans="41:75" x14ac:dyDescent="0.35">
      <c r="AO302" s="39">
        <v>300</v>
      </c>
      <c r="AP302" s="60"/>
      <c r="AQ302" s="41"/>
      <c r="AR302" s="42" t="str">
        <f>IFERROR(VLOOKUP(AU302,[1]SUMMARY!$A$3:$B$7,2,FALSE),"")</f>
        <v/>
      </c>
      <c r="AS302" s="42"/>
      <c r="AT302" s="31" t="e">
        <f>VLOOKUP(AS302,[1]OUTLET!$B:$C,2,0)</f>
        <v>#N/A</v>
      </c>
      <c r="AU302" s="42"/>
      <c r="AV302" s="39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55"/>
      <c r="BP302" s="40"/>
      <c r="BQ302" s="39"/>
      <c r="BR302" s="59"/>
      <c r="BS302" s="39"/>
      <c r="BT302" s="57"/>
      <c r="BU302" s="60"/>
      <c r="BV302" s="8"/>
      <c r="BW302" s="58"/>
    </row>
    <row r="303" spans="41:75" x14ac:dyDescent="0.35">
      <c r="AO303" s="39">
        <v>301</v>
      </c>
      <c r="AP303" s="60"/>
      <c r="AQ303" s="41"/>
      <c r="AR303" s="42" t="str">
        <f>IFERROR(VLOOKUP(AU303,[1]SUMMARY!$A$3:$B$7,2,FALSE),"")</f>
        <v/>
      </c>
      <c r="AS303" s="42"/>
      <c r="AT303" s="31" t="e">
        <f>VLOOKUP(AS303,[1]OUTLET!$B:$C,2,0)</f>
        <v>#N/A</v>
      </c>
      <c r="AU303" s="42"/>
      <c r="AV303" s="39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55"/>
      <c r="BP303" s="40"/>
      <c r="BQ303" s="39"/>
      <c r="BR303" s="59"/>
      <c r="BS303" s="39"/>
      <c r="BT303" s="57"/>
      <c r="BU303" s="60"/>
      <c r="BV303" s="8"/>
      <c r="BW303" s="58"/>
    </row>
    <row r="304" spans="41:75" x14ac:dyDescent="0.35">
      <c r="AO304" s="39">
        <v>302</v>
      </c>
      <c r="AP304" s="60"/>
      <c r="AQ304" s="41"/>
      <c r="AR304" s="42" t="str">
        <f>IFERROR(VLOOKUP(AU304,[1]SUMMARY!$A$3:$B$7,2,FALSE),"")</f>
        <v/>
      </c>
      <c r="AS304" s="42"/>
      <c r="AT304" s="31" t="e">
        <f>VLOOKUP(AS304,[1]OUTLET!$B:$C,2,0)</f>
        <v>#N/A</v>
      </c>
      <c r="AU304" s="42"/>
      <c r="AV304" s="39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55"/>
      <c r="BP304" s="40"/>
      <c r="BQ304" s="39"/>
      <c r="BR304" s="59"/>
      <c r="BS304" s="39"/>
      <c r="BT304" s="57"/>
      <c r="BU304" s="60"/>
      <c r="BV304" s="8"/>
      <c r="BW304" s="58"/>
    </row>
    <row r="305" spans="41:75" x14ac:dyDescent="0.35">
      <c r="AO305" s="39">
        <v>303</v>
      </c>
      <c r="AP305" s="60"/>
      <c r="AQ305" s="41"/>
      <c r="AR305" s="42" t="str">
        <f>IFERROR(VLOOKUP(AU305,[1]SUMMARY!$A$3:$B$7,2,FALSE),"")</f>
        <v/>
      </c>
      <c r="AS305" s="42"/>
      <c r="AT305" s="31" t="e">
        <f>VLOOKUP(AS305,[1]OUTLET!$B:$C,2,0)</f>
        <v>#N/A</v>
      </c>
      <c r="AU305" s="42"/>
      <c r="AV305" s="39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55"/>
      <c r="BP305" s="40"/>
      <c r="BQ305" s="39"/>
      <c r="BR305" s="59"/>
      <c r="BS305" s="39"/>
      <c r="BT305" s="57"/>
      <c r="BU305" s="60"/>
      <c r="BV305" s="8"/>
      <c r="BW305" s="58"/>
    </row>
    <row r="306" spans="41:75" x14ac:dyDescent="0.35">
      <c r="AO306" s="39">
        <v>304</v>
      </c>
      <c r="AP306" s="60"/>
      <c r="AQ306" s="41"/>
      <c r="AR306" s="42" t="str">
        <f>IFERROR(VLOOKUP(AU306,[1]SUMMARY!$A$3:$B$7,2,FALSE),"")</f>
        <v/>
      </c>
      <c r="AS306" s="42"/>
      <c r="AT306" s="31" t="e">
        <f>VLOOKUP(AS306,[1]OUTLET!$B:$C,2,0)</f>
        <v>#N/A</v>
      </c>
      <c r="AU306" s="42"/>
      <c r="AV306" s="39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55"/>
      <c r="BP306" s="40"/>
      <c r="BQ306" s="39"/>
      <c r="BR306" s="59"/>
      <c r="BS306" s="39"/>
      <c r="BT306" s="57"/>
      <c r="BU306" s="60"/>
      <c r="BV306" s="8"/>
      <c r="BW306" s="58"/>
    </row>
    <row r="307" spans="41:75" x14ac:dyDescent="0.35">
      <c r="AO307" s="39">
        <v>305</v>
      </c>
      <c r="AP307" s="60"/>
      <c r="AQ307" s="41"/>
      <c r="AR307" s="42" t="str">
        <f>IFERROR(VLOOKUP(AU307,[1]SUMMARY!$A$3:$B$7,2,FALSE),"")</f>
        <v/>
      </c>
      <c r="AS307" s="42"/>
      <c r="AT307" s="31" t="e">
        <f>VLOOKUP(AS307,[1]OUTLET!$B:$C,2,0)</f>
        <v>#N/A</v>
      </c>
      <c r="AU307" s="42"/>
      <c r="AV307" s="39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55"/>
      <c r="BP307" s="40"/>
      <c r="BQ307" s="39"/>
      <c r="BR307" s="59"/>
      <c r="BS307" s="39"/>
      <c r="BT307" s="57"/>
      <c r="BU307" s="60"/>
      <c r="BV307" s="8"/>
      <c r="BW307" s="58"/>
    </row>
    <row r="308" spans="41:75" x14ac:dyDescent="0.35">
      <c r="AO308" s="39">
        <v>306</v>
      </c>
      <c r="AP308" s="60"/>
      <c r="AQ308" s="41"/>
      <c r="AR308" s="42" t="str">
        <f>IFERROR(VLOOKUP(AU308,[1]SUMMARY!$A$3:$B$7,2,FALSE),"")</f>
        <v/>
      </c>
      <c r="AS308" s="42"/>
      <c r="AT308" s="31" t="e">
        <f>VLOOKUP(AS308,[1]OUTLET!$B:$C,2,0)</f>
        <v>#N/A</v>
      </c>
      <c r="AU308" s="42"/>
      <c r="AV308" s="39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55"/>
      <c r="BP308" s="40"/>
      <c r="BQ308" s="39"/>
      <c r="BR308" s="59"/>
      <c r="BS308" s="39"/>
      <c r="BT308" s="57"/>
      <c r="BU308" s="60"/>
      <c r="BV308" s="8"/>
      <c r="BW308" s="58"/>
    </row>
    <row r="309" spans="41:75" x14ac:dyDescent="0.35">
      <c r="AO309" s="39">
        <v>307</v>
      </c>
      <c r="AP309" s="60"/>
      <c r="AQ309" s="41"/>
      <c r="AR309" s="42" t="str">
        <f>IFERROR(VLOOKUP(AU309,[1]SUMMARY!$A$3:$B$7,2,FALSE),"")</f>
        <v/>
      </c>
      <c r="AS309" s="42"/>
      <c r="AT309" s="31" t="e">
        <f>VLOOKUP(AS309,[1]OUTLET!$B:$C,2,0)</f>
        <v>#N/A</v>
      </c>
      <c r="AU309" s="42"/>
      <c r="AV309" s="39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55"/>
      <c r="BP309" s="40"/>
      <c r="BQ309" s="39"/>
      <c r="BR309" s="59"/>
      <c r="BS309" s="39"/>
      <c r="BT309" s="57"/>
      <c r="BU309" s="60"/>
      <c r="BV309" s="8"/>
      <c r="BW309" s="58"/>
    </row>
    <row r="310" spans="41:75" x14ac:dyDescent="0.35">
      <c r="AO310" s="39">
        <v>308</v>
      </c>
      <c r="AP310" s="60"/>
      <c r="AQ310" s="41"/>
      <c r="AR310" s="42" t="str">
        <f>IFERROR(VLOOKUP(AU310,[1]SUMMARY!$A$3:$B$7,2,FALSE),"")</f>
        <v/>
      </c>
      <c r="AS310" s="42"/>
      <c r="AT310" s="31" t="e">
        <f>VLOOKUP(AS310,[1]OUTLET!$B:$C,2,0)</f>
        <v>#N/A</v>
      </c>
      <c r="AU310" s="42"/>
      <c r="AV310" s="39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55"/>
      <c r="BP310" s="40"/>
      <c r="BQ310" s="39"/>
      <c r="BR310" s="59"/>
      <c r="BS310" s="39"/>
      <c r="BT310" s="57"/>
      <c r="BU310" s="60"/>
      <c r="BV310" s="8"/>
      <c r="BW310" s="58"/>
    </row>
    <row r="311" spans="41:75" x14ac:dyDescent="0.35">
      <c r="AO311" s="39">
        <v>309</v>
      </c>
      <c r="AP311" s="60"/>
      <c r="AQ311" s="41"/>
      <c r="AR311" s="42" t="str">
        <f>IFERROR(VLOOKUP(AU311,[1]SUMMARY!$A$3:$B$7,2,FALSE),"")</f>
        <v/>
      </c>
      <c r="AS311" s="42"/>
      <c r="AT311" s="31" t="e">
        <f>VLOOKUP(AS311,[1]OUTLET!$B:$C,2,0)</f>
        <v>#N/A</v>
      </c>
      <c r="AU311" s="42"/>
      <c r="AV311" s="39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55"/>
      <c r="BP311" s="40"/>
      <c r="BQ311" s="39"/>
      <c r="BR311" s="59"/>
      <c r="BS311" s="39"/>
      <c r="BT311" s="57"/>
      <c r="BU311" s="60"/>
      <c r="BV311" s="8"/>
      <c r="BW311" s="58"/>
    </row>
    <row r="312" spans="41:75" x14ac:dyDescent="0.35">
      <c r="AO312" s="39">
        <v>310</v>
      </c>
      <c r="AP312" s="60"/>
      <c r="AQ312" s="41"/>
      <c r="AR312" s="42" t="str">
        <f>IFERROR(VLOOKUP(AU312,[1]SUMMARY!$A$3:$B$7,2,FALSE),"")</f>
        <v/>
      </c>
      <c r="AS312" s="42"/>
      <c r="AT312" s="31" t="e">
        <f>VLOOKUP(AS312,[1]OUTLET!$B:$C,2,0)</f>
        <v>#N/A</v>
      </c>
      <c r="AU312" s="42"/>
      <c r="AV312" s="39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55"/>
      <c r="BP312" s="40"/>
      <c r="BQ312" s="39"/>
      <c r="BR312" s="59"/>
      <c r="BS312" s="39"/>
      <c r="BT312" s="57"/>
      <c r="BU312" s="60"/>
      <c r="BV312" s="8"/>
      <c r="BW312" s="58"/>
    </row>
    <row r="313" spans="41:75" x14ac:dyDescent="0.35">
      <c r="AO313" s="39">
        <v>311</v>
      </c>
      <c r="AP313" s="60"/>
      <c r="AQ313" s="41"/>
      <c r="AR313" s="42" t="str">
        <f>IFERROR(VLOOKUP(AU313,[1]SUMMARY!$A$3:$B$7,2,FALSE),"")</f>
        <v/>
      </c>
      <c r="AS313" s="42"/>
      <c r="AT313" s="31" t="e">
        <f>VLOOKUP(AS313,[1]OUTLET!$B:$C,2,0)</f>
        <v>#N/A</v>
      </c>
      <c r="AU313" s="42"/>
      <c r="AV313" s="39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55"/>
      <c r="BP313" s="40"/>
      <c r="BQ313" s="39"/>
      <c r="BR313" s="59"/>
      <c r="BS313" s="39"/>
      <c r="BT313" s="57"/>
      <c r="BU313" s="60"/>
      <c r="BV313" s="8"/>
      <c r="BW313" s="58"/>
    </row>
    <row r="314" spans="41:75" x14ac:dyDescent="0.35">
      <c r="AO314" s="39">
        <v>312</v>
      </c>
      <c r="AP314" s="60"/>
      <c r="AQ314" s="41"/>
      <c r="AR314" s="42" t="str">
        <f>IFERROR(VLOOKUP(AU314,[1]SUMMARY!$A$3:$B$7,2,FALSE),"")</f>
        <v/>
      </c>
      <c r="AS314" s="42"/>
      <c r="AT314" s="31" t="e">
        <f>VLOOKUP(AS314,[1]OUTLET!$B:$C,2,0)</f>
        <v>#N/A</v>
      </c>
      <c r="AU314" s="42"/>
      <c r="AV314" s="39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55"/>
      <c r="BP314" s="40"/>
      <c r="BQ314" s="39"/>
      <c r="BR314" s="59"/>
      <c r="BS314" s="39"/>
      <c r="BT314" s="57"/>
      <c r="BU314" s="60"/>
      <c r="BV314" s="8"/>
      <c r="BW314" s="58"/>
    </row>
    <row r="315" spans="41:75" x14ac:dyDescent="0.35">
      <c r="AO315" s="39">
        <v>313</v>
      </c>
      <c r="AP315" s="60"/>
      <c r="AQ315" s="41"/>
      <c r="AR315" s="42" t="str">
        <f>IFERROR(VLOOKUP(AU315,[1]SUMMARY!$A$3:$B$7,2,FALSE),"")</f>
        <v/>
      </c>
      <c r="AS315" s="42"/>
      <c r="AT315" s="31" t="e">
        <f>VLOOKUP(AS315,[1]OUTLET!$B:$C,2,0)</f>
        <v>#N/A</v>
      </c>
      <c r="AU315" s="42"/>
      <c r="AV315" s="39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55"/>
      <c r="BP315" s="40"/>
      <c r="BQ315" s="39"/>
      <c r="BR315" s="59"/>
      <c r="BS315" s="39"/>
      <c r="BT315" s="57"/>
      <c r="BU315" s="60"/>
      <c r="BV315" s="8"/>
      <c r="BW315" s="58"/>
    </row>
    <row r="316" spans="41:75" x14ac:dyDescent="0.35">
      <c r="AO316" s="39">
        <v>314</v>
      </c>
      <c r="AP316" s="60"/>
      <c r="AQ316" s="41"/>
      <c r="AR316" s="42" t="str">
        <f>IFERROR(VLOOKUP(AU316,[1]SUMMARY!$A$3:$B$7,2,FALSE),"")</f>
        <v/>
      </c>
      <c r="AS316" s="42"/>
      <c r="AT316" s="31" t="e">
        <f>VLOOKUP(AS316,[1]OUTLET!$B:$C,2,0)</f>
        <v>#N/A</v>
      </c>
      <c r="AU316" s="42"/>
      <c r="AV316" s="39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55"/>
      <c r="BP316" s="40"/>
      <c r="BQ316" s="39"/>
      <c r="BR316" s="59"/>
      <c r="BS316" s="39"/>
      <c r="BT316" s="57"/>
      <c r="BU316" s="60"/>
      <c r="BV316" s="8"/>
      <c r="BW316" s="58"/>
    </row>
    <row r="317" spans="41:75" x14ac:dyDescent="0.35">
      <c r="AO317" s="39">
        <v>315</v>
      </c>
      <c r="AP317" s="60"/>
      <c r="AQ317" s="41"/>
      <c r="AR317" s="42" t="str">
        <f>IFERROR(VLOOKUP(AU317,[1]SUMMARY!$A$3:$B$7,2,FALSE),"")</f>
        <v/>
      </c>
      <c r="AS317" s="42"/>
      <c r="AT317" s="31" t="e">
        <f>VLOOKUP(AS317,[1]OUTLET!$B:$C,2,0)</f>
        <v>#N/A</v>
      </c>
      <c r="AU317" s="42"/>
      <c r="AV317" s="39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55"/>
      <c r="BP317" s="40"/>
      <c r="BQ317" s="39"/>
      <c r="BR317" s="59"/>
      <c r="BS317" s="39"/>
      <c r="BT317" s="57"/>
      <c r="BU317" s="60"/>
      <c r="BV317" s="8"/>
      <c r="BW317" s="58"/>
    </row>
    <row r="318" spans="41:75" x14ac:dyDescent="0.35">
      <c r="AO318" s="39">
        <v>316</v>
      </c>
      <c r="AP318" s="60"/>
      <c r="AQ318" s="41"/>
      <c r="AR318" s="42" t="str">
        <f>IFERROR(VLOOKUP(AU318,[1]SUMMARY!$A$3:$B$7,2,FALSE),"")</f>
        <v/>
      </c>
      <c r="AS318" s="42"/>
      <c r="AT318" s="31" t="e">
        <f>VLOOKUP(AS318,[1]OUTLET!$B:$C,2,0)</f>
        <v>#N/A</v>
      </c>
      <c r="AU318" s="42"/>
      <c r="AV318" s="39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55"/>
      <c r="BP318" s="40"/>
      <c r="BQ318" s="39"/>
      <c r="BR318" s="59"/>
      <c r="BS318" s="39"/>
      <c r="BT318" s="57"/>
      <c r="BU318" s="60"/>
      <c r="BV318" s="8"/>
      <c r="BW318" s="58"/>
    </row>
    <row r="319" spans="41:75" x14ac:dyDescent="0.35">
      <c r="AO319" s="39">
        <v>317</v>
      </c>
      <c r="AP319" s="60"/>
      <c r="AQ319" s="41"/>
      <c r="AR319" s="42" t="str">
        <f>IFERROR(VLOOKUP(AU319,[1]SUMMARY!$A$3:$B$7,2,FALSE),"")</f>
        <v/>
      </c>
      <c r="AS319" s="42"/>
      <c r="AT319" s="31" t="e">
        <f>VLOOKUP(AS319,[1]OUTLET!$B:$C,2,0)</f>
        <v>#N/A</v>
      </c>
      <c r="AU319" s="42"/>
      <c r="AV319" s="39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55"/>
      <c r="BP319" s="40"/>
      <c r="BQ319" s="39"/>
      <c r="BR319" s="59"/>
      <c r="BS319" s="39"/>
      <c r="BT319" s="57"/>
      <c r="BU319" s="60"/>
      <c r="BV319" s="8"/>
      <c r="BW319" s="58"/>
    </row>
    <row r="320" spans="41:75" x14ac:dyDescent="0.35">
      <c r="AO320" s="39">
        <v>318</v>
      </c>
      <c r="AP320" s="60"/>
      <c r="AQ320" s="41"/>
      <c r="AR320" s="42" t="str">
        <f>IFERROR(VLOOKUP(AU320,[1]SUMMARY!$A$3:$B$7,2,FALSE),"")</f>
        <v/>
      </c>
      <c r="AS320" s="42"/>
      <c r="AT320" s="31" t="e">
        <f>VLOOKUP(AS320,[1]OUTLET!$B:$C,2,0)</f>
        <v>#N/A</v>
      </c>
      <c r="AU320" s="42"/>
      <c r="AV320" s="39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55"/>
      <c r="BP320" s="40"/>
      <c r="BQ320" s="39"/>
      <c r="BR320" s="59"/>
      <c r="BS320" s="39"/>
      <c r="BT320" s="57"/>
      <c r="BU320" s="60"/>
      <c r="BV320" s="8"/>
      <c r="BW320" s="58"/>
    </row>
    <row r="321" spans="41:75" x14ac:dyDescent="0.35">
      <c r="AO321" s="39">
        <v>319</v>
      </c>
      <c r="AP321" s="60"/>
      <c r="AQ321" s="41"/>
      <c r="AR321" s="42" t="str">
        <f>IFERROR(VLOOKUP(AU321,[1]SUMMARY!$A$3:$B$7,2,FALSE),"")</f>
        <v/>
      </c>
      <c r="AS321" s="42"/>
      <c r="AT321" s="31" t="e">
        <f>VLOOKUP(AS321,[1]OUTLET!$B:$C,2,0)</f>
        <v>#N/A</v>
      </c>
      <c r="AU321" s="42"/>
      <c r="AV321" s="39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55"/>
      <c r="BP321" s="40"/>
      <c r="BQ321" s="39"/>
      <c r="BR321" s="59"/>
      <c r="BS321" s="39"/>
      <c r="BT321" s="57"/>
      <c r="BU321" s="60"/>
      <c r="BV321" s="8"/>
      <c r="BW321" s="58"/>
    </row>
    <row r="322" spans="41:75" x14ac:dyDescent="0.35">
      <c r="AO322" s="39">
        <v>320</v>
      </c>
      <c r="AP322" s="60"/>
      <c r="AQ322" s="41"/>
      <c r="AR322" s="42" t="str">
        <f>IFERROR(VLOOKUP(AU322,[1]SUMMARY!$A$3:$B$7,2,FALSE),"")</f>
        <v/>
      </c>
      <c r="AS322" s="42"/>
      <c r="AT322" s="31" t="e">
        <f>VLOOKUP(AS322,[1]OUTLET!$B:$C,2,0)</f>
        <v>#N/A</v>
      </c>
      <c r="AU322" s="42"/>
      <c r="AV322" s="39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55"/>
      <c r="BP322" s="40"/>
      <c r="BQ322" s="39"/>
      <c r="BR322" s="59"/>
      <c r="BS322" s="39"/>
      <c r="BT322" s="57"/>
      <c r="BU322" s="60"/>
      <c r="BV322" s="8"/>
      <c r="BW322" s="58"/>
    </row>
    <row r="323" spans="41:75" x14ac:dyDescent="0.35">
      <c r="AO323" s="39">
        <v>321</v>
      </c>
      <c r="AP323" s="60"/>
      <c r="AQ323" s="41"/>
      <c r="AR323" s="42" t="str">
        <f>IFERROR(VLOOKUP(AU323,[1]SUMMARY!$A$3:$B$7,2,FALSE),"")</f>
        <v/>
      </c>
      <c r="AS323" s="42"/>
      <c r="AT323" s="31" t="e">
        <f>VLOOKUP(AS323,[1]OUTLET!$B:$C,2,0)</f>
        <v>#N/A</v>
      </c>
      <c r="AU323" s="42"/>
      <c r="AV323" s="39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55"/>
      <c r="BP323" s="40"/>
      <c r="BQ323" s="39"/>
      <c r="BR323" s="59"/>
      <c r="BS323" s="39"/>
      <c r="BT323" s="57"/>
      <c r="BU323" s="60"/>
      <c r="BV323" s="8"/>
      <c r="BW323" s="58"/>
    </row>
    <row r="324" spans="41:75" x14ac:dyDescent="0.35">
      <c r="AO324" s="39">
        <v>322</v>
      </c>
      <c r="AP324" s="60"/>
      <c r="AQ324" s="41"/>
      <c r="AR324" s="42" t="str">
        <f>IFERROR(VLOOKUP(AU324,[1]SUMMARY!$A$3:$B$7,2,FALSE),"")</f>
        <v/>
      </c>
      <c r="AS324" s="42"/>
      <c r="AT324" s="31" t="e">
        <f>VLOOKUP(AS324,[1]OUTLET!$B:$C,2,0)</f>
        <v>#N/A</v>
      </c>
      <c r="AU324" s="42"/>
      <c r="AV324" s="39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55"/>
      <c r="BP324" s="40"/>
      <c r="BQ324" s="39"/>
      <c r="BR324" s="59"/>
      <c r="BS324" s="39"/>
      <c r="BT324" s="57"/>
      <c r="BU324" s="60"/>
      <c r="BV324" s="8"/>
      <c r="BW324" s="58"/>
    </row>
    <row r="325" spans="41:75" x14ac:dyDescent="0.35">
      <c r="AO325" s="39">
        <v>323</v>
      </c>
      <c r="AP325" s="60"/>
      <c r="AQ325" s="41"/>
      <c r="AR325" s="42" t="str">
        <f>IFERROR(VLOOKUP(AU325,[1]SUMMARY!$A$3:$B$7,2,FALSE),"")</f>
        <v/>
      </c>
      <c r="AS325" s="42"/>
      <c r="AT325" s="31" t="e">
        <f>VLOOKUP(AS325,[1]OUTLET!$B:$C,2,0)</f>
        <v>#N/A</v>
      </c>
      <c r="AU325" s="42"/>
      <c r="AV325" s="39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55"/>
      <c r="BP325" s="40"/>
      <c r="BQ325" s="39"/>
      <c r="BR325" s="59"/>
      <c r="BS325" s="39"/>
      <c r="BT325" s="57"/>
      <c r="BU325" s="60"/>
      <c r="BV325" s="8"/>
      <c r="BW325" s="58"/>
    </row>
    <row r="326" spans="41:75" x14ac:dyDescent="0.35">
      <c r="AO326" s="39">
        <v>324</v>
      </c>
      <c r="AP326" s="60"/>
      <c r="AQ326" s="41"/>
      <c r="AR326" s="42" t="str">
        <f>IFERROR(VLOOKUP(AU326,[1]SUMMARY!$A$3:$B$7,2,FALSE),"")</f>
        <v/>
      </c>
      <c r="AS326" s="42"/>
      <c r="AT326" s="31" t="e">
        <f>VLOOKUP(AS326,[1]OUTLET!$B:$C,2,0)</f>
        <v>#N/A</v>
      </c>
      <c r="AU326" s="42"/>
      <c r="AV326" s="39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55"/>
      <c r="BP326" s="40"/>
      <c r="BQ326" s="39"/>
      <c r="BR326" s="59"/>
      <c r="BS326" s="39"/>
      <c r="BT326" s="57"/>
      <c r="BU326" s="60"/>
      <c r="BV326" s="8"/>
      <c r="BW326" s="58"/>
    </row>
    <row r="327" spans="41:75" x14ac:dyDescent="0.35">
      <c r="AO327" s="39">
        <v>325</v>
      </c>
      <c r="AP327" s="60"/>
      <c r="AQ327" s="41"/>
      <c r="AR327" s="42" t="str">
        <f>IFERROR(VLOOKUP(AU327,[1]SUMMARY!$A$3:$B$7,2,FALSE),"")</f>
        <v/>
      </c>
      <c r="AS327" s="42"/>
      <c r="AT327" s="31" t="e">
        <f>VLOOKUP(AS327,[1]OUTLET!$B:$C,2,0)</f>
        <v>#N/A</v>
      </c>
      <c r="AU327" s="42"/>
      <c r="AV327" s="39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55"/>
      <c r="BP327" s="40"/>
      <c r="BQ327" s="39"/>
      <c r="BR327" s="59"/>
      <c r="BS327" s="39"/>
      <c r="BT327" s="57"/>
      <c r="BU327" s="60"/>
      <c r="BV327" s="8"/>
      <c r="BW327" s="58"/>
    </row>
    <row r="328" spans="41:75" x14ac:dyDescent="0.35">
      <c r="AO328" s="39">
        <v>326</v>
      </c>
      <c r="AP328" s="60"/>
      <c r="AQ328" s="41"/>
      <c r="AR328" s="42" t="str">
        <f>IFERROR(VLOOKUP(AU328,[1]SUMMARY!$A$3:$B$7,2,FALSE),"")</f>
        <v/>
      </c>
      <c r="AS328" s="42"/>
      <c r="AT328" s="31" t="e">
        <f>VLOOKUP(AS328,[1]OUTLET!$B:$C,2,0)</f>
        <v>#N/A</v>
      </c>
      <c r="AU328" s="42"/>
      <c r="AV328" s="39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55"/>
      <c r="BP328" s="40"/>
      <c r="BQ328" s="39"/>
      <c r="BR328" s="59"/>
      <c r="BS328" s="39"/>
      <c r="BT328" s="57"/>
      <c r="BU328" s="60"/>
      <c r="BV328" s="8"/>
      <c r="BW328" s="58"/>
    </row>
    <row r="329" spans="41:75" x14ac:dyDescent="0.35">
      <c r="AO329" s="39">
        <v>327</v>
      </c>
      <c r="AP329" s="60"/>
      <c r="AQ329" s="41"/>
      <c r="AR329" s="42" t="str">
        <f>IFERROR(VLOOKUP(AU329,[1]SUMMARY!$A$3:$B$7,2,FALSE),"")</f>
        <v/>
      </c>
      <c r="AS329" s="42"/>
      <c r="AT329" s="31" t="e">
        <f>VLOOKUP(AS329,[1]OUTLET!$B:$C,2,0)</f>
        <v>#N/A</v>
      </c>
      <c r="AU329" s="42"/>
      <c r="AV329" s="39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55"/>
      <c r="BP329" s="40"/>
      <c r="BQ329" s="39"/>
      <c r="BR329" s="59"/>
      <c r="BS329" s="39"/>
      <c r="BT329" s="57"/>
      <c r="BU329" s="60"/>
      <c r="BV329" s="8"/>
      <c r="BW329" s="58"/>
    </row>
    <row r="330" spans="41:75" x14ac:dyDescent="0.35">
      <c r="AO330" s="39">
        <v>328</v>
      </c>
      <c r="AP330" s="60"/>
      <c r="AQ330" s="41"/>
      <c r="AR330" s="42" t="str">
        <f>IFERROR(VLOOKUP(AU330,[1]SUMMARY!$A$3:$B$7,2,FALSE),"")</f>
        <v/>
      </c>
      <c r="AS330" s="42"/>
      <c r="AT330" s="31" t="e">
        <f>VLOOKUP(AS330,[1]OUTLET!$B:$C,2,0)</f>
        <v>#N/A</v>
      </c>
      <c r="AU330" s="42"/>
      <c r="AV330" s="39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55"/>
      <c r="BP330" s="40"/>
      <c r="BQ330" s="39"/>
      <c r="BR330" s="59"/>
      <c r="BS330" s="39"/>
      <c r="BT330" s="57"/>
      <c r="BU330" s="60"/>
      <c r="BV330" s="8"/>
      <c r="BW330" s="58"/>
    </row>
    <row r="331" spans="41:75" x14ac:dyDescent="0.35">
      <c r="AO331" s="39">
        <v>329</v>
      </c>
      <c r="AP331" s="60"/>
      <c r="AQ331" s="41"/>
      <c r="AR331" s="42" t="str">
        <f>IFERROR(VLOOKUP(AU331,[1]SUMMARY!$A$3:$B$7,2,FALSE),"")</f>
        <v/>
      </c>
      <c r="AS331" s="42"/>
      <c r="AT331" s="31" t="e">
        <f>VLOOKUP(AS331,[1]OUTLET!$B:$C,2,0)</f>
        <v>#N/A</v>
      </c>
      <c r="AU331" s="42"/>
      <c r="AV331" s="39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55"/>
      <c r="BP331" s="40"/>
      <c r="BQ331" s="39"/>
      <c r="BR331" s="59"/>
      <c r="BS331" s="39"/>
      <c r="BT331" s="57"/>
      <c r="BU331" s="60"/>
      <c r="BV331" s="8"/>
      <c r="BW331" s="58"/>
    </row>
    <row r="332" spans="41:75" x14ac:dyDescent="0.35">
      <c r="AO332" s="39">
        <v>330</v>
      </c>
      <c r="AP332" s="60"/>
      <c r="AQ332" s="41"/>
      <c r="AR332" s="42" t="str">
        <f>IFERROR(VLOOKUP(AU332,[1]SUMMARY!$A$3:$B$7,2,FALSE),"")</f>
        <v/>
      </c>
      <c r="AS332" s="42"/>
      <c r="AT332" s="31" t="e">
        <f>VLOOKUP(AS332,[1]OUTLET!$B:$C,2,0)</f>
        <v>#N/A</v>
      </c>
      <c r="AU332" s="42"/>
      <c r="AV332" s="39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55"/>
      <c r="BP332" s="40"/>
      <c r="BQ332" s="39"/>
      <c r="BR332" s="59"/>
      <c r="BS332" s="39"/>
      <c r="BT332" s="57"/>
      <c r="BU332" s="60"/>
      <c r="BV332" s="8"/>
      <c r="BW332" s="58"/>
    </row>
    <row r="333" spans="41:75" x14ac:dyDescent="0.35">
      <c r="AO333" s="39">
        <v>331</v>
      </c>
      <c r="AP333" s="60"/>
      <c r="AQ333" s="41"/>
      <c r="AR333" s="42" t="str">
        <f>IFERROR(VLOOKUP(AU333,[1]SUMMARY!$A$3:$B$7,2,FALSE),"")</f>
        <v/>
      </c>
      <c r="AS333" s="42"/>
      <c r="AT333" s="31" t="e">
        <f>VLOOKUP(AS333,[1]OUTLET!$B:$C,2,0)</f>
        <v>#N/A</v>
      </c>
      <c r="AU333" s="42"/>
      <c r="AV333" s="39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55"/>
      <c r="BP333" s="40"/>
      <c r="BQ333" s="39"/>
      <c r="BR333" s="59"/>
      <c r="BS333" s="39"/>
      <c r="BT333" s="57"/>
      <c r="BU333" s="60"/>
      <c r="BV333" s="8"/>
      <c r="BW333" s="58"/>
    </row>
    <row r="334" spans="41:75" x14ac:dyDescent="0.35">
      <c r="AO334" s="39">
        <v>332</v>
      </c>
      <c r="AP334" s="60"/>
      <c r="AQ334" s="41"/>
      <c r="AR334" s="42" t="str">
        <f>IFERROR(VLOOKUP(AU334,[1]SUMMARY!$A$3:$B$7,2,FALSE),"")</f>
        <v/>
      </c>
      <c r="AS334" s="42"/>
      <c r="AT334" s="31" t="e">
        <f>VLOOKUP(AS334,[1]OUTLET!$B:$C,2,0)</f>
        <v>#N/A</v>
      </c>
      <c r="AU334" s="42"/>
      <c r="AV334" s="39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55"/>
      <c r="BP334" s="40"/>
      <c r="BQ334" s="39"/>
      <c r="BR334" s="59"/>
      <c r="BS334" s="39"/>
      <c r="BT334" s="57"/>
      <c r="BU334" s="60"/>
      <c r="BV334" s="8"/>
      <c r="BW334" s="58"/>
    </row>
    <row r="335" spans="41:75" x14ac:dyDescent="0.35">
      <c r="AO335" s="39">
        <v>333</v>
      </c>
      <c r="AP335" s="60"/>
      <c r="AQ335" s="41"/>
      <c r="AR335" s="42" t="str">
        <f>IFERROR(VLOOKUP(AU335,[1]SUMMARY!$A$3:$B$7,2,FALSE),"")</f>
        <v/>
      </c>
      <c r="AS335" s="42"/>
      <c r="AT335" s="31" t="e">
        <f>VLOOKUP(AS335,[1]OUTLET!$B:$C,2,0)</f>
        <v>#N/A</v>
      </c>
      <c r="AU335" s="42"/>
      <c r="AV335" s="39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55"/>
      <c r="BP335" s="40"/>
      <c r="BQ335" s="39"/>
      <c r="BR335" s="59"/>
      <c r="BS335" s="39"/>
      <c r="BT335" s="57"/>
      <c r="BU335" s="60"/>
      <c r="BV335" s="8"/>
      <c r="BW335" s="58"/>
    </row>
    <row r="336" spans="41:75" x14ac:dyDescent="0.35">
      <c r="AO336" s="39">
        <v>334</v>
      </c>
      <c r="AP336" s="60"/>
      <c r="AQ336" s="41"/>
      <c r="AR336" s="42" t="str">
        <f>IFERROR(VLOOKUP(AU336,[1]SUMMARY!$A$3:$B$7,2,FALSE),"")</f>
        <v/>
      </c>
      <c r="AS336" s="42"/>
      <c r="AT336" s="31" t="e">
        <f>VLOOKUP(AS336,[1]OUTLET!$B:$C,2,0)</f>
        <v>#N/A</v>
      </c>
      <c r="AU336" s="42"/>
      <c r="AV336" s="39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55"/>
      <c r="BP336" s="40"/>
      <c r="BQ336" s="39"/>
      <c r="BR336" s="59"/>
      <c r="BS336" s="39"/>
      <c r="BT336" s="57"/>
      <c r="BU336" s="60"/>
      <c r="BV336" s="8"/>
      <c r="BW336" s="58"/>
    </row>
    <row r="337" spans="41:75" x14ac:dyDescent="0.35">
      <c r="AO337" s="39">
        <v>335</v>
      </c>
      <c r="AP337" s="60"/>
      <c r="AQ337" s="41"/>
      <c r="AR337" s="42" t="str">
        <f>IFERROR(VLOOKUP(AU337,[1]SUMMARY!$A$3:$B$7,2,FALSE),"")</f>
        <v/>
      </c>
      <c r="AS337" s="42"/>
      <c r="AT337" s="31" t="e">
        <f>VLOOKUP(AS337,[1]OUTLET!$B:$C,2,0)</f>
        <v>#N/A</v>
      </c>
      <c r="AU337" s="42"/>
      <c r="AV337" s="39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55"/>
      <c r="BP337" s="40"/>
      <c r="BQ337" s="39"/>
      <c r="BR337" s="59"/>
      <c r="BS337" s="39"/>
      <c r="BT337" s="57"/>
      <c r="BU337" s="60"/>
      <c r="BV337" s="8"/>
      <c r="BW337" s="58"/>
    </row>
    <row r="338" spans="41:75" x14ac:dyDescent="0.35">
      <c r="AO338" s="39">
        <v>336</v>
      </c>
      <c r="AP338" s="60"/>
      <c r="AQ338" s="41"/>
      <c r="AR338" s="42" t="str">
        <f>IFERROR(VLOOKUP(AU338,[1]SUMMARY!$A$3:$B$7,2,FALSE),"")</f>
        <v/>
      </c>
      <c r="AS338" s="42"/>
      <c r="AT338" s="31" t="e">
        <f>VLOOKUP(AS338,[1]OUTLET!$B:$C,2,0)</f>
        <v>#N/A</v>
      </c>
      <c r="AU338" s="42"/>
      <c r="AV338" s="39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55"/>
      <c r="BP338" s="40"/>
      <c r="BQ338" s="39"/>
      <c r="BR338" s="59"/>
      <c r="BS338" s="39"/>
      <c r="BT338" s="57"/>
      <c r="BU338" s="60"/>
      <c r="BV338" s="8"/>
      <c r="BW338" s="58"/>
    </row>
    <row r="339" spans="41:75" x14ac:dyDescent="0.35">
      <c r="AO339" s="39">
        <v>337</v>
      </c>
      <c r="AP339" s="60"/>
      <c r="AQ339" s="41"/>
      <c r="AR339" s="42" t="str">
        <f>IFERROR(VLOOKUP(AU339,[1]SUMMARY!$A$3:$B$7,2,FALSE),"")</f>
        <v/>
      </c>
      <c r="AS339" s="42"/>
      <c r="AT339" s="31" t="e">
        <f>VLOOKUP(AS339,[1]OUTLET!$B:$C,2,0)</f>
        <v>#N/A</v>
      </c>
      <c r="AU339" s="42"/>
      <c r="AV339" s="39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55"/>
      <c r="BP339" s="40"/>
      <c r="BQ339" s="39"/>
      <c r="BR339" s="59"/>
      <c r="BS339" s="39"/>
      <c r="BT339" s="57"/>
      <c r="BU339" s="60"/>
      <c r="BV339" s="8"/>
      <c r="BW339" s="58"/>
    </row>
    <row r="340" spans="41:75" x14ac:dyDescent="0.35">
      <c r="AO340" s="39">
        <v>338</v>
      </c>
      <c r="AP340" s="60"/>
      <c r="AQ340" s="41"/>
      <c r="AR340" s="42" t="str">
        <f>IFERROR(VLOOKUP(AU340,[1]SUMMARY!$A$3:$B$7,2,FALSE),"")</f>
        <v/>
      </c>
      <c r="AS340" s="42"/>
      <c r="AT340" s="31" t="e">
        <f>VLOOKUP(AS340,[1]OUTLET!$B:$C,2,0)</f>
        <v>#N/A</v>
      </c>
      <c r="AU340" s="42"/>
      <c r="AV340" s="39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55"/>
      <c r="BP340" s="40"/>
      <c r="BQ340" s="39"/>
      <c r="BR340" s="59"/>
      <c r="BS340" s="39"/>
      <c r="BT340" s="57"/>
      <c r="BU340" s="60"/>
      <c r="BV340" s="8"/>
      <c r="BW340" s="58"/>
    </row>
    <row r="341" spans="41:75" x14ac:dyDescent="0.35">
      <c r="AO341" s="39">
        <v>339</v>
      </c>
      <c r="AP341" s="60"/>
      <c r="AQ341" s="41"/>
      <c r="AR341" s="42" t="str">
        <f>IFERROR(VLOOKUP(AU341,[1]SUMMARY!$A$3:$B$7,2,FALSE),"")</f>
        <v/>
      </c>
      <c r="AS341" s="42"/>
      <c r="AT341" s="31" t="e">
        <f>VLOOKUP(AS341,[1]OUTLET!$B:$C,2,0)</f>
        <v>#N/A</v>
      </c>
      <c r="AU341" s="42"/>
      <c r="AV341" s="39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55"/>
      <c r="BP341" s="40"/>
      <c r="BQ341" s="39"/>
      <c r="BR341" s="59"/>
      <c r="BS341" s="39"/>
      <c r="BT341" s="57"/>
      <c r="BU341" s="60"/>
      <c r="BV341" s="8"/>
      <c r="BW341" s="58"/>
    </row>
    <row r="342" spans="41:75" x14ac:dyDescent="0.35">
      <c r="AO342" s="39">
        <v>340</v>
      </c>
      <c r="AP342" s="60"/>
      <c r="AQ342" s="41"/>
      <c r="AR342" s="42" t="str">
        <f>IFERROR(VLOOKUP(AU342,[1]SUMMARY!$A$3:$B$7,2,FALSE),"")</f>
        <v/>
      </c>
      <c r="AS342" s="42"/>
      <c r="AT342" s="31" t="e">
        <f>VLOOKUP(AS342,[1]OUTLET!$B:$C,2,0)</f>
        <v>#N/A</v>
      </c>
      <c r="AU342" s="42"/>
      <c r="AV342" s="39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55"/>
      <c r="BP342" s="40"/>
      <c r="BQ342" s="39"/>
      <c r="BR342" s="59"/>
      <c r="BS342" s="39"/>
      <c r="BT342" s="57"/>
      <c r="BU342" s="60"/>
      <c r="BV342" s="8"/>
      <c r="BW342" s="58"/>
    </row>
    <row r="343" spans="41:75" x14ac:dyDescent="0.35">
      <c r="AO343" s="39">
        <v>341</v>
      </c>
      <c r="AP343" s="60"/>
      <c r="AQ343" s="41"/>
      <c r="AR343" s="42" t="str">
        <f>IFERROR(VLOOKUP(AU343,[1]SUMMARY!$A$3:$B$7,2,FALSE),"")</f>
        <v/>
      </c>
      <c r="AS343" s="42"/>
      <c r="AT343" s="31" t="e">
        <f>VLOOKUP(AS343,[1]OUTLET!$B:$C,2,0)</f>
        <v>#N/A</v>
      </c>
      <c r="AU343" s="42"/>
      <c r="AV343" s="39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55"/>
      <c r="BP343" s="40"/>
      <c r="BQ343" s="39"/>
      <c r="BR343" s="59"/>
      <c r="BS343" s="39"/>
      <c r="BT343" s="57"/>
      <c r="BU343" s="60"/>
      <c r="BV343" s="8"/>
      <c r="BW343" s="58"/>
    </row>
    <row r="344" spans="41:75" x14ac:dyDescent="0.35">
      <c r="AO344" s="39">
        <v>342</v>
      </c>
      <c r="AP344" s="60"/>
      <c r="AQ344" s="41"/>
      <c r="AR344" s="42" t="str">
        <f>IFERROR(VLOOKUP(AU344,[1]SUMMARY!$A$3:$B$7,2,FALSE),"")</f>
        <v/>
      </c>
      <c r="AS344" s="42"/>
      <c r="AT344" s="31" t="e">
        <f>VLOOKUP(AS344,[1]OUTLET!$B:$C,2,0)</f>
        <v>#N/A</v>
      </c>
      <c r="AU344" s="42"/>
      <c r="AV344" s="39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55"/>
      <c r="BP344" s="40"/>
      <c r="BQ344" s="39"/>
      <c r="BR344" s="59"/>
      <c r="BS344" s="39"/>
      <c r="BT344" s="57"/>
      <c r="BU344" s="60"/>
      <c r="BV344" s="8"/>
      <c r="BW344" s="58"/>
    </row>
    <row r="345" spans="41:75" x14ac:dyDescent="0.35">
      <c r="AO345" s="39">
        <v>343</v>
      </c>
      <c r="AP345" s="60"/>
      <c r="AQ345" s="41"/>
      <c r="AR345" s="42" t="str">
        <f>IFERROR(VLOOKUP(AU345,[1]SUMMARY!$A$3:$B$7,2,FALSE),"")</f>
        <v/>
      </c>
      <c r="AS345" s="42"/>
      <c r="AT345" s="31" t="e">
        <f>VLOOKUP(AS345,[1]OUTLET!$B:$C,2,0)</f>
        <v>#N/A</v>
      </c>
      <c r="AU345" s="42"/>
      <c r="AV345" s="39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55"/>
      <c r="BP345" s="40"/>
      <c r="BQ345" s="39"/>
      <c r="BR345" s="59"/>
      <c r="BS345" s="39"/>
      <c r="BT345" s="57"/>
      <c r="BU345" s="60"/>
      <c r="BV345" s="8"/>
      <c r="BW345" s="58"/>
    </row>
    <row r="346" spans="41:75" x14ac:dyDescent="0.35">
      <c r="AO346" s="39">
        <v>344</v>
      </c>
      <c r="AP346" s="60"/>
      <c r="AQ346" s="41"/>
      <c r="AR346" s="42" t="str">
        <f>IFERROR(VLOOKUP(AU346,[1]SUMMARY!$A$3:$B$7,2,FALSE),"")</f>
        <v/>
      </c>
      <c r="AS346" s="42"/>
      <c r="AT346" s="31" t="e">
        <f>VLOOKUP(AS346,[1]OUTLET!$B:$C,2,0)</f>
        <v>#N/A</v>
      </c>
      <c r="AU346" s="42"/>
      <c r="AV346" s="39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55"/>
      <c r="BP346" s="40"/>
      <c r="BQ346" s="39"/>
      <c r="BR346" s="59"/>
      <c r="BS346" s="39"/>
      <c r="BT346" s="57"/>
      <c r="BU346" s="60"/>
      <c r="BV346" s="8"/>
      <c r="BW346" s="58"/>
    </row>
    <row r="347" spans="41:75" x14ac:dyDescent="0.35">
      <c r="AO347" s="39">
        <v>345</v>
      </c>
      <c r="AP347" s="60"/>
      <c r="AQ347" s="41"/>
      <c r="AR347" s="42" t="str">
        <f>IFERROR(VLOOKUP(AU347,[1]SUMMARY!$A$3:$B$7,2,FALSE),"")</f>
        <v/>
      </c>
      <c r="AS347" s="42"/>
      <c r="AT347" s="31" t="e">
        <f>VLOOKUP(AS347,[1]OUTLET!$B:$C,2,0)</f>
        <v>#N/A</v>
      </c>
      <c r="AU347" s="42"/>
      <c r="AV347" s="39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55"/>
      <c r="BP347" s="40"/>
      <c r="BQ347" s="39"/>
      <c r="BR347" s="59"/>
      <c r="BS347" s="39"/>
      <c r="BT347" s="57"/>
      <c r="BU347" s="60"/>
      <c r="BV347" s="8"/>
      <c r="BW347" s="58"/>
    </row>
    <row r="348" spans="41:75" x14ac:dyDescent="0.35">
      <c r="AO348" s="39">
        <v>346</v>
      </c>
      <c r="AP348" s="60"/>
      <c r="AQ348" s="41"/>
      <c r="AR348" s="42" t="str">
        <f>IFERROR(VLOOKUP(AU348,[1]SUMMARY!$A$3:$B$7,2,FALSE),"")</f>
        <v/>
      </c>
      <c r="AS348" s="42"/>
      <c r="AT348" s="31" t="e">
        <f>VLOOKUP(AS348,[1]OUTLET!$B:$C,2,0)</f>
        <v>#N/A</v>
      </c>
      <c r="AU348" s="42"/>
      <c r="AV348" s="39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55"/>
      <c r="BP348" s="40"/>
      <c r="BQ348" s="39"/>
      <c r="BR348" s="59"/>
      <c r="BS348" s="39"/>
      <c r="BT348" s="57"/>
      <c r="BU348" s="60"/>
      <c r="BV348" s="8"/>
      <c r="BW348" s="58"/>
    </row>
    <row r="349" spans="41:75" x14ac:dyDescent="0.35">
      <c r="AO349" s="39">
        <v>347</v>
      </c>
      <c r="AP349" s="60"/>
      <c r="AQ349" s="41"/>
      <c r="AR349" s="42" t="str">
        <f>IFERROR(VLOOKUP(AU349,[1]SUMMARY!$A$3:$B$7,2,FALSE),"")</f>
        <v/>
      </c>
      <c r="AS349" s="42"/>
      <c r="AT349" s="31" t="e">
        <f>VLOOKUP(AS349,[1]OUTLET!$B:$C,2,0)</f>
        <v>#N/A</v>
      </c>
      <c r="AU349" s="42"/>
      <c r="AV349" s="39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55"/>
      <c r="BP349" s="40"/>
      <c r="BQ349" s="39"/>
      <c r="BR349" s="59"/>
      <c r="BS349" s="39"/>
      <c r="BT349" s="57"/>
      <c r="BU349" s="60"/>
      <c r="BV349" s="8"/>
      <c r="BW349" s="58"/>
    </row>
    <row r="350" spans="41:75" x14ac:dyDescent="0.35">
      <c r="AO350" s="39">
        <v>348</v>
      </c>
      <c r="AP350" s="60"/>
      <c r="AQ350" s="41"/>
      <c r="AR350" s="42" t="str">
        <f>IFERROR(VLOOKUP(AU350,[1]SUMMARY!$A$3:$B$7,2,FALSE),"")</f>
        <v/>
      </c>
      <c r="AS350" s="42"/>
      <c r="AT350" s="31" t="e">
        <f>VLOOKUP(AS350,[1]OUTLET!$B:$C,2,0)</f>
        <v>#N/A</v>
      </c>
      <c r="AU350" s="42"/>
      <c r="AV350" s="39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55"/>
      <c r="BP350" s="40"/>
      <c r="BQ350" s="39"/>
      <c r="BR350" s="59"/>
      <c r="BS350" s="39"/>
      <c r="BT350" s="57"/>
      <c r="BU350" s="60"/>
      <c r="BV350" s="8"/>
      <c r="BW350" s="58"/>
    </row>
    <row r="351" spans="41:75" x14ac:dyDescent="0.35">
      <c r="AO351" s="39">
        <v>349</v>
      </c>
      <c r="AP351" s="60"/>
      <c r="AQ351" s="41"/>
      <c r="AR351" s="42" t="str">
        <f>IFERROR(VLOOKUP(AU351,[1]SUMMARY!$A$3:$B$7,2,FALSE),"")</f>
        <v/>
      </c>
      <c r="AS351" s="42"/>
      <c r="AT351" s="31" t="e">
        <f>VLOOKUP(AS351,[1]OUTLET!$B:$C,2,0)</f>
        <v>#N/A</v>
      </c>
      <c r="AU351" s="42"/>
      <c r="AV351" s="39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55"/>
      <c r="BP351" s="40"/>
      <c r="BQ351" s="39"/>
      <c r="BR351" s="59"/>
      <c r="BS351" s="39"/>
      <c r="BT351" s="57"/>
      <c r="BU351" s="60"/>
      <c r="BV351" s="8"/>
      <c r="BW351" s="58"/>
    </row>
    <row r="352" spans="41:75" x14ac:dyDescent="0.35">
      <c r="AO352" s="39">
        <v>350</v>
      </c>
      <c r="AP352" s="60"/>
      <c r="AQ352" s="41"/>
      <c r="AR352" s="42" t="str">
        <f>IFERROR(VLOOKUP(AU352,[1]SUMMARY!$A$3:$B$7,2,FALSE),"")</f>
        <v/>
      </c>
      <c r="AS352" s="42"/>
      <c r="AT352" s="31" t="e">
        <f>VLOOKUP(AS352,[1]OUTLET!$B:$C,2,0)</f>
        <v>#N/A</v>
      </c>
      <c r="AU352" s="42"/>
      <c r="AV352" s="39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55"/>
      <c r="BP352" s="40"/>
      <c r="BQ352" s="39"/>
      <c r="BR352" s="59"/>
      <c r="BS352" s="39"/>
      <c r="BT352" s="57"/>
      <c r="BU352" s="60"/>
      <c r="BV352" s="8"/>
      <c r="BW352" s="58"/>
    </row>
    <row r="353" spans="41:75" x14ac:dyDescent="0.35">
      <c r="AO353" s="39">
        <v>351</v>
      </c>
      <c r="AP353" s="60"/>
      <c r="AQ353" s="41"/>
      <c r="AR353" s="42" t="str">
        <f>IFERROR(VLOOKUP(AU353,[1]SUMMARY!$A$3:$B$7,2,FALSE),"")</f>
        <v/>
      </c>
      <c r="AS353" s="42"/>
      <c r="AT353" s="31" t="e">
        <f>VLOOKUP(AS353,[1]OUTLET!$B:$C,2,0)</f>
        <v>#N/A</v>
      </c>
      <c r="AU353" s="42"/>
      <c r="AV353" s="39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55"/>
      <c r="BP353" s="40"/>
      <c r="BQ353" s="39"/>
      <c r="BR353" s="59"/>
      <c r="BS353" s="39"/>
      <c r="BT353" s="57"/>
      <c r="BU353" s="60"/>
      <c r="BV353" s="8"/>
      <c r="BW353" s="58"/>
    </row>
    <row r="354" spans="41:75" x14ac:dyDescent="0.35">
      <c r="AO354" s="39">
        <v>352</v>
      </c>
      <c r="AP354" s="60"/>
      <c r="AQ354" s="41"/>
      <c r="AR354" s="42" t="str">
        <f>IFERROR(VLOOKUP(AU354,[1]SUMMARY!$A$3:$B$7,2,FALSE),"")</f>
        <v/>
      </c>
      <c r="AS354" s="42"/>
      <c r="AT354" s="31" t="e">
        <f>VLOOKUP(AS354,[1]OUTLET!$B:$C,2,0)</f>
        <v>#N/A</v>
      </c>
      <c r="AU354" s="42"/>
      <c r="AV354" s="39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55"/>
      <c r="BP354" s="40"/>
      <c r="BQ354" s="39"/>
      <c r="BR354" s="59"/>
      <c r="BS354" s="39"/>
      <c r="BT354" s="57"/>
      <c r="BU354" s="60"/>
      <c r="BV354" s="8"/>
      <c r="BW354" s="58"/>
    </row>
    <row r="355" spans="41:75" x14ac:dyDescent="0.35">
      <c r="AO355" s="39">
        <v>353</v>
      </c>
      <c r="AP355" s="60"/>
      <c r="AQ355" s="41"/>
      <c r="AR355" s="42" t="str">
        <f>IFERROR(VLOOKUP(AU355,[1]SUMMARY!$A$3:$B$7,2,FALSE),"")</f>
        <v/>
      </c>
      <c r="AS355" s="42"/>
      <c r="AT355" s="31" t="e">
        <f>VLOOKUP(AS355,[1]OUTLET!$B:$C,2,0)</f>
        <v>#N/A</v>
      </c>
      <c r="AU355" s="42"/>
      <c r="AV355" s="39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55"/>
      <c r="BP355" s="40"/>
      <c r="BQ355" s="39"/>
      <c r="BR355" s="59"/>
      <c r="BS355" s="39"/>
      <c r="BT355" s="57"/>
      <c r="BU355" s="60"/>
      <c r="BV355" s="8"/>
      <c r="BW355" s="58"/>
    </row>
    <row r="356" spans="41:75" x14ac:dyDescent="0.35">
      <c r="AO356" s="39">
        <v>354</v>
      </c>
      <c r="AP356" s="60"/>
      <c r="AQ356" s="41"/>
      <c r="AR356" s="42" t="str">
        <f>IFERROR(VLOOKUP(AU356,[1]SUMMARY!$A$3:$B$7,2,FALSE),"")</f>
        <v/>
      </c>
      <c r="AS356" s="42"/>
      <c r="AT356" s="31" t="e">
        <f>VLOOKUP(AS356,[1]OUTLET!$B:$C,2,0)</f>
        <v>#N/A</v>
      </c>
      <c r="AU356" s="42"/>
      <c r="AV356" s="39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55"/>
      <c r="BP356" s="40"/>
      <c r="BQ356" s="39"/>
      <c r="BR356" s="59"/>
      <c r="BS356" s="39"/>
      <c r="BT356" s="57"/>
      <c r="BU356" s="60"/>
      <c r="BV356" s="8"/>
      <c r="BW356" s="58"/>
    </row>
    <row r="357" spans="41:75" x14ac:dyDescent="0.35">
      <c r="AO357" s="39">
        <v>355</v>
      </c>
      <c r="AP357" s="60"/>
      <c r="AQ357" s="41"/>
      <c r="AR357" s="42" t="str">
        <f>IFERROR(VLOOKUP(AU357,[1]SUMMARY!$A$3:$B$7,2,FALSE),"")</f>
        <v/>
      </c>
      <c r="AS357" s="42"/>
      <c r="AT357" s="31" t="e">
        <f>VLOOKUP(AS357,[1]OUTLET!$B:$C,2,0)</f>
        <v>#N/A</v>
      </c>
      <c r="AU357" s="42"/>
      <c r="AV357" s="39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55"/>
      <c r="BP357" s="40"/>
      <c r="BQ357" s="39"/>
      <c r="BR357" s="59"/>
      <c r="BS357" s="39"/>
      <c r="BT357" s="57"/>
      <c r="BU357" s="60"/>
      <c r="BV357" s="8"/>
      <c r="BW357" s="58"/>
    </row>
    <row r="358" spans="41:75" x14ac:dyDescent="0.35">
      <c r="AO358" s="39">
        <v>356</v>
      </c>
      <c r="AP358" s="60"/>
      <c r="AQ358" s="41"/>
      <c r="AR358" s="42" t="str">
        <f>IFERROR(VLOOKUP(AU358,[1]SUMMARY!$A$3:$B$7,2,FALSE),"")</f>
        <v/>
      </c>
      <c r="AS358" s="42"/>
      <c r="AT358" s="31" t="e">
        <f>VLOOKUP(AS358,[1]OUTLET!$B:$C,2,0)</f>
        <v>#N/A</v>
      </c>
      <c r="AU358" s="42"/>
      <c r="AV358" s="39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55"/>
      <c r="BP358" s="40"/>
      <c r="BQ358" s="39"/>
      <c r="BR358" s="59"/>
      <c r="BS358" s="39"/>
      <c r="BT358" s="57"/>
      <c r="BU358" s="60"/>
      <c r="BV358" s="8"/>
      <c r="BW358" s="58"/>
    </row>
    <row r="359" spans="41:75" x14ac:dyDescent="0.35">
      <c r="AO359" s="39">
        <v>357</v>
      </c>
      <c r="AP359" s="60"/>
      <c r="AQ359" s="41"/>
      <c r="AR359" s="42" t="str">
        <f>IFERROR(VLOOKUP(AU359,[1]SUMMARY!$A$3:$B$7,2,FALSE),"")</f>
        <v/>
      </c>
      <c r="AS359" s="42"/>
      <c r="AT359" s="31" t="e">
        <f>VLOOKUP(AS359,[1]OUTLET!$B:$C,2,0)</f>
        <v>#N/A</v>
      </c>
      <c r="AU359" s="42"/>
      <c r="AV359" s="39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55"/>
      <c r="BP359" s="40"/>
      <c r="BQ359" s="39"/>
      <c r="BR359" s="59"/>
      <c r="BS359" s="39"/>
      <c r="BT359" s="57"/>
      <c r="BU359" s="60"/>
      <c r="BV359" s="8"/>
      <c r="BW359" s="58"/>
    </row>
    <row r="360" spans="41:75" x14ac:dyDescent="0.35">
      <c r="AO360" s="39">
        <v>358</v>
      </c>
      <c r="AP360" s="60"/>
      <c r="AQ360" s="41"/>
      <c r="AR360" s="42" t="str">
        <f>IFERROR(VLOOKUP(AU360,[1]SUMMARY!$A$3:$B$7,2,FALSE),"")</f>
        <v/>
      </c>
      <c r="AS360" s="42"/>
      <c r="AT360" s="31" t="e">
        <f>VLOOKUP(AS360,[1]OUTLET!$B:$C,2,0)</f>
        <v>#N/A</v>
      </c>
      <c r="AU360" s="42"/>
      <c r="AV360" s="39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55"/>
      <c r="BP360" s="40"/>
      <c r="BQ360" s="39"/>
      <c r="BR360" s="59"/>
      <c r="BS360" s="39"/>
      <c r="BT360" s="57"/>
      <c r="BU360" s="60"/>
      <c r="BV360" s="8"/>
      <c r="BW360" s="58"/>
    </row>
    <row r="361" spans="41:75" x14ac:dyDescent="0.35">
      <c r="AO361" s="39">
        <v>359</v>
      </c>
      <c r="AP361" s="60"/>
      <c r="AQ361" s="41"/>
      <c r="AR361" s="42" t="str">
        <f>IFERROR(VLOOKUP(AU361,[1]SUMMARY!$A$3:$B$7,2,FALSE),"")</f>
        <v/>
      </c>
      <c r="AS361" s="42"/>
      <c r="AT361" s="31" t="e">
        <f>VLOOKUP(AS361,[1]OUTLET!$B:$C,2,0)</f>
        <v>#N/A</v>
      </c>
      <c r="AU361" s="42"/>
      <c r="AV361" s="39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55"/>
      <c r="BP361" s="40"/>
      <c r="BQ361" s="39"/>
      <c r="BR361" s="59"/>
      <c r="BS361" s="39"/>
      <c r="BT361" s="57"/>
      <c r="BU361" s="60"/>
      <c r="BV361" s="8"/>
      <c r="BW361" s="58"/>
    </row>
    <row r="362" spans="41:75" x14ac:dyDescent="0.35">
      <c r="AO362" s="39">
        <v>360</v>
      </c>
      <c r="AP362" s="60"/>
      <c r="AQ362" s="41"/>
      <c r="AR362" s="42" t="str">
        <f>IFERROR(VLOOKUP(AU362,[1]SUMMARY!$A$3:$B$7,2,FALSE),"")</f>
        <v/>
      </c>
      <c r="AS362" s="42"/>
      <c r="AT362" s="31" t="e">
        <f>VLOOKUP(AS362,[1]OUTLET!$B:$C,2,0)</f>
        <v>#N/A</v>
      </c>
      <c r="AU362" s="42"/>
      <c r="AV362" s="39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55"/>
      <c r="BP362" s="40"/>
      <c r="BQ362" s="39"/>
      <c r="BR362" s="59"/>
      <c r="BS362" s="39"/>
      <c r="BT362" s="57"/>
      <c r="BU362" s="60"/>
      <c r="BV362" s="8"/>
      <c r="BW362" s="58"/>
    </row>
    <row r="363" spans="41:75" x14ac:dyDescent="0.35">
      <c r="AO363" s="39">
        <v>361</v>
      </c>
      <c r="AP363" s="60"/>
      <c r="AQ363" s="41"/>
      <c r="AR363" s="42" t="str">
        <f>IFERROR(VLOOKUP(AU363,[1]SUMMARY!$A$3:$B$7,2,FALSE),"")</f>
        <v/>
      </c>
      <c r="AS363" s="42"/>
      <c r="AT363" s="31" t="e">
        <f>VLOOKUP(AS363,[1]OUTLET!$B:$C,2,0)</f>
        <v>#N/A</v>
      </c>
      <c r="AU363" s="42"/>
      <c r="AV363" s="39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55"/>
      <c r="BP363" s="40"/>
      <c r="BQ363" s="39"/>
      <c r="BR363" s="59"/>
      <c r="BS363" s="39"/>
      <c r="BT363" s="57"/>
      <c r="BU363" s="60"/>
      <c r="BV363" s="8"/>
      <c r="BW363" s="58"/>
    </row>
    <row r="364" spans="41:75" x14ac:dyDescent="0.35">
      <c r="AO364" s="39">
        <v>362</v>
      </c>
      <c r="AP364" s="60"/>
      <c r="AQ364" s="41"/>
      <c r="AR364" s="42" t="str">
        <f>IFERROR(VLOOKUP(AU364,[1]SUMMARY!$A$3:$B$7,2,FALSE),"")</f>
        <v/>
      </c>
      <c r="AS364" s="42"/>
      <c r="AT364" s="31" t="e">
        <f>VLOOKUP(AS364,[1]OUTLET!$B:$C,2,0)</f>
        <v>#N/A</v>
      </c>
      <c r="AU364" s="42"/>
      <c r="AV364" s="39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55"/>
      <c r="BP364" s="40"/>
      <c r="BQ364" s="39"/>
      <c r="BR364" s="59"/>
      <c r="BS364" s="39"/>
      <c r="BT364" s="57"/>
      <c r="BU364" s="60"/>
      <c r="BV364" s="8"/>
      <c r="BW364" s="58"/>
    </row>
    <row r="365" spans="41:75" x14ac:dyDescent="0.35">
      <c r="AO365" s="39">
        <v>363</v>
      </c>
      <c r="AP365" s="60"/>
      <c r="AQ365" s="41"/>
      <c r="AR365" s="42" t="str">
        <f>IFERROR(VLOOKUP(AU365,[1]SUMMARY!$A$3:$B$7,2,FALSE),"")</f>
        <v/>
      </c>
      <c r="AS365" s="42"/>
      <c r="AT365" s="31" t="e">
        <f>VLOOKUP(AS365,[1]OUTLET!$B:$C,2,0)</f>
        <v>#N/A</v>
      </c>
      <c r="AU365" s="42"/>
      <c r="AV365" s="39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55"/>
      <c r="BP365" s="40"/>
      <c r="BQ365" s="39"/>
      <c r="BR365" s="59"/>
      <c r="BS365" s="39"/>
      <c r="BT365" s="57"/>
      <c r="BU365" s="60"/>
      <c r="BV365" s="8"/>
      <c r="BW365" s="58"/>
    </row>
    <row r="366" spans="41:75" x14ac:dyDescent="0.35">
      <c r="AO366" s="39">
        <v>364</v>
      </c>
      <c r="AP366" s="60"/>
      <c r="AQ366" s="41"/>
      <c r="AR366" s="42" t="str">
        <f>IFERROR(VLOOKUP(AU366,[1]SUMMARY!$A$3:$B$7,2,FALSE),"")</f>
        <v/>
      </c>
      <c r="AS366" s="42"/>
      <c r="AT366" s="31" t="e">
        <f>VLOOKUP(AS366,[1]OUTLET!$B:$C,2,0)</f>
        <v>#N/A</v>
      </c>
      <c r="AU366" s="42"/>
      <c r="AV366" s="39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55"/>
      <c r="BP366" s="40"/>
      <c r="BQ366" s="39"/>
      <c r="BR366" s="59"/>
      <c r="BS366" s="39"/>
      <c r="BT366" s="57"/>
      <c r="BU366" s="60"/>
      <c r="BV366" s="8"/>
      <c r="BW366" s="58"/>
    </row>
    <row r="367" spans="41:75" x14ac:dyDescent="0.35">
      <c r="AO367" s="39">
        <v>365</v>
      </c>
      <c r="AP367" s="60"/>
      <c r="AQ367" s="41"/>
      <c r="AR367" s="42" t="str">
        <f>IFERROR(VLOOKUP(AU367,[1]SUMMARY!$A$3:$B$7,2,FALSE),"")</f>
        <v/>
      </c>
      <c r="AS367" s="42"/>
      <c r="AT367" s="31" t="e">
        <f>VLOOKUP(AS367,[1]OUTLET!$B:$C,2,0)</f>
        <v>#N/A</v>
      </c>
      <c r="AU367" s="42"/>
      <c r="AV367" s="39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55"/>
      <c r="BP367" s="40"/>
      <c r="BQ367" s="39"/>
      <c r="BR367" s="59"/>
      <c r="BS367" s="39"/>
      <c r="BT367" s="57"/>
      <c r="BU367" s="60"/>
      <c r="BV367" s="8"/>
      <c r="BW367" s="58"/>
    </row>
    <row r="368" spans="41:75" x14ac:dyDescent="0.35">
      <c r="AO368" s="39">
        <v>366</v>
      </c>
      <c r="AP368" s="60"/>
      <c r="AQ368" s="41"/>
      <c r="AR368" s="42" t="str">
        <f>IFERROR(VLOOKUP(AU368,[1]SUMMARY!$A$3:$B$7,2,FALSE),"")</f>
        <v/>
      </c>
      <c r="AS368" s="42"/>
      <c r="AT368" s="31" t="e">
        <f>VLOOKUP(AS368,[1]OUTLET!$B:$C,2,0)</f>
        <v>#N/A</v>
      </c>
      <c r="AU368" s="42"/>
      <c r="AV368" s="39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55"/>
      <c r="BP368" s="40"/>
      <c r="BQ368" s="39"/>
      <c r="BR368" s="59"/>
      <c r="BS368" s="39"/>
      <c r="BT368" s="57"/>
      <c r="BU368" s="60"/>
      <c r="BV368" s="8"/>
      <c r="BW368" s="58"/>
    </row>
    <row r="369" spans="41:75" x14ac:dyDescent="0.35">
      <c r="AO369" s="39">
        <v>367</v>
      </c>
      <c r="AP369" s="60"/>
      <c r="AQ369" s="41"/>
      <c r="AR369" s="42" t="str">
        <f>IFERROR(VLOOKUP(AU369,[1]SUMMARY!$A$3:$B$7,2,FALSE),"")</f>
        <v/>
      </c>
      <c r="AS369" s="42"/>
      <c r="AT369" s="31" t="e">
        <f>VLOOKUP(AS369,[1]OUTLET!$B:$C,2,0)</f>
        <v>#N/A</v>
      </c>
      <c r="AU369" s="42"/>
      <c r="AV369" s="39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55"/>
      <c r="BP369" s="40"/>
      <c r="BQ369" s="39"/>
      <c r="BR369" s="59"/>
      <c r="BS369" s="39"/>
      <c r="BT369" s="57"/>
      <c r="BU369" s="60"/>
      <c r="BV369" s="8"/>
      <c r="BW369" s="58"/>
    </row>
    <row r="370" spans="41:75" x14ac:dyDescent="0.35">
      <c r="AO370" s="39">
        <v>368</v>
      </c>
      <c r="AP370" s="60"/>
      <c r="AQ370" s="41"/>
      <c r="AR370" s="42" t="str">
        <f>IFERROR(VLOOKUP(AU370,[1]SUMMARY!$A$3:$B$7,2,FALSE),"")</f>
        <v/>
      </c>
      <c r="AS370" s="42"/>
      <c r="AT370" s="31" t="e">
        <f>VLOOKUP(AS370,[1]OUTLET!$B:$C,2,0)</f>
        <v>#N/A</v>
      </c>
      <c r="AU370" s="42"/>
      <c r="AV370" s="39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55"/>
      <c r="BP370" s="40"/>
      <c r="BQ370" s="39"/>
      <c r="BR370" s="59"/>
      <c r="BS370" s="39"/>
      <c r="BT370" s="57"/>
      <c r="BU370" s="60"/>
      <c r="BV370" s="8"/>
      <c r="BW370" s="58"/>
    </row>
    <row r="371" spans="41:75" x14ac:dyDescent="0.35">
      <c r="AO371" s="39">
        <v>369</v>
      </c>
      <c r="AP371" s="60"/>
      <c r="AQ371" s="41"/>
      <c r="AR371" s="42" t="str">
        <f>IFERROR(VLOOKUP(AU371,[1]SUMMARY!$A$3:$B$7,2,FALSE),"")</f>
        <v/>
      </c>
      <c r="AS371" s="42"/>
      <c r="AT371" s="31" t="e">
        <f>VLOOKUP(AS371,[1]OUTLET!$B:$C,2,0)</f>
        <v>#N/A</v>
      </c>
      <c r="AU371" s="42"/>
      <c r="AV371" s="39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55"/>
      <c r="BP371" s="40"/>
      <c r="BQ371" s="39"/>
      <c r="BR371" s="59"/>
      <c r="BS371" s="39"/>
      <c r="BT371" s="57"/>
      <c r="BU371" s="60"/>
      <c r="BV371" s="8"/>
      <c r="BW371" s="58"/>
    </row>
    <row r="372" spans="41:75" x14ac:dyDescent="0.35">
      <c r="AO372" s="39">
        <v>370</v>
      </c>
      <c r="AP372" s="60"/>
      <c r="AQ372" s="41"/>
      <c r="AR372" s="42" t="str">
        <f>IFERROR(VLOOKUP(AU372,[1]SUMMARY!$A$3:$B$7,2,FALSE),"")</f>
        <v/>
      </c>
      <c r="AS372" s="42"/>
      <c r="AT372" s="31" t="e">
        <f>VLOOKUP(AS372,[1]OUTLET!$B:$C,2,0)</f>
        <v>#N/A</v>
      </c>
      <c r="AU372" s="42"/>
      <c r="AV372" s="39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55"/>
      <c r="BP372" s="40"/>
      <c r="BQ372" s="39"/>
      <c r="BR372" s="59"/>
      <c r="BS372" s="39"/>
      <c r="BT372" s="57"/>
      <c r="BU372" s="60"/>
      <c r="BV372" s="8"/>
      <c r="BW372" s="58"/>
    </row>
    <row r="373" spans="41:75" x14ac:dyDescent="0.35">
      <c r="AO373" s="39">
        <v>371</v>
      </c>
      <c r="AP373" s="60"/>
      <c r="AQ373" s="41"/>
      <c r="AR373" s="42" t="str">
        <f>IFERROR(VLOOKUP(AU373,[1]SUMMARY!$A$3:$B$7,2,FALSE),"")</f>
        <v/>
      </c>
      <c r="AS373" s="42"/>
      <c r="AT373" s="31" t="e">
        <f>VLOOKUP(AS373,[1]OUTLET!$B:$C,2,0)</f>
        <v>#N/A</v>
      </c>
      <c r="AU373" s="42"/>
      <c r="AV373" s="39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55"/>
      <c r="BP373" s="40"/>
      <c r="BQ373" s="39"/>
      <c r="BR373" s="59"/>
      <c r="BS373" s="39"/>
      <c r="BT373" s="57"/>
      <c r="BU373" s="60"/>
      <c r="BV373" s="8"/>
      <c r="BW373" s="58"/>
    </row>
    <row r="374" spans="41:75" x14ac:dyDescent="0.35">
      <c r="AO374" s="39">
        <v>372</v>
      </c>
      <c r="AP374" s="60"/>
      <c r="AQ374" s="41"/>
      <c r="AR374" s="42" t="str">
        <f>IFERROR(VLOOKUP(AU374,[1]SUMMARY!$A$3:$B$7,2,FALSE),"")</f>
        <v/>
      </c>
      <c r="AS374" s="42"/>
      <c r="AT374" s="31" t="e">
        <f>VLOOKUP(AS374,[1]OUTLET!$B:$C,2,0)</f>
        <v>#N/A</v>
      </c>
      <c r="AU374" s="42"/>
      <c r="AV374" s="39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55"/>
      <c r="BP374" s="40"/>
      <c r="BQ374" s="39"/>
      <c r="BR374" s="59"/>
      <c r="BS374" s="39"/>
      <c r="BT374" s="57"/>
      <c r="BU374" s="60"/>
      <c r="BV374" s="8"/>
      <c r="BW374" s="58"/>
    </row>
    <row r="375" spans="41:75" x14ac:dyDescent="0.35">
      <c r="AO375" s="39">
        <v>373</v>
      </c>
      <c r="AP375" s="60"/>
      <c r="AQ375" s="41"/>
      <c r="AR375" s="42" t="str">
        <f>IFERROR(VLOOKUP(AU375,[1]SUMMARY!$A$3:$B$7,2,FALSE),"")</f>
        <v/>
      </c>
      <c r="AS375" s="42"/>
      <c r="AT375" s="31" t="e">
        <f>VLOOKUP(AS375,[1]OUTLET!$B:$C,2,0)</f>
        <v>#N/A</v>
      </c>
      <c r="AU375" s="42"/>
      <c r="AV375" s="39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55"/>
      <c r="BP375" s="40"/>
      <c r="BQ375" s="39"/>
      <c r="BR375" s="59"/>
      <c r="BS375" s="39"/>
      <c r="BT375" s="57"/>
      <c r="BU375" s="60"/>
      <c r="BV375" s="8"/>
      <c r="BW375" s="58"/>
    </row>
    <row r="376" spans="41:75" x14ac:dyDescent="0.35">
      <c r="AO376" s="39">
        <v>374</v>
      </c>
      <c r="AP376" s="60"/>
      <c r="AQ376" s="41"/>
      <c r="AR376" s="42" t="str">
        <f>IFERROR(VLOOKUP(AU376,[1]SUMMARY!$A$3:$B$7,2,FALSE),"")</f>
        <v/>
      </c>
      <c r="AS376" s="42"/>
      <c r="AT376" s="31" t="e">
        <f>VLOOKUP(AS376,[1]OUTLET!$B:$C,2,0)</f>
        <v>#N/A</v>
      </c>
      <c r="AU376" s="42"/>
      <c r="AV376" s="39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55"/>
      <c r="BP376" s="40"/>
      <c r="BQ376" s="39"/>
      <c r="BR376" s="59"/>
      <c r="BS376" s="39"/>
      <c r="BT376" s="57"/>
      <c r="BU376" s="60"/>
      <c r="BV376" s="8"/>
      <c r="BW376" s="58"/>
    </row>
    <row r="377" spans="41:75" x14ac:dyDescent="0.35">
      <c r="AO377" s="39">
        <v>375</v>
      </c>
      <c r="AP377" s="60"/>
      <c r="AQ377" s="41"/>
      <c r="AR377" s="42" t="str">
        <f>IFERROR(VLOOKUP(AU377,[1]SUMMARY!$A$3:$B$7,2,FALSE),"")</f>
        <v/>
      </c>
      <c r="AS377" s="42"/>
      <c r="AT377" s="31" t="e">
        <f>VLOOKUP(AS377,[1]OUTLET!$B:$C,2,0)</f>
        <v>#N/A</v>
      </c>
      <c r="AU377" s="42"/>
      <c r="AV377" s="39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55"/>
      <c r="BP377" s="40"/>
      <c r="BQ377" s="39"/>
      <c r="BR377" s="59"/>
      <c r="BS377" s="39"/>
      <c r="BT377" s="57"/>
      <c r="BU377" s="60"/>
      <c r="BV377" s="8"/>
      <c r="BW377" s="58"/>
    </row>
    <row r="378" spans="41:75" x14ac:dyDescent="0.35">
      <c r="AO378" s="39">
        <v>376</v>
      </c>
      <c r="AP378" s="60"/>
      <c r="AQ378" s="41"/>
      <c r="AR378" s="42" t="str">
        <f>IFERROR(VLOOKUP(AU378,[1]SUMMARY!$A$3:$B$7,2,FALSE),"")</f>
        <v/>
      </c>
      <c r="AS378" s="42"/>
      <c r="AT378" s="31" t="e">
        <f>VLOOKUP(AS378,[1]OUTLET!$B:$C,2,0)</f>
        <v>#N/A</v>
      </c>
      <c r="AU378" s="42"/>
      <c r="AV378" s="39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55"/>
      <c r="BP378" s="40"/>
      <c r="BQ378" s="39"/>
      <c r="BR378" s="59"/>
      <c r="BS378" s="39"/>
      <c r="BT378" s="57"/>
      <c r="BU378" s="60"/>
      <c r="BV378" s="8"/>
      <c r="BW378" s="58"/>
    </row>
    <row r="379" spans="41:75" x14ac:dyDescent="0.35">
      <c r="AO379" s="39">
        <v>377</v>
      </c>
      <c r="AP379" s="60"/>
      <c r="AQ379" s="41"/>
      <c r="AR379" s="42" t="str">
        <f>IFERROR(VLOOKUP(AU379,[1]SUMMARY!$A$3:$B$7,2,FALSE),"")</f>
        <v/>
      </c>
      <c r="AS379" s="42"/>
      <c r="AT379" s="31" t="e">
        <f>VLOOKUP(AS379,[1]OUTLET!$B:$C,2,0)</f>
        <v>#N/A</v>
      </c>
      <c r="AU379" s="42"/>
      <c r="AV379" s="39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55"/>
      <c r="BP379" s="40"/>
      <c r="BQ379" s="39"/>
      <c r="BR379" s="59"/>
      <c r="BS379" s="39"/>
      <c r="BT379" s="57"/>
      <c r="BU379" s="60"/>
      <c r="BV379" s="8"/>
      <c r="BW379" s="58"/>
    </row>
    <row r="380" spans="41:75" x14ac:dyDescent="0.35">
      <c r="AO380" s="39">
        <v>378</v>
      </c>
      <c r="AP380" s="60"/>
      <c r="AQ380" s="41"/>
      <c r="AR380" s="42" t="str">
        <f>IFERROR(VLOOKUP(AU380,[1]SUMMARY!$A$3:$B$7,2,FALSE),"")</f>
        <v/>
      </c>
      <c r="AS380" s="42"/>
      <c r="AT380" s="31" t="e">
        <f>VLOOKUP(AS380,[1]OUTLET!$B:$C,2,0)</f>
        <v>#N/A</v>
      </c>
      <c r="AU380" s="42"/>
      <c r="AV380" s="39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55"/>
      <c r="BP380" s="40"/>
      <c r="BQ380" s="39"/>
      <c r="BR380" s="59"/>
      <c r="BS380" s="39"/>
      <c r="BT380" s="57"/>
      <c r="BU380" s="60"/>
      <c r="BV380" s="8"/>
      <c r="BW380" s="58"/>
    </row>
    <row r="381" spans="41:75" x14ac:dyDescent="0.35">
      <c r="AO381" s="39">
        <v>379</v>
      </c>
      <c r="AP381" s="60"/>
      <c r="AQ381" s="41"/>
      <c r="AR381" s="42" t="str">
        <f>IFERROR(VLOOKUP(AU381,[1]SUMMARY!$A$3:$B$7,2,FALSE),"")</f>
        <v/>
      </c>
      <c r="AS381" s="42"/>
      <c r="AT381" s="31" t="e">
        <f>VLOOKUP(AS381,[1]OUTLET!$B:$C,2,0)</f>
        <v>#N/A</v>
      </c>
      <c r="AU381" s="42"/>
      <c r="AV381" s="39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55"/>
      <c r="BP381" s="40"/>
      <c r="BQ381" s="39"/>
      <c r="BR381" s="59"/>
      <c r="BS381" s="39"/>
      <c r="BT381" s="57"/>
      <c r="BU381" s="60"/>
      <c r="BV381" s="8"/>
      <c r="BW381" s="58"/>
    </row>
    <row r="382" spans="41:75" x14ac:dyDescent="0.35">
      <c r="AO382" s="39">
        <v>380</v>
      </c>
      <c r="AP382" s="60"/>
      <c r="AQ382" s="41"/>
      <c r="AR382" s="42" t="str">
        <f>IFERROR(VLOOKUP(AU382,[1]SUMMARY!$A$3:$B$7,2,FALSE),"")</f>
        <v/>
      </c>
      <c r="AS382" s="42"/>
      <c r="AT382" s="31" t="e">
        <f>VLOOKUP(AS382,[1]OUTLET!$B:$C,2,0)</f>
        <v>#N/A</v>
      </c>
      <c r="AU382" s="42"/>
      <c r="AV382" s="39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55"/>
      <c r="BP382" s="40"/>
      <c r="BQ382" s="39"/>
      <c r="BR382" s="59"/>
      <c r="BS382" s="39"/>
      <c r="BT382" s="57"/>
      <c r="BU382" s="60"/>
      <c r="BV382" s="8"/>
      <c r="BW382" s="58"/>
    </row>
    <row r="383" spans="41:75" x14ac:dyDescent="0.35">
      <c r="AO383" s="39">
        <v>381</v>
      </c>
      <c r="AP383" s="60"/>
      <c r="AQ383" s="41"/>
      <c r="AR383" s="42" t="str">
        <f>IFERROR(VLOOKUP(AU383,[1]SUMMARY!$A$3:$B$7,2,FALSE),"")</f>
        <v/>
      </c>
      <c r="AS383" s="42"/>
      <c r="AT383" s="31" t="e">
        <f>VLOOKUP(AS383,[1]OUTLET!$B:$C,2,0)</f>
        <v>#N/A</v>
      </c>
      <c r="AU383" s="42"/>
      <c r="AV383" s="39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55"/>
      <c r="BP383" s="40"/>
      <c r="BQ383" s="39"/>
      <c r="BR383" s="59"/>
      <c r="BS383" s="39"/>
      <c r="BT383" s="57"/>
      <c r="BU383" s="60"/>
      <c r="BV383" s="8"/>
      <c r="BW383" s="58"/>
    </row>
    <row r="384" spans="41:75" x14ac:dyDescent="0.35">
      <c r="AO384" s="39">
        <v>382</v>
      </c>
      <c r="AP384" s="60"/>
      <c r="AQ384" s="41"/>
      <c r="AR384" s="42" t="str">
        <f>IFERROR(VLOOKUP(AU384,[1]SUMMARY!$A$3:$B$7,2,FALSE),"")</f>
        <v/>
      </c>
      <c r="AS384" s="42"/>
      <c r="AT384" s="31" t="e">
        <f>VLOOKUP(AS384,[1]OUTLET!$B:$C,2,0)</f>
        <v>#N/A</v>
      </c>
      <c r="AU384" s="42"/>
      <c r="AV384" s="39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55"/>
      <c r="BP384" s="40"/>
      <c r="BQ384" s="39"/>
      <c r="BR384" s="59"/>
      <c r="BS384" s="39"/>
      <c r="BT384" s="57"/>
      <c r="BU384" s="60"/>
      <c r="BV384" s="8"/>
      <c r="BW384" s="58"/>
    </row>
    <row r="385" spans="41:75" x14ac:dyDescent="0.35">
      <c r="AO385" s="39">
        <v>383</v>
      </c>
      <c r="AP385" s="60"/>
      <c r="AQ385" s="41"/>
      <c r="AR385" s="42" t="str">
        <f>IFERROR(VLOOKUP(AU385,[1]SUMMARY!$A$3:$B$7,2,FALSE),"")</f>
        <v/>
      </c>
      <c r="AS385" s="42"/>
      <c r="AT385" s="31" t="e">
        <f>VLOOKUP(AS385,[1]OUTLET!$B:$C,2,0)</f>
        <v>#N/A</v>
      </c>
      <c r="AU385" s="42"/>
      <c r="AV385" s="39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55"/>
      <c r="BP385" s="40"/>
      <c r="BQ385" s="39"/>
      <c r="BR385" s="59"/>
      <c r="BS385" s="39"/>
      <c r="BT385" s="57"/>
      <c r="BU385" s="60"/>
      <c r="BV385" s="8"/>
      <c r="BW385" s="58"/>
    </row>
    <row r="386" spans="41:75" x14ac:dyDescent="0.35">
      <c r="AO386" s="39">
        <v>384</v>
      </c>
      <c r="AP386" s="60"/>
      <c r="AQ386" s="41"/>
      <c r="AR386" s="42" t="str">
        <f>IFERROR(VLOOKUP(AU386,[1]SUMMARY!$A$3:$B$7,2,FALSE),"")</f>
        <v/>
      </c>
      <c r="AS386" s="42"/>
      <c r="AT386" s="31" t="e">
        <f>VLOOKUP(AS386,[1]OUTLET!$B:$C,2,0)</f>
        <v>#N/A</v>
      </c>
      <c r="AU386" s="42"/>
      <c r="AV386" s="39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55"/>
      <c r="BP386" s="40"/>
      <c r="BQ386" s="39"/>
      <c r="BR386" s="59"/>
      <c r="BS386" s="39"/>
      <c r="BT386" s="57"/>
      <c r="BU386" s="60"/>
      <c r="BV386" s="8"/>
      <c r="BW386" s="58"/>
    </row>
    <row r="387" spans="41:75" x14ac:dyDescent="0.35">
      <c r="AO387" s="39">
        <v>385</v>
      </c>
      <c r="AP387" s="60"/>
      <c r="AQ387" s="41"/>
      <c r="AR387" s="42" t="str">
        <f>IFERROR(VLOOKUP(AU387,[1]SUMMARY!$A$3:$B$7,2,FALSE),"")</f>
        <v/>
      </c>
      <c r="AS387" s="42"/>
      <c r="AT387" s="31" t="e">
        <f>VLOOKUP(AS387,[1]OUTLET!$B:$C,2,0)</f>
        <v>#N/A</v>
      </c>
      <c r="AU387" s="42"/>
      <c r="AV387" s="39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55"/>
      <c r="BP387" s="40"/>
      <c r="BQ387" s="39"/>
      <c r="BR387" s="59"/>
      <c r="BS387" s="39"/>
      <c r="BT387" s="57"/>
      <c r="BU387" s="60"/>
      <c r="BV387" s="8"/>
      <c r="BW387" s="58"/>
    </row>
    <row r="388" spans="41:75" x14ac:dyDescent="0.35">
      <c r="AO388" s="39">
        <v>386</v>
      </c>
      <c r="AP388" s="60"/>
      <c r="AQ388" s="41"/>
      <c r="AR388" s="42" t="str">
        <f>IFERROR(VLOOKUP(AU388,[1]SUMMARY!$A$3:$B$7,2,FALSE),"")</f>
        <v/>
      </c>
      <c r="AS388" s="42"/>
      <c r="AT388" s="31" t="e">
        <f>VLOOKUP(AS388,[1]OUTLET!$B:$C,2,0)</f>
        <v>#N/A</v>
      </c>
      <c r="AU388" s="42"/>
      <c r="AV388" s="39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55"/>
      <c r="BP388" s="40"/>
      <c r="BQ388" s="39"/>
      <c r="BR388" s="59"/>
      <c r="BS388" s="39"/>
      <c r="BT388" s="57"/>
      <c r="BU388" s="60"/>
      <c r="BV388" s="8"/>
      <c r="BW388" s="58"/>
    </row>
    <row r="389" spans="41:75" x14ac:dyDescent="0.35">
      <c r="AO389" s="39">
        <v>387</v>
      </c>
      <c r="AP389" s="60"/>
      <c r="AQ389" s="41"/>
      <c r="AR389" s="42" t="str">
        <f>IFERROR(VLOOKUP(AU389,[1]SUMMARY!$A$3:$B$7,2,FALSE),"")</f>
        <v/>
      </c>
      <c r="AS389" s="42"/>
      <c r="AT389" s="31" t="e">
        <f>VLOOKUP(AS389,[1]OUTLET!$B:$C,2,0)</f>
        <v>#N/A</v>
      </c>
      <c r="AU389" s="42"/>
      <c r="AV389" s="39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55"/>
      <c r="BP389" s="40"/>
      <c r="BQ389" s="39"/>
      <c r="BR389" s="59"/>
      <c r="BS389" s="39"/>
      <c r="BT389" s="57"/>
      <c r="BU389" s="60"/>
      <c r="BV389" s="8"/>
      <c r="BW389" s="58"/>
    </row>
    <row r="390" spans="41:75" x14ac:dyDescent="0.35">
      <c r="AO390" s="39">
        <v>388</v>
      </c>
      <c r="AP390" s="60"/>
      <c r="AQ390" s="41"/>
      <c r="AR390" s="42" t="str">
        <f>IFERROR(VLOOKUP(AU390,[1]SUMMARY!$A$3:$B$7,2,FALSE),"")</f>
        <v/>
      </c>
      <c r="AS390" s="42"/>
      <c r="AT390" s="31" t="e">
        <f>VLOOKUP(AS390,[1]OUTLET!$B:$C,2,0)</f>
        <v>#N/A</v>
      </c>
      <c r="AU390" s="42"/>
      <c r="AV390" s="39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55"/>
      <c r="BP390" s="40"/>
      <c r="BQ390" s="39"/>
      <c r="BR390" s="59"/>
      <c r="BS390" s="39"/>
      <c r="BT390" s="57"/>
      <c r="BU390" s="60"/>
      <c r="BV390" s="8"/>
      <c r="BW390" s="58"/>
    </row>
    <row r="391" spans="41:75" x14ac:dyDescent="0.35">
      <c r="AO391" s="39">
        <v>389</v>
      </c>
      <c r="AP391" s="60"/>
      <c r="AQ391" s="41"/>
      <c r="AR391" s="42" t="str">
        <f>IFERROR(VLOOKUP(AU391,[1]SUMMARY!$A$3:$B$7,2,FALSE),"")</f>
        <v/>
      </c>
      <c r="AS391" s="42"/>
      <c r="AT391" s="31" t="e">
        <f>VLOOKUP(AS391,[1]OUTLET!$B:$C,2,0)</f>
        <v>#N/A</v>
      </c>
      <c r="AU391" s="42"/>
      <c r="AV391" s="39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55"/>
      <c r="BP391" s="40"/>
      <c r="BQ391" s="39"/>
      <c r="BR391" s="59"/>
      <c r="BS391" s="39"/>
      <c r="BT391" s="57"/>
      <c r="BU391" s="60"/>
      <c r="BV391" s="8"/>
      <c r="BW391" s="58"/>
    </row>
    <row r="392" spans="41:75" x14ac:dyDescent="0.35">
      <c r="AO392" s="39">
        <v>390</v>
      </c>
      <c r="AP392" s="60"/>
      <c r="AQ392" s="41"/>
      <c r="AR392" s="42" t="str">
        <f>IFERROR(VLOOKUP(AU392,[1]SUMMARY!$A$3:$B$7,2,FALSE),"")</f>
        <v/>
      </c>
      <c r="AS392" s="42"/>
      <c r="AT392" s="31" t="e">
        <f>VLOOKUP(AS392,[1]OUTLET!$B:$C,2,0)</f>
        <v>#N/A</v>
      </c>
      <c r="AU392" s="42"/>
      <c r="AV392" s="39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55"/>
      <c r="BP392" s="40"/>
      <c r="BQ392" s="39"/>
      <c r="BR392" s="59"/>
      <c r="BS392" s="39"/>
      <c r="BT392" s="57"/>
      <c r="BU392" s="60"/>
      <c r="BV392" s="8"/>
      <c r="BW392" s="58"/>
    </row>
    <row r="393" spans="41:75" x14ac:dyDescent="0.35">
      <c r="AO393" s="39">
        <v>391</v>
      </c>
      <c r="AP393" s="60"/>
      <c r="AQ393" s="41"/>
      <c r="AR393" s="42" t="str">
        <f>IFERROR(VLOOKUP(AU393,[1]SUMMARY!$A$3:$B$7,2,FALSE),"")</f>
        <v/>
      </c>
      <c r="AS393" s="42"/>
      <c r="AT393" s="31" t="e">
        <f>VLOOKUP(AS393,[1]OUTLET!$B:$C,2,0)</f>
        <v>#N/A</v>
      </c>
      <c r="AU393" s="42"/>
      <c r="AV393" s="39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55"/>
      <c r="BP393" s="40"/>
      <c r="BQ393" s="39"/>
      <c r="BR393" s="59"/>
      <c r="BS393" s="39"/>
      <c r="BT393" s="57"/>
      <c r="BU393" s="60"/>
      <c r="BV393" s="8"/>
      <c r="BW393" s="58"/>
    </row>
    <row r="394" spans="41:75" x14ac:dyDescent="0.35">
      <c r="AO394" s="39">
        <v>392</v>
      </c>
      <c r="AP394" s="60"/>
      <c r="AQ394" s="41"/>
      <c r="AR394" s="42" t="str">
        <f>IFERROR(VLOOKUP(AU394,[1]SUMMARY!$A$3:$B$7,2,FALSE),"")</f>
        <v/>
      </c>
      <c r="AS394" s="42"/>
      <c r="AT394" s="31" t="e">
        <f>VLOOKUP(AS394,[1]OUTLET!$B:$C,2,0)</f>
        <v>#N/A</v>
      </c>
      <c r="AU394" s="42"/>
      <c r="AV394" s="39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55"/>
      <c r="BP394" s="40"/>
      <c r="BQ394" s="39"/>
      <c r="BR394" s="59"/>
      <c r="BS394" s="39"/>
      <c r="BT394" s="57"/>
      <c r="BU394" s="60"/>
      <c r="BV394" s="8"/>
      <c r="BW394" s="58"/>
    </row>
    <row r="395" spans="41:75" x14ac:dyDescent="0.35">
      <c r="AO395" s="39">
        <v>393</v>
      </c>
      <c r="AP395" s="60"/>
      <c r="AQ395" s="41"/>
      <c r="AR395" s="42" t="str">
        <f>IFERROR(VLOOKUP(AU395,[1]SUMMARY!$A$3:$B$7,2,FALSE),"")</f>
        <v/>
      </c>
      <c r="AS395" s="42"/>
      <c r="AT395" s="31" t="e">
        <f>VLOOKUP(AS395,[1]OUTLET!$B:$C,2,0)</f>
        <v>#N/A</v>
      </c>
      <c r="AU395" s="42"/>
      <c r="AV395" s="39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55"/>
      <c r="BP395" s="40"/>
      <c r="BQ395" s="39"/>
      <c r="BR395" s="59"/>
      <c r="BS395" s="39"/>
      <c r="BT395" s="57"/>
      <c r="BU395" s="60"/>
      <c r="BV395" s="8"/>
      <c r="BW395" s="58"/>
    </row>
    <row r="396" spans="41:75" x14ac:dyDescent="0.35">
      <c r="AO396" s="39">
        <v>394</v>
      </c>
      <c r="AP396" s="60"/>
      <c r="AQ396" s="41"/>
      <c r="AR396" s="42" t="str">
        <f>IFERROR(VLOOKUP(AU396,[1]SUMMARY!$A$3:$B$7,2,FALSE),"")</f>
        <v/>
      </c>
      <c r="AS396" s="42"/>
      <c r="AT396" s="31" t="e">
        <f>VLOOKUP(AS396,[1]OUTLET!$B:$C,2,0)</f>
        <v>#N/A</v>
      </c>
      <c r="AU396" s="42"/>
      <c r="AV396" s="39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55"/>
      <c r="BP396" s="40"/>
      <c r="BQ396" s="39"/>
      <c r="BR396" s="59"/>
      <c r="BS396" s="39"/>
      <c r="BT396" s="57"/>
      <c r="BU396" s="60"/>
      <c r="BV396" s="8"/>
      <c r="BW396" s="58"/>
    </row>
    <row r="397" spans="41:75" x14ac:dyDescent="0.35">
      <c r="AO397" s="39">
        <v>395</v>
      </c>
      <c r="AP397" s="60"/>
      <c r="AQ397" s="41"/>
      <c r="AR397" s="42" t="str">
        <f>IFERROR(VLOOKUP(AU397,[1]SUMMARY!$A$3:$B$7,2,FALSE),"")</f>
        <v/>
      </c>
      <c r="AS397" s="42"/>
      <c r="AT397" s="31" t="e">
        <f>VLOOKUP(AS397,[1]OUTLET!$B:$C,2,0)</f>
        <v>#N/A</v>
      </c>
      <c r="AU397" s="42"/>
      <c r="AV397" s="39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55"/>
      <c r="BP397" s="40"/>
      <c r="BQ397" s="39"/>
      <c r="BR397" s="59"/>
      <c r="BS397" s="39"/>
      <c r="BT397" s="57"/>
      <c r="BU397" s="60"/>
      <c r="BV397" s="8"/>
      <c r="BW397" s="58"/>
    </row>
    <row r="398" spans="41:75" x14ac:dyDescent="0.35">
      <c r="AO398" s="39">
        <v>396</v>
      </c>
      <c r="AP398" s="60"/>
      <c r="AQ398" s="41"/>
      <c r="AR398" s="42" t="str">
        <f>IFERROR(VLOOKUP(AU398,[1]SUMMARY!$A$3:$B$7,2,FALSE),"")</f>
        <v/>
      </c>
      <c r="AS398" s="42"/>
      <c r="AT398" s="31" t="e">
        <f>VLOOKUP(AS398,[1]OUTLET!$B:$C,2,0)</f>
        <v>#N/A</v>
      </c>
      <c r="AU398" s="42"/>
      <c r="AV398" s="39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55"/>
      <c r="BP398" s="40"/>
      <c r="BQ398" s="39"/>
      <c r="BR398" s="59"/>
      <c r="BS398" s="39"/>
      <c r="BT398" s="57"/>
      <c r="BU398" s="60"/>
      <c r="BV398" s="8"/>
      <c r="BW398" s="58"/>
    </row>
    <row r="399" spans="41:75" x14ac:dyDescent="0.35">
      <c r="AO399" s="39">
        <v>397</v>
      </c>
      <c r="AP399" s="60"/>
      <c r="AQ399" s="41"/>
      <c r="AR399" s="42" t="str">
        <f>IFERROR(VLOOKUP(AU399,[1]SUMMARY!$A$3:$B$7,2,FALSE),"")</f>
        <v/>
      </c>
      <c r="AS399" s="42"/>
      <c r="AT399" s="31" t="e">
        <f>VLOOKUP(AS399,[1]OUTLET!$B:$C,2,0)</f>
        <v>#N/A</v>
      </c>
      <c r="AU399" s="42"/>
      <c r="AV399" s="39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55"/>
      <c r="BP399" s="40"/>
      <c r="BQ399" s="39"/>
      <c r="BR399" s="59"/>
      <c r="BS399" s="39"/>
      <c r="BT399" s="57"/>
      <c r="BU399" s="60"/>
      <c r="BV399" s="8"/>
      <c r="BW399" s="58"/>
    </row>
    <row r="400" spans="41:75" x14ac:dyDescent="0.35">
      <c r="AO400" s="39">
        <v>398</v>
      </c>
      <c r="AP400" s="60"/>
      <c r="AQ400" s="41"/>
      <c r="AR400" s="42" t="str">
        <f>IFERROR(VLOOKUP(AU400,[1]SUMMARY!$A$3:$B$7,2,FALSE),"")</f>
        <v/>
      </c>
      <c r="AS400" s="42"/>
      <c r="AT400" s="31" t="e">
        <f>VLOOKUP(AS400,[1]OUTLET!$B:$C,2,0)</f>
        <v>#N/A</v>
      </c>
      <c r="AU400" s="42"/>
      <c r="AV400" s="39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55"/>
      <c r="BP400" s="40"/>
      <c r="BQ400" s="39"/>
      <c r="BR400" s="59"/>
      <c r="BS400" s="39"/>
      <c r="BT400" s="57"/>
      <c r="BU400" s="60"/>
      <c r="BV400" s="8"/>
      <c r="BW400" s="58"/>
    </row>
    <row r="401" spans="41:75" x14ac:dyDescent="0.35">
      <c r="AO401" s="39">
        <v>399</v>
      </c>
      <c r="AP401" s="60"/>
      <c r="AQ401" s="41"/>
      <c r="AR401" s="42" t="str">
        <f>IFERROR(VLOOKUP(AU401,[1]SUMMARY!$A$3:$B$7,2,FALSE),"")</f>
        <v/>
      </c>
      <c r="AS401" s="42"/>
      <c r="AT401" s="31" t="e">
        <f>VLOOKUP(AS401,[1]OUTLET!$B:$C,2,0)</f>
        <v>#N/A</v>
      </c>
      <c r="AU401" s="42"/>
      <c r="AV401" s="39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55"/>
      <c r="BP401" s="40"/>
      <c r="BQ401" s="39"/>
      <c r="BR401" s="59"/>
      <c r="BS401" s="39"/>
      <c r="BT401" s="57"/>
      <c r="BU401" s="60"/>
      <c r="BV401" s="8"/>
      <c r="BW401" s="58"/>
    </row>
    <row r="402" spans="41:75" x14ac:dyDescent="0.35">
      <c r="AO402" s="39">
        <v>400</v>
      </c>
      <c r="AP402" s="60"/>
      <c r="AQ402" s="41"/>
      <c r="AR402" s="42" t="str">
        <f>IFERROR(VLOOKUP(AU402,[1]SUMMARY!$A$3:$B$7,2,FALSE),"")</f>
        <v/>
      </c>
      <c r="AS402" s="42"/>
      <c r="AT402" s="31" t="e">
        <f>VLOOKUP(AS402,[1]OUTLET!$B:$C,2,0)</f>
        <v>#N/A</v>
      </c>
      <c r="AU402" s="42"/>
      <c r="AV402" s="39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55"/>
      <c r="BP402" s="40"/>
      <c r="BQ402" s="39"/>
      <c r="BR402" s="59"/>
      <c r="BS402" s="39"/>
      <c r="BT402" s="57"/>
      <c r="BU402" s="60"/>
      <c r="BV402" s="8"/>
      <c r="BW402" s="58"/>
    </row>
    <row r="403" spans="41:75" x14ac:dyDescent="0.35">
      <c r="AO403" s="39">
        <v>401</v>
      </c>
      <c r="AP403" s="60"/>
      <c r="AQ403" s="41"/>
      <c r="AR403" s="42" t="str">
        <f>IFERROR(VLOOKUP(AU403,[1]SUMMARY!$A$3:$B$7,2,FALSE),"")</f>
        <v/>
      </c>
      <c r="AS403" s="42"/>
      <c r="AT403" s="31" t="e">
        <f>VLOOKUP(AS403,[1]OUTLET!$B:$C,2,0)</f>
        <v>#N/A</v>
      </c>
      <c r="AU403" s="42"/>
      <c r="AV403" s="39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55"/>
      <c r="BP403" s="40"/>
      <c r="BQ403" s="39"/>
      <c r="BR403" s="59"/>
      <c r="BS403" s="39"/>
      <c r="BT403" s="57"/>
      <c r="BU403" s="60"/>
      <c r="BV403" s="8"/>
      <c r="BW403" s="58"/>
    </row>
    <row r="404" spans="41:75" x14ac:dyDescent="0.35">
      <c r="AO404" s="39">
        <v>402</v>
      </c>
      <c r="AP404" s="60"/>
      <c r="AQ404" s="41"/>
      <c r="AR404" s="42" t="str">
        <f>IFERROR(VLOOKUP(AU404,[1]SUMMARY!$A$3:$B$7,2,FALSE),"")</f>
        <v/>
      </c>
      <c r="AS404" s="42"/>
      <c r="AT404" s="31" t="e">
        <f>VLOOKUP(AS404,[1]OUTLET!$B:$C,2,0)</f>
        <v>#N/A</v>
      </c>
      <c r="AU404" s="42"/>
      <c r="AV404" s="39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55"/>
      <c r="BP404" s="40"/>
      <c r="BQ404" s="39"/>
      <c r="BR404" s="59"/>
      <c r="BS404" s="39"/>
      <c r="BT404" s="57"/>
      <c r="BU404" s="60"/>
      <c r="BV404" s="8"/>
      <c r="BW404" s="58"/>
    </row>
    <row r="405" spans="41:75" x14ac:dyDescent="0.35">
      <c r="AO405" s="39">
        <v>403</v>
      </c>
      <c r="AP405" s="60"/>
      <c r="AQ405" s="41"/>
      <c r="AR405" s="42" t="str">
        <f>IFERROR(VLOOKUP(AU405,[1]SUMMARY!$A$3:$B$7,2,FALSE),"")</f>
        <v/>
      </c>
      <c r="AS405" s="42"/>
      <c r="AT405" s="31" t="e">
        <f>VLOOKUP(AS405,[1]OUTLET!$B:$C,2,0)</f>
        <v>#N/A</v>
      </c>
      <c r="AU405" s="42"/>
      <c r="AV405" s="39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55"/>
      <c r="BP405" s="40"/>
      <c r="BQ405" s="39"/>
      <c r="BR405" s="59"/>
      <c r="BS405" s="39"/>
      <c r="BT405" s="57"/>
      <c r="BU405" s="60"/>
      <c r="BV405" s="8"/>
      <c r="BW405" s="58"/>
    </row>
    <row r="406" spans="41:75" x14ac:dyDescent="0.35">
      <c r="AO406" s="39">
        <v>404</v>
      </c>
      <c r="AP406" s="60"/>
      <c r="AQ406" s="41"/>
      <c r="AR406" s="42" t="str">
        <f>IFERROR(VLOOKUP(AU406,[1]SUMMARY!$A$3:$B$7,2,FALSE),"")</f>
        <v/>
      </c>
      <c r="AS406" s="42"/>
      <c r="AT406" s="31" t="e">
        <f>VLOOKUP(AS406,[1]OUTLET!$B:$C,2,0)</f>
        <v>#N/A</v>
      </c>
      <c r="AU406" s="42"/>
      <c r="AV406" s="39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55"/>
      <c r="BP406" s="40"/>
      <c r="BQ406" s="39"/>
      <c r="BR406" s="59"/>
      <c r="BS406" s="39"/>
      <c r="BT406" s="57"/>
      <c r="BU406" s="60"/>
      <c r="BV406" s="8"/>
      <c r="BW406" s="58"/>
    </row>
    <row r="407" spans="41:75" x14ac:dyDescent="0.35">
      <c r="AO407" s="39">
        <v>405</v>
      </c>
      <c r="AP407" s="60"/>
      <c r="AQ407" s="41"/>
      <c r="AR407" s="42" t="str">
        <f>IFERROR(VLOOKUP(AU407,[1]SUMMARY!$A$3:$B$7,2,FALSE),"")</f>
        <v/>
      </c>
      <c r="AS407" s="42"/>
      <c r="AT407" s="31" t="e">
        <f>VLOOKUP(AS407,[1]OUTLET!$B:$C,2,0)</f>
        <v>#N/A</v>
      </c>
      <c r="AU407" s="42"/>
      <c r="AV407" s="39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55"/>
      <c r="BP407" s="40"/>
      <c r="BQ407" s="39"/>
      <c r="BR407" s="59"/>
      <c r="BS407" s="39"/>
      <c r="BT407" s="57"/>
      <c r="BU407" s="60"/>
      <c r="BV407" s="8"/>
      <c r="BW407" s="58"/>
    </row>
    <row r="408" spans="41:75" x14ac:dyDescent="0.35">
      <c r="AO408" s="39">
        <v>406</v>
      </c>
      <c r="AP408" s="60"/>
      <c r="AQ408" s="41"/>
      <c r="AR408" s="42" t="str">
        <f>IFERROR(VLOOKUP(AU408,[1]SUMMARY!$A$3:$B$7,2,FALSE),"")</f>
        <v/>
      </c>
      <c r="AS408" s="42"/>
      <c r="AT408" s="31" t="e">
        <f>VLOOKUP(AS408,[1]OUTLET!$B:$C,2,0)</f>
        <v>#N/A</v>
      </c>
      <c r="AU408" s="42"/>
      <c r="AV408" s="39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55"/>
      <c r="BP408" s="40"/>
      <c r="BQ408" s="39"/>
      <c r="BR408" s="59"/>
      <c r="BS408" s="39"/>
      <c r="BT408" s="57"/>
      <c r="BU408" s="60"/>
      <c r="BV408" s="8"/>
      <c r="BW408" s="58"/>
    </row>
    <row r="409" spans="41:75" x14ac:dyDescent="0.35">
      <c r="AO409" s="39">
        <v>407</v>
      </c>
      <c r="AP409" s="60"/>
      <c r="AQ409" s="41"/>
      <c r="AR409" s="42" t="str">
        <f>IFERROR(VLOOKUP(AU409,[1]SUMMARY!$A$3:$B$7,2,FALSE),"")</f>
        <v/>
      </c>
      <c r="AS409" s="42"/>
      <c r="AT409" s="31" t="e">
        <f>VLOOKUP(AS409,[1]OUTLET!$B:$C,2,0)</f>
        <v>#N/A</v>
      </c>
      <c r="AU409" s="42"/>
      <c r="AV409" s="39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55"/>
      <c r="BP409" s="40"/>
      <c r="BQ409" s="39"/>
      <c r="BR409" s="59"/>
      <c r="BS409" s="39"/>
      <c r="BT409" s="57"/>
      <c r="BU409" s="60"/>
      <c r="BV409" s="8"/>
      <c r="BW409" s="58"/>
    </row>
    <row r="410" spans="41:75" x14ac:dyDescent="0.35">
      <c r="AO410" s="39">
        <v>408</v>
      </c>
      <c r="AP410" s="60"/>
      <c r="AQ410" s="41"/>
      <c r="AR410" s="42" t="str">
        <f>IFERROR(VLOOKUP(AU410,[1]SUMMARY!$A$3:$B$7,2,FALSE),"")</f>
        <v/>
      </c>
      <c r="AS410" s="42"/>
      <c r="AT410" s="31" t="e">
        <f>VLOOKUP(AS410,[1]OUTLET!$B:$C,2,0)</f>
        <v>#N/A</v>
      </c>
      <c r="AU410" s="42"/>
      <c r="AV410" s="39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55"/>
      <c r="BP410" s="40"/>
      <c r="BQ410" s="39"/>
      <c r="BR410" s="59"/>
      <c r="BS410" s="39"/>
      <c r="BT410" s="57"/>
      <c r="BU410" s="60"/>
      <c r="BV410" s="8"/>
      <c r="BW410" s="58"/>
    </row>
    <row r="411" spans="41:75" x14ac:dyDescent="0.35">
      <c r="AO411" s="39">
        <v>409</v>
      </c>
      <c r="AP411" s="60"/>
      <c r="AQ411" s="41"/>
      <c r="AR411" s="42" t="str">
        <f>IFERROR(VLOOKUP(AU411,[1]SUMMARY!$A$3:$B$7,2,FALSE),"")</f>
        <v/>
      </c>
      <c r="AS411" s="42"/>
      <c r="AT411" s="31" t="e">
        <f>VLOOKUP(AS411,[1]OUTLET!$B:$C,2,0)</f>
        <v>#N/A</v>
      </c>
      <c r="AU411" s="42"/>
      <c r="AV411" s="39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55"/>
      <c r="BP411" s="40"/>
      <c r="BQ411" s="39"/>
      <c r="BR411" s="59"/>
      <c r="BS411" s="39"/>
      <c r="BT411" s="57"/>
      <c r="BU411" s="60"/>
      <c r="BV411" s="8"/>
      <c r="BW411" s="58"/>
    </row>
    <row r="412" spans="41:75" x14ac:dyDescent="0.35">
      <c r="AO412" s="39">
        <v>410</v>
      </c>
      <c r="AP412" s="60"/>
      <c r="AQ412" s="41"/>
      <c r="AR412" s="42" t="str">
        <f>IFERROR(VLOOKUP(AU412,[1]SUMMARY!$A$3:$B$7,2,FALSE),"")</f>
        <v/>
      </c>
      <c r="AS412" s="42"/>
      <c r="AT412" s="31" t="e">
        <f>VLOOKUP(AS412,[1]OUTLET!$B:$C,2,0)</f>
        <v>#N/A</v>
      </c>
      <c r="AU412" s="42"/>
      <c r="AV412" s="39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55"/>
      <c r="BP412" s="40"/>
      <c r="BQ412" s="39"/>
      <c r="BR412" s="59"/>
      <c r="BS412" s="39"/>
      <c r="BT412" s="57"/>
      <c r="BU412" s="60"/>
      <c r="BV412" s="8"/>
      <c r="BW412" s="58"/>
    </row>
    <row r="413" spans="41:75" x14ac:dyDescent="0.35">
      <c r="AO413" s="39">
        <v>411</v>
      </c>
      <c r="AP413" s="60"/>
      <c r="AQ413" s="41"/>
      <c r="AR413" s="42" t="str">
        <f>IFERROR(VLOOKUP(AU413,[1]SUMMARY!$A$3:$B$7,2,FALSE),"")</f>
        <v/>
      </c>
      <c r="AS413" s="42"/>
      <c r="AT413" s="31" t="e">
        <f>VLOOKUP(AS413,[1]OUTLET!$B:$C,2,0)</f>
        <v>#N/A</v>
      </c>
      <c r="AU413" s="42"/>
      <c r="AV413" s="39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55"/>
      <c r="BP413" s="40"/>
      <c r="BQ413" s="39"/>
      <c r="BR413" s="59"/>
      <c r="BS413" s="39"/>
      <c r="BT413" s="57"/>
      <c r="BU413" s="60"/>
      <c r="BV413" s="8"/>
      <c r="BW413" s="58"/>
    </row>
    <row r="414" spans="41:75" x14ac:dyDescent="0.35">
      <c r="AO414" s="39">
        <v>412</v>
      </c>
      <c r="AP414" s="60"/>
      <c r="AQ414" s="41"/>
      <c r="AR414" s="42" t="str">
        <f>IFERROR(VLOOKUP(AU414,[1]SUMMARY!$A$3:$B$7,2,FALSE),"")</f>
        <v/>
      </c>
      <c r="AS414" s="42"/>
      <c r="AT414" s="31" t="e">
        <f>VLOOKUP(AS414,[1]OUTLET!$B:$C,2,0)</f>
        <v>#N/A</v>
      </c>
      <c r="AU414" s="42"/>
      <c r="AV414" s="39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55"/>
      <c r="BP414" s="40"/>
      <c r="BQ414" s="39"/>
      <c r="BR414" s="59"/>
      <c r="BS414" s="39"/>
      <c r="BT414" s="57"/>
      <c r="BU414" s="60"/>
      <c r="BV414" s="8"/>
      <c r="BW414" s="58"/>
    </row>
    <row r="415" spans="41:75" x14ac:dyDescent="0.35">
      <c r="AO415" s="39">
        <v>413</v>
      </c>
      <c r="AP415" s="60"/>
      <c r="AQ415" s="41"/>
      <c r="AR415" s="42" t="str">
        <f>IFERROR(VLOOKUP(AU415,[1]SUMMARY!$A$3:$B$7,2,FALSE),"")</f>
        <v/>
      </c>
      <c r="AS415" s="42"/>
      <c r="AT415" s="31" t="e">
        <f>VLOOKUP(AS415,[1]OUTLET!$B:$C,2,0)</f>
        <v>#N/A</v>
      </c>
      <c r="AU415" s="42"/>
      <c r="AV415" s="39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55"/>
      <c r="BP415" s="40"/>
      <c r="BQ415" s="39"/>
      <c r="BR415" s="59"/>
      <c r="BS415" s="39"/>
      <c r="BT415" s="57"/>
      <c r="BU415" s="60"/>
      <c r="BV415" s="8"/>
      <c r="BW415" s="58"/>
    </row>
    <row r="416" spans="41:75" x14ac:dyDescent="0.35">
      <c r="AO416" s="39">
        <v>414</v>
      </c>
      <c r="AP416" s="60"/>
      <c r="AQ416" s="41"/>
      <c r="AR416" s="42" t="str">
        <f>IFERROR(VLOOKUP(AU416,[1]SUMMARY!$A$3:$B$7,2,FALSE),"")</f>
        <v/>
      </c>
      <c r="AS416" s="42"/>
      <c r="AT416" s="31" t="e">
        <f>VLOOKUP(AS416,[1]OUTLET!$B:$C,2,0)</f>
        <v>#N/A</v>
      </c>
      <c r="AU416" s="42"/>
      <c r="AV416" s="39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55"/>
      <c r="BP416" s="40"/>
      <c r="BQ416" s="39"/>
      <c r="BR416" s="59"/>
      <c r="BS416" s="39"/>
      <c r="BT416" s="57"/>
      <c r="BU416" s="60"/>
      <c r="BV416" s="8"/>
      <c r="BW416" s="58"/>
    </row>
    <row r="417" spans="41:75" x14ac:dyDescent="0.35">
      <c r="AO417" s="39">
        <v>415</v>
      </c>
      <c r="AP417" s="60"/>
      <c r="AQ417" s="41"/>
      <c r="AR417" s="42" t="str">
        <f>IFERROR(VLOOKUP(AU417,[1]SUMMARY!$A$3:$B$7,2,FALSE),"")</f>
        <v/>
      </c>
      <c r="AS417" s="42"/>
      <c r="AT417" s="31" t="e">
        <f>VLOOKUP(AS417,[1]OUTLET!$B:$C,2,0)</f>
        <v>#N/A</v>
      </c>
      <c r="AU417" s="42"/>
      <c r="AV417" s="39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55"/>
      <c r="BP417" s="40"/>
      <c r="BQ417" s="39"/>
      <c r="BR417" s="59"/>
      <c r="BS417" s="39"/>
      <c r="BT417" s="57"/>
      <c r="BU417" s="60"/>
      <c r="BV417" s="8"/>
      <c r="BW417" s="58"/>
    </row>
    <row r="418" spans="41:75" x14ac:dyDescent="0.35">
      <c r="AO418" s="39">
        <v>416</v>
      </c>
      <c r="AP418" s="60"/>
      <c r="AQ418" s="41"/>
      <c r="AR418" s="42" t="str">
        <f>IFERROR(VLOOKUP(AU418,[1]SUMMARY!$A$3:$B$7,2,FALSE),"")</f>
        <v/>
      </c>
      <c r="AS418" s="42"/>
      <c r="AT418" s="31" t="e">
        <f>VLOOKUP(AS418,[1]OUTLET!$B:$C,2,0)</f>
        <v>#N/A</v>
      </c>
      <c r="AU418" s="42"/>
      <c r="AV418" s="39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55"/>
      <c r="BP418" s="40"/>
      <c r="BQ418" s="39"/>
      <c r="BR418" s="59"/>
      <c r="BS418" s="39"/>
      <c r="BT418" s="57"/>
      <c r="BU418" s="60"/>
      <c r="BV418" s="8"/>
      <c r="BW418" s="58"/>
    </row>
    <row r="419" spans="41:75" x14ac:dyDescent="0.35">
      <c r="AO419" s="39">
        <v>417</v>
      </c>
      <c r="AP419" s="60"/>
      <c r="AQ419" s="41"/>
      <c r="AR419" s="42" t="str">
        <f>IFERROR(VLOOKUP(AU419,[1]SUMMARY!$A$3:$B$7,2,FALSE),"")</f>
        <v/>
      </c>
      <c r="AS419" s="42"/>
      <c r="AT419" s="31" t="e">
        <f>VLOOKUP(AS419,[1]OUTLET!$B:$C,2,0)</f>
        <v>#N/A</v>
      </c>
      <c r="AU419" s="42"/>
      <c r="AV419" s="39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55"/>
      <c r="BP419" s="40"/>
      <c r="BQ419" s="39"/>
      <c r="BR419" s="59"/>
      <c r="BS419" s="39"/>
      <c r="BT419" s="57"/>
      <c r="BU419" s="60"/>
      <c r="BV419" s="8"/>
      <c r="BW419" s="58"/>
    </row>
    <row r="420" spans="41:75" x14ac:dyDescent="0.35">
      <c r="AO420" s="39">
        <v>418</v>
      </c>
      <c r="AP420" s="60"/>
      <c r="AQ420" s="41"/>
      <c r="AR420" s="42" t="str">
        <f>IFERROR(VLOOKUP(AU420,[1]SUMMARY!$A$3:$B$7,2,FALSE),"")</f>
        <v/>
      </c>
      <c r="AS420" s="42"/>
      <c r="AT420" s="31" t="e">
        <f>VLOOKUP(AS420,[1]OUTLET!$B:$C,2,0)</f>
        <v>#N/A</v>
      </c>
      <c r="AU420" s="42"/>
      <c r="AV420" s="39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55"/>
      <c r="BP420" s="40"/>
      <c r="BQ420" s="39"/>
      <c r="BR420" s="59"/>
      <c r="BS420" s="39"/>
      <c r="BT420" s="57"/>
      <c r="BU420" s="60"/>
      <c r="BV420" s="8"/>
      <c r="BW420" s="58"/>
    </row>
    <row r="421" spans="41:75" x14ac:dyDescent="0.35">
      <c r="AO421" s="39">
        <v>419</v>
      </c>
      <c r="AP421" s="60"/>
      <c r="AQ421" s="41"/>
      <c r="AR421" s="42" t="str">
        <f>IFERROR(VLOOKUP(AU421,[1]SUMMARY!$A$3:$B$7,2,FALSE),"")</f>
        <v/>
      </c>
      <c r="AS421" s="42"/>
      <c r="AT421" s="31" t="e">
        <f>VLOOKUP(AS421,[1]OUTLET!$B:$C,2,0)</f>
        <v>#N/A</v>
      </c>
      <c r="AU421" s="42"/>
      <c r="AV421" s="39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55"/>
      <c r="BP421" s="40"/>
      <c r="BQ421" s="39"/>
      <c r="BR421" s="59"/>
      <c r="BS421" s="39"/>
      <c r="BT421" s="57"/>
      <c r="BU421" s="60"/>
      <c r="BV421" s="8"/>
      <c r="BW421" s="58"/>
    </row>
    <row r="422" spans="41:75" x14ac:dyDescent="0.35">
      <c r="AO422" s="39">
        <v>420</v>
      </c>
      <c r="AP422" s="60"/>
      <c r="AQ422" s="41"/>
      <c r="AR422" s="42" t="str">
        <f>IFERROR(VLOOKUP(AU422,[1]SUMMARY!$A$3:$B$7,2,FALSE),"")</f>
        <v/>
      </c>
      <c r="AS422" s="42"/>
      <c r="AT422" s="31" t="e">
        <f>VLOOKUP(AS422,[1]OUTLET!$B:$C,2,0)</f>
        <v>#N/A</v>
      </c>
      <c r="AU422" s="42"/>
      <c r="AV422" s="39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55"/>
      <c r="BP422" s="40"/>
      <c r="BQ422" s="39"/>
      <c r="BR422" s="59"/>
      <c r="BS422" s="39"/>
      <c r="BT422" s="57"/>
      <c r="BU422" s="60"/>
      <c r="BV422" s="8"/>
      <c r="BW422" s="58"/>
    </row>
    <row r="423" spans="41:75" x14ac:dyDescent="0.35">
      <c r="AO423" s="39">
        <v>421</v>
      </c>
      <c r="AP423" s="60"/>
      <c r="AQ423" s="41"/>
      <c r="AR423" s="42" t="str">
        <f>IFERROR(VLOOKUP(AU423,[1]SUMMARY!$A$3:$B$7,2,FALSE),"")</f>
        <v/>
      </c>
      <c r="AS423" s="42"/>
      <c r="AT423" s="31" t="e">
        <f>VLOOKUP(AS423,[1]OUTLET!$B:$C,2,0)</f>
        <v>#N/A</v>
      </c>
      <c r="AU423" s="42"/>
      <c r="AV423" s="39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55"/>
      <c r="BP423" s="40"/>
      <c r="BQ423" s="39"/>
      <c r="BR423" s="59"/>
      <c r="BS423" s="39"/>
      <c r="BT423" s="57"/>
      <c r="BU423" s="60"/>
      <c r="BV423" s="8"/>
      <c r="BW423" s="58"/>
    </row>
    <row r="424" spans="41:75" x14ac:dyDescent="0.35">
      <c r="AO424" s="39">
        <v>422</v>
      </c>
      <c r="AP424" s="60"/>
      <c r="AQ424" s="41"/>
      <c r="AR424" s="42" t="str">
        <f>IFERROR(VLOOKUP(AU424,[1]SUMMARY!$A$3:$B$7,2,FALSE),"")</f>
        <v/>
      </c>
      <c r="AS424" s="42"/>
      <c r="AT424" s="31" t="e">
        <f>VLOOKUP(AS424,[1]OUTLET!$B:$C,2,0)</f>
        <v>#N/A</v>
      </c>
      <c r="AU424" s="42"/>
      <c r="AV424" s="39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55"/>
      <c r="BP424" s="40"/>
      <c r="BQ424" s="39"/>
      <c r="BR424" s="59"/>
      <c r="BS424" s="39"/>
      <c r="BT424" s="57"/>
      <c r="BU424" s="60"/>
      <c r="BV424" s="8"/>
      <c r="BW424" s="58"/>
    </row>
    <row r="425" spans="41:75" x14ac:dyDescent="0.35">
      <c r="AO425" s="39">
        <v>423</v>
      </c>
      <c r="AP425" s="60"/>
      <c r="AQ425" s="41"/>
      <c r="AR425" s="42" t="str">
        <f>IFERROR(VLOOKUP(AU425,[1]SUMMARY!$A$3:$B$7,2,FALSE),"")</f>
        <v/>
      </c>
      <c r="AS425" s="42"/>
      <c r="AT425" s="31" t="e">
        <f>VLOOKUP(AS425,[1]OUTLET!$B:$C,2,0)</f>
        <v>#N/A</v>
      </c>
      <c r="AU425" s="42"/>
      <c r="AV425" s="39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55"/>
      <c r="BP425" s="40"/>
      <c r="BQ425" s="39"/>
      <c r="BR425" s="59"/>
      <c r="BS425" s="39"/>
      <c r="BT425" s="57"/>
      <c r="BU425" s="60"/>
      <c r="BV425" s="8"/>
      <c r="BW425" s="58"/>
    </row>
    <row r="426" spans="41:75" x14ac:dyDescent="0.35">
      <c r="AO426" s="39">
        <v>424</v>
      </c>
      <c r="AP426" s="60"/>
      <c r="AQ426" s="41"/>
      <c r="AR426" s="42" t="str">
        <f>IFERROR(VLOOKUP(AU426,[1]SUMMARY!$A$3:$B$7,2,FALSE),"")</f>
        <v/>
      </c>
      <c r="AS426" s="42"/>
      <c r="AT426" s="31" t="e">
        <f>VLOOKUP(AS426,[1]OUTLET!$B:$C,2,0)</f>
        <v>#N/A</v>
      </c>
      <c r="AU426" s="42"/>
      <c r="AV426" s="39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55"/>
      <c r="BP426" s="40"/>
      <c r="BQ426" s="39"/>
      <c r="BR426" s="59"/>
      <c r="BS426" s="39"/>
      <c r="BT426" s="57"/>
      <c r="BU426" s="60"/>
      <c r="BV426" s="8"/>
      <c r="BW426" s="58"/>
    </row>
    <row r="427" spans="41:75" x14ac:dyDescent="0.35">
      <c r="AO427" s="39">
        <v>425</v>
      </c>
      <c r="AP427" s="60"/>
      <c r="AQ427" s="41"/>
      <c r="AR427" s="42" t="str">
        <f>IFERROR(VLOOKUP(AU427,[1]SUMMARY!$A$3:$B$7,2,FALSE),"")</f>
        <v/>
      </c>
      <c r="AS427" s="42"/>
      <c r="AT427" s="31" t="e">
        <f>VLOOKUP(AS427,[1]OUTLET!$B:$C,2,0)</f>
        <v>#N/A</v>
      </c>
      <c r="AU427" s="42"/>
      <c r="AV427" s="39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55"/>
      <c r="BP427" s="40"/>
      <c r="BQ427" s="39"/>
      <c r="BR427" s="59"/>
      <c r="BS427" s="39"/>
      <c r="BT427" s="57"/>
      <c r="BU427" s="60"/>
      <c r="BV427" s="8"/>
      <c r="BW427" s="58"/>
    </row>
    <row r="428" spans="41:75" x14ac:dyDescent="0.35">
      <c r="AO428" s="39">
        <v>426</v>
      </c>
      <c r="AP428" s="60"/>
      <c r="AQ428" s="41"/>
      <c r="AR428" s="42" t="str">
        <f>IFERROR(VLOOKUP(AU428,[1]SUMMARY!$A$3:$B$7,2,FALSE),"")</f>
        <v/>
      </c>
      <c r="AS428" s="42"/>
      <c r="AT428" s="31" t="e">
        <f>VLOOKUP(AS428,[1]OUTLET!$B:$C,2,0)</f>
        <v>#N/A</v>
      </c>
      <c r="AU428" s="42"/>
      <c r="AV428" s="39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55"/>
      <c r="BP428" s="40"/>
      <c r="BQ428" s="39"/>
      <c r="BR428" s="59"/>
      <c r="BS428" s="39"/>
      <c r="BT428" s="57"/>
      <c r="BU428" s="60"/>
      <c r="BV428" s="8"/>
      <c r="BW428" s="58"/>
    </row>
    <row r="429" spans="41:75" x14ac:dyDescent="0.35">
      <c r="AO429" s="39">
        <v>427</v>
      </c>
      <c r="AP429" s="60"/>
      <c r="AQ429" s="41"/>
      <c r="AR429" s="42" t="str">
        <f>IFERROR(VLOOKUP(AU429,[1]SUMMARY!$A$3:$B$7,2,FALSE),"")</f>
        <v/>
      </c>
      <c r="AS429" s="42"/>
      <c r="AT429" s="31" t="e">
        <f>VLOOKUP(AS429,[1]OUTLET!$B:$C,2,0)</f>
        <v>#N/A</v>
      </c>
      <c r="AU429" s="42"/>
      <c r="AV429" s="39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55"/>
      <c r="BP429" s="40"/>
      <c r="BQ429" s="39"/>
      <c r="BR429" s="59"/>
      <c r="BS429" s="39"/>
      <c r="BT429" s="57"/>
      <c r="BU429" s="60"/>
      <c r="BV429" s="8"/>
      <c r="BW429" s="58"/>
    </row>
    <row r="430" spans="41:75" x14ac:dyDescent="0.35">
      <c r="AO430" s="39">
        <v>428</v>
      </c>
      <c r="AP430" s="60"/>
      <c r="AQ430" s="41"/>
      <c r="AR430" s="42" t="str">
        <f>IFERROR(VLOOKUP(AU430,[1]SUMMARY!$A$3:$B$7,2,FALSE),"")</f>
        <v/>
      </c>
      <c r="AS430" s="42"/>
      <c r="AT430" s="31" t="e">
        <f>VLOOKUP(AS430,[1]OUTLET!$B:$C,2,0)</f>
        <v>#N/A</v>
      </c>
      <c r="AU430" s="42"/>
      <c r="AV430" s="39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55"/>
      <c r="BP430" s="40"/>
      <c r="BQ430" s="39"/>
      <c r="BR430" s="59"/>
      <c r="BS430" s="39"/>
      <c r="BT430" s="57"/>
      <c r="BU430" s="60"/>
      <c r="BV430" s="8"/>
      <c r="BW430" s="58"/>
    </row>
    <row r="431" spans="41:75" x14ac:dyDescent="0.35">
      <c r="AO431" s="39">
        <v>429</v>
      </c>
      <c r="AP431" s="60"/>
      <c r="AQ431" s="41"/>
      <c r="AR431" s="42" t="str">
        <f>IFERROR(VLOOKUP(AU431,[1]SUMMARY!$A$3:$B$7,2,FALSE),"")</f>
        <v/>
      </c>
      <c r="AS431" s="42"/>
      <c r="AT431" s="31" t="e">
        <f>VLOOKUP(AS431,[1]OUTLET!$B:$C,2,0)</f>
        <v>#N/A</v>
      </c>
      <c r="AU431" s="42"/>
      <c r="AV431" s="39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55"/>
      <c r="BP431" s="40"/>
      <c r="BQ431" s="39"/>
      <c r="BR431" s="59"/>
      <c r="BS431" s="39"/>
      <c r="BT431" s="57"/>
      <c r="BU431" s="60"/>
      <c r="BV431" s="8"/>
      <c r="BW431" s="58"/>
    </row>
    <row r="432" spans="41:75" x14ac:dyDescent="0.35">
      <c r="AO432" s="39">
        <v>430</v>
      </c>
      <c r="AP432" s="60"/>
      <c r="AQ432" s="41"/>
      <c r="AR432" s="42" t="str">
        <f>IFERROR(VLOOKUP(AU432,[1]SUMMARY!$A$3:$B$7,2,FALSE),"")</f>
        <v/>
      </c>
      <c r="AS432" s="42"/>
      <c r="AT432" s="31" t="e">
        <f>VLOOKUP(AS432,[1]OUTLET!$B:$C,2,0)</f>
        <v>#N/A</v>
      </c>
      <c r="AU432" s="42"/>
      <c r="AV432" s="39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55"/>
      <c r="BP432" s="40"/>
      <c r="BQ432" s="39"/>
      <c r="BR432" s="59"/>
      <c r="BS432" s="39"/>
      <c r="BT432" s="57"/>
      <c r="BU432" s="60"/>
      <c r="BV432" s="8"/>
      <c r="BW432" s="58"/>
    </row>
    <row r="433" spans="41:75" x14ac:dyDescent="0.35">
      <c r="AO433" s="39">
        <v>431</v>
      </c>
      <c r="AP433" s="60"/>
      <c r="AQ433" s="41"/>
      <c r="AR433" s="42" t="str">
        <f>IFERROR(VLOOKUP(AU433,[1]SUMMARY!$A$3:$B$7,2,FALSE),"")</f>
        <v/>
      </c>
      <c r="AS433" s="42"/>
      <c r="AT433" s="31" t="e">
        <f>VLOOKUP(AS433,[1]OUTLET!$B:$C,2,0)</f>
        <v>#N/A</v>
      </c>
      <c r="AU433" s="42"/>
      <c r="AV433" s="39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55"/>
      <c r="BP433" s="40"/>
      <c r="BQ433" s="39"/>
      <c r="BR433" s="59"/>
      <c r="BS433" s="39"/>
      <c r="BT433" s="57"/>
      <c r="BU433" s="60"/>
      <c r="BV433" s="8"/>
      <c r="BW433" s="58"/>
    </row>
    <row r="434" spans="41:75" x14ac:dyDescent="0.35">
      <c r="AO434" s="39">
        <v>432</v>
      </c>
      <c r="AP434" s="60"/>
      <c r="AQ434" s="41"/>
      <c r="AR434" s="42" t="str">
        <f>IFERROR(VLOOKUP(AU434,[1]SUMMARY!$A$3:$B$7,2,FALSE),"")</f>
        <v/>
      </c>
      <c r="AS434" s="42"/>
      <c r="AT434" s="31" t="e">
        <f>VLOOKUP(AS434,[1]OUTLET!$B:$C,2,0)</f>
        <v>#N/A</v>
      </c>
      <c r="AU434" s="42"/>
      <c r="AV434" s="39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55"/>
      <c r="BP434" s="40"/>
      <c r="BQ434" s="39"/>
      <c r="BR434" s="59"/>
      <c r="BS434" s="39"/>
      <c r="BT434" s="57"/>
      <c r="BU434" s="60"/>
      <c r="BV434" s="8"/>
      <c r="BW434" s="58"/>
    </row>
    <row r="435" spans="41:75" x14ac:dyDescent="0.35">
      <c r="AO435" s="39">
        <v>433</v>
      </c>
      <c r="AP435" s="60"/>
      <c r="AQ435" s="41"/>
      <c r="AR435" s="42" t="str">
        <f>IFERROR(VLOOKUP(AU435,[1]SUMMARY!$A$3:$B$7,2,FALSE),"")</f>
        <v/>
      </c>
      <c r="AS435" s="42"/>
      <c r="AT435" s="31" t="e">
        <f>VLOOKUP(AS435,[1]OUTLET!$B:$C,2,0)</f>
        <v>#N/A</v>
      </c>
      <c r="AU435" s="42"/>
      <c r="AV435" s="39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55"/>
      <c r="BP435" s="40"/>
      <c r="BQ435" s="39"/>
      <c r="BR435" s="59"/>
      <c r="BS435" s="39"/>
      <c r="BT435" s="57"/>
      <c r="BU435" s="60"/>
      <c r="BV435" s="8"/>
      <c r="BW435" s="58"/>
    </row>
    <row r="436" spans="41:75" x14ac:dyDescent="0.35">
      <c r="AO436" s="39">
        <v>434</v>
      </c>
      <c r="AP436" s="60"/>
      <c r="AQ436" s="41"/>
      <c r="AR436" s="42" t="str">
        <f>IFERROR(VLOOKUP(AU436,[1]SUMMARY!$A$3:$B$7,2,FALSE),"")</f>
        <v/>
      </c>
      <c r="AS436" s="42"/>
      <c r="AT436" s="31" t="e">
        <f>VLOOKUP(AS436,[1]OUTLET!$B:$C,2,0)</f>
        <v>#N/A</v>
      </c>
      <c r="AU436" s="42"/>
      <c r="AV436" s="39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55"/>
      <c r="BP436" s="40"/>
      <c r="BQ436" s="39"/>
      <c r="BR436" s="59"/>
      <c r="BS436" s="39"/>
      <c r="BT436" s="57"/>
      <c r="BU436" s="60"/>
      <c r="BV436" s="8"/>
      <c r="BW436" s="58"/>
    </row>
    <row r="437" spans="41:75" x14ac:dyDescent="0.35">
      <c r="AO437" s="39">
        <v>435</v>
      </c>
      <c r="AP437" s="60"/>
      <c r="AQ437" s="41"/>
      <c r="AR437" s="42" t="str">
        <f>IFERROR(VLOOKUP(AU437,[1]SUMMARY!$A$3:$B$7,2,FALSE),"")</f>
        <v/>
      </c>
      <c r="AS437" s="42"/>
      <c r="AT437" s="31" t="e">
        <f>VLOOKUP(AS437,[1]OUTLET!$B:$C,2,0)</f>
        <v>#N/A</v>
      </c>
      <c r="AU437" s="42"/>
      <c r="AV437" s="39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55"/>
      <c r="BP437" s="40"/>
      <c r="BQ437" s="39"/>
      <c r="BR437" s="59"/>
      <c r="BS437" s="39"/>
      <c r="BT437" s="57"/>
      <c r="BU437" s="60"/>
      <c r="BV437" s="8"/>
      <c r="BW437" s="58"/>
    </row>
    <row r="438" spans="41:75" x14ac:dyDescent="0.35">
      <c r="AO438" s="39">
        <v>436</v>
      </c>
      <c r="AP438" s="60"/>
      <c r="AQ438" s="41"/>
      <c r="AR438" s="42" t="str">
        <f>IFERROR(VLOOKUP(AU438,[1]SUMMARY!$A$3:$B$7,2,FALSE),"")</f>
        <v/>
      </c>
      <c r="AS438" s="42"/>
      <c r="AT438" s="31" t="e">
        <f>VLOOKUP(AS438,[1]OUTLET!$B:$C,2,0)</f>
        <v>#N/A</v>
      </c>
      <c r="AU438" s="42"/>
      <c r="AV438" s="39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55"/>
      <c r="BP438" s="40"/>
      <c r="BQ438" s="39"/>
      <c r="BR438" s="59"/>
      <c r="BS438" s="39"/>
      <c r="BT438" s="57"/>
      <c r="BU438" s="60"/>
      <c r="BV438" s="8"/>
      <c r="BW438" s="58"/>
    </row>
    <row r="439" spans="41:75" x14ac:dyDescent="0.35">
      <c r="AO439" s="39">
        <v>437</v>
      </c>
      <c r="AP439" s="60"/>
      <c r="AQ439" s="41"/>
      <c r="AR439" s="42" t="str">
        <f>IFERROR(VLOOKUP(AU439,[1]SUMMARY!$A$3:$B$7,2,FALSE),"")</f>
        <v/>
      </c>
      <c r="AS439" s="42"/>
      <c r="AT439" s="31" t="e">
        <f>VLOOKUP(AS439,[1]OUTLET!$B:$C,2,0)</f>
        <v>#N/A</v>
      </c>
      <c r="AU439" s="42"/>
      <c r="AV439" s="39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55"/>
      <c r="BP439" s="40"/>
      <c r="BQ439" s="39"/>
      <c r="BR439" s="59"/>
      <c r="BS439" s="39"/>
      <c r="BT439" s="57"/>
      <c r="BU439" s="60"/>
      <c r="BV439" s="8"/>
      <c r="BW439" s="58"/>
    </row>
    <row r="440" spans="41:75" x14ac:dyDescent="0.35">
      <c r="AO440" s="39">
        <v>438</v>
      </c>
      <c r="AP440" s="60"/>
      <c r="AQ440" s="41"/>
      <c r="AR440" s="42" t="str">
        <f>IFERROR(VLOOKUP(AU440,[1]SUMMARY!$A$3:$B$7,2,FALSE),"")</f>
        <v/>
      </c>
      <c r="AS440" s="42"/>
      <c r="AT440" s="31" t="e">
        <f>VLOOKUP(AS440,[1]OUTLET!$B:$C,2,0)</f>
        <v>#N/A</v>
      </c>
      <c r="AU440" s="42"/>
      <c r="AV440" s="39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55"/>
      <c r="BP440" s="40"/>
      <c r="BQ440" s="39"/>
      <c r="BR440" s="59"/>
      <c r="BS440" s="39"/>
      <c r="BT440" s="57"/>
      <c r="BU440" s="60"/>
      <c r="BV440" s="8"/>
      <c r="BW440" s="58"/>
    </row>
    <row r="441" spans="41:75" x14ac:dyDescent="0.35">
      <c r="AO441" s="39">
        <v>439</v>
      </c>
      <c r="AP441" s="60"/>
      <c r="AQ441" s="41"/>
      <c r="AR441" s="42" t="str">
        <f>IFERROR(VLOOKUP(AU441,[1]SUMMARY!$A$3:$B$7,2,FALSE),"")</f>
        <v/>
      </c>
      <c r="AS441" s="42"/>
      <c r="AT441" s="31" t="e">
        <f>VLOOKUP(AS441,[1]OUTLET!$B:$C,2,0)</f>
        <v>#N/A</v>
      </c>
      <c r="AU441" s="42"/>
      <c r="AV441" s="39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55"/>
      <c r="BP441" s="40"/>
      <c r="BQ441" s="39"/>
      <c r="BR441" s="59"/>
      <c r="BS441" s="39"/>
      <c r="BT441" s="57"/>
      <c r="BU441" s="60"/>
      <c r="BV441" s="8"/>
      <c r="BW441" s="58"/>
    </row>
    <row r="442" spans="41:75" x14ac:dyDescent="0.35">
      <c r="AO442" s="39">
        <v>440</v>
      </c>
      <c r="AP442" s="60"/>
      <c r="AQ442" s="41"/>
      <c r="AR442" s="42" t="str">
        <f>IFERROR(VLOOKUP(AU442,[1]SUMMARY!$A$3:$B$7,2,FALSE),"")</f>
        <v/>
      </c>
      <c r="AS442" s="42"/>
      <c r="AT442" s="31" t="e">
        <f>VLOOKUP(AS442,[1]OUTLET!$B:$C,2,0)</f>
        <v>#N/A</v>
      </c>
      <c r="AU442" s="42"/>
      <c r="AV442" s="39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55"/>
      <c r="BP442" s="40"/>
      <c r="BQ442" s="39"/>
      <c r="BR442" s="59"/>
      <c r="BS442" s="39"/>
      <c r="BT442" s="57"/>
      <c r="BU442" s="60"/>
      <c r="BV442" s="8"/>
      <c r="BW442" s="58"/>
    </row>
    <row r="443" spans="41:75" x14ac:dyDescent="0.35">
      <c r="AO443" s="39">
        <v>441</v>
      </c>
      <c r="AP443" s="60"/>
      <c r="AQ443" s="41"/>
      <c r="AR443" s="42" t="str">
        <f>IFERROR(VLOOKUP(AU443,[1]SUMMARY!$A$3:$B$7,2,FALSE),"")</f>
        <v/>
      </c>
      <c r="AS443" s="42"/>
      <c r="AT443" s="31" t="e">
        <f>VLOOKUP(AS443,[1]OUTLET!$B:$C,2,0)</f>
        <v>#N/A</v>
      </c>
      <c r="AU443" s="42"/>
      <c r="AV443" s="39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55"/>
      <c r="BP443" s="40"/>
      <c r="BQ443" s="39"/>
      <c r="BR443" s="59"/>
      <c r="BS443" s="39"/>
      <c r="BT443" s="57"/>
      <c r="BU443" s="60"/>
      <c r="BV443" s="8"/>
      <c r="BW443" s="58"/>
    </row>
    <row r="444" spans="41:75" x14ac:dyDescent="0.35">
      <c r="AO444" s="39">
        <v>442</v>
      </c>
      <c r="AP444" s="60"/>
      <c r="AQ444" s="41"/>
      <c r="AR444" s="42" t="str">
        <f>IFERROR(VLOOKUP(AU444,[1]SUMMARY!$A$3:$B$7,2,FALSE),"")</f>
        <v/>
      </c>
      <c r="AS444" s="42"/>
      <c r="AT444" s="31" t="e">
        <f>VLOOKUP(AS444,[1]OUTLET!$B:$C,2,0)</f>
        <v>#N/A</v>
      </c>
      <c r="AU444" s="42"/>
      <c r="AV444" s="39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55"/>
      <c r="BP444" s="40"/>
      <c r="BQ444" s="39"/>
      <c r="BR444" s="59"/>
      <c r="BS444" s="39"/>
      <c r="BT444" s="57"/>
      <c r="BU444" s="60"/>
      <c r="BV444" s="8"/>
      <c r="BW444" s="58"/>
    </row>
    <row r="445" spans="41:75" x14ac:dyDescent="0.35">
      <c r="AO445" s="39">
        <v>443</v>
      </c>
      <c r="AP445" s="60"/>
      <c r="AQ445" s="41"/>
      <c r="AR445" s="42" t="str">
        <f>IFERROR(VLOOKUP(AU445,[1]SUMMARY!$A$3:$B$7,2,FALSE),"")</f>
        <v/>
      </c>
      <c r="AS445" s="42"/>
      <c r="AT445" s="31" t="e">
        <f>VLOOKUP(AS445,[1]OUTLET!$B:$C,2,0)</f>
        <v>#N/A</v>
      </c>
      <c r="AU445" s="42"/>
      <c r="AV445" s="39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55"/>
      <c r="BP445" s="40"/>
      <c r="BQ445" s="39"/>
      <c r="BR445" s="59"/>
      <c r="BS445" s="39"/>
      <c r="BT445" s="57"/>
      <c r="BU445" s="60"/>
      <c r="BV445" s="8"/>
      <c r="BW445" s="58"/>
    </row>
    <row r="446" spans="41:75" x14ac:dyDescent="0.35">
      <c r="AO446" s="39">
        <v>444</v>
      </c>
      <c r="AP446" s="60"/>
      <c r="AQ446" s="41"/>
      <c r="AR446" s="42" t="str">
        <f>IFERROR(VLOOKUP(AU446,[1]SUMMARY!$A$3:$B$7,2,FALSE),"")</f>
        <v/>
      </c>
      <c r="AS446" s="42"/>
      <c r="AT446" s="31" t="e">
        <f>VLOOKUP(AS446,[1]OUTLET!$B:$C,2,0)</f>
        <v>#N/A</v>
      </c>
      <c r="AU446" s="42"/>
      <c r="AV446" s="39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55"/>
      <c r="BP446" s="40"/>
      <c r="BQ446" s="39"/>
      <c r="BR446" s="59"/>
      <c r="BS446" s="39"/>
      <c r="BT446" s="57"/>
      <c r="BU446" s="60"/>
      <c r="BV446" s="8"/>
      <c r="BW446" s="58"/>
    </row>
    <row r="447" spans="41:75" x14ac:dyDescent="0.35">
      <c r="AO447" s="39">
        <v>445</v>
      </c>
      <c r="AP447" s="60"/>
      <c r="AQ447" s="41"/>
      <c r="AR447" s="42" t="str">
        <f>IFERROR(VLOOKUP(AU447,[1]SUMMARY!$A$3:$B$7,2,FALSE),"")</f>
        <v/>
      </c>
      <c r="AS447" s="42"/>
      <c r="AT447" s="31" t="e">
        <f>VLOOKUP(AS447,[1]OUTLET!$B:$C,2,0)</f>
        <v>#N/A</v>
      </c>
      <c r="AU447" s="42"/>
      <c r="AV447" s="39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55"/>
      <c r="BP447" s="40"/>
      <c r="BQ447" s="39"/>
      <c r="BR447" s="59"/>
      <c r="BS447" s="39"/>
      <c r="BT447" s="57"/>
      <c r="BU447" s="60"/>
      <c r="BV447" s="8"/>
      <c r="BW447" s="58"/>
    </row>
    <row r="448" spans="41:75" x14ac:dyDescent="0.35">
      <c r="AO448" s="39">
        <v>446</v>
      </c>
      <c r="AP448" s="60"/>
      <c r="AQ448" s="41"/>
      <c r="AR448" s="42" t="str">
        <f>IFERROR(VLOOKUP(AU448,[1]SUMMARY!$A$3:$B$7,2,FALSE),"")</f>
        <v/>
      </c>
      <c r="AS448" s="42"/>
      <c r="AT448" s="31" t="e">
        <f>VLOOKUP(AS448,[1]OUTLET!$B:$C,2,0)</f>
        <v>#N/A</v>
      </c>
      <c r="AU448" s="42"/>
      <c r="AV448" s="39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55"/>
      <c r="BP448" s="40"/>
      <c r="BQ448" s="39"/>
      <c r="BR448" s="59"/>
      <c r="BS448" s="39"/>
      <c r="BT448" s="57"/>
      <c r="BU448" s="60"/>
      <c r="BV448" s="8"/>
      <c r="BW448" s="58"/>
    </row>
    <row r="449" spans="41:75" x14ac:dyDescent="0.35">
      <c r="AO449" s="39">
        <v>447</v>
      </c>
      <c r="AP449" s="60"/>
      <c r="AQ449" s="41"/>
      <c r="AR449" s="42" t="str">
        <f>IFERROR(VLOOKUP(AU449,[1]SUMMARY!$A$3:$B$7,2,FALSE),"")</f>
        <v/>
      </c>
      <c r="AS449" s="42"/>
      <c r="AT449" s="31" t="e">
        <f>VLOOKUP(AS449,[1]OUTLET!$B:$C,2,0)</f>
        <v>#N/A</v>
      </c>
      <c r="AU449" s="42"/>
      <c r="AV449" s="39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55"/>
      <c r="BP449" s="40"/>
      <c r="BQ449" s="39"/>
      <c r="BR449" s="59"/>
      <c r="BS449" s="39"/>
      <c r="BT449" s="57"/>
      <c r="BU449" s="60"/>
      <c r="BV449" s="8"/>
      <c r="BW449" s="58"/>
    </row>
    <row r="450" spans="41:75" x14ac:dyDescent="0.35">
      <c r="AO450" s="39">
        <v>448</v>
      </c>
      <c r="AP450" s="60"/>
      <c r="AQ450" s="41"/>
      <c r="AR450" s="42" t="str">
        <f>IFERROR(VLOOKUP(AU450,[1]SUMMARY!$A$3:$B$7,2,FALSE),"")</f>
        <v/>
      </c>
      <c r="AS450" s="42"/>
      <c r="AT450" s="31" t="e">
        <f>VLOOKUP(AS450,[1]OUTLET!$B:$C,2,0)</f>
        <v>#N/A</v>
      </c>
      <c r="AU450" s="42"/>
      <c r="AV450" s="39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55"/>
      <c r="BP450" s="40"/>
      <c r="BQ450" s="39"/>
      <c r="BR450" s="59"/>
      <c r="BS450" s="39"/>
      <c r="BT450" s="57"/>
      <c r="BU450" s="60"/>
      <c r="BV450" s="8"/>
      <c r="BW450" s="58"/>
    </row>
    <row r="451" spans="41:75" x14ac:dyDescent="0.35">
      <c r="AO451" s="39">
        <v>449</v>
      </c>
      <c r="AP451" s="60"/>
      <c r="AQ451" s="41"/>
      <c r="AR451" s="42" t="str">
        <f>IFERROR(VLOOKUP(AU451,[1]SUMMARY!$A$3:$B$7,2,FALSE),"")</f>
        <v/>
      </c>
      <c r="AS451" s="42"/>
      <c r="AT451" s="31" t="e">
        <f>VLOOKUP(AS451,[1]OUTLET!$B:$C,2,0)</f>
        <v>#N/A</v>
      </c>
      <c r="AU451" s="42"/>
      <c r="AV451" s="39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55"/>
      <c r="BP451" s="40"/>
      <c r="BQ451" s="39"/>
      <c r="BR451" s="59"/>
      <c r="BS451" s="39"/>
      <c r="BT451" s="57"/>
      <c r="BU451" s="60"/>
      <c r="BV451" s="8"/>
      <c r="BW451" s="58"/>
    </row>
    <row r="452" spans="41:75" x14ac:dyDescent="0.35">
      <c r="AO452" s="39">
        <v>450</v>
      </c>
      <c r="AP452" s="60"/>
      <c r="AQ452" s="41"/>
      <c r="AR452" s="42" t="str">
        <f>IFERROR(VLOOKUP(AU452,[1]SUMMARY!$A$3:$B$7,2,FALSE),"")</f>
        <v/>
      </c>
      <c r="AS452" s="42"/>
      <c r="AT452" s="31" t="e">
        <f>VLOOKUP(AS452,[1]OUTLET!$B:$C,2,0)</f>
        <v>#N/A</v>
      </c>
      <c r="AU452" s="42"/>
      <c r="AV452" s="39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55"/>
      <c r="BP452" s="40"/>
      <c r="BQ452" s="39"/>
      <c r="BR452" s="59"/>
      <c r="BS452" s="39"/>
      <c r="BT452" s="57"/>
      <c r="BU452" s="60"/>
      <c r="BV452" s="8"/>
      <c r="BW452" s="58"/>
    </row>
    <row r="453" spans="41:75" x14ac:dyDescent="0.35">
      <c r="AO453" s="39">
        <v>451</v>
      </c>
      <c r="AP453" s="60"/>
      <c r="AQ453" s="41"/>
      <c r="AR453" s="42" t="str">
        <f>IFERROR(VLOOKUP(AU453,[1]SUMMARY!$A$3:$B$7,2,FALSE),"")</f>
        <v/>
      </c>
      <c r="AS453" s="42"/>
      <c r="AT453" s="31" t="e">
        <f>VLOOKUP(AS453,[1]OUTLET!$B:$C,2,0)</f>
        <v>#N/A</v>
      </c>
      <c r="AU453" s="42"/>
      <c r="AV453" s="39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55"/>
      <c r="BP453" s="40"/>
      <c r="BQ453" s="39"/>
      <c r="BR453" s="59"/>
      <c r="BS453" s="39"/>
      <c r="BT453" s="57"/>
      <c r="BU453" s="60"/>
      <c r="BV453" s="8"/>
      <c r="BW453" s="58"/>
    </row>
    <row r="454" spans="41:75" x14ac:dyDescent="0.35">
      <c r="AO454" s="39">
        <v>452</v>
      </c>
      <c r="AP454" s="60"/>
      <c r="AQ454" s="41"/>
      <c r="AR454" s="42" t="str">
        <f>IFERROR(VLOOKUP(AU454,[1]SUMMARY!$A$3:$B$7,2,FALSE),"")</f>
        <v/>
      </c>
      <c r="AS454" s="42"/>
      <c r="AT454" s="31" t="e">
        <f>VLOOKUP(AS454,[1]OUTLET!$B:$C,2,0)</f>
        <v>#N/A</v>
      </c>
      <c r="AU454" s="42"/>
      <c r="AV454" s="39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55"/>
      <c r="BP454" s="40"/>
      <c r="BQ454" s="39"/>
      <c r="BR454" s="59"/>
      <c r="BS454" s="39"/>
      <c r="BT454" s="57"/>
      <c r="BU454" s="60"/>
      <c r="BV454" s="8"/>
      <c r="BW454" s="58"/>
    </row>
    <row r="455" spans="41:75" x14ac:dyDescent="0.35">
      <c r="AO455" s="39">
        <v>453</v>
      </c>
      <c r="AP455" s="60"/>
      <c r="AQ455" s="41"/>
      <c r="AR455" s="42" t="str">
        <f>IFERROR(VLOOKUP(AU455,[1]SUMMARY!$A$3:$B$7,2,FALSE),"")</f>
        <v/>
      </c>
      <c r="AS455" s="42"/>
      <c r="AT455" s="31" t="e">
        <f>VLOOKUP(AS455,[1]OUTLET!$B:$C,2,0)</f>
        <v>#N/A</v>
      </c>
      <c r="AU455" s="42"/>
      <c r="AV455" s="39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55"/>
      <c r="BP455" s="40"/>
      <c r="BQ455" s="39"/>
      <c r="BR455" s="59"/>
      <c r="BS455" s="39"/>
      <c r="BT455" s="57"/>
      <c r="BU455" s="60"/>
      <c r="BV455" s="8"/>
      <c r="BW455" s="58"/>
    </row>
    <row r="456" spans="41:75" x14ac:dyDescent="0.35">
      <c r="AO456" s="39">
        <v>454</v>
      </c>
      <c r="AP456" s="60"/>
      <c r="AQ456" s="41"/>
      <c r="AR456" s="42" t="str">
        <f>IFERROR(VLOOKUP(AU456,[1]SUMMARY!$A$3:$B$7,2,FALSE),"")</f>
        <v/>
      </c>
      <c r="AS456" s="42"/>
      <c r="AT456" s="31" t="e">
        <f>VLOOKUP(AS456,[1]OUTLET!$B:$C,2,0)</f>
        <v>#N/A</v>
      </c>
      <c r="AU456" s="42"/>
      <c r="AV456" s="39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55"/>
      <c r="BP456" s="40"/>
      <c r="BQ456" s="39"/>
      <c r="BR456" s="59"/>
      <c r="BS456" s="39"/>
      <c r="BT456" s="57"/>
      <c r="BU456" s="60"/>
      <c r="BV456" s="8"/>
      <c r="BW456" s="58"/>
    </row>
    <row r="457" spans="41:75" x14ac:dyDescent="0.35">
      <c r="AO457" s="39">
        <v>455</v>
      </c>
      <c r="AP457" s="60"/>
      <c r="AQ457" s="41"/>
      <c r="AR457" s="42" t="str">
        <f>IFERROR(VLOOKUP(AU457,[1]SUMMARY!$A$3:$B$7,2,FALSE),"")</f>
        <v/>
      </c>
      <c r="AS457" s="42"/>
      <c r="AT457" s="31" t="e">
        <f>VLOOKUP(AS457,[1]OUTLET!$B:$C,2,0)</f>
        <v>#N/A</v>
      </c>
      <c r="AU457" s="42"/>
      <c r="AV457" s="39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55"/>
      <c r="BP457" s="40"/>
      <c r="BQ457" s="39"/>
      <c r="BR457" s="59"/>
      <c r="BS457" s="39"/>
      <c r="BT457" s="57"/>
      <c r="BU457" s="60"/>
      <c r="BV457" s="8"/>
      <c r="BW457" s="58"/>
    </row>
    <row r="458" spans="41:75" x14ac:dyDescent="0.35">
      <c r="AO458" s="39">
        <v>456</v>
      </c>
      <c r="AP458" s="60"/>
      <c r="AQ458" s="41"/>
      <c r="AR458" s="42" t="str">
        <f>IFERROR(VLOOKUP(AU458,[1]SUMMARY!$A$3:$B$7,2,FALSE),"")</f>
        <v/>
      </c>
      <c r="AS458" s="42"/>
      <c r="AT458" s="31" t="e">
        <f>VLOOKUP(AS458,[1]OUTLET!$B:$C,2,0)</f>
        <v>#N/A</v>
      </c>
      <c r="AU458" s="42"/>
      <c r="AV458" s="39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55"/>
      <c r="BP458" s="40"/>
      <c r="BQ458" s="39"/>
      <c r="BR458" s="59"/>
      <c r="BS458" s="39"/>
      <c r="BT458" s="57"/>
      <c r="BU458" s="60"/>
      <c r="BV458" s="8"/>
      <c r="BW458" s="58"/>
    </row>
    <row r="459" spans="41:75" x14ac:dyDescent="0.35">
      <c r="AO459" s="39">
        <v>457</v>
      </c>
      <c r="AP459" s="60"/>
      <c r="AQ459" s="41"/>
      <c r="AR459" s="42" t="str">
        <f>IFERROR(VLOOKUP(AU459,[1]SUMMARY!$A$3:$B$7,2,FALSE),"")</f>
        <v/>
      </c>
      <c r="AS459" s="42"/>
      <c r="AT459" s="31" t="e">
        <f>VLOOKUP(AS459,[1]OUTLET!$B:$C,2,0)</f>
        <v>#N/A</v>
      </c>
      <c r="AU459" s="42"/>
      <c r="AV459" s="39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55"/>
      <c r="BP459" s="40"/>
      <c r="BQ459" s="39"/>
      <c r="BR459" s="59"/>
      <c r="BS459" s="39"/>
      <c r="BT459" s="57"/>
      <c r="BU459" s="60"/>
      <c r="BV459" s="8"/>
      <c r="BW459" s="58"/>
    </row>
    <row r="460" spans="41:75" x14ac:dyDescent="0.35">
      <c r="AO460" s="39">
        <v>458</v>
      </c>
      <c r="AP460" s="60"/>
      <c r="AQ460" s="41"/>
      <c r="AR460" s="42" t="str">
        <f>IFERROR(VLOOKUP(AU460,[1]SUMMARY!$A$3:$B$7,2,FALSE),"")</f>
        <v/>
      </c>
      <c r="AS460" s="42"/>
      <c r="AT460" s="31" t="e">
        <f>VLOOKUP(AS460,[1]OUTLET!$B:$C,2,0)</f>
        <v>#N/A</v>
      </c>
      <c r="AU460" s="42"/>
      <c r="AV460" s="39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55"/>
      <c r="BP460" s="40"/>
      <c r="BQ460" s="39"/>
      <c r="BR460" s="59"/>
      <c r="BS460" s="39"/>
      <c r="BT460" s="57"/>
      <c r="BU460" s="60"/>
      <c r="BV460" s="8"/>
      <c r="BW460" s="58"/>
    </row>
    <row r="461" spans="41:75" x14ac:dyDescent="0.35">
      <c r="AO461" s="39">
        <v>459</v>
      </c>
      <c r="AP461" s="60"/>
      <c r="AQ461" s="41"/>
      <c r="AR461" s="42" t="str">
        <f>IFERROR(VLOOKUP(AU461,[1]SUMMARY!$A$3:$B$7,2,FALSE),"")</f>
        <v/>
      </c>
      <c r="AS461" s="42"/>
      <c r="AT461" s="31" t="e">
        <f>VLOOKUP(AS461,[1]OUTLET!$B:$C,2,0)</f>
        <v>#N/A</v>
      </c>
      <c r="AU461" s="42"/>
      <c r="AV461" s="39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55"/>
      <c r="BP461" s="40"/>
      <c r="BQ461" s="39"/>
      <c r="BR461" s="59"/>
      <c r="BS461" s="39"/>
      <c r="BT461" s="57"/>
      <c r="BU461" s="60"/>
      <c r="BV461" s="8"/>
      <c r="BW461" s="58"/>
    </row>
    <row r="462" spans="41:75" x14ac:dyDescent="0.35">
      <c r="AO462" s="39">
        <v>460</v>
      </c>
      <c r="AP462" s="60"/>
      <c r="AQ462" s="41"/>
      <c r="AR462" s="42" t="str">
        <f>IFERROR(VLOOKUP(AU462,[1]SUMMARY!$A$3:$B$7,2,FALSE),"")</f>
        <v/>
      </c>
      <c r="AS462" s="42"/>
      <c r="AT462" s="31" t="e">
        <f>VLOOKUP(AS462,[1]OUTLET!$B:$C,2,0)</f>
        <v>#N/A</v>
      </c>
      <c r="AU462" s="42"/>
      <c r="AV462" s="39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55"/>
      <c r="BP462" s="40"/>
      <c r="BQ462" s="39"/>
      <c r="BR462" s="59"/>
      <c r="BS462" s="39"/>
      <c r="BT462" s="57"/>
      <c r="BU462" s="60"/>
      <c r="BV462" s="8"/>
      <c r="BW462" s="58"/>
    </row>
    <row r="463" spans="41:75" x14ac:dyDescent="0.35">
      <c r="AO463" s="39">
        <v>461</v>
      </c>
      <c r="AP463" s="60"/>
      <c r="AQ463" s="41"/>
      <c r="AR463" s="42" t="str">
        <f>IFERROR(VLOOKUP(AU463,[1]SUMMARY!$A$3:$B$7,2,FALSE),"")</f>
        <v/>
      </c>
      <c r="AS463" s="42"/>
      <c r="AT463" s="31" t="e">
        <f>VLOOKUP(AS463,[1]OUTLET!$B:$C,2,0)</f>
        <v>#N/A</v>
      </c>
      <c r="AU463" s="42"/>
      <c r="AV463" s="39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55"/>
      <c r="BP463" s="40"/>
      <c r="BQ463" s="39"/>
      <c r="BR463" s="59"/>
      <c r="BS463" s="39"/>
      <c r="BT463" s="57"/>
      <c r="BU463" s="60"/>
      <c r="BV463" s="8"/>
      <c r="BW463" s="58"/>
    </row>
    <row r="464" spans="41:75" x14ac:dyDescent="0.35">
      <c r="AO464" s="39">
        <v>462</v>
      </c>
      <c r="AP464" s="60"/>
      <c r="AQ464" s="41"/>
      <c r="AR464" s="42" t="str">
        <f>IFERROR(VLOOKUP(AU464,[1]SUMMARY!$A$3:$B$7,2,FALSE),"")</f>
        <v/>
      </c>
      <c r="AS464" s="42"/>
      <c r="AT464" s="31" t="e">
        <f>VLOOKUP(AS464,[1]OUTLET!$B:$C,2,0)</f>
        <v>#N/A</v>
      </c>
      <c r="AU464" s="42"/>
      <c r="AV464" s="39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55"/>
      <c r="BP464" s="40"/>
      <c r="BQ464" s="39"/>
      <c r="BR464" s="59"/>
      <c r="BS464" s="39"/>
      <c r="BT464" s="57"/>
      <c r="BU464" s="60"/>
      <c r="BV464" s="8"/>
      <c r="BW464" s="58"/>
    </row>
    <row r="465" spans="41:75" x14ac:dyDescent="0.35">
      <c r="AO465" s="39">
        <v>463</v>
      </c>
      <c r="AP465" s="60"/>
      <c r="AQ465" s="41"/>
      <c r="AR465" s="42" t="str">
        <f>IFERROR(VLOOKUP(AU465,[1]SUMMARY!$A$3:$B$7,2,FALSE),"")</f>
        <v/>
      </c>
      <c r="AS465" s="42"/>
      <c r="AT465" s="31" t="e">
        <f>VLOOKUP(AS465,[1]OUTLET!$B:$C,2,0)</f>
        <v>#N/A</v>
      </c>
      <c r="AU465" s="42"/>
      <c r="AV465" s="39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55"/>
      <c r="BP465" s="40"/>
      <c r="BQ465" s="39"/>
      <c r="BR465" s="59"/>
      <c r="BS465" s="39"/>
      <c r="BT465" s="57"/>
      <c r="BU465" s="60"/>
      <c r="BV465" s="8"/>
      <c r="BW465" s="58"/>
    </row>
    <row r="466" spans="41:75" x14ac:dyDescent="0.35">
      <c r="AO466" s="39">
        <v>464</v>
      </c>
      <c r="AP466" s="60"/>
      <c r="AQ466" s="41"/>
      <c r="AR466" s="42" t="str">
        <f>IFERROR(VLOOKUP(AU466,[1]SUMMARY!$A$3:$B$7,2,FALSE),"")</f>
        <v/>
      </c>
      <c r="AS466" s="42"/>
      <c r="AT466" s="31" t="e">
        <f>VLOOKUP(AS466,[1]OUTLET!$B:$C,2,0)</f>
        <v>#N/A</v>
      </c>
      <c r="AU466" s="42"/>
      <c r="AV466" s="39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55"/>
      <c r="BP466" s="40"/>
      <c r="BQ466" s="39"/>
      <c r="BR466" s="59"/>
      <c r="BS466" s="39"/>
      <c r="BT466" s="57"/>
      <c r="BU466" s="60"/>
      <c r="BV466" s="8"/>
      <c r="BW466" s="58"/>
    </row>
    <row r="467" spans="41:75" x14ac:dyDescent="0.35">
      <c r="AO467" s="39">
        <v>465</v>
      </c>
      <c r="AP467" s="60"/>
      <c r="AQ467" s="41"/>
      <c r="AR467" s="42" t="str">
        <f>IFERROR(VLOOKUP(AU467,[1]SUMMARY!$A$3:$B$7,2,FALSE),"")</f>
        <v/>
      </c>
      <c r="AS467" s="42"/>
      <c r="AT467" s="31" t="e">
        <f>VLOOKUP(AS467,[1]OUTLET!$B:$C,2,0)</f>
        <v>#N/A</v>
      </c>
      <c r="AU467" s="42"/>
      <c r="AV467" s="39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55"/>
      <c r="BP467" s="40"/>
      <c r="BQ467" s="39"/>
      <c r="BR467" s="59"/>
      <c r="BS467" s="39"/>
      <c r="BT467" s="57"/>
      <c r="BU467" s="60"/>
      <c r="BV467" s="8"/>
      <c r="BW467" s="58"/>
    </row>
    <row r="468" spans="41:75" x14ac:dyDescent="0.35">
      <c r="AO468" s="39">
        <v>466</v>
      </c>
      <c r="AP468" s="60"/>
      <c r="AQ468" s="41"/>
      <c r="AR468" s="42" t="str">
        <f>IFERROR(VLOOKUP(AU468,[1]SUMMARY!$A$3:$B$7,2,FALSE),"")</f>
        <v/>
      </c>
      <c r="AS468" s="42"/>
      <c r="AT468" s="31" t="e">
        <f>VLOOKUP(AS468,[1]OUTLET!$B:$C,2,0)</f>
        <v>#N/A</v>
      </c>
      <c r="AU468" s="42"/>
      <c r="AV468" s="39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55"/>
      <c r="BP468" s="40"/>
      <c r="BQ468" s="39"/>
      <c r="BR468" s="59"/>
      <c r="BS468" s="39"/>
      <c r="BT468" s="57"/>
      <c r="BU468" s="60"/>
      <c r="BV468" s="8"/>
      <c r="BW468" s="58"/>
    </row>
    <row r="469" spans="41:75" x14ac:dyDescent="0.35">
      <c r="AO469" s="39">
        <v>467</v>
      </c>
      <c r="AP469" s="60"/>
      <c r="AQ469" s="41"/>
      <c r="AR469" s="42" t="str">
        <f>IFERROR(VLOOKUP(AU469,[1]SUMMARY!$A$3:$B$7,2,FALSE),"")</f>
        <v/>
      </c>
      <c r="AS469" s="42"/>
      <c r="AT469" s="31" t="e">
        <f>VLOOKUP(AS469,[1]OUTLET!$B:$C,2,0)</f>
        <v>#N/A</v>
      </c>
      <c r="AU469" s="42"/>
      <c r="AV469" s="39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55"/>
      <c r="BP469" s="40"/>
      <c r="BQ469" s="39"/>
      <c r="BR469" s="59"/>
      <c r="BS469" s="39"/>
      <c r="BT469" s="57"/>
      <c r="BU469" s="60"/>
      <c r="BV469" s="8"/>
      <c r="BW469" s="58"/>
    </row>
    <row r="470" spans="41:75" x14ac:dyDescent="0.35">
      <c r="AO470" s="39">
        <v>468</v>
      </c>
      <c r="AP470" s="60"/>
      <c r="AQ470" s="41"/>
      <c r="AR470" s="42" t="str">
        <f>IFERROR(VLOOKUP(AU470,[1]SUMMARY!$A$3:$B$7,2,FALSE),"")</f>
        <v/>
      </c>
      <c r="AS470" s="42"/>
      <c r="AT470" s="31" t="e">
        <f>VLOOKUP(AS470,[1]OUTLET!$B:$C,2,0)</f>
        <v>#N/A</v>
      </c>
      <c r="AU470" s="42"/>
      <c r="AV470" s="39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55"/>
      <c r="BP470" s="40"/>
      <c r="BQ470" s="39"/>
      <c r="BR470" s="59"/>
      <c r="BS470" s="39"/>
      <c r="BT470" s="57"/>
      <c r="BU470" s="60"/>
      <c r="BV470" s="8"/>
      <c r="BW470" s="58"/>
    </row>
    <row r="471" spans="41:75" x14ac:dyDescent="0.35">
      <c r="AO471" s="39">
        <v>469</v>
      </c>
      <c r="AP471" s="60"/>
      <c r="AQ471" s="41"/>
      <c r="AR471" s="42" t="str">
        <f>IFERROR(VLOOKUP(AU471,[1]SUMMARY!$A$3:$B$7,2,FALSE),"")</f>
        <v/>
      </c>
      <c r="AS471" s="42"/>
      <c r="AT471" s="31" t="e">
        <f>VLOOKUP(AS471,[1]OUTLET!$B:$C,2,0)</f>
        <v>#N/A</v>
      </c>
      <c r="AU471" s="42"/>
      <c r="AV471" s="39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55"/>
      <c r="BP471" s="40"/>
      <c r="BQ471" s="39"/>
      <c r="BR471" s="59"/>
      <c r="BS471" s="39"/>
      <c r="BT471" s="57"/>
      <c r="BU471" s="60"/>
      <c r="BV471" s="8"/>
      <c r="BW471" s="58"/>
    </row>
    <row r="472" spans="41:75" x14ac:dyDescent="0.35">
      <c r="AO472" s="39">
        <v>470</v>
      </c>
      <c r="AP472" s="60"/>
      <c r="AQ472" s="41"/>
      <c r="AR472" s="42" t="str">
        <f>IFERROR(VLOOKUP(AU472,[1]SUMMARY!$A$3:$B$7,2,FALSE),"")</f>
        <v/>
      </c>
      <c r="AS472" s="42"/>
      <c r="AT472" s="31" t="e">
        <f>VLOOKUP(AS472,[1]OUTLET!$B:$C,2,0)</f>
        <v>#N/A</v>
      </c>
      <c r="AU472" s="42"/>
      <c r="AV472" s="39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55"/>
      <c r="BP472" s="40"/>
      <c r="BQ472" s="39"/>
      <c r="BR472" s="59"/>
      <c r="BS472" s="39"/>
      <c r="BT472" s="57"/>
      <c r="BU472" s="60"/>
      <c r="BV472" s="8"/>
      <c r="BW472" s="58"/>
    </row>
    <row r="473" spans="41:75" x14ac:dyDescent="0.35">
      <c r="AO473" s="39">
        <v>471</v>
      </c>
      <c r="AP473" s="60"/>
      <c r="AQ473" s="41"/>
      <c r="AR473" s="42" t="str">
        <f>IFERROR(VLOOKUP(AU473,[1]SUMMARY!$A$3:$B$7,2,FALSE),"")</f>
        <v/>
      </c>
      <c r="AS473" s="42"/>
      <c r="AT473" s="31" t="e">
        <f>VLOOKUP(AS473,[1]OUTLET!$B:$C,2,0)</f>
        <v>#N/A</v>
      </c>
      <c r="AU473" s="42"/>
      <c r="AV473" s="39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55"/>
      <c r="BP473" s="40"/>
      <c r="BQ473" s="39"/>
      <c r="BR473" s="59"/>
      <c r="BS473" s="39"/>
      <c r="BT473" s="57"/>
      <c r="BU473" s="60"/>
      <c r="BV473" s="8"/>
      <c r="BW473" s="58"/>
    </row>
    <row r="474" spans="41:75" x14ac:dyDescent="0.35">
      <c r="AO474" s="39">
        <v>472</v>
      </c>
      <c r="AP474" s="60"/>
      <c r="AQ474" s="41"/>
      <c r="AR474" s="42" t="str">
        <f>IFERROR(VLOOKUP(AU474,[1]SUMMARY!$A$3:$B$7,2,FALSE),"")</f>
        <v/>
      </c>
      <c r="AS474" s="42"/>
      <c r="AT474" s="31" t="e">
        <f>VLOOKUP(AS474,[1]OUTLET!$B:$C,2,0)</f>
        <v>#N/A</v>
      </c>
      <c r="AU474" s="42"/>
      <c r="AV474" s="39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55"/>
      <c r="BP474" s="40"/>
      <c r="BQ474" s="39"/>
      <c r="BR474" s="59"/>
      <c r="BS474" s="39"/>
      <c r="BT474" s="57"/>
      <c r="BU474" s="60"/>
      <c r="BV474" s="8"/>
      <c r="BW474" s="58"/>
    </row>
    <row r="475" spans="41:75" x14ac:dyDescent="0.35">
      <c r="AO475" s="39">
        <v>473</v>
      </c>
      <c r="AP475" s="60"/>
      <c r="AQ475" s="41"/>
      <c r="AR475" s="42" t="str">
        <f>IFERROR(VLOOKUP(AU475,[1]SUMMARY!$A$3:$B$7,2,FALSE),"")</f>
        <v/>
      </c>
      <c r="AS475" s="42"/>
      <c r="AT475" s="31" t="e">
        <f>VLOOKUP(AS475,[1]OUTLET!$B:$C,2,0)</f>
        <v>#N/A</v>
      </c>
      <c r="AU475" s="42"/>
      <c r="AV475" s="39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55"/>
      <c r="BP475" s="40"/>
      <c r="BQ475" s="39"/>
      <c r="BR475" s="59"/>
      <c r="BS475" s="39"/>
      <c r="BT475" s="57"/>
      <c r="BU475" s="60"/>
      <c r="BV475" s="8"/>
      <c r="BW475" s="58"/>
    </row>
    <row r="476" spans="41:75" x14ac:dyDescent="0.35">
      <c r="AO476" s="39">
        <v>474</v>
      </c>
      <c r="AP476" s="60"/>
      <c r="AQ476" s="41"/>
      <c r="AR476" s="42" t="str">
        <f>IFERROR(VLOOKUP(AU476,[1]SUMMARY!$A$3:$B$7,2,FALSE),"")</f>
        <v/>
      </c>
      <c r="AS476" s="42"/>
      <c r="AT476" s="31" t="e">
        <f>VLOOKUP(AS476,[1]OUTLET!$B:$C,2,0)</f>
        <v>#N/A</v>
      </c>
      <c r="AU476" s="42"/>
      <c r="AV476" s="39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55"/>
      <c r="BP476" s="40"/>
      <c r="BQ476" s="39"/>
      <c r="BR476" s="59"/>
      <c r="BS476" s="39"/>
      <c r="BT476" s="57"/>
      <c r="BU476" s="60"/>
      <c r="BV476" s="8"/>
      <c r="BW476" s="58"/>
    </row>
    <row r="477" spans="41:75" x14ac:dyDescent="0.35">
      <c r="AO477" s="39">
        <v>475</v>
      </c>
      <c r="AP477" s="60"/>
      <c r="AQ477" s="41"/>
      <c r="AR477" s="42" t="str">
        <f>IFERROR(VLOOKUP(AU477,[1]SUMMARY!$A$3:$B$7,2,FALSE),"")</f>
        <v/>
      </c>
      <c r="AS477" s="42"/>
      <c r="AT477" s="31" t="e">
        <f>VLOOKUP(AS477,[1]OUTLET!$B:$C,2,0)</f>
        <v>#N/A</v>
      </c>
      <c r="AU477" s="42"/>
      <c r="AV477" s="39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55"/>
      <c r="BP477" s="40"/>
      <c r="BQ477" s="39"/>
      <c r="BR477" s="59"/>
      <c r="BS477" s="39"/>
      <c r="BT477" s="57"/>
      <c r="BU477" s="60"/>
      <c r="BV477" s="8"/>
      <c r="BW477" s="58"/>
    </row>
    <row r="478" spans="41:75" x14ac:dyDescent="0.35">
      <c r="AO478" s="39">
        <v>476</v>
      </c>
      <c r="AP478" s="60"/>
      <c r="AQ478" s="41"/>
      <c r="AR478" s="42" t="str">
        <f>IFERROR(VLOOKUP(AU478,[1]SUMMARY!$A$3:$B$7,2,FALSE),"")</f>
        <v/>
      </c>
      <c r="AS478" s="42"/>
      <c r="AT478" s="31" t="e">
        <f>VLOOKUP(AS478,[1]OUTLET!$B:$C,2,0)</f>
        <v>#N/A</v>
      </c>
      <c r="AU478" s="42"/>
      <c r="AV478" s="39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55"/>
      <c r="BP478" s="40"/>
      <c r="BQ478" s="39"/>
      <c r="BR478" s="59"/>
      <c r="BS478" s="39"/>
      <c r="BT478" s="57"/>
      <c r="BU478" s="60"/>
      <c r="BV478" s="8"/>
      <c r="BW478" s="58"/>
    </row>
    <row r="479" spans="41:75" x14ac:dyDescent="0.35">
      <c r="AO479" s="39">
        <v>477</v>
      </c>
      <c r="AP479" s="60"/>
      <c r="AQ479" s="41"/>
      <c r="AR479" s="42" t="str">
        <f>IFERROR(VLOOKUP(AU479,[1]SUMMARY!$A$3:$B$7,2,FALSE),"")</f>
        <v/>
      </c>
      <c r="AS479" s="42"/>
      <c r="AT479" s="31" t="e">
        <f>VLOOKUP(AS479,[1]OUTLET!$B:$C,2,0)</f>
        <v>#N/A</v>
      </c>
      <c r="AU479" s="42"/>
      <c r="AV479" s="39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55"/>
      <c r="BP479" s="40"/>
      <c r="BQ479" s="39"/>
      <c r="BR479" s="59"/>
      <c r="BS479" s="39"/>
      <c r="BT479" s="57"/>
      <c r="BU479" s="60"/>
      <c r="BV479" s="8"/>
      <c r="BW479" s="58"/>
    </row>
    <row r="480" spans="41:75" x14ac:dyDescent="0.35">
      <c r="AO480" s="39">
        <v>478</v>
      </c>
      <c r="AP480" s="60"/>
      <c r="AQ480" s="41"/>
      <c r="AR480" s="42" t="str">
        <f>IFERROR(VLOOKUP(AU480,[1]SUMMARY!$A$3:$B$7,2,FALSE),"")</f>
        <v/>
      </c>
      <c r="AS480" s="42"/>
      <c r="AT480" s="31" t="e">
        <f>VLOOKUP(AS480,[1]OUTLET!$B:$C,2,0)</f>
        <v>#N/A</v>
      </c>
      <c r="AU480" s="42"/>
      <c r="AV480" s="39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55"/>
      <c r="BP480" s="40"/>
      <c r="BQ480" s="39"/>
      <c r="BR480" s="59"/>
      <c r="BS480" s="39"/>
      <c r="BT480" s="57"/>
      <c r="BU480" s="60"/>
      <c r="BV480" s="8"/>
      <c r="BW480" s="58"/>
    </row>
    <row r="481" spans="41:75" x14ac:dyDescent="0.35">
      <c r="AO481" s="39">
        <v>479</v>
      </c>
      <c r="AP481" s="60"/>
      <c r="AQ481" s="41"/>
      <c r="AR481" s="42" t="str">
        <f>IFERROR(VLOOKUP(AU481,[1]SUMMARY!$A$3:$B$7,2,FALSE),"")</f>
        <v/>
      </c>
      <c r="AS481" s="42"/>
      <c r="AT481" s="31" t="e">
        <f>VLOOKUP(AS481,[1]OUTLET!$B:$C,2,0)</f>
        <v>#N/A</v>
      </c>
      <c r="AU481" s="42"/>
      <c r="AV481" s="39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55"/>
      <c r="BP481" s="40"/>
      <c r="BQ481" s="39"/>
      <c r="BR481" s="59"/>
      <c r="BS481" s="39"/>
      <c r="BT481" s="57"/>
      <c r="BU481" s="60"/>
      <c r="BV481" s="8"/>
      <c r="BW481" s="58"/>
    </row>
    <row r="482" spans="41:75" x14ac:dyDescent="0.35">
      <c r="AO482" s="39">
        <v>480</v>
      </c>
      <c r="AP482" s="60"/>
      <c r="AQ482" s="41"/>
      <c r="AR482" s="42" t="str">
        <f>IFERROR(VLOOKUP(AU482,[1]SUMMARY!$A$3:$B$7,2,FALSE),"")</f>
        <v/>
      </c>
      <c r="AS482" s="42"/>
      <c r="AT482" s="31" t="e">
        <f>VLOOKUP(AS482,[1]OUTLET!$B:$C,2,0)</f>
        <v>#N/A</v>
      </c>
      <c r="AU482" s="42"/>
      <c r="AV482" s="39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55"/>
      <c r="BP482" s="40"/>
      <c r="BQ482" s="39"/>
      <c r="BR482" s="59"/>
      <c r="BS482" s="39"/>
      <c r="BT482" s="57"/>
      <c r="BU482" s="60"/>
      <c r="BV482" s="8"/>
      <c r="BW482" s="58"/>
    </row>
    <row r="483" spans="41:75" x14ac:dyDescent="0.35">
      <c r="AO483" s="39">
        <v>481</v>
      </c>
      <c r="AP483" s="60"/>
      <c r="AQ483" s="41"/>
      <c r="AR483" s="42" t="str">
        <f>IFERROR(VLOOKUP(AU483,[1]SUMMARY!$A$3:$B$7,2,FALSE),"")</f>
        <v/>
      </c>
      <c r="AS483" s="42"/>
      <c r="AT483" s="31" t="e">
        <f>VLOOKUP(AS483,[1]OUTLET!$B:$C,2,0)</f>
        <v>#N/A</v>
      </c>
      <c r="AU483" s="42"/>
      <c r="AV483" s="39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55"/>
      <c r="BP483" s="40"/>
      <c r="BQ483" s="39"/>
      <c r="BR483" s="59"/>
      <c r="BS483" s="39"/>
      <c r="BT483" s="57"/>
      <c r="BU483" s="60"/>
      <c r="BV483" s="8"/>
      <c r="BW483" s="58"/>
    </row>
    <row r="484" spans="41:75" x14ac:dyDescent="0.35">
      <c r="AO484" s="39">
        <v>482</v>
      </c>
      <c r="AP484" s="60"/>
      <c r="AQ484" s="41"/>
      <c r="AR484" s="42" t="str">
        <f>IFERROR(VLOOKUP(AU484,[1]SUMMARY!$A$3:$B$7,2,FALSE),"")</f>
        <v/>
      </c>
      <c r="AS484" s="42"/>
      <c r="AT484" s="31" t="e">
        <f>VLOOKUP(AS484,[1]OUTLET!$B:$C,2,0)</f>
        <v>#N/A</v>
      </c>
      <c r="AU484" s="42"/>
      <c r="AV484" s="39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55"/>
      <c r="BP484" s="40"/>
      <c r="BQ484" s="39"/>
      <c r="BR484" s="59"/>
      <c r="BS484" s="39"/>
      <c r="BT484" s="57"/>
      <c r="BU484" s="60"/>
      <c r="BV484" s="8"/>
      <c r="BW484" s="58"/>
    </row>
    <row r="485" spans="41:75" x14ac:dyDescent="0.35">
      <c r="AO485" s="39">
        <v>483</v>
      </c>
      <c r="AP485" s="60"/>
      <c r="AQ485" s="41"/>
      <c r="AR485" s="42" t="str">
        <f>IFERROR(VLOOKUP(AU485,[1]SUMMARY!$A$3:$B$7,2,FALSE),"")</f>
        <v/>
      </c>
      <c r="AS485" s="42"/>
      <c r="AT485" s="31" t="e">
        <f>VLOOKUP(AS485,[1]OUTLET!$B:$C,2,0)</f>
        <v>#N/A</v>
      </c>
      <c r="AU485" s="42"/>
      <c r="AV485" s="39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55"/>
      <c r="BP485" s="40"/>
      <c r="BQ485" s="39"/>
      <c r="BR485" s="59"/>
      <c r="BS485" s="39"/>
      <c r="BT485" s="57"/>
      <c r="BU485" s="60"/>
      <c r="BV485" s="8"/>
      <c r="BW485" s="58"/>
    </row>
    <row r="486" spans="41:75" x14ac:dyDescent="0.35">
      <c r="AO486" s="39">
        <v>484</v>
      </c>
      <c r="AP486" s="60"/>
      <c r="AQ486" s="41"/>
      <c r="AR486" s="42" t="str">
        <f>IFERROR(VLOOKUP(AU486,[1]SUMMARY!$A$3:$B$7,2,FALSE),"")</f>
        <v/>
      </c>
      <c r="AS486" s="42"/>
      <c r="AT486" s="31" t="e">
        <f>VLOOKUP(AS486,[1]OUTLET!$B:$C,2,0)</f>
        <v>#N/A</v>
      </c>
      <c r="AU486" s="42"/>
      <c r="AV486" s="39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55"/>
      <c r="BP486" s="40"/>
      <c r="BQ486" s="39"/>
      <c r="BR486" s="59"/>
      <c r="BS486" s="39"/>
      <c r="BT486" s="57"/>
      <c r="BU486" s="60"/>
      <c r="BV486" s="8"/>
      <c r="BW486" s="58"/>
    </row>
    <row r="487" spans="41:75" x14ac:dyDescent="0.35">
      <c r="AO487" s="39">
        <v>485</v>
      </c>
      <c r="AP487" s="60"/>
      <c r="AQ487" s="41"/>
      <c r="AR487" s="42" t="str">
        <f>IFERROR(VLOOKUP(AU487,[1]SUMMARY!$A$3:$B$7,2,FALSE),"")</f>
        <v/>
      </c>
      <c r="AS487" s="42"/>
      <c r="AT487" s="31" t="e">
        <f>VLOOKUP(AS487,[1]OUTLET!$B:$C,2,0)</f>
        <v>#N/A</v>
      </c>
      <c r="AU487" s="42"/>
      <c r="AV487" s="39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55"/>
      <c r="BP487" s="40"/>
      <c r="BQ487" s="39"/>
      <c r="BR487" s="59"/>
      <c r="BS487" s="39"/>
      <c r="BT487" s="57"/>
      <c r="BU487" s="60"/>
      <c r="BV487" s="8"/>
      <c r="BW487" s="58"/>
    </row>
    <row r="488" spans="41:75" x14ac:dyDescent="0.35">
      <c r="AO488" s="39">
        <v>486</v>
      </c>
      <c r="AP488" s="60"/>
      <c r="AQ488" s="41"/>
      <c r="AR488" s="42" t="str">
        <f>IFERROR(VLOOKUP(AU488,[1]SUMMARY!$A$3:$B$7,2,FALSE),"")</f>
        <v/>
      </c>
      <c r="AS488" s="42"/>
      <c r="AT488" s="31" t="e">
        <f>VLOOKUP(AS488,[1]OUTLET!$B:$C,2,0)</f>
        <v>#N/A</v>
      </c>
      <c r="AU488" s="42"/>
      <c r="AV488" s="39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55"/>
      <c r="BP488" s="40"/>
      <c r="BQ488" s="39"/>
      <c r="BR488" s="59"/>
      <c r="BS488" s="39"/>
      <c r="BT488" s="57"/>
      <c r="BU488" s="60"/>
      <c r="BV488" s="8"/>
      <c r="BW488" s="58"/>
    </row>
    <row r="489" spans="41:75" x14ac:dyDescent="0.35">
      <c r="AO489" s="39">
        <v>487</v>
      </c>
      <c r="AP489" s="60"/>
      <c r="AQ489" s="41"/>
      <c r="AR489" s="42" t="str">
        <f>IFERROR(VLOOKUP(AU489,[1]SUMMARY!$A$3:$B$7,2,FALSE),"")</f>
        <v/>
      </c>
      <c r="AS489" s="42"/>
      <c r="AT489" s="31" t="e">
        <f>VLOOKUP(AS489,[1]OUTLET!$B:$C,2,0)</f>
        <v>#N/A</v>
      </c>
      <c r="AU489" s="42"/>
      <c r="AV489" s="39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55"/>
      <c r="BP489" s="40"/>
      <c r="BQ489" s="39"/>
      <c r="BR489" s="59"/>
      <c r="BS489" s="39"/>
      <c r="BT489" s="57"/>
      <c r="BU489" s="60"/>
      <c r="BV489" s="8"/>
      <c r="BW489" s="58"/>
    </row>
    <row r="490" spans="41:75" x14ac:dyDescent="0.35">
      <c r="AO490" s="39">
        <v>488</v>
      </c>
      <c r="AP490" s="60"/>
      <c r="AQ490" s="41"/>
      <c r="AR490" s="42" t="str">
        <f>IFERROR(VLOOKUP(AU490,[1]SUMMARY!$A$3:$B$7,2,FALSE),"")</f>
        <v/>
      </c>
      <c r="AS490" s="42"/>
      <c r="AT490" s="31" t="e">
        <f>VLOOKUP(AS490,[1]OUTLET!$B:$C,2,0)</f>
        <v>#N/A</v>
      </c>
      <c r="AU490" s="42"/>
      <c r="AV490" s="39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55"/>
      <c r="BP490" s="40"/>
      <c r="BQ490" s="39"/>
      <c r="BR490" s="59"/>
      <c r="BS490" s="39"/>
      <c r="BT490" s="57"/>
      <c r="BU490" s="60"/>
      <c r="BV490" s="8"/>
      <c r="BW490" s="58"/>
    </row>
    <row r="491" spans="41:75" x14ac:dyDescent="0.35">
      <c r="AO491" s="39">
        <v>489</v>
      </c>
      <c r="AP491" s="60"/>
      <c r="AQ491" s="41"/>
      <c r="AR491" s="42" t="str">
        <f>IFERROR(VLOOKUP(AU491,[1]SUMMARY!$A$3:$B$7,2,FALSE),"")</f>
        <v/>
      </c>
      <c r="AS491" s="42"/>
      <c r="AT491" s="31" t="e">
        <f>VLOOKUP(AS491,[1]OUTLET!$B:$C,2,0)</f>
        <v>#N/A</v>
      </c>
      <c r="AU491" s="42"/>
      <c r="AV491" s="39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55"/>
      <c r="BP491" s="40"/>
      <c r="BQ491" s="39"/>
      <c r="BR491" s="59"/>
      <c r="BS491" s="39"/>
      <c r="BT491" s="57"/>
      <c r="BU491" s="60"/>
      <c r="BV491" s="8"/>
      <c r="BW491" s="58"/>
    </row>
    <row r="492" spans="41:75" x14ac:dyDescent="0.35">
      <c r="AO492" s="39">
        <v>490</v>
      </c>
      <c r="AP492" s="60"/>
      <c r="AQ492" s="41"/>
      <c r="AR492" s="42" t="str">
        <f>IFERROR(VLOOKUP(AU492,[1]SUMMARY!$A$3:$B$7,2,FALSE),"")</f>
        <v/>
      </c>
      <c r="AS492" s="42"/>
      <c r="AT492" s="31" t="e">
        <f>VLOOKUP(AS492,[1]OUTLET!$B:$C,2,0)</f>
        <v>#N/A</v>
      </c>
      <c r="AU492" s="42"/>
      <c r="AV492" s="39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55"/>
      <c r="BP492" s="40"/>
      <c r="BQ492" s="39"/>
      <c r="BR492" s="59"/>
      <c r="BS492" s="39"/>
      <c r="BT492" s="57"/>
      <c r="BU492" s="60"/>
      <c r="BV492" s="8"/>
      <c r="BW492" s="58"/>
    </row>
    <row r="493" spans="41:75" x14ac:dyDescent="0.35">
      <c r="AO493" s="39">
        <v>491</v>
      </c>
      <c r="AP493" s="60"/>
      <c r="AQ493" s="41"/>
      <c r="AR493" s="42" t="str">
        <f>IFERROR(VLOOKUP(AU493,[1]SUMMARY!$A$3:$B$7,2,FALSE),"")</f>
        <v/>
      </c>
      <c r="AS493" s="42"/>
      <c r="AT493" s="31" t="e">
        <f>VLOOKUP(AS493,[1]OUTLET!$B:$C,2,0)</f>
        <v>#N/A</v>
      </c>
      <c r="AU493" s="42"/>
      <c r="AV493" s="39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55"/>
      <c r="BP493" s="40"/>
      <c r="BQ493" s="39"/>
      <c r="BR493" s="59"/>
      <c r="BS493" s="39"/>
      <c r="BT493" s="57"/>
      <c r="BU493" s="60"/>
      <c r="BV493" s="8"/>
      <c r="BW493" s="58"/>
    </row>
    <row r="494" spans="41:75" x14ac:dyDescent="0.35">
      <c r="AO494" s="39">
        <v>492</v>
      </c>
      <c r="AP494" s="60"/>
      <c r="AQ494" s="41"/>
      <c r="AR494" s="42" t="str">
        <f>IFERROR(VLOOKUP(AU494,[1]SUMMARY!$A$3:$B$7,2,FALSE),"")</f>
        <v/>
      </c>
      <c r="AS494" s="42"/>
      <c r="AT494" s="31" t="e">
        <f>VLOOKUP(AS494,[1]OUTLET!$B:$C,2,0)</f>
        <v>#N/A</v>
      </c>
      <c r="AU494" s="42"/>
      <c r="AV494" s="39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55"/>
      <c r="BP494" s="40"/>
      <c r="BQ494" s="39"/>
      <c r="BR494" s="59"/>
      <c r="BS494" s="39"/>
      <c r="BT494" s="57"/>
      <c r="BU494" s="60"/>
      <c r="BV494" s="8"/>
      <c r="BW494" s="58"/>
    </row>
    <row r="495" spans="41:75" x14ac:dyDescent="0.35">
      <c r="AO495" s="39">
        <v>493</v>
      </c>
      <c r="AP495" s="60"/>
      <c r="AQ495" s="41"/>
      <c r="AR495" s="42" t="str">
        <f>IFERROR(VLOOKUP(AU495,[1]SUMMARY!$A$3:$B$7,2,FALSE),"")</f>
        <v/>
      </c>
      <c r="AS495" s="42"/>
      <c r="AT495" s="31" t="e">
        <f>VLOOKUP(AS495,[1]OUTLET!$B:$C,2,0)</f>
        <v>#N/A</v>
      </c>
      <c r="AU495" s="42"/>
      <c r="AV495" s="39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55"/>
      <c r="BP495" s="40"/>
      <c r="BQ495" s="39"/>
      <c r="BR495" s="59"/>
      <c r="BS495" s="39"/>
      <c r="BT495" s="57"/>
      <c r="BU495" s="60"/>
      <c r="BV495" s="8"/>
      <c r="BW495" s="58"/>
    </row>
    <row r="496" spans="41:75" x14ac:dyDescent="0.35">
      <c r="AO496" s="39">
        <v>494</v>
      </c>
      <c r="AP496" s="60"/>
      <c r="AQ496" s="41"/>
      <c r="AR496" s="42" t="str">
        <f>IFERROR(VLOOKUP(AU496,[1]SUMMARY!$A$3:$B$7,2,FALSE),"")</f>
        <v/>
      </c>
      <c r="AS496" s="42"/>
      <c r="AT496" s="31" t="e">
        <f>VLOOKUP(AS496,[1]OUTLET!$B:$C,2,0)</f>
        <v>#N/A</v>
      </c>
      <c r="AU496" s="42"/>
      <c r="AV496" s="39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55"/>
      <c r="BP496" s="40"/>
      <c r="BQ496" s="39"/>
      <c r="BR496" s="59"/>
      <c r="BS496" s="39"/>
      <c r="BT496" s="57"/>
      <c r="BU496" s="60"/>
      <c r="BV496" s="8"/>
      <c r="BW496" s="58"/>
    </row>
    <row r="497" spans="41:75" x14ac:dyDescent="0.35">
      <c r="AO497" s="39">
        <v>495</v>
      </c>
      <c r="AP497" s="60"/>
      <c r="AQ497" s="41"/>
      <c r="AR497" s="42" t="str">
        <f>IFERROR(VLOOKUP(AU497,[1]SUMMARY!$A$3:$B$7,2,FALSE),"")</f>
        <v/>
      </c>
      <c r="AS497" s="42"/>
      <c r="AT497" s="31" t="e">
        <f>VLOOKUP(AS497,[1]OUTLET!$B:$C,2,0)</f>
        <v>#N/A</v>
      </c>
      <c r="AU497" s="42"/>
      <c r="AV497" s="39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55"/>
      <c r="BP497" s="40"/>
      <c r="BQ497" s="39"/>
      <c r="BR497" s="59"/>
      <c r="BS497" s="39"/>
      <c r="BT497" s="57"/>
      <c r="BU497" s="60"/>
      <c r="BV497" s="8"/>
      <c r="BW497" s="58"/>
    </row>
    <row r="498" spans="41:75" x14ac:dyDescent="0.35">
      <c r="AO498" s="39">
        <v>496</v>
      </c>
      <c r="AP498" s="60"/>
      <c r="AQ498" s="41"/>
      <c r="AR498" s="42" t="str">
        <f>IFERROR(VLOOKUP(AU498,[1]SUMMARY!$A$3:$B$7,2,FALSE),"")</f>
        <v/>
      </c>
      <c r="AS498" s="42"/>
      <c r="AT498" s="31" t="e">
        <f>VLOOKUP(AS498,[1]OUTLET!$B:$C,2,0)</f>
        <v>#N/A</v>
      </c>
      <c r="AU498" s="42"/>
      <c r="AV498" s="39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55"/>
      <c r="BP498" s="40"/>
      <c r="BQ498" s="39"/>
      <c r="BR498" s="59"/>
      <c r="BS498" s="39"/>
      <c r="BT498" s="57"/>
      <c r="BU498" s="60"/>
      <c r="BV498" s="8"/>
      <c r="BW498" s="58"/>
    </row>
    <row r="499" spans="41:75" x14ac:dyDescent="0.35">
      <c r="AO499" s="39">
        <v>497</v>
      </c>
      <c r="AP499" s="60"/>
      <c r="AQ499" s="41"/>
      <c r="AR499" s="42" t="str">
        <f>IFERROR(VLOOKUP(AU499,[1]SUMMARY!$A$3:$B$7,2,FALSE),"")</f>
        <v/>
      </c>
      <c r="AS499" s="42"/>
      <c r="AT499" s="31" t="e">
        <f>VLOOKUP(AS499,[1]OUTLET!$B:$C,2,0)</f>
        <v>#N/A</v>
      </c>
      <c r="AU499" s="42"/>
      <c r="AV499" s="39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55"/>
      <c r="BP499" s="40"/>
      <c r="BQ499" s="39"/>
      <c r="BR499" s="59"/>
      <c r="BS499" s="39"/>
      <c r="BT499" s="57"/>
      <c r="BU499" s="60"/>
      <c r="BV499" s="8"/>
      <c r="BW499" s="58"/>
    </row>
    <row r="500" spans="41:75" x14ac:dyDescent="0.35">
      <c r="AO500" s="39">
        <v>498</v>
      </c>
      <c r="AP500" s="60"/>
      <c r="AQ500" s="41"/>
      <c r="AR500" s="42" t="str">
        <f>IFERROR(VLOOKUP(AU500,[1]SUMMARY!$A$3:$B$7,2,FALSE),"")</f>
        <v/>
      </c>
      <c r="AS500" s="42"/>
      <c r="AT500" s="31" t="e">
        <f>VLOOKUP(AS500,[1]OUTLET!$B:$C,2,0)</f>
        <v>#N/A</v>
      </c>
      <c r="AU500" s="42"/>
      <c r="AV500" s="39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55"/>
      <c r="BP500" s="40"/>
      <c r="BQ500" s="39"/>
      <c r="BR500" s="59"/>
      <c r="BS500" s="39"/>
      <c r="BT500" s="57"/>
      <c r="BU500" s="60"/>
      <c r="BV500" s="8"/>
      <c r="BW500" s="58"/>
    </row>
    <row r="501" spans="41:75" x14ac:dyDescent="0.35">
      <c r="AO501" s="39">
        <v>499</v>
      </c>
      <c r="AP501" s="60"/>
      <c r="AQ501" s="41"/>
      <c r="AR501" s="42" t="str">
        <f>IFERROR(VLOOKUP(AU501,[1]SUMMARY!$A$3:$B$7,2,FALSE),"")</f>
        <v/>
      </c>
      <c r="AS501" s="42"/>
      <c r="AT501" s="31" t="e">
        <f>VLOOKUP(AS501,[1]OUTLET!$B:$C,2,0)</f>
        <v>#N/A</v>
      </c>
      <c r="AU501" s="42"/>
      <c r="AV501" s="39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55"/>
      <c r="BP501" s="40"/>
      <c r="BQ501" s="39"/>
      <c r="BR501" s="59"/>
      <c r="BS501" s="39"/>
      <c r="BT501" s="57"/>
      <c r="BU501" s="60"/>
      <c r="BV501" s="8"/>
      <c r="BW501" s="58"/>
    </row>
    <row r="502" spans="41:75" x14ac:dyDescent="0.35">
      <c r="AO502" s="39">
        <v>500</v>
      </c>
      <c r="AP502" s="60"/>
      <c r="AQ502" s="41"/>
      <c r="AR502" s="42" t="str">
        <f>IFERROR(VLOOKUP(AU502,[1]SUMMARY!$A$3:$B$7,2,FALSE),"")</f>
        <v/>
      </c>
      <c r="AS502" s="42"/>
      <c r="AT502" s="31" t="e">
        <f>VLOOKUP(AS502,[1]OUTLET!$B:$C,2,0)</f>
        <v>#N/A</v>
      </c>
      <c r="AU502" s="42"/>
      <c r="AV502" s="39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55"/>
      <c r="BP502" s="40"/>
      <c r="BQ502" s="39"/>
      <c r="BR502" s="59"/>
      <c r="BS502" s="39"/>
      <c r="BT502" s="57"/>
      <c r="BU502" s="60"/>
      <c r="BV502" s="8"/>
      <c r="BW502" s="58"/>
    </row>
    <row r="503" spans="41:75" x14ac:dyDescent="0.35">
      <c r="AO503" s="39">
        <v>501</v>
      </c>
      <c r="AP503" s="60"/>
      <c r="AQ503" s="41"/>
      <c r="AR503" s="42" t="str">
        <f>IFERROR(VLOOKUP(AU503,[1]SUMMARY!$A$3:$B$7,2,FALSE),"")</f>
        <v/>
      </c>
      <c r="AS503" s="42"/>
      <c r="AT503" s="31" t="e">
        <f>VLOOKUP(AS503,[1]OUTLET!$B:$C,2,0)</f>
        <v>#N/A</v>
      </c>
      <c r="AU503" s="42"/>
      <c r="AV503" s="39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55"/>
      <c r="BP503" s="40"/>
      <c r="BQ503" s="39"/>
      <c r="BR503" s="59"/>
      <c r="BS503" s="39"/>
      <c r="BT503" s="57"/>
      <c r="BU503" s="60"/>
      <c r="BV503" s="8"/>
      <c r="BW503" s="58"/>
    </row>
    <row r="504" spans="41:75" x14ac:dyDescent="0.35">
      <c r="AO504" s="39">
        <v>502</v>
      </c>
      <c r="AP504" s="60"/>
      <c r="AQ504" s="41"/>
      <c r="AR504" s="42" t="str">
        <f>IFERROR(VLOOKUP(AU504,[1]SUMMARY!$A$3:$B$7,2,FALSE),"")</f>
        <v/>
      </c>
      <c r="AS504" s="42"/>
      <c r="AT504" s="31" t="e">
        <f>VLOOKUP(AS504,[1]OUTLET!$B:$C,2,0)</f>
        <v>#N/A</v>
      </c>
      <c r="AU504" s="42"/>
      <c r="AV504" s="39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55"/>
      <c r="BP504" s="40"/>
      <c r="BQ504" s="39"/>
      <c r="BR504" s="59"/>
      <c r="BS504" s="39"/>
      <c r="BT504" s="57"/>
      <c r="BU504" s="60"/>
      <c r="BV504" s="8"/>
      <c r="BW504" s="58"/>
    </row>
    <row r="505" spans="41:75" x14ac:dyDescent="0.35">
      <c r="AO505" s="39">
        <v>503</v>
      </c>
      <c r="AP505" s="60"/>
      <c r="AQ505" s="41"/>
      <c r="AR505" s="42" t="str">
        <f>IFERROR(VLOOKUP(AU505,[1]SUMMARY!$A$3:$B$7,2,FALSE),"")</f>
        <v/>
      </c>
      <c r="AS505" s="42"/>
      <c r="AT505" s="31" t="e">
        <f>VLOOKUP(AS505,[1]OUTLET!$B:$C,2,0)</f>
        <v>#N/A</v>
      </c>
      <c r="AU505" s="42"/>
      <c r="AV505" s="39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55"/>
      <c r="BP505" s="40"/>
      <c r="BQ505" s="39"/>
      <c r="BR505" s="59"/>
      <c r="BS505" s="39"/>
      <c r="BT505" s="57"/>
      <c r="BU505" s="60"/>
      <c r="BV505" s="8"/>
      <c r="BW505" s="58"/>
    </row>
    <row r="506" spans="41:75" x14ac:dyDescent="0.35">
      <c r="AO506" s="39">
        <v>504</v>
      </c>
      <c r="AP506" s="60"/>
      <c r="AQ506" s="41"/>
      <c r="AR506" s="42" t="str">
        <f>IFERROR(VLOOKUP(AU506,[1]SUMMARY!$A$3:$B$7,2,FALSE),"")</f>
        <v/>
      </c>
      <c r="AS506" s="42"/>
      <c r="AT506" s="31" t="e">
        <f>VLOOKUP(AS506,[1]OUTLET!$B:$C,2,0)</f>
        <v>#N/A</v>
      </c>
      <c r="AU506" s="42"/>
      <c r="AV506" s="39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55"/>
      <c r="BP506" s="40"/>
      <c r="BQ506" s="39"/>
      <c r="BR506" s="59"/>
      <c r="BS506" s="39"/>
      <c r="BT506" s="57"/>
      <c r="BU506" s="60"/>
      <c r="BV506" s="8"/>
      <c r="BW506" s="58"/>
    </row>
    <row r="507" spans="41:75" x14ac:dyDescent="0.35">
      <c r="AO507" s="39">
        <v>505</v>
      </c>
      <c r="AP507" s="60"/>
      <c r="AQ507" s="41"/>
      <c r="AR507" s="42" t="str">
        <f>IFERROR(VLOOKUP(AU507,[1]SUMMARY!$A$3:$B$7,2,FALSE),"")</f>
        <v/>
      </c>
      <c r="AS507" s="42"/>
      <c r="AT507" s="31" t="e">
        <f>VLOOKUP(AS507,[1]OUTLET!$B:$C,2,0)</f>
        <v>#N/A</v>
      </c>
      <c r="AU507" s="42"/>
      <c r="AV507" s="39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55"/>
      <c r="BP507" s="40"/>
      <c r="BQ507" s="39"/>
      <c r="BR507" s="59"/>
      <c r="BS507" s="39"/>
      <c r="BT507" s="57"/>
      <c r="BU507" s="60"/>
      <c r="BV507" s="8"/>
      <c r="BW507" s="58"/>
    </row>
    <row r="508" spans="41:75" x14ac:dyDescent="0.35">
      <c r="AO508" s="39">
        <v>506</v>
      </c>
      <c r="AP508" s="60"/>
      <c r="AQ508" s="41"/>
      <c r="AR508" s="42" t="str">
        <f>IFERROR(VLOOKUP(AU508,[1]SUMMARY!$A$3:$B$7,2,FALSE),"")</f>
        <v/>
      </c>
      <c r="AS508" s="42"/>
      <c r="AT508" s="31" t="e">
        <f>VLOOKUP(AS508,[1]OUTLET!$B:$C,2,0)</f>
        <v>#N/A</v>
      </c>
      <c r="AU508" s="42"/>
      <c r="AV508" s="39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55"/>
      <c r="BP508" s="40"/>
      <c r="BQ508" s="39"/>
      <c r="BR508" s="59"/>
      <c r="BS508" s="39"/>
      <c r="BT508" s="57"/>
      <c r="BU508" s="60"/>
      <c r="BV508" s="8"/>
      <c r="BW508" s="58"/>
    </row>
    <row r="509" spans="41:75" x14ac:dyDescent="0.35">
      <c r="AO509" s="39">
        <v>507</v>
      </c>
      <c r="AP509" s="60"/>
      <c r="AQ509" s="41"/>
      <c r="AR509" s="42" t="str">
        <f>IFERROR(VLOOKUP(AU509,[1]SUMMARY!$A$3:$B$7,2,FALSE),"")</f>
        <v/>
      </c>
      <c r="AS509" s="42"/>
      <c r="AT509" s="31" t="e">
        <f>VLOOKUP(AS509,[1]OUTLET!$B:$C,2,0)</f>
        <v>#N/A</v>
      </c>
      <c r="AU509" s="42"/>
      <c r="AV509" s="39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55"/>
      <c r="BP509" s="40"/>
      <c r="BQ509" s="39"/>
      <c r="BR509" s="59"/>
      <c r="BS509" s="39"/>
      <c r="BT509" s="57"/>
      <c r="BU509" s="60"/>
      <c r="BV509" s="8"/>
      <c r="BW509" s="58"/>
    </row>
    <row r="510" spans="41:75" x14ac:dyDescent="0.35">
      <c r="AO510" s="39">
        <v>508</v>
      </c>
      <c r="AP510" s="60"/>
      <c r="AQ510" s="41"/>
      <c r="AR510" s="42" t="str">
        <f>IFERROR(VLOOKUP(AU510,[1]SUMMARY!$A$3:$B$7,2,FALSE),"")</f>
        <v/>
      </c>
      <c r="AS510" s="42"/>
      <c r="AT510" s="31" t="e">
        <f>VLOOKUP(AS510,[1]OUTLET!$B:$C,2,0)</f>
        <v>#N/A</v>
      </c>
      <c r="AU510" s="42"/>
      <c r="AV510" s="39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55"/>
      <c r="BP510" s="40"/>
      <c r="BQ510" s="39"/>
      <c r="BR510" s="59"/>
      <c r="BS510" s="39"/>
      <c r="BT510" s="57"/>
      <c r="BU510" s="60"/>
      <c r="BV510" s="8"/>
      <c r="BW510" s="58"/>
    </row>
    <row r="511" spans="41:75" x14ac:dyDescent="0.35">
      <c r="AO511" s="39">
        <v>509</v>
      </c>
      <c r="AP511" s="60"/>
      <c r="AQ511" s="41"/>
      <c r="AR511" s="42" t="str">
        <f>IFERROR(VLOOKUP(AU511,[1]SUMMARY!$A$3:$B$7,2,FALSE),"")</f>
        <v/>
      </c>
      <c r="AS511" s="42"/>
      <c r="AT511" s="31" t="e">
        <f>VLOOKUP(AS511,[1]OUTLET!$B:$C,2,0)</f>
        <v>#N/A</v>
      </c>
      <c r="AU511" s="42"/>
      <c r="AV511" s="39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55"/>
      <c r="BP511" s="40"/>
      <c r="BQ511" s="39"/>
      <c r="BR511" s="59"/>
      <c r="BS511" s="39"/>
      <c r="BT511" s="57"/>
      <c r="BU511" s="60"/>
      <c r="BV511" s="8"/>
      <c r="BW511" s="58"/>
    </row>
    <row r="512" spans="41:75" x14ac:dyDescent="0.35">
      <c r="AO512" s="39">
        <v>510</v>
      </c>
      <c r="AP512" s="60"/>
      <c r="AQ512" s="41"/>
      <c r="AR512" s="42" t="str">
        <f>IFERROR(VLOOKUP(AU512,[1]SUMMARY!$A$3:$B$7,2,FALSE),"")</f>
        <v/>
      </c>
      <c r="AS512" s="42"/>
      <c r="AT512" s="31" t="e">
        <f>VLOOKUP(AS512,[1]OUTLET!$B:$C,2,0)</f>
        <v>#N/A</v>
      </c>
      <c r="AU512" s="42"/>
      <c r="AV512" s="39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55"/>
      <c r="BP512" s="40"/>
      <c r="BQ512" s="39"/>
      <c r="BR512" s="59"/>
      <c r="BS512" s="39"/>
      <c r="BT512" s="57"/>
      <c r="BU512" s="60"/>
      <c r="BV512" s="8"/>
      <c r="BW512" s="58"/>
    </row>
    <row r="513" spans="41:75" x14ac:dyDescent="0.35">
      <c r="AO513" s="39">
        <v>511</v>
      </c>
      <c r="AP513" s="60"/>
      <c r="AQ513" s="41"/>
      <c r="AR513" s="42" t="str">
        <f>IFERROR(VLOOKUP(AU513,[1]SUMMARY!$A$3:$B$7,2,FALSE),"")</f>
        <v/>
      </c>
      <c r="AS513" s="42"/>
      <c r="AT513" s="31" t="e">
        <f>VLOOKUP(AS513,[1]OUTLET!$B:$C,2,0)</f>
        <v>#N/A</v>
      </c>
      <c r="AU513" s="42"/>
      <c r="AV513" s="39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55"/>
      <c r="BP513" s="40"/>
      <c r="BQ513" s="39"/>
      <c r="BR513" s="59"/>
      <c r="BS513" s="39"/>
      <c r="BT513" s="57"/>
      <c r="BU513" s="60"/>
      <c r="BV513" s="8"/>
      <c r="BW513" s="58"/>
    </row>
    <row r="514" spans="41:75" x14ac:dyDescent="0.35">
      <c r="AO514" s="39">
        <v>512</v>
      </c>
      <c r="AP514" s="60"/>
      <c r="AQ514" s="41"/>
      <c r="AR514" s="42" t="str">
        <f>IFERROR(VLOOKUP(AU514,[1]SUMMARY!$A$3:$B$7,2,FALSE),"")</f>
        <v/>
      </c>
      <c r="AS514" s="42"/>
      <c r="AT514" s="31" t="e">
        <f>VLOOKUP(AS514,[1]OUTLET!$B:$C,2,0)</f>
        <v>#N/A</v>
      </c>
      <c r="AU514" s="42"/>
      <c r="AV514" s="39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55"/>
      <c r="BP514" s="40"/>
      <c r="BQ514" s="39"/>
      <c r="BR514" s="59"/>
      <c r="BS514" s="39"/>
      <c r="BT514" s="57"/>
      <c r="BU514" s="60"/>
      <c r="BV514" s="8"/>
      <c r="BW514" s="58"/>
    </row>
    <row r="515" spans="41:75" x14ac:dyDescent="0.35">
      <c r="AO515" s="39">
        <v>513</v>
      </c>
      <c r="AP515" s="60"/>
      <c r="AQ515" s="41"/>
      <c r="AR515" s="42" t="str">
        <f>IFERROR(VLOOKUP(AU515,[1]SUMMARY!$A$3:$B$7,2,FALSE),"")</f>
        <v/>
      </c>
      <c r="AS515" s="42"/>
      <c r="AT515" s="31" t="e">
        <f>VLOOKUP(AS515,[1]OUTLET!$B:$C,2,0)</f>
        <v>#N/A</v>
      </c>
      <c r="AU515" s="42"/>
      <c r="AV515" s="39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55"/>
      <c r="BP515" s="40"/>
      <c r="BQ515" s="39"/>
      <c r="BR515" s="59"/>
      <c r="BS515" s="39"/>
      <c r="BT515" s="57"/>
      <c r="BU515" s="60"/>
      <c r="BV515" s="8"/>
      <c r="BW515" s="58"/>
    </row>
    <row r="516" spans="41:75" x14ac:dyDescent="0.35">
      <c r="AO516" s="39">
        <v>514</v>
      </c>
      <c r="AP516" s="60"/>
      <c r="AQ516" s="41"/>
      <c r="AR516" s="42" t="str">
        <f>IFERROR(VLOOKUP(AU516,[1]SUMMARY!$A$3:$B$7,2,FALSE),"")</f>
        <v/>
      </c>
      <c r="AS516" s="42"/>
      <c r="AT516" s="31" t="e">
        <f>VLOOKUP(AS516,[1]OUTLET!$B:$C,2,0)</f>
        <v>#N/A</v>
      </c>
      <c r="AU516" s="42"/>
      <c r="AV516" s="39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55"/>
      <c r="BP516" s="40"/>
      <c r="BQ516" s="39"/>
      <c r="BR516" s="59"/>
      <c r="BS516" s="39"/>
      <c r="BT516" s="57"/>
      <c r="BU516" s="60"/>
      <c r="BV516" s="8"/>
      <c r="BW516" s="58"/>
    </row>
    <row r="517" spans="41:75" x14ac:dyDescent="0.35">
      <c r="AO517" s="39">
        <v>515</v>
      </c>
      <c r="AP517" s="60"/>
      <c r="AQ517" s="41"/>
      <c r="AR517" s="42" t="str">
        <f>IFERROR(VLOOKUP(AU517,[1]SUMMARY!$A$3:$B$7,2,FALSE),"")</f>
        <v/>
      </c>
      <c r="AS517" s="42"/>
      <c r="AT517" s="31" t="e">
        <f>VLOOKUP(AS517,[1]OUTLET!$B:$C,2,0)</f>
        <v>#N/A</v>
      </c>
      <c r="AU517" s="42"/>
      <c r="AV517" s="39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55"/>
      <c r="BP517" s="40"/>
      <c r="BQ517" s="39"/>
      <c r="BR517" s="59"/>
      <c r="BS517" s="39"/>
      <c r="BT517" s="57"/>
      <c r="BU517" s="60"/>
      <c r="BV517" s="8"/>
      <c r="BW517" s="58"/>
    </row>
    <row r="518" spans="41:75" x14ac:dyDescent="0.35">
      <c r="AO518" s="39">
        <v>516</v>
      </c>
      <c r="AP518" s="60"/>
      <c r="AQ518" s="41"/>
      <c r="AR518" s="42" t="str">
        <f>IFERROR(VLOOKUP(AU518,[1]SUMMARY!$A$3:$B$7,2,FALSE),"")</f>
        <v/>
      </c>
      <c r="AS518" s="42"/>
      <c r="AT518" s="31" t="e">
        <f>VLOOKUP(AS518,[1]OUTLET!$B:$C,2,0)</f>
        <v>#N/A</v>
      </c>
      <c r="AU518" s="42"/>
      <c r="AV518" s="39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55"/>
      <c r="BP518" s="40"/>
      <c r="BQ518" s="39"/>
      <c r="BR518" s="59"/>
      <c r="BS518" s="39"/>
      <c r="BT518" s="57"/>
      <c r="BU518" s="60"/>
      <c r="BV518" s="8"/>
      <c r="BW518" s="58"/>
    </row>
    <row r="519" spans="41:75" x14ac:dyDescent="0.35">
      <c r="AO519" s="39">
        <v>517</v>
      </c>
      <c r="AP519" s="60"/>
      <c r="AQ519" s="41"/>
      <c r="AR519" s="42" t="str">
        <f>IFERROR(VLOOKUP(AU519,[1]SUMMARY!$A$3:$B$7,2,FALSE),"")</f>
        <v/>
      </c>
      <c r="AS519" s="42"/>
      <c r="AT519" s="31" t="e">
        <f>VLOOKUP(AS519,[1]OUTLET!$B:$C,2,0)</f>
        <v>#N/A</v>
      </c>
      <c r="AU519" s="42"/>
      <c r="AV519" s="39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55"/>
      <c r="BP519" s="40"/>
      <c r="BQ519" s="39"/>
      <c r="BR519" s="59"/>
      <c r="BS519" s="39"/>
      <c r="BT519" s="57"/>
      <c r="BU519" s="60"/>
      <c r="BV519" s="8"/>
      <c r="BW519" s="58"/>
    </row>
    <row r="520" spans="41:75" x14ac:dyDescent="0.35">
      <c r="AO520" s="39">
        <v>518</v>
      </c>
      <c r="AP520" s="60"/>
      <c r="AQ520" s="41"/>
      <c r="AR520" s="42" t="str">
        <f>IFERROR(VLOOKUP(AU520,[1]SUMMARY!$A$3:$B$7,2,FALSE),"")</f>
        <v/>
      </c>
      <c r="AS520" s="42"/>
      <c r="AT520" s="31" t="e">
        <f>VLOOKUP(AS520,[1]OUTLET!$B:$C,2,0)</f>
        <v>#N/A</v>
      </c>
      <c r="AU520" s="42"/>
      <c r="AV520" s="39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55"/>
      <c r="BP520" s="40"/>
      <c r="BQ520" s="39"/>
      <c r="BR520" s="59"/>
      <c r="BS520" s="39"/>
      <c r="BT520" s="57"/>
      <c r="BU520" s="60"/>
      <c r="BV520" s="8"/>
      <c r="BW520" s="58"/>
    </row>
    <row r="521" spans="41:75" x14ac:dyDescent="0.35">
      <c r="AO521" s="39">
        <v>519</v>
      </c>
      <c r="AP521" s="60"/>
      <c r="AQ521" s="41"/>
      <c r="AR521" s="42" t="str">
        <f>IFERROR(VLOOKUP(AU521,[1]SUMMARY!$A$3:$B$7,2,FALSE),"")</f>
        <v/>
      </c>
      <c r="AS521" s="42"/>
      <c r="AT521" s="31" t="e">
        <f>VLOOKUP(AS521,[1]OUTLET!$B:$C,2,0)</f>
        <v>#N/A</v>
      </c>
      <c r="AU521" s="42"/>
      <c r="AV521" s="39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55"/>
      <c r="BP521" s="40"/>
      <c r="BQ521" s="39"/>
      <c r="BR521" s="59"/>
      <c r="BS521" s="39"/>
      <c r="BT521" s="57"/>
      <c r="BU521" s="60"/>
      <c r="BV521" s="8"/>
      <c r="BW521" s="58"/>
    </row>
    <row r="522" spans="41:75" x14ac:dyDescent="0.35">
      <c r="AO522" s="39">
        <v>520</v>
      </c>
      <c r="AP522" s="60"/>
      <c r="AQ522" s="41"/>
      <c r="AR522" s="42" t="str">
        <f>IFERROR(VLOOKUP(AU522,[1]SUMMARY!$A$3:$B$7,2,FALSE),"")</f>
        <v/>
      </c>
      <c r="AS522" s="42"/>
      <c r="AT522" s="31" t="e">
        <f>VLOOKUP(AS522,[1]OUTLET!$B:$C,2,0)</f>
        <v>#N/A</v>
      </c>
      <c r="AU522" s="42"/>
      <c r="AV522" s="39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55"/>
      <c r="BP522" s="40"/>
      <c r="BQ522" s="39"/>
      <c r="BR522" s="59"/>
      <c r="BS522" s="39"/>
      <c r="BT522" s="57"/>
      <c r="BU522" s="60"/>
      <c r="BV522" s="8"/>
      <c r="BW522" s="58"/>
    </row>
    <row r="523" spans="41:75" x14ac:dyDescent="0.35">
      <c r="AO523" s="39">
        <v>521</v>
      </c>
      <c r="AP523" s="60"/>
      <c r="AQ523" s="41"/>
      <c r="AR523" s="42" t="str">
        <f>IFERROR(VLOOKUP(AU523,[1]SUMMARY!$A$3:$B$7,2,FALSE),"")</f>
        <v/>
      </c>
      <c r="AS523" s="42"/>
      <c r="AT523" s="31" t="e">
        <f>VLOOKUP(AS523,[1]OUTLET!$B:$C,2,0)</f>
        <v>#N/A</v>
      </c>
      <c r="AU523" s="42"/>
      <c r="AV523" s="39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55"/>
      <c r="BP523" s="40"/>
      <c r="BQ523" s="39"/>
      <c r="BR523" s="59"/>
      <c r="BS523" s="39"/>
      <c r="BT523" s="57"/>
      <c r="BU523" s="60"/>
      <c r="BV523" s="8"/>
      <c r="BW523" s="58"/>
    </row>
    <row r="524" spans="41:75" x14ac:dyDescent="0.35">
      <c r="AO524" s="39">
        <v>522</v>
      </c>
      <c r="AP524" s="60"/>
      <c r="AQ524" s="41"/>
      <c r="AR524" s="42" t="str">
        <f>IFERROR(VLOOKUP(AU524,[1]SUMMARY!$A$3:$B$7,2,FALSE),"")</f>
        <v/>
      </c>
      <c r="AS524" s="42"/>
      <c r="AT524" s="31" t="e">
        <f>VLOOKUP(AS524,[1]OUTLET!$B:$C,2,0)</f>
        <v>#N/A</v>
      </c>
      <c r="AU524" s="42"/>
      <c r="AV524" s="39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55"/>
      <c r="BP524" s="40"/>
      <c r="BQ524" s="39"/>
      <c r="BR524" s="59"/>
      <c r="BS524" s="39"/>
      <c r="BT524" s="57"/>
      <c r="BU524" s="60"/>
      <c r="BV524" s="8"/>
      <c r="BW524" s="58"/>
    </row>
    <row r="525" spans="41:75" x14ac:dyDescent="0.35">
      <c r="AO525" s="39">
        <v>523</v>
      </c>
      <c r="AP525" s="60"/>
      <c r="AQ525" s="41"/>
      <c r="AR525" s="42" t="str">
        <f>IFERROR(VLOOKUP(AU525,[1]SUMMARY!$A$3:$B$7,2,FALSE),"")</f>
        <v/>
      </c>
      <c r="AS525" s="42"/>
      <c r="AT525" s="31" t="e">
        <f>VLOOKUP(AS525,[1]OUTLET!$B:$C,2,0)</f>
        <v>#N/A</v>
      </c>
      <c r="AU525" s="42"/>
      <c r="AV525" s="39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55"/>
      <c r="BP525" s="40"/>
      <c r="BQ525" s="39"/>
      <c r="BR525" s="59"/>
      <c r="BS525" s="39"/>
      <c r="BT525" s="57"/>
      <c r="BU525" s="60"/>
      <c r="BV525" s="8"/>
      <c r="BW525" s="58"/>
    </row>
    <row r="526" spans="41:75" x14ac:dyDescent="0.35">
      <c r="AO526" s="39">
        <v>524</v>
      </c>
      <c r="AP526" s="60"/>
      <c r="AQ526" s="41"/>
      <c r="AR526" s="42" t="str">
        <f>IFERROR(VLOOKUP(AU526,[1]SUMMARY!$A$3:$B$7,2,FALSE),"")</f>
        <v/>
      </c>
      <c r="AS526" s="42"/>
      <c r="AT526" s="31" t="e">
        <f>VLOOKUP(AS526,[1]OUTLET!$B:$C,2,0)</f>
        <v>#N/A</v>
      </c>
      <c r="AU526" s="42"/>
      <c r="AV526" s="39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55"/>
      <c r="BP526" s="40"/>
      <c r="BQ526" s="39"/>
      <c r="BR526" s="59"/>
      <c r="BS526" s="39"/>
      <c r="BT526" s="57"/>
      <c r="BU526" s="60"/>
      <c r="BV526" s="8"/>
      <c r="BW526" s="58"/>
    </row>
    <row r="527" spans="41:75" x14ac:dyDescent="0.35">
      <c r="AO527" s="39">
        <v>525</v>
      </c>
      <c r="AP527" s="60"/>
      <c r="AQ527" s="41"/>
      <c r="AR527" s="42" t="str">
        <f>IFERROR(VLOOKUP(AU527,[1]SUMMARY!$A$3:$B$7,2,FALSE),"")</f>
        <v/>
      </c>
      <c r="AS527" s="42"/>
      <c r="AT527" s="31" t="e">
        <f>VLOOKUP(AS527,[1]OUTLET!$B:$C,2,0)</f>
        <v>#N/A</v>
      </c>
      <c r="AU527" s="42"/>
      <c r="AV527" s="39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55"/>
      <c r="BP527" s="40"/>
      <c r="BQ527" s="39"/>
      <c r="BR527" s="59"/>
      <c r="BS527" s="39"/>
      <c r="BT527" s="57"/>
      <c r="BU527" s="60"/>
      <c r="BV527" s="8"/>
      <c r="BW527" s="58"/>
    </row>
    <row r="528" spans="41:75" x14ac:dyDescent="0.35">
      <c r="AO528" s="39">
        <v>526</v>
      </c>
      <c r="AP528" s="60"/>
      <c r="AQ528" s="41"/>
      <c r="AR528" s="42" t="str">
        <f>IFERROR(VLOOKUP(AU528,[1]SUMMARY!$A$3:$B$7,2,FALSE),"")</f>
        <v/>
      </c>
      <c r="AS528" s="42"/>
      <c r="AT528" s="31" t="e">
        <f>VLOOKUP(AS528,[1]OUTLET!$B:$C,2,0)</f>
        <v>#N/A</v>
      </c>
      <c r="AU528" s="42"/>
      <c r="AV528" s="39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55"/>
      <c r="BP528" s="40"/>
      <c r="BQ528" s="39"/>
      <c r="BR528" s="59"/>
      <c r="BS528" s="39"/>
      <c r="BT528" s="57"/>
      <c r="BU528" s="60"/>
      <c r="BV528" s="8"/>
      <c r="BW528" s="58"/>
    </row>
    <row r="529" spans="41:75" x14ac:dyDescent="0.35">
      <c r="AO529" s="39">
        <v>527</v>
      </c>
      <c r="AP529" s="60"/>
      <c r="AQ529" s="41"/>
      <c r="AR529" s="42" t="str">
        <f>IFERROR(VLOOKUP(AU529,[1]SUMMARY!$A$3:$B$7,2,FALSE),"")</f>
        <v/>
      </c>
      <c r="AS529" s="42"/>
      <c r="AT529" s="31" t="e">
        <f>VLOOKUP(AS529,[1]OUTLET!$B:$C,2,0)</f>
        <v>#N/A</v>
      </c>
      <c r="AU529" s="42"/>
      <c r="AV529" s="39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55"/>
      <c r="BP529" s="40"/>
      <c r="BQ529" s="39"/>
      <c r="BR529" s="59"/>
      <c r="BS529" s="39"/>
      <c r="BT529" s="57"/>
      <c r="BU529" s="60"/>
      <c r="BV529" s="8"/>
      <c r="BW529" s="58"/>
    </row>
    <row r="530" spans="41:75" x14ac:dyDescent="0.35">
      <c r="AO530" s="39">
        <v>528</v>
      </c>
      <c r="AP530" s="60"/>
      <c r="AQ530" s="41"/>
      <c r="AR530" s="42" t="str">
        <f>IFERROR(VLOOKUP(AU530,[1]SUMMARY!$A$3:$B$7,2,FALSE),"")</f>
        <v/>
      </c>
      <c r="AS530" s="42"/>
      <c r="AT530" s="31" t="e">
        <f>VLOOKUP(AS530,[1]OUTLET!$B:$C,2,0)</f>
        <v>#N/A</v>
      </c>
      <c r="AU530" s="42"/>
      <c r="AV530" s="39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55"/>
      <c r="BP530" s="40"/>
      <c r="BQ530" s="39"/>
      <c r="BR530" s="59"/>
      <c r="BS530" s="39"/>
      <c r="BT530" s="57"/>
      <c r="BU530" s="60"/>
      <c r="BV530" s="8"/>
      <c r="BW530" s="58"/>
    </row>
    <row r="531" spans="41:75" x14ac:dyDescent="0.35">
      <c r="AO531" s="39">
        <v>529</v>
      </c>
      <c r="AP531" s="60"/>
      <c r="AQ531" s="41"/>
      <c r="AR531" s="42" t="str">
        <f>IFERROR(VLOOKUP(AU531,[1]SUMMARY!$A$3:$B$7,2,FALSE),"")</f>
        <v/>
      </c>
      <c r="AS531" s="42"/>
      <c r="AT531" s="31" t="e">
        <f>VLOOKUP(AS531,[1]OUTLET!$B:$C,2,0)</f>
        <v>#N/A</v>
      </c>
      <c r="AU531" s="42"/>
      <c r="AV531" s="39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55"/>
      <c r="BP531" s="40"/>
      <c r="BQ531" s="39"/>
      <c r="BR531" s="59"/>
      <c r="BS531" s="39"/>
      <c r="BT531" s="57"/>
      <c r="BU531" s="60"/>
      <c r="BV531" s="8"/>
      <c r="BW531" s="58"/>
    </row>
    <row r="532" spans="41:75" x14ac:dyDescent="0.35">
      <c r="AO532" s="39">
        <v>530</v>
      </c>
      <c r="AP532" s="60"/>
      <c r="AQ532" s="41"/>
      <c r="AR532" s="42" t="str">
        <f>IFERROR(VLOOKUP(AU532,[1]SUMMARY!$A$3:$B$7,2,FALSE),"")</f>
        <v/>
      </c>
      <c r="AS532" s="42"/>
      <c r="AT532" s="31" t="e">
        <f>VLOOKUP(AS532,[1]OUTLET!$B:$C,2,0)</f>
        <v>#N/A</v>
      </c>
      <c r="AU532" s="42"/>
      <c r="AV532" s="39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55"/>
      <c r="BP532" s="40"/>
      <c r="BQ532" s="39"/>
      <c r="BR532" s="59"/>
      <c r="BS532" s="39"/>
      <c r="BT532" s="57"/>
      <c r="BU532" s="60"/>
      <c r="BV532" s="8"/>
      <c r="BW532" s="58"/>
    </row>
    <row r="533" spans="41:75" x14ac:dyDescent="0.35">
      <c r="AO533" s="39">
        <v>531</v>
      </c>
      <c r="AP533" s="60"/>
      <c r="AQ533" s="41"/>
      <c r="AR533" s="42" t="str">
        <f>IFERROR(VLOOKUP(AU533,[1]SUMMARY!$A$3:$B$7,2,FALSE),"")</f>
        <v/>
      </c>
      <c r="AS533" s="42"/>
      <c r="AT533" s="31" t="e">
        <f>VLOOKUP(AS533,[1]OUTLET!$B:$C,2,0)</f>
        <v>#N/A</v>
      </c>
      <c r="AU533" s="42"/>
      <c r="AV533" s="39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55"/>
      <c r="BP533" s="40"/>
      <c r="BQ533" s="39"/>
      <c r="BR533" s="59"/>
      <c r="BS533" s="39"/>
      <c r="BT533" s="57"/>
      <c r="BU533" s="60"/>
      <c r="BV533" s="8"/>
      <c r="BW533" s="58"/>
    </row>
    <row r="534" spans="41:75" x14ac:dyDescent="0.35">
      <c r="AO534" s="39">
        <v>532</v>
      </c>
      <c r="AP534" s="60"/>
      <c r="AQ534" s="41"/>
      <c r="AR534" s="42" t="str">
        <f>IFERROR(VLOOKUP(AU534,[1]SUMMARY!$A$3:$B$7,2,FALSE),"")</f>
        <v/>
      </c>
      <c r="AS534" s="42"/>
      <c r="AT534" s="31" t="e">
        <f>VLOOKUP(AS534,[1]OUTLET!$B:$C,2,0)</f>
        <v>#N/A</v>
      </c>
      <c r="AU534" s="42"/>
      <c r="AV534" s="39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55"/>
      <c r="BP534" s="40"/>
      <c r="BQ534" s="39"/>
      <c r="BR534" s="59"/>
      <c r="BS534" s="39"/>
      <c r="BT534" s="57"/>
      <c r="BU534" s="60"/>
      <c r="BV534" s="8"/>
      <c r="BW534" s="58"/>
    </row>
    <row r="535" spans="41:75" x14ac:dyDescent="0.35">
      <c r="AO535" s="39">
        <v>533</v>
      </c>
      <c r="AP535" s="60"/>
      <c r="AQ535" s="41"/>
      <c r="AR535" s="42" t="str">
        <f>IFERROR(VLOOKUP(AU535,[1]SUMMARY!$A$3:$B$7,2,FALSE),"")</f>
        <v/>
      </c>
      <c r="AS535" s="42"/>
      <c r="AT535" s="31" t="e">
        <f>VLOOKUP(AS535,[1]OUTLET!$B:$C,2,0)</f>
        <v>#N/A</v>
      </c>
      <c r="AU535" s="42"/>
      <c r="AV535" s="39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55"/>
      <c r="BP535" s="40"/>
      <c r="BQ535" s="39"/>
      <c r="BR535" s="59"/>
      <c r="BS535" s="39"/>
      <c r="BT535" s="57"/>
      <c r="BU535" s="60"/>
      <c r="BV535" s="8"/>
      <c r="BW535" s="58"/>
    </row>
    <row r="536" spans="41:75" x14ac:dyDescent="0.35">
      <c r="AO536" s="39">
        <v>534</v>
      </c>
      <c r="AP536" s="60"/>
      <c r="AQ536" s="41"/>
      <c r="AR536" s="42" t="str">
        <f>IFERROR(VLOOKUP(AU536,[1]SUMMARY!$A$3:$B$7,2,FALSE),"")</f>
        <v/>
      </c>
      <c r="AS536" s="42"/>
      <c r="AT536" s="31" t="e">
        <f>VLOOKUP(AS536,[1]OUTLET!$B:$C,2,0)</f>
        <v>#N/A</v>
      </c>
      <c r="AU536" s="42"/>
      <c r="AV536" s="39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55"/>
      <c r="BP536" s="40"/>
      <c r="BQ536" s="39"/>
      <c r="BR536" s="59"/>
      <c r="BS536" s="39"/>
      <c r="BT536" s="57"/>
      <c r="BU536" s="60"/>
      <c r="BV536" s="8"/>
      <c r="BW536" s="58"/>
    </row>
    <row r="537" spans="41:75" x14ac:dyDescent="0.35">
      <c r="AO537" s="39">
        <v>535</v>
      </c>
      <c r="AP537" s="60"/>
      <c r="AQ537" s="41"/>
      <c r="AR537" s="42" t="str">
        <f>IFERROR(VLOOKUP(AU537,[1]SUMMARY!$A$3:$B$7,2,FALSE),"")</f>
        <v/>
      </c>
      <c r="AS537" s="42"/>
      <c r="AT537" s="31" t="e">
        <f>VLOOKUP(AS537,[1]OUTLET!$B:$C,2,0)</f>
        <v>#N/A</v>
      </c>
      <c r="AU537" s="42"/>
      <c r="AV537" s="39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55"/>
      <c r="BP537" s="40"/>
      <c r="BQ537" s="39"/>
      <c r="BR537" s="59"/>
      <c r="BS537" s="39"/>
      <c r="BT537" s="57"/>
      <c r="BU537" s="60"/>
      <c r="BV537" s="8"/>
      <c r="BW537" s="58"/>
    </row>
    <row r="538" spans="41:75" x14ac:dyDescent="0.35">
      <c r="AO538" s="39">
        <v>536</v>
      </c>
      <c r="AP538" s="60"/>
      <c r="AQ538" s="41"/>
      <c r="AR538" s="42" t="str">
        <f>IFERROR(VLOOKUP(AU538,[1]SUMMARY!$A$3:$B$7,2,FALSE),"")</f>
        <v/>
      </c>
      <c r="AS538" s="42"/>
      <c r="AT538" s="31" t="e">
        <f>VLOOKUP(AS538,[1]OUTLET!$B:$C,2,0)</f>
        <v>#N/A</v>
      </c>
      <c r="AU538" s="42"/>
      <c r="AV538" s="39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55"/>
      <c r="BP538" s="40"/>
      <c r="BQ538" s="39"/>
      <c r="BR538" s="59"/>
      <c r="BS538" s="39"/>
      <c r="BT538" s="57"/>
      <c r="BU538" s="60"/>
      <c r="BV538" s="8"/>
      <c r="BW538" s="58"/>
    </row>
    <row r="539" spans="41:75" x14ac:dyDescent="0.35">
      <c r="AO539" s="39">
        <v>537</v>
      </c>
      <c r="AP539" s="60"/>
      <c r="AQ539" s="41"/>
      <c r="AR539" s="42" t="str">
        <f>IFERROR(VLOOKUP(AU539,[1]SUMMARY!$A$3:$B$7,2,FALSE),"")</f>
        <v/>
      </c>
      <c r="AS539" s="42"/>
      <c r="AT539" s="31" t="e">
        <f>VLOOKUP(AS539,[1]OUTLET!$B:$C,2,0)</f>
        <v>#N/A</v>
      </c>
      <c r="AU539" s="42"/>
      <c r="AV539" s="39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55"/>
      <c r="BP539" s="40"/>
      <c r="BQ539" s="39"/>
      <c r="BR539" s="59"/>
      <c r="BS539" s="39"/>
      <c r="BT539" s="57"/>
      <c r="BU539" s="60"/>
      <c r="BV539" s="8"/>
      <c r="BW539" s="58"/>
    </row>
    <row r="540" spans="41:75" x14ac:dyDescent="0.35">
      <c r="AO540" s="39">
        <v>538</v>
      </c>
      <c r="AP540" s="60"/>
      <c r="AQ540" s="41"/>
      <c r="AR540" s="42" t="str">
        <f>IFERROR(VLOOKUP(AU540,[1]SUMMARY!$A$3:$B$7,2,FALSE),"")</f>
        <v/>
      </c>
      <c r="AS540" s="42"/>
      <c r="AT540" s="31" t="e">
        <f>VLOOKUP(AS540,[1]OUTLET!$B:$C,2,0)</f>
        <v>#N/A</v>
      </c>
      <c r="AU540" s="42"/>
      <c r="AV540" s="39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55"/>
      <c r="BP540" s="40"/>
      <c r="BQ540" s="39"/>
      <c r="BR540" s="59"/>
      <c r="BS540" s="39"/>
      <c r="BT540" s="57"/>
      <c r="BU540" s="60"/>
      <c r="BV540" s="8"/>
      <c r="BW540" s="58"/>
    </row>
    <row r="541" spans="41:75" x14ac:dyDescent="0.35">
      <c r="AO541" s="39">
        <v>539</v>
      </c>
      <c r="AP541" s="60"/>
      <c r="AQ541" s="41"/>
      <c r="AR541" s="42" t="str">
        <f>IFERROR(VLOOKUP(AU541,[1]SUMMARY!$A$3:$B$7,2,FALSE),"")</f>
        <v/>
      </c>
      <c r="AS541" s="42"/>
      <c r="AT541" s="31" t="e">
        <f>VLOOKUP(AS541,[1]OUTLET!$B:$C,2,0)</f>
        <v>#N/A</v>
      </c>
      <c r="AU541" s="42"/>
      <c r="AV541" s="39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55"/>
      <c r="BP541" s="40"/>
      <c r="BQ541" s="39"/>
      <c r="BR541" s="59"/>
      <c r="BS541" s="39"/>
      <c r="BT541" s="57"/>
      <c r="BU541" s="60"/>
      <c r="BV541" s="8"/>
      <c r="BW541" s="58"/>
    </row>
    <row r="542" spans="41:75" x14ac:dyDescent="0.35">
      <c r="AO542" s="39">
        <v>540</v>
      </c>
      <c r="AP542" s="60"/>
      <c r="AQ542" s="41"/>
      <c r="AR542" s="42" t="str">
        <f>IFERROR(VLOOKUP(AU542,[1]SUMMARY!$A$3:$B$7,2,FALSE),"")</f>
        <v/>
      </c>
      <c r="AS542" s="42"/>
      <c r="AT542" s="31" t="e">
        <f>VLOOKUP(AS542,[1]OUTLET!$B:$C,2,0)</f>
        <v>#N/A</v>
      </c>
      <c r="AU542" s="42"/>
      <c r="AV542" s="39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55"/>
      <c r="BP542" s="40"/>
      <c r="BQ542" s="39"/>
      <c r="BR542" s="59"/>
      <c r="BS542" s="39"/>
      <c r="BT542" s="57"/>
      <c r="BU542" s="60"/>
      <c r="BV542" s="8"/>
      <c r="BW542" s="58"/>
    </row>
    <row r="543" spans="41:75" x14ac:dyDescent="0.35">
      <c r="AO543" s="39">
        <v>541</v>
      </c>
      <c r="AP543" s="60"/>
      <c r="AQ543" s="41"/>
      <c r="AR543" s="42" t="str">
        <f>IFERROR(VLOOKUP(AU543,[1]SUMMARY!$A$3:$B$7,2,FALSE),"")</f>
        <v/>
      </c>
      <c r="AS543" s="42"/>
      <c r="AT543" s="31" t="e">
        <f>VLOOKUP(AS543,[1]OUTLET!$B:$C,2,0)</f>
        <v>#N/A</v>
      </c>
      <c r="AU543" s="42"/>
      <c r="AV543" s="39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55"/>
      <c r="BP543" s="40"/>
      <c r="BQ543" s="39"/>
      <c r="BR543" s="59"/>
      <c r="BS543" s="39"/>
      <c r="BT543" s="57"/>
      <c r="BU543" s="60"/>
      <c r="BV543" s="8"/>
      <c r="BW543" s="58"/>
    </row>
    <row r="544" spans="41:75" x14ac:dyDescent="0.35">
      <c r="AO544" s="39">
        <v>542</v>
      </c>
      <c r="AP544" s="60"/>
      <c r="AQ544" s="41"/>
      <c r="AR544" s="42" t="str">
        <f>IFERROR(VLOOKUP(AU544,[1]SUMMARY!$A$3:$B$7,2,FALSE),"")</f>
        <v/>
      </c>
      <c r="AS544" s="42"/>
      <c r="AT544" s="31" t="e">
        <f>VLOOKUP(AS544,[1]OUTLET!$B:$C,2,0)</f>
        <v>#N/A</v>
      </c>
      <c r="AU544" s="42"/>
      <c r="AV544" s="39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55"/>
      <c r="BP544" s="40"/>
      <c r="BQ544" s="39"/>
      <c r="BR544" s="59"/>
      <c r="BS544" s="39"/>
      <c r="BT544" s="57"/>
      <c r="BU544" s="60"/>
      <c r="BV544" s="8"/>
      <c r="BW544" s="58"/>
    </row>
    <row r="545" spans="41:75" x14ac:dyDescent="0.35">
      <c r="AO545" s="39">
        <v>543</v>
      </c>
      <c r="AP545" s="60"/>
      <c r="AQ545" s="41"/>
      <c r="AR545" s="42" t="str">
        <f>IFERROR(VLOOKUP(AU545,[1]SUMMARY!$A$3:$B$7,2,FALSE),"")</f>
        <v/>
      </c>
      <c r="AS545" s="42"/>
      <c r="AT545" s="31" t="e">
        <f>VLOOKUP(AS545,[1]OUTLET!$B:$C,2,0)</f>
        <v>#N/A</v>
      </c>
      <c r="AU545" s="42"/>
      <c r="AV545" s="39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55"/>
      <c r="BP545" s="40"/>
      <c r="BQ545" s="39"/>
      <c r="BR545" s="59"/>
      <c r="BS545" s="39"/>
      <c r="BT545" s="57"/>
      <c r="BU545" s="60"/>
      <c r="BV545" s="8"/>
      <c r="BW545" s="58"/>
    </row>
    <row r="546" spans="41:75" x14ac:dyDescent="0.35">
      <c r="AO546" s="39">
        <v>544</v>
      </c>
      <c r="AP546" s="60"/>
      <c r="AQ546" s="41"/>
      <c r="AR546" s="42" t="str">
        <f>IFERROR(VLOOKUP(AU546,[1]SUMMARY!$A$3:$B$7,2,FALSE),"")</f>
        <v/>
      </c>
      <c r="AS546" s="42"/>
      <c r="AT546" s="31" t="e">
        <f>VLOOKUP(AS546,[1]OUTLET!$B:$C,2,0)</f>
        <v>#N/A</v>
      </c>
      <c r="AU546" s="42"/>
      <c r="AV546" s="39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55"/>
      <c r="BP546" s="40"/>
      <c r="BQ546" s="39"/>
      <c r="BR546" s="59"/>
      <c r="BS546" s="39"/>
      <c r="BT546" s="57"/>
      <c r="BU546" s="60"/>
      <c r="BV546" s="8"/>
      <c r="BW546" s="58"/>
    </row>
    <row r="547" spans="41:75" x14ac:dyDescent="0.35">
      <c r="AO547" s="39">
        <v>545</v>
      </c>
      <c r="AP547" s="60"/>
      <c r="AQ547" s="41"/>
      <c r="AR547" s="42" t="str">
        <f>IFERROR(VLOOKUP(AU547,[1]SUMMARY!$A$3:$B$7,2,FALSE),"")</f>
        <v/>
      </c>
      <c r="AS547" s="42"/>
      <c r="AT547" s="31" t="e">
        <f>VLOOKUP(AS547,[1]OUTLET!$B:$C,2,0)</f>
        <v>#N/A</v>
      </c>
      <c r="AU547" s="42"/>
      <c r="AV547" s="39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55"/>
      <c r="BP547" s="40"/>
      <c r="BQ547" s="39"/>
      <c r="BR547" s="59"/>
      <c r="BS547" s="39"/>
      <c r="BT547" s="57"/>
      <c r="BU547" s="60"/>
      <c r="BV547" s="8"/>
      <c r="BW547" s="58"/>
    </row>
    <row r="548" spans="41:75" x14ac:dyDescent="0.35">
      <c r="AO548" s="39">
        <v>546</v>
      </c>
      <c r="AP548" s="60"/>
      <c r="AQ548" s="41"/>
      <c r="AR548" s="42" t="str">
        <f>IFERROR(VLOOKUP(AU548,[1]SUMMARY!$A$3:$B$7,2,FALSE),"")</f>
        <v/>
      </c>
      <c r="AS548" s="42"/>
      <c r="AT548" s="31" t="e">
        <f>VLOOKUP(AS548,[1]OUTLET!$B:$C,2,0)</f>
        <v>#N/A</v>
      </c>
      <c r="AU548" s="42"/>
      <c r="AV548" s="39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55"/>
      <c r="BP548" s="40"/>
      <c r="BQ548" s="39"/>
      <c r="BR548" s="59"/>
      <c r="BS548" s="39"/>
      <c r="BT548" s="57"/>
      <c r="BU548" s="60"/>
      <c r="BV548" s="8"/>
      <c r="BW548" s="58"/>
    </row>
    <row r="549" spans="41:75" x14ac:dyDescent="0.35">
      <c r="AO549" s="39">
        <v>547</v>
      </c>
      <c r="AP549" s="60"/>
      <c r="AQ549" s="41"/>
      <c r="AR549" s="42" t="str">
        <f>IFERROR(VLOOKUP(AU549,[1]SUMMARY!$A$3:$B$7,2,FALSE),"")</f>
        <v/>
      </c>
      <c r="AS549" s="42"/>
      <c r="AT549" s="31" t="e">
        <f>VLOOKUP(AS549,[1]OUTLET!$B:$C,2,0)</f>
        <v>#N/A</v>
      </c>
      <c r="AU549" s="42"/>
      <c r="AV549" s="39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55"/>
      <c r="BP549" s="40"/>
      <c r="BQ549" s="39"/>
      <c r="BR549" s="59"/>
      <c r="BS549" s="39"/>
      <c r="BT549" s="57"/>
      <c r="BU549" s="60"/>
      <c r="BV549" s="8"/>
      <c r="BW549" s="58"/>
    </row>
    <row r="550" spans="41:75" x14ac:dyDescent="0.35">
      <c r="AO550" s="39">
        <v>548</v>
      </c>
      <c r="AP550" s="60"/>
      <c r="AQ550" s="41"/>
      <c r="AR550" s="42" t="str">
        <f>IFERROR(VLOOKUP(AU550,[1]SUMMARY!$A$3:$B$7,2,FALSE),"")</f>
        <v/>
      </c>
      <c r="AS550" s="42"/>
      <c r="AT550" s="31" t="e">
        <f>VLOOKUP(AS550,[1]OUTLET!$B:$C,2,0)</f>
        <v>#N/A</v>
      </c>
      <c r="AU550" s="42"/>
      <c r="AV550" s="39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55"/>
      <c r="BP550" s="40"/>
      <c r="BQ550" s="39"/>
      <c r="BR550" s="59"/>
      <c r="BS550" s="39"/>
      <c r="BT550" s="57"/>
      <c r="BU550" s="60"/>
      <c r="BV550" s="8"/>
      <c r="BW550" s="58"/>
    </row>
    <row r="551" spans="41:75" x14ac:dyDescent="0.35">
      <c r="AO551" s="39">
        <v>549</v>
      </c>
      <c r="AP551" s="60"/>
      <c r="AQ551" s="41"/>
      <c r="AR551" s="42" t="str">
        <f>IFERROR(VLOOKUP(AU551,[1]SUMMARY!$A$3:$B$7,2,FALSE),"")</f>
        <v/>
      </c>
      <c r="AS551" s="42"/>
      <c r="AT551" s="31" t="e">
        <f>VLOOKUP(AS551,[1]OUTLET!$B:$C,2,0)</f>
        <v>#N/A</v>
      </c>
      <c r="AU551" s="42"/>
      <c r="AV551" s="39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55"/>
      <c r="BP551" s="40"/>
      <c r="BQ551" s="39"/>
      <c r="BR551" s="59"/>
      <c r="BS551" s="39"/>
      <c r="BT551" s="57"/>
      <c r="BU551" s="60"/>
      <c r="BV551" s="8"/>
      <c r="BW551" s="58"/>
    </row>
    <row r="552" spans="41:75" x14ac:dyDescent="0.35">
      <c r="AO552" s="39">
        <v>550</v>
      </c>
      <c r="AP552" s="60"/>
      <c r="AQ552" s="41"/>
      <c r="AR552" s="42" t="str">
        <f>IFERROR(VLOOKUP(AU552,[1]SUMMARY!$A$3:$B$7,2,FALSE),"")</f>
        <v/>
      </c>
      <c r="AS552" s="42"/>
      <c r="AT552" s="31" t="e">
        <f>VLOOKUP(AS552,[1]OUTLET!$B:$C,2,0)</f>
        <v>#N/A</v>
      </c>
      <c r="AU552" s="42"/>
      <c r="AV552" s="39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55"/>
      <c r="BP552" s="40"/>
      <c r="BQ552" s="39"/>
      <c r="BR552" s="59"/>
      <c r="BS552" s="39"/>
      <c r="BT552" s="57"/>
      <c r="BU552" s="60"/>
      <c r="BV552" s="8"/>
      <c r="BW552" s="58"/>
    </row>
    <row r="553" spans="41:75" x14ac:dyDescent="0.35">
      <c r="AO553" s="39">
        <v>551</v>
      </c>
      <c r="AP553" s="60"/>
      <c r="AQ553" s="41"/>
      <c r="AR553" s="42" t="str">
        <f>IFERROR(VLOOKUP(AU553,[1]SUMMARY!$A$3:$B$7,2,FALSE),"")</f>
        <v/>
      </c>
      <c r="AS553" s="42"/>
      <c r="AT553" s="31" t="e">
        <f>VLOOKUP(AS553,[1]OUTLET!$B:$C,2,0)</f>
        <v>#N/A</v>
      </c>
      <c r="AU553" s="42"/>
      <c r="AV553" s="39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55"/>
      <c r="BP553" s="40"/>
      <c r="BQ553" s="39"/>
      <c r="BR553" s="59"/>
      <c r="BS553" s="39"/>
      <c r="BT553" s="57"/>
      <c r="BU553" s="60"/>
      <c r="BV553" s="8"/>
      <c r="BW553" s="58"/>
    </row>
    <row r="554" spans="41:75" x14ac:dyDescent="0.35">
      <c r="AO554" s="39">
        <v>552</v>
      </c>
      <c r="AP554" s="60"/>
      <c r="AQ554" s="41"/>
      <c r="AR554" s="42" t="str">
        <f>IFERROR(VLOOKUP(AU554,[1]SUMMARY!$A$3:$B$7,2,FALSE),"")</f>
        <v/>
      </c>
      <c r="AS554" s="42"/>
      <c r="AT554" s="31" t="e">
        <f>VLOOKUP(AS554,[1]OUTLET!$B:$C,2,0)</f>
        <v>#N/A</v>
      </c>
      <c r="AU554" s="42"/>
      <c r="AV554" s="39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55"/>
      <c r="BP554" s="40"/>
      <c r="BQ554" s="39"/>
      <c r="BR554" s="59"/>
      <c r="BS554" s="39"/>
      <c r="BT554" s="57"/>
      <c r="BU554" s="60"/>
      <c r="BV554" s="8"/>
      <c r="BW554" s="58"/>
    </row>
    <row r="555" spans="41:75" x14ac:dyDescent="0.35">
      <c r="AO555" s="39">
        <v>553</v>
      </c>
      <c r="AP555" s="60"/>
      <c r="AQ555" s="41"/>
      <c r="AR555" s="42" t="str">
        <f>IFERROR(VLOOKUP(AU555,[1]SUMMARY!$A$3:$B$7,2,FALSE),"")</f>
        <v/>
      </c>
      <c r="AS555" s="42"/>
      <c r="AT555" s="31" t="e">
        <f>VLOOKUP(AS555,[1]OUTLET!$B:$C,2,0)</f>
        <v>#N/A</v>
      </c>
      <c r="AU555" s="42"/>
      <c r="AV555" s="39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55"/>
      <c r="BP555" s="40"/>
      <c r="BQ555" s="39"/>
      <c r="BR555" s="59"/>
      <c r="BS555" s="39"/>
      <c r="BT555" s="57"/>
      <c r="BU555" s="60"/>
      <c r="BV555" s="8"/>
      <c r="BW555" s="58"/>
    </row>
    <row r="556" spans="41:75" x14ac:dyDescent="0.35">
      <c r="AO556" s="39">
        <v>554</v>
      </c>
      <c r="AP556" s="60"/>
      <c r="AQ556" s="41"/>
      <c r="AR556" s="42" t="str">
        <f>IFERROR(VLOOKUP(AU556,[1]SUMMARY!$A$3:$B$7,2,FALSE),"")</f>
        <v/>
      </c>
      <c r="AS556" s="42"/>
      <c r="AT556" s="31" t="e">
        <f>VLOOKUP(AS556,[1]OUTLET!$B:$C,2,0)</f>
        <v>#N/A</v>
      </c>
      <c r="AU556" s="42"/>
      <c r="AV556" s="39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55"/>
      <c r="BP556" s="40"/>
      <c r="BQ556" s="39"/>
      <c r="BR556" s="59"/>
      <c r="BS556" s="39"/>
      <c r="BT556" s="57"/>
      <c r="BU556" s="60"/>
      <c r="BV556" s="8"/>
      <c r="BW556" s="58"/>
    </row>
    <row r="557" spans="41:75" x14ac:dyDescent="0.35">
      <c r="AO557" s="39">
        <v>555</v>
      </c>
      <c r="AP557" s="60"/>
      <c r="AQ557" s="41"/>
      <c r="AR557" s="42" t="str">
        <f>IFERROR(VLOOKUP(AU557,[1]SUMMARY!$A$3:$B$7,2,FALSE),"")</f>
        <v/>
      </c>
      <c r="AS557" s="42"/>
      <c r="AT557" s="31" t="e">
        <f>VLOOKUP(AS557,[1]OUTLET!$B:$C,2,0)</f>
        <v>#N/A</v>
      </c>
      <c r="AU557" s="42"/>
      <c r="AV557" s="39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55"/>
      <c r="BP557" s="40"/>
      <c r="BQ557" s="39"/>
      <c r="BR557" s="59"/>
      <c r="BS557" s="39"/>
      <c r="BT557" s="57"/>
      <c r="BU557" s="60"/>
      <c r="BV557" s="8"/>
      <c r="BW557" s="58"/>
    </row>
    <row r="558" spans="41:75" x14ac:dyDescent="0.35">
      <c r="AO558" s="39">
        <v>556</v>
      </c>
      <c r="AP558" s="60"/>
      <c r="AQ558" s="41"/>
      <c r="AR558" s="42" t="str">
        <f>IFERROR(VLOOKUP(AU558,[1]SUMMARY!$A$3:$B$7,2,FALSE),"")</f>
        <v/>
      </c>
      <c r="AS558" s="42"/>
      <c r="AT558" s="31" t="e">
        <f>VLOOKUP(AS558,[1]OUTLET!$B:$C,2,0)</f>
        <v>#N/A</v>
      </c>
      <c r="AU558" s="42"/>
      <c r="AV558" s="39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55"/>
      <c r="BP558" s="40"/>
      <c r="BQ558" s="39"/>
      <c r="BR558" s="59"/>
      <c r="BS558" s="39"/>
      <c r="BT558" s="57"/>
      <c r="BU558" s="60"/>
      <c r="BV558" s="8"/>
      <c r="BW558" s="58"/>
    </row>
    <row r="559" spans="41:75" x14ac:dyDescent="0.35">
      <c r="AO559" s="39">
        <v>557</v>
      </c>
      <c r="AP559" s="60"/>
      <c r="AQ559" s="41"/>
      <c r="AR559" s="42" t="str">
        <f>IFERROR(VLOOKUP(AU559,[1]SUMMARY!$A$3:$B$7,2,FALSE),"")</f>
        <v/>
      </c>
      <c r="AS559" s="42"/>
      <c r="AT559" s="31" t="e">
        <f>VLOOKUP(AS559,[1]OUTLET!$B:$C,2,0)</f>
        <v>#N/A</v>
      </c>
      <c r="AU559" s="42"/>
      <c r="AV559" s="39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55"/>
      <c r="BP559" s="40"/>
      <c r="BQ559" s="39"/>
      <c r="BR559" s="59"/>
      <c r="BS559" s="39"/>
      <c r="BT559" s="57"/>
      <c r="BU559" s="60"/>
      <c r="BV559" s="8"/>
      <c r="BW559" s="58"/>
    </row>
    <row r="560" spans="41:75" x14ac:dyDescent="0.35">
      <c r="AO560" s="39">
        <v>558</v>
      </c>
      <c r="AP560" s="60"/>
      <c r="AQ560" s="41"/>
      <c r="AR560" s="42" t="str">
        <f>IFERROR(VLOOKUP(AU560,[1]SUMMARY!$A$3:$B$7,2,FALSE),"")</f>
        <v/>
      </c>
      <c r="AS560" s="42"/>
      <c r="AT560" s="31" t="e">
        <f>VLOOKUP(AS560,[1]OUTLET!$B:$C,2,0)</f>
        <v>#N/A</v>
      </c>
      <c r="AU560" s="42"/>
      <c r="AV560" s="39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55"/>
      <c r="BP560" s="40"/>
      <c r="BQ560" s="39"/>
      <c r="BR560" s="59"/>
      <c r="BS560" s="39"/>
      <c r="BT560" s="57"/>
      <c r="BU560" s="60"/>
      <c r="BV560" s="8"/>
      <c r="BW560" s="58"/>
    </row>
    <row r="561" spans="41:75" x14ac:dyDescent="0.35">
      <c r="AO561" s="39">
        <v>559</v>
      </c>
      <c r="AP561" s="60"/>
      <c r="AQ561" s="41"/>
      <c r="AR561" s="42" t="str">
        <f>IFERROR(VLOOKUP(AU561,[1]SUMMARY!$A$3:$B$7,2,FALSE),"")</f>
        <v/>
      </c>
      <c r="AS561" s="42"/>
      <c r="AT561" s="31" t="e">
        <f>VLOOKUP(AS561,[1]OUTLET!$B:$C,2,0)</f>
        <v>#N/A</v>
      </c>
      <c r="AU561" s="42"/>
      <c r="AV561" s="39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55"/>
      <c r="BP561" s="40"/>
      <c r="BQ561" s="39"/>
      <c r="BR561" s="59"/>
      <c r="BS561" s="39"/>
      <c r="BT561" s="57"/>
      <c r="BU561" s="60"/>
      <c r="BV561" s="8"/>
      <c r="BW561" s="58"/>
    </row>
    <row r="562" spans="41:75" x14ac:dyDescent="0.35">
      <c r="AO562" s="39">
        <v>560</v>
      </c>
      <c r="AP562" s="60"/>
      <c r="AQ562" s="41"/>
      <c r="AR562" s="42" t="str">
        <f>IFERROR(VLOOKUP(AU562,[1]SUMMARY!$A$3:$B$7,2,FALSE),"")</f>
        <v/>
      </c>
      <c r="AS562" s="42"/>
      <c r="AT562" s="31" t="e">
        <f>VLOOKUP(AS562,[1]OUTLET!$B:$C,2,0)</f>
        <v>#N/A</v>
      </c>
      <c r="AU562" s="42"/>
      <c r="AV562" s="39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55"/>
      <c r="BP562" s="40"/>
      <c r="BQ562" s="39"/>
      <c r="BR562" s="59"/>
      <c r="BS562" s="39"/>
      <c r="BT562" s="57"/>
      <c r="BU562" s="60"/>
      <c r="BV562" s="8"/>
      <c r="BW562" s="58"/>
    </row>
    <row r="563" spans="41:75" x14ac:dyDescent="0.35">
      <c r="AO563" s="39">
        <v>561</v>
      </c>
      <c r="AP563" s="60"/>
      <c r="AQ563" s="41"/>
      <c r="AR563" s="42" t="str">
        <f>IFERROR(VLOOKUP(AU563,[1]SUMMARY!$A$3:$B$7,2,FALSE),"")</f>
        <v/>
      </c>
      <c r="AS563" s="42"/>
      <c r="AT563" s="31" t="e">
        <f>VLOOKUP(AS563,[1]OUTLET!$B:$C,2,0)</f>
        <v>#N/A</v>
      </c>
      <c r="AU563" s="42"/>
      <c r="AV563" s="39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55"/>
      <c r="BP563" s="40"/>
      <c r="BQ563" s="39"/>
      <c r="BR563" s="59"/>
      <c r="BS563" s="39"/>
      <c r="BT563" s="57"/>
      <c r="BU563" s="60"/>
      <c r="BV563" s="8"/>
      <c r="BW563" s="58"/>
    </row>
    <row r="564" spans="41:75" x14ac:dyDescent="0.35">
      <c r="AO564" s="39">
        <v>562</v>
      </c>
      <c r="AP564" s="60"/>
      <c r="AQ564" s="41"/>
      <c r="AR564" s="42" t="str">
        <f>IFERROR(VLOOKUP(AU564,[1]SUMMARY!$A$3:$B$7,2,FALSE),"")</f>
        <v/>
      </c>
      <c r="AS564" s="42"/>
      <c r="AT564" s="31" t="e">
        <f>VLOOKUP(AS564,[1]OUTLET!$B:$C,2,0)</f>
        <v>#N/A</v>
      </c>
      <c r="AU564" s="42"/>
      <c r="AV564" s="39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55"/>
      <c r="BP564" s="40"/>
      <c r="BQ564" s="39"/>
      <c r="BR564" s="59"/>
      <c r="BS564" s="39"/>
      <c r="BT564" s="57"/>
      <c r="BU564" s="60"/>
      <c r="BV564" s="8"/>
      <c r="BW564" s="58"/>
    </row>
    <row r="565" spans="41:75" x14ac:dyDescent="0.35">
      <c r="AO565" s="39">
        <v>563</v>
      </c>
      <c r="AP565" s="60"/>
      <c r="AQ565" s="41"/>
      <c r="AR565" s="42" t="str">
        <f>IFERROR(VLOOKUP(AU565,[1]SUMMARY!$A$3:$B$7,2,FALSE),"")</f>
        <v/>
      </c>
      <c r="AS565" s="42"/>
      <c r="AT565" s="31" t="e">
        <f>VLOOKUP(AS565,[1]OUTLET!$B:$C,2,0)</f>
        <v>#N/A</v>
      </c>
      <c r="AU565" s="42"/>
      <c r="AV565" s="39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55"/>
      <c r="BP565" s="40"/>
      <c r="BQ565" s="39"/>
      <c r="BR565" s="59"/>
      <c r="BS565" s="39"/>
      <c r="BT565" s="57"/>
      <c r="BU565" s="60"/>
      <c r="BV565" s="8"/>
      <c r="BW565" s="58"/>
    </row>
    <row r="566" spans="41:75" x14ac:dyDescent="0.35">
      <c r="AO566" s="39">
        <v>564</v>
      </c>
      <c r="AP566" s="60"/>
      <c r="AQ566" s="41"/>
      <c r="AR566" s="42" t="str">
        <f>IFERROR(VLOOKUP(AU566,[1]SUMMARY!$A$3:$B$7,2,FALSE),"")</f>
        <v/>
      </c>
      <c r="AS566" s="42"/>
      <c r="AT566" s="31" t="e">
        <f>VLOOKUP(AS566,[1]OUTLET!$B:$C,2,0)</f>
        <v>#N/A</v>
      </c>
      <c r="AU566" s="42"/>
      <c r="AV566" s="39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55"/>
      <c r="BP566" s="40"/>
      <c r="BQ566" s="39"/>
      <c r="BR566" s="59"/>
      <c r="BS566" s="39"/>
      <c r="BT566" s="57"/>
      <c r="BU566" s="60"/>
      <c r="BV566" s="8"/>
      <c r="BW566" s="58"/>
    </row>
    <row r="567" spans="41:75" x14ac:dyDescent="0.35">
      <c r="AO567" s="39">
        <v>565</v>
      </c>
      <c r="AP567" s="60"/>
      <c r="AQ567" s="41"/>
      <c r="AR567" s="42" t="str">
        <f>IFERROR(VLOOKUP(AU567,[1]SUMMARY!$A$3:$B$7,2,FALSE),"")</f>
        <v/>
      </c>
      <c r="AS567" s="42"/>
      <c r="AT567" s="31" t="e">
        <f>VLOOKUP(AS567,[1]OUTLET!$B:$C,2,0)</f>
        <v>#N/A</v>
      </c>
      <c r="AU567" s="42"/>
      <c r="AV567" s="39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55"/>
      <c r="BP567" s="40"/>
      <c r="BQ567" s="39"/>
      <c r="BR567" s="59"/>
      <c r="BS567" s="39"/>
      <c r="BT567" s="57"/>
      <c r="BU567" s="60"/>
      <c r="BV567" s="8"/>
      <c r="BW567" s="58"/>
    </row>
    <row r="568" spans="41:75" x14ac:dyDescent="0.35">
      <c r="AO568" s="39">
        <v>566</v>
      </c>
      <c r="AP568" s="60"/>
      <c r="AQ568" s="41"/>
      <c r="AR568" s="42" t="str">
        <f>IFERROR(VLOOKUP(AU568,[1]SUMMARY!$A$3:$B$7,2,FALSE),"")</f>
        <v/>
      </c>
      <c r="AS568" s="42"/>
      <c r="AT568" s="31" t="e">
        <f>VLOOKUP(AS568,[1]OUTLET!$B:$C,2,0)</f>
        <v>#N/A</v>
      </c>
      <c r="AU568" s="42"/>
      <c r="AV568" s="39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55"/>
      <c r="BP568" s="40"/>
      <c r="BQ568" s="39"/>
      <c r="BR568" s="59"/>
      <c r="BS568" s="39"/>
      <c r="BT568" s="57"/>
      <c r="BU568" s="60"/>
      <c r="BV568" s="8"/>
      <c r="BW568" s="58"/>
    </row>
    <row r="569" spans="41:75" x14ac:dyDescent="0.35">
      <c r="AO569" s="39">
        <v>567</v>
      </c>
      <c r="AP569" s="60"/>
      <c r="AQ569" s="41"/>
      <c r="AR569" s="42" t="str">
        <f>IFERROR(VLOOKUP(AU569,[1]SUMMARY!$A$3:$B$7,2,FALSE),"")</f>
        <v/>
      </c>
      <c r="AS569" s="42"/>
      <c r="AT569" s="31" t="e">
        <f>VLOOKUP(AS569,[1]OUTLET!$B:$C,2,0)</f>
        <v>#N/A</v>
      </c>
      <c r="AU569" s="42"/>
      <c r="AV569" s="39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55"/>
      <c r="BP569" s="40"/>
      <c r="BQ569" s="39"/>
      <c r="BR569" s="59"/>
      <c r="BS569" s="39"/>
      <c r="BT569" s="57"/>
      <c r="BU569" s="60"/>
      <c r="BV569" s="8"/>
      <c r="BW569" s="58"/>
    </row>
    <row r="570" spans="41:75" x14ac:dyDescent="0.35">
      <c r="AO570" s="39">
        <v>568</v>
      </c>
      <c r="AP570" s="60"/>
      <c r="AQ570" s="41"/>
      <c r="AR570" s="42" t="str">
        <f>IFERROR(VLOOKUP(AU570,[1]SUMMARY!$A$3:$B$7,2,FALSE),"")</f>
        <v/>
      </c>
      <c r="AS570" s="42"/>
      <c r="AT570" s="31" t="e">
        <f>VLOOKUP(AS570,[1]OUTLET!$B:$C,2,0)</f>
        <v>#N/A</v>
      </c>
      <c r="AU570" s="42"/>
      <c r="AV570" s="39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55"/>
      <c r="BP570" s="40"/>
      <c r="BQ570" s="39"/>
      <c r="BR570" s="59"/>
      <c r="BS570" s="39"/>
      <c r="BT570" s="57"/>
      <c r="BU570" s="60"/>
      <c r="BV570" s="8"/>
      <c r="BW570" s="58"/>
    </row>
    <row r="571" spans="41:75" x14ac:dyDescent="0.35">
      <c r="AO571" s="39">
        <v>569</v>
      </c>
      <c r="AP571" s="60"/>
      <c r="AQ571" s="41"/>
      <c r="AR571" s="42" t="str">
        <f>IFERROR(VLOOKUP(AU571,[1]SUMMARY!$A$3:$B$7,2,FALSE),"")</f>
        <v/>
      </c>
      <c r="AS571" s="42"/>
      <c r="AT571" s="31" t="e">
        <f>VLOOKUP(AS571,[1]OUTLET!$B:$C,2,0)</f>
        <v>#N/A</v>
      </c>
      <c r="AU571" s="42"/>
      <c r="AV571" s="39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55"/>
      <c r="BP571" s="40"/>
      <c r="BQ571" s="39"/>
      <c r="BR571" s="59"/>
      <c r="BS571" s="39"/>
      <c r="BT571" s="57"/>
      <c r="BU571" s="60"/>
      <c r="BV571" s="8"/>
      <c r="BW571" s="58"/>
    </row>
    <row r="572" spans="41:75" x14ac:dyDescent="0.35">
      <c r="AO572" s="39">
        <v>570</v>
      </c>
      <c r="AP572" s="60"/>
      <c r="AQ572" s="41"/>
      <c r="AR572" s="42" t="str">
        <f>IFERROR(VLOOKUP(AU572,[1]SUMMARY!$A$3:$B$7,2,FALSE),"")</f>
        <v/>
      </c>
      <c r="AS572" s="42"/>
      <c r="AT572" s="31" t="e">
        <f>VLOOKUP(AS572,[1]OUTLET!$B:$C,2,0)</f>
        <v>#N/A</v>
      </c>
      <c r="AU572" s="42"/>
      <c r="AV572" s="39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55"/>
      <c r="BP572" s="40"/>
      <c r="BQ572" s="39"/>
      <c r="BR572" s="59"/>
      <c r="BS572" s="39"/>
      <c r="BT572" s="57"/>
      <c r="BU572" s="60"/>
      <c r="BV572" s="8"/>
      <c r="BW572" s="58"/>
    </row>
    <row r="573" spans="41:75" x14ac:dyDescent="0.35">
      <c r="AO573" s="39">
        <v>571</v>
      </c>
      <c r="AP573" s="60"/>
      <c r="AQ573" s="41"/>
      <c r="AR573" s="42" t="str">
        <f>IFERROR(VLOOKUP(AU573,[1]SUMMARY!$A$3:$B$7,2,FALSE),"")</f>
        <v/>
      </c>
      <c r="AS573" s="42"/>
      <c r="AT573" s="31" t="e">
        <f>VLOOKUP(AS573,[1]OUTLET!$B:$C,2,0)</f>
        <v>#N/A</v>
      </c>
      <c r="AU573" s="42"/>
      <c r="AV573" s="39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55"/>
      <c r="BP573" s="40"/>
      <c r="BQ573" s="39"/>
      <c r="BR573" s="59"/>
      <c r="BS573" s="39"/>
      <c r="BT573" s="57"/>
      <c r="BU573" s="60"/>
      <c r="BV573" s="8"/>
      <c r="BW573" s="58"/>
    </row>
    <row r="574" spans="41:75" x14ac:dyDescent="0.35">
      <c r="AO574" s="39">
        <v>572</v>
      </c>
      <c r="AP574" s="60"/>
      <c r="AQ574" s="41"/>
      <c r="AR574" s="42" t="str">
        <f>IFERROR(VLOOKUP(AU574,[1]SUMMARY!$A$3:$B$7,2,FALSE),"")</f>
        <v/>
      </c>
      <c r="AS574" s="42"/>
      <c r="AT574" s="31" t="e">
        <f>VLOOKUP(AS574,[1]OUTLET!$B:$C,2,0)</f>
        <v>#N/A</v>
      </c>
      <c r="AU574" s="42"/>
      <c r="AV574" s="39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55"/>
      <c r="BP574" s="40"/>
      <c r="BQ574" s="39"/>
      <c r="BR574" s="59"/>
      <c r="BS574" s="39"/>
      <c r="BT574" s="57"/>
      <c r="BU574" s="60"/>
      <c r="BV574" s="8"/>
      <c r="BW574" s="58"/>
    </row>
    <row r="575" spans="41:75" x14ac:dyDescent="0.35">
      <c r="AO575" s="39">
        <v>573</v>
      </c>
      <c r="AP575" s="60"/>
      <c r="AQ575" s="41"/>
      <c r="AR575" s="42" t="str">
        <f>IFERROR(VLOOKUP(AU575,[1]SUMMARY!$A$3:$B$7,2,FALSE),"")</f>
        <v/>
      </c>
      <c r="AS575" s="42"/>
      <c r="AT575" s="31" t="e">
        <f>VLOOKUP(AS575,[1]OUTLET!$B:$C,2,0)</f>
        <v>#N/A</v>
      </c>
      <c r="AU575" s="42"/>
      <c r="AV575" s="39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55"/>
      <c r="BP575" s="40"/>
      <c r="BQ575" s="39"/>
      <c r="BR575" s="59"/>
      <c r="BS575" s="39"/>
      <c r="BT575" s="57"/>
      <c r="BU575" s="60"/>
      <c r="BV575" s="8"/>
      <c r="BW575" s="58"/>
    </row>
    <row r="576" spans="41:75" x14ac:dyDescent="0.35">
      <c r="AO576" s="39">
        <v>574</v>
      </c>
      <c r="AP576" s="60"/>
      <c r="AQ576" s="41"/>
      <c r="AR576" s="42" t="str">
        <f>IFERROR(VLOOKUP(AU576,[1]SUMMARY!$A$3:$B$7,2,FALSE),"")</f>
        <v/>
      </c>
      <c r="AS576" s="42"/>
      <c r="AT576" s="31" t="e">
        <f>VLOOKUP(AS576,[1]OUTLET!$B:$C,2,0)</f>
        <v>#N/A</v>
      </c>
      <c r="AU576" s="42"/>
      <c r="AV576" s="39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55"/>
      <c r="BP576" s="40"/>
      <c r="BQ576" s="39"/>
      <c r="BR576" s="59"/>
      <c r="BS576" s="39"/>
      <c r="BT576" s="57"/>
      <c r="BU576" s="60"/>
      <c r="BV576" s="8"/>
      <c r="BW576" s="58"/>
    </row>
    <row r="577" spans="41:75" x14ac:dyDescent="0.35">
      <c r="AO577" s="39">
        <v>575</v>
      </c>
      <c r="AP577" s="60"/>
      <c r="AQ577" s="41"/>
      <c r="AR577" s="42" t="str">
        <f>IFERROR(VLOOKUP(AU577,[1]SUMMARY!$A$3:$B$7,2,FALSE),"")</f>
        <v/>
      </c>
      <c r="AS577" s="42"/>
      <c r="AT577" s="31" t="e">
        <f>VLOOKUP(AS577,[1]OUTLET!$B:$C,2,0)</f>
        <v>#N/A</v>
      </c>
      <c r="AU577" s="42"/>
      <c r="AV577" s="39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55"/>
      <c r="BP577" s="40"/>
      <c r="BQ577" s="39"/>
      <c r="BR577" s="59"/>
      <c r="BS577" s="39"/>
      <c r="BT577" s="57"/>
      <c r="BU577" s="60"/>
      <c r="BV577" s="8"/>
      <c r="BW577" s="58"/>
    </row>
    <row r="578" spans="41:75" x14ac:dyDescent="0.35">
      <c r="AO578" s="39">
        <v>576</v>
      </c>
      <c r="AP578" s="60"/>
      <c r="AQ578" s="41"/>
      <c r="AR578" s="42" t="str">
        <f>IFERROR(VLOOKUP(AU578,[1]SUMMARY!$A$3:$B$7,2,FALSE),"")</f>
        <v/>
      </c>
      <c r="AS578" s="42"/>
      <c r="AT578" s="31" t="e">
        <f>VLOOKUP(AS578,[1]OUTLET!$B:$C,2,0)</f>
        <v>#N/A</v>
      </c>
      <c r="AU578" s="42"/>
      <c r="AV578" s="39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55"/>
      <c r="BP578" s="40"/>
      <c r="BQ578" s="39"/>
      <c r="BR578" s="59"/>
      <c r="BS578" s="39"/>
      <c r="BT578" s="57"/>
      <c r="BU578" s="60"/>
      <c r="BV578" s="8"/>
      <c r="BW578" s="58"/>
    </row>
    <row r="579" spans="41:75" x14ac:dyDescent="0.35">
      <c r="AO579" s="39">
        <v>577</v>
      </c>
      <c r="AP579" s="60"/>
      <c r="AQ579" s="41"/>
      <c r="AR579" s="42" t="str">
        <f>IFERROR(VLOOKUP(AU579,[1]SUMMARY!$A$3:$B$7,2,FALSE),"")</f>
        <v/>
      </c>
      <c r="AS579" s="42"/>
      <c r="AT579" s="31" t="e">
        <f>VLOOKUP(AS579,[1]OUTLET!$B:$C,2,0)</f>
        <v>#N/A</v>
      </c>
      <c r="AU579" s="42"/>
      <c r="AV579" s="39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55"/>
      <c r="BP579" s="40"/>
      <c r="BQ579" s="39"/>
      <c r="BR579" s="59"/>
      <c r="BS579" s="39"/>
      <c r="BT579" s="57"/>
      <c r="BU579" s="60"/>
      <c r="BV579" s="8"/>
      <c r="BW579" s="58"/>
    </row>
    <row r="580" spans="41:75" x14ac:dyDescent="0.35">
      <c r="AO580" s="39">
        <v>578</v>
      </c>
      <c r="AP580" s="60"/>
      <c r="AQ580" s="41"/>
      <c r="AR580" s="42" t="str">
        <f>IFERROR(VLOOKUP(AU580,[1]SUMMARY!$A$3:$B$7,2,FALSE),"")</f>
        <v/>
      </c>
      <c r="AS580" s="42"/>
      <c r="AT580" s="31" t="e">
        <f>VLOOKUP(AS580,[1]OUTLET!$B:$C,2,0)</f>
        <v>#N/A</v>
      </c>
      <c r="AU580" s="42"/>
      <c r="AV580" s="39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55"/>
      <c r="BP580" s="40"/>
      <c r="BQ580" s="39"/>
      <c r="BR580" s="59"/>
      <c r="BS580" s="39"/>
      <c r="BT580" s="57"/>
      <c r="BU580" s="60"/>
      <c r="BV580" s="8"/>
      <c r="BW580" s="58"/>
    </row>
    <row r="581" spans="41:75" x14ac:dyDescent="0.35">
      <c r="AO581" s="39">
        <v>579</v>
      </c>
      <c r="AP581" s="60"/>
      <c r="AQ581" s="41"/>
      <c r="AR581" s="42" t="str">
        <f>IFERROR(VLOOKUP(AU581,[1]SUMMARY!$A$3:$B$7,2,FALSE),"")</f>
        <v/>
      </c>
      <c r="AS581" s="42"/>
      <c r="AT581" s="31" t="e">
        <f>VLOOKUP(AS581,[1]OUTLET!$B:$C,2,0)</f>
        <v>#N/A</v>
      </c>
      <c r="AU581" s="42"/>
      <c r="AV581" s="39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55"/>
      <c r="BP581" s="40"/>
      <c r="BQ581" s="39"/>
      <c r="BR581" s="59"/>
      <c r="BS581" s="39"/>
      <c r="BT581" s="57"/>
      <c r="BU581" s="60"/>
      <c r="BV581" s="8"/>
      <c r="BW581" s="58"/>
    </row>
    <row r="582" spans="41:75" x14ac:dyDescent="0.35">
      <c r="AO582" s="39">
        <v>580</v>
      </c>
      <c r="AP582" s="60"/>
      <c r="AQ582" s="41"/>
      <c r="AR582" s="42" t="str">
        <f>IFERROR(VLOOKUP(AU582,[1]SUMMARY!$A$3:$B$7,2,FALSE),"")</f>
        <v/>
      </c>
      <c r="AS582" s="42"/>
      <c r="AT582" s="31" t="e">
        <f>VLOOKUP(AS582,[1]OUTLET!$B:$C,2,0)</f>
        <v>#N/A</v>
      </c>
      <c r="AU582" s="42"/>
      <c r="AV582" s="39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55"/>
      <c r="BP582" s="40"/>
      <c r="BQ582" s="39"/>
      <c r="BR582" s="59"/>
      <c r="BS582" s="39"/>
      <c r="BT582" s="57"/>
      <c r="BU582" s="60"/>
      <c r="BV582" s="8"/>
      <c r="BW582" s="58"/>
    </row>
    <row r="583" spans="41:75" x14ac:dyDescent="0.35">
      <c r="AO583" s="39">
        <v>581</v>
      </c>
      <c r="AP583" s="60"/>
      <c r="AQ583" s="41"/>
      <c r="AR583" s="42" t="str">
        <f>IFERROR(VLOOKUP(AU583,[1]SUMMARY!$A$3:$B$7,2,FALSE),"")</f>
        <v/>
      </c>
      <c r="AS583" s="42"/>
      <c r="AT583" s="31" t="e">
        <f>VLOOKUP(AS583,[1]OUTLET!$B:$C,2,0)</f>
        <v>#N/A</v>
      </c>
      <c r="AU583" s="42"/>
      <c r="AV583" s="39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55"/>
      <c r="BP583" s="40"/>
      <c r="BQ583" s="39"/>
      <c r="BR583" s="59"/>
      <c r="BS583" s="39"/>
      <c r="BT583" s="57"/>
      <c r="BU583" s="60"/>
      <c r="BV583" s="8"/>
      <c r="BW583" s="58"/>
    </row>
    <row r="584" spans="41:75" x14ac:dyDescent="0.35">
      <c r="AO584" s="39">
        <v>582</v>
      </c>
      <c r="AP584" s="60"/>
      <c r="AQ584" s="41"/>
      <c r="AR584" s="42" t="str">
        <f>IFERROR(VLOOKUP(AU584,[1]SUMMARY!$A$3:$B$7,2,FALSE),"")</f>
        <v/>
      </c>
      <c r="AS584" s="42"/>
      <c r="AT584" s="31" t="e">
        <f>VLOOKUP(AS584,[1]OUTLET!$B:$C,2,0)</f>
        <v>#N/A</v>
      </c>
      <c r="AU584" s="42"/>
      <c r="AV584" s="39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55"/>
      <c r="BP584" s="40"/>
      <c r="BQ584" s="39"/>
      <c r="BR584" s="59"/>
      <c r="BS584" s="39"/>
      <c r="BT584" s="57"/>
      <c r="BU584" s="60"/>
      <c r="BV584" s="8"/>
      <c r="BW584" s="58"/>
    </row>
    <row r="585" spans="41:75" x14ac:dyDescent="0.35">
      <c r="AO585" s="39">
        <v>583</v>
      </c>
      <c r="AP585" s="60"/>
      <c r="AQ585" s="41"/>
      <c r="AR585" s="42" t="str">
        <f>IFERROR(VLOOKUP(AU585,[1]SUMMARY!$A$3:$B$7,2,FALSE),"")</f>
        <v/>
      </c>
      <c r="AS585" s="42"/>
      <c r="AT585" s="31" t="e">
        <f>VLOOKUP(AS585,[1]OUTLET!$B:$C,2,0)</f>
        <v>#N/A</v>
      </c>
      <c r="AU585" s="42"/>
      <c r="AV585" s="39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55"/>
      <c r="BP585" s="40"/>
      <c r="BQ585" s="39"/>
      <c r="BR585" s="59"/>
      <c r="BS585" s="39"/>
      <c r="BT585" s="57"/>
      <c r="BU585" s="60"/>
      <c r="BV585" s="8"/>
      <c r="BW585" s="58"/>
    </row>
    <row r="586" spans="41:75" x14ac:dyDescent="0.35">
      <c r="AO586" s="39">
        <v>584</v>
      </c>
      <c r="AP586" s="60"/>
      <c r="AQ586" s="41"/>
      <c r="AR586" s="42" t="str">
        <f>IFERROR(VLOOKUP(AU586,[1]SUMMARY!$A$3:$B$7,2,FALSE),"")</f>
        <v/>
      </c>
      <c r="AS586" s="42"/>
      <c r="AT586" s="31" t="e">
        <f>VLOOKUP(AS586,[1]OUTLET!$B:$C,2,0)</f>
        <v>#N/A</v>
      </c>
      <c r="AU586" s="42"/>
      <c r="AV586" s="39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55"/>
      <c r="BP586" s="40"/>
      <c r="BQ586" s="39"/>
      <c r="BR586" s="59"/>
      <c r="BS586" s="39"/>
      <c r="BT586" s="57"/>
      <c r="BU586" s="60"/>
      <c r="BV586" s="8"/>
      <c r="BW586" s="58"/>
    </row>
    <row r="587" spans="41:75" x14ac:dyDescent="0.35">
      <c r="AO587" s="39">
        <v>585</v>
      </c>
      <c r="AP587" s="60"/>
      <c r="AQ587" s="41"/>
      <c r="AR587" s="42" t="str">
        <f>IFERROR(VLOOKUP(AU587,[1]SUMMARY!$A$3:$B$7,2,FALSE),"")</f>
        <v/>
      </c>
      <c r="AS587" s="42"/>
      <c r="AT587" s="31" t="e">
        <f>VLOOKUP(AS587,[1]OUTLET!$B:$C,2,0)</f>
        <v>#N/A</v>
      </c>
      <c r="AU587" s="42"/>
      <c r="AV587" s="39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55"/>
      <c r="BP587" s="40"/>
      <c r="BQ587" s="39"/>
      <c r="BR587" s="59"/>
      <c r="BS587" s="39"/>
      <c r="BT587" s="57"/>
      <c r="BU587" s="60"/>
      <c r="BV587" s="8"/>
      <c r="BW587" s="58"/>
    </row>
    <row r="588" spans="41:75" x14ac:dyDescent="0.35">
      <c r="AO588" s="39">
        <v>586</v>
      </c>
      <c r="AP588" s="60"/>
      <c r="AQ588" s="41"/>
      <c r="AR588" s="42" t="str">
        <f>IFERROR(VLOOKUP(AU588,[1]SUMMARY!$A$3:$B$7,2,FALSE),"")</f>
        <v/>
      </c>
      <c r="AS588" s="42"/>
      <c r="AT588" s="31" t="e">
        <f>VLOOKUP(AS588,[1]OUTLET!$B:$C,2,0)</f>
        <v>#N/A</v>
      </c>
      <c r="AU588" s="42"/>
      <c r="AV588" s="39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55"/>
      <c r="BP588" s="40"/>
      <c r="BQ588" s="4"/>
      <c r="BR588" s="61"/>
      <c r="BS588" s="4"/>
      <c r="BT588" s="57"/>
      <c r="BU588" s="62"/>
      <c r="BV588" s="8"/>
      <c r="BW588" s="58"/>
    </row>
    <row r="589" spans="41:75" x14ac:dyDescent="0.35">
      <c r="AO589" s="39">
        <v>587</v>
      </c>
      <c r="AP589" s="60"/>
      <c r="AQ589" s="41"/>
      <c r="AR589" s="42" t="str">
        <f>IFERROR(VLOOKUP(AU589,[1]SUMMARY!$A$3:$B$7,2,FALSE),"")</f>
        <v/>
      </c>
      <c r="AS589" s="42"/>
      <c r="AT589" s="31" t="e">
        <f>VLOOKUP(AS589,[1]OUTLET!$B:$C,2,0)</f>
        <v>#N/A</v>
      </c>
      <c r="AU589" s="42"/>
      <c r="AV589" s="39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55"/>
      <c r="BP589" s="40"/>
      <c r="BQ589" s="4"/>
      <c r="BR589" s="61"/>
      <c r="BS589" s="4"/>
      <c r="BT589" s="57"/>
      <c r="BU589" s="62"/>
      <c r="BV589" s="8"/>
      <c r="BW589" s="58"/>
    </row>
    <row r="590" spans="41:75" x14ac:dyDescent="0.35">
      <c r="AO590" s="39">
        <v>588</v>
      </c>
      <c r="AP590" s="60"/>
      <c r="AQ590" s="41"/>
      <c r="AR590" s="42" t="str">
        <f>IFERROR(VLOOKUP(AU590,[1]SUMMARY!$A$3:$B$7,2,FALSE),"")</f>
        <v/>
      </c>
      <c r="AS590" s="42"/>
      <c r="AT590" s="31" t="e">
        <f>VLOOKUP(AS590,[1]OUTLET!$B:$C,2,0)</f>
        <v>#N/A</v>
      </c>
      <c r="AU590" s="42"/>
      <c r="AV590" s="39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55"/>
      <c r="BP590" s="40"/>
      <c r="BQ590" s="4"/>
      <c r="BR590" s="61"/>
      <c r="BS590" s="4"/>
      <c r="BT590" s="57"/>
      <c r="BU590" s="62"/>
      <c r="BV590" s="8"/>
      <c r="BW590" s="58"/>
    </row>
    <row r="591" spans="41:75" x14ac:dyDescent="0.35">
      <c r="AO591" s="39">
        <v>589</v>
      </c>
      <c r="AP591" s="60"/>
      <c r="AQ591" s="41"/>
      <c r="AR591" s="42" t="str">
        <f>IFERROR(VLOOKUP(AU591,[1]SUMMARY!$A$3:$B$7,2,FALSE),"")</f>
        <v/>
      </c>
      <c r="AS591" s="42"/>
      <c r="AT591" s="31" t="e">
        <f>VLOOKUP(AS591,[1]OUTLET!$B:$C,2,0)</f>
        <v>#N/A</v>
      </c>
      <c r="AU591" s="42"/>
      <c r="AV591" s="39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55"/>
      <c r="BP591" s="40"/>
      <c r="BQ591" s="4"/>
      <c r="BR591" s="61"/>
      <c r="BS591" s="4"/>
      <c r="BT591" s="57"/>
      <c r="BU591" s="62"/>
      <c r="BV591" s="8"/>
      <c r="BW591" s="58"/>
    </row>
    <row r="592" spans="41:75" x14ac:dyDescent="0.35">
      <c r="AO592" s="39">
        <v>590</v>
      </c>
      <c r="AP592" s="60"/>
      <c r="AQ592" s="41"/>
      <c r="AR592" s="42" t="str">
        <f>IFERROR(VLOOKUP(AU592,[1]SUMMARY!$A$3:$B$7,2,FALSE),"")</f>
        <v/>
      </c>
      <c r="AS592" s="42"/>
      <c r="AT592" s="31" t="e">
        <f>VLOOKUP(AS592,[1]OUTLET!$B:$C,2,0)</f>
        <v>#N/A</v>
      </c>
      <c r="AU592" s="42"/>
      <c r="AV592" s="39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55"/>
      <c r="BP592" s="40"/>
      <c r="BQ592" s="4"/>
      <c r="BR592" s="61"/>
      <c r="BS592" s="4"/>
      <c r="BT592" s="57"/>
      <c r="BU592" s="62"/>
      <c r="BV592" s="8"/>
      <c r="BW592" s="58"/>
    </row>
    <row r="593" spans="41:75" x14ac:dyDescent="0.35">
      <c r="AO593" s="39">
        <v>591</v>
      </c>
      <c r="AP593" s="60"/>
      <c r="AQ593" s="41"/>
      <c r="AR593" s="42" t="str">
        <f>IFERROR(VLOOKUP(AU593,[1]SUMMARY!$A$3:$B$7,2,FALSE),"")</f>
        <v/>
      </c>
      <c r="AS593" s="42"/>
      <c r="AT593" s="31" t="e">
        <f>VLOOKUP(AS593,[1]OUTLET!$B:$C,2,0)</f>
        <v>#N/A</v>
      </c>
      <c r="AU593" s="42"/>
      <c r="AV593" s="39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55"/>
      <c r="BP593" s="40"/>
      <c r="BQ593" s="4"/>
      <c r="BR593" s="61"/>
      <c r="BS593" s="4"/>
      <c r="BT593" s="57"/>
      <c r="BU593" s="62"/>
      <c r="BV593" s="8"/>
      <c r="BW593" s="58"/>
    </row>
    <row r="594" spans="41:75" x14ac:dyDescent="0.35">
      <c r="AO594" s="39">
        <v>592</v>
      </c>
      <c r="AP594" s="60"/>
      <c r="AQ594" s="41"/>
      <c r="AR594" s="42" t="str">
        <f>IFERROR(VLOOKUP(AU594,[1]SUMMARY!$A$3:$B$7,2,FALSE),"")</f>
        <v/>
      </c>
      <c r="AS594" s="42"/>
      <c r="AT594" s="31" t="e">
        <f>VLOOKUP(AS594,[1]OUTLET!$B:$C,2,0)</f>
        <v>#N/A</v>
      </c>
      <c r="AU594" s="42"/>
      <c r="AV594" s="39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55"/>
      <c r="BP594" s="40"/>
      <c r="BQ594" s="4"/>
      <c r="BR594" s="61"/>
      <c r="BS594" s="4"/>
      <c r="BT594" s="57"/>
      <c r="BU594" s="62"/>
      <c r="BV594" s="8"/>
      <c r="BW594" s="58"/>
    </row>
    <row r="595" spans="41:75" x14ac:dyDescent="0.35">
      <c r="AO595" s="39">
        <v>593</v>
      </c>
      <c r="AP595" s="60"/>
      <c r="AQ595" s="41"/>
      <c r="AR595" s="42" t="str">
        <f>IFERROR(VLOOKUP(AU595,[1]SUMMARY!$A$3:$B$7,2,FALSE),"")</f>
        <v/>
      </c>
      <c r="AS595" s="42"/>
      <c r="AT595" s="31" t="e">
        <f>VLOOKUP(AS595,[1]OUTLET!$B:$C,2,0)</f>
        <v>#N/A</v>
      </c>
      <c r="AU595" s="42"/>
      <c r="AV595" s="39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55"/>
      <c r="BP595" s="40"/>
      <c r="BQ595" s="4"/>
      <c r="BR595" s="61"/>
      <c r="BS595" s="4"/>
      <c r="BT595" s="57"/>
      <c r="BU595" s="62"/>
      <c r="BV595" s="8"/>
      <c r="BW595" s="58"/>
    </row>
    <row r="596" spans="41:75" x14ac:dyDescent="0.35">
      <c r="AO596" s="39">
        <v>594</v>
      </c>
      <c r="AP596" s="60"/>
      <c r="AQ596" s="41"/>
      <c r="AR596" s="42" t="str">
        <f>IFERROR(VLOOKUP(AU596,[1]SUMMARY!$A$3:$B$7,2,FALSE),"")</f>
        <v/>
      </c>
      <c r="AS596" s="42"/>
      <c r="AT596" s="31" t="e">
        <f>VLOOKUP(AS596,[1]OUTLET!$B:$C,2,0)</f>
        <v>#N/A</v>
      </c>
      <c r="AU596" s="42"/>
      <c r="AV596" s="39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55"/>
      <c r="BP596" s="40"/>
      <c r="BQ596" s="4"/>
      <c r="BR596" s="61"/>
      <c r="BS596" s="4"/>
      <c r="BT596" s="57"/>
      <c r="BU596" s="62"/>
      <c r="BV596" s="8"/>
      <c r="BW596" s="58"/>
    </row>
    <row r="597" spans="41:75" x14ac:dyDescent="0.35">
      <c r="AO597" s="39">
        <v>595</v>
      </c>
      <c r="AP597" s="60"/>
      <c r="AQ597" s="41"/>
      <c r="AR597" s="42" t="str">
        <f>IFERROR(VLOOKUP(AU597,[1]SUMMARY!$A$3:$B$7,2,FALSE),"")</f>
        <v/>
      </c>
      <c r="AS597" s="42"/>
      <c r="AT597" s="31" t="e">
        <f>VLOOKUP(AS597,[1]OUTLET!$B:$C,2,0)</f>
        <v>#N/A</v>
      </c>
      <c r="AU597" s="42"/>
      <c r="AV597" s="39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55"/>
      <c r="BP597" s="40"/>
      <c r="BQ597" s="4"/>
      <c r="BR597" s="61"/>
      <c r="BS597" s="4"/>
      <c r="BT597" s="57"/>
      <c r="BU597" s="62"/>
      <c r="BV597" s="8"/>
      <c r="BW597" s="58"/>
    </row>
    <row r="598" spans="41:75" x14ac:dyDescent="0.35">
      <c r="AO598" s="39">
        <v>596</v>
      </c>
      <c r="AP598" s="60"/>
      <c r="AQ598" s="41"/>
      <c r="AR598" s="42" t="str">
        <f>IFERROR(VLOOKUP(AU598,[1]SUMMARY!$A$3:$B$7,2,FALSE),"")</f>
        <v/>
      </c>
      <c r="AS598" s="42"/>
      <c r="AT598" s="31" t="e">
        <f>VLOOKUP(AS598,[1]OUTLET!$B:$C,2,0)</f>
        <v>#N/A</v>
      </c>
      <c r="AU598" s="42"/>
      <c r="AV598" s="39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55"/>
      <c r="BP598" s="40"/>
      <c r="BQ598" s="4"/>
      <c r="BR598" s="61"/>
      <c r="BS598" s="4"/>
      <c r="BT598" s="57"/>
      <c r="BU598" s="62"/>
      <c r="BV598" s="8"/>
      <c r="BW598" s="58"/>
    </row>
    <row r="599" spans="41:75" x14ac:dyDescent="0.35">
      <c r="AO599" s="39">
        <v>597</v>
      </c>
      <c r="AP599" s="60"/>
      <c r="AQ599" s="41"/>
      <c r="AR599" s="42" t="str">
        <f>IFERROR(VLOOKUP(AU599,[1]SUMMARY!$A$3:$B$7,2,FALSE),"")</f>
        <v/>
      </c>
      <c r="AS599" s="42"/>
      <c r="AT599" s="31" t="e">
        <f>VLOOKUP(AS599,[1]OUTLET!$B:$C,2,0)</f>
        <v>#N/A</v>
      </c>
      <c r="AU599" s="42"/>
      <c r="AV599" s="39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55"/>
      <c r="BP599" s="40"/>
      <c r="BQ599" s="4"/>
      <c r="BR599" s="61"/>
      <c r="BS599" s="4"/>
      <c r="BT599" s="57"/>
      <c r="BU599" s="62"/>
      <c r="BV599" s="8"/>
      <c r="BW599" s="58"/>
    </row>
    <row r="600" spans="41:75" x14ac:dyDescent="0.35">
      <c r="AO600" s="39">
        <v>598</v>
      </c>
      <c r="AP600" s="60"/>
      <c r="AQ600" s="41"/>
      <c r="AR600" s="42" t="str">
        <f>IFERROR(VLOOKUP(AU600,[1]SUMMARY!$A$3:$B$7,2,FALSE),"")</f>
        <v/>
      </c>
      <c r="AS600" s="42"/>
      <c r="AT600" s="31" t="e">
        <f>VLOOKUP(AS600,[1]OUTLET!$B:$C,2,0)</f>
        <v>#N/A</v>
      </c>
      <c r="AU600" s="42"/>
      <c r="AV600" s="39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55"/>
      <c r="BP600" s="40"/>
      <c r="BQ600" s="4"/>
      <c r="BR600" s="61"/>
      <c r="BS600" s="4"/>
      <c r="BT600" s="57"/>
      <c r="BU600" s="62"/>
      <c r="BV600" s="8"/>
      <c r="BW600" s="58"/>
    </row>
    <row r="601" spans="41:75" x14ac:dyDescent="0.35">
      <c r="AO601" s="39">
        <v>599</v>
      </c>
      <c r="AP601" s="60"/>
      <c r="AQ601" s="41"/>
      <c r="AR601" s="42" t="str">
        <f>IFERROR(VLOOKUP(AU601,[1]SUMMARY!$A$3:$B$7,2,FALSE),"")</f>
        <v/>
      </c>
      <c r="AS601" s="42"/>
      <c r="AT601" s="31" t="e">
        <f>VLOOKUP(AS601,[1]OUTLET!$B:$C,2,0)</f>
        <v>#N/A</v>
      </c>
      <c r="AU601" s="42"/>
      <c r="AV601" s="39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55"/>
      <c r="BP601" s="40"/>
      <c r="BQ601" s="4"/>
      <c r="BR601" s="61"/>
      <c r="BS601" s="4"/>
      <c r="BT601" s="57"/>
      <c r="BU601" s="62"/>
      <c r="BV601" s="8"/>
      <c r="BW601" s="58"/>
    </row>
    <row r="602" spans="41:75" x14ac:dyDescent="0.35">
      <c r="AO602" s="39">
        <v>600</v>
      </c>
      <c r="AP602" s="60"/>
      <c r="AQ602" s="41"/>
      <c r="AR602" s="42" t="str">
        <f>IFERROR(VLOOKUP(AU602,[1]SUMMARY!$A$3:$B$7,2,FALSE),"")</f>
        <v/>
      </c>
      <c r="AS602" s="42"/>
      <c r="AT602" s="31" t="e">
        <f>VLOOKUP(AS602,[1]OUTLET!$B:$C,2,0)</f>
        <v>#N/A</v>
      </c>
      <c r="AU602" s="42"/>
      <c r="AV602" s="39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55"/>
      <c r="BP602" s="40"/>
      <c r="BQ602" s="4"/>
      <c r="BR602" s="61"/>
      <c r="BS602" s="4"/>
      <c r="BT602" s="57"/>
      <c r="BU602" s="62"/>
      <c r="BV602" s="8"/>
      <c r="BW602" s="58"/>
    </row>
    <row r="603" spans="41:75" x14ac:dyDescent="0.35">
      <c r="AO603" s="39">
        <v>601</v>
      </c>
      <c r="AP603" s="60"/>
      <c r="AQ603" s="41"/>
      <c r="AR603" s="42" t="str">
        <f>IFERROR(VLOOKUP(AU603,[1]SUMMARY!$A$3:$B$7,2,FALSE),"")</f>
        <v/>
      </c>
      <c r="AS603" s="42"/>
      <c r="AT603" s="31" t="e">
        <f>VLOOKUP(AS603,[1]OUTLET!$B:$C,2,0)</f>
        <v>#N/A</v>
      </c>
      <c r="AU603" s="42"/>
      <c r="AV603" s="39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55"/>
      <c r="BP603" s="40"/>
      <c r="BQ603" s="4"/>
      <c r="BR603" s="61"/>
      <c r="BS603" s="4"/>
      <c r="BT603" s="57"/>
      <c r="BU603" s="62"/>
      <c r="BV603" s="8"/>
      <c r="BW603" s="58"/>
    </row>
    <row r="604" spans="41:75" x14ac:dyDescent="0.35">
      <c r="AO604" s="39">
        <v>602</v>
      </c>
      <c r="AP604" s="60"/>
      <c r="AQ604" s="41"/>
      <c r="AR604" s="42" t="str">
        <f>IFERROR(VLOOKUP(AU604,[1]SUMMARY!$A$3:$B$7,2,FALSE),"")</f>
        <v/>
      </c>
      <c r="AS604" s="42"/>
      <c r="AT604" s="31" t="e">
        <f>VLOOKUP(AS604,[1]OUTLET!$B:$C,2,0)</f>
        <v>#N/A</v>
      </c>
      <c r="AU604" s="42"/>
      <c r="AV604" s="39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55"/>
      <c r="BP604" s="40"/>
      <c r="BQ604" s="4"/>
      <c r="BR604" s="61"/>
      <c r="BS604" s="4"/>
      <c r="BT604" s="57"/>
      <c r="BU604" s="62"/>
      <c r="BV604" s="8"/>
      <c r="BW604" s="58"/>
    </row>
    <row r="605" spans="41:75" x14ac:dyDescent="0.35">
      <c r="AO605" s="39">
        <v>603</v>
      </c>
      <c r="AP605" s="60"/>
      <c r="AQ605" s="41"/>
      <c r="AR605" s="42" t="str">
        <f>IFERROR(VLOOKUP(AU605,[1]SUMMARY!$A$3:$B$7,2,FALSE),"")</f>
        <v/>
      </c>
      <c r="AS605" s="42"/>
      <c r="AT605" s="31" t="e">
        <f>VLOOKUP(AS605,[1]OUTLET!$B:$C,2,0)</f>
        <v>#N/A</v>
      </c>
      <c r="AU605" s="42"/>
      <c r="AV605" s="39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55"/>
      <c r="BP605" s="40"/>
      <c r="BQ605" s="4"/>
      <c r="BR605" s="61"/>
      <c r="BS605" s="4"/>
      <c r="BT605" s="57"/>
      <c r="BU605" s="62"/>
      <c r="BV605" s="8"/>
      <c r="BW605" s="58"/>
    </row>
    <row r="606" spans="41:75" x14ac:dyDescent="0.35">
      <c r="AO606" s="39">
        <v>604</v>
      </c>
      <c r="AP606" s="60"/>
      <c r="AQ606" s="41"/>
      <c r="AR606" s="42" t="str">
        <f>IFERROR(VLOOKUP(AU606,[1]SUMMARY!$A$3:$B$7,2,FALSE),"")</f>
        <v/>
      </c>
      <c r="AS606" s="42"/>
      <c r="AT606" s="31" t="e">
        <f>VLOOKUP(AS606,[1]OUTLET!$B:$C,2,0)</f>
        <v>#N/A</v>
      </c>
      <c r="AU606" s="42"/>
      <c r="AV606" s="39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55"/>
      <c r="BP606" s="40"/>
      <c r="BQ606" s="4"/>
      <c r="BR606" s="61"/>
      <c r="BS606" s="4"/>
      <c r="BT606" s="57"/>
      <c r="BU606" s="62"/>
      <c r="BV606" s="8"/>
      <c r="BW606" s="58"/>
    </row>
    <row r="607" spans="41:75" x14ac:dyDescent="0.35">
      <c r="AO607" s="39">
        <v>605</v>
      </c>
      <c r="AP607" s="60"/>
      <c r="AQ607" s="41"/>
      <c r="AR607" s="42" t="str">
        <f>IFERROR(VLOOKUP(AU607,[1]SUMMARY!$A$3:$B$7,2,FALSE),"")</f>
        <v/>
      </c>
      <c r="AS607" s="42"/>
      <c r="AT607" s="31" t="e">
        <f>VLOOKUP(AS607,[1]OUTLET!$B:$C,2,0)</f>
        <v>#N/A</v>
      </c>
      <c r="AU607" s="42"/>
      <c r="AV607" s="39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55"/>
      <c r="BP607" s="40"/>
      <c r="BQ607" s="4"/>
      <c r="BR607" s="61"/>
      <c r="BS607" s="4"/>
      <c r="BT607" s="57"/>
      <c r="BU607" s="62"/>
      <c r="BV607" s="8"/>
      <c r="BW607" s="58"/>
    </row>
    <row r="608" spans="41:75" x14ac:dyDescent="0.35">
      <c r="AO608" s="39">
        <v>606</v>
      </c>
      <c r="AP608" s="60"/>
      <c r="AQ608" s="41"/>
      <c r="AR608" s="42" t="str">
        <f>IFERROR(VLOOKUP(AU608,[1]SUMMARY!$A$3:$B$7,2,FALSE),"")</f>
        <v/>
      </c>
      <c r="AS608" s="42"/>
      <c r="AT608" s="31" t="e">
        <f>VLOOKUP(AS608,[1]OUTLET!$B:$C,2,0)</f>
        <v>#N/A</v>
      </c>
      <c r="AU608" s="42"/>
      <c r="AV608" s="39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55"/>
      <c r="BP608" s="40"/>
      <c r="BQ608" s="4"/>
      <c r="BR608" s="61"/>
      <c r="BS608" s="4"/>
      <c r="BT608" s="57"/>
      <c r="BU608" s="62"/>
      <c r="BV608" s="8"/>
      <c r="BW608" s="58"/>
    </row>
    <row r="609" spans="41:75" x14ac:dyDescent="0.35">
      <c r="AO609" s="39">
        <v>607</v>
      </c>
      <c r="AP609" s="60"/>
      <c r="AQ609" s="41"/>
      <c r="AR609" s="42" t="str">
        <f>IFERROR(VLOOKUP(AU609,[1]SUMMARY!$A$3:$B$7,2,FALSE),"")</f>
        <v/>
      </c>
      <c r="AS609" s="42"/>
      <c r="AT609" s="31" t="e">
        <f>VLOOKUP(AS609,[1]OUTLET!$B:$C,2,0)</f>
        <v>#N/A</v>
      </c>
      <c r="AU609" s="42"/>
      <c r="AV609" s="39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55"/>
      <c r="BP609" s="40"/>
      <c r="BQ609" s="4"/>
      <c r="BR609" s="61"/>
      <c r="BS609" s="4"/>
      <c r="BT609" s="57"/>
      <c r="BU609" s="62"/>
      <c r="BV609" s="8"/>
      <c r="BW609" s="58"/>
    </row>
    <row r="610" spans="41:75" x14ac:dyDescent="0.35">
      <c r="AO610" s="39">
        <v>608</v>
      </c>
      <c r="AP610" s="60"/>
      <c r="AQ610" s="41"/>
      <c r="AR610" s="42" t="str">
        <f>IFERROR(VLOOKUP(AU610,[1]SUMMARY!$A$3:$B$7,2,FALSE),"")</f>
        <v/>
      </c>
      <c r="AS610" s="42"/>
      <c r="AT610" s="31" t="e">
        <f>VLOOKUP(AS610,[1]OUTLET!$B:$C,2,0)</f>
        <v>#N/A</v>
      </c>
      <c r="AU610" s="42"/>
      <c r="AV610" s="39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55"/>
      <c r="BP610" s="40"/>
      <c r="BQ610" s="4"/>
      <c r="BR610" s="61"/>
      <c r="BS610" s="4"/>
      <c r="BT610" s="57"/>
      <c r="BU610" s="62"/>
      <c r="BV610" s="8"/>
      <c r="BW610" s="58"/>
    </row>
    <row r="611" spans="41:75" x14ac:dyDescent="0.35">
      <c r="AO611" s="39">
        <v>609</v>
      </c>
      <c r="AP611" s="60"/>
      <c r="AQ611" s="41"/>
      <c r="AR611" s="42" t="str">
        <f>IFERROR(VLOOKUP(AU611,[1]SUMMARY!$A$3:$B$7,2,FALSE),"")</f>
        <v/>
      </c>
      <c r="AS611" s="42"/>
      <c r="AT611" s="31" t="e">
        <f>VLOOKUP(AS611,[1]OUTLET!$B:$C,2,0)</f>
        <v>#N/A</v>
      </c>
      <c r="AU611" s="42"/>
      <c r="AV611" s="39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55"/>
      <c r="BP611" s="40"/>
      <c r="BQ611" s="4"/>
      <c r="BR611" s="61"/>
      <c r="BS611" s="4"/>
      <c r="BT611" s="57"/>
      <c r="BU611" s="62"/>
      <c r="BV611" s="8"/>
      <c r="BW611" s="58"/>
    </row>
    <row r="612" spans="41:75" x14ac:dyDescent="0.35">
      <c r="AO612" s="39">
        <v>610</v>
      </c>
      <c r="AP612" s="60"/>
      <c r="AQ612" s="41"/>
      <c r="AR612" s="42" t="str">
        <f>IFERROR(VLOOKUP(AU612,[1]SUMMARY!$A$3:$B$7,2,FALSE),"")</f>
        <v/>
      </c>
      <c r="AS612" s="42"/>
      <c r="AT612" s="31" t="e">
        <f>VLOOKUP(AS612,[1]OUTLET!$B:$C,2,0)</f>
        <v>#N/A</v>
      </c>
      <c r="AU612" s="42"/>
      <c r="AV612" s="39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55"/>
      <c r="BP612" s="40"/>
      <c r="BQ612" s="4"/>
      <c r="BR612" s="61"/>
      <c r="BS612" s="4"/>
      <c r="BT612" s="57"/>
      <c r="BU612" s="62"/>
      <c r="BV612" s="8"/>
      <c r="BW612" s="58"/>
    </row>
    <row r="613" spans="41:75" x14ac:dyDescent="0.35">
      <c r="AO613" s="39">
        <v>611</v>
      </c>
      <c r="AP613" s="60"/>
      <c r="AQ613" s="41"/>
      <c r="AR613" s="42" t="str">
        <f>IFERROR(VLOOKUP(AU613,[1]SUMMARY!$A$3:$B$7,2,FALSE),"")</f>
        <v/>
      </c>
      <c r="AS613" s="42"/>
      <c r="AT613" s="31" t="e">
        <f>VLOOKUP(AS613,[1]OUTLET!$B:$C,2,0)</f>
        <v>#N/A</v>
      </c>
      <c r="AU613" s="42"/>
      <c r="AV613" s="39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55"/>
      <c r="BP613" s="40"/>
      <c r="BQ613" s="4"/>
      <c r="BR613" s="61"/>
      <c r="BS613" s="4"/>
      <c r="BT613" s="57"/>
      <c r="BU613" s="62"/>
      <c r="BV613" s="8"/>
      <c r="BW613" s="58"/>
    </row>
    <row r="614" spans="41:75" x14ac:dyDescent="0.35">
      <c r="AO614" s="39">
        <v>612</v>
      </c>
      <c r="AP614" s="60"/>
      <c r="AQ614" s="41"/>
      <c r="AR614" s="42" t="str">
        <f>IFERROR(VLOOKUP(AU614,[1]SUMMARY!$A$3:$B$7,2,FALSE),"")</f>
        <v/>
      </c>
      <c r="AS614" s="42"/>
      <c r="AT614" s="31" t="e">
        <f>VLOOKUP(AS614,[1]OUTLET!$B:$C,2,0)</f>
        <v>#N/A</v>
      </c>
      <c r="AU614" s="42"/>
      <c r="AV614" s="39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55"/>
      <c r="BP614" s="40"/>
      <c r="BQ614" s="4"/>
      <c r="BR614" s="61"/>
      <c r="BS614" s="4"/>
      <c r="BT614" s="57"/>
      <c r="BU614" s="62"/>
      <c r="BV614" s="8"/>
      <c r="BW614" s="58"/>
    </row>
    <row r="615" spans="41:75" x14ac:dyDescent="0.35">
      <c r="AO615" s="39">
        <v>613</v>
      </c>
      <c r="AP615" s="60"/>
      <c r="AQ615" s="41"/>
      <c r="AR615" s="42" t="str">
        <f>IFERROR(VLOOKUP(AU615,[1]SUMMARY!$A$3:$B$7,2,FALSE),"")</f>
        <v/>
      </c>
      <c r="AS615" s="42"/>
      <c r="AT615" s="31" t="e">
        <f>VLOOKUP(AS615,[1]OUTLET!$B:$C,2,0)</f>
        <v>#N/A</v>
      </c>
      <c r="AU615" s="42"/>
      <c r="AV615" s="39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55"/>
      <c r="BP615" s="40"/>
      <c r="BQ615" s="4"/>
      <c r="BR615" s="61"/>
      <c r="BS615" s="4"/>
      <c r="BT615" s="57"/>
      <c r="BU615" s="62"/>
      <c r="BV615" s="8"/>
      <c r="BW615" s="58"/>
    </row>
    <row r="616" spans="41:75" x14ac:dyDescent="0.35">
      <c r="AO616" s="39">
        <v>614</v>
      </c>
      <c r="AP616" s="60"/>
      <c r="AQ616" s="41"/>
      <c r="AR616" s="42" t="str">
        <f>IFERROR(VLOOKUP(AU616,[1]SUMMARY!$A$3:$B$7,2,FALSE),"")</f>
        <v/>
      </c>
      <c r="AS616" s="42"/>
      <c r="AT616" s="31" t="e">
        <f>VLOOKUP(AS616,[1]OUTLET!$B:$C,2,0)</f>
        <v>#N/A</v>
      </c>
      <c r="AU616" s="42"/>
      <c r="AV616" s="39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55"/>
      <c r="BP616" s="40"/>
      <c r="BQ616" s="4"/>
      <c r="BR616" s="61"/>
      <c r="BS616" s="4"/>
      <c r="BT616" s="57"/>
      <c r="BU616" s="62"/>
      <c r="BV616" s="8"/>
      <c r="BW616" s="58"/>
    </row>
    <row r="617" spans="41:75" x14ac:dyDescent="0.35">
      <c r="AO617" s="39">
        <v>615</v>
      </c>
      <c r="AP617" s="60"/>
      <c r="AQ617" s="41"/>
      <c r="AR617" s="42" t="str">
        <f>IFERROR(VLOOKUP(AU617,[1]SUMMARY!$A$3:$B$7,2,FALSE),"")</f>
        <v/>
      </c>
      <c r="AS617" s="42"/>
      <c r="AT617" s="31" t="e">
        <f>VLOOKUP(AS617,[1]OUTLET!$B:$C,2,0)</f>
        <v>#N/A</v>
      </c>
      <c r="AU617" s="42"/>
      <c r="AV617" s="39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55"/>
      <c r="BP617" s="40"/>
      <c r="BQ617" s="4"/>
      <c r="BR617" s="61"/>
      <c r="BS617" s="4"/>
      <c r="BT617" s="57"/>
      <c r="BU617" s="62"/>
      <c r="BV617" s="8"/>
      <c r="BW617" s="58"/>
    </row>
    <row r="618" spans="41:75" x14ac:dyDescent="0.35">
      <c r="AO618" s="39">
        <v>616</v>
      </c>
      <c r="AP618" s="60"/>
      <c r="AQ618" s="41"/>
      <c r="AR618" s="42" t="str">
        <f>IFERROR(VLOOKUP(AU618,[1]SUMMARY!$A$3:$B$7,2,FALSE),"")</f>
        <v/>
      </c>
      <c r="AS618" s="42"/>
      <c r="AT618" s="31" t="e">
        <f>VLOOKUP(AS618,[1]OUTLET!$B:$C,2,0)</f>
        <v>#N/A</v>
      </c>
      <c r="AU618" s="42"/>
      <c r="AV618" s="39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55"/>
      <c r="BP618" s="40"/>
      <c r="BQ618" s="4"/>
      <c r="BR618" s="61"/>
      <c r="BS618" s="4"/>
      <c r="BT618" s="57"/>
      <c r="BU618" s="62"/>
      <c r="BV618" s="8"/>
      <c r="BW618" s="58"/>
    </row>
    <row r="619" spans="41:75" x14ac:dyDescent="0.35">
      <c r="AO619" s="39">
        <v>617</v>
      </c>
      <c r="AP619" s="60"/>
      <c r="AQ619" s="41"/>
      <c r="AR619" s="42" t="str">
        <f>IFERROR(VLOOKUP(AU619,[1]SUMMARY!$A$3:$B$7,2,FALSE),"")</f>
        <v/>
      </c>
      <c r="AS619" s="42"/>
      <c r="AT619" s="31" t="e">
        <f>VLOOKUP(AS619,[1]OUTLET!$B:$C,2,0)</f>
        <v>#N/A</v>
      </c>
      <c r="AU619" s="42"/>
      <c r="AV619" s="39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55"/>
      <c r="BP619" s="40"/>
      <c r="BQ619" s="4"/>
      <c r="BR619" s="61"/>
      <c r="BS619" s="4"/>
      <c r="BT619" s="57"/>
      <c r="BU619" s="62"/>
      <c r="BV619" s="8"/>
      <c r="BW619" s="58"/>
    </row>
    <row r="620" spans="41:75" x14ac:dyDescent="0.35">
      <c r="AO620" s="39">
        <v>618</v>
      </c>
      <c r="AP620" s="60"/>
      <c r="AQ620" s="41"/>
      <c r="AR620" s="42" t="str">
        <f>IFERROR(VLOOKUP(AU620,[1]SUMMARY!$A$3:$B$7,2,FALSE),"")</f>
        <v/>
      </c>
      <c r="AS620" s="42"/>
      <c r="AT620" s="31" t="e">
        <f>VLOOKUP(AS620,[1]OUTLET!$B:$C,2,0)</f>
        <v>#N/A</v>
      </c>
      <c r="AU620" s="42"/>
      <c r="AV620" s="39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55"/>
      <c r="BP620" s="40"/>
      <c r="BQ620" s="4"/>
      <c r="BR620" s="61"/>
      <c r="BS620" s="4"/>
      <c r="BT620" s="57"/>
      <c r="BU620" s="62"/>
      <c r="BV620" s="8"/>
      <c r="BW620" s="58"/>
    </row>
    <row r="621" spans="41:75" x14ac:dyDescent="0.35">
      <c r="AO621" s="39">
        <v>619</v>
      </c>
      <c r="AP621" s="60"/>
      <c r="AQ621" s="41"/>
      <c r="AR621" s="42" t="str">
        <f>IFERROR(VLOOKUP(AU621,[1]SUMMARY!$A$3:$B$7,2,FALSE),"")</f>
        <v/>
      </c>
      <c r="AS621" s="42"/>
      <c r="AT621" s="31" t="e">
        <f>VLOOKUP(AS621,[1]OUTLET!$B:$C,2,0)</f>
        <v>#N/A</v>
      </c>
      <c r="AU621" s="42"/>
      <c r="AV621" s="39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55"/>
      <c r="BP621" s="40"/>
      <c r="BQ621" s="4"/>
      <c r="BR621" s="61"/>
      <c r="BS621" s="4"/>
      <c r="BT621" s="57"/>
      <c r="BU621" s="62"/>
      <c r="BV621" s="8"/>
      <c r="BW621" s="58"/>
    </row>
    <row r="622" spans="41:75" x14ac:dyDescent="0.35">
      <c r="AO622" s="39">
        <v>620</v>
      </c>
      <c r="AP622" s="60"/>
      <c r="AQ622" s="41"/>
      <c r="AR622" s="42" t="str">
        <f>IFERROR(VLOOKUP(AU622,[1]SUMMARY!$A$3:$B$7,2,FALSE),"")</f>
        <v/>
      </c>
      <c r="AS622" s="42"/>
      <c r="AT622" s="31" t="e">
        <f>VLOOKUP(AS622,[1]OUTLET!$B:$C,2,0)</f>
        <v>#N/A</v>
      </c>
      <c r="AU622" s="42"/>
      <c r="AV622" s="39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55"/>
      <c r="BP622" s="40"/>
      <c r="BQ622" s="4"/>
      <c r="BR622" s="61"/>
      <c r="BS622" s="4"/>
      <c r="BT622" s="57"/>
      <c r="BU622" s="62"/>
      <c r="BV622" s="8"/>
      <c r="BW622" s="58"/>
    </row>
    <row r="623" spans="41:75" x14ac:dyDescent="0.35">
      <c r="AO623" s="39">
        <v>621</v>
      </c>
      <c r="AP623" s="60"/>
      <c r="AQ623" s="41"/>
      <c r="AR623" s="42" t="str">
        <f>IFERROR(VLOOKUP(AU623,[1]SUMMARY!$A$3:$B$7,2,FALSE),"")</f>
        <v/>
      </c>
      <c r="AS623" s="42"/>
      <c r="AT623" s="31" t="e">
        <f>VLOOKUP(AS623,[1]OUTLET!$B:$C,2,0)</f>
        <v>#N/A</v>
      </c>
      <c r="AU623" s="42"/>
      <c r="AV623" s="39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55"/>
      <c r="BP623" s="40"/>
      <c r="BQ623" s="4"/>
      <c r="BR623" s="61"/>
      <c r="BS623" s="4"/>
      <c r="BT623" s="57"/>
      <c r="BU623" s="62"/>
      <c r="BV623" s="8"/>
      <c r="BW623" s="58"/>
    </row>
    <row r="624" spans="41:75" x14ac:dyDescent="0.35">
      <c r="AO624" s="39">
        <v>622</v>
      </c>
      <c r="AP624" s="60"/>
      <c r="AQ624" s="41"/>
      <c r="AR624" s="42" t="str">
        <f>IFERROR(VLOOKUP(AU624,[1]SUMMARY!$A$3:$B$7,2,FALSE),"")</f>
        <v/>
      </c>
      <c r="AS624" s="42"/>
      <c r="AT624" s="31" t="e">
        <f>VLOOKUP(AS624,[1]OUTLET!$B:$C,2,0)</f>
        <v>#N/A</v>
      </c>
      <c r="AU624" s="42"/>
      <c r="AV624" s="39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55"/>
      <c r="BP624" s="40"/>
      <c r="BQ624" s="4"/>
      <c r="BR624" s="61"/>
      <c r="BS624" s="4"/>
      <c r="BT624" s="57"/>
      <c r="BU624" s="62"/>
      <c r="BV624" s="8"/>
      <c r="BW624" s="58"/>
    </row>
    <row r="625" spans="41:75" x14ac:dyDescent="0.35">
      <c r="AO625" s="39">
        <v>623</v>
      </c>
      <c r="AP625" s="60"/>
      <c r="AQ625" s="41"/>
      <c r="AR625" s="42" t="str">
        <f>IFERROR(VLOOKUP(AU625,[1]SUMMARY!$A$3:$B$7,2,FALSE),"")</f>
        <v/>
      </c>
      <c r="AS625" s="42"/>
      <c r="AT625" s="31" t="e">
        <f>VLOOKUP(AS625,[1]OUTLET!$B:$C,2,0)</f>
        <v>#N/A</v>
      </c>
      <c r="AU625" s="42"/>
      <c r="AV625" s="39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55"/>
      <c r="BP625" s="40"/>
      <c r="BQ625" s="4"/>
      <c r="BR625" s="61"/>
      <c r="BS625" s="4"/>
      <c r="BT625" s="57"/>
      <c r="BU625" s="62"/>
      <c r="BV625" s="8"/>
      <c r="BW625" s="58"/>
    </row>
    <row r="626" spans="41:75" x14ac:dyDescent="0.35">
      <c r="AO626" s="39">
        <v>624</v>
      </c>
      <c r="AP626" s="60"/>
      <c r="AQ626" s="41"/>
      <c r="AR626" s="42" t="str">
        <f>IFERROR(VLOOKUP(AU626,[1]SUMMARY!$A$3:$B$7,2,FALSE),"")</f>
        <v/>
      </c>
      <c r="AS626" s="42"/>
      <c r="AT626" s="31" t="e">
        <f>VLOOKUP(AS626,[1]OUTLET!$B:$C,2,0)</f>
        <v>#N/A</v>
      </c>
      <c r="AU626" s="42"/>
      <c r="AV626" s="39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55"/>
      <c r="BP626" s="40"/>
      <c r="BQ626" s="4"/>
      <c r="BR626" s="61"/>
      <c r="BS626" s="4"/>
      <c r="BT626" s="57"/>
      <c r="BU626" s="62"/>
      <c r="BV626" s="8"/>
      <c r="BW626" s="58"/>
    </row>
    <row r="627" spans="41:75" x14ac:dyDescent="0.35">
      <c r="AO627" s="39">
        <v>625</v>
      </c>
      <c r="AP627" s="60"/>
      <c r="AQ627" s="41"/>
      <c r="AR627" s="42" t="str">
        <f>IFERROR(VLOOKUP(AU627,[1]SUMMARY!$A$3:$B$7,2,FALSE),"")</f>
        <v/>
      </c>
      <c r="AS627" s="42"/>
      <c r="AT627" s="31" t="e">
        <f>VLOOKUP(AS627,[1]OUTLET!$B:$C,2,0)</f>
        <v>#N/A</v>
      </c>
      <c r="AU627" s="42"/>
      <c r="AV627" s="39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55"/>
      <c r="BP627" s="40"/>
      <c r="BQ627" s="4"/>
      <c r="BR627" s="61"/>
      <c r="BS627" s="4"/>
      <c r="BT627" s="57"/>
      <c r="BU627" s="62"/>
      <c r="BV627" s="8"/>
      <c r="BW627" s="58"/>
    </row>
    <row r="628" spans="41:75" x14ac:dyDescent="0.35">
      <c r="AO628" s="39">
        <v>626</v>
      </c>
      <c r="AP628" s="60"/>
      <c r="AQ628" s="41"/>
      <c r="AR628" s="42" t="str">
        <f>IFERROR(VLOOKUP(AU628,[1]SUMMARY!$A$3:$B$7,2,FALSE),"")</f>
        <v/>
      </c>
      <c r="AS628" s="42"/>
      <c r="AT628" s="31" t="e">
        <f>VLOOKUP(AS628,[1]OUTLET!$B:$C,2,0)</f>
        <v>#N/A</v>
      </c>
      <c r="AU628" s="42"/>
      <c r="AV628" s="39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55"/>
      <c r="BP628" s="40"/>
      <c r="BQ628" s="4"/>
      <c r="BR628" s="61"/>
      <c r="BS628" s="4"/>
      <c r="BT628" s="57"/>
      <c r="BU628" s="62"/>
      <c r="BV628" s="8"/>
      <c r="BW628" s="58"/>
    </row>
    <row r="629" spans="41:75" x14ac:dyDescent="0.35">
      <c r="AO629" s="39">
        <v>627</v>
      </c>
      <c r="AP629" s="60"/>
      <c r="AQ629" s="41"/>
      <c r="AR629" s="42" t="str">
        <f>IFERROR(VLOOKUP(AU629,[1]SUMMARY!$A$3:$B$7,2,FALSE),"")</f>
        <v/>
      </c>
      <c r="AS629" s="42"/>
      <c r="AT629" s="31" t="e">
        <f>VLOOKUP(AS629,[1]OUTLET!$B:$C,2,0)</f>
        <v>#N/A</v>
      </c>
      <c r="AU629" s="42"/>
      <c r="AV629" s="39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55"/>
      <c r="BP629" s="40"/>
      <c r="BQ629" s="4"/>
      <c r="BR629" s="61"/>
      <c r="BS629" s="4"/>
      <c r="BT629" s="57"/>
      <c r="BU629" s="62"/>
      <c r="BV629" s="8"/>
      <c r="BW629" s="58"/>
    </row>
    <row r="630" spans="41:75" x14ac:dyDescent="0.35">
      <c r="AO630" s="39">
        <v>628</v>
      </c>
      <c r="AP630" s="60"/>
      <c r="AQ630" s="41"/>
      <c r="AR630" s="42" t="str">
        <f>IFERROR(VLOOKUP(AU630,[1]SUMMARY!$A$3:$B$7,2,FALSE),"")</f>
        <v/>
      </c>
      <c r="AS630" s="42"/>
      <c r="AT630" s="31" t="e">
        <f>VLOOKUP(AS630,[1]OUTLET!$B:$C,2,0)</f>
        <v>#N/A</v>
      </c>
      <c r="AU630" s="42"/>
      <c r="AV630" s="39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55"/>
      <c r="BP630" s="40"/>
      <c r="BQ630" s="4"/>
      <c r="BR630" s="61"/>
      <c r="BS630" s="4"/>
      <c r="BT630" s="57"/>
      <c r="BU630" s="62"/>
      <c r="BV630" s="8"/>
      <c r="BW630" s="58"/>
    </row>
    <row r="631" spans="41:75" x14ac:dyDescent="0.35">
      <c r="AO631" s="39">
        <v>629</v>
      </c>
      <c r="AP631" s="60"/>
      <c r="AQ631" s="41"/>
      <c r="AR631" s="42" t="str">
        <f>IFERROR(VLOOKUP(AU631,[1]SUMMARY!$A$3:$B$7,2,FALSE),"")</f>
        <v/>
      </c>
      <c r="AS631" s="42"/>
      <c r="AT631" s="31" t="e">
        <f>VLOOKUP(AS631,[1]OUTLET!$B:$C,2,0)</f>
        <v>#N/A</v>
      </c>
      <c r="AU631" s="42"/>
      <c r="AV631" s="39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55"/>
      <c r="BP631" s="40"/>
      <c r="BQ631" s="4"/>
      <c r="BR631" s="61"/>
      <c r="BS631" s="4"/>
      <c r="BT631" s="57"/>
      <c r="BU631" s="62"/>
      <c r="BV631" s="8"/>
      <c r="BW631" s="58"/>
    </row>
    <row r="632" spans="41:75" x14ac:dyDescent="0.35">
      <c r="AO632" s="39">
        <v>630</v>
      </c>
      <c r="AP632" s="60"/>
      <c r="AQ632" s="41"/>
      <c r="AR632" s="42" t="str">
        <f>IFERROR(VLOOKUP(AU632,[1]SUMMARY!$A$3:$B$7,2,FALSE),"")</f>
        <v/>
      </c>
      <c r="AS632" s="42"/>
      <c r="AT632" s="31" t="e">
        <f>VLOOKUP(AS632,[1]OUTLET!$B:$C,2,0)</f>
        <v>#N/A</v>
      </c>
      <c r="AU632" s="42"/>
      <c r="AV632" s="39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55"/>
      <c r="BP632" s="40"/>
      <c r="BQ632" s="4"/>
      <c r="BR632" s="61"/>
      <c r="BS632" s="4"/>
      <c r="BT632" s="57"/>
      <c r="BU632" s="62"/>
      <c r="BV632" s="8"/>
      <c r="BW632" s="58"/>
    </row>
    <row r="633" spans="41:75" x14ac:dyDescent="0.35">
      <c r="AO633" s="39">
        <v>631</v>
      </c>
      <c r="AP633" s="60"/>
      <c r="AQ633" s="41"/>
      <c r="AR633" s="42" t="str">
        <f>IFERROR(VLOOKUP(AU633,[1]SUMMARY!$A$3:$B$7,2,FALSE),"")</f>
        <v/>
      </c>
      <c r="AS633" s="42"/>
      <c r="AT633" s="31" t="e">
        <f>VLOOKUP(AS633,[1]OUTLET!$B:$C,2,0)</f>
        <v>#N/A</v>
      </c>
      <c r="AU633" s="42"/>
      <c r="AV633" s="39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55"/>
      <c r="BP633" s="40"/>
      <c r="BQ633" s="4"/>
      <c r="BR633" s="61"/>
      <c r="BS633" s="4"/>
      <c r="BT633" s="57"/>
      <c r="BU633" s="62"/>
      <c r="BV633" s="8"/>
      <c r="BW633" s="58"/>
    </row>
    <row r="634" spans="41:75" x14ac:dyDescent="0.35">
      <c r="AO634" s="39">
        <v>632</v>
      </c>
      <c r="AP634" s="60"/>
      <c r="AQ634" s="41"/>
      <c r="AR634" s="42" t="str">
        <f>IFERROR(VLOOKUP(AU634,[1]SUMMARY!$A$3:$B$7,2,FALSE),"")</f>
        <v/>
      </c>
      <c r="AS634" s="42"/>
      <c r="AT634" s="31" t="e">
        <f>VLOOKUP(AS634,[1]OUTLET!$B:$C,2,0)</f>
        <v>#N/A</v>
      </c>
      <c r="AU634" s="42"/>
      <c r="AV634" s="39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55"/>
      <c r="BP634" s="40"/>
      <c r="BQ634" s="4"/>
      <c r="BR634" s="61"/>
      <c r="BS634" s="4"/>
      <c r="BT634" s="57"/>
      <c r="BU634" s="62"/>
      <c r="BV634" s="8"/>
      <c r="BW634" s="58"/>
    </row>
    <row r="635" spans="41:75" x14ac:dyDescent="0.35">
      <c r="AO635" s="39">
        <v>633</v>
      </c>
      <c r="AP635" s="60"/>
      <c r="AQ635" s="41"/>
      <c r="AR635" s="42" t="str">
        <f>IFERROR(VLOOKUP(AU635,[1]SUMMARY!$A$3:$B$7,2,FALSE),"")</f>
        <v/>
      </c>
      <c r="AS635" s="42"/>
      <c r="AT635" s="31" t="e">
        <f>VLOOKUP(AS635,[1]OUTLET!$B:$C,2,0)</f>
        <v>#N/A</v>
      </c>
      <c r="AU635" s="42"/>
      <c r="AV635" s="39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55"/>
      <c r="BP635" s="40"/>
      <c r="BQ635" s="4"/>
      <c r="BR635" s="61"/>
      <c r="BS635" s="4"/>
      <c r="BT635" s="57"/>
      <c r="BU635" s="62"/>
      <c r="BV635" s="8"/>
      <c r="BW635" s="58"/>
    </row>
    <row r="636" spans="41:75" x14ac:dyDescent="0.35">
      <c r="AO636" s="39">
        <v>634</v>
      </c>
      <c r="AP636" s="60"/>
      <c r="AQ636" s="41"/>
      <c r="AR636" s="42" t="str">
        <f>IFERROR(VLOOKUP(AU636,[1]SUMMARY!$A$3:$B$7,2,FALSE),"")</f>
        <v/>
      </c>
      <c r="AS636" s="42"/>
      <c r="AT636" s="31" t="e">
        <f>VLOOKUP(AS636,[1]OUTLET!$B:$C,2,0)</f>
        <v>#N/A</v>
      </c>
      <c r="AU636" s="42"/>
      <c r="AV636" s="39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55"/>
      <c r="BP636" s="40"/>
      <c r="BQ636" s="4"/>
      <c r="BR636" s="61"/>
      <c r="BS636" s="4"/>
      <c r="BT636" s="57"/>
      <c r="BU636" s="62"/>
      <c r="BV636" s="8"/>
      <c r="BW636" s="58"/>
    </row>
    <row r="637" spans="41:75" x14ac:dyDescent="0.35">
      <c r="AO637" s="39">
        <v>635</v>
      </c>
      <c r="AP637" s="60"/>
      <c r="AQ637" s="41"/>
      <c r="AR637" s="42" t="str">
        <f>IFERROR(VLOOKUP(AU637,[1]SUMMARY!$A$3:$B$7,2,FALSE),"")</f>
        <v/>
      </c>
      <c r="AS637" s="42"/>
      <c r="AT637" s="31" t="e">
        <f>VLOOKUP(AS637,[1]OUTLET!$B:$C,2,0)</f>
        <v>#N/A</v>
      </c>
      <c r="AU637" s="42"/>
      <c r="AV637" s="39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55"/>
      <c r="BP637" s="40"/>
      <c r="BQ637" s="4"/>
      <c r="BR637" s="61"/>
      <c r="BS637" s="4"/>
      <c r="BT637" s="57"/>
      <c r="BU637" s="62"/>
      <c r="BV637" s="8"/>
      <c r="BW637" s="58"/>
    </row>
    <row r="638" spans="41:75" x14ac:dyDescent="0.35">
      <c r="AO638" s="39">
        <v>636</v>
      </c>
      <c r="AP638" s="60"/>
      <c r="AQ638" s="41"/>
      <c r="AR638" s="42" t="str">
        <f>IFERROR(VLOOKUP(AU638,[1]SUMMARY!$A$3:$B$7,2,FALSE),"")</f>
        <v/>
      </c>
      <c r="AS638" s="42"/>
      <c r="AT638" s="31" t="e">
        <f>VLOOKUP(AS638,[1]OUTLET!$B:$C,2,0)</f>
        <v>#N/A</v>
      </c>
      <c r="AU638" s="42"/>
      <c r="AV638" s="39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55"/>
      <c r="BP638" s="40"/>
      <c r="BQ638" s="4"/>
      <c r="BR638" s="61"/>
      <c r="BS638" s="4"/>
      <c r="BT638" s="57"/>
      <c r="BU638" s="62"/>
      <c r="BV638" s="8"/>
      <c r="BW638" s="58"/>
    </row>
    <row r="639" spans="41:75" x14ac:dyDescent="0.35">
      <c r="AO639" s="39">
        <v>637</v>
      </c>
      <c r="AP639" s="60"/>
      <c r="AQ639" s="41"/>
      <c r="AR639" s="42" t="str">
        <f>IFERROR(VLOOKUP(AU639,[1]SUMMARY!$A$3:$B$7,2,FALSE),"")</f>
        <v/>
      </c>
      <c r="AS639" s="42"/>
      <c r="AT639" s="31" t="e">
        <f>VLOOKUP(AS639,[1]OUTLET!$B:$C,2,0)</f>
        <v>#N/A</v>
      </c>
      <c r="AU639" s="42"/>
      <c r="AV639" s="39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55"/>
      <c r="BP639" s="40"/>
      <c r="BQ639" s="4"/>
      <c r="BR639" s="61"/>
      <c r="BS639" s="4"/>
      <c r="BT639" s="57"/>
      <c r="BU639" s="62"/>
      <c r="BV639" s="8"/>
      <c r="BW639" s="58"/>
    </row>
    <row r="640" spans="41:75" x14ac:dyDescent="0.35">
      <c r="AO640" s="39">
        <v>638</v>
      </c>
      <c r="AP640" s="60"/>
      <c r="AQ640" s="41"/>
      <c r="AR640" s="42" t="str">
        <f>IFERROR(VLOOKUP(AU640,[1]SUMMARY!$A$3:$B$7,2,FALSE),"")</f>
        <v/>
      </c>
      <c r="AS640" s="42"/>
      <c r="AT640" s="31" t="e">
        <f>VLOOKUP(AS640,[1]OUTLET!$B:$C,2,0)</f>
        <v>#N/A</v>
      </c>
      <c r="AU640" s="42"/>
      <c r="AV640" s="39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55"/>
      <c r="BP640" s="40"/>
      <c r="BQ640" s="4"/>
      <c r="BR640" s="61"/>
      <c r="BS640" s="4"/>
      <c r="BT640" s="57"/>
      <c r="BU640" s="62"/>
      <c r="BV640" s="8"/>
      <c r="BW640" s="58"/>
    </row>
    <row r="641" spans="41:75" x14ac:dyDescent="0.35">
      <c r="AO641" s="39">
        <v>639</v>
      </c>
      <c r="AP641" s="60"/>
      <c r="AQ641" s="41"/>
      <c r="AR641" s="42" t="str">
        <f>IFERROR(VLOOKUP(AU641,[1]SUMMARY!$A$3:$B$7,2,FALSE),"")</f>
        <v/>
      </c>
      <c r="AS641" s="42"/>
      <c r="AT641" s="31" t="e">
        <f>VLOOKUP(AS641,[1]OUTLET!$B:$C,2,0)</f>
        <v>#N/A</v>
      </c>
      <c r="AU641" s="42"/>
      <c r="AV641" s="39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55"/>
      <c r="BP641" s="40"/>
      <c r="BQ641" s="4"/>
      <c r="BR641" s="61"/>
      <c r="BS641" s="4"/>
      <c r="BT641" s="57"/>
      <c r="BU641" s="62"/>
      <c r="BV641" s="8"/>
      <c r="BW641" s="58"/>
    </row>
    <row r="642" spans="41:75" x14ac:dyDescent="0.35">
      <c r="AO642" s="39">
        <v>640</v>
      </c>
      <c r="AP642" s="60"/>
      <c r="AQ642" s="41"/>
      <c r="AR642" s="42" t="str">
        <f>IFERROR(VLOOKUP(AU642,[1]SUMMARY!$A$3:$B$7,2,FALSE),"")</f>
        <v/>
      </c>
      <c r="AS642" s="42"/>
      <c r="AT642" s="31" t="e">
        <f>VLOOKUP(AS642,[1]OUTLET!$B:$C,2,0)</f>
        <v>#N/A</v>
      </c>
      <c r="AU642" s="42"/>
      <c r="AV642" s="39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55"/>
      <c r="BP642" s="40"/>
      <c r="BQ642" s="4"/>
      <c r="BR642" s="61"/>
      <c r="BS642" s="4"/>
      <c r="BT642" s="57"/>
      <c r="BU642" s="62"/>
      <c r="BV642" s="8"/>
      <c r="BW642" s="58"/>
    </row>
    <row r="643" spans="41:75" x14ac:dyDescent="0.35">
      <c r="AO643" s="39">
        <v>641</v>
      </c>
      <c r="AP643" s="60"/>
      <c r="AQ643" s="41"/>
      <c r="AR643" s="42" t="str">
        <f>IFERROR(VLOOKUP(AU643,[1]SUMMARY!$A$3:$B$7,2,FALSE),"")</f>
        <v/>
      </c>
      <c r="AS643" s="42"/>
      <c r="AT643" s="31" t="e">
        <f>VLOOKUP(AS643,[1]OUTLET!$B:$C,2,0)</f>
        <v>#N/A</v>
      </c>
      <c r="AU643" s="42"/>
      <c r="AV643" s="39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55"/>
      <c r="BP643" s="40"/>
      <c r="BQ643" s="4"/>
      <c r="BR643" s="61"/>
      <c r="BS643" s="4"/>
      <c r="BT643" s="57"/>
      <c r="BU643" s="62"/>
      <c r="BV643" s="8"/>
      <c r="BW643" s="58"/>
    </row>
    <row r="644" spans="41:75" x14ac:dyDescent="0.35">
      <c r="AO644" s="39">
        <v>642</v>
      </c>
      <c r="AP644" s="60"/>
      <c r="AQ644" s="41"/>
      <c r="AR644" s="42" t="str">
        <f>IFERROR(VLOOKUP(AU644,[1]SUMMARY!$A$3:$B$7,2,FALSE),"")</f>
        <v/>
      </c>
      <c r="AS644" s="42"/>
      <c r="AT644" s="31" t="e">
        <f>VLOOKUP(AS644,[1]OUTLET!$B:$C,2,0)</f>
        <v>#N/A</v>
      </c>
      <c r="AU644" s="42"/>
      <c r="AV644" s="39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55"/>
      <c r="BP644" s="40"/>
      <c r="BQ644" s="4"/>
      <c r="BR644" s="61"/>
      <c r="BS644" s="4"/>
      <c r="BT644" s="57"/>
      <c r="BU644" s="62"/>
      <c r="BV644" s="8"/>
      <c r="BW644" s="58"/>
    </row>
    <row r="645" spans="41:75" x14ac:dyDescent="0.35">
      <c r="AO645" s="39">
        <v>643</v>
      </c>
      <c r="AP645" s="60"/>
      <c r="AQ645" s="41"/>
      <c r="AR645" s="42" t="str">
        <f>IFERROR(VLOOKUP(AU645,[1]SUMMARY!$A$3:$B$7,2,FALSE),"")</f>
        <v/>
      </c>
      <c r="AS645" s="42"/>
      <c r="AT645" s="31" t="e">
        <f>VLOOKUP(AS645,[1]OUTLET!$B:$C,2,0)</f>
        <v>#N/A</v>
      </c>
      <c r="AU645" s="42"/>
      <c r="AV645" s="39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55"/>
      <c r="BP645" s="40"/>
      <c r="BQ645" s="4"/>
      <c r="BR645" s="61"/>
      <c r="BS645" s="4"/>
      <c r="BT645" s="57"/>
      <c r="BU645" s="62"/>
      <c r="BV645" s="8"/>
      <c r="BW645" s="58"/>
    </row>
    <row r="646" spans="41:75" x14ac:dyDescent="0.35">
      <c r="AO646" s="39">
        <v>644</v>
      </c>
      <c r="AP646" s="60"/>
      <c r="AQ646" s="41"/>
      <c r="AR646" s="42" t="str">
        <f>IFERROR(VLOOKUP(AU646,[1]SUMMARY!$A$3:$B$7,2,FALSE),"")</f>
        <v/>
      </c>
      <c r="AS646" s="42"/>
      <c r="AT646" s="31" t="e">
        <f>VLOOKUP(AS646,[1]OUTLET!$B:$C,2,0)</f>
        <v>#N/A</v>
      </c>
      <c r="AU646" s="42"/>
      <c r="AV646" s="39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55"/>
      <c r="BP646" s="40"/>
      <c r="BQ646" s="4"/>
      <c r="BR646" s="61"/>
      <c r="BS646" s="4"/>
      <c r="BT646" s="57"/>
      <c r="BU646" s="62"/>
      <c r="BV646" s="8"/>
      <c r="BW646" s="58"/>
    </row>
    <row r="647" spans="41:75" x14ac:dyDescent="0.35">
      <c r="AO647" s="39">
        <v>645</v>
      </c>
      <c r="AP647" s="60"/>
      <c r="AQ647" s="41"/>
      <c r="AR647" s="42" t="str">
        <f>IFERROR(VLOOKUP(AU647,[1]SUMMARY!$A$3:$B$7,2,FALSE),"")</f>
        <v/>
      </c>
      <c r="AS647" s="42"/>
      <c r="AT647" s="31" t="e">
        <f>VLOOKUP(AS647,[1]OUTLET!$B:$C,2,0)</f>
        <v>#N/A</v>
      </c>
      <c r="AU647" s="42"/>
      <c r="AV647" s="39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55"/>
      <c r="BP647" s="40"/>
      <c r="BQ647" s="4"/>
      <c r="BR647" s="61"/>
      <c r="BS647" s="4"/>
      <c r="BT647" s="57"/>
      <c r="BU647" s="62"/>
      <c r="BV647" s="8"/>
      <c r="BW647" s="58"/>
    </row>
    <row r="648" spans="41:75" x14ac:dyDescent="0.35">
      <c r="AO648" s="39">
        <v>646</v>
      </c>
      <c r="AP648" s="60"/>
      <c r="AQ648" s="41"/>
      <c r="AR648" s="42" t="str">
        <f>IFERROR(VLOOKUP(AU648,[1]SUMMARY!$A$3:$B$7,2,FALSE),"")</f>
        <v/>
      </c>
      <c r="AS648" s="42"/>
      <c r="AT648" s="31" t="e">
        <f>VLOOKUP(AS648,[1]OUTLET!$B:$C,2,0)</f>
        <v>#N/A</v>
      </c>
      <c r="AU648" s="42"/>
      <c r="AV648" s="39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55"/>
      <c r="BP648" s="40"/>
      <c r="BQ648" s="4"/>
      <c r="BR648" s="61"/>
      <c r="BS648" s="4"/>
      <c r="BT648" s="57"/>
      <c r="BU648" s="62"/>
      <c r="BV648" s="8"/>
      <c r="BW648" s="58"/>
    </row>
    <row r="649" spans="41:75" x14ac:dyDescent="0.35">
      <c r="AO649" s="39">
        <v>647</v>
      </c>
      <c r="AP649" s="60"/>
      <c r="AQ649" s="41"/>
      <c r="AR649" s="42" t="str">
        <f>IFERROR(VLOOKUP(AU649,[1]SUMMARY!$A$3:$B$7,2,FALSE),"")</f>
        <v/>
      </c>
      <c r="AS649" s="42"/>
      <c r="AT649" s="31" t="e">
        <f>VLOOKUP(AS649,[1]OUTLET!$B:$C,2,0)</f>
        <v>#N/A</v>
      </c>
      <c r="AU649" s="42"/>
      <c r="AV649" s="39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55"/>
      <c r="BP649" s="40"/>
      <c r="BQ649" s="4"/>
      <c r="BR649" s="61"/>
      <c r="BS649" s="4"/>
      <c r="BT649" s="57"/>
      <c r="BU649" s="62"/>
      <c r="BV649" s="8"/>
      <c r="BW649" s="58"/>
    </row>
    <row r="650" spans="41:75" x14ac:dyDescent="0.35">
      <c r="AO650" s="39">
        <v>648</v>
      </c>
      <c r="AP650" s="60"/>
      <c r="AQ650" s="41"/>
      <c r="AR650" s="42" t="str">
        <f>IFERROR(VLOOKUP(AU650,[1]SUMMARY!$A$3:$B$7,2,FALSE),"")</f>
        <v/>
      </c>
      <c r="AS650" s="42"/>
      <c r="AT650" s="31" t="e">
        <f>VLOOKUP(AS650,[1]OUTLET!$B:$C,2,0)</f>
        <v>#N/A</v>
      </c>
      <c r="AU650" s="42"/>
      <c r="AV650" s="39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55"/>
      <c r="BP650" s="40"/>
      <c r="BQ650" s="4"/>
      <c r="BR650" s="61"/>
      <c r="BS650" s="4"/>
      <c r="BT650" s="57"/>
      <c r="BU650" s="62"/>
      <c r="BV650" s="8"/>
      <c r="BW650" s="58"/>
    </row>
    <row r="651" spans="41:75" x14ac:dyDescent="0.35">
      <c r="AO651" s="39">
        <v>649</v>
      </c>
      <c r="AP651" s="60"/>
      <c r="AQ651" s="41"/>
      <c r="AR651" s="42" t="str">
        <f>IFERROR(VLOOKUP(AU651,[1]SUMMARY!$A$3:$B$7,2,FALSE),"")</f>
        <v/>
      </c>
      <c r="AS651" s="42"/>
      <c r="AT651" s="31" t="e">
        <f>VLOOKUP(AS651,[1]OUTLET!$B:$C,2,0)</f>
        <v>#N/A</v>
      </c>
      <c r="AU651" s="42"/>
      <c r="AV651" s="39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55"/>
      <c r="BP651" s="40"/>
      <c r="BQ651" s="4"/>
      <c r="BR651" s="61"/>
      <c r="BS651" s="4"/>
      <c r="BT651" s="57"/>
      <c r="BU651" s="62"/>
      <c r="BV651" s="8"/>
      <c r="BW651" s="58"/>
    </row>
    <row r="652" spans="41:75" x14ac:dyDescent="0.35">
      <c r="AO652" s="39">
        <v>650</v>
      </c>
      <c r="AP652" s="60"/>
      <c r="AQ652" s="41"/>
      <c r="AR652" s="42" t="str">
        <f>IFERROR(VLOOKUP(AU652,[1]SUMMARY!$A$3:$B$7,2,FALSE),"")</f>
        <v/>
      </c>
      <c r="AS652" s="42"/>
      <c r="AT652" s="31" t="e">
        <f>VLOOKUP(AS652,[1]OUTLET!$B:$C,2,0)</f>
        <v>#N/A</v>
      </c>
      <c r="AU652" s="42"/>
      <c r="AV652" s="39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55"/>
      <c r="BP652" s="40"/>
      <c r="BQ652" s="4"/>
      <c r="BR652" s="61"/>
      <c r="BS652" s="4"/>
      <c r="BT652" s="57"/>
      <c r="BU652" s="62"/>
      <c r="BV652" s="8"/>
      <c r="BW652" s="58"/>
    </row>
    <row r="653" spans="41:75" x14ac:dyDescent="0.35">
      <c r="AO653" s="39">
        <v>651</v>
      </c>
      <c r="AP653" s="60"/>
      <c r="AQ653" s="41"/>
      <c r="AR653" s="42" t="str">
        <f>IFERROR(VLOOKUP(AU653,[1]SUMMARY!$A$3:$B$7,2,FALSE),"")</f>
        <v/>
      </c>
      <c r="AS653" s="42"/>
      <c r="AT653" s="31" t="e">
        <f>VLOOKUP(AS653,[1]OUTLET!$B:$C,2,0)</f>
        <v>#N/A</v>
      </c>
      <c r="AU653" s="42"/>
      <c r="AV653" s="39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55"/>
      <c r="BP653" s="40"/>
      <c r="BQ653" s="4"/>
      <c r="BR653" s="61"/>
      <c r="BS653" s="4"/>
      <c r="BT653" s="57"/>
      <c r="BU653" s="62"/>
      <c r="BV653" s="8"/>
      <c r="BW653" s="58"/>
    </row>
    <row r="654" spans="41:75" x14ac:dyDescent="0.35">
      <c r="AO654" s="39">
        <v>652</v>
      </c>
      <c r="AP654" s="60"/>
      <c r="AQ654" s="41"/>
      <c r="AR654" s="42" t="str">
        <f>IFERROR(VLOOKUP(AU654,[1]SUMMARY!$A$3:$B$7,2,FALSE),"")</f>
        <v/>
      </c>
      <c r="AS654" s="42"/>
      <c r="AT654" s="31" t="e">
        <f>VLOOKUP(AS654,[1]OUTLET!$B:$C,2,0)</f>
        <v>#N/A</v>
      </c>
      <c r="AU654" s="42"/>
      <c r="AV654" s="39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55"/>
      <c r="BP654" s="40"/>
      <c r="BQ654" s="4"/>
      <c r="BR654" s="61"/>
      <c r="BS654" s="4"/>
      <c r="BT654" s="57"/>
      <c r="BU654" s="62"/>
      <c r="BV654" s="8"/>
      <c r="BW654" s="58"/>
    </row>
    <row r="655" spans="41:75" x14ac:dyDescent="0.35">
      <c r="AO655" s="39">
        <v>653</v>
      </c>
      <c r="AP655" s="60"/>
      <c r="AQ655" s="41"/>
      <c r="AR655" s="42" t="str">
        <f>IFERROR(VLOOKUP(AU655,[1]SUMMARY!$A$3:$B$7,2,FALSE),"")</f>
        <v/>
      </c>
      <c r="AS655" s="42"/>
      <c r="AT655" s="31" t="e">
        <f>VLOOKUP(AS655,[1]OUTLET!$B:$C,2,0)</f>
        <v>#N/A</v>
      </c>
      <c r="AU655" s="42"/>
      <c r="AV655" s="39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55"/>
      <c r="BP655" s="40"/>
      <c r="BQ655" s="4"/>
      <c r="BR655" s="61"/>
      <c r="BS655" s="4"/>
      <c r="BT655" s="57"/>
      <c r="BU655" s="62"/>
      <c r="BV655" s="8"/>
      <c r="BW655" s="58"/>
    </row>
    <row r="656" spans="41:75" x14ac:dyDescent="0.35">
      <c r="AO656" s="39">
        <v>654</v>
      </c>
      <c r="AP656" s="60"/>
      <c r="AQ656" s="41"/>
      <c r="AR656" s="42" t="str">
        <f>IFERROR(VLOOKUP(AU656,[1]SUMMARY!$A$3:$B$7,2,FALSE),"")</f>
        <v/>
      </c>
      <c r="AS656" s="42"/>
      <c r="AT656" s="31" t="e">
        <f>VLOOKUP(AS656,[1]OUTLET!$B:$C,2,0)</f>
        <v>#N/A</v>
      </c>
      <c r="AU656" s="42"/>
      <c r="AV656" s="39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55"/>
      <c r="BP656" s="40"/>
      <c r="BQ656" s="4"/>
      <c r="BR656" s="61"/>
      <c r="BS656" s="4"/>
      <c r="BT656" s="57"/>
      <c r="BU656" s="62"/>
      <c r="BV656" s="8"/>
      <c r="BW656" s="58"/>
    </row>
    <row r="657" spans="41:75" x14ac:dyDescent="0.35">
      <c r="AO657" s="39">
        <v>655</v>
      </c>
      <c r="AP657" s="60"/>
      <c r="AQ657" s="41"/>
      <c r="AR657" s="42" t="str">
        <f>IFERROR(VLOOKUP(AU657,[1]SUMMARY!$A$3:$B$7,2,FALSE),"")</f>
        <v/>
      </c>
      <c r="AS657" s="42"/>
      <c r="AT657" s="31" t="e">
        <f>VLOOKUP(AS657,[1]OUTLET!$B:$C,2,0)</f>
        <v>#N/A</v>
      </c>
      <c r="AU657" s="42"/>
      <c r="AV657" s="39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55"/>
      <c r="BP657" s="40"/>
      <c r="BQ657" s="4"/>
      <c r="BR657" s="61"/>
      <c r="BS657" s="4"/>
      <c r="BT657" s="57"/>
      <c r="BU657" s="62"/>
      <c r="BV657" s="8"/>
      <c r="BW657" s="58"/>
    </row>
    <row r="658" spans="41:75" x14ac:dyDescent="0.35">
      <c r="AO658" s="39">
        <v>656</v>
      </c>
      <c r="AP658" s="60"/>
      <c r="AQ658" s="41"/>
      <c r="AR658" s="42" t="str">
        <f>IFERROR(VLOOKUP(AU658,[1]SUMMARY!$A$3:$B$7,2,FALSE),"")</f>
        <v/>
      </c>
      <c r="AS658" s="42"/>
      <c r="AT658" s="31" t="e">
        <f>VLOOKUP(AS658,[1]OUTLET!$B:$C,2,0)</f>
        <v>#N/A</v>
      </c>
      <c r="AU658" s="42"/>
      <c r="AV658" s="39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55"/>
      <c r="BP658" s="40"/>
      <c r="BQ658" s="4"/>
      <c r="BR658" s="61"/>
      <c r="BS658" s="4"/>
      <c r="BT658" s="57"/>
      <c r="BU658" s="62"/>
      <c r="BV658" s="8"/>
      <c r="BW658" s="58"/>
    </row>
    <row r="659" spans="41:75" x14ac:dyDescent="0.35">
      <c r="AO659" s="39">
        <v>657</v>
      </c>
      <c r="AP659" s="60"/>
      <c r="AQ659" s="41"/>
      <c r="AR659" s="42" t="str">
        <f>IFERROR(VLOOKUP(AU659,[1]SUMMARY!$A$3:$B$7,2,FALSE),"")</f>
        <v/>
      </c>
      <c r="AS659" s="42"/>
      <c r="AT659" s="31" t="e">
        <f>VLOOKUP(AS659,[1]OUTLET!$B:$C,2,0)</f>
        <v>#N/A</v>
      </c>
      <c r="AU659" s="42"/>
      <c r="AV659" s="39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55"/>
      <c r="BP659" s="40"/>
      <c r="BQ659" s="4"/>
      <c r="BR659" s="61"/>
      <c r="BS659" s="4"/>
      <c r="BT659" s="57"/>
      <c r="BU659" s="62"/>
      <c r="BV659" s="8"/>
      <c r="BW659" s="58"/>
    </row>
    <row r="660" spans="41:75" x14ac:dyDescent="0.35">
      <c r="AO660" s="39">
        <v>658</v>
      </c>
      <c r="AP660" s="60"/>
      <c r="AQ660" s="41"/>
      <c r="AR660" s="42" t="str">
        <f>IFERROR(VLOOKUP(AU660,[1]SUMMARY!$A$3:$B$7,2,FALSE),"")</f>
        <v/>
      </c>
      <c r="AS660" s="42"/>
      <c r="AT660" s="31" t="e">
        <f>VLOOKUP(AS660,[1]OUTLET!$B:$C,2,0)</f>
        <v>#N/A</v>
      </c>
      <c r="AU660" s="42"/>
      <c r="AV660" s="39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55"/>
      <c r="BP660" s="40"/>
      <c r="BQ660" s="4"/>
      <c r="BR660" s="61"/>
      <c r="BS660" s="4"/>
      <c r="BT660" s="57"/>
      <c r="BU660" s="62"/>
      <c r="BV660" s="8"/>
      <c r="BW660" s="58"/>
    </row>
    <row r="661" spans="41:75" x14ac:dyDescent="0.35">
      <c r="AO661" s="39">
        <v>659</v>
      </c>
      <c r="AP661" s="60"/>
      <c r="AQ661" s="41"/>
      <c r="AR661" s="42" t="str">
        <f>IFERROR(VLOOKUP(AU661,[1]SUMMARY!$A$3:$B$7,2,FALSE),"")</f>
        <v/>
      </c>
      <c r="AS661" s="42"/>
      <c r="AT661" s="31" t="e">
        <f>VLOOKUP(AS661,[1]OUTLET!$B:$C,2,0)</f>
        <v>#N/A</v>
      </c>
      <c r="AU661" s="42"/>
      <c r="AV661" s="39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55"/>
      <c r="BP661" s="40"/>
      <c r="BQ661" s="4"/>
      <c r="BR661" s="61"/>
      <c r="BS661" s="4"/>
      <c r="BT661" s="57"/>
      <c r="BU661" s="62"/>
      <c r="BV661" s="8"/>
      <c r="BW661" s="58"/>
    </row>
    <row r="662" spans="41:75" x14ac:dyDescent="0.35">
      <c r="AO662" s="39">
        <v>660</v>
      </c>
      <c r="AP662" s="60"/>
      <c r="AQ662" s="41"/>
      <c r="AR662" s="42" t="str">
        <f>IFERROR(VLOOKUP(AU662,[1]SUMMARY!$A$3:$B$7,2,FALSE),"")</f>
        <v/>
      </c>
      <c r="AS662" s="42"/>
      <c r="AT662" s="31" t="e">
        <f>VLOOKUP(AS662,[1]OUTLET!$B:$C,2,0)</f>
        <v>#N/A</v>
      </c>
      <c r="AU662" s="42"/>
      <c r="AV662" s="39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55"/>
      <c r="BP662" s="40"/>
      <c r="BQ662" s="4"/>
      <c r="BR662" s="61"/>
      <c r="BS662" s="4"/>
      <c r="BT662" s="57"/>
      <c r="BU662" s="62"/>
      <c r="BV662" s="8"/>
      <c r="BW662" s="58"/>
    </row>
    <row r="663" spans="41:75" x14ac:dyDescent="0.35">
      <c r="AO663" s="39">
        <v>661</v>
      </c>
      <c r="AP663" s="60"/>
      <c r="AQ663" s="41"/>
      <c r="AR663" s="42" t="str">
        <f>IFERROR(VLOOKUP(AU663,[1]SUMMARY!$A$3:$B$7,2,FALSE),"")</f>
        <v/>
      </c>
      <c r="AS663" s="42"/>
      <c r="AT663" s="31" t="e">
        <f>VLOOKUP(AS663,[1]OUTLET!$B:$C,2,0)</f>
        <v>#N/A</v>
      </c>
      <c r="AU663" s="42"/>
      <c r="AV663" s="39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55"/>
      <c r="BP663" s="40"/>
      <c r="BQ663" s="4"/>
      <c r="BR663" s="61"/>
      <c r="BS663" s="4"/>
      <c r="BT663" s="57"/>
      <c r="BU663" s="62"/>
      <c r="BV663" s="8"/>
      <c r="BW663" s="58"/>
    </row>
    <row r="664" spans="41:75" x14ac:dyDescent="0.35">
      <c r="AO664" s="39">
        <v>662</v>
      </c>
      <c r="AP664" s="60"/>
      <c r="AQ664" s="41"/>
      <c r="AR664" s="42" t="str">
        <f>IFERROR(VLOOKUP(AU664,[1]SUMMARY!$A$3:$B$7,2,FALSE),"")</f>
        <v/>
      </c>
      <c r="AS664" s="42"/>
      <c r="AT664" s="31" t="e">
        <f>VLOOKUP(AS664,[1]OUTLET!$B:$C,2,0)</f>
        <v>#N/A</v>
      </c>
      <c r="AU664" s="42"/>
      <c r="AV664" s="39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55"/>
      <c r="BP664" s="40"/>
      <c r="BQ664" s="4"/>
      <c r="BR664" s="61"/>
      <c r="BS664" s="4"/>
      <c r="BT664" s="57"/>
      <c r="BU664" s="62"/>
      <c r="BV664" s="8"/>
      <c r="BW664" s="58"/>
    </row>
    <row r="665" spans="41:75" x14ac:dyDescent="0.35">
      <c r="AO665" s="39">
        <v>663</v>
      </c>
      <c r="AP665" s="60"/>
      <c r="AQ665" s="41"/>
      <c r="AR665" s="42" t="str">
        <f>IFERROR(VLOOKUP(AU665,[1]SUMMARY!$A$3:$B$7,2,FALSE),"")</f>
        <v/>
      </c>
      <c r="AS665" s="42"/>
      <c r="AT665" s="31" t="e">
        <f>VLOOKUP(AS665,[1]OUTLET!$B:$C,2,0)</f>
        <v>#N/A</v>
      </c>
      <c r="AU665" s="42"/>
      <c r="AV665" s="39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55"/>
      <c r="BP665" s="40"/>
      <c r="BQ665" s="4"/>
      <c r="BR665" s="61"/>
      <c r="BS665" s="4"/>
      <c r="BT665" s="57"/>
      <c r="BU665" s="62"/>
      <c r="BV665" s="8"/>
      <c r="BW665" s="58"/>
    </row>
    <row r="666" spans="41:75" x14ac:dyDescent="0.35">
      <c r="AO666" s="39">
        <v>664</v>
      </c>
      <c r="AP666" s="60"/>
      <c r="AQ666" s="41"/>
      <c r="AR666" s="42" t="str">
        <f>IFERROR(VLOOKUP(AU666,[1]SUMMARY!$A$3:$B$7,2,FALSE),"")</f>
        <v/>
      </c>
      <c r="AS666" s="42"/>
      <c r="AT666" s="31" t="e">
        <f>VLOOKUP(AS666,[1]OUTLET!$B:$C,2,0)</f>
        <v>#N/A</v>
      </c>
      <c r="AU666" s="42"/>
      <c r="AV666" s="39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55"/>
      <c r="BP666" s="40"/>
      <c r="BQ666" s="4"/>
      <c r="BR666" s="61"/>
      <c r="BS666" s="4"/>
      <c r="BT666" s="57"/>
      <c r="BU666" s="62"/>
      <c r="BV666" s="8"/>
      <c r="BW666" s="58"/>
    </row>
    <row r="667" spans="41:75" x14ac:dyDescent="0.35">
      <c r="AO667" s="39">
        <v>665</v>
      </c>
      <c r="AP667" s="60"/>
      <c r="AQ667" s="41"/>
      <c r="AR667" s="42" t="str">
        <f>IFERROR(VLOOKUP(AU667,[1]SUMMARY!$A$3:$B$7,2,FALSE),"")</f>
        <v/>
      </c>
      <c r="AS667" s="42"/>
      <c r="AT667" s="31" t="e">
        <f>VLOOKUP(AS667,[1]OUTLET!$B:$C,2,0)</f>
        <v>#N/A</v>
      </c>
      <c r="AU667" s="42"/>
      <c r="AV667" s="39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55"/>
      <c r="BP667" s="40"/>
      <c r="BQ667" s="4"/>
      <c r="BR667" s="61"/>
      <c r="BS667" s="4"/>
      <c r="BT667" s="57"/>
      <c r="BU667" s="62"/>
      <c r="BV667" s="8"/>
      <c r="BW667" s="58"/>
    </row>
    <row r="668" spans="41:75" x14ac:dyDescent="0.35">
      <c r="AO668" s="39">
        <v>666</v>
      </c>
      <c r="AP668" s="60"/>
      <c r="AQ668" s="41"/>
      <c r="AR668" s="42" t="str">
        <f>IFERROR(VLOOKUP(AU668,[1]SUMMARY!$A$3:$B$7,2,FALSE),"")</f>
        <v/>
      </c>
      <c r="AS668" s="42"/>
      <c r="AT668" s="31" t="e">
        <f>VLOOKUP(AS668,[1]OUTLET!$B:$C,2,0)</f>
        <v>#N/A</v>
      </c>
      <c r="AU668" s="42"/>
      <c r="AV668" s="39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55"/>
      <c r="BP668" s="40"/>
      <c r="BQ668" s="4"/>
      <c r="BR668" s="61"/>
      <c r="BS668" s="4"/>
      <c r="BT668" s="57"/>
      <c r="BU668" s="62"/>
      <c r="BV668" s="8"/>
      <c r="BW668" s="58"/>
    </row>
    <row r="669" spans="41:75" x14ac:dyDescent="0.35">
      <c r="AO669" s="39">
        <v>667</v>
      </c>
      <c r="AP669" s="60"/>
      <c r="AQ669" s="41"/>
      <c r="AR669" s="42" t="str">
        <f>IFERROR(VLOOKUP(AU669,[1]SUMMARY!$A$3:$B$7,2,FALSE),"")</f>
        <v/>
      </c>
      <c r="AS669" s="42"/>
      <c r="AT669" s="31" t="e">
        <f>VLOOKUP(AS669,[1]OUTLET!$B:$C,2,0)</f>
        <v>#N/A</v>
      </c>
      <c r="AU669" s="42"/>
      <c r="AV669" s="39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55"/>
      <c r="BP669" s="40"/>
      <c r="BQ669" s="4"/>
      <c r="BR669" s="61"/>
      <c r="BS669" s="4"/>
      <c r="BT669" s="57"/>
      <c r="BU669" s="62"/>
      <c r="BV669" s="8"/>
      <c r="BW669" s="58"/>
    </row>
    <row r="670" spans="41:75" x14ac:dyDescent="0.35">
      <c r="AO670" s="39">
        <v>668</v>
      </c>
      <c r="AP670" s="60"/>
      <c r="AQ670" s="41"/>
      <c r="AR670" s="42" t="str">
        <f>IFERROR(VLOOKUP(AU670,[1]SUMMARY!$A$3:$B$7,2,FALSE),"")</f>
        <v/>
      </c>
      <c r="AS670" s="42"/>
      <c r="AT670" s="31" t="e">
        <f>VLOOKUP(AS670,[1]OUTLET!$B:$C,2,0)</f>
        <v>#N/A</v>
      </c>
      <c r="AU670" s="42"/>
      <c r="AV670" s="39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55"/>
      <c r="BP670" s="40"/>
      <c r="BQ670" s="4"/>
      <c r="BR670" s="61"/>
      <c r="BS670" s="4"/>
      <c r="BT670" s="57"/>
      <c r="BU670" s="62"/>
      <c r="BV670" s="8"/>
      <c r="BW670" s="58"/>
    </row>
    <row r="671" spans="41:75" x14ac:dyDescent="0.35">
      <c r="AO671" s="39">
        <v>669</v>
      </c>
      <c r="AP671" s="60"/>
      <c r="AQ671" s="41"/>
      <c r="AR671" s="42" t="str">
        <f>IFERROR(VLOOKUP(AU671,[1]SUMMARY!$A$3:$B$7,2,FALSE),"")</f>
        <v/>
      </c>
      <c r="AS671" s="42"/>
      <c r="AT671" s="31" t="e">
        <f>VLOOKUP(AS671,[1]OUTLET!$B:$C,2,0)</f>
        <v>#N/A</v>
      </c>
      <c r="AU671" s="42"/>
      <c r="AV671" s="39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55"/>
      <c r="BP671" s="40"/>
      <c r="BQ671" s="4"/>
      <c r="BR671" s="61"/>
      <c r="BS671" s="4"/>
      <c r="BT671" s="57"/>
      <c r="BU671" s="62"/>
      <c r="BV671" s="8"/>
      <c r="BW671" s="58"/>
    </row>
    <row r="672" spans="41:75" x14ac:dyDescent="0.35">
      <c r="AO672" s="39">
        <v>670</v>
      </c>
      <c r="AP672" s="60"/>
      <c r="AQ672" s="41"/>
      <c r="AR672" s="42" t="str">
        <f>IFERROR(VLOOKUP(AU672,[1]SUMMARY!$A$3:$B$7,2,FALSE),"")</f>
        <v/>
      </c>
      <c r="AS672" s="42"/>
      <c r="AT672" s="31" t="e">
        <f>VLOOKUP(AS672,[1]OUTLET!$B:$C,2,0)</f>
        <v>#N/A</v>
      </c>
      <c r="AU672" s="42"/>
      <c r="AV672" s="39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55"/>
      <c r="BP672" s="40"/>
      <c r="BQ672" s="4"/>
      <c r="BR672" s="61"/>
      <c r="BS672" s="4"/>
      <c r="BT672" s="57"/>
      <c r="BU672" s="62"/>
      <c r="BV672" s="8"/>
      <c r="BW672" s="58"/>
    </row>
    <row r="673" spans="41:75" x14ac:dyDescent="0.35">
      <c r="AO673" s="39">
        <v>671</v>
      </c>
      <c r="AP673" s="60"/>
      <c r="AQ673" s="41"/>
      <c r="AR673" s="42" t="str">
        <f>IFERROR(VLOOKUP(AU673,[1]SUMMARY!$A$3:$B$7,2,FALSE),"")</f>
        <v/>
      </c>
      <c r="AS673" s="42"/>
      <c r="AT673" s="31" t="e">
        <f>VLOOKUP(AS673,[1]OUTLET!$B:$C,2,0)</f>
        <v>#N/A</v>
      </c>
      <c r="AU673" s="42"/>
      <c r="AV673" s="39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55"/>
      <c r="BP673" s="40"/>
      <c r="BQ673" s="4"/>
      <c r="BR673" s="61"/>
      <c r="BS673" s="4"/>
      <c r="BT673" s="57"/>
      <c r="BU673" s="62"/>
      <c r="BV673" s="8"/>
      <c r="BW673" s="58"/>
    </row>
    <row r="674" spans="41:75" x14ac:dyDescent="0.35">
      <c r="AO674" s="39">
        <v>672</v>
      </c>
      <c r="AP674" s="60"/>
      <c r="AQ674" s="41"/>
      <c r="AR674" s="42" t="str">
        <f>IFERROR(VLOOKUP(AU674,[1]SUMMARY!$A$3:$B$7,2,FALSE),"")</f>
        <v/>
      </c>
      <c r="AS674" s="42"/>
      <c r="AT674" s="31" t="e">
        <f>VLOOKUP(AS674,[1]OUTLET!$B:$C,2,0)</f>
        <v>#N/A</v>
      </c>
      <c r="AU674" s="42"/>
      <c r="AV674" s="39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55"/>
      <c r="BP674" s="40"/>
      <c r="BQ674" s="4"/>
      <c r="BR674" s="61"/>
      <c r="BS674" s="4"/>
      <c r="BT674" s="57"/>
      <c r="BU674" s="62"/>
      <c r="BV674" s="8"/>
      <c r="BW674" s="58"/>
    </row>
    <row r="675" spans="41:75" x14ac:dyDescent="0.35">
      <c r="AO675" s="39">
        <v>673</v>
      </c>
      <c r="AP675" s="60"/>
      <c r="AQ675" s="41"/>
      <c r="AR675" s="42" t="str">
        <f>IFERROR(VLOOKUP(AU675,[1]SUMMARY!$A$3:$B$7,2,FALSE),"")</f>
        <v/>
      </c>
      <c r="AS675" s="42"/>
      <c r="AT675" s="31" t="e">
        <f>VLOOKUP(AS675,[1]OUTLET!$B:$C,2,0)</f>
        <v>#N/A</v>
      </c>
      <c r="AU675" s="42"/>
      <c r="AV675" s="39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55"/>
      <c r="BP675" s="40"/>
      <c r="BQ675" s="4"/>
      <c r="BR675" s="61"/>
      <c r="BS675" s="4"/>
      <c r="BT675" s="57"/>
      <c r="BU675" s="62"/>
      <c r="BV675" s="8"/>
      <c r="BW675" s="58"/>
    </row>
    <row r="676" spans="41:75" x14ac:dyDescent="0.35">
      <c r="AO676" s="39">
        <v>674</v>
      </c>
      <c r="AP676" s="60"/>
      <c r="AQ676" s="41"/>
      <c r="AR676" s="42" t="str">
        <f>IFERROR(VLOOKUP(AU676,[1]SUMMARY!$A$3:$B$7,2,FALSE),"")</f>
        <v/>
      </c>
      <c r="AS676" s="42"/>
      <c r="AT676" s="31" t="e">
        <f>VLOOKUP(AS676,[1]OUTLET!$B:$C,2,0)</f>
        <v>#N/A</v>
      </c>
      <c r="AU676" s="42"/>
      <c r="AV676" s="39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55"/>
      <c r="BP676" s="40"/>
      <c r="BQ676" s="4"/>
      <c r="BR676" s="61"/>
      <c r="BS676" s="4"/>
      <c r="BT676" s="57"/>
      <c r="BU676" s="62"/>
      <c r="BV676" s="8"/>
      <c r="BW676" s="58"/>
    </row>
    <row r="677" spans="41:75" x14ac:dyDescent="0.35">
      <c r="AO677" s="39">
        <v>675</v>
      </c>
      <c r="AP677" s="60"/>
      <c r="AQ677" s="41"/>
      <c r="AR677" s="42" t="str">
        <f>IFERROR(VLOOKUP(AU677,[1]SUMMARY!$A$3:$B$7,2,FALSE),"")</f>
        <v/>
      </c>
      <c r="AS677" s="42"/>
      <c r="AT677" s="31" t="e">
        <f>VLOOKUP(AS677,[1]OUTLET!$B:$C,2,0)</f>
        <v>#N/A</v>
      </c>
      <c r="AU677" s="42"/>
      <c r="AV677" s="39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55"/>
      <c r="BP677" s="40"/>
      <c r="BQ677" s="4"/>
      <c r="BR677" s="61"/>
      <c r="BS677" s="4"/>
      <c r="BT677" s="57"/>
      <c r="BU677" s="62"/>
      <c r="BV677" s="8"/>
      <c r="BW677" s="58"/>
    </row>
    <row r="678" spans="41:75" x14ac:dyDescent="0.35">
      <c r="AO678" s="39">
        <v>676</v>
      </c>
      <c r="AP678" s="60"/>
      <c r="AQ678" s="41"/>
      <c r="AR678" s="42" t="str">
        <f>IFERROR(VLOOKUP(AU678,[1]SUMMARY!$A$3:$B$7,2,FALSE),"")</f>
        <v/>
      </c>
      <c r="AS678" s="42"/>
      <c r="AT678" s="31" t="e">
        <f>VLOOKUP(AS678,[1]OUTLET!$B:$C,2,0)</f>
        <v>#N/A</v>
      </c>
      <c r="AU678" s="42"/>
      <c r="AV678" s="39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55"/>
      <c r="BP678" s="40"/>
      <c r="BQ678" s="4"/>
      <c r="BR678" s="61"/>
      <c r="BS678" s="4"/>
      <c r="BT678" s="57"/>
      <c r="BU678" s="62"/>
      <c r="BV678" s="8"/>
      <c r="BW678" s="58"/>
    </row>
    <row r="679" spans="41:75" x14ac:dyDescent="0.35">
      <c r="AO679" s="39">
        <v>677</v>
      </c>
      <c r="AP679" s="60"/>
      <c r="AQ679" s="41"/>
      <c r="AR679" s="42" t="str">
        <f>IFERROR(VLOOKUP(AU679,[1]SUMMARY!$A$3:$B$7,2,FALSE),"")</f>
        <v/>
      </c>
      <c r="AS679" s="42"/>
      <c r="AT679" s="31" t="e">
        <f>VLOOKUP(AS679,[1]OUTLET!$B:$C,2,0)</f>
        <v>#N/A</v>
      </c>
      <c r="AU679" s="42"/>
      <c r="AV679" s="39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55"/>
      <c r="BP679" s="40"/>
      <c r="BQ679" s="4"/>
      <c r="BR679" s="61"/>
      <c r="BS679" s="4"/>
      <c r="BT679" s="57"/>
      <c r="BU679" s="62"/>
      <c r="BV679" s="8"/>
      <c r="BW679" s="58"/>
    </row>
    <row r="680" spans="41:75" x14ac:dyDescent="0.35">
      <c r="AO680" s="39">
        <v>678</v>
      </c>
      <c r="AP680" s="60"/>
      <c r="AQ680" s="41"/>
      <c r="AR680" s="42" t="str">
        <f>IFERROR(VLOOKUP(AU680,[1]SUMMARY!$A$3:$B$7,2,FALSE),"")</f>
        <v/>
      </c>
      <c r="AS680" s="42"/>
      <c r="AT680" s="31" t="e">
        <f>VLOOKUP(AS680,[1]OUTLET!$B:$C,2,0)</f>
        <v>#N/A</v>
      </c>
      <c r="AU680" s="42"/>
      <c r="AV680" s="39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55"/>
      <c r="BP680" s="40"/>
      <c r="BQ680" s="4"/>
      <c r="BR680" s="61"/>
      <c r="BS680" s="4"/>
      <c r="BT680" s="57"/>
      <c r="BU680" s="62"/>
      <c r="BV680" s="8"/>
      <c r="BW680" s="58"/>
    </row>
    <row r="681" spans="41:75" x14ac:dyDescent="0.35">
      <c r="AO681" s="39">
        <v>679</v>
      </c>
      <c r="AP681" s="60"/>
      <c r="AQ681" s="41"/>
      <c r="AR681" s="42" t="str">
        <f>IFERROR(VLOOKUP(AU681,[1]SUMMARY!$A$3:$B$7,2,FALSE),"")</f>
        <v/>
      </c>
      <c r="AS681" s="42"/>
      <c r="AT681" s="31" t="e">
        <f>VLOOKUP(AS681,[1]OUTLET!$B:$C,2,0)</f>
        <v>#N/A</v>
      </c>
      <c r="AU681" s="42"/>
      <c r="AV681" s="39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55"/>
      <c r="BP681" s="40"/>
      <c r="BQ681" s="4"/>
      <c r="BR681" s="61"/>
      <c r="BS681" s="4"/>
      <c r="BT681" s="57"/>
      <c r="BU681" s="62"/>
      <c r="BV681" s="8"/>
      <c r="BW681" s="58"/>
    </row>
    <row r="682" spans="41:75" x14ac:dyDescent="0.35">
      <c r="AO682" s="39">
        <v>680</v>
      </c>
      <c r="AP682" s="60"/>
      <c r="AQ682" s="41"/>
      <c r="AR682" s="42" t="str">
        <f>IFERROR(VLOOKUP(AU682,[1]SUMMARY!$A$3:$B$7,2,FALSE),"")</f>
        <v/>
      </c>
      <c r="AS682" s="42"/>
      <c r="AT682" s="31" t="e">
        <f>VLOOKUP(AS682,[1]OUTLET!$B:$C,2,0)</f>
        <v>#N/A</v>
      </c>
      <c r="AU682" s="42"/>
      <c r="AV682" s="39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55"/>
      <c r="BP682" s="40"/>
      <c r="BQ682" s="4"/>
      <c r="BR682" s="61"/>
      <c r="BS682" s="4"/>
      <c r="BT682" s="57"/>
      <c r="BU682" s="62"/>
      <c r="BV682" s="8"/>
      <c r="BW682" s="58"/>
    </row>
    <row r="683" spans="41:75" x14ac:dyDescent="0.35">
      <c r="AO683" s="39">
        <v>681</v>
      </c>
      <c r="AP683" s="60"/>
      <c r="AQ683" s="41"/>
      <c r="AR683" s="42" t="str">
        <f>IFERROR(VLOOKUP(AU683,[1]SUMMARY!$A$3:$B$7,2,FALSE),"")</f>
        <v/>
      </c>
      <c r="AS683" s="42"/>
      <c r="AT683" s="31" t="e">
        <f>VLOOKUP(AS683,[1]OUTLET!$B:$C,2,0)</f>
        <v>#N/A</v>
      </c>
      <c r="AU683" s="42"/>
      <c r="AV683" s="39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55"/>
      <c r="BP683" s="40"/>
      <c r="BQ683" s="4"/>
      <c r="BR683" s="61"/>
      <c r="BS683" s="4"/>
      <c r="BT683" s="57"/>
      <c r="BU683" s="62"/>
      <c r="BV683" s="8"/>
      <c r="BW683" s="58"/>
    </row>
    <row r="684" spans="41:75" x14ac:dyDescent="0.35">
      <c r="AO684" s="39">
        <v>682</v>
      </c>
      <c r="AP684" s="60"/>
      <c r="AQ684" s="41"/>
      <c r="AR684" s="42" t="str">
        <f>IFERROR(VLOOKUP(AU684,[1]SUMMARY!$A$3:$B$7,2,FALSE),"")</f>
        <v/>
      </c>
      <c r="AS684" s="42"/>
      <c r="AT684" s="31" t="e">
        <f>VLOOKUP(AS684,[1]OUTLET!$B:$C,2,0)</f>
        <v>#N/A</v>
      </c>
      <c r="AU684" s="42"/>
      <c r="AV684" s="39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55"/>
      <c r="BP684" s="40"/>
      <c r="BQ684" s="4"/>
      <c r="BR684" s="61"/>
      <c r="BS684" s="4"/>
      <c r="BT684" s="57"/>
      <c r="BU684" s="62"/>
      <c r="BV684" s="8"/>
      <c r="BW684" s="58"/>
    </row>
    <row r="685" spans="41:75" x14ac:dyDescent="0.35">
      <c r="AO685" s="39">
        <v>683</v>
      </c>
      <c r="AP685" s="60"/>
      <c r="AQ685" s="41"/>
      <c r="AR685" s="42" t="str">
        <f>IFERROR(VLOOKUP(AU685,[1]SUMMARY!$A$3:$B$7,2,FALSE),"")</f>
        <v/>
      </c>
      <c r="AS685" s="42"/>
      <c r="AT685" s="31" t="e">
        <f>VLOOKUP(AS685,[1]OUTLET!$B:$C,2,0)</f>
        <v>#N/A</v>
      </c>
      <c r="AU685" s="42"/>
      <c r="AV685" s="39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55"/>
      <c r="BP685" s="40"/>
      <c r="BQ685" s="4"/>
      <c r="BR685" s="61"/>
      <c r="BS685" s="4"/>
      <c r="BT685" s="57"/>
      <c r="BU685" s="62"/>
      <c r="BV685" s="8"/>
      <c r="BW685" s="58"/>
    </row>
    <row r="686" spans="41:75" x14ac:dyDescent="0.35">
      <c r="AO686" s="39">
        <v>684</v>
      </c>
      <c r="AP686" s="60"/>
      <c r="AQ686" s="41"/>
      <c r="AR686" s="42" t="str">
        <f>IFERROR(VLOOKUP(AU686,[1]SUMMARY!$A$3:$B$7,2,FALSE),"")</f>
        <v/>
      </c>
      <c r="AS686" s="42"/>
      <c r="AT686" s="31" t="e">
        <f>VLOOKUP(AS686,[1]OUTLET!$B:$C,2,0)</f>
        <v>#N/A</v>
      </c>
      <c r="AU686" s="42"/>
      <c r="AV686" s="39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55"/>
      <c r="BP686" s="40"/>
      <c r="BQ686" s="4"/>
      <c r="BR686" s="61"/>
      <c r="BS686" s="4"/>
      <c r="BT686" s="57"/>
      <c r="BU686" s="62"/>
      <c r="BV686" s="8"/>
      <c r="BW686" s="58"/>
    </row>
    <row r="687" spans="41:75" x14ac:dyDescent="0.35">
      <c r="AO687" s="39">
        <v>685</v>
      </c>
      <c r="AP687" s="60"/>
      <c r="AQ687" s="41"/>
      <c r="AR687" s="42" t="str">
        <f>IFERROR(VLOOKUP(AU687,[1]SUMMARY!$A$3:$B$7,2,FALSE),"")</f>
        <v/>
      </c>
      <c r="AS687" s="42"/>
      <c r="AT687" s="31" t="e">
        <f>VLOOKUP(AS687,[1]OUTLET!$B:$C,2,0)</f>
        <v>#N/A</v>
      </c>
      <c r="AU687" s="42"/>
      <c r="AV687" s="39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55"/>
      <c r="BP687" s="40"/>
      <c r="BQ687" s="4"/>
      <c r="BR687" s="61"/>
      <c r="BS687" s="4"/>
      <c r="BT687" s="57"/>
      <c r="BU687" s="62"/>
      <c r="BV687" s="8"/>
      <c r="BW687" s="58"/>
    </row>
    <row r="688" spans="41:75" x14ac:dyDescent="0.35">
      <c r="AO688" s="39">
        <v>686</v>
      </c>
      <c r="AP688" s="60"/>
      <c r="AQ688" s="41"/>
      <c r="AR688" s="42" t="str">
        <f>IFERROR(VLOOKUP(AU688,[1]SUMMARY!$A$3:$B$7,2,FALSE),"")</f>
        <v/>
      </c>
      <c r="AS688" s="42"/>
      <c r="AT688" s="31" t="e">
        <f>VLOOKUP(AS688,[1]OUTLET!$B:$C,2,0)</f>
        <v>#N/A</v>
      </c>
      <c r="AU688" s="42"/>
      <c r="AV688" s="39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55"/>
      <c r="BP688" s="40"/>
      <c r="BQ688" s="4"/>
      <c r="BR688" s="61"/>
      <c r="BS688" s="4"/>
      <c r="BT688" s="57"/>
      <c r="BU688" s="62"/>
      <c r="BV688" s="8"/>
      <c r="BW688" s="58"/>
    </row>
    <row r="689" spans="41:75" x14ac:dyDescent="0.35">
      <c r="AO689" s="39">
        <v>687</v>
      </c>
      <c r="AP689" s="60"/>
      <c r="AQ689" s="41"/>
      <c r="AR689" s="42" t="str">
        <f>IFERROR(VLOOKUP(AU689,[1]SUMMARY!$A$3:$B$7,2,FALSE),"")</f>
        <v/>
      </c>
      <c r="AS689" s="42"/>
      <c r="AT689" s="31" t="e">
        <f>VLOOKUP(AS689,[1]OUTLET!$B:$C,2,0)</f>
        <v>#N/A</v>
      </c>
      <c r="AU689" s="42"/>
      <c r="AV689" s="39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55"/>
      <c r="BP689" s="40"/>
      <c r="BQ689" s="4"/>
      <c r="BR689" s="61"/>
      <c r="BS689" s="4"/>
      <c r="BT689" s="57"/>
      <c r="BU689" s="62"/>
      <c r="BV689" s="8"/>
      <c r="BW689" s="58"/>
    </row>
    <row r="690" spans="41:75" x14ac:dyDescent="0.35">
      <c r="AO690" s="39">
        <v>688</v>
      </c>
      <c r="AP690" s="60"/>
      <c r="AQ690" s="41"/>
      <c r="AR690" s="42" t="str">
        <f>IFERROR(VLOOKUP(AU690,[1]SUMMARY!$A$3:$B$7,2,FALSE),"")</f>
        <v/>
      </c>
      <c r="AS690" s="42"/>
      <c r="AT690" s="31" t="e">
        <f>VLOOKUP(AS690,[1]OUTLET!$B:$C,2,0)</f>
        <v>#N/A</v>
      </c>
      <c r="AU690" s="42"/>
      <c r="AV690" s="39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55"/>
      <c r="BP690" s="40"/>
      <c r="BQ690" s="4"/>
      <c r="BR690" s="61"/>
      <c r="BS690" s="4"/>
      <c r="BT690" s="57"/>
      <c r="BU690" s="62"/>
      <c r="BV690" s="8"/>
      <c r="BW690" s="58"/>
    </row>
    <row r="691" spans="41:75" x14ac:dyDescent="0.35">
      <c r="AO691" s="39">
        <v>689</v>
      </c>
      <c r="AP691" s="60"/>
      <c r="AQ691" s="41"/>
      <c r="AR691" s="42" t="str">
        <f>IFERROR(VLOOKUP(AU691,[1]SUMMARY!$A$3:$B$7,2,FALSE),"")</f>
        <v/>
      </c>
      <c r="AS691" s="42"/>
      <c r="AT691" s="31" t="e">
        <f>VLOOKUP(AS691,[1]OUTLET!$B:$C,2,0)</f>
        <v>#N/A</v>
      </c>
      <c r="AU691" s="42"/>
      <c r="AV691" s="39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55"/>
      <c r="BP691" s="40"/>
      <c r="BQ691" s="4"/>
      <c r="BR691" s="61"/>
      <c r="BS691" s="4"/>
      <c r="BT691" s="57"/>
      <c r="BU691" s="62"/>
      <c r="BV691" s="8"/>
      <c r="BW691" s="58"/>
    </row>
    <row r="692" spans="41:75" x14ac:dyDescent="0.35">
      <c r="AO692" s="39">
        <v>690</v>
      </c>
      <c r="AP692" s="60"/>
      <c r="AQ692" s="41"/>
      <c r="AR692" s="42" t="str">
        <f>IFERROR(VLOOKUP(AU692,[1]SUMMARY!$A$3:$B$7,2,FALSE),"")</f>
        <v/>
      </c>
      <c r="AS692" s="42"/>
      <c r="AT692" s="31" t="e">
        <f>VLOOKUP(AS692,[1]OUTLET!$B:$C,2,0)</f>
        <v>#N/A</v>
      </c>
      <c r="AU692" s="42"/>
      <c r="AV692" s="39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55"/>
      <c r="BP692" s="40"/>
      <c r="BQ692" s="4"/>
      <c r="BR692" s="61"/>
      <c r="BS692" s="4"/>
      <c r="BT692" s="57"/>
      <c r="BU692" s="62"/>
      <c r="BV692" s="8"/>
      <c r="BW692" s="58"/>
    </row>
    <row r="693" spans="41:75" x14ac:dyDescent="0.35">
      <c r="AO693" s="39">
        <v>691</v>
      </c>
      <c r="AP693" s="60"/>
      <c r="AQ693" s="41"/>
      <c r="AR693" s="42" t="str">
        <f>IFERROR(VLOOKUP(AU693,[1]SUMMARY!$A$3:$B$7,2,FALSE),"")</f>
        <v/>
      </c>
      <c r="AS693" s="42"/>
      <c r="AT693" s="31" t="e">
        <f>VLOOKUP(AS693,[1]OUTLET!$B:$C,2,0)</f>
        <v>#N/A</v>
      </c>
      <c r="AU693" s="42"/>
      <c r="AV693" s="39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55"/>
      <c r="BP693" s="40"/>
      <c r="BQ693" s="4"/>
      <c r="BR693" s="61"/>
      <c r="BS693" s="4"/>
      <c r="BT693" s="57"/>
      <c r="BU693" s="62"/>
      <c r="BV693" s="8"/>
      <c r="BW693" s="58"/>
    </row>
    <row r="694" spans="41:75" x14ac:dyDescent="0.35">
      <c r="AO694" s="39">
        <v>692</v>
      </c>
      <c r="AP694" s="60"/>
      <c r="AQ694" s="41"/>
      <c r="AR694" s="42" t="str">
        <f>IFERROR(VLOOKUP(AU694,[1]SUMMARY!$A$3:$B$7,2,FALSE),"")</f>
        <v/>
      </c>
      <c r="AS694" s="42"/>
      <c r="AT694" s="31" t="e">
        <f>VLOOKUP(AS694,[1]OUTLET!$B:$C,2,0)</f>
        <v>#N/A</v>
      </c>
      <c r="AU694" s="42"/>
      <c r="AV694" s="39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55"/>
      <c r="BP694" s="40"/>
      <c r="BQ694" s="4"/>
      <c r="BR694" s="61"/>
      <c r="BS694" s="4"/>
      <c r="BT694" s="57"/>
      <c r="BU694" s="62"/>
      <c r="BV694" s="8"/>
      <c r="BW694" s="58"/>
    </row>
    <row r="695" spans="41:75" x14ac:dyDescent="0.35">
      <c r="AO695" s="39">
        <v>693</v>
      </c>
      <c r="AP695" s="60"/>
      <c r="AQ695" s="41"/>
      <c r="AR695" s="42" t="str">
        <f>IFERROR(VLOOKUP(AU695,[1]SUMMARY!$A$3:$B$7,2,FALSE),"")</f>
        <v/>
      </c>
      <c r="AS695" s="42"/>
      <c r="AT695" s="31" t="e">
        <f>VLOOKUP(AS695,[1]OUTLET!$B:$C,2,0)</f>
        <v>#N/A</v>
      </c>
      <c r="AU695" s="42"/>
      <c r="AV695" s="39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55"/>
      <c r="BP695" s="40"/>
      <c r="BQ695" s="4"/>
      <c r="BR695" s="61"/>
      <c r="BS695" s="4"/>
      <c r="BT695" s="57"/>
      <c r="BU695" s="62"/>
      <c r="BV695" s="8"/>
      <c r="BW695" s="58"/>
    </row>
    <row r="696" spans="41:75" x14ac:dyDescent="0.35">
      <c r="AO696" s="39">
        <v>694</v>
      </c>
      <c r="AP696" s="60"/>
      <c r="AQ696" s="41"/>
      <c r="AR696" s="42" t="str">
        <f>IFERROR(VLOOKUP(AU696,[1]SUMMARY!$A$3:$B$7,2,FALSE),"")</f>
        <v/>
      </c>
      <c r="AS696" s="42"/>
      <c r="AT696" s="31" t="e">
        <f>VLOOKUP(AS696,[1]OUTLET!$B:$C,2,0)</f>
        <v>#N/A</v>
      </c>
      <c r="AU696" s="42"/>
      <c r="AV696" s="39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55"/>
      <c r="BP696" s="40"/>
      <c r="BQ696" s="4"/>
      <c r="BR696" s="61"/>
      <c r="BS696" s="4"/>
      <c r="BT696" s="57"/>
      <c r="BU696" s="62"/>
      <c r="BV696" s="8"/>
      <c r="BW696" s="58"/>
    </row>
    <row r="697" spans="41:75" x14ac:dyDescent="0.35">
      <c r="AO697" s="39">
        <v>695</v>
      </c>
      <c r="AP697" s="60"/>
      <c r="AQ697" s="41"/>
      <c r="AR697" s="42" t="str">
        <f>IFERROR(VLOOKUP(AU697,[1]SUMMARY!$A$3:$B$7,2,FALSE),"")</f>
        <v/>
      </c>
      <c r="AS697" s="42"/>
      <c r="AT697" s="31" t="e">
        <f>VLOOKUP(AS697,[1]OUTLET!$B:$C,2,0)</f>
        <v>#N/A</v>
      </c>
      <c r="AU697" s="42"/>
      <c r="AV697" s="39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55"/>
      <c r="BP697" s="40"/>
      <c r="BQ697" s="4"/>
      <c r="BR697" s="61"/>
      <c r="BS697" s="4"/>
      <c r="BT697" s="57"/>
      <c r="BU697" s="62"/>
      <c r="BV697" s="8"/>
      <c r="BW697" s="58"/>
    </row>
    <row r="698" spans="41:75" x14ac:dyDescent="0.35">
      <c r="AO698" s="39">
        <v>696</v>
      </c>
      <c r="AP698" s="60"/>
      <c r="AQ698" s="41"/>
      <c r="AR698" s="42" t="str">
        <f>IFERROR(VLOOKUP(AU698,[1]SUMMARY!$A$3:$B$7,2,FALSE),"")</f>
        <v/>
      </c>
      <c r="AS698" s="42"/>
      <c r="AT698" s="31" t="e">
        <f>VLOOKUP(AS698,[1]OUTLET!$B:$C,2,0)</f>
        <v>#N/A</v>
      </c>
      <c r="AU698" s="42"/>
      <c r="AV698" s="39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55"/>
      <c r="BP698" s="40"/>
      <c r="BQ698" s="4"/>
      <c r="BR698" s="61"/>
      <c r="BS698" s="4"/>
      <c r="BT698" s="57"/>
      <c r="BU698" s="62"/>
      <c r="BV698" s="8"/>
      <c r="BW698" s="58"/>
    </row>
    <row r="699" spans="41:75" x14ac:dyDescent="0.35">
      <c r="AO699" s="39">
        <v>697</v>
      </c>
      <c r="AP699" s="60"/>
      <c r="AQ699" s="41"/>
      <c r="AR699" s="42" t="str">
        <f>IFERROR(VLOOKUP(AU699,[1]SUMMARY!$A$3:$B$7,2,FALSE),"")</f>
        <v/>
      </c>
      <c r="AS699" s="42"/>
      <c r="AT699" s="31" t="e">
        <f>VLOOKUP(AS699,[1]OUTLET!$B:$C,2,0)</f>
        <v>#N/A</v>
      </c>
      <c r="AU699" s="42"/>
      <c r="AV699" s="39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55"/>
      <c r="BP699" s="40"/>
      <c r="BQ699" s="4"/>
      <c r="BR699" s="61"/>
      <c r="BS699" s="4"/>
      <c r="BT699" s="57"/>
      <c r="BU699" s="62"/>
      <c r="BV699" s="8"/>
      <c r="BW699" s="58"/>
    </row>
    <row r="700" spans="41:75" x14ac:dyDescent="0.35">
      <c r="AO700" s="39">
        <v>698</v>
      </c>
      <c r="AP700" s="60"/>
      <c r="AQ700" s="41"/>
      <c r="AR700" s="42" t="str">
        <f>IFERROR(VLOOKUP(AU700,[1]SUMMARY!$A$3:$B$7,2,FALSE),"")</f>
        <v/>
      </c>
      <c r="AS700" s="42"/>
      <c r="AT700" s="31" t="e">
        <f>VLOOKUP(AS700,[1]OUTLET!$B:$C,2,0)</f>
        <v>#N/A</v>
      </c>
      <c r="AU700" s="42"/>
      <c r="AV700" s="39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55"/>
      <c r="BP700" s="40"/>
      <c r="BQ700" s="4"/>
      <c r="BR700" s="61"/>
      <c r="BS700" s="4"/>
      <c r="BT700" s="57"/>
      <c r="BU700" s="62"/>
      <c r="BV700" s="8"/>
      <c r="BW700" s="58"/>
    </row>
    <row r="701" spans="41:75" x14ac:dyDescent="0.35">
      <c r="AO701" s="39">
        <v>699</v>
      </c>
      <c r="AP701" s="60"/>
      <c r="AQ701" s="41"/>
      <c r="AR701" s="42" t="str">
        <f>IFERROR(VLOOKUP(AU701,[1]SUMMARY!$A$3:$B$7,2,FALSE),"")</f>
        <v/>
      </c>
      <c r="AS701" s="42"/>
      <c r="AT701" s="31" t="e">
        <f>VLOOKUP(AS701,[1]OUTLET!$B:$C,2,0)</f>
        <v>#N/A</v>
      </c>
      <c r="AU701" s="42"/>
      <c r="AV701" s="39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55"/>
      <c r="BP701" s="40"/>
      <c r="BQ701" s="4"/>
      <c r="BR701" s="61"/>
      <c r="BS701" s="4"/>
      <c r="BT701" s="57"/>
      <c r="BU701" s="62"/>
      <c r="BV701" s="8"/>
      <c r="BW701" s="58"/>
    </row>
    <row r="702" spans="41:75" x14ac:dyDescent="0.35">
      <c r="AO702" s="39">
        <v>700</v>
      </c>
      <c r="AP702" s="60"/>
      <c r="AQ702" s="41"/>
      <c r="AR702" s="42" t="str">
        <f>IFERROR(VLOOKUP(AU702,[1]SUMMARY!$A$3:$B$7,2,FALSE),"")</f>
        <v/>
      </c>
      <c r="AS702" s="42"/>
      <c r="AT702" s="31" t="e">
        <f>VLOOKUP(AS702,[1]OUTLET!$B:$C,2,0)</f>
        <v>#N/A</v>
      </c>
      <c r="AU702" s="42"/>
      <c r="AV702" s="39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55"/>
      <c r="BP702" s="40"/>
      <c r="BQ702" s="4"/>
      <c r="BR702" s="61"/>
      <c r="BS702" s="4"/>
      <c r="BT702" s="57"/>
      <c r="BU702" s="62"/>
      <c r="BV702" s="8"/>
      <c r="BW702" s="58"/>
    </row>
    <row r="703" spans="41:75" x14ac:dyDescent="0.35">
      <c r="AO703" s="39">
        <v>701</v>
      </c>
      <c r="AP703" s="60"/>
      <c r="AQ703" s="41"/>
      <c r="AR703" s="42" t="str">
        <f>IFERROR(VLOOKUP(AU703,[1]SUMMARY!$A$3:$B$7,2,FALSE),"")</f>
        <v/>
      </c>
      <c r="AS703" s="42"/>
      <c r="AT703" s="31" t="e">
        <f>VLOOKUP(AS703,[1]OUTLET!$B:$C,2,0)</f>
        <v>#N/A</v>
      </c>
      <c r="AU703" s="42"/>
      <c r="AV703" s="39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55"/>
      <c r="BP703" s="40"/>
      <c r="BQ703" s="4"/>
      <c r="BR703" s="61"/>
      <c r="BS703" s="4"/>
      <c r="BT703" s="57"/>
      <c r="BU703" s="62"/>
      <c r="BV703" s="8"/>
      <c r="BW703" s="58"/>
    </row>
    <row r="704" spans="41:75" x14ac:dyDescent="0.35">
      <c r="AO704" s="39">
        <v>702</v>
      </c>
      <c r="AP704" s="60"/>
      <c r="AQ704" s="41"/>
      <c r="AR704" s="42" t="str">
        <f>IFERROR(VLOOKUP(AU704,[1]SUMMARY!$A$3:$B$7,2,FALSE),"")</f>
        <v/>
      </c>
      <c r="AS704" s="42"/>
      <c r="AT704" s="31" t="e">
        <f>VLOOKUP(AS704,[1]OUTLET!$B:$C,2,0)</f>
        <v>#N/A</v>
      </c>
      <c r="AU704" s="42"/>
      <c r="AV704" s="39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55"/>
      <c r="BP704" s="40"/>
      <c r="BQ704" s="4"/>
      <c r="BR704" s="61"/>
      <c r="BS704" s="4"/>
      <c r="BT704" s="57"/>
      <c r="BU704" s="62"/>
      <c r="BV704" s="8"/>
      <c r="BW704" s="58"/>
    </row>
    <row r="705" spans="41:75" x14ac:dyDescent="0.35">
      <c r="AO705" s="39">
        <v>703</v>
      </c>
      <c r="AP705" s="60"/>
      <c r="AQ705" s="41"/>
      <c r="AR705" s="42" t="str">
        <f>IFERROR(VLOOKUP(AU705,[1]SUMMARY!$A$3:$B$7,2,FALSE),"")</f>
        <v/>
      </c>
      <c r="AS705" s="42"/>
      <c r="AT705" s="31" t="e">
        <f>VLOOKUP(AS705,[1]OUTLET!$B:$C,2,0)</f>
        <v>#N/A</v>
      </c>
      <c r="AU705" s="42"/>
      <c r="AV705" s="39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55"/>
      <c r="BP705" s="40"/>
      <c r="BQ705" s="4"/>
      <c r="BR705" s="61"/>
      <c r="BS705" s="4"/>
      <c r="BT705" s="57"/>
      <c r="BU705" s="62"/>
      <c r="BV705" s="8"/>
      <c r="BW705" s="58"/>
    </row>
    <row r="706" spans="41:75" x14ac:dyDescent="0.35">
      <c r="AO706" s="39">
        <v>704</v>
      </c>
      <c r="AP706" s="4"/>
      <c r="AQ706" s="39"/>
      <c r="AR706" s="42" t="str">
        <f>IFERROR(VLOOKUP(AU706,[1]SUMMARY!$A$3:$B$7,2,FALSE),"")</f>
        <v/>
      </c>
      <c r="AS706" s="4"/>
      <c r="AT706" s="31" t="e">
        <f>VLOOKUP(AS706,[1]OUTLET!$B:$C,2,0)</f>
        <v>#N/A</v>
      </c>
      <c r="AU706" s="4"/>
      <c r="AV706" s="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55"/>
      <c r="BP706" s="40"/>
      <c r="BQ706" s="4"/>
      <c r="BR706" s="61"/>
      <c r="BS706" s="4"/>
      <c r="BT706" s="57"/>
      <c r="BU706" s="62"/>
      <c r="BV706" s="8"/>
      <c r="BW706" s="58"/>
    </row>
    <row r="707" spans="41:75" x14ac:dyDescent="0.35">
      <c r="AO707" s="39">
        <v>705</v>
      </c>
      <c r="AP707" s="4"/>
      <c r="AQ707" s="39"/>
      <c r="AR707" s="42" t="str">
        <f>IFERROR(VLOOKUP(AU707,[1]SUMMARY!$A$3:$B$7,2,FALSE),"")</f>
        <v/>
      </c>
      <c r="AS707" s="4"/>
      <c r="AT707" s="31" t="e">
        <f>VLOOKUP(AS707,[1]OUTLET!$B:$C,2,0)</f>
        <v>#N/A</v>
      </c>
      <c r="AU707" s="4"/>
      <c r="AV707" s="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55"/>
      <c r="BP707" s="40"/>
      <c r="BQ707" s="4"/>
      <c r="BR707" s="61"/>
      <c r="BS707" s="4"/>
      <c r="BT707" s="57"/>
      <c r="BU707" s="62"/>
      <c r="BV707" s="8"/>
      <c r="BW707" s="58"/>
    </row>
    <row r="708" spans="41:75" x14ac:dyDescent="0.35">
      <c r="AO708" s="39">
        <v>706</v>
      </c>
      <c r="AP708" s="4"/>
      <c r="AQ708" s="39"/>
      <c r="AR708" s="42" t="str">
        <f>IFERROR(VLOOKUP(AU708,[1]SUMMARY!$A$3:$B$7,2,FALSE),"")</f>
        <v/>
      </c>
      <c r="AS708" s="4"/>
      <c r="AT708" s="31" t="e">
        <f>VLOOKUP(AS708,[1]OUTLET!$B:$C,2,0)</f>
        <v>#N/A</v>
      </c>
      <c r="AU708" s="4"/>
      <c r="AV708" s="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55"/>
      <c r="BP708" s="40"/>
      <c r="BQ708" s="4"/>
      <c r="BR708" s="61"/>
      <c r="BS708" s="4"/>
      <c r="BT708" s="57"/>
      <c r="BU708" s="62"/>
      <c r="BV708" s="8"/>
      <c r="BW708" s="58"/>
    </row>
    <row r="709" spans="41:75" x14ac:dyDescent="0.35">
      <c r="AO709" s="39">
        <v>707</v>
      </c>
      <c r="AP709" s="4"/>
      <c r="AQ709" s="39"/>
      <c r="AR709" s="42" t="str">
        <f>IFERROR(VLOOKUP(AU709,[1]SUMMARY!$A$3:$B$7,2,FALSE),"")</f>
        <v/>
      </c>
      <c r="AS709" s="4"/>
      <c r="AT709" s="31" t="e">
        <f>VLOOKUP(AS709,[1]OUTLET!$B:$C,2,0)</f>
        <v>#N/A</v>
      </c>
      <c r="AU709" s="4"/>
      <c r="AV709" s="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55"/>
      <c r="BP709" s="40"/>
      <c r="BQ709" s="4"/>
      <c r="BR709" s="61"/>
      <c r="BS709" s="4"/>
      <c r="BT709" s="57"/>
      <c r="BU709" s="62"/>
      <c r="BV709" s="8"/>
      <c r="BW709" s="58"/>
    </row>
    <row r="710" spans="41:75" x14ac:dyDescent="0.35">
      <c r="AO710" s="39">
        <v>708</v>
      </c>
      <c r="AP710" s="4"/>
      <c r="AQ710" s="39"/>
      <c r="AR710" s="42" t="str">
        <f>IFERROR(VLOOKUP(AU710,[1]SUMMARY!$A$3:$B$7,2,FALSE),"")</f>
        <v/>
      </c>
      <c r="AS710" s="4"/>
      <c r="AT710" s="31" t="e">
        <f>VLOOKUP(AS710,[1]OUTLET!$B:$C,2,0)</f>
        <v>#N/A</v>
      </c>
      <c r="AU710" s="4"/>
      <c r="AV710" s="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55"/>
      <c r="BP710" s="40"/>
      <c r="BQ710" s="4"/>
      <c r="BR710" s="61"/>
      <c r="BS710" s="4"/>
      <c r="BT710" s="57"/>
      <c r="BU710" s="62"/>
      <c r="BV710" s="8"/>
      <c r="BW710" s="58"/>
    </row>
    <row r="711" spans="41:75" x14ac:dyDescent="0.35">
      <c r="AO711" s="39">
        <v>709</v>
      </c>
      <c r="AP711" s="4"/>
      <c r="AQ711" s="39"/>
      <c r="AR711" s="42" t="str">
        <f>IFERROR(VLOOKUP(AU711,[1]SUMMARY!$A$3:$B$7,2,FALSE),"")</f>
        <v/>
      </c>
      <c r="AS711" s="4"/>
      <c r="AT711" s="31" t="e">
        <f>VLOOKUP(AS711,[1]OUTLET!$B:$C,2,0)</f>
        <v>#N/A</v>
      </c>
      <c r="AU711" s="4"/>
      <c r="AV711" s="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55"/>
      <c r="BP711" s="40"/>
      <c r="BQ711" s="4"/>
      <c r="BR711" s="61"/>
      <c r="BS711" s="4"/>
      <c r="BT711" s="57"/>
      <c r="BU711" s="62"/>
      <c r="BV711" s="8"/>
      <c r="BW711" s="58"/>
    </row>
    <row r="712" spans="41:75" x14ac:dyDescent="0.35">
      <c r="AO712" s="39">
        <v>710</v>
      </c>
      <c r="AP712" s="62"/>
      <c r="AQ712" s="39"/>
      <c r="AR712" s="42" t="str">
        <f>IFERROR(VLOOKUP(AU712,[1]SUMMARY!$A$3:$B$7,2,FALSE),"")</f>
        <v/>
      </c>
      <c r="AS712" s="31"/>
      <c r="AT712" s="31" t="e">
        <f>VLOOKUP(AS712,[1]OUTLET!$B:$C,2,0)</f>
        <v>#N/A</v>
      </c>
      <c r="AU712" s="31"/>
      <c r="AV712" s="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55"/>
      <c r="BP712" s="40"/>
      <c r="BQ712" s="4"/>
      <c r="BR712" s="61"/>
      <c r="BS712" s="4"/>
      <c r="BT712" s="57"/>
      <c r="BU712" s="62"/>
      <c r="BV712" s="8"/>
      <c r="BW712" s="58"/>
    </row>
    <row r="713" spans="41:75" x14ac:dyDescent="0.35">
      <c r="AO713" s="39">
        <v>711</v>
      </c>
      <c r="AP713" s="62"/>
      <c r="AQ713" s="39"/>
      <c r="AR713" s="42" t="str">
        <f>IFERROR(VLOOKUP(AU713,[1]SUMMARY!$A$3:$B$7,2,FALSE),"")</f>
        <v/>
      </c>
      <c r="AS713" s="31"/>
      <c r="AT713" s="31" t="e">
        <f>VLOOKUP(AS713,[1]OUTLET!$B:$C,2,0)</f>
        <v>#N/A</v>
      </c>
      <c r="AU713" s="31"/>
      <c r="AV713" s="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55"/>
      <c r="BP713" s="40"/>
      <c r="BQ713" s="4"/>
      <c r="BR713" s="61"/>
      <c r="BS713" s="4"/>
      <c r="BT713" s="57"/>
      <c r="BU713" s="62"/>
      <c r="BV713" s="8"/>
      <c r="BW713" s="58"/>
    </row>
    <row r="714" spans="41:75" x14ac:dyDescent="0.35">
      <c r="AO714" s="39">
        <v>712</v>
      </c>
      <c r="AP714" s="62"/>
      <c r="AQ714" s="39"/>
      <c r="AR714" s="42" t="str">
        <f>IFERROR(VLOOKUP(AU714,[1]SUMMARY!$A$3:$B$7,2,FALSE),"")</f>
        <v/>
      </c>
      <c r="AS714" s="31"/>
      <c r="AT714" s="31" t="e">
        <f>VLOOKUP(AS714,[1]OUTLET!$B:$C,2,0)</f>
        <v>#N/A</v>
      </c>
      <c r="AU714" s="31"/>
      <c r="AV714" s="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55"/>
      <c r="BP714" s="40"/>
      <c r="BQ714" s="4"/>
      <c r="BR714" s="61"/>
      <c r="BS714" s="4"/>
      <c r="BT714" s="57"/>
      <c r="BU714" s="62"/>
      <c r="BV714" s="8"/>
      <c r="BW714" s="58"/>
    </row>
    <row r="715" spans="41:75" x14ac:dyDescent="0.35">
      <c r="AO715" s="39">
        <v>713</v>
      </c>
      <c r="AP715" s="62"/>
      <c r="AQ715" s="39"/>
      <c r="AR715" s="42" t="str">
        <f>IFERROR(VLOOKUP(AU715,[1]SUMMARY!$A$3:$B$7,2,FALSE),"")</f>
        <v/>
      </c>
      <c r="AS715" s="31"/>
      <c r="AT715" s="31" t="e">
        <f>VLOOKUP(AS715,[1]OUTLET!$B:$C,2,0)</f>
        <v>#N/A</v>
      </c>
      <c r="AU715" s="31"/>
      <c r="AV715" s="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55"/>
      <c r="BP715" s="40"/>
      <c r="BQ715" s="4"/>
      <c r="BR715" s="61"/>
      <c r="BS715" s="4"/>
      <c r="BT715" s="57"/>
      <c r="BU715" s="62"/>
      <c r="BV715" s="8"/>
      <c r="BW715" s="58"/>
    </row>
    <row r="716" spans="41:75" x14ac:dyDescent="0.35">
      <c r="AO716" s="39">
        <v>714</v>
      </c>
      <c r="AP716" s="62"/>
      <c r="AQ716" s="39"/>
      <c r="AR716" s="42" t="str">
        <f>IFERROR(VLOOKUP(AU716,[1]SUMMARY!$A$3:$B$7,2,FALSE),"")</f>
        <v/>
      </c>
      <c r="AS716" s="31"/>
      <c r="AT716" s="31" t="e">
        <f>VLOOKUP(AS716,[1]OUTLET!$B:$C,2,0)</f>
        <v>#N/A</v>
      </c>
      <c r="AU716" s="31"/>
      <c r="AV716" s="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55"/>
      <c r="BP716" s="40"/>
      <c r="BQ716" s="4"/>
      <c r="BR716" s="61"/>
      <c r="BS716" s="4"/>
      <c r="BT716" s="57"/>
      <c r="BU716" s="62"/>
      <c r="BV716" s="8"/>
      <c r="BW716" s="58"/>
    </row>
    <row r="717" spans="41:75" x14ac:dyDescent="0.35">
      <c r="AO717" s="39">
        <v>715</v>
      </c>
      <c r="AP717" s="62"/>
      <c r="AQ717" s="39"/>
      <c r="AR717" s="42" t="str">
        <f>IFERROR(VLOOKUP(AU717,[1]SUMMARY!$A$3:$B$7,2,FALSE),"")</f>
        <v/>
      </c>
      <c r="AS717" s="31"/>
      <c r="AT717" s="31" t="e">
        <f>VLOOKUP(AS717,[1]OUTLET!$B:$C,2,0)</f>
        <v>#N/A</v>
      </c>
      <c r="AU717" s="31"/>
      <c r="AV717" s="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55"/>
      <c r="BP717" s="40"/>
      <c r="BQ717" s="4"/>
      <c r="BR717" s="61"/>
      <c r="BS717" s="4"/>
      <c r="BT717" s="57"/>
      <c r="BU717" s="62"/>
      <c r="BV717" s="8"/>
      <c r="BW717" s="58"/>
    </row>
    <row r="718" spans="41:75" x14ac:dyDescent="0.35">
      <c r="AO718" s="39">
        <v>716</v>
      </c>
      <c r="AP718" s="62"/>
      <c r="AQ718" s="39"/>
      <c r="AR718" s="42" t="str">
        <f>IFERROR(VLOOKUP(AU718,[1]SUMMARY!$A$3:$B$7,2,FALSE),"")</f>
        <v/>
      </c>
      <c r="AS718" s="31"/>
      <c r="AT718" s="31" t="e">
        <f>VLOOKUP(AS718,[1]OUTLET!$B:$C,2,0)</f>
        <v>#N/A</v>
      </c>
      <c r="AU718" s="31"/>
      <c r="AV718" s="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55"/>
      <c r="BP718" s="40"/>
      <c r="BQ718" s="4"/>
      <c r="BR718" s="61"/>
      <c r="BS718" s="4"/>
      <c r="BT718" s="57"/>
      <c r="BU718" s="62"/>
      <c r="BV718" s="8"/>
      <c r="BW718" s="58"/>
    </row>
    <row r="719" spans="41:75" x14ac:dyDescent="0.35">
      <c r="AO719" s="39">
        <v>717</v>
      </c>
      <c r="AP719" s="62"/>
      <c r="AQ719" s="39"/>
      <c r="AR719" s="42" t="str">
        <f>IFERROR(VLOOKUP(AU719,[1]SUMMARY!$A$3:$B$7,2,FALSE),"")</f>
        <v/>
      </c>
      <c r="AS719" s="31"/>
      <c r="AT719" s="31" t="e">
        <f>VLOOKUP(AS719,[1]OUTLET!$B:$C,2,0)</f>
        <v>#N/A</v>
      </c>
      <c r="AU719" s="31"/>
      <c r="AV719" s="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55"/>
      <c r="BP719" s="40"/>
      <c r="BQ719" s="4"/>
      <c r="BR719" s="61"/>
      <c r="BS719" s="4"/>
      <c r="BT719" s="57"/>
      <c r="BU719" s="62"/>
      <c r="BV719" s="8"/>
      <c r="BW719" s="58"/>
    </row>
    <row r="720" spans="41:75" x14ac:dyDescent="0.35">
      <c r="AO720" s="39">
        <v>718</v>
      </c>
      <c r="AP720" s="62"/>
      <c r="AQ720" s="39"/>
      <c r="AR720" s="42" t="str">
        <f>IFERROR(VLOOKUP(AU720,[1]SUMMARY!$A$3:$B$7,2,FALSE),"")</f>
        <v/>
      </c>
      <c r="AS720" s="31"/>
      <c r="AT720" s="31" t="e">
        <f>VLOOKUP(AS720,[1]OUTLET!$B:$C,2,0)</f>
        <v>#N/A</v>
      </c>
      <c r="AU720" s="31"/>
      <c r="AV720" s="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55"/>
      <c r="BP720" s="40"/>
      <c r="BQ720" s="4"/>
      <c r="BR720" s="61"/>
      <c r="BS720" s="4"/>
      <c r="BT720" s="57"/>
      <c r="BU720" s="62"/>
      <c r="BV720" s="8"/>
      <c r="BW720" s="58"/>
    </row>
    <row r="721" spans="41:75" x14ac:dyDescent="0.35">
      <c r="AO721" s="39">
        <v>719</v>
      </c>
      <c r="AP721" s="62"/>
      <c r="AQ721" s="39"/>
      <c r="AR721" s="42" t="str">
        <f>IFERROR(VLOOKUP(AU721,[1]SUMMARY!$A$3:$B$7,2,FALSE),"")</f>
        <v/>
      </c>
      <c r="AS721" s="31"/>
      <c r="AT721" s="31" t="e">
        <f>VLOOKUP(AS721,[1]OUTLET!$B:$C,2,0)</f>
        <v>#N/A</v>
      </c>
      <c r="AU721" s="31"/>
      <c r="AV721" s="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55"/>
      <c r="BP721" s="40"/>
      <c r="BQ721" s="4"/>
      <c r="BR721" s="61"/>
      <c r="BS721" s="4"/>
      <c r="BT721" s="57"/>
      <c r="BU721" s="62"/>
      <c r="BV721" s="8"/>
      <c r="BW721" s="58"/>
    </row>
    <row r="722" spans="41:75" x14ac:dyDescent="0.35">
      <c r="AO722" s="39">
        <v>720</v>
      </c>
      <c r="AP722" s="62"/>
      <c r="AQ722" s="39"/>
      <c r="AR722" s="42" t="str">
        <f>IFERROR(VLOOKUP(AU722,[1]SUMMARY!$A$3:$B$7,2,FALSE),"")</f>
        <v/>
      </c>
      <c r="AS722" s="31"/>
      <c r="AT722" s="31" t="e">
        <f>VLOOKUP(AS722,[1]OUTLET!$B:$C,2,0)</f>
        <v>#N/A</v>
      </c>
      <c r="AU722" s="31"/>
      <c r="AV722" s="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55"/>
      <c r="BP722" s="40"/>
      <c r="BQ722" s="4"/>
      <c r="BR722" s="61"/>
      <c r="BS722" s="4"/>
      <c r="BT722" s="57"/>
      <c r="BU722" s="62"/>
      <c r="BV722" s="8"/>
      <c r="BW722" s="58"/>
    </row>
    <row r="723" spans="41:75" x14ac:dyDescent="0.35">
      <c r="AO723" s="39">
        <v>721</v>
      </c>
      <c r="AP723" s="62"/>
      <c r="AQ723" s="39"/>
      <c r="AR723" s="42" t="str">
        <f>IFERROR(VLOOKUP(AU723,[1]SUMMARY!$A$3:$B$7,2,FALSE),"")</f>
        <v/>
      </c>
      <c r="AS723" s="31"/>
      <c r="AT723" s="31" t="e">
        <f>VLOOKUP(AS723,[1]OUTLET!$B:$C,2,0)</f>
        <v>#N/A</v>
      </c>
      <c r="AU723" s="31"/>
      <c r="AV723" s="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55"/>
      <c r="BP723" s="40"/>
      <c r="BQ723" s="4"/>
      <c r="BR723" s="61"/>
      <c r="BS723" s="4"/>
      <c r="BT723" s="57"/>
      <c r="BU723" s="62"/>
      <c r="BV723" s="8"/>
      <c r="BW723" s="58"/>
    </row>
    <row r="724" spans="41:75" x14ac:dyDescent="0.35">
      <c r="AO724" s="39">
        <v>722</v>
      </c>
      <c r="AP724" s="62"/>
      <c r="AQ724" s="39"/>
      <c r="AR724" s="42" t="str">
        <f>IFERROR(VLOOKUP(AU724,[1]SUMMARY!$A$3:$B$7,2,FALSE),"")</f>
        <v/>
      </c>
      <c r="AS724" s="31"/>
      <c r="AT724" s="31" t="e">
        <f>VLOOKUP(AS724,[1]OUTLET!$B:$C,2,0)</f>
        <v>#N/A</v>
      </c>
      <c r="AU724" s="31"/>
      <c r="AV724" s="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55"/>
      <c r="BP724" s="40"/>
      <c r="BQ724" s="4"/>
      <c r="BR724" s="61"/>
      <c r="BS724" s="4"/>
      <c r="BT724" s="57"/>
      <c r="BU724" s="62"/>
      <c r="BV724" s="8"/>
      <c r="BW724" s="58"/>
    </row>
    <row r="725" spans="41:75" x14ac:dyDescent="0.35">
      <c r="AO725" s="39">
        <v>723</v>
      </c>
      <c r="AP725" s="62"/>
      <c r="AQ725" s="39"/>
      <c r="AR725" s="42" t="str">
        <f>IFERROR(VLOOKUP(AU725,[1]SUMMARY!$A$3:$B$7,2,FALSE),"")</f>
        <v/>
      </c>
      <c r="AS725" s="31"/>
      <c r="AT725" s="31" t="e">
        <f>VLOOKUP(AS725,[1]OUTLET!$B:$C,2,0)</f>
        <v>#N/A</v>
      </c>
      <c r="AU725" s="31"/>
      <c r="AV725" s="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55"/>
      <c r="BP725" s="40"/>
      <c r="BQ725" s="4"/>
      <c r="BR725" s="61"/>
      <c r="BS725" s="4"/>
      <c r="BT725" s="57"/>
      <c r="BU725" s="62"/>
      <c r="BV725" s="8"/>
      <c r="BW725" s="58"/>
    </row>
    <row r="726" spans="41:75" x14ac:dyDescent="0.35">
      <c r="AO726" s="39">
        <v>724</v>
      </c>
      <c r="AP726" s="62"/>
      <c r="AQ726" s="39"/>
      <c r="AR726" s="42" t="str">
        <f>IFERROR(VLOOKUP(AU726,[1]SUMMARY!$A$3:$B$7,2,FALSE),"")</f>
        <v/>
      </c>
      <c r="AS726" s="31"/>
      <c r="AT726" s="31" t="e">
        <f>VLOOKUP(AS726,[1]OUTLET!$B:$C,2,0)</f>
        <v>#N/A</v>
      </c>
      <c r="AU726" s="31"/>
      <c r="AV726" s="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55"/>
      <c r="BP726" s="40"/>
      <c r="BQ726" s="4"/>
      <c r="BR726" s="61"/>
      <c r="BS726" s="4"/>
      <c r="BT726" s="57"/>
      <c r="BU726" s="62"/>
      <c r="BV726" s="8"/>
      <c r="BW726" s="58"/>
    </row>
    <row r="727" spans="41:75" x14ac:dyDescent="0.35">
      <c r="AO727" s="39">
        <v>725</v>
      </c>
      <c r="AP727" s="62"/>
      <c r="AQ727" s="39"/>
      <c r="AR727" s="42" t="str">
        <f>IFERROR(VLOOKUP(AU727,[1]SUMMARY!$A$3:$B$7,2,FALSE),"")</f>
        <v/>
      </c>
      <c r="AS727" s="31"/>
      <c r="AT727" s="31" t="e">
        <f>VLOOKUP(AS727,[1]OUTLET!$B:$C,2,0)</f>
        <v>#N/A</v>
      </c>
      <c r="AU727" s="31"/>
      <c r="AV727" s="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55"/>
      <c r="BP727" s="40"/>
      <c r="BQ727" s="4"/>
      <c r="BR727" s="61"/>
      <c r="BS727" s="4"/>
      <c r="BT727" s="57"/>
      <c r="BU727" s="62"/>
      <c r="BV727" s="8"/>
      <c r="BW727" s="58"/>
    </row>
    <row r="728" spans="41:75" x14ac:dyDescent="0.35">
      <c r="AO728" s="39">
        <v>726</v>
      </c>
      <c r="AP728" s="62"/>
      <c r="AQ728" s="39"/>
      <c r="AR728" s="42" t="str">
        <f>IFERROR(VLOOKUP(AU728,[1]SUMMARY!$A$3:$B$7,2,FALSE),"")</f>
        <v/>
      </c>
      <c r="AS728" s="31"/>
      <c r="AT728" s="31" t="e">
        <f>VLOOKUP(AS728,[1]OUTLET!$B:$C,2,0)</f>
        <v>#N/A</v>
      </c>
      <c r="AU728" s="31"/>
      <c r="AV728" s="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55"/>
      <c r="BP728" s="40"/>
      <c r="BQ728" s="4"/>
      <c r="BR728" s="61"/>
      <c r="BS728" s="4"/>
      <c r="BT728" s="57"/>
      <c r="BU728" s="62"/>
      <c r="BV728" s="8"/>
      <c r="BW728" s="58"/>
    </row>
    <row r="729" spans="41:75" x14ac:dyDescent="0.35">
      <c r="AO729" s="39">
        <v>727</v>
      </c>
      <c r="AP729" s="62"/>
      <c r="AQ729" s="39"/>
      <c r="AR729" s="42" t="str">
        <f>IFERROR(VLOOKUP(AU729,[1]SUMMARY!$A$3:$B$7,2,FALSE),"")</f>
        <v/>
      </c>
      <c r="AS729" s="31"/>
      <c r="AT729" s="31" t="e">
        <f>VLOOKUP(AS729,[1]OUTLET!$B:$C,2,0)</f>
        <v>#N/A</v>
      </c>
      <c r="AU729" s="31"/>
      <c r="AV729" s="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55"/>
      <c r="BP729" s="40"/>
      <c r="BQ729" s="4"/>
      <c r="BR729" s="61"/>
      <c r="BS729" s="4"/>
      <c r="BT729" s="57"/>
      <c r="BU729" s="62"/>
      <c r="BV729" s="8"/>
      <c r="BW729" s="58"/>
    </row>
    <row r="730" spans="41:75" x14ac:dyDescent="0.35">
      <c r="AO730" s="39">
        <v>728</v>
      </c>
      <c r="AP730" s="62"/>
      <c r="AQ730" s="39"/>
      <c r="AR730" s="42" t="str">
        <f>IFERROR(VLOOKUP(AU730,[1]SUMMARY!$A$3:$B$7,2,FALSE),"")</f>
        <v/>
      </c>
      <c r="AS730" s="31"/>
      <c r="AT730" s="31" t="e">
        <f>VLOOKUP(AS730,[1]OUTLET!$B:$C,2,0)</f>
        <v>#N/A</v>
      </c>
      <c r="AU730" s="31"/>
      <c r="AV730" s="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55"/>
      <c r="BP730" s="40"/>
      <c r="BQ730" s="4"/>
      <c r="BR730" s="61"/>
      <c r="BS730" s="4"/>
      <c r="BT730" s="57"/>
      <c r="BU730" s="62"/>
      <c r="BV730" s="8"/>
      <c r="BW730" s="58"/>
    </row>
    <row r="731" spans="41:75" x14ac:dyDescent="0.35">
      <c r="AO731" s="39">
        <v>729</v>
      </c>
      <c r="AP731" s="62"/>
      <c r="AQ731" s="39"/>
      <c r="AR731" s="42" t="str">
        <f>IFERROR(VLOOKUP(AU731,[1]SUMMARY!$A$3:$B$7,2,FALSE),"")</f>
        <v/>
      </c>
      <c r="AS731" s="31"/>
      <c r="AT731" s="31" t="e">
        <f>VLOOKUP(AS731,[1]OUTLET!$B:$C,2,0)</f>
        <v>#N/A</v>
      </c>
      <c r="AU731" s="31"/>
      <c r="AV731" s="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55"/>
      <c r="BP731" s="40"/>
      <c r="BQ731" s="4"/>
      <c r="BR731" s="61"/>
      <c r="BS731" s="4"/>
      <c r="BT731" s="57"/>
      <c r="BU731" s="62"/>
      <c r="BV731" s="8"/>
      <c r="BW731" s="58"/>
    </row>
    <row r="732" spans="41:75" x14ac:dyDescent="0.35">
      <c r="AO732" s="39">
        <v>730</v>
      </c>
      <c r="AP732" s="62"/>
      <c r="AQ732" s="39"/>
      <c r="AR732" s="42" t="str">
        <f>IFERROR(VLOOKUP(AU732,[1]SUMMARY!$A$3:$B$7,2,FALSE),"")</f>
        <v/>
      </c>
      <c r="AS732" s="31"/>
      <c r="AT732" s="31" t="e">
        <f>VLOOKUP(AS732,[1]OUTLET!$B:$C,2,0)</f>
        <v>#N/A</v>
      </c>
      <c r="AU732" s="31"/>
      <c r="AV732" s="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55"/>
      <c r="BP732" s="40"/>
      <c r="BQ732" s="4"/>
      <c r="BR732" s="61"/>
      <c r="BS732" s="4"/>
      <c r="BT732" s="57"/>
      <c r="BU732" s="62"/>
      <c r="BV732" s="8"/>
      <c r="BW732" s="58"/>
    </row>
    <row r="733" spans="41:75" x14ac:dyDescent="0.35">
      <c r="AO733" s="39">
        <v>731</v>
      </c>
      <c r="AP733" s="62"/>
      <c r="AQ733" s="39"/>
      <c r="AR733" s="42" t="str">
        <f>IFERROR(VLOOKUP(AU733,[1]SUMMARY!$A$3:$B$7,2,FALSE),"")</f>
        <v/>
      </c>
      <c r="AS733" s="31"/>
      <c r="AT733" s="31" t="e">
        <f>VLOOKUP(AS733,[1]OUTLET!$B:$C,2,0)</f>
        <v>#N/A</v>
      </c>
      <c r="AU733" s="31"/>
      <c r="AV733" s="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55"/>
      <c r="BP733" s="40"/>
      <c r="BQ733" s="4"/>
      <c r="BR733" s="61"/>
      <c r="BS733" s="4"/>
      <c r="BT733" s="57"/>
      <c r="BU733" s="62"/>
      <c r="BV733" s="8"/>
      <c r="BW733" s="58"/>
    </row>
    <row r="734" spans="41:75" x14ac:dyDescent="0.35">
      <c r="AO734" s="39">
        <v>732</v>
      </c>
      <c r="AP734" s="62"/>
      <c r="AQ734" s="39"/>
      <c r="AR734" s="42" t="str">
        <f>IFERROR(VLOOKUP(AU734,[1]SUMMARY!$A$3:$B$7,2,FALSE),"")</f>
        <v/>
      </c>
      <c r="AS734" s="31"/>
      <c r="AT734" s="31" t="e">
        <f>VLOOKUP(AS734,[1]OUTLET!$B:$C,2,0)</f>
        <v>#N/A</v>
      </c>
      <c r="AU734" s="31"/>
      <c r="AV734" s="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55"/>
      <c r="BP734" s="40"/>
      <c r="BQ734" s="4"/>
      <c r="BR734" s="61"/>
      <c r="BS734" s="4"/>
      <c r="BT734" s="57"/>
      <c r="BU734" s="62"/>
      <c r="BV734" s="8"/>
      <c r="BW734" s="58"/>
    </row>
    <row r="735" spans="41:75" x14ac:dyDescent="0.35">
      <c r="AO735" s="39">
        <v>733</v>
      </c>
      <c r="AP735" s="62"/>
      <c r="AQ735" s="39"/>
      <c r="AR735" s="42" t="str">
        <f>IFERROR(VLOOKUP(AU735,[1]SUMMARY!$A$3:$B$7,2,FALSE),"")</f>
        <v/>
      </c>
      <c r="AS735" s="31"/>
      <c r="AT735" s="31" t="e">
        <f>VLOOKUP(AS735,[1]OUTLET!$B:$C,2,0)</f>
        <v>#N/A</v>
      </c>
      <c r="AU735" s="31"/>
      <c r="AV735" s="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55"/>
      <c r="BP735" s="40"/>
      <c r="BQ735" s="4"/>
      <c r="BR735" s="61"/>
      <c r="BS735" s="4"/>
      <c r="BT735" s="57"/>
      <c r="BU735" s="62"/>
      <c r="BV735" s="8"/>
      <c r="BW735" s="58"/>
    </row>
    <row r="736" spans="41:75" x14ac:dyDescent="0.35">
      <c r="AO736" s="39">
        <v>734</v>
      </c>
      <c r="AP736" s="62"/>
      <c r="AQ736" s="39"/>
      <c r="AR736" s="42" t="str">
        <f>IFERROR(VLOOKUP(AU736,[1]SUMMARY!$A$3:$B$7,2,FALSE),"")</f>
        <v/>
      </c>
      <c r="AS736" s="31"/>
      <c r="AT736" s="31" t="e">
        <f>VLOOKUP(AS736,[1]OUTLET!$B:$C,2,0)</f>
        <v>#N/A</v>
      </c>
      <c r="AU736" s="31"/>
      <c r="AV736" s="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55"/>
      <c r="BP736" s="40"/>
      <c r="BQ736" s="4"/>
      <c r="BR736" s="61"/>
      <c r="BS736" s="4"/>
      <c r="BT736" s="57"/>
      <c r="BU736" s="62"/>
      <c r="BV736" s="8"/>
      <c r="BW736" s="58"/>
    </row>
    <row r="737" spans="41:75" x14ac:dyDescent="0.35">
      <c r="AO737" s="39">
        <v>735</v>
      </c>
      <c r="AP737" s="62"/>
      <c r="AQ737" s="39"/>
      <c r="AR737" s="42" t="str">
        <f>IFERROR(VLOOKUP(AU737,[1]SUMMARY!$A$3:$B$7,2,FALSE),"")</f>
        <v/>
      </c>
      <c r="AS737" s="31"/>
      <c r="AT737" s="31" t="e">
        <f>VLOOKUP(AS737,[1]OUTLET!$B:$C,2,0)</f>
        <v>#N/A</v>
      </c>
      <c r="AU737" s="31"/>
      <c r="AV737" s="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55"/>
      <c r="BP737" s="40"/>
      <c r="BQ737" s="4"/>
      <c r="BR737" s="61"/>
      <c r="BS737" s="4"/>
      <c r="BT737" s="57"/>
      <c r="BU737" s="62"/>
      <c r="BV737" s="8"/>
      <c r="BW737" s="58"/>
    </row>
    <row r="738" spans="41:75" x14ac:dyDescent="0.35">
      <c r="AO738" s="39">
        <v>736</v>
      </c>
      <c r="AP738" s="62"/>
      <c r="AQ738" s="39"/>
      <c r="AR738" s="42" t="str">
        <f>IFERROR(VLOOKUP(AU738,[1]SUMMARY!$A$3:$B$7,2,FALSE),"")</f>
        <v/>
      </c>
      <c r="AS738" s="31"/>
      <c r="AT738" s="31" t="e">
        <f>VLOOKUP(AS738,[1]OUTLET!$B:$C,2,0)</f>
        <v>#N/A</v>
      </c>
      <c r="AU738" s="31"/>
      <c r="AV738" s="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55"/>
      <c r="BP738" s="40"/>
      <c r="BQ738" s="4"/>
      <c r="BR738" s="61"/>
      <c r="BS738" s="4"/>
      <c r="BT738" s="57"/>
      <c r="BU738" s="62"/>
      <c r="BV738" s="8"/>
      <c r="BW738" s="58"/>
    </row>
    <row r="739" spans="41:75" x14ac:dyDescent="0.35">
      <c r="AO739" s="39">
        <v>737</v>
      </c>
      <c r="AP739" s="62"/>
      <c r="AQ739" s="39"/>
      <c r="AR739" s="42" t="str">
        <f>IFERROR(VLOOKUP(AU739,[1]SUMMARY!$A$3:$B$7,2,FALSE),"")</f>
        <v/>
      </c>
      <c r="AS739" s="31"/>
      <c r="AT739" s="31" t="e">
        <f>VLOOKUP(AS739,[1]OUTLET!$B:$C,2,0)</f>
        <v>#N/A</v>
      </c>
      <c r="AU739" s="31"/>
      <c r="AV739" s="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55"/>
      <c r="BP739" s="40"/>
      <c r="BQ739" s="4"/>
      <c r="BR739" s="61"/>
      <c r="BS739" s="4"/>
      <c r="BT739" s="57"/>
      <c r="BU739" s="62"/>
      <c r="BV739" s="8"/>
      <c r="BW739" s="58"/>
    </row>
    <row r="740" spans="41:75" x14ac:dyDescent="0.35">
      <c r="AO740" s="39">
        <v>738</v>
      </c>
      <c r="AP740" s="62"/>
      <c r="AQ740" s="39"/>
      <c r="AR740" s="42" t="str">
        <f>IFERROR(VLOOKUP(AU740,[1]SUMMARY!$A$3:$B$7,2,FALSE),"")</f>
        <v/>
      </c>
      <c r="AS740" s="31"/>
      <c r="AT740" s="31" t="e">
        <f>VLOOKUP(AS740,[1]OUTLET!$B:$C,2,0)</f>
        <v>#N/A</v>
      </c>
      <c r="AU740" s="31"/>
      <c r="AV740" s="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55"/>
      <c r="BP740" s="40"/>
      <c r="BQ740" s="4"/>
      <c r="BR740" s="61"/>
      <c r="BS740" s="4"/>
      <c r="BT740" s="57"/>
      <c r="BU740" s="62"/>
      <c r="BV740" s="8"/>
      <c r="BW740" s="58"/>
    </row>
    <row r="741" spans="41:75" x14ac:dyDescent="0.35">
      <c r="AO741" s="39">
        <v>739</v>
      </c>
      <c r="AP741" s="62"/>
      <c r="AQ741" s="39"/>
      <c r="AR741" s="42" t="str">
        <f>IFERROR(VLOOKUP(AU741,[1]SUMMARY!$A$3:$B$7,2,FALSE),"")</f>
        <v/>
      </c>
      <c r="AS741" s="31"/>
      <c r="AT741" s="31" t="e">
        <f>VLOOKUP(AS741,[1]OUTLET!$B:$C,2,0)</f>
        <v>#N/A</v>
      </c>
      <c r="AU741" s="31"/>
      <c r="AV741" s="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55"/>
      <c r="BP741" s="40"/>
      <c r="BQ741" s="4"/>
      <c r="BR741" s="61"/>
      <c r="BS741" s="4"/>
      <c r="BT741" s="57"/>
      <c r="BU741" s="62"/>
      <c r="BV741" s="8"/>
      <c r="BW741" s="58"/>
    </row>
    <row r="742" spans="41:75" x14ac:dyDescent="0.35">
      <c r="AO742" s="39">
        <v>740</v>
      </c>
      <c r="AP742" s="62"/>
      <c r="AQ742" s="39"/>
      <c r="AR742" s="42" t="str">
        <f>IFERROR(VLOOKUP(AU742,[1]SUMMARY!$A$3:$B$7,2,FALSE),"")</f>
        <v/>
      </c>
      <c r="AS742" s="31"/>
      <c r="AT742" s="31" t="e">
        <f>VLOOKUP(AS742,[1]OUTLET!$B:$C,2,0)</f>
        <v>#N/A</v>
      </c>
      <c r="AU742" s="31"/>
      <c r="AV742" s="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55"/>
      <c r="BP742" s="40"/>
      <c r="BQ742" s="4"/>
      <c r="BR742" s="61"/>
      <c r="BS742" s="4"/>
      <c r="BT742" s="57"/>
      <c r="BU742" s="62"/>
      <c r="BV742" s="8"/>
      <c r="BW742" s="58"/>
    </row>
    <row r="743" spans="41:75" x14ac:dyDescent="0.35">
      <c r="AO743" s="39">
        <v>741</v>
      </c>
      <c r="AP743" s="62"/>
      <c r="AQ743" s="39"/>
      <c r="AR743" s="42" t="str">
        <f>IFERROR(VLOOKUP(AU743,[1]SUMMARY!$A$3:$B$7,2,FALSE),"")</f>
        <v/>
      </c>
      <c r="AS743" s="31"/>
      <c r="AT743" s="31" t="e">
        <f>VLOOKUP(AS743,[1]OUTLET!$B:$C,2,0)</f>
        <v>#N/A</v>
      </c>
      <c r="AU743" s="31"/>
      <c r="AV743" s="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55"/>
      <c r="BP743" s="40"/>
      <c r="BQ743" s="4"/>
      <c r="BR743" s="61"/>
      <c r="BS743" s="4"/>
      <c r="BT743" s="57"/>
      <c r="BU743" s="62"/>
      <c r="BV743" s="8"/>
      <c r="BW743" s="58"/>
    </row>
    <row r="744" spans="41:75" x14ac:dyDescent="0.35">
      <c r="AO744" s="39">
        <v>742</v>
      </c>
      <c r="AP744" s="62"/>
      <c r="AQ744" s="39"/>
      <c r="AR744" s="42" t="str">
        <f>IFERROR(VLOOKUP(AU744,[1]SUMMARY!$A$3:$B$7,2,FALSE),"")</f>
        <v/>
      </c>
      <c r="AS744" s="31"/>
      <c r="AT744" s="31" t="e">
        <f>VLOOKUP(AS744,[1]OUTLET!$B:$C,2,0)</f>
        <v>#N/A</v>
      </c>
      <c r="AU744" s="31"/>
      <c r="AV744" s="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55"/>
      <c r="BP744" s="40"/>
      <c r="BQ744" s="4"/>
      <c r="BR744" s="61"/>
      <c r="BS744" s="4"/>
      <c r="BT744" s="57"/>
      <c r="BU744" s="62"/>
      <c r="BV744" s="8"/>
      <c r="BW744" s="58"/>
    </row>
    <row r="745" spans="41:75" x14ac:dyDescent="0.35">
      <c r="AO745" s="39">
        <v>743</v>
      </c>
      <c r="AP745" s="62"/>
      <c r="AQ745" s="39"/>
      <c r="AR745" s="42" t="str">
        <f>IFERROR(VLOOKUP(AU745,[1]SUMMARY!$A$3:$B$7,2,FALSE),"")</f>
        <v/>
      </c>
      <c r="AS745" s="31"/>
      <c r="AT745" s="31" t="e">
        <f>VLOOKUP(AS745,[1]OUTLET!$B:$C,2,0)</f>
        <v>#N/A</v>
      </c>
      <c r="AU745" s="31"/>
      <c r="AV745" s="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55"/>
      <c r="BP745" s="40"/>
      <c r="BQ745" s="4"/>
      <c r="BR745" s="61"/>
      <c r="BS745" s="4"/>
      <c r="BT745" s="57"/>
      <c r="BU745" s="62"/>
      <c r="BV745" s="8"/>
      <c r="BW745" s="58"/>
    </row>
    <row r="746" spans="41:75" x14ac:dyDescent="0.35">
      <c r="AO746" s="39">
        <v>744</v>
      </c>
      <c r="AP746" s="62"/>
      <c r="AQ746" s="39"/>
      <c r="AR746" s="42" t="str">
        <f>IFERROR(VLOOKUP(AU746,[1]SUMMARY!$A$3:$B$7,2,FALSE),"")</f>
        <v/>
      </c>
      <c r="AS746" s="31"/>
      <c r="AT746" s="31" t="e">
        <f>VLOOKUP(AS746,[1]OUTLET!$B:$C,2,0)</f>
        <v>#N/A</v>
      </c>
      <c r="AU746" s="31"/>
      <c r="AV746" s="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55"/>
      <c r="BP746" s="40"/>
      <c r="BQ746" s="4"/>
      <c r="BR746" s="61"/>
      <c r="BS746" s="4"/>
      <c r="BT746" s="57"/>
      <c r="BU746" s="62"/>
      <c r="BV746" s="8"/>
      <c r="BW746" s="58"/>
    </row>
    <row r="747" spans="41:75" x14ac:dyDescent="0.35">
      <c r="AO747" s="39">
        <v>745</v>
      </c>
      <c r="AP747" s="62"/>
      <c r="AQ747" s="39"/>
      <c r="AR747" s="42" t="str">
        <f>IFERROR(VLOOKUP(AU747,[1]SUMMARY!$A$3:$B$7,2,FALSE),"")</f>
        <v/>
      </c>
      <c r="AS747" s="31"/>
      <c r="AT747" s="31" t="e">
        <f>VLOOKUP(AS747,[1]OUTLET!$B:$C,2,0)</f>
        <v>#N/A</v>
      </c>
      <c r="AU747" s="31"/>
      <c r="AV747" s="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55"/>
      <c r="BP747" s="40"/>
      <c r="BQ747" s="4"/>
      <c r="BR747" s="61"/>
      <c r="BS747" s="4"/>
      <c r="BT747" s="57"/>
      <c r="BU747" s="62"/>
      <c r="BV747" s="8"/>
      <c r="BW747" s="58"/>
    </row>
    <row r="748" spans="41:75" x14ac:dyDescent="0.35">
      <c r="AO748" s="39">
        <v>746</v>
      </c>
      <c r="AP748" s="62"/>
      <c r="AQ748" s="39"/>
      <c r="AR748" s="42" t="str">
        <f>IFERROR(VLOOKUP(AU748,[1]SUMMARY!$A$3:$B$7,2,FALSE),"")</f>
        <v/>
      </c>
      <c r="AS748" s="31"/>
      <c r="AT748" s="31" t="e">
        <f>VLOOKUP(AS748,[1]OUTLET!$B:$C,2,0)</f>
        <v>#N/A</v>
      </c>
      <c r="AU748" s="31"/>
      <c r="AV748" s="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55"/>
      <c r="BP748" s="40"/>
      <c r="BQ748" s="4"/>
      <c r="BR748" s="61"/>
      <c r="BS748" s="4"/>
      <c r="BT748" s="57"/>
      <c r="BU748" s="62"/>
      <c r="BV748" s="8"/>
      <c r="BW748" s="58"/>
    </row>
    <row r="749" spans="41:75" x14ac:dyDescent="0.35">
      <c r="AO749" s="39">
        <v>747</v>
      </c>
      <c r="AP749" s="62"/>
      <c r="AQ749" s="39"/>
      <c r="AR749" s="42" t="str">
        <f>IFERROR(VLOOKUP(AU749,[1]SUMMARY!$A$3:$B$7,2,FALSE),"")</f>
        <v/>
      </c>
      <c r="AS749" s="31"/>
      <c r="AT749" s="31" t="e">
        <f>VLOOKUP(AS749,[1]OUTLET!$B:$C,2,0)</f>
        <v>#N/A</v>
      </c>
      <c r="AU749" s="31"/>
      <c r="AV749" s="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55"/>
      <c r="BP749" s="40"/>
      <c r="BQ749" s="4"/>
      <c r="BR749" s="61"/>
      <c r="BS749" s="4"/>
      <c r="BT749" s="57"/>
      <c r="BU749" s="62"/>
      <c r="BV749" s="8"/>
      <c r="BW749" s="58"/>
    </row>
    <row r="750" spans="41:75" x14ac:dyDescent="0.35">
      <c r="AO750" s="39">
        <v>748</v>
      </c>
      <c r="AP750" s="62"/>
      <c r="AQ750" s="39"/>
      <c r="AR750" s="42" t="str">
        <f>IFERROR(VLOOKUP(AU750,[1]SUMMARY!$A$3:$B$7,2,FALSE),"")</f>
        <v/>
      </c>
      <c r="AS750" s="31"/>
      <c r="AT750" s="31" t="e">
        <f>VLOOKUP(AS750,[1]OUTLET!$B:$C,2,0)</f>
        <v>#N/A</v>
      </c>
      <c r="AU750" s="31"/>
      <c r="AV750" s="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55"/>
      <c r="BP750" s="40"/>
      <c r="BQ750" s="4"/>
      <c r="BR750" s="61"/>
      <c r="BS750" s="4"/>
      <c r="BT750" s="57"/>
      <c r="BU750" s="62"/>
      <c r="BV750" s="8"/>
      <c r="BW750" s="58"/>
    </row>
    <row r="751" spans="41:75" x14ac:dyDescent="0.35">
      <c r="AO751" s="39">
        <v>749</v>
      </c>
      <c r="AP751" s="62"/>
      <c r="AQ751" s="39"/>
      <c r="AR751" s="42" t="str">
        <f>IFERROR(VLOOKUP(AU751,[1]SUMMARY!$A$3:$B$7,2,FALSE),"")</f>
        <v/>
      </c>
      <c r="AS751" s="31"/>
      <c r="AT751" s="31" t="e">
        <f>VLOOKUP(AS751,[1]OUTLET!$B:$C,2,0)</f>
        <v>#N/A</v>
      </c>
      <c r="AU751" s="31"/>
      <c r="AV751" s="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55"/>
      <c r="BP751" s="40"/>
      <c r="BQ751" s="4"/>
      <c r="BR751" s="61"/>
      <c r="BS751" s="4"/>
      <c r="BT751" s="57"/>
      <c r="BU751" s="62"/>
      <c r="BV751" s="8"/>
      <c r="BW751" s="58"/>
    </row>
    <row r="752" spans="41:75" x14ac:dyDescent="0.35">
      <c r="AO752" s="39">
        <v>750</v>
      </c>
      <c r="AP752" s="62"/>
      <c r="AQ752" s="39"/>
      <c r="AR752" s="42" t="str">
        <f>IFERROR(VLOOKUP(AU752,[1]SUMMARY!$A$3:$B$7,2,FALSE),"")</f>
        <v/>
      </c>
      <c r="AS752" s="31"/>
      <c r="AT752" s="31" t="e">
        <f>VLOOKUP(AS752,[1]OUTLET!$B:$C,2,0)</f>
        <v>#N/A</v>
      </c>
      <c r="AU752" s="31"/>
      <c r="AV752" s="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55"/>
      <c r="BP752" s="40"/>
      <c r="BQ752" s="4"/>
      <c r="BR752" s="61"/>
      <c r="BS752" s="4"/>
      <c r="BT752" s="57"/>
      <c r="BU752" s="62"/>
      <c r="BV752" s="8"/>
      <c r="BW752" s="58"/>
    </row>
    <row r="753" spans="41:75" x14ac:dyDescent="0.35">
      <c r="AO753" s="39">
        <v>751</v>
      </c>
      <c r="AP753" s="62"/>
      <c r="AQ753" s="39"/>
      <c r="AR753" s="42" t="str">
        <f>IFERROR(VLOOKUP(AU753,[1]SUMMARY!$A$3:$B$7,2,FALSE),"")</f>
        <v/>
      </c>
      <c r="AS753" s="31"/>
      <c r="AT753" s="31" t="e">
        <f>VLOOKUP(AS753,[1]OUTLET!$B:$C,2,0)</f>
        <v>#N/A</v>
      </c>
      <c r="AU753" s="31"/>
      <c r="AV753" s="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55"/>
      <c r="BP753" s="40"/>
      <c r="BQ753" s="4"/>
      <c r="BR753" s="61"/>
      <c r="BS753" s="4"/>
      <c r="BT753" s="57"/>
      <c r="BU753" s="62"/>
      <c r="BV753" s="8"/>
      <c r="BW753" s="58"/>
    </row>
    <row r="754" spans="41:75" x14ac:dyDescent="0.35">
      <c r="AO754" s="39">
        <v>752</v>
      </c>
      <c r="AP754" s="62"/>
      <c r="AQ754" s="39"/>
      <c r="AR754" s="42" t="str">
        <f>IFERROR(VLOOKUP(AU754,[1]SUMMARY!$A$3:$B$7,2,FALSE),"")</f>
        <v/>
      </c>
      <c r="AS754" s="31"/>
      <c r="AT754" s="31" t="e">
        <f>VLOOKUP(AS754,[1]OUTLET!$B:$C,2,0)</f>
        <v>#N/A</v>
      </c>
      <c r="AU754" s="31"/>
      <c r="AV754" s="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55"/>
      <c r="BP754" s="40"/>
      <c r="BQ754" s="4"/>
      <c r="BR754" s="61"/>
      <c r="BS754" s="4"/>
      <c r="BT754" s="57"/>
      <c r="BU754" s="62"/>
      <c r="BV754" s="8"/>
      <c r="BW754" s="58"/>
    </row>
    <row r="755" spans="41:75" x14ac:dyDescent="0.35">
      <c r="AO755" s="39">
        <v>753</v>
      </c>
      <c r="AP755" s="62"/>
      <c r="AQ755" s="39"/>
      <c r="AR755" s="42" t="str">
        <f>IFERROR(VLOOKUP(AU755,[1]SUMMARY!$A$3:$B$7,2,FALSE),"")</f>
        <v/>
      </c>
      <c r="AS755" s="31"/>
      <c r="AT755" s="31" t="e">
        <f>VLOOKUP(AS755,[1]OUTLET!$B:$C,2,0)</f>
        <v>#N/A</v>
      </c>
      <c r="AU755" s="31"/>
      <c r="AV755" s="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55"/>
      <c r="BP755" s="40"/>
      <c r="BQ755" s="4"/>
      <c r="BR755" s="61"/>
      <c r="BS755" s="4"/>
      <c r="BT755" s="57"/>
      <c r="BU755" s="62"/>
      <c r="BV755" s="8"/>
      <c r="BW755" s="58"/>
    </row>
    <row r="756" spans="41:75" x14ac:dyDescent="0.35">
      <c r="AO756" s="39">
        <v>754</v>
      </c>
      <c r="AP756" s="62"/>
      <c r="AQ756" s="39"/>
      <c r="AR756" s="42" t="str">
        <f>IFERROR(VLOOKUP(AU756,[1]SUMMARY!$A$3:$B$7,2,FALSE),"")</f>
        <v/>
      </c>
      <c r="AS756" s="31"/>
      <c r="AT756" s="31" t="e">
        <f>VLOOKUP(AS756,[1]OUTLET!$B:$C,2,0)</f>
        <v>#N/A</v>
      </c>
      <c r="AU756" s="31"/>
      <c r="AV756" s="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55"/>
      <c r="BP756" s="40"/>
      <c r="BQ756" s="4"/>
      <c r="BR756" s="61"/>
      <c r="BS756" s="4"/>
      <c r="BT756" s="57"/>
      <c r="BU756" s="62"/>
      <c r="BV756" s="8"/>
      <c r="BW756" s="58"/>
    </row>
    <row r="757" spans="41:75" x14ac:dyDescent="0.35">
      <c r="AO757" s="39">
        <v>755</v>
      </c>
      <c r="AP757" s="62"/>
      <c r="AQ757" s="39"/>
      <c r="AR757" s="42" t="str">
        <f>IFERROR(VLOOKUP(AU757,[1]SUMMARY!$A$3:$B$7,2,FALSE),"")</f>
        <v/>
      </c>
      <c r="AS757" s="31"/>
      <c r="AT757" s="31" t="e">
        <f>VLOOKUP(AS757,[1]OUTLET!$B:$C,2,0)</f>
        <v>#N/A</v>
      </c>
      <c r="AU757" s="31"/>
      <c r="AV757" s="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55"/>
      <c r="BP757" s="40"/>
      <c r="BQ757" s="4"/>
      <c r="BR757" s="61"/>
      <c r="BS757" s="4"/>
      <c r="BT757" s="57"/>
      <c r="BU757" s="62"/>
      <c r="BV757" s="8"/>
      <c r="BW757" s="58"/>
    </row>
    <row r="758" spans="41:75" x14ac:dyDescent="0.35">
      <c r="AO758" s="39">
        <v>756</v>
      </c>
      <c r="AP758" s="62"/>
      <c r="AQ758" s="39"/>
      <c r="AR758" s="42" t="str">
        <f>IFERROR(VLOOKUP(AU758,[1]SUMMARY!$A$3:$B$7,2,FALSE),"")</f>
        <v/>
      </c>
      <c r="AS758" s="31"/>
      <c r="AT758" s="31" t="e">
        <f>VLOOKUP(AS758,[1]OUTLET!$B:$C,2,0)</f>
        <v>#N/A</v>
      </c>
      <c r="AU758" s="31"/>
      <c r="AV758" s="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55"/>
      <c r="BP758" s="40"/>
      <c r="BQ758" s="4"/>
      <c r="BR758" s="61"/>
      <c r="BS758" s="4"/>
      <c r="BT758" s="57"/>
      <c r="BU758" s="62"/>
      <c r="BV758" s="8"/>
      <c r="BW758" s="58"/>
    </row>
    <row r="759" spans="41:75" x14ac:dyDescent="0.35">
      <c r="AO759" s="39">
        <v>757</v>
      </c>
      <c r="AP759" s="62"/>
      <c r="AQ759" s="39"/>
      <c r="AR759" s="42" t="str">
        <f>IFERROR(VLOOKUP(AU759,[1]SUMMARY!$A$3:$B$7,2,FALSE),"")</f>
        <v/>
      </c>
      <c r="AS759" s="31"/>
      <c r="AT759" s="31" t="e">
        <f>VLOOKUP(AS759,[1]OUTLET!$B:$C,2,0)</f>
        <v>#N/A</v>
      </c>
      <c r="AU759" s="31"/>
      <c r="AV759" s="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55"/>
      <c r="BP759" s="40"/>
      <c r="BQ759" s="4"/>
      <c r="BR759" s="61"/>
      <c r="BS759" s="4"/>
      <c r="BT759" s="57"/>
      <c r="BU759" s="62"/>
      <c r="BV759" s="8"/>
      <c r="BW759" s="58"/>
    </row>
    <row r="760" spans="41:75" x14ac:dyDescent="0.35">
      <c r="AO760" s="39">
        <v>758</v>
      </c>
      <c r="AP760" s="62"/>
      <c r="AQ760" s="39"/>
      <c r="AR760" s="42" t="str">
        <f>IFERROR(VLOOKUP(AU760,[1]SUMMARY!$A$3:$B$7,2,FALSE),"")</f>
        <v/>
      </c>
      <c r="AS760" s="31"/>
      <c r="AT760" s="31" t="e">
        <f>VLOOKUP(AS760,[1]OUTLET!$B:$C,2,0)</f>
        <v>#N/A</v>
      </c>
      <c r="AU760" s="31"/>
      <c r="AV760" s="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55"/>
      <c r="BP760" s="40"/>
      <c r="BQ760" s="4"/>
      <c r="BR760" s="61"/>
      <c r="BS760" s="4"/>
      <c r="BT760" s="57"/>
      <c r="BU760" s="62"/>
      <c r="BV760" s="8"/>
      <c r="BW760" s="58"/>
    </row>
    <row r="761" spans="41:75" x14ac:dyDescent="0.35">
      <c r="AO761" s="39">
        <v>759</v>
      </c>
      <c r="AP761" s="62"/>
      <c r="AQ761" s="39"/>
      <c r="AR761" s="42" t="str">
        <f>IFERROR(VLOOKUP(AU761,[1]SUMMARY!$A$3:$B$7,2,FALSE),"")</f>
        <v/>
      </c>
      <c r="AS761" s="31"/>
      <c r="AT761" s="31" t="e">
        <f>VLOOKUP(AS761,[1]OUTLET!$B:$C,2,0)</f>
        <v>#N/A</v>
      </c>
      <c r="AU761" s="31"/>
      <c r="AV761" s="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55"/>
      <c r="BP761" s="40"/>
      <c r="BQ761" s="4"/>
      <c r="BR761" s="61"/>
      <c r="BS761" s="4"/>
      <c r="BT761" s="57"/>
      <c r="BU761" s="62"/>
      <c r="BV761" s="8"/>
      <c r="BW761" s="58"/>
    </row>
    <row r="762" spans="41:75" x14ac:dyDescent="0.35">
      <c r="AO762" s="39">
        <v>760</v>
      </c>
      <c r="AP762" s="62"/>
      <c r="AQ762" s="39"/>
      <c r="AR762" s="42" t="str">
        <f>IFERROR(VLOOKUP(AU762,[1]SUMMARY!$A$3:$B$7,2,FALSE),"")</f>
        <v/>
      </c>
      <c r="AS762" s="31"/>
      <c r="AT762" s="31" t="e">
        <f>VLOOKUP(AS762,[1]OUTLET!$B:$C,2,0)</f>
        <v>#N/A</v>
      </c>
      <c r="AU762" s="31"/>
      <c r="AV762" s="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55"/>
      <c r="BP762" s="40"/>
      <c r="BQ762" s="4"/>
      <c r="BR762" s="61"/>
      <c r="BS762" s="4"/>
      <c r="BT762" s="57"/>
      <c r="BU762" s="62"/>
      <c r="BV762" s="8"/>
      <c r="BW762" s="58"/>
    </row>
    <row r="763" spans="41:75" x14ac:dyDescent="0.35">
      <c r="AO763" s="39">
        <v>761</v>
      </c>
      <c r="AP763" s="62"/>
      <c r="AQ763" s="39"/>
      <c r="AR763" s="42" t="str">
        <f>IFERROR(VLOOKUP(AU763,[1]SUMMARY!$A$3:$B$7,2,FALSE),"")</f>
        <v/>
      </c>
      <c r="AS763" s="31"/>
      <c r="AT763" s="31" t="e">
        <f>VLOOKUP(AS763,[1]OUTLET!$B:$C,2,0)</f>
        <v>#N/A</v>
      </c>
      <c r="AU763" s="31"/>
      <c r="AV763" s="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55"/>
      <c r="BP763" s="40"/>
      <c r="BQ763" s="4"/>
      <c r="BR763" s="61"/>
      <c r="BS763" s="4"/>
      <c r="BT763" s="57"/>
      <c r="BU763" s="62"/>
      <c r="BV763" s="8"/>
      <c r="BW763" s="58"/>
    </row>
    <row r="764" spans="41:75" x14ac:dyDescent="0.35">
      <c r="AO764" s="39">
        <v>762</v>
      </c>
      <c r="AP764" s="62"/>
      <c r="AQ764" s="39"/>
      <c r="AR764" s="42" t="str">
        <f>IFERROR(VLOOKUP(AU764,[1]SUMMARY!$A$3:$B$7,2,FALSE),"")</f>
        <v/>
      </c>
      <c r="AS764" s="31"/>
      <c r="AT764" s="31" t="e">
        <f>VLOOKUP(AS764,[1]OUTLET!$B:$C,2,0)</f>
        <v>#N/A</v>
      </c>
      <c r="AU764" s="31"/>
      <c r="AV764" s="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55"/>
      <c r="BP764" s="40"/>
      <c r="BQ764" s="4"/>
      <c r="BR764" s="61"/>
      <c r="BS764" s="4"/>
      <c r="BT764" s="57"/>
      <c r="BU764" s="62"/>
      <c r="BV764" s="8"/>
      <c r="BW764" s="58"/>
    </row>
    <row r="765" spans="41:75" x14ac:dyDescent="0.35">
      <c r="AO765" s="39">
        <v>763</v>
      </c>
      <c r="AP765" s="62"/>
      <c r="AQ765" s="39"/>
      <c r="AR765" s="42" t="str">
        <f>IFERROR(VLOOKUP(AU765,[1]SUMMARY!$A$3:$B$7,2,FALSE),"")</f>
        <v/>
      </c>
      <c r="AS765" s="31"/>
      <c r="AT765" s="31" t="e">
        <f>VLOOKUP(AS765,[1]OUTLET!$B:$C,2,0)</f>
        <v>#N/A</v>
      </c>
      <c r="AU765" s="31"/>
      <c r="AV765" s="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55"/>
      <c r="BP765" s="40"/>
      <c r="BQ765" s="4"/>
      <c r="BR765" s="61"/>
      <c r="BS765" s="4"/>
      <c r="BT765" s="57"/>
      <c r="BU765" s="62"/>
      <c r="BV765" s="8"/>
      <c r="BW765" s="58"/>
    </row>
    <row r="766" spans="41:75" x14ac:dyDescent="0.35">
      <c r="AO766" s="39">
        <v>764</v>
      </c>
      <c r="AP766" s="62"/>
      <c r="AQ766" s="39"/>
      <c r="AR766" s="42" t="str">
        <f>IFERROR(VLOOKUP(AU766,[1]SUMMARY!$A$3:$B$7,2,FALSE),"")</f>
        <v/>
      </c>
      <c r="AS766" s="31"/>
      <c r="AT766" s="31" t="e">
        <f>VLOOKUP(AS766,[1]OUTLET!$B:$C,2,0)</f>
        <v>#N/A</v>
      </c>
      <c r="AU766" s="31"/>
      <c r="AV766" s="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55"/>
      <c r="BP766" s="40"/>
      <c r="BQ766" s="4"/>
      <c r="BR766" s="61"/>
      <c r="BS766" s="4"/>
      <c r="BT766" s="57"/>
      <c r="BU766" s="62"/>
      <c r="BV766" s="8"/>
      <c r="BW766" s="58"/>
    </row>
    <row r="767" spans="41:75" x14ac:dyDescent="0.35">
      <c r="AO767" s="39">
        <v>765</v>
      </c>
      <c r="AP767" s="62"/>
      <c r="AQ767" s="39"/>
      <c r="AR767" s="42" t="str">
        <f>IFERROR(VLOOKUP(AU767,[1]SUMMARY!$A$3:$B$7,2,FALSE),"")</f>
        <v/>
      </c>
      <c r="AS767" s="31"/>
      <c r="AT767" s="31" t="e">
        <f>VLOOKUP(AS767,[1]OUTLET!$B:$C,2,0)</f>
        <v>#N/A</v>
      </c>
      <c r="AU767" s="31"/>
      <c r="AV767" s="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55"/>
      <c r="BP767" s="40"/>
      <c r="BQ767" s="4"/>
      <c r="BR767" s="61"/>
      <c r="BS767" s="4"/>
      <c r="BT767" s="57"/>
      <c r="BU767" s="62"/>
      <c r="BV767" s="8"/>
      <c r="BW767" s="58"/>
    </row>
    <row r="768" spans="41:75" x14ac:dyDescent="0.35">
      <c r="AO768" s="39">
        <v>766</v>
      </c>
      <c r="AP768" s="62"/>
      <c r="AQ768" s="39"/>
      <c r="AR768" s="42" t="str">
        <f>IFERROR(VLOOKUP(AU768,[1]SUMMARY!$A$3:$B$7,2,FALSE),"")</f>
        <v/>
      </c>
      <c r="AS768" s="31"/>
      <c r="AT768" s="31" t="e">
        <f>VLOOKUP(AS768,[1]OUTLET!$B:$C,2,0)</f>
        <v>#N/A</v>
      </c>
      <c r="AU768" s="31"/>
      <c r="AV768" s="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55"/>
      <c r="BP768" s="40"/>
      <c r="BQ768" s="4"/>
      <c r="BR768" s="61"/>
      <c r="BS768" s="4"/>
      <c r="BT768" s="57"/>
      <c r="BU768" s="62"/>
      <c r="BV768" s="8"/>
      <c r="BW768" s="58"/>
    </row>
    <row r="769" spans="41:75" x14ac:dyDescent="0.35">
      <c r="AO769" s="39">
        <v>767</v>
      </c>
      <c r="AP769" s="62"/>
      <c r="AQ769" s="39"/>
      <c r="AR769" s="42" t="str">
        <f>IFERROR(VLOOKUP(AU769,[1]SUMMARY!$A$3:$B$7,2,FALSE),"")</f>
        <v/>
      </c>
      <c r="AS769" s="31"/>
      <c r="AT769" s="31" t="e">
        <f>VLOOKUP(AS769,[1]OUTLET!$B:$C,2,0)</f>
        <v>#N/A</v>
      </c>
      <c r="AU769" s="31"/>
      <c r="AV769" s="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55"/>
      <c r="BP769" s="40"/>
      <c r="BQ769" s="4"/>
      <c r="BR769" s="61"/>
      <c r="BS769" s="4"/>
      <c r="BT769" s="57"/>
      <c r="BU769" s="62"/>
      <c r="BV769" s="8"/>
      <c r="BW769" s="58"/>
    </row>
    <row r="770" spans="41:75" x14ac:dyDescent="0.35">
      <c r="AO770" s="39">
        <v>768</v>
      </c>
      <c r="AP770" s="62"/>
      <c r="AQ770" s="39"/>
      <c r="AR770" s="42" t="str">
        <f>IFERROR(VLOOKUP(AU770,[1]SUMMARY!$A$3:$B$7,2,FALSE),"")</f>
        <v/>
      </c>
      <c r="AS770" s="31"/>
      <c r="AT770" s="31" t="e">
        <f>VLOOKUP(AS770,[1]OUTLET!$B:$C,2,0)</f>
        <v>#N/A</v>
      </c>
      <c r="AU770" s="31"/>
      <c r="AV770" s="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55"/>
      <c r="BP770" s="40"/>
      <c r="BQ770" s="4"/>
      <c r="BR770" s="61"/>
      <c r="BS770" s="4"/>
      <c r="BT770" s="57"/>
      <c r="BU770" s="62"/>
      <c r="BV770" s="8"/>
      <c r="BW770" s="58"/>
    </row>
    <row r="771" spans="41:75" x14ac:dyDescent="0.35">
      <c r="AO771" s="39">
        <v>769</v>
      </c>
      <c r="AP771" s="62"/>
      <c r="AQ771" s="39"/>
      <c r="AR771" s="42" t="str">
        <f>IFERROR(VLOOKUP(AU771,[1]SUMMARY!$A$3:$B$7,2,FALSE),"")</f>
        <v/>
      </c>
      <c r="AS771" s="31"/>
      <c r="AT771" s="31" t="e">
        <f>VLOOKUP(AS771,[1]OUTLET!$B:$C,2,0)</f>
        <v>#N/A</v>
      </c>
      <c r="AU771" s="31"/>
      <c r="AV771" s="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55"/>
      <c r="BP771" s="40"/>
      <c r="BQ771" s="4"/>
      <c r="BR771" s="61"/>
      <c r="BS771" s="4"/>
      <c r="BT771" s="57"/>
      <c r="BU771" s="62"/>
      <c r="BV771" s="8"/>
      <c r="BW771" s="58"/>
    </row>
    <row r="772" spans="41:75" x14ac:dyDescent="0.35">
      <c r="AO772" s="39">
        <v>770</v>
      </c>
      <c r="AP772" s="62"/>
      <c r="AQ772" s="39"/>
      <c r="AR772" s="42" t="str">
        <f>IFERROR(VLOOKUP(AU772,[1]SUMMARY!$A$3:$B$7,2,FALSE),"")</f>
        <v/>
      </c>
      <c r="AS772" s="31"/>
      <c r="AT772" s="31" t="e">
        <f>VLOOKUP(AS772,[1]OUTLET!$B:$C,2,0)</f>
        <v>#N/A</v>
      </c>
      <c r="AU772" s="31"/>
      <c r="AV772" s="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55"/>
      <c r="BP772" s="40"/>
      <c r="BQ772" s="4"/>
      <c r="BR772" s="61"/>
      <c r="BS772" s="4"/>
      <c r="BT772" s="57"/>
      <c r="BU772" s="62"/>
      <c r="BV772" s="8"/>
      <c r="BW772" s="58"/>
    </row>
    <row r="773" spans="41:75" x14ac:dyDescent="0.35">
      <c r="AO773" s="39">
        <v>771</v>
      </c>
      <c r="AP773" s="62"/>
      <c r="AQ773" s="39"/>
      <c r="AR773" s="42" t="str">
        <f>IFERROR(VLOOKUP(AU773,[1]SUMMARY!$A$3:$B$7,2,FALSE),"")</f>
        <v/>
      </c>
      <c r="AS773" s="31"/>
      <c r="AT773" s="31" t="e">
        <f>VLOOKUP(AS773,[1]OUTLET!$B:$C,2,0)</f>
        <v>#N/A</v>
      </c>
      <c r="AU773" s="31"/>
      <c r="AV773" s="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55"/>
      <c r="BP773" s="40"/>
      <c r="BQ773" s="4"/>
      <c r="BR773" s="61"/>
      <c r="BS773" s="4"/>
      <c r="BT773" s="57"/>
      <c r="BU773" s="62"/>
      <c r="BV773" s="8"/>
      <c r="BW773" s="58"/>
    </row>
    <row r="774" spans="41:75" x14ac:dyDescent="0.35">
      <c r="AO774" s="39">
        <v>772</v>
      </c>
      <c r="AP774" s="62"/>
      <c r="AQ774" s="39"/>
      <c r="AR774" s="42" t="str">
        <f>IFERROR(VLOOKUP(AU774,[1]SUMMARY!$A$3:$B$7,2,FALSE),"")</f>
        <v/>
      </c>
      <c r="AS774" s="31"/>
      <c r="AT774" s="31" t="e">
        <f>VLOOKUP(AS774,[1]OUTLET!$B:$C,2,0)</f>
        <v>#N/A</v>
      </c>
      <c r="AU774" s="31"/>
      <c r="AV774" s="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55"/>
      <c r="BP774" s="40"/>
      <c r="BQ774" s="4"/>
      <c r="BR774" s="61"/>
      <c r="BS774" s="4"/>
      <c r="BT774" s="57"/>
      <c r="BU774" s="62"/>
      <c r="BV774" s="8"/>
      <c r="BW774" s="58"/>
    </row>
    <row r="775" spans="41:75" x14ac:dyDescent="0.35">
      <c r="AO775" s="39">
        <v>773</v>
      </c>
      <c r="AP775" s="62"/>
      <c r="AQ775" s="39"/>
      <c r="AR775" s="42" t="str">
        <f>IFERROR(VLOOKUP(AU775,[1]SUMMARY!$A$3:$B$7,2,FALSE),"")</f>
        <v/>
      </c>
      <c r="AS775" s="31"/>
      <c r="AT775" s="31" t="e">
        <f>VLOOKUP(AS775,[1]OUTLET!$B:$C,2,0)</f>
        <v>#N/A</v>
      </c>
      <c r="AU775" s="31"/>
      <c r="AV775" s="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55"/>
      <c r="BP775" s="40"/>
      <c r="BQ775" s="4"/>
      <c r="BR775" s="61"/>
      <c r="BS775" s="4"/>
      <c r="BT775" s="57"/>
      <c r="BU775" s="62"/>
      <c r="BV775" s="8"/>
      <c r="BW775" s="58"/>
    </row>
    <row r="776" spans="41:75" x14ac:dyDescent="0.35">
      <c r="AO776" s="39">
        <v>774</v>
      </c>
      <c r="AP776" s="62"/>
      <c r="AQ776" s="39"/>
      <c r="AR776" s="42" t="str">
        <f>IFERROR(VLOOKUP(AU776,[1]SUMMARY!$A$3:$B$7,2,FALSE),"")</f>
        <v/>
      </c>
      <c r="AS776" s="31"/>
      <c r="AT776" s="31" t="e">
        <f>VLOOKUP(AS776,[1]OUTLET!$B:$C,2,0)</f>
        <v>#N/A</v>
      </c>
      <c r="AU776" s="31"/>
      <c r="AV776" s="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55"/>
      <c r="BP776" s="40"/>
      <c r="BQ776" s="4"/>
      <c r="BR776" s="61"/>
      <c r="BS776" s="4"/>
      <c r="BT776" s="57"/>
      <c r="BU776" s="62"/>
      <c r="BV776" s="8"/>
      <c r="BW776" s="58"/>
    </row>
    <row r="777" spans="41:75" x14ac:dyDescent="0.35">
      <c r="AO777" s="39">
        <v>775</v>
      </c>
      <c r="AP777" s="62"/>
      <c r="AQ777" s="39"/>
      <c r="AR777" s="42" t="str">
        <f>IFERROR(VLOOKUP(AU777,[1]SUMMARY!$A$3:$B$7,2,FALSE),"")</f>
        <v/>
      </c>
      <c r="AS777" s="31"/>
      <c r="AT777" s="31" t="e">
        <f>VLOOKUP(AS777,[1]OUTLET!$B:$C,2,0)</f>
        <v>#N/A</v>
      </c>
      <c r="AU777" s="31"/>
      <c r="AV777" s="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55"/>
      <c r="BP777" s="40"/>
      <c r="BQ777" s="4"/>
      <c r="BR777" s="61"/>
      <c r="BS777" s="4"/>
      <c r="BT777" s="57"/>
      <c r="BU777" s="62"/>
      <c r="BV777" s="8"/>
      <c r="BW777" s="58"/>
    </row>
    <row r="778" spans="41:75" x14ac:dyDescent="0.35">
      <c r="AO778" s="39">
        <v>776</v>
      </c>
      <c r="AP778" s="62"/>
      <c r="AQ778" s="39"/>
      <c r="AR778" s="42" t="str">
        <f>IFERROR(VLOOKUP(AU778,[1]SUMMARY!$A$3:$B$7,2,FALSE),"")</f>
        <v/>
      </c>
      <c r="AS778" s="31"/>
      <c r="AT778" s="31" t="e">
        <f>VLOOKUP(AS778,[1]OUTLET!$B:$C,2,0)</f>
        <v>#N/A</v>
      </c>
      <c r="AU778" s="31"/>
      <c r="AV778" s="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55"/>
      <c r="BP778" s="40"/>
      <c r="BQ778" s="4"/>
      <c r="BR778" s="61"/>
      <c r="BS778" s="4"/>
      <c r="BT778" s="57"/>
      <c r="BU778" s="62"/>
      <c r="BV778" s="8"/>
      <c r="BW778" s="58"/>
    </row>
    <row r="779" spans="41:75" x14ac:dyDescent="0.35">
      <c r="AO779" s="39">
        <v>777</v>
      </c>
      <c r="AP779" s="62"/>
      <c r="AQ779" s="39"/>
      <c r="AR779" s="42" t="str">
        <f>IFERROR(VLOOKUP(AU779,[1]SUMMARY!$A$3:$B$7,2,FALSE),"")</f>
        <v/>
      </c>
      <c r="AS779" s="31"/>
      <c r="AT779" s="31" t="e">
        <f>VLOOKUP(AS779,[1]OUTLET!$B:$C,2,0)</f>
        <v>#N/A</v>
      </c>
      <c r="AU779" s="31"/>
      <c r="AV779" s="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55"/>
      <c r="BP779" s="40"/>
      <c r="BQ779" s="4"/>
      <c r="BR779" s="61"/>
      <c r="BS779" s="4"/>
      <c r="BT779" s="57"/>
      <c r="BU779" s="62"/>
      <c r="BV779" s="8"/>
      <c r="BW779" s="58"/>
    </row>
    <row r="780" spans="41:75" x14ac:dyDescent="0.35">
      <c r="AO780" s="39">
        <v>778</v>
      </c>
      <c r="AP780" s="62"/>
      <c r="AQ780" s="39"/>
      <c r="AR780" s="42" t="str">
        <f>IFERROR(VLOOKUP(AU780,[1]SUMMARY!$A$3:$B$7,2,FALSE),"")</f>
        <v/>
      </c>
      <c r="AS780" s="31"/>
      <c r="AT780" s="31" t="e">
        <f>VLOOKUP(AS780,[1]OUTLET!$B:$C,2,0)</f>
        <v>#N/A</v>
      </c>
      <c r="AU780" s="31"/>
      <c r="AV780" s="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55"/>
      <c r="BP780" s="40"/>
      <c r="BQ780" s="4"/>
      <c r="BR780" s="61"/>
      <c r="BS780" s="4"/>
      <c r="BT780" s="57"/>
      <c r="BU780" s="62"/>
      <c r="BV780" s="8"/>
      <c r="BW780" s="58"/>
    </row>
    <row r="781" spans="41:75" x14ac:dyDescent="0.35">
      <c r="AO781" s="39">
        <v>779</v>
      </c>
      <c r="AP781" s="62"/>
      <c r="AQ781" s="39"/>
      <c r="AR781" s="42" t="str">
        <f>IFERROR(VLOOKUP(AU781,[1]SUMMARY!$A$3:$B$7,2,FALSE),"")</f>
        <v/>
      </c>
      <c r="AS781" s="31"/>
      <c r="AT781" s="31" t="e">
        <f>VLOOKUP(AS781,[1]OUTLET!$B:$C,2,0)</f>
        <v>#N/A</v>
      </c>
      <c r="AU781" s="31"/>
      <c r="AV781" s="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55"/>
      <c r="BP781" s="40"/>
      <c r="BQ781" s="4"/>
      <c r="BR781" s="61"/>
      <c r="BS781" s="4"/>
      <c r="BT781" s="57"/>
      <c r="BU781" s="62"/>
      <c r="BV781" s="8"/>
      <c r="BW781" s="58"/>
    </row>
    <row r="782" spans="41:75" x14ac:dyDescent="0.35">
      <c r="AO782" s="39">
        <v>780</v>
      </c>
      <c r="AP782" s="62"/>
      <c r="AQ782" s="39"/>
      <c r="AR782" s="42" t="str">
        <f>IFERROR(VLOOKUP(AU782,[1]SUMMARY!$A$3:$B$7,2,FALSE),"")</f>
        <v/>
      </c>
      <c r="AS782" s="31"/>
      <c r="AT782" s="31" t="e">
        <f>VLOOKUP(AS782,[1]OUTLET!$B:$C,2,0)</f>
        <v>#N/A</v>
      </c>
      <c r="AU782" s="31"/>
      <c r="AV782" s="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55"/>
      <c r="BP782" s="40"/>
      <c r="BQ782" s="4"/>
      <c r="BR782" s="61"/>
      <c r="BS782" s="4"/>
      <c r="BT782" s="57"/>
      <c r="BU782" s="62"/>
      <c r="BV782" s="8"/>
      <c r="BW782" s="58"/>
    </row>
    <row r="783" spans="41:75" x14ac:dyDescent="0.35">
      <c r="AO783" s="39">
        <v>781</v>
      </c>
      <c r="AP783" s="62"/>
      <c r="AQ783" s="39"/>
      <c r="AR783" s="42" t="str">
        <f>IFERROR(VLOOKUP(AU783,[1]SUMMARY!$A$3:$B$7,2,FALSE),"")</f>
        <v/>
      </c>
      <c r="AS783" s="31"/>
      <c r="AT783" s="31" t="e">
        <f>VLOOKUP(AS783,[1]OUTLET!$B:$C,2,0)</f>
        <v>#N/A</v>
      </c>
      <c r="AU783" s="31"/>
      <c r="AV783" s="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55"/>
      <c r="BP783" s="40"/>
      <c r="BQ783" s="4"/>
      <c r="BR783" s="61"/>
      <c r="BS783" s="4"/>
      <c r="BT783" s="57"/>
      <c r="BU783" s="62"/>
      <c r="BV783" s="8"/>
      <c r="BW783" s="58"/>
    </row>
    <row r="784" spans="41:75" x14ac:dyDescent="0.35">
      <c r="AO784" s="39">
        <v>782</v>
      </c>
      <c r="AP784" s="62"/>
      <c r="AQ784" s="39"/>
      <c r="AR784" s="42" t="str">
        <f>IFERROR(VLOOKUP(AU784,[1]SUMMARY!$A$3:$B$7,2,FALSE),"")</f>
        <v/>
      </c>
      <c r="AS784" s="31"/>
      <c r="AT784" s="31" t="e">
        <f>VLOOKUP(AS784,[1]OUTLET!$B:$C,2,0)</f>
        <v>#N/A</v>
      </c>
      <c r="AU784" s="31"/>
      <c r="AV784" s="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55"/>
      <c r="BP784" s="40"/>
      <c r="BQ784" s="4"/>
      <c r="BR784" s="61"/>
      <c r="BS784" s="4"/>
      <c r="BT784" s="57"/>
      <c r="BU784" s="62"/>
      <c r="BV784" s="8"/>
      <c r="BW784" s="58"/>
    </row>
    <row r="785" spans="41:75" x14ac:dyDescent="0.35">
      <c r="AO785" s="39">
        <v>783</v>
      </c>
      <c r="AP785" s="62"/>
      <c r="AQ785" s="39"/>
      <c r="AR785" s="42" t="str">
        <f>IFERROR(VLOOKUP(AU785,[1]SUMMARY!$A$3:$B$7,2,FALSE),"")</f>
        <v/>
      </c>
      <c r="AS785" s="31"/>
      <c r="AT785" s="31" t="e">
        <f>VLOOKUP(AS785,[1]OUTLET!$B:$C,2,0)</f>
        <v>#N/A</v>
      </c>
      <c r="AU785" s="31"/>
      <c r="AV785" s="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55"/>
      <c r="BP785" s="40"/>
      <c r="BQ785" s="4"/>
      <c r="BR785" s="61"/>
      <c r="BS785" s="4"/>
      <c r="BT785" s="57"/>
      <c r="BU785" s="62"/>
      <c r="BV785" s="8"/>
      <c r="BW785" s="58"/>
    </row>
    <row r="786" spans="41:75" x14ac:dyDescent="0.35">
      <c r="AO786" s="39">
        <v>784</v>
      </c>
      <c r="AP786" s="62"/>
      <c r="AQ786" s="39"/>
      <c r="AR786" s="42" t="str">
        <f>IFERROR(VLOOKUP(AU786,[1]SUMMARY!$A$3:$B$7,2,FALSE),"")</f>
        <v/>
      </c>
      <c r="AS786" s="31"/>
      <c r="AT786" s="31" t="e">
        <f>VLOOKUP(AS786,[1]OUTLET!$B:$C,2,0)</f>
        <v>#N/A</v>
      </c>
      <c r="AU786" s="31"/>
      <c r="AV786" s="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55"/>
      <c r="BP786" s="40"/>
      <c r="BQ786" s="4"/>
      <c r="BR786" s="61"/>
      <c r="BS786" s="4"/>
      <c r="BT786" s="57"/>
      <c r="BU786" s="62"/>
      <c r="BV786" s="8"/>
      <c r="BW786" s="58"/>
    </row>
    <row r="787" spans="41:75" x14ac:dyDescent="0.35">
      <c r="AO787" s="39">
        <v>785</v>
      </c>
      <c r="AP787" s="62"/>
      <c r="AQ787" s="39"/>
      <c r="AR787" s="42" t="str">
        <f>IFERROR(VLOOKUP(AU787,[1]SUMMARY!$A$3:$B$7,2,FALSE),"")</f>
        <v/>
      </c>
      <c r="AS787" s="31"/>
      <c r="AT787" s="31" t="e">
        <f>VLOOKUP(AS787,[1]OUTLET!$B:$C,2,0)</f>
        <v>#N/A</v>
      </c>
      <c r="AU787" s="31"/>
      <c r="AV787" s="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55"/>
      <c r="BP787" s="40"/>
      <c r="BQ787" s="4"/>
      <c r="BR787" s="61"/>
      <c r="BS787" s="4"/>
      <c r="BT787" s="57"/>
      <c r="BU787" s="62"/>
      <c r="BV787" s="8"/>
      <c r="BW787" s="58"/>
    </row>
    <row r="788" spans="41:75" x14ac:dyDescent="0.35">
      <c r="AO788" s="39">
        <v>786</v>
      </c>
      <c r="AP788" s="62"/>
      <c r="AQ788" s="39"/>
      <c r="AR788" s="42" t="str">
        <f>IFERROR(VLOOKUP(AU788,[1]SUMMARY!$A$3:$B$7,2,FALSE),"")</f>
        <v/>
      </c>
      <c r="AS788" s="31"/>
      <c r="AT788" s="31" t="e">
        <f>VLOOKUP(AS788,[1]OUTLET!$B:$C,2,0)</f>
        <v>#N/A</v>
      </c>
      <c r="AU788" s="31"/>
      <c r="AV788" s="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55"/>
      <c r="BP788" s="40"/>
      <c r="BQ788" s="4"/>
      <c r="BR788" s="61"/>
      <c r="BS788" s="4"/>
      <c r="BT788" s="57"/>
      <c r="BU788" s="62"/>
      <c r="BV788" s="8"/>
      <c r="BW788" s="58"/>
    </row>
    <row r="789" spans="41:75" x14ac:dyDescent="0.35">
      <c r="AO789" s="39">
        <v>787</v>
      </c>
      <c r="AP789" s="62"/>
      <c r="AQ789" s="39"/>
      <c r="AR789" s="42" t="str">
        <f>IFERROR(VLOOKUP(AU789,[1]SUMMARY!$A$3:$B$7,2,FALSE),"")</f>
        <v/>
      </c>
      <c r="AS789" s="31"/>
      <c r="AT789" s="31" t="e">
        <f>VLOOKUP(AS789,[1]OUTLET!$B:$C,2,0)</f>
        <v>#N/A</v>
      </c>
      <c r="AU789" s="31"/>
      <c r="AV789" s="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55"/>
      <c r="BP789" s="40"/>
      <c r="BQ789" s="4"/>
      <c r="BR789" s="61"/>
      <c r="BS789" s="4"/>
      <c r="BT789" s="57"/>
      <c r="BU789" s="62"/>
      <c r="BV789" s="8"/>
      <c r="BW789" s="58"/>
    </row>
    <row r="790" spans="41:75" x14ac:dyDescent="0.35">
      <c r="AO790" s="39">
        <v>788</v>
      </c>
      <c r="AP790" s="62"/>
      <c r="AQ790" s="39"/>
      <c r="AR790" s="42" t="str">
        <f>IFERROR(VLOOKUP(AU790,[1]SUMMARY!$A$3:$B$7,2,FALSE),"")</f>
        <v/>
      </c>
      <c r="AS790" s="31"/>
      <c r="AT790" s="31" t="e">
        <f>VLOOKUP(AS790,[1]OUTLET!$B:$C,2,0)</f>
        <v>#N/A</v>
      </c>
      <c r="AU790" s="31"/>
      <c r="AV790" s="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55"/>
      <c r="BP790" s="40"/>
      <c r="BQ790" s="4"/>
      <c r="BR790" s="61"/>
      <c r="BS790" s="4"/>
      <c r="BT790" s="57"/>
      <c r="BU790" s="62"/>
      <c r="BV790" s="8"/>
      <c r="BW790" s="58"/>
    </row>
    <row r="791" spans="41:75" x14ac:dyDescent="0.35">
      <c r="AO791" s="39">
        <v>789</v>
      </c>
      <c r="AP791" s="62"/>
      <c r="AQ791" s="39"/>
      <c r="AR791" s="42" t="str">
        <f>IFERROR(VLOOKUP(AU791,[1]SUMMARY!$A$3:$B$7,2,FALSE),"")</f>
        <v/>
      </c>
      <c r="AS791" s="31"/>
      <c r="AT791" s="31" t="e">
        <f>VLOOKUP(AS791,[1]OUTLET!$B:$C,2,0)</f>
        <v>#N/A</v>
      </c>
      <c r="AU791" s="31"/>
      <c r="AV791" s="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55"/>
      <c r="BP791" s="40"/>
      <c r="BQ791" s="4"/>
      <c r="BR791" s="61"/>
      <c r="BS791" s="4"/>
      <c r="BT791" s="57"/>
      <c r="BU791" s="62"/>
      <c r="BV791" s="8"/>
      <c r="BW791" s="58"/>
    </row>
    <row r="792" spans="41:75" x14ac:dyDescent="0.35">
      <c r="AO792" s="39">
        <v>790</v>
      </c>
      <c r="AP792" s="62"/>
      <c r="AQ792" s="39"/>
      <c r="AR792" s="42" t="str">
        <f>IFERROR(VLOOKUP(AU792,[1]SUMMARY!$A$3:$B$7,2,FALSE),"")</f>
        <v/>
      </c>
      <c r="AS792" s="31"/>
      <c r="AT792" s="31" t="e">
        <f>VLOOKUP(AS792,[1]OUTLET!$B:$C,2,0)</f>
        <v>#N/A</v>
      </c>
      <c r="AU792" s="31"/>
      <c r="AV792" s="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55"/>
      <c r="BP792" s="40"/>
      <c r="BQ792" s="4"/>
      <c r="BR792" s="61"/>
      <c r="BS792" s="4"/>
      <c r="BT792" s="57"/>
      <c r="BU792" s="62"/>
      <c r="BV792" s="8"/>
      <c r="BW792" s="58"/>
    </row>
    <row r="793" spans="41:75" x14ac:dyDescent="0.35">
      <c r="AO793" s="39">
        <v>791</v>
      </c>
      <c r="AP793" s="62"/>
      <c r="AQ793" s="39"/>
      <c r="AR793" s="42" t="str">
        <f>IFERROR(VLOOKUP(AU793,[1]SUMMARY!$A$3:$B$7,2,FALSE),"")</f>
        <v/>
      </c>
      <c r="AS793" s="31"/>
      <c r="AT793" s="31" t="e">
        <f>VLOOKUP(AS793,[1]OUTLET!$B:$C,2,0)</f>
        <v>#N/A</v>
      </c>
      <c r="AU793" s="31"/>
      <c r="AV793" s="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55"/>
      <c r="BP793" s="40"/>
      <c r="BQ793" s="4"/>
      <c r="BR793" s="61"/>
      <c r="BS793" s="4"/>
      <c r="BT793" s="57"/>
      <c r="BU793" s="62"/>
      <c r="BV793" s="8"/>
      <c r="BW793" s="58"/>
    </row>
    <row r="794" spans="41:75" x14ac:dyDescent="0.35">
      <c r="AO794" s="39">
        <v>792</v>
      </c>
      <c r="AP794" s="62"/>
      <c r="AQ794" s="39"/>
      <c r="AR794" s="42" t="str">
        <f>IFERROR(VLOOKUP(AU794,[1]SUMMARY!$A$3:$B$7,2,FALSE),"")</f>
        <v/>
      </c>
      <c r="AS794" s="31"/>
      <c r="AT794" s="31" t="e">
        <f>VLOOKUP(AS794,[1]OUTLET!$B:$C,2,0)</f>
        <v>#N/A</v>
      </c>
      <c r="AU794" s="31"/>
      <c r="AV794" s="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55"/>
      <c r="BP794" s="40"/>
      <c r="BQ794" s="4"/>
      <c r="BR794" s="61"/>
      <c r="BS794" s="4"/>
      <c r="BT794" s="57"/>
      <c r="BU794" s="62"/>
      <c r="BV794" s="8"/>
      <c r="BW794" s="58"/>
    </row>
    <row r="795" spans="41:75" x14ac:dyDescent="0.35">
      <c r="AO795" s="39">
        <v>793</v>
      </c>
      <c r="AP795" s="62"/>
      <c r="AQ795" s="39"/>
      <c r="AR795" s="42" t="str">
        <f>IFERROR(VLOOKUP(AU795,[1]SUMMARY!$A$3:$B$7,2,FALSE),"")</f>
        <v/>
      </c>
      <c r="AS795" s="31"/>
      <c r="AT795" s="31" t="e">
        <f>VLOOKUP(AS795,[1]OUTLET!$B:$C,2,0)</f>
        <v>#N/A</v>
      </c>
      <c r="AU795" s="31"/>
      <c r="AV795" s="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55"/>
      <c r="BP795" s="40"/>
      <c r="BQ795" s="4"/>
      <c r="BR795" s="61"/>
      <c r="BS795" s="4"/>
      <c r="BT795" s="57"/>
      <c r="BU795" s="62"/>
      <c r="BV795" s="8"/>
      <c r="BW795" s="58"/>
    </row>
    <row r="796" spans="41:75" x14ac:dyDescent="0.35">
      <c r="AO796" s="39">
        <v>794</v>
      </c>
      <c r="AP796" s="62"/>
      <c r="AQ796" s="39"/>
      <c r="AR796" s="42" t="str">
        <f>IFERROR(VLOOKUP(AU796,[1]SUMMARY!$A$3:$B$7,2,FALSE),"")</f>
        <v/>
      </c>
      <c r="AS796" s="31"/>
      <c r="AT796" s="31" t="e">
        <f>VLOOKUP(AS796,[1]OUTLET!$B:$C,2,0)</f>
        <v>#N/A</v>
      </c>
      <c r="AU796" s="31"/>
      <c r="AV796" s="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55"/>
      <c r="BP796" s="40"/>
      <c r="BQ796" s="4"/>
      <c r="BR796" s="61"/>
      <c r="BS796" s="4"/>
      <c r="BT796" s="57"/>
      <c r="BU796" s="62"/>
      <c r="BV796" s="8"/>
      <c r="BW796" s="58"/>
    </row>
    <row r="797" spans="41:75" x14ac:dyDescent="0.35">
      <c r="AO797" s="39">
        <v>795</v>
      </c>
      <c r="AP797" s="62"/>
      <c r="AQ797" s="39"/>
      <c r="AR797" s="42" t="str">
        <f>IFERROR(VLOOKUP(AU797,[1]SUMMARY!$A$3:$B$7,2,FALSE),"")</f>
        <v/>
      </c>
      <c r="AS797" s="31"/>
      <c r="AT797" s="31" t="e">
        <f>VLOOKUP(AS797,[1]OUTLET!$B:$C,2,0)</f>
        <v>#N/A</v>
      </c>
      <c r="AU797" s="31"/>
      <c r="AV797" s="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55"/>
      <c r="BP797" s="40"/>
      <c r="BQ797" s="4"/>
      <c r="BR797" s="61"/>
      <c r="BS797" s="4"/>
      <c r="BT797" s="57"/>
      <c r="BU797" s="62"/>
      <c r="BV797" s="8"/>
      <c r="BW797" s="58"/>
    </row>
    <row r="798" spans="41:75" x14ac:dyDescent="0.35">
      <c r="AO798" s="39">
        <v>796</v>
      </c>
      <c r="AP798" s="62"/>
      <c r="AQ798" s="39"/>
      <c r="AR798" s="42" t="str">
        <f>IFERROR(VLOOKUP(AU798,[1]SUMMARY!$A$3:$B$7,2,FALSE),"")</f>
        <v/>
      </c>
      <c r="AS798" s="31"/>
      <c r="AT798" s="31" t="e">
        <f>VLOOKUP(AS798,[1]OUTLET!$B:$C,2,0)</f>
        <v>#N/A</v>
      </c>
      <c r="AU798" s="31"/>
      <c r="AV798" s="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55"/>
      <c r="BP798" s="40"/>
      <c r="BQ798" s="4"/>
      <c r="BR798" s="61"/>
      <c r="BS798" s="4"/>
      <c r="BT798" s="57"/>
      <c r="BU798" s="62"/>
      <c r="BV798" s="8"/>
      <c r="BW798" s="58"/>
    </row>
    <row r="799" spans="41:75" x14ac:dyDescent="0.35">
      <c r="AO799" s="39">
        <v>797</v>
      </c>
      <c r="AP799" s="62"/>
      <c r="AQ799" s="39"/>
      <c r="AR799" s="42" t="str">
        <f>IFERROR(VLOOKUP(AU799,[1]SUMMARY!$A$3:$B$7,2,FALSE),"")</f>
        <v/>
      </c>
      <c r="AS799" s="31"/>
      <c r="AT799" s="31" t="e">
        <f>VLOOKUP(AS799,[1]OUTLET!$B:$C,2,0)</f>
        <v>#N/A</v>
      </c>
      <c r="AU799" s="31"/>
      <c r="AV799" s="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55"/>
      <c r="BP799" s="40"/>
      <c r="BQ799" s="4"/>
      <c r="BR799" s="61"/>
      <c r="BS799" s="4"/>
      <c r="BT799" s="57"/>
      <c r="BU799" s="62"/>
      <c r="BV799" s="8"/>
      <c r="BW799" s="58"/>
    </row>
    <row r="800" spans="41:75" x14ac:dyDescent="0.35">
      <c r="AO800" s="39">
        <v>798</v>
      </c>
      <c r="AP800" s="62"/>
      <c r="AQ800" s="39"/>
      <c r="AR800" s="42" t="str">
        <f>IFERROR(VLOOKUP(AU800,[1]SUMMARY!$A$3:$B$7,2,FALSE),"")</f>
        <v/>
      </c>
      <c r="AS800" s="31"/>
      <c r="AT800" s="31" t="e">
        <f>VLOOKUP(AS800,[1]OUTLET!$B:$C,2,0)</f>
        <v>#N/A</v>
      </c>
      <c r="AU800" s="31"/>
      <c r="AV800" s="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55"/>
      <c r="BP800" s="40"/>
      <c r="BQ800" s="4"/>
      <c r="BR800" s="61"/>
      <c r="BS800" s="4"/>
      <c r="BT800" s="57"/>
      <c r="BU800" s="62"/>
      <c r="BV800" s="8"/>
      <c r="BW800" s="58"/>
    </row>
    <row r="801" spans="41:75" x14ac:dyDescent="0.35">
      <c r="AO801" s="39">
        <v>799</v>
      </c>
      <c r="AP801" s="62"/>
      <c r="AQ801" s="39"/>
      <c r="AR801" s="42" t="str">
        <f>IFERROR(VLOOKUP(AU801,[1]SUMMARY!$A$3:$B$7,2,FALSE),"")</f>
        <v/>
      </c>
      <c r="AS801" s="31"/>
      <c r="AT801" s="31" t="e">
        <f>VLOOKUP(AS801,[1]OUTLET!$B:$C,2,0)</f>
        <v>#N/A</v>
      </c>
      <c r="AU801" s="31"/>
      <c r="AV801" s="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55"/>
      <c r="BP801" s="40"/>
      <c r="BQ801" s="4"/>
      <c r="BR801" s="61"/>
      <c r="BS801" s="4"/>
      <c r="BT801" s="57"/>
      <c r="BU801" s="62"/>
      <c r="BV801" s="8"/>
      <c r="BW801" s="58"/>
    </row>
    <row r="802" spans="41:75" x14ac:dyDescent="0.35">
      <c r="AO802" s="39">
        <v>800</v>
      </c>
      <c r="AP802" s="62"/>
      <c r="AQ802" s="39"/>
      <c r="AR802" s="42" t="str">
        <f>IFERROR(VLOOKUP(AU802,[1]SUMMARY!$A$3:$B$7,2,FALSE),"")</f>
        <v/>
      </c>
      <c r="AS802" s="31"/>
      <c r="AT802" s="31" t="e">
        <f>VLOOKUP(AS802,[1]OUTLET!$B:$C,2,0)</f>
        <v>#N/A</v>
      </c>
      <c r="AU802" s="31"/>
      <c r="AV802" s="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55"/>
      <c r="BP802" s="40"/>
      <c r="BQ802" s="4"/>
      <c r="BR802" s="61"/>
      <c r="BS802" s="4"/>
      <c r="BT802" s="57"/>
      <c r="BU802" s="62"/>
      <c r="BV802" s="8"/>
      <c r="BW802" s="58"/>
    </row>
    <row r="803" spans="41:75" x14ac:dyDescent="0.35">
      <c r="AO803" s="39">
        <v>801</v>
      </c>
      <c r="AP803" s="62"/>
      <c r="AQ803" s="39"/>
      <c r="AR803" s="42" t="str">
        <f>IFERROR(VLOOKUP(AU803,[1]SUMMARY!$A$3:$B$7,2,FALSE),"")</f>
        <v/>
      </c>
      <c r="AS803" s="31"/>
      <c r="AT803" s="31" t="e">
        <f>VLOOKUP(AS803,[1]OUTLET!$B:$C,2,0)</f>
        <v>#N/A</v>
      </c>
      <c r="AU803" s="31"/>
      <c r="AV803" s="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55"/>
      <c r="BP803" s="40"/>
      <c r="BQ803" s="4"/>
      <c r="BR803" s="61"/>
      <c r="BS803" s="4"/>
      <c r="BT803" s="57"/>
      <c r="BU803" s="62"/>
      <c r="BV803" s="8"/>
      <c r="BW803" s="58"/>
    </row>
    <row r="804" spans="41:75" x14ac:dyDescent="0.35">
      <c r="AO804" s="39">
        <v>802</v>
      </c>
      <c r="AP804" s="62"/>
      <c r="AQ804" s="39"/>
      <c r="AR804" s="42" t="str">
        <f>IFERROR(VLOOKUP(AU804,[1]SUMMARY!$A$3:$B$7,2,FALSE),"")</f>
        <v/>
      </c>
      <c r="AS804" s="31"/>
      <c r="AT804" s="31" t="e">
        <f>VLOOKUP(AS804,[1]OUTLET!$B:$C,2,0)</f>
        <v>#N/A</v>
      </c>
      <c r="AU804" s="31"/>
      <c r="AV804" s="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55"/>
      <c r="BP804" s="40"/>
      <c r="BQ804" s="4"/>
      <c r="BR804" s="61"/>
      <c r="BS804" s="4"/>
      <c r="BT804" s="57"/>
      <c r="BU804" s="62"/>
      <c r="BV804" s="8"/>
      <c r="BW804" s="58"/>
    </row>
    <row r="805" spans="41:75" x14ac:dyDescent="0.35">
      <c r="AO805" s="39">
        <v>803</v>
      </c>
      <c r="AP805" s="62"/>
      <c r="AQ805" s="39"/>
      <c r="AR805" s="42" t="str">
        <f>IFERROR(VLOOKUP(AU805,[1]SUMMARY!$A$3:$B$7,2,FALSE),"")</f>
        <v/>
      </c>
      <c r="AS805" s="31"/>
      <c r="AT805" s="31" t="e">
        <f>VLOOKUP(AS805,[1]OUTLET!$B:$C,2,0)</f>
        <v>#N/A</v>
      </c>
      <c r="AU805" s="31"/>
      <c r="AV805" s="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55"/>
      <c r="BP805" s="40"/>
      <c r="BQ805" s="4"/>
      <c r="BR805" s="61"/>
      <c r="BS805" s="4"/>
      <c r="BT805" s="57"/>
      <c r="BU805" s="62"/>
      <c r="BV805" s="8"/>
      <c r="BW805" s="58"/>
    </row>
    <row r="806" spans="41:75" x14ac:dyDescent="0.35">
      <c r="AO806" s="39">
        <v>804</v>
      </c>
      <c r="AP806" s="62"/>
      <c r="AQ806" s="39"/>
      <c r="AR806" s="42" t="str">
        <f>IFERROR(VLOOKUP(AU806,[1]SUMMARY!$A$3:$B$7,2,FALSE),"")</f>
        <v/>
      </c>
      <c r="AS806" s="31"/>
      <c r="AT806" s="31" t="e">
        <f>VLOOKUP(AS806,[1]OUTLET!$B:$C,2,0)</f>
        <v>#N/A</v>
      </c>
      <c r="AU806" s="31"/>
      <c r="AV806" s="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55"/>
      <c r="BP806" s="40"/>
      <c r="BQ806" s="4"/>
      <c r="BR806" s="61"/>
      <c r="BS806" s="4"/>
      <c r="BT806" s="57"/>
      <c r="BU806" s="62"/>
      <c r="BV806" s="8"/>
      <c r="BW806" s="58"/>
    </row>
    <row r="807" spans="41:75" x14ac:dyDescent="0.35">
      <c r="AO807" s="39">
        <v>805</v>
      </c>
      <c r="AP807" s="62"/>
      <c r="AQ807" s="39"/>
      <c r="AR807" s="42" t="str">
        <f>IFERROR(VLOOKUP(AU807,[1]SUMMARY!$A$3:$B$7,2,FALSE),"")</f>
        <v/>
      </c>
      <c r="AS807" s="31"/>
      <c r="AT807" s="31" t="e">
        <f>VLOOKUP(AS807,[1]OUTLET!$B:$C,2,0)</f>
        <v>#N/A</v>
      </c>
      <c r="AU807" s="31"/>
      <c r="AV807" s="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55"/>
      <c r="BP807" s="40"/>
      <c r="BQ807" s="4"/>
      <c r="BR807" s="61"/>
      <c r="BS807" s="4"/>
      <c r="BT807" s="57"/>
      <c r="BU807" s="62"/>
      <c r="BV807" s="8"/>
      <c r="BW807" s="58"/>
    </row>
    <row r="808" spans="41:75" x14ac:dyDescent="0.35">
      <c r="AO808" s="39">
        <v>806</v>
      </c>
      <c r="AP808" s="62"/>
      <c r="AQ808" s="39"/>
      <c r="AR808" s="42" t="str">
        <f>IFERROR(VLOOKUP(AU808,[1]SUMMARY!$A$3:$B$7,2,FALSE),"")</f>
        <v/>
      </c>
      <c r="AS808" s="31"/>
      <c r="AT808" s="31" t="e">
        <f>VLOOKUP(AS808,[1]OUTLET!$B:$C,2,0)</f>
        <v>#N/A</v>
      </c>
      <c r="AU808" s="31"/>
      <c r="AV808" s="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55"/>
      <c r="BP808" s="40"/>
      <c r="BQ808" s="4"/>
      <c r="BR808" s="61"/>
      <c r="BS808" s="4"/>
      <c r="BT808" s="57"/>
      <c r="BU808" s="62"/>
      <c r="BV808" s="8"/>
      <c r="BW808" s="58"/>
    </row>
    <row r="809" spans="41:75" x14ac:dyDescent="0.35">
      <c r="AO809" s="39">
        <v>807</v>
      </c>
      <c r="AP809" s="62"/>
      <c r="AQ809" s="39"/>
      <c r="AR809" s="42" t="str">
        <f>IFERROR(VLOOKUP(AU809,[1]SUMMARY!$A$3:$B$7,2,FALSE),"")</f>
        <v/>
      </c>
      <c r="AS809" s="31"/>
      <c r="AT809" s="31" t="e">
        <f>VLOOKUP(AS809,[1]OUTLET!$B:$C,2,0)</f>
        <v>#N/A</v>
      </c>
      <c r="AU809" s="31"/>
      <c r="AV809" s="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55"/>
      <c r="BP809" s="40"/>
      <c r="BQ809" s="4"/>
      <c r="BR809" s="61"/>
      <c r="BS809" s="4"/>
      <c r="BT809" s="57"/>
      <c r="BU809" s="62"/>
      <c r="BV809" s="8"/>
      <c r="BW809" s="58"/>
    </row>
    <row r="810" spans="41:75" x14ac:dyDescent="0.35">
      <c r="AO810" s="39">
        <v>808</v>
      </c>
      <c r="AP810" s="62"/>
      <c r="AQ810" s="39"/>
      <c r="AR810" s="42" t="str">
        <f>IFERROR(VLOOKUP(AU810,[1]SUMMARY!$A$3:$B$7,2,FALSE),"")</f>
        <v/>
      </c>
      <c r="AS810" s="31"/>
      <c r="AT810" s="31" t="e">
        <f>VLOOKUP(AS810,[1]OUTLET!$B:$C,2,0)</f>
        <v>#N/A</v>
      </c>
      <c r="AU810" s="31"/>
      <c r="AV810" s="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55"/>
      <c r="BP810" s="40"/>
      <c r="BQ810" s="4"/>
      <c r="BR810" s="61"/>
      <c r="BS810" s="4"/>
      <c r="BT810" s="57"/>
      <c r="BU810" s="62"/>
      <c r="BV810" s="8"/>
      <c r="BW810" s="58"/>
    </row>
    <row r="811" spans="41:75" x14ac:dyDescent="0.35">
      <c r="AO811" s="39">
        <v>809</v>
      </c>
      <c r="AP811" s="62"/>
      <c r="AQ811" s="39"/>
      <c r="AR811" s="42" t="str">
        <f>IFERROR(VLOOKUP(AU811,[1]SUMMARY!$A$3:$B$7,2,FALSE),"")</f>
        <v/>
      </c>
      <c r="AS811" s="31"/>
      <c r="AT811" s="31" t="e">
        <f>VLOOKUP(AS811,[1]OUTLET!$B:$C,2,0)</f>
        <v>#N/A</v>
      </c>
      <c r="AU811" s="31"/>
      <c r="AV811" s="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55"/>
      <c r="BP811" s="40"/>
      <c r="BQ811" s="4"/>
      <c r="BR811" s="61"/>
      <c r="BS811" s="4"/>
      <c r="BT811" s="57"/>
      <c r="BU811" s="62"/>
      <c r="BV811" s="8"/>
      <c r="BW811" s="58"/>
    </row>
    <row r="812" spans="41:75" x14ac:dyDescent="0.35">
      <c r="AO812" s="39">
        <v>810</v>
      </c>
      <c r="AP812" s="62"/>
      <c r="AQ812" s="39"/>
      <c r="AR812" s="42" t="str">
        <f>IFERROR(VLOOKUP(AU812,[1]SUMMARY!$A$3:$B$7,2,FALSE),"")</f>
        <v/>
      </c>
      <c r="AS812" s="31"/>
      <c r="AT812" s="31" t="e">
        <f>VLOOKUP(AS812,[1]OUTLET!$B:$C,2,0)</f>
        <v>#N/A</v>
      </c>
      <c r="AU812" s="31"/>
      <c r="AV812" s="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55"/>
      <c r="BP812" s="40"/>
      <c r="BQ812" s="4"/>
      <c r="BR812" s="61"/>
      <c r="BS812" s="4"/>
      <c r="BT812" s="57"/>
      <c r="BU812" s="62"/>
      <c r="BV812" s="8"/>
      <c r="BW812" s="58"/>
    </row>
    <row r="813" spans="41:75" x14ac:dyDescent="0.35">
      <c r="AO813" s="39">
        <v>811</v>
      </c>
      <c r="AP813" s="62"/>
      <c r="AQ813" s="39"/>
      <c r="AR813" s="42" t="str">
        <f>IFERROR(VLOOKUP(AU813,[1]SUMMARY!$A$3:$B$7,2,FALSE),"")</f>
        <v/>
      </c>
      <c r="AS813" s="31"/>
      <c r="AT813" s="31" t="e">
        <f>VLOOKUP(AS813,[1]OUTLET!$B:$C,2,0)</f>
        <v>#N/A</v>
      </c>
      <c r="AU813" s="31"/>
      <c r="AV813" s="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55"/>
      <c r="BP813" s="40"/>
      <c r="BQ813" s="4"/>
      <c r="BR813" s="61"/>
      <c r="BS813" s="4"/>
      <c r="BT813" s="57"/>
      <c r="BU813" s="62"/>
      <c r="BV813" s="8"/>
      <c r="BW813" s="58"/>
    </row>
    <row r="814" spans="41:75" x14ac:dyDescent="0.35">
      <c r="AO814" s="39">
        <v>812</v>
      </c>
      <c r="AP814" s="62"/>
      <c r="AQ814" s="39"/>
      <c r="AR814" s="42" t="str">
        <f>IFERROR(VLOOKUP(AU814,[1]SUMMARY!$A$3:$B$7,2,FALSE),"")</f>
        <v/>
      </c>
      <c r="AS814" s="31"/>
      <c r="AT814" s="31" t="e">
        <f>VLOOKUP(AS814,[1]OUTLET!$B:$C,2,0)</f>
        <v>#N/A</v>
      </c>
      <c r="AU814" s="31"/>
      <c r="AV814" s="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55"/>
      <c r="BP814" s="40"/>
      <c r="BQ814" s="4"/>
      <c r="BR814" s="61"/>
      <c r="BS814" s="4"/>
      <c r="BT814" s="57"/>
      <c r="BU814" s="62"/>
      <c r="BV814" s="8"/>
      <c r="BW814" s="58"/>
    </row>
    <row r="815" spans="41:75" x14ac:dyDescent="0.35">
      <c r="AO815" s="39">
        <v>813</v>
      </c>
      <c r="AP815" s="62"/>
      <c r="AQ815" s="39"/>
      <c r="AR815" s="42" t="str">
        <f>IFERROR(VLOOKUP(AU815,[1]SUMMARY!$A$3:$B$7,2,FALSE),"")</f>
        <v/>
      </c>
      <c r="AS815" s="31"/>
      <c r="AT815" s="31" t="e">
        <f>VLOOKUP(AS815,[1]OUTLET!$B:$C,2,0)</f>
        <v>#N/A</v>
      </c>
      <c r="AU815" s="31"/>
      <c r="AV815" s="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55"/>
      <c r="BP815" s="40"/>
      <c r="BQ815" s="4"/>
      <c r="BR815" s="61"/>
      <c r="BS815" s="4"/>
      <c r="BT815" s="57"/>
      <c r="BU815" s="62"/>
      <c r="BV815" s="8"/>
      <c r="BW815" s="58"/>
    </row>
    <row r="816" spans="41:75" x14ac:dyDescent="0.35">
      <c r="AO816" s="39">
        <v>814</v>
      </c>
      <c r="AP816" s="62"/>
      <c r="AQ816" s="39"/>
      <c r="AR816" s="42" t="str">
        <f>IFERROR(VLOOKUP(AU816,[1]SUMMARY!$A$3:$B$7,2,FALSE),"")</f>
        <v/>
      </c>
      <c r="AS816" s="31"/>
      <c r="AT816" s="31" t="e">
        <f>VLOOKUP(AS816,[1]OUTLET!$B:$C,2,0)</f>
        <v>#N/A</v>
      </c>
      <c r="AU816" s="31"/>
      <c r="AV816" s="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55"/>
      <c r="BP816" s="40"/>
      <c r="BQ816" s="4"/>
      <c r="BR816" s="61"/>
      <c r="BS816" s="4"/>
      <c r="BT816" s="57"/>
      <c r="BU816" s="62"/>
      <c r="BV816" s="8"/>
      <c r="BW816" s="58"/>
    </row>
    <row r="817" spans="41:75" x14ac:dyDescent="0.35">
      <c r="AO817" s="39">
        <v>815</v>
      </c>
      <c r="AP817" s="62"/>
      <c r="AQ817" s="39"/>
      <c r="AR817" s="42" t="str">
        <f>IFERROR(VLOOKUP(AU817,[1]SUMMARY!$A$3:$B$7,2,FALSE),"")</f>
        <v/>
      </c>
      <c r="AS817" s="31"/>
      <c r="AT817" s="31" t="e">
        <f>VLOOKUP(AS817,[1]OUTLET!$B:$C,2,0)</f>
        <v>#N/A</v>
      </c>
      <c r="AU817" s="31"/>
      <c r="AV817" s="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55"/>
      <c r="BP817" s="40"/>
      <c r="BQ817" s="4"/>
      <c r="BR817" s="61"/>
      <c r="BS817" s="4"/>
      <c r="BT817" s="57"/>
      <c r="BU817" s="62"/>
      <c r="BV817" s="8"/>
      <c r="BW817" s="58"/>
    </row>
    <row r="818" spans="41:75" x14ac:dyDescent="0.35">
      <c r="AO818" s="39">
        <v>816</v>
      </c>
      <c r="AP818" s="62"/>
      <c r="AQ818" s="39"/>
      <c r="AR818" s="42" t="str">
        <f>IFERROR(VLOOKUP(AU818,[1]SUMMARY!$A$3:$B$7,2,FALSE),"")</f>
        <v/>
      </c>
      <c r="AS818" s="31"/>
      <c r="AT818" s="31" t="e">
        <f>VLOOKUP(AS818,[1]OUTLET!$B:$C,2,0)</f>
        <v>#N/A</v>
      </c>
      <c r="AU818" s="31"/>
      <c r="AV818" s="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55"/>
      <c r="BP818" s="40"/>
      <c r="BQ818" s="4"/>
      <c r="BR818" s="61"/>
      <c r="BS818" s="4"/>
      <c r="BT818" s="57"/>
      <c r="BU818" s="62"/>
      <c r="BV818" s="8"/>
      <c r="BW818" s="58"/>
    </row>
    <row r="819" spans="41:75" x14ac:dyDescent="0.35">
      <c r="AO819" s="39">
        <v>817</v>
      </c>
      <c r="AP819" s="62"/>
      <c r="AQ819" s="39"/>
      <c r="AR819" s="42" t="str">
        <f>IFERROR(VLOOKUP(AU819,[1]SUMMARY!$A$3:$B$7,2,FALSE),"")</f>
        <v/>
      </c>
      <c r="AS819" s="31"/>
      <c r="AT819" s="31" t="e">
        <f>VLOOKUP(AS819,[1]OUTLET!$B:$C,2,0)</f>
        <v>#N/A</v>
      </c>
      <c r="AU819" s="31"/>
      <c r="AV819" s="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55"/>
      <c r="BP819" s="40"/>
      <c r="BQ819" s="4"/>
      <c r="BR819" s="61"/>
      <c r="BS819" s="4"/>
      <c r="BT819" s="57"/>
      <c r="BU819" s="62"/>
      <c r="BV819" s="8"/>
      <c r="BW819" s="58"/>
    </row>
    <row r="820" spans="41:75" x14ac:dyDescent="0.35">
      <c r="AO820" s="39">
        <v>818</v>
      </c>
      <c r="AP820" s="62"/>
      <c r="AQ820" s="39"/>
      <c r="AR820" s="42" t="str">
        <f>IFERROR(VLOOKUP(AU820,[1]SUMMARY!$A$3:$B$7,2,FALSE),"")</f>
        <v/>
      </c>
      <c r="AS820" s="31"/>
      <c r="AT820" s="31" t="e">
        <f>VLOOKUP(AS820,[1]OUTLET!$B:$C,2,0)</f>
        <v>#N/A</v>
      </c>
      <c r="AU820" s="31"/>
      <c r="AV820" s="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55"/>
      <c r="BP820" s="40"/>
      <c r="BQ820" s="4"/>
      <c r="BR820" s="61"/>
      <c r="BS820" s="4"/>
      <c r="BT820" s="57"/>
      <c r="BU820" s="62"/>
      <c r="BV820" s="8"/>
      <c r="BW820" s="58"/>
    </row>
    <row r="821" spans="41:75" x14ac:dyDescent="0.35">
      <c r="AO821" s="39">
        <v>819</v>
      </c>
      <c r="AP821" s="62"/>
      <c r="AQ821" s="39"/>
      <c r="AR821" s="42" t="str">
        <f>IFERROR(VLOOKUP(AU821,[1]SUMMARY!$A$3:$B$7,2,FALSE),"")</f>
        <v/>
      </c>
      <c r="AS821" s="31"/>
      <c r="AT821" s="31" t="e">
        <f>VLOOKUP(AS821,[1]OUTLET!$B:$C,2,0)</f>
        <v>#N/A</v>
      </c>
      <c r="AU821" s="31"/>
      <c r="AV821" s="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55"/>
      <c r="BP821" s="40"/>
      <c r="BQ821" s="4"/>
      <c r="BR821" s="61"/>
      <c r="BS821" s="4"/>
      <c r="BT821" s="57"/>
      <c r="BU821" s="62"/>
      <c r="BV821" s="8"/>
      <c r="BW821" s="58"/>
    </row>
    <row r="822" spans="41:75" x14ac:dyDescent="0.35">
      <c r="AO822" s="39">
        <v>820</v>
      </c>
      <c r="AP822" s="62"/>
      <c r="AQ822" s="39"/>
      <c r="AR822" s="42" t="str">
        <f>IFERROR(VLOOKUP(AU822,[1]SUMMARY!$A$3:$B$7,2,FALSE),"")</f>
        <v/>
      </c>
      <c r="AS822" s="31"/>
      <c r="AT822" s="31" t="e">
        <f>VLOOKUP(AS822,[1]OUTLET!$B:$C,2,0)</f>
        <v>#N/A</v>
      </c>
      <c r="AU822" s="31"/>
      <c r="AV822" s="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55"/>
      <c r="BP822" s="40"/>
      <c r="BQ822" s="4"/>
      <c r="BR822" s="61"/>
      <c r="BS822" s="4"/>
      <c r="BT822" s="57"/>
      <c r="BU822" s="62"/>
      <c r="BV822" s="8"/>
      <c r="BW822" s="58"/>
    </row>
    <row r="823" spans="41:75" x14ac:dyDescent="0.35">
      <c r="AO823" s="39">
        <v>821</v>
      </c>
      <c r="AP823" s="62"/>
      <c r="AQ823" s="39"/>
      <c r="AR823" s="42" t="str">
        <f>IFERROR(VLOOKUP(AU823,[1]SUMMARY!$A$3:$B$7,2,FALSE),"")</f>
        <v/>
      </c>
      <c r="AS823" s="31"/>
      <c r="AT823" s="31" t="e">
        <f>VLOOKUP(AS823,[1]OUTLET!$B:$C,2,0)</f>
        <v>#N/A</v>
      </c>
      <c r="AU823" s="31"/>
      <c r="AV823" s="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55"/>
      <c r="BP823" s="40"/>
      <c r="BQ823" s="4"/>
      <c r="BR823" s="61"/>
      <c r="BS823" s="4"/>
      <c r="BT823" s="57"/>
      <c r="BU823" s="62"/>
      <c r="BV823" s="8"/>
      <c r="BW823" s="58"/>
    </row>
    <row r="824" spans="41:75" x14ac:dyDescent="0.35">
      <c r="AO824" s="39">
        <v>822</v>
      </c>
      <c r="AP824" s="62"/>
      <c r="AQ824" s="39"/>
      <c r="AR824" s="42" t="str">
        <f>IFERROR(VLOOKUP(AU824,[1]SUMMARY!$A$3:$B$7,2,FALSE),"")</f>
        <v/>
      </c>
      <c r="AS824" s="31"/>
      <c r="AT824" s="31" t="e">
        <f>VLOOKUP(AS824,[1]OUTLET!$B:$C,2,0)</f>
        <v>#N/A</v>
      </c>
      <c r="AU824" s="31"/>
      <c r="AV824" s="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55"/>
      <c r="BP824" s="40"/>
      <c r="BQ824" s="4"/>
      <c r="BR824" s="61"/>
      <c r="BS824" s="4"/>
      <c r="BT824" s="57"/>
      <c r="BU824" s="62"/>
      <c r="BV824" s="8"/>
      <c r="BW824" s="58"/>
    </row>
    <row r="825" spans="41:75" x14ac:dyDescent="0.35">
      <c r="AO825" s="39">
        <v>823</v>
      </c>
      <c r="AP825" s="62"/>
      <c r="AQ825" s="39"/>
      <c r="AR825" s="42" t="str">
        <f>IFERROR(VLOOKUP(AU825,[1]SUMMARY!$A$3:$B$7,2,FALSE),"")</f>
        <v/>
      </c>
      <c r="AS825" s="31"/>
      <c r="AT825" s="31" t="e">
        <f>VLOOKUP(AS825,[1]OUTLET!$B:$C,2,0)</f>
        <v>#N/A</v>
      </c>
      <c r="AU825" s="31"/>
      <c r="AV825" s="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55"/>
      <c r="BP825" s="40"/>
      <c r="BQ825" s="4"/>
      <c r="BR825" s="61"/>
      <c r="BS825" s="4"/>
      <c r="BT825" s="57"/>
      <c r="BU825" s="62"/>
      <c r="BV825" s="8"/>
      <c r="BW825" s="58"/>
    </row>
    <row r="826" spans="41:75" x14ac:dyDescent="0.35">
      <c r="AO826" s="39">
        <v>824</v>
      </c>
      <c r="AP826" s="62"/>
      <c r="AQ826" s="39"/>
      <c r="AR826" s="42" t="str">
        <f>IFERROR(VLOOKUP(AU826,[1]SUMMARY!$A$3:$B$7,2,FALSE),"")</f>
        <v/>
      </c>
      <c r="AS826" s="31"/>
      <c r="AT826" s="31" t="e">
        <f>VLOOKUP(AS826,[1]OUTLET!$B:$C,2,0)</f>
        <v>#N/A</v>
      </c>
      <c r="AU826" s="31"/>
      <c r="AV826" s="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55"/>
      <c r="BP826" s="40"/>
      <c r="BQ826" s="4"/>
      <c r="BR826" s="61"/>
      <c r="BS826" s="4"/>
      <c r="BT826" s="57"/>
      <c r="BU826" s="62"/>
      <c r="BV826" s="8"/>
      <c r="BW826" s="58"/>
    </row>
    <row r="827" spans="41:75" x14ac:dyDescent="0.35">
      <c r="AO827" s="39">
        <v>825</v>
      </c>
      <c r="AP827" s="62"/>
      <c r="AQ827" s="39"/>
      <c r="AR827" s="42" t="str">
        <f>IFERROR(VLOOKUP(AU827,[1]SUMMARY!$A$3:$B$7,2,FALSE),"")</f>
        <v/>
      </c>
      <c r="AS827" s="31"/>
      <c r="AT827" s="31" t="e">
        <f>VLOOKUP(AS827,[1]OUTLET!$B:$C,2,0)</f>
        <v>#N/A</v>
      </c>
      <c r="AU827" s="31"/>
      <c r="AV827" s="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55"/>
      <c r="BP827" s="40"/>
      <c r="BQ827" s="4"/>
      <c r="BR827" s="61"/>
      <c r="BS827" s="4"/>
      <c r="BT827" s="57"/>
      <c r="BU827" s="62"/>
      <c r="BV827" s="8"/>
      <c r="BW827" s="58"/>
    </row>
    <row r="828" spans="41:75" x14ac:dyDescent="0.35">
      <c r="AO828" s="39">
        <v>826</v>
      </c>
      <c r="AP828" s="62"/>
      <c r="AQ828" s="39"/>
      <c r="AR828" s="42" t="str">
        <f>IFERROR(VLOOKUP(AU828,[1]SUMMARY!$A$3:$B$7,2,FALSE),"")</f>
        <v/>
      </c>
      <c r="AS828" s="31"/>
      <c r="AT828" s="31" t="e">
        <f>VLOOKUP(AS828,[1]OUTLET!$B:$C,2,0)</f>
        <v>#N/A</v>
      </c>
      <c r="AU828" s="31"/>
      <c r="AV828" s="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55"/>
      <c r="BP828" s="40"/>
      <c r="BQ828" s="4"/>
      <c r="BR828" s="61"/>
      <c r="BS828" s="4"/>
      <c r="BT828" s="57"/>
      <c r="BU828" s="62"/>
      <c r="BV828" s="8"/>
      <c r="BW828" s="58"/>
    </row>
    <row r="829" spans="41:75" x14ac:dyDescent="0.35">
      <c r="AO829" s="39">
        <v>827</v>
      </c>
      <c r="AP829" s="62"/>
      <c r="AQ829" s="39"/>
      <c r="AR829" s="42" t="str">
        <f>IFERROR(VLOOKUP(AU829,[1]SUMMARY!$A$3:$B$7,2,FALSE),"")</f>
        <v/>
      </c>
      <c r="AS829" s="31"/>
      <c r="AT829" s="31" t="e">
        <f>VLOOKUP(AS829,[1]OUTLET!$B:$C,2,0)</f>
        <v>#N/A</v>
      </c>
      <c r="AU829" s="31"/>
      <c r="AV829" s="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55"/>
      <c r="BP829" s="40"/>
      <c r="BQ829" s="4"/>
      <c r="BR829" s="61"/>
      <c r="BS829" s="4"/>
      <c r="BT829" s="57"/>
      <c r="BU829" s="62"/>
      <c r="BV829" s="8"/>
      <c r="BW829" s="58"/>
    </row>
    <row r="830" spans="41:75" x14ac:dyDescent="0.35">
      <c r="AO830" s="39">
        <v>828</v>
      </c>
      <c r="AP830" s="62"/>
      <c r="AQ830" s="39"/>
      <c r="AR830" s="42" t="str">
        <f>IFERROR(VLOOKUP(AU830,[1]SUMMARY!$A$3:$B$7,2,FALSE),"")</f>
        <v/>
      </c>
      <c r="AS830" s="31"/>
      <c r="AT830" s="31" t="e">
        <f>VLOOKUP(AS830,[1]OUTLET!$B:$C,2,0)</f>
        <v>#N/A</v>
      </c>
      <c r="AU830" s="31"/>
      <c r="AV830" s="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55"/>
      <c r="BP830" s="40"/>
      <c r="BQ830" s="4"/>
      <c r="BR830" s="61"/>
      <c r="BS830" s="4"/>
      <c r="BT830" s="57"/>
      <c r="BU830" s="62"/>
      <c r="BV830" s="8"/>
      <c r="BW830" s="58"/>
    </row>
    <row r="831" spans="41:75" x14ac:dyDescent="0.35">
      <c r="AO831" s="39">
        <v>829</v>
      </c>
      <c r="AP831" s="62"/>
      <c r="AQ831" s="39"/>
      <c r="AR831" s="42" t="str">
        <f>IFERROR(VLOOKUP(AU831,[1]SUMMARY!$A$3:$B$7,2,FALSE),"")</f>
        <v/>
      </c>
      <c r="AS831" s="31"/>
      <c r="AT831" s="31" t="e">
        <f>VLOOKUP(AS831,[1]OUTLET!$B:$C,2,0)</f>
        <v>#N/A</v>
      </c>
      <c r="AU831" s="31"/>
      <c r="AV831" s="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55"/>
      <c r="BP831" s="40"/>
      <c r="BQ831" s="4"/>
      <c r="BR831" s="61"/>
      <c r="BS831" s="4"/>
      <c r="BT831" s="57"/>
      <c r="BU831" s="62"/>
      <c r="BV831" s="8"/>
      <c r="BW831" s="58"/>
    </row>
    <row r="832" spans="41:75" x14ac:dyDescent="0.35">
      <c r="AO832" s="39">
        <v>830</v>
      </c>
      <c r="AP832" s="62"/>
      <c r="AQ832" s="39"/>
      <c r="AR832" s="42" t="str">
        <f>IFERROR(VLOOKUP(AU832,[1]SUMMARY!$A$3:$B$7,2,FALSE),"")</f>
        <v/>
      </c>
      <c r="AS832" s="31"/>
      <c r="AT832" s="31" t="e">
        <f>VLOOKUP(AS832,[1]OUTLET!$B:$C,2,0)</f>
        <v>#N/A</v>
      </c>
      <c r="AU832" s="31"/>
      <c r="AV832" s="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55"/>
      <c r="BP832" s="40"/>
      <c r="BQ832" s="4"/>
      <c r="BR832" s="61"/>
      <c r="BS832" s="4"/>
      <c r="BT832" s="57"/>
      <c r="BU832" s="62"/>
      <c r="BV832" s="8"/>
      <c r="BW832" s="58"/>
    </row>
    <row r="833" spans="41:75" x14ac:dyDescent="0.35">
      <c r="AO833" s="39">
        <v>831</v>
      </c>
      <c r="AP833" s="62"/>
      <c r="AQ833" s="39"/>
      <c r="AR833" s="42" t="str">
        <f>IFERROR(VLOOKUP(AU833,[1]SUMMARY!$A$3:$B$7,2,FALSE),"")</f>
        <v/>
      </c>
      <c r="AS833" s="31"/>
      <c r="AT833" s="31" t="e">
        <f>VLOOKUP(AS833,[1]OUTLET!$B:$C,2,0)</f>
        <v>#N/A</v>
      </c>
      <c r="AU833" s="31"/>
      <c r="AV833" s="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55"/>
      <c r="BP833" s="40"/>
      <c r="BQ833" s="4"/>
      <c r="BR833" s="61"/>
      <c r="BS833" s="4"/>
      <c r="BT833" s="57"/>
      <c r="BU833" s="62"/>
      <c r="BV833" s="8"/>
      <c r="BW833" s="58"/>
    </row>
    <row r="834" spans="41:75" x14ac:dyDescent="0.35">
      <c r="AO834" s="39">
        <v>832</v>
      </c>
      <c r="AP834" s="62"/>
      <c r="AQ834" s="39"/>
      <c r="AR834" s="42" t="str">
        <f>IFERROR(VLOOKUP(AU834,[1]SUMMARY!$A$3:$B$7,2,FALSE),"")</f>
        <v/>
      </c>
      <c r="AS834" s="31"/>
      <c r="AT834" s="31" t="e">
        <f>VLOOKUP(AS834,[1]OUTLET!$B:$C,2,0)</f>
        <v>#N/A</v>
      </c>
      <c r="AU834" s="31"/>
      <c r="AV834" s="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55"/>
      <c r="BP834" s="40"/>
      <c r="BQ834" s="4"/>
      <c r="BR834" s="61"/>
      <c r="BS834" s="4"/>
      <c r="BT834" s="57"/>
      <c r="BU834" s="62"/>
      <c r="BV834" s="8"/>
      <c r="BW834" s="58"/>
    </row>
    <row r="835" spans="41:75" x14ac:dyDescent="0.35">
      <c r="AO835" s="39">
        <v>833</v>
      </c>
      <c r="AP835" s="62"/>
      <c r="AQ835" s="39"/>
      <c r="AR835" s="42" t="str">
        <f>IFERROR(VLOOKUP(AU835,[1]SUMMARY!$A$3:$B$7,2,FALSE),"")</f>
        <v/>
      </c>
      <c r="AS835" s="31"/>
      <c r="AT835" s="31" t="e">
        <f>VLOOKUP(AS835,[1]OUTLET!$B:$C,2,0)</f>
        <v>#N/A</v>
      </c>
      <c r="AU835" s="31"/>
      <c r="AV835" s="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55"/>
      <c r="BP835" s="40"/>
      <c r="BQ835" s="4"/>
      <c r="BR835" s="61"/>
      <c r="BS835" s="4"/>
      <c r="BT835" s="57"/>
      <c r="BU835" s="62"/>
      <c r="BV835" s="8"/>
      <c r="BW835" s="58"/>
    </row>
    <row r="836" spans="41:75" x14ac:dyDescent="0.35">
      <c r="AO836" s="39">
        <v>834</v>
      </c>
      <c r="AP836" s="62"/>
      <c r="AQ836" s="39"/>
      <c r="AR836" s="42" t="str">
        <f>IFERROR(VLOOKUP(AU836,[1]SUMMARY!$A$3:$B$7,2,FALSE),"")</f>
        <v/>
      </c>
      <c r="AS836" s="31"/>
      <c r="AT836" s="31" t="e">
        <f>VLOOKUP(AS836,[1]OUTLET!$B:$C,2,0)</f>
        <v>#N/A</v>
      </c>
      <c r="AU836" s="31"/>
      <c r="AV836" s="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55"/>
      <c r="BP836" s="40"/>
      <c r="BQ836" s="4"/>
      <c r="BR836" s="61"/>
      <c r="BS836" s="4"/>
      <c r="BT836" s="57"/>
      <c r="BU836" s="62"/>
      <c r="BV836" s="8"/>
      <c r="BW836" s="58"/>
    </row>
    <row r="837" spans="41:75" x14ac:dyDescent="0.35">
      <c r="AO837" s="39">
        <v>835</v>
      </c>
      <c r="AP837" s="62"/>
      <c r="AQ837" s="39"/>
      <c r="AR837" s="42" t="str">
        <f>IFERROR(VLOOKUP(AU837,[1]SUMMARY!$A$3:$B$7,2,FALSE),"")</f>
        <v/>
      </c>
      <c r="AS837" s="31"/>
      <c r="AT837" s="31" t="e">
        <f>VLOOKUP(AS837,[1]OUTLET!$B:$C,2,0)</f>
        <v>#N/A</v>
      </c>
      <c r="AU837" s="31"/>
      <c r="AV837" s="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55"/>
      <c r="BP837" s="40"/>
      <c r="BQ837" s="4"/>
      <c r="BR837" s="61"/>
      <c r="BS837" s="4"/>
      <c r="BT837" s="57"/>
      <c r="BU837" s="62"/>
      <c r="BV837" s="8"/>
      <c r="BW837" s="58"/>
    </row>
    <row r="838" spans="41:75" x14ac:dyDescent="0.35">
      <c r="AO838" s="39">
        <v>836</v>
      </c>
      <c r="AP838" s="62"/>
      <c r="AQ838" s="39"/>
      <c r="AR838" s="42" t="str">
        <f>IFERROR(VLOOKUP(AU838,[1]SUMMARY!$A$3:$B$7,2,FALSE),"")</f>
        <v/>
      </c>
      <c r="AS838" s="31"/>
      <c r="AT838" s="31" t="e">
        <f>VLOOKUP(AS838,[1]OUTLET!$B:$C,2,0)</f>
        <v>#N/A</v>
      </c>
      <c r="AU838" s="31"/>
      <c r="AV838" s="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55"/>
      <c r="BP838" s="40"/>
      <c r="BQ838" s="4"/>
      <c r="BR838" s="61"/>
      <c r="BS838" s="4"/>
      <c r="BT838" s="57"/>
      <c r="BU838" s="62"/>
      <c r="BV838" s="8"/>
      <c r="BW838" s="58"/>
    </row>
    <row r="839" spans="41:75" x14ac:dyDescent="0.35">
      <c r="AO839" s="39">
        <v>837</v>
      </c>
      <c r="AP839" s="62"/>
      <c r="AQ839" s="39"/>
      <c r="AR839" s="42" t="str">
        <f>IFERROR(VLOOKUP(AU839,[1]SUMMARY!$A$3:$B$7,2,FALSE),"")</f>
        <v/>
      </c>
      <c r="AS839" s="31"/>
      <c r="AT839" s="31" t="e">
        <f>VLOOKUP(AS839,[1]OUTLET!$B:$C,2,0)</f>
        <v>#N/A</v>
      </c>
      <c r="AU839" s="31"/>
      <c r="AV839" s="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55"/>
      <c r="BP839" s="40"/>
      <c r="BQ839" s="4"/>
      <c r="BR839" s="61"/>
      <c r="BS839" s="4"/>
      <c r="BT839" s="57"/>
      <c r="BU839" s="62"/>
      <c r="BV839" s="8"/>
      <c r="BW839" s="58"/>
    </row>
    <row r="840" spans="41:75" x14ac:dyDescent="0.35">
      <c r="AO840" s="39">
        <v>838</v>
      </c>
      <c r="AP840" s="62"/>
      <c r="AQ840" s="39"/>
      <c r="AR840" s="42" t="str">
        <f>IFERROR(VLOOKUP(AU840,[1]SUMMARY!$A$3:$B$7,2,FALSE),"")</f>
        <v/>
      </c>
      <c r="AS840" s="31"/>
      <c r="AT840" s="31" t="e">
        <f>VLOOKUP(AS840,[1]OUTLET!$B:$C,2,0)</f>
        <v>#N/A</v>
      </c>
      <c r="AU840" s="31"/>
      <c r="AV840" s="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55"/>
      <c r="BP840" s="40"/>
      <c r="BQ840" s="4"/>
      <c r="BR840" s="61"/>
      <c r="BS840" s="4"/>
      <c r="BT840" s="57"/>
      <c r="BU840" s="62"/>
      <c r="BV840" s="8"/>
      <c r="BW840" s="58"/>
    </row>
    <row r="841" spans="41:75" x14ac:dyDescent="0.35">
      <c r="AO841" s="39">
        <v>839</v>
      </c>
      <c r="AP841" s="62"/>
      <c r="AQ841" s="39"/>
      <c r="AR841" s="42" t="str">
        <f>IFERROR(VLOOKUP(AU841,[1]SUMMARY!$A$3:$B$7,2,FALSE),"")</f>
        <v/>
      </c>
      <c r="AS841" s="31"/>
      <c r="AT841" s="31" t="e">
        <f>VLOOKUP(AS841,[1]OUTLET!$B:$C,2,0)</f>
        <v>#N/A</v>
      </c>
      <c r="AU841" s="31"/>
      <c r="AV841" s="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55"/>
      <c r="BP841" s="40"/>
      <c r="BQ841" s="4"/>
      <c r="BR841" s="61"/>
      <c r="BS841" s="4"/>
      <c r="BT841" s="57"/>
      <c r="BU841" s="62"/>
      <c r="BV841" s="8"/>
      <c r="BW841" s="58"/>
    </row>
    <row r="842" spans="41:75" x14ac:dyDescent="0.35">
      <c r="AO842" s="39">
        <v>840</v>
      </c>
      <c r="AP842" s="62"/>
      <c r="AQ842" s="39"/>
      <c r="AR842" s="42" t="str">
        <f>IFERROR(VLOOKUP(AU842,[1]SUMMARY!$A$3:$B$7,2,FALSE),"")</f>
        <v/>
      </c>
      <c r="AS842" s="31"/>
      <c r="AT842" s="31" t="e">
        <f>VLOOKUP(AS842,[1]OUTLET!$B:$C,2,0)</f>
        <v>#N/A</v>
      </c>
      <c r="AU842" s="31"/>
      <c r="AV842" s="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55"/>
      <c r="BP842" s="40"/>
      <c r="BQ842" s="4"/>
      <c r="BR842" s="61"/>
      <c r="BS842" s="4"/>
      <c r="BT842" s="57"/>
      <c r="BU842" s="62"/>
      <c r="BV842" s="8"/>
      <c r="BW842" s="58"/>
    </row>
    <row r="843" spans="41:75" x14ac:dyDescent="0.35">
      <c r="AO843" s="39">
        <v>841</v>
      </c>
      <c r="AP843" s="62"/>
      <c r="AQ843" s="39"/>
      <c r="AR843" s="42" t="str">
        <f>IFERROR(VLOOKUP(AU843,[1]SUMMARY!$A$3:$B$7,2,FALSE),"")</f>
        <v/>
      </c>
      <c r="AS843" s="31"/>
      <c r="AT843" s="31" t="e">
        <f>VLOOKUP(AS843,[1]OUTLET!$B:$C,2,0)</f>
        <v>#N/A</v>
      </c>
      <c r="AU843" s="31"/>
      <c r="AV843" s="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55"/>
      <c r="BP843" s="40"/>
      <c r="BQ843" s="4"/>
      <c r="BR843" s="61"/>
      <c r="BS843" s="4"/>
      <c r="BT843" s="57"/>
      <c r="BU843" s="62"/>
      <c r="BV843" s="8"/>
      <c r="BW843" s="58"/>
    </row>
    <row r="844" spans="41:75" x14ac:dyDescent="0.35">
      <c r="AO844" s="39">
        <v>842</v>
      </c>
      <c r="AP844" s="62"/>
      <c r="AQ844" s="39"/>
      <c r="AR844" s="42" t="str">
        <f>IFERROR(VLOOKUP(AU844,[1]SUMMARY!$A$3:$B$7,2,FALSE),"")</f>
        <v/>
      </c>
      <c r="AS844" s="31"/>
      <c r="AT844" s="31" t="e">
        <f>VLOOKUP(AS844,[1]OUTLET!$B:$C,2,0)</f>
        <v>#N/A</v>
      </c>
      <c r="AU844" s="31"/>
      <c r="AV844" s="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55"/>
      <c r="BP844" s="40"/>
      <c r="BQ844" s="4"/>
      <c r="BR844" s="61"/>
      <c r="BS844" s="4"/>
      <c r="BT844" s="57"/>
      <c r="BU844" s="62"/>
      <c r="BV844" s="8"/>
      <c r="BW844" s="58"/>
    </row>
    <row r="845" spans="41:75" x14ac:dyDescent="0.35">
      <c r="AO845" s="39">
        <v>843</v>
      </c>
      <c r="AP845" s="62"/>
      <c r="AQ845" s="39"/>
      <c r="AR845" s="42" t="str">
        <f>IFERROR(VLOOKUP(AU845,[1]SUMMARY!$A$3:$B$7,2,FALSE),"")</f>
        <v/>
      </c>
      <c r="AS845" s="31"/>
      <c r="AT845" s="31" t="e">
        <f>VLOOKUP(AS845,[1]OUTLET!$B:$C,2,0)</f>
        <v>#N/A</v>
      </c>
      <c r="AU845" s="31"/>
      <c r="AV845" s="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55"/>
      <c r="BP845" s="40"/>
      <c r="BQ845" s="4"/>
      <c r="BR845" s="61"/>
      <c r="BS845" s="4"/>
      <c r="BT845" s="57"/>
      <c r="BU845" s="62"/>
      <c r="BV845" s="8"/>
      <c r="BW845" s="58"/>
    </row>
    <row r="846" spans="41:75" x14ac:dyDescent="0.35">
      <c r="AO846" s="39">
        <v>844</v>
      </c>
      <c r="AP846" s="62"/>
      <c r="AQ846" s="39"/>
      <c r="AR846" s="42" t="str">
        <f>IFERROR(VLOOKUP(AU846,[1]SUMMARY!$A$3:$B$7,2,FALSE),"")</f>
        <v/>
      </c>
      <c r="AS846" s="31"/>
      <c r="AT846" s="31" t="e">
        <f>VLOOKUP(AS846,[1]OUTLET!$B:$C,2,0)</f>
        <v>#N/A</v>
      </c>
      <c r="AU846" s="31"/>
      <c r="AV846" s="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55"/>
      <c r="BP846" s="40"/>
      <c r="BQ846" s="4"/>
      <c r="BR846" s="61"/>
      <c r="BS846" s="4"/>
      <c r="BT846" s="57"/>
      <c r="BU846" s="62"/>
      <c r="BV846" s="8"/>
      <c r="BW846" s="58"/>
    </row>
    <row r="847" spans="41:75" x14ac:dyDescent="0.35">
      <c r="AO847" s="39">
        <v>845</v>
      </c>
      <c r="AP847" s="62"/>
      <c r="AQ847" s="39"/>
      <c r="AR847" s="42" t="str">
        <f>IFERROR(VLOOKUP(AU847,[1]SUMMARY!$A$3:$B$7,2,FALSE),"")</f>
        <v/>
      </c>
      <c r="AS847" s="31"/>
      <c r="AT847" s="31" t="e">
        <f>VLOOKUP(AS847,[1]OUTLET!$B:$C,2,0)</f>
        <v>#N/A</v>
      </c>
      <c r="AU847" s="31"/>
      <c r="AV847" s="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55"/>
      <c r="BP847" s="40"/>
      <c r="BQ847" s="4"/>
      <c r="BR847" s="61"/>
      <c r="BS847" s="4"/>
      <c r="BT847" s="57"/>
      <c r="BU847" s="62"/>
      <c r="BV847" s="8"/>
      <c r="BW847" s="58"/>
    </row>
    <row r="848" spans="41:75" x14ac:dyDescent="0.35">
      <c r="AO848" s="39">
        <v>846</v>
      </c>
      <c r="AP848" s="62"/>
      <c r="AQ848" s="39"/>
      <c r="AR848" s="42" t="str">
        <f>IFERROR(VLOOKUP(AU848,[1]SUMMARY!$A$3:$B$7,2,FALSE),"")</f>
        <v/>
      </c>
      <c r="AS848" s="31"/>
      <c r="AT848" s="31" t="e">
        <f>VLOOKUP(AS848,[1]OUTLET!$B:$C,2,0)</f>
        <v>#N/A</v>
      </c>
      <c r="AU848" s="31"/>
      <c r="AV848" s="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55"/>
      <c r="BP848" s="40"/>
      <c r="BQ848" s="4"/>
      <c r="BR848" s="61"/>
      <c r="BS848" s="4"/>
      <c r="BT848" s="57"/>
      <c r="BU848" s="62"/>
      <c r="BV848" s="8"/>
      <c r="BW848" s="58"/>
    </row>
    <row r="849" spans="41:75" x14ac:dyDescent="0.35">
      <c r="AO849" s="39">
        <v>847</v>
      </c>
      <c r="AP849" s="62"/>
      <c r="AQ849" s="39"/>
      <c r="AR849" s="42" t="str">
        <f>IFERROR(VLOOKUP(AU849,[1]SUMMARY!$A$3:$B$7,2,FALSE),"")</f>
        <v/>
      </c>
      <c r="AS849" s="31"/>
      <c r="AT849" s="31" t="e">
        <f>VLOOKUP(AS849,[1]OUTLET!$B:$C,2,0)</f>
        <v>#N/A</v>
      </c>
      <c r="AU849" s="31"/>
      <c r="AV849" s="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55"/>
      <c r="BP849" s="40"/>
      <c r="BQ849" s="4"/>
      <c r="BR849" s="61"/>
      <c r="BS849" s="4"/>
      <c r="BT849" s="57"/>
      <c r="BU849" s="62"/>
      <c r="BV849" s="8"/>
      <c r="BW849" s="58"/>
    </row>
    <row r="850" spans="41:75" x14ac:dyDescent="0.35">
      <c r="AO850" s="39">
        <v>848</v>
      </c>
      <c r="AP850" s="62"/>
      <c r="AQ850" s="39"/>
      <c r="AR850" s="42" t="str">
        <f>IFERROR(VLOOKUP(AU850,[1]SUMMARY!$A$3:$B$7,2,FALSE),"")</f>
        <v/>
      </c>
      <c r="AS850" s="31"/>
      <c r="AT850" s="31" t="e">
        <f>VLOOKUP(AS850,[1]OUTLET!$B:$C,2,0)</f>
        <v>#N/A</v>
      </c>
      <c r="AU850" s="31"/>
      <c r="AV850" s="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55"/>
      <c r="BP850" s="40"/>
      <c r="BQ850" s="4"/>
      <c r="BR850" s="61"/>
      <c r="BS850" s="4"/>
      <c r="BT850" s="57"/>
      <c r="BU850" s="62"/>
      <c r="BV850" s="8"/>
      <c r="BW850" s="58"/>
    </row>
    <row r="851" spans="41:75" x14ac:dyDescent="0.35">
      <c r="AO851" s="39">
        <v>849</v>
      </c>
      <c r="AP851" s="62"/>
      <c r="AQ851" s="39"/>
      <c r="AR851" s="42" t="str">
        <f>IFERROR(VLOOKUP(AU851,[1]SUMMARY!$A$3:$B$7,2,FALSE),"")</f>
        <v/>
      </c>
      <c r="AS851" s="31"/>
      <c r="AT851" s="31" t="e">
        <f>VLOOKUP(AS851,[1]OUTLET!$B:$C,2,0)</f>
        <v>#N/A</v>
      </c>
      <c r="AU851" s="31"/>
      <c r="AV851" s="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55"/>
      <c r="BP851" s="40"/>
      <c r="BQ851" s="4"/>
      <c r="BR851" s="61"/>
      <c r="BS851" s="4"/>
      <c r="BT851" s="57"/>
      <c r="BU851" s="62"/>
      <c r="BV851" s="8"/>
      <c r="BW851" s="58"/>
    </row>
    <row r="852" spans="41:75" x14ac:dyDescent="0.35">
      <c r="AO852" s="39">
        <v>850</v>
      </c>
      <c r="AP852" s="62"/>
      <c r="AQ852" s="39"/>
      <c r="AR852" s="42" t="str">
        <f>IFERROR(VLOOKUP(AU852,[1]SUMMARY!$A$3:$B$7,2,FALSE),"")</f>
        <v/>
      </c>
      <c r="AS852" s="31"/>
      <c r="AT852" s="31" t="e">
        <f>VLOOKUP(AS852,[1]OUTLET!$B:$C,2,0)</f>
        <v>#N/A</v>
      </c>
      <c r="AU852" s="31"/>
      <c r="AV852" s="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55"/>
      <c r="BP852" s="40"/>
      <c r="BQ852" s="4"/>
      <c r="BR852" s="61"/>
      <c r="BS852" s="4"/>
      <c r="BT852" s="57"/>
      <c r="BU852" s="62"/>
      <c r="BV852" s="8"/>
      <c r="BW852" s="58"/>
    </row>
    <row r="853" spans="41:75" x14ac:dyDescent="0.35">
      <c r="AO853" s="39">
        <v>851</v>
      </c>
      <c r="AP853" s="62"/>
      <c r="AQ853" s="39"/>
      <c r="AR853" s="42" t="str">
        <f>IFERROR(VLOOKUP(AU853,[1]SUMMARY!$A$3:$B$7,2,FALSE),"")</f>
        <v/>
      </c>
      <c r="AS853" s="31"/>
      <c r="AT853" s="31" t="e">
        <f>VLOOKUP(AS853,[1]OUTLET!$B:$C,2,0)</f>
        <v>#N/A</v>
      </c>
      <c r="AU853" s="31"/>
      <c r="AV853" s="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55"/>
      <c r="BP853" s="40"/>
      <c r="BQ853" s="4"/>
      <c r="BR853" s="61"/>
      <c r="BS853" s="4"/>
      <c r="BT853" s="57"/>
      <c r="BU853" s="62"/>
      <c r="BV853" s="8"/>
      <c r="BW853" s="58"/>
    </row>
    <row r="854" spans="41:75" x14ac:dyDescent="0.35">
      <c r="AO854" s="39">
        <v>852</v>
      </c>
      <c r="AP854" s="62"/>
      <c r="AQ854" s="39"/>
      <c r="AR854" s="42" t="str">
        <f>IFERROR(VLOOKUP(AU854,[1]SUMMARY!$A$3:$B$7,2,FALSE),"")</f>
        <v/>
      </c>
      <c r="AS854" s="31"/>
      <c r="AT854" s="31" t="e">
        <f>VLOOKUP(AS854,[1]OUTLET!$B:$C,2,0)</f>
        <v>#N/A</v>
      </c>
      <c r="AU854" s="31"/>
      <c r="AV854" s="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55"/>
      <c r="BP854" s="40"/>
      <c r="BQ854" s="4"/>
      <c r="BR854" s="61"/>
      <c r="BS854" s="4"/>
      <c r="BT854" s="57"/>
      <c r="BU854" s="62"/>
      <c r="BV854" s="8"/>
      <c r="BW854" s="58"/>
    </row>
    <row r="855" spans="41:75" x14ac:dyDescent="0.35">
      <c r="AO855" s="39">
        <v>853</v>
      </c>
      <c r="AP855" s="62"/>
      <c r="AQ855" s="39"/>
      <c r="AR855" s="42" t="str">
        <f>IFERROR(VLOOKUP(AU855,[1]SUMMARY!$A$3:$B$7,2,FALSE),"")</f>
        <v/>
      </c>
      <c r="AS855" s="31"/>
      <c r="AT855" s="31" t="e">
        <f>VLOOKUP(AS855,[1]OUTLET!$B:$C,2,0)</f>
        <v>#N/A</v>
      </c>
      <c r="AU855" s="31"/>
      <c r="AV855" s="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55"/>
      <c r="BP855" s="40"/>
      <c r="BQ855" s="4"/>
      <c r="BR855" s="61"/>
      <c r="BS855" s="4"/>
      <c r="BT855" s="57"/>
      <c r="BU855" s="62"/>
      <c r="BV855" s="8"/>
      <c r="BW855" s="58"/>
    </row>
    <row r="856" spans="41:75" x14ac:dyDescent="0.35">
      <c r="AO856" s="39">
        <v>854</v>
      </c>
      <c r="AP856" s="62"/>
      <c r="AQ856" s="39"/>
      <c r="AR856" s="42" t="str">
        <f>IFERROR(VLOOKUP(AU856,[1]SUMMARY!$A$3:$B$7,2,FALSE),"")</f>
        <v/>
      </c>
      <c r="AS856" s="31"/>
      <c r="AT856" s="31" t="e">
        <f>VLOOKUP(AS856,[1]OUTLET!$B:$C,2,0)</f>
        <v>#N/A</v>
      </c>
      <c r="AU856" s="31"/>
      <c r="AV856" s="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55"/>
      <c r="BP856" s="40"/>
      <c r="BQ856" s="4"/>
      <c r="BR856" s="61"/>
      <c r="BS856" s="4"/>
      <c r="BT856" s="57"/>
      <c r="BU856" s="62"/>
      <c r="BV856" s="8"/>
      <c r="BW856" s="58"/>
    </row>
    <row r="857" spans="41:75" x14ac:dyDescent="0.35">
      <c r="AO857" s="39">
        <v>855</v>
      </c>
      <c r="AP857" s="62"/>
      <c r="AQ857" s="39"/>
      <c r="AR857" s="42" t="str">
        <f>IFERROR(VLOOKUP(AU857,[1]SUMMARY!$A$3:$B$7,2,FALSE),"")</f>
        <v/>
      </c>
      <c r="AS857" s="31"/>
      <c r="AT857" s="31" t="e">
        <f>VLOOKUP(AS857,[1]OUTLET!$B:$C,2,0)</f>
        <v>#N/A</v>
      </c>
      <c r="AU857" s="31"/>
      <c r="AV857" s="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55"/>
      <c r="BP857" s="40"/>
      <c r="BQ857" s="4"/>
      <c r="BR857" s="61"/>
      <c r="BS857" s="4"/>
      <c r="BT857" s="57"/>
      <c r="BU857" s="62"/>
      <c r="BV857" s="8"/>
      <c r="BW857" s="58"/>
    </row>
    <row r="858" spans="41:75" x14ac:dyDescent="0.35">
      <c r="AO858" s="39">
        <v>856</v>
      </c>
      <c r="AP858" s="62"/>
      <c r="AQ858" s="39"/>
      <c r="AR858" s="42" t="str">
        <f>IFERROR(VLOOKUP(AU858,[1]SUMMARY!$A$3:$B$7,2,FALSE),"")</f>
        <v/>
      </c>
      <c r="AS858" s="31"/>
      <c r="AT858" s="31" t="e">
        <f>VLOOKUP(AS858,[1]OUTLET!$B:$C,2,0)</f>
        <v>#N/A</v>
      </c>
      <c r="AU858" s="31"/>
      <c r="AV858" s="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55"/>
      <c r="BP858" s="40"/>
      <c r="BQ858" s="4"/>
      <c r="BR858" s="61"/>
      <c r="BS858" s="4"/>
      <c r="BT858" s="57"/>
      <c r="BU858" s="62"/>
      <c r="BV858" s="8"/>
      <c r="BW858" s="58"/>
    </row>
    <row r="859" spans="41:75" x14ac:dyDescent="0.35">
      <c r="AO859" s="39">
        <v>857</v>
      </c>
      <c r="AP859" s="62"/>
      <c r="AQ859" s="39"/>
      <c r="AR859" s="42" t="str">
        <f>IFERROR(VLOOKUP(AU859,[1]SUMMARY!$A$3:$B$7,2,FALSE),"")</f>
        <v/>
      </c>
      <c r="AS859" s="31"/>
      <c r="AT859" s="31" t="e">
        <f>VLOOKUP(AS859,[1]OUTLET!$B:$C,2,0)</f>
        <v>#N/A</v>
      </c>
      <c r="AU859" s="31"/>
      <c r="AV859" s="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55"/>
      <c r="BP859" s="40"/>
      <c r="BQ859" s="4"/>
      <c r="BR859" s="61"/>
      <c r="BS859" s="4"/>
      <c r="BT859" s="57"/>
      <c r="BU859" s="62"/>
      <c r="BV859" s="8"/>
      <c r="BW859" s="58"/>
    </row>
    <row r="860" spans="41:75" x14ac:dyDescent="0.35">
      <c r="AO860" s="39">
        <v>858</v>
      </c>
      <c r="AP860" s="62"/>
      <c r="AQ860" s="39"/>
      <c r="AR860" s="42" t="str">
        <f>IFERROR(VLOOKUP(AU860,[1]SUMMARY!$A$3:$B$7,2,FALSE),"")</f>
        <v/>
      </c>
      <c r="AS860" s="31"/>
      <c r="AT860" s="31" t="e">
        <f>VLOOKUP(AS860,[1]OUTLET!$B:$C,2,0)</f>
        <v>#N/A</v>
      </c>
      <c r="AU860" s="31"/>
      <c r="AV860" s="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55"/>
      <c r="BP860" s="40"/>
      <c r="BQ860" s="4"/>
      <c r="BR860" s="61"/>
      <c r="BS860" s="4"/>
      <c r="BT860" s="57"/>
      <c r="BU860" s="62"/>
      <c r="BV860" s="8"/>
      <c r="BW860" s="58"/>
    </row>
    <row r="861" spans="41:75" x14ac:dyDescent="0.35">
      <c r="AO861" s="39">
        <v>859</v>
      </c>
      <c r="AP861" s="62"/>
      <c r="AQ861" s="39"/>
      <c r="AR861" s="42" t="str">
        <f>IFERROR(VLOOKUP(AU861,[1]SUMMARY!$A$3:$B$7,2,FALSE),"")</f>
        <v/>
      </c>
      <c r="AS861" s="31"/>
      <c r="AT861" s="31" t="e">
        <f>VLOOKUP(AS861,[1]OUTLET!$B:$C,2,0)</f>
        <v>#N/A</v>
      </c>
      <c r="AU861" s="31"/>
      <c r="AV861" s="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55"/>
      <c r="BP861" s="40"/>
      <c r="BQ861" s="4"/>
      <c r="BR861" s="61"/>
      <c r="BS861" s="4"/>
      <c r="BT861" s="57"/>
      <c r="BU861" s="62"/>
      <c r="BV861" s="8"/>
      <c r="BW861" s="58"/>
    </row>
    <row r="862" spans="41:75" x14ac:dyDescent="0.35">
      <c r="AO862" s="39">
        <v>860</v>
      </c>
      <c r="AP862" s="62"/>
      <c r="AQ862" s="39"/>
      <c r="AR862" s="42" t="str">
        <f>IFERROR(VLOOKUP(AU862,[1]SUMMARY!$A$3:$B$7,2,FALSE),"")</f>
        <v/>
      </c>
      <c r="AS862" s="31"/>
      <c r="AT862" s="31" t="e">
        <f>VLOOKUP(AS862,[1]OUTLET!$B:$C,2,0)</f>
        <v>#N/A</v>
      </c>
      <c r="AU862" s="31"/>
      <c r="AV862" s="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55"/>
      <c r="BP862" s="40"/>
      <c r="BQ862" s="4"/>
      <c r="BR862" s="61"/>
      <c r="BS862" s="4"/>
      <c r="BT862" s="57"/>
      <c r="BU862" s="62"/>
      <c r="BV862" s="8"/>
      <c r="BW862" s="58"/>
    </row>
    <row r="863" spans="41:75" x14ac:dyDescent="0.35">
      <c r="AO863" s="39">
        <v>861</v>
      </c>
      <c r="AP863" s="62"/>
      <c r="AQ863" s="39"/>
      <c r="AR863" s="42" t="str">
        <f>IFERROR(VLOOKUP(AU863,[1]SUMMARY!$A$3:$B$7,2,FALSE),"")</f>
        <v/>
      </c>
      <c r="AS863" s="31"/>
      <c r="AT863" s="31" t="e">
        <f>VLOOKUP(AS863,[1]OUTLET!$B:$C,2,0)</f>
        <v>#N/A</v>
      </c>
      <c r="AU863" s="31"/>
      <c r="AV863" s="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55"/>
      <c r="BP863" s="40"/>
      <c r="BQ863" s="4"/>
      <c r="BR863" s="61"/>
      <c r="BS863" s="4"/>
      <c r="BT863" s="57"/>
      <c r="BU863" s="62"/>
      <c r="BV863" s="8"/>
      <c r="BW863" s="58"/>
    </row>
    <row r="864" spans="41:75" x14ac:dyDescent="0.35">
      <c r="AO864" s="39">
        <v>862</v>
      </c>
      <c r="AP864" s="62"/>
      <c r="AQ864" s="39"/>
      <c r="AR864" s="42" t="str">
        <f>IFERROR(VLOOKUP(AU864,[1]SUMMARY!$A$3:$B$7,2,FALSE),"")</f>
        <v/>
      </c>
      <c r="AS864" s="31"/>
      <c r="AT864" s="31" t="e">
        <f>VLOOKUP(AS864,[1]OUTLET!$B:$C,2,0)</f>
        <v>#N/A</v>
      </c>
      <c r="AU864" s="31"/>
      <c r="AV864" s="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55"/>
      <c r="BP864" s="40"/>
      <c r="BQ864" s="4"/>
      <c r="BR864" s="61"/>
      <c r="BS864" s="4"/>
      <c r="BT864" s="57"/>
      <c r="BU864" s="62"/>
      <c r="BV864" s="8"/>
      <c r="BW864" s="58"/>
    </row>
    <row r="865" spans="41:75" x14ac:dyDescent="0.35">
      <c r="AO865" s="39">
        <v>863</v>
      </c>
      <c r="AP865" s="62"/>
      <c r="AQ865" s="39"/>
      <c r="AR865" s="42" t="str">
        <f>IFERROR(VLOOKUP(AU865,[1]SUMMARY!$A$3:$B$7,2,FALSE),"")</f>
        <v/>
      </c>
      <c r="AS865" s="31"/>
      <c r="AT865" s="31" t="e">
        <f>VLOOKUP(AS865,[1]OUTLET!$B:$C,2,0)</f>
        <v>#N/A</v>
      </c>
      <c r="AU865" s="31"/>
      <c r="AV865" s="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55"/>
      <c r="BP865" s="40"/>
      <c r="BQ865" s="4"/>
      <c r="BR865" s="61"/>
      <c r="BS865" s="4"/>
      <c r="BT865" s="57"/>
      <c r="BU865" s="62"/>
      <c r="BV865" s="8"/>
      <c r="BW865" s="58"/>
    </row>
    <row r="866" spans="41:75" x14ac:dyDescent="0.35">
      <c r="AO866" s="39">
        <v>864</v>
      </c>
      <c r="AP866" s="62"/>
      <c r="AQ866" s="39"/>
      <c r="AR866" s="42" t="str">
        <f>IFERROR(VLOOKUP(AU866,[1]SUMMARY!$A$3:$B$7,2,FALSE),"")</f>
        <v/>
      </c>
      <c r="AS866" s="31"/>
      <c r="AT866" s="31" t="e">
        <f>VLOOKUP(AS866,[1]OUTLET!$B:$C,2,0)</f>
        <v>#N/A</v>
      </c>
      <c r="AU866" s="31"/>
      <c r="AV866" s="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55"/>
      <c r="BP866" s="40"/>
      <c r="BQ866" s="4"/>
      <c r="BR866" s="61"/>
      <c r="BS866" s="4"/>
      <c r="BT866" s="57"/>
      <c r="BU866" s="62"/>
      <c r="BV866" s="8"/>
      <c r="BW866" s="58"/>
    </row>
    <row r="867" spans="41:75" x14ac:dyDescent="0.35">
      <c r="AO867" s="39">
        <v>865</v>
      </c>
      <c r="AP867" s="62"/>
      <c r="AQ867" s="39"/>
      <c r="AR867" s="42" t="str">
        <f>IFERROR(VLOOKUP(AU867,[1]SUMMARY!$A$3:$B$7,2,FALSE),"")</f>
        <v/>
      </c>
      <c r="AS867" s="31"/>
      <c r="AT867" s="31" t="e">
        <f>VLOOKUP(AS867,[1]OUTLET!$B:$C,2,0)</f>
        <v>#N/A</v>
      </c>
      <c r="AU867" s="31"/>
      <c r="AV867" s="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55"/>
      <c r="BP867" s="40"/>
      <c r="BQ867" s="4"/>
      <c r="BR867" s="61"/>
      <c r="BS867" s="4"/>
      <c r="BT867" s="57"/>
      <c r="BU867" s="62"/>
      <c r="BV867" s="8"/>
      <c r="BW867" s="58"/>
    </row>
    <row r="868" spans="41:75" x14ac:dyDescent="0.35">
      <c r="AO868" s="39">
        <v>866</v>
      </c>
      <c r="AP868" s="62"/>
      <c r="AQ868" s="39"/>
      <c r="AR868" s="42" t="str">
        <f>IFERROR(VLOOKUP(AU868,[1]SUMMARY!$A$3:$B$7,2,FALSE),"")</f>
        <v/>
      </c>
      <c r="AS868" s="31"/>
      <c r="AT868" s="31" t="e">
        <f>VLOOKUP(AS868,[1]OUTLET!$B:$C,2,0)</f>
        <v>#N/A</v>
      </c>
      <c r="AU868" s="31"/>
      <c r="AV868" s="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55"/>
      <c r="BP868" s="40"/>
      <c r="BQ868" s="4"/>
      <c r="BR868" s="61"/>
      <c r="BS868" s="4"/>
      <c r="BT868" s="57"/>
      <c r="BU868" s="62"/>
      <c r="BV868" s="8"/>
      <c r="BW868" s="58"/>
    </row>
    <row r="869" spans="41:75" x14ac:dyDescent="0.35">
      <c r="AO869" s="39">
        <v>867</v>
      </c>
      <c r="AP869" s="62"/>
      <c r="AQ869" s="39"/>
      <c r="AR869" s="42" t="str">
        <f>IFERROR(VLOOKUP(AU869,[1]SUMMARY!$A$3:$B$7,2,FALSE),"")</f>
        <v/>
      </c>
      <c r="AS869" s="31"/>
      <c r="AT869" s="31" t="e">
        <f>VLOOKUP(AS869,[1]OUTLET!$B:$C,2,0)</f>
        <v>#N/A</v>
      </c>
      <c r="AU869" s="31"/>
      <c r="AV869" s="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55"/>
      <c r="BP869" s="40"/>
      <c r="BQ869" s="4"/>
      <c r="BR869" s="61"/>
      <c r="BS869" s="4"/>
      <c r="BT869" s="57"/>
      <c r="BU869" s="62"/>
      <c r="BV869" s="8"/>
      <c r="BW869" s="58"/>
    </row>
    <row r="870" spans="41:75" x14ac:dyDescent="0.35">
      <c r="AO870" s="39">
        <v>868</v>
      </c>
      <c r="AP870" s="62"/>
      <c r="AQ870" s="39"/>
      <c r="AR870" s="42" t="str">
        <f>IFERROR(VLOOKUP(AU870,[1]SUMMARY!$A$3:$B$7,2,FALSE),"")</f>
        <v/>
      </c>
      <c r="AS870" s="31"/>
      <c r="AT870" s="31" t="e">
        <f>VLOOKUP(AS870,[1]OUTLET!$B:$C,2,0)</f>
        <v>#N/A</v>
      </c>
      <c r="AU870" s="31"/>
      <c r="AV870" s="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55"/>
      <c r="BP870" s="40"/>
      <c r="BQ870" s="4"/>
      <c r="BR870" s="61"/>
      <c r="BS870" s="4"/>
      <c r="BT870" s="57"/>
      <c r="BU870" s="62"/>
      <c r="BV870" s="8"/>
      <c r="BW870" s="58"/>
    </row>
    <row r="871" spans="41:75" x14ac:dyDescent="0.35">
      <c r="AO871" s="39">
        <v>869</v>
      </c>
      <c r="AP871" s="62"/>
      <c r="AQ871" s="39"/>
      <c r="AR871" s="42" t="str">
        <f>IFERROR(VLOOKUP(AU871,[1]SUMMARY!$A$3:$B$7,2,FALSE),"")</f>
        <v/>
      </c>
      <c r="AS871" s="31"/>
      <c r="AT871" s="31" t="e">
        <f>VLOOKUP(AS871,[1]OUTLET!$B:$C,2,0)</f>
        <v>#N/A</v>
      </c>
      <c r="AU871" s="31"/>
      <c r="AV871" s="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55"/>
      <c r="BP871" s="40"/>
      <c r="BQ871" s="4"/>
      <c r="BR871" s="61"/>
      <c r="BS871" s="4"/>
      <c r="BT871" s="57"/>
      <c r="BU871" s="62"/>
      <c r="BV871" s="8"/>
      <c r="BW871" s="58"/>
    </row>
    <row r="872" spans="41:75" x14ac:dyDescent="0.35">
      <c r="AO872" s="39">
        <v>870</v>
      </c>
      <c r="AP872" s="62"/>
      <c r="AQ872" s="39"/>
      <c r="AR872" s="42" t="str">
        <f>IFERROR(VLOOKUP(AU872,[1]SUMMARY!$A$3:$B$7,2,FALSE),"")</f>
        <v/>
      </c>
      <c r="AS872" s="31"/>
      <c r="AT872" s="31" t="e">
        <f>VLOOKUP(AS872,[1]OUTLET!$B:$C,2,0)</f>
        <v>#N/A</v>
      </c>
      <c r="AU872" s="31"/>
      <c r="AV872" s="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55"/>
      <c r="BP872" s="40"/>
      <c r="BQ872" s="4"/>
      <c r="BR872" s="61"/>
      <c r="BS872" s="4"/>
      <c r="BT872" s="57"/>
      <c r="BU872" s="62"/>
      <c r="BV872" s="8"/>
      <c r="BW872" s="58"/>
    </row>
    <row r="873" spans="41:75" x14ac:dyDescent="0.35">
      <c r="AO873" s="39">
        <v>871</v>
      </c>
      <c r="AP873" s="62"/>
      <c r="AQ873" s="39"/>
      <c r="AR873" s="42" t="str">
        <f>IFERROR(VLOOKUP(AU873,[1]SUMMARY!$A$3:$B$7,2,FALSE),"")</f>
        <v/>
      </c>
      <c r="AS873" s="31"/>
      <c r="AT873" s="31" t="e">
        <f>VLOOKUP(AS873,[1]OUTLET!$B:$C,2,0)</f>
        <v>#N/A</v>
      </c>
      <c r="AU873" s="31"/>
      <c r="AV873" s="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55"/>
      <c r="BP873" s="40"/>
      <c r="BQ873" s="4"/>
      <c r="BR873" s="61"/>
      <c r="BS873" s="4"/>
      <c r="BT873" s="57"/>
      <c r="BU873" s="62"/>
      <c r="BV873" s="8"/>
      <c r="BW873" s="58"/>
    </row>
    <row r="874" spans="41:75" x14ac:dyDescent="0.35">
      <c r="AO874" s="39">
        <v>872</v>
      </c>
      <c r="AP874" s="62"/>
      <c r="AQ874" s="39"/>
      <c r="AR874" s="42" t="str">
        <f>IFERROR(VLOOKUP(AU874,[1]SUMMARY!$A$3:$B$7,2,FALSE),"")</f>
        <v/>
      </c>
      <c r="AS874" s="31"/>
      <c r="AT874" s="31" t="e">
        <f>VLOOKUP(AS874,[1]OUTLET!$B:$C,2,0)</f>
        <v>#N/A</v>
      </c>
      <c r="AU874" s="31"/>
      <c r="AV874" s="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55"/>
      <c r="BP874" s="40"/>
      <c r="BQ874" s="4"/>
      <c r="BR874" s="61"/>
      <c r="BS874" s="4"/>
      <c r="BT874" s="57"/>
      <c r="BU874" s="62"/>
      <c r="BV874" s="8"/>
      <c r="BW874" s="58"/>
    </row>
    <row r="875" spans="41:75" x14ac:dyDescent="0.35">
      <c r="AO875" s="39">
        <v>873</v>
      </c>
      <c r="AP875" s="62"/>
      <c r="AQ875" s="39"/>
      <c r="AR875" s="42" t="str">
        <f>IFERROR(VLOOKUP(AU875,[1]SUMMARY!$A$3:$B$7,2,FALSE),"")</f>
        <v/>
      </c>
      <c r="AS875" s="31"/>
      <c r="AT875" s="31" t="e">
        <f>VLOOKUP(AS875,[1]OUTLET!$B:$C,2,0)</f>
        <v>#N/A</v>
      </c>
      <c r="AU875" s="31"/>
      <c r="AV875" s="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55"/>
      <c r="BP875" s="40"/>
      <c r="BQ875" s="4"/>
      <c r="BR875" s="61"/>
      <c r="BS875" s="4"/>
      <c r="BT875" s="57"/>
      <c r="BU875" s="62"/>
      <c r="BV875" s="8"/>
      <c r="BW875" s="58"/>
    </row>
    <row r="876" spans="41:75" x14ac:dyDescent="0.35">
      <c r="AO876" s="39">
        <v>874</v>
      </c>
      <c r="AP876" s="62"/>
      <c r="AQ876" s="39"/>
      <c r="AR876" s="42" t="str">
        <f>IFERROR(VLOOKUP(AU876,[1]SUMMARY!$A$3:$B$7,2,FALSE),"")</f>
        <v/>
      </c>
      <c r="AS876" s="31"/>
      <c r="AT876" s="31" t="e">
        <f>VLOOKUP(AS876,[1]OUTLET!$B:$C,2,0)</f>
        <v>#N/A</v>
      </c>
      <c r="AU876" s="31"/>
      <c r="AV876" s="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55"/>
      <c r="BP876" s="40"/>
      <c r="BQ876" s="4"/>
      <c r="BR876" s="61"/>
      <c r="BS876" s="4"/>
      <c r="BT876" s="57"/>
      <c r="BU876" s="62"/>
      <c r="BV876" s="8"/>
      <c r="BW876" s="58"/>
    </row>
    <row r="877" spans="41:75" x14ac:dyDescent="0.35">
      <c r="AO877" s="39">
        <v>875</v>
      </c>
      <c r="AP877" s="62"/>
      <c r="AQ877" s="39"/>
      <c r="AR877" s="42" t="str">
        <f>IFERROR(VLOOKUP(AU877,[1]SUMMARY!$A$3:$B$7,2,FALSE),"")</f>
        <v/>
      </c>
      <c r="AS877" s="31"/>
      <c r="AT877" s="31" t="e">
        <f>VLOOKUP(AS877,[1]OUTLET!$B:$C,2,0)</f>
        <v>#N/A</v>
      </c>
      <c r="AU877" s="31"/>
      <c r="AV877" s="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55"/>
      <c r="BP877" s="40"/>
      <c r="BQ877" s="4"/>
      <c r="BR877" s="61"/>
      <c r="BS877" s="4"/>
      <c r="BT877" s="57"/>
      <c r="BU877" s="62"/>
      <c r="BV877" s="8"/>
      <c r="BW877" s="58"/>
    </row>
    <row r="878" spans="41:75" x14ac:dyDescent="0.35">
      <c r="AO878" s="39">
        <v>876</v>
      </c>
      <c r="AP878" s="62"/>
      <c r="AQ878" s="39"/>
      <c r="AR878" s="42" t="str">
        <f>IFERROR(VLOOKUP(AU878,[1]SUMMARY!$A$3:$B$7,2,FALSE),"")</f>
        <v/>
      </c>
      <c r="AS878" s="31"/>
      <c r="AT878" s="31" t="e">
        <f>VLOOKUP(AS878,[1]OUTLET!$B:$C,2,0)</f>
        <v>#N/A</v>
      </c>
      <c r="AU878" s="31"/>
      <c r="AV878" s="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55"/>
      <c r="BP878" s="40"/>
      <c r="BQ878" s="4"/>
      <c r="BR878" s="61"/>
      <c r="BS878" s="4"/>
      <c r="BT878" s="57"/>
      <c r="BU878" s="62"/>
      <c r="BV878" s="8"/>
      <c r="BW878" s="58"/>
    </row>
    <row r="879" spans="41:75" x14ac:dyDescent="0.35">
      <c r="AO879" s="39">
        <v>877</v>
      </c>
      <c r="AP879" s="62"/>
      <c r="AQ879" s="39"/>
      <c r="AR879" s="42" t="str">
        <f>IFERROR(VLOOKUP(AU879,[1]SUMMARY!$A$3:$B$7,2,FALSE),"")</f>
        <v/>
      </c>
      <c r="AS879" s="31"/>
      <c r="AT879" s="31" t="e">
        <f>VLOOKUP(AS879,[1]OUTLET!$B:$C,2,0)</f>
        <v>#N/A</v>
      </c>
      <c r="AU879" s="31"/>
      <c r="AV879" s="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55"/>
      <c r="BP879" s="40"/>
      <c r="BQ879" s="4"/>
      <c r="BR879" s="61"/>
      <c r="BS879" s="4"/>
      <c r="BT879" s="57"/>
      <c r="BU879" s="62"/>
      <c r="BV879" s="8"/>
      <c r="BW879" s="58"/>
    </row>
    <row r="880" spans="41:75" x14ac:dyDescent="0.35">
      <c r="AO880" s="39">
        <v>878</v>
      </c>
      <c r="AP880" s="62"/>
      <c r="AQ880" s="39"/>
      <c r="AR880" s="42" t="str">
        <f>IFERROR(VLOOKUP(AU880,[1]SUMMARY!$A$3:$B$7,2,FALSE),"")</f>
        <v/>
      </c>
      <c r="AS880" s="31"/>
      <c r="AT880" s="31" t="e">
        <f>VLOOKUP(AS880,[1]OUTLET!$B:$C,2,0)</f>
        <v>#N/A</v>
      </c>
      <c r="AU880" s="31"/>
      <c r="AV880" s="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55"/>
      <c r="BP880" s="40"/>
      <c r="BQ880" s="4"/>
      <c r="BR880" s="61"/>
      <c r="BS880" s="4"/>
      <c r="BT880" s="57"/>
      <c r="BU880" s="62"/>
      <c r="BV880" s="8"/>
      <c r="BW880" s="58"/>
    </row>
    <row r="881" spans="41:75" x14ac:dyDescent="0.35">
      <c r="AO881" s="39">
        <v>879</v>
      </c>
      <c r="AP881" s="62"/>
      <c r="AQ881" s="39"/>
      <c r="AR881" s="42" t="str">
        <f>IFERROR(VLOOKUP(AU881,[1]SUMMARY!$A$3:$B$7,2,FALSE),"")</f>
        <v/>
      </c>
      <c r="AS881" s="31"/>
      <c r="AT881" s="31" t="e">
        <f>VLOOKUP(AS881,[1]OUTLET!$B:$C,2,0)</f>
        <v>#N/A</v>
      </c>
      <c r="AU881" s="31"/>
      <c r="AV881" s="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55"/>
      <c r="BP881" s="40"/>
      <c r="BQ881" s="4"/>
      <c r="BR881" s="61"/>
      <c r="BS881" s="4"/>
      <c r="BT881" s="57"/>
      <c r="BU881" s="62"/>
      <c r="BV881" s="8"/>
      <c r="BW881" s="58"/>
    </row>
    <row r="882" spans="41:75" x14ac:dyDescent="0.35">
      <c r="AO882" s="39">
        <v>880</v>
      </c>
      <c r="AP882" s="62"/>
      <c r="AQ882" s="39"/>
      <c r="AR882" s="42" t="str">
        <f>IFERROR(VLOOKUP(AU882,[1]SUMMARY!$A$3:$B$7,2,FALSE),"")</f>
        <v/>
      </c>
      <c r="AS882" s="31"/>
      <c r="AT882" s="31" t="e">
        <f>VLOOKUP(AS882,[1]OUTLET!$B:$C,2,0)</f>
        <v>#N/A</v>
      </c>
      <c r="AU882" s="31"/>
      <c r="AV882" s="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55"/>
      <c r="BP882" s="40"/>
      <c r="BQ882" s="4"/>
      <c r="BR882" s="61"/>
      <c r="BS882" s="4"/>
      <c r="BT882" s="57"/>
      <c r="BU882" s="62"/>
      <c r="BV882" s="8"/>
      <c r="BW882" s="58"/>
    </row>
    <row r="883" spans="41:75" x14ac:dyDescent="0.35">
      <c r="AO883" s="39">
        <v>881</v>
      </c>
      <c r="AP883" s="62"/>
      <c r="AQ883" s="39"/>
      <c r="AR883" s="42" t="str">
        <f>IFERROR(VLOOKUP(AU883,[1]SUMMARY!$A$3:$B$7,2,FALSE),"")</f>
        <v/>
      </c>
      <c r="AS883" s="31"/>
      <c r="AT883" s="31" t="e">
        <f>VLOOKUP(AS883,[1]OUTLET!$B:$C,2,0)</f>
        <v>#N/A</v>
      </c>
      <c r="AU883" s="31"/>
      <c r="AV883" s="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55"/>
      <c r="BP883" s="40"/>
      <c r="BQ883" s="4"/>
      <c r="BR883" s="61"/>
      <c r="BS883" s="4"/>
      <c r="BT883" s="57"/>
      <c r="BU883" s="62"/>
      <c r="BV883" s="8"/>
      <c r="BW883" s="58"/>
    </row>
    <row r="884" spans="41:75" x14ac:dyDescent="0.35">
      <c r="AO884" s="39">
        <v>882</v>
      </c>
      <c r="AP884" s="62"/>
      <c r="AQ884" s="39"/>
      <c r="AR884" s="42" t="str">
        <f>IFERROR(VLOOKUP(AU884,[1]SUMMARY!$A$3:$B$7,2,FALSE),"")</f>
        <v/>
      </c>
      <c r="AS884" s="31"/>
      <c r="AT884" s="31" t="e">
        <f>VLOOKUP(AS884,[1]OUTLET!$B:$C,2,0)</f>
        <v>#N/A</v>
      </c>
      <c r="AU884" s="31"/>
      <c r="AV884" s="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55"/>
      <c r="BP884" s="40"/>
      <c r="BQ884" s="4"/>
      <c r="BR884" s="61"/>
      <c r="BS884" s="4"/>
      <c r="BT884" s="57"/>
      <c r="BU884" s="62"/>
      <c r="BV884" s="8"/>
      <c r="BW884" s="58"/>
    </row>
    <row r="885" spans="41:75" x14ac:dyDescent="0.35">
      <c r="AO885" s="39">
        <v>883</v>
      </c>
      <c r="AP885" s="62"/>
      <c r="AQ885" s="39"/>
      <c r="AR885" s="42" t="str">
        <f>IFERROR(VLOOKUP(AU885,[1]SUMMARY!$A$3:$B$7,2,FALSE),"")</f>
        <v/>
      </c>
      <c r="AS885" s="31"/>
      <c r="AT885" s="31" t="e">
        <f>VLOOKUP(AS885,[1]OUTLET!$B:$C,2,0)</f>
        <v>#N/A</v>
      </c>
      <c r="AU885" s="31"/>
      <c r="AV885" s="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55"/>
      <c r="BP885" s="40"/>
      <c r="BQ885" s="4"/>
      <c r="BR885" s="61"/>
      <c r="BS885" s="4"/>
      <c r="BT885" s="57"/>
      <c r="BU885" s="62"/>
      <c r="BV885" s="8"/>
      <c r="BW885" s="58"/>
    </row>
    <row r="886" spans="41:75" x14ac:dyDescent="0.35">
      <c r="AO886" s="39">
        <v>884</v>
      </c>
      <c r="AP886" s="62"/>
      <c r="AQ886" s="39"/>
      <c r="AR886" s="42" t="str">
        <f>IFERROR(VLOOKUP(AU886,[1]SUMMARY!$A$3:$B$7,2,FALSE),"")</f>
        <v/>
      </c>
      <c r="AS886" s="31"/>
      <c r="AT886" s="31" t="e">
        <f>VLOOKUP(AS886,[1]OUTLET!$B:$C,2,0)</f>
        <v>#N/A</v>
      </c>
      <c r="AU886" s="31"/>
      <c r="AV886" s="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55"/>
      <c r="BP886" s="40"/>
      <c r="BQ886" s="4"/>
      <c r="BR886" s="61"/>
      <c r="BS886" s="4"/>
      <c r="BT886" s="57"/>
      <c r="BU886" s="62"/>
      <c r="BV886" s="8"/>
      <c r="BW886" s="58"/>
    </row>
    <row r="887" spans="41:75" x14ac:dyDescent="0.35">
      <c r="AO887" s="39">
        <v>885</v>
      </c>
      <c r="AP887" s="62"/>
      <c r="AQ887" s="39"/>
      <c r="AR887" s="42" t="str">
        <f>IFERROR(VLOOKUP(AU887,[1]SUMMARY!$A$3:$B$7,2,FALSE),"")</f>
        <v/>
      </c>
      <c r="AS887" s="31"/>
      <c r="AT887" s="31" t="e">
        <f>VLOOKUP(AS887,[1]OUTLET!$B:$C,2,0)</f>
        <v>#N/A</v>
      </c>
      <c r="AU887" s="31"/>
      <c r="AV887" s="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55"/>
      <c r="BP887" s="40"/>
      <c r="BQ887" s="4"/>
      <c r="BR887" s="61"/>
      <c r="BS887" s="4"/>
      <c r="BT887" s="57"/>
      <c r="BU887" s="62"/>
      <c r="BV887" s="8"/>
      <c r="BW887" s="58"/>
    </row>
    <row r="888" spans="41:75" x14ac:dyDescent="0.35">
      <c r="AO888" s="39">
        <v>886</v>
      </c>
      <c r="AP888" s="62"/>
      <c r="AQ888" s="39"/>
      <c r="AR888" s="42" t="str">
        <f>IFERROR(VLOOKUP(AU888,[1]SUMMARY!$A$3:$B$7,2,FALSE),"")</f>
        <v/>
      </c>
      <c r="AS888" s="31"/>
      <c r="AT888" s="31" t="e">
        <f>VLOOKUP(AS888,[1]OUTLET!$B:$C,2,0)</f>
        <v>#N/A</v>
      </c>
      <c r="AU888" s="31"/>
      <c r="AV888" s="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55"/>
      <c r="BP888" s="40"/>
      <c r="BQ888" s="4"/>
      <c r="BR888" s="61"/>
      <c r="BS888" s="4"/>
      <c r="BT888" s="57"/>
      <c r="BU888" s="62"/>
      <c r="BV888" s="8"/>
      <c r="BW888" s="58"/>
    </row>
    <row r="889" spans="41:75" x14ac:dyDescent="0.35">
      <c r="AO889" s="39">
        <v>887</v>
      </c>
      <c r="AP889" s="62"/>
      <c r="AQ889" s="39"/>
      <c r="AR889" s="42" t="str">
        <f>IFERROR(VLOOKUP(AU889,[1]SUMMARY!$A$3:$B$7,2,FALSE),"")</f>
        <v/>
      </c>
      <c r="AS889" s="31"/>
      <c r="AT889" s="31" t="e">
        <f>VLOOKUP(AS889,[1]OUTLET!$B:$C,2,0)</f>
        <v>#N/A</v>
      </c>
      <c r="AU889" s="31"/>
      <c r="AV889" s="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55"/>
      <c r="BP889" s="40"/>
      <c r="BQ889" s="4"/>
      <c r="BR889" s="61"/>
      <c r="BS889" s="4"/>
      <c r="BT889" s="57"/>
      <c r="BU889" s="62"/>
      <c r="BV889" s="8"/>
      <c r="BW889" s="58"/>
    </row>
    <row r="890" spans="41:75" x14ac:dyDescent="0.35">
      <c r="AO890" s="39">
        <v>888</v>
      </c>
      <c r="AP890" s="62"/>
      <c r="AQ890" s="39"/>
      <c r="AR890" s="42" t="str">
        <f>IFERROR(VLOOKUP(AU890,[1]SUMMARY!$A$3:$B$7,2,FALSE),"")</f>
        <v/>
      </c>
      <c r="AS890" s="31"/>
      <c r="AT890" s="31" t="e">
        <f>VLOOKUP(AS890,[1]OUTLET!$B:$C,2,0)</f>
        <v>#N/A</v>
      </c>
      <c r="AU890" s="31"/>
      <c r="AV890" s="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55"/>
      <c r="BP890" s="40"/>
      <c r="BQ890" s="4"/>
      <c r="BR890" s="61"/>
      <c r="BS890" s="4"/>
      <c r="BT890" s="57"/>
      <c r="BU890" s="62"/>
      <c r="BV890" s="8"/>
      <c r="BW890" s="58"/>
    </row>
    <row r="891" spans="41:75" x14ac:dyDescent="0.35">
      <c r="AO891" s="39">
        <v>889</v>
      </c>
      <c r="AP891" s="62"/>
      <c r="AQ891" s="39"/>
      <c r="AR891" s="42" t="str">
        <f>IFERROR(VLOOKUP(AU891,[1]SUMMARY!$A$3:$B$7,2,FALSE),"")</f>
        <v/>
      </c>
      <c r="AS891" s="31"/>
      <c r="AT891" s="31" t="e">
        <f>VLOOKUP(AS891,[1]OUTLET!$B:$C,2,0)</f>
        <v>#N/A</v>
      </c>
      <c r="AU891" s="31"/>
      <c r="AV891" s="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55"/>
      <c r="BP891" s="40"/>
      <c r="BQ891" s="4"/>
      <c r="BR891" s="61"/>
      <c r="BS891" s="4"/>
      <c r="BT891" s="57"/>
      <c r="BU891" s="62"/>
      <c r="BV891" s="8"/>
      <c r="BW891" s="58"/>
    </row>
    <row r="892" spans="41:75" x14ac:dyDescent="0.35">
      <c r="AO892" s="39">
        <v>890</v>
      </c>
      <c r="AP892" s="62"/>
      <c r="AQ892" s="39"/>
      <c r="AR892" s="42" t="str">
        <f>IFERROR(VLOOKUP(AU892,[1]SUMMARY!$A$3:$B$7,2,FALSE),"")</f>
        <v/>
      </c>
      <c r="AS892" s="31"/>
      <c r="AT892" s="31" t="e">
        <f>VLOOKUP(AS892,[1]OUTLET!$B:$C,2,0)</f>
        <v>#N/A</v>
      </c>
      <c r="AU892" s="31"/>
      <c r="AV892" s="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55"/>
      <c r="BP892" s="40"/>
      <c r="BQ892" s="4"/>
      <c r="BR892" s="61"/>
      <c r="BS892" s="4"/>
      <c r="BT892" s="57"/>
      <c r="BU892" s="62"/>
      <c r="BV892" s="8"/>
      <c r="BW892" s="58"/>
    </row>
    <row r="893" spans="41:75" x14ac:dyDescent="0.35">
      <c r="AO893" s="39">
        <v>891</v>
      </c>
      <c r="AP893" s="62"/>
      <c r="AQ893" s="39"/>
      <c r="AR893" s="42" t="str">
        <f>IFERROR(VLOOKUP(AU893,[1]SUMMARY!$A$3:$B$7,2,FALSE),"")</f>
        <v/>
      </c>
      <c r="AS893" s="31"/>
      <c r="AT893" s="31" t="e">
        <f>VLOOKUP(AS893,[1]OUTLET!$B:$C,2,0)</f>
        <v>#N/A</v>
      </c>
      <c r="AU893" s="31"/>
      <c r="AV893" s="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55"/>
      <c r="BP893" s="40"/>
      <c r="BQ893" s="4"/>
      <c r="BR893" s="61"/>
      <c r="BS893" s="4"/>
      <c r="BT893" s="57"/>
      <c r="BU893" s="62"/>
      <c r="BV893" s="8"/>
      <c r="BW893" s="58"/>
    </row>
    <row r="894" spans="41:75" x14ac:dyDescent="0.35">
      <c r="AO894" s="39">
        <v>892</v>
      </c>
      <c r="AP894" s="62"/>
      <c r="AQ894" s="39"/>
      <c r="AR894" s="42" t="str">
        <f>IFERROR(VLOOKUP(AU894,[1]SUMMARY!$A$3:$B$7,2,FALSE),"")</f>
        <v/>
      </c>
      <c r="AS894" s="31"/>
      <c r="AT894" s="31" t="e">
        <f>VLOOKUP(AS894,[1]OUTLET!$B:$C,2,0)</f>
        <v>#N/A</v>
      </c>
      <c r="AU894" s="31"/>
      <c r="AV894" s="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55"/>
      <c r="BP894" s="40"/>
      <c r="BQ894" s="4"/>
      <c r="BR894" s="61"/>
      <c r="BS894" s="4"/>
      <c r="BT894" s="57"/>
      <c r="BU894" s="62"/>
      <c r="BV894" s="8"/>
      <c r="BW894" s="58"/>
    </row>
    <row r="895" spans="41:75" x14ac:dyDescent="0.35">
      <c r="AO895" s="39">
        <v>893</v>
      </c>
      <c r="AP895" s="62"/>
      <c r="AQ895" s="39"/>
      <c r="AR895" s="42" t="str">
        <f>IFERROR(VLOOKUP(AU895,[1]SUMMARY!$A$3:$B$7,2,FALSE),"")</f>
        <v/>
      </c>
      <c r="AS895" s="31"/>
      <c r="AT895" s="31" t="e">
        <f>VLOOKUP(AS895,[1]OUTLET!$B:$C,2,0)</f>
        <v>#N/A</v>
      </c>
      <c r="AU895" s="31"/>
      <c r="AV895" s="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55"/>
      <c r="BP895" s="40"/>
      <c r="BQ895" s="4"/>
      <c r="BR895" s="61"/>
      <c r="BS895" s="4"/>
      <c r="BT895" s="57"/>
      <c r="BU895" s="62"/>
      <c r="BV895" s="8"/>
      <c r="BW895" s="58"/>
    </row>
    <row r="896" spans="41:75" x14ac:dyDescent="0.35">
      <c r="AO896" s="39">
        <v>894</v>
      </c>
      <c r="AP896" s="62"/>
      <c r="AQ896" s="39"/>
      <c r="AR896" s="42" t="str">
        <f>IFERROR(VLOOKUP(AU896,[1]SUMMARY!$A$3:$B$7,2,FALSE),"")</f>
        <v/>
      </c>
      <c r="AS896" s="31"/>
      <c r="AT896" s="31" t="e">
        <f>VLOOKUP(AS896,[1]OUTLET!$B:$C,2,0)</f>
        <v>#N/A</v>
      </c>
      <c r="AU896" s="31"/>
      <c r="AV896" s="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55"/>
      <c r="BP896" s="40"/>
      <c r="BQ896" s="4"/>
      <c r="BR896" s="61"/>
      <c r="BS896" s="4"/>
      <c r="BT896" s="57"/>
      <c r="BU896" s="62"/>
      <c r="BV896" s="8"/>
      <c r="BW896" s="58"/>
    </row>
    <row r="897" spans="41:75" x14ac:dyDescent="0.35">
      <c r="AO897" s="39">
        <v>895</v>
      </c>
      <c r="AP897" s="62"/>
      <c r="AQ897" s="39"/>
      <c r="AR897" s="42" t="str">
        <f>IFERROR(VLOOKUP(AU897,[1]SUMMARY!$A$3:$B$7,2,FALSE),"")</f>
        <v/>
      </c>
      <c r="AS897" s="31"/>
      <c r="AT897" s="31" t="e">
        <f>VLOOKUP(AS897,[1]OUTLET!$B:$C,2,0)</f>
        <v>#N/A</v>
      </c>
      <c r="AU897" s="31"/>
      <c r="AV897" s="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55"/>
      <c r="BP897" s="40"/>
      <c r="BQ897" s="4"/>
      <c r="BR897" s="61"/>
      <c r="BS897" s="4"/>
      <c r="BT897" s="57"/>
      <c r="BU897" s="62"/>
      <c r="BV897" s="8"/>
      <c r="BW897" s="58"/>
    </row>
    <row r="898" spans="41:75" x14ac:dyDescent="0.35">
      <c r="AO898" s="39">
        <v>896</v>
      </c>
      <c r="AP898" s="62"/>
      <c r="AQ898" s="39"/>
      <c r="AR898" s="42" t="str">
        <f>IFERROR(VLOOKUP(AU898,[1]SUMMARY!$A$3:$B$7,2,FALSE),"")</f>
        <v/>
      </c>
      <c r="AS898" s="31"/>
      <c r="AT898" s="31" t="e">
        <f>VLOOKUP(AS898,[1]OUTLET!$B:$C,2,0)</f>
        <v>#N/A</v>
      </c>
      <c r="AU898" s="31"/>
      <c r="AV898" s="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55"/>
      <c r="BP898" s="40"/>
      <c r="BQ898" s="4"/>
      <c r="BR898" s="61"/>
      <c r="BS898" s="4"/>
      <c r="BT898" s="57"/>
      <c r="BU898" s="62"/>
      <c r="BV898" s="8"/>
      <c r="BW898" s="58"/>
    </row>
    <row r="899" spans="41:75" x14ac:dyDescent="0.35">
      <c r="AO899" s="39">
        <v>897</v>
      </c>
      <c r="AP899" s="62"/>
      <c r="AQ899" s="39"/>
      <c r="AR899" s="42" t="str">
        <f>IFERROR(VLOOKUP(AU899,[1]SUMMARY!$A$3:$B$7,2,FALSE),"")</f>
        <v/>
      </c>
      <c r="AS899" s="31"/>
      <c r="AT899" s="31" t="e">
        <f>VLOOKUP(AS899,[1]OUTLET!$B:$C,2,0)</f>
        <v>#N/A</v>
      </c>
      <c r="AU899" s="31"/>
      <c r="AV899" s="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55"/>
      <c r="BP899" s="40"/>
      <c r="BQ899" s="4"/>
      <c r="BR899" s="61"/>
      <c r="BS899" s="4"/>
      <c r="BT899" s="57"/>
      <c r="BU899" s="62"/>
      <c r="BV899" s="8"/>
      <c r="BW899" s="58"/>
    </row>
    <row r="900" spans="41:75" x14ac:dyDescent="0.35">
      <c r="AO900" s="39">
        <v>898</v>
      </c>
      <c r="AP900" s="62"/>
      <c r="AQ900" s="39"/>
      <c r="AR900" s="42" t="str">
        <f>IFERROR(VLOOKUP(AU900,[1]SUMMARY!$A$3:$B$7,2,FALSE),"")</f>
        <v/>
      </c>
      <c r="AS900" s="31"/>
      <c r="AT900" s="31" t="e">
        <f>VLOOKUP(AS900,[1]OUTLET!$B:$C,2,0)</f>
        <v>#N/A</v>
      </c>
      <c r="AU900" s="31"/>
      <c r="AV900" s="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55"/>
      <c r="BP900" s="40"/>
      <c r="BQ900" s="4"/>
      <c r="BR900" s="61"/>
      <c r="BS900" s="4"/>
      <c r="BT900" s="57"/>
      <c r="BU900" s="62"/>
      <c r="BV900" s="8"/>
      <c r="BW900" s="58"/>
    </row>
    <row r="901" spans="41:75" x14ac:dyDescent="0.35">
      <c r="AO901" s="39">
        <v>899</v>
      </c>
      <c r="AP901" s="62"/>
      <c r="AQ901" s="39"/>
      <c r="AR901" s="42" t="str">
        <f>IFERROR(VLOOKUP(AU901,[1]SUMMARY!$A$3:$B$7,2,FALSE),"")</f>
        <v/>
      </c>
      <c r="AS901" s="31"/>
      <c r="AT901" s="31" t="e">
        <f>VLOOKUP(AS901,[1]OUTLET!$B:$C,2,0)</f>
        <v>#N/A</v>
      </c>
      <c r="AU901" s="31"/>
      <c r="AV901" s="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55"/>
      <c r="BP901" s="40"/>
      <c r="BQ901" s="4"/>
      <c r="BR901" s="61"/>
      <c r="BS901" s="4"/>
      <c r="BT901" s="57"/>
      <c r="BU901" s="62"/>
      <c r="BV901" s="8"/>
      <c r="BW901" s="58"/>
    </row>
    <row r="902" spans="41:75" x14ac:dyDescent="0.35">
      <c r="AO902" s="39">
        <v>900</v>
      </c>
      <c r="AP902" s="62"/>
      <c r="AQ902" s="39"/>
      <c r="AR902" s="42" t="str">
        <f>IFERROR(VLOOKUP(AU902,[1]SUMMARY!$A$3:$B$7,2,FALSE),"")</f>
        <v/>
      </c>
      <c r="AS902" s="31"/>
      <c r="AT902" s="31" t="e">
        <f>VLOOKUP(AS902,[1]OUTLET!$B:$C,2,0)</f>
        <v>#N/A</v>
      </c>
      <c r="AU902" s="31"/>
      <c r="AV902" s="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55"/>
      <c r="BP902" s="40"/>
      <c r="BQ902" s="4"/>
      <c r="BR902" s="61"/>
      <c r="BS902" s="4"/>
      <c r="BT902" s="57"/>
      <c r="BU902" s="62"/>
      <c r="BV902" s="8"/>
      <c r="BW902" s="58"/>
    </row>
    <row r="903" spans="41:75" x14ac:dyDescent="0.35">
      <c r="AO903" s="39">
        <v>901</v>
      </c>
      <c r="AP903" s="62"/>
      <c r="AQ903" s="39"/>
      <c r="AR903" s="42" t="str">
        <f>IFERROR(VLOOKUP(AU903,[1]SUMMARY!$A$3:$B$7,2,FALSE),"")</f>
        <v/>
      </c>
      <c r="AS903" s="31"/>
      <c r="AT903" s="31" t="e">
        <f>VLOOKUP(AS903,[1]OUTLET!$B:$C,2,0)</f>
        <v>#N/A</v>
      </c>
      <c r="AU903" s="31"/>
      <c r="AV903" s="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55"/>
      <c r="BP903" s="40"/>
      <c r="BQ903" s="4"/>
      <c r="BR903" s="61"/>
      <c r="BS903" s="4"/>
      <c r="BT903" s="57"/>
      <c r="BU903" s="62"/>
      <c r="BV903" s="8"/>
      <c r="BW903" s="58"/>
    </row>
    <row r="904" spans="41:75" x14ac:dyDescent="0.35">
      <c r="AO904" s="39">
        <v>902</v>
      </c>
      <c r="AP904" s="62"/>
      <c r="AQ904" s="39"/>
      <c r="AR904" s="42" t="str">
        <f>IFERROR(VLOOKUP(AU904,[1]SUMMARY!$A$3:$B$7,2,FALSE),"")</f>
        <v/>
      </c>
      <c r="AS904" s="31"/>
      <c r="AT904" s="31" t="e">
        <f>VLOOKUP(AS904,[1]OUTLET!$B:$C,2,0)</f>
        <v>#N/A</v>
      </c>
      <c r="AU904" s="31"/>
      <c r="AV904" s="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55"/>
      <c r="BP904" s="40"/>
      <c r="BQ904" s="4"/>
      <c r="BR904" s="61"/>
      <c r="BS904" s="4"/>
      <c r="BT904" s="57"/>
      <c r="BU904" s="62"/>
      <c r="BV904" s="8"/>
      <c r="BW904" s="58"/>
    </row>
    <row r="905" spans="41:75" x14ac:dyDescent="0.35">
      <c r="AO905" s="39">
        <v>903</v>
      </c>
      <c r="AP905" s="62"/>
      <c r="AQ905" s="39"/>
      <c r="AR905" s="42" t="str">
        <f>IFERROR(VLOOKUP(AU905,[1]SUMMARY!$A$3:$B$7,2,FALSE),"")</f>
        <v/>
      </c>
      <c r="AS905" s="31"/>
      <c r="AT905" s="31" t="e">
        <f>VLOOKUP(AS905,[1]OUTLET!$B:$C,2,0)</f>
        <v>#N/A</v>
      </c>
      <c r="AU905" s="31"/>
      <c r="AV905" s="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55"/>
      <c r="BP905" s="40"/>
      <c r="BQ905" s="4"/>
      <c r="BR905" s="61"/>
      <c r="BS905" s="4"/>
      <c r="BT905" s="57"/>
      <c r="BU905" s="62"/>
      <c r="BV905" s="8"/>
      <c r="BW905" s="58"/>
    </row>
    <row r="906" spans="41:75" x14ac:dyDescent="0.35">
      <c r="AO906" s="39">
        <v>904</v>
      </c>
      <c r="AP906" s="62"/>
      <c r="AQ906" s="39"/>
      <c r="AR906" s="42" t="str">
        <f>IFERROR(VLOOKUP(AU906,[1]SUMMARY!$A$3:$B$7,2,FALSE),"")</f>
        <v/>
      </c>
      <c r="AS906" s="31"/>
      <c r="AT906" s="31" t="e">
        <f>VLOOKUP(AS906,[1]OUTLET!$B:$C,2,0)</f>
        <v>#N/A</v>
      </c>
      <c r="AU906" s="31"/>
      <c r="AV906" s="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55"/>
      <c r="BP906" s="40"/>
      <c r="BQ906" s="4"/>
      <c r="BR906" s="61"/>
      <c r="BS906" s="4"/>
      <c r="BT906" s="57"/>
      <c r="BU906" s="62"/>
      <c r="BV906" s="8"/>
      <c r="BW906" s="58"/>
    </row>
    <row r="907" spans="41:75" x14ac:dyDescent="0.35">
      <c r="AO907" s="39">
        <v>905</v>
      </c>
      <c r="AP907" s="62"/>
      <c r="AQ907" s="39"/>
      <c r="AR907" s="42" t="str">
        <f>IFERROR(VLOOKUP(AU907,[1]SUMMARY!$A$3:$B$7,2,FALSE),"")</f>
        <v/>
      </c>
      <c r="AS907" s="31"/>
      <c r="AT907" s="31" t="e">
        <f>VLOOKUP(AS907,[1]OUTLET!$B:$C,2,0)</f>
        <v>#N/A</v>
      </c>
      <c r="AU907" s="31"/>
      <c r="AV907" s="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55"/>
      <c r="BP907" s="40"/>
      <c r="BQ907" s="4"/>
      <c r="BR907" s="61"/>
      <c r="BS907" s="4"/>
      <c r="BT907" s="57"/>
      <c r="BU907" s="62"/>
      <c r="BV907" s="8"/>
      <c r="BW907" s="58"/>
    </row>
    <row r="908" spans="41:75" x14ac:dyDescent="0.35">
      <c r="AO908" s="39">
        <v>906</v>
      </c>
      <c r="AP908" s="62"/>
      <c r="AQ908" s="39"/>
      <c r="AR908" s="42" t="str">
        <f>IFERROR(VLOOKUP(AU908,[1]SUMMARY!$A$3:$B$7,2,FALSE),"")</f>
        <v/>
      </c>
      <c r="AS908" s="31"/>
      <c r="AT908" s="31" t="e">
        <f>VLOOKUP(AS908,[1]OUTLET!$B:$C,2,0)</f>
        <v>#N/A</v>
      </c>
      <c r="AU908" s="31"/>
      <c r="AV908" s="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55"/>
      <c r="BP908" s="40"/>
      <c r="BQ908" s="4"/>
      <c r="BR908" s="61"/>
      <c r="BS908" s="4"/>
      <c r="BT908" s="57"/>
      <c r="BU908" s="62"/>
      <c r="BV908" s="8"/>
      <c r="BW908" s="58"/>
    </row>
    <row r="909" spans="41:75" x14ac:dyDescent="0.35">
      <c r="AO909" s="39">
        <v>907</v>
      </c>
      <c r="AP909" s="62"/>
      <c r="AQ909" s="39"/>
      <c r="AR909" s="42" t="str">
        <f>IFERROR(VLOOKUP(AU909,[1]SUMMARY!$A$3:$B$7,2,FALSE),"")</f>
        <v/>
      </c>
      <c r="AS909" s="31"/>
      <c r="AT909" s="31" t="e">
        <f>VLOOKUP(AS909,[1]OUTLET!$B:$C,2,0)</f>
        <v>#N/A</v>
      </c>
      <c r="AU909" s="31"/>
      <c r="AV909" s="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55"/>
      <c r="BP909" s="40"/>
      <c r="BQ909" s="4"/>
      <c r="BR909" s="61"/>
      <c r="BS909" s="4"/>
      <c r="BT909" s="57"/>
      <c r="BU909" s="62"/>
      <c r="BV909" s="8"/>
      <c r="BW909" s="58"/>
    </row>
    <row r="910" spans="41:75" x14ac:dyDescent="0.35">
      <c r="AO910" s="39">
        <v>908</v>
      </c>
      <c r="AP910" s="62"/>
      <c r="AQ910" s="39"/>
      <c r="AR910" s="42" t="str">
        <f>IFERROR(VLOOKUP(AU910,[1]SUMMARY!$A$3:$B$7,2,FALSE),"")</f>
        <v/>
      </c>
      <c r="AS910" s="31"/>
      <c r="AT910" s="31" t="e">
        <f>VLOOKUP(AS910,[1]OUTLET!$B:$C,2,0)</f>
        <v>#N/A</v>
      </c>
      <c r="AU910" s="31"/>
      <c r="AV910" s="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55"/>
      <c r="BP910" s="40"/>
      <c r="BQ910" s="4"/>
      <c r="BR910" s="61"/>
      <c r="BS910" s="4"/>
      <c r="BT910" s="57"/>
      <c r="BU910" s="62"/>
      <c r="BV910" s="8"/>
      <c r="BW910" s="58"/>
    </row>
    <row r="911" spans="41:75" x14ac:dyDescent="0.35">
      <c r="AO911" s="39">
        <v>909</v>
      </c>
      <c r="AP911" s="62"/>
      <c r="AQ911" s="39"/>
      <c r="AR911" s="42" t="str">
        <f>IFERROR(VLOOKUP(AU911,[1]SUMMARY!$A$3:$B$7,2,FALSE),"")</f>
        <v/>
      </c>
      <c r="AS911" s="31"/>
      <c r="AT911" s="31" t="e">
        <f>VLOOKUP(AS911,[1]OUTLET!$B:$C,2,0)</f>
        <v>#N/A</v>
      </c>
      <c r="AU911" s="31"/>
      <c r="AV911" s="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55"/>
      <c r="BP911" s="40"/>
      <c r="BQ911" s="4"/>
      <c r="BR911" s="61"/>
      <c r="BS911" s="4"/>
      <c r="BT911" s="57"/>
      <c r="BU911" s="62"/>
      <c r="BV911" s="8"/>
      <c r="BW911" s="58"/>
    </row>
    <row r="912" spans="41:75" x14ac:dyDescent="0.35">
      <c r="AO912" s="39">
        <v>910</v>
      </c>
      <c r="AP912" s="62"/>
      <c r="AQ912" s="39"/>
      <c r="AR912" s="42" t="str">
        <f>IFERROR(VLOOKUP(AU912,[1]SUMMARY!$A$3:$B$7,2,FALSE),"")</f>
        <v/>
      </c>
      <c r="AS912" s="31"/>
      <c r="AT912" s="31" t="e">
        <f>VLOOKUP(AS912,[1]OUTLET!$B:$C,2,0)</f>
        <v>#N/A</v>
      </c>
      <c r="AU912" s="31"/>
      <c r="AV912" s="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55"/>
      <c r="BP912" s="40"/>
      <c r="BQ912" s="4"/>
      <c r="BR912" s="61"/>
      <c r="BS912" s="4"/>
      <c r="BT912" s="57"/>
      <c r="BU912" s="62"/>
      <c r="BV912" s="8"/>
      <c r="BW912" s="58"/>
    </row>
    <row r="913" spans="41:75" x14ac:dyDescent="0.35">
      <c r="AO913" s="39">
        <v>911</v>
      </c>
      <c r="AP913" s="62"/>
      <c r="AQ913" s="39"/>
      <c r="AR913" s="42" t="str">
        <f>IFERROR(VLOOKUP(AU913,[1]SUMMARY!$A$3:$B$7,2,FALSE),"")</f>
        <v/>
      </c>
      <c r="AS913" s="31"/>
      <c r="AT913" s="31" t="e">
        <f>VLOOKUP(AS913,[1]OUTLET!$B:$C,2,0)</f>
        <v>#N/A</v>
      </c>
      <c r="AU913" s="31"/>
      <c r="AV913" s="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55"/>
      <c r="BP913" s="40"/>
      <c r="BQ913" s="4"/>
      <c r="BR913" s="61"/>
      <c r="BS913" s="4"/>
      <c r="BT913" s="57"/>
      <c r="BU913" s="62"/>
      <c r="BV913" s="8"/>
      <c r="BW913" s="58"/>
    </row>
    <row r="914" spans="41:75" x14ac:dyDescent="0.35">
      <c r="AO914" s="39">
        <v>912</v>
      </c>
      <c r="AP914" s="62"/>
      <c r="AQ914" s="39"/>
      <c r="AR914" s="42" t="str">
        <f>IFERROR(VLOOKUP(AU914,[1]SUMMARY!$A$3:$B$7,2,FALSE),"")</f>
        <v/>
      </c>
      <c r="AS914" s="31"/>
      <c r="AT914" s="31" t="e">
        <f>VLOOKUP(AS914,[1]OUTLET!$B:$C,2,0)</f>
        <v>#N/A</v>
      </c>
      <c r="AU914" s="31"/>
      <c r="AV914" s="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55"/>
      <c r="BP914" s="40"/>
      <c r="BQ914" s="4"/>
      <c r="BR914" s="61"/>
      <c r="BS914" s="4"/>
      <c r="BT914" s="57"/>
      <c r="BU914" s="62"/>
      <c r="BV914" s="8"/>
      <c r="BW914" s="58"/>
    </row>
    <row r="915" spans="41:75" x14ac:dyDescent="0.35">
      <c r="AO915" s="39">
        <v>913</v>
      </c>
      <c r="AP915" s="62"/>
      <c r="AQ915" s="39"/>
      <c r="AR915" s="42" t="str">
        <f>IFERROR(VLOOKUP(AU915,[1]SUMMARY!$A$3:$B$7,2,FALSE),"")</f>
        <v/>
      </c>
      <c r="AS915" s="31"/>
      <c r="AT915" s="31" t="e">
        <f>VLOOKUP(AS915,[1]OUTLET!$B:$C,2,0)</f>
        <v>#N/A</v>
      </c>
      <c r="AU915" s="31"/>
      <c r="AV915" s="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55"/>
      <c r="BP915" s="40"/>
      <c r="BQ915" s="4"/>
      <c r="BR915" s="61"/>
      <c r="BS915" s="4"/>
      <c r="BT915" s="57"/>
      <c r="BU915" s="62"/>
      <c r="BV915" s="8"/>
      <c r="BW915" s="58"/>
    </row>
    <row r="916" spans="41:75" x14ac:dyDescent="0.35">
      <c r="AO916" s="39">
        <v>914</v>
      </c>
      <c r="AP916" s="62"/>
      <c r="AQ916" s="39"/>
      <c r="AR916" s="42" t="str">
        <f>IFERROR(VLOOKUP(AU916,[1]SUMMARY!$A$3:$B$7,2,FALSE),"")</f>
        <v/>
      </c>
      <c r="AS916" s="31"/>
      <c r="AT916" s="31" t="e">
        <f>VLOOKUP(AS916,[1]OUTLET!$B:$C,2,0)</f>
        <v>#N/A</v>
      </c>
      <c r="AU916" s="31"/>
      <c r="AV916" s="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55"/>
      <c r="BP916" s="40"/>
      <c r="BQ916" s="4"/>
      <c r="BR916" s="61"/>
      <c r="BS916" s="4"/>
      <c r="BT916" s="57"/>
      <c r="BU916" s="62"/>
      <c r="BV916" s="8"/>
      <c r="BW916" s="58"/>
    </row>
    <row r="917" spans="41:75" x14ac:dyDescent="0.35">
      <c r="AO917" s="39">
        <v>915</v>
      </c>
      <c r="AP917" s="62"/>
      <c r="AQ917" s="39"/>
      <c r="AR917" s="42" t="str">
        <f>IFERROR(VLOOKUP(AU917,[1]SUMMARY!$A$3:$B$7,2,FALSE),"")</f>
        <v/>
      </c>
      <c r="AS917" s="31"/>
      <c r="AT917" s="31" t="e">
        <f>VLOOKUP(AS917,[1]OUTLET!$B:$C,2,0)</f>
        <v>#N/A</v>
      </c>
      <c r="AU917" s="31"/>
      <c r="AV917" s="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55"/>
      <c r="BP917" s="40"/>
      <c r="BQ917" s="4"/>
      <c r="BR917" s="61"/>
      <c r="BS917" s="4"/>
      <c r="BT917" s="57"/>
      <c r="BU917" s="62"/>
      <c r="BV917" s="8"/>
      <c r="BW917" s="58"/>
    </row>
    <row r="918" spans="41:75" x14ac:dyDescent="0.35">
      <c r="AO918" s="39">
        <v>916</v>
      </c>
      <c r="AP918" s="62"/>
      <c r="AQ918" s="39"/>
      <c r="AR918" s="42" t="str">
        <f>IFERROR(VLOOKUP(AU918,[1]SUMMARY!$A$3:$B$7,2,FALSE),"")</f>
        <v/>
      </c>
      <c r="AS918" s="31"/>
      <c r="AT918" s="31" t="e">
        <f>VLOOKUP(AS918,[1]OUTLET!$B:$C,2,0)</f>
        <v>#N/A</v>
      </c>
      <c r="AU918" s="31"/>
      <c r="AV918" s="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55"/>
      <c r="BP918" s="40"/>
      <c r="BQ918" s="4"/>
      <c r="BR918" s="61"/>
      <c r="BS918" s="4"/>
      <c r="BT918" s="57"/>
      <c r="BU918" s="62"/>
      <c r="BV918" s="8"/>
      <c r="BW918" s="58"/>
    </row>
    <row r="919" spans="41:75" x14ac:dyDescent="0.35">
      <c r="AO919" s="39">
        <v>917</v>
      </c>
      <c r="AP919" s="62"/>
      <c r="AQ919" s="39"/>
      <c r="AR919" s="42" t="str">
        <f>IFERROR(VLOOKUP(AU919,[1]SUMMARY!$A$3:$B$7,2,FALSE),"")</f>
        <v/>
      </c>
      <c r="AS919" s="31"/>
      <c r="AT919" s="31" t="e">
        <f>VLOOKUP(AS919,[1]OUTLET!$B:$C,2,0)</f>
        <v>#N/A</v>
      </c>
      <c r="AU919" s="31"/>
      <c r="AV919" s="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55"/>
      <c r="BP919" s="40"/>
      <c r="BQ919" s="4"/>
      <c r="BR919" s="61"/>
      <c r="BS919" s="4"/>
      <c r="BT919" s="57"/>
      <c r="BU919" s="62"/>
      <c r="BV919" s="8"/>
      <c r="BW919" s="58"/>
    </row>
    <row r="920" spans="41:75" x14ac:dyDescent="0.35">
      <c r="AO920" s="39">
        <v>918</v>
      </c>
      <c r="AP920" s="62"/>
      <c r="AQ920" s="39"/>
      <c r="AR920" s="42" t="str">
        <f>IFERROR(VLOOKUP(AU920,[1]SUMMARY!$A$3:$B$7,2,FALSE),"")</f>
        <v/>
      </c>
      <c r="AS920" s="31"/>
      <c r="AT920" s="31" t="e">
        <f>VLOOKUP(AS920,[1]OUTLET!$B:$C,2,0)</f>
        <v>#N/A</v>
      </c>
      <c r="AU920" s="31"/>
      <c r="AV920" s="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55"/>
      <c r="BP920" s="40"/>
      <c r="BQ920" s="4"/>
      <c r="BR920" s="61"/>
      <c r="BS920" s="4"/>
      <c r="BT920" s="57"/>
      <c r="BU920" s="62"/>
      <c r="BV920" s="8"/>
      <c r="BW920" s="58"/>
    </row>
    <row r="921" spans="41:75" x14ac:dyDescent="0.35">
      <c r="AO921" s="39">
        <v>919</v>
      </c>
      <c r="AP921" s="62"/>
      <c r="AQ921" s="39"/>
      <c r="AR921" s="42" t="str">
        <f>IFERROR(VLOOKUP(AU921,[1]SUMMARY!$A$3:$B$7,2,FALSE),"")</f>
        <v/>
      </c>
      <c r="AS921" s="31"/>
      <c r="AT921" s="31" t="e">
        <f>VLOOKUP(AS921,[1]OUTLET!$B:$C,2,0)</f>
        <v>#N/A</v>
      </c>
      <c r="AU921" s="31"/>
      <c r="AV921" s="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55"/>
      <c r="BP921" s="40"/>
      <c r="BQ921" s="4"/>
      <c r="BR921" s="61"/>
      <c r="BS921" s="4"/>
      <c r="BT921" s="57"/>
      <c r="BU921" s="62"/>
      <c r="BV921" s="8"/>
      <c r="BW921" s="58"/>
    </row>
    <row r="922" spans="41:75" x14ac:dyDescent="0.35">
      <c r="AO922" s="39">
        <v>920</v>
      </c>
      <c r="AP922" s="62"/>
      <c r="AQ922" s="39"/>
      <c r="AR922" s="42" t="str">
        <f>IFERROR(VLOOKUP(AU922,[1]SUMMARY!$A$3:$B$7,2,FALSE),"")</f>
        <v/>
      </c>
      <c r="AS922" s="31"/>
      <c r="AT922" s="31" t="e">
        <f>VLOOKUP(AS922,[1]OUTLET!$B:$C,2,0)</f>
        <v>#N/A</v>
      </c>
      <c r="AU922" s="31"/>
      <c r="AV922" s="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55"/>
      <c r="BP922" s="40"/>
      <c r="BQ922" s="4"/>
      <c r="BR922" s="61"/>
      <c r="BS922" s="4"/>
      <c r="BT922" s="57"/>
      <c r="BU922" s="62"/>
      <c r="BV922" s="8"/>
      <c r="BW922" s="58"/>
    </row>
    <row r="923" spans="41:75" x14ac:dyDescent="0.35">
      <c r="AO923" s="39">
        <v>921</v>
      </c>
      <c r="AP923" s="62"/>
      <c r="AQ923" s="39"/>
      <c r="AR923" s="42" t="str">
        <f>IFERROR(VLOOKUP(AU923,[1]SUMMARY!$A$3:$B$7,2,FALSE),"")</f>
        <v/>
      </c>
      <c r="AS923" s="31"/>
      <c r="AT923" s="31" t="e">
        <f>VLOOKUP(AS923,[1]OUTLET!$B:$C,2,0)</f>
        <v>#N/A</v>
      </c>
      <c r="AU923" s="31"/>
      <c r="AV923" s="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55"/>
      <c r="BP923" s="40"/>
      <c r="BQ923" s="4"/>
      <c r="BR923" s="61"/>
      <c r="BS923" s="4"/>
      <c r="BT923" s="57"/>
      <c r="BU923" s="62"/>
      <c r="BV923" s="8"/>
      <c r="BW923" s="58"/>
    </row>
    <row r="924" spans="41:75" x14ac:dyDescent="0.35">
      <c r="AO924" s="39">
        <v>922</v>
      </c>
      <c r="AP924" s="62"/>
      <c r="AQ924" s="39"/>
      <c r="AR924" s="42" t="str">
        <f>IFERROR(VLOOKUP(AU924,[1]SUMMARY!$A$3:$B$7,2,FALSE),"")</f>
        <v/>
      </c>
      <c r="AS924" s="31"/>
      <c r="AT924" s="31" t="e">
        <f>VLOOKUP(AS924,[1]OUTLET!$B:$C,2,0)</f>
        <v>#N/A</v>
      </c>
      <c r="AU924" s="31"/>
      <c r="AV924" s="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55"/>
      <c r="BP924" s="40"/>
      <c r="BQ924" s="4"/>
      <c r="BR924" s="61"/>
      <c r="BS924" s="4"/>
      <c r="BT924" s="57"/>
      <c r="BU924" s="62"/>
      <c r="BV924" s="8"/>
      <c r="BW924" s="58"/>
    </row>
    <row r="925" spans="41:75" x14ac:dyDescent="0.35">
      <c r="AO925" s="39">
        <v>923</v>
      </c>
      <c r="AP925" s="62"/>
      <c r="AQ925" s="39"/>
      <c r="AR925" s="42" t="str">
        <f>IFERROR(VLOOKUP(AU925,[1]SUMMARY!$A$3:$B$7,2,FALSE),"")</f>
        <v/>
      </c>
      <c r="AS925" s="31"/>
      <c r="AT925" s="31" t="e">
        <f>VLOOKUP(AS925,[1]OUTLET!$B:$C,2,0)</f>
        <v>#N/A</v>
      </c>
      <c r="AU925" s="31"/>
      <c r="AV925" s="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55"/>
      <c r="BP925" s="40"/>
      <c r="BQ925" s="4"/>
      <c r="BR925" s="61"/>
      <c r="BS925" s="4"/>
      <c r="BT925" s="57"/>
      <c r="BU925" s="62"/>
      <c r="BV925" s="8"/>
      <c r="BW925" s="58"/>
    </row>
    <row r="926" spans="41:75" x14ac:dyDescent="0.35">
      <c r="AO926" s="39">
        <v>924</v>
      </c>
      <c r="AP926" s="62"/>
      <c r="AQ926" s="39"/>
      <c r="AR926" s="42" t="str">
        <f>IFERROR(VLOOKUP(AU926,[1]SUMMARY!$A$3:$B$7,2,FALSE),"")</f>
        <v/>
      </c>
      <c r="AS926" s="31"/>
      <c r="AT926" s="31" t="e">
        <f>VLOOKUP(AS926,[1]OUTLET!$B:$C,2,0)</f>
        <v>#N/A</v>
      </c>
      <c r="AU926" s="31"/>
      <c r="AV926" s="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55"/>
      <c r="BP926" s="40"/>
      <c r="BQ926" s="4"/>
      <c r="BR926" s="61"/>
      <c r="BS926" s="4"/>
      <c r="BT926" s="57"/>
      <c r="BU926" s="62"/>
      <c r="BV926" s="8"/>
      <c r="BW926" s="58"/>
    </row>
    <row r="927" spans="41:75" x14ac:dyDescent="0.35">
      <c r="AO927" s="39">
        <v>925</v>
      </c>
      <c r="AP927" s="62"/>
      <c r="AQ927" s="39"/>
      <c r="AR927" s="42" t="str">
        <f>IFERROR(VLOOKUP(AU927,[1]SUMMARY!$A$3:$B$7,2,FALSE),"")</f>
        <v/>
      </c>
      <c r="AS927" s="31"/>
      <c r="AT927" s="31" t="e">
        <f>VLOOKUP(AS927,[1]OUTLET!$B:$C,2,0)</f>
        <v>#N/A</v>
      </c>
      <c r="AU927" s="31"/>
      <c r="AV927" s="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55"/>
      <c r="BP927" s="40"/>
      <c r="BQ927" s="4"/>
      <c r="BR927" s="61"/>
      <c r="BS927" s="4"/>
      <c r="BT927" s="57"/>
      <c r="BU927" s="62"/>
      <c r="BV927" s="8"/>
      <c r="BW927" s="58"/>
    </row>
    <row r="928" spans="41:75" x14ac:dyDescent="0.35">
      <c r="AO928" s="39">
        <v>926</v>
      </c>
      <c r="AP928" s="62"/>
      <c r="AQ928" s="39"/>
      <c r="AR928" s="42" t="str">
        <f>IFERROR(VLOOKUP(AU928,[1]SUMMARY!$A$3:$B$7,2,FALSE),"")</f>
        <v/>
      </c>
      <c r="AS928" s="31"/>
      <c r="AT928" s="31" t="e">
        <f>VLOOKUP(AS928,[1]OUTLET!$B:$C,2,0)</f>
        <v>#N/A</v>
      </c>
      <c r="AU928" s="31"/>
      <c r="AV928" s="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55"/>
      <c r="BP928" s="40"/>
      <c r="BQ928" s="4"/>
      <c r="BR928" s="61"/>
      <c r="BS928" s="4"/>
      <c r="BT928" s="57"/>
      <c r="BU928" s="62"/>
      <c r="BV928" s="8"/>
      <c r="BW928" s="58"/>
    </row>
    <row r="929" spans="41:75" x14ac:dyDescent="0.35">
      <c r="AO929" s="39">
        <v>927</v>
      </c>
      <c r="AP929" s="62"/>
      <c r="AQ929" s="39"/>
      <c r="AR929" s="42" t="str">
        <f>IFERROR(VLOOKUP(AU929,[1]SUMMARY!$A$3:$B$7,2,FALSE),"")</f>
        <v/>
      </c>
      <c r="AS929" s="31"/>
      <c r="AT929" s="31" t="e">
        <f>VLOOKUP(AS929,[1]OUTLET!$B:$C,2,0)</f>
        <v>#N/A</v>
      </c>
      <c r="AU929" s="31"/>
      <c r="AV929" s="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55"/>
      <c r="BP929" s="40"/>
      <c r="BQ929" s="4"/>
      <c r="BR929" s="61"/>
      <c r="BS929" s="4"/>
      <c r="BT929" s="57"/>
      <c r="BU929" s="62"/>
      <c r="BV929" s="8"/>
      <c r="BW929" s="58"/>
    </row>
    <row r="930" spans="41:75" x14ac:dyDescent="0.35">
      <c r="AO930" s="39">
        <v>928</v>
      </c>
      <c r="AP930" s="62"/>
      <c r="AQ930" s="39"/>
      <c r="AR930" s="42" t="str">
        <f>IFERROR(VLOOKUP(AU930,[1]SUMMARY!$A$3:$B$7,2,FALSE),"")</f>
        <v/>
      </c>
      <c r="AS930" s="31"/>
      <c r="AT930" s="31" t="e">
        <f>VLOOKUP(AS930,[1]OUTLET!$B:$C,2,0)</f>
        <v>#N/A</v>
      </c>
      <c r="AU930" s="31"/>
      <c r="AV930" s="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55"/>
      <c r="BP930" s="40"/>
      <c r="BQ930" s="4"/>
      <c r="BR930" s="61"/>
      <c r="BS930" s="4"/>
      <c r="BT930" s="57"/>
      <c r="BU930" s="62"/>
      <c r="BV930" s="8"/>
      <c r="BW930" s="58"/>
    </row>
    <row r="931" spans="41:75" x14ac:dyDescent="0.35">
      <c r="AO931" s="39">
        <v>929</v>
      </c>
      <c r="AP931" s="62"/>
      <c r="AQ931" s="39"/>
      <c r="AR931" s="42" t="str">
        <f>IFERROR(VLOOKUP(AU931,[1]SUMMARY!$A$3:$B$7,2,FALSE),"")</f>
        <v/>
      </c>
      <c r="AS931" s="31"/>
      <c r="AT931" s="31" t="e">
        <f>VLOOKUP(AS931,[1]OUTLET!$B:$C,2,0)</f>
        <v>#N/A</v>
      </c>
      <c r="AU931" s="31"/>
      <c r="AV931" s="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55"/>
      <c r="BP931" s="40"/>
      <c r="BQ931" s="4"/>
      <c r="BR931" s="61"/>
      <c r="BS931" s="4"/>
      <c r="BT931" s="57"/>
      <c r="BU931" s="62"/>
      <c r="BV931" s="8"/>
      <c r="BW931" s="58"/>
    </row>
    <row r="932" spans="41:75" x14ac:dyDescent="0.35">
      <c r="AO932" s="39">
        <v>930</v>
      </c>
      <c r="AP932" s="62"/>
      <c r="AQ932" s="39"/>
      <c r="AR932" s="42" t="str">
        <f>IFERROR(VLOOKUP(AU932,[1]SUMMARY!$A$3:$B$7,2,FALSE),"")</f>
        <v/>
      </c>
      <c r="AS932" s="31"/>
      <c r="AT932" s="31" t="e">
        <f>VLOOKUP(AS932,[1]OUTLET!$B:$C,2,0)</f>
        <v>#N/A</v>
      </c>
      <c r="AU932" s="31"/>
      <c r="AV932" s="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55"/>
      <c r="BP932" s="40"/>
      <c r="BQ932" s="4"/>
      <c r="BR932" s="61"/>
      <c r="BS932" s="4"/>
      <c r="BT932" s="57"/>
      <c r="BU932" s="62"/>
      <c r="BV932" s="8"/>
      <c r="BW932" s="58"/>
    </row>
    <row r="933" spans="41:75" x14ac:dyDescent="0.35">
      <c r="AO933" s="39">
        <v>931</v>
      </c>
      <c r="AP933" s="62"/>
      <c r="AQ933" s="39"/>
      <c r="AR933" s="42" t="str">
        <f>IFERROR(VLOOKUP(AU933,[1]SUMMARY!$A$3:$B$7,2,FALSE),"")</f>
        <v/>
      </c>
      <c r="AS933" s="31"/>
      <c r="AT933" s="31" t="e">
        <f>VLOOKUP(AS933,[1]OUTLET!$B:$C,2,0)</f>
        <v>#N/A</v>
      </c>
      <c r="AU933" s="31"/>
      <c r="AV933" s="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55"/>
      <c r="BP933" s="40"/>
      <c r="BQ933" s="4"/>
      <c r="BR933" s="61"/>
      <c r="BS933" s="4"/>
      <c r="BT933" s="57"/>
      <c r="BU933" s="62"/>
      <c r="BV933" s="8"/>
      <c r="BW933" s="58"/>
    </row>
    <row r="934" spans="41:75" x14ac:dyDescent="0.35">
      <c r="AO934" s="39">
        <v>932</v>
      </c>
      <c r="AP934" s="62"/>
      <c r="AQ934" s="39"/>
      <c r="AR934" s="42" t="str">
        <f>IFERROR(VLOOKUP(AU934,[1]SUMMARY!$A$3:$B$7,2,FALSE),"")</f>
        <v/>
      </c>
      <c r="AS934" s="31"/>
      <c r="AT934" s="31" t="e">
        <f>VLOOKUP(AS934,[1]OUTLET!$B:$C,2,0)</f>
        <v>#N/A</v>
      </c>
      <c r="AU934" s="31"/>
      <c r="AV934" s="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55"/>
      <c r="BP934" s="40"/>
      <c r="BQ934" s="4"/>
      <c r="BR934" s="61"/>
      <c r="BS934" s="4"/>
      <c r="BT934" s="57"/>
      <c r="BU934" s="62"/>
      <c r="BV934" s="8"/>
      <c r="BW934" s="58"/>
    </row>
    <row r="935" spans="41:75" x14ac:dyDescent="0.35">
      <c r="AO935" s="39">
        <v>933</v>
      </c>
      <c r="AP935" s="62"/>
      <c r="AQ935" s="39"/>
      <c r="AR935" s="42" t="str">
        <f>IFERROR(VLOOKUP(AU935,[1]SUMMARY!$A$3:$B$7,2,FALSE),"")</f>
        <v/>
      </c>
      <c r="AS935" s="31"/>
      <c r="AT935" s="31" t="e">
        <f>VLOOKUP(AS935,[1]OUTLET!$B:$C,2,0)</f>
        <v>#N/A</v>
      </c>
      <c r="AU935" s="31"/>
      <c r="AV935" s="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55"/>
      <c r="BP935" s="40"/>
      <c r="BQ935" s="4"/>
      <c r="BR935" s="61"/>
      <c r="BS935" s="4"/>
      <c r="BT935" s="57"/>
      <c r="BU935" s="62"/>
      <c r="BV935" s="8"/>
      <c r="BW935" s="58"/>
    </row>
    <row r="936" spans="41:75" x14ac:dyDescent="0.35">
      <c r="AO936" s="39">
        <v>934</v>
      </c>
      <c r="AP936" s="62"/>
      <c r="AQ936" s="39"/>
      <c r="AR936" s="42" t="str">
        <f>IFERROR(VLOOKUP(AU936,[1]SUMMARY!$A$3:$B$7,2,FALSE),"")</f>
        <v/>
      </c>
      <c r="AS936" s="31"/>
      <c r="AT936" s="31" t="e">
        <f>VLOOKUP(AS936,[1]OUTLET!$B:$C,2,0)</f>
        <v>#N/A</v>
      </c>
      <c r="AU936" s="31"/>
      <c r="AV936" s="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55"/>
      <c r="BP936" s="40"/>
      <c r="BQ936" s="4"/>
      <c r="BR936" s="61"/>
      <c r="BS936" s="4"/>
      <c r="BT936" s="57"/>
      <c r="BU936" s="62"/>
      <c r="BV936" s="8"/>
      <c r="BW936" s="58"/>
    </row>
    <row r="937" spans="41:75" x14ac:dyDescent="0.35">
      <c r="AO937" s="39">
        <v>935</v>
      </c>
      <c r="AP937" s="62"/>
      <c r="AQ937" s="39"/>
      <c r="AR937" s="42" t="str">
        <f>IFERROR(VLOOKUP(AU937,[1]SUMMARY!$A$3:$B$7,2,FALSE),"")</f>
        <v/>
      </c>
      <c r="AS937" s="31"/>
      <c r="AT937" s="31" t="e">
        <f>VLOOKUP(AS937,[1]OUTLET!$B:$C,2,0)</f>
        <v>#N/A</v>
      </c>
      <c r="AU937" s="31"/>
      <c r="AV937" s="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55"/>
      <c r="BP937" s="40"/>
      <c r="BQ937" s="4"/>
      <c r="BR937" s="61"/>
      <c r="BS937" s="4"/>
      <c r="BT937" s="57"/>
      <c r="BU937" s="62"/>
      <c r="BV937" s="8"/>
      <c r="BW937" s="58"/>
    </row>
    <row r="938" spans="41:75" x14ac:dyDescent="0.35">
      <c r="AO938" s="39">
        <v>936</v>
      </c>
      <c r="AP938" s="62"/>
      <c r="AQ938" s="39"/>
      <c r="AR938" s="42" t="str">
        <f>IFERROR(VLOOKUP(AU938,[1]SUMMARY!$A$3:$B$7,2,FALSE),"")</f>
        <v/>
      </c>
      <c r="AS938" s="31"/>
      <c r="AT938" s="31" t="e">
        <f>VLOOKUP(AS938,[1]OUTLET!$B:$C,2,0)</f>
        <v>#N/A</v>
      </c>
      <c r="AU938" s="31"/>
      <c r="AV938" s="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55"/>
      <c r="BP938" s="40"/>
      <c r="BQ938" s="4"/>
      <c r="BR938" s="61"/>
      <c r="BS938" s="4"/>
      <c r="BT938" s="57"/>
      <c r="BU938" s="62"/>
      <c r="BV938" s="8"/>
      <c r="BW938" s="58"/>
    </row>
    <row r="939" spans="41:75" x14ac:dyDescent="0.35">
      <c r="AO939" s="39">
        <v>937</v>
      </c>
      <c r="AP939" s="62"/>
      <c r="AQ939" s="39"/>
      <c r="AR939" s="42" t="str">
        <f>IFERROR(VLOOKUP(AU939,[1]SUMMARY!$A$3:$B$7,2,FALSE),"")</f>
        <v/>
      </c>
      <c r="AS939" s="31"/>
      <c r="AT939" s="31" t="e">
        <f>VLOOKUP(AS939,[1]OUTLET!$B:$C,2,0)</f>
        <v>#N/A</v>
      </c>
      <c r="AU939" s="31"/>
      <c r="AV939" s="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55"/>
      <c r="BP939" s="40"/>
      <c r="BQ939" s="4"/>
      <c r="BR939" s="61"/>
      <c r="BS939" s="4"/>
      <c r="BT939" s="57"/>
      <c r="BU939" s="62"/>
      <c r="BV939" s="8"/>
      <c r="BW939" s="58"/>
    </row>
    <row r="940" spans="41:75" x14ac:dyDescent="0.35">
      <c r="AO940" s="39">
        <v>938</v>
      </c>
      <c r="AP940" s="62"/>
      <c r="AQ940" s="39"/>
      <c r="AR940" s="42" t="str">
        <f>IFERROR(VLOOKUP(AU940,[1]SUMMARY!$A$3:$B$7,2,FALSE),"")</f>
        <v/>
      </c>
      <c r="AS940" s="31"/>
      <c r="AT940" s="31" t="e">
        <f>VLOOKUP(AS940,[1]OUTLET!$B:$C,2,0)</f>
        <v>#N/A</v>
      </c>
      <c r="AU940" s="31"/>
      <c r="AV940" s="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55"/>
      <c r="BP940" s="40"/>
      <c r="BQ940" s="4"/>
      <c r="BR940" s="61"/>
      <c r="BS940" s="4"/>
      <c r="BT940" s="57"/>
      <c r="BU940" s="62"/>
      <c r="BV940" s="8"/>
      <c r="BW940" s="58"/>
    </row>
    <row r="941" spans="41:75" x14ac:dyDescent="0.35">
      <c r="AO941" s="39">
        <v>939</v>
      </c>
      <c r="AP941" s="62"/>
      <c r="AQ941" s="39"/>
      <c r="AR941" s="42" t="str">
        <f>IFERROR(VLOOKUP(AU941,[1]SUMMARY!$A$3:$B$7,2,FALSE),"")</f>
        <v/>
      </c>
      <c r="AS941" s="31"/>
      <c r="AT941" s="31" t="e">
        <f>VLOOKUP(AS941,[1]OUTLET!$B:$C,2,0)</f>
        <v>#N/A</v>
      </c>
      <c r="AU941" s="31"/>
      <c r="AV941" s="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55"/>
      <c r="BP941" s="40"/>
      <c r="BQ941" s="4"/>
      <c r="BR941" s="61"/>
      <c r="BS941" s="4"/>
      <c r="BT941" s="57"/>
      <c r="BU941" s="62"/>
      <c r="BV941" s="8"/>
      <c r="BW941" s="58"/>
    </row>
    <row r="942" spans="41:75" x14ac:dyDescent="0.35">
      <c r="AO942" s="39">
        <v>940</v>
      </c>
      <c r="AP942" s="62"/>
      <c r="AQ942" s="39"/>
      <c r="AR942" s="42" t="str">
        <f>IFERROR(VLOOKUP(AU942,[1]SUMMARY!$A$3:$B$7,2,FALSE),"")</f>
        <v/>
      </c>
      <c r="AS942" s="31"/>
      <c r="AT942" s="31" t="e">
        <f>VLOOKUP(AS942,[1]OUTLET!$B:$C,2,0)</f>
        <v>#N/A</v>
      </c>
      <c r="AU942" s="31"/>
      <c r="AV942" s="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55"/>
      <c r="BP942" s="40"/>
      <c r="BQ942" s="4"/>
      <c r="BR942" s="61"/>
      <c r="BS942" s="4"/>
      <c r="BT942" s="57"/>
      <c r="BU942" s="62"/>
      <c r="BV942" s="8"/>
      <c r="BW942" s="58"/>
    </row>
    <row r="943" spans="41:75" x14ac:dyDescent="0.35">
      <c r="AO943" s="39">
        <v>941</v>
      </c>
      <c r="AP943" s="62"/>
      <c r="AQ943" s="39"/>
      <c r="AR943" s="42" t="str">
        <f>IFERROR(VLOOKUP(AU943,[1]SUMMARY!$A$3:$B$7,2,FALSE),"")</f>
        <v/>
      </c>
      <c r="AS943" s="31"/>
      <c r="AT943" s="31" t="e">
        <f>VLOOKUP(AS943,[1]OUTLET!$B:$C,2,0)</f>
        <v>#N/A</v>
      </c>
      <c r="AU943" s="31"/>
      <c r="AV943" s="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55"/>
      <c r="BP943" s="40"/>
      <c r="BQ943" s="4"/>
      <c r="BR943" s="61"/>
      <c r="BS943" s="4"/>
      <c r="BT943" s="57"/>
      <c r="BU943" s="62"/>
      <c r="BV943" s="8"/>
      <c r="BW943" s="58"/>
    </row>
    <row r="944" spans="41:75" x14ac:dyDescent="0.35">
      <c r="AO944" s="39">
        <v>942</v>
      </c>
      <c r="AP944" s="62"/>
      <c r="AQ944" s="39"/>
      <c r="AR944" s="42" t="str">
        <f>IFERROR(VLOOKUP(AU944,[1]SUMMARY!$A$3:$B$7,2,FALSE),"")</f>
        <v/>
      </c>
      <c r="AS944" s="31"/>
      <c r="AT944" s="31" t="e">
        <f>VLOOKUP(AS944,[1]OUTLET!$B:$C,2,0)</f>
        <v>#N/A</v>
      </c>
      <c r="AU944" s="31"/>
      <c r="AV944" s="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55"/>
      <c r="BP944" s="40"/>
      <c r="BQ944" s="4"/>
      <c r="BR944" s="61"/>
      <c r="BS944" s="4"/>
      <c r="BT944" s="57"/>
      <c r="BU944" s="62"/>
      <c r="BV944" s="8"/>
      <c r="BW944" s="58"/>
    </row>
    <row r="945" spans="41:75" x14ac:dyDescent="0.35">
      <c r="AO945" s="39">
        <v>943</v>
      </c>
      <c r="AP945" s="62"/>
      <c r="AQ945" s="39"/>
      <c r="AR945" s="42" t="str">
        <f>IFERROR(VLOOKUP(AU945,[1]SUMMARY!$A$3:$B$7,2,FALSE),"")</f>
        <v/>
      </c>
      <c r="AS945" s="31"/>
      <c r="AT945" s="31" t="e">
        <f>VLOOKUP(AS945,[1]OUTLET!$B:$C,2,0)</f>
        <v>#N/A</v>
      </c>
      <c r="AU945" s="31"/>
      <c r="AV945" s="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55"/>
      <c r="BP945" s="40"/>
      <c r="BQ945" s="4"/>
      <c r="BR945" s="61"/>
      <c r="BS945" s="4"/>
      <c r="BT945" s="57"/>
      <c r="BU945" s="62"/>
      <c r="BV945" s="8"/>
      <c r="BW945" s="58"/>
    </row>
    <row r="946" spans="41:75" x14ac:dyDescent="0.35">
      <c r="AO946" s="39">
        <v>944</v>
      </c>
      <c r="AP946" s="62"/>
      <c r="AQ946" s="39"/>
      <c r="AR946" s="42" t="str">
        <f>IFERROR(VLOOKUP(AU946,[1]SUMMARY!$A$3:$B$7,2,FALSE),"")</f>
        <v/>
      </c>
      <c r="AS946" s="31"/>
      <c r="AT946" s="31" t="e">
        <f>VLOOKUP(AS946,[1]OUTLET!$B:$C,2,0)</f>
        <v>#N/A</v>
      </c>
      <c r="AU946" s="31"/>
      <c r="AV946" s="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55"/>
      <c r="BP946" s="40"/>
      <c r="BQ946" s="4"/>
      <c r="BR946" s="61"/>
      <c r="BS946" s="4"/>
      <c r="BT946" s="57"/>
      <c r="BU946" s="62"/>
      <c r="BV946" s="8"/>
      <c r="BW946" s="58"/>
    </row>
    <row r="947" spans="41:75" x14ac:dyDescent="0.35">
      <c r="AO947" s="39">
        <v>945</v>
      </c>
      <c r="AP947" s="62"/>
      <c r="AQ947" s="39"/>
      <c r="AR947" s="42" t="str">
        <f>IFERROR(VLOOKUP(AU947,[1]SUMMARY!$A$3:$B$7,2,FALSE),"")</f>
        <v/>
      </c>
      <c r="AS947" s="31"/>
      <c r="AT947" s="31" t="e">
        <f>VLOOKUP(AS947,[1]OUTLET!$B:$C,2,0)</f>
        <v>#N/A</v>
      </c>
      <c r="AU947" s="31"/>
      <c r="AV947" s="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55"/>
      <c r="BP947" s="40"/>
      <c r="BQ947" s="4"/>
      <c r="BR947" s="61"/>
      <c r="BS947" s="4"/>
      <c r="BT947" s="57"/>
      <c r="BU947" s="62"/>
      <c r="BV947" s="8"/>
      <c r="BW947" s="58"/>
    </row>
    <row r="948" spans="41:75" x14ac:dyDescent="0.35">
      <c r="AO948" s="39">
        <v>946</v>
      </c>
      <c r="AP948" s="62"/>
      <c r="AQ948" s="39"/>
      <c r="AR948" s="42" t="str">
        <f>IFERROR(VLOOKUP(AU948,[1]SUMMARY!$A$3:$B$7,2,FALSE),"")</f>
        <v/>
      </c>
      <c r="AS948" s="31"/>
      <c r="AT948" s="31" t="e">
        <f>VLOOKUP(AS948,[1]OUTLET!$B:$C,2,0)</f>
        <v>#N/A</v>
      </c>
      <c r="AU948" s="31"/>
      <c r="AV948" s="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55"/>
      <c r="BP948" s="40"/>
      <c r="BQ948" s="4"/>
      <c r="BR948" s="61"/>
      <c r="BS948" s="4"/>
      <c r="BT948" s="57"/>
      <c r="BU948" s="62"/>
      <c r="BV948" s="8"/>
      <c r="BW948" s="58"/>
    </row>
    <row r="949" spans="41:75" x14ac:dyDescent="0.35">
      <c r="AO949" s="39">
        <v>947</v>
      </c>
      <c r="AP949" s="62"/>
      <c r="AQ949" s="39"/>
      <c r="AR949" s="42" t="str">
        <f>IFERROR(VLOOKUP(AU949,[1]SUMMARY!$A$3:$B$7,2,FALSE),"")</f>
        <v/>
      </c>
      <c r="AS949" s="31"/>
      <c r="AT949" s="31" t="e">
        <f>VLOOKUP(AS949,[1]OUTLET!$B:$C,2,0)</f>
        <v>#N/A</v>
      </c>
      <c r="AU949" s="31"/>
      <c r="AV949" s="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55"/>
      <c r="BP949" s="40"/>
      <c r="BQ949" s="4"/>
      <c r="BR949" s="61"/>
      <c r="BS949" s="4"/>
      <c r="BT949" s="57"/>
      <c r="BU949" s="62"/>
      <c r="BV949" s="8"/>
      <c r="BW949" s="58"/>
    </row>
    <row r="950" spans="41:75" x14ac:dyDescent="0.35">
      <c r="AO950" s="39">
        <v>948</v>
      </c>
      <c r="AP950" s="62"/>
      <c r="AQ950" s="39"/>
      <c r="AR950" s="42" t="str">
        <f>IFERROR(VLOOKUP(AU950,[1]SUMMARY!$A$3:$B$7,2,FALSE),"")</f>
        <v/>
      </c>
      <c r="AS950" s="31"/>
      <c r="AT950" s="31" t="e">
        <f>VLOOKUP(AS950,[1]OUTLET!$B:$C,2,0)</f>
        <v>#N/A</v>
      </c>
      <c r="AU950" s="31"/>
      <c r="AV950" s="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55"/>
      <c r="BP950" s="40"/>
      <c r="BQ950" s="4"/>
      <c r="BR950" s="61"/>
      <c r="BS950" s="4"/>
      <c r="BT950" s="57"/>
      <c r="BU950" s="62"/>
      <c r="BV950" s="8"/>
      <c r="BW950" s="58"/>
    </row>
    <row r="951" spans="41:75" x14ac:dyDescent="0.35">
      <c r="AO951" s="39">
        <v>949</v>
      </c>
      <c r="AP951" s="62"/>
      <c r="AQ951" s="39"/>
      <c r="AR951" s="42" t="str">
        <f>IFERROR(VLOOKUP(AU951,[1]SUMMARY!$A$3:$B$7,2,FALSE),"")</f>
        <v/>
      </c>
      <c r="AS951" s="31"/>
      <c r="AT951" s="31" t="e">
        <f>VLOOKUP(AS951,[1]OUTLET!$B:$C,2,0)</f>
        <v>#N/A</v>
      </c>
      <c r="AU951" s="31"/>
      <c r="AV951" s="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55"/>
      <c r="BP951" s="40"/>
      <c r="BQ951" s="4"/>
      <c r="BR951" s="61"/>
      <c r="BS951" s="4"/>
      <c r="BT951" s="57"/>
      <c r="BU951" s="62"/>
      <c r="BV951" s="8"/>
      <c r="BW951" s="58"/>
    </row>
    <row r="952" spans="41:75" x14ac:dyDescent="0.35">
      <c r="AO952" s="39">
        <v>950</v>
      </c>
      <c r="AP952" s="62"/>
      <c r="AQ952" s="39"/>
      <c r="AR952" s="42" t="str">
        <f>IFERROR(VLOOKUP(AU952,[1]SUMMARY!$A$3:$B$7,2,FALSE),"")</f>
        <v/>
      </c>
      <c r="AS952" s="31"/>
      <c r="AT952" s="31" t="e">
        <f>VLOOKUP(AS952,[1]OUTLET!$B:$C,2,0)</f>
        <v>#N/A</v>
      </c>
      <c r="AU952" s="31"/>
      <c r="AV952" s="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55"/>
      <c r="BP952" s="40"/>
      <c r="BQ952" s="4"/>
      <c r="BR952" s="61"/>
      <c r="BS952" s="4"/>
      <c r="BT952" s="57"/>
      <c r="BU952" s="62"/>
      <c r="BV952" s="8"/>
      <c r="BW952" s="58"/>
    </row>
    <row r="953" spans="41:75" x14ac:dyDescent="0.35">
      <c r="AO953" s="39">
        <v>951</v>
      </c>
      <c r="AP953" s="62"/>
      <c r="AQ953" s="39"/>
      <c r="AR953" s="42" t="str">
        <f>IFERROR(VLOOKUP(AU953,[1]SUMMARY!$A$3:$B$7,2,FALSE),"")</f>
        <v/>
      </c>
      <c r="AS953" s="31"/>
      <c r="AT953" s="31" t="e">
        <f>VLOOKUP(AS953,[1]OUTLET!$B:$C,2,0)</f>
        <v>#N/A</v>
      </c>
      <c r="AU953" s="31"/>
      <c r="AV953" s="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55"/>
      <c r="BP953" s="40"/>
      <c r="BQ953" s="4"/>
      <c r="BR953" s="61"/>
      <c r="BS953" s="4"/>
      <c r="BT953" s="57"/>
      <c r="BU953" s="62"/>
      <c r="BV953" s="8"/>
      <c r="BW953" s="58"/>
    </row>
    <row r="954" spans="41:75" x14ac:dyDescent="0.35">
      <c r="AO954" s="39">
        <v>952</v>
      </c>
      <c r="AP954" s="62"/>
      <c r="AQ954" s="39"/>
      <c r="AR954" s="42" t="str">
        <f>IFERROR(VLOOKUP(AU954,[1]SUMMARY!$A$3:$B$7,2,FALSE),"")</f>
        <v/>
      </c>
      <c r="AS954" s="31"/>
      <c r="AT954" s="31" t="e">
        <f>VLOOKUP(AS954,[1]OUTLET!$B:$C,2,0)</f>
        <v>#N/A</v>
      </c>
      <c r="AU954" s="31"/>
      <c r="AV954" s="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55"/>
      <c r="BP954" s="40"/>
      <c r="BQ954" s="4"/>
      <c r="BR954" s="61"/>
      <c r="BS954" s="4"/>
      <c r="BT954" s="57"/>
      <c r="BU954" s="62"/>
      <c r="BV954" s="8"/>
      <c r="BW954" s="58"/>
    </row>
    <row r="955" spans="41:75" x14ac:dyDescent="0.35">
      <c r="AO955" s="39">
        <v>953</v>
      </c>
      <c r="AP955" s="62"/>
      <c r="AQ955" s="39"/>
      <c r="AR955" s="42" t="str">
        <f>IFERROR(VLOOKUP(AU955,[1]SUMMARY!$A$3:$B$7,2,FALSE),"")</f>
        <v/>
      </c>
      <c r="AS955" s="31"/>
      <c r="AT955" s="31" t="e">
        <f>VLOOKUP(AS955,[1]OUTLET!$B:$C,2,0)</f>
        <v>#N/A</v>
      </c>
      <c r="AU955" s="31"/>
      <c r="AV955" s="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55"/>
      <c r="BP955" s="40"/>
      <c r="BQ955" s="4"/>
      <c r="BR955" s="61"/>
      <c r="BS955" s="4"/>
      <c r="BT955" s="57"/>
      <c r="BU955" s="62"/>
      <c r="BV955" s="8"/>
      <c r="BW955" s="58"/>
    </row>
    <row r="956" spans="41:75" x14ac:dyDescent="0.35">
      <c r="AO956" s="39">
        <v>954</v>
      </c>
      <c r="AP956" s="62"/>
      <c r="AQ956" s="39"/>
      <c r="AR956" s="42" t="str">
        <f>IFERROR(VLOOKUP(AU956,[1]SUMMARY!$A$3:$B$7,2,FALSE),"")</f>
        <v/>
      </c>
      <c r="AS956" s="31"/>
      <c r="AT956" s="31" t="e">
        <f>VLOOKUP(AS956,[1]OUTLET!$B:$C,2,0)</f>
        <v>#N/A</v>
      </c>
      <c r="AU956" s="31"/>
      <c r="AV956" s="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55"/>
      <c r="BP956" s="40"/>
      <c r="BQ956" s="4"/>
      <c r="BR956" s="61"/>
      <c r="BS956" s="4"/>
      <c r="BT956" s="57"/>
      <c r="BU956" s="62"/>
      <c r="BV956" s="8"/>
      <c r="BW956" s="58"/>
    </row>
    <row r="957" spans="41:75" x14ac:dyDescent="0.35">
      <c r="AO957" s="39">
        <v>955</v>
      </c>
      <c r="AP957" s="62"/>
      <c r="AQ957" s="39"/>
      <c r="AR957" s="42" t="str">
        <f>IFERROR(VLOOKUP(AU957,[1]SUMMARY!$A$3:$B$7,2,FALSE),"")</f>
        <v/>
      </c>
      <c r="AS957" s="31"/>
      <c r="AT957" s="31" t="e">
        <f>VLOOKUP(AS957,[1]OUTLET!$B:$C,2,0)</f>
        <v>#N/A</v>
      </c>
      <c r="AU957" s="31"/>
      <c r="AV957" s="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55"/>
      <c r="BP957" s="40"/>
      <c r="BQ957" s="4"/>
      <c r="BR957" s="61"/>
      <c r="BS957" s="4"/>
      <c r="BT957" s="57"/>
      <c r="BU957" s="62"/>
      <c r="BV957" s="8"/>
      <c r="BW957" s="58"/>
    </row>
    <row r="958" spans="41:75" x14ac:dyDescent="0.35">
      <c r="AO958" s="39">
        <v>956</v>
      </c>
      <c r="AP958" s="62"/>
      <c r="AQ958" s="39"/>
      <c r="AR958" s="42" t="str">
        <f>IFERROR(VLOOKUP(AU958,[1]SUMMARY!$A$3:$B$7,2,FALSE),"")</f>
        <v/>
      </c>
      <c r="AS958" s="31"/>
      <c r="AT958" s="31" t="e">
        <f>VLOOKUP(AS958,[1]OUTLET!$B:$C,2,0)</f>
        <v>#N/A</v>
      </c>
      <c r="AU958" s="31"/>
      <c r="AV958" s="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55"/>
      <c r="BP958" s="40"/>
      <c r="BQ958" s="4"/>
      <c r="BR958" s="61"/>
      <c r="BS958" s="4"/>
      <c r="BT958" s="57"/>
      <c r="BU958" s="62"/>
      <c r="BV958" s="8"/>
      <c r="BW958" s="58"/>
    </row>
    <row r="959" spans="41:75" x14ac:dyDescent="0.35">
      <c r="AO959" s="39">
        <v>957</v>
      </c>
      <c r="AP959" s="62"/>
      <c r="AQ959" s="39"/>
      <c r="AR959" s="42" t="str">
        <f>IFERROR(VLOOKUP(AU959,[1]SUMMARY!$A$3:$B$7,2,FALSE),"")</f>
        <v/>
      </c>
      <c r="AS959" s="31"/>
      <c r="AT959" s="31" t="e">
        <f>VLOOKUP(AS959,[1]OUTLET!$B:$C,2,0)</f>
        <v>#N/A</v>
      </c>
      <c r="AU959" s="31"/>
      <c r="AV959" s="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55"/>
      <c r="BP959" s="40"/>
      <c r="BQ959" s="4"/>
      <c r="BR959" s="61"/>
      <c r="BS959" s="4"/>
      <c r="BT959" s="57"/>
      <c r="BU959" s="62"/>
      <c r="BV959" s="8"/>
      <c r="BW959" s="58"/>
    </row>
    <row r="960" spans="41:75" x14ac:dyDescent="0.35">
      <c r="AO960" s="39">
        <v>958</v>
      </c>
      <c r="AP960" s="62"/>
      <c r="AQ960" s="39"/>
      <c r="AR960" s="42" t="str">
        <f>IFERROR(VLOOKUP(AU960,[1]SUMMARY!$A$3:$B$7,2,FALSE),"")</f>
        <v/>
      </c>
      <c r="AS960" s="31"/>
      <c r="AT960" s="31" t="e">
        <f>VLOOKUP(AS960,[1]OUTLET!$B:$C,2,0)</f>
        <v>#N/A</v>
      </c>
      <c r="AU960" s="31"/>
      <c r="AV960" s="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55"/>
      <c r="BP960" s="40"/>
      <c r="BQ960" s="4"/>
      <c r="BR960" s="61"/>
      <c r="BS960" s="4"/>
      <c r="BT960" s="57"/>
      <c r="BU960" s="62"/>
      <c r="BV960" s="8"/>
      <c r="BW960" s="58"/>
    </row>
    <row r="961" spans="41:75" x14ac:dyDescent="0.35">
      <c r="AO961" s="39">
        <v>959</v>
      </c>
      <c r="AP961" s="62"/>
      <c r="AQ961" s="39"/>
      <c r="AR961" s="42" t="str">
        <f>IFERROR(VLOOKUP(AU961,[1]SUMMARY!$A$3:$B$7,2,FALSE),"")</f>
        <v/>
      </c>
      <c r="AS961" s="31"/>
      <c r="AT961" s="31" t="e">
        <f>VLOOKUP(AS961,[1]OUTLET!$B:$C,2,0)</f>
        <v>#N/A</v>
      </c>
      <c r="AU961" s="31"/>
      <c r="AV961" s="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55"/>
      <c r="BP961" s="40"/>
      <c r="BQ961" s="4"/>
      <c r="BR961" s="61"/>
      <c r="BS961" s="4"/>
      <c r="BT961" s="57"/>
      <c r="BU961" s="62"/>
      <c r="BV961" s="8"/>
      <c r="BW961" s="58"/>
    </row>
    <row r="962" spans="41:75" x14ac:dyDescent="0.35">
      <c r="AO962" s="39">
        <v>960</v>
      </c>
      <c r="AP962" s="62"/>
      <c r="AQ962" s="39"/>
      <c r="AR962" s="42" t="str">
        <f>IFERROR(VLOOKUP(AU962,[1]SUMMARY!$A$3:$B$7,2,FALSE),"")</f>
        <v/>
      </c>
      <c r="AS962" s="31"/>
      <c r="AT962" s="31" t="e">
        <f>VLOOKUP(AS962,[1]OUTLET!$B:$C,2,0)</f>
        <v>#N/A</v>
      </c>
      <c r="AU962" s="31"/>
      <c r="AV962" s="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55"/>
      <c r="BP962" s="40"/>
      <c r="BQ962" s="4"/>
      <c r="BR962" s="61"/>
      <c r="BS962" s="4"/>
      <c r="BT962" s="57"/>
      <c r="BU962" s="62"/>
      <c r="BV962" s="8"/>
      <c r="BW962" s="58"/>
    </row>
    <row r="963" spans="41:75" x14ac:dyDescent="0.35">
      <c r="AO963" s="39">
        <v>961</v>
      </c>
      <c r="AP963" s="62"/>
      <c r="AQ963" s="39"/>
      <c r="AR963" s="42" t="str">
        <f>IFERROR(VLOOKUP(AU963,[1]SUMMARY!$A$3:$B$7,2,FALSE),"")</f>
        <v/>
      </c>
      <c r="AS963" s="31"/>
      <c r="AT963" s="31" t="e">
        <f>VLOOKUP(AS963,[1]OUTLET!$B:$C,2,0)</f>
        <v>#N/A</v>
      </c>
      <c r="AU963" s="31"/>
      <c r="AV963" s="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55"/>
      <c r="BP963" s="40"/>
      <c r="BQ963" s="4"/>
      <c r="BR963" s="61"/>
      <c r="BS963" s="4"/>
      <c r="BT963" s="57"/>
      <c r="BU963" s="62"/>
      <c r="BV963" s="8"/>
      <c r="BW963" s="58"/>
    </row>
    <row r="964" spans="41:75" x14ac:dyDescent="0.35">
      <c r="AO964" s="39">
        <v>962</v>
      </c>
      <c r="AP964" s="62"/>
      <c r="AQ964" s="39"/>
      <c r="AR964" s="42" t="str">
        <f>IFERROR(VLOOKUP(AU964,[1]SUMMARY!$A$3:$B$7,2,FALSE),"")</f>
        <v/>
      </c>
      <c r="AS964" s="31"/>
      <c r="AT964" s="31" t="e">
        <f>VLOOKUP(AS964,[1]OUTLET!$B:$C,2,0)</f>
        <v>#N/A</v>
      </c>
      <c r="AU964" s="31"/>
      <c r="AV964" s="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55"/>
      <c r="BP964" s="40"/>
      <c r="BQ964" s="4"/>
      <c r="BR964" s="61"/>
      <c r="BS964" s="4"/>
      <c r="BT964" s="57"/>
      <c r="BU964" s="62"/>
      <c r="BV964" s="8"/>
      <c r="BW964" s="58"/>
    </row>
    <row r="965" spans="41:75" x14ac:dyDescent="0.35">
      <c r="AO965" s="39">
        <v>963</v>
      </c>
      <c r="AP965" s="62"/>
      <c r="AQ965" s="39"/>
      <c r="AR965" s="42" t="str">
        <f>IFERROR(VLOOKUP(AU965,[1]SUMMARY!$A$3:$B$7,2,FALSE),"")</f>
        <v/>
      </c>
      <c r="AS965" s="31"/>
      <c r="AT965" s="31" t="e">
        <f>VLOOKUP(AS965,[1]OUTLET!$B:$C,2,0)</f>
        <v>#N/A</v>
      </c>
      <c r="AU965" s="31"/>
      <c r="AV965" s="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55"/>
      <c r="BP965" s="40"/>
      <c r="BQ965" s="4"/>
      <c r="BR965" s="61"/>
      <c r="BS965" s="4"/>
      <c r="BT965" s="57"/>
      <c r="BU965" s="62"/>
      <c r="BV965" s="8"/>
      <c r="BW965" s="58"/>
    </row>
    <row r="966" spans="41:75" x14ac:dyDescent="0.35">
      <c r="AO966" s="39">
        <v>964</v>
      </c>
      <c r="AP966" s="62"/>
      <c r="AQ966" s="39"/>
      <c r="AR966" s="42" t="str">
        <f>IFERROR(VLOOKUP(AU966,[1]SUMMARY!$A$3:$B$7,2,FALSE),"")</f>
        <v/>
      </c>
      <c r="AS966" s="31"/>
      <c r="AT966" s="31" t="e">
        <f>VLOOKUP(AS966,[1]OUTLET!$B:$C,2,0)</f>
        <v>#N/A</v>
      </c>
      <c r="AU966" s="31"/>
      <c r="AV966" s="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55"/>
      <c r="BP966" s="40"/>
      <c r="BQ966" s="4"/>
      <c r="BR966" s="61"/>
      <c r="BS966" s="4"/>
      <c r="BT966" s="57"/>
      <c r="BU966" s="62"/>
      <c r="BV966" s="8"/>
      <c r="BW966" s="58"/>
    </row>
    <row r="967" spans="41:75" x14ac:dyDescent="0.35">
      <c r="AO967" s="39">
        <v>965</v>
      </c>
      <c r="AP967" s="62"/>
      <c r="AQ967" s="39"/>
      <c r="AR967" s="42" t="str">
        <f>IFERROR(VLOOKUP(AU967,[1]SUMMARY!$A$3:$B$7,2,FALSE),"")</f>
        <v/>
      </c>
      <c r="AS967" s="31"/>
      <c r="AT967" s="31" t="e">
        <f>VLOOKUP(AS967,[1]OUTLET!$B:$C,2,0)</f>
        <v>#N/A</v>
      </c>
      <c r="AU967" s="31"/>
      <c r="AV967" s="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55"/>
      <c r="BP967" s="40"/>
      <c r="BQ967" s="4"/>
      <c r="BR967" s="61"/>
      <c r="BS967" s="4"/>
      <c r="BT967" s="57"/>
      <c r="BU967" s="62"/>
      <c r="BV967" s="8"/>
      <c r="BW967" s="58"/>
    </row>
    <row r="968" spans="41:75" x14ac:dyDescent="0.35">
      <c r="AO968" s="39">
        <v>966</v>
      </c>
      <c r="AP968" s="62"/>
      <c r="AQ968" s="39"/>
      <c r="AR968" s="42" t="str">
        <f>IFERROR(VLOOKUP(AU968,[1]SUMMARY!$A$3:$B$7,2,FALSE),"")</f>
        <v/>
      </c>
      <c r="AS968" s="31"/>
      <c r="AT968" s="31" t="e">
        <f>VLOOKUP(AS968,[1]OUTLET!$B:$C,2,0)</f>
        <v>#N/A</v>
      </c>
      <c r="AU968" s="31"/>
      <c r="AV968" s="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55"/>
      <c r="BP968" s="40"/>
      <c r="BQ968" s="4"/>
      <c r="BR968" s="61"/>
      <c r="BS968" s="4"/>
      <c r="BT968" s="57"/>
      <c r="BU968" s="62"/>
      <c r="BV968" s="8"/>
      <c r="BW968" s="58"/>
    </row>
    <row r="969" spans="41:75" x14ac:dyDescent="0.35">
      <c r="AO969" s="39">
        <v>967</v>
      </c>
      <c r="AP969" s="62"/>
      <c r="AQ969" s="39"/>
      <c r="AR969" s="42" t="str">
        <f>IFERROR(VLOOKUP(AU969,[1]SUMMARY!$A$3:$B$7,2,FALSE),"")</f>
        <v/>
      </c>
      <c r="AS969" s="31"/>
      <c r="AT969" s="31" t="e">
        <f>VLOOKUP(AS969,[1]OUTLET!$B:$C,2,0)</f>
        <v>#N/A</v>
      </c>
      <c r="AU969" s="31"/>
      <c r="AV969" s="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55"/>
      <c r="BP969" s="40"/>
      <c r="BQ969" s="4"/>
      <c r="BR969" s="61"/>
      <c r="BS969" s="4"/>
      <c r="BT969" s="57"/>
      <c r="BU969" s="62"/>
      <c r="BV969" s="8"/>
      <c r="BW969" s="58"/>
    </row>
    <row r="970" spans="41:75" x14ac:dyDescent="0.35">
      <c r="AO970" s="39">
        <v>968</v>
      </c>
      <c r="AP970" s="62"/>
      <c r="AQ970" s="39"/>
      <c r="AR970" s="42" t="str">
        <f>IFERROR(VLOOKUP(AU970,[1]SUMMARY!$A$3:$B$7,2,FALSE),"")</f>
        <v/>
      </c>
      <c r="AS970" s="31"/>
      <c r="AT970" s="31" t="e">
        <f>VLOOKUP(AS970,[1]OUTLET!$B:$C,2,0)</f>
        <v>#N/A</v>
      </c>
      <c r="AU970" s="31"/>
      <c r="AV970" s="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55"/>
      <c r="BP970" s="40"/>
      <c r="BQ970" s="4"/>
      <c r="BR970" s="61"/>
      <c r="BS970" s="4"/>
      <c r="BT970" s="57"/>
      <c r="BU970" s="62"/>
      <c r="BV970" s="8"/>
      <c r="BW970" s="58"/>
    </row>
    <row r="971" spans="41:75" x14ac:dyDescent="0.35">
      <c r="AO971" s="39">
        <v>969</v>
      </c>
      <c r="AP971" s="62"/>
      <c r="AQ971" s="39"/>
      <c r="AR971" s="42" t="str">
        <f>IFERROR(VLOOKUP(AU971,[1]SUMMARY!$A$3:$B$7,2,FALSE),"")</f>
        <v/>
      </c>
      <c r="AS971" s="31"/>
      <c r="AT971" s="31" t="e">
        <f>VLOOKUP(AS971,[1]OUTLET!$B:$C,2,0)</f>
        <v>#N/A</v>
      </c>
      <c r="AU971" s="31"/>
      <c r="AV971" s="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55"/>
      <c r="BP971" s="40"/>
      <c r="BQ971" s="4"/>
      <c r="BR971" s="61"/>
      <c r="BS971" s="4"/>
      <c r="BT971" s="57"/>
      <c r="BU971" s="62"/>
      <c r="BV971" s="8"/>
      <c r="BW971" s="58"/>
    </row>
    <row r="972" spans="41:75" x14ac:dyDescent="0.35">
      <c r="AO972" s="39">
        <v>970</v>
      </c>
      <c r="AP972" s="62"/>
      <c r="AQ972" s="39"/>
      <c r="AR972" s="42" t="str">
        <f>IFERROR(VLOOKUP(AU972,[1]SUMMARY!$A$3:$B$7,2,FALSE),"")</f>
        <v/>
      </c>
      <c r="AS972" s="31"/>
      <c r="AT972" s="31" t="e">
        <f>VLOOKUP(AS972,[1]OUTLET!$B:$C,2,0)</f>
        <v>#N/A</v>
      </c>
      <c r="AU972" s="31"/>
      <c r="AV972" s="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55"/>
      <c r="BP972" s="40"/>
      <c r="BQ972" s="4"/>
      <c r="BR972" s="61"/>
      <c r="BS972" s="4"/>
      <c r="BT972" s="57"/>
      <c r="BU972" s="62"/>
      <c r="BV972" s="8"/>
      <c r="BW972" s="58"/>
    </row>
    <row r="973" spans="41:75" x14ac:dyDescent="0.35">
      <c r="AO973" s="39">
        <v>971</v>
      </c>
      <c r="AP973" s="62"/>
      <c r="AQ973" s="39"/>
      <c r="AR973" s="42" t="str">
        <f>IFERROR(VLOOKUP(AU973,[1]SUMMARY!$A$3:$B$7,2,FALSE),"")</f>
        <v/>
      </c>
      <c r="AS973" s="31"/>
      <c r="AT973" s="31" t="e">
        <f>VLOOKUP(AS973,[1]OUTLET!$B:$C,2,0)</f>
        <v>#N/A</v>
      </c>
      <c r="AU973" s="31"/>
      <c r="AV973" s="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55"/>
      <c r="BP973" s="40"/>
      <c r="BQ973" s="4"/>
      <c r="BR973" s="61"/>
      <c r="BS973" s="4"/>
      <c r="BT973" s="57"/>
      <c r="BU973" s="62"/>
      <c r="BV973" s="8"/>
      <c r="BW973" s="58"/>
    </row>
    <row r="974" spans="41:75" x14ac:dyDescent="0.35">
      <c r="AO974" s="39">
        <v>972</v>
      </c>
      <c r="AP974" s="62"/>
      <c r="AQ974" s="39"/>
      <c r="AR974" s="42" t="str">
        <f>IFERROR(VLOOKUP(AU974,[1]SUMMARY!$A$3:$B$7,2,FALSE),"")</f>
        <v/>
      </c>
      <c r="AS974" s="31"/>
      <c r="AT974" s="31" t="e">
        <f>VLOOKUP(AS974,[1]OUTLET!$B:$C,2,0)</f>
        <v>#N/A</v>
      </c>
      <c r="AU974" s="31"/>
      <c r="AV974" s="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55"/>
      <c r="BP974" s="40"/>
      <c r="BQ974" s="4"/>
      <c r="BR974" s="61"/>
      <c r="BS974" s="4"/>
      <c r="BT974" s="57"/>
      <c r="BU974" s="62"/>
      <c r="BV974" s="8"/>
      <c r="BW974" s="58"/>
    </row>
    <row r="975" spans="41:75" x14ac:dyDescent="0.35">
      <c r="AO975" s="39">
        <v>973</v>
      </c>
      <c r="AP975" s="62"/>
      <c r="AQ975" s="39"/>
      <c r="AR975" s="42" t="str">
        <f>IFERROR(VLOOKUP(AU975,[1]SUMMARY!$A$3:$B$7,2,FALSE),"")</f>
        <v/>
      </c>
      <c r="AS975" s="31"/>
      <c r="AT975" s="31" t="e">
        <f>VLOOKUP(AS975,[1]OUTLET!$B:$C,2,0)</f>
        <v>#N/A</v>
      </c>
      <c r="AU975" s="31"/>
      <c r="AV975" s="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55"/>
      <c r="BP975" s="40"/>
      <c r="BQ975" s="4"/>
      <c r="BR975" s="61"/>
      <c r="BS975" s="4"/>
      <c r="BT975" s="57"/>
      <c r="BU975" s="62"/>
      <c r="BV975" s="8"/>
      <c r="BW975" s="58"/>
    </row>
    <row r="976" spans="41:75" x14ac:dyDescent="0.35">
      <c r="AO976" s="39">
        <v>974</v>
      </c>
      <c r="AP976" s="62"/>
      <c r="AQ976" s="39"/>
      <c r="AR976" s="42" t="str">
        <f>IFERROR(VLOOKUP(AU976,[1]SUMMARY!$A$3:$B$7,2,FALSE),"")</f>
        <v/>
      </c>
      <c r="AS976" s="31"/>
      <c r="AT976" s="31" t="e">
        <f>VLOOKUP(AS976,[1]OUTLET!$B:$C,2,0)</f>
        <v>#N/A</v>
      </c>
      <c r="AU976" s="31"/>
      <c r="AV976" s="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55"/>
      <c r="BP976" s="40"/>
      <c r="BQ976" s="4"/>
      <c r="BR976" s="61"/>
      <c r="BS976" s="4"/>
      <c r="BT976" s="57"/>
      <c r="BU976" s="62"/>
      <c r="BV976" s="8"/>
      <c r="BW976" s="58"/>
    </row>
    <row r="977" spans="41:75" x14ac:dyDescent="0.35">
      <c r="AO977" s="39">
        <v>975</v>
      </c>
      <c r="AP977" s="62"/>
      <c r="AQ977" s="39"/>
      <c r="AR977" s="42" t="str">
        <f>IFERROR(VLOOKUP(AU977,[1]SUMMARY!$A$3:$B$7,2,FALSE),"")</f>
        <v/>
      </c>
      <c r="AS977" s="31"/>
      <c r="AT977" s="31" t="e">
        <f>VLOOKUP(AS977,[1]OUTLET!$B:$C,2,0)</f>
        <v>#N/A</v>
      </c>
      <c r="AU977" s="31"/>
      <c r="AV977" s="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55"/>
      <c r="BP977" s="40"/>
      <c r="BQ977" s="4"/>
      <c r="BR977" s="61"/>
      <c r="BS977" s="4"/>
      <c r="BT977" s="57"/>
      <c r="BU977" s="62"/>
      <c r="BV977" s="8"/>
      <c r="BW977" s="58"/>
    </row>
    <row r="978" spans="41:75" x14ac:dyDescent="0.35">
      <c r="AO978" s="39">
        <v>976</v>
      </c>
      <c r="AP978" s="62"/>
      <c r="AQ978" s="39"/>
      <c r="AR978" s="42" t="str">
        <f>IFERROR(VLOOKUP(AU978,[1]SUMMARY!$A$3:$B$7,2,FALSE),"")</f>
        <v/>
      </c>
      <c r="AS978" s="31"/>
      <c r="AT978" s="31" t="e">
        <f>VLOOKUP(AS978,[1]OUTLET!$B:$C,2,0)</f>
        <v>#N/A</v>
      </c>
      <c r="AU978" s="31"/>
      <c r="AV978" s="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55"/>
      <c r="BP978" s="40"/>
      <c r="BQ978" s="4"/>
      <c r="BR978" s="61"/>
      <c r="BS978" s="4"/>
      <c r="BT978" s="57"/>
      <c r="BU978" s="62"/>
      <c r="BV978" s="8"/>
      <c r="BW978" s="58"/>
    </row>
    <row r="979" spans="41:75" x14ac:dyDescent="0.35">
      <c r="AO979" s="39">
        <v>977</v>
      </c>
      <c r="AP979" s="62"/>
      <c r="AQ979" s="39"/>
      <c r="AR979" s="42" t="str">
        <f>IFERROR(VLOOKUP(AU979,[1]SUMMARY!$A$3:$B$7,2,FALSE),"")</f>
        <v/>
      </c>
      <c r="AS979" s="31"/>
      <c r="AT979" s="31" t="e">
        <f>VLOOKUP(AS979,[1]OUTLET!$B:$C,2,0)</f>
        <v>#N/A</v>
      </c>
      <c r="AU979" s="31"/>
      <c r="AV979" s="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55"/>
      <c r="BP979" s="40"/>
      <c r="BQ979" s="4"/>
      <c r="BR979" s="61"/>
      <c r="BS979" s="4"/>
      <c r="BT979" s="57"/>
      <c r="BU979" s="62"/>
      <c r="BV979" s="8"/>
      <c r="BW979" s="58"/>
    </row>
    <row r="980" spans="41:75" x14ac:dyDescent="0.35">
      <c r="AO980" s="39">
        <v>978</v>
      </c>
      <c r="AP980" s="62"/>
      <c r="AQ980" s="39"/>
      <c r="AR980" s="42" t="str">
        <f>IFERROR(VLOOKUP(AU980,[1]SUMMARY!$A$3:$B$7,2,FALSE),"")</f>
        <v/>
      </c>
      <c r="AS980" s="31"/>
      <c r="AT980" s="31" t="e">
        <f>VLOOKUP(AS980,[1]OUTLET!$B:$C,2,0)</f>
        <v>#N/A</v>
      </c>
      <c r="AU980" s="31"/>
      <c r="AV980" s="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55"/>
      <c r="BP980" s="40"/>
      <c r="BQ980" s="4"/>
      <c r="BR980" s="61"/>
      <c r="BS980" s="4"/>
      <c r="BT980" s="57"/>
      <c r="BU980" s="62"/>
      <c r="BV980" s="8"/>
      <c r="BW980" s="58"/>
    </row>
    <row r="981" spans="41:75" x14ac:dyDescent="0.35">
      <c r="AO981" s="39">
        <v>979</v>
      </c>
      <c r="AP981" s="62"/>
      <c r="AQ981" s="39"/>
      <c r="AR981" s="42" t="str">
        <f>IFERROR(VLOOKUP(AU981,[1]SUMMARY!$A$3:$B$7,2,FALSE),"")</f>
        <v/>
      </c>
      <c r="AS981" s="31"/>
      <c r="AT981" s="31" t="e">
        <f>VLOOKUP(AS981,[1]OUTLET!$B:$C,2,0)</f>
        <v>#N/A</v>
      </c>
      <c r="AU981" s="31"/>
      <c r="AV981" s="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55"/>
      <c r="BP981" s="40"/>
      <c r="BQ981" s="4"/>
      <c r="BR981" s="61"/>
      <c r="BS981" s="4"/>
      <c r="BT981" s="57"/>
      <c r="BU981" s="62"/>
      <c r="BV981" s="8"/>
      <c r="BW981" s="58"/>
    </row>
    <row r="982" spans="41:75" x14ac:dyDescent="0.35">
      <c r="AO982" s="39">
        <v>980</v>
      </c>
      <c r="AP982" s="62"/>
      <c r="AQ982" s="39"/>
      <c r="AR982" s="42" t="str">
        <f>IFERROR(VLOOKUP(AU982,[1]SUMMARY!$A$3:$B$7,2,FALSE),"")</f>
        <v/>
      </c>
      <c r="AS982" s="31"/>
      <c r="AT982" s="31" t="e">
        <f>VLOOKUP(AS982,[1]OUTLET!$B:$C,2,0)</f>
        <v>#N/A</v>
      </c>
      <c r="AU982" s="31"/>
      <c r="AV982" s="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55"/>
      <c r="BP982" s="40"/>
      <c r="BQ982" s="4"/>
      <c r="BR982" s="61"/>
      <c r="BS982" s="4"/>
      <c r="BT982" s="57"/>
      <c r="BU982" s="62"/>
      <c r="BV982" s="8"/>
      <c r="BW982" s="58"/>
    </row>
    <row r="983" spans="41:75" x14ac:dyDescent="0.35">
      <c r="AO983" s="39">
        <v>981</v>
      </c>
      <c r="AP983" s="62"/>
      <c r="AQ983" s="39"/>
      <c r="AR983" s="42" t="str">
        <f>IFERROR(VLOOKUP(AU983,[1]SUMMARY!$A$3:$B$7,2,FALSE),"")</f>
        <v/>
      </c>
      <c r="AS983" s="31"/>
      <c r="AT983" s="31" t="e">
        <f>VLOOKUP(AS983,[1]OUTLET!$B:$C,2,0)</f>
        <v>#N/A</v>
      </c>
      <c r="AU983" s="31"/>
      <c r="AV983" s="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55"/>
      <c r="BP983" s="40"/>
      <c r="BQ983" s="4"/>
      <c r="BR983" s="61"/>
      <c r="BS983" s="4"/>
      <c r="BT983" s="57"/>
      <c r="BU983" s="62"/>
      <c r="BV983" s="8"/>
      <c r="BW983" s="58"/>
    </row>
    <row r="984" spans="41:75" x14ac:dyDescent="0.35">
      <c r="AO984" s="39">
        <v>982</v>
      </c>
      <c r="AP984" s="62"/>
      <c r="AQ984" s="39"/>
      <c r="AR984" s="42" t="str">
        <f>IFERROR(VLOOKUP(AU984,[1]SUMMARY!$A$3:$B$7,2,FALSE),"")</f>
        <v/>
      </c>
      <c r="AS984" s="31"/>
      <c r="AT984" s="31" t="e">
        <f>VLOOKUP(AS984,[1]OUTLET!$B:$C,2,0)</f>
        <v>#N/A</v>
      </c>
      <c r="AU984" s="31"/>
      <c r="AV984" s="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55"/>
      <c r="BP984" s="40"/>
      <c r="BQ984" s="4"/>
      <c r="BR984" s="61"/>
      <c r="BS984" s="4"/>
      <c r="BT984" s="57"/>
      <c r="BU984" s="62"/>
      <c r="BV984" s="8"/>
      <c r="BW984" s="58"/>
    </row>
    <row r="985" spans="41:75" x14ac:dyDescent="0.35">
      <c r="AO985" s="39">
        <v>983</v>
      </c>
      <c r="AP985" s="62"/>
      <c r="AQ985" s="39"/>
      <c r="AR985" s="42" t="str">
        <f>IFERROR(VLOOKUP(AU985,[1]SUMMARY!$A$3:$B$7,2,FALSE),"")</f>
        <v/>
      </c>
      <c r="AS985" s="31"/>
      <c r="AT985" s="31" t="e">
        <f>VLOOKUP(AS985,[1]OUTLET!$B:$C,2,0)</f>
        <v>#N/A</v>
      </c>
      <c r="AU985" s="31"/>
      <c r="AV985" s="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55"/>
      <c r="BP985" s="40"/>
      <c r="BQ985" s="4"/>
      <c r="BR985" s="61"/>
      <c r="BS985" s="4"/>
      <c r="BT985" s="57"/>
      <c r="BU985" s="62"/>
      <c r="BV985" s="8"/>
      <c r="BW985" s="58"/>
    </row>
    <row r="986" spans="41:75" x14ac:dyDescent="0.35">
      <c r="AO986" s="39">
        <v>984</v>
      </c>
      <c r="AP986" s="62"/>
      <c r="AQ986" s="39"/>
      <c r="AR986" s="42" t="str">
        <f>IFERROR(VLOOKUP(AU986,[1]SUMMARY!$A$3:$B$7,2,FALSE),"")</f>
        <v/>
      </c>
      <c r="AS986" s="31"/>
      <c r="AT986" s="31" t="e">
        <f>VLOOKUP(AS986,[1]OUTLET!$B:$C,2,0)</f>
        <v>#N/A</v>
      </c>
      <c r="AU986" s="31"/>
      <c r="AV986" s="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55"/>
      <c r="BP986" s="40"/>
      <c r="BQ986" s="4"/>
      <c r="BR986" s="61"/>
      <c r="BS986" s="4"/>
      <c r="BT986" s="57"/>
      <c r="BU986" s="62"/>
      <c r="BV986" s="8"/>
      <c r="BW986" s="58"/>
    </row>
    <row r="987" spans="41:75" x14ac:dyDescent="0.35">
      <c r="AO987" s="39">
        <v>985</v>
      </c>
      <c r="AP987" s="62"/>
      <c r="AQ987" s="39"/>
      <c r="AR987" s="42" t="str">
        <f>IFERROR(VLOOKUP(AU987,[1]SUMMARY!$A$3:$B$7,2,FALSE),"")</f>
        <v/>
      </c>
      <c r="AS987" s="31"/>
      <c r="AT987" s="31" t="e">
        <f>VLOOKUP(AS987,[1]OUTLET!$B:$C,2,0)</f>
        <v>#N/A</v>
      </c>
      <c r="AU987" s="31"/>
      <c r="AV987" s="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55"/>
      <c r="BP987" s="40"/>
      <c r="BQ987" s="4"/>
      <c r="BR987" s="61"/>
      <c r="BS987" s="4"/>
      <c r="BT987" s="57"/>
      <c r="BU987" s="62"/>
      <c r="BV987" s="8"/>
      <c r="BW987" s="58"/>
    </row>
    <row r="988" spans="41:75" x14ac:dyDescent="0.35">
      <c r="AO988" s="39">
        <v>986</v>
      </c>
      <c r="AP988" s="62"/>
      <c r="AQ988" s="39"/>
      <c r="AR988" s="42" t="str">
        <f>IFERROR(VLOOKUP(AU988,[1]SUMMARY!$A$3:$B$7,2,FALSE),"")</f>
        <v/>
      </c>
      <c r="AS988" s="31"/>
      <c r="AT988" s="31" t="e">
        <f>VLOOKUP(AS988,[1]OUTLET!$B:$C,2,0)</f>
        <v>#N/A</v>
      </c>
      <c r="AU988" s="31"/>
      <c r="AV988" s="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55"/>
      <c r="BP988" s="40"/>
      <c r="BQ988" s="4"/>
      <c r="BR988" s="61"/>
      <c r="BS988" s="4"/>
      <c r="BT988" s="57"/>
      <c r="BU988" s="62"/>
      <c r="BV988" s="8"/>
      <c r="BW988" s="58"/>
    </row>
    <row r="989" spans="41:75" x14ac:dyDescent="0.35">
      <c r="AO989" s="39">
        <v>987</v>
      </c>
      <c r="AP989" s="62"/>
      <c r="AQ989" s="39"/>
      <c r="AR989" s="42" t="str">
        <f>IFERROR(VLOOKUP(AU989,[1]SUMMARY!$A$3:$B$7,2,FALSE),"")</f>
        <v/>
      </c>
      <c r="AS989" s="31"/>
      <c r="AT989" s="31" t="e">
        <f>VLOOKUP(AS989,[1]OUTLET!$B:$C,2,0)</f>
        <v>#N/A</v>
      </c>
      <c r="AU989" s="31"/>
      <c r="AV989" s="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55"/>
      <c r="BP989" s="40"/>
      <c r="BQ989" s="4"/>
      <c r="BR989" s="61"/>
      <c r="BS989" s="4"/>
      <c r="BT989" s="57"/>
      <c r="BU989" s="62"/>
      <c r="BV989" s="8"/>
      <c r="BW989" s="58"/>
    </row>
    <row r="990" spans="41:75" x14ac:dyDescent="0.35">
      <c r="AO990" s="39">
        <v>988</v>
      </c>
      <c r="AP990" s="62"/>
      <c r="AQ990" s="39"/>
      <c r="AR990" s="42" t="str">
        <f>IFERROR(VLOOKUP(AU990,[1]SUMMARY!$A$3:$B$7,2,FALSE),"")</f>
        <v/>
      </c>
      <c r="AS990" s="31"/>
      <c r="AT990" s="31" t="e">
        <f>VLOOKUP(AS990,[1]OUTLET!$B:$C,2,0)</f>
        <v>#N/A</v>
      </c>
      <c r="AU990" s="31"/>
      <c r="AV990" s="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55"/>
      <c r="BP990" s="40"/>
      <c r="BQ990" s="4"/>
      <c r="BR990" s="61"/>
      <c r="BS990" s="4"/>
      <c r="BT990" s="57"/>
      <c r="BU990" s="62"/>
      <c r="BV990" s="8"/>
      <c r="BW990" s="58"/>
    </row>
    <row r="991" spans="41:75" x14ac:dyDescent="0.35">
      <c r="AO991" s="39">
        <v>989</v>
      </c>
      <c r="AP991" s="62"/>
      <c r="AQ991" s="39"/>
      <c r="AR991" s="42" t="str">
        <f>IFERROR(VLOOKUP(AU991,[1]SUMMARY!$A$3:$B$7,2,FALSE),"")</f>
        <v/>
      </c>
      <c r="AS991" s="31"/>
      <c r="AT991" s="31" t="e">
        <f>VLOOKUP(AS991,[1]OUTLET!$B:$C,2,0)</f>
        <v>#N/A</v>
      </c>
      <c r="AU991" s="31"/>
      <c r="AV991" s="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55"/>
      <c r="BP991" s="40"/>
      <c r="BQ991" s="4"/>
      <c r="BR991" s="61"/>
      <c r="BS991" s="4"/>
      <c r="BT991" s="57"/>
      <c r="BU991" s="62"/>
      <c r="BV991" s="8"/>
      <c r="BW991" s="58"/>
    </row>
    <row r="992" spans="41:75" x14ac:dyDescent="0.35">
      <c r="AO992" s="39">
        <v>990</v>
      </c>
      <c r="AP992" s="62"/>
      <c r="AQ992" s="39"/>
      <c r="AR992" s="42" t="str">
        <f>IFERROR(VLOOKUP(AU992,[1]SUMMARY!$A$3:$B$7,2,FALSE),"")</f>
        <v/>
      </c>
      <c r="AS992" s="31"/>
      <c r="AT992" s="31" t="e">
        <f>VLOOKUP(AS992,[1]OUTLET!$B:$C,2,0)</f>
        <v>#N/A</v>
      </c>
      <c r="AU992" s="31"/>
      <c r="AV992" s="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55"/>
      <c r="BP992" s="40"/>
      <c r="BQ992" s="4"/>
      <c r="BR992" s="61"/>
      <c r="BS992" s="4"/>
      <c r="BT992" s="57"/>
      <c r="BU992" s="62"/>
      <c r="BV992" s="8"/>
      <c r="BW992" s="58"/>
    </row>
    <row r="993" spans="41:75" x14ac:dyDescent="0.35">
      <c r="AO993" s="39">
        <v>991</v>
      </c>
      <c r="AP993" s="62"/>
      <c r="AQ993" s="39"/>
      <c r="AR993" s="42" t="str">
        <f>IFERROR(VLOOKUP(AU993,[1]SUMMARY!$A$3:$B$7,2,FALSE),"")</f>
        <v/>
      </c>
      <c r="AS993" s="31"/>
      <c r="AT993" s="31" t="e">
        <f>VLOOKUP(AS993,[1]OUTLET!$B:$C,2,0)</f>
        <v>#N/A</v>
      </c>
      <c r="AU993" s="31"/>
      <c r="AV993" s="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55"/>
      <c r="BP993" s="40"/>
      <c r="BQ993" s="4"/>
      <c r="BR993" s="61"/>
      <c r="BS993" s="4"/>
      <c r="BT993" s="57"/>
      <c r="BU993" s="62"/>
      <c r="BV993" s="8"/>
      <c r="BW993" s="58"/>
    </row>
    <row r="994" spans="41:75" x14ac:dyDescent="0.35">
      <c r="AO994" s="39">
        <v>992</v>
      </c>
      <c r="AP994" s="62"/>
      <c r="AQ994" s="39"/>
      <c r="AR994" s="42" t="str">
        <f>IFERROR(VLOOKUP(AU994,[1]SUMMARY!$A$3:$B$7,2,FALSE),"")</f>
        <v/>
      </c>
      <c r="AS994" s="31"/>
      <c r="AT994" s="31" t="e">
        <f>VLOOKUP(AS994,[1]OUTLET!$B:$C,2,0)</f>
        <v>#N/A</v>
      </c>
      <c r="AU994" s="31"/>
      <c r="AV994" s="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55"/>
      <c r="BP994" s="40"/>
      <c r="BQ994" s="4"/>
      <c r="BR994" s="61"/>
      <c r="BS994" s="4"/>
      <c r="BT994" s="57"/>
      <c r="BU994" s="62"/>
      <c r="BV994" s="8"/>
      <c r="BW994" s="58"/>
    </row>
    <row r="995" spans="41:75" x14ac:dyDescent="0.35">
      <c r="AO995" s="39">
        <v>993</v>
      </c>
      <c r="AP995" s="62"/>
      <c r="AQ995" s="39"/>
      <c r="AR995" s="42" t="str">
        <f>IFERROR(VLOOKUP(AU995,[1]SUMMARY!$A$3:$B$7,2,FALSE),"")</f>
        <v/>
      </c>
      <c r="AS995" s="31"/>
      <c r="AT995" s="31" t="e">
        <f>VLOOKUP(AS995,[1]OUTLET!$B:$C,2,0)</f>
        <v>#N/A</v>
      </c>
      <c r="AU995" s="31"/>
      <c r="AV995" s="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55"/>
      <c r="BP995" s="40"/>
      <c r="BQ995" s="4"/>
      <c r="BR995" s="61"/>
      <c r="BS995" s="4"/>
      <c r="BT995" s="57"/>
      <c r="BU995" s="62"/>
      <c r="BV995" s="8"/>
      <c r="BW995" s="58"/>
    </row>
    <row r="996" spans="41:75" x14ac:dyDescent="0.35">
      <c r="AO996" s="39">
        <v>994</v>
      </c>
      <c r="AP996" s="62"/>
      <c r="AQ996" s="39"/>
      <c r="AR996" s="42" t="str">
        <f>IFERROR(VLOOKUP(AU996,[1]SUMMARY!$A$3:$B$7,2,FALSE),"")</f>
        <v/>
      </c>
      <c r="AS996" s="31"/>
      <c r="AT996" s="31" t="e">
        <f>VLOOKUP(AS996,[1]OUTLET!$B:$C,2,0)</f>
        <v>#N/A</v>
      </c>
      <c r="AU996" s="31"/>
      <c r="AV996" s="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55"/>
      <c r="BP996" s="40"/>
      <c r="BQ996" s="4"/>
      <c r="BR996" s="61"/>
      <c r="BS996" s="4"/>
      <c r="BT996" s="57"/>
      <c r="BU996" s="62"/>
      <c r="BV996" s="8"/>
      <c r="BW996" s="58"/>
    </row>
    <row r="997" spans="41:75" x14ac:dyDescent="0.35">
      <c r="AO997" s="39">
        <v>995</v>
      </c>
      <c r="AP997" s="62"/>
      <c r="AQ997" s="39"/>
      <c r="AR997" s="42" t="str">
        <f>IFERROR(VLOOKUP(AU997,[1]SUMMARY!$A$3:$B$7,2,FALSE),"")</f>
        <v/>
      </c>
      <c r="AS997" s="31"/>
      <c r="AT997" s="31" t="e">
        <f>VLOOKUP(AS997,[1]OUTLET!$B:$C,2,0)</f>
        <v>#N/A</v>
      </c>
      <c r="AU997" s="31"/>
      <c r="AV997" s="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55"/>
      <c r="BP997" s="40"/>
      <c r="BQ997" s="4"/>
      <c r="BR997" s="61"/>
      <c r="BS997" s="4"/>
      <c r="BT997" s="57"/>
      <c r="BU997" s="62"/>
      <c r="BV997" s="8"/>
      <c r="BW997" s="58"/>
    </row>
    <row r="998" spans="41:75" x14ac:dyDescent="0.35">
      <c r="AO998" s="39">
        <v>996</v>
      </c>
      <c r="AP998" s="62"/>
      <c r="AQ998" s="39"/>
      <c r="AR998" s="42" t="str">
        <f>IFERROR(VLOOKUP(AU998,[1]SUMMARY!$A$3:$B$7,2,FALSE),"")</f>
        <v/>
      </c>
      <c r="AS998" s="31"/>
      <c r="AT998" s="31" t="e">
        <f>VLOOKUP(AS998,[1]OUTLET!$B:$C,2,0)</f>
        <v>#N/A</v>
      </c>
      <c r="AU998" s="31"/>
      <c r="AV998" s="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55"/>
      <c r="BP998" s="40"/>
      <c r="BQ998" s="4"/>
      <c r="BR998" s="61"/>
      <c r="BS998" s="4"/>
      <c r="BT998" s="57"/>
      <c r="BU998" s="62"/>
      <c r="BV998" s="8"/>
      <c r="BW998" s="58"/>
    </row>
    <row r="999" spans="41:75" x14ac:dyDescent="0.35">
      <c r="AO999" s="39">
        <v>997</v>
      </c>
      <c r="AP999" s="62"/>
      <c r="AQ999" s="39"/>
      <c r="AR999" s="42" t="str">
        <f>IFERROR(VLOOKUP(AU999,[1]SUMMARY!$A$3:$B$7,2,FALSE),"")</f>
        <v/>
      </c>
      <c r="AS999" s="31"/>
      <c r="AT999" s="31" t="e">
        <f>VLOOKUP(AS999,[1]OUTLET!$B:$C,2,0)</f>
        <v>#N/A</v>
      </c>
      <c r="AU999" s="31"/>
      <c r="AV999" s="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55"/>
      <c r="BP999" s="40"/>
      <c r="BQ999" s="4"/>
      <c r="BR999" s="61"/>
      <c r="BS999" s="4"/>
      <c r="BT999" s="57"/>
      <c r="BU999" s="62"/>
      <c r="BV999" s="8"/>
      <c r="BW999" s="58"/>
    </row>
    <row r="1000" spans="41:75" x14ac:dyDescent="0.35">
      <c r="AO1000" s="39">
        <v>998</v>
      </c>
      <c r="AP1000" s="62"/>
      <c r="AQ1000" s="39"/>
      <c r="AR1000" s="42" t="str">
        <f>IFERROR(VLOOKUP(AU1000,[1]SUMMARY!$A$3:$B$7,2,FALSE),"")</f>
        <v/>
      </c>
      <c r="AS1000" s="31"/>
      <c r="AT1000" s="31" t="e">
        <f>VLOOKUP(AS1000,[1]OUTLET!$B:$C,2,0)</f>
        <v>#N/A</v>
      </c>
      <c r="AU1000" s="31"/>
      <c r="AV1000" s="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55"/>
      <c r="BP1000" s="40"/>
      <c r="BQ1000" s="4"/>
      <c r="BR1000" s="61"/>
      <c r="BS1000" s="4"/>
      <c r="BT1000" s="57"/>
      <c r="BU1000" s="62"/>
      <c r="BV1000" s="8"/>
      <c r="BW1000" s="58"/>
    </row>
    <row r="1001" spans="41:75" x14ac:dyDescent="0.35">
      <c r="AO1001" s="39">
        <v>999</v>
      </c>
      <c r="AP1001" s="62"/>
      <c r="AQ1001" s="39"/>
      <c r="AR1001" s="42" t="str">
        <f>IFERROR(VLOOKUP(AU1001,[1]SUMMARY!$A$3:$B$7,2,FALSE),"")</f>
        <v/>
      </c>
      <c r="AS1001" s="31"/>
      <c r="AT1001" s="31" t="e">
        <f>VLOOKUP(AS1001,[1]OUTLET!$B:$C,2,0)</f>
        <v>#N/A</v>
      </c>
      <c r="AU1001" s="31"/>
      <c r="AV1001" s="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55"/>
      <c r="BP1001" s="40"/>
      <c r="BQ1001" s="4"/>
      <c r="BR1001" s="61"/>
      <c r="BS1001" s="4"/>
      <c r="BT1001" s="57"/>
      <c r="BU1001" s="62"/>
      <c r="BV1001" s="8"/>
      <c r="BW1001" s="58"/>
    </row>
    <row r="1002" spans="41:75" x14ac:dyDescent="0.35">
      <c r="AO1002" s="39">
        <v>1000</v>
      </c>
      <c r="AP1002" s="62"/>
      <c r="AQ1002" s="39"/>
      <c r="AR1002" s="42" t="str">
        <f>IFERROR(VLOOKUP(AU1002,[1]SUMMARY!$A$3:$B$7,2,FALSE),"")</f>
        <v/>
      </c>
      <c r="AS1002" s="31"/>
      <c r="AT1002" s="31" t="e">
        <f>VLOOKUP(AS1002,[1]OUTLET!$B:$C,2,0)</f>
        <v>#N/A</v>
      </c>
      <c r="AU1002" s="31"/>
      <c r="AV1002" s="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55"/>
      <c r="BP1002" s="40"/>
      <c r="BQ1002" s="4"/>
      <c r="BR1002" s="61"/>
      <c r="BS1002" s="4"/>
      <c r="BT1002" s="57"/>
      <c r="BU1002" s="62"/>
      <c r="BV1002" s="8"/>
      <c r="BW1002" s="58"/>
    </row>
    <row r="1003" spans="41:75" x14ac:dyDescent="0.35">
      <c r="AO1003" s="39">
        <v>1001</v>
      </c>
      <c r="AP1003" s="62"/>
      <c r="AQ1003" s="39"/>
      <c r="AR1003" s="42" t="str">
        <f>IFERROR(VLOOKUP(AU1003,[1]SUMMARY!$A$3:$B$7,2,FALSE),"")</f>
        <v/>
      </c>
      <c r="AS1003" s="31"/>
      <c r="AT1003" s="31" t="e">
        <f>VLOOKUP(AS1003,[1]OUTLET!$B:$C,2,0)</f>
        <v>#N/A</v>
      </c>
      <c r="AU1003" s="31"/>
      <c r="AV1003" s="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55"/>
      <c r="BP1003" s="40"/>
      <c r="BQ1003" s="4"/>
      <c r="BR1003" s="61"/>
      <c r="BS1003" s="4"/>
      <c r="BT1003" s="57"/>
      <c r="BU1003" s="62"/>
      <c r="BV1003" s="8"/>
      <c r="BW1003" s="58"/>
    </row>
    <row r="1004" spans="41:75" x14ac:dyDescent="0.35">
      <c r="AO1004" s="39">
        <v>1002</v>
      </c>
      <c r="AP1004" s="62"/>
      <c r="AQ1004" s="39"/>
      <c r="AR1004" s="42" t="str">
        <f>IFERROR(VLOOKUP(AU1004,[1]SUMMARY!$A$3:$B$7,2,FALSE),"")</f>
        <v/>
      </c>
      <c r="AS1004" s="31"/>
      <c r="AT1004" s="31" t="e">
        <f>VLOOKUP(AS1004,[1]OUTLET!$B:$C,2,0)</f>
        <v>#N/A</v>
      </c>
      <c r="AU1004" s="31"/>
      <c r="AV1004" s="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55"/>
      <c r="BP1004" s="40"/>
      <c r="BQ1004" s="4"/>
      <c r="BR1004" s="61"/>
      <c r="BS1004" s="4"/>
      <c r="BT1004" s="57"/>
      <c r="BU1004" s="62"/>
      <c r="BV1004" s="8"/>
      <c r="BW1004" s="58"/>
    </row>
    <row r="1005" spans="41:75" x14ac:dyDescent="0.35">
      <c r="AO1005" s="39">
        <v>1003</v>
      </c>
      <c r="AP1005" s="62"/>
      <c r="AQ1005" s="39"/>
      <c r="AR1005" s="42" t="str">
        <f>IFERROR(VLOOKUP(AU1005,[1]SUMMARY!$A$3:$B$7,2,FALSE),"")</f>
        <v/>
      </c>
      <c r="AS1005" s="31"/>
      <c r="AT1005" s="31" t="e">
        <f>VLOOKUP(AS1005,[1]OUTLET!$B:$C,2,0)</f>
        <v>#N/A</v>
      </c>
      <c r="AU1005" s="31"/>
      <c r="AV1005" s="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55"/>
      <c r="BP1005" s="40"/>
      <c r="BQ1005" s="4"/>
      <c r="BR1005" s="61"/>
      <c r="BS1005" s="4"/>
      <c r="BT1005" s="57"/>
      <c r="BU1005" s="62"/>
      <c r="BV1005" s="8"/>
      <c r="BW1005" s="58"/>
    </row>
    <row r="1006" spans="41:75" x14ac:dyDescent="0.35">
      <c r="AO1006" s="39">
        <v>1004</v>
      </c>
      <c r="AP1006" s="62"/>
      <c r="AQ1006" s="39"/>
      <c r="AR1006" s="42" t="str">
        <f>IFERROR(VLOOKUP(AU1006,[1]SUMMARY!$A$3:$B$7,2,FALSE),"")</f>
        <v/>
      </c>
      <c r="AS1006" s="31"/>
      <c r="AT1006" s="31" t="e">
        <f>VLOOKUP(AS1006,[1]OUTLET!$B:$C,2,0)</f>
        <v>#N/A</v>
      </c>
      <c r="AU1006" s="31"/>
      <c r="AV1006" s="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55"/>
      <c r="BP1006" s="40"/>
      <c r="BQ1006" s="4"/>
      <c r="BR1006" s="61"/>
      <c r="BS1006" s="4"/>
      <c r="BT1006" s="57"/>
      <c r="BU1006" s="62"/>
      <c r="BV1006" s="8"/>
      <c r="BW1006" s="58"/>
    </row>
    <row r="1007" spans="41:75" x14ac:dyDescent="0.35">
      <c r="AO1007" s="39">
        <v>1005</v>
      </c>
      <c r="AP1007" s="62"/>
      <c r="AQ1007" s="39"/>
      <c r="AR1007" s="42" t="str">
        <f>IFERROR(VLOOKUP(AU1007,[1]SUMMARY!$A$3:$B$7,2,FALSE),"")</f>
        <v/>
      </c>
      <c r="AS1007" s="31"/>
      <c r="AT1007" s="31" t="e">
        <f>VLOOKUP(AS1007,[1]OUTLET!$B:$C,2,0)</f>
        <v>#N/A</v>
      </c>
      <c r="AU1007" s="31"/>
      <c r="AV1007" s="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55"/>
      <c r="BP1007" s="40"/>
      <c r="BQ1007" s="4"/>
      <c r="BR1007" s="61"/>
      <c r="BS1007" s="4"/>
      <c r="BT1007" s="57"/>
      <c r="BU1007" s="62"/>
      <c r="BV1007" s="8"/>
      <c r="BW1007" s="58"/>
    </row>
    <row r="1008" spans="41:75" x14ac:dyDescent="0.35">
      <c r="AO1008" s="39">
        <v>1006</v>
      </c>
      <c r="AP1008" s="62"/>
      <c r="AQ1008" s="39"/>
      <c r="AR1008" s="42" t="str">
        <f>IFERROR(VLOOKUP(AU1008,[1]SUMMARY!$A$3:$B$7,2,FALSE),"")</f>
        <v/>
      </c>
      <c r="AS1008" s="31"/>
      <c r="AT1008" s="31" t="e">
        <f>VLOOKUP(AS1008,[1]OUTLET!$B:$C,2,0)</f>
        <v>#N/A</v>
      </c>
      <c r="AU1008" s="31"/>
      <c r="AV1008" s="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44"/>
      <c r="BM1008" s="44"/>
      <c r="BN1008" s="44"/>
      <c r="BO1008" s="55"/>
      <c r="BP1008" s="40"/>
      <c r="BQ1008" s="4"/>
      <c r="BR1008" s="61"/>
      <c r="BS1008" s="4"/>
      <c r="BT1008" s="57"/>
      <c r="BU1008" s="62"/>
      <c r="BV1008" s="8"/>
      <c r="BW1008" s="58"/>
    </row>
    <row r="1009" spans="41:75" x14ac:dyDescent="0.35">
      <c r="AO1009" s="39">
        <v>1007</v>
      </c>
      <c r="AP1009" s="62"/>
      <c r="AQ1009" s="39"/>
      <c r="AR1009" s="42" t="str">
        <f>IFERROR(VLOOKUP(AU1009,[1]SUMMARY!$A$3:$B$7,2,FALSE),"")</f>
        <v/>
      </c>
      <c r="AS1009" s="31"/>
      <c r="AT1009" s="31" t="e">
        <f>VLOOKUP(AS1009,[1]OUTLET!$B:$C,2,0)</f>
        <v>#N/A</v>
      </c>
      <c r="AU1009" s="31"/>
      <c r="AV1009" s="4"/>
      <c r="AW1009" s="44"/>
      <c r="AX1009" s="44"/>
      <c r="AY1009" s="44"/>
      <c r="AZ1009" s="44"/>
      <c r="BA1009" s="44"/>
      <c r="BB1009" s="44"/>
      <c r="BC1009" s="44"/>
      <c r="BD1009" s="44"/>
      <c r="BE1009" s="44"/>
      <c r="BF1009" s="44"/>
      <c r="BG1009" s="44"/>
      <c r="BH1009" s="44"/>
      <c r="BI1009" s="44"/>
      <c r="BJ1009" s="44"/>
      <c r="BK1009" s="44"/>
      <c r="BL1009" s="44"/>
      <c r="BM1009" s="44"/>
      <c r="BN1009" s="44"/>
      <c r="BO1009" s="55"/>
      <c r="BP1009" s="40"/>
      <c r="BQ1009" s="4"/>
      <c r="BR1009" s="61"/>
      <c r="BS1009" s="4"/>
      <c r="BT1009" s="57"/>
      <c r="BU1009" s="62"/>
      <c r="BV1009" s="8"/>
      <c r="BW1009" s="58"/>
    </row>
    <row r="1010" spans="41:75" x14ac:dyDescent="0.35">
      <c r="AO1010" s="39">
        <v>1008</v>
      </c>
      <c r="AP1010" s="62"/>
      <c r="AQ1010" s="39"/>
      <c r="AR1010" s="42" t="str">
        <f>IFERROR(VLOOKUP(AU1010,[1]SUMMARY!$A$3:$B$7,2,FALSE),"")</f>
        <v/>
      </c>
      <c r="AS1010" s="31"/>
      <c r="AT1010" s="31" t="e">
        <f>VLOOKUP(AS1010,[1]OUTLET!$B:$C,2,0)</f>
        <v>#N/A</v>
      </c>
      <c r="AU1010" s="31"/>
      <c r="AV1010" s="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55"/>
      <c r="BP1010" s="40"/>
      <c r="BQ1010" s="4"/>
      <c r="BR1010" s="61"/>
      <c r="BS1010" s="4"/>
      <c r="BT1010" s="57"/>
      <c r="BU1010" s="62"/>
      <c r="BV1010" s="8"/>
      <c r="BW1010" s="58"/>
    </row>
    <row r="1011" spans="41:75" x14ac:dyDescent="0.35">
      <c r="AO1011" s="39">
        <v>1009</v>
      </c>
      <c r="AP1011" s="62"/>
      <c r="AQ1011" s="39"/>
      <c r="AR1011" s="42" t="str">
        <f>IFERROR(VLOOKUP(AU1011,[1]SUMMARY!$A$3:$B$7,2,FALSE),"")</f>
        <v/>
      </c>
      <c r="AS1011" s="31"/>
      <c r="AT1011" s="31" t="e">
        <f>VLOOKUP(AS1011,[1]OUTLET!$B:$C,2,0)</f>
        <v>#N/A</v>
      </c>
      <c r="AU1011" s="31"/>
      <c r="AV1011" s="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55"/>
      <c r="BP1011" s="40"/>
      <c r="BQ1011" s="4"/>
      <c r="BR1011" s="61"/>
      <c r="BS1011" s="4"/>
      <c r="BT1011" s="57"/>
      <c r="BU1011" s="62"/>
      <c r="BV1011" s="8"/>
      <c r="BW1011" s="58"/>
    </row>
    <row r="1012" spans="41:75" x14ac:dyDescent="0.35">
      <c r="AO1012" s="39">
        <v>1010</v>
      </c>
      <c r="AP1012" s="62"/>
      <c r="AQ1012" s="39"/>
      <c r="AR1012" s="42" t="str">
        <f>IFERROR(VLOOKUP(AU1012,[1]SUMMARY!$A$3:$B$7,2,FALSE),"")</f>
        <v/>
      </c>
      <c r="AS1012" s="31"/>
      <c r="AT1012" s="31" t="e">
        <f>VLOOKUP(AS1012,[1]OUTLET!$B:$C,2,0)</f>
        <v>#N/A</v>
      </c>
      <c r="AU1012" s="31"/>
      <c r="AV1012" s="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55"/>
      <c r="BP1012" s="40"/>
      <c r="BQ1012" s="4"/>
      <c r="BR1012" s="61"/>
      <c r="BS1012" s="4"/>
      <c r="BT1012" s="57"/>
      <c r="BU1012" s="62"/>
      <c r="BV1012" s="8"/>
      <c r="BW1012" s="58"/>
    </row>
    <row r="1013" spans="41:75" x14ac:dyDescent="0.35">
      <c r="AO1013" s="39">
        <v>1011</v>
      </c>
      <c r="AP1013" s="62"/>
      <c r="AQ1013" s="39"/>
      <c r="AR1013" s="42" t="str">
        <f>IFERROR(VLOOKUP(AU1013,[1]SUMMARY!$A$3:$B$7,2,FALSE),"")</f>
        <v/>
      </c>
      <c r="AS1013" s="31"/>
      <c r="AT1013" s="31" t="e">
        <f>VLOOKUP(AS1013,[1]OUTLET!$B:$C,2,0)</f>
        <v>#N/A</v>
      </c>
      <c r="AU1013" s="31"/>
      <c r="AV1013" s="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55"/>
      <c r="BP1013" s="40"/>
      <c r="BQ1013" s="4"/>
      <c r="BR1013" s="61"/>
      <c r="BS1013" s="4"/>
      <c r="BT1013" s="57"/>
      <c r="BU1013" s="62"/>
      <c r="BV1013" s="8"/>
      <c r="BW1013" s="58"/>
    </row>
    <row r="1014" spans="41:75" x14ac:dyDescent="0.35">
      <c r="AO1014" s="39">
        <v>1012</v>
      </c>
      <c r="AP1014" s="62"/>
      <c r="AQ1014" s="39"/>
      <c r="AR1014" s="42" t="str">
        <f>IFERROR(VLOOKUP(AU1014,[1]SUMMARY!$A$3:$B$7,2,FALSE),"")</f>
        <v/>
      </c>
      <c r="AS1014" s="31"/>
      <c r="AT1014" s="31" t="e">
        <f>VLOOKUP(AS1014,[1]OUTLET!$B:$C,2,0)</f>
        <v>#N/A</v>
      </c>
      <c r="AU1014" s="31"/>
      <c r="AV1014" s="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55"/>
      <c r="BP1014" s="40"/>
      <c r="BQ1014" s="4"/>
      <c r="BR1014" s="61"/>
      <c r="BS1014" s="4"/>
      <c r="BT1014" s="57"/>
      <c r="BU1014" s="62"/>
      <c r="BV1014" s="8"/>
      <c r="BW1014" s="58"/>
    </row>
    <row r="1015" spans="41:75" x14ac:dyDescent="0.35">
      <c r="AO1015" s="39">
        <v>1013</v>
      </c>
      <c r="AP1015" s="62"/>
      <c r="AQ1015" s="39"/>
      <c r="AR1015" s="42" t="str">
        <f>IFERROR(VLOOKUP(AU1015,[1]SUMMARY!$A$3:$B$7,2,FALSE),"")</f>
        <v/>
      </c>
      <c r="AS1015" s="31"/>
      <c r="AT1015" s="31" t="e">
        <f>VLOOKUP(AS1015,[1]OUTLET!$B:$C,2,0)</f>
        <v>#N/A</v>
      </c>
      <c r="AU1015" s="31"/>
      <c r="AV1015" s="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55"/>
      <c r="BP1015" s="40"/>
      <c r="BQ1015" s="4"/>
      <c r="BR1015" s="61"/>
      <c r="BS1015" s="4"/>
      <c r="BT1015" s="57"/>
      <c r="BU1015" s="62"/>
      <c r="BV1015" s="8"/>
      <c r="BW1015" s="58"/>
    </row>
    <row r="1016" spans="41:75" x14ac:dyDescent="0.35">
      <c r="AO1016" s="39">
        <v>1014</v>
      </c>
      <c r="AP1016" s="62"/>
      <c r="AQ1016" s="39"/>
      <c r="AR1016" s="42" t="str">
        <f>IFERROR(VLOOKUP(AU1016,[1]SUMMARY!$A$3:$B$7,2,FALSE),"")</f>
        <v/>
      </c>
      <c r="AS1016" s="31"/>
      <c r="AT1016" s="31" t="e">
        <f>VLOOKUP(AS1016,[1]OUTLET!$B:$C,2,0)</f>
        <v>#N/A</v>
      </c>
      <c r="AU1016" s="31"/>
      <c r="AV1016" s="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55"/>
      <c r="BP1016" s="40"/>
      <c r="BQ1016" s="4"/>
      <c r="BR1016" s="61"/>
      <c r="BS1016" s="4"/>
      <c r="BT1016" s="57"/>
      <c r="BU1016" s="62"/>
      <c r="BV1016" s="8"/>
      <c r="BW1016" s="58"/>
    </row>
    <row r="1017" spans="41:75" x14ac:dyDescent="0.35">
      <c r="AO1017" s="39">
        <v>1015</v>
      </c>
      <c r="AP1017" s="62"/>
      <c r="AQ1017" s="39"/>
      <c r="AR1017" s="42" t="str">
        <f>IFERROR(VLOOKUP(AU1017,[1]SUMMARY!$A$3:$B$7,2,FALSE),"")</f>
        <v/>
      </c>
      <c r="AS1017" s="31"/>
      <c r="AT1017" s="31" t="e">
        <f>VLOOKUP(AS1017,[1]OUTLET!$B:$C,2,0)</f>
        <v>#N/A</v>
      </c>
      <c r="AU1017" s="31"/>
      <c r="AV1017" s="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55"/>
      <c r="BP1017" s="40"/>
      <c r="BQ1017" s="4"/>
      <c r="BR1017" s="61"/>
      <c r="BS1017" s="4"/>
      <c r="BT1017" s="57"/>
      <c r="BU1017" s="62"/>
      <c r="BV1017" s="8"/>
      <c r="BW1017" s="58"/>
    </row>
    <row r="1018" spans="41:75" x14ac:dyDescent="0.35">
      <c r="AO1018" s="39">
        <v>1016</v>
      </c>
      <c r="AP1018" s="62"/>
      <c r="AQ1018" s="39"/>
      <c r="AR1018" s="42" t="str">
        <f>IFERROR(VLOOKUP(AU1018,[1]SUMMARY!$A$3:$B$7,2,FALSE),"")</f>
        <v/>
      </c>
      <c r="AS1018" s="31"/>
      <c r="AT1018" s="31" t="e">
        <f>VLOOKUP(AS1018,[1]OUTLET!$B:$C,2,0)</f>
        <v>#N/A</v>
      </c>
      <c r="AU1018" s="31"/>
      <c r="AV1018" s="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55"/>
      <c r="BP1018" s="40"/>
      <c r="BQ1018" s="4"/>
      <c r="BR1018" s="61"/>
      <c r="BS1018" s="4"/>
      <c r="BT1018" s="57"/>
      <c r="BU1018" s="62"/>
      <c r="BV1018" s="8"/>
      <c r="BW1018" s="58"/>
    </row>
    <row r="1019" spans="41:75" x14ac:dyDescent="0.35">
      <c r="AO1019" s="39">
        <v>1017</v>
      </c>
      <c r="AP1019" s="62"/>
      <c r="AQ1019" s="39"/>
      <c r="AR1019" s="42" t="str">
        <f>IFERROR(VLOOKUP(AU1019,[1]SUMMARY!$A$3:$B$7,2,FALSE),"")</f>
        <v/>
      </c>
      <c r="AS1019" s="31"/>
      <c r="AT1019" s="31" t="e">
        <f>VLOOKUP(AS1019,[1]OUTLET!$B:$C,2,0)</f>
        <v>#N/A</v>
      </c>
      <c r="AU1019" s="31"/>
      <c r="AV1019" s="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55"/>
      <c r="BP1019" s="40"/>
      <c r="BQ1019" s="4"/>
      <c r="BR1019" s="61"/>
      <c r="BS1019" s="4"/>
      <c r="BT1019" s="57"/>
      <c r="BU1019" s="62"/>
      <c r="BV1019" s="8"/>
      <c r="BW1019" s="58"/>
    </row>
    <row r="1020" spans="41:75" x14ac:dyDescent="0.35">
      <c r="AO1020" s="39">
        <v>1018</v>
      </c>
      <c r="AP1020" s="62"/>
      <c r="AQ1020" s="39"/>
      <c r="AR1020" s="42" t="str">
        <f>IFERROR(VLOOKUP(AU1020,[1]SUMMARY!$A$3:$B$7,2,FALSE),"")</f>
        <v/>
      </c>
      <c r="AS1020" s="31"/>
      <c r="AT1020" s="31" t="e">
        <f>VLOOKUP(AS1020,[1]OUTLET!$B:$C,2,0)</f>
        <v>#N/A</v>
      </c>
      <c r="AU1020" s="31"/>
      <c r="AV1020" s="4"/>
      <c r="AW1020" s="44"/>
      <c r="AX1020" s="44"/>
      <c r="AY1020" s="44"/>
      <c r="AZ1020" s="44"/>
      <c r="BA1020" s="44"/>
      <c r="BB1020" s="44"/>
      <c r="BC1020" s="44"/>
      <c r="BD1020" s="44"/>
      <c r="BE1020" s="44"/>
      <c r="BF1020" s="44"/>
      <c r="BG1020" s="44"/>
      <c r="BH1020" s="44"/>
      <c r="BI1020" s="44"/>
      <c r="BJ1020" s="44"/>
      <c r="BK1020" s="44"/>
      <c r="BL1020" s="44"/>
      <c r="BM1020" s="44"/>
      <c r="BN1020" s="44"/>
      <c r="BO1020" s="55"/>
      <c r="BP1020" s="40"/>
      <c r="BQ1020" s="4"/>
      <c r="BR1020" s="61"/>
      <c r="BS1020" s="4"/>
      <c r="BT1020" s="57"/>
      <c r="BU1020" s="62"/>
      <c r="BV1020" s="8"/>
      <c r="BW1020" s="58"/>
    </row>
    <row r="1021" spans="41:75" x14ac:dyDescent="0.35">
      <c r="AO1021" s="39">
        <v>1019</v>
      </c>
      <c r="AP1021" s="62"/>
      <c r="AQ1021" s="39"/>
      <c r="AR1021" s="42" t="str">
        <f>IFERROR(VLOOKUP(AU1021,[1]SUMMARY!$A$3:$B$7,2,FALSE),"")</f>
        <v/>
      </c>
      <c r="AS1021" s="31"/>
      <c r="AT1021" s="31" t="e">
        <f>VLOOKUP(AS1021,[1]OUTLET!$B:$C,2,0)</f>
        <v>#N/A</v>
      </c>
      <c r="AU1021" s="31"/>
      <c r="AV1021" s="4"/>
      <c r="AW1021" s="44"/>
      <c r="AX1021" s="44"/>
      <c r="AY1021" s="44"/>
      <c r="AZ1021" s="44"/>
      <c r="BA1021" s="44"/>
      <c r="BB1021" s="44"/>
      <c r="BC1021" s="44"/>
      <c r="BD1021" s="44"/>
      <c r="BE1021" s="44"/>
      <c r="BF1021" s="44"/>
      <c r="BG1021" s="44"/>
      <c r="BH1021" s="44"/>
      <c r="BI1021" s="44"/>
      <c r="BJ1021" s="44"/>
      <c r="BK1021" s="44"/>
      <c r="BL1021" s="44"/>
      <c r="BM1021" s="44"/>
      <c r="BN1021" s="44"/>
      <c r="BO1021" s="55"/>
      <c r="BP1021" s="40"/>
      <c r="BQ1021" s="4"/>
      <c r="BR1021" s="61"/>
      <c r="BS1021" s="4"/>
      <c r="BT1021" s="57"/>
      <c r="BU1021" s="62"/>
      <c r="BV1021" s="8"/>
      <c r="BW1021" s="58"/>
    </row>
    <row r="1022" spans="41:75" x14ac:dyDescent="0.35">
      <c r="AO1022" s="39">
        <v>1020</v>
      </c>
      <c r="AP1022" s="62"/>
      <c r="AQ1022" s="39"/>
      <c r="AR1022" s="42" t="str">
        <f>IFERROR(VLOOKUP(AU1022,[1]SUMMARY!$A$3:$B$7,2,FALSE),"")</f>
        <v/>
      </c>
      <c r="AS1022" s="31"/>
      <c r="AT1022" s="31" t="e">
        <f>VLOOKUP(AS1022,[1]OUTLET!$B:$C,2,0)</f>
        <v>#N/A</v>
      </c>
      <c r="AU1022" s="31"/>
      <c r="AV1022" s="4"/>
      <c r="AW1022" s="44"/>
      <c r="AX1022" s="44"/>
      <c r="AY1022" s="44"/>
      <c r="AZ1022" s="44"/>
      <c r="BA1022" s="44"/>
      <c r="BB1022" s="44"/>
      <c r="BC1022" s="44"/>
      <c r="BD1022" s="44"/>
      <c r="BE1022" s="44"/>
      <c r="BF1022" s="44"/>
      <c r="BG1022" s="44"/>
      <c r="BH1022" s="44"/>
      <c r="BI1022" s="44"/>
      <c r="BJ1022" s="44"/>
      <c r="BK1022" s="44"/>
      <c r="BL1022" s="44"/>
      <c r="BM1022" s="44"/>
      <c r="BN1022" s="44"/>
      <c r="BO1022" s="55"/>
      <c r="BP1022" s="40"/>
      <c r="BQ1022" s="4"/>
      <c r="BR1022" s="61"/>
      <c r="BS1022" s="4"/>
      <c r="BT1022" s="57"/>
      <c r="BU1022" s="62"/>
      <c r="BV1022" s="8"/>
      <c r="BW1022" s="58"/>
    </row>
    <row r="1023" spans="41:75" x14ac:dyDescent="0.35">
      <c r="AO1023" s="39">
        <v>1021</v>
      </c>
      <c r="AP1023" s="62"/>
      <c r="AQ1023" s="39"/>
      <c r="AR1023" s="42" t="str">
        <f>IFERROR(VLOOKUP(AU1023,[1]SUMMARY!$A$3:$B$7,2,FALSE),"")</f>
        <v/>
      </c>
      <c r="AS1023" s="31"/>
      <c r="AT1023" s="31" t="e">
        <f>VLOOKUP(AS1023,[1]OUTLET!$B:$C,2,0)</f>
        <v>#N/A</v>
      </c>
      <c r="AU1023" s="31"/>
      <c r="AV1023" s="4"/>
      <c r="AW1023" s="44"/>
      <c r="AX1023" s="44"/>
      <c r="AY1023" s="44"/>
      <c r="AZ1023" s="44"/>
      <c r="BA1023" s="44"/>
      <c r="BB1023" s="44"/>
      <c r="BC1023" s="44"/>
      <c r="BD1023" s="44"/>
      <c r="BE1023" s="44"/>
      <c r="BF1023" s="44"/>
      <c r="BG1023" s="44"/>
      <c r="BH1023" s="44"/>
      <c r="BI1023" s="44"/>
      <c r="BJ1023" s="44"/>
      <c r="BK1023" s="44"/>
      <c r="BL1023" s="44"/>
      <c r="BM1023" s="44"/>
      <c r="BN1023" s="44"/>
      <c r="BO1023" s="55"/>
      <c r="BP1023" s="40"/>
      <c r="BQ1023" s="4"/>
      <c r="BR1023" s="61"/>
      <c r="BS1023" s="4"/>
      <c r="BT1023" s="57"/>
      <c r="BU1023" s="62"/>
      <c r="BV1023" s="8"/>
      <c r="BW1023" s="58"/>
    </row>
    <row r="1024" spans="41:75" x14ac:dyDescent="0.35">
      <c r="AO1024" s="39">
        <v>1022</v>
      </c>
      <c r="AP1024" s="62"/>
      <c r="AQ1024" s="39"/>
      <c r="AR1024" s="42" t="str">
        <f>IFERROR(VLOOKUP(AU1024,[1]SUMMARY!$A$3:$B$7,2,FALSE),"")</f>
        <v/>
      </c>
      <c r="AS1024" s="31"/>
      <c r="AT1024" s="31" t="e">
        <f>VLOOKUP(AS1024,[1]OUTLET!$B:$C,2,0)</f>
        <v>#N/A</v>
      </c>
      <c r="AU1024" s="31"/>
      <c r="AV1024" s="4"/>
      <c r="AW1024" s="44"/>
      <c r="AX1024" s="44"/>
      <c r="AY1024" s="44"/>
      <c r="AZ1024" s="44"/>
      <c r="BA1024" s="44"/>
      <c r="BB1024" s="44"/>
      <c r="BC1024" s="44"/>
      <c r="BD1024" s="44"/>
      <c r="BE1024" s="44"/>
      <c r="BF1024" s="44"/>
      <c r="BG1024" s="44"/>
      <c r="BH1024" s="44"/>
      <c r="BI1024" s="44"/>
      <c r="BJ1024" s="44"/>
      <c r="BK1024" s="44"/>
      <c r="BL1024" s="44"/>
      <c r="BM1024" s="44"/>
      <c r="BN1024" s="44"/>
      <c r="BO1024" s="55"/>
      <c r="BP1024" s="40"/>
      <c r="BQ1024" s="4"/>
      <c r="BR1024" s="61"/>
      <c r="BS1024" s="4"/>
      <c r="BT1024" s="57"/>
      <c r="BU1024" s="62"/>
      <c r="BV1024" s="8"/>
      <c r="BW1024" s="58"/>
    </row>
    <row r="1025" spans="41:75" x14ac:dyDescent="0.35">
      <c r="AO1025" s="39">
        <v>1023</v>
      </c>
      <c r="AP1025" s="62"/>
      <c r="AQ1025" s="39"/>
      <c r="AR1025" s="42" t="str">
        <f>IFERROR(VLOOKUP(AU1025,[1]SUMMARY!$A$3:$B$7,2,FALSE),"")</f>
        <v/>
      </c>
      <c r="AS1025" s="31"/>
      <c r="AT1025" s="31" t="e">
        <f>VLOOKUP(AS1025,[1]OUTLET!$B:$C,2,0)</f>
        <v>#N/A</v>
      </c>
      <c r="AU1025" s="31"/>
      <c r="AV1025" s="4"/>
      <c r="AW1025" s="44"/>
      <c r="AX1025" s="44"/>
      <c r="AY1025" s="44"/>
      <c r="AZ1025" s="44"/>
      <c r="BA1025" s="44"/>
      <c r="BB1025" s="44"/>
      <c r="BC1025" s="44"/>
      <c r="BD1025" s="44"/>
      <c r="BE1025" s="44"/>
      <c r="BF1025" s="44"/>
      <c r="BG1025" s="44"/>
      <c r="BH1025" s="44"/>
      <c r="BI1025" s="44"/>
      <c r="BJ1025" s="44"/>
      <c r="BK1025" s="44"/>
      <c r="BL1025" s="44"/>
      <c r="BM1025" s="44"/>
      <c r="BN1025" s="44"/>
      <c r="BO1025" s="55"/>
      <c r="BP1025" s="40"/>
      <c r="BQ1025" s="4"/>
      <c r="BR1025" s="61"/>
      <c r="BS1025" s="4"/>
      <c r="BT1025" s="57"/>
      <c r="BU1025" s="62"/>
      <c r="BV1025" s="8"/>
      <c r="BW1025" s="58"/>
    </row>
    <row r="1026" spans="41:75" x14ac:dyDescent="0.35">
      <c r="AO1026" s="39">
        <v>1024</v>
      </c>
      <c r="AP1026" s="62"/>
      <c r="AQ1026" s="39"/>
      <c r="AR1026" s="42" t="str">
        <f>IFERROR(VLOOKUP(AU1026,[1]SUMMARY!$A$3:$B$7,2,FALSE),"")</f>
        <v/>
      </c>
      <c r="AS1026" s="31"/>
      <c r="AT1026" s="31" t="e">
        <f>VLOOKUP(AS1026,[1]OUTLET!$B:$C,2,0)</f>
        <v>#N/A</v>
      </c>
      <c r="AU1026" s="31"/>
      <c r="AV1026" s="4"/>
      <c r="AW1026" s="44"/>
      <c r="AX1026" s="44"/>
      <c r="AY1026" s="44"/>
      <c r="AZ1026" s="44"/>
      <c r="BA1026" s="44"/>
      <c r="BB1026" s="44"/>
      <c r="BC1026" s="44"/>
      <c r="BD1026" s="44"/>
      <c r="BE1026" s="44"/>
      <c r="BF1026" s="44"/>
      <c r="BG1026" s="44"/>
      <c r="BH1026" s="44"/>
      <c r="BI1026" s="44"/>
      <c r="BJ1026" s="44"/>
      <c r="BK1026" s="44"/>
      <c r="BL1026" s="44"/>
      <c r="BM1026" s="44"/>
      <c r="BN1026" s="44"/>
      <c r="BO1026" s="55"/>
      <c r="BP1026" s="40"/>
      <c r="BQ1026" s="4"/>
      <c r="BR1026" s="61"/>
      <c r="BS1026" s="4"/>
      <c r="BT1026" s="57"/>
      <c r="BU1026" s="62"/>
      <c r="BV1026" s="8"/>
      <c r="BW1026" s="58"/>
    </row>
    <row r="1027" spans="41:75" x14ac:dyDescent="0.35">
      <c r="AO1027" s="39">
        <v>1025</v>
      </c>
      <c r="AP1027" s="62"/>
      <c r="AQ1027" s="39"/>
      <c r="AR1027" s="42" t="str">
        <f>IFERROR(VLOOKUP(AU1027,[1]SUMMARY!$A$3:$B$7,2,FALSE),"")</f>
        <v/>
      </c>
      <c r="AS1027" s="31"/>
      <c r="AT1027" s="31" t="e">
        <f>VLOOKUP(AS1027,[1]OUTLET!$B:$C,2,0)</f>
        <v>#N/A</v>
      </c>
      <c r="AU1027" s="31"/>
      <c r="AV1027" s="4"/>
      <c r="AW1027" s="44"/>
      <c r="AX1027" s="44"/>
      <c r="AY1027" s="44"/>
      <c r="AZ1027" s="44"/>
      <c r="BA1027" s="44"/>
      <c r="BB1027" s="44"/>
      <c r="BC1027" s="44"/>
      <c r="BD1027" s="44"/>
      <c r="BE1027" s="44"/>
      <c r="BF1027" s="44"/>
      <c r="BG1027" s="44"/>
      <c r="BH1027" s="44"/>
      <c r="BI1027" s="44"/>
      <c r="BJ1027" s="44"/>
      <c r="BK1027" s="44"/>
      <c r="BL1027" s="44"/>
      <c r="BM1027" s="44"/>
      <c r="BN1027" s="44"/>
      <c r="BO1027" s="55"/>
      <c r="BP1027" s="40"/>
      <c r="BQ1027" s="4"/>
      <c r="BR1027" s="61"/>
      <c r="BS1027" s="4"/>
      <c r="BT1027" s="57"/>
      <c r="BU1027" s="62"/>
      <c r="BV1027" s="8"/>
      <c r="BW1027" s="58"/>
    </row>
    <row r="1028" spans="41:75" x14ac:dyDescent="0.35">
      <c r="AO1028" s="39">
        <v>1026</v>
      </c>
      <c r="AP1028" s="62"/>
      <c r="AQ1028" s="39"/>
      <c r="AR1028" s="42" t="str">
        <f>IFERROR(VLOOKUP(AU1028,[1]SUMMARY!$A$3:$B$7,2,FALSE),"")</f>
        <v/>
      </c>
      <c r="AS1028" s="31"/>
      <c r="AT1028" s="31" t="e">
        <f>VLOOKUP(AS1028,[1]OUTLET!$B:$C,2,0)</f>
        <v>#N/A</v>
      </c>
      <c r="AU1028" s="31"/>
      <c r="AV1028" s="4"/>
      <c r="AW1028" s="44"/>
      <c r="AX1028" s="44"/>
      <c r="AY1028" s="44"/>
      <c r="AZ1028" s="44"/>
      <c r="BA1028" s="44"/>
      <c r="BB1028" s="44"/>
      <c r="BC1028" s="44"/>
      <c r="BD1028" s="44"/>
      <c r="BE1028" s="44"/>
      <c r="BF1028" s="44"/>
      <c r="BG1028" s="44"/>
      <c r="BH1028" s="44"/>
      <c r="BI1028" s="44"/>
      <c r="BJ1028" s="44"/>
      <c r="BK1028" s="44"/>
      <c r="BL1028" s="44"/>
      <c r="BM1028" s="44"/>
      <c r="BN1028" s="44"/>
      <c r="BO1028" s="55"/>
      <c r="BP1028" s="40"/>
      <c r="BQ1028" s="4"/>
      <c r="BR1028" s="61"/>
      <c r="BS1028" s="4"/>
      <c r="BT1028" s="57"/>
      <c r="BU1028" s="62"/>
      <c r="BV1028" s="8"/>
      <c r="BW1028" s="58"/>
    </row>
    <row r="1029" spans="41:75" x14ac:dyDescent="0.35">
      <c r="AO1029" s="39">
        <v>1027</v>
      </c>
      <c r="AP1029" s="62"/>
      <c r="AQ1029" s="39"/>
      <c r="AR1029" s="42" t="str">
        <f>IFERROR(VLOOKUP(AU1029,[1]SUMMARY!$A$3:$B$7,2,FALSE),"")</f>
        <v/>
      </c>
      <c r="AS1029" s="31"/>
      <c r="AT1029" s="31" t="e">
        <f>VLOOKUP(AS1029,[1]OUTLET!$B:$C,2,0)</f>
        <v>#N/A</v>
      </c>
      <c r="AU1029" s="31"/>
      <c r="AV1029" s="4"/>
      <c r="AW1029" s="44"/>
      <c r="AX1029" s="44"/>
      <c r="AY1029" s="44"/>
      <c r="AZ1029" s="44"/>
      <c r="BA1029" s="44"/>
      <c r="BB1029" s="44"/>
      <c r="BC1029" s="44"/>
      <c r="BD1029" s="44"/>
      <c r="BE1029" s="44"/>
      <c r="BF1029" s="44"/>
      <c r="BG1029" s="44"/>
      <c r="BH1029" s="44"/>
      <c r="BI1029" s="44"/>
      <c r="BJ1029" s="44"/>
      <c r="BK1029" s="44"/>
      <c r="BL1029" s="44"/>
      <c r="BM1029" s="44"/>
      <c r="BN1029" s="44"/>
      <c r="BO1029" s="55"/>
      <c r="BP1029" s="40"/>
      <c r="BQ1029" s="4"/>
      <c r="BR1029" s="61"/>
      <c r="BS1029" s="4"/>
      <c r="BT1029" s="57"/>
      <c r="BU1029" s="62"/>
      <c r="BV1029" s="8"/>
      <c r="BW1029" s="58"/>
    </row>
    <row r="1030" spans="41:75" x14ac:dyDescent="0.35">
      <c r="AO1030" s="39">
        <v>1028</v>
      </c>
      <c r="AP1030" s="62"/>
      <c r="AQ1030" s="39"/>
      <c r="AR1030" s="42" t="str">
        <f>IFERROR(VLOOKUP(AU1030,[1]SUMMARY!$A$3:$B$7,2,FALSE),"")</f>
        <v/>
      </c>
      <c r="AS1030" s="31"/>
      <c r="AT1030" s="31" t="e">
        <f>VLOOKUP(AS1030,[1]OUTLET!$B:$C,2,0)</f>
        <v>#N/A</v>
      </c>
      <c r="AU1030" s="31"/>
      <c r="AV1030" s="4"/>
      <c r="AW1030" s="44"/>
      <c r="AX1030" s="44"/>
      <c r="AY1030" s="44"/>
      <c r="AZ1030" s="44"/>
      <c r="BA1030" s="44"/>
      <c r="BB1030" s="44"/>
      <c r="BC1030" s="44"/>
      <c r="BD1030" s="44"/>
      <c r="BE1030" s="44"/>
      <c r="BF1030" s="44"/>
      <c r="BG1030" s="44"/>
      <c r="BH1030" s="44"/>
      <c r="BI1030" s="44"/>
      <c r="BJ1030" s="44"/>
      <c r="BK1030" s="44"/>
      <c r="BL1030" s="44"/>
      <c r="BM1030" s="44"/>
      <c r="BN1030" s="44"/>
      <c r="BO1030" s="55"/>
      <c r="BP1030" s="40"/>
      <c r="BQ1030" s="4"/>
      <c r="BR1030" s="61"/>
      <c r="BS1030" s="4"/>
      <c r="BT1030" s="57"/>
      <c r="BU1030" s="62"/>
      <c r="BV1030" s="8"/>
      <c r="BW1030" s="58"/>
    </row>
    <row r="1031" spans="41:75" x14ac:dyDescent="0.35">
      <c r="AO1031" s="39">
        <v>1029</v>
      </c>
      <c r="AP1031" s="62"/>
      <c r="AQ1031" s="39"/>
      <c r="AR1031" s="42" t="str">
        <f>IFERROR(VLOOKUP(AU1031,[1]SUMMARY!$A$3:$B$7,2,FALSE),"")</f>
        <v/>
      </c>
      <c r="AS1031" s="31"/>
      <c r="AT1031" s="31" t="e">
        <f>VLOOKUP(AS1031,[1]OUTLET!$B:$C,2,0)</f>
        <v>#N/A</v>
      </c>
      <c r="AU1031" s="31"/>
      <c r="AV1031" s="4"/>
      <c r="AW1031" s="44"/>
      <c r="AX1031" s="44"/>
      <c r="AY1031" s="44"/>
      <c r="AZ1031" s="44"/>
      <c r="BA1031" s="44"/>
      <c r="BB1031" s="44"/>
      <c r="BC1031" s="44"/>
      <c r="BD1031" s="44"/>
      <c r="BE1031" s="44"/>
      <c r="BF1031" s="44"/>
      <c r="BG1031" s="44"/>
      <c r="BH1031" s="44"/>
      <c r="BI1031" s="44"/>
      <c r="BJ1031" s="44"/>
      <c r="BK1031" s="44"/>
      <c r="BL1031" s="44"/>
      <c r="BM1031" s="44"/>
      <c r="BN1031" s="44"/>
      <c r="BO1031" s="55"/>
      <c r="BP1031" s="40"/>
      <c r="BQ1031" s="4"/>
      <c r="BR1031" s="61"/>
      <c r="BS1031" s="4"/>
      <c r="BT1031" s="57"/>
      <c r="BU1031" s="62"/>
      <c r="BV1031" s="8"/>
      <c r="BW1031" s="58"/>
    </row>
    <row r="1032" spans="41:75" x14ac:dyDescent="0.35">
      <c r="AO1032" s="39">
        <v>1030</v>
      </c>
      <c r="AP1032" s="62"/>
      <c r="AQ1032" s="39"/>
      <c r="AR1032" s="42" t="str">
        <f>IFERROR(VLOOKUP(AU1032,[1]SUMMARY!$A$3:$B$7,2,FALSE),"")</f>
        <v/>
      </c>
      <c r="AS1032" s="31"/>
      <c r="AT1032" s="31" t="e">
        <f>VLOOKUP(AS1032,[1]OUTLET!$B:$C,2,0)</f>
        <v>#N/A</v>
      </c>
      <c r="AU1032" s="31"/>
      <c r="AV1032" s="4"/>
      <c r="AW1032" s="44"/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44"/>
      <c r="BJ1032" s="44"/>
      <c r="BK1032" s="44"/>
      <c r="BL1032" s="44"/>
      <c r="BM1032" s="44"/>
      <c r="BN1032" s="44"/>
      <c r="BO1032" s="55"/>
      <c r="BP1032" s="40"/>
      <c r="BQ1032" s="4"/>
      <c r="BR1032" s="61"/>
      <c r="BS1032" s="4"/>
      <c r="BT1032" s="57"/>
      <c r="BU1032" s="62"/>
      <c r="BV1032" s="8"/>
      <c r="BW1032" s="58"/>
    </row>
    <row r="1033" spans="41:75" x14ac:dyDescent="0.35">
      <c r="AO1033" s="39">
        <v>1031</v>
      </c>
      <c r="AP1033" s="62"/>
      <c r="AQ1033" s="39"/>
      <c r="AR1033" s="42" t="str">
        <f>IFERROR(VLOOKUP(AU1033,[1]SUMMARY!$A$3:$B$7,2,FALSE),"")</f>
        <v/>
      </c>
      <c r="AS1033" s="31"/>
      <c r="AT1033" s="31" t="e">
        <f>VLOOKUP(AS1033,[1]OUTLET!$B:$C,2,0)</f>
        <v>#N/A</v>
      </c>
      <c r="AU1033" s="31"/>
      <c r="AV1033" s="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44"/>
      <c r="BJ1033" s="44"/>
      <c r="BK1033" s="44"/>
      <c r="BL1033" s="44"/>
      <c r="BM1033" s="44"/>
      <c r="BN1033" s="44"/>
      <c r="BO1033" s="55"/>
      <c r="BP1033" s="40"/>
      <c r="BQ1033" s="4"/>
      <c r="BR1033" s="61"/>
      <c r="BS1033" s="4"/>
      <c r="BT1033" s="57"/>
      <c r="BU1033" s="62"/>
      <c r="BV1033" s="8"/>
      <c r="BW1033" s="58"/>
    </row>
    <row r="1034" spans="41:75" x14ac:dyDescent="0.35">
      <c r="AO1034" s="39">
        <v>1032</v>
      </c>
      <c r="AP1034" s="62"/>
      <c r="AQ1034" s="39"/>
      <c r="AR1034" s="42" t="str">
        <f>IFERROR(VLOOKUP(AU1034,[1]SUMMARY!$A$3:$B$7,2,FALSE),"")</f>
        <v/>
      </c>
      <c r="AS1034" s="31"/>
      <c r="AT1034" s="31" t="e">
        <f>VLOOKUP(AS1034,[1]OUTLET!$B:$C,2,0)</f>
        <v>#N/A</v>
      </c>
      <c r="AU1034" s="31"/>
      <c r="AV1034" s="4"/>
      <c r="AW1034" s="44"/>
      <c r="AX1034" s="44"/>
      <c r="AY1034" s="44"/>
      <c r="AZ1034" s="44"/>
      <c r="BA1034" s="44"/>
      <c r="BB1034" s="44"/>
      <c r="BC1034" s="44"/>
      <c r="BD1034" s="44"/>
      <c r="BE1034" s="44"/>
      <c r="BF1034" s="44"/>
      <c r="BG1034" s="44"/>
      <c r="BH1034" s="44"/>
      <c r="BI1034" s="44"/>
      <c r="BJ1034" s="44"/>
      <c r="BK1034" s="44"/>
      <c r="BL1034" s="44"/>
      <c r="BM1034" s="44"/>
      <c r="BN1034" s="44"/>
      <c r="BO1034" s="55"/>
      <c r="BP1034" s="40"/>
      <c r="BQ1034" s="4"/>
      <c r="BR1034" s="61"/>
      <c r="BS1034" s="4"/>
      <c r="BT1034" s="57"/>
      <c r="BU1034" s="62"/>
      <c r="BV1034" s="8"/>
      <c r="BW1034" s="58"/>
    </row>
    <row r="1035" spans="41:75" x14ac:dyDescent="0.35">
      <c r="AO1035" s="39">
        <v>1033</v>
      </c>
      <c r="AP1035" s="62"/>
      <c r="AQ1035" s="39"/>
      <c r="AR1035" s="42" t="str">
        <f>IFERROR(VLOOKUP(AU1035,[1]SUMMARY!$A$3:$B$7,2,FALSE),"")</f>
        <v/>
      </c>
      <c r="AS1035" s="31"/>
      <c r="AT1035" s="31" t="e">
        <f>VLOOKUP(AS1035,[1]OUTLET!$B:$C,2,0)</f>
        <v>#N/A</v>
      </c>
      <c r="AU1035" s="31"/>
      <c r="AV1035" s="4"/>
      <c r="AW1035" s="44"/>
      <c r="AX1035" s="44"/>
      <c r="AY1035" s="44"/>
      <c r="AZ1035" s="44"/>
      <c r="BA1035" s="44"/>
      <c r="BB1035" s="44"/>
      <c r="BC1035" s="44"/>
      <c r="BD1035" s="44"/>
      <c r="BE1035" s="44"/>
      <c r="BF1035" s="44"/>
      <c r="BG1035" s="44"/>
      <c r="BH1035" s="44"/>
      <c r="BI1035" s="44"/>
      <c r="BJ1035" s="44"/>
      <c r="BK1035" s="44"/>
      <c r="BL1035" s="44"/>
      <c r="BM1035" s="44"/>
      <c r="BN1035" s="44"/>
      <c r="BO1035" s="55"/>
      <c r="BP1035" s="40"/>
      <c r="BQ1035" s="4"/>
      <c r="BR1035" s="61"/>
      <c r="BS1035" s="4"/>
      <c r="BT1035" s="57"/>
      <c r="BU1035" s="62"/>
      <c r="BV1035" s="8"/>
      <c r="BW1035" s="58"/>
    </row>
    <row r="1036" spans="41:75" x14ac:dyDescent="0.35">
      <c r="AO1036" s="39">
        <v>1034</v>
      </c>
      <c r="AP1036" s="62"/>
      <c r="AQ1036" s="39"/>
      <c r="AR1036" s="42" t="str">
        <f>IFERROR(VLOOKUP(AU1036,[1]SUMMARY!$A$3:$B$7,2,FALSE),"")</f>
        <v/>
      </c>
      <c r="AS1036" s="31"/>
      <c r="AT1036" s="31" t="e">
        <f>VLOOKUP(AS1036,[1]OUTLET!$B:$C,2,0)</f>
        <v>#N/A</v>
      </c>
      <c r="AU1036" s="31"/>
      <c r="AV1036" s="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55"/>
      <c r="BP1036" s="40"/>
      <c r="BQ1036" s="4"/>
      <c r="BR1036" s="61"/>
      <c r="BS1036" s="4"/>
      <c r="BT1036" s="57"/>
      <c r="BU1036" s="62"/>
      <c r="BV1036" s="8"/>
      <c r="BW1036" s="58"/>
    </row>
    <row r="1037" spans="41:75" x14ac:dyDescent="0.35">
      <c r="AO1037" s="39">
        <v>1035</v>
      </c>
      <c r="AP1037" s="62"/>
      <c r="AQ1037" s="39"/>
      <c r="AR1037" s="42" t="str">
        <f>IFERROR(VLOOKUP(AU1037,[1]SUMMARY!$A$3:$B$7,2,FALSE),"")</f>
        <v/>
      </c>
      <c r="AS1037" s="31"/>
      <c r="AT1037" s="31" t="e">
        <f>VLOOKUP(AS1037,[1]OUTLET!$B:$C,2,0)</f>
        <v>#N/A</v>
      </c>
      <c r="AU1037" s="31"/>
      <c r="AV1037" s="4"/>
      <c r="AW1037" s="44"/>
      <c r="AX1037" s="44"/>
      <c r="AY1037" s="44"/>
      <c r="AZ1037" s="44"/>
      <c r="BA1037" s="44"/>
      <c r="BB1037" s="44"/>
      <c r="BC1037" s="44"/>
      <c r="BD1037" s="44"/>
      <c r="BE1037" s="44"/>
      <c r="BF1037" s="44"/>
      <c r="BG1037" s="44"/>
      <c r="BH1037" s="44"/>
      <c r="BI1037" s="44"/>
      <c r="BJ1037" s="44"/>
      <c r="BK1037" s="44"/>
      <c r="BL1037" s="44"/>
      <c r="BM1037" s="44"/>
      <c r="BN1037" s="44"/>
      <c r="BO1037" s="55"/>
      <c r="BP1037" s="40"/>
      <c r="BQ1037" s="4"/>
      <c r="BR1037" s="61"/>
      <c r="BS1037" s="4"/>
      <c r="BT1037" s="57"/>
      <c r="BU1037" s="62"/>
      <c r="BV1037" s="8"/>
      <c r="BW1037" s="58"/>
    </row>
    <row r="1038" spans="41:75" x14ac:dyDescent="0.35">
      <c r="AO1038" s="39">
        <v>1036</v>
      </c>
      <c r="AP1038" s="62"/>
      <c r="AQ1038" s="39"/>
      <c r="AR1038" s="42" t="str">
        <f>IFERROR(VLOOKUP(AU1038,[1]SUMMARY!$A$3:$B$7,2,FALSE),"")</f>
        <v/>
      </c>
      <c r="AS1038" s="31"/>
      <c r="AT1038" s="31" t="e">
        <f>VLOOKUP(AS1038,[1]OUTLET!$B:$C,2,0)</f>
        <v>#N/A</v>
      </c>
      <c r="AU1038" s="31"/>
      <c r="AV1038" s="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55"/>
      <c r="BP1038" s="40"/>
      <c r="BQ1038" s="4"/>
      <c r="BR1038" s="61"/>
      <c r="BS1038" s="4"/>
      <c r="BT1038" s="57"/>
      <c r="BU1038" s="62"/>
      <c r="BV1038" s="8"/>
      <c r="BW1038" s="58"/>
    </row>
    <row r="1039" spans="41:75" x14ac:dyDescent="0.35">
      <c r="AO1039" s="39">
        <v>1037</v>
      </c>
      <c r="AP1039" s="62"/>
      <c r="AQ1039" s="39"/>
      <c r="AR1039" s="42" t="str">
        <f>IFERROR(VLOOKUP(AU1039,[1]SUMMARY!$A$3:$B$7,2,FALSE),"")</f>
        <v/>
      </c>
      <c r="AS1039" s="31"/>
      <c r="AT1039" s="31" t="e">
        <f>VLOOKUP(AS1039,[1]OUTLET!$B:$C,2,0)</f>
        <v>#N/A</v>
      </c>
      <c r="AU1039" s="31"/>
      <c r="AV1039" s="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55"/>
      <c r="BP1039" s="40"/>
      <c r="BQ1039" s="4"/>
      <c r="BR1039" s="61"/>
      <c r="BS1039" s="4"/>
      <c r="BT1039" s="57"/>
      <c r="BU1039" s="62"/>
      <c r="BV1039" s="8"/>
      <c r="BW1039" s="58"/>
    </row>
    <row r="1040" spans="41:75" x14ac:dyDescent="0.35">
      <c r="AO1040" s="39">
        <v>1038</v>
      </c>
      <c r="AP1040" s="62"/>
      <c r="AQ1040" s="39"/>
      <c r="AR1040" s="42" t="str">
        <f>IFERROR(VLOOKUP(AU1040,[1]SUMMARY!$A$3:$B$7,2,FALSE),"")</f>
        <v/>
      </c>
      <c r="AS1040" s="31"/>
      <c r="AT1040" s="31" t="e">
        <f>VLOOKUP(AS1040,[1]OUTLET!$B:$C,2,0)</f>
        <v>#N/A</v>
      </c>
      <c r="AU1040" s="31"/>
      <c r="AV1040" s="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55"/>
      <c r="BP1040" s="40"/>
      <c r="BQ1040" s="4"/>
      <c r="BR1040" s="61"/>
      <c r="BS1040" s="4"/>
      <c r="BT1040" s="57"/>
      <c r="BU1040" s="62"/>
      <c r="BV1040" s="8"/>
      <c r="BW1040" s="58"/>
    </row>
    <row r="1041" spans="41:75" x14ac:dyDescent="0.35">
      <c r="AO1041" s="39">
        <v>1039</v>
      </c>
      <c r="AP1041" s="62"/>
      <c r="AQ1041" s="39"/>
      <c r="AR1041" s="42" t="str">
        <f>IFERROR(VLOOKUP(AU1041,[1]SUMMARY!$A$3:$B$7,2,FALSE),"")</f>
        <v/>
      </c>
      <c r="AS1041" s="31"/>
      <c r="AT1041" s="31" t="e">
        <f>VLOOKUP(AS1041,[1]OUTLET!$B:$C,2,0)</f>
        <v>#N/A</v>
      </c>
      <c r="AU1041" s="31"/>
      <c r="AV1041" s="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55"/>
      <c r="BP1041" s="40"/>
      <c r="BQ1041" s="4"/>
      <c r="BR1041" s="61"/>
      <c r="BS1041" s="4"/>
      <c r="BT1041" s="57"/>
      <c r="BU1041" s="62"/>
      <c r="BV1041" s="8"/>
      <c r="BW1041" s="58"/>
    </row>
    <row r="1042" spans="41:75" x14ac:dyDescent="0.35">
      <c r="AO1042" s="39">
        <v>1040</v>
      </c>
      <c r="AP1042" s="62"/>
      <c r="AQ1042" s="39"/>
      <c r="AR1042" s="42" t="str">
        <f>IFERROR(VLOOKUP(AU1042,[1]SUMMARY!$A$3:$B$7,2,FALSE),"")</f>
        <v/>
      </c>
      <c r="AS1042" s="31"/>
      <c r="AT1042" s="31" t="e">
        <f>VLOOKUP(AS1042,[1]OUTLET!$B:$C,2,0)</f>
        <v>#N/A</v>
      </c>
      <c r="AU1042" s="31"/>
      <c r="AV1042" s="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55"/>
      <c r="BP1042" s="40"/>
      <c r="BQ1042" s="4"/>
      <c r="BR1042" s="61"/>
      <c r="BS1042" s="4"/>
      <c r="BT1042" s="57"/>
      <c r="BU1042" s="62"/>
      <c r="BV1042" s="8"/>
      <c r="BW1042" s="58"/>
    </row>
    <row r="1043" spans="41:75" x14ac:dyDescent="0.35">
      <c r="AO1043" s="39">
        <v>1041</v>
      </c>
      <c r="AP1043" s="62"/>
      <c r="AQ1043" s="39"/>
      <c r="AR1043" s="42" t="str">
        <f>IFERROR(VLOOKUP(AU1043,[1]SUMMARY!$A$3:$B$7,2,FALSE),"")</f>
        <v/>
      </c>
      <c r="AS1043" s="31"/>
      <c r="AT1043" s="31" t="e">
        <f>VLOOKUP(AS1043,[1]OUTLET!$B:$C,2,0)</f>
        <v>#N/A</v>
      </c>
      <c r="AU1043" s="31"/>
      <c r="AV1043" s="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55"/>
      <c r="BP1043" s="40"/>
      <c r="BQ1043" s="4"/>
      <c r="BR1043" s="61"/>
      <c r="BS1043" s="4"/>
      <c r="BT1043" s="57"/>
      <c r="BU1043" s="62"/>
      <c r="BV1043" s="8"/>
      <c r="BW1043" s="58"/>
    </row>
    <row r="1044" spans="41:75" x14ac:dyDescent="0.35">
      <c r="AO1044" s="39">
        <v>1042</v>
      </c>
      <c r="AP1044" s="62"/>
      <c r="AQ1044" s="39"/>
      <c r="AR1044" s="42" t="str">
        <f>IFERROR(VLOOKUP(AU1044,[1]SUMMARY!$A$3:$B$7,2,FALSE),"")</f>
        <v/>
      </c>
      <c r="AS1044" s="31"/>
      <c r="AT1044" s="31" t="e">
        <f>VLOOKUP(AS1044,[1]OUTLET!$B:$C,2,0)</f>
        <v>#N/A</v>
      </c>
      <c r="AU1044" s="31"/>
      <c r="AV1044" s="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55"/>
      <c r="BP1044" s="40"/>
      <c r="BQ1044" s="4"/>
      <c r="BR1044" s="61"/>
      <c r="BS1044" s="4"/>
      <c r="BT1044" s="57"/>
      <c r="BU1044" s="62"/>
      <c r="BV1044" s="8"/>
      <c r="BW1044" s="58"/>
    </row>
    <row r="1045" spans="41:75" x14ac:dyDescent="0.35">
      <c r="AO1045" s="39">
        <v>1043</v>
      </c>
      <c r="AP1045" s="62"/>
      <c r="AQ1045" s="39"/>
      <c r="AR1045" s="42" t="str">
        <f>IFERROR(VLOOKUP(AU1045,[1]SUMMARY!$A$3:$B$7,2,FALSE),"")</f>
        <v/>
      </c>
      <c r="AS1045" s="31"/>
      <c r="AT1045" s="31" t="e">
        <f>VLOOKUP(AS1045,[1]OUTLET!$B:$C,2,0)</f>
        <v>#N/A</v>
      </c>
      <c r="AU1045" s="31"/>
      <c r="AV1045" s="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55"/>
      <c r="BP1045" s="40"/>
      <c r="BQ1045" s="4"/>
      <c r="BR1045" s="61"/>
      <c r="BS1045" s="4"/>
      <c r="BT1045" s="57"/>
      <c r="BU1045" s="62"/>
      <c r="BV1045" s="8"/>
      <c r="BW1045" s="58"/>
    </row>
    <row r="1046" spans="41:75" x14ac:dyDescent="0.35">
      <c r="AO1046" s="39">
        <v>1044</v>
      </c>
      <c r="AP1046" s="62"/>
      <c r="AQ1046" s="39"/>
      <c r="AR1046" s="42" t="str">
        <f>IFERROR(VLOOKUP(AU1046,[1]SUMMARY!$A$3:$B$7,2,FALSE),"")</f>
        <v/>
      </c>
      <c r="AS1046" s="31"/>
      <c r="AT1046" s="31" t="e">
        <f>VLOOKUP(AS1046,[1]OUTLET!$B:$C,2,0)</f>
        <v>#N/A</v>
      </c>
      <c r="AU1046" s="31"/>
      <c r="AV1046" s="4"/>
      <c r="AW1046" s="44"/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44"/>
      <c r="BJ1046" s="44"/>
      <c r="BK1046" s="44"/>
      <c r="BL1046" s="44"/>
      <c r="BM1046" s="44"/>
      <c r="BN1046" s="44"/>
      <c r="BO1046" s="55"/>
      <c r="BP1046" s="40"/>
      <c r="BQ1046" s="4"/>
      <c r="BR1046" s="61"/>
      <c r="BS1046" s="4"/>
      <c r="BT1046" s="57"/>
      <c r="BU1046" s="62"/>
      <c r="BV1046" s="8"/>
      <c r="BW1046" s="58"/>
    </row>
    <row r="1047" spans="41:75" x14ac:dyDescent="0.35">
      <c r="AO1047" s="39">
        <v>1045</v>
      </c>
      <c r="AP1047" s="62"/>
      <c r="AQ1047" s="39"/>
      <c r="AR1047" s="42" t="str">
        <f>IFERROR(VLOOKUP(AU1047,[1]SUMMARY!$A$3:$B$7,2,FALSE),"")</f>
        <v/>
      </c>
      <c r="AS1047" s="31"/>
      <c r="AT1047" s="31" t="e">
        <f>VLOOKUP(AS1047,[1]OUTLET!$B:$C,2,0)</f>
        <v>#N/A</v>
      </c>
      <c r="AU1047" s="31"/>
      <c r="AV1047" s="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44"/>
      <c r="BJ1047" s="44"/>
      <c r="BK1047" s="44"/>
      <c r="BL1047" s="44"/>
      <c r="BM1047" s="44"/>
      <c r="BN1047" s="44"/>
      <c r="BO1047" s="55"/>
      <c r="BP1047" s="40"/>
      <c r="BQ1047" s="4"/>
      <c r="BR1047" s="61"/>
      <c r="BS1047" s="4"/>
      <c r="BT1047" s="57"/>
      <c r="BU1047" s="62"/>
      <c r="BV1047" s="8"/>
      <c r="BW1047" s="58"/>
    </row>
    <row r="1048" spans="41:75" x14ac:dyDescent="0.35">
      <c r="AO1048" s="39">
        <v>1046</v>
      </c>
      <c r="AP1048" s="62"/>
      <c r="AQ1048" s="39"/>
      <c r="AR1048" s="42" t="str">
        <f>IFERROR(VLOOKUP(AU1048,[1]SUMMARY!$A$3:$B$7,2,FALSE),"")</f>
        <v/>
      </c>
      <c r="AS1048" s="31"/>
      <c r="AT1048" s="31" t="e">
        <f>VLOOKUP(AS1048,[1]OUTLET!$B:$C,2,0)</f>
        <v>#N/A</v>
      </c>
      <c r="AU1048" s="31"/>
      <c r="AV1048" s="4"/>
      <c r="AW1048" s="44"/>
      <c r="AX1048" s="44"/>
      <c r="AY1048" s="44"/>
      <c r="AZ1048" s="44"/>
      <c r="BA1048" s="44"/>
      <c r="BB1048" s="44"/>
      <c r="BC1048" s="44"/>
      <c r="BD1048" s="44"/>
      <c r="BE1048" s="44"/>
      <c r="BF1048" s="44"/>
      <c r="BG1048" s="44"/>
      <c r="BH1048" s="44"/>
      <c r="BI1048" s="44"/>
      <c r="BJ1048" s="44"/>
      <c r="BK1048" s="44"/>
      <c r="BL1048" s="44"/>
      <c r="BM1048" s="44"/>
      <c r="BN1048" s="44"/>
      <c r="BO1048" s="55"/>
      <c r="BP1048" s="40"/>
      <c r="BQ1048" s="4"/>
      <c r="BR1048" s="61"/>
      <c r="BS1048" s="4"/>
      <c r="BT1048" s="57"/>
      <c r="BU1048" s="62"/>
      <c r="BV1048" s="8"/>
      <c r="BW1048" s="58"/>
    </row>
    <row r="1049" spans="41:75" x14ac:dyDescent="0.35">
      <c r="AO1049" s="39">
        <v>1047</v>
      </c>
      <c r="AP1049" s="62"/>
      <c r="AQ1049" s="39"/>
      <c r="AR1049" s="42" t="str">
        <f>IFERROR(VLOOKUP(AU1049,[1]SUMMARY!$A$3:$B$7,2,FALSE),"")</f>
        <v/>
      </c>
      <c r="AS1049" s="31"/>
      <c r="AT1049" s="31" t="e">
        <f>VLOOKUP(AS1049,[1]OUTLET!$B:$C,2,0)</f>
        <v>#N/A</v>
      </c>
      <c r="AU1049" s="31"/>
      <c r="AV1049" s="4"/>
      <c r="AW1049" s="44"/>
      <c r="AX1049" s="44"/>
      <c r="AY1049" s="44"/>
      <c r="AZ1049" s="44"/>
      <c r="BA1049" s="44"/>
      <c r="BB1049" s="44"/>
      <c r="BC1049" s="44"/>
      <c r="BD1049" s="44"/>
      <c r="BE1049" s="44"/>
      <c r="BF1049" s="44"/>
      <c r="BG1049" s="44"/>
      <c r="BH1049" s="44"/>
      <c r="BI1049" s="44"/>
      <c r="BJ1049" s="44"/>
      <c r="BK1049" s="44"/>
      <c r="BL1049" s="44"/>
      <c r="BM1049" s="44"/>
      <c r="BN1049" s="44"/>
      <c r="BO1049" s="55"/>
      <c r="BP1049" s="40"/>
      <c r="BQ1049" s="4"/>
      <c r="BR1049" s="61"/>
      <c r="BS1049" s="4"/>
      <c r="BT1049" s="57"/>
      <c r="BU1049" s="62"/>
      <c r="BV1049" s="8"/>
      <c r="BW1049" s="58"/>
    </row>
    <row r="1050" spans="41:75" x14ac:dyDescent="0.35">
      <c r="AO1050" s="39">
        <v>1048</v>
      </c>
      <c r="AP1050" s="62"/>
      <c r="AQ1050" s="39"/>
      <c r="AR1050" s="42" t="str">
        <f>IFERROR(VLOOKUP(AU1050,[1]SUMMARY!$A$3:$B$7,2,FALSE),"")</f>
        <v/>
      </c>
      <c r="AS1050" s="31"/>
      <c r="AT1050" s="31" t="e">
        <f>VLOOKUP(AS1050,[1]OUTLET!$B:$C,2,0)</f>
        <v>#N/A</v>
      </c>
      <c r="AU1050" s="31"/>
      <c r="AV1050" s="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55"/>
      <c r="BP1050" s="40"/>
      <c r="BQ1050" s="4"/>
      <c r="BR1050" s="61"/>
      <c r="BS1050" s="4"/>
      <c r="BT1050" s="57"/>
      <c r="BU1050" s="62"/>
      <c r="BV1050" s="8"/>
      <c r="BW1050" s="58"/>
    </row>
    <row r="1051" spans="41:75" x14ac:dyDescent="0.35">
      <c r="AO1051" s="39">
        <v>1049</v>
      </c>
      <c r="AP1051" s="62"/>
      <c r="AQ1051" s="39"/>
      <c r="AR1051" s="42" t="str">
        <f>IFERROR(VLOOKUP(AU1051,[1]SUMMARY!$A$3:$B$7,2,FALSE),"")</f>
        <v/>
      </c>
      <c r="AS1051" s="31"/>
      <c r="AT1051" s="31" t="e">
        <f>VLOOKUP(AS1051,[1]OUTLET!$B:$C,2,0)</f>
        <v>#N/A</v>
      </c>
      <c r="AU1051" s="31"/>
      <c r="AV1051" s="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55"/>
      <c r="BP1051" s="40"/>
      <c r="BQ1051" s="4"/>
      <c r="BR1051" s="61"/>
      <c r="BS1051" s="4"/>
      <c r="BT1051" s="57"/>
      <c r="BU1051" s="62"/>
      <c r="BV1051" s="8"/>
      <c r="BW1051" s="58"/>
    </row>
    <row r="1052" spans="41:75" x14ac:dyDescent="0.35">
      <c r="AO1052" s="39">
        <v>1050</v>
      </c>
      <c r="AP1052" s="62"/>
      <c r="AQ1052" s="39"/>
      <c r="AR1052" s="42" t="str">
        <f>IFERROR(VLOOKUP(AU1052,[1]SUMMARY!$A$3:$B$7,2,FALSE),"")</f>
        <v/>
      </c>
      <c r="AS1052" s="31"/>
      <c r="AT1052" s="31" t="e">
        <f>VLOOKUP(AS1052,[1]OUTLET!$B:$C,2,0)</f>
        <v>#N/A</v>
      </c>
      <c r="AU1052" s="31"/>
      <c r="AV1052" s="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55"/>
      <c r="BP1052" s="40"/>
      <c r="BQ1052" s="4"/>
      <c r="BR1052" s="61"/>
      <c r="BS1052" s="4"/>
      <c r="BT1052" s="57"/>
      <c r="BU1052" s="62"/>
      <c r="BV1052" s="8"/>
      <c r="BW1052" s="58"/>
    </row>
    <row r="1053" spans="41:75" x14ac:dyDescent="0.35">
      <c r="AO1053" s="39">
        <v>1051</v>
      </c>
      <c r="AP1053" s="62"/>
      <c r="AQ1053" s="39"/>
      <c r="AR1053" s="42" t="str">
        <f>IFERROR(VLOOKUP(AU1053,[1]SUMMARY!$A$3:$B$7,2,FALSE),"")</f>
        <v/>
      </c>
      <c r="AS1053" s="31"/>
      <c r="AT1053" s="31" t="e">
        <f>VLOOKUP(AS1053,[1]OUTLET!$B:$C,2,0)</f>
        <v>#N/A</v>
      </c>
      <c r="AU1053" s="31"/>
      <c r="AV1053" s="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55"/>
      <c r="BP1053" s="40"/>
      <c r="BQ1053" s="4"/>
      <c r="BR1053" s="61"/>
      <c r="BS1053" s="4"/>
      <c r="BT1053" s="57"/>
      <c r="BU1053" s="62"/>
      <c r="BV1053" s="8"/>
      <c r="BW1053" s="58"/>
    </row>
    <row r="1054" spans="41:75" x14ac:dyDescent="0.35">
      <c r="AO1054" s="39">
        <v>1052</v>
      </c>
      <c r="AP1054" s="62"/>
      <c r="AQ1054" s="39"/>
      <c r="AR1054" s="42" t="str">
        <f>IFERROR(VLOOKUP(AU1054,[1]SUMMARY!$A$3:$B$7,2,FALSE),"")</f>
        <v/>
      </c>
      <c r="AS1054" s="31"/>
      <c r="AT1054" s="31" t="e">
        <f>VLOOKUP(AS1054,[1]OUTLET!$B:$C,2,0)</f>
        <v>#N/A</v>
      </c>
      <c r="AU1054" s="31"/>
      <c r="AV1054" s="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55"/>
      <c r="BP1054" s="40"/>
      <c r="BQ1054" s="4"/>
      <c r="BR1054" s="61"/>
      <c r="BS1054" s="4"/>
      <c r="BT1054" s="57"/>
      <c r="BU1054" s="62"/>
      <c r="BV1054" s="8"/>
      <c r="BW1054" s="58"/>
    </row>
    <row r="1055" spans="41:75" x14ac:dyDescent="0.35">
      <c r="AO1055" s="39">
        <v>1053</v>
      </c>
      <c r="AP1055" s="62"/>
      <c r="AQ1055" s="39"/>
      <c r="AR1055" s="42" t="str">
        <f>IFERROR(VLOOKUP(AU1055,[1]SUMMARY!$A$3:$B$7,2,FALSE),"")</f>
        <v/>
      </c>
      <c r="AS1055" s="31"/>
      <c r="AT1055" s="31" t="e">
        <f>VLOOKUP(AS1055,[1]OUTLET!$B:$C,2,0)</f>
        <v>#N/A</v>
      </c>
      <c r="AU1055" s="31"/>
      <c r="AV1055" s="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55"/>
      <c r="BP1055" s="40"/>
      <c r="BQ1055" s="4"/>
      <c r="BR1055" s="61"/>
      <c r="BS1055" s="4"/>
      <c r="BT1055" s="57"/>
      <c r="BU1055" s="62"/>
      <c r="BV1055" s="8"/>
      <c r="BW1055" s="58"/>
    </row>
    <row r="1056" spans="41:75" x14ac:dyDescent="0.35">
      <c r="AO1056" s="39">
        <v>1054</v>
      </c>
      <c r="AP1056" s="62"/>
      <c r="AQ1056" s="39"/>
      <c r="AR1056" s="42" t="str">
        <f>IFERROR(VLOOKUP(AU1056,[1]SUMMARY!$A$3:$B$7,2,FALSE),"")</f>
        <v/>
      </c>
      <c r="AS1056" s="31"/>
      <c r="AT1056" s="31" t="e">
        <f>VLOOKUP(AS1056,[1]OUTLET!$B:$C,2,0)</f>
        <v>#N/A</v>
      </c>
      <c r="AU1056" s="31"/>
      <c r="AV1056" s="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55"/>
      <c r="BP1056" s="40"/>
      <c r="BQ1056" s="4"/>
      <c r="BR1056" s="61"/>
      <c r="BS1056" s="4"/>
      <c r="BT1056" s="57"/>
      <c r="BU1056" s="62"/>
      <c r="BV1056" s="8"/>
      <c r="BW1056" s="58"/>
    </row>
    <row r="1057" spans="41:75" x14ac:dyDescent="0.35">
      <c r="AO1057" s="39">
        <v>1055</v>
      </c>
      <c r="AP1057" s="62"/>
      <c r="AQ1057" s="39"/>
      <c r="AR1057" s="42" t="str">
        <f>IFERROR(VLOOKUP(AU1057,[1]SUMMARY!$A$3:$B$7,2,FALSE),"")</f>
        <v/>
      </c>
      <c r="AS1057" s="31"/>
      <c r="AT1057" s="31" t="e">
        <f>VLOOKUP(AS1057,[1]OUTLET!$B:$C,2,0)</f>
        <v>#N/A</v>
      </c>
      <c r="AU1057" s="31"/>
      <c r="AV1057" s="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55"/>
      <c r="BP1057" s="40"/>
      <c r="BQ1057" s="4"/>
      <c r="BR1057" s="61"/>
      <c r="BS1057" s="4"/>
      <c r="BT1057" s="57"/>
      <c r="BU1057" s="62"/>
      <c r="BV1057" s="8"/>
      <c r="BW1057" s="58"/>
    </row>
    <row r="1058" spans="41:75" x14ac:dyDescent="0.35">
      <c r="AO1058" s="39">
        <v>1056</v>
      </c>
      <c r="AP1058" s="62"/>
      <c r="AQ1058" s="39"/>
      <c r="AR1058" s="42" t="str">
        <f>IFERROR(VLOOKUP(AU1058,[1]SUMMARY!$A$3:$B$7,2,FALSE),"")</f>
        <v/>
      </c>
      <c r="AS1058" s="31"/>
      <c r="AT1058" s="31" t="e">
        <f>VLOOKUP(AS1058,[1]OUTLET!$B:$C,2,0)</f>
        <v>#N/A</v>
      </c>
      <c r="AU1058" s="31"/>
      <c r="AV1058" s="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55"/>
      <c r="BP1058" s="40"/>
      <c r="BQ1058" s="4"/>
      <c r="BR1058" s="61"/>
      <c r="BS1058" s="4"/>
      <c r="BT1058" s="57"/>
      <c r="BU1058" s="62"/>
      <c r="BV1058" s="8"/>
      <c r="BW1058" s="58"/>
    </row>
    <row r="1059" spans="41:75" x14ac:dyDescent="0.35">
      <c r="AO1059" s="39">
        <v>1057</v>
      </c>
      <c r="AP1059" s="62"/>
      <c r="AQ1059" s="39"/>
      <c r="AR1059" s="42" t="str">
        <f>IFERROR(VLOOKUP(AU1059,[1]SUMMARY!$A$3:$B$7,2,FALSE),"")</f>
        <v/>
      </c>
      <c r="AS1059" s="31"/>
      <c r="AT1059" s="31" t="e">
        <f>VLOOKUP(AS1059,[1]OUTLET!$B:$C,2,0)</f>
        <v>#N/A</v>
      </c>
      <c r="AU1059" s="31"/>
      <c r="AV1059" s="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55"/>
      <c r="BP1059" s="40"/>
      <c r="BQ1059" s="4"/>
      <c r="BR1059" s="61"/>
      <c r="BS1059" s="4"/>
      <c r="BT1059" s="57"/>
      <c r="BU1059" s="62"/>
      <c r="BV1059" s="8"/>
      <c r="BW1059" s="58"/>
    </row>
    <row r="1060" spans="41:75" x14ac:dyDescent="0.35">
      <c r="AO1060" s="39">
        <v>1058</v>
      </c>
      <c r="AP1060" s="62"/>
      <c r="AQ1060" s="39"/>
      <c r="AR1060" s="42" t="str">
        <f>IFERROR(VLOOKUP(AU1060,[1]SUMMARY!$A$3:$B$7,2,FALSE),"")</f>
        <v/>
      </c>
      <c r="AS1060" s="31"/>
      <c r="AT1060" s="31" t="e">
        <f>VLOOKUP(AS1060,[1]OUTLET!$B:$C,2,0)</f>
        <v>#N/A</v>
      </c>
      <c r="AU1060" s="31"/>
      <c r="AV1060" s="4"/>
      <c r="AW1060" s="44"/>
      <c r="AX1060" s="44"/>
      <c r="AY1060" s="44"/>
      <c r="AZ1060" s="44"/>
      <c r="BA1060" s="44"/>
      <c r="BB1060" s="44"/>
      <c r="BC1060" s="44"/>
      <c r="BD1060" s="44"/>
      <c r="BE1060" s="44"/>
      <c r="BF1060" s="44"/>
      <c r="BG1060" s="44"/>
      <c r="BH1060" s="44"/>
      <c r="BI1060" s="44"/>
      <c r="BJ1060" s="44"/>
      <c r="BK1060" s="44"/>
      <c r="BL1060" s="44"/>
      <c r="BM1060" s="44"/>
      <c r="BN1060" s="44"/>
      <c r="BO1060" s="55"/>
      <c r="BP1060" s="40"/>
      <c r="BQ1060" s="4"/>
      <c r="BR1060" s="61"/>
      <c r="BS1060" s="4"/>
      <c r="BT1060" s="57"/>
      <c r="BU1060" s="62"/>
      <c r="BV1060" s="8"/>
      <c r="BW1060" s="58"/>
    </row>
    <row r="1061" spans="41:75" x14ac:dyDescent="0.35">
      <c r="AO1061" s="39">
        <v>1059</v>
      </c>
      <c r="AP1061" s="62"/>
      <c r="AQ1061" s="39"/>
      <c r="AR1061" s="42" t="str">
        <f>IFERROR(VLOOKUP(AU1061,[1]SUMMARY!$A$3:$B$7,2,FALSE),"")</f>
        <v/>
      </c>
      <c r="AS1061" s="31"/>
      <c r="AT1061" s="31" t="e">
        <f>VLOOKUP(AS1061,[1]OUTLET!$B:$C,2,0)</f>
        <v>#N/A</v>
      </c>
      <c r="AU1061" s="31"/>
      <c r="AV1061" s="4"/>
      <c r="AW1061" s="44"/>
      <c r="AX1061" s="44"/>
      <c r="AY1061" s="44"/>
      <c r="AZ1061" s="44"/>
      <c r="BA1061" s="44"/>
      <c r="BB1061" s="44"/>
      <c r="BC1061" s="44"/>
      <c r="BD1061" s="44"/>
      <c r="BE1061" s="44"/>
      <c r="BF1061" s="44"/>
      <c r="BG1061" s="44"/>
      <c r="BH1061" s="44"/>
      <c r="BI1061" s="44"/>
      <c r="BJ1061" s="44"/>
      <c r="BK1061" s="44"/>
      <c r="BL1061" s="44"/>
      <c r="BM1061" s="44"/>
      <c r="BN1061" s="44"/>
      <c r="BO1061" s="55"/>
      <c r="BP1061" s="40"/>
      <c r="BQ1061" s="4"/>
      <c r="BR1061" s="61"/>
      <c r="BS1061" s="4"/>
      <c r="BT1061" s="57"/>
      <c r="BU1061" s="62"/>
      <c r="BV1061" s="8"/>
      <c r="BW1061" s="58"/>
    </row>
    <row r="1062" spans="41:75" x14ac:dyDescent="0.35">
      <c r="AO1062" s="39">
        <v>1060</v>
      </c>
      <c r="AP1062" s="62"/>
      <c r="AQ1062" s="39"/>
      <c r="AR1062" s="42" t="str">
        <f>IFERROR(VLOOKUP(AU1062,[1]SUMMARY!$A$3:$B$7,2,FALSE),"")</f>
        <v/>
      </c>
      <c r="AS1062" s="31"/>
      <c r="AT1062" s="31" t="e">
        <f>VLOOKUP(AS1062,[1]OUTLET!$B:$C,2,0)</f>
        <v>#N/A</v>
      </c>
      <c r="AU1062" s="31"/>
      <c r="AV1062" s="4"/>
      <c r="AW1062" s="44"/>
      <c r="AX1062" s="44"/>
      <c r="AY1062" s="44"/>
      <c r="AZ1062" s="44"/>
      <c r="BA1062" s="44"/>
      <c r="BB1062" s="44"/>
      <c r="BC1062" s="44"/>
      <c r="BD1062" s="44"/>
      <c r="BE1062" s="44"/>
      <c r="BF1062" s="44"/>
      <c r="BG1062" s="44"/>
      <c r="BH1062" s="44"/>
      <c r="BI1062" s="44"/>
      <c r="BJ1062" s="44"/>
      <c r="BK1062" s="44"/>
      <c r="BL1062" s="44"/>
      <c r="BM1062" s="44"/>
      <c r="BN1062" s="44"/>
      <c r="BO1062" s="55"/>
      <c r="BP1062" s="40"/>
      <c r="BQ1062" s="4"/>
      <c r="BR1062" s="61"/>
      <c r="BS1062" s="4"/>
      <c r="BT1062" s="57"/>
      <c r="BU1062" s="62"/>
      <c r="BV1062" s="8"/>
      <c r="BW1062" s="58"/>
    </row>
    <row r="1063" spans="41:75" x14ac:dyDescent="0.35">
      <c r="AO1063" s="39">
        <v>1061</v>
      </c>
      <c r="AP1063" s="62"/>
      <c r="AQ1063" s="39"/>
      <c r="AR1063" s="42" t="str">
        <f>IFERROR(VLOOKUP(AU1063,[1]SUMMARY!$A$3:$B$7,2,FALSE),"")</f>
        <v/>
      </c>
      <c r="AS1063" s="31"/>
      <c r="AT1063" s="31" t="e">
        <f>VLOOKUP(AS1063,[1]OUTLET!$B:$C,2,0)</f>
        <v>#N/A</v>
      </c>
      <c r="AU1063" s="31"/>
      <c r="AV1063" s="4"/>
      <c r="AW1063" s="44"/>
      <c r="AX1063" s="44"/>
      <c r="AY1063" s="44"/>
      <c r="AZ1063" s="44"/>
      <c r="BA1063" s="44"/>
      <c r="BB1063" s="44"/>
      <c r="BC1063" s="44"/>
      <c r="BD1063" s="44"/>
      <c r="BE1063" s="44"/>
      <c r="BF1063" s="44"/>
      <c r="BG1063" s="44"/>
      <c r="BH1063" s="44"/>
      <c r="BI1063" s="44"/>
      <c r="BJ1063" s="44"/>
      <c r="BK1063" s="44"/>
      <c r="BL1063" s="44"/>
      <c r="BM1063" s="44"/>
      <c r="BN1063" s="44"/>
      <c r="BO1063" s="55"/>
      <c r="BP1063" s="40"/>
      <c r="BQ1063" s="4"/>
      <c r="BR1063" s="61"/>
      <c r="BS1063" s="4"/>
      <c r="BT1063" s="57"/>
      <c r="BU1063" s="62"/>
      <c r="BV1063" s="8"/>
      <c r="BW1063" s="58"/>
    </row>
    <row r="1064" spans="41:75" x14ac:dyDescent="0.35">
      <c r="AO1064" s="39">
        <v>1062</v>
      </c>
      <c r="AP1064" s="62"/>
      <c r="AQ1064" s="39"/>
      <c r="AR1064" s="42" t="str">
        <f>IFERROR(VLOOKUP(AU1064,[1]SUMMARY!$A$3:$B$7,2,FALSE),"")</f>
        <v/>
      </c>
      <c r="AS1064" s="31"/>
      <c r="AT1064" s="31" t="e">
        <f>VLOOKUP(AS1064,[1]OUTLET!$B:$C,2,0)</f>
        <v>#N/A</v>
      </c>
      <c r="AU1064" s="31"/>
      <c r="AV1064" s="4"/>
      <c r="AW1064" s="44"/>
      <c r="AX1064" s="44"/>
      <c r="AY1064" s="44"/>
      <c r="AZ1064" s="44"/>
      <c r="BA1064" s="44"/>
      <c r="BB1064" s="44"/>
      <c r="BC1064" s="44"/>
      <c r="BD1064" s="44"/>
      <c r="BE1064" s="44"/>
      <c r="BF1064" s="44"/>
      <c r="BG1064" s="44"/>
      <c r="BH1064" s="44"/>
      <c r="BI1064" s="44"/>
      <c r="BJ1064" s="44"/>
      <c r="BK1064" s="44"/>
      <c r="BL1064" s="44"/>
      <c r="BM1064" s="44"/>
      <c r="BN1064" s="44"/>
      <c r="BO1064" s="55"/>
      <c r="BP1064" s="40"/>
      <c r="BQ1064" s="4"/>
      <c r="BR1064" s="61"/>
      <c r="BS1064" s="4"/>
      <c r="BT1064" s="57"/>
      <c r="BU1064" s="62"/>
      <c r="BV1064" s="8"/>
      <c r="BW1064" s="58"/>
    </row>
    <row r="1065" spans="41:75" x14ac:dyDescent="0.35">
      <c r="AO1065" s="39">
        <v>1063</v>
      </c>
      <c r="AP1065" s="62"/>
      <c r="AQ1065" s="39"/>
      <c r="AR1065" s="42" t="str">
        <f>IFERROR(VLOOKUP(AU1065,[1]SUMMARY!$A$3:$B$7,2,FALSE),"")</f>
        <v/>
      </c>
      <c r="AS1065" s="31"/>
      <c r="AT1065" s="31" t="e">
        <f>VLOOKUP(AS1065,[1]OUTLET!$B:$C,2,0)</f>
        <v>#N/A</v>
      </c>
      <c r="AU1065" s="31"/>
      <c r="AV1065" s="4"/>
      <c r="AW1065" s="44"/>
      <c r="AX1065" s="44"/>
      <c r="AY1065" s="44"/>
      <c r="AZ1065" s="44"/>
      <c r="BA1065" s="44"/>
      <c r="BB1065" s="44"/>
      <c r="BC1065" s="44"/>
      <c r="BD1065" s="44"/>
      <c r="BE1065" s="44"/>
      <c r="BF1065" s="44"/>
      <c r="BG1065" s="44"/>
      <c r="BH1065" s="44"/>
      <c r="BI1065" s="44"/>
      <c r="BJ1065" s="44"/>
      <c r="BK1065" s="44"/>
      <c r="BL1065" s="44"/>
      <c r="BM1065" s="44"/>
      <c r="BN1065" s="44"/>
      <c r="BO1065" s="55"/>
      <c r="BP1065" s="40"/>
      <c r="BQ1065" s="4"/>
      <c r="BR1065" s="61"/>
      <c r="BS1065" s="4"/>
      <c r="BT1065" s="57"/>
      <c r="BU1065" s="62"/>
      <c r="BV1065" s="8"/>
      <c r="BW1065" s="58"/>
    </row>
    <row r="1066" spans="41:75" x14ac:dyDescent="0.35">
      <c r="AO1066" s="39">
        <v>1064</v>
      </c>
      <c r="AP1066" s="62"/>
      <c r="AQ1066" s="39"/>
      <c r="AR1066" s="42" t="str">
        <f>IFERROR(VLOOKUP(AU1066,[1]SUMMARY!$A$3:$B$7,2,FALSE),"")</f>
        <v/>
      </c>
      <c r="AS1066" s="31"/>
      <c r="AT1066" s="31" t="e">
        <f>VLOOKUP(AS1066,[1]OUTLET!$B:$C,2,0)</f>
        <v>#N/A</v>
      </c>
      <c r="AU1066" s="31"/>
      <c r="AV1066" s="4"/>
      <c r="AW1066" s="44"/>
      <c r="AX1066" s="44"/>
      <c r="AY1066" s="44"/>
      <c r="AZ1066" s="44"/>
      <c r="BA1066" s="44"/>
      <c r="BB1066" s="44"/>
      <c r="BC1066" s="44"/>
      <c r="BD1066" s="44"/>
      <c r="BE1066" s="44"/>
      <c r="BF1066" s="44"/>
      <c r="BG1066" s="44"/>
      <c r="BH1066" s="44"/>
      <c r="BI1066" s="44"/>
      <c r="BJ1066" s="44"/>
      <c r="BK1066" s="44"/>
      <c r="BL1066" s="44"/>
      <c r="BM1066" s="44"/>
      <c r="BN1066" s="44"/>
      <c r="BO1066" s="55"/>
      <c r="BP1066" s="40"/>
      <c r="BQ1066" s="4"/>
      <c r="BR1066" s="61"/>
      <c r="BS1066" s="4"/>
      <c r="BT1066" s="57"/>
      <c r="BU1066" s="62"/>
      <c r="BV1066" s="8"/>
      <c r="BW1066" s="58"/>
    </row>
    <row r="1067" spans="41:75" x14ac:dyDescent="0.35">
      <c r="AO1067" s="39">
        <v>1065</v>
      </c>
      <c r="AP1067" s="62"/>
      <c r="AQ1067" s="39"/>
      <c r="AR1067" s="42" t="str">
        <f>IFERROR(VLOOKUP(AU1067,[1]SUMMARY!$A$3:$B$7,2,FALSE),"")</f>
        <v/>
      </c>
      <c r="AS1067" s="31"/>
      <c r="AT1067" s="31" t="e">
        <f>VLOOKUP(AS1067,[1]OUTLET!$B:$C,2,0)</f>
        <v>#N/A</v>
      </c>
      <c r="AU1067" s="31"/>
      <c r="AV1067" s="4"/>
      <c r="AW1067" s="44"/>
      <c r="AX1067" s="44"/>
      <c r="AY1067" s="44"/>
      <c r="AZ1067" s="44"/>
      <c r="BA1067" s="44"/>
      <c r="BB1067" s="44"/>
      <c r="BC1067" s="44"/>
      <c r="BD1067" s="44"/>
      <c r="BE1067" s="44"/>
      <c r="BF1067" s="44"/>
      <c r="BG1067" s="44"/>
      <c r="BH1067" s="44"/>
      <c r="BI1067" s="44"/>
      <c r="BJ1067" s="44"/>
      <c r="BK1067" s="44"/>
      <c r="BL1067" s="44"/>
      <c r="BM1067" s="44"/>
      <c r="BN1067" s="44"/>
      <c r="BO1067" s="55"/>
      <c r="BP1067" s="40"/>
      <c r="BQ1067" s="4"/>
      <c r="BR1067" s="61"/>
      <c r="BS1067" s="4"/>
      <c r="BT1067" s="57"/>
      <c r="BU1067" s="62"/>
      <c r="BV1067" s="8"/>
      <c r="BW1067" s="58"/>
    </row>
    <row r="1068" spans="41:75" x14ac:dyDescent="0.35">
      <c r="AO1068" s="39">
        <v>1066</v>
      </c>
      <c r="AP1068" s="62"/>
      <c r="AQ1068" s="39"/>
      <c r="AR1068" s="42" t="str">
        <f>IFERROR(VLOOKUP(AU1068,[1]SUMMARY!$A$3:$B$7,2,FALSE),"")</f>
        <v/>
      </c>
      <c r="AS1068" s="31"/>
      <c r="AT1068" s="31" t="e">
        <f>VLOOKUP(AS1068,[1]OUTLET!$B:$C,2,0)</f>
        <v>#N/A</v>
      </c>
      <c r="AU1068" s="31"/>
      <c r="AV1068" s="4"/>
      <c r="AW1068" s="44"/>
      <c r="AX1068" s="44"/>
      <c r="AY1068" s="44"/>
      <c r="AZ1068" s="44"/>
      <c r="BA1068" s="44"/>
      <c r="BB1068" s="44"/>
      <c r="BC1068" s="44"/>
      <c r="BD1068" s="44"/>
      <c r="BE1068" s="44"/>
      <c r="BF1068" s="44"/>
      <c r="BG1068" s="44"/>
      <c r="BH1068" s="44"/>
      <c r="BI1068" s="44"/>
      <c r="BJ1068" s="44"/>
      <c r="BK1068" s="44"/>
      <c r="BL1068" s="44"/>
      <c r="BM1068" s="44"/>
      <c r="BN1068" s="44"/>
      <c r="BO1068" s="55"/>
      <c r="BP1068" s="40"/>
      <c r="BQ1068" s="4"/>
      <c r="BR1068" s="61"/>
      <c r="BS1068" s="4"/>
      <c r="BT1068" s="57"/>
      <c r="BU1068" s="62"/>
      <c r="BV1068" s="8"/>
      <c r="BW1068" s="58"/>
    </row>
    <row r="1069" spans="41:75" x14ac:dyDescent="0.35">
      <c r="AO1069" s="39">
        <v>1067</v>
      </c>
      <c r="AP1069" s="62"/>
      <c r="AQ1069" s="39"/>
      <c r="AR1069" s="42" t="str">
        <f>IFERROR(VLOOKUP(AU1069,[1]SUMMARY!$A$3:$B$7,2,FALSE),"")</f>
        <v/>
      </c>
      <c r="AS1069" s="31"/>
      <c r="AT1069" s="31" t="e">
        <f>VLOOKUP(AS1069,[1]OUTLET!$B:$C,2,0)</f>
        <v>#N/A</v>
      </c>
      <c r="AU1069" s="31"/>
      <c r="AV1069" s="4"/>
      <c r="AW1069" s="44"/>
      <c r="AX1069" s="44"/>
      <c r="AY1069" s="44"/>
      <c r="AZ1069" s="44"/>
      <c r="BA1069" s="44"/>
      <c r="BB1069" s="44"/>
      <c r="BC1069" s="44"/>
      <c r="BD1069" s="44"/>
      <c r="BE1069" s="44"/>
      <c r="BF1069" s="44"/>
      <c r="BG1069" s="44"/>
      <c r="BH1069" s="44"/>
      <c r="BI1069" s="44"/>
      <c r="BJ1069" s="44"/>
      <c r="BK1069" s="44"/>
      <c r="BL1069" s="44"/>
      <c r="BM1069" s="44"/>
      <c r="BN1069" s="44"/>
      <c r="BO1069" s="55"/>
      <c r="BP1069" s="40"/>
      <c r="BQ1069" s="4"/>
      <c r="BR1069" s="61"/>
      <c r="BS1069" s="4"/>
      <c r="BT1069" s="57"/>
      <c r="BU1069" s="62"/>
      <c r="BV1069" s="8"/>
      <c r="BW1069" s="58"/>
    </row>
    <row r="1070" spans="41:75" x14ac:dyDescent="0.35">
      <c r="AO1070" s="39">
        <v>1068</v>
      </c>
      <c r="AP1070" s="62"/>
      <c r="AQ1070" s="39"/>
      <c r="AR1070" s="42" t="str">
        <f>IFERROR(VLOOKUP(AU1070,[1]SUMMARY!$A$3:$B$7,2,FALSE),"")</f>
        <v/>
      </c>
      <c r="AS1070" s="31"/>
      <c r="AT1070" s="31" t="e">
        <f>VLOOKUP(AS1070,[1]OUTLET!$B:$C,2,0)</f>
        <v>#N/A</v>
      </c>
      <c r="AU1070" s="31"/>
      <c r="AV1070" s="4"/>
      <c r="AW1070" s="44"/>
      <c r="AX1070" s="44"/>
      <c r="AY1070" s="44"/>
      <c r="AZ1070" s="44"/>
      <c r="BA1070" s="44"/>
      <c r="BB1070" s="44"/>
      <c r="BC1070" s="44"/>
      <c r="BD1070" s="44"/>
      <c r="BE1070" s="44"/>
      <c r="BF1070" s="44"/>
      <c r="BG1070" s="44"/>
      <c r="BH1070" s="44"/>
      <c r="BI1070" s="44"/>
      <c r="BJ1070" s="44"/>
      <c r="BK1070" s="44"/>
      <c r="BL1070" s="44"/>
      <c r="BM1070" s="44"/>
      <c r="BN1070" s="44"/>
      <c r="BO1070" s="55"/>
      <c r="BP1070" s="40"/>
      <c r="BQ1070" s="4"/>
      <c r="BR1070" s="61"/>
      <c r="BS1070" s="4"/>
      <c r="BT1070" s="57"/>
      <c r="BU1070" s="62"/>
      <c r="BV1070" s="8"/>
      <c r="BW1070" s="58"/>
    </row>
    <row r="1071" spans="41:75" x14ac:dyDescent="0.35">
      <c r="AO1071" s="39">
        <v>1069</v>
      </c>
      <c r="AP1071" s="62"/>
      <c r="AQ1071" s="39"/>
      <c r="AR1071" s="42" t="str">
        <f>IFERROR(VLOOKUP(AU1071,[1]SUMMARY!$A$3:$B$7,2,FALSE),"")</f>
        <v/>
      </c>
      <c r="AS1071" s="31"/>
      <c r="AT1071" s="31" t="e">
        <f>VLOOKUP(AS1071,[1]OUTLET!$B:$C,2,0)</f>
        <v>#N/A</v>
      </c>
      <c r="AU1071" s="31"/>
      <c r="AV1071" s="4"/>
      <c r="AW1071" s="44"/>
      <c r="AX1071" s="44"/>
      <c r="AY1071" s="44"/>
      <c r="AZ1071" s="44"/>
      <c r="BA1071" s="44"/>
      <c r="BB1071" s="44"/>
      <c r="BC1071" s="44"/>
      <c r="BD1071" s="44"/>
      <c r="BE1071" s="44"/>
      <c r="BF1071" s="44"/>
      <c r="BG1071" s="44"/>
      <c r="BH1071" s="44"/>
      <c r="BI1071" s="44"/>
      <c r="BJ1071" s="44"/>
      <c r="BK1071" s="44"/>
      <c r="BL1071" s="44"/>
      <c r="BM1071" s="44"/>
      <c r="BN1071" s="44"/>
      <c r="BO1071" s="55"/>
      <c r="BP1071" s="40"/>
      <c r="BQ1071" s="4"/>
      <c r="BR1071" s="61"/>
      <c r="BS1071" s="4"/>
      <c r="BT1071" s="57"/>
      <c r="BU1071" s="62"/>
      <c r="BV1071" s="8"/>
      <c r="BW1071" s="58"/>
    </row>
    <row r="1072" spans="41:75" x14ac:dyDescent="0.35">
      <c r="AO1072" s="39">
        <v>1070</v>
      </c>
      <c r="AP1072" s="62"/>
      <c r="AQ1072" s="39"/>
      <c r="AR1072" s="42" t="str">
        <f>IFERROR(VLOOKUP(AU1072,[1]SUMMARY!$A$3:$B$7,2,FALSE),"")</f>
        <v/>
      </c>
      <c r="AS1072" s="31"/>
      <c r="AT1072" s="31" t="e">
        <f>VLOOKUP(AS1072,[1]OUTLET!$B:$C,2,0)</f>
        <v>#N/A</v>
      </c>
      <c r="AU1072" s="31"/>
      <c r="AV1072" s="4"/>
      <c r="AW1072" s="44"/>
      <c r="AX1072" s="44"/>
      <c r="AY1072" s="44"/>
      <c r="AZ1072" s="44"/>
      <c r="BA1072" s="44"/>
      <c r="BB1072" s="44"/>
      <c r="BC1072" s="44"/>
      <c r="BD1072" s="44"/>
      <c r="BE1072" s="44"/>
      <c r="BF1072" s="44"/>
      <c r="BG1072" s="44"/>
      <c r="BH1072" s="44"/>
      <c r="BI1072" s="44"/>
      <c r="BJ1072" s="44"/>
      <c r="BK1072" s="44"/>
      <c r="BL1072" s="44"/>
      <c r="BM1072" s="44"/>
      <c r="BN1072" s="44"/>
      <c r="BO1072" s="55"/>
      <c r="BP1072" s="40"/>
      <c r="BQ1072" s="4"/>
      <c r="BR1072" s="61"/>
      <c r="BS1072" s="4"/>
      <c r="BT1072" s="57"/>
      <c r="BU1072" s="62"/>
      <c r="BV1072" s="8"/>
      <c r="BW1072" s="58"/>
    </row>
    <row r="1073" spans="41:75" x14ac:dyDescent="0.35">
      <c r="AO1073" s="39">
        <v>1071</v>
      </c>
      <c r="AP1073" s="62"/>
      <c r="AQ1073" s="39"/>
      <c r="AR1073" s="42" t="str">
        <f>IFERROR(VLOOKUP(AU1073,[1]SUMMARY!$A$3:$B$7,2,FALSE),"")</f>
        <v/>
      </c>
      <c r="AS1073" s="31"/>
      <c r="AT1073" s="31" t="e">
        <f>VLOOKUP(AS1073,[1]OUTLET!$B:$C,2,0)</f>
        <v>#N/A</v>
      </c>
      <c r="AU1073" s="31"/>
      <c r="AV1073" s="4"/>
      <c r="AW1073" s="44"/>
      <c r="AX1073" s="44"/>
      <c r="AY1073" s="44"/>
      <c r="AZ1073" s="44"/>
      <c r="BA1073" s="44"/>
      <c r="BB1073" s="44"/>
      <c r="BC1073" s="44"/>
      <c r="BD1073" s="44"/>
      <c r="BE1073" s="44"/>
      <c r="BF1073" s="44"/>
      <c r="BG1073" s="44"/>
      <c r="BH1073" s="44"/>
      <c r="BI1073" s="44"/>
      <c r="BJ1073" s="44"/>
      <c r="BK1073" s="44"/>
      <c r="BL1073" s="44"/>
      <c r="BM1073" s="44"/>
      <c r="BN1073" s="44"/>
      <c r="BO1073" s="55"/>
      <c r="BP1073" s="40"/>
      <c r="BQ1073" s="4"/>
      <c r="BR1073" s="61"/>
      <c r="BS1073" s="4"/>
      <c r="BT1073" s="57"/>
      <c r="BU1073" s="62"/>
      <c r="BV1073" s="8"/>
      <c r="BW1073" s="58"/>
    </row>
    <row r="1074" spans="41:75" x14ac:dyDescent="0.35">
      <c r="AO1074" s="39">
        <v>1072</v>
      </c>
      <c r="AP1074" s="62"/>
      <c r="AQ1074" s="39"/>
      <c r="AR1074" s="42" t="str">
        <f>IFERROR(VLOOKUP(AU1074,[1]SUMMARY!$A$3:$B$7,2,FALSE),"")</f>
        <v/>
      </c>
      <c r="AS1074" s="31"/>
      <c r="AT1074" s="31" t="e">
        <f>VLOOKUP(AS1074,[1]OUTLET!$B:$C,2,0)</f>
        <v>#N/A</v>
      </c>
      <c r="AU1074" s="31"/>
      <c r="AV1074" s="4"/>
      <c r="AW1074" s="44"/>
      <c r="AX1074" s="44"/>
      <c r="AY1074" s="44"/>
      <c r="AZ1074" s="44"/>
      <c r="BA1074" s="44"/>
      <c r="BB1074" s="44"/>
      <c r="BC1074" s="44"/>
      <c r="BD1074" s="44"/>
      <c r="BE1074" s="44"/>
      <c r="BF1074" s="44"/>
      <c r="BG1074" s="44"/>
      <c r="BH1074" s="44"/>
      <c r="BI1074" s="44"/>
      <c r="BJ1074" s="44"/>
      <c r="BK1074" s="44"/>
      <c r="BL1074" s="44"/>
      <c r="BM1074" s="44"/>
      <c r="BN1074" s="44"/>
      <c r="BO1074" s="55"/>
      <c r="BP1074" s="40"/>
      <c r="BQ1074" s="4"/>
      <c r="BR1074" s="61"/>
      <c r="BS1074" s="4"/>
      <c r="BT1074" s="57"/>
      <c r="BU1074" s="62"/>
      <c r="BV1074" s="8"/>
      <c r="BW1074" s="58"/>
    </row>
    <row r="1075" spans="41:75" x14ac:dyDescent="0.35">
      <c r="AO1075" s="39">
        <v>1073</v>
      </c>
      <c r="AP1075" s="62"/>
      <c r="AQ1075" s="39"/>
      <c r="AR1075" s="42" t="str">
        <f>IFERROR(VLOOKUP(AU1075,[1]SUMMARY!$A$3:$B$7,2,FALSE),"")</f>
        <v/>
      </c>
      <c r="AS1075" s="31"/>
      <c r="AT1075" s="31" t="e">
        <f>VLOOKUP(AS1075,[1]OUTLET!$B:$C,2,0)</f>
        <v>#N/A</v>
      </c>
      <c r="AU1075" s="31"/>
      <c r="AV1075" s="4"/>
      <c r="AW1075" s="44"/>
      <c r="AX1075" s="44"/>
      <c r="AY1075" s="44"/>
      <c r="AZ1075" s="44"/>
      <c r="BA1075" s="44"/>
      <c r="BB1075" s="44"/>
      <c r="BC1075" s="44"/>
      <c r="BD1075" s="44"/>
      <c r="BE1075" s="44"/>
      <c r="BF1075" s="44"/>
      <c r="BG1075" s="44"/>
      <c r="BH1075" s="44"/>
      <c r="BI1075" s="44"/>
      <c r="BJ1075" s="44"/>
      <c r="BK1075" s="44"/>
      <c r="BL1075" s="44"/>
      <c r="BM1075" s="44"/>
      <c r="BN1075" s="44"/>
      <c r="BO1075" s="55"/>
      <c r="BP1075" s="40"/>
      <c r="BQ1075" s="4"/>
      <c r="BR1075" s="61"/>
      <c r="BS1075" s="4"/>
      <c r="BT1075" s="57"/>
      <c r="BU1075" s="62"/>
      <c r="BV1075" s="8"/>
      <c r="BW1075" s="58"/>
    </row>
    <row r="1076" spans="41:75" x14ac:dyDescent="0.35">
      <c r="AO1076" s="39">
        <v>1074</v>
      </c>
      <c r="AP1076" s="62"/>
      <c r="AQ1076" s="39"/>
      <c r="AR1076" s="42" t="str">
        <f>IFERROR(VLOOKUP(AU1076,[1]SUMMARY!$A$3:$B$7,2,FALSE),"")</f>
        <v/>
      </c>
      <c r="AS1076" s="31"/>
      <c r="AT1076" s="31" t="e">
        <f>VLOOKUP(AS1076,[1]OUTLET!$B:$C,2,0)</f>
        <v>#N/A</v>
      </c>
      <c r="AU1076" s="31"/>
      <c r="AV1076" s="4"/>
      <c r="AW1076" s="44"/>
      <c r="AX1076" s="44"/>
      <c r="AY1076" s="44"/>
      <c r="AZ1076" s="44"/>
      <c r="BA1076" s="44"/>
      <c r="BB1076" s="44"/>
      <c r="BC1076" s="44"/>
      <c r="BD1076" s="44"/>
      <c r="BE1076" s="44"/>
      <c r="BF1076" s="44"/>
      <c r="BG1076" s="44"/>
      <c r="BH1076" s="44"/>
      <c r="BI1076" s="44"/>
      <c r="BJ1076" s="44"/>
      <c r="BK1076" s="44"/>
      <c r="BL1076" s="44"/>
      <c r="BM1076" s="44"/>
      <c r="BN1076" s="44"/>
      <c r="BO1076" s="55"/>
      <c r="BP1076" s="40"/>
      <c r="BQ1076" s="4"/>
      <c r="BR1076" s="61"/>
      <c r="BS1076" s="4"/>
      <c r="BT1076" s="57"/>
      <c r="BU1076" s="62"/>
      <c r="BV1076" s="8"/>
      <c r="BW1076" s="58"/>
    </row>
    <row r="1077" spans="41:75" x14ac:dyDescent="0.35">
      <c r="AO1077" s="39">
        <v>1075</v>
      </c>
      <c r="AP1077" s="62"/>
      <c r="AQ1077" s="39"/>
      <c r="AR1077" s="42" t="str">
        <f>IFERROR(VLOOKUP(AU1077,[1]SUMMARY!$A$3:$B$7,2,FALSE),"")</f>
        <v/>
      </c>
      <c r="AS1077" s="31"/>
      <c r="AT1077" s="31" t="e">
        <f>VLOOKUP(AS1077,[1]OUTLET!$B:$C,2,0)</f>
        <v>#N/A</v>
      </c>
      <c r="AU1077" s="31"/>
      <c r="AV1077" s="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4"/>
      <c r="BN1077" s="44"/>
      <c r="BO1077" s="55"/>
      <c r="BP1077" s="40"/>
      <c r="BQ1077" s="4"/>
      <c r="BR1077" s="61"/>
      <c r="BS1077" s="4"/>
      <c r="BT1077" s="57"/>
      <c r="BU1077" s="62"/>
      <c r="BV1077" s="8"/>
      <c r="BW1077" s="58"/>
    </row>
    <row r="1078" spans="41:75" x14ac:dyDescent="0.35">
      <c r="AO1078" s="39">
        <v>1076</v>
      </c>
      <c r="AP1078" s="62"/>
      <c r="AQ1078" s="39"/>
      <c r="AR1078" s="42" t="str">
        <f>IFERROR(VLOOKUP(AU1078,[1]SUMMARY!$A$3:$B$7,2,FALSE),"")</f>
        <v/>
      </c>
      <c r="AS1078" s="31"/>
      <c r="AT1078" s="31" t="e">
        <f>VLOOKUP(AS1078,[1]OUTLET!$B:$C,2,0)</f>
        <v>#N/A</v>
      </c>
      <c r="AU1078" s="31"/>
      <c r="AV1078" s="4"/>
      <c r="AW1078" s="44"/>
      <c r="AX1078" s="44"/>
      <c r="AY1078" s="44"/>
      <c r="AZ1078" s="44"/>
      <c r="BA1078" s="44"/>
      <c r="BB1078" s="44"/>
      <c r="BC1078" s="44"/>
      <c r="BD1078" s="44"/>
      <c r="BE1078" s="44"/>
      <c r="BF1078" s="44"/>
      <c r="BG1078" s="44"/>
      <c r="BH1078" s="44"/>
      <c r="BI1078" s="44"/>
      <c r="BJ1078" s="44"/>
      <c r="BK1078" s="44"/>
      <c r="BL1078" s="44"/>
      <c r="BM1078" s="44"/>
      <c r="BN1078" s="44"/>
      <c r="BO1078" s="55"/>
      <c r="BP1078" s="40"/>
      <c r="BQ1078" s="4"/>
      <c r="BR1078" s="61"/>
      <c r="BS1078" s="4"/>
      <c r="BT1078" s="57"/>
      <c r="BU1078" s="62"/>
      <c r="BV1078" s="8"/>
      <c r="BW1078" s="58"/>
    </row>
    <row r="1079" spans="41:75" x14ac:dyDescent="0.35">
      <c r="AO1079" s="39">
        <v>1077</v>
      </c>
      <c r="AP1079" s="62"/>
      <c r="AQ1079" s="39"/>
      <c r="AR1079" s="42" t="str">
        <f>IFERROR(VLOOKUP(AU1079,[1]SUMMARY!$A$3:$B$7,2,FALSE),"")</f>
        <v/>
      </c>
      <c r="AS1079" s="31"/>
      <c r="AT1079" s="31" t="e">
        <f>VLOOKUP(AS1079,[1]OUTLET!$B:$C,2,0)</f>
        <v>#N/A</v>
      </c>
      <c r="AU1079" s="31"/>
      <c r="AV1079" s="4"/>
      <c r="AW1079" s="44"/>
      <c r="AX1079" s="44"/>
      <c r="AY1079" s="44"/>
      <c r="AZ1079" s="44"/>
      <c r="BA1079" s="44"/>
      <c r="BB1079" s="44"/>
      <c r="BC1079" s="44"/>
      <c r="BD1079" s="44"/>
      <c r="BE1079" s="44"/>
      <c r="BF1079" s="44"/>
      <c r="BG1079" s="44"/>
      <c r="BH1079" s="44"/>
      <c r="BI1079" s="44"/>
      <c r="BJ1079" s="44"/>
      <c r="BK1079" s="44"/>
      <c r="BL1079" s="44"/>
      <c r="BM1079" s="44"/>
      <c r="BN1079" s="44"/>
      <c r="BO1079" s="55"/>
      <c r="BP1079" s="40"/>
      <c r="BQ1079" s="4"/>
      <c r="BR1079" s="61"/>
      <c r="BS1079" s="4"/>
      <c r="BT1079" s="57"/>
      <c r="BU1079" s="62"/>
      <c r="BV1079" s="8"/>
      <c r="BW1079" s="58"/>
    </row>
    <row r="1080" spans="41:75" x14ac:dyDescent="0.35">
      <c r="AO1080" s="39">
        <v>1078</v>
      </c>
      <c r="AP1080" s="62"/>
      <c r="AQ1080" s="39"/>
      <c r="AR1080" s="42" t="str">
        <f>IFERROR(VLOOKUP(AU1080,[1]SUMMARY!$A$3:$B$7,2,FALSE),"")</f>
        <v/>
      </c>
      <c r="AS1080" s="31"/>
      <c r="AT1080" s="31" t="e">
        <f>VLOOKUP(AS1080,[1]OUTLET!$B:$C,2,0)</f>
        <v>#N/A</v>
      </c>
      <c r="AU1080" s="31"/>
      <c r="AV1080" s="4"/>
      <c r="AW1080" s="44"/>
      <c r="AX1080" s="44"/>
      <c r="AY1080" s="44"/>
      <c r="AZ1080" s="44"/>
      <c r="BA1080" s="44"/>
      <c r="BB1080" s="44"/>
      <c r="BC1080" s="44"/>
      <c r="BD1080" s="44"/>
      <c r="BE1080" s="44"/>
      <c r="BF1080" s="44"/>
      <c r="BG1080" s="44"/>
      <c r="BH1080" s="44"/>
      <c r="BI1080" s="44"/>
      <c r="BJ1080" s="44"/>
      <c r="BK1080" s="44"/>
      <c r="BL1080" s="44"/>
      <c r="BM1080" s="44"/>
      <c r="BN1080" s="44"/>
      <c r="BO1080" s="55"/>
      <c r="BP1080" s="40"/>
      <c r="BQ1080" s="4"/>
      <c r="BR1080" s="61"/>
      <c r="BS1080" s="4"/>
      <c r="BT1080" s="57"/>
      <c r="BU1080" s="62"/>
      <c r="BV1080" s="8"/>
      <c r="BW1080" s="58"/>
    </row>
    <row r="1081" spans="41:75" x14ac:dyDescent="0.35">
      <c r="AO1081" s="39">
        <v>1079</v>
      </c>
      <c r="AP1081" s="62"/>
      <c r="AQ1081" s="39"/>
      <c r="AR1081" s="42" t="str">
        <f>IFERROR(VLOOKUP(AU1081,[1]SUMMARY!$A$3:$B$7,2,FALSE),"")</f>
        <v/>
      </c>
      <c r="AS1081" s="31"/>
      <c r="AT1081" s="31" t="e">
        <f>VLOOKUP(AS1081,[1]OUTLET!$B:$C,2,0)</f>
        <v>#N/A</v>
      </c>
      <c r="AU1081" s="31"/>
      <c r="AV1081" s="4"/>
      <c r="AW1081" s="44"/>
      <c r="AX1081" s="44"/>
      <c r="AY1081" s="44"/>
      <c r="AZ1081" s="44"/>
      <c r="BA1081" s="44"/>
      <c r="BB1081" s="44"/>
      <c r="BC1081" s="44"/>
      <c r="BD1081" s="44"/>
      <c r="BE1081" s="44"/>
      <c r="BF1081" s="44"/>
      <c r="BG1081" s="44"/>
      <c r="BH1081" s="44"/>
      <c r="BI1081" s="44"/>
      <c r="BJ1081" s="44"/>
      <c r="BK1081" s="44"/>
      <c r="BL1081" s="44"/>
      <c r="BM1081" s="44"/>
      <c r="BN1081" s="44"/>
      <c r="BO1081" s="55"/>
      <c r="BP1081" s="40"/>
      <c r="BQ1081" s="4"/>
      <c r="BR1081" s="61"/>
      <c r="BS1081" s="4"/>
      <c r="BT1081" s="57"/>
      <c r="BU1081" s="62"/>
      <c r="BV1081" s="8"/>
      <c r="BW1081" s="58"/>
    </row>
    <row r="1082" spans="41:75" x14ac:dyDescent="0.35">
      <c r="AO1082" s="39">
        <v>1080</v>
      </c>
      <c r="AP1082" s="62"/>
      <c r="AQ1082" s="39"/>
      <c r="AR1082" s="42" t="str">
        <f>IFERROR(VLOOKUP(AU1082,[1]SUMMARY!$A$3:$B$7,2,FALSE),"")</f>
        <v/>
      </c>
      <c r="AS1082" s="31"/>
      <c r="AT1082" s="31" t="e">
        <f>VLOOKUP(AS1082,[1]OUTLET!$B:$C,2,0)</f>
        <v>#N/A</v>
      </c>
      <c r="AU1082" s="31"/>
      <c r="AV1082" s="4"/>
      <c r="AW1082" s="44"/>
      <c r="AX1082" s="44"/>
      <c r="AY1082" s="44"/>
      <c r="AZ1082" s="44"/>
      <c r="BA1082" s="44"/>
      <c r="BB1082" s="44"/>
      <c r="BC1082" s="44"/>
      <c r="BD1082" s="44"/>
      <c r="BE1082" s="44"/>
      <c r="BF1082" s="44"/>
      <c r="BG1082" s="44"/>
      <c r="BH1082" s="44"/>
      <c r="BI1082" s="44"/>
      <c r="BJ1082" s="44"/>
      <c r="BK1082" s="44"/>
      <c r="BL1082" s="44"/>
      <c r="BM1082" s="44"/>
      <c r="BN1082" s="44"/>
      <c r="BO1082" s="55"/>
      <c r="BP1082" s="40"/>
      <c r="BQ1082" s="4"/>
      <c r="BR1082" s="61"/>
      <c r="BS1082" s="4"/>
      <c r="BT1082" s="57"/>
      <c r="BU1082" s="62"/>
      <c r="BV1082" s="8"/>
      <c r="BW1082" s="58"/>
    </row>
    <row r="1083" spans="41:75" x14ac:dyDescent="0.35">
      <c r="AO1083" s="39">
        <v>1081</v>
      </c>
      <c r="AP1083" s="62"/>
      <c r="AQ1083" s="39"/>
      <c r="AR1083" s="42" t="str">
        <f>IFERROR(VLOOKUP(AU1083,[1]SUMMARY!$A$3:$B$7,2,FALSE),"")</f>
        <v/>
      </c>
      <c r="AS1083" s="31"/>
      <c r="AT1083" s="31" t="e">
        <f>VLOOKUP(AS1083,[1]OUTLET!$B:$C,2,0)</f>
        <v>#N/A</v>
      </c>
      <c r="AU1083" s="31"/>
      <c r="AV1083" s="4"/>
      <c r="AW1083" s="44"/>
      <c r="AX1083" s="44"/>
      <c r="AY1083" s="44"/>
      <c r="AZ1083" s="44"/>
      <c r="BA1083" s="44"/>
      <c r="BB1083" s="44"/>
      <c r="BC1083" s="44"/>
      <c r="BD1083" s="44"/>
      <c r="BE1083" s="44"/>
      <c r="BF1083" s="44"/>
      <c r="BG1083" s="44"/>
      <c r="BH1083" s="44"/>
      <c r="BI1083" s="44"/>
      <c r="BJ1083" s="44"/>
      <c r="BK1083" s="44"/>
      <c r="BL1083" s="44"/>
      <c r="BM1083" s="44"/>
      <c r="BN1083" s="44"/>
      <c r="BO1083" s="55"/>
      <c r="BP1083" s="40"/>
      <c r="BQ1083" s="4"/>
      <c r="BR1083" s="61"/>
      <c r="BS1083" s="4"/>
      <c r="BT1083" s="57"/>
      <c r="BU1083" s="62"/>
      <c r="BV1083" s="8"/>
      <c r="BW1083" s="58"/>
    </row>
    <row r="1084" spans="41:75" x14ac:dyDescent="0.35">
      <c r="AO1084" s="39">
        <v>1082</v>
      </c>
      <c r="AP1084" s="62"/>
      <c r="AQ1084" s="39"/>
      <c r="AR1084" s="42" t="str">
        <f>IFERROR(VLOOKUP(AU1084,[1]SUMMARY!$A$3:$B$7,2,FALSE),"")</f>
        <v/>
      </c>
      <c r="AS1084" s="31"/>
      <c r="AT1084" s="31" t="e">
        <f>VLOOKUP(AS1084,[1]OUTLET!$B:$C,2,0)</f>
        <v>#N/A</v>
      </c>
      <c r="AU1084" s="31"/>
      <c r="AV1084" s="4"/>
      <c r="AW1084" s="44"/>
      <c r="AX1084" s="44"/>
      <c r="AY1084" s="44"/>
      <c r="AZ1084" s="44"/>
      <c r="BA1084" s="44"/>
      <c r="BB1084" s="44"/>
      <c r="BC1084" s="44"/>
      <c r="BD1084" s="44"/>
      <c r="BE1084" s="44"/>
      <c r="BF1084" s="44"/>
      <c r="BG1084" s="44"/>
      <c r="BH1084" s="44"/>
      <c r="BI1084" s="44"/>
      <c r="BJ1084" s="44"/>
      <c r="BK1084" s="44"/>
      <c r="BL1084" s="44"/>
      <c r="BM1084" s="44"/>
      <c r="BN1084" s="44"/>
      <c r="BO1084" s="55"/>
      <c r="BP1084" s="40"/>
      <c r="BQ1084" s="4"/>
      <c r="BR1084" s="61"/>
      <c r="BS1084" s="4"/>
      <c r="BT1084" s="57"/>
      <c r="BU1084" s="62"/>
      <c r="BV1084" s="8"/>
      <c r="BW1084" s="58"/>
    </row>
    <row r="1085" spans="41:75" x14ac:dyDescent="0.35">
      <c r="AO1085" s="39">
        <v>1083</v>
      </c>
      <c r="AP1085" s="62"/>
      <c r="AQ1085" s="39"/>
      <c r="AR1085" s="42" t="str">
        <f>IFERROR(VLOOKUP(AU1085,[1]SUMMARY!$A$3:$B$7,2,FALSE),"")</f>
        <v/>
      </c>
      <c r="AS1085" s="31"/>
      <c r="AT1085" s="31" t="e">
        <f>VLOOKUP(AS1085,[1]OUTLET!$B:$C,2,0)</f>
        <v>#N/A</v>
      </c>
      <c r="AU1085" s="31"/>
      <c r="AV1085" s="4"/>
      <c r="AW1085" s="44"/>
      <c r="AX1085" s="44"/>
      <c r="AY1085" s="44"/>
      <c r="AZ1085" s="44"/>
      <c r="BA1085" s="44"/>
      <c r="BB1085" s="44"/>
      <c r="BC1085" s="44"/>
      <c r="BD1085" s="44"/>
      <c r="BE1085" s="44"/>
      <c r="BF1085" s="44"/>
      <c r="BG1085" s="44"/>
      <c r="BH1085" s="44"/>
      <c r="BI1085" s="44"/>
      <c r="BJ1085" s="44"/>
      <c r="BK1085" s="44"/>
      <c r="BL1085" s="44"/>
      <c r="BM1085" s="44"/>
      <c r="BN1085" s="44"/>
      <c r="BO1085" s="55"/>
      <c r="BP1085" s="40"/>
      <c r="BQ1085" s="4"/>
      <c r="BR1085" s="61"/>
      <c r="BS1085" s="4"/>
      <c r="BT1085" s="57"/>
      <c r="BU1085" s="62"/>
      <c r="BV1085" s="8"/>
      <c r="BW1085" s="58"/>
    </row>
    <row r="1086" spans="41:75" x14ac:dyDescent="0.35">
      <c r="AO1086" s="39">
        <v>1084</v>
      </c>
      <c r="AP1086" s="62"/>
      <c r="AQ1086" s="39"/>
      <c r="AR1086" s="42" t="str">
        <f>IFERROR(VLOOKUP(AU1086,[1]SUMMARY!$A$3:$B$7,2,FALSE),"")</f>
        <v/>
      </c>
      <c r="AS1086" s="31"/>
      <c r="AT1086" s="31" t="e">
        <f>VLOOKUP(AS1086,[1]OUTLET!$B:$C,2,0)</f>
        <v>#N/A</v>
      </c>
      <c r="AU1086" s="31"/>
      <c r="AV1086" s="4"/>
      <c r="AW1086" s="44"/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44"/>
      <c r="BJ1086" s="44"/>
      <c r="BK1086" s="44"/>
      <c r="BL1086" s="44"/>
      <c r="BM1086" s="44"/>
      <c r="BN1086" s="44"/>
      <c r="BO1086" s="55"/>
      <c r="BP1086" s="40"/>
      <c r="BQ1086" s="4"/>
      <c r="BR1086" s="61"/>
      <c r="BS1086" s="4"/>
      <c r="BT1086" s="57"/>
      <c r="BU1086" s="62"/>
      <c r="BV1086" s="8"/>
      <c r="BW1086" s="58"/>
    </row>
    <row r="1087" spans="41:75" x14ac:dyDescent="0.35">
      <c r="AO1087" s="39">
        <v>1085</v>
      </c>
      <c r="AP1087" s="62"/>
      <c r="AQ1087" s="39"/>
      <c r="AR1087" s="42" t="str">
        <f>IFERROR(VLOOKUP(AU1087,[1]SUMMARY!$A$3:$B$7,2,FALSE),"")</f>
        <v/>
      </c>
      <c r="AS1087" s="31"/>
      <c r="AT1087" s="31" t="e">
        <f>VLOOKUP(AS1087,[1]OUTLET!$B:$C,2,0)</f>
        <v>#N/A</v>
      </c>
      <c r="AU1087" s="31"/>
      <c r="AV1087" s="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44"/>
      <c r="BJ1087" s="44"/>
      <c r="BK1087" s="44"/>
      <c r="BL1087" s="44"/>
      <c r="BM1087" s="44"/>
      <c r="BN1087" s="44"/>
      <c r="BO1087" s="55"/>
      <c r="BP1087" s="40"/>
      <c r="BQ1087" s="4"/>
      <c r="BR1087" s="61"/>
      <c r="BS1087" s="4"/>
      <c r="BT1087" s="57"/>
      <c r="BU1087" s="62"/>
      <c r="BV1087" s="8"/>
      <c r="BW1087" s="58"/>
    </row>
    <row r="1088" spans="41:75" x14ac:dyDescent="0.35">
      <c r="AO1088" s="39">
        <v>1086</v>
      </c>
      <c r="AP1088" s="62"/>
      <c r="AQ1088" s="39"/>
      <c r="AR1088" s="42" t="str">
        <f>IFERROR(VLOOKUP(AU1088,[1]SUMMARY!$A$3:$B$7,2,FALSE),"")</f>
        <v/>
      </c>
      <c r="AS1088" s="31"/>
      <c r="AT1088" s="31" t="e">
        <f>VLOOKUP(AS1088,[1]OUTLET!$B:$C,2,0)</f>
        <v>#N/A</v>
      </c>
      <c r="AU1088" s="31"/>
      <c r="AV1088" s="4"/>
      <c r="AW1088" s="44"/>
      <c r="AX1088" s="44"/>
      <c r="AY1088" s="44"/>
      <c r="AZ1088" s="44"/>
      <c r="BA1088" s="44"/>
      <c r="BB1088" s="44"/>
      <c r="BC1088" s="44"/>
      <c r="BD1088" s="44"/>
      <c r="BE1088" s="44"/>
      <c r="BF1088" s="44"/>
      <c r="BG1088" s="44"/>
      <c r="BH1088" s="44"/>
      <c r="BI1088" s="44"/>
      <c r="BJ1088" s="44"/>
      <c r="BK1088" s="44"/>
      <c r="BL1088" s="44"/>
      <c r="BM1088" s="44"/>
      <c r="BN1088" s="44"/>
      <c r="BO1088" s="55"/>
      <c r="BP1088" s="40"/>
      <c r="BQ1088" s="4"/>
      <c r="BR1088" s="61"/>
      <c r="BS1088" s="4"/>
      <c r="BT1088" s="57"/>
      <c r="BU1088" s="62"/>
      <c r="BV1088" s="8"/>
      <c r="BW1088" s="58"/>
    </row>
    <row r="1089" spans="41:75" x14ac:dyDescent="0.35">
      <c r="AO1089" s="39">
        <v>1087</v>
      </c>
      <c r="AP1089" s="62"/>
      <c r="AQ1089" s="39"/>
      <c r="AR1089" s="42" t="str">
        <f>IFERROR(VLOOKUP(AU1089,[1]SUMMARY!$A$3:$B$7,2,FALSE),"")</f>
        <v/>
      </c>
      <c r="AS1089" s="31"/>
      <c r="AT1089" s="31" t="e">
        <f>VLOOKUP(AS1089,[1]OUTLET!$B:$C,2,0)</f>
        <v>#N/A</v>
      </c>
      <c r="AU1089" s="31"/>
      <c r="AV1089" s="4"/>
      <c r="AW1089" s="44"/>
      <c r="AX1089" s="44"/>
      <c r="AY1089" s="44"/>
      <c r="AZ1089" s="44"/>
      <c r="BA1089" s="44"/>
      <c r="BB1089" s="44"/>
      <c r="BC1089" s="44"/>
      <c r="BD1089" s="44"/>
      <c r="BE1089" s="44"/>
      <c r="BF1089" s="44"/>
      <c r="BG1089" s="44"/>
      <c r="BH1089" s="44"/>
      <c r="BI1089" s="44"/>
      <c r="BJ1089" s="44"/>
      <c r="BK1089" s="44"/>
      <c r="BL1089" s="44"/>
      <c r="BM1089" s="44"/>
      <c r="BN1089" s="44"/>
      <c r="BO1089" s="55"/>
      <c r="BP1089" s="40"/>
      <c r="BQ1089" s="4"/>
      <c r="BR1089" s="61"/>
      <c r="BS1089" s="4"/>
      <c r="BT1089" s="57"/>
      <c r="BU1089" s="62"/>
      <c r="BV1089" s="8"/>
      <c r="BW1089" s="58"/>
    </row>
    <row r="1090" spans="41:75" x14ac:dyDescent="0.35">
      <c r="AO1090" s="39">
        <v>1088</v>
      </c>
      <c r="AP1090" s="62"/>
      <c r="AQ1090" s="39"/>
      <c r="AR1090" s="42" t="str">
        <f>IFERROR(VLOOKUP(AU1090,[1]SUMMARY!$A$3:$B$7,2,FALSE),"")</f>
        <v/>
      </c>
      <c r="AS1090" s="31"/>
      <c r="AT1090" s="31" t="e">
        <f>VLOOKUP(AS1090,[1]OUTLET!$B:$C,2,0)</f>
        <v>#N/A</v>
      </c>
      <c r="AU1090" s="31"/>
      <c r="AV1090" s="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55"/>
      <c r="BP1090" s="40"/>
      <c r="BQ1090" s="4"/>
      <c r="BR1090" s="61"/>
      <c r="BS1090" s="4"/>
      <c r="BT1090" s="57"/>
      <c r="BU1090" s="62"/>
      <c r="BV1090" s="8"/>
      <c r="BW1090" s="58"/>
    </row>
    <row r="1091" spans="41:75" x14ac:dyDescent="0.35">
      <c r="AO1091" s="39">
        <v>1089</v>
      </c>
      <c r="AP1091" s="62"/>
      <c r="AQ1091" s="39"/>
      <c r="AR1091" s="42" t="str">
        <f>IFERROR(VLOOKUP(AU1091,[1]SUMMARY!$A$3:$B$7,2,FALSE),"")</f>
        <v/>
      </c>
      <c r="AS1091" s="31"/>
      <c r="AT1091" s="31" t="e">
        <f>VLOOKUP(AS1091,[1]OUTLET!$B:$C,2,0)</f>
        <v>#N/A</v>
      </c>
      <c r="AU1091" s="31"/>
      <c r="AV1091" s="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55"/>
      <c r="BP1091" s="40"/>
      <c r="BQ1091" s="4"/>
      <c r="BR1091" s="61"/>
      <c r="BS1091" s="4"/>
      <c r="BT1091" s="57"/>
      <c r="BU1091" s="62"/>
      <c r="BV1091" s="8"/>
      <c r="BW1091" s="58"/>
    </row>
    <row r="1092" spans="41:75" x14ac:dyDescent="0.35">
      <c r="AO1092" s="39">
        <v>1090</v>
      </c>
      <c r="AP1092" s="62"/>
      <c r="AQ1092" s="39"/>
      <c r="AR1092" s="42" t="str">
        <f>IFERROR(VLOOKUP(AU1092,[1]SUMMARY!$A$3:$B$7,2,FALSE),"")</f>
        <v/>
      </c>
      <c r="AS1092" s="31"/>
      <c r="AT1092" s="31" t="e">
        <f>VLOOKUP(AS1092,[1]OUTLET!$B:$C,2,0)</f>
        <v>#N/A</v>
      </c>
      <c r="AU1092" s="31"/>
      <c r="AV1092" s="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55"/>
      <c r="BP1092" s="40"/>
      <c r="BQ1092" s="4"/>
      <c r="BR1092" s="61"/>
      <c r="BS1092" s="4"/>
      <c r="BT1092" s="57"/>
      <c r="BU1092" s="62"/>
      <c r="BV1092" s="8"/>
      <c r="BW1092" s="58"/>
    </row>
    <row r="1093" spans="41:75" x14ac:dyDescent="0.35">
      <c r="AO1093" s="39">
        <v>1091</v>
      </c>
      <c r="AP1093" s="62"/>
      <c r="AQ1093" s="39"/>
      <c r="AR1093" s="42" t="str">
        <f>IFERROR(VLOOKUP(AU1093,[1]SUMMARY!$A$3:$B$7,2,FALSE),"")</f>
        <v/>
      </c>
      <c r="AS1093" s="31"/>
      <c r="AT1093" s="31" t="e">
        <f>VLOOKUP(AS1093,[1]OUTLET!$B:$C,2,0)</f>
        <v>#N/A</v>
      </c>
      <c r="AU1093" s="31"/>
      <c r="AV1093" s="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55"/>
      <c r="BP1093" s="40"/>
      <c r="BQ1093" s="4"/>
      <c r="BR1093" s="61"/>
      <c r="BS1093" s="4"/>
      <c r="BT1093" s="57"/>
      <c r="BU1093" s="62"/>
      <c r="BV1093" s="8"/>
      <c r="BW1093" s="58"/>
    </row>
    <row r="1094" spans="41:75" x14ac:dyDescent="0.35">
      <c r="AO1094" s="39">
        <v>1092</v>
      </c>
      <c r="AP1094" s="62"/>
      <c r="AQ1094" s="39"/>
      <c r="AR1094" s="42" t="str">
        <f>IFERROR(VLOOKUP(AU1094,[1]SUMMARY!$A$3:$B$7,2,FALSE),"")</f>
        <v/>
      </c>
      <c r="AS1094" s="31"/>
      <c r="AT1094" s="31" t="e">
        <f>VLOOKUP(AS1094,[1]OUTLET!$B:$C,2,0)</f>
        <v>#N/A</v>
      </c>
      <c r="AU1094" s="31"/>
      <c r="AV1094" s="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55"/>
      <c r="BP1094" s="40"/>
      <c r="BQ1094" s="4"/>
      <c r="BR1094" s="61"/>
      <c r="BS1094" s="4"/>
      <c r="BT1094" s="57"/>
      <c r="BU1094" s="62"/>
      <c r="BV1094" s="8"/>
      <c r="BW1094" s="58"/>
    </row>
    <row r="1095" spans="41:75" x14ac:dyDescent="0.35">
      <c r="AO1095" s="39">
        <v>1093</v>
      </c>
      <c r="AP1095" s="62"/>
      <c r="AQ1095" s="39"/>
      <c r="AR1095" s="42" t="str">
        <f>IFERROR(VLOOKUP(AU1095,[1]SUMMARY!$A$3:$B$7,2,FALSE),"")</f>
        <v/>
      </c>
      <c r="AS1095" s="31"/>
      <c r="AT1095" s="31" t="e">
        <f>VLOOKUP(AS1095,[1]OUTLET!$B:$C,2,0)</f>
        <v>#N/A</v>
      </c>
      <c r="AU1095" s="31"/>
      <c r="AV1095" s="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55"/>
      <c r="BP1095" s="40"/>
      <c r="BQ1095" s="4"/>
      <c r="BR1095" s="61"/>
      <c r="BS1095" s="4"/>
      <c r="BT1095" s="57"/>
      <c r="BU1095" s="62"/>
      <c r="BV1095" s="8"/>
      <c r="BW1095" s="58"/>
    </row>
    <row r="1096" spans="41:75" x14ac:dyDescent="0.35">
      <c r="AO1096" s="39">
        <v>1094</v>
      </c>
      <c r="AP1096" s="62"/>
      <c r="AQ1096" s="39"/>
      <c r="AR1096" s="42" t="str">
        <f>IFERROR(VLOOKUP(AU1096,[1]SUMMARY!$A$3:$B$7,2,FALSE),"")</f>
        <v/>
      </c>
      <c r="AS1096" s="31"/>
      <c r="AT1096" s="31" t="e">
        <f>VLOOKUP(AS1096,[1]OUTLET!$B:$C,2,0)</f>
        <v>#N/A</v>
      </c>
      <c r="AU1096" s="31"/>
      <c r="AV1096" s="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55"/>
      <c r="BP1096" s="40"/>
      <c r="BQ1096" s="4"/>
      <c r="BR1096" s="61"/>
      <c r="BS1096" s="4"/>
      <c r="BT1096" s="57"/>
      <c r="BU1096" s="62"/>
      <c r="BV1096" s="8"/>
      <c r="BW1096" s="58"/>
    </row>
    <row r="1097" spans="41:75" x14ac:dyDescent="0.35">
      <c r="AO1097" s="39">
        <v>1095</v>
      </c>
      <c r="AP1097" s="62"/>
      <c r="AQ1097" s="39"/>
      <c r="AR1097" s="42" t="str">
        <f>IFERROR(VLOOKUP(AU1097,[1]SUMMARY!$A$3:$B$7,2,FALSE),"")</f>
        <v/>
      </c>
      <c r="AS1097" s="31"/>
      <c r="AT1097" s="31" t="e">
        <f>VLOOKUP(AS1097,[1]OUTLET!$B:$C,2,0)</f>
        <v>#N/A</v>
      </c>
      <c r="AU1097" s="31"/>
      <c r="AV1097" s="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55"/>
      <c r="BP1097" s="40"/>
      <c r="BQ1097" s="4"/>
      <c r="BR1097" s="61"/>
      <c r="BS1097" s="4"/>
      <c r="BT1097" s="57"/>
      <c r="BU1097" s="62"/>
      <c r="BV1097" s="8"/>
      <c r="BW1097" s="58"/>
    </row>
    <row r="1098" spans="41:75" x14ac:dyDescent="0.35">
      <c r="AO1098" s="39">
        <v>1096</v>
      </c>
      <c r="AP1098" s="62"/>
      <c r="AQ1098" s="39"/>
      <c r="AR1098" s="42" t="str">
        <f>IFERROR(VLOOKUP(AU1098,[1]SUMMARY!$A$3:$B$7,2,FALSE),"")</f>
        <v/>
      </c>
      <c r="AS1098" s="31"/>
      <c r="AT1098" s="31" t="e">
        <f>VLOOKUP(AS1098,[1]OUTLET!$B:$C,2,0)</f>
        <v>#N/A</v>
      </c>
      <c r="AU1098" s="31"/>
      <c r="AV1098" s="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55"/>
      <c r="BP1098" s="40"/>
      <c r="BQ1098" s="4"/>
      <c r="BR1098" s="61"/>
      <c r="BS1098" s="4"/>
      <c r="BT1098" s="57"/>
      <c r="BU1098" s="62"/>
      <c r="BV1098" s="8"/>
      <c r="BW1098" s="58"/>
    </row>
    <row r="1099" spans="41:75" x14ac:dyDescent="0.35">
      <c r="AO1099" s="39">
        <v>1097</v>
      </c>
      <c r="AP1099" s="62"/>
      <c r="AQ1099" s="39"/>
      <c r="AR1099" s="42" t="str">
        <f>IFERROR(VLOOKUP(AU1099,[1]SUMMARY!$A$3:$B$7,2,FALSE),"")</f>
        <v/>
      </c>
      <c r="AS1099" s="31"/>
      <c r="AT1099" s="31" t="e">
        <f>VLOOKUP(AS1099,[1]OUTLET!$B:$C,2,0)</f>
        <v>#N/A</v>
      </c>
      <c r="AU1099" s="31"/>
      <c r="AV1099" s="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55"/>
      <c r="BP1099" s="40"/>
      <c r="BQ1099" s="4"/>
      <c r="BR1099" s="61"/>
      <c r="BS1099" s="4"/>
      <c r="BT1099" s="57"/>
      <c r="BU1099" s="62"/>
      <c r="BV1099" s="8"/>
      <c r="BW1099" s="58"/>
    </row>
    <row r="1100" spans="41:75" x14ac:dyDescent="0.35">
      <c r="AO1100" s="39">
        <v>1098</v>
      </c>
      <c r="AP1100" s="62"/>
      <c r="AQ1100" s="39"/>
      <c r="AR1100" s="42" t="str">
        <f>IFERROR(VLOOKUP(AU1100,[1]SUMMARY!$A$3:$B$7,2,FALSE),"")</f>
        <v/>
      </c>
      <c r="AS1100" s="31"/>
      <c r="AT1100" s="31" t="e">
        <f>VLOOKUP(AS1100,[1]OUTLET!$B:$C,2,0)</f>
        <v>#N/A</v>
      </c>
      <c r="AU1100" s="31"/>
      <c r="AV1100" s="4"/>
      <c r="AW1100" s="44"/>
      <c r="AX1100" s="44"/>
      <c r="AY1100" s="44"/>
      <c r="AZ1100" s="44"/>
      <c r="BA1100" s="44"/>
      <c r="BB1100" s="44"/>
      <c r="BC1100" s="44"/>
      <c r="BD1100" s="44"/>
      <c r="BE1100" s="44"/>
      <c r="BF1100" s="44"/>
      <c r="BG1100" s="44"/>
      <c r="BH1100" s="44"/>
      <c r="BI1100" s="44"/>
      <c r="BJ1100" s="44"/>
      <c r="BK1100" s="44"/>
      <c r="BL1100" s="44"/>
      <c r="BM1100" s="44"/>
      <c r="BN1100" s="44"/>
      <c r="BO1100" s="55"/>
      <c r="BP1100" s="40"/>
      <c r="BQ1100" s="4"/>
      <c r="BR1100" s="61"/>
      <c r="BS1100" s="4"/>
      <c r="BT1100" s="57"/>
      <c r="BU1100" s="62"/>
      <c r="BV1100" s="8"/>
      <c r="BW1100" s="58"/>
    </row>
    <row r="1101" spans="41:75" x14ac:dyDescent="0.35">
      <c r="AO1101" s="39">
        <v>1099</v>
      </c>
      <c r="AP1101" s="62"/>
      <c r="AQ1101" s="39"/>
      <c r="AR1101" s="42" t="str">
        <f>IFERROR(VLOOKUP(AU1101,[1]SUMMARY!$A$3:$B$7,2,FALSE),"")</f>
        <v/>
      </c>
      <c r="AS1101" s="31"/>
      <c r="AT1101" s="31" t="e">
        <f>VLOOKUP(AS1101,[1]OUTLET!$B:$C,2,0)</f>
        <v>#N/A</v>
      </c>
      <c r="AU1101" s="31"/>
      <c r="AV1101" s="4"/>
      <c r="AW1101" s="44"/>
      <c r="AX1101" s="44"/>
      <c r="AY1101" s="44"/>
      <c r="AZ1101" s="44"/>
      <c r="BA1101" s="44"/>
      <c r="BB1101" s="44"/>
      <c r="BC1101" s="44"/>
      <c r="BD1101" s="44"/>
      <c r="BE1101" s="44"/>
      <c r="BF1101" s="44"/>
      <c r="BG1101" s="44"/>
      <c r="BH1101" s="44"/>
      <c r="BI1101" s="44"/>
      <c r="BJ1101" s="44"/>
      <c r="BK1101" s="44"/>
      <c r="BL1101" s="44"/>
      <c r="BM1101" s="44"/>
      <c r="BN1101" s="44"/>
      <c r="BO1101" s="55"/>
      <c r="BP1101" s="40"/>
      <c r="BQ1101" s="4"/>
      <c r="BR1101" s="61"/>
      <c r="BS1101" s="4"/>
      <c r="BT1101" s="57"/>
      <c r="BU1101" s="62"/>
      <c r="BV1101" s="8"/>
      <c r="BW1101" s="58"/>
    </row>
    <row r="1102" spans="41:75" x14ac:dyDescent="0.35">
      <c r="AO1102" s="39">
        <v>1100</v>
      </c>
      <c r="AP1102" s="62"/>
      <c r="AQ1102" s="39"/>
      <c r="AR1102" s="42" t="str">
        <f>IFERROR(VLOOKUP(AU1102,[1]SUMMARY!$A$3:$B$7,2,FALSE),"")</f>
        <v/>
      </c>
      <c r="AS1102" s="31"/>
      <c r="AT1102" s="31" t="e">
        <f>VLOOKUP(AS1102,[1]OUTLET!$B:$C,2,0)</f>
        <v>#N/A</v>
      </c>
      <c r="AU1102" s="31"/>
      <c r="AV1102" s="4"/>
      <c r="AW1102" s="44"/>
      <c r="AX1102" s="44"/>
      <c r="AY1102" s="44"/>
      <c r="AZ1102" s="44"/>
      <c r="BA1102" s="44"/>
      <c r="BB1102" s="44"/>
      <c r="BC1102" s="44"/>
      <c r="BD1102" s="44"/>
      <c r="BE1102" s="44"/>
      <c r="BF1102" s="44"/>
      <c r="BG1102" s="44"/>
      <c r="BH1102" s="44"/>
      <c r="BI1102" s="44"/>
      <c r="BJ1102" s="44"/>
      <c r="BK1102" s="44"/>
      <c r="BL1102" s="44"/>
      <c r="BM1102" s="44"/>
      <c r="BN1102" s="44"/>
      <c r="BO1102" s="55"/>
      <c r="BP1102" s="40"/>
      <c r="BQ1102" s="4"/>
      <c r="BR1102" s="61"/>
      <c r="BS1102" s="4"/>
      <c r="BT1102" s="57"/>
      <c r="BU1102" s="62"/>
      <c r="BV1102" s="8"/>
      <c r="BW1102" s="58"/>
    </row>
    <row r="1103" spans="41:75" x14ac:dyDescent="0.35">
      <c r="AO1103" s="39">
        <v>1101</v>
      </c>
      <c r="AP1103" s="62"/>
      <c r="AQ1103" s="39"/>
      <c r="AR1103" s="42" t="str">
        <f>IFERROR(VLOOKUP(AU1103,[1]SUMMARY!$A$3:$B$7,2,FALSE),"")</f>
        <v/>
      </c>
      <c r="AS1103" s="31"/>
      <c r="AT1103" s="31" t="e">
        <f>VLOOKUP(AS1103,[1]OUTLET!$B:$C,2,0)</f>
        <v>#N/A</v>
      </c>
      <c r="AU1103" s="31"/>
      <c r="AV1103" s="4"/>
      <c r="AW1103" s="44"/>
      <c r="AX1103" s="44"/>
      <c r="AY1103" s="44"/>
      <c r="AZ1103" s="44"/>
      <c r="BA1103" s="44"/>
      <c r="BB1103" s="44"/>
      <c r="BC1103" s="44"/>
      <c r="BD1103" s="44"/>
      <c r="BE1103" s="44"/>
      <c r="BF1103" s="44"/>
      <c r="BG1103" s="44"/>
      <c r="BH1103" s="44"/>
      <c r="BI1103" s="44"/>
      <c r="BJ1103" s="44"/>
      <c r="BK1103" s="44"/>
      <c r="BL1103" s="44"/>
      <c r="BM1103" s="44"/>
      <c r="BN1103" s="44"/>
      <c r="BO1103" s="55"/>
      <c r="BP1103" s="40"/>
      <c r="BQ1103" s="4"/>
      <c r="BR1103" s="61"/>
      <c r="BS1103" s="4"/>
      <c r="BT1103" s="57"/>
      <c r="BU1103" s="62"/>
      <c r="BV1103" s="8"/>
      <c r="BW1103" s="58"/>
    </row>
    <row r="1104" spans="41:75" x14ac:dyDescent="0.35">
      <c r="AO1104" s="39">
        <v>1102</v>
      </c>
      <c r="AP1104" s="62"/>
      <c r="AQ1104" s="39"/>
      <c r="AR1104" s="42" t="str">
        <f>IFERROR(VLOOKUP(AU1104,[1]SUMMARY!$A$3:$B$7,2,FALSE),"")</f>
        <v/>
      </c>
      <c r="AS1104" s="31"/>
      <c r="AT1104" s="31" t="e">
        <f>VLOOKUP(AS1104,[1]OUTLET!$B:$C,2,0)</f>
        <v>#N/A</v>
      </c>
      <c r="AU1104" s="31"/>
      <c r="AV1104" s="4"/>
      <c r="AW1104" s="44"/>
      <c r="AX1104" s="44"/>
      <c r="AY1104" s="44"/>
      <c r="AZ1104" s="44"/>
      <c r="BA1104" s="44"/>
      <c r="BB1104" s="44"/>
      <c r="BC1104" s="44"/>
      <c r="BD1104" s="44"/>
      <c r="BE1104" s="44"/>
      <c r="BF1104" s="44"/>
      <c r="BG1104" s="44"/>
      <c r="BH1104" s="44"/>
      <c r="BI1104" s="44"/>
      <c r="BJ1104" s="44"/>
      <c r="BK1104" s="44"/>
      <c r="BL1104" s="44"/>
      <c r="BM1104" s="44"/>
      <c r="BN1104" s="44"/>
      <c r="BO1104" s="55"/>
      <c r="BP1104" s="40"/>
      <c r="BQ1104" s="4"/>
      <c r="BR1104" s="61"/>
      <c r="BS1104" s="4"/>
      <c r="BT1104" s="57"/>
      <c r="BU1104" s="62"/>
      <c r="BV1104" s="8"/>
      <c r="BW1104" s="58"/>
    </row>
    <row r="1105" spans="41:75" x14ac:dyDescent="0.35">
      <c r="AO1105" s="39">
        <v>1103</v>
      </c>
      <c r="AP1105" s="62"/>
      <c r="AQ1105" s="39"/>
      <c r="AR1105" s="42" t="str">
        <f>IFERROR(VLOOKUP(AU1105,[1]SUMMARY!$A$3:$B$7,2,FALSE),"")</f>
        <v/>
      </c>
      <c r="AS1105" s="31"/>
      <c r="AT1105" s="31" t="e">
        <f>VLOOKUP(AS1105,[1]OUTLET!$B:$C,2,0)</f>
        <v>#N/A</v>
      </c>
      <c r="AU1105" s="31"/>
      <c r="AV1105" s="4"/>
      <c r="AW1105" s="44"/>
      <c r="AX1105" s="44"/>
      <c r="AY1105" s="44"/>
      <c r="AZ1105" s="44"/>
      <c r="BA1105" s="44"/>
      <c r="BB1105" s="44"/>
      <c r="BC1105" s="44"/>
      <c r="BD1105" s="44"/>
      <c r="BE1105" s="44"/>
      <c r="BF1105" s="44"/>
      <c r="BG1105" s="44"/>
      <c r="BH1105" s="44"/>
      <c r="BI1105" s="44"/>
      <c r="BJ1105" s="44"/>
      <c r="BK1105" s="44"/>
      <c r="BL1105" s="44"/>
      <c r="BM1105" s="44"/>
      <c r="BN1105" s="44"/>
      <c r="BO1105" s="55"/>
      <c r="BP1105" s="40"/>
      <c r="BQ1105" s="4"/>
      <c r="BR1105" s="61"/>
      <c r="BS1105" s="4"/>
      <c r="BT1105" s="57"/>
      <c r="BU1105" s="62"/>
      <c r="BV1105" s="8"/>
      <c r="BW1105" s="58"/>
    </row>
    <row r="1106" spans="41:75" x14ac:dyDescent="0.35">
      <c r="AO1106" s="39">
        <v>1104</v>
      </c>
      <c r="AP1106" s="62"/>
      <c r="AQ1106" s="39"/>
      <c r="AR1106" s="42" t="str">
        <f>IFERROR(VLOOKUP(AU1106,[1]SUMMARY!$A$3:$B$7,2,FALSE),"")</f>
        <v/>
      </c>
      <c r="AS1106" s="31"/>
      <c r="AT1106" s="31" t="e">
        <f>VLOOKUP(AS1106,[1]OUTLET!$B:$C,2,0)</f>
        <v>#N/A</v>
      </c>
      <c r="AU1106" s="31"/>
      <c r="AV1106" s="4"/>
      <c r="AW1106" s="44"/>
      <c r="AX1106" s="44"/>
      <c r="AY1106" s="44"/>
      <c r="AZ1106" s="44"/>
      <c r="BA1106" s="44"/>
      <c r="BB1106" s="44"/>
      <c r="BC1106" s="44"/>
      <c r="BD1106" s="44"/>
      <c r="BE1106" s="44"/>
      <c r="BF1106" s="44"/>
      <c r="BG1106" s="44"/>
      <c r="BH1106" s="44"/>
      <c r="BI1106" s="44"/>
      <c r="BJ1106" s="44"/>
      <c r="BK1106" s="44"/>
      <c r="BL1106" s="44"/>
      <c r="BM1106" s="44"/>
      <c r="BN1106" s="44"/>
      <c r="BO1106" s="55"/>
      <c r="BP1106" s="40"/>
      <c r="BQ1106" s="4"/>
      <c r="BR1106" s="61"/>
      <c r="BS1106" s="4"/>
      <c r="BT1106" s="57"/>
      <c r="BU1106" s="62"/>
      <c r="BV1106" s="8"/>
      <c r="BW1106" s="58"/>
    </row>
    <row r="1107" spans="41:75" x14ac:dyDescent="0.35">
      <c r="AO1107" s="39">
        <v>1105</v>
      </c>
      <c r="AP1107" s="62"/>
      <c r="AQ1107" s="39"/>
      <c r="AR1107" s="42" t="str">
        <f>IFERROR(VLOOKUP(AU1107,[1]SUMMARY!$A$3:$B$7,2,FALSE),"")</f>
        <v/>
      </c>
      <c r="AS1107" s="31"/>
      <c r="AT1107" s="31" t="e">
        <f>VLOOKUP(AS1107,[1]OUTLET!$B:$C,2,0)</f>
        <v>#N/A</v>
      </c>
      <c r="AU1107" s="31"/>
      <c r="AV1107" s="4"/>
      <c r="AW1107" s="44"/>
      <c r="AX1107" s="44"/>
      <c r="AY1107" s="44"/>
      <c r="AZ1107" s="44"/>
      <c r="BA1107" s="44"/>
      <c r="BB1107" s="44"/>
      <c r="BC1107" s="44"/>
      <c r="BD1107" s="44"/>
      <c r="BE1107" s="44"/>
      <c r="BF1107" s="44"/>
      <c r="BG1107" s="44"/>
      <c r="BH1107" s="44"/>
      <c r="BI1107" s="44"/>
      <c r="BJ1107" s="44"/>
      <c r="BK1107" s="44"/>
      <c r="BL1107" s="44"/>
      <c r="BM1107" s="44"/>
      <c r="BN1107" s="44"/>
      <c r="BO1107" s="55"/>
      <c r="BP1107" s="40"/>
      <c r="BQ1107" s="4"/>
      <c r="BR1107" s="61"/>
      <c r="BS1107" s="4"/>
      <c r="BT1107" s="57"/>
      <c r="BU1107" s="62"/>
      <c r="BV1107" s="8"/>
      <c r="BW1107" s="58"/>
    </row>
    <row r="1108" spans="41:75" x14ac:dyDescent="0.35">
      <c r="AO1108" s="39">
        <v>1106</v>
      </c>
      <c r="AP1108" s="62"/>
      <c r="AQ1108" s="39"/>
      <c r="AR1108" s="42" t="str">
        <f>IFERROR(VLOOKUP(AU1108,[1]SUMMARY!$A$3:$B$7,2,FALSE),"")</f>
        <v/>
      </c>
      <c r="AS1108" s="31"/>
      <c r="AT1108" s="31" t="e">
        <f>VLOOKUP(AS1108,[1]OUTLET!$B:$C,2,0)</f>
        <v>#N/A</v>
      </c>
      <c r="AU1108" s="31"/>
      <c r="AV1108" s="4"/>
      <c r="AW1108" s="44"/>
      <c r="AX1108" s="44"/>
      <c r="AY1108" s="44"/>
      <c r="AZ1108" s="44"/>
      <c r="BA1108" s="44"/>
      <c r="BB1108" s="44"/>
      <c r="BC1108" s="44"/>
      <c r="BD1108" s="44"/>
      <c r="BE1108" s="44"/>
      <c r="BF1108" s="44"/>
      <c r="BG1108" s="44"/>
      <c r="BH1108" s="44"/>
      <c r="BI1108" s="44"/>
      <c r="BJ1108" s="44"/>
      <c r="BK1108" s="44"/>
      <c r="BL1108" s="44"/>
      <c r="BM1108" s="44"/>
      <c r="BN1108" s="44"/>
      <c r="BO1108" s="55"/>
      <c r="BP1108" s="40"/>
      <c r="BQ1108" s="4"/>
      <c r="BR1108" s="61"/>
      <c r="BS1108" s="4"/>
      <c r="BT1108" s="57"/>
      <c r="BU1108" s="62"/>
      <c r="BV1108" s="8"/>
      <c r="BW1108" s="58"/>
    </row>
    <row r="1109" spans="41:75" x14ac:dyDescent="0.35">
      <c r="AO1109" s="39">
        <v>1107</v>
      </c>
      <c r="AP1109" s="62"/>
      <c r="AQ1109" s="39"/>
      <c r="AR1109" s="42" t="str">
        <f>IFERROR(VLOOKUP(AU1109,[1]SUMMARY!$A$3:$B$7,2,FALSE),"")</f>
        <v/>
      </c>
      <c r="AS1109" s="31"/>
      <c r="AT1109" s="31" t="e">
        <f>VLOOKUP(AS1109,[1]OUTLET!$B:$C,2,0)</f>
        <v>#N/A</v>
      </c>
      <c r="AU1109" s="31"/>
      <c r="AV1109" s="4"/>
      <c r="AW1109" s="44"/>
      <c r="AX1109" s="44"/>
      <c r="AY1109" s="44"/>
      <c r="AZ1109" s="44"/>
      <c r="BA1109" s="44"/>
      <c r="BB1109" s="44"/>
      <c r="BC1109" s="44"/>
      <c r="BD1109" s="44"/>
      <c r="BE1109" s="44"/>
      <c r="BF1109" s="44"/>
      <c r="BG1109" s="44"/>
      <c r="BH1109" s="44"/>
      <c r="BI1109" s="44"/>
      <c r="BJ1109" s="44"/>
      <c r="BK1109" s="44"/>
      <c r="BL1109" s="44"/>
      <c r="BM1109" s="44"/>
      <c r="BN1109" s="44"/>
      <c r="BO1109" s="55"/>
      <c r="BP1109" s="40"/>
      <c r="BQ1109" s="4"/>
      <c r="BR1109" s="61"/>
      <c r="BS1109" s="4"/>
      <c r="BT1109" s="57"/>
      <c r="BU1109" s="62"/>
      <c r="BV1109" s="8"/>
      <c r="BW1109" s="58"/>
    </row>
    <row r="1110" spans="41:75" x14ac:dyDescent="0.35">
      <c r="AO1110" s="39">
        <v>1108</v>
      </c>
      <c r="AP1110" s="62"/>
      <c r="AQ1110" s="39"/>
      <c r="AR1110" s="42" t="str">
        <f>IFERROR(VLOOKUP(AU1110,[1]SUMMARY!$A$3:$B$7,2,FALSE),"")</f>
        <v/>
      </c>
      <c r="AS1110" s="31"/>
      <c r="AT1110" s="31" t="e">
        <f>VLOOKUP(AS1110,[1]OUTLET!$B:$C,2,0)</f>
        <v>#N/A</v>
      </c>
      <c r="AU1110" s="31"/>
      <c r="AV1110" s="4"/>
      <c r="AW1110" s="44"/>
      <c r="AX1110" s="44"/>
      <c r="AY1110" s="44"/>
      <c r="AZ1110" s="44"/>
      <c r="BA1110" s="44"/>
      <c r="BB1110" s="44"/>
      <c r="BC1110" s="44"/>
      <c r="BD1110" s="44"/>
      <c r="BE1110" s="44"/>
      <c r="BF1110" s="44"/>
      <c r="BG1110" s="44"/>
      <c r="BH1110" s="44"/>
      <c r="BI1110" s="44"/>
      <c r="BJ1110" s="44"/>
      <c r="BK1110" s="44"/>
      <c r="BL1110" s="44"/>
      <c r="BM1110" s="44"/>
      <c r="BN1110" s="44"/>
      <c r="BO1110" s="55"/>
      <c r="BP1110" s="40"/>
      <c r="BQ1110" s="4"/>
      <c r="BR1110" s="61"/>
      <c r="BS1110" s="4"/>
      <c r="BT1110" s="57"/>
      <c r="BU1110" s="62"/>
      <c r="BV1110" s="8"/>
      <c r="BW1110" s="58"/>
    </row>
    <row r="1111" spans="41:75" x14ac:dyDescent="0.35">
      <c r="AO1111" s="39">
        <v>1109</v>
      </c>
      <c r="AP1111" s="62"/>
      <c r="AQ1111" s="39"/>
      <c r="AR1111" s="42" t="str">
        <f>IFERROR(VLOOKUP(AU1111,[1]SUMMARY!$A$3:$B$7,2,FALSE),"")</f>
        <v/>
      </c>
      <c r="AS1111" s="31"/>
      <c r="AT1111" s="31" t="e">
        <f>VLOOKUP(AS1111,[1]OUTLET!$B:$C,2,0)</f>
        <v>#N/A</v>
      </c>
      <c r="AU1111" s="31"/>
      <c r="AV1111" s="4"/>
      <c r="AW1111" s="44"/>
      <c r="AX1111" s="44"/>
      <c r="AY1111" s="44"/>
      <c r="AZ1111" s="44"/>
      <c r="BA1111" s="44"/>
      <c r="BB1111" s="44"/>
      <c r="BC1111" s="44"/>
      <c r="BD1111" s="44"/>
      <c r="BE1111" s="44"/>
      <c r="BF1111" s="44"/>
      <c r="BG1111" s="44"/>
      <c r="BH1111" s="44"/>
      <c r="BI1111" s="44"/>
      <c r="BJ1111" s="44"/>
      <c r="BK1111" s="44"/>
      <c r="BL1111" s="44"/>
      <c r="BM1111" s="44"/>
      <c r="BN1111" s="44"/>
      <c r="BO1111" s="55"/>
      <c r="BP1111" s="40"/>
      <c r="BQ1111" s="4"/>
      <c r="BR1111" s="61"/>
      <c r="BS1111" s="4"/>
      <c r="BT1111" s="57"/>
      <c r="BU1111" s="62"/>
      <c r="BV1111" s="8"/>
      <c r="BW1111" s="58"/>
    </row>
    <row r="1112" spans="41:75" x14ac:dyDescent="0.35">
      <c r="AO1112" s="39">
        <v>1110</v>
      </c>
      <c r="AP1112" s="62"/>
      <c r="AQ1112" s="39"/>
      <c r="AR1112" s="42" t="str">
        <f>IFERROR(VLOOKUP(AU1112,[1]SUMMARY!$A$3:$B$7,2,FALSE),"")</f>
        <v/>
      </c>
      <c r="AS1112" s="31"/>
      <c r="AT1112" s="31" t="e">
        <f>VLOOKUP(AS1112,[1]OUTLET!$B:$C,2,0)</f>
        <v>#N/A</v>
      </c>
      <c r="AU1112" s="31"/>
      <c r="AV1112" s="4"/>
      <c r="AW1112" s="44"/>
      <c r="AX1112" s="44"/>
      <c r="AY1112" s="44"/>
      <c r="AZ1112" s="44"/>
      <c r="BA1112" s="44"/>
      <c r="BB1112" s="44"/>
      <c r="BC1112" s="44"/>
      <c r="BD1112" s="44"/>
      <c r="BE1112" s="44"/>
      <c r="BF1112" s="44"/>
      <c r="BG1112" s="44"/>
      <c r="BH1112" s="44"/>
      <c r="BI1112" s="44"/>
      <c r="BJ1112" s="44"/>
      <c r="BK1112" s="44"/>
      <c r="BL1112" s="44"/>
      <c r="BM1112" s="44"/>
      <c r="BN1112" s="44"/>
      <c r="BO1112" s="55"/>
      <c r="BP1112" s="40"/>
      <c r="BQ1112" s="4"/>
      <c r="BR1112" s="61"/>
      <c r="BS1112" s="4"/>
      <c r="BT1112" s="57"/>
      <c r="BU1112" s="62"/>
      <c r="BV1112" s="8"/>
      <c r="BW1112" s="58"/>
    </row>
    <row r="1113" spans="41:75" x14ac:dyDescent="0.35">
      <c r="AO1113" s="39">
        <v>1111</v>
      </c>
      <c r="AP1113" s="62"/>
      <c r="AQ1113" s="39"/>
      <c r="AR1113" s="42" t="str">
        <f>IFERROR(VLOOKUP(AU1113,[1]SUMMARY!$A$3:$B$7,2,FALSE),"")</f>
        <v/>
      </c>
      <c r="AS1113" s="31"/>
      <c r="AT1113" s="31" t="e">
        <f>VLOOKUP(AS1113,[1]OUTLET!$B:$C,2,0)</f>
        <v>#N/A</v>
      </c>
      <c r="AU1113" s="31"/>
      <c r="AV1113" s="4"/>
      <c r="AW1113" s="44"/>
      <c r="AX1113" s="44"/>
      <c r="AY1113" s="44"/>
      <c r="AZ1113" s="44"/>
      <c r="BA1113" s="44"/>
      <c r="BB1113" s="44"/>
      <c r="BC1113" s="44"/>
      <c r="BD1113" s="44"/>
      <c r="BE1113" s="44"/>
      <c r="BF1113" s="44"/>
      <c r="BG1113" s="44"/>
      <c r="BH1113" s="44"/>
      <c r="BI1113" s="44"/>
      <c r="BJ1113" s="44"/>
      <c r="BK1113" s="44"/>
      <c r="BL1113" s="44"/>
      <c r="BM1113" s="44"/>
      <c r="BN1113" s="44"/>
      <c r="BO1113" s="55"/>
      <c r="BP1113" s="40"/>
      <c r="BQ1113" s="4"/>
      <c r="BR1113" s="61"/>
      <c r="BS1113" s="4"/>
      <c r="BT1113" s="57"/>
      <c r="BU1113" s="62"/>
      <c r="BV1113" s="8"/>
      <c r="BW1113" s="58"/>
    </row>
    <row r="1114" spans="41:75" x14ac:dyDescent="0.35">
      <c r="AO1114" s="39">
        <v>1112</v>
      </c>
      <c r="AP1114" s="62"/>
      <c r="AQ1114" s="39"/>
      <c r="AR1114" s="42" t="str">
        <f>IFERROR(VLOOKUP(AU1114,[1]SUMMARY!$A$3:$B$7,2,FALSE),"")</f>
        <v/>
      </c>
      <c r="AS1114" s="31"/>
      <c r="AT1114" s="31" t="e">
        <f>VLOOKUP(AS1114,[1]OUTLET!$B:$C,2,0)</f>
        <v>#N/A</v>
      </c>
      <c r="AU1114" s="31"/>
      <c r="AV1114" s="4"/>
      <c r="AW1114" s="44"/>
      <c r="AX1114" s="44"/>
      <c r="AY1114" s="44"/>
      <c r="AZ1114" s="44"/>
      <c r="BA1114" s="44"/>
      <c r="BB1114" s="44"/>
      <c r="BC1114" s="44"/>
      <c r="BD1114" s="44"/>
      <c r="BE1114" s="44"/>
      <c r="BF1114" s="44"/>
      <c r="BG1114" s="44"/>
      <c r="BH1114" s="44"/>
      <c r="BI1114" s="44"/>
      <c r="BJ1114" s="44"/>
      <c r="BK1114" s="44"/>
      <c r="BL1114" s="44"/>
      <c r="BM1114" s="44"/>
      <c r="BN1114" s="44"/>
      <c r="BO1114" s="55"/>
      <c r="BP1114" s="40"/>
      <c r="BQ1114" s="4"/>
      <c r="BR1114" s="61"/>
      <c r="BS1114" s="4"/>
      <c r="BT1114" s="57"/>
      <c r="BU1114" s="62"/>
      <c r="BV1114" s="8"/>
      <c r="BW1114" s="58"/>
    </row>
    <row r="1115" spans="41:75" x14ac:dyDescent="0.35">
      <c r="AO1115" s="39">
        <v>1113</v>
      </c>
      <c r="AP1115" s="62"/>
      <c r="AQ1115" s="39"/>
      <c r="AR1115" s="42" t="str">
        <f>IFERROR(VLOOKUP(AU1115,[1]SUMMARY!$A$3:$B$7,2,FALSE),"")</f>
        <v/>
      </c>
      <c r="AS1115" s="31"/>
      <c r="AT1115" s="31" t="e">
        <f>VLOOKUP(AS1115,[1]OUTLET!$B:$C,2,0)</f>
        <v>#N/A</v>
      </c>
      <c r="AU1115" s="31"/>
      <c r="AV1115" s="4"/>
      <c r="AW1115" s="44"/>
      <c r="AX1115" s="44"/>
      <c r="AY1115" s="44"/>
      <c r="AZ1115" s="44"/>
      <c r="BA1115" s="44"/>
      <c r="BB1115" s="44"/>
      <c r="BC1115" s="44"/>
      <c r="BD1115" s="44"/>
      <c r="BE1115" s="44"/>
      <c r="BF1115" s="44"/>
      <c r="BG1115" s="44"/>
      <c r="BH1115" s="44"/>
      <c r="BI1115" s="44"/>
      <c r="BJ1115" s="44"/>
      <c r="BK1115" s="44"/>
      <c r="BL1115" s="44"/>
      <c r="BM1115" s="44"/>
      <c r="BN1115" s="44"/>
      <c r="BO1115" s="55"/>
      <c r="BP1115" s="40"/>
      <c r="BQ1115" s="4"/>
      <c r="BR1115" s="61"/>
      <c r="BS1115" s="4"/>
      <c r="BT1115" s="57"/>
      <c r="BU1115" s="62"/>
      <c r="BV1115" s="8"/>
      <c r="BW1115" s="58"/>
    </row>
    <row r="1116" spans="41:75" x14ac:dyDescent="0.35">
      <c r="AO1116" s="39">
        <v>1114</v>
      </c>
      <c r="AP1116" s="62"/>
      <c r="AQ1116" s="39"/>
      <c r="AR1116" s="42" t="str">
        <f>IFERROR(VLOOKUP(AU1116,[1]SUMMARY!$A$3:$B$7,2,FALSE),"")</f>
        <v/>
      </c>
      <c r="AS1116" s="31"/>
      <c r="AT1116" s="31" t="e">
        <f>VLOOKUP(AS1116,[1]OUTLET!$B:$C,2,0)</f>
        <v>#N/A</v>
      </c>
      <c r="AU1116" s="31"/>
      <c r="AV1116" s="4"/>
      <c r="AW1116" s="44"/>
      <c r="AX1116" s="44"/>
      <c r="AY1116" s="44"/>
      <c r="AZ1116" s="44"/>
      <c r="BA1116" s="44"/>
      <c r="BB1116" s="44"/>
      <c r="BC1116" s="44"/>
      <c r="BD1116" s="44"/>
      <c r="BE1116" s="44"/>
      <c r="BF1116" s="44"/>
      <c r="BG1116" s="44"/>
      <c r="BH1116" s="44"/>
      <c r="BI1116" s="44"/>
      <c r="BJ1116" s="44"/>
      <c r="BK1116" s="44"/>
      <c r="BL1116" s="44"/>
      <c r="BM1116" s="44"/>
      <c r="BN1116" s="44"/>
      <c r="BO1116" s="55"/>
      <c r="BP1116" s="40"/>
      <c r="BQ1116" s="4"/>
      <c r="BR1116" s="61"/>
      <c r="BS1116" s="4"/>
      <c r="BT1116" s="57"/>
      <c r="BU1116" s="62"/>
      <c r="BV1116" s="8"/>
      <c r="BW1116" s="58"/>
    </row>
    <row r="1117" spans="41:75" x14ac:dyDescent="0.35">
      <c r="AO1117" s="39">
        <v>1115</v>
      </c>
      <c r="AP1117" s="62"/>
      <c r="AQ1117" s="39"/>
      <c r="AR1117" s="42" t="str">
        <f>IFERROR(VLOOKUP(AU1117,[1]SUMMARY!$A$3:$B$7,2,FALSE),"")</f>
        <v/>
      </c>
      <c r="AS1117" s="31"/>
      <c r="AT1117" s="31" t="e">
        <f>VLOOKUP(AS1117,[1]OUTLET!$B:$C,2,0)</f>
        <v>#N/A</v>
      </c>
      <c r="AU1117" s="31"/>
      <c r="AV1117" s="4"/>
      <c r="AW1117" s="44"/>
      <c r="AX1117" s="44"/>
      <c r="AY1117" s="44"/>
      <c r="AZ1117" s="44"/>
      <c r="BA1117" s="44"/>
      <c r="BB1117" s="44"/>
      <c r="BC1117" s="44"/>
      <c r="BD1117" s="44"/>
      <c r="BE1117" s="44"/>
      <c r="BF1117" s="44"/>
      <c r="BG1117" s="44"/>
      <c r="BH1117" s="44"/>
      <c r="BI1117" s="44"/>
      <c r="BJ1117" s="44"/>
      <c r="BK1117" s="44"/>
      <c r="BL1117" s="44"/>
      <c r="BM1117" s="44"/>
      <c r="BN1117" s="44"/>
      <c r="BO1117" s="55"/>
      <c r="BP1117" s="40"/>
      <c r="BQ1117" s="4"/>
      <c r="BR1117" s="61"/>
      <c r="BS1117" s="4"/>
      <c r="BT1117" s="57"/>
      <c r="BU1117" s="62"/>
      <c r="BV1117" s="8"/>
      <c r="BW1117" s="58"/>
    </row>
    <row r="1118" spans="41:75" x14ac:dyDescent="0.35">
      <c r="AO1118" s="39">
        <v>1116</v>
      </c>
      <c r="AP1118" s="62"/>
      <c r="AQ1118" s="39"/>
      <c r="AR1118" s="42" t="str">
        <f>IFERROR(VLOOKUP(AU1118,[1]SUMMARY!$A$3:$B$7,2,FALSE),"")</f>
        <v/>
      </c>
      <c r="AS1118" s="31"/>
      <c r="AT1118" s="31" t="e">
        <f>VLOOKUP(AS1118,[1]OUTLET!$B:$C,2,0)</f>
        <v>#N/A</v>
      </c>
      <c r="AU1118" s="31"/>
      <c r="AV1118" s="4"/>
      <c r="AW1118" s="44"/>
      <c r="AX1118" s="44"/>
      <c r="AY1118" s="44"/>
      <c r="AZ1118" s="44"/>
      <c r="BA1118" s="44"/>
      <c r="BB1118" s="44"/>
      <c r="BC1118" s="44"/>
      <c r="BD1118" s="44"/>
      <c r="BE1118" s="44"/>
      <c r="BF1118" s="44"/>
      <c r="BG1118" s="44"/>
      <c r="BH1118" s="44"/>
      <c r="BI1118" s="44"/>
      <c r="BJ1118" s="44"/>
      <c r="BK1118" s="44"/>
      <c r="BL1118" s="44"/>
      <c r="BM1118" s="44"/>
      <c r="BN1118" s="44"/>
      <c r="BO1118" s="55"/>
      <c r="BP1118" s="40"/>
      <c r="BQ1118" s="4"/>
      <c r="BR1118" s="61"/>
      <c r="BS1118" s="4"/>
      <c r="BT1118" s="57"/>
      <c r="BU1118" s="62"/>
      <c r="BV1118" s="8"/>
      <c r="BW1118" s="58"/>
    </row>
    <row r="1119" spans="41:75" x14ac:dyDescent="0.35">
      <c r="AO1119" s="39">
        <v>1117</v>
      </c>
      <c r="AP1119" s="62"/>
      <c r="AQ1119" s="39"/>
      <c r="AR1119" s="42" t="str">
        <f>IFERROR(VLOOKUP(AU1119,[1]SUMMARY!$A$3:$B$7,2,FALSE),"")</f>
        <v/>
      </c>
      <c r="AS1119" s="31"/>
      <c r="AT1119" s="31" t="e">
        <f>VLOOKUP(AS1119,[1]OUTLET!$B:$C,2,0)</f>
        <v>#N/A</v>
      </c>
      <c r="AU1119" s="31"/>
      <c r="AV1119" s="4"/>
      <c r="AW1119" s="44"/>
      <c r="AX1119" s="44"/>
      <c r="AY1119" s="44"/>
      <c r="AZ1119" s="44"/>
      <c r="BA1119" s="44"/>
      <c r="BB1119" s="44"/>
      <c r="BC1119" s="44"/>
      <c r="BD1119" s="44"/>
      <c r="BE1119" s="44"/>
      <c r="BF1119" s="44"/>
      <c r="BG1119" s="44"/>
      <c r="BH1119" s="44"/>
      <c r="BI1119" s="44"/>
      <c r="BJ1119" s="44"/>
      <c r="BK1119" s="44"/>
      <c r="BL1119" s="44"/>
      <c r="BM1119" s="44"/>
      <c r="BN1119" s="44"/>
      <c r="BO1119" s="55"/>
      <c r="BP1119" s="40"/>
      <c r="BQ1119" s="4"/>
      <c r="BR1119" s="61"/>
      <c r="BS1119" s="4"/>
      <c r="BT1119" s="57"/>
      <c r="BU1119" s="62"/>
      <c r="BV1119" s="8"/>
      <c r="BW1119" s="58"/>
    </row>
    <row r="1120" spans="41:75" x14ac:dyDescent="0.35">
      <c r="AO1120" s="39">
        <v>1118</v>
      </c>
      <c r="AP1120" s="62"/>
      <c r="AQ1120" s="39"/>
      <c r="AR1120" s="42" t="str">
        <f>IFERROR(VLOOKUP(AU1120,[1]SUMMARY!$A$3:$B$7,2,FALSE),"")</f>
        <v/>
      </c>
      <c r="AS1120" s="31"/>
      <c r="AT1120" s="31" t="e">
        <f>VLOOKUP(AS1120,[1]OUTLET!$B:$C,2,0)</f>
        <v>#N/A</v>
      </c>
      <c r="AU1120" s="31"/>
      <c r="AV1120" s="4"/>
      <c r="AW1120" s="44"/>
      <c r="AX1120" s="44"/>
      <c r="AY1120" s="44"/>
      <c r="AZ1120" s="44"/>
      <c r="BA1120" s="44"/>
      <c r="BB1120" s="44"/>
      <c r="BC1120" s="44"/>
      <c r="BD1120" s="44"/>
      <c r="BE1120" s="44"/>
      <c r="BF1120" s="44"/>
      <c r="BG1120" s="44"/>
      <c r="BH1120" s="44"/>
      <c r="BI1120" s="44"/>
      <c r="BJ1120" s="44"/>
      <c r="BK1120" s="44"/>
      <c r="BL1120" s="44"/>
      <c r="BM1120" s="44"/>
      <c r="BN1120" s="44"/>
      <c r="BO1120" s="55"/>
      <c r="BP1120" s="40"/>
      <c r="BQ1120" s="4"/>
      <c r="BR1120" s="61"/>
      <c r="BS1120" s="4"/>
      <c r="BT1120" s="57"/>
      <c r="BU1120" s="62"/>
      <c r="BV1120" s="8"/>
      <c r="BW1120" s="58"/>
    </row>
    <row r="1121" spans="41:75" x14ac:dyDescent="0.35">
      <c r="AO1121" s="39">
        <v>1119</v>
      </c>
      <c r="AP1121" s="62"/>
      <c r="AQ1121" s="39"/>
      <c r="AR1121" s="42" t="str">
        <f>IFERROR(VLOOKUP(AU1121,[1]SUMMARY!$A$3:$B$7,2,FALSE),"")</f>
        <v/>
      </c>
      <c r="AS1121" s="31"/>
      <c r="AT1121" s="31" t="e">
        <f>VLOOKUP(AS1121,[1]OUTLET!$B:$C,2,0)</f>
        <v>#N/A</v>
      </c>
      <c r="AU1121" s="31"/>
      <c r="AV1121" s="4"/>
      <c r="AW1121" s="44"/>
      <c r="AX1121" s="44"/>
      <c r="AY1121" s="44"/>
      <c r="AZ1121" s="44"/>
      <c r="BA1121" s="44"/>
      <c r="BB1121" s="44"/>
      <c r="BC1121" s="44"/>
      <c r="BD1121" s="44"/>
      <c r="BE1121" s="44"/>
      <c r="BF1121" s="44"/>
      <c r="BG1121" s="44"/>
      <c r="BH1121" s="44"/>
      <c r="BI1121" s="44"/>
      <c r="BJ1121" s="44"/>
      <c r="BK1121" s="44"/>
      <c r="BL1121" s="44"/>
      <c r="BM1121" s="44"/>
      <c r="BN1121" s="44"/>
      <c r="BO1121" s="55"/>
      <c r="BP1121" s="40"/>
      <c r="BQ1121" s="4"/>
      <c r="BR1121" s="61"/>
      <c r="BS1121" s="4"/>
      <c r="BT1121" s="57"/>
      <c r="BU1121" s="62"/>
      <c r="BV1121" s="8"/>
      <c r="BW1121" s="58"/>
    </row>
    <row r="1122" spans="41:75" x14ac:dyDescent="0.35">
      <c r="AO1122" s="39">
        <v>1120</v>
      </c>
      <c r="AP1122" s="62"/>
      <c r="AQ1122" s="39"/>
      <c r="AR1122" s="42" t="str">
        <f>IFERROR(VLOOKUP(AU1122,[1]SUMMARY!$A$3:$B$7,2,FALSE),"")</f>
        <v/>
      </c>
      <c r="AS1122" s="31"/>
      <c r="AT1122" s="31" t="e">
        <f>VLOOKUP(AS1122,[1]OUTLET!$B:$C,2,0)</f>
        <v>#N/A</v>
      </c>
      <c r="AU1122" s="31"/>
      <c r="AV1122" s="4"/>
      <c r="AW1122" s="44"/>
      <c r="AX1122" s="44"/>
      <c r="AY1122" s="44"/>
      <c r="AZ1122" s="44"/>
      <c r="BA1122" s="44"/>
      <c r="BB1122" s="44"/>
      <c r="BC1122" s="44"/>
      <c r="BD1122" s="44"/>
      <c r="BE1122" s="44"/>
      <c r="BF1122" s="44"/>
      <c r="BG1122" s="44"/>
      <c r="BH1122" s="44"/>
      <c r="BI1122" s="44"/>
      <c r="BJ1122" s="44"/>
      <c r="BK1122" s="44"/>
      <c r="BL1122" s="44"/>
      <c r="BM1122" s="44"/>
      <c r="BN1122" s="44"/>
      <c r="BO1122" s="55"/>
      <c r="BP1122" s="40"/>
      <c r="BQ1122" s="4"/>
      <c r="BR1122" s="61"/>
      <c r="BS1122" s="4"/>
      <c r="BT1122" s="57"/>
      <c r="BU1122" s="62"/>
      <c r="BV1122" s="8"/>
      <c r="BW1122" s="58"/>
    </row>
    <row r="1123" spans="41:75" x14ac:dyDescent="0.35">
      <c r="AO1123" s="39">
        <v>1121</v>
      </c>
      <c r="AP1123" s="62"/>
      <c r="AQ1123" s="39"/>
      <c r="AR1123" s="42" t="str">
        <f>IFERROR(VLOOKUP(AU1123,[1]SUMMARY!$A$3:$B$7,2,FALSE),"")</f>
        <v/>
      </c>
      <c r="AS1123" s="31"/>
      <c r="AT1123" s="31" t="e">
        <f>VLOOKUP(AS1123,[1]OUTLET!$B:$C,2,0)</f>
        <v>#N/A</v>
      </c>
      <c r="AU1123" s="31"/>
      <c r="AV1123" s="4"/>
      <c r="AW1123" s="44"/>
      <c r="AX1123" s="44"/>
      <c r="AY1123" s="44"/>
      <c r="AZ1123" s="44"/>
      <c r="BA1123" s="44"/>
      <c r="BB1123" s="44"/>
      <c r="BC1123" s="44"/>
      <c r="BD1123" s="44"/>
      <c r="BE1123" s="44"/>
      <c r="BF1123" s="44"/>
      <c r="BG1123" s="44"/>
      <c r="BH1123" s="44"/>
      <c r="BI1123" s="44"/>
      <c r="BJ1123" s="44"/>
      <c r="BK1123" s="44"/>
      <c r="BL1123" s="44"/>
      <c r="BM1123" s="44"/>
      <c r="BN1123" s="44"/>
      <c r="BO1123" s="55"/>
      <c r="BP1123" s="40"/>
      <c r="BQ1123" s="4"/>
      <c r="BR1123" s="61"/>
      <c r="BS1123" s="4"/>
      <c r="BT1123" s="57"/>
      <c r="BU1123" s="62"/>
      <c r="BV1123" s="8"/>
      <c r="BW1123" s="58"/>
    </row>
    <row r="1124" spans="41:75" x14ac:dyDescent="0.35">
      <c r="AO1124" s="39">
        <v>1122</v>
      </c>
      <c r="AP1124" s="62"/>
      <c r="AQ1124" s="39"/>
      <c r="AR1124" s="42" t="str">
        <f>IFERROR(VLOOKUP(AU1124,[1]SUMMARY!$A$3:$B$7,2,FALSE),"")</f>
        <v/>
      </c>
      <c r="AS1124" s="31"/>
      <c r="AT1124" s="31" t="e">
        <f>VLOOKUP(AS1124,[1]OUTLET!$B:$C,2,0)</f>
        <v>#N/A</v>
      </c>
      <c r="AU1124" s="31"/>
      <c r="AV1124" s="4"/>
      <c r="AW1124" s="44"/>
      <c r="AX1124" s="44"/>
      <c r="AY1124" s="44"/>
      <c r="AZ1124" s="44"/>
      <c r="BA1124" s="44"/>
      <c r="BB1124" s="44"/>
      <c r="BC1124" s="44"/>
      <c r="BD1124" s="44"/>
      <c r="BE1124" s="44"/>
      <c r="BF1124" s="44"/>
      <c r="BG1124" s="44"/>
      <c r="BH1124" s="44"/>
      <c r="BI1124" s="44"/>
      <c r="BJ1124" s="44"/>
      <c r="BK1124" s="44"/>
      <c r="BL1124" s="44"/>
      <c r="BM1124" s="44"/>
      <c r="BN1124" s="44"/>
      <c r="BO1124" s="55"/>
      <c r="BP1124" s="40"/>
      <c r="BQ1124" s="4"/>
      <c r="BR1124" s="61"/>
      <c r="BS1124" s="4"/>
      <c r="BT1124" s="57"/>
      <c r="BU1124" s="62"/>
      <c r="BV1124" s="8"/>
      <c r="BW1124" s="58"/>
    </row>
    <row r="1125" spans="41:75" x14ac:dyDescent="0.35">
      <c r="AO1125" s="39">
        <v>1123</v>
      </c>
      <c r="AP1125" s="62"/>
      <c r="AQ1125" s="39"/>
      <c r="AR1125" s="42" t="str">
        <f>IFERROR(VLOOKUP(AU1125,[1]SUMMARY!$A$3:$B$7,2,FALSE),"")</f>
        <v/>
      </c>
      <c r="AS1125" s="31"/>
      <c r="AT1125" s="31" t="e">
        <f>VLOOKUP(AS1125,[1]OUTLET!$B:$C,2,0)</f>
        <v>#N/A</v>
      </c>
      <c r="AU1125" s="31"/>
      <c r="AV1125" s="4"/>
      <c r="AW1125" s="44"/>
      <c r="AX1125" s="44"/>
      <c r="AY1125" s="44"/>
      <c r="AZ1125" s="44"/>
      <c r="BA1125" s="44"/>
      <c r="BB1125" s="44"/>
      <c r="BC1125" s="44"/>
      <c r="BD1125" s="44"/>
      <c r="BE1125" s="44"/>
      <c r="BF1125" s="44"/>
      <c r="BG1125" s="44"/>
      <c r="BH1125" s="44"/>
      <c r="BI1125" s="44"/>
      <c r="BJ1125" s="44"/>
      <c r="BK1125" s="44"/>
      <c r="BL1125" s="44"/>
      <c r="BM1125" s="44"/>
      <c r="BN1125" s="44"/>
      <c r="BO1125" s="55"/>
      <c r="BP1125" s="40"/>
      <c r="BQ1125" s="4"/>
      <c r="BR1125" s="61"/>
      <c r="BS1125" s="4"/>
      <c r="BT1125" s="57"/>
      <c r="BU1125" s="62"/>
      <c r="BV1125" s="8"/>
      <c r="BW1125" s="58"/>
    </row>
    <row r="1126" spans="41:75" x14ac:dyDescent="0.35">
      <c r="AO1126" s="39">
        <v>1124</v>
      </c>
      <c r="AP1126" s="62"/>
      <c r="AQ1126" s="39"/>
      <c r="AR1126" s="42" t="str">
        <f>IFERROR(VLOOKUP(AU1126,[1]SUMMARY!$A$3:$B$7,2,FALSE),"")</f>
        <v/>
      </c>
      <c r="AS1126" s="31"/>
      <c r="AT1126" s="31" t="e">
        <f>VLOOKUP(AS1126,[1]OUTLET!$B:$C,2,0)</f>
        <v>#N/A</v>
      </c>
      <c r="AU1126" s="31"/>
      <c r="AV1126" s="4"/>
      <c r="AW1126" s="44"/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44"/>
      <c r="BJ1126" s="44"/>
      <c r="BK1126" s="44"/>
      <c r="BL1126" s="44"/>
      <c r="BM1126" s="44"/>
      <c r="BN1126" s="44"/>
      <c r="BO1126" s="55"/>
      <c r="BP1126" s="40"/>
      <c r="BQ1126" s="4"/>
      <c r="BR1126" s="61"/>
      <c r="BS1126" s="4"/>
      <c r="BT1126" s="57"/>
      <c r="BU1126" s="62"/>
      <c r="BV1126" s="8"/>
      <c r="BW1126" s="58"/>
    </row>
    <row r="1127" spans="41:75" x14ac:dyDescent="0.35">
      <c r="AO1127" s="39">
        <v>1125</v>
      </c>
      <c r="AP1127" s="62"/>
      <c r="AQ1127" s="39"/>
      <c r="AR1127" s="42" t="str">
        <f>IFERROR(VLOOKUP(AU1127,[1]SUMMARY!$A$3:$B$7,2,FALSE),"")</f>
        <v/>
      </c>
      <c r="AS1127" s="31"/>
      <c r="AT1127" s="31" t="e">
        <f>VLOOKUP(AS1127,[1]OUTLET!$B:$C,2,0)</f>
        <v>#N/A</v>
      </c>
      <c r="AU1127" s="31"/>
      <c r="AV1127" s="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44"/>
      <c r="BJ1127" s="44"/>
      <c r="BK1127" s="44"/>
      <c r="BL1127" s="44"/>
      <c r="BM1127" s="44"/>
      <c r="BN1127" s="44"/>
      <c r="BO1127" s="55"/>
      <c r="BP1127" s="40"/>
      <c r="BQ1127" s="4"/>
      <c r="BR1127" s="61"/>
      <c r="BS1127" s="4"/>
      <c r="BT1127" s="57"/>
      <c r="BU1127" s="62"/>
      <c r="BV1127" s="8"/>
      <c r="BW1127" s="58"/>
    </row>
    <row r="1128" spans="41:75" x14ac:dyDescent="0.35">
      <c r="AO1128" s="39">
        <v>1126</v>
      </c>
      <c r="AP1128" s="62"/>
      <c r="AQ1128" s="39"/>
      <c r="AR1128" s="42" t="str">
        <f>IFERROR(VLOOKUP(AU1128,[1]SUMMARY!$A$3:$B$7,2,FALSE),"")</f>
        <v/>
      </c>
      <c r="AS1128" s="31"/>
      <c r="AT1128" s="31" t="e">
        <f>VLOOKUP(AS1128,[1]OUTLET!$B:$C,2,0)</f>
        <v>#N/A</v>
      </c>
      <c r="AU1128" s="31"/>
      <c r="AV1128" s="4"/>
      <c r="AW1128" s="44"/>
      <c r="AX1128" s="44"/>
      <c r="AY1128" s="44"/>
      <c r="AZ1128" s="44"/>
      <c r="BA1128" s="44"/>
      <c r="BB1128" s="44"/>
      <c r="BC1128" s="44"/>
      <c r="BD1128" s="44"/>
      <c r="BE1128" s="44"/>
      <c r="BF1128" s="44"/>
      <c r="BG1128" s="44"/>
      <c r="BH1128" s="44"/>
      <c r="BI1128" s="44"/>
      <c r="BJ1128" s="44"/>
      <c r="BK1128" s="44"/>
      <c r="BL1128" s="44"/>
      <c r="BM1128" s="44"/>
      <c r="BN1128" s="44"/>
      <c r="BO1128" s="55"/>
      <c r="BP1128" s="40"/>
      <c r="BQ1128" s="4"/>
      <c r="BR1128" s="61"/>
      <c r="BS1128" s="4"/>
      <c r="BT1128" s="57"/>
      <c r="BU1128" s="62"/>
      <c r="BV1128" s="8"/>
      <c r="BW1128" s="58"/>
    </row>
    <row r="1129" spans="41:75" x14ac:dyDescent="0.35">
      <c r="AO1129" s="39">
        <v>1127</v>
      </c>
      <c r="AP1129" s="62"/>
      <c r="AQ1129" s="39"/>
      <c r="AR1129" s="42" t="str">
        <f>IFERROR(VLOOKUP(AU1129,[1]SUMMARY!$A$3:$B$7,2,FALSE),"")</f>
        <v/>
      </c>
      <c r="AS1129" s="31"/>
      <c r="AT1129" s="31" t="e">
        <f>VLOOKUP(AS1129,[1]OUTLET!$B:$C,2,0)</f>
        <v>#N/A</v>
      </c>
      <c r="AU1129" s="31"/>
      <c r="AV1129" s="4"/>
      <c r="AW1129" s="44"/>
      <c r="AX1129" s="44"/>
      <c r="AY1129" s="44"/>
      <c r="AZ1129" s="44"/>
      <c r="BA1129" s="44"/>
      <c r="BB1129" s="44"/>
      <c r="BC1129" s="44"/>
      <c r="BD1129" s="44"/>
      <c r="BE1129" s="44"/>
      <c r="BF1129" s="44"/>
      <c r="BG1129" s="44"/>
      <c r="BH1129" s="44"/>
      <c r="BI1129" s="44"/>
      <c r="BJ1129" s="44"/>
      <c r="BK1129" s="44"/>
      <c r="BL1129" s="44"/>
      <c r="BM1129" s="44"/>
      <c r="BN1129" s="44"/>
      <c r="BO1129" s="55"/>
      <c r="BP1129" s="40"/>
      <c r="BQ1129" s="4"/>
      <c r="BR1129" s="61"/>
      <c r="BS1129" s="4"/>
      <c r="BT1129" s="57"/>
      <c r="BU1129" s="62"/>
      <c r="BV1129" s="8"/>
      <c r="BW1129" s="58"/>
    </row>
    <row r="1130" spans="41:75" x14ac:dyDescent="0.35">
      <c r="AO1130" s="39">
        <v>1128</v>
      </c>
      <c r="AP1130" s="62"/>
      <c r="AQ1130" s="39"/>
      <c r="AR1130" s="42" t="str">
        <f>IFERROR(VLOOKUP(AU1130,[1]SUMMARY!$A$3:$B$7,2,FALSE),"")</f>
        <v/>
      </c>
      <c r="AS1130" s="31"/>
      <c r="AT1130" s="31" t="e">
        <f>VLOOKUP(AS1130,[1]OUTLET!$B:$C,2,0)</f>
        <v>#N/A</v>
      </c>
      <c r="AU1130" s="31"/>
      <c r="AV1130" s="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55"/>
      <c r="BP1130" s="40"/>
      <c r="BQ1130" s="4"/>
      <c r="BR1130" s="61"/>
      <c r="BS1130" s="4"/>
      <c r="BT1130" s="57"/>
      <c r="BU1130" s="62"/>
      <c r="BV1130" s="8"/>
      <c r="BW1130" s="58"/>
    </row>
    <row r="1131" spans="41:75" x14ac:dyDescent="0.35">
      <c r="AO1131" s="39">
        <v>1129</v>
      </c>
      <c r="AP1131" s="62"/>
      <c r="AQ1131" s="39"/>
      <c r="AR1131" s="42" t="str">
        <f>IFERROR(VLOOKUP(AU1131,[1]SUMMARY!$A$3:$B$7,2,FALSE),"")</f>
        <v/>
      </c>
      <c r="AS1131" s="31"/>
      <c r="AT1131" s="31" t="e">
        <f>VLOOKUP(AS1131,[1]OUTLET!$B:$C,2,0)</f>
        <v>#N/A</v>
      </c>
      <c r="AU1131" s="31"/>
      <c r="AV1131" s="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55"/>
      <c r="BP1131" s="40"/>
      <c r="BQ1131" s="4"/>
      <c r="BR1131" s="61"/>
      <c r="BS1131" s="4"/>
      <c r="BT1131" s="57"/>
      <c r="BU1131" s="62"/>
      <c r="BV1131" s="8"/>
      <c r="BW1131" s="58"/>
    </row>
    <row r="1132" spans="41:75" x14ac:dyDescent="0.35">
      <c r="AO1132" s="39">
        <v>1130</v>
      </c>
      <c r="AP1132" s="62"/>
      <c r="AQ1132" s="39"/>
      <c r="AR1132" s="42" t="str">
        <f>IFERROR(VLOOKUP(AU1132,[1]SUMMARY!$A$3:$B$7,2,FALSE),"")</f>
        <v/>
      </c>
      <c r="AS1132" s="31"/>
      <c r="AT1132" s="31" t="e">
        <f>VLOOKUP(AS1132,[1]OUTLET!$B:$C,2,0)</f>
        <v>#N/A</v>
      </c>
      <c r="AU1132" s="31"/>
      <c r="AV1132" s="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55"/>
      <c r="BP1132" s="40"/>
      <c r="BQ1132" s="4"/>
      <c r="BR1132" s="61"/>
      <c r="BS1132" s="4"/>
      <c r="BT1132" s="57"/>
      <c r="BU1132" s="62"/>
      <c r="BV1132" s="8"/>
      <c r="BW1132" s="58"/>
    </row>
    <row r="1133" spans="41:75" x14ac:dyDescent="0.35">
      <c r="AO1133" s="39">
        <v>1131</v>
      </c>
      <c r="AP1133" s="62"/>
      <c r="AQ1133" s="39"/>
      <c r="AR1133" s="42" t="str">
        <f>IFERROR(VLOOKUP(AU1133,[1]SUMMARY!$A$3:$B$7,2,FALSE),"")</f>
        <v/>
      </c>
      <c r="AS1133" s="31"/>
      <c r="AT1133" s="31" t="e">
        <f>VLOOKUP(AS1133,[1]OUTLET!$B:$C,2,0)</f>
        <v>#N/A</v>
      </c>
      <c r="AU1133" s="31"/>
      <c r="AV1133" s="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55"/>
      <c r="BP1133" s="40"/>
      <c r="BQ1133" s="4"/>
      <c r="BR1133" s="61"/>
      <c r="BS1133" s="4"/>
      <c r="BT1133" s="57"/>
      <c r="BU1133" s="62"/>
      <c r="BV1133" s="8"/>
      <c r="BW1133" s="58"/>
    </row>
    <row r="1134" spans="41:75" x14ac:dyDescent="0.35">
      <c r="AO1134" s="39">
        <v>1132</v>
      </c>
      <c r="AP1134" s="62"/>
      <c r="AQ1134" s="39"/>
      <c r="AR1134" s="42" t="str">
        <f>IFERROR(VLOOKUP(AU1134,[1]SUMMARY!$A$3:$B$7,2,FALSE),"")</f>
        <v/>
      </c>
      <c r="AS1134" s="31"/>
      <c r="AT1134" s="31" t="e">
        <f>VLOOKUP(AS1134,[1]OUTLET!$B:$C,2,0)</f>
        <v>#N/A</v>
      </c>
      <c r="AU1134" s="31"/>
      <c r="AV1134" s="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55"/>
      <c r="BP1134" s="40"/>
      <c r="BQ1134" s="4"/>
      <c r="BR1134" s="61"/>
      <c r="BS1134" s="4"/>
      <c r="BT1134" s="57"/>
      <c r="BU1134" s="62"/>
      <c r="BV1134" s="8"/>
      <c r="BW1134" s="58"/>
    </row>
    <row r="1135" spans="41:75" x14ac:dyDescent="0.35">
      <c r="AO1135" s="39">
        <v>1133</v>
      </c>
      <c r="AP1135" s="62"/>
      <c r="AQ1135" s="39"/>
      <c r="AR1135" s="42" t="str">
        <f>IFERROR(VLOOKUP(AU1135,[1]SUMMARY!$A$3:$B$7,2,FALSE),"")</f>
        <v/>
      </c>
      <c r="AS1135" s="31"/>
      <c r="AT1135" s="31" t="e">
        <f>VLOOKUP(AS1135,[1]OUTLET!$B:$C,2,0)</f>
        <v>#N/A</v>
      </c>
      <c r="AU1135" s="31"/>
      <c r="AV1135" s="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55"/>
      <c r="BP1135" s="40"/>
      <c r="BQ1135" s="4"/>
      <c r="BR1135" s="61"/>
      <c r="BS1135" s="4"/>
      <c r="BT1135" s="57"/>
      <c r="BU1135" s="62"/>
      <c r="BV1135" s="8"/>
      <c r="BW1135" s="58"/>
    </row>
    <row r="1136" spans="41:75" x14ac:dyDescent="0.35">
      <c r="AO1136" s="39">
        <v>1134</v>
      </c>
      <c r="AP1136" s="62"/>
      <c r="AQ1136" s="39"/>
      <c r="AR1136" s="42" t="str">
        <f>IFERROR(VLOOKUP(AU1136,[1]SUMMARY!$A$3:$B$7,2,FALSE),"")</f>
        <v/>
      </c>
      <c r="AS1136" s="31"/>
      <c r="AT1136" s="31" t="e">
        <f>VLOOKUP(AS1136,[1]OUTLET!$B:$C,2,0)</f>
        <v>#N/A</v>
      </c>
      <c r="AU1136" s="31"/>
      <c r="AV1136" s="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55"/>
      <c r="BP1136" s="40"/>
      <c r="BQ1136" s="4"/>
      <c r="BR1136" s="61"/>
      <c r="BS1136" s="4"/>
      <c r="BT1136" s="57"/>
      <c r="BU1136" s="62"/>
      <c r="BV1136" s="8"/>
      <c r="BW1136" s="58"/>
    </row>
    <row r="1137" spans="41:75" x14ac:dyDescent="0.35">
      <c r="AO1137" s="39">
        <v>1135</v>
      </c>
      <c r="AP1137" s="62"/>
      <c r="AQ1137" s="39"/>
      <c r="AR1137" s="42" t="str">
        <f>IFERROR(VLOOKUP(AU1137,[1]SUMMARY!$A$3:$B$7,2,FALSE),"")</f>
        <v/>
      </c>
      <c r="AS1137" s="31"/>
      <c r="AT1137" s="31" t="e">
        <f>VLOOKUP(AS1137,[1]OUTLET!$B:$C,2,0)</f>
        <v>#N/A</v>
      </c>
      <c r="AU1137" s="31"/>
      <c r="AV1137" s="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55"/>
      <c r="BP1137" s="40"/>
      <c r="BQ1137" s="4"/>
      <c r="BR1137" s="61"/>
      <c r="BS1137" s="4"/>
      <c r="BT1137" s="57"/>
      <c r="BU1137" s="62"/>
      <c r="BV1137" s="8"/>
      <c r="BW1137" s="58"/>
    </row>
    <row r="1138" spans="41:75" x14ac:dyDescent="0.35">
      <c r="AO1138" s="39">
        <v>1136</v>
      </c>
      <c r="AP1138" s="62"/>
      <c r="AQ1138" s="39"/>
      <c r="AR1138" s="42" t="str">
        <f>IFERROR(VLOOKUP(AU1138,[1]SUMMARY!$A$3:$B$7,2,FALSE),"")</f>
        <v/>
      </c>
      <c r="AS1138" s="31"/>
      <c r="AT1138" s="31" t="e">
        <f>VLOOKUP(AS1138,[1]OUTLET!$B:$C,2,0)</f>
        <v>#N/A</v>
      </c>
      <c r="AU1138" s="31"/>
      <c r="AV1138" s="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55"/>
      <c r="BP1138" s="40"/>
      <c r="BQ1138" s="4"/>
      <c r="BR1138" s="61"/>
      <c r="BS1138" s="4"/>
      <c r="BT1138" s="57"/>
      <c r="BU1138" s="62"/>
      <c r="BV1138" s="8"/>
      <c r="BW1138" s="58"/>
    </row>
    <row r="1139" spans="41:75" x14ac:dyDescent="0.35">
      <c r="AO1139" s="39">
        <v>1137</v>
      </c>
      <c r="AP1139" s="62"/>
      <c r="AQ1139" s="39"/>
      <c r="AR1139" s="42" t="str">
        <f>IFERROR(VLOOKUP(AU1139,[1]SUMMARY!$A$3:$B$7,2,FALSE),"")</f>
        <v/>
      </c>
      <c r="AS1139" s="31"/>
      <c r="AT1139" s="31" t="e">
        <f>VLOOKUP(AS1139,[1]OUTLET!$B:$C,2,0)</f>
        <v>#N/A</v>
      </c>
      <c r="AU1139" s="31"/>
      <c r="AV1139" s="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55"/>
      <c r="BP1139" s="40"/>
      <c r="BQ1139" s="4"/>
      <c r="BR1139" s="61"/>
      <c r="BS1139" s="4"/>
      <c r="BT1139" s="57"/>
      <c r="BU1139" s="62"/>
      <c r="BV1139" s="8"/>
      <c r="BW1139" s="58"/>
    </row>
    <row r="1140" spans="41:75" x14ac:dyDescent="0.35">
      <c r="AO1140" s="39">
        <v>1138</v>
      </c>
      <c r="AP1140" s="62"/>
      <c r="AQ1140" s="39"/>
      <c r="AR1140" s="42" t="str">
        <f>IFERROR(VLOOKUP(AU1140,[1]SUMMARY!$A$3:$B$7,2,FALSE),"")</f>
        <v/>
      </c>
      <c r="AS1140" s="31"/>
      <c r="AT1140" s="31" t="e">
        <f>VLOOKUP(AS1140,[1]OUTLET!$B:$C,2,0)</f>
        <v>#N/A</v>
      </c>
      <c r="AU1140" s="31"/>
      <c r="AV1140" s="4"/>
      <c r="AW1140" s="44"/>
      <c r="AX1140" s="44"/>
      <c r="AY1140" s="44"/>
      <c r="AZ1140" s="44"/>
      <c r="BA1140" s="44"/>
      <c r="BB1140" s="44"/>
      <c r="BC1140" s="44"/>
      <c r="BD1140" s="44"/>
      <c r="BE1140" s="44"/>
      <c r="BF1140" s="44"/>
      <c r="BG1140" s="44"/>
      <c r="BH1140" s="44"/>
      <c r="BI1140" s="44"/>
      <c r="BJ1140" s="44"/>
      <c r="BK1140" s="44"/>
      <c r="BL1140" s="44"/>
      <c r="BM1140" s="44"/>
      <c r="BN1140" s="44"/>
      <c r="BO1140" s="55"/>
      <c r="BP1140" s="40"/>
      <c r="BQ1140" s="4"/>
      <c r="BR1140" s="61"/>
      <c r="BS1140" s="4"/>
      <c r="BT1140" s="57"/>
      <c r="BU1140" s="62"/>
      <c r="BV1140" s="8"/>
      <c r="BW1140" s="58"/>
    </row>
    <row r="1141" spans="41:75" x14ac:dyDescent="0.35">
      <c r="AO1141" s="39">
        <v>1139</v>
      </c>
      <c r="AP1141" s="62"/>
      <c r="AQ1141" s="39"/>
      <c r="AR1141" s="42" t="str">
        <f>IFERROR(VLOOKUP(AU1141,[1]SUMMARY!$A$3:$B$7,2,FALSE),"")</f>
        <v/>
      </c>
      <c r="AS1141" s="31"/>
      <c r="AT1141" s="31" t="e">
        <f>VLOOKUP(AS1141,[1]OUTLET!$B:$C,2,0)</f>
        <v>#N/A</v>
      </c>
      <c r="AU1141" s="31"/>
      <c r="AV1141" s="4"/>
      <c r="AW1141" s="44"/>
      <c r="AX1141" s="44"/>
      <c r="AY1141" s="44"/>
      <c r="AZ1141" s="44"/>
      <c r="BA1141" s="44"/>
      <c r="BB1141" s="44"/>
      <c r="BC1141" s="44"/>
      <c r="BD1141" s="44"/>
      <c r="BE1141" s="44"/>
      <c r="BF1141" s="44"/>
      <c r="BG1141" s="44"/>
      <c r="BH1141" s="44"/>
      <c r="BI1141" s="44"/>
      <c r="BJ1141" s="44"/>
      <c r="BK1141" s="44"/>
      <c r="BL1141" s="44"/>
      <c r="BM1141" s="44"/>
      <c r="BN1141" s="44"/>
      <c r="BO1141" s="55"/>
      <c r="BP1141" s="40"/>
      <c r="BQ1141" s="4"/>
      <c r="BR1141" s="61"/>
      <c r="BS1141" s="4"/>
      <c r="BT1141" s="57"/>
      <c r="BU1141" s="62"/>
      <c r="BV1141" s="8"/>
      <c r="BW1141" s="58"/>
    </row>
    <row r="1142" spans="41:75" x14ac:dyDescent="0.35">
      <c r="AO1142" s="39">
        <v>1140</v>
      </c>
      <c r="AP1142" s="62"/>
      <c r="AQ1142" s="39"/>
      <c r="AR1142" s="42" t="str">
        <f>IFERROR(VLOOKUP(AU1142,[1]SUMMARY!$A$3:$B$7,2,FALSE),"")</f>
        <v/>
      </c>
      <c r="AS1142" s="31"/>
      <c r="AT1142" s="31" t="e">
        <f>VLOOKUP(AS1142,[1]OUTLET!$B:$C,2,0)</f>
        <v>#N/A</v>
      </c>
      <c r="AU1142" s="31"/>
      <c r="AV1142" s="4"/>
      <c r="AW1142" s="44"/>
      <c r="AX1142" s="44"/>
      <c r="AY1142" s="44"/>
      <c r="AZ1142" s="44"/>
      <c r="BA1142" s="44"/>
      <c r="BB1142" s="44"/>
      <c r="BC1142" s="44"/>
      <c r="BD1142" s="44"/>
      <c r="BE1142" s="44"/>
      <c r="BF1142" s="44"/>
      <c r="BG1142" s="44"/>
      <c r="BH1142" s="44"/>
      <c r="BI1142" s="44"/>
      <c r="BJ1142" s="44"/>
      <c r="BK1142" s="44"/>
      <c r="BL1142" s="44"/>
      <c r="BM1142" s="44"/>
      <c r="BN1142" s="44"/>
      <c r="BO1142" s="55"/>
      <c r="BP1142" s="40"/>
      <c r="BQ1142" s="4"/>
      <c r="BR1142" s="61"/>
      <c r="BS1142" s="4"/>
      <c r="BT1142" s="57"/>
      <c r="BU1142" s="62"/>
      <c r="BV1142" s="8"/>
      <c r="BW1142" s="58"/>
    </row>
    <row r="1143" spans="41:75" x14ac:dyDescent="0.35">
      <c r="AO1143" s="39">
        <v>1141</v>
      </c>
      <c r="AP1143" s="62"/>
      <c r="AQ1143" s="39"/>
      <c r="AR1143" s="42" t="str">
        <f>IFERROR(VLOOKUP(AU1143,[1]SUMMARY!$A$3:$B$7,2,FALSE),"")</f>
        <v/>
      </c>
      <c r="AS1143" s="31"/>
      <c r="AT1143" s="31" t="e">
        <f>VLOOKUP(AS1143,[1]OUTLET!$B:$C,2,0)</f>
        <v>#N/A</v>
      </c>
      <c r="AU1143" s="31"/>
      <c r="AV1143" s="4"/>
      <c r="AW1143" s="44"/>
      <c r="AX1143" s="44"/>
      <c r="AY1143" s="44"/>
      <c r="AZ1143" s="44"/>
      <c r="BA1143" s="44"/>
      <c r="BB1143" s="44"/>
      <c r="BC1143" s="44"/>
      <c r="BD1143" s="44"/>
      <c r="BE1143" s="44"/>
      <c r="BF1143" s="44"/>
      <c r="BG1143" s="44"/>
      <c r="BH1143" s="44"/>
      <c r="BI1143" s="44"/>
      <c r="BJ1143" s="44"/>
      <c r="BK1143" s="44"/>
      <c r="BL1143" s="44"/>
      <c r="BM1143" s="44"/>
      <c r="BN1143" s="44"/>
      <c r="BO1143" s="55"/>
      <c r="BP1143" s="40"/>
      <c r="BQ1143" s="4"/>
      <c r="BR1143" s="61"/>
      <c r="BS1143" s="4"/>
      <c r="BT1143" s="57"/>
      <c r="BU1143" s="62"/>
      <c r="BV1143" s="8"/>
      <c r="BW1143" s="58"/>
    </row>
    <row r="1144" spans="41:75" x14ac:dyDescent="0.35">
      <c r="AO1144" s="39">
        <v>1142</v>
      </c>
      <c r="AP1144" s="62"/>
      <c r="AQ1144" s="39"/>
      <c r="AR1144" s="42" t="str">
        <f>IFERROR(VLOOKUP(AU1144,[1]SUMMARY!$A$3:$B$7,2,FALSE),"")</f>
        <v/>
      </c>
      <c r="AS1144" s="31"/>
      <c r="AT1144" s="31" t="e">
        <f>VLOOKUP(AS1144,[1]OUTLET!$B:$C,2,0)</f>
        <v>#N/A</v>
      </c>
      <c r="AU1144" s="31"/>
      <c r="AV1144" s="4"/>
      <c r="AW1144" s="44"/>
      <c r="AX1144" s="44"/>
      <c r="AY1144" s="44"/>
      <c r="AZ1144" s="44"/>
      <c r="BA1144" s="44"/>
      <c r="BB1144" s="44"/>
      <c r="BC1144" s="44"/>
      <c r="BD1144" s="44"/>
      <c r="BE1144" s="44"/>
      <c r="BF1144" s="44"/>
      <c r="BG1144" s="44"/>
      <c r="BH1144" s="44"/>
      <c r="BI1144" s="44"/>
      <c r="BJ1144" s="44"/>
      <c r="BK1144" s="44"/>
      <c r="BL1144" s="44"/>
      <c r="BM1144" s="44"/>
      <c r="BN1144" s="44"/>
      <c r="BO1144" s="55"/>
      <c r="BP1144" s="40"/>
      <c r="BQ1144" s="4"/>
      <c r="BR1144" s="61"/>
      <c r="BS1144" s="4"/>
      <c r="BT1144" s="57"/>
      <c r="BU1144" s="62"/>
      <c r="BV1144" s="8"/>
      <c r="BW1144" s="58"/>
    </row>
    <row r="1145" spans="41:75" x14ac:dyDescent="0.35">
      <c r="AO1145" s="39">
        <v>1143</v>
      </c>
      <c r="AP1145" s="62"/>
      <c r="AQ1145" s="39"/>
      <c r="AR1145" s="42" t="str">
        <f>IFERROR(VLOOKUP(AU1145,[1]SUMMARY!$A$3:$B$7,2,FALSE),"")</f>
        <v/>
      </c>
      <c r="AS1145" s="31"/>
      <c r="AT1145" s="31" t="e">
        <f>VLOOKUP(AS1145,[1]OUTLET!$B:$C,2,0)</f>
        <v>#N/A</v>
      </c>
      <c r="AU1145" s="31"/>
      <c r="AV1145" s="4"/>
      <c r="AW1145" s="44"/>
      <c r="AX1145" s="44"/>
      <c r="AY1145" s="44"/>
      <c r="AZ1145" s="44"/>
      <c r="BA1145" s="44"/>
      <c r="BB1145" s="44"/>
      <c r="BC1145" s="44"/>
      <c r="BD1145" s="44"/>
      <c r="BE1145" s="44"/>
      <c r="BF1145" s="44"/>
      <c r="BG1145" s="44"/>
      <c r="BH1145" s="44"/>
      <c r="BI1145" s="44"/>
      <c r="BJ1145" s="44"/>
      <c r="BK1145" s="44"/>
      <c r="BL1145" s="44"/>
      <c r="BM1145" s="44"/>
      <c r="BN1145" s="44"/>
      <c r="BO1145" s="55"/>
      <c r="BP1145" s="40"/>
      <c r="BQ1145" s="4"/>
      <c r="BR1145" s="61"/>
      <c r="BS1145" s="4"/>
      <c r="BT1145" s="57"/>
      <c r="BU1145" s="62"/>
      <c r="BV1145" s="8"/>
      <c r="BW1145" s="58"/>
    </row>
    <row r="1146" spans="41:75" x14ac:dyDescent="0.35">
      <c r="AO1146" s="39">
        <v>1144</v>
      </c>
      <c r="AP1146" s="62"/>
      <c r="AQ1146" s="39"/>
      <c r="AR1146" s="42" t="str">
        <f>IFERROR(VLOOKUP(AU1146,[1]SUMMARY!$A$3:$B$7,2,FALSE),"")</f>
        <v/>
      </c>
      <c r="AS1146" s="31"/>
      <c r="AT1146" s="31" t="e">
        <f>VLOOKUP(AS1146,[1]OUTLET!$B:$C,2,0)</f>
        <v>#N/A</v>
      </c>
      <c r="AU1146" s="31"/>
      <c r="AV1146" s="4"/>
      <c r="AW1146" s="44"/>
      <c r="AX1146" s="44"/>
      <c r="AY1146" s="44"/>
      <c r="AZ1146" s="44"/>
      <c r="BA1146" s="44"/>
      <c r="BB1146" s="44"/>
      <c r="BC1146" s="44"/>
      <c r="BD1146" s="44"/>
      <c r="BE1146" s="44"/>
      <c r="BF1146" s="44"/>
      <c r="BG1146" s="44"/>
      <c r="BH1146" s="44"/>
      <c r="BI1146" s="44"/>
      <c r="BJ1146" s="44"/>
      <c r="BK1146" s="44"/>
      <c r="BL1146" s="44"/>
      <c r="BM1146" s="44"/>
      <c r="BN1146" s="44"/>
      <c r="BO1146" s="55"/>
      <c r="BP1146" s="40"/>
      <c r="BQ1146" s="4"/>
      <c r="BR1146" s="61"/>
      <c r="BS1146" s="4"/>
      <c r="BT1146" s="57"/>
      <c r="BU1146" s="62"/>
      <c r="BV1146" s="8"/>
      <c r="BW1146" s="58"/>
    </row>
    <row r="1147" spans="41:75" x14ac:dyDescent="0.35">
      <c r="AO1147" s="39">
        <v>1145</v>
      </c>
      <c r="AP1147" s="62"/>
      <c r="AQ1147" s="39"/>
      <c r="AR1147" s="42" t="str">
        <f>IFERROR(VLOOKUP(AU1147,[1]SUMMARY!$A$3:$B$7,2,FALSE),"")</f>
        <v/>
      </c>
      <c r="AS1147" s="31"/>
      <c r="AT1147" s="31" t="e">
        <f>VLOOKUP(AS1147,[1]OUTLET!$B:$C,2,0)</f>
        <v>#N/A</v>
      </c>
      <c r="AU1147" s="31"/>
      <c r="AV1147" s="4"/>
      <c r="AW1147" s="44"/>
      <c r="AX1147" s="44"/>
      <c r="AY1147" s="44"/>
      <c r="AZ1147" s="44"/>
      <c r="BA1147" s="44"/>
      <c r="BB1147" s="44"/>
      <c r="BC1147" s="44"/>
      <c r="BD1147" s="44"/>
      <c r="BE1147" s="44"/>
      <c r="BF1147" s="44"/>
      <c r="BG1147" s="44"/>
      <c r="BH1147" s="44"/>
      <c r="BI1147" s="44"/>
      <c r="BJ1147" s="44"/>
      <c r="BK1147" s="44"/>
      <c r="BL1147" s="44"/>
      <c r="BM1147" s="44"/>
      <c r="BN1147" s="44"/>
      <c r="BO1147" s="55"/>
      <c r="BP1147" s="40"/>
      <c r="BQ1147" s="4"/>
      <c r="BR1147" s="61"/>
      <c r="BS1147" s="4"/>
      <c r="BT1147" s="57"/>
      <c r="BU1147" s="62"/>
      <c r="BV1147" s="8"/>
      <c r="BW1147" s="58"/>
    </row>
    <row r="1148" spans="41:75" x14ac:dyDescent="0.35">
      <c r="AO1148" s="39">
        <v>1146</v>
      </c>
      <c r="AP1148" s="62"/>
      <c r="AQ1148" s="39"/>
      <c r="AR1148" s="42" t="str">
        <f>IFERROR(VLOOKUP(AU1148,[1]SUMMARY!$A$3:$B$7,2,FALSE),"")</f>
        <v/>
      </c>
      <c r="AS1148" s="31"/>
      <c r="AT1148" s="31" t="e">
        <f>VLOOKUP(AS1148,[1]OUTLET!$B:$C,2,0)</f>
        <v>#N/A</v>
      </c>
      <c r="AU1148" s="31"/>
      <c r="AV1148" s="4"/>
      <c r="AW1148" s="44"/>
      <c r="AX1148" s="44"/>
      <c r="AY1148" s="44"/>
      <c r="AZ1148" s="44"/>
      <c r="BA1148" s="44"/>
      <c r="BB1148" s="44"/>
      <c r="BC1148" s="44"/>
      <c r="BD1148" s="44"/>
      <c r="BE1148" s="44"/>
      <c r="BF1148" s="44"/>
      <c r="BG1148" s="44"/>
      <c r="BH1148" s="44"/>
      <c r="BI1148" s="44"/>
      <c r="BJ1148" s="44"/>
      <c r="BK1148" s="44"/>
      <c r="BL1148" s="44"/>
      <c r="BM1148" s="44"/>
      <c r="BN1148" s="44"/>
      <c r="BO1148" s="55"/>
      <c r="BP1148" s="40"/>
      <c r="BQ1148" s="4"/>
      <c r="BR1148" s="61"/>
      <c r="BS1148" s="4"/>
      <c r="BT1148" s="57"/>
      <c r="BU1148" s="62"/>
      <c r="BV1148" s="8"/>
      <c r="BW1148" s="58"/>
    </row>
    <row r="1149" spans="41:75" x14ac:dyDescent="0.35">
      <c r="AO1149" s="39">
        <v>1147</v>
      </c>
      <c r="AP1149" s="62"/>
      <c r="AQ1149" s="39"/>
      <c r="AR1149" s="42" t="str">
        <f>IFERROR(VLOOKUP(AU1149,[1]SUMMARY!$A$3:$B$7,2,FALSE),"")</f>
        <v/>
      </c>
      <c r="AS1149" s="31"/>
      <c r="AT1149" s="31" t="e">
        <f>VLOOKUP(AS1149,[1]OUTLET!$B:$C,2,0)</f>
        <v>#N/A</v>
      </c>
      <c r="AU1149" s="31"/>
      <c r="AV1149" s="4"/>
      <c r="AW1149" s="44"/>
      <c r="AX1149" s="44"/>
      <c r="AY1149" s="44"/>
      <c r="AZ1149" s="44"/>
      <c r="BA1149" s="44"/>
      <c r="BB1149" s="44"/>
      <c r="BC1149" s="44"/>
      <c r="BD1149" s="44"/>
      <c r="BE1149" s="44"/>
      <c r="BF1149" s="44"/>
      <c r="BG1149" s="44"/>
      <c r="BH1149" s="44"/>
      <c r="BI1149" s="44"/>
      <c r="BJ1149" s="44"/>
      <c r="BK1149" s="44"/>
      <c r="BL1149" s="44"/>
      <c r="BM1149" s="44"/>
      <c r="BN1149" s="44"/>
      <c r="BO1149" s="55"/>
      <c r="BP1149" s="40"/>
      <c r="BQ1149" s="4"/>
      <c r="BR1149" s="61"/>
      <c r="BS1149" s="4"/>
      <c r="BT1149" s="57"/>
      <c r="BU1149" s="62"/>
      <c r="BV1149" s="8"/>
      <c r="BW1149" s="58"/>
    </row>
    <row r="1150" spans="41:75" x14ac:dyDescent="0.35">
      <c r="AO1150" s="39">
        <v>1148</v>
      </c>
      <c r="AP1150" s="62"/>
      <c r="AQ1150" s="39"/>
      <c r="AR1150" s="42" t="str">
        <f>IFERROR(VLOOKUP(AU1150,[1]SUMMARY!$A$3:$B$7,2,FALSE),"")</f>
        <v/>
      </c>
      <c r="AS1150" s="31"/>
      <c r="AT1150" s="31" t="e">
        <f>VLOOKUP(AS1150,[1]OUTLET!$B:$C,2,0)</f>
        <v>#N/A</v>
      </c>
      <c r="AU1150" s="31"/>
      <c r="AV1150" s="4"/>
      <c r="AW1150" s="44"/>
      <c r="AX1150" s="44"/>
      <c r="AY1150" s="44"/>
      <c r="AZ1150" s="44"/>
      <c r="BA1150" s="44"/>
      <c r="BB1150" s="44"/>
      <c r="BC1150" s="44"/>
      <c r="BD1150" s="44"/>
      <c r="BE1150" s="44"/>
      <c r="BF1150" s="44"/>
      <c r="BG1150" s="44"/>
      <c r="BH1150" s="44"/>
      <c r="BI1150" s="44"/>
      <c r="BJ1150" s="44"/>
      <c r="BK1150" s="44"/>
      <c r="BL1150" s="44"/>
      <c r="BM1150" s="44"/>
      <c r="BN1150" s="44"/>
      <c r="BO1150" s="55"/>
      <c r="BP1150" s="40"/>
      <c r="BQ1150" s="4"/>
      <c r="BR1150" s="61"/>
      <c r="BS1150" s="4"/>
      <c r="BT1150" s="57"/>
      <c r="BU1150" s="62"/>
      <c r="BV1150" s="8"/>
      <c r="BW1150" s="58"/>
    </row>
    <row r="1151" spans="41:75" x14ac:dyDescent="0.35">
      <c r="AO1151" s="39">
        <v>1149</v>
      </c>
      <c r="AP1151" s="62"/>
      <c r="AQ1151" s="39"/>
      <c r="AR1151" s="42" t="str">
        <f>IFERROR(VLOOKUP(AU1151,[1]SUMMARY!$A$3:$B$7,2,FALSE),"")</f>
        <v/>
      </c>
      <c r="AS1151" s="31"/>
      <c r="AT1151" s="31" t="e">
        <f>VLOOKUP(AS1151,[1]OUTLET!$B:$C,2,0)</f>
        <v>#N/A</v>
      </c>
      <c r="AU1151" s="31"/>
      <c r="AV1151" s="4"/>
      <c r="AW1151" s="44"/>
      <c r="AX1151" s="44"/>
      <c r="AY1151" s="44"/>
      <c r="AZ1151" s="44"/>
      <c r="BA1151" s="44"/>
      <c r="BB1151" s="44"/>
      <c r="BC1151" s="44"/>
      <c r="BD1151" s="44"/>
      <c r="BE1151" s="44"/>
      <c r="BF1151" s="44"/>
      <c r="BG1151" s="44"/>
      <c r="BH1151" s="44"/>
      <c r="BI1151" s="44"/>
      <c r="BJ1151" s="44"/>
      <c r="BK1151" s="44"/>
      <c r="BL1151" s="44"/>
      <c r="BM1151" s="44"/>
      <c r="BN1151" s="44"/>
      <c r="BO1151" s="55"/>
      <c r="BP1151" s="40"/>
      <c r="BQ1151" s="4"/>
      <c r="BR1151" s="61"/>
      <c r="BS1151" s="4"/>
      <c r="BT1151" s="57"/>
      <c r="BU1151" s="62"/>
      <c r="BV1151" s="8"/>
      <c r="BW1151" s="58"/>
    </row>
    <row r="1152" spans="41:75" x14ac:dyDescent="0.35">
      <c r="AO1152" s="39">
        <v>1150</v>
      </c>
      <c r="AP1152" s="62"/>
      <c r="AQ1152" s="39"/>
      <c r="AR1152" s="42" t="str">
        <f>IFERROR(VLOOKUP(AU1152,[1]SUMMARY!$A$3:$B$7,2,FALSE),"")</f>
        <v/>
      </c>
      <c r="AS1152" s="31"/>
      <c r="AT1152" s="31" t="e">
        <f>VLOOKUP(AS1152,[1]OUTLET!$B:$C,2,0)</f>
        <v>#N/A</v>
      </c>
      <c r="AU1152" s="31"/>
      <c r="AV1152" s="4"/>
      <c r="AW1152" s="44"/>
      <c r="AX1152" s="44"/>
      <c r="AY1152" s="44"/>
      <c r="AZ1152" s="44"/>
      <c r="BA1152" s="44"/>
      <c r="BB1152" s="44"/>
      <c r="BC1152" s="44"/>
      <c r="BD1152" s="44"/>
      <c r="BE1152" s="44"/>
      <c r="BF1152" s="44"/>
      <c r="BG1152" s="44"/>
      <c r="BH1152" s="44"/>
      <c r="BI1152" s="44"/>
      <c r="BJ1152" s="44"/>
      <c r="BK1152" s="44"/>
      <c r="BL1152" s="44"/>
      <c r="BM1152" s="44"/>
      <c r="BN1152" s="44"/>
      <c r="BO1152" s="55"/>
      <c r="BP1152" s="40"/>
      <c r="BQ1152" s="4"/>
      <c r="BR1152" s="61"/>
      <c r="BS1152" s="4"/>
      <c r="BT1152" s="57"/>
      <c r="BU1152" s="62"/>
      <c r="BV1152" s="8"/>
      <c r="BW1152" s="58"/>
    </row>
    <row r="1153" spans="41:75" x14ac:dyDescent="0.35">
      <c r="AO1153" s="39">
        <v>1151</v>
      </c>
      <c r="AP1153" s="62"/>
      <c r="AQ1153" s="39"/>
      <c r="AR1153" s="42" t="str">
        <f>IFERROR(VLOOKUP(AU1153,[1]SUMMARY!$A$3:$B$7,2,FALSE),"")</f>
        <v/>
      </c>
      <c r="AS1153" s="31"/>
      <c r="AT1153" s="31" t="e">
        <f>VLOOKUP(AS1153,[1]OUTLET!$B:$C,2,0)</f>
        <v>#N/A</v>
      </c>
      <c r="AU1153" s="31"/>
      <c r="AV1153" s="4"/>
      <c r="AW1153" s="44"/>
      <c r="AX1153" s="44"/>
      <c r="AY1153" s="44"/>
      <c r="AZ1153" s="44"/>
      <c r="BA1153" s="44"/>
      <c r="BB1153" s="44"/>
      <c r="BC1153" s="44"/>
      <c r="BD1153" s="44"/>
      <c r="BE1153" s="44"/>
      <c r="BF1153" s="44"/>
      <c r="BG1153" s="44"/>
      <c r="BH1153" s="44"/>
      <c r="BI1153" s="44"/>
      <c r="BJ1153" s="44"/>
      <c r="BK1153" s="44"/>
      <c r="BL1153" s="44"/>
      <c r="BM1153" s="44"/>
      <c r="BN1153" s="44"/>
      <c r="BO1153" s="55"/>
      <c r="BP1153" s="40"/>
      <c r="BQ1153" s="4"/>
      <c r="BR1153" s="61"/>
      <c r="BS1153" s="4"/>
      <c r="BT1153" s="57"/>
      <c r="BU1153" s="62"/>
      <c r="BV1153" s="8"/>
      <c r="BW1153" s="58"/>
    </row>
    <row r="1154" spans="41:75" x14ac:dyDescent="0.35">
      <c r="AO1154" s="39">
        <v>1152</v>
      </c>
      <c r="AP1154" s="62"/>
      <c r="AQ1154" s="39"/>
      <c r="AR1154" s="42" t="str">
        <f>IFERROR(VLOOKUP(AU1154,[1]SUMMARY!$A$3:$B$7,2,FALSE),"")</f>
        <v/>
      </c>
      <c r="AS1154" s="31"/>
      <c r="AT1154" s="31" t="e">
        <f>VLOOKUP(AS1154,[1]OUTLET!$B:$C,2,0)</f>
        <v>#N/A</v>
      </c>
      <c r="AU1154" s="31"/>
      <c r="AV1154" s="4"/>
      <c r="AW1154" s="44"/>
      <c r="AX1154" s="44"/>
      <c r="AY1154" s="44"/>
      <c r="AZ1154" s="44"/>
      <c r="BA1154" s="44"/>
      <c r="BB1154" s="44"/>
      <c r="BC1154" s="44"/>
      <c r="BD1154" s="44"/>
      <c r="BE1154" s="44"/>
      <c r="BF1154" s="44"/>
      <c r="BG1154" s="44"/>
      <c r="BH1154" s="44"/>
      <c r="BI1154" s="44"/>
      <c r="BJ1154" s="44"/>
      <c r="BK1154" s="44"/>
      <c r="BL1154" s="44"/>
      <c r="BM1154" s="44"/>
      <c r="BN1154" s="44"/>
      <c r="BO1154" s="55"/>
      <c r="BP1154" s="40"/>
      <c r="BQ1154" s="4"/>
      <c r="BR1154" s="61"/>
      <c r="BS1154" s="4"/>
      <c r="BT1154" s="57"/>
      <c r="BU1154" s="62"/>
      <c r="BV1154" s="8"/>
      <c r="BW1154" s="58"/>
    </row>
    <row r="1155" spans="41:75" x14ac:dyDescent="0.35">
      <c r="AO1155" s="39">
        <v>1153</v>
      </c>
      <c r="AP1155" s="62"/>
      <c r="AQ1155" s="39"/>
      <c r="AR1155" s="42" t="str">
        <f>IFERROR(VLOOKUP(AU1155,[1]SUMMARY!$A$3:$B$7,2,FALSE),"")</f>
        <v/>
      </c>
      <c r="AS1155" s="31"/>
      <c r="AT1155" s="31" t="e">
        <f>VLOOKUP(AS1155,[1]OUTLET!$B:$C,2,0)</f>
        <v>#N/A</v>
      </c>
      <c r="AU1155" s="31"/>
      <c r="AV1155" s="4"/>
      <c r="AW1155" s="44"/>
      <c r="AX1155" s="44"/>
      <c r="AY1155" s="44"/>
      <c r="AZ1155" s="44"/>
      <c r="BA1155" s="44"/>
      <c r="BB1155" s="44"/>
      <c r="BC1155" s="44"/>
      <c r="BD1155" s="44"/>
      <c r="BE1155" s="44"/>
      <c r="BF1155" s="44"/>
      <c r="BG1155" s="44"/>
      <c r="BH1155" s="44"/>
      <c r="BI1155" s="44"/>
      <c r="BJ1155" s="44"/>
      <c r="BK1155" s="44"/>
      <c r="BL1155" s="44"/>
      <c r="BM1155" s="44"/>
      <c r="BN1155" s="44"/>
      <c r="BO1155" s="55"/>
      <c r="BP1155" s="40"/>
      <c r="BQ1155" s="4"/>
      <c r="BR1155" s="61"/>
      <c r="BS1155" s="4"/>
      <c r="BT1155" s="57"/>
      <c r="BU1155" s="62"/>
      <c r="BV1155" s="8"/>
      <c r="BW1155" s="58"/>
    </row>
    <row r="1156" spans="41:75" x14ac:dyDescent="0.35">
      <c r="AO1156" s="39">
        <v>1154</v>
      </c>
      <c r="AP1156" s="62"/>
      <c r="AQ1156" s="39"/>
      <c r="AR1156" s="42" t="str">
        <f>IFERROR(VLOOKUP(AU1156,[1]SUMMARY!$A$3:$B$7,2,FALSE),"")</f>
        <v/>
      </c>
      <c r="AS1156" s="31"/>
      <c r="AT1156" s="31" t="e">
        <f>VLOOKUP(AS1156,[1]OUTLET!$B:$C,2,0)</f>
        <v>#N/A</v>
      </c>
      <c r="AU1156" s="31"/>
      <c r="AV1156" s="4"/>
      <c r="AW1156" s="44"/>
      <c r="AX1156" s="44"/>
      <c r="AY1156" s="44"/>
      <c r="AZ1156" s="44"/>
      <c r="BA1156" s="44"/>
      <c r="BB1156" s="44"/>
      <c r="BC1156" s="44"/>
      <c r="BD1156" s="44"/>
      <c r="BE1156" s="44"/>
      <c r="BF1156" s="44"/>
      <c r="BG1156" s="44"/>
      <c r="BH1156" s="44"/>
      <c r="BI1156" s="44"/>
      <c r="BJ1156" s="44"/>
      <c r="BK1156" s="44"/>
      <c r="BL1156" s="44"/>
      <c r="BM1156" s="44"/>
      <c r="BN1156" s="44"/>
      <c r="BO1156" s="55"/>
      <c r="BP1156" s="40"/>
      <c r="BQ1156" s="4"/>
      <c r="BR1156" s="61"/>
      <c r="BS1156" s="4"/>
      <c r="BT1156" s="57"/>
      <c r="BU1156" s="62"/>
      <c r="BV1156" s="8"/>
      <c r="BW1156" s="58"/>
    </row>
    <row r="1157" spans="41:75" x14ac:dyDescent="0.35">
      <c r="AO1157" s="39">
        <v>1155</v>
      </c>
      <c r="AP1157" s="62"/>
      <c r="AQ1157" s="39"/>
      <c r="AR1157" s="42" t="str">
        <f>IFERROR(VLOOKUP(AU1157,[1]SUMMARY!$A$3:$B$7,2,FALSE),"")</f>
        <v/>
      </c>
      <c r="AS1157" s="31"/>
      <c r="AT1157" s="31" t="e">
        <f>VLOOKUP(AS1157,[1]OUTLET!$B:$C,2,0)</f>
        <v>#N/A</v>
      </c>
      <c r="AU1157" s="31"/>
      <c r="AV1157" s="4"/>
      <c r="AW1157" s="44"/>
      <c r="AX1157" s="44"/>
      <c r="AY1157" s="44"/>
      <c r="AZ1157" s="44"/>
      <c r="BA1157" s="44"/>
      <c r="BB1157" s="44"/>
      <c r="BC1157" s="44"/>
      <c r="BD1157" s="44"/>
      <c r="BE1157" s="44"/>
      <c r="BF1157" s="44"/>
      <c r="BG1157" s="44"/>
      <c r="BH1157" s="44"/>
      <c r="BI1157" s="44"/>
      <c r="BJ1157" s="44"/>
      <c r="BK1157" s="44"/>
      <c r="BL1157" s="44"/>
      <c r="BM1157" s="44"/>
      <c r="BN1157" s="44"/>
      <c r="BO1157" s="55"/>
      <c r="BP1157" s="40"/>
      <c r="BQ1157" s="4"/>
      <c r="BR1157" s="61"/>
      <c r="BS1157" s="4"/>
      <c r="BT1157" s="57"/>
      <c r="BU1157" s="62"/>
      <c r="BV1157" s="8"/>
      <c r="BW1157" s="58"/>
    </row>
    <row r="1158" spans="41:75" x14ac:dyDescent="0.35">
      <c r="AO1158" s="39">
        <v>1156</v>
      </c>
      <c r="AP1158" s="62"/>
      <c r="AQ1158" s="39"/>
      <c r="AR1158" s="42" t="str">
        <f>IFERROR(VLOOKUP(AU1158,[1]SUMMARY!$A$3:$B$7,2,FALSE),"")</f>
        <v/>
      </c>
      <c r="AS1158" s="31"/>
      <c r="AT1158" s="31" t="e">
        <f>VLOOKUP(AS1158,[1]OUTLET!$B:$C,2,0)</f>
        <v>#N/A</v>
      </c>
      <c r="AU1158" s="31"/>
      <c r="AV1158" s="4"/>
      <c r="AW1158" s="44"/>
      <c r="AX1158" s="44"/>
      <c r="AY1158" s="44"/>
      <c r="AZ1158" s="44"/>
      <c r="BA1158" s="44"/>
      <c r="BB1158" s="44"/>
      <c r="BC1158" s="44"/>
      <c r="BD1158" s="44"/>
      <c r="BE1158" s="44"/>
      <c r="BF1158" s="44"/>
      <c r="BG1158" s="44"/>
      <c r="BH1158" s="44"/>
      <c r="BI1158" s="44"/>
      <c r="BJ1158" s="44"/>
      <c r="BK1158" s="44"/>
      <c r="BL1158" s="44"/>
      <c r="BM1158" s="44"/>
      <c r="BN1158" s="44"/>
      <c r="BO1158" s="55"/>
      <c r="BP1158" s="40"/>
      <c r="BQ1158" s="4"/>
      <c r="BR1158" s="61"/>
      <c r="BS1158" s="4"/>
      <c r="BT1158" s="57"/>
      <c r="BU1158" s="62"/>
      <c r="BV1158" s="8"/>
      <c r="BW1158" s="58"/>
    </row>
    <row r="1159" spans="41:75" x14ac:dyDescent="0.35">
      <c r="AO1159" s="39">
        <v>1157</v>
      </c>
      <c r="AP1159" s="62"/>
      <c r="AQ1159" s="39"/>
      <c r="AR1159" s="42" t="str">
        <f>IFERROR(VLOOKUP(AU1159,[1]SUMMARY!$A$3:$B$7,2,FALSE),"")</f>
        <v/>
      </c>
      <c r="AS1159" s="31"/>
      <c r="AT1159" s="31" t="e">
        <f>VLOOKUP(AS1159,[1]OUTLET!$B:$C,2,0)</f>
        <v>#N/A</v>
      </c>
      <c r="AU1159" s="31"/>
      <c r="AV1159" s="4"/>
      <c r="AW1159" s="44"/>
      <c r="AX1159" s="44"/>
      <c r="AY1159" s="44"/>
      <c r="AZ1159" s="44"/>
      <c r="BA1159" s="44"/>
      <c r="BB1159" s="44"/>
      <c r="BC1159" s="44"/>
      <c r="BD1159" s="44"/>
      <c r="BE1159" s="44"/>
      <c r="BF1159" s="44"/>
      <c r="BG1159" s="44"/>
      <c r="BH1159" s="44"/>
      <c r="BI1159" s="44"/>
      <c r="BJ1159" s="44"/>
      <c r="BK1159" s="44"/>
      <c r="BL1159" s="44"/>
      <c r="BM1159" s="44"/>
      <c r="BN1159" s="44"/>
      <c r="BO1159" s="55"/>
      <c r="BP1159" s="40"/>
      <c r="BQ1159" s="4"/>
      <c r="BR1159" s="61"/>
      <c r="BS1159" s="4"/>
      <c r="BT1159" s="57"/>
      <c r="BU1159" s="62"/>
      <c r="BV1159" s="8"/>
      <c r="BW1159" s="58"/>
    </row>
    <row r="1160" spans="41:75" x14ac:dyDescent="0.35">
      <c r="AO1160" s="39">
        <v>1158</v>
      </c>
      <c r="AP1160" s="62"/>
      <c r="AQ1160" s="39"/>
      <c r="AR1160" s="42" t="str">
        <f>IFERROR(VLOOKUP(AU1160,[1]SUMMARY!$A$3:$B$7,2,FALSE),"")</f>
        <v/>
      </c>
      <c r="AS1160" s="31"/>
      <c r="AT1160" s="31" t="e">
        <f>VLOOKUP(AS1160,[1]OUTLET!$B:$C,2,0)</f>
        <v>#N/A</v>
      </c>
      <c r="AU1160" s="31"/>
      <c r="AV1160" s="4"/>
      <c r="AW1160" s="44"/>
      <c r="AX1160" s="44"/>
      <c r="AY1160" s="44"/>
      <c r="AZ1160" s="44"/>
      <c r="BA1160" s="44"/>
      <c r="BB1160" s="44"/>
      <c r="BC1160" s="44"/>
      <c r="BD1160" s="44"/>
      <c r="BE1160" s="44"/>
      <c r="BF1160" s="44"/>
      <c r="BG1160" s="44"/>
      <c r="BH1160" s="44"/>
      <c r="BI1160" s="44"/>
      <c r="BJ1160" s="44"/>
      <c r="BK1160" s="44"/>
      <c r="BL1160" s="44"/>
      <c r="BM1160" s="44"/>
      <c r="BN1160" s="44"/>
      <c r="BO1160" s="55"/>
      <c r="BP1160" s="40"/>
      <c r="BQ1160" s="4"/>
      <c r="BR1160" s="61"/>
      <c r="BS1160" s="4"/>
      <c r="BT1160" s="57"/>
      <c r="BU1160" s="62"/>
      <c r="BV1160" s="8"/>
      <c r="BW1160" s="58"/>
    </row>
    <row r="1161" spans="41:75" x14ac:dyDescent="0.35">
      <c r="AO1161" s="39">
        <v>1159</v>
      </c>
      <c r="AP1161" s="62"/>
      <c r="AQ1161" s="39"/>
      <c r="AR1161" s="42" t="str">
        <f>IFERROR(VLOOKUP(AU1161,[1]SUMMARY!$A$3:$B$7,2,FALSE),"")</f>
        <v/>
      </c>
      <c r="AS1161" s="31"/>
      <c r="AT1161" s="31" t="e">
        <f>VLOOKUP(AS1161,[1]OUTLET!$B:$C,2,0)</f>
        <v>#N/A</v>
      </c>
      <c r="AU1161" s="31"/>
      <c r="AV1161" s="4"/>
      <c r="AW1161" s="44"/>
      <c r="AX1161" s="44"/>
      <c r="AY1161" s="44"/>
      <c r="AZ1161" s="44"/>
      <c r="BA1161" s="44"/>
      <c r="BB1161" s="44"/>
      <c r="BC1161" s="44"/>
      <c r="BD1161" s="44"/>
      <c r="BE1161" s="44"/>
      <c r="BF1161" s="44"/>
      <c r="BG1161" s="44"/>
      <c r="BH1161" s="44"/>
      <c r="BI1161" s="44"/>
      <c r="BJ1161" s="44"/>
      <c r="BK1161" s="44"/>
      <c r="BL1161" s="44"/>
      <c r="BM1161" s="44"/>
      <c r="BN1161" s="44"/>
      <c r="BO1161" s="55"/>
      <c r="BP1161" s="40"/>
      <c r="BQ1161" s="4"/>
      <c r="BR1161" s="61"/>
      <c r="BS1161" s="4"/>
      <c r="BT1161" s="57"/>
      <c r="BU1161" s="62"/>
      <c r="BV1161" s="8"/>
      <c r="BW1161" s="58"/>
    </row>
    <row r="1162" spans="41:75" x14ac:dyDescent="0.35">
      <c r="AO1162" s="39">
        <v>1160</v>
      </c>
      <c r="AP1162" s="62"/>
      <c r="AQ1162" s="39"/>
      <c r="AR1162" s="42" t="str">
        <f>IFERROR(VLOOKUP(AU1162,[1]SUMMARY!$A$3:$B$7,2,FALSE),"")</f>
        <v/>
      </c>
      <c r="AS1162" s="31"/>
      <c r="AT1162" s="31" t="e">
        <f>VLOOKUP(AS1162,[1]OUTLET!$B:$C,2,0)</f>
        <v>#N/A</v>
      </c>
      <c r="AU1162" s="31"/>
      <c r="AV1162" s="4"/>
      <c r="AW1162" s="44"/>
      <c r="AX1162" s="44"/>
      <c r="AY1162" s="44"/>
      <c r="AZ1162" s="44"/>
      <c r="BA1162" s="44"/>
      <c r="BB1162" s="44"/>
      <c r="BC1162" s="44"/>
      <c r="BD1162" s="44"/>
      <c r="BE1162" s="44"/>
      <c r="BF1162" s="44"/>
      <c r="BG1162" s="44"/>
      <c r="BH1162" s="44"/>
      <c r="BI1162" s="44"/>
      <c r="BJ1162" s="44"/>
      <c r="BK1162" s="44"/>
      <c r="BL1162" s="44"/>
      <c r="BM1162" s="44"/>
      <c r="BN1162" s="44"/>
      <c r="BO1162" s="55"/>
      <c r="BP1162" s="40"/>
      <c r="BQ1162" s="4"/>
      <c r="BR1162" s="61"/>
      <c r="BS1162" s="4"/>
      <c r="BT1162" s="57"/>
      <c r="BU1162" s="62"/>
      <c r="BV1162" s="8"/>
      <c r="BW1162" s="58"/>
    </row>
    <row r="1163" spans="41:75" x14ac:dyDescent="0.35">
      <c r="AO1163" s="39">
        <v>1161</v>
      </c>
      <c r="AP1163" s="62"/>
      <c r="AQ1163" s="39"/>
      <c r="AR1163" s="42" t="str">
        <f>IFERROR(VLOOKUP(AU1163,[1]SUMMARY!$A$3:$B$7,2,FALSE),"")</f>
        <v/>
      </c>
      <c r="AS1163" s="31"/>
      <c r="AT1163" s="31" t="e">
        <f>VLOOKUP(AS1163,[1]OUTLET!$B:$C,2,0)</f>
        <v>#N/A</v>
      </c>
      <c r="AU1163" s="31"/>
      <c r="AV1163" s="4"/>
      <c r="AW1163" s="44"/>
      <c r="AX1163" s="44"/>
      <c r="AY1163" s="44"/>
      <c r="AZ1163" s="44"/>
      <c r="BA1163" s="44"/>
      <c r="BB1163" s="44"/>
      <c r="BC1163" s="44"/>
      <c r="BD1163" s="44"/>
      <c r="BE1163" s="44"/>
      <c r="BF1163" s="44"/>
      <c r="BG1163" s="44"/>
      <c r="BH1163" s="44"/>
      <c r="BI1163" s="44"/>
      <c r="BJ1163" s="44"/>
      <c r="BK1163" s="44"/>
      <c r="BL1163" s="44"/>
      <c r="BM1163" s="44"/>
      <c r="BN1163" s="44"/>
      <c r="BO1163" s="55"/>
      <c r="BP1163" s="40"/>
      <c r="BQ1163" s="4"/>
      <c r="BR1163" s="61"/>
      <c r="BS1163" s="4"/>
      <c r="BT1163" s="57"/>
      <c r="BU1163" s="62"/>
      <c r="BV1163" s="8"/>
      <c r="BW1163" s="58"/>
    </row>
    <row r="1164" spans="41:75" x14ac:dyDescent="0.35">
      <c r="AO1164" s="39">
        <v>1162</v>
      </c>
      <c r="AP1164" s="62"/>
      <c r="AQ1164" s="39"/>
      <c r="AR1164" s="42" t="str">
        <f>IFERROR(VLOOKUP(AU1164,[1]SUMMARY!$A$3:$B$7,2,FALSE),"")</f>
        <v/>
      </c>
      <c r="AS1164" s="31"/>
      <c r="AT1164" s="31" t="e">
        <f>VLOOKUP(AS1164,[1]OUTLET!$B:$C,2,0)</f>
        <v>#N/A</v>
      </c>
      <c r="AU1164" s="31"/>
      <c r="AV1164" s="4"/>
      <c r="AW1164" s="44"/>
      <c r="AX1164" s="44"/>
      <c r="AY1164" s="44"/>
      <c r="AZ1164" s="44"/>
      <c r="BA1164" s="44"/>
      <c r="BB1164" s="44"/>
      <c r="BC1164" s="44"/>
      <c r="BD1164" s="44"/>
      <c r="BE1164" s="44"/>
      <c r="BF1164" s="44"/>
      <c r="BG1164" s="44"/>
      <c r="BH1164" s="44"/>
      <c r="BI1164" s="44"/>
      <c r="BJ1164" s="44"/>
      <c r="BK1164" s="44"/>
      <c r="BL1164" s="44"/>
      <c r="BM1164" s="44"/>
      <c r="BN1164" s="44"/>
      <c r="BO1164" s="55"/>
      <c r="BP1164" s="40"/>
      <c r="BQ1164" s="4"/>
      <c r="BR1164" s="61"/>
      <c r="BS1164" s="4"/>
      <c r="BT1164" s="57"/>
      <c r="BU1164" s="62"/>
      <c r="BV1164" s="8"/>
      <c r="BW1164" s="58"/>
    </row>
    <row r="1165" spans="41:75" x14ac:dyDescent="0.35">
      <c r="AO1165" s="39">
        <v>1163</v>
      </c>
      <c r="AP1165" s="62"/>
      <c r="AQ1165" s="39"/>
      <c r="AR1165" s="42" t="str">
        <f>IFERROR(VLOOKUP(AU1165,[1]SUMMARY!$A$3:$B$7,2,FALSE),"")</f>
        <v/>
      </c>
      <c r="AS1165" s="31"/>
      <c r="AT1165" s="31" t="e">
        <f>VLOOKUP(AS1165,[1]OUTLET!$B:$C,2,0)</f>
        <v>#N/A</v>
      </c>
      <c r="AU1165" s="31"/>
      <c r="AV1165" s="4"/>
      <c r="AW1165" s="44"/>
      <c r="AX1165" s="44"/>
      <c r="AY1165" s="44"/>
      <c r="AZ1165" s="44"/>
      <c r="BA1165" s="44"/>
      <c r="BB1165" s="44"/>
      <c r="BC1165" s="44"/>
      <c r="BD1165" s="44"/>
      <c r="BE1165" s="44"/>
      <c r="BF1165" s="44"/>
      <c r="BG1165" s="44"/>
      <c r="BH1165" s="44"/>
      <c r="BI1165" s="44"/>
      <c r="BJ1165" s="44"/>
      <c r="BK1165" s="44"/>
      <c r="BL1165" s="44"/>
      <c r="BM1165" s="44"/>
      <c r="BN1165" s="44"/>
      <c r="BO1165" s="55"/>
      <c r="BP1165" s="40"/>
      <c r="BQ1165" s="4"/>
      <c r="BR1165" s="61"/>
      <c r="BS1165" s="4"/>
      <c r="BT1165" s="57"/>
      <c r="BU1165" s="62"/>
      <c r="BV1165" s="8"/>
      <c r="BW1165" s="58"/>
    </row>
    <row r="1166" spans="41:75" x14ac:dyDescent="0.35">
      <c r="AO1166" s="39">
        <v>1164</v>
      </c>
      <c r="AP1166" s="62"/>
      <c r="AQ1166" s="39"/>
      <c r="AR1166" s="42" t="str">
        <f>IFERROR(VLOOKUP(AU1166,[1]SUMMARY!$A$3:$B$7,2,FALSE),"")</f>
        <v/>
      </c>
      <c r="AS1166" s="31"/>
      <c r="AT1166" s="31" t="e">
        <f>VLOOKUP(AS1166,[1]OUTLET!$B:$C,2,0)</f>
        <v>#N/A</v>
      </c>
      <c r="AU1166" s="31"/>
      <c r="AV1166" s="4"/>
      <c r="AW1166" s="44"/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44"/>
      <c r="BJ1166" s="44"/>
      <c r="BK1166" s="44"/>
      <c r="BL1166" s="44"/>
      <c r="BM1166" s="44"/>
      <c r="BN1166" s="44"/>
      <c r="BO1166" s="55"/>
      <c r="BP1166" s="40"/>
      <c r="BQ1166" s="4"/>
      <c r="BR1166" s="61"/>
      <c r="BS1166" s="4"/>
      <c r="BT1166" s="57"/>
      <c r="BU1166" s="62"/>
      <c r="BV1166" s="8"/>
      <c r="BW1166" s="58"/>
    </row>
    <row r="1167" spans="41:75" x14ac:dyDescent="0.35">
      <c r="AO1167" s="39">
        <v>1165</v>
      </c>
      <c r="AP1167" s="62"/>
      <c r="AQ1167" s="39"/>
      <c r="AR1167" s="42" t="str">
        <f>IFERROR(VLOOKUP(AU1167,[1]SUMMARY!$A$3:$B$7,2,FALSE),"")</f>
        <v/>
      </c>
      <c r="AS1167" s="31"/>
      <c r="AT1167" s="31" t="e">
        <f>VLOOKUP(AS1167,[1]OUTLET!$B:$C,2,0)</f>
        <v>#N/A</v>
      </c>
      <c r="AU1167" s="31"/>
      <c r="AV1167" s="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44"/>
      <c r="BJ1167" s="44"/>
      <c r="BK1167" s="44"/>
      <c r="BL1167" s="44"/>
      <c r="BM1167" s="44"/>
      <c r="BN1167" s="44"/>
      <c r="BO1167" s="55"/>
      <c r="BP1167" s="40"/>
      <c r="BQ1167" s="4"/>
      <c r="BR1167" s="61"/>
      <c r="BS1167" s="4"/>
      <c r="BT1167" s="57"/>
      <c r="BU1167" s="62"/>
      <c r="BV1167" s="8"/>
      <c r="BW1167" s="58"/>
    </row>
    <row r="1168" spans="41:75" x14ac:dyDescent="0.35">
      <c r="AO1168" s="39">
        <v>1166</v>
      </c>
      <c r="AP1168" s="62"/>
      <c r="AQ1168" s="39"/>
      <c r="AR1168" s="42" t="str">
        <f>IFERROR(VLOOKUP(AU1168,[1]SUMMARY!$A$3:$B$7,2,FALSE),"")</f>
        <v/>
      </c>
      <c r="AS1168" s="31"/>
      <c r="AT1168" s="31" t="e">
        <f>VLOOKUP(AS1168,[1]OUTLET!$B:$C,2,0)</f>
        <v>#N/A</v>
      </c>
      <c r="AU1168" s="31"/>
      <c r="AV1168" s="4"/>
      <c r="AW1168" s="44"/>
      <c r="AX1168" s="44"/>
      <c r="AY1168" s="44"/>
      <c r="AZ1168" s="44"/>
      <c r="BA1168" s="44"/>
      <c r="BB1168" s="44"/>
      <c r="BC1168" s="44"/>
      <c r="BD1168" s="44"/>
      <c r="BE1168" s="44"/>
      <c r="BF1168" s="44"/>
      <c r="BG1168" s="44"/>
      <c r="BH1168" s="44"/>
      <c r="BI1168" s="44"/>
      <c r="BJ1168" s="44"/>
      <c r="BK1168" s="44"/>
      <c r="BL1168" s="44"/>
      <c r="BM1168" s="44"/>
      <c r="BN1168" s="44"/>
      <c r="BO1168" s="55"/>
      <c r="BP1168" s="40"/>
      <c r="BQ1168" s="4"/>
      <c r="BR1168" s="61"/>
      <c r="BS1168" s="4"/>
      <c r="BT1168" s="57"/>
      <c r="BU1168" s="62"/>
      <c r="BV1168" s="8"/>
      <c r="BW1168" s="58"/>
    </row>
    <row r="1169" spans="41:75" x14ac:dyDescent="0.35">
      <c r="AO1169" s="39">
        <v>1167</v>
      </c>
      <c r="AP1169" s="62"/>
      <c r="AQ1169" s="39"/>
      <c r="AR1169" s="42" t="str">
        <f>IFERROR(VLOOKUP(AU1169,[1]SUMMARY!$A$3:$B$7,2,FALSE),"")</f>
        <v/>
      </c>
      <c r="AS1169" s="31"/>
      <c r="AT1169" s="31" t="e">
        <f>VLOOKUP(AS1169,[1]OUTLET!$B:$C,2,0)</f>
        <v>#N/A</v>
      </c>
      <c r="AU1169" s="31"/>
      <c r="AV1169" s="4"/>
      <c r="AW1169" s="44"/>
      <c r="AX1169" s="44"/>
      <c r="AY1169" s="44"/>
      <c r="AZ1169" s="44"/>
      <c r="BA1169" s="44"/>
      <c r="BB1169" s="44"/>
      <c r="BC1169" s="44"/>
      <c r="BD1169" s="44"/>
      <c r="BE1169" s="44"/>
      <c r="BF1169" s="44"/>
      <c r="BG1169" s="44"/>
      <c r="BH1169" s="44"/>
      <c r="BI1169" s="44"/>
      <c r="BJ1169" s="44"/>
      <c r="BK1169" s="44"/>
      <c r="BL1169" s="44"/>
      <c r="BM1169" s="44"/>
      <c r="BN1169" s="44"/>
      <c r="BO1169" s="55"/>
      <c r="BP1169" s="40"/>
      <c r="BQ1169" s="4"/>
      <c r="BR1169" s="61"/>
      <c r="BS1169" s="4"/>
      <c r="BT1169" s="57"/>
      <c r="BU1169" s="62"/>
      <c r="BV1169" s="8"/>
      <c r="BW1169" s="58"/>
    </row>
    <row r="1170" spans="41:75" x14ac:dyDescent="0.35">
      <c r="AO1170" s="39">
        <v>1168</v>
      </c>
      <c r="AP1170" s="62"/>
      <c r="AQ1170" s="39"/>
      <c r="AR1170" s="42" t="str">
        <f>IFERROR(VLOOKUP(AU1170,[1]SUMMARY!$A$3:$B$7,2,FALSE),"")</f>
        <v/>
      </c>
      <c r="AS1170" s="31"/>
      <c r="AT1170" s="31" t="e">
        <f>VLOOKUP(AS1170,[1]OUTLET!$B:$C,2,0)</f>
        <v>#N/A</v>
      </c>
      <c r="AU1170" s="31"/>
      <c r="AV1170" s="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55"/>
      <c r="BP1170" s="40"/>
      <c r="BQ1170" s="4"/>
      <c r="BR1170" s="61"/>
      <c r="BS1170" s="4"/>
      <c r="BT1170" s="57"/>
      <c r="BU1170" s="62"/>
      <c r="BV1170" s="8"/>
      <c r="BW1170" s="58"/>
    </row>
    <row r="1171" spans="41:75" x14ac:dyDescent="0.35">
      <c r="AO1171" s="39">
        <v>1169</v>
      </c>
      <c r="AP1171" s="62"/>
      <c r="AQ1171" s="39"/>
      <c r="AR1171" s="42" t="str">
        <f>IFERROR(VLOOKUP(AU1171,[1]SUMMARY!$A$3:$B$7,2,FALSE),"")</f>
        <v/>
      </c>
      <c r="AS1171" s="31"/>
      <c r="AT1171" s="31" t="e">
        <f>VLOOKUP(AS1171,[1]OUTLET!$B:$C,2,0)</f>
        <v>#N/A</v>
      </c>
      <c r="AU1171" s="31"/>
      <c r="AV1171" s="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55"/>
      <c r="BP1171" s="40"/>
      <c r="BQ1171" s="4"/>
      <c r="BR1171" s="61"/>
      <c r="BS1171" s="4"/>
      <c r="BT1171" s="57"/>
      <c r="BU1171" s="62"/>
      <c r="BV1171" s="8"/>
      <c r="BW1171" s="58"/>
    </row>
    <row r="1172" spans="41:75" x14ac:dyDescent="0.35">
      <c r="AO1172" s="39">
        <v>1170</v>
      </c>
      <c r="AP1172" s="62"/>
      <c r="AQ1172" s="39"/>
      <c r="AR1172" s="42" t="str">
        <f>IFERROR(VLOOKUP(AU1172,[1]SUMMARY!$A$3:$B$7,2,FALSE),"")</f>
        <v/>
      </c>
      <c r="AS1172" s="31"/>
      <c r="AT1172" s="31" t="e">
        <f>VLOOKUP(AS1172,[1]OUTLET!$B:$C,2,0)</f>
        <v>#N/A</v>
      </c>
      <c r="AU1172" s="31"/>
      <c r="AV1172" s="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55"/>
      <c r="BP1172" s="40"/>
      <c r="BQ1172" s="4"/>
      <c r="BR1172" s="61"/>
      <c r="BS1172" s="4"/>
      <c r="BT1172" s="57"/>
      <c r="BU1172" s="62"/>
      <c r="BV1172" s="8"/>
      <c r="BW1172" s="58"/>
    </row>
    <row r="1173" spans="41:75" x14ac:dyDescent="0.35">
      <c r="AO1173" s="39">
        <v>1171</v>
      </c>
      <c r="AP1173" s="62"/>
      <c r="AQ1173" s="39"/>
      <c r="AR1173" s="42" t="str">
        <f>IFERROR(VLOOKUP(AU1173,[1]SUMMARY!$A$3:$B$7,2,FALSE),"")</f>
        <v/>
      </c>
      <c r="AS1173" s="31"/>
      <c r="AT1173" s="31" t="e">
        <f>VLOOKUP(AS1173,[1]OUTLET!$B:$C,2,0)</f>
        <v>#N/A</v>
      </c>
      <c r="AU1173" s="31"/>
      <c r="AV1173" s="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55"/>
      <c r="BP1173" s="40"/>
      <c r="BQ1173" s="4"/>
      <c r="BR1173" s="61"/>
      <c r="BS1173" s="4"/>
      <c r="BT1173" s="57"/>
      <c r="BU1173" s="62"/>
      <c r="BV1173" s="8"/>
      <c r="BW1173" s="58"/>
    </row>
    <row r="1174" spans="41:75" x14ac:dyDescent="0.35">
      <c r="AO1174" s="39">
        <v>1172</v>
      </c>
      <c r="AP1174" s="62"/>
      <c r="AQ1174" s="39"/>
      <c r="AR1174" s="42" t="str">
        <f>IFERROR(VLOOKUP(AU1174,[1]SUMMARY!$A$3:$B$7,2,FALSE),"")</f>
        <v/>
      </c>
      <c r="AS1174" s="31"/>
      <c r="AT1174" s="31" t="e">
        <f>VLOOKUP(AS1174,[1]OUTLET!$B:$C,2,0)</f>
        <v>#N/A</v>
      </c>
      <c r="AU1174" s="31"/>
      <c r="AV1174" s="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55"/>
      <c r="BP1174" s="40"/>
      <c r="BQ1174" s="4"/>
      <c r="BR1174" s="61"/>
      <c r="BS1174" s="4"/>
      <c r="BT1174" s="57"/>
      <c r="BU1174" s="62"/>
      <c r="BV1174" s="8"/>
      <c r="BW1174" s="58"/>
    </row>
    <row r="1175" spans="41:75" x14ac:dyDescent="0.35">
      <c r="AO1175" s="39">
        <v>1173</v>
      </c>
      <c r="AP1175" s="62"/>
      <c r="AQ1175" s="39"/>
      <c r="AR1175" s="42" t="str">
        <f>IFERROR(VLOOKUP(AU1175,[1]SUMMARY!$A$3:$B$7,2,FALSE),"")</f>
        <v/>
      </c>
      <c r="AS1175" s="31"/>
      <c r="AT1175" s="31" t="e">
        <f>VLOOKUP(AS1175,[1]OUTLET!$B:$C,2,0)</f>
        <v>#N/A</v>
      </c>
      <c r="AU1175" s="31"/>
      <c r="AV1175" s="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55"/>
      <c r="BP1175" s="40"/>
      <c r="BQ1175" s="4"/>
      <c r="BR1175" s="61"/>
      <c r="BS1175" s="4"/>
      <c r="BT1175" s="57"/>
      <c r="BU1175" s="62"/>
      <c r="BV1175" s="8"/>
      <c r="BW1175" s="58"/>
    </row>
    <row r="1176" spans="41:75" x14ac:dyDescent="0.35">
      <c r="AO1176" s="39">
        <v>1174</v>
      </c>
      <c r="AP1176" s="62"/>
      <c r="AQ1176" s="39"/>
      <c r="AR1176" s="42" t="str">
        <f>IFERROR(VLOOKUP(AU1176,[1]SUMMARY!$A$3:$B$7,2,FALSE),"")</f>
        <v/>
      </c>
      <c r="AS1176" s="31"/>
      <c r="AT1176" s="31" t="e">
        <f>VLOOKUP(AS1176,[1]OUTLET!$B:$C,2,0)</f>
        <v>#N/A</v>
      </c>
      <c r="AU1176" s="31"/>
      <c r="AV1176" s="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55"/>
      <c r="BP1176" s="40"/>
      <c r="BQ1176" s="4"/>
      <c r="BR1176" s="61"/>
      <c r="BS1176" s="4"/>
      <c r="BT1176" s="57"/>
      <c r="BU1176" s="62"/>
      <c r="BV1176" s="8"/>
      <c r="BW1176" s="58"/>
    </row>
    <row r="1177" spans="41:75" x14ac:dyDescent="0.35">
      <c r="AO1177" s="39">
        <v>1175</v>
      </c>
      <c r="AP1177" s="62"/>
      <c r="AQ1177" s="39"/>
      <c r="AR1177" s="42" t="str">
        <f>IFERROR(VLOOKUP(AU1177,[1]SUMMARY!$A$3:$B$7,2,FALSE),"")</f>
        <v/>
      </c>
      <c r="AS1177" s="31"/>
      <c r="AT1177" s="31" t="e">
        <f>VLOOKUP(AS1177,[1]OUTLET!$B:$C,2,0)</f>
        <v>#N/A</v>
      </c>
      <c r="AU1177" s="31"/>
      <c r="AV1177" s="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55"/>
      <c r="BP1177" s="40"/>
      <c r="BQ1177" s="4"/>
      <c r="BR1177" s="61"/>
      <c r="BS1177" s="4"/>
      <c r="BT1177" s="57"/>
      <c r="BU1177" s="62"/>
      <c r="BV1177" s="8"/>
      <c r="BW1177" s="58"/>
    </row>
    <row r="1178" spans="41:75" x14ac:dyDescent="0.35">
      <c r="AO1178" s="39">
        <v>1176</v>
      </c>
      <c r="AP1178" s="62"/>
      <c r="AQ1178" s="39"/>
      <c r="AR1178" s="42" t="str">
        <f>IFERROR(VLOOKUP(AU1178,[1]SUMMARY!$A$3:$B$7,2,FALSE),"")</f>
        <v/>
      </c>
      <c r="AS1178" s="31"/>
      <c r="AT1178" s="31" t="e">
        <f>VLOOKUP(AS1178,[1]OUTLET!$B:$C,2,0)</f>
        <v>#N/A</v>
      </c>
      <c r="AU1178" s="31"/>
      <c r="AV1178" s="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55"/>
      <c r="BP1178" s="40"/>
      <c r="BQ1178" s="4"/>
      <c r="BR1178" s="61"/>
      <c r="BS1178" s="4"/>
      <c r="BT1178" s="57"/>
      <c r="BU1178" s="62"/>
      <c r="BV1178" s="8"/>
      <c r="BW1178" s="58"/>
    </row>
    <row r="1179" spans="41:75" x14ac:dyDescent="0.35">
      <c r="AO1179" s="39">
        <v>1177</v>
      </c>
      <c r="AP1179" s="62"/>
      <c r="AQ1179" s="39"/>
      <c r="AR1179" s="42" t="str">
        <f>IFERROR(VLOOKUP(AU1179,[1]SUMMARY!$A$3:$B$7,2,FALSE),"")</f>
        <v/>
      </c>
      <c r="AS1179" s="31"/>
      <c r="AT1179" s="31" t="e">
        <f>VLOOKUP(AS1179,[1]OUTLET!$B:$C,2,0)</f>
        <v>#N/A</v>
      </c>
      <c r="AU1179" s="31"/>
      <c r="AV1179" s="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55"/>
      <c r="BP1179" s="40"/>
      <c r="BQ1179" s="4"/>
      <c r="BR1179" s="61"/>
      <c r="BS1179" s="4"/>
      <c r="BT1179" s="57"/>
      <c r="BU1179" s="62"/>
      <c r="BV1179" s="8"/>
      <c r="BW1179" s="58"/>
    </row>
    <row r="1180" spans="41:75" x14ac:dyDescent="0.35">
      <c r="AO1180" s="39">
        <v>1178</v>
      </c>
      <c r="AP1180" s="62"/>
      <c r="AQ1180" s="39"/>
      <c r="AR1180" s="42" t="str">
        <f>IFERROR(VLOOKUP(AU1180,[1]SUMMARY!$A$3:$B$7,2,FALSE),"")</f>
        <v/>
      </c>
      <c r="AS1180" s="31"/>
      <c r="AT1180" s="31" t="e">
        <f>VLOOKUP(AS1180,[1]OUTLET!$B:$C,2,0)</f>
        <v>#N/A</v>
      </c>
      <c r="AU1180" s="31"/>
      <c r="AV1180" s="4"/>
      <c r="AW1180" s="44"/>
      <c r="AX1180" s="44"/>
      <c r="AY1180" s="44"/>
      <c r="AZ1180" s="44"/>
      <c r="BA1180" s="44"/>
      <c r="BB1180" s="44"/>
      <c r="BC1180" s="44"/>
      <c r="BD1180" s="44"/>
      <c r="BE1180" s="44"/>
      <c r="BF1180" s="44"/>
      <c r="BG1180" s="44"/>
      <c r="BH1180" s="44"/>
      <c r="BI1180" s="44"/>
      <c r="BJ1180" s="44"/>
      <c r="BK1180" s="44"/>
      <c r="BL1180" s="44"/>
      <c r="BM1180" s="44"/>
      <c r="BN1180" s="44"/>
      <c r="BO1180" s="55"/>
      <c r="BP1180" s="40"/>
      <c r="BQ1180" s="4"/>
      <c r="BR1180" s="61"/>
      <c r="BS1180" s="4"/>
      <c r="BT1180" s="57"/>
      <c r="BU1180" s="62"/>
      <c r="BV1180" s="8"/>
      <c r="BW1180" s="58"/>
    </row>
    <row r="1181" spans="41:75" x14ac:dyDescent="0.35">
      <c r="AO1181" s="39">
        <v>1179</v>
      </c>
      <c r="AP1181" s="62"/>
      <c r="AQ1181" s="39"/>
      <c r="AR1181" s="42" t="str">
        <f>IFERROR(VLOOKUP(AU1181,[1]SUMMARY!$A$3:$B$7,2,FALSE),"")</f>
        <v/>
      </c>
      <c r="AS1181" s="31"/>
      <c r="AT1181" s="31" t="e">
        <f>VLOOKUP(AS1181,[1]OUTLET!$B:$C,2,0)</f>
        <v>#N/A</v>
      </c>
      <c r="AU1181" s="31"/>
      <c r="AV1181" s="4"/>
      <c r="AW1181" s="44"/>
      <c r="AX1181" s="44"/>
      <c r="AY1181" s="44"/>
      <c r="AZ1181" s="44"/>
      <c r="BA1181" s="44"/>
      <c r="BB1181" s="44"/>
      <c r="BC1181" s="44"/>
      <c r="BD1181" s="44"/>
      <c r="BE1181" s="44"/>
      <c r="BF1181" s="44"/>
      <c r="BG1181" s="44"/>
      <c r="BH1181" s="44"/>
      <c r="BI1181" s="44"/>
      <c r="BJ1181" s="44"/>
      <c r="BK1181" s="44"/>
      <c r="BL1181" s="44"/>
      <c r="BM1181" s="44"/>
      <c r="BN1181" s="44"/>
      <c r="BO1181" s="55"/>
      <c r="BP1181" s="40"/>
      <c r="BQ1181" s="4"/>
      <c r="BR1181" s="61"/>
      <c r="BS1181" s="4"/>
      <c r="BT1181" s="57"/>
      <c r="BU1181" s="62"/>
      <c r="BV1181" s="8"/>
      <c r="BW1181" s="58"/>
    </row>
    <row r="1182" spans="41:75" x14ac:dyDescent="0.35">
      <c r="AO1182" s="39">
        <v>1180</v>
      </c>
      <c r="AP1182" s="62"/>
      <c r="AQ1182" s="39"/>
      <c r="AR1182" s="42" t="str">
        <f>IFERROR(VLOOKUP(AU1182,[1]SUMMARY!$A$3:$B$7,2,FALSE),"")</f>
        <v/>
      </c>
      <c r="AS1182" s="31"/>
      <c r="AT1182" s="31" t="e">
        <f>VLOOKUP(AS1182,[1]OUTLET!$B:$C,2,0)</f>
        <v>#N/A</v>
      </c>
      <c r="AU1182" s="31"/>
      <c r="AV1182" s="4"/>
      <c r="AW1182" s="44"/>
      <c r="AX1182" s="44"/>
      <c r="AY1182" s="44"/>
      <c r="AZ1182" s="44"/>
      <c r="BA1182" s="44"/>
      <c r="BB1182" s="44"/>
      <c r="BC1182" s="44"/>
      <c r="BD1182" s="44"/>
      <c r="BE1182" s="44"/>
      <c r="BF1182" s="44"/>
      <c r="BG1182" s="44"/>
      <c r="BH1182" s="44"/>
      <c r="BI1182" s="44"/>
      <c r="BJ1182" s="44"/>
      <c r="BK1182" s="44"/>
      <c r="BL1182" s="44"/>
      <c r="BM1182" s="44"/>
      <c r="BN1182" s="44"/>
      <c r="BO1182" s="55"/>
      <c r="BP1182" s="40"/>
      <c r="BQ1182" s="4"/>
      <c r="BR1182" s="61"/>
      <c r="BS1182" s="4"/>
      <c r="BT1182" s="57"/>
      <c r="BU1182" s="62"/>
      <c r="BV1182" s="8"/>
      <c r="BW1182" s="58"/>
    </row>
    <row r="1183" spans="41:75" x14ac:dyDescent="0.35">
      <c r="AO1183" s="39">
        <v>1181</v>
      </c>
      <c r="AP1183" s="62"/>
      <c r="AQ1183" s="39"/>
      <c r="AR1183" s="42" t="str">
        <f>IFERROR(VLOOKUP(AU1183,[1]SUMMARY!$A$3:$B$7,2,FALSE),"")</f>
        <v/>
      </c>
      <c r="AS1183" s="31"/>
      <c r="AT1183" s="31" t="e">
        <f>VLOOKUP(AS1183,[1]OUTLET!$B:$C,2,0)</f>
        <v>#N/A</v>
      </c>
      <c r="AU1183" s="31"/>
      <c r="AV1183" s="4"/>
      <c r="AW1183" s="44"/>
      <c r="AX1183" s="44"/>
      <c r="AY1183" s="44"/>
      <c r="AZ1183" s="44"/>
      <c r="BA1183" s="44"/>
      <c r="BB1183" s="44"/>
      <c r="BC1183" s="44"/>
      <c r="BD1183" s="44"/>
      <c r="BE1183" s="44"/>
      <c r="BF1183" s="44"/>
      <c r="BG1183" s="44"/>
      <c r="BH1183" s="44"/>
      <c r="BI1183" s="44"/>
      <c r="BJ1183" s="44"/>
      <c r="BK1183" s="44"/>
      <c r="BL1183" s="44"/>
      <c r="BM1183" s="44"/>
      <c r="BN1183" s="44"/>
      <c r="BO1183" s="55"/>
      <c r="BP1183" s="40"/>
      <c r="BQ1183" s="4"/>
      <c r="BR1183" s="61"/>
      <c r="BS1183" s="4"/>
      <c r="BT1183" s="57"/>
      <c r="BU1183" s="62"/>
      <c r="BV1183" s="8"/>
      <c r="BW1183" s="58"/>
    </row>
    <row r="1184" spans="41:75" x14ac:dyDescent="0.35">
      <c r="AO1184" s="39">
        <v>1182</v>
      </c>
      <c r="AP1184" s="62"/>
      <c r="AQ1184" s="39"/>
      <c r="AR1184" s="42" t="str">
        <f>IFERROR(VLOOKUP(AU1184,[1]SUMMARY!$A$3:$B$7,2,FALSE),"")</f>
        <v/>
      </c>
      <c r="AS1184" s="31"/>
      <c r="AT1184" s="31" t="e">
        <f>VLOOKUP(AS1184,[1]OUTLET!$B:$C,2,0)</f>
        <v>#N/A</v>
      </c>
      <c r="AU1184" s="31"/>
      <c r="AV1184" s="4"/>
      <c r="AW1184" s="44"/>
      <c r="AX1184" s="44"/>
      <c r="AY1184" s="44"/>
      <c r="AZ1184" s="44"/>
      <c r="BA1184" s="44"/>
      <c r="BB1184" s="44"/>
      <c r="BC1184" s="44"/>
      <c r="BD1184" s="44"/>
      <c r="BE1184" s="44"/>
      <c r="BF1184" s="44"/>
      <c r="BG1184" s="44"/>
      <c r="BH1184" s="44"/>
      <c r="BI1184" s="44"/>
      <c r="BJ1184" s="44"/>
      <c r="BK1184" s="44"/>
      <c r="BL1184" s="44"/>
      <c r="BM1184" s="44"/>
      <c r="BN1184" s="44"/>
      <c r="BO1184" s="55"/>
      <c r="BP1184" s="40"/>
      <c r="BQ1184" s="4"/>
      <c r="BR1184" s="61"/>
      <c r="BS1184" s="4"/>
      <c r="BT1184" s="57"/>
      <c r="BU1184" s="62"/>
      <c r="BV1184" s="8"/>
      <c r="BW1184" s="58"/>
    </row>
    <row r="1185" spans="41:75" x14ac:dyDescent="0.35">
      <c r="AO1185" s="39">
        <v>1183</v>
      </c>
      <c r="AP1185" s="62"/>
      <c r="AQ1185" s="39"/>
      <c r="AR1185" s="42" t="str">
        <f>IFERROR(VLOOKUP(AU1185,[1]SUMMARY!$A$3:$B$7,2,FALSE),"")</f>
        <v/>
      </c>
      <c r="AS1185" s="31"/>
      <c r="AT1185" s="31" t="e">
        <f>VLOOKUP(AS1185,[1]OUTLET!$B:$C,2,0)</f>
        <v>#N/A</v>
      </c>
      <c r="AU1185" s="31"/>
      <c r="AV1185" s="4"/>
      <c r="AW1185" s="44"/>
      <c r="AX1185" s="44"/>
      <c r="AY1185" s="44"/>
      <c r="AZ1185" s="44"/>
      <c r="BA1185" s="44"/>
      <c r="BB1185" s="44"/>
      <c r="BC1185" s="44"/>
      <c r="BD1185" s="44"/>
      <c r="BE1185" s="44"/>
      <c r="BF1185" s="44"/>
      <c r="BG1185" s="44"/>
      <c r="BH1185" s="44"/>
      <c r="BI1185" s="44"/>
      <c r="BJ1185" s="44"/>
      <c r="BK1185" s="44"/>
      <c r="BL1185" s="44"/>
      <c r="BM1185" s="44"/>
      <c r="BN1185" s="44"/>
      <c r="BO1185" s="55"/>
      <c r="BP1185" s="40"/>
      <c r="BQ1185" s="4"/>
      <c r="BR1185" s="61"/>
      <c r="BS1185" s="4"/>
      <c r="BT1185" s="57"/>
      <c r="BU1185" s="62"/>
      <c r="BV1185" s="8"/>
      <c r="BW1185" s="58"/>
    </row>
    <row r="1186" spans="41:75" x14ac:dyDescent="0.35">
      <c r="AO1186" s="39">
        <v>1184</v>
      </c>
      <c r="AP1186" s="62"/>
      <c r="AQ1186" s="39"/>
      <c r="AR1186" s="42" t="str">
        <f>IFERROR(VLOOKUP(AU1186,[1]SUMMARY!$A$3:$B$7,2,FALSE),"")</f>
        <v/>
      </c>
      <c r="AS1186" s="31"/>
      <c r="AT1186" s="31" t="e">
        <f>VLOOKUP(AS1186,[1]OUTLET!$B:$C,2,0)</f>
        <v>#N/A</v>
      </c>
      <c r="AU1186" s="31"/>
      <c r="AV1186" s="4"/>
      <c r="AW1186" s="44"/>
      <c r="AX1186" s="44"/>
      <c r="AY1186" s="44"/>
      <c r="AZ1186" s="44"/>
      <c r="BA1186" s="44"/>
      <c r="BB1186" s="44"/>
      <c r="BC1186" s="44"/>
      <c r="BD1186" s="44"/>
      <c r="BE1186" s="44"/>
      <c r="BF1186" s="44"/>
      <c r="BG1186" s="44"/>
      <c r="BH1186" s="44"/>
      <c r="BI1186" s="44"/>
      <c r="BJ1186" s="44"/>
      <c r="BK1186" s="44"/>
      <c r="BL1186" s="44"/>
      <c r="BM1186" s="44"/>
      <c r="BN1186" s="44"/>
      <c r="BO1186" s="55"/>
      <c r="BP1186" s="40"/>
      <c r="BQ1186" s="4"/>
      <c r="BR1186" s="61"/>
      <c r="BS1186" s="4"/>
      <c r="BT1186" s="57"/>
      <c r="BU1186" s="62"/>
      <c r="BV1186" s="8"/>
      <c r="BW1186" s="58"/>
    </row>
    <row r="1187" spans="41:75" x14ac:dyDescent="0.35">
      <c r="AO1187" s="39">
        <v>1185</v>
      </c>
      <c r="AP1187" s="62"/>
      <c r="AQ1187" s="39"/>
      <c r="AR1187" s="42" t="str">
        <f>IFERROR(VLOOKUP(AU1187,[1]SUMMARY!$A$3:$B$7,2,FALSE),"")</f>
        <v/>
      </c>
      <c r="AS1187" s="31"/>
      <c r="AT1187" s="31" t="e">
        <f>VLOOKUP(AS1187,[1]OUTLET!$B:$C,2,0)</f>
        <v>#N/A</v>
      </c>
      <c r="AU1187" s="31"/>
      <c r="AV1187" s="4"/>
      <c r="AW1187" s="44"/>
      <c r="AX1187" s="44"/>
      <c r="AY1187" s="44"/>
      <c r="AZ1187" s="44"/>
      <c r="BA1187" s="44"/>
      <c r="BB1187" s="44"/>
      <c r="BC1187" s="44"/>
      <c r="BD1187" s="44"/>
      <c r="BE1187" s="44"/>
      <c r="BF1187" s="44"/>
      <c r="BG1187" s="44"/>
      <c r="BH1187" s="44"/>
      <c r="BI1187" s="44"/>
      <c r="BJ1187" s="44"/>
      <c r="BK1187" s="44"/>
      <c r="BL1187" s="44"/>
      <c r="BM1187" s="44"/>
      <c r="BN1187" s="44"/>
      <c r="BO1187" s="55"/>
      <c r="BP1187" s="40"/>
      <c r="BQ1187" s="4"/>
      <c r="BR1187" s="61"/>
      <c r="BS1187" s="4"/>
      <c r="BT1187" s="57"/>
      <c r="BU1187" s="62"/>
      <c r="BV1187" s="8"/>
      <c r="BW1187" s="58"/>
    </row>
    <row r="1188" spans="41:75" x14ac:dyDescent="0.35">
      <c r="AO1188" s="39">
        <v>1186</v>
      </c>
      <c r="AP1188" s="62"/>
      <c r="AQ1188" s="39"/>
      <c r="AR1188" s="42" t="str">
        <f>IFERROR(VLOOKUP(AU1188,[1]SUMMARY!$A$3:$B$7,2,FALSE),"")</f>
        <v/>
      </c>
      <c r="AS1188" s="31"/>
      <c r="AT1188" s="31" t="e">
        <f>VLOOKUP(AS1188,[1]OUTLET!$B:$C,2,0)</f>
        <v>#N/A</v>
      </c>
      <c r="AU1188" s="31"/>
      <c r="AV1188" s="4"/>
      <c r="AW1188" s="44"/>
      <c r="AX1188" s="44"/>
      <c r="AY1188" s="44"/>
      <c r="AZ1188" s="44"/>
      <c r="BA1188" s="44"/>
      <c r="BB1188" s="44"/>
      <c r="BC1188" s="44"/>
      <c r="BD1188" s="44"/>
      <c r="BE1188" s="44"/>
      <c r="BF1188" s="44"/>
      <c r="BG1188" s="44"/>
      <c r="BH1188" s="44"/>
      <c r="BI1188" s="44"/>
      <c r="BJ1188" s="44"/>
      <c r="BK1188" s="44"/>
      <c r="BL1188" s="44"/>
      <c r="BM1188" s="44"/>
      <c r="BN1188" s="44"/>
      <c r="BO1188" s="55"/>
      <c r="BP1188" s="40"/>
      <c r="BQ1188" s="4"/>
      <c r="BR1188" s="61"/>
      <c r="BS1188" s="4"/>
      <c r="BT1188" s="57"/>
      <c r="BU1188" s="62"/>
      <c r="BV1188" s="8"/>
      <c r="BW1188" s="58"/>
    </row>
    <row r="1189" spans="41:75" x14ac:dyDescent="0.35">
      <c r="AO1189" s="39">
        <v>1187</v>
      </c>
      <c r="AP1189" s="62"/>
      <c r="AQ1189" s="39"/>
      <c r="AR1189" s="42" t="str">
        <f>IFERROR(VLOOKUP(AU1189,[1]SUMMARY!$A$3:$B$7,2,FALSE),"")</f>
        <v/>
      </c>
      <c r="AS1189" s="31"/>
      <c r="AT1189" s="31" t="e">
        <f>VLOOKUP(AS1189,[1]OUTLET!$B:$C,2,0)</f>
        <v>#N/A</v>
      </c>
      <c r="AU1189" s="31"/>
      <c r="AV1189" s="4"/>
      <c r="AW1189" s="44"/>
      <c r="AX1189" s="44"/>
      <c r="AY1189" s="44"/>
      <c r="AZ1189" s="44"/>
      <c r="BA1189" s="44"/>
      <c r="BB1189" s="44"/>
      <c r="BC1189" s="44"/>
      <c r="BD1189" s="44"/>
      <c r="BE1189" s="44"/>
      <c r="BF1189" s="44"/>
      <c r="BG1189" s="44"/>
      <c r="BH1189" s="44"/>
      <c r="BI1189" s="44"/>
      <c r="BJ1189" s="44"/>
      <c r="BK1189" s="44"/>
      <c r="BL1189" s="44"/>
      <c r="BM1189" s="44"/>
      <c r="BN1189" s="44"/>
      <c r="BO1189" s="55"/>
      <c r="BP1189" s="40"/>
      <c r="BQ1189" s="4"/>
      <c r="BR1189" s="61"/>
      <c r="BS1189" s="4"/>
      <c r="BT1189" s="57"/>
      <c r="BU1189" s="62"/>
      <c r="BV1189" s="8"/>
      <c r="BW1189" s="58"/>
    </row>
    <row r="1190" spans="41:75" x14ac:dyDescent="0.35">
      <c r="AO1190" s="39">
        <v>1188</v>
      </c>
      <c r="AP1190" s="62"/>
      <c r="AQ1190" s="39"/>
      <c r="AR1190" s="42" t="str">
        <f>IFERROR(VLOOKUP(AU1190,[1]SUMMARY!$A$3:$B$7,2,FALSE),"")</f>
        <v/>
      </c>
      <c r="AS1190" s="31"/>
      <c r="AT1190" s="31" t="e">
        <f>VLOOKUP(AS1190,[1]OUTLET!$B:$C,2,0)</f>
        <v>#N/A</v>
      </c>
      <c r="AU1190" s="31"/>
      <c r="AV1190" s="4"/>
      <c r="AW1190" s="44"/>
      <c r="AX1190" s="44"/>
      <c r="AY1190" s="44"/>
      <c r="AZ1190" s="44"/>
      <c r="BA1190" s="44"/>
      <c r="BB1190" s="44"/>
      <c r="BC1190" s="44"/>
      <c r="BD1190" s="44"/>
      <c r="BE1190" s="44"/>
      <c r="BF1190" s="44"/>
      <c r="BG1190" s="44"/>
      <c r="BH1190" s="44"/>
      <c r="BI1190" s="44"/>
      <c r="BJ1190" s="44"/>
      <c r="BK1190" s="44"/>
      <c r="BL1190" s="44"/>
      <c r="BM1190" s="44"/>
      <c r="BN1190" s="44"/>
      <c r="BO1190" s="55"/>
      <c r="BP1190" s="40"/>
      <c r="BQ1190" s="4"/>
      <c r="BR1190" s="61"/>
      <c r="BS1190" s="4"/>
      <c r="BT1190" s="57"/>
      <c r="BU1190" s="62"/>
      <c r="BV1190" s="8"/>
      <c r="BW1190" s="58"/>
    </row>
    <row r="1191" spans="41:75" x14ac:dyDescent="0.35">
      <c r="AO1191" s="39">
        <v>1189</v>
      </c>
      <c r="AP1191" s="62"/>
      <c r="AQ1191" s="39"/>
      <c r="AR1191" s="42" t="str">
        <f>IFERROR(VLOOKUP(AU1191,[1]SUMMARY!$A$3:$B$7,2,FALSE),"")</f>
        <v/>
      </c>
      <c r="AS1191" s="31"/>
      <c r="AT1191" s="31" t="e">
        <f>VLOOKUP(AS1191,[1]OUTLET!$B:$C,2,0)</f>
        <v>#N/A</v>
      </c>
      <c r="AU1191" s="31"/>
      <c r="AV1191" s="4"/>
      <c r="AW1191" s="44"/>
      <c r="AX1191" s="44"/>
      <c r="AY1191" s="44"/>
      <c r="AZ1191" s="44"/>
      <c r="BA1191" s="44"/>
      <c r="BB1191" s="44"/>
      <c r="BC1191" s="44"/>
      <c r="BD1191" s="44"/>
      <c r="BE1191" s="44"/>
      <c r="BF1191" s="44"/>
      <c r="BG1191" s="44"/>
      <c r="BH1191" s="44"/>
      <c r="BI1191" s="44"/>
      <c r="BJ1191" s="44"/>
      <c r="BK1191" s="44"/>
      <c r="BL1191" s="44"/>
      <c r="BM1191" s="44"/>
      <c r="BN1191" s="44"/>
      <c r="BO1191" s="55"/>
      <c r="BP1191" s="40"/>
      <c r="BQ1191" s="4"/>
      <c r="BR1191" s="61"/>
      <c r="BS1191" s="4"/>
      <c r="BT1191" s="57"/>
      <c r="BU1191" s="62"/>
      <c r="BV1191" s="8"/>
      <c r="BW1191" s="58"/>
    </row>
    <row r="1192" spans="41:75" x14ac:dyDescent="0.35">
      <c r="AO1192" s="39">
        <v>1190</v>
      </c>
      <c r="AP1192" s="62"/>
      <c r="AQ1192" s="39"/>
      <c r="AR1192" s="42" t="str">
        <f>IFERROR(VLOOKUP(AU1192,[1]SUMMARY!$A$3:$B$7,2,FALSE),"")</f>
        <v/>
      </c>
      <c r="AS1192" s="31"/>
      <c r="AT1192" s="31" t="e">
        <f>VLOOKUP(AS1192,[1]OUTLET!$B:$C,2,0)</f>
        <v>#N/A</v>
      </c>
      <c r="AU1192" s="31"/>
      <c r="AV1192" s="4"/>
      <c r="AW1192" s="44"/>
      <c r="AX1192" s="44"/>
      <c r="AY1192" s="44"/>
      <c r="AZ1192" s="44"/>
      <c r="BA1192" s="44"/>
      <c r="BB1192" s="44"/>
      <c r="BC1192" s="44"/>
      <c r="BD1192" s="44"/>
      <c r="BE1192" s="44"/>
      <c r="BF1192" s="44"/>
      <c r="BG1192" s="44"/>
      <c r="BH1192" s="44"/>
      <c r="BI1192" s="44"/>
      <c r="BJ1192" s="44"/>
      <c r="BK1192" s="44"/>
      <c r="BL1192" s="44"/>
      <c r="BM1192" s="44"/>
      <c r="BN1192" s="44"/>
      <c r="BO1192" s="55"/>
      <c r="BP1192" s="40"/>
      <c r="BQ1192" s="4"/>
      <c r="BR1192" s="61"/>
      <c r="BS1192" s="4"/>
      <c r="BT1192" s="57"/>
      <c r="BU1192" s="62"/>
      <c r="BV1192" s="8"/>
      <c r="BW1192" s="58"/>
    </row>
    <row r="1193" spans="41:75" x14ac:dyDescent="0.35">
      <c r="AO1193" s="39">
        <v>1191</v>
      </c>
      <c r="AP1193" s="62"/>
      <c r="AQ1193" s="39"/>
      <c r="AR1193" s="42" t="str">
        <f>IFERROR(VLOOKUP(AU1193,[1]SUMMARY!$A$3:$B$7,2,FALSE),"")</f>
        <v/>
      </c>
      <c r="AS1193" s="31"/>
      <c r="AT1193" s="31" t="e">
        <f>VLOOKUP(AS1193,[1]OUTLET!$B:$C,2,0)</f>
        <v>#N/A</v>
      </c>
      <c r="AU1193" s="31"/>
      <c r="AV1193" s="4"/>
      <c r="AW1193" s="44"/>
      <c r="AX1193" s="44"/>
      <c r="AY1193" s="44"/>
      <c r="AZ1193" s="44"/>
      <c r="BA1193" s="44"/>
      <c r="BB1193" s="44"/>
      <c r="BC1193" s="44"/>
      <c r="BD1193" s="44"/>
      <c r="BE1193" s="44"/>
      <c r="BF1193" s="44"/>
      <c r="BG1193" s="44"/>
      <c r="BH1193" s="44"/>
      <c r="BI1193" s="44"/>
      <c r="BJ1193" s="44"/>
      <c r="BK1193" s="44"/>
      <c r="BL1193" s="44"/>
      <c r="BM1193" s="44"/>
      <c r="BN1193" s="44"/>
      <c r="BO1193" s="55"/>
      <c r="BP1193" s="40"/>
      <c r="BQ1193" s="4"/>
      <c r="BR1193" s="61"/>
      <c r="BS1193" s="4"/>
      <c r="BT1193" s="57"/>
      <c r="BU1193" s="62"/>
      <c r="BV1193" s="8"/>
      <c r="BW1193" s="58"/>
    </row>
    <row r="1194" spans="41:75" x14ac:dyDescent="0.35">
      <c r="AO1194" s="39">
        <v>1192</v>
      </c>
      <c r="AP1194" s="62"/>
      <c r="AQ1194" s="39"/>
      <c r="AR1194" s="42" t="str">
        <f>IFERROR(VLOOKUP(AU1194,[1]SUMMARY!$A$3:$B$7,2,FALSE),"")</f>
        <v/>
      </c>
      <c r="AS1194" s="31"/>
      <c r="AT1194" s="31" t="e">
        <f>VLOOKUP(AS1194,[1]OUTLET!$B:$C,2,0)</f>
        <v>#N/A</v>
      </c>
      <c r="AU1194" s="31"/>
      <c r="AV1194" s="4"/>
      <c r="AW1194" s="44"/>
      <c r="AX1194" s="44"/>
      <c r="AY1194" s="44"/>
      <c r="AZ1194" s="44"/>
      <c r="BA1194" s="44"/>
      <c r="BB1194" s="44"/>
      <c r="BC1194" s="44"/>
      <c r="BD1194" s="44"/>
      <c r="BE1194" s="44"/>
      <c r="BF1194" s="44"/>
      <c r="BG1194" s="44"/>
      <c r="BH1194" s="44"/>
      <c r="BI1194" s="44"/>
      <c r="BJ1194" s="44"/>
      <c r="BK1194" s="44"/>
      <c r="BL1194" s="44"/>
      <c r="BM1194" s="44"/>
      <c r="BN1194" s="44"/>
      <c r="BO1194" s="55"/>
      <c r="BP1194" s="40"/>
      <c r="BQ1194" s="4"/>
      <c r="BR1194" s="61"/>
      <c r="BS1194" s="4"/>
      <c r="BT1194" s="57"/>
      <c r="BU1194" s="62"/>
      <c r="BV1194" s="8"/>
      <c r="BW1194" s="58"/>
    </row>
    <row r="1195" spans="41:75" x14ac:dyDescent="0.35">
      <c r="AO1195" s="39">
        <v>1193</v>
      </c>
      <c r="AP1195" s="62"/>
      <c r="AQ1195" s="39"/>
      <c r="AR1195" s="42" t="str">
        <f>IFERROR(VLOOKUP(AU1195,[1]SUMMARY!$A$3:$B$7,2,FALSE),"")</f>
        <v/>
      </c>
      <c r="AS1195" s="31"/>
      <c r="AT1195" s="31" t="e">
        <f>VLOOKUP(AS1195,[1]OUTLET!$B:$C,2,0)</f>
        <v>#N/A</v>
      </c>
      <c r="AU1195" s="31"/>
      <c r="AV1195" s="4"/>
      <c r="AW1195" s="44"/>
      <c r="AX1195" s="44"/>
      <c r="AY1195" s="44"/>
      <c r="AZ1195" s="44"/>
      <c r="BA1195" s="44"/>
      <c r="BB1195" s="44"/>
      <c r="BC1195" s="44"/>
      <c r="BD1195" s="44"/>
      <c r="BE1195" s="44"/>
      <c r="BF1195" s="44"/>
      <c r="BG1195" s="44"/>
      <c r="BH1195" s="44"/>
      <c r="BI1195" s="44"/>
      <c r="BJ1195" s="44"/>
      <c r="BK1195" s="44"/>
      <c r="BL1195" s="44"/>
      <c r="BM1195" s="44"/>
      <c r="BN1195" s="44"/>
      <c r="BO1195" s="55"/>
      <c r="BP1195" s="40"/>
      <c r="BQ1195" s="4"/>
      <c r="BR1195" s="61"/>
      <c r="BS1195" s="4"/>
      <c r="BT1195" s="57"/>
      <c r="BU1195" s="62"/>
      <c r="BV1195" s="8"/>
      <c r="BW1195" s="58"/>
    </row>
    <row r="1196" spans="41:75" x14ac:dyDescent="0.35">
      <c r="AO1196" s="39">
        <v>1194</v>
      </c>
      <c r="AP1196" s="62"/>
      <c r="AQ1196" s="39"/>
      <c r="AR1196" s="42" t="str">
        <f>IFERROR(VLOOKUP(AU1196,[1]SUMMARY!$A$3:$B$7,2,FALSE),"")</f>
        <v/>
      </c>
      <c r="AS1196" s="31"/>
      <c r="AT1196" s="31" t="e">
        <f>VLOOKUP(AS1196,[1]OUTLET!$B:$C,2,0)</f>
        <v>#N/A</v>
      </c>
      <c r="AU1196" s="31"/>
      <c r="AV1196" s="4"/>
      <c r="AW1196" s="44"/>
      <c r="AX1196" s="44"/>
      <c r="AY1196" s="44"/>
      <c r="AZ1196" s="44"/>
      <c r="BA1196" s="44"/>
      <c r="BB1196" s="44"/>
      <c r="BC1196" s="44"/>
      <c r="BD1196" s="44"/>
      <c r="BE1196" s="44"/>
      <c r="BF1196" s="44"/>
      <c r="BG1196" s="44"/>
      <c r="BH1196" s="44"/>
      <c r="BI1196" s="44"/>
      <c r="BJ1196" s="44"/>
      <c r="BK1196" s="44"/>
      <c r="BL1196" s="44"/>
      <c r="BM1196" s="44"/>
      <c r="BN1196" s="44"/>
      <c r="BO1196" s="55"/>
      <c r="BP1196" s="40"/>
      <c r="BQ1196" s="4"/>
      <c r="BR1196" s="61"/>
      <c r="BS1196" s="4"/>
      <c r="BT1196" s="57"/>
      <c r="BU1196" s="62"/>
      <c r="BV1196" s="8"/>
      <c r="BW1196" s="58"/>
    </row>
    <row r="1197" spans="41:75" x14ac:dyDescent="0.35">
      <c r="AO1197" s="39">
        <v>1195</v>
      </c>
      <c r="AP1197" s="62"/>
      <c r="AQ1197" s="39"/>
      <c r="AR1197" s="42" t="str">
        <f>IFERROR(VLOOKUP(AU1197,[1]SUMMARY!$A$3:$B$7,2,FALSE),"")</f>
        <v/>
      </c>
      <c r="AS1197" s="31"/>
      <c r="AT1197" s="31" t="e">
        <f>VLOOKUP(AS1197,[1]OUTLET!$B:$C,2,0)</f>
        <v>#N/A</v>
      </c>
      <c r="AU1197" s="31"/>
      <c r="AV1197" s="4"/>
      <c r="AW1197" s="44"/>
      <c r="AX1197" s="44"/>
      <c r="AY1197" s="44"/>
      <c r="AZ1197" s="44"/>
      <c r="BA1197" s="44"/>
      <c r="BB1197" s="44"/>
      <c r="BC1197" s="44"/>
      <c r="BD1197" s="44"/>
      <c r="BE1197" s="44"/>
      <c r="BF1197" s="44"/>
      <c r="BG1197" s="44"/>
      <c r="BH1197" s="44"/>
      <c r="BI1197" s="44"/>
      <c r="BJ1197" s="44"/>
      <c r="BK1197" s="44"/>
      <c r="BL1197" s="44"/>
      <c r="BM1197" s="44"/>
      <c r="BN1197" s="44"/>
      <c r="BO1197" s="55"/>
      <c r="BP1197" s="40"/>
      <c r="BQ1197" s="4"/>
      <c r="BR1197" s="61"/>
      <c r="BS1197" s="4"/>
      <c r="BT1197" s="57"/>
      <c r="BU1197" s="62"/>
      <c r="BV1197" s="8"/>
      <c r="BW1197" s="58"/>
    </row>
    <row r="1198" spans="41:75" x14ac:dyDescent="0.35">
      <c r="AO1198" s="39">
        <v>1196</v>
      </c>
      <c r="AP1198" s="62"/>
      <c r="AQ1198" s="39"/>
      <c r="AR1198" s="42" t="str">
        <f>IFERROR(VLOOKUP(AU1198,[1]SUMMARY!$A$3:$B$7,2,FALSE),"")</f>
        <v/>
      </c>
      <c r="AS1198" s="31"/>
      <c r="AT1198" s="31" t="e">
        <f>VLOOKUP(AS1198,[1]OUTLET!$B:$C,2,0)</f>
        <v>#N/A</v>
      </c>
      <c r="AU1198" s="31"/>
      <c r="AV1198" s="4"/>
      <c r="AW1198" s="44"/>
      <c r="AX1198" s="44"/>
      <c r="AY1198" s="44"/>
      <c r="AZ1198" s="44"/>
      <c r="BA1198" s="44"/>
      <c r="BB1198" s="44"/>
      <c r="BC1198" s="44"/>
      <c r="BD1198" s="44"/>
      <c r="BE1198" s="44"/>
      <c r="BF1198" s="44"/>
      <c r="BG1198" s="44"/>
      <c r="BH1198" s="44"/>
      <c r="BI1198" s="44"/>
      <c r="BJ1198" s="44"/>
      <c r="BK1198" s="44"/>
      <c r="BL1198" s="44"/>
      <c r="BM1198" s="44"/>
      <c r="BN1198" s="44"/>
      <c r="BO1198" s="55"/>
      <c r="BP1198" s="40"/>
      <c r="BQ1198" s="4"/>
      <c r="BR1198" s="61"/>
      <c r="BS1198" s="4"/>
      <c r="BT1198" s="57"/>
      <c r="BU1198" s="62"/>
      <c r="BV1198" s="8"/>
      <c r="BW1198" s="58"/>
    </row>
    <row r="1199" spans="41:75" x14ac:dyDescent="0.35">
      <c r="AO1199" s="39">
        <v>1197</v>
      </c>
      <c r="AP1199" s="62"/>
      <c r="AQ1199" s="39"/>
      <c r="AR1199" s="42" t="str">
        <f>IFERROR(VLOOKUP(AU1199,[1]SUMMARY!$A$3:$B$7,2,FALSE),"")</f>
        <v/>
      </c>
      <c r="AS1199" s="31"/>
      <c r="AT1199" s="31" t="e">
        <f>VLOOKUP(AS1199,[1]OUTLET!$B:$C,2,0)</f>
        <v>#N/A</v>
      </c>
      <c r="AU1199" s="31"/>
      <c r="AV1199" s="4"/>
      <c r="AW1199" s="44"/>
      <c r="AX1199" s="44"/>
      <c r="AY1199" s="44"/>
      <c r="AZ1199" s="44"/>
      <c r="BA1199" s="44"/>
      <c r="BB1199" s="44"/>
      <c r="BC1199" s="44"/>
      <c r="BD1199" s="44"/>
      <c r="BE1199" s="44"/>
      <c r="BF1199" s="44"/>
      <c r="BG1199" s="44"/>
      <c r="BH1199" s="44"/>
      <c r="BI1199" s="44"/>
      <c r="BJ1199" s="44"/>
      <c r="BK1199" s="44"/>
      <c r="BL1199" s="44"/>
      <c r="BM1199" s="44"/>
      <c r="BN1199" s="44"/>
      <c r="BO1199" s="55"/>
      <c r="BP1199" s="40"/>
      <c r="BQ1199" s="4"/>
      <c r="BR1199" s="61"/>
      <c r="BS1199" s="4"/>
      <c r="BT1199" s="57"/>
      <c r="BU1199" s="62"/>
      <c r="BV1199" s="8"/>
      <c r="BW1199" s="58"/>
    </row>
    <row r="1200" spans="41:75" x14ac:dyDescent="0.35">
      <c r="AO1200" s="39">
        <v>1198</v>
      </c>
      <c r="AP1200" s="62"/>
      <c r="AQ1200" s="39"/>
      <c r="AR1200" s="42" t="str">
        <f>IFERROR(VLOOKUP(AU1200,[1]SUMMARY!$A$3:$B$7,2,FALSE),"")</f>
        <v/>
      </c>
      <c r="AS1200" s="31"/>
      <c r="AT1200" s="31" t="e">
        <f>VLOOKUP(AS1200,[1]OUTLET!$B:$C,2,0)</f>
        <v>#N/A</v>
      </c>
      <c r="AU1200" s="31"/>
      <c r="AV1200" s="4"/>
      <c r="AW1200" s="44"/>
      <c r="AX1200" s="44"/>
      <c r="AY1200" s="44"/>
      <c r="AZ1200" s="44"/>
      <c r="BA1200" s="44"/>
      <c r="BB1200" s="44"/>
      <c r="BC1200" s="44"/>
      <c r="BD1200" s="44"/>
      <c r="BE1200" s="44"/>
      <c r="BF1200" s="44"/>
      <c r="BG1200" s="44"/>
      <c r="BH1200" s="44"/>
      <c r="BI1200" s="44"/>
      <c r="BJ1200" s="44"/>
      <c r="BK1200" s="44"/>
      <c r="BL1200" s="44"/>
      <c r="BM1200" s="44"/>
      <c r="BN1200" s="44"/>
      <c r="BO1200" s="55"/>
      <c r="BP1200" s="40"/>
      <c r="BQ1200" s="4"/>
      <c r="BR1200" s="61"/>
      <c r="BS1200" s="4"/>
      <c r="BT1200" s="57"/>
      <c r="BU1200" s="62"/>
      <c r="BV1200" s="8"/>
      <c r="BW1200" s="58"/>
    </row>
    <row r="1201" spans="41:75" x14ac:dyDescent="0.35">
      <c r="AO1201" s="39">
        <v>1199</v>
      </c>
      <c r="AP1201" s="62"/>
      <c r="AQ1201" s="39"/>
      <c r="AR1201" s="42" t="str">
        <f>IFERROR(VLOOKUP(AU1201,[1]SUMMARY!$A$3:$B$7,2,FALSE),"")</f>
        <v/>
      </c>
      <c r="AS1201" s="31"/>
      <c r="AT1201" s="31" t="e">
        <f>VLOOKUP(AS1201,[1]OUTLET!$B:$C,2,0)</f>
        <v>#N/A</v>
      </c>
      <c r="AU1201" s="31"/>
      <c r="AV1201" s="4"/>
      <c r="AW1201" s="44"/>
      <c r="AX1201" s="44"/>
      <c r="AY1201" s="44"/>
      <c r="AZ1201" s="44"/>
      <c r="BA1201" s="44"/>
      <c r="BB1201" s="44"/>
      <c r="BC1201" s="44"/>
      <c r="BD1201" s="44"/>
      <c r="BE1201" s="44"/>
      <c r="BF1201" s="44"/>
      <c r="BG1201" s="44"/>
      <c r="BH1201" s="44"/>
      <c r="BI1201" s="44"/>
      <c r="BJ1201" s="44"/>
      <c r="BK1201" s="44"/>
      <c r="BL1201" s="44"/>
      <c r="BM1201" s="44"/>
      <c r="BN1201" s="44"/>
      <c r="BO1201" s="55"/>
      <c r="BP1201" s="40"/>
      <c r="BQ1201" s="4"/>
      <c r="BR1201" s="61"/>
      <c r="BS1201" s="4"/>
      <c r="BT1201" s="57"/>
      <c r="BU1201" s="62"/>
      <c r="BV1201" s="8"/>
      <c r="BW1201" s="58"/>
    </row>
    <row r="1202" spans="41:75" x14ac:dyDescent="0.35">
      <c r="AO1202" s="39">
        <v>1200</v>
      </c>
      <c r="AP1202" s="62"/>
      <c r="AQ1202" s="39"/>
      <c r="AR1202" s="42" t="str">
        <f>IFERROR(VLOOKUP(AU1202,[1]SUMMARY!$A$3:$B$7,2,FALSE),"")</f>
        <v/>
      </c>
      <c r="AS1202" s="31"/>
      <c r="AT1202" s="31" t="e">
        <f>VLOOKUP(AS1202,[1]OUTLET!$B:$C,2,0)</f>
        <v>#N/A</v>
      </c>
      <c r="AU1202" s="31"/>
      <c r="AV1202" s="4"/>
      <c r="AW1202" s="44"/>
      <c r="AX1202" s="44"/>
      <c r="AY1202" s="44"/>
      <c r="AZ1202" s="44"/>
      <c r="BA1202" s="44"/>
      <c r="BB1202" s="44"/>
      <c r="BC1202" s="44"/>
      <c r="BD1202" s="44"/>
      <c r="BE1202" s="44"/>
      <c r="BF1202" s="44"/>
      <c r="BG1202" s="44"/>
      <c r="BH1202" s="44"/>
      <c r="BI1202" s="44"/>
      <c r="BJ1202" s="44"/>
      <c r="BK1202" s="44"/>
      <c r="BL1202" s="44"/>
      <c r="BM1202" s="44"/>
      <c r="BN1202" s="44"/>
      <c r="BO1202" s="55"/>
      <c r="BP1202" s="40"/>
      <c r="BQ1202" s="4"/>
      <c r="BR1202" s="61"/>
      <c r="BS1202" s="4"/>
      <c r="BT1202" s="57"/>
      <c r="BU1202" s="62"/>
      <c r="BV1202" s="8"/>
      <c r="BW1202" s="58"/>
    </row>
    <row r="1203" spans="41:75" x14ac:dyDescent="0.35">
      <c r="AO1203" s="39">
        <v>1201</v>
      </c>
      <c r="AP1203" s="62"/>
      <c r="AQ1203" s="39"/>
      <c r="AR1203" s="42" t="str">
        <f>IFERROR(VLOOKUP(AU1203,[1]SUMMARY!$A$3:$B$7,2,FALSE),"")</f>
        <v/>
      </c>
      <c r="AS1203" s="31"/>
      <c r="AT1203" s="31" t="e">
        <f>VLOOKUP(AS1203,[1]OUTLET!$B:$C,2,0)</f>
        <v>#N/A</v>
      </c>
      <c r="AU1203" s="31"/>
      <c r="AV1203" s="4"/>
      <c r="AW1203" s="44"/>
      <c r="AX1203" s="44"/>
      <c r="AY1203" s="44"/>
      <c r="AZ1203" s="44"/>
      <c r="BA1203" s="44"/>
      <c r="BB1203" s="44"/>
      <c r="BC1203" s="44"/>
      <c r="BD1203" s="44"/>
      <c r="BE1203" s="44"/>
      <c r="BF1203" s="44"/>
      <c r="BG1203" s="44"/>
      <c r="BH1203" s="44"/>
      <c r="BI1203" s="44"/>
      <c r="BJ1203" s="44"/>
      <c r="BK1203" s="44"/>
      <c r="BL1203" s="44"/>
      <c r="BM1203" s="44"/>
      <c r="BN1203" s="44"/>
      <c r="BO1203" s="55"/>
      <c r="BP1203" s="40"/>
      <c r="BQ1203" s="4"/>
      <c r="BR1203" s="61"/>
      <c r="BS1203" s="4"/>
      <c r="BT1203" s="57"/>
      <c r="BU1203" s="62"/>
      <c r="BV1203" s="8"/>
      <c r="BW1203" s="58"/>
    </row>
    <row r="1204" spans="41:75" x14ac:dyDescent="0.35">
      <c r="AO1204" s="39">
        <v>1202</v>
      </c>
      <c r="AP1204" s="62"/>
      <c r="AQ1204" s="39"/>
      <c r="AR1204" s="42" t="str">
        <f>IFERROR(VLOOKUP(AU1204,[1]SUMMARY!$A$3:$B$7,2,FALSE),"")</f>
        <v/>
      </c>
      <c r="AS1204" s="31"/>
      <c r="AT1204" s="31" t="e">
        <f>VLOOKUP(AS1204,[1]OUTLET!$B:$C,2,0)</f>
        <v>#N/A</v>
      </c>
      <c r="AU1204" s="31"/>
      <c r="AV1204" s="4"/>
      <c r="AW1204" s="44"/>
      <c r="AX1204" s="44"/>
      <c r="AY1204" s="44"/>
      <c r="AZ1204" s="44"/>
      <c r="BA1204" s="44"/>
      <c r="BB1204" s="44"/>
      <c r="BC1204" s="44"/>
      <c r="BD1204" s="44"/>
      <c r="BE1204" s="44"/>
      <c r="BF1204" s="44"/>
      <c r="BG1204" s="44"/>
      <c r="BH1204" s="44"/>
      <c r="BI1204" s="44"/>
      <c r="BJ1204" s="44"/>
      <c r="BK1204" s="44"/>
      <c r="BL1204" s="44"/>
      <c r="BM1204" s="44"/>
      <c r="BN1204" s="44"/>
      <c r="BO1204" s="55"/>
      <c r="BP1204" s="40"/>
      <c r="BQ1204" s="4"/>
      <c r="BR1204" s="61"/>
      <c r="BS1204" s="4"/>
      <c r="BT1204" s="57"/>
      <c r="BU1204" s="62"/>
      <c r="BV1204" s="8"/>
      <c r="BW1204" s="58"/>
    </row>
    <row r="1205" spans="41:75" x14ac:dyDescent="0.35">
      <c r="AO1205" s="39">
        <v>1203</v>
      </c>
      <c r="AP1205" s="62"/>
      <c r="AQ1205" s="39"/>
      <c r="AR1205" s="42" t="str">
        <f>IFERROR(VLOOKUP(AU1205,[1]SUMMARY!$A$3:$B$7,2,FALSE),"")</f>
        <v/>
      </c>
      <c r="AS1205" s="31"/>
      <c r="AT1205" s="31" t="e">
        <f>VLOOKUP(AS1205,[1]OUTLET!$B:$C,2,0)</f>
        <v>#N/A</v>
      </c>
      <c r="AU1205" s="31"/>
      <c r="AV1205" s="4"/>
      <c r="AW1205" s="44"/>
      <c r="AX1205" s="44"/>
      <c r="AY1205" s="44"/>
      <c r="AZ1205" s="44"/>
      <c r="BA1205" s="44"/>
      <c r="BB1205" s="44"/>
      <c r="BC1205" s="44"/>
      <c r="BD1205" s="44"/>
      <c r="BE1205" s="44"/>
      <c r="BF1205" s="44"/>
      <c r="BG1205" s="44"/>
      <c r="BH1205" s="44"/>
      <c r="BI1205" s="44"/>
      <c r="BJ1205" s="44"/>
      <c r="BK1205" s="44"/>
      <c r="BL1205" s="44"/>
      <c r="BM1205" s="44"/>
      <c r="BN1205" s="44"/>
      <c r="BO1205" s="55"/>
      <c r="BP1205" s="40"/>
      <c r="BQ1205" s="4"/>
      <c r="BR1205" s="61"/>
      <c r="BS1205" s="4"/>
      <c r="BT1205" s="57"/>
      <c r="BU1205" s="62"/>
      <c r="BV1205" s="8"/>
      <c r="BW1205" s="58"/>
    </row>
    <row r="1206" spans="41:75" x14ac:dyDescent="0.35">
      <c r="AO1206" s="39">
        <v>1204</v>
      </c>
      <c r="AP1206" s="62"/>
      <c r="AQ1206" s="39"/>
      <c r="AR1206" s="42" t="str">
        <f>IFERROR(VLOOKUP(AU1206,[1]SUMMARY!$A$3:$B$7,2,FALSE),"")</f>
        <v/>
      </c>
      <c r="AS1206" s="31"/>
      <c r="AT1206" s="31" t="e">
        <f>VLOOKUP(AS1206,[1]OUTLET!$B:$C,2,0)</f>
        <v>#N/A</v>
      </c>
      <c r="AU1206" s="31"/>
      <c r="AV1206" s="4"/>
      <c r="AW1206" s="44"/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44"/>
      <c r="BJ1206" s="44"/>
      <c r="BK1206" s="44"/>
      <c r="BL1206" s="44"/>
      <c r="BM1206" s="44"/>
      <c r="BN1206" s="44"/>
      <c r="BO1206" s="55"/>
      <c r="BP1206" s="40"/>
      <c r="BQ1206" s="4"/>
      <c r="BR1206" s="61"/>
      <c r="BS1206" s="4"/>
      <c r="BT1206" s="57"/>
      <c r="BU1206" s="62"/>
      <c r="BV1206" s="8"/>
      <c r="BW1206" s="58"/>
    </row>
    <row r="1207" spans="41:75" x14ac:dyDescent="0.35">
      <c r="AO1207" s="39">
        <v>1205</v>
      </c>
      <c r="AP1207" s="62"/>
      <c r="AQ1207" s="39"/>
      <c r="AR1207" s="42" t="str">
        <f>IFERROR(VLOOKUP(AU1207,[1]SUMMARY!$A$3:$B$7,2,FALSE),"")</f>
        <v/>
      </c>
      <c r="AS1207" s="31"/>
      <c r="AT1207" s="31" t="e">
        <f>VLOOKUP(AS1207,[1]OUTLET!$B:$C,2,0)</f>
        <v>#N/A</v>
      </c>
      <c r="AU1207" s="31"/>
      <c r="AV1207" s="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44"/>
      <c r="BJ1207" s="44"/>
      <c r="BK1207" s="44"/>
      <c r="BL1207" s="44"/>
      <c r="BM1207" s="44"/>
      <c r="BN1207" s="44"/>
      <c r="BO1207" s="55"/>
      <c r="BP1207" s="40"/>
      <c r="BQ1207" s="4"/>
      <c r="BR1207" s="61"/>
      <c r="BS1207" s="4"/>
      <c r="BT1207" s="57"/>
      <c r="BU1207" s="62"/>
      <c r="BV1207" s="8"/>
      <c r="BW1207" s="58"/>
    </row>
    <row r="1208" spans="41:75" x14ac:dyDescent="0.35">
      <c r="AO1208" s="39">
        <v>1206</v>
      </c>
      <c r="AP1208" s="62"/>
      <c r="AQ1208" s="39"/>
      <c r="AR1208" s="42" t="str">
        <f>IFERROR(VLOOKUP(AU1208,[1]SUMMARY!$A$3:$B$7,2,FALSE),"")</f>
        <v/>
      </c>
      <c r="AS1208" s="31"/>
      <c r="AT1208" s="31" t="e">
        <f>VLOOKUP(AS1208,[1]OUTLET!$B:$C,2,0)</f>
        <v>#N/A</v>
      </c>
      <c r="AU1208" s="31"/>
      <c r="AV1208" s="4"/>
      <c r="AW1208" s="44"/>
      <c r="AX1208" s="44"/>
      <c r="AY1208" s="44"/>
      <c r="AZ1208" s="44"/>
      <c r="BA1208" s="44"/>
      <c r="BB1208" s="44"/>
      <c r="BC1208" s="44"/>
      <c r="BD1208" s="44"/>
      <c r="BE1208" s="44"/>
      <c r="BF1208" s="44"/>
      <c r="BG1208" s="44"/>
      <c r="BH1208" s="44"/>
      <c r="BI1208" s="44"/>
      <c r="BJ1208" s="44"/>
      <c r="BK1208" s="44"/>
      <c r="BL1208" s="44"/>
      <c r="BM1208" s="44"/>
      <c r="BN1208" s="44"/>
      <c r="BO1208" s="55"/>
      <c r="BP1208" s="40"/>
      <c r="BQ1208" s="4"/>
      <c r="BR1208" s="61"/>
      <c r="BS1208" s="4"/>
      <c r="BT1208" s="57"/>
      <c r="BU1208" s="62"/>
      <c r="BV1208" s="8"/>
      <c r="BW1208" s="58"/>
    </row>
    <row r="1209" spans="41:75" x14ac:dyDescent="0.35">
      <c r="AO1209" s="39">
        <v>1207</v>
      </c>
      <c r="AP1209" s="62"/>
      <c r="AQ1209" s="39"/>
      <c r="AR1209" s="42" t="str">
        <f>IFERROR(VLOOKUP(AU1209,[1]SUMMARY!$A$3:$B$7,2,FALSE),"")</f>
        <v/>
      </c>
      <c r="AS1209" s="31"/>
      <c r="AT1209" s="31" t="e">
        <f>VLOOKUP(AS1209,[1]OUTLET!$B:$C,2,0)</f>
        <v>#N/A</v>
      </c>
      <c r="AU1209" s="31"/>
      <c r="AV1209" s="4"/>
      <c r="AW1209" s="44"/>
      <c r="AX1209" s="44"/>
      <c r="AY1209" s="44"/>
      <c r="AZ1209" s="44"/>
      <c r="BA1209" s="44"/>
      <c r="BB1209" s="44"/>
      <c r="BC1209" s="44"/>
      <c r="BD1209" s="44"/>
      <c r="BE1209" s="44"/>
      <c r="BF1209" s="44"/>
      <c r="BG1209" s="44"/>
      <c r="BH1209" s="44"/>
      <c r="BI1209" s="44"/>
      <c r="BJ1209" s="44"/>
      <c r="BK1209" s="44"/>
      <c r="BL1209" s="44"/>
      <c r="BM1209" s="44"/>
      <c r="BN1209" s="44"/>
      <c r="BO1209" s="55"/>
      <c r="BP1209" s="40"/>
      <c r="BQ1209" s="4"/>
      <c r="BR1209" s="61"/>
      <c r="BS1209" s="4"/>
      <c r="BT1209" s="57"/>
      <c r="BU1209" s="62"/>
      <c r="BV1209" s="8"/>
      <c r="BW1209" s="58"/>
    </row>
    <row r="1210" spans="41:75" x14ac:dyDescent="0.35">
      <c r="AO1210" s="39">
        <v>1208</v>
      </c>
      <c r="AP1210" s="62"/>
      <c r="AQ1210" s="39"/>
      <c r="AR1210" s="42" t="str">
        <f>IFERROR(VLOOKUP(AU1210,[1]SUMMARY!$A$3:$B$7,2,FALSE),"")</f>
        <v/>
      </c>
      <c r="AS1210" s="31"/>
      <c r="AT1210" s="31" t="e">
        <f>VLOOKUP(AS1210,[1]OUTLET!$B:$C,2,0)</f>
        <v>#N/A</v>
      </c>
      <c r="AU1210" s="31"/>
      <c r="AV1210" s="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55"/>
      <c r="BP1210" s="40"/>
      <c r="BQ1210" s="4"/>
      <c r="BR1210" s="61"/>
      <c r="BS1210" s="4"/>
      <c r="BT1210" s="57"/>
      <c r="BU1210" s="62"/>
      <c r="BV1210" s="8"/>
      <c r="BW1210" s="58"/>
    </row>
    <row r="1211" spans="41:75" x14ac:dyDescent="0.35">
      <c r="AO1211" s="39">
        <v>1209</v>
      </c>
      <c r="AP1211" s="62"/>
      <c r="AQ1211" s="39"/>
      <c r="AR1211" s="42" t="str">
        <f>IFERROR(VLOOKUP(AU1211,[1]SUMMARY!$A$3:$B$7,2,FALSE),"")</f>
        <v/>
      </c>
      <c r="AS1211" s="31"/>
      <c r="AT1211" s="31" t="e">
        <f>VLOOKUP(AS1211,[1]OUTLET!$B:$C,2,0)</f>
        <v>#N/A</v>
      </c>
      <c r="AU1211" s="31"/>
      <c r="AV1211" s="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55"/>
      <c r="BP1211" s="40"/>
      <c r="BQ1211" s="4"/>
      <c r="BR1211" s="61"/>
      <c r="BS1211" s="4"/>
      <c r="BT1211" s="57"/>
      <c r="BU1211" s="62"/>
      <c r="BV1211" s="8"/>
      <c r="BW1211" s="58"/>
    </row>
    <row r="1212" spans="41:75" x14ac:dyDescent="0.35">
      <c r="AO1212" s="39">
        <v>1210</v>
      </c>
      <c r="AP1212" s="62"/>
      <c r="AQ1212" s="39"/>
      <c r="AR1212" s="42" t="str">
        <f>IFERROR(VLOOKUP(AU1212,[1]SUMMARY!$A$3:$B$7,2,FALSE),"")</f>
        <v/>
      </c>
      <c r="AS1212" s="31"/>
      <c r="AT1212" s="31" t="e">
        <f>VLOOKUP(AS1212,[1]OUTLET!$B:$C,2,0)</f>
        <v>#N/A</v>
      </c>
      <c r="AU1212" s="31"/>
      <c r="AV1212" s="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55"/>
      <c r="BP1212" s="40"/>
      <c r="BQ1212" s="4"/>
      <c r="BR1212" s="61"/>
      <c r="BS1212" s="4"/>
      <c r="BT1212" s="57"/>
      <c r="BU1212" s="62"/>
      <c r="BV1212" s="8"/>
      <c r="BW1212" s="58"/>
    </row>
    <row r="1213" spans="41:75" x14ac:dyDescent="0.35">
      <c r="AO1213" s="39">
        <v>1211</v>
      </c>
      <c r="AP1213" s="62"/>
      <c r="AQ1213" s="39"/>
      <c r="AR1213" s="42" t="str">
        <f>IFERROR(VLOOKUP(AU1213,[1]SUMMARY!$A$3:$B$7,2,FALSE),"")</f>
        <v/>
      </c>
      <c r="AS1213" s="31"/>
      <c r="AT1213" s="31" t="e">
        <f>VLOOKUP(AS1213,[1]OUTLET!$B:$C,2,0)</f>
        <v>#N/A</v>
      </c>
      <c r="AU1213" s="31"/>
      <c r="AV1213" s="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55"/>
      <c r="BP1213" s="40"/>
      <c r="BQ1213" s="4"/>
      <c r="BR1213" s="61"/>
      <c r="BS1213" s="4"/>
      <c r="BT1213" s="57"/>
      <c r="BU1213" s="62"/>
      <c r="BV1213" s="8"/>
      <c r="BW1213" s="58"/>
    </row>
    <row r="1214" spans="41:75" x14ac:dyDescent="0.35">
      <c r="AO1214" s="39">
        <v>1212</v>
      </c>
      <c r="AP1214" s="62"/>
      <c r="AQ1214" s="39"/>
      <c r="AR1214" s="42" t="str">
        <f>IFERROR(VLOOKUP(AU1214,[1]SUMMARY!$A$3:$B$7,2,FALSE),"")</f>
        <v/>
      </c>
      <c r="AS1214" s="31"/>
      <c r="AT1214" s="31" t="e">
        <f>VLOOKUP(AS1214,[1]OUTLET!$B:$C,2,0)</f>
        <v>#N/A</v>
      </c>
      <c r="AU1214" s="31"/>
      <c r="AV1214" s="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55"/>
      <c r="BP1214" s="40"/>
      <c r="BQ1214" s="4"/>
      <c r="BR1214" s="61"/>
      <c r="BS1214" s="4"/>
      <c r="BT1214" s="57"/>
      <c r="BU1214" s="62"/>
      <c r="BV1214" s="8"/>
      <c r="BW1214" s="58"/>
    </row>
    <row r="1215" spans="41:75" x14ac:dyDescent="0.35">
      <c r="AO1215" s="39">
        <v>1213</v>
      </c>
      <c r="AP1215" s="62"/>
      <c r="AQ1215" s="39"/>
      <c r="AR1215" s="42" t="str">
        <f>IFERROR(VLOOKUP(AU1215,[1]SUMMARY!$A$3:$B$7,2,FALSE),"")</f>
        <v/>
      </c>
      <c r="AS1215" s="31"/>
      <c r="AT1215" s="31" t="e">
        <f>VLOOKUP(AS1215,[1]OUTLET!$B:$C,2,0)</f>
        <v>#N/A</v>
      </c>
      <c r="AU1215" s="31"/>
      <c r="AV1215" s="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55"/>
      <c r="BP1215" s="40"/>
      <c r="BQ1215" s="4"/>
      <c r="BR1215" s="61"/>
      <c r="BS1215" s="4"/>
      <c r="BT1215" s="57"/>
      <c r="BU1215" s="62"/>
      <c r="BV1215" s="8"/>
      <c r="BW1215" s="58"/>
    </row>
    <row r="1216" spans="41:75" x14ac:dyDescent="0.35">
      <c r="AO1216" s="39">
        <v>1214</v>
      </c>
      <c r="AP1216" s="62"/>
      <c r="AQ1216" s="39"/>
      <c r="AR1216" s="42" t="str">
        <f>IFERROR(VLOOKUP(AU1216,[1]SUMMARY!$A$3:$B$7,2,FALSE),"")</f>
        <v/>
      </c>
      <c r="AS1216" s="31"/>
      <c r="AT1216" s="31" t="e">
        <f>VLOOKUP(AS1216,[1]OUTLET!$B:$C,2,0)</f>
        <v>#N/A</v>
      </c>
      <c r="AU1216" s="31"/>
      <c r="AV1216" s="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55"/>
      <c r="BP1216" s="40"/>
      <c r="BQ1216" s="4"/>
      <c r="BR1216" s="61"/>
      <c r="BS1216" s="4"/>
      <c r="BT1216" s="57"/>
      <c r="BU1216" s="62"/>
      <c r="BV1216" s="8"/>
      <c r="BW1216" s="58"/>
    </row>
    <row r="1217" spans="41:75" x14ac:dyDescent="0.35">
      <c r="AO1217" s="39">
        <v>1215</v>
      </c>
      <c r="AP1217" s="62"/>
      <c r="AQ1217" s="39"/>
      <c r="AR1217" s="42" t="str">
        <f>IFERROR(VLOOKUP(AU1217,[1]SUMMARY!$A$3:$B$7,2,FALSE),"")</f>
        <v/>
      </c>
      <c r="AS1217" s="31"/>
      <c r="AT1217" s="31" t="e">
        <f>VLOOKUP(AS1217,[1]OUTLET!$B:$C,2,0)</f>
        <v>#N/A</v>
      </c>
      <c r="AU1217" s="31"/>
      <c r="AV1217" s="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55"/>
      <c r="BP1217" s="40"/>
      <c r="BQ1217" s="4"/>
      <c r="BR1217" s="61"/>
      <c r="BS1217" s="4"/>
      <c r="BT1217" s="57"/>
      <c r="BU1217" s="62"/>
      <c r="BV1217" s="8"/>
      <c r="BW1217" s="58"/>
    </row>
    <row r="1218" spans="41:75" x14ac:dyDescent="0.35">
      <c r="AO1218" s="39">
        <v>1216</v>
      </c>
      <c r="AP1218" s="62"/>
      <c r="AQ1218" s="39"/>
      <c r="AR1218" s="42" t="str">
        <f>IFERROR(VLOOKUP(AU1218,[1]SUMMARY!$A$3:$B$7,2,FALSE),"")</f>
        <v/>
      </c>
      <c r="AS1218" s="31"/>
      <c r="AT1218" s="31" t="e">
        <f>VLOOKUP(AS1218,[1]OUTLET!$B:$C,2,0)</f>
        <v>#N/A</v>
      </c>
      <c r="AU1218" s="31"/>
      <c r="AV1218" s="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55"/>
      <c r="BP1218" s="40"/>
      <c r="BQ1218" s="4"/>
      <c r="BR1218" s="61"/>
      <c r="BS1218" s="4"/>
      <c r="BT1218" s="57"/>
      <c r="BU1218" s="62"/>
      <c r="BV1218" s="8"/>
      <c r="BW1218" s="58"/>
    </row>
    <row r="1219" spans="41:75" x14ac:dyDescent="0.35">
      <c r="AO1219" s="39">
        <v>1217</v>
      </c>
      <c r="AP1219" s="62"/>
      <c r="AQ1219" s="39"/>
      <c r="AR1219" s="42" t="str">
        <f>IFERROR(VLOOKUP(AU1219,[1]SUMMARY!$A$3:$B$7,2,FALSE),"")</f>
        <v/>
      </c>
      <c r="AS1219" s="31"/>
      <c r="AT1219" s="31" t="e">
        <f>VLOOKUP(AS1219,[1]OUTLET!$B:$C,2,0)</f>
        <v>#N/A</v>
      </c>
      <c r="AU1219" s="31"/>
      <c r="AV1219" s="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55"/>
      <c r="BP1219" s="40"/>
      <c r="BQ1219" s="4"/>
      <c r="BR1219" s="61"/>
      <c r="BS1219" s="4"/>
      <c r="BT1219" s="57"/>
      <c r="BU1219" s="62"/>
      <c r="BV1219" s="8"/>
      <c r="BW1219" s="58"/>
    </row>
    <row r="1220" spans="41:75" x14ac:dyDescent="0.35">
      <c r="AO1220" s="39">
        <v>1218</v>
      </c>
      <c r="AP1220" s="62"/>
      <c r="AQ1220" s="39"/>
      <c r="AR1220" s="42" t="str">
        <f>IFERROR(VLOOKUP(AU1220,[1]SUMMARY!$A$3:$B$7,2,FALSE),"")</f>
        <v/>
      </c>
      <c r="AS1220" s="31"/>
      <c r="AT1220" s="31" t="e">
        <f>VLOOKUP(AS1220,[1]OUTLET!$B:$C,2,0)</f>
        <v>#N/A</v>
      </c>
      <c r="AU1220" s="31"/>
      <c r="AV1220" s="4"/>
      <c r="AW1220" s="44"/>
      <c r="AX1220" s="44"/>
      <c r="AY1220" s="44"/>
      <c r="AZ1220" s="44"/>
      <c r="BA1220" s="44"/>
      <c r="BB1220" s="44"/>
      <c r="BC1220" s="44"/>
      <c r="BD1220" s="44"/>
      <c r="BE1220" s="44"/>
      <c r="BF1220" s="44"/>
      <c r="BG1220" s="44"/>
      <c r="BH1220" s="44"/>
      <c r="BI1220" s="44"/>
      <c r="BJ1220" s="44"/>
      <c r="BK1220" s="44"/>
      <c r="BL1220" s="44"/>
      <c r="BM1220" s="44"/>
      <c r="BN1220" s="44"/>
      <c r="BO1220" s="55"/>
      <c r="BP1220" s="40"/>
      <c r="BQ1220" s="4"/>
      <c r="BR1220" s="61"/>
      <c r="BS1220" s="4"/>
      <c r="BT1220" s="57"/>
      <c r="BU1220" s="62"/>
      <c r="BV1220" s="8"/>
      <c r="BW1220" s="58"/>
    </row>
    <row r="1221" spans="41:75" x14ac:dyDescent="0.35">
      <c r="AO1221" s="39">
        <v>1219</v>
      </c>
      <c r="AP1221" s="62"/>
      <c r="AQ1221" s="39"/>
      <c r="AR1221" s="42" t="str">
        <f>IFERROR(VLOOKUP(AU1221,[1]SUMMARY!$A$3:$B$7,2,FALSE),"")</f>
        <v/>
      </c>
      <c r="AS1221" s="31"/>
      <c r="AT1221" s="31" t="e">
        <f>VLOOKUP(AS1221,[1]OUTLET!$B:$C,2,0)</f>
        <v>#N/A</v>
      </c>
      <c r="AU1221" s="31"/>
      <c r="AV1221" s="4"/>
      <c r="AW1221" s="44"/>
      <c r="AX1221" s="44"/>
      <c r="AY1221" s="44"/>
      <c r="AZ1221" s="44"/>
      <c r="BA1221" s="44"/>
      <c r="BB1221" s="44"/>
      <c r="BC1221" s="44"/>
      <c r="BD1221" s="44"/>
      <c r="BE1221" s="44"/>
      <c r="BF1221" s="44"/>
      <c r="BG1221" s="44"/>
      <c r="BH1221" s="44"/>
      <c r="BI1221" s="44"/>
      <c r="BJ1221" s="44"/>
      <c r="BK1221" s="44"/>
      <c r="BL1221" s="44"/>
      <c r="BM1221" s="44"/>
      <c r="BN1221" s="44"/>
      <c r="BO1221" s="55"/>
      <c r="BP1221" s="40"/>
      <c r="BQ1221" s="4"/>
      <c r="BR1221" s="61"/>
      <c r="BS1221" s="4"/>
      <c r="BT1221" s="57"/>
      <c r="BU1221" s="62"/>
      <c r="BV1221" s="8"/>
      <c r="BW1221" s="58"/>
    </row>
    <row r="1222" spans="41:75" x14ac:dyDescent="0.35">
      <c r="AO1222" s="39">
        <v>1220</v>
      </c>
      <c r="AP1222" s="62"/>
      <c r="AQ1222" s="39"/>
      <c r="AR1222" s="42" t="str">
        <f>IFERROR(VLOOKUP(AU1222,[1]SUMMARY!$A$3:$B$7,2,FALSE),"")</f>
        <v/>
      </c>
      <c r="AS1222" s="31"/>
      <c r="AT1222" s="31" t="e">
        <f>VLOOKUP(AS1222,[1]OUTLET!$B:$C,2,0)</f>
        <v>#N/A</v>
      </c>
      <c r="AU1222" s="31"/>
      <c r="AV1222" s="4"/>
      <c r="AW1222" s="44"/>
      <c r="AX1222" s="44"/>
      <c r="AY1222" s="44"/>
      <c r="AZ1222" s="44"/>
      <c r="BA1222" s="44"/>
      <c r="BB1222" s="44"/>
      <c r="BC1222" s="44"/>
      <c r="BD1222" s="44"/>
      <c r="BE1222" s="44"/>
      <c r="BF1222" s="44"/>
      <c r="BG1222" s="44"/>
      <c r="BH1222" s="44"/>
      <c r="BI1222" s="44"/>
      <c r="BJ1222" s="44"/>
      <c r="BK1222" s="44"/>
      <c r="BL1222" s="44"/>
      <c r="BM1222" s="44"/>
      <c r="BN1222" s="44"/>
      <c r="BO1222" s="55"/>
      <c r="BP1222" s="40"/>
      <c r="BQ1222" s="4"/>
      <c r="BR1222" s="61"/>
      <c r="BS1222" s="4"/>
      <c r="BT1222" s="57"/>
      <c r="BU1222" s="62"/>
      <c r="BV1222" s="8"/>
      <c r="BW1222" s="58"/>
    </row>
    <row r="1223" spans="41:75" x14ac:dyDescent="0.35">
      <c r="AO1223" s="39">
        <v>1221</v>
      </c>
      <c r="AP1223" s="62"/>
      <c r="AQ1223" s="39"/>
      <c r="AR1223" s="42" t="str">
        <f>IFERROR(VLOOKUP(AU1223,[1]SUMMARY!$A$3:$B$7,2,FALSE),"")</f>
        <v/>
      </c>
      <c r="AS1223" s="31"/>
      <c r="AT1223" s="31" t="e">
        <f>VLOOKUP(AS1223,[1]OUTLET!$B:$C,2,0)</f>
        <v>#N/A</v>
      </c>
      <c r="AU1223" s="31"/>
      <c r="AV1223" s="4"/>
      <c r="AW1223" s="44"/>
      <c r="AX1223" s="44"/>
      <c r="AY1223" s="44"/>
      <c r="AZ1223" s="44"/>
      <c r="BA1223" s="44"/>
      <c r="BB1223" s="44"/>
      <c r="BC1223" s="44"/>
      <c r="BD1223" s="44"/>
      <c r="BE1223" s="44"/>
      <c r="BF1223" s="44"/>
      <c r="BG1223" s="44"/>
      <c r="BH1223" s="44"/>
      <c r="BI1223" s="44"/>
      <c r="BJ1223" s="44"/>
      <c r="BK1223" s="44"/>
      <c r="BL1223" s="44"/>
      <c r="BM1223" s="44"/>
      <c r="BN1223" s="44"/>
      <c r="BO1223" s="55"/>
      <c r="BP1223" s="40"/>
      <c r="BQ1223" s="4"/>
      <c r="BR1223" s="61"/>
      <c r="BS1223" s="4"/>
      <c r="BT1223" s="57"/>
      <c r="BU1223" s="62"/>
      <c r="BV1223" s="8"/>
      <c r="BW1223" s="58"/>
    </row>
    <row r="1224" spans="41:75" x14ac:dyDescent="0.35">
      <c r="AO1224" s="39">
        <v>1222</v>
      </c>
      <c r="AP1224" s="62"/>
      <c r="AQ1224" s="39"/>
      <c r="AR1224" s="42" t="str">
        <f>IFERROR(VLOOKUP(AU1224,[1]SUMMARY!$A$3:$B$7,2,FALSE),"")</f>
        <v/>
      </c>
      <c r="AS1224" s="31"/>
      <c r="AT1224" s="31" t="e">
        <f>VLOOKUP(AS1224,[1]OUTLET!$B:$C,2,0)</f>
        <v>#N/A</v>
      </c>
      <c r="AU1224" s="31"/>
      <c r="AV1224" s="4"/>
      <c r="AW1224" s="44"/>
      <c r="AX1224" s="44"/>
      <c r="AY1224" s="44"/>
      <c r="AZ1224" s="44"/>
      <c r="BA1224" s="44"/>
      <c r="BB1224" s="44"/>
      <c r="BC1224" s="44"/>
      <c r="BD1224" s="44"/>
      <c r="BE1224" s="44"/>
      <c r="BF1224" s="44"/>
      <c r="BG1224" s="44"/>
      <c r="BH1224" s="44"/>
      <c r="BI1224" s="44"/>
      <c r="BJ1224" s="44"/>
      <c r="BK1224" s="44"/>
      <c r="BL1224" s="44"/>
      <c r="BM1224" s="44"/>
      <c r="BN1224" s="44"/>
      <c r="BO1224" s="55"/>
      <c r="BP1224" s="40"/>
      <c r="BQ1224" s="4"/>
      <c r="BR1224" s="61"/>
      <c r="BS1224" s="4"/>
      <c r="BT1224" s="57"/>
      <c r="BU1224" s="62"/>
      <c r="BV1224" s="8"/>
      <c r="BW1224" s="58"/>
    </row>
    <row r="1225" spans="41:75" x14ac:dyDescent="0.35">
      <c r="AO1225" s="39">
        <v>1223</v>
      </c>
      <c r="AP1225" s="62"/>
      <c r="AQ1225" s="39"/>
      <c r="AR1225" s="42" t="str">
        <f>IFERROR(VLOOKUP(AU1225,[1]SUMMARY!$A$3:$B$7,2,FALSE),"")</f>
        <v/>
      </c>
      <c r="AS1225" s="31"/>
      <c r="AT1225" s="31" t="e">
        <f>VLOOKUP(AS1225,[1]OUTLET!$B:$C,2,0)</f>
        <v>#N/A</v>
      </c>
      <c r="AU1225" s="31"/>
      <c r="AV1225" s="4"/>
      <c r="AW1225" s="44"/>
      <c r="AX1225" s="44"/>
      <c r="AY1225" s="44"/>
      <c r="AZ1225" s="44"/>
      <c r="BA1225" s="44"/>
      <c r="BB1225" s="44"/>
      <c r="BC1225" s="44"/>
      <c r="BD1225" s="44"/>
      <c r="BE1225" s="44"/>
      <c r="BF1225" s="44"/>
      <c r="BG1225" s="44"/>
      <c r="BH1225" s="44"/>
      <c r="BI1225" s="44"/>
      <c r="BJ1225" s="44"/>
      <c r="BK1225" s="44"/>
      <c r="BL1225" s="44"/>
      <c r="BM1225" s="44"/>
      <c r="BN1225" s="44"/>
      <c r="BO1225" s="55"/>
      <c r="BP1225" s="40"/>
      <c r="BQ1225" s="4"/>
      <c r="BR1225" s="61"/>
      <c r="BS1225" s="4"/>
      <c r="BT1225" s="57"/>
      <c r="BU1225" s="62"/>
      <c r="BV1225" s="8"/>
      <c r="BW1225" s="58"/>
    </row>
    <row r="1226" spans="41:75" x14ac:dyDescent="0.35">
      <c r="AO1226" s="39">
        <v>1224</v>
      </c>
      <c r="AP1226" s="62"/>
      <c r="AQ1226" s="39"/>
      <c r="AR1226" s="42" t="str">
        <f>IFERROR(VLOOKUP(AU1226,[1]SUMMARY!$A$3:$B$7,2,FALSE),"")</f>
        <v/>
      </c>
      <c r="AS1226" s="31"/>
      <c r="AT1226" s="31" t="e">
        <f>VLOOKUP(AS1226,[1]OUTLET!$B:$C,2,0)</f>
        <v>#N/A</v>
      </c>
      <c r="AU1226" s="31"/>
      <c r="AV1226" s="4"/>
      <c r="AW1226" s="44"/>
      <c r="AX1226" s="44"/>
      <c r="AY1226" s="44"/>
      <c r="AZ1226" s="44"/>
      <c r="BA1226" s="44"/>
      <c r="BB1226" s="44"/>
      <c r="BC1226" s="44"/>
      <c r="BD1226" s="44"/>
      <c r="BE1226" s="44"/>
      <c r="BF1226" s="44"/>
      <c r="BG1226" s="44"/>
      <c r="BH1226" s="44"/>
      <c r="BI1226" s="44"/>
      <c r="BJ1226" s="44"/>
      <c r="BK1226" s="44"/>
      <c r="BL1226" s="44"/>
      <c r="BM1226" s="44"/>
      <c r="BN1226" s="44"/>
      <c r="BO1226" s="55"/>
      <c r="BP1226" s="40"/>
      <c r="BQ1226" s="4"/>
      <c r="BR1226" s="61"/>
      <c r="BS1226" s="4"/>
      <c r="BT1226" s="57"/>
      <c r="BU1226" s="62"/>
      <c r="BV1226" s="8"/>
      <c r="BW1226" s="58"/>
    </row>
    <row r="1227" spans="41:75" x14ac:dyDescent="0.35">
      <c r="AO1227" s="39">
        <v>1225</v>
      </c>
      <c r="AP1227" s="62"/>
      <c r="AQ1227" s="39"/>
      <c r="AR1227" s="42" t="str">
        <f>IFERROR(VLOOKUP(AU1227,[1]SUMMARY!$A$3:$B$7,2,FALSE),"")</f>
        <v/>
      </c>
      <c r="AS1227" s="31"/>
      <c r="AT1227" s="31" t="e">
        <f>VLOOKUP(AS1227,[1]OUTLET!$B:$C,2,0)</f>
        <v>#N/A</v>
      </c>
      <c r="AU1227" s="31"/>
      <c r="AV1227" s="4"/>
      <c r="AW1227" s="44"/>
      <c r="AX1227" s="44"/>
      <c r="AY1227" s="44"/>
      <c r="AZ1227" s="44"/>
      <c r="BA1227" s="44"/>
      <c r="BB1227" s="44"/>
      <c r="BC1227" s="44"/>
      <c r="BD1227" s="44"/>
      <c r="BE1227" s="44"/>
      <c r="BF1227" s="44"/>
      <c r="BG1227" s="44"/>
      <c r="BH1227" s="44"/>
      <c r="BI1227" s="44"/>
      <c r="BJ1227" s="44"/>
      <c r="BK1227" s="44"/>
      <c r="BL1227" s="44"/>
      <c r="BM1227" s="44"/>
      <c r="BN1227" s="44"/>
      <c r="BO1227" s="55"/>
      <c r="BP1227" s="40"/>
      <c r="BQ1227" s="4"/>
      <c r="BR1227" s="61"/>
      <c r="BS1227" s="4"/>
      <c r="BT1227" s="57"/>
      <c r="BU1227" s="62"/>
      <c r="BV1227" s="8"/>
      <c r="BW1227" s="58"/>
    </row>
    <row r="1228" spans="41:75" x14ac:dyDescent="0.35">
      <c r="AO1228" s="39">
        <v>1226</v>
      </c>
      <c r="AP1228" s="62"/>
      <c r="AQ1228" s="39"/>
      <c r="AR1228" s="42" t="str">
        <f>IFERROR(VLOOKUP(AU1228,[1]SUMMARY!$A$3:$B$7,2,FALSE),"")</f>
        <v/>
      </c>
      <c r="AS1228" s="31"/>
      <c r="AT1228" s="31" t="e">
        <f>VLOOKUP(AS1228,[1]OUTLET!$B:$C,2,0)</f>
        <v>#N/A</v>
      </c>
      <c r="AU1228" s="31"/>
      <c r="AV1228" s="4"/>
      <c r="AW1228" s="44"/>
      <c r="AX1228" s="44"/>
      <c r="AY1228" s="44"/>
      <c r="AZ1228" s="44"/>
      <c r="BA1228" s="44"/>
      <c r="BB1228" s="44"/>
      <c r="BC1228" s="44"/>
      <c r="BD1228" s="44"/>
      <c r="BE1228" s="44"/>
      <c r="BF1228" s="44"/>
      <c r="BG1228" s="44"/>
      <c r="BH1228" s="44"/>
      <c r="BI1228" s="44"/>
      <c r="BJ1228" s="44"/>
      <c r="BK1228" s="44"/>
      <c r="BL1228" s="44"/>
      <c r="BM1228" s="44"/>
      <c r="BN1228" s="44"/>
      <c r="BO1228" s="55"/>
      <c r="BP1228" s="40"/>
      <c r="BQ1228" s="4"/>
      <c r="BR1228" s="61"/>
      <c r="BS1228" s="4"/>
      <c r="BT1228" s="57"/>
      <c r="BU1228" s="62"/>
      <c r="BV1228" s="8"/>
      <c r="BW1228" s="58"/>
    </row>
    <row r="1229" spans="41:75" x14ac:dyDescent="0.35">
      <c r="AO1229" s="39">
        <v>1227</v>
      </c>
      <c r="AP1229" s="62"/>
      <c r="AQ1229" s="39"/>
      <c r="AR1229" s="42" t="str">
        <f>IFERROR(VLOOKUP(AU1229,[1]SUMMARY!$A$3:$B$7,2,FALSE),"")</f>
        <v/>
      </c>
      <c r="AS1229" s="31"/>
      <c r="AT1229" s="31" t="e">
        <f>VLOOKUP(AS1229,[1]OUTLET!$B:$C,2,0)</f>
        <v>#N/A</v>
      </c>
      <c r="AU1229" s="31"/>
      <c r="AV1229" s="4"/>
      <c r="AW1229" s="44"/>
      <c r="AX1229" s="44"/>
      <c r="AY1229" s="44"/>
      <c r="AZ1229" s="44"/>
      <c r="BA1229" s="44"/>
      <c r="BB1229" s="44"/>
      <c r="BC1229" s="44"/>
      <c r="BD1229" s="44"/>
      <c r="BE1229" s="44"/>
      <c r="BF1229" s="44"/>
      <c r="BG1229" s="44"/>
      <c r="BH1229" s="44"/>
      <c r="BI1229" s="44"/>
      <c r="BJ1229" s="44"/>
      <c r="BK1229" s="44"/>
      <c r="BL1229" s="44"/>
      <c r="BM1229" s="44"/>
      <c r="BN1229" s="44"/>
      <c r="BO1229" s="55"/>
      <c r="BP1229" s="40"/>
      <c r="BQ1229" s="4"/>
      <c r="BR1229" s="61"/>
      <c r="BS1229" s="4"/>
      <c r="BT1229" s="57"/>
      <c r="BU1229" s="62"/>
      <c r="BV1229" s="8"/>
      <c r="BW1229" s="58"/>
    </row>
    <row r="1230" spans="41:75" x14ac:dyDescent="0.35">
      <c r="AO1230" s="39">
        <v>1228</v>
      </c>
      <c r="AP1230" s="62"/>
      <c r="AQ1230" s="39"/>
      <c r="AR1230" s="42" t="str">
        <f>IFERROR(VLOOKUP(AU1230,[1]SUMMARY!$A$3:$B$7,2,FALSE),"")</f>
        <v/>
      </c>
      <c r="AS1230" s="31"/>
      <c r="AT1230" s="31" t="e">
        <f>VLOOKUP(AS1230,[1]OUTLET!$B:$C,2,0)</f>
        <v>#N/A</v>
      </c>
      <c r="AU1230" s="31"/>
      <c r="AV1230" s="4"/>
      <c r="AW1230" s="44"/>
      <c r="AX1230" s="44"/>
      <c r="AY1230" s="44"/>
      <c r="AZ1230" s="44"/>
      <c r="BA1230" s="44"/>
      <c r="BB1230" s="44"/>
      <c r="BC1230" s="44"/>
      <c r="BD1230" s="44"/>
      <c r="BE1230" s="44"/>
      <c r="BF1230" s="44"/>
      <c r="BG1230" s="44"/>
      <c r="BH1230" s="44"/>
      <c r="BI1230" s="44"/>
      <c r="BJ1230" s="44"/>
      <c r="BK1230" s="44"/>
      <c r="BL1230" s="44"/>
      <c r="BM1230" s="44"/>
      <c r="BN1230" s="44"/>
      <c r="BO1230" s="55"/>
      <c r="BP1230" s="40"/>
      <c r="BQ1230" s="4"/>
      <c r="BR1230" s="61"/>
      <c r="BS1230" s="4"/>
      <c r="BT1230" s="57"/>
      <c r="BU1230" s="62"/>
      <c r="BV1230" s="8"/>
      <c r="BW1230" s="58"/>
    </row>
    <row r="1231" spans="41:75" x14ac:dyDescent="0.35">
      <c r="AO1231" s="39">
        <v>1229</v>
      </c>
      <c r="AP1231" s="62"/>
      <c r="AQ1231" s="39"/>
      <c r="AR1231" s="42" t="str">
        <f>IFERROR(VLOOKUP(AU1231,[1]SUMMARY!$A$3:$B$7,2,FALSE),"")</f>
        <v/>
      </c>
      <c r="AS1231" s="31"/>
      <c r="AT1231" s="31" t="e">
        <f>VLOOKUP(AS1231,[1]OUTLET!$B:$C,2,0)</f>
        <v>#N/A</v>
      </c>
      <c r="AU1231" s="31"/>
      <c r="AV1231" s="4"/>
      <c r="AW1231" s="44"/>
      <c r="AX1231" s="44"/>
      <c r="AY1231" s="44"/>
      <c r="AZ1231" s="44"/>
      <c r="BA1231" s="44"/>
      <c r="BB1231" s="44"/>
      <c r="BC1231" s="44"/>
      <c r="BD1231" s="44"/>
      <c r="BE1231" s="44"/>
      <c r="BF1231" s="44"/>
      <c r="BG1231" s="44"/>
      <c r="BH1231" s="44"/>
      <c r="BI1231" s="44"/>
      <c r="BJ1231" s="44"/>
      <c r="BK1231" s="44"/>
      <c r="BL1231" s="44"/>
      <c r="BM1231" s="44"/>
      <c r="BN1231" s="44"/>
      <c r="BO1231" s="55"/>
      <c r="BP1231" s="40"/>
      <c r="BQ1231" s="4"/>
      <c r="BR1231" s="61"/>
      <c r="BS1231" s="4"/>
      <c r="BT1231" s="57"/>
      <c r="BU1231" s="62"/>
      <c r="BV1231" s="8"/>
      <c r="BW1231" s="58"/>
    </row>
    <row r="1232" spans="41:75" x14ac:dyDescent="0.35">
      <c r="AO1232" s="39">
        <v>1230</v>
      </c>
      <c r="AP1232" s="62"/>
      <c r="AQ1232" s="39"/>
      <c r="AR1232" s="42" t="str">
        <f>IFERROR(VLOOKUP(AU1232,[1]SUMMARY!$A$3:$B$7,2,FALSE),"")</f>
        <v/>
      </c>
      <c r="AS1232" s="31"/>
      <c r="AT1232" s="31" t="e">
        <f>VLOOKUP(AS1232,[1]OUTLET!$B:$C,2,0)</f>
        <v>#N/A</v>
      </c>
      <c r="AU1232" s="31"/>
      <c r="AV1232" s="4"/>
      <c r="AW1232" s="44"/>
      <c r="AX1232" s="44"/>
      <c r="AY1232" s="44"/>
      <c r="AZ1232" s="44"/>
      <c r="BA1232" s="44"/>
      <c r="BB1232" s="44"/>
      <c r="BC1232" s="44"/>
      <c r="BD1232" s="44"/>
      <c r="BE1232" s="44"/>
      <c r="BF1232" s="44"/>
      <c r="BG1232" s="44"/>
      <c r="BH1232" s="44"/>
      <c r="BI1232" s="44"/>
      <c r="BJ1232" s="44"/>
      <c r="BK1232" s="44"/>
      <c r="BL1232" s="44"/>
      <c r="BM1232" s="44"/>
      <c r="BN1232" s="44"/>
      <c r="BO1232" s="55"/>
      <c r="BP1232" s="40"/>
      <c r="BQ1232" s="4"/>
      <c r="BR1232" s="61"/>
      <c r="BS1232" s="4"/>
      <c r="BT1232" s="57"/>
      <c r="BU1232" s="62"/>
      <c r="BV1232" s="8"/>
      <c r="BW1232" s="58"/>
    </row>
    <row r="1233" spans="41:75" x14ac:dyDescent="0.35">
      <c r="AO1233" s="39">
        <v>1231</v>
      </c>
      <c r="AP1233" s="62"/>
      <c r="AQ1233" s="39"/>
      <c r="AR1233" s="42" t="str">
        <f>IFERROR(VLOOKUP(AU1233,[1]SUMMARY!$A$3:$B$7,2,FALSE),"")</f>
        <v/>
      </c>
      <c r="AS1233" s="31"/>
      <c r="AT1233" s="31" t="e">
        <f>VLOOKUP(AS1233,[1]OUTLET!$B:$C,2,0)</f>
        <v>#N/A</v>
      </c>
      <c r="AU1233" s="31"/>
      <c r="AV1233" s="4"/>
      <c r="AW1233" s="44"/>
      <c r="AX1233" s="44"/>
      <c r="AY1233" s="44"/>
      <c r="AZ1233" s="44"/>
      <c r="BA1233" s="44"/>
      <c r="BB1233" s="44"/>
      <c r="BC1233" s="44"/>
      <c r="BD1233" s="44"/>
      <c r="BE1233" s="44"/>
      <c r="BF1233" s="44"/>
      <c r="BG1233" s="44"/>
      <c r="BH1233" s="44"/>
      <c r="BI1233" s="44"/>
      <c r="BJ1233" s="44"/>
      <c r="BK1233" s="44"/>
      <c r="BL1233" s="44"/>
      <c r="BM1233" s="44"/>
      <c r="BN1233" s="44"/>
      <c r="BO1233" s="55"/>
      <c r="BP1233" s="40"/>
      <c r="BQ1233" s="4"/>
      <c r="BR1233" s="61"/>
      <c r="BS1233" s="4"/>
      <c r="BT1233" s="57"/>
      <c r="BU1233" s="62"/>
      <c r="BV1233" s="8"/>
      <c r="BW1233" s="58"/>
    </row>
    <row r="1234" spans="41:75" x14ac:dyDescent="0.35">
      <c r="AO1234" s="39">
        <v>1232</v>
      </c>
      <c r="AP1234" s="62"/>
      <c r="AQ1234" s="39"/>
      <c r="AR1234" s="42" t="str">
        <f>IFERROR(VLOOKUP(AU1234,[1]SUMMARY!$A$3:$B$7,2,FALSE),"")</f>
        <v/>
      </c>
      <c r="AS1234" s="31"/>
      <c r="AT1234" s="31" t="e">
        <f>VLOOKUP(AS1234,[1]OUTLET!$B:$C,2,0)</f>
        <v>#N/A</v>
      </c>
      <c r="AU1234" s="31"/>
      <c r="AV1234" s="4"/>
      <c r="AW1234" s="44"/>
      <c r="AX1234" s="44"/>
      <c r="AY1234" s="44"/>
      <c r="AZ1234" s="44"/>
      <c r="BA1234" s="44"/>
      <c r="BB1234" s="44"/>
      <c r="BC1234" s="44"/>
      <c r="BD1234" s="44"/>
      <c r="BE1234" s="44"/>
      <c r="BF1234" s="44"/>
      <c r="BG1234" s="44"/>
      <c r="BH1234" s="44"/>
      <c r="BI1234" s="44"/>
      <c r="BJ1234" s="44"/>
      <c r="BK1234" s="44"/>
      <c r="BL1234" s="44"/>
      <c r="BM1234" s="44"/>
      <c r="BN1234" s="44"/>
      <c r="BO1234" s="55"/>
      <c r="BP1234" s="40"/>
      <c r="BQ1234" s="4"/>
      <c r="BR1234" s="61"/>
      <c r="BS1234" s="4"/>
      <c r="BT1234" s="57"/>
      <c r="BU1234" s="62"/>
      <c r="BV1234" s="8"/>
      <c r="BW1234" s="58"/>
    </row>
    <row r="1235" spans="41:75" x14ac:dyDescent="0.35">
      <c r="AO1235" s="39">
        <v>1233</v>
      </c>
      <c r="AP1235" s="62"/>
      <c r="AQ1235" s="39"/>
      <c r="AR1235" s="42" t="str">
        <f>IFERROR(VLOOKUP(AU1235,[1]SUMMARY!$A$3:$B$7,2,FALSE),"")</f>
        <v/>
      </c>
      <c r="AS1235" s="31"/>
      <c r="AT1235" s="31" t="e">
        <f>VLOOKUP(AS1235,[1]OUTLET!$B:$C,2,0)</f>
        <v>#N/A</v>
      </c>
      <c r="AU1235" s="31"/>
      <c r="AV1235" s="4"/>
      <c r="AW1235" s="44"/>
      <c r="AX1235" s="44"/>
      <c r="AY1235" s="44"/>
      <c r="AZ1235" s="44"/>
      <c r="BA1235" s="44"/>
      <c r="BB1235" s="44"/>
      <c r="BC1235" s="44"/>
      <c r="BD1235" s="44"/>
      <c r="BE1235" s="44"/>
      <c r="BF1235" s="44"/>
      <c r="BG1235" s="44"/>
      <c r="BH1235" s="44"/>
      <c r="BI1235" s="44"/>
      <c r="BJ1235" s="44"/>
      <c r="BK1235" s="44"/>
      <c r="BL1235" s="44"/>
      <c r="BM1235" s="44"/>
      <c r="BN1235" s="44"/>
      <c r="BO1235" s="55"/>
      <c r="BP1235" s="40"/>
      <c r="BQ1235" s="4"/>
      <c r="BR1235" s="61"/>
      <c r="BS1235" s="4"/>
      <c r="BT1235" s="57"/>
      <c r="BU1235" s="62"/>
      <c r="BV1235" s="8"/>
      <c r="BW1235" s="58"/>
    </row>
    <row r="1236" spans="41:75" x14ac:dyDescent="0.35">
      <c r="AO1236" s="39">
        <v>1234</v>
      </c>
      <c r="AP1236" s="62"/>
      <c r="AQ1236" s="39"/>
      <c r="AR1236" s="42" t="str">
        <f>IFERROR(VLOOKUP(AU1236,[1]SUMMARY!$A$3:$B$7,2,FALSE),"")</f>
        <v/>
      </c>
      <c r="AS1236" s="31"/>
      <c r="AT1236" s="31" t="e">
        <f>VLOOKUP(AS1236,[1]OUTLET!$B:$C,2,0)</f>
        <v>#N/A</v>
      </c>
      <c r="AU1236" s="31"/>
      <c r="AV1236" s="4"/>
      <c r="AW1236" s="44"/>
      <c r="AX1236" s="44"/>
      <c r="AY1236" s="44"/>
      <c r="AZ1236" s="44"/>
      <c r="BA1236" s="44"/>
      <c r="BB1236" s="44"/>
      <c r="BC1236" s="44"/>
      <c r="BD1236" s="44"/>
      <c r="BE1236" s="44"/>
      <c r="BF1236" s="44"/>
      <c r="BG1236" s="44"/>
      <c r="BH1236" s="44"/>
      <c r="BI1236" s="44"/>
      <c r="BJ1236" s="44"/>
      <c r="BK1236" s="44"/>
      <c r="BL1236" s="44"/>
      <c r="BM1236" s="44"/>
      <c r="BN1236" s="44"/>
      <c r="BO1236" s="55"/>
      <c r="BP1236" s="40"/>
      <c r="BQ1236" s="4"/>
      <c r="BR1236" s="61"/>
      <c r="BS1236" s="4"/>
      <c r="BT1236" s="57"/>
      <c r="BU1236" s="62"/>
      <c r="BV1236" s="8"/>
      <c r="BW1236" s="58"/>
    </row>
    <row r="1237" spans="41:75" x14ac:dyDescent="0.35">
      <c r="AO1237" s="39">
        <v>1235</v>
      </c>
      <c r="AP1237" s="62"/>
      <c r="AQ1237" s="39"/>
      <c r="AR1237" s="42" t="str">
        <f>IFERROR(VLOOKUP(AU1237,[1]SUMMARY!$A$3:$B$7,2,FALSE),"")</f>
        <v/>
      </c>
      <c r="AS1237" s="31"/>
      <c r="AT1237" s="31" t="e">
        <f>VLOOKUP(AS1237,[1]OUTLET!$B:$C,2,0)</f>
        <v>#N/A</v>
      </c>
      <c r="AU1237" s="31"/>
      <c r="AV1237" s="4"/>
      <c r="AW1237" s="44"/>
      <c r="AX1237" s="44"/>
      <c r="AY1237" s="44"/>
      <c r="AZ1237" s="44"/>
      <c r="BA1237" s="44"/>
      <c r="BB1237" s="44"/>
      <c r="BC1237" s="44"/>
      <c r="BD1237" s="44"/>
      <c r="BE1237" s="44"/>
      <c r="BF1237" s="44"/>
      <c r="BG1237" s="44"/>
      <c r="BH1237" s="44"/>
      <c r="BI1237" s="44"/>
      <c r="BJ1237" s="44"/>
      <c r="BK1237" s="44"/>
      <c r="BL1237" s="44"/>
      <c r="BM1237" s="44"/>
      <c r="BN1237" s="44"/>
      <c r="BO1237" s="55"/>
      <c r="BP1237" s="40"/>
      <c r="BQ1237" s="4"/>
      <c r="BR1237" s="61"/>
      <c r="BS1237" s="4"/>
      <c r="BT1237" s="57"/>
      <c r="BU1237" s="62"/>
      <c r="BV1237" s="8"/>
      <c r="BW1237" s="58"/>
    </row>
    <row r="1238" spans="41:75" x14ac:dyDescent="0.35">
      <c r="AO1238" s="39">
        <v>1236</v>
      </c>
      <c r="AP1238" s="62"/>
      <c r="AQ1238" s="39"/>
      <c r="AR1238" s="42" t="str">
        <f>IFERROR(VLOOKUP(AU1238,[1]SUMMARY!$A$3:$B$7,2,FALSE),"")</f>
        <v/>
      </c>
      <c r="AS1238" s="31"/>
      <c r="AT1238" s="31" t="e">
        <f>VLOOKUP(AS1238,[1]OUTLET!$B:$C,2,0)</f>
        <v>#N/A</v>
      </c>
      <c r="AU1238" s="31"/>
      <c r="AV1238" s="4"/>
      <c r="AW1238" s="44"/>
      <c r="AX1238" s="44"/>
      <c r="AY1238" s="44"/>
      <c r="AZ1238" s="44"/>
      <c r="BA1238" s="44"/>
      <c r="BB1238" s="44"/>
      <c r="BC1238" s="44"/>
      <c r="BD1238" s="44"/>
      <c r="BE1238" s="44"/>
      <c r="BF1238" s="44"/>
      <c r="BG1238" s="44"/>
      <c r="BH1238" s="44"/>
      <c r="BI1238" s="44"/>
      <c r="BJ1238" s="44"/>
      <c r="BK1238" s="44"/>
      <c r="BL1238" s="44"/>
      <c r="BM1238" s="44"/>
      <c r="BN1238" s="44"/>
      <c r="BO1238" s="55"/>
      <c r="BP1238" s="40"/>
      <c r="BQ1238" s="4"/>
      <c r="BR1238" s="61"/>
      <c r="BS1238" s="4"/>
      <c r="BT1238" s="57"/>
      <c r="BU1238" s="62"/>
      <c r="BV1238" s="8"/>
      <c r="BW1238" s="58"/>
    </row>
    <row r="1239" spans="41:75" x14ac:dyDescent="0.35">
      <c r="AO1239" s="39">
        <v>1237</v>
      </c>
      <c r="AP1239" s="62"/>
      <c r="AQ1239" s="39"/>
      <c r="AR1239" s="42" t="str">
        <f>IFERROR(VLOOKUP(AU1239,[1]SUMMARY!$A$3:$B$7,2,FALSE),"")</f>
        <v/>
      </c>
      <c r="AS1239" s="31"/>
      <c r="AT1239" s="31" t="e">
        <f>VLOOKUP(AS1239,[1]OUTLET!$B:$C,2,0)</f>
        <v>#N/A</v>
      </c>
      <c r="AU1239" s="31"/>
      <c r="AV1239" s="4"/>
      <c r="AW1239" s="44"/>
      <c r="AX1239" s="44"/>
      <c r="AY1239" s="44"/>
      <c r="AZ1239" s="44"/>
      <c r="BA1239" s="44"/>
      <c r="BB1239" s="44"/>
      <c r="BC1239" s="44"/>
      <c r="BD1239" s="44"/>
      <c r="BE1239" s="44"/>
      <c r="BF1239" s="44"/>
      <c r="BG1239" s="44"/>
      <c r="BH1239" s="44"/>
      <c r="BI1239" s="44"/>
      <c r="BJ1239" s="44"/>
      <c r="BK1239" s="44"/>
      <c r="BL1239" s="44"/>
      <c r="BM1239" s="44"/>
      <c r="BN1239" s="44"/>
      <c r="BO1239" s="55"/>
      <c r="BP1239" s="40"/>
      <c r="BQ1239" s="4"/>
      <c r="BR1239" s="61"/>
      <c r="BS1239" s="4"/>
      <c r="BT1239" s="57"/>
      <c r="BU1239" s="62"/>
      <c r="BV1239" s="8"/>
      <c r="BW1239" s="58"/>
    </row>
    <row r="1240" spans="41:75" x14ac:dyDescent="0.35">
      <c r="AO1240" s="39">
        <v>1238</v>
      </c>
      <c r="AP1240" s="62"/>
      <c r="AQ1240" s="39"/>
      <c r="AR1240" s="42" t="str">
        <f>IFERROR(VLOOKUP(AU1240,[1]SUMMARY!$A$3:$B$7,2,FALSE),"")</f>
        <v/>
      </c>
      <c r="AS1240" s="31"/>
      <c r="AT1240" s="31" t="e">
        <f>VLOOKUP(AS1240,[1]OUTLET!$B:$C,2,0)</f>
        <v>#N/A</v>
      </c>
      <c r="AU1240" s="31"/>
      <c r="AV1240" s="4"/>
      <c r="AW1240" s="44"/>
      <c r="AX1240" s="44"/>
      <c r="AY1240" s="44"/>
      <c r="AZ1240" s="44"/>
      <c r="BA1240" s="44"/>
      <c r="BB1240" s="44"/>
      <c r="BC1240" s="44"/>
      <c r="BD1240" s="44"/>
      <c r="BE1240" s="44"/>
      <c r="BF1240" s="44"/>
      <c r="BG1240" s="44"/>
      <c r="BH1240" s="44"/>
      <c r="BI1240" s="44"/>
      <c r="BJ1240" s="44"/>
      <c r="BK1240" s="44"/>
      <c r="BL1240" s="44"/>
      <c r="BM1240" s="44"/>
      <c r="BN1240" s="44"/>
      <c r="BO1240" s="55"/>
      <c r="BP1240" s="40"/>
      <c r="BQ1240" s="4"/>
      <c r="BR1240" s="61"/>
      <c r="BS1240" s="4"/>
      <c r="BT1240" s="57"/>
      <c r="BU1240" s="62"/>
      <c r="BV1240" s="8"/>
      <c r="BW1240" s="58"/>
    </row>
    <row r="1241" spans="41:75" x14ac:dyDescent="0.35">
      <c r="AO1241" s="39">
        <v>1239</v>
      </c>
      <c r="AP1241" s="62"/>
      <c r="AQ1241" s="39"/>
      <c r="AR1241" s="42" t="str">
        <f>IFERROR(VLOOKUP(AU1241,[1]SUMMARY!$A$3:$B$7,2,FALSE),"")</f>
        <v/>
      </c>
      <c r="AS1241" s="31"/>
      <c r="AT1241" s="31" t="e">
        <f>VLOOKUP(AS1241,[1]OUTLET!$B:$C,2,0)</f>
        <v>#N/A</v>
      </c>
      <c r="AU1241" s="31"/>
      <c r="AV1241" s="4"/>
      <c r="AW1241" s="44"/>
      <c r="AX1241" s="44"/>
      <c r="AY1241" s="44"/>
      <c r="AZ1241" s="44"/>
      <c r="BA1241" s="44"/>
      <c r="BB1241" s="44"/>
      <c r="BC1241" s="44"/>
      <c r="BD1241" s="44"/>
      <c r="BE1241" s="44"/>
      <c r="BF1241" s="44"/>
      <c r="BG1241" s="44"/>
      <c r="BH1241" s="44"/>
      <c r="BI1241" s="44"/>
      <c r="BJ1241" s="44"/>
      <c r="BK1241" s="44"/>
      <c r="BL1241" s="44"/>
      <c r="BM1241" s="44"/>
      <c r="BN1241" s="44"/>
      <c r="BO1241" s="55"/>
      <c r="BP1241" s="40"/>
      <c r="BQ1241" s="4"/>
      <c r="BR1241" s="61"/>
      <c r="BS1241" s="4"/>
      <c r="BT1241" s="57"/>
      <c r="BU1241" s="62"/>
      <c r="BV1241" s="8"/>
      <c r="BW1241" s="58"/>
    </row>
    <row r="1242" spans="41:75" x14ac:dyDescent="0.35">
      <c r="AO1242" s="39">
        <v>1240</v>
      </c>
      <c r="AP1242" s="62"/>
      <c r="AQ1242" s="39"/>
      <c r="AR1242" s="42" t="str">
        <f>IFERROR(VLOOKUP(AU1242,[1]SUMMARY!$A$3:$B$7,2,FALSE),"")</f>
        <v/>
      </c>
      <c r="AS1242" s="31"/>
      <c r="AT1242" s="31" t="e">
        <f>VLOOKUP(AS1242,[1]OUTLET!$B:$C,2,0)</f>
        <v>#N/A</v>
      </c>
      <c r="AU1242" s="31"/>
      <c r="AV1242" s="4"/>
      <c r="AW1242" s="44"/>
      <c r="AX1242" s="44"/>
      <c r="AY1242" s="44"/>
      <c r="AZ1242" s="44"/>
      <c r="BA1242" s="44"/>
      <c r="BB1242" s="44"/>
      <c r="BC1242" s="44"/>
      <c r="BD1242" s="44"/>
      <c r="BE1242" s="44"/>
      <c r="BF1242" s="44"/>
      <c r="BG1242" s="44"/>
      <c r="BH1242" s="44"/>
      <c r="BI1242" s="44"/>
      <c r="BJ1242" s="44"/>
      <c r="BK1242" s="44"/>
      <c r="BL1242" s="44"/>
      <c r="BM1242" s="44"/>
      <c r="BN1242" s="44"/>
      <c r="BO1242" s="55"/>
      <c r="BP1242" s="40"/>
      <c r="BQ1242" s="4"/>
      <c r="BR1242" s="61"/>
      <c r="BS1242" s="4"/>
      <c r="BT1242" s="57"/>
      <c r="BU1242" s="62"/>
      <c r="BV1242" s="8"/>
      <c r="BW1242" s="58"/>
    </row>
    <row r="1243" spans="41:75" x14ac:dyDescent="0.35">
      <c r="AO1243" s="39">
        <v>1241</v>
      </c>
      <c r="AP1243" s="62"/>
      <c r="AQ1243" s="39"/>
      <c r="AR1243" s="42" t="str">
        <f>IFERROR(VLOOKUP(AU1243,[1]SUMMARY!$A$3:$B$7,2,FALSE),"")</f>
        <v/>
      </c>
      <c r="AS1243" s="31"/>
      <c r="AT1243" s="31" t="e">
        <f>VLOOKUP(AS1243,[1]OUTLET!$B:$C,2,0)</f>
        <v>#N/A</v>
      </c>
      <c r="AU1243" s="31"/>
      <c r="AV1243" s="4"/>
      <c r="AW1243" s="44"/>
      <c r="AX1243" s="44"/>
      <c r="AY1243" s="44"/>
      <c r="AZ1243" s="44"/>
      <c r="BA1243" s="44"/>
      <c r="BB1243" s="44"/>
      <c r="BC1243" s="44"/>
      <c r="BD1243" s="44"/>
      <c r="BE1243" s="44"/>
      <c r="BF1243" s="44"/>
      <c r="BG1243" s="44"/>
      <c r="BH1243" s="44"/>
      <c r="BI1243" s="44"/>
      <c r="BJ1243" s="44"/>
      <c r="BK1243" s="44"/>
      <c r="BL1243" s="44"/>
      <c r="BM1243" s="44"/>
      <c r="BN1243" s="44"/>
      <c r="BO1243" s="55"/>
      <c r="BP1243" s="40"/>
      <c r="BQ1243" s="4"/>
      <c r="BR1243" s="61"/>
      <c r="BS1243" s="4"/>
      <c r="BT1243" s="57"/>
      <c r="BU1243" s="62"/>
      <c r="BV1243" s="8"/>
      <c r="BW1243" s="58"/>
    </row>
    <row r="1244" spans="41:75" x14ac:dyDescent="0.35">
      <c r="AO1244" s="39">
        <v>1242</v>
      </c>
      <c r="AP1244" s="62"/>
      <c r="AQ1244" s="39"/>
      <c r="AR1244" s="42" t="str">
        <f>IFERROR(VLOOKUP(AU1244,[1]SUMMARY!$A$3:$B$7,2,FALSE),"")</f>
        <v/>
      </c>
      <c r="AS1244" s="31"/>
      <c r="AT1244" s="31" t="e">
        <f>VLOOKUP(AS1244,[1]OUTLET!$B:$C,2,0)</f>
        <v>#N/A</v>
      </c>
      <c r="AU1244" s="31"/>
      <c r="AV1244" s="4"/>
      <c r="AW1244" s="44"/>
      <c r="AX1244" s="44"/>
      <c r="AY1244" s="44"/>
      <c r="AZ1244" s="44"/>
      <c r="BA1244" s="44"/>
      <c r="BB1244" s="44"/>
      <c r="BC1244" s="44"/>
      <c r="BD1244" s="44"/>
      <c r="BE1244" s="44"/>
      <c r="BF1244" s="44"/>
      <c r="BG1244" s="44"/>
      <c r="BH1244" s="44"/>
      <c r="BI1244" s="44"/>
      <c r="BJ1244" s="44"/>
      <c r="BK1244" s="44"/>
      <c r="BL1244" s="44"/>
      <c r="BM1244" s="44"/>
      <c r="BN1244" s="44"/>
      <c r="BO1244" s="55"/>
      <c r="BP1244" s="40"/>
      <c r="BQ1244" s="4"/>
      <c r="BR1244" s="61"/>
      <c r="BS1244" s="4"/>
      <c r="BT1244" s="57"/>
      <c r="BU1244" s="62"/>
      <c r="BV1244" s="8"/>
      <c r="BW1244" s="58"/>
    </row>
    <row r="1245" spans="41:75" x14ac:dyDescent="0.35">
      <c r="AO1245" s="39">
        <v>1243</v>
      </c>
      <c r="AP1245" s="62"/>
      <c r="AQ1245" s="39"/>
      <c r="AR1245" s="42" t="str">
        <f>IFERROR(VLOOKUP(AU1245,[1]SUMMARY!$A$3:$B$7,2,FALSE),"")</f>
        <v/>
      </c>
      <c r="AS1245" s="31"/>
      <c r="AT1245" s="31" t="e">
        <f>VLOOKUP(AS1245,[1]OUTLET!$B:$C,2,0)</f>
        <v>#N/A</v>
      </c>
      <c r="AU1245" s="31"/>
      <c r="AV1245" s="4"/>
      <c r="AW1245" s="44"/>
      <c r="AX1245" s="44"/>
      <c r="AY1245" s="44"/>
      <c r="AZ1245" s="44"/>
      <c r="BA1245" s="44"/>
      <c r="BB1245" s="44"/>
      <c r="BC1245" s="44"/>
      <c r="BD1245" s="44"/>
      <c r="BE1245" s="44"/>
      <c r="BF1245" s="44"/>
      <c r="BG1245" s="44"/>
      <c r="BH1245" s="44"/>
      <c r="BI1245" s="44"/>
      <c r="BJ1245" s="44"/>
      <c r="BK1245" s="44"/>
      <c r="BL1245" s="44"/>
      <c r="BM1245" s="44"/>
      <c r="BN1245" s="44"/>
      <c r="BO1245" s="55"/>
      <c r="BP1245" s="40"/>
      <c r="BQ1245" s="4"/>
      <c r="BR1245" s="61"/>
      <c r="BS1245" s="4"/>
      <c r="BT1245" s="57"/>
      <c r="BU1245" s="62"/>
      <c r="BV1245" s="8"/>
      <c r="BW1245" s="58"/>
    </row>
    <row r="1246" spans="41:75" x14ac:dyDescent="0.35">
      <c r="AO1246" s="39">
        <v>1244</v>
      </c>
      <c r="AP1246" s="62"/>
      <c r="AQ1246" s="39"/>
      <c r="AR1246" s="42" t="str">
        <f>IFERROR(VLOOKUP(AU1246,[1]SUMMARY!$A$3:$B$7,2,FALSE),"")</f>
        <v/>
      </c>
      <c r="AS1246" s="31"/>
      <c r="AT1246" s="31" t="e">
        <f>VLOOKUP(AS1246,[1]OUTLET!$B:$C,2,0)</f>
        <v>#N/A</v>
      </c>
      <c r="AU1246" s="31"/>
      <c r="AV1246" s="4"/>
      <c r="AW1246" s="44"/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44"/>
      <c r="BJ1246" s="44"/>
      <c r="BK1246" s="44"/>
      <c r="BL1246" s="44"/>
      <c r="BM1246" s="44"/>
      <c r="BN1246" s="44"/>
      <c r="BO1246" s="55"/>
      <c r="BP1246" s="40"/>
      <c r="BQ1246" s="4"/>
      <c r="BR1246" s="61"/>
      <c r="BS1246" s="4"/>
      <c r="BT1246" s="57"/>
      <c r="BU1246" s="62"/>
      <c r="BV1246" s="8"/>
      <c r="BW1246" s="58"/>
    </row>
    <row r="1247" spans="41:75" x14ac:dyDescent="0.35">
      <c r="AO1247" s="39">
        <v>1245</v>
      </c>
      <c r="AP1247" s="62"/>
      <c r="AQ1247" s="39"/>
      <c r="AR1247" s="42" t="str">
        <f>IFERROR(VLOOKUP(AU1247,[1]SUMMARY!$A$3:$B$7,2,FALSE),"")</f>
        <v/>
      </c>
      <c r="AS1247" s="31"/>
      <c r="AT1247" s="31" t="e">
        <f>VLOOKUP(AS1247,[1]OUTLET!$B:$C,2,0)</f>
        <v>#N/A</v>
      </c>
      <c r="AU1247" s="31"/>
      <c r="AV1247" s="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44"/>
      <c r="BJ1247" s="44"/>
      <c r="BK1247" s="44"/>
      <c r="BL1247" s="44"/>
      <c r="BM1247" s="44"/>
      <c r="BN1247" s="44"/>
      <c r="BO1247" s="55"/>
      <c r="BP1247" s="40"/>
      <c r="BQ1247" s="4"/>
      <c r="BR1247" s="61"/>
      <c r="BS1247" s="4"/>
      <c r="BT1247" s="57"/>
      <c r="BU1247" s="62"/>
      <c r="BV1247" s="8"/>
      <c r="BW1247" s="58"/>
    </row>
    <row r="1248" spans="41:75" x14ac:dyDescent="0.35">
      <c r="AO1248" s="39">
        <v>1246</v>
      </c>
      <c r="AP1248" s="62"/>
      <c r="AQ1248" s="39"/>
      <c r="AR1248" s="42" t="str">
        <f>IFERROR(VLOOKUP(AU1248,[1]SUMMARY!$A$3:$B$7,2,FALSE),"")</f>
        <v/>
      </c>
      <c r="AS1248" s="31"/>
      <c r="AT1248" s="31" t="e">
        <f>VLOOKUP(AS1248,[1]OUTLET!$B:$C,2,0)</f>
        <v>#N/A</v>
      </c>
      <c r="AU1248" s="31"/>
      <c r="AV1248" s="4"/>
      <c r="AW1248" s="44"/>
      <c r="AX1248" s="44"/>
      <c r="AY1248" s="44"/>
      <c r="AZ1248" s="44"/>
      <c r="BA1248" s="44"/>
      <c r="BB1248" s="44"/>
      <c r="BC1248" s="44"/>
      <c r="BD1248" s="44"/>
      <c r="BE1248" s="44"/>
      <c r="BF1248" s="44"/>
      <c r="BG1248" s="44"/>
      <c r="BH1248" s="44"/>
      <c r="BI1248" s="44"/>
      <c r="BJ1248" s="44"/>
      <c r="BK1248" s="44"/>
      <c r="BL1248" s="44"/>
      <c r="BM1248" s="44"/>
      <c r="BN1248" s="44"/>
      <c r="BO1248" s="55"/>
      <c r="BP1248" s="40"/>
      <c r="BQ1248" s="4"/>
      <c r="BR1248" s="61"/>
      <c r="BS1248" s="4"/>
      <c r="BT1248" s="57"/>
      <c r="BU1248" s="62"/>
      <c r="BV1248" s="8"/>
      <c r="BW1248" s="58"/>
    </row>
    <row r="1249" spans="41:75" x14ac:dyDescent="0.35">
      <c r="AO1249" s="39">
        <v>1247</v>
      </c>
      <c r="AP1249" s="62"/>
      <c r="AQ1249" s="39"/>
      <c r="AR1249" s="42" t="str">
        <f>IFERROR(VLOOKUP(AU1249,[1]SUMMARY!$A$3:$B$7,2,FALSE),"")</f>
        <v/>
      </c>
      <c r="AS1249" s="31"/>
      <c r="AT1249" s="31" t="e">
        <f>VLOOKUP(AS1249,[1]OUTLET!$B:$C,2,0)</f>
        <v>#N/A</v>
      </c>
      <c r="AU1249" s="31"/>
      <c r="AV1249" s="4"/>
      <c r="AW1249" s="44"/>
      <c r="AX1249" s="44"/>
      <c r="AY1249" s="44"/>
      <c r="AZ1249" s="44"/>
      <c r="BA1249" s="44"/>
      <c r="BB1249" s="44"/>
      <c r="BC1249" s="44"/>
      <c r="BD1249" s="44"/>
      <c r="BE1249" s="44"/>
      <c r="BF1249" s="44"/>
      <c r="BG1249" s="44"/>
      <c r="BH1249" s="44"/>
      <c r="BI1249" s="44"/>
      <c r="BJ1249" s="44"/>
      <c r="BK1249" s="44"/>
      <c r="BL1249" s="44"/>
      <c r="BM1249" s="44"/>
      <c r="BN1249" s="44"/>
      <c r="BO1249" s="55"/>
      <c r="BP1249" s="40"/>
      <c r="BQ1249" s="4"/>
      <c r="BR1249" s="61"/>
      <c r="BS1249" s="4"/>
      <c r="BT1249" s="57"/>
      <c r="BU1249" s="62"/>
      <c r="BV1249" s="8"/>
      <c r="BW1249" s="58"/>
    </row>
    <row r="1250" spans="41:75" x14ac:dyDescent="0.35">
      <c r="AO1250" s="39">
        <v>1248</v>
      </c>
      <c r="AP1250" s="62"/>
      <c r="AQ1250" s="39"/>
      <c r="AR1250" s="42" t="str">
        <f>IFERROR(VLOOKUP(AU1250,[1]SUMMARY!$A$3:$B$7,2,FALSE),"")</f>
        <v/>
      </c>
      <c r="AS1250" s="31"/>
      <c r="AT1250" s="31" t="e">
        <f>VLOOKUP(AS1250,[1]OUTLET!$B:$C,2,0)</f>
        <v>#N/A</v>
      </c>
      <c r="AU1250" s="31"/>
      <c r="AV1250" s="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55"/>
      <c r="BP1250" s="40"/>
      <c r="BQ1250" s="4"/>
      <c r="BR1250" s="61"/>
      <c r="BS1250" s="4"/>
      <c r="BT1250" s="57"/>
      <c r="BU1250" s="62"/>
      <c r="BV1250" s="8"/>
      <c r="BW1250" s="58"/>
    </row>
    <row r="1251" spans="41:75" x14ac:dyDescent="0.35">
      <c r="AO1251" s="39">
        <v>1249</v>
      </c>
      <c r="AP1251" s="62"/>
      <c r="AQ1251" s="39"/>
      <c r="AR1251" s="42" t="str">
        <f>IFERROR(VLOOKUP(AU1251,[1]SUMMARY!$A$3:$B$7,2,FALSE),"")</f>
        <v/>
      </c>
      <c r="AS1251" s="31"/>
      <c r="AT1251" s="31" t="e">
        <f>VLOOKUP(AS1251,[1]OUTLET!$B:$C,2,0)</f>
        <v>#N/A</v>
      </c>
      <c r="AU1251" s="31"/>
      <c r="AV1251" s="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55"/>
      <c r="BP1251" s="40"/>
      <c r="BQ1251" s="4"/>
      <c r="BR1251" s="61"/>
      <c r="BS1251" s="4"/>
      <c r="BT1251" s="57"/>
      <c r="BU1251" s="62"/>
      <c r="BV1251" s="8"/>
      <c r="BW1251" s="58"/>
    </row>
    <row r="1252" spans="41:75" x14ac:dyDescent="0.35">
      <c r="AO1252" s="39">
        <v>1250</v>
      </c>
      <c r="AP1252" s="62"/>
      <c r="AQ1252" s="39"/>
      <c r="AR1252" s="42" t="str">
        <f>IFERROR(VLOOKUP(AU1252,[1]SUMMARY!$A$3:$B$7,2,FALSE),"")</f>
        <v/>
      </c>
      <c r="AS1252" s="31"/>
      <c r="AT1252" s="31" t="e">
        <f>VLOOKUP(AS1252,[1]OUTLET!$B:$C,2,0)</f>
        <v>#N/A</v>
      </c>
      <c r="AU1252" s="31"/>
      <c r="AV1252" s="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55"/>
      <c r="BP1252" s="40"/>
      <c r="BQ1252" s="4"/>
      <c r="BR1252" s="61"/>
      <c r="BS1252" s="4"/>
      <c r="BT1252" s="57"/>
      <c r="BU1252" s="62"/>
      <c r="BV1252" s="8"/>
      <c r="BW1252" s="58"/>
    </row>
    <row r="1253" spans="41:75" x14ac:dyDescent="0.35">
      <c r="AO1253" s="39">
        <v>1251</v>
      </c>
      <c r="AP1253" s="62"/>
      <c r="AQ1253" s="39"/>
      <c r="AR1253" s="42" t="str">
        <f>IFERROR(VLOOKUP(AU1253,[1]SUMMARY!$A$3:$B$7,2,FALSE),"")</f>
        <v/>
      </c>
      <c r="AS1253" s="31"/>
      <c r="AT1253" s="31" t="e">
        <f>VLOOKUP(AS1253,[1]OUTLET!$B:$C,2,0)</f>
        <v>#N/A</v>
      </c>
      <c r="AU1253" s="31"/>
      <c r="AV1253" s="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55"/>
      <c r="BP1253" s="40"/>
      <c r="BQ1253" s="4"/>
      <c r="BR1253" s="61"/>
      <c r="BS1253" s="4"/>
      <c r="BT1253" s="57"/>
      <c r="BU1253" s="62"/>
      <c r="BV1253" s="8"/>
      <c r="BW1253" s="58"/>
    </row>
    <row r="1254" spans="41:75" x14ac:dyDescent="0.35">
      <c r="AO1254" s="39">
        <v>1252</v>
      </c>
      <c r="AP1254" s="62"/>
      <c r="AQ1254" s="39"/>
      <c r="AR1254" s="42" t="str">
        <f>IFERROR(VLOOKUP(AU1254,[1]SUMMARY!$A$3:$B$7,2,FALSE),"")</f>
        <v/>
      </c>
      <c r="AS1254" s="31"/>
      <c r="AT1254" s="31" t="e">
        <f>VLOOKUP(AS1254,[1]OUTLET!$B:$C,2,0)</f>
        <v>#N/A</v>
      </c>
      <c r="AU1254" s="31"/>
      <c r="AV1254" s="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55"/>
      <c r="BP1254" s="40"/>
      <c r="BQ1254" s="4"/>
      <c r="BR1254" s="61"/>
      <c r="BS1254" s="4"/>
      <c r="BT1254" s="57"/>
      <c r="BU1254" s="62"/>
      <c r="BV1254" s="8"/>
      <c r="BW1254" s="58"/>
    </row>
    <row r="1255" spans="41:75" x14ac:dyDescent="0.35">
      <c r="AO1255" s="39">
        <v>1253</v>
      </c>
      <c r="AP1255" s="62"/>
      <c r="AQ1255" s="39"/>
      <c r="AR1255" s="42" t="str">
        <f>IFERROR(VLOOKUP(AU1255,[1]SUMMARY!$A$3:$B$7,2,FALSE),"")</f>
        <v/>
      </c>
      <c r="AS1255" s="31"/>
      <c r="AT1255" s="31" t="e">
        <f>VLOOKUP(AS1255,[1]OUTLET!$B:$C,2,0)</f>
        <v>#N/A</v>
      </c>
      <c r="AU1255" s="31"/>
      <c r="AV1255" s="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55"/>
      <c r="BP1255" s="40"/>
      <c r="BQ1255" s="4"/>
      <c r="BR1255" s="61"/>
      <c r="BS1255" s="4"/>
      <c r="BT1255" s="57"/>
      <c r="BU1255" s="62"/>
      <c r="BV1255" s="8"/>
      <c r="BW1255" s="58"/>
    </row>
    <row r="1256" spans="41:75" x14ac:dyDescent="0.35">
      <c r="AO1256" s="39">
        <v>1254</v>
      </c>
      <c r="AP1256" s="62"/>
      <c r="AQ1256" s="39"/>
      <c r="AR1256" s="42" t="str">
        <f>IFERROR(VLOOKUP(AU1256,[1]SUMMARY!$A$3:$B$7,2,FALSE),"")</f>
        <v/>
      </c>
      <c r="AS1256" s="31"/>
      <c r="AT1256" s="31" t="e">
        <f>VLOOKUP(AS1256,[1]OUTLET!$B:$C,2,0)</f>
        <v>#N/A</v>
      </c>
      <c r="AU1256" s="31"/>
      <c r="AV1256" s="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55"/>
      <c r="BP1256" s="40"/>
      <c r="BQ1256" s="4"/>
      <c r="BR1256" s="61"/>
      <c r="BS1256" s="4"/>
      <c r="BT1256" s="57"/>
      <c r="BU1256" s="62"/>
      <c r="BV1256" s="8"/>
      <c r="BW1256" s="58"/>
    </row>
    <row r="1257" spans="41:75" x14ac:dyDescent="0.35">
      <c r="AO1257" s="39">
        <v>1255</v>
      </c>
      <c r="AP1257" s="62"/>
      <c r="AQ1257" s="39"/>
      <c r="AR1257" s="42" t="str">
        <f>IFERROR(VLOOKUP(AU1257,[1]SUMMARY!$A$3:$B$7,2,FALSE),"")</f>
        <v/>
      </c>
      <c r="AS1257" s="31"/>
      <c r="AT1257" s="31" t="e">
        <f>VLOOKUP(AS1257,[1]OUTLET!$B:$C,2,0)</f>
        <v>#N/A</v>
      </c>
      <c r="AU1257" s="31"/>
      <c r="AV1257" s="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55"/>
      <c r="BP1257" s="40"/>
      <c r="BQ1257" s="4"/>
      <c r="BR1257" s="61"/>
      <c r="BS1257" s="4"/>
      <c r="BT1257" s="57"/>
      <c r="BU1257" s="62"/>
      <c r="BV1257" s="8"/>
      <c r="BW1257" s="58"/>
    </row>
    <row r="1258" spans="41:75" x14ac:dyDescent="0.35">
      <c r="AO1258" s="39">
        <v>1256</v>
      </c>
      <c r="AP1258" s="62"/>
      <c r="AQ1258" s="39"/>
      <c r="AR1258" s="42" t="str">
        <f>IFERROR(VLOOKUP(AU1258,[1]SUMMARY!$A$3:$B$7,2,FALSE),"")</f>
        <v/>
      </c>
      <c r="AS1258" s="31"/>
      <c r="AT1258" s="31" t="e">
        <f>VLOOKUP(AS1258,[1]OUTLET!$B:$C,2,0)</f>
        <v>#N/A</v>
      </c>
      <c r="AU1258" s="31"/>
      <c r="AV1258" s="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55"/>
      <c r="BP1258" s="40"/>
      <c r="BQ1258" s="4"/>
      <c r="BR1258" s="61"/>
      <c r="BS1258" s="4"/>
      <c r="BT1258" s="57"/>
      <c r="BU1258" s="62"/>
      <c r="BV1258" s="8"/>
      <c r="BW1258" s="58"/>
    </row>
    <row r="1259" spans="41:75" x14ac:dyDescent="0.35">
      <c r="AO1259" s="39">
        <v>1257</v>
      </c>
      <c r="AP1259" s="62"/>
      <c r="AQ1259" s="39"/>
      <c r="AR1259" s="42" t="str">
        <f>IFERROR(VLOOKUP(AU1259,[1]SUMMARY!$A$3:$B$7,2,FALSE),"")</f>
        <v/>
      </c>
      <c r="AS1259" s="31"/>
      <c r="AT1259" s="31" t="e">
        <f>VLOOKUP(AS1259,[1]OUTLET!$B:$C,2,0)</f>
        <v>#N/A</v>
      </c>
      <c r="AU1259" s="31"/>
      <c r="AV1259" s="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55"/>
      <c r="BP1259" s="40"/>
      <c r="BQ1259" s="4"/>
      <c r="BR1259" s="61"/>
      <c r="BS1259" s="4"/>
      <c r="BT1259" s="57"/>
      <c r="BU1259" s="62"/>
      <c r="BV1259" s="8"/>
      <c r="BW1259" s="58"/>
    </row>
    <row r="1260" spans="41:75" x14ac:dyDescent="0.35">
      <c r="AO1260" s="39">
        <v>1258</v>
      </c>
      <c r="AP1260" s="62"/>
      <c r="AQ1260" s="39"/>
      <c r="AR1260" s="42" t="str">
        <f>IFERROR(VLOOKUP(AU1260,[1]SUMMARY!$A$3:$B$7,2,FALSE),"")</f>
        <v/>
      </c>
      <c r="AS1260" s="31"/>
      <c r="AT1260" s="31" t="e">
        <f>VLOOKUP(AS1260,[1]OUTLET!$B:$C,2,0)</f>
        <v>#N/A</v>
      </c>
      <c r="AU1260" s="31"/>
      <c r="AV1260" s="4"/>
      <c r="AW1260" s="44"/>
      <c r="AX1260" s="44"/>
      <c r="AY1260" s="44"/>
      <c r="AZ1260" s="44"/>
      <c r="BA1260" s="44"/>
      <c r="BB1260" s="44"/>
      <c r="BC1260" s="44"/>
      <c r="BD1260" s="44"/>
      <c r="BE1260" s="44"/>
      <c r="BF1260" s="44"/>
      <c r="BG1260" s="44"/>
      <c r="BH1260" s="44"/>
      <c r="BI1260" s="44"/>
      <c r="BJ1260" s="44"/>
      <c r="BK1260" s="44"/>
      <c r="BL1260" s="44"/>
      <c r="BM1260" s="44"/>
      <c r="BN1260" s="44"/>
      <c r="BO1260" s="55"/>
      <c r="BP1260" s="40"/>
      <c r="BQ1260" s="4"/>
      <c r="BR1260" s="61"/>
      <c r="BS1260" s="4"/>
      <c r="BT1260" s="57"/>
      <c r="BU1260" s="62"/>
      <c r="BV1260" s="8"/>
      <c r="BW1260" s="58"/>
    </row>
    <row r="1261" spans="41:75" x14ac:dyDescent="0.35">
      <c r="AO1261" s="39">
        <v>1259</v>
      </c>
      <c r="AP1261" s="62"/>
      <c r="AQ1261" s="39"/>
      <c r="AR1261" s="42" t="str">
        <f>IFERROR(VLOOKUP(AU1261,[1]SUMMARY!$A$3:$B$7,2,FALSE),"")</f>
        <v/>
      </c>
      <c r="AS1261" s="31"/>
      <c r="AT1261" s="31" t="e">
        <f>VLOOKUP(AS1261,[1]OUTLET!$B:$C,2,0)</f>
        <v>#N/A</v>
      </c>
      <c r="AU1261" s="31"/>
      <c r="AV1261" s="4"/>
      <c r="AW1261" s="44"/>
      <c r="AX1261" s="44"/>
      <c r="AY1261" s="44"/>
      <c r="AZ1261" s="44"/>
      <c r="BA1261" s="44"/>
      <c r="BB1261" s="44"/>
      <c r="BC1261" s="44"/>
      <c r="BD1261" s="44"/>
      <c r="BE1261" s="44"/>
      <c r="BF1261" s="44"/>
      <c r="BG1261" s="44"/>
      <c r="BH1261" s="44"/>
      <c r="BI1261" s="44"/>
      <c r="BJ1261" s="44"/>
      <c r="BK1261" s="44"/>
      <c r="BL1261" s="44"/>
      <c r="BM1261" s="44"/>
      <c r="BN1261" s="44"/>
      <c r="BO1261" s="55"/>
      <c r="BP1261" s="40"/>
      <c r="BQ1261" s="4"/>
      <c r="BR1261" s="61"/>
      <c r="BS1261" s="4"/>
      <c r="BT1261" s="57"/>
      <c r="BU1261" s="62"/>
      <c r="BV1261" s="8"/>
      <c r="BW1261" s="58"/>
    </row>
    <row r="1262" spans="41:75" x14ac:dyDescent="0.35">
      <c r="AO1262" s="39">
        <v>1260</v>
      </c>
      <c r="AP1262" s="62"/>
      <c r="AQ1262" s="39"/>
      <c r="AR1262" s="42" t="str">
        <f>IFERROR(VLOOKUP(AU1262,[1]SUMMARY!$A$3:$B$7,2,FALSE),"")</f>
        <v/>
      </c>
      <c r="AS1262" s="31"/>
      <c r="AT1262" s="31" t="e">
        <f>VLOOKUP(AS1262,[1]OUTLET!$B:$C,2,0)</f>
        <v>#N/A</v>
      </c>
      <c r="AU1262" s="31"/>
      <c r="AV1262" s="4"/>
      <c r="AW1262" s="44"/>
      <c r="AX1262" s="44"/>
      <c r="AY1262" s="44"/>
      <c r="AZ1262" s="44"/>
      <c r="BA1262" s="44"/>
      <c r="BB1262" s="44"/>
      <c r="BC1262" s="44"/>
      <c r="BD1262" s="44"/>
      <c r="BE1262" s="44"/>
      <c r="BF1262" s="44"/>
      <c r="BG1262" s="44"/>
      <c r="BH1262" s="44"/>
      <c r="BI1262" s="44"/>
      <c r="BJ1262" s="44"/>
      <c r="BK1262" s="44"/>
      <c r="BL1262" s="44"/>
      <c r="BM1262" s="44"/>
      <c r="BN1262" s="44"/>
      <c r="BO1262" s="55"/>
      <c r="BP1262" s="40"/>
      <c r="BQ1262" s="4"/>
      <c r="BR1262" s="61"/>
      <c r="BS1262" s="4"/>
      <c r="BT1262" s="57"/>
      <c r="BU1262" s="62"/>
      <c r="BV1262" s="8"/>
      <c r="BW1262" s="58"/>
    </row>
    <row r="1263" spans="41:75" x14ac:dyDescent="0.35">
      <c r="AO1263" s="39">
        <v>1261</v>
      </c>
      <c r="AP1263" s="62"/>
      <c r="AQ1263" s="39"/>
      <c r="AR1263" s="42" t="str">
        <f>IFERROR(VLOOKUP(AU1263,[1]SUMMARY!$A$3:$B$7,2,FALSE),"")</f>
        <v/>
      </c>
      <c r="AS1263" s="31"/>
      <c r="AT1263" s="31" t="e">
        <f>VLOOKUP(AS1263,[1]OUTLET!$B:$C,2,0)</f>
        <v>#N/A</v>
      </c>
      <c r="AU1263" s="31"/>
      <c r="AV1263" s="4"/>
      <c r="AW1263" s="44"/>
      <c r="AX1263" s="44"/>
      <c r="AY1263" s="44"/>
      <c r="AZ1263" s="44"/>
      <c r="BA1263" s="44"/>
      <c r="BB1263" s="44"/>
      <c r="BC1263" s="44"/>
      <c r="BD1263" s="44"/>
      <c r="BE1263" s="44"/>
      <c r="BF1263" s="44"/>
      <c r="BG1263" s="44"/>
      <c r="BH1263" s="44"/>
      <c r="BI1263" s="44"/>
      <c r="BJ1263" s="44"/>
      <c r="BK1263" s="44"/>
      <c r="BL1263" s="44"/>
      <c r="BM1263" s="44"/>
      <c r="BN1263" s="44"/>
      <c r="BO1263" s="55"/>
      <c r="BP1263" s="40"/>
      <c r="BQ1263" s="4"/>
      <c r="BR1263" s="61"/>
      <c r="BS1263" s="4"/>
      <c r="BT1263" s="57"/>
      <c r="BU1263" s="62"/>
      <c r="BV1263" s="8"/>
      <c r="BW1263" s="58"/>
    </row>
    <row r="1264" spans="41:75" x14ac:dyDescent="0.35">
      <c r="AO1264" s="39">
        <v>1262</v>
      </c>
      <c r="AP1264" s="62"/>
      <c r="AQ1264" s="39"/>
      <c r="AR1264" s="42" t="str">
        <f>IFERROR(VLOOKUP(AU1264,[1]SUMMARY!$A$3:$B$7,2,FALSE),"")</f>
        <v/>
      </c>
      <c r="AS1264" s="31"/>
      <c r="AT1264" s="31" t="e">
        <f>VLOOKUP(AS1264,[1]OUTLET!$B:$C,2,0)</f>
        <v>#N/A</v>
      </c>
      <c r="AU1264" s="31"/>
      <c r="AV1264" s="4"/>
      <c r="AW1264" s="44"/>
      <c r="AX1264" s="44"/>
      <c r="AY1264" s="44"/>
      <c r="AZ1264" s="44"/>
      <c r="BA1264" s="44"/>
      <c r="BB1264" s="44"/>
      <c r="BC1264" s="44"/>
      <c r="BD1264" s="44"/>
      <c r="BE1264" s="44"/>
      <c r="BF1264" s="44"/>
      <c r="BG1264" s="44"/>
      <c r="BH1264" s="44"/>
      <c r="BI1264" s="44"/>
      <c r="BJ1264" s="44"/>
      <c r="BK1264" s="44"/>
      <c r="BL1264" s="44"/>
      <c r="BM1264" s="44"/>
      <c r="BN1264" s="44"/>
      <c r="BO1264" s="55"/>
      <c r="BP1264" s="40"/>
      <c r="BQ1264" s="4"/>
      <c r="BR1264" s="61"/>
      <c r="BS1264" s="4"/>
      <c r="BT1264" s="57"/>
      <c r="BU1264" s="62"/>
      <c r="BV1264" s="8"/>
      <c r="BW1264" s="58"/>
    </row>
    <row r="1265" spans="41:75" x14ac:dyDescent="0.35">
      <c r="AO1265" s="39">
        <v>1263</v>
      </c>
      <c r="AP1265" s="62"/>
      <c r="AQ1265" s="39"/>
      <c r="AR1265" s="42" t="str">
        <f>IFERROR(VLOOKUP(AU1265,[1]SUMMARY!$A$3:$B$7,2,FALSE),"")</f>
        <v/>
      </c>
      <c r="AS1265" s="31"/>
      <c r="AT1265" s="31" t="e">
        <f>VLOOKUP(AS1265,[1]OUTLET!$B:$C,2,0)</f>
        <v>#N/A</v>
      </c>
      <c r="AU1265" s="31"/>
      <c r="AV1265" s="4"/>
      <c r="AW1265" s="44"/>
      <c r="AX1265" s="44"/>
      <c r="AY1265" s="44"/>
      <c r="AZ1265" s="44"/>
      <c r="BA1265" s="44"/>
      <c r="BB1265" s="44"/>
      <c r="BC1265" s="44"/>
      <c r="BD1265" s="44"/>
      <c r="BE1265" s="44"/>
      <c r="BF1265" s="44"/>
      <c r="BG1265" s="44"/>
      <c r="BH1265" s="44"/>
      <c r="BI1265" s="44"/>
      <c r="BJ1265" s="44"/>
      <c r="BK1265" s="44"/>
      <c r="BL1265" s="44"/>
      <c r="BM1265" s="44"/>
      <c r="BN1265" s="44"/>
      <c r="BO1265" s="55"/>
      <c r="BP1265" s="40"/>
      <c r="BQ1265" s="4"/>
      <c r="BR1265" s="61"/>
      <c r="BS1265" s="4"/>
      <c r="BT1265" s="57"/>
      <c r="BU1265" s="62"/>
      <c r="BV1265" s="8"/>
      <c r="BW1265" s="58"/>
    </row>
    <row r="1266" spans="41:75" x14ac:dyDescent="0.35">
      <c r="AO1266" s="39">
        <v>1264</v>
      </c>
      <c r="AP1266" s="62"/>
      <c r="AQ1266" s="39"/>
      <c r="AR1266" s="42" t="str">
        <f>IFERROR(VLOOKUP(AU1266,[1]SUMMARY!$A$3:$B$7,2,FALSE),"")</f>
        <v/>
      </c>
      <c r="AS1266" s="31"/>
      <c r="AT1266" s="31" t="e">
        <f>VLOOKUP(AS1266,[1]OUTLET!$B:$C,2,0)</f>
        <v>#N/A</v>
      </c>
      <c r="AU1266" s="31"/>
      <c r="AV1266" s="4"/>
      <c r="AW1266" s="44"/>
      <c r="AX1266" s="44"/>
      <c r="AY1266" s="44"/>
      <c r="AZ1266" s="44"/>
      <c r="BA1266" s="44"/>
      <c r="BB1266" s="44"/>
      <c r="BC1266" s="44"/>
      <c r="BD1266" s="44"/>
      <c r="BE1266" s="44"/>
      <c r="BF1266" s="44"/>
      <c r="BG1266" s="44"/>
      <c r="BH1266" s="44"/>
      <c r="BI1266" s="44"/>
      <c r="BJ1266" s="44"/>
      <c r="BK1266" s="44"/>
      <c r="BL1266" s="44"/>
      <c r="BM1266" s="44"/>
      <c r="BN1266" s="44"/>
      <c r="BO1266" s="55"/>
      <c r="BP1266" s="40"/>
      <c r="BQ1266" s="4"/>
      <c r="BR1266" s="61"/>
      <c r="BS1266" s="4"/>
      <c r="BT1266" s="57"/>
      <c r="BU1266" s="62"/>
      <c r="BV1266" s="8"/>
      <c r="BW1266" s="58"/>
    </row>
    <row r="1267" spans="41:75" x14ac:dyDescent="0.35">
      <c r="AO1267" s="39">
        <v>1265</v>
      </c>
      <c r="AP1267" s="62"/>
      <c r="AQ1267" s="39"/>
      <c r="AR1267" s="42" t="str">
        <f>IFERROR(VLOOKUP(AU1267,[1]SUMMARY!$A$3:$B$7,2,FALSE),"")</f>
        <v/>
      </c>
      <c r="AS1267" s="31"/>
      <c r="AT1267" s="31" t="e">
        <f>VLOOKUP(AS1267,[1]OUTLET!$B:$C,2,0)</f>
        <v>#N/A</v>
      </c>
      <c r="AU1267" s="31"/>
      <c r="AV1267" s="4"/>
      <c r="AW1267" s="44"/>
      <c r="AX1267" s="44"/>
      <c r="AY1267" s="44"/>
      <c r="AZ1267" s="44"/>
      <c r="BA1267" s="44"/>
      <c r="BB1267" s="44"/>
      <c r="BC1267" s="44"/>
      <c r="BD1267" s="44"/>
      <c r="BE1267" s="44"/>
      <c r="BF1267" s="44"/>
      <c r="BG1267" s="44"/>
      <c r="BH1267" s="44"/>
      <c r="BI1267" s="44"/>
      <c r="BJ1267" s="44"/>
      <c r="BK1267" s="44"/>
      <c r="BL1267" s="44"/>
      <c r="BM1267" s="44"/>
      <c r="BN1267" s="44"/>
      <c r="BO1267" s="55"/>
      <c r="BP1267" s="40"/>
      <c r="BQ1267" s="4"/>
      <c r="BR1267" s="61"/>
      <c r="BS1267" s="4"/>
      <c r="BT1267" s="57"/>
      <c r="BU1267" s="62"/>
      <c r="BV1267" s="8"/>
      <c r="BW1267" s="58"/>
    </row>
    <row r="1268" spans="41:75" x14ac:dyDescent="0.35">
      <c r="AO1268" s="39">
        <v>1266</v>
      </c>
      <c r="AP1268" s="62"/>
      <c r="AQ1268" s="39"/>
      <c r="AR1268" s="42" t="str">
        <f>IFERROR(VLOOKUP(AU1268,[1]SUMMARY!$A$3:$B$7,2,FALSE),"")</f>
        <v/>
      </c>
      <c r="AS1268" s="31"/>
      <c r="AT1268" s="31" t="e">
        <f>VLOOKUP(AS1268,[1]OUTLET!$B:$C,2,0)</f>
        <v>#N/A</v>
      </c>
      <c r="AU1268" s="31"/>
      <c r="AV1268" s="4"/>
      <c r="AW1268" s="44"/>
      <c r="AX1268" s="44"/>
      <c r="AY1268" s="44"/>
      <c r="AZ1268" s="44"/>
      <c r="BA1268" s="44"/>
      <c r="BB1268" s="44"/>
      <c r="BC1268" s="44"/>
      <c r="BD1268" s="44"/>
      <c r="BE1268" s="44"/>
      <c r="BF1268" s="44"/>
      <c r="BG1268" s="44"/>
      <c r="BH1268" s="44"/>
      <c r="BI1268" s="44"/>
      <c r="BJ1268" s="44"/>
      <c r="BK1268" s="44"/>
      <c r="BL1268" s="44"/>
      <c r="BM1268" s="44"/>
      <c r="BN1268" s="44"/>
      <c r="BO1268" s="55"/>
      <c r="BP1268" s="40"/>
      <c r="BQ1268" s="4"/>
      <c r="BR1268" s="61"/>
      <c r="BS1268" s="4"/>
      <c r="BT1268" s="57"/>
      <c r="BU1268" s="62"/>
      <c r="BV1268" s="8"/>
      <c r="BW1268" s="58"/>
    </row>
    <row r="1269" spans="41:75" x14ac:dyDescent="0.35">
      <c r="AO1269" s="39">
        <v>1267</v>
      </c>
      <c r="AP1269" s="62"/>
      <c r="AQ1269" s="39"/>
      <c r="AR1269" s="42" t="str">
        <f>IFERROR(VLOOKUP(AU1269,[1]SUMMARY!$A$3:$B$7,2,FALSE),"")</f>
        <v/>
      </c>
      <c r="AS1269" s="31"/>
      <c r="AT1269" s="31" t="e">
        <f>VLOOKUP(AS1269,[1]OUTLET!$B:$C,2,0)</f>
        <v>#N/A</v>
      </c>
      <c r="AU1269" s="31"/>
      <c r="AV1269" s="4"/>
      <c r="AW1269" s="44"/>
      <c r="AX1269" s="44"/>
      <c r="AY1269" s="44"/>
      <c r="AZ1269" s="44"/>
      <c r="BA1269" s="44"/>
      <c r="BB1269" s="44"/>
      <c r="BC1269" s="44"/>
      <c r="BD1269" s="44"/>
      <c r="BE1269" s="44"/>
      <c r="BF1269" s="44"/>
      <c r="BG1269" s="44"/>
      <c r="BH1269" s="44"/>
      <c r="BI1269" s="44"/>
      <c r="BJ1269" s="44"/>
      <c r="BK1269" s="44"/>
      <c r="BL1269" s="44"/>
      <c r="BM1269" s="44"/>
      <c r="BN1269" s="44"/>
      <c r="BO1269" s="55"/>
      <c r="BP1269" s="40"/>
      <c r="BQ1269" s="4"/>
      <c r="BR1269" s="61"/>
      <c r="BS1269" s="4"/>
      <c r="BT1269" s="57"/>
      <c r="BU1269" s="62"/>
      <c r="BV1269" s="8"/>
      <c r="BW1269" s="58"/>
    </row>
    <row r="1270" spans="41:75" x14ac:dyDescent="0.35">
      <c r="AO1270" s="39">
        <v>1268</v>
      </c>
      <c r="AP1270" s="62"/>
      <c r="AQ1270" s="39"/>
      <c r="AR1270" s="42" t="str">
        <f>IFERROR(VLOOKUP(AU1270,[1]SUMMARY!$A$3:$B$7,2,FALSE),"")</f>
        <v/>
      </c>
      <c r="AS1270" s="31"/>
      <c r="AT1270" s="31" t="e">
        <f>VLOOKUP(AS1270,[1]OUTLET!$B:$C,2,0)</f>
        <v>#N/A</v>
      </c>
      <c r="AU1270" s="31"/>
      <c r="AV1270" s="4"/>
      <c r="AW1270" s="44"/>
      <c r="AX1270" s="44"/>
      <c r="AY1270" s="44"/>
      <c r="AZ1270" s="44"/>
      <c r="BA1270" s="44"/>
      <c r="BB1270" s="44"/>
      <c r="BC1270" s="44"/>
      <c r="BD1270" s="44"/>
      <c r="BE1270" s="44"/>
      <c r="BF1270" s="44"/>
      <c r="BG1270" s="44"/>
      <c r="BH1270" s="44"/>
      <c r="BI1270" s="44"/>
      <c r="BJ1270" s="44"/>
      <c r="BK1270" s="44"/>
      <c r="BL1270" s="44"/>
      <c r="BM1270" s="44"/>
      <c r="BN1270" s="44"/>
      <c r="BO1270" s="55"/>
      <c r="BP1270" s="40"/>
      <c r="BQ1270" s="4"/>
      <c r="BR1270" s="61"/>
      <c r="BS1270" s="4"/>
      <c r="BT1270" s="57"/>
      <c r="BU1270" s="62"/>
      <c r="BV1270" s="8"/>
      <c r="BW1270" s="58"/>
    </row>
    <row r="1271" spans="41:75" x14ac:dyDescent="0.35">
      <c r="AO1271" s="39">
        <v>1269</v>
      </c>
      <c r="AP1271" s="62"/>
      <c r="AQ1271" s="39"/>
      <c r="AR1271" s="42" t="str">
        <f>IFERROR(VLOOKUP(AU1271,[1]SUMMARY!$A$3:$B$7,2,FALSE),"")</f>
        <v/>
      </c>
      <c r="AS1271" s="31"/>
      <c r="AT1271" s="31" t="e">
        <f>VLOOKUP(AS1271,[1]OUTLET!$B:$C,2,0)</f>
        <v>#N/A</v>
      </c>
      <c r="AU1271" s="31"/>
      <c r="AV1271" s="4"/>
      <c r="AW1271" s="44"/>
      <c r="AX1271" s="44"/>
      <c r="AY1271" s="44"/>
      <c r="AZ1271" s="44"/>
      <c r="BA1271" s="44"/>
      <c r="BB1271" s="44"/>
      <c r="BC1271" s="44"/>
      <c r="BD1271" s="44"/>
      <c r="BE1271" s="44"/>
      <c r="BF1271" s="44"/>
      <c r="BG1271" s="44"/>
      <c r="BH1271" s="44"/>
      <c r="BI1271" s="44"/>
      <c r="BJ1271" s="44"/>
      <c r="BK1271" s="44"/>
      <c r="BL1271" s="44"/>
      <c r="BM1271" s="44"/>
      <c r="BN1271" s="44"/>
      <c r="BO1271" s="55"/>
      <c r="BP1271" s="40"/>
      <c r="BQ1271" s="4"/>
      <c r="BR1271" s="61"/>
      <c r="BS1271" s="4"/>
      <c r="BT1271" s="57"/>
      <c r="BU1271" s="62"/>
      <c r="BV1271" s="8"/>
      <c r="BW1271" s="58"/>
    </row>
    <row r="1272" spans="41:75" x14ac:dyDescent="0.35">
      <c r="AO1272" s="39">
        <v>1270</v>
      </c>
      <c r="AP1272" s="62"/>
      <c r="AQ1272" s="39"/>
      <c r="AR1272" s="42" t="str">
        <f>IFERROR(VLOOKUP(AU1272,[1]SUMMARY!$A$3:$B$7,2,FALSE),"")</f>
        <v/>
      </c>
      <c r="AS1272" s="31"/>
      <c r="AT1272" s="31" t="e">
        <f>VLOOKUP(AS1272,[1]OUTLET!$B:$C,2,0)</f>
        <v>#N/A</v>
      </c>
      <c r="AU1272" s="31"/>
      <c r="AV1272" s="4"/>
      <c r="AW1272" s="44"/>
      <c r="AX1272" s="44"/>
      <c r="AY1272" s="44"/>
      <c r="AZ1272" s="44"/>
      <c r="BA1272" s="44"/>
      <c r="BB1272" s="44"/>
      <c r="BC1272" s="44"/>
      <c r="BD1272" s="44"/>
      <c r="BE1272" s="44"/>
      <c r="BF1272" s="44"/>
      <c r="BG1272" s="44"/>
      <c r="BH1272" s="44"/>
      <c r="BI1272" s="44"/>
      <c r="BJ1272" s="44"/>
      <c r="BK1272" s="44"/>
      <c r="BL1272" s="44"/>
      <c r="BM1272" s="44"/>
      <c r="BN1272" s="44"/>
      <c r="BO1272" s="55"/>
      <c r="BP1272" s="40"/>
      <c r="BQ1272" s="4"/>
      <c r="BR1272" s="61"/>
      <c r="BS1272" s="4"/>
      <c r="BT1272" s="57"/>
      <c r="BU1272" s="62"/>
      <c r="BV1272" s="8"/>
      <c r="BW1272" s="58"/>
    </row>
    <row r="1273" spans="41:75" x14ac:dyDescent="0.35">
      <c r="AO1273" s="39">
        <v>1271</v>
      </c>
      <c r="AP1273" s="62"/>
      <c r="AQ1273" s="39"/>
      <c r="AR1273" s="42" t="str">
        <f>IFERROR(VLOOKUP(AU1273,[1]SUMMARY!$A$3:$B$7,2,FALSE),"")</f>
        <v/>
      </c>
      <c r="AS1273" s="31"/>
      <c r="AT1273" s="31" t="e">
        <f>VLOOKUP(AS1273,[1]OUTLET!$B:$C,2,0)</f>
        <v>#N/A</v>
      </c>
      <c r="AU1273" s="31"/>
      <c r="AV1273" s="4"/>
      <c r="AW1273" s="44"/>
      <c r="AX1273" s="44"/>
      <c r="AY1273" s="44"/>
      <c r="AZ1273" s="44"/>
      <c r="BA1273" s="44"/>
      <c r="BB1273" s="44"/>
      <c r="BC1273" s="44"/>
      <c r="BD1273" s="44"/>
      <c r="BE1273" s="44"/>
      <c r="BF1273" s="44"/>
      <c r="BG1273" s="44"/>
      <c r="BH1273" s="44"/>
      <c r="BI1273" s="44"/>
      <c r="BJ1273" s="44"/>
      <c r="BK1273" s="44"/>
      <c r="BL1273" s="44"/>
      <c r="BM1273" s="44"/>
      <c r="BN1273" s="44"/>
      <c r="BO1273" s="55"/>
      <c r="BP1273" s="40"/>
      <c r="BQ1273" s="4"/>
      <c r="BR1273" s="61"/>
      <c r="BS1273" s="4"/>
      <c r="BT1273" s="57"/>
      <c r="BU1273" s="62"/>
      <c r="BV1273" s="8"/>
      <c r="BW1273" s="58"/>
    </row>
    <row r="1274" spans="41:75" x14ac:dyDescent="0.35">
      <c r="AO1274" s="39">
        <v>1272</v>
      </c>
      <c r="AP1274" s="62"/>
      <c r="AQ1274" s="39"/>
      <c r="AR1274" s="42" t="str">
        <f>IFERROR(VLOOKUP(AU1274,[1]SUMMARY!$A$3:$B$7,2,FALSE),"")</f>
        <v/>
      </c>
      <c r="AS1274" s="31"/>
      <c r="AT1274" s="31" t="e">
        <f>VLOOKUP(AS1274,[1]OUTLET!$B:$C,2,0)</f>
        <v>#N/A</v>
      </c>
      <c r="AU1274" s="31"/>
      <c r="AV1274" s="4"/>
      <c r="AW1274" s="44"/>
      <c r="AX1274" s="44"/>
      <c r="AY1274" s="44"/>
      <c r="AZ1274" s="44"/>
      <c r="BA1274" s="44"/>
      <c r="BB1274" s="44"/>
      <c r="BC1274" s="44"/>
      <c r="BD1274" s="44"/>
      <c r="BE1274" s="44"/>
      <c r="BF1274" s="44"/>
      <c r="BG1274" s="44"/>
      <c r="BH1274" s="44"/>
      <c r="BI1274" s="44"/>
      <c r="BJ1274" s="44"/>
      <c r="BK1274" s="44"/>
      <c r="BL1274" s="44"/>
      <c r="BM1274" s="44"/>
      <c r="BN1274" s="44"/>
      <c r="BO1274" s="55"/>
      <c r="BP1274" s="40"/>
      <c r="BQ1274" s="4"/>
      <c r="BR1274" s="61"/>
      <c r="BS1274" s="4"/>
      <c r="BT1274" s="57"/>
      <c r="BU1274" s="62"/>
      <c r="BV1274" s="8"/>
      <c r="BW1274" s="58"/>
    </row>
    <row r="1275" spans="41:75" x14ac:dyDescent="0.35">
      <c r="AO1275" s="39">
        <v>1273</v>
      </c>
      <c r="AP1275" s="62"/>
      <c r="AQ1275" s="39"/>
      <c r="AR1275" s="42" t="str">
        <f>IFERROR(VLOOKUP(AU1275,[1]SUMMARY!$A$3:$B$7,2,FALSE),"")</f>
        <v/>
      </c>
      <c r="AS1275" s="31"/>
      <c r="AT1275" s="31" t="e">
        <f>VLOOKUP(AS1275,[1]OUTLET!$B:$C,2,0)</f>
        <v>#N/A</v>
      </c>
      <c r="AU1275" s="31"/>
      <c r="AV1275" s="4"/>
      <c r="AW1275" s="44"/>
      <c r="AX1275" s="44"/>
      <c r="AY1275" s="44"/>
      <c r="AZ1275" s="44"/>
      <c r="BA1275" s="44"/>
      <c r="BB1275" s="44"/>
      <c r="BC1275" s="44"/>
      <c r="BD1275" s="44"/>
      <c r="BE1275" s="44"/>
      <c r="BF1275" s="44"/>
      <c r="BG1275" s="44"/>
      <c r="BH1275" s="44"/>
      <c r="BI1275" s="44"/>
      <c r="BJ1275" s="44"/>
      <c r="BK1275" s="44"/>
      <c r="BL1275" s="44"/>
      <c r="BM1275" s="44"/>
      <c r="BN1275" s="44"/>
      <c r="BO1275" s="55"/>
      <c r="BP1275" s="40"/>
      <c r="BQ1275" s="4"/>
      <c r="BR1275" s="61"/>
      <c r="BS1275" s="4"/>
      <c r="BT1275" s="57"/>
      <c r="BU1275" s="62"/>
      <c r="BV1275" s="8"/>
      <c r="BW1275" s="58"/>
    </row>
    <row r="1276" spans="41:75" x14ac:dyDescent="0.35">
      <c r="AO1276" s="39">
        <v>1274</v>
      </c>
      <c r="AP1276" s="62"/>
      <c r="AQ1276" s="39"/>
      <c r="AR1276" s="42" t="str">
        <f>IFERROR(VLOOKUP(AU1276,[1]SUMMARY!$A$3:$B$7,2,FALSE),"")</f>
        <v/>
      </c>
      <c r="AS1276" s="31"/>
      <c r="AT1276" s="31" t="e">
        <f>VLOOKUP(AS1276,[1]OUTLET!$B:$C,2,0)</f>
        <v>#N/A</v>
      </c>
      <c r="AU1276" s="31"/>
      <c r="AV1276" s="4"/>
      <c r="AW1276" s="44"/>
      <c r="AX1276" s="44"/>
      <c r="AY1276" s="44"/>
      <c r="AZ1276" s="44"/>
      <c r="BA1276" s="44"/>
      <c r="BB1276" s="44"/>
      <c r="BC1276" s="44"/>
      <c r="BD1276" s="44"/>
      <c r="BE1276" s="44"/>
      <c r="BF1276" s="44"/>
      <c r="BG1276" s="44"/>
      <c r="BH1276" s="44"/>
      <c r="BI1276" s="44"/>
      <c r="BJ1276" s="44"/>
      <c r="BK1276" s="44"/>
      <c r="BL1276" s="44"/>
      <c r="BM1276" s="44"/>
      <c r="BN1276" s="44"/>
      <c r="BO1276" s="55"/>
      <c r="BP1276" s="40"/>
      <c r="BQ1276" s="4"/>
      <c r="BR1276" s="61"/>
      <c r="BS1276" s="4"/>
      <c r="BT1276" s="57"/>
      <c r="BU1276" s="62"/>
      <c r="BV1276" s="8"/>
      <c r="BW1276" s="58"/>
    </row>
    <row r="1277" spans="41:75" x14ac:dyDescent="0.35">
      <c r="AO1277" s="39">
        <v>1275</v>
      </c>
      <c r="AP1277" s="62"/>
      <c r="AQ1277" s="39"/>
      <c r="AR1277" s="42" t="str">
        <f>IFERROR(VLOOKUP(AU1277,[1]SUMMARY!$A$3:$B$7,2,FALSE),"")</f>
        <v/>
      </c>
      <c r="AS1277" s="31"/>
      <c r="AT1277" s="31" t="e">
        <f>VLOOKUP(AS1277,[1]OUTLET!$B:$C,2,0)</f>
        <v>#N/A</v>
      </c>
      <c r="AU1277" s="31"/>
      <c r="AV1277" s="4"/>
      <c r="AW1277" s="44"/>
      <c r="AX1277" s="44"/>
      <c r="AY1277" s="44"/>
      <c r="AZ1277" s="44"/>
      <c r="BA1277" s="44"/>
      <c r="BB1277" s="44"/>
      <c r="BC1277" s="44"/>
      <c r="BD1277" s="44"/>
      <c r="BE1277" s="44"/>
      <c r="BF1277" s="44"/>
      <c r="BG1277" s="44"/>
      <c r="BH1277" s="44"/>
      <c r="BI1277" s="44"/>
      <c r="BJ1277" s="44"/>
      <c r="BK1277" s="44"/>
      <c r="BL1277" s="44"/>
      <c r="BM1277" s="44"/>
      <c r="BN1277" s="44"/>
      <c r="BO1277" s="55"/>
      <c r="BP1277" s="40"/>
      <c r="BQ1277" s="4"/>
      <c r="BR1277" s="61"/>
      <c r="BS1277" s="4"/>
      <c r="BT1277" s="57"/>
      <c r="BU1277" s="62"/>
      <c r="BV1277" s="8"/>
      <c r="BW1277" s="58"/>
    </row>
    <row r="1278" spans="41:75" x14ac:dyDescent="0.35">
      <c r="AO1278" s="39">
        <v>1276</v>
      </c>
      <c r="AP1278" s="62"/>
      <c r="AQ1278" s="39"/>
      <c r="AR1278" s="42" t="str">
        <f>IFERROR(VLOOKUP(AU1278,[1]SUMMARY!$A$3:$B$7,2,FALSE),"")</f>
        <v/>
      </c>
      <c r="AS1278" s="31"/>
      <c r="AT1278" s="31" t="e">
        <f>VLOOKUP(AS1278,[1]OUTLET!$B:$C,2,0)</f>
        <v>#N/A</v>
      </c>
      <c r="AU1278" s="31"/>
      <c r="AV1278" s="4"/>
      <c r="AW1278" s="44"/>
      <c r="AX1278" s="44"/>
      <c r="AY1278" s="44"/>
      <c r="AZ1278" s="44"/>
      <c r="BA1278" s="44"/>
      <c r="BB1278" s="44"/>
      <c r="BC1278" s="44"/>
      <c r="BD1278" s="44"/>
      <c r="BE1278" s="44"/>
      <c r="BF1278" s="44"/>
      <c r="BG1278" s="44"/>
      <c r="BH1278" s="44"/>
      <c r="BI1278" s="44"/>
      <c r="BJ1278" s="44"/>
      <c r="BK1278" s="44"/>
      <c r="BL1278" s="44"/>
      <c r="BM1278" s="44"/>
      <c r="BN1278" s="44"/>
      <c r="BO1278" s="55"/>
      <c r="BP1278" s="40"/>
      <c r="BQ1278" s="4"/>
      <c r="BR1278" s="61"/>
      <c r="BS1278" s="4"/>
      <c r="BT1278" s="57"/>
      <c r="BU1278" s="62"/>
      <c r="BV1278" s="8"/>
      <c r="BW1278" s="58"/>
    </row>
    <row r="1279" spans="41:75" x14ac:dyDescent="0.35">
      <c r="AO1279" s="39">
        <v>1277</v>
      </c>
      <c r="AP1279" s="62"/>
      <c r="AQ1279" s="39"/>
      <c r="AR1279" s="42" t="str">
        <f>IFERROR(VLOOKUP(AU1279,[1]SUMMARY!$A$3:$B$7,2,FALSE),"")</f>
        <v/>
      </c>
      <c r="AS1279" s="31"/>
      <c r="AT1279" s="31" t="e">
        <f>VLOOKUP(AS1279,[1]OUTLET!$B:$C,2,0)</f>
        <v>#N/A</v>
      </c>
      <c r="AU1279" s="31"/>
      <c r="AV1279" s="4"/>
      <c r="AW1279" s="44"/>
      <c r="AX1279" s="44"/>
      <c r="AY1279" s="44"/>
      <c r="AZ1279" s="44"/>
      <c r="BA1279" s="44"/>
      <c r="BB1279" s="44"/>
      <c r="BC1279" s="44"/>
      <c r="BD1279" s="44"/>
      <c r="BE1279" s="44"/>
      <c r="BF1279" s="44"/>
      <c r="BG1279" s="44"/>
      <c r="BH1279" s="44"/>
      <c r="BI1279" s="44"/>
      <c r="BJ1279" s="44"/>
      <c r="BK1279" s="44"/>
      <c r="BL1279" s="44"/>
      <c r="BM1279" s="44"/>
      <c r="BN1279" s="44"/>
      <c r="BO1279" s="55"/>
      <c r="BP1279" s="40"/>
      <c r="BQ1279" s="4"/>
      <c r="BR1279" s="61"/>
      <c r="BS1279" s="4"/>
      <c r="BT1279" s="57"/>
      <c r="BU1279" s="62"/>
      <c r="BV1279" s="8"/>
      <c r="BW1279" s="58"/>
    </row>
    <row r="1280" spans="41:75" x14ac:dyDescent="0.35">
      <c r="AO1280" s="39">
        <v>1278</v>
      </c>
      <c r="AP1280" s="62"/>
      <c r="AQ1280" s="39"/>
      <c r="AR1280" s="42" t="str">
        <f>IFERROR(VLOOKUP(AU1280,[1]SUMMARY!$A$3:$B$7,2,FALSE),"")</f>
        <v/>
      </c>
      <c r="AS1280" s="31"/>
      <c r="AT1280" s="31" t="e">
        <f>VLOOKUP(AS1280,[1]OUTLET!$B:$C,2,0)</f>
        <v>#N/A</v>
      </c>
      <c r="AU1280" s="31"/>
      <c r="AV1280" s="4"/>
      <c r="AW1280" s="44"/>
      <c r="AX1280" s="44"/>
      <c r="AY1280" s="44"/>
      <c r="AZ1280" s="44"/>
      <c r="BA1280" s="44"/>
      <c r="BB1280" s="44"/>
      <c r="BC1280" s="44"/>
      <c r="BD1280" s="44"/>
      <c r="BE1280" s="44"/>
      <c r="BF1280" s="44"/>
      <c r="BG1280" s="44"/>
      <c r="BH1280" s="44"/>
      <c r="BI1280" s="44"/>
      <c r="BJ1280" s="44"/>
      <c r="BK1280" s="44"/>
      <c r="BL1280" s="44"/>
      <c r="BM1280" s="44"/>
      <c r="BN1280" s="44"/>
      <c r="BO1280" s="55"/>
      <c r="BP1280" s="40"/>
      <c r="BQ1280" s="4"/>
      <c r="BR1280" s="61"/>
      <c r="BS1280" s="4"/>
      <c r="BT1280" s="57"/>
      <c r="BU1280" s="62"/>
      <c r="BV1280" s="8"/>
      <c r="BW1280" s="58"/>
    </row>
    <row r="1281" spans="41:75" x14ac:dyDescent="0.35">
      <c r="AO1281" s="39">
        <v>1279</v>
      </c>
      <c r="AP1281" s="62"/>
      <c r="AQ1281" s="39"/>
      <c r="AR1281" s="42" t="str">
        <f>IFERROR(VLOOKUP(AU1281,[1]SUMMARY!$A$3:$B$7,2,FALSE),"")</f>
        <v/>
      </c>
      <c r="AS1281" s="31"/>
      <c r="AT1281" s="31" t="e">
        <f>VLOOKUP(AS1281,[1]OUTLET!$B:$C,2,0)</f>
        <v>#N/A</v>
      </c>
      <c r="AU1281" s="31"/>
      <c r="AV1281" s="4"/>
      <c r="AW1281" s="44"/>
      <c r="AX1281" s="44"/>
      <c r="AY1281" s="44"/>
      <c r="AZ1281" s="44"/>
      <c r="BA1281" s="44"/>
      <c r="BB1281" s="44"/>
      <c r="BC1281" s="44"/>
      <c r="BD1281" s="44"/>
      <c r="BE1281" s="44"/>
      <c r="BF1281" s="44"/>
      <c r="BG1281" s="44"/>
      <c r="BH1281" s="44"/>
      <c r="BI1281" s="44"/>
      <c r="BJ1281" s="44"/>
      <c r="BK1281" s="44"/>
      <c r="BL1281" s="44"/>
      <c r="BM1281" s="44"/>
      <c r="BN1281" s="44"/>
      <c r="BO1281" s="55"/>
      <c r="BP1281" s="40"/>
      <c r="BQ1281" s="4"/>
      <c r="BR1281" s="61"/>
      <c r="BS1281" s="4"/>
      <c r="BT1281" s="57"/>
      <c r="BU1281" s="62"/>
      <c r="BV1281" s="8"/>
      <c r="BW1281" s="58"/>
    </row>
    <row r="1282" spans="41:75" x14ac:dyDescent="0.35">
      <c r="AO1282" s="39">
        <v>1280</v>
      </c>
      <c r="AP1282" s="62"/>
      <c r="AQ1282" s="39"/>
      <c r="AR1282" s="42" t="str">
        <f>IFERROR(VLOOKUP(AU1282,[1]SUMMARY!$A$3:$B$7,2,FALSE),"")</f>
        <v/>
      </c>
      <c r="AS1282" s="31"/>
      <c r="AT1282" s="31" t="e">
        <f>VLOOKUP(AS1282,[1]OUTLET!$B:$C,2,0)</f>
        <v>#N/A</v>
      </c>
      <c r="AU1282" s="31"/>
      <c r="AV1282" s="4"/>
      <c r="AW1282" s="44"/>
      <c r="AX1282" s="44"/>
      <c r="AY1282" s="44"/>
      <c r="AZ1282" s="44"/>
      <c r="BA1282" s="44"/>
      <c r="BB1282" s="44"/>
      <c r="BC1282" s="44"/>
      <c r="BD1282" s="44"/>
      <c r="BE1282" s="44"/>
      <c r="BF1282" s="44"/>
      <c r="BG1282" s="44"/>
      <c r="BH1282" s="44"/>
      <c r="BI1282" s="44"/>
      <c r="BJ1282" s="44"/>
      <c r="BK1282" s="44"/>
      <c r="BL1282" s="44"/>
      <c r="BM1282" s="44"/>
      <c r="BN1282" s="44"/>
      <c r="BO1282" s="55"/>
      <c r="BP1282" s="40"/>
      <c r="BQ1282" s="4"/>
      <c r="BR1282" s="61"/>
      <c r="BS1282" s="4"/>
      <c r="BT1282" s="57"/>
      <c r="BU1282" s="62"/>
      <c r="BV1282" s="8"/>
      <c r="BW1282" s="58"/>
    </row>
    <row r="1283" spans="41:75" x14ac:dyDescent="0.35">
      <c r="AO1283" s="39">
        <v>1281</v>
      </c>
      <c r="AP1283" s="62"/>
      <c r="AQ1283" s="39"/>
      <c r="AR1283" s="42" t="str">
        <f>IFERROR(VLOOKUP(AU1283,[1]SUMMARY!$A$3:$B$7,2,FALSE),"")</f>
        <v/>
      </c>
      <c r="AS1283" s="31"/>
      <c r="AT1283" s="31" t="e">
        <f>VLOOKUP(AS1283,[1]OUTLET!$B:$C,2,0)</f>
        <v>#N/A</v>
      </c>
      <c r="AU1283" s="31"/>
      <c r="AV1283" s="4"/>
      <c r="AW1283" s="44"/>
      <c r="AX1283" s="44"/>
      <c r="AY1283" s="44"/>
      <c r="AZ1283" s="44"/>
      <c r="BA1283" s="44"/>
      <c r="BB1283" s="44"/>
      <c r="BC1283" s="44"/>
      <c r="BD1283" s="44"/>
      <c r="BE1283" s="44"/>
      <c r="BF1283" s="44"/>
      <c r="BG1283" s="44"/>
      <c r="BH1283" s="44"/>
      <c r="BI1283" s="44"/>
      <c r="BJ1283" s="44"/>
      <c r="BK1283" s="44"/>
      <c r="BL1283" s="44"/>
      <c r="BM1283" s="44"/>
      <c r="BN1283" s="44"/>
      <c r="BO1283" s="55"/>
      <c r="BP1283" s="40"/>
      <c r="BQ1283" s="4"/>
      <c r="BR1283" s="61"/>
      <c r="BS1283" s="4"/>
      <c r="BT1283" s="57"/>
      <c r="BU1283" s="62"/>
      <c r="BV1283" s="8"/>
      <c r="BW1283" s="58"/>
    </row>
    <row r="1284" spans="41:75" x14ac:dyDescent="0.35">
      <c r="AO1284" s="39">
        <v>1282</v>
      </c>
      <c r="AP1284" s="62"/>
      <c r="AQ1284" s="39"/>
      <c r="AR1284" s="42" t="str">
        <f>IFERROR(VLOOKUP(AU1284,[1]SUMMARY!$A$3:$B$7,2,FALSE),"")</f>
        <v/>
      </c>
      <c r="AS1284" s="31"/>
      <c r="AT1284" s="31" t="e">
        <f>VLOOKUP(AS1284,[1]OUTLET!$B:$C,2,0)</f>
        <v>#N/A</v>
      </c>
      <c r="AU1284" s="31"/>
      <c r="AV1284" s="4"/>
      <c r="AW1284" s="44"/>
      <c r="AX1284" s="44"/>
      <c r="AY1284" s="44"/>
      <c r="AZ1284" s="44"/>
      <c r="BA1284" s="44"/>
      <c r="BB1284" s="44"/>
      <c r="BC1284" s="44"/>
      <c r="BD1284" s="44"/>
      <c r="BE1284" s="44"/>
      <c r="BF1284" s="44"/>
      <c r="BG1284" s="44"/>
      <c r="BH1284" s="44"/>
      <c r="BI1284" s="44"/>
      <c r="BJ1284" s="44"/>
      <c r="BK1284" s="44"/>
      <c r="BL1284" s="44"/>
      <c r="BM1284" s="44"/>
      <c r="BN1284" s="44"/>
      <c r="BO1284" s="55"/>
      <c r="BP1284" s="40"/>
      <c r="BQ1284" s="4"/>
      <c r="BR1284" s="61"/>
      <c r="BS1284" s="4"/>
      <c r="BT1284" s="57"/>
      <c r="BU1284" s="62"/>
      <c r="BV1284" s="8"/>
      <c r="BW1284" s="58"/>
    </row>
    <row r="1285" spans="41:75" x14ac:dyDescent="0.35">
      <c r="AO1285" s="39">
        <v>1283</v>
      </c>
      <c r="AP1285" s="62"/>
      <c r="AQ1285" s="39"/>
      <c r="AR1285" s="42" t="str">
        <f>IFERROR(VLOOKUP(AU1285,[1]SUMMARY!$A$3:$B$7,2,FALSE),"")</f>
        <v/>
      </c>
      <c r="AS1285" s="31"/>
      <c r="AT1285" s="31" t="e">
        <f>VLOOKUP(AS1285,[1]OUTLET!$B:$C,2,0)</f>
        <v>#N/A</v>
      </c>
      <c r="AU1285" s="31"/>
      <c r="AV1285" s="4"/>
      <c r="AW1285" s="44"/>
      <c r="AX1285" s="44"/>
      <c r="AY1285" s="44"/>
      <c r="AZ1285" s="44"/>
      <c r="BA1285" s="44"/>
      <c r="BB1285" s="44"/>
      <c r="BC1285" s="44"/>
      <c r="BD1285" s="44"/>
      <c r="BE1285" s="44"/>
      <c r="BF1285" s="44"/>
      <c r="BG1285" s="44"/>
      <c r="BH1285" s="44"/>
      <c r="BI1285" s="44"/>
      <c r="BJ1285" s="44"/>
      <c r="BK1285" s="44"/>
      <c r="BL1285" s="44"/>
      <c r="BM1285" s="44"/>
      <c r="BN1285" s="44"/>
      <c r="BO1285" s="55"/>
      <c r="BP1285" s="40"/>
      <c r="BQ1285" s="4"/>
      <c r="BR1285" s="61"/>
      <c r="BS1285" s="4"/>
      <c r="BT1285" s="57"/>
      <c r="BU1285" s="62"/>
      <c r="BV1285" s="8"/>
      <c r="BW1285" s="58"/>
    </row>
    <row r="1286" spans="41:75" x14ac:dyDescent="0.35">
      <c r="AO1286" s="39">
        <v>1284</v>
      </c>
      <c r="AP1286" s="62"/>
      <c r="AQ1286" s="39"/>
      <c r="AR1286" s="42" t="str">
        <f>IFERROR(VLOOKUP(AU1286,[1]SUMMARY!$A$3:$B$7,2,FALSE),"")</f>
        <v/>
      </c>
      <c r="AS1286" s="31"/>
      <c r="AT1286" s="31" t="e">
        <f>VLOOKUP(AS1286,[1]OUTLET!$B:$C,2,0)</f>
        <v>#N/A</v>
      </c>
      <c r="AU1286" s="31"/>
      <c r="AV1286" s="4"/>
      <c r="AW1286" s="44"/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44"/>
      <c r="BJ1286" s="44"/>
      <c r="BK1286" s="44"/>
      <c r="BL1286" s="44"/>
      <c r="BM1286" s="44"/>
      <c r="BN1286" s="44"/>
      <c r="BO1286" s="55"/>
      <c r="BP1286" s="40"/>
      <c r="BQ1286" s="4"/>
      <c r="BR1286" s="61"/>
      <c r="BS1286" s="4"/>
      <c r="BT1286" s="57"/>
      <c r="BU1286" s="62"/>
      <c r="BV1286" s="8"/>
      <c r="BW1286" s="58"/>
    </row>
    <row r="1287" spans="41:75" x14ac:dyDescent="0.35">
      <c r="AO1287" s="39">
        <v>1285</v>
      </c>
      <c r="AP1287" s="62"/>
      <c r="AQ1287" s="39"/>
      <c r="AR1287" s="42" t="str">
        <f>IFERROR(VLOOKUP(AU1287,[1]SUMMARY!$A$3:$B$7,2,FALSE),"")</f>
        <v/>
      </c>
      <c r="AS1287" s="31"/>
      <c r="AT1287" s="31" t="e">
        <f>VLOOKUP(AS1287,[1]OUTLET!$B:$C,2,0)</f>
        <v>#N/A</v>
      </c>
      <c r="AU1287" s="31"/>
      <c r="AV1287" s="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44"/>
      <c r="BJ1287" s="44"/>
      <c r="BK1287" s="44"/>
      <c r="BL1287" s="44"/>
      <c r="BM1287" s="44"/>
      <c r="BN1287" s="44"/>
      <c r="BO1287" s="55"/>
      <c r="BP1287" s="40"/>
      <c r="BQ1287" s="4"/>
      <c r="BR1287" s="61"/>
      <c r="BS1287" s="4"/>
      <c r="BT1287" s="57"/>
      <c r="BU1287" s="62"/>
      <c r="BV1287" s="8"/>
      <c r="BW1287" s="58"/>
    </row>
    <row r="1288" spans="41:75" x14ac:dyDescent="0.35">
      <c r="AO1288" s="39">
        <v>1286</v>
      </c>
      <c r="AP1288" s="62"/>
      <c r="AQ1288" s="39"/>
      <c r="AR1288" s="42" t="str">
        <f>IFERROR(VLOOKUP(AU1288,[1]SUMMARY!$A$3:$B$7,2,FALSE),"")</f>
        <v/>
      </c>
      <c r="AS1288" s="31"/>
      <c r="AT1288" s="31" t="e">
        <f>VLOOKUP(AS1288,[1]OUTLET!$B:$C,2,0)</f>
        <v>#N/A</v>
      </c>
      <c r="AU1288" s="31"/>
      <c r="AV1288" s="4"/>
      <c r="AW1288" s="44"/>
      <c r="AX1288" s="44"/>
      <c r="AY1288" s="44"/>
      <c r="AZ1288" s="44"/>
      <c r="BA1288" s="44"/>
      <c r="BB1288" s="44"/>
      <c r="BC1288" s="44"/>
      <c r="BD1288" s="44"/>
      <c r="BE1288" s="44"/>
      <c r="BF1288" s="44"/>
      <c r="BG1288" s="44"/>
      <c r="BH1288" s="44"/>
      <c r="BI1288" s="44"/>
      <c r="BJ1288" s="44"/>
      <c r="BK1288" s="44"/>
      <c r="BL1288" s="44"/>
      <c r="BM1288" s="44"/>
      <c r="BN1288" s="44"/>
      <c r="BO1288" s="55"/>
      <c r="BP1288" s="40"/>
      <c r="BQ1288" s="4"/>
      <c r="BR1288" s="61"/>
      <c r="BS1288" s="4"/>
      <c r="BT1288" s="57"/>
      <c r="BU1288" s="62"/>
      <c r="BV1288" s="8"/>
      <c r="BW1288" s="58"/>
    </row>
    <row r="1289" spans="41:75" x14ac:dyDescent="0.35">
      <c r="AO1289" s="39">
        <v>1287</v>
      </c>
      <c r="AP1289" s="62"/>
      <c r="AQ1289" s="39"/>
      <c r="AR1289" s="42" t="str">
        <f>IFERROR(VLOOKUP(AU1289,[1]SUMMARY!$A$3:$B$7,2,FALSE),"")</f>
        <v/>
      </c>
      <c r="AS1289" s="31"/>
      <c r="AT1289" s="31" t="e">
        <f>VLOOKUP(AS1289,[1]OUTLET!$B:$C,2,0)</f>
        <v>#N/A</v>
      </c>
      <c r="AU1289" s="31"/>
      <c r="AV1289" s="4"/>
      <c r="AW1289" s="44"/>
      <c r="AX1289" s="44"/>
      <c r="AY1289" s="44"/>
      <c r="AZ1289" s="44"/>
      <c r="BA1289" s="44"/>
      <c r="BB1289" s="44"/>
      <c r="BC1289" s="44"/>
      <c r="BD1289" s="44"/>
      <c r="BE1289" s="44"/>
      <c r="BF1289" s="44"/>
      <c r="BG1289" s="44"/>
      <c r="BH1289" s="44"/>
      <c r="BI1289" s="44"/>
      <c r="BJ1289" s="44"/>
      <c r="BK1289" s="44"/>
      <c r="BL1289" s="44"/>
      <c r="BM1289" s="44"/>
      <c r="BN1289" s="44"/>
      <c r="BO1289" s="55"/>
      <c r="BP1289" s="40"/>
      <c r="BQ1289" s="4"/>
      <c r="BR1289" s="61"/>
      <c r="BS1289" s="4"/>
      <c r="BT1289" s="57"/>
      <c r="BU1289" s="62"/>
      <c r="BV1289" s="8"/>
      <c r="BW1289" s="58"/>
    </row>
    <row r="1290" spans="41:75" x14ac:dyDescent="0.35">
      <c r="AO1290" s="39">
        <v>1288</v>
      </c>
      <c r="AP1290" s="62"/>
      <c r="AQ1290" s="39"/>
      <c r="AR1290" s="42" t="str">
        <f>IFERROR(VLOOKUP(AU1290,[1]SUMMARY!$A$3:$B$7,2,FALSE),"")</f>
        <v/>
      </c>
      <c r="AS1290" s="31"/>
      <c r="AT1290" s="31" t="e">
        <f>VLOOKUP(AS1290,[1]OUTLET!$B:$C,2,0)</f>
        <v>#N/A</v>
      </c>
      <c r="AU1290" s="31"/>
      <c r="AV1290" s="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55"/>
      <c r="BP1290" s="40"/>
      <c r="BQ1290" s="4"/>
      <c r="BR1290" s="61"/>
      <c r="BS1290" s="4"/>
      <c r="BT1290" s="57"/>
      <c r="BU1290" s="62"/>
      <c r="BV1290" s="8"/>
      <c r="BW1290" s="58"/>
    </row>
    <row r="1291" spans="41:75" x14ac:dyDescent="0.35">
      <c r="AO1291" s="39">
        <v>1289</v>
      </c>
      <c r="AP1291" s="62"/>
      <c r="AQ1291" s="39"/>
      <c r="AR1291" s="42" t="str">
        <f>IFERROR(VLOOKUP(AU1291,[1]SUMMARY!$A$3:$B$7,2,FALSE),"")</f>
        <v/>
      </c>
      <c r="AS1291" s="31"/>
      <c r="AT1291" s="31" t="e">
        <f>VLOOKUP(AS1291,[1]OUTLET!$B:$C,2,0)</f>
        <v>#N/A</v>
      </c>
      <c r="AU1291" s="31"/>
      <c r="AV1291" s="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55"/>
      <c r="BP1291" s="40"/>
      <c r="BQ1291" s="4"/>
      <c r="BR1291" s="61"/>
      <c r="BS1291" s="4"/>
      <c r="BT1291" s="57"/>
      <c r="BU1291" s="62"/>
      <c r="BV1291" s="8"/>
      <c r="BW1291" s="58"/>
    </row>
    <row r="1292" spans="41:75" x14ac:dyDescent="0.35">
      <c r="AO1292" s="39">
        <v>1290</v>
      </c>
      <c r="AP1292" s="62"/>
      <c r="AQ1292" s="39"/>
      <c r="AR1292" s="42" t="str">
        <f>IFERROR(VLOOKUP(AU1292,[1]SUMMARY!$A$3:$B$7,2,FALSE),"")</f>
        <v/>
      </c>
      <c r="AS1292" s="31"/>
      <c r="AT1292" s="31" t="e">
        <f>VLOOKUP(AS1292,[1]OUTLET!$B:$C,2,0)</f>
        <v>#N/A</v>
      </c>
      <c r="AU1292" s="31"/>
      <c r="AV1292" s="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55"/>
      <c r="BP1292" s="40"/>
      <c r="BQ1292" s="4"/>
      <c r="BR1292" s="61"/>
      <c r="BS1292" s="4"/>
      <c r="BT1292" s="57"/>
      <c r="BU1292" s="62"/>
      <c r="BV1292" s="8"/>
      <c r="BW1292" s="58"/>
    </row>
    <row r="1293" spans="41:75" x14ac:dyDescent="0.35">
      <c r="AO1293" s="39">
        <v>1291</v>
      </c>
      <c r="AP1293" s="62"/>
      <c r="AQ1293" s="39"/>
      <c r="AR1293" s="42" t="str">
        <f>IFERROR(VLOOKUP(AU1293,[1]SUMMARY!$A$3:$B$7,2,FALSE),"")</f>
        <v/>
      </c>
      <c r="AS1293" s="31"/>
      <c r="AT1293" s="31" t="e">
        <f>VLOOKUP(AS1293,[1]OUTLET!$B:$C,2,0)</f>
        <v>#N/A</v>
      </c>
      <c r="AU1293" s="31"/>
      <c r="AV1293" s="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55"/>
      <c r="BP1293" s="40"/>
      <c r="BQ1293" s="4"/>
      <c r="BR1293" s="61"/>
      <c r="BS1293" s="4"/>
      <c r="BT1293" s="57"/>
      <c r="BU1293" s="62"/>
      <c r="BV1293" s="8"/>
      <c r="BW1293" s="58"/>
    </row>
    <row r="1294" spans="41:75" x14ac:dyDescent="0.35">
      <c r="AO1294" s="39">
        <v>1292</v>
      </c>
      <c r="AP1294" s="62"/>
      <c r="AQ1294" s="39"/>
      <c r="AR1294" s="42" t="str">
        <f>IFERROR(VLOOKUP(AU1294,[1]SUMMARY!$A$3:$B$7,2,FALSE),"")</f>
        <v/>
      </c>
      <c r="AS1294" s="31"/>
      <c r="AT1294" s="31" t="e">
        <f>VLOOKUP(AS1294,[1]OUTLET!$B:$C,2,0)</f>
        <v>#N/A</v>
      </c>
      <c r="AU1294" s="31"/>
      <c r="AV1294" s="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55"/>
      <c r="BP1294" s="40"/>
      <c r="BQ1294" s="4"/>
      <c r="BR1294" s="61"/>
      <c r="BS1294" s="4"/>
      <c r="BT1294" s="57"/>
      <c r="BU1294" s="62"/>
      <c r="BV1294" s="8"/>
      <c r="BW1294" s="58"/>
    </row>
    <row r="1295" spans="41:75" x14ac:dyDescent="0.35">
      <c r="AO1295" s="39">
        <v>1293</v>
      </c>
      <c r="AP1295" s="62"/>
      <c r="AQ1295" s="39"/>
      <c r="AR1295" s="42" t="str">
        <f>IFERROR(VLOOKUP(AU1295,[1]SUMMARY!$A$3:$B$7,2,FALSE),"")</f>
        <v/>
      </c>
      <c r="AS1295" s="31"/>
      <c r="AT1295" s="31" t="e">
        <f>VLOOKUP(AS1295,[1]OUTLET!$B:$C,2,0)</f>
        <v>#N/A</v>
      </c>
      <c r="AU1295" s="31"/>
      <c r="AV1295" s="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55"/>
      <c r="BP1295" s="40"/>
      <c r="BQ1295" s="4"/>
      <c r="BR1295" s="61"/>
      <c r="BS1295" s="4"/>
      <c r="BT1295" s="57"/>
      <c r="BU1295" s="62"/>
      <c r="BV1295" s="8"/>
      <c r="BW1295" s="58"/>
    </row>
    <row r="1296" spans="41:75" x14ac:dyDescent="0.35">
      <c r="AO1296" s="39">
        <v>1294</v>
      </c>
      <c r="AP1296" s="62"/>
      <c r="AQ1296" s="39"/>
      <c r="AR1296" s="42" t="str">
        <f>IFERROR(VLOOKUP(AU1296,[1]SUMMARY!$A$3:$B$7,2,FALSE),"")</f>
        <v/>
      </c>
      <c r="AS1296" s="31"/>
      <c r="AT1296" s="31" t="e">
        <f>VLOOKUP(AS1296,[1]OUTLET!$B:$C,2,0)</f>
        <v>#N/A</v>
      </c>
      <c r="AU1296" s="31"/>
      <c r="AV1296" s="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55"/>
      <c r="BP1296" s="40"/>
      <c r="BQ1296" s="4"/>
      <c r="BR1296" s="61"/>
      <c r="BS1296" s="4"/>
      <c r="BT1296" s="57"/>
      <c r="BU1296" s="62"/>
      <c r="BV1296" s="8"/>
      <c r="BW1296" s="58"/>
    </row>
    <row r="1297" spans="41:75" x14ac:dyDescent="0.35">
      <c r="AO1297" s="39">
        <v>1295</v>
      </c>
      <c r="AP1297" s="62"/>
      <c r="AQ1297" s="39"/>
      <c r="AR1297" s="42" t="str">
        <f>IFERROR(VLOOKUP(AU1297,[1]SUMMARY!$A$3:$B$7,2,FALSE),"")</f>
        <v/>
      </c>
      <c r="AS1297" s="31"/>
      <c r="AT1297" s="31" t="e">
        <f>VLOOKUP(AS1297,[1]OUTLET!$B:$C,2,0)</f>
        <v>#N/A</v>
      </c>
      <c r="AU1297" s="31"/>
      <c r="AV1297" s="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55"/>
      <c r="BP1297" s="40"/>
      <c r="BQ1297" s="4"/>
      <c r="BR1297" s="61"/>
      <c r="BS1297" s="4"/>
      <c r="BT1297" s="57"/>
      <c r="BU1297" s="62"/>
      <c r="BV1297" s="8"/>
      <c r="BW1297" s="58"/>
    </row>
    <row r="1298" spans="41:75" x14ac:dyDescent="0.35">
      <c r="AO1298" s="39">
        <v>1296</v>
      </c>
      <c r="AP1298" s="62"/>
      <c r="AQ1298" s="39"/>
      <c r="AR1298" s="42" t="str">
        <f>IFERROR(VLOOKUP(AU1298,[1]SUMMARY!$A$3:$B$7,2,FALSE),"")</f>
        <v/>
      </c>
      <c r="AS1298" s="31"/>
      <c r="AT1298" s="31" t="e">
        <f>VLOOKUP(AS1298,[1]OUTLET!$B:$C,2,0)</f>
        <v>#N/A</v>
      </c>
      <c r="AU1298" s="31"/>
      <c r="AV1298" s="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55"/>
      <c r="BP1298" s="40"/>
      <c r="BQ1298" s="4"/>
      <c r="BR1298" s="61"/>
      <c r="BS1298" s="4"/>
      <c r="BT1298" s="57"/>
      <c r="BU1298" s="62"/>
      <c r="BV1298" s="8"/>
      <c r="BW1298" s="58"/>
    </row>
    <row r="1299" spans="41:75" x14ac:dyDescent="0.35">
      <c r="AO1299" s="39">
        <v>1297</v>
      </c>
      <c r="AP1299" s="62"/>
      <c r="AQ1299" s="39"/>
      <c r="AR1299" s="42" t="str">
        <f>IFERROR(VLOOKUP(AU1299,[1]SUMMARY!$A$3:$B$7,2,FALSE),"")</f>
        <v/>
      </c>
      <c r="AS1299" s="31"/>
      <c r="AT1299" s="31" t="e">
        <f>VLOOKUP(AS1299,[1]OUTLET!$B:$C,2,0)</f>
        <v>#N/A</v>
      </c>
      <c r="AU1299" s="31"/>
      <c r="AV1299" s="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55"/>
      <c r="BP1299" s="40"/>
      <c r="BQ1299" s="4"/>
      <c r="BR1299" s="61"/>
      <c r="BS1299" s="4"/>
      <c r="BT1299" s="57"/>
      <c r="BU1299" s="62"/>
      <c r="BV1299" s="8"/>
      <c r="BW1299" s="58"/>
    </row>
    <row r="1300" spans="41:75" x14ac:dyDescent="0.35">
      <c r="AO1300" s="39">
        <v>1298</v>
      </c>
      <c r="AP1300" s="62"/>
      <c r="AQ1300" s="39"/>
      <c r="AR1300" s="42" t="str">
        <f>IFERROR(VLOOKUP(AU1300,[1]SUMMARY!$A$3:$B$7,2,FALSE),"")</f>
        <v/>
      </c>
      <c r="AS1300" s="31"/>
      <c r="AT1300" s="31" t="e">
        <f>VLOOKUP(AS1300,[1]OUTLET!$B:$C,2,0)</f>
        <v>#N/A</v>
      </c>
      <c r="AU1300" s="31"/>
      <c r="AV1300" s="4"/>
      <c r="AW1300" s="44"/>
      <c r="AX1300" s="44"/>
      <c r="AY1300" s="44"/>
      <c r="AZ1300" s="44"/>
      <c r="BA1300" s="44"/>
      <c r="BB1300" s="44"/>
      <c r="BC1300" s="44"/>
      <c r="BD1300" s="44"/>
      <c r="BE1300" s="44"/>
      <c r="BF1300" s="44"/>
      <c r="BG1300" s="44"/>
      <c r="BH1300" s="44"/>
      <c r="BI1300" s="44"/>
      <c r="BJ1300" s="44"/>
      <c r="BK1300" s="44"/>
      <c r="BL1300" s="44"/>
      <c r="BM1300" s="44"/>
      <c r="BN1300" s="44"/>
      <c r="BO1300" s="55"/>
      <c r="BP1300" s="40"/>
      <c r="BQ1300" s="4"/>
      <c r="BR1300" s="61"/>
      <c r="BS1300" s="4"/>
      <c r="BT1300" s="57"/>
      <c r="BU1300" s="62"/>
      <c r="BV1300" s="8"/>
      <c r="BW1300" s="58"/>
    </row>
    <row r="1301" spans="41:75" x14ac:dyDescent="0.35">
      <c r="AO1301" s="39">
        <v>1299</v>
      </c>
      <c r="AP1301" s="62"/>
      <c r="AQ1301" s="39"/>
      <c r="AR1301" s="42" t="str">
        <f>IFERROR(VLOOKUP(AU1301,[1]SUMMARY!$A$3:$B$7,2,FALSE),"")</f>
        <v/>
      </c>
      <c r="AS1301" s="31"/>
      <c r="AT1301" s="31" t="e">
        <f>VLOOKUP(AS1301,[1]OUTLET!$B:$C,2,0)</f>
        <v>#N/A</v>
      </c>
      <c r="AU1301" s="31"/>
      <c r="AV1301" s="4"/>
      <c r="AW1301" s="44"/>
      <c r="AX1301" s="44"/>
      <c r="AY1301" s="44"/>
      <c r="AZ1301" s="44"/>
      <c r="BA1301" s="44"/>
      <c r="BB1301" s="44"/>
      <c r="BC1301" s="44"/>
      <c r="BD1301" s="44"/>
      <c r="BE1301" s="44"/>
      <c r="BF1301" s="44"/>
      <c r="BG1301" s="44"/>
      <c r="BH1301" s="44"/>
      <c r="BI1301" s="44"/>
      <c r="BJ1301" s="44"/>
      <c r="BK1301" s="44"/>
      <c r="BL1301" s="44"/>
      <c r="BM1301" s="44"/>
      <c r="BN1301" s="44"/>
      <c r="BO1301" s="55"/>
      <c r="BP1301" s="40"/>
      <c r="BQ1301" s="4"/>
      <c r="BR1301" s="61"/>
      <c r="BS1301" s="4"/>
      <c r="BT1301" s="57"/>
      <c r="BU1301" s="62"/>
      <c r="BV1301" s="8"/>
      <c r="BW1301" s="58"/>
    </row>
    <row r="1302" spans="41:75" x14ac:dyDescent="0.35">
      <c r="AO1302" s="39">
        <v>1300</v>
      </c>
      <c r="AP1302" s="62"/>
      <c r="AQ1302" s="39"/>
      <c r="AR1302" s="42" t="str">
        <f>IFERROR(VLOOKUP(AU1302,[1]SUMMARY!$A$3:$B$7,2,FALSE),"")</f>
        <v/>
      </c>
      <c r="AS1302" s="31"/>
      <c r="AT1302" s="31" t="e">
        <f>VLOOKUP(AS1302,[1]OUTLET!$B:$C,2,0)</f>
        <v>#N/A</v>
      </c>
      <c r="AU1302" s="31"/>
      <c r="AV1302" s="4"/>
      <c r="AW1302" s="44"/>
      <c r="AX1302" s="44"/>
      <c r="AY1302" s="44"/>
      <c r="AZ1302" s="44"/>
      <c r="BA1302" s="44"/>
      <c r="BB1302" s="44"/>
      <c r="BC1302" s="44"/>
      <c r="BD1302" s="44"/>
      <c r="BE1302" s="44"/>
      <c r="BF1302" s="44"/>
      <c r="BG1302" s="44"/>
      <c r="BH1302" s="44"/>
      <c r="BI1302" s="44"/>
      <c r="BJ1302" s="44"/>
      <c r="BK1302" s="44"/>
      <c r="BL1302" s="44"/>
      <c r="BM1302" s="44"/>
      <c r="BN1302" s="44"/>
      <c r="BO1302" s="55"/>
      <c r="BP1302" s="40"/>
      <c r="BQ1302" s="4"/>
      <c r="BR1302" s="61"/>
      <c r="BS1302" s="4"/>
      <c r="BT1302" s="57"/>
      <c r="BU1302" s="62"/>
      <c r="BV1302" s="8"/>
      <c r="BW1302" s="58"/>
    </row>
    <row r="1303" spans="41:75" x14ac:dyDescent="0.35">
      <c r="AO1303" s="39">
        <v>1301</v>
      </c>
      <c r="AP1303" s="62"/>
      <c r="AQ1303" s="39"/>
      <c r="AR1303" s="42" t="str">
        <f>IFERROR(VLOOKUP(AU1303,[1]SUMMARY!$A$3:$B$7,2,FALSE),"")</f>
        <v/>
      </c>
      <c r="AS1303" s="31"/>
      <c r="AT1303" s="31" t="e">
        <f>VLOOKUP(AS1303,[1]OUTLET!$B:$C,2,0)</f>
        <v>#N/A</v>
      </c>
      <c r="AU1303" s="31"/>
      <c r="AV1303" s="4"/>
      <c r="AW1303" s="44"/>
      <c r="AX1303" s="44"/>
      <c r="AY1303" s="44"/>
      <c r="AZ1303" s="44"/>
      <c r="BA1303" s="44"/>
      <c r="BB1303" s="44"/>
      <c r="BC1303" s="44"/>
      <c r="BD1303" s="44"/>
      <c r="BE1303" s="44"/>
      <c r="BF1303" s="44"/>
      <c r="BG1303" s="44"/>
      <c r="BH1303" s="44"/>
      <c r="BI1303" s="44"/>
      <c r="BJ1303" s="44"/>
      <c r="BK1303" s="44"/>
      <c r="BL1303" s="44"/>
      <c r="BM1303" s="44"/>
      <c r="BN1303" s="44"/>
      <c r="BO1303" s="55"/>
      <c r="BP1303" s="40"/>
      <c r="BQ1303" s="4"/>
      <c r="BR1303" s="61"/>
      <c r="BS1303" s="4"/>
      <c r="BT1303" s="57"/>
      <c r="BU1303" s="62"/>
      <c r="BV1303" s="8"/>
      <c r="BW1303" s="58"/>
    </row>
    <row r="1304" spans="41:75" x14ac:dyDescent="0.35">
      <c r="AO1304" s="39">
        <v>1302</v>
      </c>
      <c r="AP1304" s="62"/>
      <c r="AQ1304" s="39"/>
      <c r="AR1304" s="42" t="str">
        <f>IFERROR(VLOOKUP(AU1304,[1]SUMMARY!$A$3:$B$7,2,FALSE),"")</f>
        <v/>
      </c>
      <c r="AS1304" s="31"/>
      <c r="AT1304" s="31" t="e">
        <f>VLOOKUP(AS1304,[1]OUTLET!$B:$C,2,0)</f>
        <v>#N/A</v>
      </c>
      <c r="AU1304" s="31"/>
      <c r="AV1304" s="4"/>
      <c r="AW1304" s="44"/>
      <c r="AX1304" s="44"/>
      <c r="AY1304" s="44"/>
      <c r="AZ1304" s="44"/>
      <c r="BA1304" s="44"/>
      <c r="BB1304" s="44"/>
      <c r="BC1304" s="44"/>
      <c r="BD1304" s="44"/>
      <c r="BE1304" s="44"/>
      <c r="BF1304" s="44"/>
      <c r="BG1304" s="44"/>
      <c r="BH1304" s="44"/>
      <c r="BI1304" s="44"/>
      <c r="BJ1304" s="44"/>
      <c r="BK1304" s="44"/>
      <c r="BL1304" s="44"/>
      <c r="BM1304" s="44"/>
      <c r="BN1304" s="44"/>
      <c r="BO1304" s="55"/>
      <c r="BP1304" s="40"/>
      <c r="BQ1304" s="4"/>
      <c r="BR1304" s="61"/>
      <c r="BS1304" s="4"/>
      <c r="BT1304" s="57"/>
      <c r="BU1304" s="62"/>
      <c r="BV1304" s="8"/>
      <c r="BW1304" s="58"/>
    </row>
    <row r="1305" spans="41:75" x14ac:dyDescent="0.35">
      <c r="AO1305" s="39">
        <v>1303</v>
      </c>
      <c r="AP1305" s="62"/>
      <c r="AQ1305" s="39"/>
      <c r="AR1305" s="42" t="str">
        <f>IFERROR(VLOOKUP(AU1305,[1]SUMMARY!$A$3:$B$7,2,FALSE),"")</f>
        <v/>
      </c>
      <c r="AS1305" s="31"/>
      <c r="AT1305" s="31" t="e">
        <f>VLOOKUP(AS1305,[1]OUTLET!$B:$C,2,0)</f>
        <v>#N/A</v>
      </c>
      <c r="AU1305" s="31"/>
      <c r="AV1305" s="4"/>
      <c r="AW1305" s="44"/>
      <c r="AX1305" s="44"/>
      <c r="AY1305" s="44"/>
      <c r="AZ1305" s="44"/>
      <c r="BA1305" s="44"/>
      <c r="BB1305" s="44"/>
      <c r="BC1305" s="44"/>
      <c r="BD1305" s="44"/>
      <c r="BE1305" s="44"/>
      <c r="BF1305" s="44"/>
      <c r="BG1305" s="44"/>
      <c r="BH1305" s="44"/>
      <c r="BI1305" s="44"/>
      <c r="BJ1305" s="44"/>
      <c r="BK1305" s="44"/>
      <c r="BL1305" s="44"/>
      <c r="BM1305" s="44"/>
      <c r="BN1305" s="44"/>
      <c r="BO1305" s="55"/>
      <c r="BP1305" s="40"/>
      <c r="BQ1305" s="4"/>
      <c r="BR1305" s="61"/>
      <c r="BS1305" s="4"/>
      <c r="BT1305" s="57"/>
      <c r="BU1305" s="62"/>
      <c r="BV1305" s="8"/>
      <c r="BW1305" s="58"/>
    </row>
    <row r="1306" spans="41:75" x14ac:dyDescent="0.35">
      <c r="AO1306" s="39">
        <v>1304</v>
      </c>
      <c r="AP1306" s="62"/>
      <c r="AQ1306" s="39"/>
      <c r="AR1306" s="42" t="str">
        <f>IFERROR(VLOOKUP(AU1306,[1]SUMMARY!$A$3:$B$7,2,FALSE),"")</f>
        <v/>
      </c>
      <c r="AS1306" s="31"/>
      <c r="AT1306" s="31" t="e">
        <f>VLOOKUP(AS1306,[1]OUTLET!$B:$C,2,0)</f>
        <v>#N/A</v>
      </c>
      <c r="AU1306" s="31"/>
      <c r="AV1306" s="4"/>
      <c r="AW1306" s="44"/>
      <c r="AX1306" s="44"/>
      <c r="AY1306" s="44"/>
      <c r="AZ1306" s="44"/>
      <c r="BA1306" s="44"/>
      <c r="BB1306" s="44"/>
      <c r="BC1306" s="44"/>
      <c r="BD1306" s="44"/>
      <c r="BE1306" s="44"/>
      <c r="BF1306" s="44"/>
      <c r="BG1306" s="44"/>
      <c r="BH1306" s="44"/>
      <c r="BI1306" s="44"/>
      <c r="BJ1306" s="44"/>
      <c r="BK1306" s="44"/>
      <c r="BL1306" s="44"/>
      <c r="BM1306" s="44"/>
      <c r="BN1306" s="44"/>
      <c r="BO1306" s="55"/>
      <c r="BP1306" s="40"/>
      <c r="BQ1306" s="4"/>
      <c r="BR1306" s="61"/>
      <c r="BS1306" s="4"/>
      <c r="BT1306" s="57"/>
      <c r="BU1306" s="62"/>
      <c r="BV1306" s="8"/>
      <c r="BW1306" s="58"/>
    </row>
    <row r="1307" spans="41:75" x14ac:dyDescent="0.35">
      <c r="AO1307" s="39">
        <v>1305</v>
      </c>
      <c r="AP1307" s="62"/>
      <c r="AQ1307" s="39"/>
      <c r="AR1307" s="42" t="str">
        <f>IFERROR(VLOOKUP(AU1307,[1]SUMMARY!$A$3:$B$7,2,FALSE),"")</f>
        <v/>
      </c>
      <c r="AS1307" s="31"/>
      <c r="AT1307" s="31" t="e">
        <f>VLOOKUP(AS1307,[1]OUTLET!$B:$C,2,0)</f>
        <v>#N/A</v>
      </c>
      <c r="AU1307" s="31"/>
      <c r="AV1307" s="4"/>
      <c r="AW1307" s="44"/>
      <c r="AX1307" s="44"/>
      <c r="AY1307" s="44"/>
      <c r="AZ1307" s="44"/>
      <c r="BA1307" s="44"/>
      <c r="BB1307" s="44"/>
      <c r="BC1307" s="44"/>
      <c r="BD1307" s="44"/>
      <c r="BE1307" s="44"/>
      <c r="BF1307" s="44"/>
      <c r="BG1307" s="44"/>
      <c r="BH1307" s="44"/>
      <c r="BI1307" s="44"/>
      <c r="BJ1307" s="44"/>
      <c r="BK1307" s="44"/>
      <c r="BL1307" s="44"/>
      <c r="BM1307" s="44"/>
      <c r="BN1307" s="44"/>
      <c r="BO1307" s="55"/>
      <c r="BP1307" s="40"/>
      <c r="BQ1307" s="4"/>
      <c r="BR1307" s="61"/>
      <c r="BS1307" s="4"/>
      <c r="BT1307" s="57"/>
      <c r="BU1307" s="62"/>
      <c r="BV1307" s="8"/>
      <c r="BW1307" s="58"/>
    </row>
    <row r="1308" spans="41:75" x14ac:dyDescent="0.35">
      <c r="AO1308" s="39">
        <v>1306</v>
      </c>
      <c r="AP1308" s="62"/>
      <c r="AQ1308" s="39"/>
      <c r="AR1308" s="42" t="str">
        <f>IFERROR(VLOOKUP(AU1308,[1]SUMMARY!$A$3:$B$7,2,FALSE),"")</f>
        <v/>
      </c>
      <c r="AS1308" s="31"/>
      <c r="AT1308" s="31" t="e">
        <f>VLOOKUP(AS1308,[1]OUTLET!$B:$C,2,0)</f>
        <v>#N/A</v>
      </c>
      <c r="AU1308" s="31"/>
      <c r="AV1308" s="4"/>
      <c r="AW1308" s="44"/>
      <c r="AX1308" s="44"/>
      <c r="AY1308" s="44"/>
      <c r="AZ1308" s="44"/>
      <c r="BA1308" s="44"/>
      <c r="BB1308" s="44"/>
      <c r="BC1308" s="44"/>
      <c r="BD1308" s="44"/>
      <c r="BE1308" s="44"/>
      <c r="BF1308" s="44"/>
      <c r="BG1308" s="44"/>
      <c r="BH1308" s="44"/>
      <c r="BI1308" s="44"/>
      <c r="BJ1308" s="44"/>
      <c r="BK1308" s="44"/>
      <c r="BL1308" s="44"/>
      <c r="BM1308" s="44"/>
      <c r="BN1308" s="44"/>
      <c r="BO1308" s="55"/>
      <c r="BP1308" s="40"/>
      <c r="BQ1308" s="4"/>
      <c r="BR1308" s="61"/>
      <c r="BS1308" s="4"/>
      <c r="BT1308" s="57"/>
      <c r="BU1308" s="62"/>
      <c r="BV1308" s="8"/>
      <c r="BW1308" s="58"/>
    </row>
    <row r="1309" spans="41:75" x14ac:dyDescent="0.35">
      <c r="AO1309" s="39">
        <v>1307</v>
      </c>
      <c r="AP1309" s="62"/>
      <c r="AQ1309" s="39"/>
      <c r="AR1309" s="42" t="str">
        <f>IFERROR(VLOOKUP(AU1309,[1]SUMMARY!$A$3:$B$7,2,FALSE),"")</f>
        <v/>
      </c>
      <c r="AS1309" s="31"/>
      <c r="AT1309" s="31" t="e">
        <f>VLOOKUP(AS1309,[1]OUTLET!$B:$C,2,0)</f>
        <v>#N/A</v>
      </c>
      <c r="AU1309" s="31"/>
      <c r="AV1309" s="4"/>
      <c r="AW1309" s="44"/>
      <c r="AX1309" s="44"/>
      <c r="AY1309" s="44"/>
      <c r="AZ1309" s="44"/>
      <c r="BA1309" s="44"/>
      <c r="BB1309" s="44"/>
      <c r="BC1309" s="44"/>
      <c r="BD1309" s="44"/>
      <c r="BE1309" s="44"/>
      <c r="BF1309" s="44"/>
      <c r="BG1309" s="44"/>
      <c r="BH1309" s="44"/>
      <c r="BI1309" s="44"/>
      <c r="BJ1309" s="44"/>
      <c r="BK1309" s="44"/>
      <c r="BL1309" s="44"/>
      <c r="BM1309" s="44"/>
      <c r="BN1309" s="44"/>
      <c r="BO1309" s="55"/>
      <c r="BP1309" s="40"/>
      <c r="BQ1309" s="4"/>
      <c r="BR1309" s="61"/>
      <c r="BS1309" s="4"/>
      <c r="BT1309" s="57"/>
      <c r="BU1309" s="62"/>
      <c r="BV1309" s="8"/>
      <c r="BW1309" s="58"/>
    </row>
    <row r="1310" spans="41:75" x14ac:dyDescent="0.35">
      <c r="AO1310" s="39">
        <v>1308</v>
      </c>
      <c r="AP1310" s="62"/>
      <c r="AQ1310" s="39"/>
      <c r="AR1310" s="42" t="str">
        <f>IFERROR(VLOOKUP(AU1310,[1]SUMMARY!$A$3:$B$7,2,FALSE),"")</f>
        <v/>
      </c>
      <c r="AS1310" s="31"/>
      <c r="AT1310" s="31" t="e">
        <f>VLOOKUP(AS1310,[1]OUTLET!$B:$C,2,0)</f>
        <v>#N/A</v>
      </c>
      <c r="AU1310" s="31"/>
      <c r="AV1310" s="4"/>
      <c r="AW1310" s="44"/>
      <c r="AX1310" s="44"/>
      <c r="AY1310" s="44"/>
      <c r="AZ1310" s="44"/>
      <c r="BA1310" s="44"/>
      <c r="BB1310" s="44"/>
      <c r="BC1310" s="44"/>
      <c r="BD1310" s="44"/>
      <c r="BE1310" s="44"/>
      <c r="BF1310" s="44"/>
      <c r="BG1310" s="44"/>
      <c r="BH1310" s="44"/>
      <c r="BI1310" s="44"/>
      <c r="BJ1310" s="44"/>
      <c r="BK1310" s="44"/>
      <c r="BL1310" s="44"/>
      <c r="BM1310" s="44"/>
      <c r="BN1310" s="44"/>
      <c r="BO1310" s="55"/>
      <c r="BP1310" s="40"/>
      <c r="BQ1310" s="4"/>
      <c r="BR1310" s="61"/>
      <c r="BS1310" s="4"/>
      <c r="BT1310" s="57"/>
      <c r="BU1310" s="62"/>
      <c r="BV1310" s="8"/>
      <c r="BW1310" s="58"/>
    </row>
    <row r="1311" spans="41:75" x14ac:dyDescent="0.35">
      <c r="AO1311" s="39">
        <v>1309</v>
      </c>
      <c r="AP1311" s="62"/>
      <c r="AQ1311" s="39"/>
      <c r="AR1311" s="42" t="str">
        <f>IFERROR(VLOOKUP(AU1311,[1]SUMMARY!$A$3:$B$7,2,FALSE),"")</f>
        <v/>
      </c>
      <c r="AS1311" s="31"/>
      <c r="AT1311" s="31" t="e">
        <f>VLOOKUP(AS1311,[1]OUTLET!$B:$C,2,0)</f>
        <v>#N/A</v>
      </c>
      <c r="AU1311" s="31"/>
      <c r="AV1311" s="4"/>
      <c r="AW1311" s="44"/>
      <c r="AX1311" s="44"/>
      <c r="AY1311" s="44"/>
      <c r="AZ1311" s="44"/>
      <c r="BA1311" s="44"/>
      <c r="BB1311" s="44"/>
      <c r="BC1311" s="44"/>
      <c r="BD1311" s="44"/>
      <c r="BE1311" s="44"/>
      <c r="BF1311" s="44"/>
      <c r="BG1311" s="44"/>
      <c r="BH1311" s="44"/>
      <c r="BI1311" s="44"/>
      <c r="BJ1311" s="44"/>
      <c r="BK1311" s="44"/>
      <c r="BL1311" s="44"/>
      <c r="BM1311" s="44"/>
      <c r="BN1311" s="44"/>
      <c r="BO1311" s="55"/>
      <c r="BP1311" s="40"/>
      <c r="BQ1311" s="4"/>
      <c r="BR1311" s="61"/>
      <c r="BS1311" s="4"/>
      <c r="BT1311" s="57"/>
      <c r="BU1311" s="62"/>
      <c r="BV1311" s="8"/>
      <c r="BW1311" s="58"/>
    </row>
    <row r="1312" spans="41:75" x14ac:dyDescent="0.35">
      <c r="AO1312" s="39">
        <v>1310</v>
      </c>
      <c r="AP1312" s="62"/>
      <c r="AQ1312" s="39"/>
      <c r="AR1312" s="42" t="str">
        <f>IFERROR(VLOOKUP(AU1312,[1]SUMMARY!$A$3:$B$7,2,FALSE),"")</f>
        <v/>
      </c>
      <c r="AS1312" s="31"/>
      <c r="AT1312" s="31" t="e">
        <f>VLOOKUP(AS1312,[1]OUTLET!$B:$C,2,0)</f>
        <v>#N/A</v>
      </c>
      <c r="AU1312" s="31"/>
      <c r="AV1312" s="4"/>
      <c r="AW1312" s="44"/>
      <c r="AX1312" s="44"/>
      <c r="AY1312" s="44"/>
      <c r="AZ1312" s="44"/>
      <c r="BA1312" s="44"/>
      <c r="BB1312" s="44"/>
      <c r="BC1312" s="44"/>
      <c r="BD1312" s="44"/>
      <c r="BE1312" s="44"/>
      <c r="BF1312" s="44"/>
      <c r="BG1312" s="44"/>
      <c r="BH1312" s="44"/>
      <c r="BI1312" s="44"/>
      <c r="BJ1312" s="44"/>
      <c r="BK1312" s="44"/>
      <c r="BL1312" s="44"/>
      <c r="BM1312" s="44"/>
      <c r="BN1312" s="44"/>
      <c r="BO1312" s="55"/>
      <c r="BP1312" s="40"/>
      <c r="BQ1312" s="4"/>
      <c r="BR1312" s="61"/>
      <c r="BS1312" s="4"/>
      <c r="BT1312" s="57"/>
      <c r="BU1312" s="62"/>
      <c r="BV1312" s="8"/>
      <c r="BW1312" s="58"/>
    </row>
    <row r="1313" spans="41:75" x14ac:dyDescent="0.35">
      <c r="AO1313" s="39">
        <v>1311</v>
      </c>
      <c r="AP1313" s="62"/>
      <c r="AQ1313" s="39"/>
      <c r="AR1313" s="42" t="str">
        <f>IFERROR(VLOOKUP(AU1313,[1]SUMMARY!$A$3:$B$7,2,FALSE),"")</f>
        <v/>
      </c>
      <c r="AS1313" s="31"/>
      <c r="AT1313" s="31" t="e">
        <f>VLOOKUP(AS1313,[1]OUTLET!$B:$C,2,0)</f>
        <v>#N/A</v>
      </c>
      <c r="AU1313" s="31"/>
      <c r="AV1313" s="4"/>
      <c r="AW1313" s="44"/>
      <c r="AX1313" s="44"/>
      <c r="AY1313" s="44"/>
      <c r="AZ1313" s="44"/>
      <c r="BA1313" s="44"/>
      <c r="BB1313" s="44"/>
      <c r="BC1313" s="44"/>
      <c r="BD1313" s="44"/>
      <c r="BE1313" s="44"/>
      <c r="BF1313" s="44"/>
      <c r="BG1313" s="44"/>
      <c r="BH1313" s="44"/>
      <c r="BI1313" s="44"/>
      <c r="BJ1313" s="44"/>
      <c r="BK1313" s="44"/>
      <c r="BL1313" s="44"/>
      <c r="BM1313" s="44"/>
      <c r="BN1313" s="44"/>
      <c r="BO1313" s="55"/>
      <c r="BP1313" s="40"/>
      <c r="BQ1313" s="4"/>
      <c r="BR1313" s="61"/>
      <c r="BS1313" s="4"/>
      <c r="BT1313" s="57"/>
      <c r="BU1313" s="62"/>
      <c r="BV1313" s="8"/>
      <c r="BW1313" s="58"/>
    </row>
    <row r="1314" spans="41:75" x14ac:dyDescent="0.35">
      <c r="AO1314" s="39">
        <v>1312</v>
      </c>
      <c r="AP1314" s="62"/>
      <c r="AQ1314" s="39"/>
      <c r="AR1314" s="42" t="str">
        <f>IFERROR(VLOOKUP(AU1314,[1]SUMMARY!$A$3:$B$7,2,FALSE),"")</f>
        <v/>
      </c>
      <c r="AS1314" s="31"/>
      <c r="AT1314" s="31" t="e">
        <f>VLOOKUP(AS1314,[1]OUTLET!$B:$C,2,0)</f>
        <v>#N/A</v>
      </c>
      <c r="AU1314" s="31"/>
      <c r="AV1314" s="4"/>
      <c r="AW1314" s="44"/>
      <c r="AX1314" s="44"/>
      <c r="AY1314" s="44"/>
      <c r="AZ1314" s="44"/>
      <c r="BA1314" s="44"/>
      <c r="BB1314" s="44"/>
      <c r="BC1314" s="44"/>
      <c r="BD1314" s="44"/>
      <c r="BE1314" s="44"/>
      <c r="BF1314" s="44"/>
      <c r="BG1314" s="44"/>
      <c r="BH1314" s="44"/>
      <c r="BI1314" s="44"/>
      <c r="BJ1314" s="44"/>
      <c r="BK1314" s="44"/>
      <c r="BL1314" s="44"/>
      <c r="BM1314" s="44"/>
      <c r="BN1314" s="44"/>
      <c r="BO1314" s="55"/>
      <c r="BP1314" s="40"/>
      <c r="BQ1314" s="4"/>
      <c r="BR1314" s="61"/>
      <c r="BS1314" s="4"/>
      <c r="BT1314" s="57"/>
      <c r="BU1314" s="62"/>
      <c r="BV1314" s="8"/>
      <c r="BW1314" s="58"/>
    </row>
    <row r="1315" spans="41:75" x14ac:dyDescent="0.35">
      <c r="AO1315" s="39">
        <v>1313</v>
      </c>
      <c r="AP1315" s="62"/>
      <c r="AQ1315" s="39"/>
      <c r="AR1315" s="42" t="str">
        <f>IFERROR(VLOOKUP(AU1315,[1]SUMMARY!$A$3:$B$7,2,FALSE),"")</f>
        <v/>
      </c>
      <c r="AS1315" s="31"/>
      <c r="AT1315" s="31" t="e">
        <f>VLOOKUP(AS1315,[1]OUTLET!$B:$C,2,0)</f>
        <v>#N/A</v>
      </c>
      <c r="AU1315" s="31"/>
      <c r="AV1315" s="4"/>
      <c r="AW1315" s="44"/>
      <c r="AX1315" s="44"/>
      <c r="AY1315" s="44"/>
      <c r="AZ1315" s="44"/>
      <c r="BA1315" s="44"/>
      <c r="BB1315" s="44"/>
      <c r="BC1315" s="44"/>
      <c r="BD1315" s="44"/>
      <c r="BE1315" s="44"/>
      <c r="BF1315" s="44"/>
      <c r="BG1315" s="44"/>
      <c r="BH1315" s="44"/>
      <c r="BI1315" s="44"/>
      <c r="BJ1315" s="44"/>
      <c r="BK1315" s="44"/>
      <c r="BL1315" s="44"/>
      <c r="BM1315" s="44"/>
      <c r="BN1315" s="44"/>
      <c r="BO1315" s="55"/>
      <c r="BP1315" s="40"/>
      <c r="BQ1315" s="4"/>
      <c r="BR1315" s="61"/>
      <c r="BS1315" s="4"/>
      <c r="BT1315" s="57"/>
      <c r="BU1315" s="62"/>
      <c r="BV1315" s="8"/>
      <c r="BW1315" s="58"/>
    </row>
    <row r="1316" spans="41:75" x14ac:dyDescent="0.35">
      <c r="AO1316" s="39">
        <v>1314</v>
      </c>
      <c r="AP1316" s="62"/>
      <c r="AQ1316" s="39"/>
      <c r="AR1316" s="42" t="str">
        <f>IFERROR(VLOOKUP(AU1316,[1]SUMMARY!$A$3:$B$7,2,FALSE),"")</f>
        <v/>
      </c>
      <c r="AS1316" s="31"/>
      <c r="AT1316" s="31" t="e">
        <f>VLOOKUP(AS1316,[1]OUTLET!$B:$C,2,0)</f>
        <v>#N/A</v>
      </c>
      <c r="AU1316" s="31"/>
      <c r="AV1316" s="4"/>
      <c r="AW1316" s="44"/>
      <c r="AX1316" s="44"/>
      <c r="AY1316" s="44"/>
      <c r="AZ1316" s="44"/>
      <c r="BA1316" s="44"/>
      <c r="BB1316" s="44"/>
      <c r="BC1316" s="44"/>
      <c r="BD1316" s="44"/>
      <c r="BE1316" s="44"/>
      <c r="BF1316" s="44"/>
      <c r="BG1316" s="44"/>
      <c r="BH1316" s="44"/>
      <c r="BI1316" s="44"/>
      <c r="BJ1316" s="44"/>
      <c r="BK1316" s="44"/>
      <c r="BL1316" s="44"/>
      <c r="BM1316" s="44"/>
      <c r="BN1316" s="44"/>
      <c r="BO1316" s="55"/>
      <c r="BP1316" s="40"/>
      <c r="BQ1316" s="4"/>
      <c r="BR1316" s="61"/>
      <c r="BS1316" s="4"/>
      <c r="BT1316" s="57"/>
      <c r="BU1316" s="62"/>
      <c r="BV1316" s="8"/>
      <c r="BW1316" s="58"/>
    </row>
    <row r="1317" spans="41:75" x14ac:dyDescent="0.35">
      <c r="AO1317" s="39">
        <v>1315</v>
      </c>
      <c r="AP1317" s="62"/>
      <c r="AQ1317" s="39"/>
      <c r="AR1317" s="42" t="str">
        <f>IFERROR(VLOOKUP(AU1317,[1]SUMMARY!$A$3:$B$7,2,FALSE),"")</f>
        <v/>
      </c>
      <c r="AS1317" s="31"/>
      <c r="AT1317" s="31" t="e">
        <f>VLOOKUP(AS1317,[1]OUTLET!$B:$C,2,0)</f>
        <v>#N/A</v>
      </c>
      <c r="AU1317" s="31"/>
      <c r="AV1317" s="4"/>
      <c r="AW1317" s="44"/>
      <c r="AX1317" s="44"/>
      <c r="AY1317" s="44"/>
      <c r="AZ1317" s="44"/>
      <c r="BA1317" s="44"/>
      <c r="BB1317" s="44"/>
      <c r="BC1317" s="44"/>
      <c r="BD1317" s="44"/>
      <c r="BE1317" s="44"/>
      <c r="BF1317" s="44"/>
      <c r="BG1317" s="44"/>
      <c r="BH1317" s="44"/>
      <c r="BI1317" s="44"/>
      <c r="BJ1317" s="44"/>
      <c r="BK1317" s="44"/>
      <c r="BL1317" s="44"/>
      <c r="BM1317" s="44"/>
      <c r="BN1317" s="44"/>
      <c r="BO1317" s="55"/>
      <c r="BP1317" s="40"/>
      <c r="BQ1317" s="4"/>
      <c r="BR1317" s="61"/>
      <c r="BS1317" s="4"/>
      <c r="BT1317" s="57"/>
      <c r="BU1317" s="62"/>
      <c r="BV1317" s="8"/>
      <c r="BW1317" s="58"/>
    </row>
    <row r="1318" spans="41:75" x14ac:dyDescent="0.35">
      <c r="AO1318" s="39">
        <v>1316</v>
      </c>
      <c r="AP1318" s="62"/>
      <c r="AQ1318" s="39"/>
      <c r="AR1318" s="42" t="str">
        <f>IFERROR(VLOOKUP(AU1318,[1]SUMMARY!$A$3:$B$7,2,FALSE),"")</f>
        <v/>
      </c>
      <c r="AS1318" s="31"/>
      <c r="AT1318" s="31" t="e">
        <f>VLOOKUP(AS1318,[1]OUTLET!$B:$C,2,0)</f>
        <v>#N/A</v>
      </c>
      <c r="AU1318" s="31"/>
      <c r="AV1318" s="4"/>
      <c r="AW1318" s="44"/>
      <c r="AX1318" s="44"/>
      <c r="AY1318" s="44"/>
      <c r="AZ1318" s="44"/>
      <c r="BA1318" s="44"/>
      <c r="BB1318" s="44"/>
      <c r="BC1318" s="44"/>
      <c r="BD1318" s="44"/>
      <c r="BE1318" s="44"/>
      <c r="BF1318" s="44"/>
      <c r="BG1318" s="44"/>
      <c r="BH1318" s="44"/>
      <c r="BI1318" s="44"/>
      <c r="BJ1318" s="44"/>
      <c r="BK1318" s="44"/>
      <c r="BL1318" s="44"/>
      <c r="BM1318" s="44"/>
      <c r="BN1318" s="44"/>
      <c r="BO1318" s="55"/>
      <c r="BP1318" s="40"/>
      <c r="BQ1318" s="4"/>
      <c r="BR1318" s="61"/>
      <c r="BS1318" s="4"/>
      <c r="BT1318" s="57"/>
      <c r="BU1318" s="62"/>
      <c r="BV1318" s="8"/>
      <c r="BW1318" s="58"/>
    </row>
    <row r="1319" spans="41:75" x14ac:dyDescent="0.35">
      <c r="AO1319" s="39">
        <v>1317</v>
      </c>
      <c r="AP1319" s="62"/>
      <c r="AQ1319" s="39"/>
      <c r="AR1319" s="42" t="str">
        <f>IFERROR(VLOOKUP(AU1319,[1]SUMMARY!$A$3:$B$7,2,FALSE),"")</f>
        <v/>
      </c>
      <c r="AS1319" s="31"/>
      <c r="AT1319" s="31" t="e">
        <f>VLOOKUP(AS1319,[1]OUTLET!$B:$C,2,0)</f>
        <v>#N/A</v>
      </c>
      <c r="AU1319" s="31"/>
      <c r="AV1319" s="4"/>
      <c r="AW1319" s="44"/>
      <c r="AX1319" s="44"/>
      <c r="AY1319" s="44"/>
      <c r="AZ1319" s="44"/>
      <c r="BA1319" s="44"/>
      <c r="BB1319" s="44"/>
      <c r="BC1319" s="44"/>
      <c r="BD1319" s="44"/>
      <c r="BE1319" s="44"/>
      <c r="BF1319" s="44"/>
      <c r="BG1319" s="44"/>
      <c r="BH1319" s="44"/>
      <c r="BI1319" s="44"/>
      <c r="BJ1319" s="44"/>
      <c r="BK1319" s="44"/>
      <c r="BL1319" s="44"/>
      <c r="BM1319" s="44"/>
      <c r="BN1319" s="44"/>
      <c r="BO1319" s="55"/>
      <c r="BP1319" s="40"/>
      <c r="BQ1319" s="4"/>
      <c r="BR1319" s="61"/>
      <c r="BS1319" s="4"/>
      <c r="BT1319" s="57"/>
      <c r="BU1319" s="62"/>
      <c r="BV1319" s="8"/>
      <c r="BW1319" s="58"/>
    </row>
    <row r="1320" spans="41:75" x14ac:dyDescent="0.35">
      <c r="AO1320" s="39">
        <v>1318</v>
      </c>
      <c r="AP1320" s="62"/>
      <c r="AQ1320" s="39"/>
      <c r="AR1320" s="42" t="str">
        <f>IFERROR(VLOOKUP(AU1320,[1]SUMMARY!$A$3:$B$7,2,FALSE),"")</f>
        <v/>
      </c>
      <c r="AS1320" s="31"/>
      <c r="AT1320" s="31" t="e">
        <f>VLOOKUP(AS1320,[1]OUTLET!$B:$C,2,0)</f>
        <v>#N/A</v>
      </c>
      <c r="AU1320" s="31"/>
      <c r="AV1320" s="4"/>
      <c r="AW1320" s="44"/>
      <c r="AX1320" s="44"/>
      <c r="AY1320" s="44"/>
      <c r="AZ1320" s="44"/>
      <c r="BA1320" s="44"/>
      <c r="BB1320" s="44"/>
      <c r="BC1320" s="44"/>
      <c r="BD1320" s="44"/>
      <c r="BE1320" s="44"/>
      <c r="BF1320" s="44"/>
      <c r="BG1320" s="44"/>
      <c r="BH1320" s="44"/>
      <c r="BI1320" s="44"/>
      <c r="BJ1320" s="44"/>
      <c r="BK1320" s="44"/>
      <c r="BL1320" s="44"/>
      <c r="BM1320" s="44"/>
      <c r="BN1320" s="44"/>
      <c r="BO1320" s="55"/>
      <c r="BP1320" s="40"/>
      <c r="BQ1320" s="4"/>
      <c r="BR1320" s="61"/>
      <c r="BS1320" s="4"/>
      <c r="BT1320" s="57"/>
      <c r="BU1320" s="62"/>
      <c r="BV1320" s="8"/>
      <c r="BW1320" s="58"/>
    </row>
    <row r="1321" spans="41:75" x14ac:dyDescent="0.35">
      <c r="AO1321" s="39">
        <v>1319</v>
      </c>
      <c r="AP1321" s="62"/>
      <c r="AQ1321" s="39"/>
      <c r="AR1321" s="42" t="str">
        <f>IFERROR(VLOOKUP(AU1321,[1]SUMMARY!$A$3:$B$7,2,FALSE),"")</f>
        <v/>
      </c>
      <c r="AS1321" s="31"/>
      <c r="AT1321" s="31" t="e">
        <f>VLOOKUP(AS1321,[1]OUTLET!$B:$C,2,0)</f>
        <v>#N/A</v>
      </c>
      <c r="AU1321" s="31"/>
      <c r="AV1321" s="4"/>
      <c r="AW1321" s="44"/>
      <c r="AX1321" s="44"/>
      <c r="AY1321" s="44"/>
      <c r="AZ1321" s="44"/>
      <c r="BA1321" s="44"/>
      <c r="BB1321" s="44"/>
      <c r="BC1321" s="44"/>
      <c r="BD1321" s="44"/>
      <c r="BE1321" s="44"/>
      <c r="BF1321" s="44"/>
      <c r="BG1321" s="44"/>
      <c r="BH1321" s="44"/>
      <c r="BI1321" s="44"/>
      <c r="BJ1321" s="44"/>
      <c r="BK1321" s="44"/>
      <c r="BL1321" s="44"/>
      <c r="BM1321" s="44"/>
      <c r="BN1321" s="44"/>
      <c r="BO1321" s="55"/>
      <c r="BP1321" s="40"/>
      <c r="BQ1321" s="4"/>
      <c r="BR1321" s="61"/>
      <c r="BS1321" s="4"/>
      <c r="BT1321" s="57"/>
      <c r="BU1321" s="62"/>
      <c r="BV1321" s="8"/>
      <c r="BW1321" s="58"/>
    </row>
    <row r="1322" spans="41:75" x14ac:dyDescent="0.35">
      <c r="AO1322" s="39">
        <v>1320</v>
      </c>
      <c r="AP1322" s="62"/>
      <c r="AQ1322" s="39"/>
      <c r="AR1322" s="42" t="str">
        <f>IFERROR(VLOOKUP(AU1322,[1]SUMMARY!$A$3:$B$7,2,FALSE),"")</f>
        <v/>
      </c>
      <c r="AS1322" s="31"/>
      <c r="AT1322" s="31" t="e">
        <f>VLOOKUP(AS1322,[1]OUTLET!$B:$C,2,0)</f>
        <v>#N/A</v>
      </c>
      <c r="AU1322" s="31"/>
      <c r="AV1322" s="4"/>
      <c r="AW1322" s="44"/>
      <c r="AX1322" s="44"/>
      <c r="AY1322" s="44"/>
      <c r="AZ1322" s="44"/>
      <c r="BA1322" s="44"/>
      <c r="BB1322" s="44"/>
      <c r="BC1322" s="44"/>
      <c r="BD1322" s="44"/>
      <c r="BE1322" s="44"/>
      <c r="BF1322" s="44"/>
      <c r="BG1322" s="44"/>
      <c r="BH1322" s="44"/>
      <c r="BI1322" s="44"/>
      <c r="BJ1322" s="44"/>
      <c r="BK1322" s="44"/>
      <c r="BL1322" s="44"/>
      <c r="BM1322" s="44"/>
      <c r="BN1322" s="44"/>
      <c r="BO1322" s="55"/>
      <c r="BP1322" s="40"/>
      <c r="BQ1322" s="4"/>
      <c r="BR1322" s="61"/>
      <c r="BS1322" s="4"/>
      <c r="BT1322" s="57"/>
      <c r="BU1322" s="62"/>
      <c r="BV1322" s="8"/>
      <c r="BW1322" s="58"/>
    </row>
    <row r="1323" spans="41:75" x14ac:dyDescent="0.35">
      <c r="AO1323" s="39">
        <v>1321</v>
      </c>
      <c r="AP1323" s="62"/>
      <c r="AQ1323" s="39"/>
      <c r="AR1323" s="42" t="str">
        <f>IFERROR(VLOOKUP(AU1323,[1]SUMMARY!$A$3:$B$7,2,FALSE),"")</f>
        <v/>
      </c>
      <c r="AS1323" s="31"/>
      <c r="AT1323" s="31" t="e">
        <f>VLOOKUP(AS1323,[1]OUTLET!$B:$C,2,0)</f>
        <v>#N/A</v>
      </c>
      <c r="AU1323" s="31"/>
      <c r="AV1323" s="4"/>
      <c r="AW1323" s="44"/>
      <c r="AX1323" s="44"/>
      <c r="AY1323" s="44"/>
      <c r="AZ1323" s="44"/>
      <c r="BA1323" s="44"/>
      <c r="BB1323" s="44"/>
      <c r="BC1323" s="44"/>
      <c r="BD1323" s="44"/>
      <c r="BE1323" s="44"/>
      <c r="BF1323" s="44"/>
      <c r="BG1323" s="44"/>
      <c r="BH1323" s="44"/>
      <c r="BI1323" s="44"/>
      <c r="BJ1323" s="44"/>
      <c r="BK1323" s="44"/>
      <c r="BL1323" s="44"/>
      <c r="BM1323" s="44"/>
      <c r="BN1323" s="44"/>
      <c r="BO1323" s="55"/>
      <c r="BP1323" s="40"/>
      <c r="BQ1323" s="4"/>
      <c r="BR1323" s="61"/>
      <c r="BS1323" s="4"/>
      <c r="BT1323" s="57"/>
      <c r="BU1323" s="62"/>
      <c r="BV1323" s="8"/>
      <c r="BW1323" s="58"/>
    </row>
    <row r="1324" spans="41:75" x14ac:dyDescent="0.35">
      <c r="AO1324" s="39">
        <v>1322</v>
      </c>
      <c r="AP1324" s="62"/>
      <c r="AQ1324" s="39"/>
      <c r="AR1324" s="42" t="str">
        <f>IFERROR(VLOOKUP(AU1324,[1]SUMMARY!$A$3:$B$7,2,FALSE),"")</f>
        <v/>
      </c>
      <c r="AS1324" s="31"/>
      <c r="AT1324" s="31" t="e">
        <f>VLOOKUP(AS1324,[1]OUTLET!$B:$C,2,0)</f>
        <v>#N/A</v>
      </c>
      <c r="AU1324" s="31"/>
      <c r="AV1324" s="4"/>
      <c r="AW1324" s="44"/>
      <c r="AX1324" s="44"/>
      <c r="AY1324" s="44"/>
      <c r="AZ1324" s="44"/>
      <c r="BA1324" s="44"/>
      <c r="BB1324" s="44"/>
      <c r="BC1324" s="44"/>
      <c r="BD1324" s="44"/>
      <c r="BE1324" s="44"/>
      <c r="BF1324" s="44"/>
      <c r="BG1324" s="44"/>
      <c r="BH1324" s="44"/>
      <c r="BI1324" s="44"/>
      <c r="BJ1324" s="44"/>
      <c r="BK1324" s="44"/>
      <c r="BL1324" s="44"/>
      <c r="BM1324" s="44"/>
      <c r="BN1324" s="44"/>
      <c r="BO1324" s="55"/>
      <c r="BP1324" s="40"/>
      <c r="BQ1324" s="4"/>
      <c r="BR1324" s="61"/>
      <c r="BS1324" s="4"/>
      <c r="BT1324" s="57"/>
      <c r="BU1324" s="62"/>
      <c r="BV1324" s="8"/>
      <c r="BW1324" s="58"/>
    </row>
    <row r="1325" spans="41:75" x14ac:dyDescent="0.35">
      <c r="AO1325" s="39">
        <v>1323</v>
      </c>
      <c r="AP1325" s="62"/>
      <c r="AQ1325" s="39"/>
      <c r="AR1325" s="42" t="str">
        <f>IFERROR(VLOOKUP(AU1325,[1]SUMMARY!$A$3:$B$7,2,FALSE),"")</f>
        <v/>
      </c>
      <c r="AS1325" s="31"/>
      <c r="AT1325" s="31" t="e">
        <f>VLOOKUP(AS1325,[1]OUTLET!$B:$C,2,0)</f>
        <v>#N/A</v>
      </c>
      <c r="AU1325" s="31"/>
      <c r="AV1325" s="4"/>
      <c r="AW1325" s="44"/>
      <c r="AX1325" s="44"/>
      <c r="AY1325" s="44"/>
      <c r="AZ1325" s="44"/>
      <c r="BA1325" s="44"/>
      <c r="BB1325" s="44"/>
      <c r="BC1325" s="44"/>
      <c r="BD1325" s="44"/>
      <c r="BE1325" s="44"/>
      <c r="BF1325" s="44"/>
      <c r="BG1325" s="44"/>
      <c r="BH1325" s="44"/>
      <c r="BI1325" s="44"/>
      <c r="BJ1325" s="44"/>
      <c r="BK1325" s="44"/>
      <c r="BL1325" s="44"/>
      <c r="BM1325" s="44"/>
      <c r="BN1325" s="44"/>
      <c r="BO1325" s="55"/>
      <c r="BP1325" s="40"/>
      <c r="BQ1325" s="4"/>
      <c r="BR1325" s="61"/>
      <c r="BS1325" s="4"/>
      <c r="BT1325" s="57"/>
      <c r="BU1325" s="62"/>
      <c r="BV1325" s="8"/>
      <c r="BW1325" s="58"/>
    </row>
    <row r="1326" spans="41:75" x14ac:dyDescent="0.35">
      <c r="AO1326" s="39">
        <v>1324</v>
      </c>
      <c r="AP1326" s="62"/>
      <c r="AQ1326" s="39"/>
      <c r="AR1326" s="42" t="str">
        <f>IFERROR(VLOOKUP(AU1326,[1]SUMMARY!$A$3:$B$7,2,FALSE),"")</f>
        <v/>
      </c>
      <c r="AS1326" s="31"/>
      <c r="AT1326" s="31" t="e">
        <f>VLOOKUP(AS1326,[1]OUTLET!$B:$C,2,0)</f>
        <v>#N/A</v>
      </c>
      <c r="AU1326" s="31"/>
      <c r="AV1326" s="4"/>
      <c r="AW1326" s="44"/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44"/>
      <c r="BJ1326" s="44"/>
      <c r="BK1326" s="44"/>
      <c r="BL1326" s="44"/>
      <c r="BM1326" s="44"/>
      <c r="BN1326" s="44"/>
      <c r="BO1326" s="55"/>
      <c r="BP1326" s="40"/>
      <c r="BQ1326" s="4"/>
      <c r="BR1326" s="61"/>
      <c r="BS1326" s="4"/>
      <c r="BT1326" s="57"/>
      <c r="BU1326" s="62"/>
      <c r="BV1326" s="8"/>
      <c r="BW1326" s="58"/>
    </row>
    <row r="1327" spans="41:75" x14ac:dyDescent="0.35">
      <c r="AO1327" s="39">
        <v>1325</v>
      </c>
      <c r="AP1327" s="62"/>
      <c r="AQ1327" s="39"/>
      <c r="AR1327" s="42" t="str">
        <f>IFERROR(VLOOKUP(AU1327,[1]SUMMARY!$A$3:$B$7,2,FALSE),"")</f>
        <v/>
      </c>
      <c r="AS1327" s="31"/>
      <c r="AT1327" s="31" t="e">
        <f>VLOOKUP(AS1327,[1]OUTLET!$B:$C,2,0)</f>
        <v>#N/A</v>
      </c>
      <c r="AU1327" s="31"/>
      <c r="AV1327" s="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44"/>
      <c r="BJ1327" s="44"/>
      <c r="BK1327" s="44"/>
      <c r="BL1327" s="44"/>
      <c r="BM1327" s="44"/>
      <c r="BN1327" s="44"/>
      <c r="BO1327" s="55"/>
      <c r="BP1327" s="40"/>
      <c r="BQ1327" s="4"/>
      <c r="BR1327" s="61"/>
      <c r="BS1327" s="4"/>
      <c r="BT1327" s="57"/>
      <c r="BU1327" s="62"/>
      <c r="BV1327" s="8"/>
      <c r="BW1327" s="58"/>
    </row>
    <row r="1328" spans="41:75" x14ac:dyDescent="0.35">
      <c r="AO1328" s="39">
        <v>1326</v>
      </c>
      <c r="AP1328" s="62"/>
      <c r="AQ1328" s="39"/>
      <c r="AR1328" s="42" t="str">
        <f>IFERROR(VLOOKUP(AU1328,[1]SUMMARY!$A$3:$B$7,2,FALSE),"")</f>
        <v/>
      </c>
      <c r="AS1328" s="31"/>
      <c r="AT1328" s="31" t="e">
        <f>VLOOKUP(AS1328,[1]OUTLET!$B:$C,2,0)</f>
        <v>#N/A</v>
      </c>
      <c r="AU1328" s="31"/>
      <c r="AV1328" s="4"/>
      <c r="AW1328" s="44"/>
      <c r="AX1328" s="44"/>
      <c r="AY1328" s="44"/>
      <c r="AZ1328" s="44"/>
      <c r="BA1328" s="44"/>
      <c r="BB1328" s="44"/>
      <c r="BC1328" s="44"/>
      <c r="BD1328" s="44"/>
      <c r="BE1328" s="44"/>
      <c r="BF1328" s="44"/>
      <c r="BG1328" s="44"/>
      <c r="BH1328" s="44"/>
      <c r="BI1328" s="44"/>
      <c r="BJ1328" s="44"/>
      <c r="BK1328" s="44"/>
      <c r="BL1328" s="44"/>
      <c r="BM1328" s="44"/>
      <c r="BN1328" s="44"/>
      <c r="BO1328" s="55"/>
      <c r="BP1328" s="40"/>
      <c r="BQ1328" s="4"/>
      <c r="BR1328" s="61"/>
      <c r="BS1328" s="4"/>
      <c r="BT1328" s="57"/>
      <c r="BU1328" s="62"/>
      <c r="BV1328" s="8"/>
      <c r="BW1328" s="58"/>
    </row>
    <row r="1329" spans="41:75" x14ac:dyDescent="0.35">
      <c r="AO1329" s="39">
        <v>1327</v>
      </c>
      <c r="AP1329" s="62"/>
      <c r="AQ1329" s="39"/>
      <c r="AR1329" s="42" t="str">
        <f>IFERROR(VLOOKUP(AU1329,[1]SUMMARY!$A$3:$B$7,2,FALSE),"")</f>
        <v/>
      </c>
      <c r="AS1329" s="31"/>
      <c r="AT1329" s="31" t="e">
        <f>VLOOKUP(AS1329,[1]OUTLET!$B:$C,2,0)</f>
        <v>#N/A</v>
      </c>
      <c r="AU1329" s="31"/>
      <c r="AV1329" s="4"/>
      <c r="AW1329" s="44"/>
      <c r="AX1329" s="44"/>
      <c r="AY1329" s="44"/>
      <c r="AZ1329" s="44"/>
      <c r="BA1329" s="44"/>
      <c r="BB1329" s="44"/>
      <c r="BC1329" s="44"/>
      <c r="BD1329" s="44"/>
      <c r="BE1329" s="44"/>
      <c r="BF1329" s="44"/>
      <c r="BG1329" s="44"/>
      <c r="BH1329" s="44"/>
      <c r="BI1329" s="44"/>
      <c r="BJ1329" s="44"/>
      <c r="BK1329" s="44"/>
      <c r="BL1329" s="44"/>
      <c r="BM1329" s="44"/>
      <c r="BN1329" s="44"/>
      <c r="BO1329" s="55"/>
      <c r="BP1329" s="40"/>
      <c r="BQ1329" s="4"/>
      <c r="BR1329" s="61"/>
      <c r="BS1329" s="4"/>
      <c r="BT1329" s="57"/>
      <c r="BU1329" s="62"/>
      <c r="BV1329" s="8"/>
      <c r="BW1329" s="58"/>
    </row>
    <row r="1330" spans="41:75" x14ac:dyDescent="0.35">
      <c r="AO1330" s="39">
        <v>1328</v>
      </c>
      <c r="AP1330" s="62"/>
      <c r="AQ1330" s="39"/>
      <c r="AR1330" s="42" t="str">
        <f>IFERROR(VLOOKUP(AU1330,[1]SUMMARY!$A$3:$B$7,2,FALSE),"")</f>
        <v/>
      </c>
      <c r="AS1330" s="31"/>
      <c r="AT1330" s="31" t="e">
        <f>VLOOKUP(AS1330,[1]OUTLET!$B:$C,2,0)</f>
        <v>#N/A</v>
      </c>
      <c r="AU1330" s="31"/>
      <c r="AV1330" s="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55"/>
      <c r="BP1330" s="40"/>
      <c r="BQ1330" s="4"/>
      <c r="BR1330" s="61"/>
      <c r="BS1330" s="4"/>
      <c r="BT1330" s="57"/>
      <c r="BU1330" s="62"/>
      <c r="BV1330" s="8"/>
      <c r="BW1330" s="58"/>
    </row>
    <row r="1331" spans="41:75" x14ac:dyDescent="0.35">
      <c r="AO1331" s="39">
        <v>1329</v>
      </c>
      <c r="AP1331" s="62"/>
      <c r="AQ1331" s="39"/>
      <c r="AR1331" s="42" t="str">
        <f>IFERROR(VLOOKUP(AU1331,[1]SUMMARY!$A$3:$B$7,2,FALSE),"")</f>
        <v/>
      </c>
      <c r="AS1331" s="31"/>
      <c r="AT1331" s="31" t="e">
        <f>VLOOKUP(AS1331,[1]OUTLET!$B:$C,2,0)</f>
        <v>#N/A</v>
      </c>
      <c r="AU1331" s="31"/>
      <c r="AV1331" s="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55"/>
      <c r="BP1331" s="40"/>
      <c r="BQ1331" s="4"/>
      <c r="BR1331" s="61"/>
      <c r="BS1331" s="4"/>
      <c r="BT1331" s="57"/>
      <c r="BU1331" s="62"/>
      <c r="BV1331" s="8"/>
      <c r="BW1331" s="58"/>
    </row>
    <row r="1332" spans="41:75" x14ac:dyDescent="0.35">
      <c r="AO1332" s="39">
        <v>1330</v>
      </c>
      <c r="AP1332" s="62"/>
      <c r="AQ1332" s="39"/>
      <c r="AR1332" s="42" t="str">
        <f>IFERROR(VLOOKUP(AU1332,[1]SUMMARY!$A$3:$B$7,2,FALSE),"")</f>
        <v/>
      </c>
      <c r="AS1332" s="31"/>
      <c r="AT1332" s="31" t="e">
        <f>VLOOKUP(AS1332,[1]OUTLET!$B:$C,2,0)</f>
        <v>#N/A</v>
      </c>
      <c r="AU1332" s="31"/>
      <c r="AV1332" s="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55"/>
      <c r="BP1332" s="40"/>
      <c r="BQ1332" s="4"/>
      <c r="BR1332" s="61"/>
      <c r="BS1332" s="4"/>
      <c r="BT1332" s="57"/>
      <c r="BU1332" s="62"/>
      <c r="BV1332" s="8"/>
      <c r="BW1332" s="58"/>
    </row>
    <row r="1333" spans="41:75" x14ac:dyDescent="0.35">
      <c r="AO1333" s="39">
        <v>1331</v>
      </c>
      <c r="AP1333" s="62"/>
      <c r="AQ1333" s="39"/>
      <c r="AR1333" s="42" t="str">
        <f>IFERROR(VLOOKUP(AU1333,[1]SUMMARY!$A$3:$B$7,2,FALSE),"")</f>
        <v/>
      </c>
      <c r="AS1333" s="31"/>
      <c r="AT1333" s="31" t="e">
        <f>VLOOKUP(AS1333,[1]OUTLET!$B:$C,2,0)</f>
        <v>#N/A</v>
      </c>
      <c r="AU1333" s="31"/>
      <c r="AV1333" s="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55"/>
      <c r="BP1333" s="40"/>
      <c r="BQ1333" s="4"/>
      <c r="BR1333" s="61"/>
      <c r="BS1333" s="4"/>
      <c r="BT1333" s="57"/>
      <c r="BU1333" s="62"/>
      <c r="BV1333" s="8"/>
      <c r="BW1333" s="58"/>
    </row>
    <row r="1334" spans="41:75" x14ac:dyDescent="0.35">
      <c r="AO1334" s="39">
        <v>1332</v>
      </c>
      <c r="AP1334" s="62"/>
      <c r="AQ1334" s="39"/>
      <c r="AR1334" s="42" t="str">
        <f>IFERROR(VLOOKUP(AU1334,[1]SUMMARY!$A$3:$B$7,2,FALSE),"")</f>
        <v/>
      </c>
      <c r="AS1334" s="31"/>
      <c r="AT1334" s="31" t="e">
        <f>VLOOKUP(AS1334,[1]OUTLET!$B:$C,2,0)</f>
        <v>#N/A</v>
      </c>
      <c r="AU1334" s="31"/>
      <c r="AV1334" s="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55"/>
      <c r="BP1334" s="40"/>
      <c r="BQ1334" s="4"/>
      <c r="BR1334" s="61"/>
      <c r="BS1334" s="4"/>
      <c r="BT1334" s="57"/>
      <c r="BU1334" s="62"/>
      <c r="BV1334" s="8"/>
      <c r="BW1334" s="58"/>
    </row>
    <row r="1335" spans="41:75" x14ac:dyDescent="0.35">
      <c r="AO1335" s="39">
        <v>1333</v>
      </c>
      <c r="AP1335" s="62"/>
      <c r="AQ1335" s="39"/>
      <c r="AR1335" s="42" t="str">
        <f>IFERROR(VLOOKUP(AU1335,[1]SUMMARY!$A$3:$B$7,2,FALSE),"")</f>
        <v/>
      </c>
      <c r="AS1335" s="31"/>
      <c r="AT1335" s="31" t="e">
        <f>VLOOKUP(AS1335,[1]OUTLET!$B:$C,2,0)</f>
        <v>#N/A</v>
      </c>
      <c r="AU1335" s="31"/>
      <c r="AV1335" s="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55"/>
      <c r="BP1335" s="40"/>
      <c r="BQ1335" s="4"/>
      <c r="BR1335" s="61"/>
      <c r="BS1335" s="4"/>
      <c r="BT1335" s="57"/>
      <c r="BU1335" s="62"/>
      <c r="BV1335" s="8"/>
      <c r="BW1335" s="58"/>
    </row>
    <row r="1336" spans="41:75" x14ac:dyDescent="0.35">
      <c r="AO1336" s="39">
        <v>1334</v>
      </c>
      <c r="AP1336" s="62"/>
      <c r="AQ1336" s="39"/>
      <c r="AR1336" s="42" t="str">
        <f>IFERROR(VLOOKUP(AU1336,[1]SUMMARY!$A$3:$B$7,2,FALSE),"")</f>
        <v/>
      </c>
      <c r="AS1336" s="31"/>
      <c r="AT1336" s="31" t="e">
        <f>VLOOKUP(AS1336,[1]OUTLET!$B:$C,2,0)</f>
        <v>#N/A</v>
      </c>
      <c r="AU1336" s="31"/>
      <c r="AV1336" s="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55"/>
      <c r="BP1336" s="40"/>
      <c r="BQ1336" s="4"/>
      <c r="BR1336" s="61"/>
      <c r="BS1336" s="4"/>
      <c r="BT1336" s="57"/>
      <c r="BU1336" s="62"/>
      <c r="BV1336" s="8"/>
      <c r="BW1336" s="58"/>
    </row>
    <row r="1337" spans="41:75" x14ac:dyDescent="0.35">
      <c r="AO1337" s="39">
        <v>1335</v>
      </c>
      <c r="AP1337" s="62"/>
      <c r="AQ1337" s="39"/>
      <c r="AR1337" s="42" t="str">
        <f>IFERROR(VLOOKUP(AU1337,[1]SUMMARY!$A$3:$B$7,2,FALSE),"")</f>
        <v/>
      </c>
      <c r="AS1337" s="31"/>
      <c r="AT1337" s="31" t="e">
        <f>VLOOKUP(AS1337,[1]OUTLET!$B:$C,2,0)</f>
        <v>#N/A</v>
      </c>
      <c r="AU1337" s="31"/>
      <c r="AV1337" s="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55"/>
      <c r="BP1337" s="40"/>
      <c r="BQ1337" s="4"/>
      <c r="BR1337" s="61"/>
      <c r="BS1337" s="4"/>
      <c r="BT1337" s="57"/>
      <c r="BU1337" s="62"/>
      <c r="BV1337" s="8"/>
      <c r="BW1337" s="58"/>
    </row>
    <row r="1338" spans="41:75" x14ac:dyDescent="0.35">
      <c r="AO1338" s="39">
        <v>1336</v>
      </c>
      <c r="AP1338" s="62"/>
      <c r="AQ1338" s="39"/>
      <c r="AR1338" s="42" t="str">
        <f>IFERROR(VLOOKUP(AU1338,[1]SUMMARY!$A$3:$B$7,2,FALSE),"")</f>
        <v/>
      </c>
      <c r="AS1338" s="31"/>
      <c r="AT1338" s="31" t="e">
        <f>VLOOKUP(AS1338,[1]OUTLET!$B:$C,2,0)</f>
        <v>#N/A</v>
      </c>
      <c r="AU1338" s="31"/>
      <c r="AV1338" s="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55"/>
      <c r="BP1338" s="40"/>
      <c r="BQ1338" s="4"/>
      <c r="BR1338" s="61"/>
      <c r="BS1338" s="4"/>
      <c r="BT1338" s="57"/>
      <c r="BU1338" s="62"/>
      <c r="BV1338" s="8"/>
      <c r="BW1338" s="58"/>
    </row>
    <row r="1339" spans="41:75" x14ac:dyDescent="0.35">
      <c r="AO1339" s="39">
        <v>1337</v>
      </c>
      <c r="AP1339" s="62"/>
      <c r="AQ1339" s="39"/>
      <c r="AR1339" s="42" t="str">
        <f>IFERROR(VLOOKUP(AU1339,[1]SUMMARY!$A$3:$B$7,2,FALSE),"")</f>
        <v/>
      </c>
      <c r="AS1339" s="31"/>
      <c r="AT1339" s="31" t="e">
        <f>VLOOKUP(AS1339,[1]OUTLET!$B:$C,2,0)</f>
        <v>#N/A</v>
      </c>
      <c r="AU1339" s="31"/>
      <c r="AV1339" s="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55"/>
      <c r="BP1339" s="40"/>
      <c r="BQ1339" s="4"/>
      <c r="BR1339" s="61"/>
      <c r="BS1339" s="4"/>
      <c r="BT1339" s="57"/>
      <c r="BU1339" s="62"/>
      <c r="BV1339" s="8"/>
      <c r="BW1339" s="58"/>
    </row>
    <row r="1340" spans="41:75" x14ac:dyDescent="0.35">
      <c r="AO1340" s="39">
        <v>1338</v>
      </c>
      <c r="AP1340" s="62"/>
      <c r="AQ1340" s="39"/>
      <c r="AR1340" s="42" t="str">
        <f>IFERROR(VLOOKUP(AU1340,[1]SUMMARY!$A$3:$B$7,2,FALSE),"")</f>
        <v/>
      </c>
      <c r="AS1340" s="31"/>
      <c r="AT1340" s="31" t="e">
        <f>VLOOKUP(AS1340,[1]OUTLET!$B:$C,2,0)</f>
        <v>#N/A</v>
      </c>
      <c r="AU1340" s="31"/>
      <c r="AV1340" s="4"/>
      <c r="AW1340" s="44"/>
      <c r="AX1340" s="44"/>
      <c r="AY1340" s="44"/>
      <c r="AZ1340" s="44"/>
      <c r="BA1340" s="44"/>
      <c r="BB1340" s="44"/>
      <c r="BC1340" s="44"/>
      <c r="BD1340" s="44"/>
      <c r="BE1340" s="44"/>
      <c r="BF1340" s="44"/>
      <c r="BG1340" s="44"/>
      <c r="BH1340" s="44"/>
      <c r="BI1340" s="44"/>
      <c r="BJ1340" s="44"/>
      <c r="BK1340" s="44"/>
      <c r="BL1340" s="44"/>
      <c r="BM1340" s="44"/>
      <c r="BN1340" s="44"/>
      <c r="BO1340" s="55"/>
      <c r="BP1340" s="40"/>
      <c r="BQ1340" s="4"/>
      <c r="BR1340" s="61"/>
      <c r="BS1340" s="4"/>
      <c r="BT1340" s="57"/>
      <c r="BU1340" s="62"/>
      <c r="BV1340" s="8"/>
      <c r="BW1340" s="58"/>
    </row>
    <row r="1341" spans="41:75" x14ac:dyDescent="0.35">
      <c r="AO1341" s="39">
        <v>1339</v>
      </c>
      <c r="AP1341" s="62"/>
      <c r="AQ1341" s="39"/>
      <c r="AR1341" s="42" t="str">
        <f>IFERROR(VLOOKUP(AU1341,[1]SUMMARY!$A$3:$B$7,2,FALSE),"")</f>
        <v/>
      </c>
      <c r="AS1341" s="31"/>
      <c r="AT1341" s="31" t="e">
        <f>VLOOKUP(AS1341,[1]OUTLET!$B:$C,2,0)</f>
        <v>#N/A</v>
      </c>
      <c r="AU1341" s="31"/>
      <c r="AV1341" s="4"/>
      <c r="AW1341" s="44"/>
      <c r="AX1341" s="44"/>
      <c r="AY1341" s="44"/>
      <c r="AZ1341" s="44"/>
      <c r="BA1341" s="44"/>
      <c r="BB1341" s="44"/>
      <c r="BC1341" s="44"/>
      <c r="BD1341" s="44"/>
      <c r="BE1341" s="44"/>
      <c r="BF1341" s="44"/>
      <c r="BG1341" s="44"/>
      <c r="BH1341" s="44"/>
      <c r="BI1341" s="44"/>
      <c r="BJ1341" s="44"/>
      <c r="BK1341" s="44"/>
      <c r="BL1341" s="44"/>
      <c r="BM1341" s="44"/>
      <c r="BN1341" s="44"/>
      <c r="BO1341" s="55"/>
      <c r="BP1341" s="40"/>
      <c r="BQ1341" s="4"/>
      <c r="BR1341" s="61"/>
      <c r="BS1341" s="4"/>
      <c r="BT1341" s="57"/>
      <c r="BU1341" s="62"/>
      <c r="BV1341" s="8"/>
      <c r="BW1341" s="58"/>
    </row>
    <row r="1342" spans="41:75" x14ac:dyDescent="0.35">
      <c r="AO1342" s="39">
        <v>1340</v>
      </c>
      <c r="AP1342" s="62"/>
      <c r="AQ1342" s="39"/>
      <c r="AR1342" s="42" t="str">
        <f>IFERROR(VLOOKUP(AU1342,[1]SUMMARY!$A$3:$B$7,2,FALSE),"")</f>
        <v/>
      </c>
      <c r="AS1342" s="31"/>
      <c r="AT1342" s="31" t="e">
        <f>VLOOKUP(AS1342,[1]OUTLET!$B:$C,2,0)</f>
        <v>#N/A</v>
      </c>
      <c r="AU1342" s="31"/>
      <c r="AV1342" s="4"/>
      <c r="AW1342" s="44"/>
      <c r="AX1342" s="44"/>
      <c r="AY1342" s="44"/>
      <c r="AZ1342" s="44"/>
      <c r="BA1342" s="44"/>
      <c r="BB1342" s="44"/>
      <c r="BC1342" s="44"/>
      <c r="BD1342" s="44"/>
      <c r="BE1342" s="44"/>
      <c r="BF1342" s="44"/>
      <c r="BG1342" s="44"/>
      <c r="BH1342" s="44"/>
      <c r="BI1342" s="44"/>
      <c r="BJ1342" s="44"/>
      <c r="BK1342" s="44"/>
      <c r="BL1342" s="44"/>
      <c r="BM1342" s="44"/>
      <c r="BN1342" s="44"/>
      <c r="BO1342" s="55"/>
      <c r="BP1342" s="40"/>
      <c r="BQ1342" s="4"/>
      <c r="BR1342" s="61"/>
      <c r="BS1342" s="4"/>
      <c r="BT1342" s="57"/>
      <c r="BU1342" s="62"/>
      <c r="BV1342" s="8"/>
      <c r="BW1342" s="58"/>
    </row>
    <row r="1343" spans="41:75" x14ac:dyDescent="0.35">
      <c r="AO1343" s="39">
        <v>1341</v>
      </c>
      <c r="AP1343" s="62"/>
      <c r="AQ1343" s="39"/>
      <c r="AR1343" s="42" t="str">
        <f>IFERROR(VLOOKUP(AU1343,[1]SUMMARY!$A$3:$B$7,2,FALSE),"")</f>
        <v/>
      </c>
      <c r="AS1343" s="31"/>
      <c r="AT1343" s="31" t="e">
        <f>VLOOKUP(AS1343,[1]OUTLET!$B:$C,2,0)</f>
        <v>#N/A</v>
      </c>
      <c r="AU1343" s="31"/>
      <c r="AV1343" s="4"/>
      <c r="AW1343" s="44"/>
      <c r="AX1343" s="44"/>
      <c r="AY1343" s="44"/>
      <c r="AZ1343" s="44"/>
      <c r="BA1343" s="44"/>
      <c r="BB1343" s="44"/>
      <c r="BC1343" s="44"/>
      <c r="BD1343" s="44"/>
      <c r="BE1343" s="44"/>
      <c r="BF1343" s="44"/>
      <c r="BG1343" s="44"/>
      <c r="BH1343" s="44"/>
      <c r="BI1343" s="44"/>
      <c r="BJ1343" s="44"/>
      <c r="BK1343" s="44"/>
      <c r="BL1343" s="44"/>
      <c r="BM1343" s="44"/>
      <c r="BN1343" s="44"/>
      <c r="BO1343" s="55"/>
      <c r="BP1343" s="40"/>
      <c r="BQ1343" s="4"/>
      <c r="BR1343" s="61"/>
      <c r="BS1343" s="4"/>
      <c r="BT1343" s="57"/>
      <c r="BU1343" s="62"/>
      <c r="BV1343" s="8"/>
      <c r="BW1343" s="58"/>
    </row>
    <row r="1344" spans="41:75" x14ac:dyDescent="0.35">
      <c r="AO1344" s="39">
        <v>1342</v>
      </c>
      <c r="AP1344" s="62"/>
      <c r="AQ1344" s="39"/>
      <c r="AR1344" s="42" t="str">
        <f>IFERROR(VLOOKUP(AU1344,[1]SUMMARY!$A$3:$B$7,2,FALSE),"")</f>
        <v/>
      </c>
      <c r="AS1344" s="31"/>
      <c r="AT1344" s="31" t="e">
        <f>VLOOKUP(AS1344,[1]OUTLET!$B:$C,2,0)</f>
        <v>#N/A</v>
      </c>
      <c r="AU1344" s="31"/>
      <c r="AV1344" s="4"/>
      <c r="AW1344" s="44"/>
      <c r="AX1344" s="44"/>
      <c r="AY1344" s="44"/>
      <c r="AZ1344" s="44"/>
      <c r="BA1344" s="44"/>
      <c r="BB1344" s="44"/>
      <c r="BC1344" s="44"/>
      <c r="BD1344" s="44"/>
      <c r="BE1344" s="44"/>
      <c r="BF1344" s="44"/>
      <c r="BG1344" s="44"/>
      <c r="BH1344" s="44"/>
      <c r="BI1344" s="44"/>
      <c r="BJ1344" s="44"/>
      <c r="BK1344" s="44"/>
      <c r="BL1344" s="44"/>
      <c r="BM1344" s="44"/>
      <c r="BN1344" s="44"/>
      <c r="BO1344" s="55"/>
      <c r="BP1344" s="40"/>
      <c r="BQ1344" s="4"/>
      <c r="BR1344" s="61"/>
      <c r="BS1344" s="4"/>
      <c r="BT1344" s="57"/>
      <c r="BU1344" s="62"/>
      <c r="BV1344" s="8"/>
      <c r="BW1344" s="58"/>
    </row>
    <row r="1345" spans="41:75" x14ac:dyDescent="0.35">
      <c r="AO1345" s="39">
        <v>1343</v>
      </c>
      <c r="AP1345" s="62"/>
      <c r="AQ1345" s="39"/>
      <c r="AR1345" s="42" t="str">
        <f>IFERROR(VLOOKUP(AU1345,[1]SUMMARY!$A$3:$B$7,2,FALSE),"")</f>
        <v/>
      </c>
      <c r="AS1345" s="31"/>
      <c r="AT1345" s="31" t="e">
        <f>VLOOKUP(AS1345,[1]OUTLET!$B:$C,2,0)</f>
        <v>#N/A</v>
      </c>
      <c r="AU1345" s="31"/>
      <c r="AV1345" s="4"/>
      <c r="AW1345" s="44"/>
      <c r="AX1345" s="44"/>
      <c r="AY1345" s="44"/>
      <c r="AZ1345" s="44"/>
      <c r="BA1345" s="44"/>
      <c r="BB1345" s="44"/>
      <c r="BC1345" s="44"/>
      <c r="BD1345" s="44"/>
      <c r="BE1345" s="44"/>
      <c r="BF1345" s="44"/>
      <c r="BG1345" s="44"/>
      <c r="BH1345" s="44"/>
      <c r="BI1345" s="44"/>
      <c r="BJ1345" s="44"/>
      <c r="BK1345" s="44"/>
      <c r="BL1345" s="44"/>
      <c r="BM1345" s="44"/>
      <c r="BN1345" s="44"/>
      <c r="BO1345" s="55"/>
      <c r="BP1345" s="40"/>
      <c r="BQ1345" s="4"/>
      <c r="BR1345" s="61"/>
      <c r="BS1345" s="4"/>
      <c r="BT1345" s="57"/>
      <c r="BU1345" s="62"/>
      <c r="BV1345" s="8"/>
      <c r="BW1345" s="58"/>
    </row>
    <row r="1346" spans="41:75" x14ac:dyDescent="0.35">
      <c r="AO1346" s="39">
        <v>1344</v>
      </c>
      <c r="AP1346" s="62"/>
      <c r="AQ1346" s="39"/>
      <c r="AR1346" s="42" t="str">
        <f>IFERROR(VLOOKUP(AU1346,[1]SUMMARY!$A$3:$B$7,2,FALSE),"")</f>
        <v/>
      </c>
      <c r="AS1346" s="31"/>
      <c r="AT1346" s="31" t="e">
        <f>VLOOKUP(AS1346,[1]OUTLET!$B:$C,2,0)</f>
        <v>#N/A</v>
      </c>
      <c r="AU1346" s="31"/>
      <c r="AV1346" s="4"/>
      <c r="AW1346" s="44"/>
      <c r="AX1346" s="44"/>
      <c r="AY1346" s="44"/>
      <c r="AZ1346" s="44"/>
      <c r="BA1346" s="44"/>
      <c r="BB1346" s="44"/>
      <c r="BC1346" s="44"/>
      <c r="BD1346" s="44"/>
      <c r="BE1346" s="44"/>
      <c r="BF1346" s="44"/>
      <c r="BG1346" s="44"/>
      <c r="BH1346" s="44"/>
      <c r="BI1346" s="44"/>
      <c r="BJ1346" s="44"/>
      <c r="BK1346" s="44"/>
      <c r="BL1346" s="44"/>
      <c r="BM1346" s="44"/>
      <c r="BN1346" s="44"/>
      <c r="BO1346" s="55"/>
      <c r="BP1346" s="40"/>
      <c r="BQ1346" s="4"/>
      <c r="BR1346" s="61"/>
      <c r="BS1346" s="4"/>
      <c r="BT1346" s="57"/>
      <c r="BU1346" s="62"/>
      <c r="BV1346" s="8"/>
      <c r="BW1346" s="58"/>
    </row>
    <row r="1347" spans="41:75" x14ac:dyDescent="0.35">
      <c r="AO1347" s="39">
        <v>1345</v>
      </c>
      <c r="AP1347" s="62"/>
      <c r="AQ1347" s="39"/>
      <c r="AR1347" s="42" t="str">
        <f>IFERROR(VLOOKUP(AU1347,[1]SUMMARY!$A$3:$B$7,2,FALSE),"")</f>
        <v/>
      </c>
      <c r="AS1347" s="31"/>
      <c r="AT1347" s="31" t="e">
        <f>VLOOKUP(AS1347,[1]OUTLET!$B:$C,2,0)</f>
        <v>#N/A</v>
      </c>
      <c r="AU1347" s="31"/>
      <c r="AV1347" s="4"/>
      <c r="AW1347" s="44"/>
      <c r="AX1347" s="44"/>
      <c r="AY1347" s="44"/>
      <c r="AZ1347" s="44"/>
      <c r="BA1347" s="44"/>
      <c r="BB1347" s="44"/>
      <c r="BC1347" s="44"/>
      <c r="BD1347" s="44"/>
      <c r="BE1347" s="44"/>
      <c r="BF1347" s="44"/>
      <c r="BG1347" s="44"/>
      <c r="BH1347" s="44"/>
      <c r="BI1347" s="44"/>
      <c r="BJ1347" s="44"/>
      <c r="BK1347" s="44"/>
      <c r="BL1347" s="44"/>
      <c r="BM1347" s="44"/>
      <c r="BN1347" s="44"/>
      <c r="BO1347" s="55"/>
      <c r="BP1347" s="40"/>
      <c r="BQ1347" s="4"/>
      <c r="BR1347" s="61"/>
      <c r="BS1347" s="4"/>
      <c r="BT1347" s="57"/>
      <c r="BU1347" s="62"/>
      <c r="BV1347" s="8"/>
      <c r="BW1347" s="58"/>
    </row>
    <row r="1348" spans="41:75" x14ac:dyDescent="0.35">
      <c r="AO1348" s="39">
        <v>1346</v>
      </c>
      <c r="AP1348" s="62"/>
      <c r="AQ1348" s="39"/>
      <c r="AR1348" s="42" t="str">
        <f>IFERROR(VLOOKUP(AU1348,[1]SUMMARY!$A$3:$B$7,2,FALSE),"")</f>
        <v/>
      </c>
      <c r="AS1348" s="31"/>
      <c r="AT1348" s="31" t="e">
        <f>VLOOKUP(AS1348,[1]OUTLET!$B:$C,2,0)</f>
        <v>#N/A</v>
      </c>
      <c r="AU1348" s="31"/>
      <c r="AV1348" s="4"/>
      <c r="AW1348" s="44"/>
      <c r="AX1348" s="44"/>
      <c r="AY1348" s="44"/>
      <c r="AZ1348" s="44"/>
      <c r="BA1348" s="44"/>
      <c r="BB1348" s="44"/>
      <c r="BC1348" s="44"/>
      <c r="BD1348" s="44"/>
      <c r="BE1348" s="44"/>
      <c r="BF1348" s="44"/>
      <c r="BG1348" s="44"/>
      <c r="BH1348" s="44"/>
      <c r="BI1348" s="44"/>
      <c r="BJ1348" s="44"/>
      <c r="BK1348" s="44"/>
      <c r="BL1348" s="44"/>
      <c r="BM1348" s="44"/>
      <c r="BN1348" s="44"/>
      <c r="BO1348" s="55"/>
      <c r="BP1348" s="40"/>
      <c r="BQ1348" s="4"/>
      <c r="BR1348" s="61"/>
      <c r="BS1348" s="4"/>
      <c r="BT1348" s="57"/>
      <c r="BU1348" s="62"/>
      <c r="BV1348" s="8"/>
      <c r="BW1348" s="58"/>
    </row>
    <row r="1349" spans="41:75" x14ac:dyDescent="0.35">
      <c r="AO1349" s="39">
        <v>1347</v>
      </c>
      <c r="AP1349" s="62"/>
      <c r="AQ1349" s="39"/>
      <c r="AR1349" s="42" t="str">
        <f>IFERROR(VLOOKUP(AU1349,[1]SUMMARY!$A$3:$B$7,2,FALSE),"")</f>
        <v/>
      </c>
      <c r="AS1349" s="31"/>
      <c r="AT1349" s="31" t="e">
        <f>VLOOKUP(AS1349,[1]OUTLET!$B:$C,2,0)</f>
        <v>#N/A</v>
      </c>
      <c r="AU1349" s="31"/>
      <c r="AV1349" s="4"/>
      <c r="AW1349" s="44"/>
      <c r="AX1349" s="44"/>
      <c r="AY1349" s="44"/>
      <c r="AZ1349" s="44"/>
      <c r="BA1349" s="44"/>
      <c r="BB1349" s="44"/>
      <c r="BC1349" s="44"/>
      <c r="BD1349" s="44"/>
      <c r="BE1349" s="44"/>
      <c r="BF1349" s="44"/>
      <c r="BG1349" s="44"/>
      <c r="BH1349" s="44"/>
      <c r="BI1349" s="44"/>
      <c r="BJ1349" s="44"/>
      <c r="BK1349" s="44"/>
      <c r="BL1349" s="44"/>
      <c r="BM1349" s="44"/>
      <c r="BN1349" s="44"/>
      <c r="BO1349" s="55"/>
      <c r="BP1349" s="40"/>
      <c r="BQ1349" s="4"/>
      <c r="BR1349" s="61"/>
      <c r="BS1349" s="4"/>
      <c r="BT1349" s="57"/>
      <c r="BU1349" s="62"/>
      <c r="BV1349" s="8"/>
      <c r="BW1349" s="58"/>
    </row>
    <row r="1350" spans="41:75" x14ac:dyDescent="0.35">
      <c r="AO1350" s="39">
        <v>1348</v>
      </c>
      <c r="AP1350" s="62"/>
      <c r="AQ1350" s="39"/>
      <c r="AR1350" s="42" t="str">
        <f>IFERROR(VLOOKUP(AU1350,[1]SUMMARY!$A$3:$B$7,2,FALSE),"")</f>
        <v/>
      </c>
      <c r="AS1350" s="31"/>
      <c r="AT1350" s="31" t="e">
        <f>VLOOKUP(AS1350,[1]OUTLET!$B:$C,2,0)</f>
        <v>#N/A</v>
      </c>
      <c r="AU1350" s="31"/>
      <c r="AV1350" s="4"/>
      <c r="AW1350" s="44"/>
      <c r="AX1350" s="44"/>
      <c r="AY1350" s="44"/>
      <c r="AZ1350" s="44"/>
      <c r="BA1350" s="44"/>
      <c r="BB1350" s="44"/>
      <c r="BC1350" s="44"/>
      <c r="BD1350" s="44"/>
      <c r="BE1350" s="44"/>
      <c r="BF1350" s="44"/>
      <c r="BG1350" s="44"/>
      <c r="BH1350" s="44"/>
      <c r="BI1350" s="44"/>
      <c r="BJ1350" s="44"/>
      <c r="BK1350" s="44"/>
      <c r="BL1350" s="44"/>
      <c r="BM1350" s="44"/>
      <c r="BN1350" s="44"/>
      <c r="BO1350" s="55"/>
      <c r="BP1350" s="40"/>
      <c r="BQ1350" s="4"/>
      <c r="BR1350" s="61"/>
      <c r="BS1350" s="4"/>
      <c r="BT1350" s="57"/>
      <c r="BU1350" s="62"/>
      <c r="BV1350" s="8"/>
      <c r="BW1350" s="58"/>
    </row>
    <row r="1351" spans="41:75" x14ac:dyDescent="0.35">
      <c r="AO1351" s="39">
        <v>1349</v>
      </c>
      <c r="AP1351" s="62"/>
      <c r="AQ1351" s="39"/>
      <c r="AR1351" s="42" t="str">
        <f>IFERROR(VLOOKUP(AU1351,[1]SUMMARY!$A$3:$B$7,2,FALSE),"")</f>
        <v/>
      </c>
      <c r="AS1351" s="31"/>
      <c r="AT1351" s="31" t="e">
        <f>VLOOKUP(AS1351,[1]OUTLET!$B:$C,2,0)</f>
        <v>#N/A</v>
      </c>
      <c r="AU1351" s="31"/>
      <c r="AV1351" s="4"/>
      <c r="AW1351" s="44"/>
      <c r="AX1351" s="44"/>
      <c r="AY1351" s="44"/>
      <c r="AZ1351" s="44"/>
      <c r="BA1351" s="44"/>
      <c r="BB1351" s="44"/>
      <c r="BC1351" s="44"/>
      <c r="BD1351" s="44"/>
      <c r="BE1351" s="44"/>
      <c r="BF1351" s="44"/>
      <c r="BG1351" s="44"/>
      <c r="BH1351" s="44"/>
      <c r="BI1351" s="44"/>
      <c r="BJ1351" s="44"/>
      <c r="BK1351" s="44"/>
      <c r="BL1351" s="44"/>
      <c r="BM1351" s="44"/>
      <c r="BN1351" s="44"/>
      <c r="BO1351" s="55"/>
      <c r="BP1351" s="40"/>
      <c r="BQ1351" s="4"/>
      <c r="BR1351" s="61"/>
      <c r="BS1351" s="4"/>
      <c r="BT1351" s="57"/>
      <c r="BU1351" s="62"/>
      <c r="BV1351" s="8"/>
      <c r="BW1351" s="58"/>
    </row>
    <row r="1352" spans="41:75" x14ac:dyDescent="0.35">
      <c r="AO1352" s="39">
        <v>1350</v>
      </c>
      <c r="AP1352" s="62"/>
      <c r="AQ1352" s="39"/>
      <c r="AR1352" s="42" t="str">
        <f>IFERROR(VLOOKUP(AU1352,[1]SUMMARY!$A$3:$B$7,2,FALSE),"")</f>
        <v/>
      </c>
      <c r="AS1352" s="31"/>
      <c r="AT1352" s="31" t="e">
        <f>VLOOKUP(AS1352,[1]OUTLET!$B:$C,2,0)</f>
        <v>#N/A</v>
      </c>
      <c r="AU1352" s="31"/>
      <c r="AV1352" s="4"/>
      <c r="AW1352" s="44"/>
      <c r="AX1352" s="44"/>
      <c r="AY1352" s="44"/>
      <c r="AZ1352" s="44"/>
      <c r="BA1352" s="44"/>
      <c r="BB1352" s="44"/>
      <c r="BC1352" s="44"/>
      <c r="BD1352" s="44"/>
      <c r="BE1352" s="44"/>
      <c r="BF1352" s="44"/>
      <c r="BG1352" s="44"/>
      <c r="BH1352" s="44"/>
      <c r="BI1352" s="44"/>
      <c r="BJ1352" s="44"/>
      <c r="BK1352" s="44"/>
      <c r="BL1352" s="44"/>
      <c r="BM1352" s="44"/>
      <c r="BN1352" s="44"/>
      <c r="BO1352" s="55"/>
      <c r="BP1352" s="40"/>
      <c r="BQ1352" s="4"/>
      <c r="BR1352" s="61"/>
      <c r="BS1352" s="4"/>
      <c r="BT1352" s="57"/>
      <c r="BU1352" s="62"/>
      <c r="BV1352" s="8"/>
      <c r="BW1352" s="58"/>
    </row>
    <row r="1353" spans="41:75" x14ac:dyDescent="0.35">
      <c r="AO1353" s="39">
        <v>1351</v>
      </c>
      <c r="AP1353" s="62"/>
      <c r="AQ1353" s="39"/>
      <c r="AR1353" s="42" t="str">
        <f>IFERROR(VLOOKUP(AU1353,[1]SUMMARY!$A$3:$B$7,2,FALSE),"")</f>
        <v/>
      </c>
      <c r="AS1353" s="31"/>
      <c r="AT1353" s="31" t="e">
        <f>VLOOKUP(AS1353,[1]OUTLET!$B:$C,2,0)</f>
        <v>#N/A</v>
      </c>
      <c r="AU1353" s="31"/>
      <c r="AV1353" s="4"/>
      <c r="AW1353" s="44"/>
      <c r="AX1353" s="44"/>
      <c r="AY1353" s="44"/>
      <c r="AZ1353" s="44"/>
      <c r="BA1353" s="44"/>
      <c r="BB1353" s="44"/>
      <c r="BC1353" s="44"/>
      <c r="BD1353" s="44"/>
      <c r="BE1353" s="44"/>
      <c r="BF1353" s="44"/>
      <c r="BG1353" s="44"/>
      <c r="BH1353" s="44"/>
      <c r="BI1353" s="44"/>
      <c r="BJ1353" s="44"/>
      <c r="BK1353" s="44"/>
      <c r="BL1353" s="44"/>
      <c r="BM1353" s="44"/>
      <c r="BN1353" s="44"/>
      <c r="BO1353" s="55"/>
      <c r="BP1353" s="40"/>
      <c r="BQ1353" s="4"/>
      <c r="BR1353" s="61"/>
      <c r="BS1353" s="4"/>
      <c r="BT1353" s="57"/>
      <c r="BU1353" s="62"/>
      <c r="BV1353" s="8"/>
      <c r="BW1353" s="58"/>
    </row>
    <row r="1354" spans="41:75" x14ac:dyDescent="0.35">
      <c r="AO1354" s="39">
        <v>1352</v>
      </c>
      <c r="AP1354" s="62"/>
      <c r="AQ1354" s="39"/>
      <c r="AR1354" s="42" t="str">
        <f>IFERROR(VLOOKUP(AU1354,[1]SUMMARY!$A$3:$B$7,2,FALSE),"")</f>
        <v/>
      </c>
      <c r="AS1354" s="31"/>
      <c r="AT1354" s="31" t="e">
        <f>VLOOKUP(AS1354,[1]OUTLET!$B:$C,2,0)</f>
        <v>#N/A</v>
      </c>
      <c r="AU1354" s="31"/>
      <c r="AV1354" s="4"/>
      <c r="AW1354" s="44"/>
      <c r="AX1354" s="44"/>
      <c r="AY1354" s="44"/>
      <c r="AZ1354" s="44"/>
      <c r="BA1354" s="44"/>
      <c r="BB1354" s="44"/>
      <c r="BC1354" s="44"/>
      <c r="BD1354" s="44"/>
      <c r="BE1354" s="44"/>
      <c r="BF1354" s="44"/>
      <c r="BG1354" s="44"/>
      <c r="BH1354" s="44"/>
      <c r="BI1354" s="44"/>
      <c r="BJ1354" s="44"/>
      <c r="BK1354" s="44"/>
      <c r="BL1354" s="44"/>
      <c r="BM1354" s="44"/>
      <c r="BN1354" s="44"/>
      <c r="BO1354" s="55"/>
      <c r="BP1354" s="40"/>
      <c r="BQ1354" s="4"/>
      <c r="BR1354" s="61"/>
      <c r="BS1354" s="4"/>
      <c r="BT1354" s="57"/>
      <c r="BU1354" s="62"/>
      <c r="BV1354" s="8"/>
      <c r="BW1354" s="58"/>
    </row>
    <row r="1355" spans="41:75" x14ac:dyDescent="0.35">
      <c r="AO1355" s="39">
        <v>1353</v>
      </c>
      <c r="AP1355" s="62"/>
      <c r="AQ1355" s="39"/>
      <c r="AR1355" s="42" t="str">
        <f>IFERROR(VLOOKUP(AU1355,[1]SUMMARY!$A$3:$B$7,2,FALSE),"")</f>
        <v/>
      </c>
      <c r="AS1355" s="31"/>
      <c r="AT1355" s="31" t="e">
        <f>VLOOKUP(AS1355,[1]OUTLET!$B:$C,2,0)</f>
        <v>#N/A</v>
      </c>
      <c r="AU1355" s="31"/>
      <c r="AV1355" s="4"/>
      <c r="AW1355" s="44"/>
      <c r="AX1355" s="44"/>
      <c r="AY1355" s="44"/>
      <c r="AZ1355" s="44"/>
      <c r="BA1355" s="44"/>
      <c r="BB1355" s="44"/>
      <c r="BC1355" s="44"/>
      <c r="BD1355" s="44"/>
      <c r="BE1355" s="44"/>
      <c r="BF1355" s="44"/>
      <c r="BG1355" s="44"/>
      <c r="BH1355" s="44"/>
      <c r="BI1355" s="44"/>
      <c r="BJ1355" s="44"/>
      <c r="BK1355" s="44"/>
      <c r="BL1355" s="44"/>
      <c r="BM1355" s="44"/>
      <c r="BN1355" s="44"/>
      <c r="BO1355" s="55"/>
      <c r="BP1355" s="40"/>
      <c r="BQ1355" s="4"/>
      <c r="BR1355" s="61"/>
      <c r="BS1355" s="4"/>
      <c r="BT1355" s="57"/>
      <c r="BU1355" s="62"/>
      <c r="BV1355" s="8"/>
      <c r="BW1355" s="58"/>
    </row>
    <row r="1356" spans="41:75" x14ac:dyDescent="0.35">
      <c r="AO1356" s="39">
        <v>1354</v>
      </c>
      <c r="AP1356" s="62"/>
      <c r="AQ1356" s="39"/>
      <c r="AR1356" s="42" t="str">
        <f>IFERROR(VLOOKUP(AU1356,[1]SUMMARY!$A$3:$B$7,2,FALSE),"")</f>
        <v/>
      </c>
      <c r="AS1356" s="31"/>
      <c r="AT1356" s="31" t="e">
        <f>VLOOKUP(AS1356,[1]OUTLET!$B:$C,2,0)</f>
        <v>#N/A</v>
      </c>
      <c r="AU1356" s="31"/>
      <c r="AV1356" s="4"/>
      <c r="AW1356" s="44"/>
      <c r="AX1356" s="44"/>
      <c r="AY1356" s="44"/>
      <c r="AZ1356" s="44"/>
      <c r="BA1356" s="44"/>
      <c r="BB1356" s="44"/>
      <c r="BC1356" s="44"/>
      <c r="BD1356" s="44"/>
      <c r="BE1356" s="44"/>
      <c r="BF1356" s="44"/>
      <c r="BG1356" s="44"/>
      <c r="BH1356" s="44"/>
      <c r="BI1356" s="44"/>
      <c r="BJ1356" s="44"/>
      <c r="BK1356" s="44"/>
      <c r="BL1356" s="44"/>
      <c r="BM1356" s="44"/>
      <c r="BN1356" s="44"/>
      <c r="BO1356" s="55"/>
      <c r="BP1356" s="40"/>
      <c r="BQ1356" s="4"/>
      <c r="BR1356" s="61"/>
      <c r="BS1356" s="4"/>
      <c r="BT1356" s="57"/>
      <c r="BU1356" s="62"/>
      <c r="BV1356" s="8"/>
      <c r="BW1356" s="58"/>
    </row>
    <row r="1357" spans="41:75" x14ac:dyDescent="0.35">
      <c r="AO1357" s="39">
        <v>1355</v>
      </c>
      <c r="AP1357" s="62"/>
      <c r="AQ1357" s="39"/>
      <c r="AR1357" s="42" t="str">
        <f>IFERROR(VLOOKUP(AU1357,[1]SUMMARY!$A$3:$B$7,2,FALSE),"")</f>
        <v/>
      </c>
      <c r="AS1357" s="31"/>
      <c r="AT1357" s="31" t="e">
        <f>VLOOKUP(AS1357,[1]OUTLET!$B:$C,2,0)</f>
        <v>#N/A</v>
      </c>
      <c r="AU1357" s="31"/>
      <c r="AV1357" s="4"/>
      <c r="AW1357" s="44"/>
      <c r="AX1357" s="44"/>
      <c r="AY1357" s="44"/>
      <c r="AZ1357" s="44"/>
      <c r="BA1357" s="44"/>
      <c r="BB1357" s="44"/>
      <c r="BC1357" s="44"/>
      <c r="BD1357" s="44"/>
      <c r="BE1357" s="44"/>
      <c r="BF1357" s="44"/>
      <c r="BG1357" s="44"/>
      <c r="BH1357" s="44"/>
      <c r="BI1357" s="44"/>
      <c r="BJ1357" s="44"/>
      <c r="BK1357" s="44"/>
      <c r="BL1357" s="44"/>
      <c r="BM1357" s="44"/>
      <c r="BN1357" s="44"/>
      <c r="BO1357" s="55"/>
      <c r="BP1357" s="40"/>
      <c r="BQ1357" s="4"/>
      <c r="BR1357" s="61"/>
      <c r="BS1357" s="4"/>
      <c r="BT1357" s="57"/>
      <c r="BU1357" s="62"/>
      <c r="BV1357" s="8"/>
      <c r="BW1357" s="58"/>
    </row>
    <row r="1358" spans="41:75" x14ac:dyDescent="0.35">
      <c r="AO1358" s="39">
        <v>1356</v>
      </c>
      <c r="AP1358" s="62"/>
      <c r="AQ1358" s="39"/>
      <c r="AR1358" s="42" t="str">
        <f>IFERROR(VLOOKUP(AU1358,[1]SUMMARY!$A$3:$B$7,2,FALSE),"")</f>
        <v/>
      </c>
      <c r="AS1358" s="31"/>
      <c r="AT1358" s="31" t="e">
        <f>VLOOKUP(AS1358,[1]OUTLET!$B:$C,2,0)</f>
        <v>#N/A</v>
      </c>
      <c r="AU1358" s="31"/>
      <c r="AV1358" s="4"/>
      <c r="AW1358" s="44"/>
      <c r="AX1358" s="44"/>
      <c r="AY1358" s="44"/>
      <c r="AZ1358" s="44"/>
      <c r="BA1358" s="44"/>
      <c r="BB1358" s="44"/>
      <c r="BC1358" s="44"/>
      <c r="BD1358" s="44"/>
      <c r="BE1358" s="44"/>
      <c r="BF1358" s="44"/>
      <c r="BG1358" s="44"/>
      <c r="BH1358" s="44"/>
      <c r="BI1358" s="44"/>
      <c r="BJ1358" s="44"/>
      <c r="BK1358" s="44"/>
      <c r="BL1358" s="44"/>
      <c r="BM1358" s="44"/>
      <c r="BN1358" s="44"/>
      <c r="BO1358" s="55"/>
      <c r="BP1358" s="40"/>
      <c r="BQ1358" s="4"/>
      <c r="BR1358" s="61"/>
      <c r="BS1358" s="4"/>
      <c r="BT1358" s="57"/>
      <c r="BU1358" s="62"/>
      <c r="BV1358" s="8"/>
      <c r="BW1358" s="58"/>
    </row>
    <row r="1359" spans="41:75" x14ac:dyDescent="0.35">
      <c r="AO1359" s="39">
        <v>1357</v>
      </c>
      <c r="AP1359" s="62"/>
      <c r="AQ1359" s="39"/>
      <c r="AR1359" s="42" t="str">
        <f>IFERROR(VLOOKUP(AU1359,[1]SUMMARY!$A$3:$B$7,2,FALSE),"")</f>
        <v/>
      </c>
      <c r="AS1359" s="31"/>
      <c r="AT1359" s="31" t="e">
        <f>VLOOKUP(AS1359,[1]OUTLET!$B:$C,2,0)</f>
        <v>#N/A</v>
      </c>
      <c r="AU1359" s="31"/>
      <c r="AV1359" s="4"/>
      <c r="AW1359" s="44"/>
      <c r="AX1359" s="44"/>
      <c r="AY1359" s="44"/>
      <c r="AZ1359" s="44"/>
      <c r="BA1359" s="44"/>
      <c r="BB1359" s="44"/>
      <c r="BC1359" s="44"/>
      <c r="BD1359" s="44"/>
      <c r="BE1359" s="44"/>
      <c r="BF1359" s="44"/>
      <c r="BG1359" s="44"/>
      <c r="BH1359" s="44"/>
      <c r="BI1359" s="44"/>
      <c r="BJ1359" s="44"/>
      <c r="BK1359" s="44"/>
      <c r="BL1359" s="44"/>
      <c r="BM1359" s="44"/>
      <c r="BN1359" s="44"/>
      <c r="BO1359" s="55"/>
      <c r="BP1359" s="40"/>
      <c r="BQ1359" s="4"/>
      <c r="BR1359" s="61"/>
      <c r="BS1359" s="4"/>
      <c r="BT1359" s="57"/>
      <c r="BU1359" s="62"/>
      <c r="BV1359" s="8"/>
      <c r="BW1359" s="58"/>
    </row>
    <row r="1360" spans="41:75" x14ac:dyDescent="0.35">
      <c r="AO1360" s="39">
        <v>1358</v>
      </c>
      <c r="AP1360" s="62"/>
      <c r="AQ1360" s="39"/>
      <c r="AR1360" s="42" t="str">
        <f>IFERROR(VLOOKUP(AU1360,[1]SUMMARY!$A$3:$B$7,2,FALSE),"")</f>
        <v/>
      </c>
      <c r="AS1360" s="31"/>
      <c r="AT1360" s="31" t="e">
        <f>VLOOKUP(AS1360,[1]OUTLET!$B:$C,2,0)</f>
        <v>#N/A</v>
      </c>
      <c r="AU1360" s="31"/>
      <c r="AV1360" s="4"/>
      <c r="AW1360" s="44"/>
      <c r="AX1360" s="44"/>
      <c r="AY1360" s="44"/>
      <c r="AZ1360" s="44"/>
      <c r="BA1360" s="44"/>
      <c r="BB1360" s="44"/>
      <c r="BC1360" s="44"/>
      <c r="BD1360" s="44"/>
      <c r="BE1360" s="44"/>
      <c r="BF1360" s="44"/>
      <c r="BG1360" s="44"/>
      <c r="BH1360" s="44"/>
      <c r="BI1360" s="44"/>
      <c r="BJ1360" s="44"/>
      <c r="BK1360" s="44"/>
      <c r="BL1360" s="44"/>
      <c r="BM1360" s="44"/>
      <c r="BN1360" s="44"/>
      <c r="BO1360" s="55"/>
      <c r="BP1360" s="40"/>
      <c r="BQ1360" s="4"/>
      <c r="BR1360" s="61"/>
      <c r="BS1360" s="4"/>
      <c r="BT1360" s="57"/>
      <c r="BU1360" s="62"/>
      <c r="BV1360" s="8"/>
      <c r="BW1360" s="58"/>
    </row>
    <row r="1361" spans="41:75" x14ac:dyDescent="0.35">
      <c r="AO1361" s="39">
        <v>1359</v>
      </c>
      <c r="AP1361" s="62"/>
      <c r="AQ1361" s="39"/>
      <c r="AR1361" s="42" t="str">
        <f>IFERROR(VLOOKUP(AU1361,[1]SUMMARY!$A$3:$B$7,2,FALSE),"")</f>
        <v/>
      </c>
      <c r="AS1361" s="31"/>
      <c r="AT1361" s="31" t="e">
        <f>VLOOKUP(AS1361,[1]OUTLET!$B:$C,2,0)</f>
        <v>#N/A</v>
      </c>
      <c r="AU1361" s="31"/>
      <c r="AV1361" s="4"/>
      <c r="AW1361" s="44"/>
      <c r="AX1361" s="44"/>
      <c r="AY1361" s="44"/>
      <c r="AZ1361" s="44"/>
      <c r="BA1361" s="44"/>
      <c r="BB1361" s="44"/>
      <c r="BC1361" s="44"/>
      <c r="BD1361" s="44"/>
      <c r="BE1361" s="44"/>
      <c r="BF1361" s="44"/>
      <c r="BG1361" s="44"/>
      <c r="BH1361" s="44"/>
      <c r="BI1361" s="44"/>
      <c r="BJ1361" s="44"/>
      <c r="BK1361" s="44"/>
      <c r="BL1361" s="44"/>
      <c r="BM1361" s="44"/>
      <c r="BN1361" s="44"/>
      <c r="BO1361" s="55"/>
      <c r="BP1361" s="40"/>
      <c r="BQ1361" s="4"/>
      <c r="BR1361" s="61"/>
      <c r="BS1361" s="4"/>
      <c r="BT1361" s="57"/>
      <c r="BU1361" s="62"/>
      <c r="BV1361" s="8"/>
      <c r="BW1361" s="58"/>
    </row>
    <row r="1362" spans="41:75" x14ac:dyDescent="0.35">
      <c r="AO1362" s="39">
        <v>1360</v>
      </c>
      <c r="AP1362" s="62"/>
      <c r="AQ1362" s="39"/>
      <c r="AR1362" s="42" t="str">
        <f>IFERROR(VLOOKUP(AU1362,[1]SUMMARY!$A$3:$B$7,2,FALSE),"")</f>
        <v/>
      </c>
      <c r="AS1362" s="31"/>
      <c r="AT1362" s="31" t="e">
        <f>VLOOKUP(AS1362,[1]OUTLET!$B:$C,2,0)</f>
        <v>#N/A</v>
      </c>
      <c r="AU1362" s="31"/>
      <c r="AV1362" s="4"/>
      <c r="AW1362" s="44"/>
      <c r="AX1362" s="44"/>
      <c r="AY1362" s="44"/>
      <c r="AZ1362" s="44"/>
      <c r="BA1362" s="44"/>
      <c r="BB1362" s="44"/>
      <c r="BC1362" s="44"/>
      <c r="BD1362" s="44"/>
      <c r="BE1362" s="44"/>
      <c r="BF1362" s="44"/>
      <c r="BG1362" s="44"/>
      <c r="BH1362" s="44"/>
      <c r="BI1362" s="44"/>
      <c r="BJ1362" s="44"/>
      <c r="BK1362" s="44"/>
      <c r="BL1362" s="44"/>
      <c r="BM1362" s="44"/>
      <c r="BN1362" s="44"/>
      <c r="BO1362" s="55"/>
      <c r="BP1362" s="40"/>
      <c r="BQ1362" s="4"/>
      <c r="BR1362" s="61"/>
      <c r="BS1362" s="4"/>
      <c r="BT1362" s="57"/>
      <c r="BU1362" s="62"/>
      <c r="BV1362" s="8"/>
      <c r="BW1362" s="58"/>
    </row>
    <row r="1363" spans="41:75" x14ac:dyDescent="0.35">
      <c r="AO1363" s="39">
        <v>1361</v>
      </c>
      <c r="AP1363" s="62"/>
      <c r="AQ1363" s="39"/>
      <c r="AR1363" s="42" t="str">
        <f>IFERROR(VLOOKUP(AU1363,[1]SUMMARY!$A$3:$B$7,2,FALSE),"")</f>
        <v/>
      </c>
      <c r="AS1363" s="31"/>
      <c r="AT1363" s="31" t="e">
        <f>VLOOKUP(AS1363,[1]OUTLET!$B:$C,2,0)</f>
        <v>#N/A</v>
      </c>
      <c r="AU1363" s="31"/>
      <c r="AV1363" s="4"/>
      <c r="AW1363" s="44"/>
      <c r="AX1363" s="44"/>
      <c r="AY1363" s="44"/>
      <c r="AZ1363" s="44"/>
      <c r="BA1363" s="44"/>
      <c r="BB1363" s="44"/>
      <c r="BC1363" s="44"/>
      <c r="BD1363" s="44"/>
      <c r="BE1363" s="44"/>
      <c r="BF1363" s="44"/>
      <c r="BG1363" s="44"/>
      <c r="BH1363" s="44"/>
      <c r="BI1363" s="44"/>
      <c r="BJ1363" s="44"/>
      <c r="BK1363" s="44"/>
      <c r="BL1363" s="44"/>
      <c r="BM1363" s="44"/>
      <c r="BN1363" s="44"/>
      <c r="BO1363" s="55"/>
      <c r="BP1363" s="40"/>
      <c r="BQ1363" s="4"/>
      <c r="BR1363" s="61"/>
      <c r="BS1363" s="4"/>
      <c r="BT1363" s="57"/>
      <c r="BU1363" s="62"/>
      <c r="BV1363" s="8"/>
      <c r="BW1363" s="58"/>
    </row>
    <row r="1364" spans="41:75" x14ac:dyDescent="0.35">
      <c r="AO1364" s="39">
        <v>1362</v>
      </c>
      <c r="AP1364" s="62"/>
      <c r="AQ1364" s="39"/>
      <c r="AR1364" s="42" t="str">
        <f>IFERROR(VLOOKUP(AU1364,[1]SUMMARY!$A$3:$B$7,2,FALSE),"")</f>
        <v/>
      </c>
      <c r="AS1364" s="31"/>
      <c r="AT1364" s="31" t="e">
        <f>VLOOKUP(AS1364,[1]OUTLET!$B:$C,2,0)</f>
        <v>#N/A</v>
      </c>
      <c r="AU1364" s="31"/>
      <c r="AV1364" s="4"/>
      <c r="AW1364" s="44"/>
      <c r="AX1364" s="44"/>
      <c r="AY1364" s="44"/>
      <c r="AZ1364" s="44"/>
      <c r="BA1364" s="44"/>
      <c r="BB1364" s="44"/>
      <c r="BC1364" s="44"/>
      <c r="BD1364" s="44"/>
      <c r="BE1364" s="44"/>
      <c r="BF1364" s="44"/>
      <c r="BG1364" s="44"/>
      <c r="BH1364" s="44"/>
      <c r="BI1364" s="44"/>
      <c r="BJ1364" s="44"/>
      <c r="BK1364" s="44"/>
      <c r="BL1364" s="44"/>
      <c r="BM1364" s="44"/>
      <c r="BN1364" s="44"/>
      <c r="BO1364" s="55"/>
      <c r="BP1364" s="40"/>
      <c r="BQ1364" s="4"/>
      <c r="BR1364" s="61"/>
      <c r="BS1364" s="4"/>
      <c r="BT1364" s="57"/>
      <c r="BU1364" s="62"/>
      <c r="BV1364" s="8"/>
      <c r="BW1364" s="58"/>
    </row>
    <row r="1365" spans="41:75" x14ac:dyDescent="0.35">
      <c r="AO1365" s="39">
        <v>1363</v>
      </c>
      <c r="AP1365" s="62"/>
      <c r="AQ1365" s="39"/>
      <c r="AR1365" s="42" t="str">
        <f>IFERROR(VLOOKUP(AU1365,[1]SUMMARY!$A$3:$B$7,2,FALSE),"")</f>
        <v/>
      </c>
      <c r="AS1365" s="31"/>
      <c r="AT1365" s="31" t="e">
        <f>VLOOKUP(AS1365,[1]OUTLET!$B:$C,2,0)</f>
        <v>#N/A</v>
      </c>
      <c r="AU1365" s="31"/>
      <c r="AV1365" s="4"/>
      <c r="AW1365" s="44"/>
      <c r="AX1365" s="44"/>
      <c r="AY1365" s="44"/>
      <c r="AZ1365" s="44"/>
      <c r="BA1365" s="44"/>
      <c r="BB1365" s="44"/>
      <c r="BC1365" s="44"/>
      <c r="BD1365" s="44"/>
      <c r="BE1365" s="44"/>
      <c r="BF1365" s="44"/>
      <c r="BG1365" s="44"/>
      <c r="BH1365" s="44"/>
      <c r="BI1365" s="44"/>
      <c r="BJ1365" s="44"/>
      <c r="BK1365" s="44"/>
      <c r="BL1365" s="44"/>
      <c r="BM1365" s="44"/>
      <c r="BN1365" s="44"/>
      <c r="BO1365" s="55"/>
      <c r="BP1365" s="40"/>
      <c r="BQ1365" s="4"/>
      <c r="BR1365" s="61"/>
      <c r="BS1365" s="4"/>
      <c r="BT1365" s="57"/>
      <c r="BU1365" s="62"/>
      <c r="BV1365" s="8"/>
      <c r="BW1365" s="58"/>
    </row>
    <row r="1366" spans="41:75" x14ac:dyDescent="0.35">
      <c r="AO1366" s="39">
        <v>1364</v>
      </c>
      <c r="AP1366" s="62"/>
      <c r="AQ1366" s="39"/>
      <c r="AR1366" s="42" t="str">
        <f>IFERROR(VLOOKUP(AU1366,[1]SUMMARY!$A$3:$B$7,2,FALSE),"")</f>
        <v/>
      </c>
      <c r="AS1366" s="31"/>
      <c r="AT1366" s="31" t="e">
        <f>VLOOKUP(AS1366,[1]OUTLET!$B:$C,2,0)</f>
        <v>#N/A</v>
      </c>
      <c r="AU1366" s="31"/>
      <c r="AV1366" s="4"/>
      <c r="AW1366" s="44"/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44"/>
      <c r="BJ1366" s="44"/>
      <c r="BK1366" s="44"/>
      <c r="BL1366" s="44"/>
      <c r="BM1366" s="44"/>
      <c r="BN1366" s="44"/>
      <c r="BO1366" s="55"/>
      <c r="BP1366" s="40"/>
      <c r="BQ1366" s="4"/>
      <c r="BR1366" s="61"/>
      <c r="BS1366" s="4"/>
      <c r="BT1366" s="57"/>
      <c r="BU1366" s="62"/>
      <c r="BV1366" s="8"/>
      <c r="BW1366" s="58"/>
    </row>
    <row r="1367" spans="41:75" x14ac:dyDescent="0.35">
      <c r="AO1367" s="39">
        <v>1365</v>
      </c>
      <c r="AP1367" s="62"/>
      <c r="AQ1367" s="39"/>
      <c r="AR1367" s="42" t="str">
        <f>IFERROR(VLOOKUP(AU1367,[1]SUMMARY!$A$3:$B$7,2,FALSE),"")</f>
        <v/>
      </c>
      <c r="AS1367" s="31"/>
      <c r="AT1367" s="31" t="e">
        <f>VLOOKUP(AS1367,[1]OUTLET!$B:$C,2,0)</f>
        <v>#N/A</v>
      </c>
      <c r="AU1367" s="31"/>
      <c r="AV1367" s="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44"/>
      <c r="BJ1367" s="44"/>
      <c r="BK1367" s="44"/>
      <c r="BL1367" s="44"/>
      <c r="BM1367" s="44"/>
      <c r="BN1367" s="44"/>
      <c r="BO1367" s="55"/>
      <c r="BP1367" s="40"/>
      <c r="BQ1367" s="4"/>
      <c r="BR1367" s="61"/>
      <c r="BS1367" s="4"/>
      <c r="BT1367" s="57"/>
      <c r="BU1367" s="62"/>
      <c r="BV1367" s="8"/>
      <c r="BW1367" s="58"/>
    </row>
    <row r="1368" spans="41:75" x14ac:dyDescent="0.35">
      <c r="AO1368" s="39">
        <v>1366</v>
      </c>
      <c r="AP1368" s="62"/>
      <c r="AQ1368" s="39"/>
      <c r="AR1368" s="42" t="str">
        <f>IFERROR(VLOOKUP(AU1368,[1]SUMMARY!$A$3:$B$7,2,FALSE),"")</f>
        <v/>
      </c>
      <c r="AS1368" s="31"/>
      <c r="AT1368" s="31" t="e">
        <f>VLOOKUP(AS1368,[1]OUTLET!$B:$C,2,0)</f>
        <v>#N/A</v>
      </c>
      <c r="AU1368" s="31"/>
      <c r="AV1368" s="4"/>
      <c r="AW1368" s="44"/>
      <c r="AX1368" s="44"/>
      <c r="AY1368" s="44"/>
      <c r="AZ1368" s="44"/>
      <c r="BA1368" s="44"/>
      <c r="BB1368" s="44"/>
      <c r="BC1368" s="44"/>
      <c r="BD1368" s="44"/>
      <c r="BE1368" s="44"/>
      <c r="BF1368" s="44"/>
      <c r="BG1368" s="44"/>
      <c r="BH1368" s="44"/>
      <c r="BI1368" s="44"/>
      <c r="BJ1368" s="44"/>
      <c r="BK1368" s="44"/>
      <c r="BL1368" s="44"/>
      <c r="BM1368" s="44"/>
      <c r="BN1368" s="44"/>
      <c r="BO1368" s="55"/>
      <c r="BP1368" s="40"/>
      <c r="BQ1368" s="4"/>
      <c r="BR1368" s="61"/>
      <c r="BS1368" s="4"/>
      <c r="BT1368" s="57"/>
      <c r="BU1368" s="62"/>
      <c r="BV1368" s="8"/>
      <c r="BW1368" s="58"/>
    </row>
    <row r="1369" spans="41:75" x14ac:dyDescent="0.35">
      <c r="AO1369" s="39">
        <v>1367</v>
      </c>
      <c r="AP1369" s="62"/>
      <c r="AQ1369" s="39"/>
      <c r="AR1369" s="42" t="str">
        <f>IFERROR(VLOOKUP(AU1369,[1]SUMMARY!$A$3:$B$7,2,FALSE),"")</f>
        <v/>
      </c>
      <c r="AS1369" s="31"/>
      <c r="AT1369" s="31" t="e">
        <f>VLOOKUP(AS1369,[1]OUTLET!$B:$C,2,0)</f>
        <v>#N/A</v>
      </c>
      <c r="AU1369" s="31"/>
      <c r="AV1369" s="4"/>
      <c r="AW1369" s="44"/>
      <c r="AX1369" s="44"/>
      <c r="AY1369" s="44"/>
      <c r="AZ1369" s="44"/>
      <c r="BA1369" s="44"/>
      <c r="BB1369" s="44"/>
      <c r="BC1369" s="44"/>
      <c r="BD1369" s="44"/>
      <c r="BE1369" s="44"/>
      <c r="BF1369" s="44"/>
      <c r="BG1369" s="44"/>
      <c r="BH1369" s="44"/>
      <c r="BI1369" s="44"/>
      <c r="BJ1369" s="44"/>
      <c r="BK1369" s="44"/>
      <c r="BL1369" s="44"/>
      <c r="BM1369" s="44"/>
      <c r="BN1369" s="44"/>
      <c r="BO1369" s="55"/>
      <c r="BP1369" s="40"/>
      <c r="BQ1369" s="4"/>
      <c r="BR1369" s="61"/>
      <c r="BS1369" s="4"/>
      <c r="BT1369" s="57"/>
      <c r="BU1369" s="62"/>
      <c r="BV1369" s="8"/>
      <c r="BW1369" s="58"/>
    </row>
    <row r="1370" spans="41:75" x14ac:dyDescent="0.35">
      <c r="AO1370" s="39">
        <v>1368</v>
      </c>
      <c r="AP1370" s="62"/>
      <c r="AQ1370" s="39"/>
      <c r="AR1370" s="42" t="str">
        <f>IFERROR(VLOOKUP(AU1370,[1]SUMMARY!$A$3:$B$7,2,FALSE),"")</f>
        <v/>
      </c>
      <c r="AS1370" s="31"/>
      <c r="AT1370" s="31" t="e">
        <f>VLOOKUP(AS1370,[1]OUTLET!$B:$C,2,0)</f>
        <v>#N/A</v>
      </c>
      <c r="AU1370" s="31"/>
      <c r="AV1370" s="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55"/>
      <c r="BP1370" s="40"/>
      <c r="BQ1370" s="4"/>
      <c r="BR1370" s="61"/>
      <c r="BS1370" s="4"/>
      <c r="BT1370" s="57"/>
      <c r="BU1370" s="62"/>
      <c r="BV1370" s="8"/>
      <c r="BW1370" s="58"/>
    </row>
    <row r="1371" spans="41:75" x14ac:dyDescent="0.35">
      <c r="AO1371" s="39">
        <v>1369</v>
      </c>
      <c r="AP1371" s="62"/>
      <c r="AQ1371" s="39"/>
      <c r="AR1371" s="42" t="str">
        <f>IFERROR(VLOOKUP(AU1371,[1]SUMMARY!$A$3:$B$7,2,FALSE),"")</f>
        <v/>
      </c>
      <c r="AS1371" s="31"/>
      <c r="AT1371" s="31" t="e">
        <f>VLOOKUP(AS1371,[1]OUTLET!$B:$C,2,0)</f>
        <v>#N/A</v>
      </c>
      <c r="AU1371" s="31"/>
      <c r="AV1371" s="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55"/>
      <c r="BP1371" s="40"/>
      <c r="BQ1371" s="4"/>
      <c r="BR1371" s="61"/>
      <c r="BS1371" s="4"/>
      <c r="BT1371" s="57"/>
      <c r="BU1371" s="62"/>
      <c r="BV1371" s="8"/>
      <c r="BW1371" s="58"/>
    </row>
    <row r="1372" spans="41:75" x14ac:dyDescent="0.35">
      <c r="AO1372" s="39">
        <v>1370</v>
      </c>
      <c r="AP1372" s="62"/>
      <c r="AQ1372" s="39"/>
      <c r="AR1372" s="42" t="str">
        <f>IFERROR(VLOOKUP(AU1372,[1]SUMMARY!$A$3:$B$7,2,FALSE),"")</f>
        <v/>
      </c>
      <c r="AS1372" s="31"/>
      <c r="AT1372" s="31" t="e">
        <f>VLOOKUP(AS1372,[1]OUTLET!$B:$C,2,0)</f>
        <v>#N/A</v>
      </c>
      <c r="AU1372" s="31"/>
      <c r="AV1372" s="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55"/>
      <c r="BP1372" s="40"/>
      <c r="BQ1372" s="4"/>
      <c r="BR1372" s="61"/>
      <c r="BS1372" s="4"/>
      <c r="BT1372" s="57"/>
      <c r="BU1372" s="62"/>
      <c r="BV1372" s="8"/>
      <c r="BW1372" s="58"/>
    </row>
    <row r="1373" spans="41:75" x14ac:dyDescent="0.35">
      <c r="AO1373" s="39">
        <v>1371</v>
      </c>
      <c r="AP1373" s="62"/>
      <c r="AQ1373" s="39"/>
      <c r="AR1373" s="42" t="str">
        <f>IFERROR(VLOOKUP(AU1373,[1]SUMMARY!$A$3:$B$7,2,FALSE),"")</f>
        <v/>
      </c>
      <c r="AS1373" s="31"/>
      <c r="AT1373" s="31" t="e">
        <f>VLOOKUP(AS1373,[1]OUTLET!$B:$C,2,0)</f>
        <v>#N/A</v>
      </c>
      <c r="AU1373" s="31"/>
      <c r="AV1373" s="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55"/>
      <c r="BP1373" s="40"/>
      <c r="BQ1373" s="4"/>
      <c r="BR1373" s="61"/>
      <c r="BS1373" s="4"/>
      <c r="BT1373" s="57"/>
      <c r="BU1373" s="62"/>
      <c r="BV1373" s="8"/>
      <c r="BW1373" s="58"/>
    </row>
    <row r="1374" spans="41:75" x14ac:dyDescent="0.35">
      <c r="AO1374" s="39">
        <v>1372</v>
      </c>
      <c r="AP1374" s="62"/>
      <c r="AQ1374" s="39"/>
      <c r="AR1374" s="42" t="str">
        <f>IFERROR(VLOOKUP(AU1374,[1]SUMMARY!$A$3:$B$7,2,FALSE),"")</f>
        <v/>
      </c>
      <c r="AS1374" s="31"/>
      <c r="AT1374" s="31" t="e">
        <f>VLOOKUP(AS1374,[1]OUTLET!$B:$C,2,0)</f>
        <v>#N/A</v>
      </c>
      <c r="AU1374" s="31"/>
      <c r="AV1374" s="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55"/>
      <c r="BP1374" s="40"/>
      <c r="BQ1374" s="4"/>
      <c r="BR1374" s="61"/>
      <c r="BS1374" s="4"/>
      <c r="BT1374" s="57"/>
      <c r="BU1374" s="62"/>
      <c r="BV1374" s="8"/>
      <c r="BW1374" s="58"/>
    </row>
    <row r="1375" spans="41:75" x14ac:dyDescent="0.35">
      <c r="AO1375" s="39">
        <v>1373</v>
      </c>
      <c r="AP1375" s="62"/>
      <c r="AQ1375" s="39"/>
      <c r="AR1375" s="42" t="str">
        <f>IFERROR(VLOOKUP(AU1375,[1]SUMMARY!$A$3:$B$7,2,FALSE),"")</f>
        <v/>
      </c>
      <c r="AS1375" s="31"/>
      <c r="AT1375" s="31" t="e">
        <f>VLOOKUP(AS1375,[1]OUTLET!$B:$C,2,0)</f>
        <v>#N/A</v>
      </c>
      <c r="AU1375" s="31"/>
      <c r="AV1375" s="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55"/>
      <c r="BP1375" s="40"/>
      <c r="BQ1375" s="4"/>
      <c r="BR1375" s="61"/>
      <c r="BS1375" s="4"/>
      <c r="BT1375" s="57"/>
      <c r="BU1375" s="62"/>
      <c r="BV1375" s="8"/>
      <c r="BW1375" s="58"/>
    </row>
    <row r="1376" spans="41:75" x14ac:dyDescent="0.35">
      <c r="AO1376" s="39">
        <v>1374</v>
      </c>
      <c r="AP1376" s="62"/>
      <c r="AQ1376" s="39"/>
      <c r="AR1376" s="42" t="str">
        <f>IFERROR(VLOOKUP(AU1376,[1]SUMMARY!$A$3:$B$7,2,FALSE),"")</f>
        <v/>
      </c>
      <c r="AS1376" s="31"/>
      <c r="AT1376" s="31" t="e">
        <f>VLOOKUP(AS1376,[1]OUTLET!$B:$C,2,0)</f>
        <v>#N/A</v>
      </c>
      <c r="AU1376" s="31"/>
      <c r="AV1376" s="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55"/>
      <c r="BP1376" s="40"/>
      <c r="BQ1376" s="4"/>
      <c r="BR1376" s="61"/>
      <c r="BS1376" s="4"/>
      <c r="BT1376" s="57"/>
      <c r="BU1376" s="62"/>
      <c r="BV1376" s="8"/>
      <c r="BW1376" s="58"/>
    </row>
    <row r="1377" spans="41:75" x14ac:dyDescent="0.35">
      <c r="AO1377" s="39">
        <v>1375</v>
      </c>
      <c r="AP1377" s="62"/>
      <c r="AQ1377" s="39"/>
      <c r="AR1377" s="42" t="str">
        <f>IFERROR(VLOOKUP(AU1377,[1]SUMMARY!$A$3:$B$7,2,FALSE),"")</f>
        <v/>
      </c>
      <c r="AS1377" s="31"/>
      <c r="AT1377" s="31" t="e">
        <f>VLOOKUP(AS1377,[1]OUTLET!$B:$C,2,0)</f>
        <v>#N/A</v>
      </c>
      <c r="AU1377" s="31"/>
      <c r="AV1377" s="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55"/>
      <c r="BP1377" s="40"/>
      <c r="BQ1377" s="4"/>
      <c r="BR1377" s="61"/>
      <c r="BS1377" s="4"/>
      <c r="BT1377" s="57"/>
      <c r="BU1377" s="62"/>
      <c r="BV1377" s="8"/>
      <c r="BW1377" s="58"/>
    </row>
    <row r="1378" spans="41:75" x14ac:dyDescent="0.35">
      <c r="AO1378" s="39">
        <v>1376</v>
      </c>
      <c r="AP1378" s="62"/>
      <c r="AQ1378" s="39"/>
      <c r="AR1378" s="42" t="str">
        <f>IFERROR(VLOOKUP(AU1378,[1]SUMMARY!$A$3:$B$7,2,FALSE),"")</f>
        <v/>
      </c>
      <c r="AS1378" s="31"/>
      <c r="AT1378" s="31" t="e">
        <f>VLOOKUP(AS1378,[1]OUTLET!$B:$C,2,0)</f>
        <v>#N/A</v>
      </c>
      <c r="AU1378" s="31"/>
      <c r="AV1378" s="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55"/>
      <c r="BP1378" s="40"/>
      <c r="BQ1378" s="4"/>
      <c r="BR1378" s="61"/>
      <c r="BS1378" s="4"/>
      <c r="BT1378" s="57"/>
      <c r="BU1378" s="62"/>
      <c r="BV1378" s="8"/>
      <c r="BW1378" s="58"/>
    </row>
    <row r="1379" spans="41:75" x14ac:dyDescent="0.35">
      <c r="AO1379" s="39">
        <v>1377</v>
      </c>
      <c r="AP1379" s="62"/>
      <c r="AQ1379" s="39"/>
      <c r="AR1379" s="42" t="str">
        <f>IFERROR(VLOOKUP(AU1379,[1]SUMMARY!$A$3:$B$7,2,FALSE),"")</f>
        <v/>
      </c>
      <c r="AS1379" s="31"/>
      <c r="AT1379" s="31" t="e">
        <f>VLOOKUP(AS1379,[1]OUTLET!$B:$C,2,0)</f>
        <v>#N/A</v>
      </c>
      <c r="AU1379" s="31"/>
      <c r="AV1379" s="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55"/>
      <c r="BP1379" s="40"/>
      <c r="BQ1379" s="4"/>
      <c r="BR1379" s="61"/>
      <c r="BS1379" s="4"/>
      <c r="BT1379" s="57"/>
      <c r="BU1379" s="62"/>
      <c r="BV1379" s="8"/>
      <c r="BW1379" s="58"/>
    </row>
    <row r="1380" spans="41:75" x14ac:dyDescent="0.35">
      <c r="AO1380" s="39">
        <v>1378</v>
      </c>
      <c r="AP1380" s="62"/>
      <c r="AQ1380" s="39"/>
      <c r="AR1380" s="42" t="str">
        <f>IFERROR(VLOOKUP(AU1380,[1]SUMMARY!$A$3:$B$7,2,FALSE),"")</f>
        <v/>
      </c>
      <c r="AS1380" s="31"/>
      <c r="AT1380" s="31" t="e">
        <f>VLOOKUP(AS1380,[1]OUTLET!$B:$C,2,0)</f>
        <v>#N/A</v>
      </c>
      <c r="AU1380" s="31"/>
      <c r="AV1380" s="4"/>
      <c r="AW1380" s="44"/>
      <c r="AX1380" s="44"/>
      <c r="AY1380" s="44"/>
      <c r="AZ1380" s="44"/>
      <c r="BA1380" s="44"/>
      <c r="BB1380" s="44"/>
      <c r="BC1380" s="44"/>
      <c r="BD1380" s="44"/>
      <c r="BE1380" s="44"/>
      <c r="BF1380" s="44"/>
      <c r="BG1380" s="44"/>
      <c r="BH1380" s="44"/>
      <c r="BI1380" s="44"/>
      <c r="BJ1380" s="44"/>
      <c r="BK1380" s="44"/>
      <c r="BL1380" s="44"/>
      <c r="BM1380" s="44"/>
      <c r="BN1380" s="44"/>
      <c r="BO1380" s="55"/>
      <c r="BP1380" s="40"/>
      <c r="BQ1380" s="4"/>
      <c r="BR1380" s="61"/>
      <c r="BS1380" s="4"/>
      <c r="BT1380" s="57"/>
      <c r="BU1380" s="62"/>
      <c r="BV1380" s="8"/>
      <c r="BW1380" s="58"/>
    </row>
    <row r="1381" spans="41:75" x14ac:dyDescent="0.35">
      <c r="AO1381" s="39">
        <v>1379</v>
      </c>
      <c r="AP1381" s="62"/>
      <c r="AQ1381" s="39"/>
      <c r="AR1381" s="42" t="str">
        <f>IFERROR(VLOOKUP(AU1381,[1]SUMMARY!$A$3:$B$7,2,FALSE),"")</f>
        <v/>
      </c>
      <c r="AS1381" s="31"/>
      <c r="AT1381" s="31" t="e">
        <f>VLOOKUP(AS1381,[1]OUTLET!$B:$C,2,0)</f>
        <v>#N/A</v>
      </c>
      <c r="AU1381" s="31"/>
      <c r="AV1381" s="4"/>
      <c r="AW1381" s="44"/>
      <c r="AX1381" s="44"/>
      <c r="AY1381" s="44"/>
      <c r="AZ1381" s="44"/>
      <c r="BA1381" s="44"/>
      <c r="BB1381" s="44"/>
      <c r="BC1381" s="44"/>
      <c r="BD1381" s="44"/>
      <c r="BE1381" s="44"/>
      <c r="BF1381" s="44"/>
      <c r="BG1381" s="44"/>
      <c r="BH1381" s="44"/>
      <c r="BI1381" s="44"/>
      <c r="BJ1381" s="44"/>
      <c r="BK1381" s="44"/>
      <c r="BL1381" s="44"/>
      <c r="BM1381" s="44"/>
      <c r="BN1381" s="44"/>
      <c r="BO1381" s="55"/>
      <c r="BP1381" s="40"/>
      <c r="BQ1381" s="4"/>
      <c r="BR1381" s="61"/>
      <c r="BS1381" s="4"/>
      <c r="BT1381" s="57"/>
      <c r="BU1381" s="62"/>
      <c r="BV1381" s="8"/>
      <c r="BW1381" s="58"/>
    </row>
    <row r="1382" spans="41:75" x14ac:dyDescent="0.35">
      <c r="AO1382" s="39">
        <v>1380</v>
      </c>
      <c r="AP1382" s="62"/>
      <c r="AQ1382" s="39"/>
      <c r="AR1382" s="42" t="str">
        <f>IFERROR(VLOOKUP(AU1382,[1]SUMMARY!$A$3:$B$7,2,FALSE),"")</f>
        <v/>
      </c>
      <c r="AS1382" s="31"/>
      <c r="AT1382" s="31" t="e">
        <f>VLOOKUP(AS1382,[1]OUTLET!$B:$C,2,0)</f>
        <v>#N/A</v>
      </c>
      <c r="AU1382" s="31"/>
      <c r="AV1382" s="4"/>
      <c r="AW1382" s="44"/>
      <c r="AX1382" s="44"/>
      <c r="AY1382" s="44"/>
      <c r="AZ1382" s="44"/>
      <c r="BA1382" s="44"/>
      <c r="BB1382" s="44"/>
      <c r="BC1382" s="44"/>
      <c r="BD1382" s="44"/>
      <c r="BE1382" s="44"/>
      <c r="BF1382" s="44"/>
      <c r="BG1382" s="44"/>
      <c r="BH1382" s="44"/>
      <c r="BI1382" s="44"/>
      <c r="BJ1382" s="44"/>
      <c r="BK1382" s="44"/>
      <c r="BL1382" s="44"/>
      <c r="BM1382" s="44"/>
      <c r="BN1382" s="44"/>
      <c r="BO1382" s="55"/>
      <c r="BP1382" s="40"/>
      <c r="BQ1382" s="4"/>
      <c r="BR1382" s="61"/>
      <c r="BS1382" s="4"/>
      <c r="BT1382" s="57"/>
      <c r="BU1382" s="62"/>
      <c r="BV1382" s="8"/>
      <c r="BW1382" s="58"/>
    </row>
    <row r="1383" spans="41:75" x14ac:dyDescent="0.35">
      <c r="AO1383" s="39">
        <v>1381</v>
      </c>
      <c r="AP1383" s="62"/>
      <c r="AQ1383" s="39"/>
      <c r="AR1383" s="42" t="str">
        <f>IFERROR(VLOOKUP(AU1383,[1]SUMMARY!$A$3:$B$7,2,FALSE),"")</f>
        <v/>
      </c>
      <c r="AS1383" s="31"/>
      <c r="AT1383" s="31" t="e">
        <f>VLOOKUP(AS1383,[1]OUTLET!$B:$C,2,0)</f>
        <v>#N/A</v>
      </c>
      <c r="AU1383" s="31"/>
      <c r="AV1383" s="4"/>
      <c r="AW1383" s="44"/>
      <c r="AX1383" s="44"/>
      <c r="AY1383" s="44"/>
      <c r="AZ1383" s="44"/>
      <c r="BA1383" s="44"/>
      <c r="BB1383" s="44"/>
      <c r="BC1383" s="44"/>
      <c r="BD1383" s="44"/>
      <c r="BE1383" s="44"/>
      <c r="BF1383" s="44"/>
      <c r="BG1383" s="44"/>
      <c r="BH1383" s="44"/>
      <c r="BI1383" s="44"/>
      <c r="BJ1383" s="44"/>
      <c r="BK1383" s="44"/>
      <c r="BL1383" s="44"/>
      <c r="BM1383" s="44"/>
      <c r="BN1383" s="44"/>
      <c r="BO1383" s="55"/>
      <c r="BP1383" s="40"/>
      <c r="BQ1383" s="4"/>
      <c r="BR1383" s="61"/>
      <c r="BS1383" s="4"/>
      <c r="BT1383" s="57"/>
      <c r="BU1383" s="62"/>
      <c r="BV1383" s="8"/>
      <c r="BW1383" s="58"/>
    </row>
    <row r="1384" spans="41:75" x14ac:dyDescent="0.35">
      <c r="AO1384" s="39">
        <v>1382</v>
      </c>
      <c r="AP1384" s="62"/>
      <c r="AQ1384" s="39"/>
      <c r="AR1384" s="42" t="str">
        <f>IFERROR(VLOOKUP(AU1384,[1]SUMMARY!$A$3:$B$7,2,FALSE),"")</f>
        <v/>
      </c>
      <c r="AS1384" s="31"/>
      <c r="AT1384" s="31" t="e">
        <f>VLOOKUP(AS1384,[1]OUTLET!$B:$C,2,0)</f>
        <v>#N/A</v>
      </c>
      <c r="AU1384" s="31"/>
      <c r="AV1384" s="4"/>
      <c r="AW1384" s="44"/>
      <c r="AX1384" s="44"/>
      <c r="AY1384" s="44"/>
      <c r="AZ1384" s="44"/>
      <c r="BA1384" s="44"/>
      <c r="BB1384" s="44"/>
      <c r="BC1384" s="44"/>
      <c r="BD1384" s="44"/>
      <c r="BE1384" s="44"/>
      <c r="BF1384" s="44"/>
      <c r="BG1384" s="44"/>
      <c r="BH1384" s="44"/>
      <c r="BI1384" s="44"/>
      <c r="BJ1384" s="44"/>
      <c r="BK1384" s="44"/>
      <c r="BL1384" s="44"/>
      <c r="BM1384" s="44"/>
      <c r="BN1384" s="44"/>
      <c r="BO1384" s="55"/>
      <c r="BP1384" s="40"/>
      <c r="BQ1384" s="4"/>
      <c r="BR1384" s="61"/>
      <c r="BS1384" s="4"/>
      <c r="BT1384" s="57"/>
      <c r="BU1384" s="62"/>
      <c r="BV1384" s="8"/>
      <c r="BW1384" s="58"/>
    </row>
    <row r="1385" spans="41:75" x14ac:dyDescent="0.35">
      <c r="AO1385" s="39">
        <v>1383</v>
      </c>
      <c r="AP1385" s="62"/>
      <c r="AQ1385" s="39"/>
      <c r="AR1385" s="42" t="str">
        <f>IFERROR(VLOOKUP(AU1385,[1]SUMMARY!$A$3:$B$7,2,FALSE),"")</f>
        <v/>
      </c>
      <c r="AS1385" s="31"/>
      <c r="AT1385" s="31" t="e">
        <f>VLOOKUP(AS1385,[1]OUTLET!$B:$C,2,0)</f>
        <v>#N/A</v>
      </c>
      <c r="AU1385" s="31"/>
      <c r="AV1385" s="4"/>
      <c r="AW1385" s="44"/>
      <c r="AX1385" s="44"/>
      <c r="AY1385" s="44"/>
      <c r="AZ1385" s="44"/>
      <c r="BA1385" s="44"/>
      <c r="BB1385" s="44"/>
      <c r="BC1385" s="44"/>
      <c r="BD1385" s="44"/>
      <c r="BE1385" s="44"/>
      <c r="BF1385" s="44"/>
      <c r="BG1385" s="44"/>
      <c r="BH1385" s="44"/>
      <c r="BI1385" s="44"/>
      <c r="BJ1385" s="44"/>
      <c r="BK1385" s="44"/>
      <c r="BL1385" s="44"/>
      <c r="BM1385" s="44"/>
      <c r="BN1385" s="44"/>
      <c r="BO1385" s="55"/>
      <c r="BP1385" s="40"/>
      <c r="BQ1385" s="4"/>
      <c r="BR1385" s="61"/>
      <c r="BS1385" s="4"/>
      <c r="BT1385" s="57"/>
      <c r="BU1385" s="62"/>
      <c r="BV1385" s="8"/>
      <c r="BW1385" s="58"/>
    </row>
    <row r="1386" spans="41:75" x14ac:dyDescent="0.35">
      <c r="AO1386" s="39">
        <v>1384</v>
      </c>
      <c r="AP1386" s="62"/>
      <c r="AQ1386" s="39"/>
      <c r="AR1386" s="42" t="str">
        <f>IFERROR(VLOOKUP(AU1386,[1]SUMMARY!$A$3:$B$7,2,FALSE),"")</f>
        <v/>
      </c>
      <c r="AS1386" s="31"/>
      <c r="AT1386" s="31" t="e">
        <f>VLOOKUP(AS1386,[1]OUTLET!$B:$C,2,0)</f>
        <v>#N/A</v>
      </c>
      <c r="AU1386" s="31"/>
      <c r="AV1386" s="4"/>
      <c r="AW1386" s="44"/>
      <c r="AX1386" s="44"/>
      <c r="AY1386" s="44"/>
      <c r="AZ1386" s="44"/>
      <c r="BA1386" s="44"/>
      <c r="BB1386" s="44"/>
      <c r="BC1386" s="44"/>
      <c r="BD1386" s="44"/>
      <c r="BE1386" s="44"/>
      <c r="BF1386" s="44"/>
      <c r="BG1386" s="44"/>
      <c r="BH1386" s="44"/>
      <c r="BI1386" s="44"/>
      <c r="BJ1386" s="44"/>
      <c r="BK1386" s="44"/>
      <c r="BL1386" s="44"/>
      <c r="BM1386" s="44"/>
      <c r="BN1386" s="44"/>
      <c r="BO1386" s="55"/>
      <c r="BP1386" s="40"/>
      <c r="BQ1386" s="4"/>
      <c r="BR1386" s="61"/>
      <c r="BS1386" s="4"/>
      <c r="BT1386" s="57"/>
      <c r="BU1386" s="62"/>
      <c r="BV1386" s="8"/>
      <c r="BW1386" s="58"/>
    </row>
    <row r="1387" spans="41:75" x14ac:dyDescent="0.35">
      <c r="AO1387" s="39">
        <v>1385</v>
      </c>
      <c r="AP1387" s="62"/>
      <c r="AQ1387" s="39"/>
      <c r="AR1387" s="42" t="str">
        <f>IFERROR(VLOOKUP(AU1387,[1]SUMMARY!$A$3:$B$7,2,FALSE),"")</f>
        <v/>
      </c>
      <c r="AS1387" s="31"/>
      <c r="AT1387" s="31" t="e">
        <f>VLOOKUP(AS1387,[1]OUTLET!$B:$C,2,0)</f>
        <v>#N/A</v>
      </c>
      <c r="AU1387" s="31"/>
      <c r="AV1387" s="4"/>
      <c r="AW1387" s="44"/>
      <c r="AX1387" s="44"/>
      <c r="AY1387" s="44"/>
      <c r="AZ1387" s="44"/>
      <c r="BA1387" s="44"/>
      <c r="BB1387" s="44"/>
      <c r="BC1387" s="44"/>
      <c r="BD1387" s="44"/>
      <c r="BE1387" s="44"/>
      <c r="BF1387" s="44"/>
      <c r="BG1387" s="44"/>
      <c r="BH1387" s="44"/>
      <c r="BI1387" s="44"/>
      <c r="BJ1387" s="44"/>
      <c r="BK1387" s="44"/>
      <c r="BL1387" s="44"/>
      <c r="BM1387" s="44"/>
      <c r="BN1387" s="44"/>
      <c r="BO1387" s="55"/>
      <c r="BP1387" s="40"/>
      <c r="BQ1387" s="4"/>
      <c r="BR1387" s="61"/>
      <c r="BS1387" s="4"/>
      <c r="BT1387" s="57"/>
      <c r="BU1387" s="62"/>
      <c r="BV1387" s="8"/>
      <c r="BW1387" s="58"/>
    </row>
    <row r="1388" spans="41:75" x14ac:dyDescent="0.35">
      <c r="AO1388" s="39">
        <v>1386</v>
      </c>
      <c r="AP1388" s="62"/>
      <c r="AQ1388" s="39"/>
      <c r="AR1388" s="42" t="str">
        <f>IFERROR(VLOOKUP(AU1388,[1]SUMMARY!$A$3:$B$7,2,FALSE),"")</f>
        <v/>
      </c>
      <c r="AS1388" s="31"/>
      <c r="AT1388" s="31" t="e">
        <f>VLOOKUP(AS1388,[1]OUTLET!$B:$C,2,0)</f>
        <v>#N/A</v>
      </c>
      <c r="AU1388" s="31"/>
      <c r="AV1388" s="4"/>
      <c r="AW1388" s="44"/>
      <c r="AX1388" s="44"/>
      <c r="AY1388" s="44"/>
      <c r="AZ1388" s="44"/>
      <c r="BA1388" s="44"/>
      <c r="BB1388" s="44"/>
      <c r="BC1388" s="44"/>
      <c r="BD1388" s="44"/>
      <c r="BE1388" s="44"/>
      <c r="BF1388" s="44"/>
      <c r="BG1388" s="44"/>
      <c r="BH1388" s="44"/>
      <c r="BI1388" s="44"/>
      <c r="BJ1388" s="44"/>
      <c r="BK1388" s="44"/>
      <c r="BL1388" s="44"/>
      <c r="BM1388" s="44"/>
      <c r="BN1388" s="44"/>
      <c r="BO1388" s="55"/>
      <c r="BP1388" s="40"/>
      <c r="BQ1388" s="4"/>
      <c r="BR1388" s="61"/>
      <c r="BS1388" s="4"/>
      <c r="BT1388" s="57"/>
      <c r="BU1388" s="62"/>
      <c r="BV1388" s="8"/>
      <c r="BW1388" s="58"/>
    </row>
    <row r="1389" spans="41:75" x14ac:dyDescent="0.35">
      <c r="AO1389" s="39">
        <v>1387</v>
      </c>
      <c r="AP1389" s="62"/>
      <c r="AQ1389" s="39"/>
      <c r="AR1389" s="42" t="str">
        <f>IFERROR(VLOOKUP(AU1389,[1]SUMMARY!$A$3:$B$7,2,FALSE),"")</f>
        <v/>
      </c>
      <c r="AS1389" s="31"/>
      <c r="AT1389" s="31" t="e">
        <f>VLOOKUP(AS1389,[1]OUTLET!$B:$C,2,0)</f>
        <v>#N/A</v>
      </c>
      <c r="AU1389" s="31"/>
      <c r="AV1389" s="4"/>
      <c r="AW1389" s="44"/>
      <c r="AX1389" s="44"/>
      <c r="AY1389" s="44"/>
      <c r="AZ1389" s="44"/>
      <c r="BA1389" s="44"/>
      <c r="BB1389" s="44"/>
      <c r="BC1389" s="44"/>
      <c r="BD1389" s="44"/>
      <c r="BE1389" s="44"/>
      <c r="BF1389" s="44"/>
      <c r="BG1389" s="44"/>
      <c r="BH1389" s="44"/>
      <c r="BI1389" s="44"/>
      <c r="BJ1389" s="44"/>
      <c r="BK1389" s="44"/>
      <c r="BL1389" s="44"/>
      <c r="BM1389" s="44"/>
      <c r="BN1389" s="44"/>
      <c r="BO1389" s="55"/>
      <c r="BP1389" s="40"/>
      <c r="BQ1389" s="4"/>
      <c r="BR1389" s="61"/>
      <c r="BS1389" s="4"/>
      <c r="BT1389" s="57"/>
      <c r="BU1389" s="62"/>
      <c r="BV1389" s="8"/>
      <c r="BW1389" s="58"/>
    </row>
    <row r="1390" spans="41:75" x14ac:dyDescent="0.35">
      <c r="AO1390" s="39">
        <v>1388</v>
      </c>
      <c r="AP1390" s="62"/>
      <c r="AQ1390" s="39"/>
      <c r="AR1390" s="42" t="str">
        <f>IFERROR(VLOOKUP(AU1390,[1]SUMMARY!$A$3:$B$7,2,FALSE),"")</f>
        <v/>
      </c>
      <c r="AS1390" s="31"/>
      <c r="AT1390" s="31" t="e">
        <f>VLOOKUP(AS1390,[1]OUTLET!$B:$C,2,0)</f>
        <v>#N/A</v>
      </c>
      <c r="AU1390" s="31"/>
      <c r="AV1390" s="4"/>
      <c r="AW1390" s="44"/>
      <c r="AX1390" s="44"/>
      <c r="AY1390" s="44"/>
      <c r="AZ1390" s="44"/>
      <c r="BA1390" s="44"/>
      <c r="BB1390" s="44"/>
      <c r="BC1390" s="44"/>
      <c r="BD1390" s="44"/>
      <c r="BE1390" s="44"/>
      <c r="BF1390" s="44"/>
      <c r="BG1390" s="44"/>
      <c r="BH1390" s="44"/>
      <c r="BI1390" s="44"/>
      <c r="BJ1390" s="44"/>
      <c r="BK1390" s="44"/>
      <c r="BL1390" s="44"/>
      <c r="BM1390" s="44"/>
      <c r="BN1390" s="44"/>
      <c r="BO1390" s="55"/>
      <c r="BP1390" s="40"/>
      <c r="BQ1390" s="4"/>
      <c r="BR1390" s="61"/>
      <c r="BS1390" s="4"/>
      <c r="BT1390" s="57"/>
      <c r="BU1390" s="62"/>
      <c r="BV1390" s="8"/>
      <c r="BW1390" s="58"/>
    </row>
    <row r="1391" spans="41:75" x14ac:dyDescent="0.35">
      <c r="AO1391" s="39">
        <v>1389</v>
      </c>
      <c r="AP1391" s="62"/>
      <c r="AQ1391" s="39"/>
      <c r="AR1391" s="42" t="str">
        <f>IFERROR(VLOOKUP(AU1391,[1]SUMMARY!$A$3:$B$7,2,FALSE),"")</f>
        <v/>
      </c>
      <c r="AS1391" s="31"/>
      <c r="AT1391" s="31" t="e">
        <f>VLOOKUP(AS1391,[1]OUTLET!$B:$C,2,0)</f>
        <v>#N/A</v>
      </c>
      <c r="AU1391" s="31"/>
      <c r="AV1391" s="4"/>
      <c r="AW1391" s="44"/>
      <c r="AX1391" s="44"/>
      <c r="AY1391" s="44"/>
      <c r="AZ1391" s="44"/>
      <c r="BA1391" s="44"/>
      <c r="BB1391" s="44"/>
      <c r="BC1391" s="44"/>
      <c r="BD1391" s="44"/>
      <c r="BE1391" s="44"/>
      <c r="BF1391" s="44"/>
      <c r="BG1391" s="44"/>
      <c r="BH1391" s="44"/>
      <c r="BI1391" s="44"/>
      <c r="BJ1391" s="44"/>
      <c r="BK1391" s="44"/>
      <c r="BL1391" s="44"/>
      <c r="BM1391" s="44"/>
      <c r="BN1391" s="44"/>
      <c r="BO1391" s="55"/>
      <c r="BP1391" s="40"/>
      <c r="BQ1391" s="4"/>
      <c r="BR1391" s="61"/>
      <c r="BS1391" s="4"/>
      <c r="BT1391" s="57"/>
      <c r="BU1391" s="62"/>
      <c r="BV1391" s="8"/>
      <c r="BW1391" s="58"/>
    </row>
    <row r="1392" spans="41:75" x14ac:dyDescent="0.35">
      <c r="AO1392" s="39">
        <v>1390</v>
      </c>
      <c r="AP1392" s="62"/>
      <c r="AQ1392" s="39"/>
      <c r="AR1392" s="42" t="str">
        <f>IFERROR(VLOOKUP(AU1392,[1]SUMMARY!$A$3:$B$7,2,FALSE),"")</f>
        <v/>
      </c>
      <c r="AS1392" s="31"/>
      <c r="AT1392" s="31" t="e">
        <f>VLOOKUP(AS1392,[1]OUTLET!$B:$C,2,0)</f>
        <v>#N/A</v>
      </c>
      <c r="AU1392" s="31"/>
      <c r="AV1392" s="4"/>
      <c r="AW1392" s="44"/>
      <c r="AX1392" s="44"/>
      <c r="AY1392" s="44"/>
      <c r="AZ1392" s="44"/>
      <c r="BA1392" s="44"/>
      <c r="BB1392" s="44"/>
      <c r="BC1392" s="44"/>
      <c r="BD1392" s="44"/>
      <c r="BE1392" s="44"/>
      <c r="BF1392" s="44"/>
      <c r="BG1392" s="44"/>
      <c r="BH1392" s="44"/>
      <c r="BI1392" s="44"/>
      <c r="BJ1392" s="44"/>
      <c r="BK1392" s="44"/>
      <c r="BL1392" s="44"/>
      <c r="BM1392" s="44"/>
      <c r="BN1392" s="44"/>
      <c r="BO1392" s="55"/>
      <c r="BP1392" s="40"/>
      <c r="BQ1392" s="4"/>
      <c r="BR1392" s="61"/>
      <c r="BS1392" s="4"/>
      <c r="BT1392" s="57"/>
      <c r="BU1392" s="62"/>
      <c r="BV1392" s="8"/>
      <c r="BW1392" s="58"/>
    </row>
    <row r="1393" spans="41:75" x14ac:dyDescent="0.35">
      <c r="AO1393" s="39">
        <v>1391</v>
      </c>
      <c r="AP1393" s="62"/>
      <c r="AQ1393" s="39"/>
      <c r="AR1393" s="42" t="str">
        <f>IFERROR(VLOOKUP(AU1393,[1]SUMMARY!$A$3:$B$7,2,FALSE),"")</f>
        <v/>
      </c>
      <c r="AS1393" s="31"/>
      <c r="AT1393" s="31" t="e">
        <f>VLOOKUP(AS1393,[1]OUTLET!$B:$C,2,0)</f>
        <v>#N/A</v>
      </c>
      <c r="AU1393" s="31"/>
      <c r="AV1393" s="4"/>
      <c r="AW1393" s="44"/>
      <c r="AX1393" s="44"/>
      <c r="AY1393" s="44"/>
      <c r="AZ1393" s="44"/>
      <c r="BA1393" s="44"/>
      <c r="BB1393" s="44"/>
      <c r="BC1393" s="44"/>
      <c r="BD1393" s="44"/>
      <c r="BE1393" s="44"/>
      <c r="BF1393" s="44"/>
      <c r="BG1393" s="44"/>
      <c r="BH1393" s="44"/>
      <c r="BI1393" s="44"/>
      <c r="BJ1393" s="44"/>
      <c r="BK1393" s="44"/>
      <c r="BL1393" s="44"/>
      <c r="BM1393" s="44"/>
      <c r="BN1393" s="44"/>
      <c r="BO1393" s="55"/>
      <c r="BP1393" s="40"/>
      <c r="BQ1393" s="4"/>
      <c r="BR1393" s="61"/>
      <c r="BS1393" s="4"/>
      <c r="BT1393" s="57"/>
      <c r="BU1393" s="62"/>
      <c r="BV1393" s="8"/>
      <c r="BW1393" s="58"/>
    </row>
    <row r="1394" spans="41:75" x14ac:dyDescent="0.35">
      <c r="AO1394" s="39">
        <v>1392</v>
      </c>
      <c r="AP1394" s="62"/>
      <c r="AQ1394" s="39"/>
      <c r="AR1394" s="42" t="str">
        <f>IFERROR(VLOOKUP(AU1394,[1]SUMMARY!$A$3:$B$7,2,FALSE),"")</f>
        <v/>
      </c>
      <c r="AS1394" s="31"/>
      <c r="AT1394" s="31" t="e">
        <f>VLOOKUP(AS1394,[1]OUTLET!$B:$C,2,0)</f>
        <v>#N/A</v>
      </c>
      <c r="AU1394" s="31"/>
      <c r="AV1394" s="4"/>
      <c r="AW1394" s="44"/>
      <c r="AX1394" s="44"/>
      <c r="AY1394" s="44"/>
      <c r="AZ1394" s="44"/>
      <c r="BA1394" s="44"/>
      <c r="BB1394" s="44"/>
      <c r="BC1394" s="44"/>
      <c r="BD1394" s="44"/>
      <c r="BE1394" s="44"/>
      <c r="BF1394" s="44"/>
      <c r="BG1394" s="44"/>
      <c r="BH1394" s="44"/>
      <c r="BI1394" s="44"/>
      <c r="BJ1394" s="44"/>
      <c r="BK1394" s="44"/>
      <c r="BL1394" s="44"/>
      <c r="BM1394" s="44"/>
      <c r="BN1394" s="44"/>
      <c r="BO1394" s="55"/>
      <c r="BP1394" s="40"/>
      <c r="BQ1394" s="4"/>
      <c r="BR1394" s="61"/>
      <c r="BS1394" s="4"/>
      <c r="BT1394" s="57"/>
      <c r="BU1394" s="62"/>
      <c r="BV1394" s="8"/>
      <c r="BW1394" s="58"/>
    </row>
    <row r="1395" spans="41:75" x14ac:dyDescent="0.35">
      <c r="AO1395" s="39">
        <v>1393</v>
      </c>
      <c r="AP1395" s="62"/>
      <c r="AQ1395" s="39"/>
      <c r="AR1395" s="42" t="str">
        <f>IFERROR(VLOOKUP(AU1395,[1]SUMMARY!$A$3:$B$7,2,FALSE),"")</f>
        <v/>
      </c>
      <c r="AS1395" s="31"/>
      <c r="AT1395" s="31" t="e">
        <f>VLOOKUP(AS1395,[1]OUTLET!$B:$C,2,0)</f>
        <v>#N/A</v>
      </c>
      <c r="AU1395" s="31"/>
      <c r="AV1395" s="4"/>
      <c r="AW1395" s="44"/>
      <c r="AX1395" s="44"/>
      <c r="AY1395" s="44"/>
      <c r="AZ1395" s="44"/>
      <c r="BA1395" s="44"/>
      <c r="BB1395" s="44"/>
      <c r="BC1395" s="44"/>
      <c r="BD1395" s="44"/>
      <c r="BE1395" s="44"/>
      <c r="BF1395" s="44"/>
      <c r="BG1395" s="44"/>
      <c r="BH1395" s="44"/>
      <c r="BI1395" s="44"/>
      <c r="BJ1395" s="44"/>
      <c r="BK1395" s="44"/>
      <c r="BL1395" s="44"/>
      <c r="BM1395" s="44"/>
      <c r="BN1395" s="44"/>
      <c r="BO1395" s="55"/>
      <c r="BP1395" s="40"/>
      <c r="BQ1395" s="4"/>
      <c r="BR1395" s="61"/>
      <c r="BS1395" s="4"/>
      <c r="BT1395" s="57"/>
      <c r="BU1395" s="62"/>
      <c r="BV1395" s="8"/>
      <c r="BW1395" s="58"/>
    </row>
    <row r="1396" spans="41:75" x14ac:dyDescent="0.35">
      <c r="AO1396" s="39">
        <v>1394</v>
      </c>
      <c r="AP1396" s="62"/>
      <c r="AQ1396" s="39"/>
      <c r="AR1396" s="42" t="str">
        <f>IFERROR(VLOOKUP(AU1396,[1]SUMMARY!$A$3:$B$7,2,FALSE),"")</f>
        <v/>
      </c>
      <c r="AS1396" s="31"/>
      <c r="AT1396" s="31" t="e">
        <f>VLOOKUP(AS1396,[1]OUTLET!$B:$C,2,0)</f>
        <v>#N/A</v>
      </c>
      <c r="AU1396" s="31"/>
      <c r="AV1396" s="4"/>
      <c r="AW1396" s="44"/>
      <c r="AX1396" s="44"/>
      <c r="AY1396" s="44"/>
      <c r="AZ1396" s="44"/>
      <c r="BA1396" s="44"/>
      <c r="BB1396" s="44"/>
      <c r="BC1396" s="44"/>
      <c r="BD1396" s="44"/>
      <c r="BE1396" s="44"/>
      <c r="BF1396" s="44"/>
      <c r="BG1396" s="44"/>
      <c r="BH1396" s="44"/>
      <c r="BI1396" s="44"/>
      <c r="BJ1396" s="44"/>
      <c r="BK1396" s="44"/>
      <c r="BL1396" s="44"/>
      <c r="BM1396" s="44"/>
      <c r="BN1396" s="44"/>
      <c r="BO1396" s="55"/>
      <c r="BP1396" s="40"/>
      <c r="BQ1396" s="4"/>
      <c r="BR1396" s="61"/>
      <c r="BS1396" s="4"/>
      <c r="BT1396" s="57"/>
      <c r="BU1396" s="62"/>
      <c r="BV1396" s="8"/>
      <c r="BW1396" s="58"/>
    </row>
    <row r="1397" spans="41:75" x14ac:dyDescent="0.35">
      <c r="AO1397" s="39">
        <v>1395</v>
      </c>
      <c r="AP1397" s="62"/>
      <c r="AQ1397" s="39"/>
      <c r="AR1397" s="42" t="str">
        <f>IFERROR(VLOOKUP(AU1397,[1]SUMMARY!$A$3:$B$7,2,FALSE),"")</f>
        <v/>
      </c>
      <c r="AS1397" s="31"/>
      <c r="AT1397" s="31" t="e">
        <f>VLOOKUP(AS1397,[1]OUTLET!$B:$C,2,0)</f>
        <v>#N/A</v>
      </c>
      <c r="AU1397" s="31"/>
      <c r="AV1397" s="4"/>
      <c r="AW1397" s="44"/>
      <c r="AX1397" s="44"/>
      <c r="AY1397" s="44"/>
      <c r="AZ1397" s="44"/>
      <c r="BA1397" s="44"/>
      <c r="BB1397" s="44"/>
      <c r="BC1397" s="44"/>
      <c r="BD1397" s="44"/>
      <c r="BE1397" s="44"/>
      <c r="BF1397" s="44"/>
      <c r="BG1397" s="44"/>
      <c r="BH1397" s="44"/>
      <c r="BI1397" s="44"/>
      <c r="BJ1397" s="44"/>
      <c r="BK1397" s="44"/>
      <c r="BL1397" s="44"/>
      <c r="BM1397" s="44"/>
      <c r="BN1397" s="44"/>
      <c r="BO1397" s="55"/>
      <c r="BP1397" s="40"/>
      <c r="BQ1397" s="4"/>
      <c r="BR1397" s="61"/>
      <c r="BS1397" s="4"/>
      <c r="BT1397" s="57"/>
      <c r="BU1397" s="62"/>
      <c r="BV1397" s="8"/>
      <c r="BW1397" s="58"/>
    </row>
    <row r="1398" spans="41:75" x14ac:dyDescent="0.35">
      <c r="AO1398" s="39">
        <v>1396</v>
      </c>
      <c r="AP1398" s="62"/>
      <c r="AQ1398" s="39"/>
      <c r="AR1398" s="42" t="str">
        <f>IFERROR(VLOOKUP(AU1398,[1]SUMMARY!$A$3:$B$7,2,FALSE),"")</f>
        <v/>
      </c>
      <c r="AS1398" s="31"/>
      <c r="AT1398" s="31" t="e">
        <f>VLOOKUP(AS1398,[1]OUTLET!$B:$C,2,0)</f>
        <v>#N/A</v>
      </c>
      <c r="AU1398" s="31"/>
      <c r="AV1398" s="4"/>
      <c r="AW1398" s="44"/>
      <c r="AX1398" s="44"/>
      <c r="AY1398" s="44"/>
      <c r="AZ1398" s="44"/>
      <c r="BA1398" s="44"/>
      <c r="BB1398" s="44"/>
      <c r="BC1398" s="44"/>
      <c r="BD1398" s="44"/>
      <c r="BE1398" s="44"/>
      <c r="BF1398" s="44"/>
      <c r="BG1398" s="44"/>
      <c r="BH1398" s="44"/>
      <c r="BI1398" s="44"/>
      <c r="BJ1398" s="44"/>
      <c r="BK1398" s="44"/>
      <c r="BL1398" s="44"/>
      <c r="BM1398" s="44"/>
      <c r="BN1398" s="44"/>
      <c r="BO1398" s="55"/>
      <c r="BP1398" s="40"/>
      <c r="BQ1398" s="4"/>
      <c r="BR1398" s="61"/>
      <c r="BS1398" s="4"/>
      <c r="BT1398" s="57"/>
      <c r="BU1398" s="62"/>
      <c r="BV1398" s="8"/>
      <c r="BW1398" s="58"/>
    </row>
    <row r="1399" spans="41:75" x14ac:dyDescent="0.35">
      <c r="AO1399" s="39">
        <v>1397</v>
      </c>
      <c r="AP1399" s="62"/>
      <c r="AQ1399" s="39"/>
      <c r="AR1399" s="42" t="str">
        <f>IFERROR(VLOOKUP(AU1399,[1]SUMMARY!$A$3:$B$7,2,FALSE),"")</f>
        <v/>
      </c>
      <c r="AS1399" s="31"/>
      <c r="AT1399" s="31" t="e">
        <f>VLOOKUP(AS1399,[1]OUTLET!$B:$C,2,0)</f>
        <v>#N/A</v>
      </c>
      <c r="AU1399" s="31"/>
      <c r="AV1399" s="4"/>
      <c r="AW1399" s="44"/>
      <c r="AX1399" s="44"/>
      <c r="AY1399" s="44"/>
      <c r="AZ1399" s="44"/>
      <c r="BA1399" s="44"/>
      <c r="BB1399" s="44"/>
      <c r="BC1399" s="44"/>
      <c r="BD1399" s="44"/>
      <c r="BE1399" s="44"/>
      <c r="BF1399" s="44"/>
      <c r="BG1399" s="44"/>
      <c r="BH1399" s="44"/>
      <c r="BI1399" s="44"/>
      <c r="BJ1399" s="44"/>
      <c r="BK1399" s="44"/>
      <c r="BL1399" s="44"/>
      <c r="BM1399" s="44"/>
      <c r="BN1399" s="44"/>
      <c r="BO1399" s="55"/>
      <c r="BP1399" s="40"/>
      <c r="BQ1399" s="4"/>
      <c r="BR1399" s="61"/>
      <c r="BS1399" s="4"/>
      <c r="BT1399" s="57"/>
      <c r="BU1399" s="62"/>
      <c r="BV1399" s="8"/>
      <c r="BW1399" s="58"/>
    </row>
    <row r="1400" spans="41:75" x14ac:dyDescent="0.35">
      <c r="AO1400" s="39">
        <v>1398</v>
      </c>
      <c r="AP1400" s="62"/>
      <c r="AQ1400" s="39"/>
      <c r="AR1400" s="42" t="str">
        <f>IFERROR(VLOOKUP(AU1400,[1]SUMMARY!$A$3:$B$7,2,FALSE),"")</f>
        <v/>
      </c>
      <c r="AS1400" s="31"/>
      <c r="AT1400" s="31" t="e">
        <f>VLOOKUP(AS1400,[1]OUTLET!$B:$C,2,0)</f>
        <v>#N/A</v>
      </c>
      <c r="AU1400" s="31"/>
      <c r="AV1400" s="4"/>
      <c r="AW1400" s="44"/>
      <c r="AX1400" s="44"/>
      <c r="AY1400" s="44"/>
      <c r="AZ1400" s="44"/>
      <c r="BA1400" s="44"/>
      <c r="BB1400" s="44"/>
      <c r="BC1400" s="44"/>
      <c r="BD1400" s="44"/>
      <c r="BE1400" s="44"/>
      <c r="BF1400" s="44"/>
      <c r="BG1400" s="44"/>
      <c r="BH1400" s="44"/>
      <c r="BI1400" s="44"/>
      <c r="BJ1400" s="44"/>
      <c r="BK1400" s="44"/>
      <c r="BL1400" s="44"/>
      <c r="BM1400" s="44"/>
      <c r="BN1400" s="44"/>
      <c r="BO1400" s="55"/>
      <c r="BP1400" s="40"/>
      <c r="BQ1400" s="4"/>
      <c r="BR1400" s="61"/>
      <c r="BS1400" s="4"/>
      <c r="BT1400" s="57"/>
      <c r="BU1400" s="62"/>
      <c r="BV1400" s="8"/>
      <c r="BW1400" s="58"/>
    </row>
    <row r="1401" spans="41:75" x14ac:dyDescent="0.35">
      <c r="AO1401" s="39">
        <v>1399</v>
      </c>
      <c r="AP1401" s="62"/>
      <c r="AQ1401" s="39"/>
      <c r="AR1401" s="42" t="str">
        <f>IFERROR(VLOOKUP(AU1401,[1]SUMMARY!$A$3:$B$7,2,FALSE),"")</f>
        <v/>
      </c>
      <c r="AS1401" s="31"/>
      <c r="AT1401" s="31" t="e">
        <f>VLOOKUP(AS1401,[1]OUTLET!$B:$C,2,0)</f>
        <v>#N/A</v>
      </c>
      <c r="AU1401" s="31"/>
      <c r="AV1401" s="4"/>
      <c r="AW1401" s="44"/>
      <c r="AX1401" s="44"/>
      <c r="AY1401" s="44"/>
      <c r="AZ1401" s="44"/>
      <c r="BA1401" s="44"/>
      <c r="BB1401" s="44"/>
      <c r="BC1401" s="44"/>
      <c r="BD1401" s="44"/>
      <c r="BE1401" s="44"/>
      <c r="BF1401" s="44"/>
      <c r="BG1401" s="44"/>
      <c r="BH1401" s="44"/>
      <c r="BI1401" s="44"/>
      <c r="BJ1401" s="44"/>
      <c r="BK1401" s="44"/>
      <c r="BL1401" s="44"/>
      <c r="BM1401" s="44"/>
      <c r="BN1401" s="44"/>
      <c r="BO1401" s="55"/>
      <c r="BP1401" s="40"/>
      <c r="BQ1401" s="4"/>
      <c r="BR1401" s="61"/>
      <c r="BS1401" s="4"/>
      <c r="BT1401" s="57"/>
      <c r="BU1401" s="62"/>
      <c r="BV1401" s="8"/>
      <c r="BW1401" s="58"/>
    </row>
    <row r="1402" spans="41:75" x14ac:dyDescent="0.35">
      <c r="AO1402" s="39">
        <v>1400</v>
      </c>
      <c r="AP1402" s="62"/>
      <c r="AQ1402" s="39"/>
      <c r="AR1402" s="42" t="str">
        <f>IFERROR(VLOOKUP(AU1402,[1]SUMMARY!$A$3:$B$7,2,FALSE),"")</f>
        <v/>
      </c>
      <c r="AS1402" s="31"/>
      <c r="AT1402" s="31" t="e">
        <f>VLOOKUP(AS1402,[1]OUTLET!$B:$C,2,0)</f>
        <v>#N/A</v>
      </c>
      <c r="AU1402" s="31"/>
      <c r="AV1402" s="4"/>
      <c r="AW1402" s="44"/>
      <c r="AX1402" s="44"/>
      <c r="AY1402" s="44"/>
      <c r="AZ1402" s="44"/>
      <c r="BA1402" s="44"/>
      <c r="BB1402" s="44"/>
      <c r="BC1402" s="44"/>
      <c r="BD1402" s="44"/>
      <c r="BE1402" s="44"/>
      <c r="BF1402" s="44"/>
      <c r="BG1402" s="44"/>
      <c r="BH1402" s="44"/>
      <c r="BI1402" s="44"/>
      <c r="BJ1402" s="44"/>
      <c r="BK1402" s="44"/>
      <c r="BL1402" s="44"/>
      <c r="BM1402" s="44"/>
      <c r="BN1402" s="44"/>
      <c r="BO1402" s="55"/>
      <c r="BP1402" s="40"/>
      <c r="BQ1402" s="4"/>
      <c r="BR1402" s="61"/>
      <c r="BS1402" s="4"/>
      <c r="BT1402" s="57"/>
      <c r="BU1402" s="62"/>
      <c r="BV1402" s="8"/>
      <c r="BW1402" s="58"/>
    </row>
    <row r="1403" spans="41:75" x14ac:dyDescent="0.35">
      <c r="AO1403" s="39">
        <v>1401</v>
      </c>
      <c r="AP1403" s="62"/>
      <c r="AQ1403" s="39"/>
      <c r="AR1403" s="42" t="str">
        <f>IFERROR(VLOOKUP(AU1403,[1]SUMMARY!$A$3:$B$7,2,FALSE),"")</f>
        <v/>
      </c>
      <c r="AS1403" s="31"/>
      <c r="AT1403" s="31" t="e">
        <f>VLOOKUP(AS1403,[1]OUTLET!$B:$C,2,0)</f>
        <v>#N/A</v>
      </c>
      <c r="AU1403" s="31"/>
      <c r="AV1403" s="4"/>
      <c r="AW1403" s="44"/>
      <c r="AX1403" s="44"/>
      <c r="AY1403" s="44"/>
      <c r="AZ1403" s="44"/>
      <c r="BA1403" s="44"/>
      <c r="BB1403" s="44"/>
      <c r="BC1403" s="44"/>
      <c r="BD1403" s="44"/>
      <c r="BE1403" s="44"/>
      <c r="BF1403" s="44"/>
      <c r="BG1403" s="44"/>
      <c r="BH1403" s="44"/>
      <c r="BI1403" s="44"/>
      <c r="BJ1403" s="44"/>
      <c r="BK1403" s="44"/>
      <c r="BL1403" s="44"/>
      <c r="BM1403" s="44"/>
      <c r="BN1403" s="44"/>
      <c r="BO1403" s="55"/>
      <c r="BP1403" s="40"/>
      <c r="BQ1403" s="4"/>
      <c r="BR1403" s="61"/>
      <c r="BS1403" s="4"/>
      <c r="BT1403" s="57"/>
      <c r="BU1403" s="62"/>
      <c r="BV1403" s="8"/>
      <c r="BW1403" s="58"/>
    </row>
    <row r="1404" spans="41:75" x14ac:dyDescent="0.35">
      <c r="AO1404" s="39">
        <v>1402</v>
      </c>
      <c r="AP1404" s="62"/>
      <c r="AQ1404" s="39"/>
      <c r="AR1404" s="42" t="str">
        <f>IFERROR(VLOOKUP(AU1404,[1]SUMMARY!$A$3:$B$7,2,FALSE),"")</f>
        <v/>
      </c>
      <c r="AS1404" s="31"/>
      <c r="AT1404" s="31" t="e">
        <f>VLOOKUP(AS1404,[1]OUTLET!$B:$C,2,0)</f>
        <v>#N/A</v>
      </c>
      <c r="AU1404" s="31"/>
      <c r="AV1404" s="4"/>
      <c r="AW1404" s="44"/>
      <c r="AX1404" s="44"/>
      <c r="AY1404" s="44"/>
      <c r="AZ1404" s="44"/>
      <c r="BA1404" s="44"/>
      <c r="BB1404" s="44"/>
      <c r="BC1404" s="44"/>
      <c r="BD1404" s="44"/>
      <c r="BE1404" s="44"/>
      <c r="BF1404" s="44"/>
      <c r="BG1404" s="44"/>
      <c r="BH1404" s="44"/>
      <c r="BI1404" s="44"/>
      <c r="BJ1404" s="44"/>
      <c r="BK1404" s="44"/>
      <c r="BL1404" s="44"/>
      <c r="BM1404" s="44"/>
      <c r="BN1404" s="44"/>
      <c r="BO1404" s="55"/>
      <c r="BP1404" s="40"/>
      <c r="BQ1404" s="4"/>
      <c r="BR1404" s="61"/>
      <c r="BS1404" s="4"/>
      <c r="BT1404" s="57"/>
      <c r="BU1404" s="62"/>
      <c r="BV1404" s="8"/>
      <c r="BW1404" s="58"/>
    </row>
    <row r="1405" spans="41:75" x14ac:dyDescent="0.35">
      <c r="AO1405" s="39">
        <v>1403</v>
      </c>
      <c r="AP1405" s="62"/>
      <c r="AQ1405" s="39"/>
      <c r="AR1405" s="42" t="str">
        <f>IFERROR(VLOOKUP(AU1405,[1]SUMMARY!$A$3:$B$7,2,FALSE),"")</f>
        <v/>
      </c>
      <c r="AS1405" s="31"/>
      <c r="AT1405" s="31" t="e">
        <f>VLOOKUP(AS1405,[1]OUTLET!$B:$C,2,0)</f>
        <v>#N/A</v>
      </c>
      <c r="AU1405" s="31"/>
      <c r="AV1405" s="4"/>
      <c r="AW1405" s="44"/>
      <c r="AX1405" s="44"/>
      <c r="AY1405" s="44"/>
      <c r="AZ1405" s="44"/>
      <c r="BA1405" s="44"/>
      <c r="BB1405" s="44"/>
      <c r="BC1405" s="44"/>
      <c r="BD1405" s="44"/>
      <c r="BE1405" s="44"/>
      <c r="BF1405" s="44"/>
      <c r="BG1405" s="44"/>
      <c r="BH1405" s="44"/>
      <c r="BI1405" s="44"/>
      <c r="BJ1405" s="44"/>
      <c r="BK1405" s="44"/>
      <c r="BL1405" s="44"/>
      <c r="BM1405" s="44"/>
      <c r="BN1405" s="44"/>
      <c r="BO1405" s="55"/>
      <c r="BP1405" s="40"/>
      <c r="BQ1405" s="4"/>
      <c r="BR1405" s="61"/>
      <c r="BS1405" s="4"/>
      <c r="BT1405" s="57"/>
      <c r="BU1405" s="62"/>
      <c r="BV1405" s="8"/>
      <c r="BW1405" s="58"/>
    </row>
    <row r="1406" spans="41:75" x14ac:dyDescent="0.35">
      <c r="AO1406" s="39">
        <v>1404</v>
      </c>
      <c r="AP1406" s="62"/>
      <c r="AQ1406" s="39"/>
      <c r="AR1406" s="42" t="str">
        <f>IFERROR(VLOOKUP(AU1406,[1]SUMMARY!$A$3:$B$7,2,FALSE),"")</f>
        <v/>
      </c>
      <c r="AS1406" s="31"/>
      <c r="AT1406" s="31" t="e">
        <f>VLOOKUP(AS1406,[1]OUTLET!$B:$C,2,0)</f>
        <v>#N/A</v>
      </c>
      <c r="AU1406" s="31"/>
      <c r="AV1406" s="4"/>
      <c r="AW1406" s="44"/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44"/>
      <c r="BJ1406" s="44"/>
      <c r="BK1406" s="44"/>
      <c r="BL1406" s="44"/>
      <c r="BM1406" s="44"/>
      <c r="BN1406" s="44"/>
      <c r="BO1406" s="55"/>
      <c r="BP1406" s="40"/>
      <c r="BQ1406" s="4"/>
      <c r="BR1406" s="61"/>
      <c r="BS1406" s="4"/>
      <c r="BT1406" s="57"/>
      <c r="BU1406" s="62"/>
      <c r="BV1406" s="8"/>
      <c r="BW1406" s="58"/>
    </row>
    <row r="1407" spans="41:75" x14ac:dyDescent="0.35">
      <c r="AO1407" s="39">
        <v>1405</v>
      </c>
      <c r="AP1407" s="62"/>
      <c r="AQ1407" s="39"/>
      <c r="AR1407" s="42" t="str">
        <f>IFERROR(VLOOKUP(AU1407,[1]SUMMARY!$A$3:$B$7,2,FALSE),"")</f>
        <v/>
      </c>
      <c r="AS1407" s="31"/>
      <c r="AT1407" s="31" t="e">
        <f>VLOOKUP(AS1407,[1]OUTLET!$B:$C,2,0)</f>
        <v>#N/A</v>
      </c>
      <c r="AU1407" s="31"/>
      <c r="AV1407" s="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44"/>
      <c r="BJ1407" s="44"/>
      <c r="BK1407" s="44"/>
      <c r="BL1407" s="44"/>
      <c r="BM1407" s="44"/>
      <c r="BN1407" s="44"/>
      <c r="BO1407" s="55"/>
      <c r="BP1407" s="40"/>
      <c r="BQ1407" s="4"/>
      <c r="BR1407" s="61"/>
      <c r="BS1407" s="4"/>
      <c r="BT1407" s="57"/>
      <c r="BU1407" s="62"/>
      <c r="BV1407" s="8"/>
      <c r="BW1407" s="58"/>
    </row>
    <row r="1408" spans="41:75" x14ac:dyDescent="0.35">
      <c r="AO1408" s="39">
        <v>1406</v>
      </c>
      <c r="AP1408" s="62"/>
      <c r="AQ1408" s="39"/>
      <c r="AR1408" s="42" t="str">
        <f>IFERROR(VLOOKUP(AU1408,[1]SUMMARY!$A$3:$B$7,2,FALSE),"")</f>
        <v/>
      </c>
      <c r="AS1408" s="31"/>
      <c r="AT1408" s="31" t="e">
        <f>VLOOKUP(AS1408,[1]OUTLET!$B:$C,2,0)</f>
        <v>#N/A</v>
      </c>
      <c r="AU1408" s="31"/>
      <c r="AV1408" s="4"/>
      <c r="AW1408" s="44"/>
      <c r="AX1408" s="44"/>
      <c r="AY1408" s="44"/>
      <c r="AZ1408" s="44"/>
      <c r="BA1408" s="44"/>
      <c r="BB1408" s="44"/>
      <c r="BC1408" s="44"/>
      <c r="BD1408" s="44"/>
      <c r="BE1408" s="44"/>
      <c r="BF1408" s="44"/>
      <c r="BG1408" s="44"/>
      <c r="BH1408" s="44"/>
      <c r="BI1408" s="44"/>
      <c r="BJ1408" s="44"/>
      <c r="BK1408" s="44"/>
      <c r="BL1408" s="44"/>
      <c r="BM1408" s="44"/>
      <c r="BN1408" s="44"/>
      <c r="BO1408" s="55"/>
      <c r="BP1408" s="40"/>
      <c r="BQ1408" s="4"/>
      <c r="BR1408" s="61"/>
      <c r="BS1408" s="4"/>
      <c r="BT1408" s="57"/>
      <c r="BU1408" s="62"/>
      <c r="BV1408" s="8"/>
      <c r="BW1408" s="58"/>
    </row>
    <row r="1409" spans="41:75" x14ac:dyDescent="0.35">
      <c r="AO1409" s="39">
        <v>1407</v>
      </c>
      <c r="AP1409" s="62"/>
      <c r="AQ1409" s="39"/>
      <c r="AR1409" s="42" t="str">
        <f>IFERROR(VLOOKUP(AU1409,[1]SUMMARY!$A$3:$B$7,2,FALSE),"")</f>
        <v/>
      </c>
      <c r="AS1409" s="31"/>
      <c r="AT1409" s="31" t="e">
        <f>VLOOKUP(AS1409,[1]OUTLET!$B:$C,2,0)</f>
        <v>#N/A</v>
      </c>
      <c r="AU1409" s="31"/>
      <c r="AV1409" s="4"/>
      <c r="AW1409" s="44"/>
      <c r="AX1409" s="44"/>
      <c r="AY1409" s="44"/>
      <c r="AZ1409" s="44"/>
      <c r="BA1409" s="44"/>
      <c r="BB1409" s="44"/>
      <c r="BC1409" s="44"/>
      <c r="BD1409" s="44"/>
      <c r="BE1409" s="44"/>
      <c r="BF1409" s="44"/>
      <c r="BG1409" s="44"/>
      <c r="BH1409" s="44"/>
      <c r="BI1409" s="44"/>
      <c r="BJ1409" s="44"/>
      <c r="BK1409" s="44"/>
      <c r="BL1409" s="44"/>
      <c r="BM1409" s="44"/>
      <c r="BN1409" s="44"/>
      <c r="BO1409" s="55"/>
      <c r="BP1409" s="40"/>
      <c r="BQ1409" s="4"/>
      <c r="BR1409" s="61"/>
      <c r="BS1409" s="4"/>
      <c r="BT1409" s="57"/>
      <c r="BU1409" s="62"/>
      <c r="BV1409" s="8"/>
      <c r="BW1409" s="58"/>
    </row>
    <row r="1410" spans="41:75" x14ac:dyDescent="0.35">
      <c r="AO1410" s="39">
        <v>1408</v>
      </c>
      <c r="AP1410" s="62"/>
      <c r="AQ1410" s="39"/>
      <c r="AR1410" s="42" t="str">
        <f>IFERROR(VLOOKUP(AU1410,[1]SUMMARY!$A$3:$B$7,2,FALSE),"")</f>
        <v/>
      </c>
      <c r="AS1410" s="31"/>
      <c r="AT1410" s="31" t="e">
        <f>VLOOKUP(AS1410,[1]OUTLET!$B:$C,2,0)</f>
        <v>#N/A</v>
      </c>
      <c r="AU1410" s="31"/>
      <c r="AV1410" s="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55"/>
      <c r="BP1410" s="40"/>
      <c r="BQ1410" s="4"/>
      <c r="BR1410" s="61"/>
      <c r="BS1410" s="4"/>
      <c r="BT1410" s="57"/>
      <c r="BU1410" s="62"/>
      <c r="BV1410" s="8"/>
      <c r="BW1410" s="58"/>
    </row>
    <row r="1411" spans="41:75" x14ac:dyDescent="0.35">
      <c r="AO1411" s="39">
        <v>1409</v>
      </c>
      <c r="AP1411" s="62"/>
      <c r="AQ1411" s="39"/>
      <c r="AR1411" s="42" t="str">
        <f>IFERROR(VLOOKUP(AU1411,[1]SUMMARY!$A$3:$B$7,2,FALSE),"")</f>
        <v/>
      </c>
      <c r="AS1411" s="31"/>
      <c r="AT1411" s="31" t="e">
        <f>VLOOKUP(AS1411,[1]OUTLET!$B:$C,2,0)</f>
        <v>#N/A</v>
      </c>
      <c r="AU1411" s="31"/>
      <c r="AV1411" s="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55"/>
      <c r="BP1411" s="40"/>
      <c r="BQ1411" s="4"/>
      <c r="BR1411" s="61"/>
      <c r="BS1411" s="4"/>
      <c r="BT1411" s="57"/>
      <c r="BU1411" s="62"/>
      <c r="BV1411" s="8"/>
      <c r="BW1411" s="58"/>
    </row>
    <row r="1412" spans="41:75" x14ac:dyDescent="0.35">
      <c r="AO1412" s="39">
        <v>1410</v>
      </c>
      <c r="AP1412" s="62"/>
      <c r="AQ1412" s="39"/>
      <c r="AR1412" s="42" t="str">
        <f>IFERROR(VLOOKUP(AU1412,[1]SUMMARY!$A$3:$B$7,2,FALSE),"")</f>
        <v/>
      </c>
      <c r="AS1412" s="31"/>
      <c r="AT1412" s="31" t="e">
        <f>VLOOKUP(AS1412,[1]OUTLET!$B:$C,2,0)</f>
        <v>#N/A</v>
      </c>
      <c r="AU1412" s="31"/>
      <c r="AV1412" s="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55"/>
      <c r="BP1412" s="40"/>
      <c r="BQ1412" s="4"/>
      <c r="BR1412" s="61"/>
      <c r="BS1412" s="4"/>
      <c r="BT1412" s="57"/>
      <c r="BU1412" s="62"/>
      <c r="BV1412" s="8"/>
      <c r="BW1412" s="58"/>
    </row>
    <row r="1413" spans="41:75" x14ac:dyDescent="0.35">
      <c r="AO1413" s="39">
        <v>1411</v>
      </c>
      <c r="AP1413" s="62"/>
      <c r="AQ1413" s="39"/>
      <c r="AR1413" s="42" t="str">
        <f>IFERROR(VLOOKUP(AU1413,[1]SUMMARY!$A$3:$B$7,2,FALSE),"")</f>
        <v/>
      </c>
      <c r="AS1413" s="31"/>
      <c r="AT1413" s="31" t="e">
        <f>VLOOKUP(AS1413,[1]OUTLET!$B:$C,2,0)</f>
        <v>#N/A</v>
      </c>
      <c r="AU1413" s="31"/>
      <c r="AV1413" s="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55"/>
      <c r="BP1413" s="40"/>
      <c r="BQ1413" s="4"/>
      <c r="BR1413" s="61"/>
      <c r="BS1413" s="4"/>
      <c r="BT1413" s="57"/>
      <c r="BU1413" s="62"/>
      <c r="BV1413" s="8"/>
      <c r="BW1413" s="58"/>
    </row>
    <row r="1414" spans="41:75" x14ac:dyDescent="0.35">
      <c r="AO1414" s="39">
        <v>1412</v>
      </c>
      <c r="AP1414" s="62"/>
      <c r="AQ1414" s="39"/>
      <c r="AR1414" s="42" t="str">
        <f>IFERROR(VLOOKUP(AU1414,[1]SUMMARY!$A$3:$B$7,2,FALSE),"")</f>
        <v/>
      </c>
      <c r="AS1414" s="31"/>
      <c r="AT1414" s="31" t="e">
        <f>VLOOKUP(AS1414,[1]OUTLET!$B:$C,2,0)</f>
        <v>#N/A</v>
      </c>
      <c r="AU1414" s="31"/>
      <c r="AV1414" s="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55"/>
      <c r="BP1414" s="40"/>
      <c r="BQ1414" s="4"/>
      <c r="BR1414" s="61"/>
      <c r="BS1414" s="4"/>
      <c r="BT1414" s="57"/>
      <c r="BU1414" s="62"/>
      <c r="BV1414" s="8"/>
      <c r="BW1414" s="58"/>
    </row>
    <row r="1415" spans="41:75" x14ac:dyDescent="0.35">
      <c r="AO1415" s="39">
        <v>1413</v>
      </c>
      <c r="AP1415" s="62"/>
      <c r="AQ1415" s="39"/>
      <c r="AR1415" s="42" t="str">
        <f>IFERROR(VLOOKUP(AU1415,[1]SUMMARY!$A$3:$B$7,2,FALSE),"")</f>
        <v/>
      </c>
      <c r="AS1415" s="31"/>
      <c r="AT1415" s="31" t="e">
        <f>VLOOKUP(AS1415,[1]OUTLET!$B:$C,2,0)</f>
        <v>#N/A</v>
      </c>
      <c r="AU1415" s="31"/>
      <c r="AV1415" s="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55"/>
      <c r="BP1415" s="40"/>
      <c r="BQ1415" s="4"/>
      <c r="BR1415" s="61"/>
      <c r="BS1415" s="4"/>
      <c r="BT1415" s="57"/>
      <c r="BU1415" s="62"/>
      <c r="BV1415" s="8"/>
      <c r="BW1415" s="58"/>
    </row>
    <row r="1416" spans="41:75" x14ac:dyDescent="0.35">
      <c r="AO1416" s="39">
        <v>1414</v>
      </c>
      <c r="AP1416" s="62"/>
      <c r="AQ1416" s="39"/>
      <c r="AR1416" s="42" t="str">
        <f>IFERROR(VLOOKUP(AU1416,[1]SUMMARY!$A$3:$B$7,2,FALSE),"")</f>
        <v/>
      </c>
      <c r="AS1416" s="31"/>
      <c r="AT1416" s="31" t="e">
        <f>VLOOKUP(AS1416,[1]OUTLET!$B:$C,2,0)</f>
        <v>#N/A</v>
      </c>
      <c r="AU1416" s="31"/>
      <c r="AV1416" s="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55"/>
      <c r="BP1416" s="40"/>
      <c r="BQ1416" s="4"/>
      <c r="BR1416" s="61"/>
      <c r="BS1416" s="4"/>
      <c r="BT1416" s="57"/>
      <c r="BU1416" s="62"/>
      <c r="BV1416" s="8"/>
      <c r="BW1416" s="58"/>
    </row>
    <row r="1417" spans="41:75" x14ac:dyDescent="0.35">
      <c r="AO1417" s="39">
        <v>1415</v>
      </c>
      <c r="AP1417" s="62"/>
      <c r="AQ1417" s="39"/>
      <c r="AR1417" s="42" t="str">
        <f>IFERROR(VLOOKUP(AU1417,[1]SUMMARY!$A$3:$B$7,2,FALSE),"")</f>
        <v/>
      </c>
      <c r="AS1417" s="31"/>
      <c r="AT1417" s="31" t="e">
        <f>VLOOKUP(AS1417,[1]OUTLET!$B:$C,2,0)</f>
        <v>#N/A</v>
      </c>
      <c r="AU1417" s="31"/>
      <c r="AV1417" s="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55"/>
      <c r="BP1417" s="40"/>
      <c r="BQ1417" s="4"/>
      <c r="BR1417" s="61"/>
      <c r="BS1417" s="4"/>
      <c r="BT1417" s="57"/>
      <c r="BU1417" s="62"/>
      <c r="BV1417" s="8"/>
      <c r="BW1417" s="58"/>
    </row>
    <row r="1418" spans="41:75" x14ac:dyDescent="0.35">
      <c r="AO1418" s="39">
        <v>1416</v>
      </c>
      <c r="AP1418" s="62"/>
      <c r="AQ1418" s="39"/>
      <c r="AR1418" s="42" t="str">
        <f>IFERROR(VLOOKUP(AU1418,[1]SUMMARY!$A$3:$B$7,2,FALSE),"")</f>
        <v/>
      </c>
      <c r="AS1418" s="31"/>
      <c r="AT1418" s="31" t="e">
        <f>VLOOKUP(AS1418,[1]OUTLET!$B:$C,2,0)</f>
        <v>#N/A</v>
      </c>
      <c r="AU1418" s="31"/>
      <c r="AV1418" s="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55"/>
      <c r="BP1418" s="40"/>
      <c r="BQ1418" s="4"/>
      <c r="BR1418" s="61"/>
      <c r="BS1418" s="4"/>
      <c r="BT1418" s="57"/>
      <c r="BU1418" s="62"/>
      <c r="BV1418" s="8"/>
      <c r="BW1418" s="58"/>
    </row>
    <row r="1419" spans="41:75" x14ac:dyDescent="0.35">
      <c r="AO1419" s="39">
        <v>1417</v>
      </c>
      <c r="AP1419" s="62"/>
      <c r="AQ1419" s="39"/>
      <c r="AR1419" s="42" t="str">
        <f>IFERROR(VLOOKUP(AU1419,[1]SUMMARY!$A$3:$B$7,2,FALSE),"")</f>
        <v/>
      </c>
      <c r="AS1419" s="31"/>
      <c r="AT1419" s="31" t="e">
        <f>VLOOKUP(AS1419,[1]OUTLET!$B:$C,2,0)</f>
        <v>#N/A</v>
      </c>
      <c r="AU1419" s="31"/>
      <c r="AV1419" s="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55"/>
      <c r="BP1419" s="40"/>
      <c r="BQ1419" s="4"/>
      <c r="BR1419" s="61"/>
      <c r="BS1419" s="4"/>
      <c r="BT1419" s="57"/>
      <c r="BU1419" s="62"/>
      <c r="BV1419" s="8"/>
      <c r="BW1419" s="58"/>
    </row>
    <row r="1420" spans="41:75" x14ac:dyDescent="0.35">
      <c r="AO1420" s="39">
        <v>1418</v>
      </c>
      <c r="AP1420" s="62"/>
      <c r="AQ1420" s="39"/>
      <c r="AR1420" s="42" t="str">
        <f>IFERROR(VLOOKUP(AU1420,[1]SUMMARY!$A$3:$B$7,2,FALSE),"")</f>
        <v/>
      </c>
      <c r="AS1420" s="31"/>
      <c r="AT1420" s="31" t="e">
        <f>VLOOKUP(AS1420,[1]OUTLET!$B:$C,2,0)</f>
        <v>#N/A</v>
      </c>
      <c r="AU1420" s="31"/>
      <c r="AV1420" s="4"/>
      <c r="AW1420" s="44"/>
      <c r="AX1420" s="44"/>
      <c r="AY1420" s="44"/>
      <c r="AZ1420" s="44"/>
      <c r="BA1420" s="44"/>
      <c r="BB1420" s="44"/>
      <c r="BC1420" s="44"/>
      <c r="BD1420" s="44"/>
      <c r="BE1420" s="44"/>
      <c r="BF1420" s="44"/>
      <c r="BG1420" s="44"/>
      <c r="BH1420" s="44"/>
      <c r="BI1420" s="44"/>
      <c r="BJ1420" s="44"/>
      <c r="BK1420" s="44"/>
      <c r="BL1420" s="44"/>
      <c r="BM1420" s="44"/>
      <c r="BN1420" s="44"/>
      <c r="BO1420" s="55"/>
      <c r="BP1420" s="40"/>
      <c r="BQ1420" s="4"/>
      <c r="BR1420" s="61"/>
      <c r="BS1420" s="4"/>
      <c r="BT1420" s="57"/>
      <c r="BU1420" s="62"/>
      <c r="BV1420" s="8"/>
      <c r="BW1420" s="58"/>
    </row>
    <row r="1421" spans="41:75" x14ac:dyDescent="0.35">
      <c r="AO1421" s="39">
        <v>1419</v>
      </c>
      <c r="AP1421" s="62"/>
      <c r="AQ1421" s="39"/>
      <c r="AR1421" s="42" t="str">
        <f>IFERROR(VLOOKUP(AU1421,[1]SUMMARY!$A$3:$B$7,2,FALSE),"")</f>
        <v/>
      </c>
      <c r="AS1421" s="31"/>
      <c r="AT1421" s="31" t="e">
        <f>VLOOKUP(AS1421,[1]OUTLET!$B:$C,2,0)</f>
        <v>#N/A</v>
      </c>
      <c r="AU1421" s="31"/>
      <c r="AV1421" s="4"/>
      <c r="AW1421" s="44"/>
      <c r="AX1421" s="44"/>
      <c r="AY1421" s="44"/>
      <c r="AZ1421" s="44"/>
      <c r="BA1421" s="44"/>
      <c r="BB1421" s="44"/>
      <c r="BC1421" s="44"/>
      <c r="BD1421" s="44"/>
      <c r="BE1421" s="44"/>
      <c r="BF1421" s="44"/>
      <c r="BG1421" s="44"/>
      <c r="BH1421" s="44"/>
      <c r="BI1421" s="44"/>
      <c r="BJ1421" s="44"/>
      <c r="BK1421" s="44"/>
      <c r="BL1421" s="44"/>
      <c r="BM1421" s="44"/>
      <c r="BN1421" s="44"/>
      <c r="BO1421" s="55"/>
      <c r="BP1421" s="40"/>
      <c r="BQ1421" s="4"/>
      <c r="BR1421" s="61"/>
      <c r="BS1421" s="4"/>
      <c r="BT1421" s="57"/>
      <c r="BU1421" s="62"/>
      <c r="BV1421" s="8"/>
      <c r="BW1421" s="58"/>
    </row>
    <row r="1422" spans="41:75" x14ac:dyDescent="0.35">
      <c r="AO1422" s="39">
        <v>1420</v>
      </c>
      <c r="AP1422" s="62"/>
      <c r="AQ1422" s="39"/>
      <c r="AR1422" s="42" t="str">
        <f>IFERROR(VLOOKUP(AU1422,[1]SUMMARY!$A$3:$B$7,2,FALSE),"")</f>
        <v/>
      </c>
      <c r="AS1422" s="31"/>
      <c r="AT1422" s="31" t="e">
        <f>VLOOKUP(AS1422,[1]OUTLET!$B:$C,2,0)</f>
        <v>#N/A</v>
      </c>
      <c r="AU1422" s="31"/>
      <c r="AV1422" s="4"/>
      <c r="AW1422" s="44"/>
      <c r="AX1422" s="44"/>
      <c r="AY1422" s="44"/>
      <c r="AZ1422" s="44"/>
      <c r="BA1422" s="44"/>
      <c r="BB1422" s="44"/>
      <c r="BC1422" s="44"/>
      <c r="BD1422" s="44"/>
      <c r="BE1422" s="44"/>
      <c r="BF1422" s="44"/>
      <c r="BG1422" s="44"/>
      <c r="BH1422" s="44"/>
      <c r="BI1422" s="44"/>
      <c r="BJ1422" s="44"/>
      <c r="BK1422" s="44"/>
      <c r="BL1422" s="44"/>
      <c r="BM1422" s="44"/>
      <c r="BN1422" s="44"/>
      <c r="BO1422" s="55"/>
      <c r="BP1422" s="40"/>
      <c r="BQ1422" s="4"/>
      <c r="BR1422" s="61"/>
      <c r="BS1422" s="4"/>
      <c r="BT1422" s="57"/>
      <c r="BU1422" s="62"/>
      <c r="BV1422" s="8"/>
      <c r="BW1422" s="58"/>
    </row>
    <row r="1423" spans="41:75" x14ac:dyDescent="0.35">
      <c r="AO1423" s="39">
        <v>1421</v>
      </c>
      <c r="AP1423" s="62"/>
      <c r="AQ1423" s="39"/>
      <c r="AR1423" s="42" t="str">
        <f>IFERROR(VLOOKUP(AU1423,[1]SUMMARY!$A$3:$B$7,2,FALSE),"")</f>
        <v/>
      </c>
      <c r="AS1423" s="31"/>
      <c r="AT1423" s="31" t="e">
        <f>VLOOKUP(AS1423,[1]OUTLET!$B:$C,2,0)</f>
        <v>#N/A</v>
      </c>
      <c r="AU1423" s="31"/>
      <c r="AV1423" s="4"/>
      <c r="AW1423" s="44"/>
      <c r="AX1423" s="44"/>
      <c r="AY1423" s="44"/>
      <c r="AZ1423" s="44"/>
      <c r="BA1423" s="44"/>
      <c r="BB1423" s="44"/>
      <c r="BC1423" s="44"/>
      <c r="BD1423" s="44"/>
      <c r="BE1423" s="44"/>
      <c r="BF1423" s="44"/>
      <c r="BG1423" s="44"/>
      <c r="BH1423" s="44"/>
      <c r="BI1423" s="44"/>
      <c r="BJ1423" s="44"/>
      <c r="BK1423" s="44"/>
      <c r="BL1423" s="44"/>
      <c r="BM1423" s="44"/>
      <c r="BN1423" s="44"/>
      <c r="BO1423" s="55"/>
      <c r="BP1423" s="40"/>
      <c r="BQ1423" s="4"/>
      <c r="BR1423" s="61"/>
      <c r="BS1423" s="4"/>
      <c r="BT1423" s="57"/>
      <c r="BU1423" s="62"/>
      <c r="BV1423" s="8"/>
      <c r="BW1423" s="58"/>
    </row>
    <row r="1424" spans="41:75" x14ac:dyDescent="0.35">
      <c r="AO1424" s="39">
        <v>1422</v>
      </c>
      <c r="AP1424" s="62"/>
      <c r="AQ1424" s="39"/>
      <c r="AR1424" s="42" t="str">
        <f>IFERROR(VLOOKUP(AU1424,[1]SUMMARY!$A$3:$B$7,2,FALSE),"")</f>
        <v/>
      </c>
      <c r="AS1424" s="31"/>
      <c r="AT1424" s="31" t="e">
        <f>VLOOKUP(AS1424,[1]OUTLET!$B:$C,2,0)</f>
        <v>#N/A</v>
      </c>
      <c r="AU1424" s="31"/>
      <c r="AV1424" s="4"/>
      <c r="AW1424" s="44"/>
      <c r="AX1424" s="44"/>
      <c r="AY1424" s="44"/>
      <c r="AZ1424" s="44"/>
      <c r="BA1424" s="44"/>
      <c r="BB1424" s="44"/>
      <c r="BC1424" s="44"/>
      <c r="BD1424" s="44"/>
      <c r="BE1424" s="44"/>
      <c r="BF1424" s="44"/>
      <c r="BG1424" s="44"/>
      <c r="BH1424" s="44"/>
      <c r="BI1424" s="44"/>
      <c r="BJ1424" s="44"/>
      <c r="BK1424" s="44"/>
      <c r="BL1424" s="44"/>
      <c r="BM1424" s="44"/>
      <c r="BN1424" s="44"/>
      <c r="BO1424" s="55"/>
      <c r="BP1424" s="40"/>
      <c r="BQ1424" s="4"/>
      <c r="BR1424" s="61"/>
      <c r="BS1424" s="4"/>
      <c r="BT1424" s="57"/>
      <c r="BU1424" s="62"/>
      <c r="BV1424" s="8"/>
      <c r="BW1424" s="58"/>
    </row>
    <row r="1425" spans="41:75" x14ac:dyDescent="0.35">
      <c r="AO1425" s="39">
        <v>1423</v>
      </c>
      <c r="AP1425" s="62"/>
      <c r="AQ1425" s="39"/>
      <c r="AR1425" s="42" t="str">
        <f>IFERROR(VLOOKUP(AU1425,[1]SUMMARY!$A$3:$B$7,2,FALSE),"")</f>
        <v/>
      </c>
      <c r="AS1425" s="31"/>
      <c r="AT1425" s="31" t="e">
        <f>VLOOKUP(AS1425,[1]OUTLET!$B:$C,2,0)</f>
        <v>#N/A</v>
      </c>
      <c r="AU1425" s="31"/>
      <c r="AV1425" s="4"/>
      <c r="AW1425" s="44"/>
      <c r="AX1425" s="44"/>
      <c r="AY1425" s="44"/>
      <c r="AZ1425" s="44"/>
      <c r="BA1425" s="44"/>
      <c r="BB1425" s="44"/>
      <c r="BC1425" s="44"/>
      <c r="BD1425" s="44"/>
      <c r="BE1425" s="44"/>
      <c r="BF1425" s="44"/>
      <c r="BG1425" s="44"/>
      <c r="BH1425" s="44"/>
      <c r="BI1425" s="44"/>
      <c r="BJ1425" s="44"/>
      <c r="BK1425" s="44"/>
      <c r="BL1425" s="44"/>
      <c r="BM1425" s="44"/>
      <c r="BN1425" s="44"/>
      <c r="BO1425" s="55"/>
      <c r="BP1425" s="40"/>
      <c r="BQ1425" s="4"/>
      <c r="BR1425" s="61"/>
      <c r="BS1425" s="4"/>
      <c r="BT1425" s="57"/>
      <c r="BU1425" s="62"/>
      <c r="BV1425" s="8"/>
      <c r="BW1425" s="58"/>
    </row>
    <row r="1426" spans="41:75" x14ac:dyDescent="0.35">
      <c r="AO1426" s="39">
        <v>1424</v>
      </c>
      <c r="AP1426" s="62"/>
      <c r="AQ1426" s="39"/>
      <c r="AR1426" s="42" t="str">
        <f>IFERROR(VLOOKUP(AU1426,[1]SUMMARY!$A$3:$B$7,2,FALSE),"")</f>
        <v/>
      </c>
      <c r="AS1426" s="31"/>
      <c r="AT1426" s="31" t="e">
        <f>VLOOKUP(AS1426,[1]OUTLET!$B:$C,2,0)</f>
        <v>#N/A</v>
      </c>
      <c r="AU1426" s="31"/>
      <c r="AV1426" s="4"/>
      <c r="AW1426" s="44"/>
      <c r="AX1426" s="44"/>
      <c r="AY1426" s="44"/>
      <c r="AZ1426" s="44"/>
      <c r="BA1426" s="44"/>
      <c r="BB1426" s="44"/>
      <c r="BC1426" s="44"/>
      <c r="BD1426" s="44"/>
      <c r="BE1426" s="44"/>
      <c r="BF1426" s="44"/>
      <c r="BG1426" s="44"/>
      <c r="BH1426" s="44"/>
      <c r="BI1426" s="44"/>
      <c r="BJ1426" s="44"/>
      <c r="BK1426" s="44"/>
      <c r="BL1426" s="44"/>
      <c r="BM1426" s="44"/>
      <c r="BN1426" s="44"/>
      <c r="BO1426" s="55"/>
      <c r="BP1426" s="40"/>
      <c r="BQ1426" s="4"/>
      <c r="BR1426" s="61"/>
      <c r="BS1426" s="4"/>
      <c r="BT1426" s="57"/>
      <c r="BU1426" s="62"/>
      <c r="BV1426" s="8"/>
      <c r="BW1426" s="58"/>
    </row>
    <row r="1427" spans="41:75" x14ac:dyDescent="0.35">
      <c r="AO1427" s="39">
        <v>1425</v>
      </c>
      <c r="AP1427" s="62"/>
      <c r="AQ1427" s="39"/>
      <c r="AR1427" s="42" t="str">
        <f>IFERROR(VLOOKUP(AU1427,[1]SUMMARY!$A$3:$B$7,2,FALSE),"")</f>
        <v/>
      </c>
      <c r="AS1427" s="31"/>
      <c r="AT1427" s="31" t="e">
        <f>VLOOKUP(AS1427,[1]OUTLET!$B:$C,2,0)</f>
        <v>#N/A</v>
      </c>
      <c r="AU1427" s="31"/>
      <c r="AV1427" s="4"/>
      <c r="AW1427" s="44"/>
      <c r="AX1427" s="44"/>
      <c r="AY1427" s="44"/>
      <c r="AZ1427" s="44"/>
      <c r="BA1427" s="44"/>
      <c r="BB1427" s="44"/>
      <c r="BC1427" s="44"/>
      <c r="BD1427" s="44"/>
      <c r="BE1427" s="44"/>
      <c r="BF1427" s="44"/>
      <c r="BG1427" s="44"/>
      <c r="BH1427" s="44"/>
      <c r="BI1427" s="44"/>
      <c r="BJ1427" s="44"/>
      <c r="BK1427" s="44"/>
      <c r="BL1427" s="44"/>
      <c r="BM1427" s="44"/>
      <c r="BN1427" s="44"/>
      <c r="BO1427" s="55"/>
      <c r="BP1427" s="40"/>
      <c r="BQ1427" s="4"/>
      <c r="BR1427" s="61"/>
      <c r="BS1427" s="4"/>
      <c r="BT1427" s="57"/>
      <c r="BU1427" s="62"/>
      <c r="BV1427" s="8"/>
      <c r="BW1427" s="58"/>
    </row>
    <row r="1428" spans="41:75" x14ac:dyDescent="0.35">
      <c r="AO1428" s="39">
        <v>1426</v>
      </c>
      <c r="AP1428" s="62"/>
      <c r="AQ1428" s="39"/>
      <c r="AR1428" s="42" t="str">
        <f>IFERROR(VLOOKUP(AU1428,[1]SUMMARY!$A$3:$B$7,2,FALSE),"")</f>
        <v/>
      </c>
      <c r="AS1428" s="31"/>
      <c r="AT1428" s="31" t="e">
        <f>VLOOKUP(AS1428,[1]OUTLET!$B:$C,2,0)</f>
        <v>#N/A</v>
      </c>
      <c r="AU1428" s="31"/>
      <c r="AV1428" s="4"/>
      <c r="AW1428" s="44"/>
      <c r="AX1428" s="44"/>
      <c r="AY1428" s="44"/>
      <c r="AZ1428" s="44"/>
      <c r="BA1428" s="44"/>
      <c r="BB1428" s="44"/>
      <c r="BC1428" s="44"/>
      <c r="BD1428" s="44"/>
      <c r="BE1428" s="44"/>
      <c r="BF1428" s="44"/>
      <c r="BG1428" s="44"/>
      <c r="BH1428" s="44"/>
      <c r="BI1428" s="44"/>
      <c r="BJ1428" s="44"/>
      <c r="BK1428" s="44"/>
      <c r="BL1428" s="44"/>
      <c r="BM1428" s="44"/>
      <c r="BN1428" s="44"/>
      <c r="BO1428" s="55"/>
      <c r="BP1428" s="40"/>
      <c r="BQ1428" s="4"/>
      <c r="BR1428" s="61"/>
      <c r="BS1428" s="4"/>
      <c r="BT1428" s="57"/>
      <c r="BU1428" s="62"/>
      <c r="BV1428" s="8"/>
      <c r="BW1428" s="58"/>
    </row>
    <row r="1429" spans="41:75" x14ac:dyDescent="0.35">
      <c r="AO1429" s="39">
        <v>1427</v>
      </c>
      <c r="AP1429" s="62"/>
      <c r="AQ1429" s="39"/>
      <c r="AR1429" s="42" t="str">
        <f>IFERROR(VLOOKUP(AU1429,[1]SUMMARY!$A$3:$B$7,2,FALSE),"")</f>
        <v/>
      </c>
      <c r="AS1429" s="31"/>
      <c r="AT1429" s="31" t="e">
        <f>VLOOKUP(AS1429,[1]OUTLET!$B:$C,2,0)</f>
        <v>#N/A</v>
      </c>
      <c r="AU1429" s="31"/>
      <c r="AV1429" s="4"/>
      <c r="AW1429" s="44"/>
      <c r="AX1429" s="44"/>
      <c r="AY1429" s="44"/>
      <c r="AZ1429" s="44"/>
      <c r="BA1429" s="44"/>
      <c r="BB1429" s="44"/>
      <c r="BC1429" s="44"/>
      <c r="BD1429" s="44"/>
      <c r="BE1429" s="44"/>
      <c r="BF1429" s="44"/>
      <c r="BG1429" s="44"/>
      <c r="BH1429" s="44"/>
      <c r="BI1429" s="44"/>
      <c r="BJ1429" s="44"/>
      <c r="BK1429" s="44"/>
      <c r="BL1429" s="44"/>
      <c r="BM1429" s="44"/>
      <c r="BN1429" s="44"/>
      <c r="BO1429" s="55"/>
      <c r="BP1429" s="40"/>
      <c r="BQ1429" s="4"/>
      <c r="BR1429" s="61"/>
      <c r="BS1429" s="4"/>
      <c r="BT1429" s="57"/>
      <c r="BU1429" s="62"/>
      <c r="BV1429" s="8"/>
      <c r="BW1429" s="58"/>
    </row>
    <row r="1430" spans="41:75" x14ac:dyDescent="0.35">
      <c r="AO1430" s="39">
        <v>1428</v>
      </c>
      <c r="AP1430" s="62"/>
      <c r="AQ1430" s="39"/>
      <c r="AR1430" s="42" t="str">
        <f>IFERROR(VLOOKUP(AU1430,[1]SUMMARY!$A$3:$B$7,2,FALSE),"")</f>
        <v/>
      </c>
      <c r="AS1430" s="31"/>
      <c r="AT1430" s="31" t="e">
        <f>VLOOKUP(AS1430,[1]OUTLET!$B:$C,2,0)</f>
        <v>#N/A</v>
      </c>
      <c r="AU1430" s="31"/>
      <c r="AV1430" s="4"/>
      <c r="AW1430" s="44"/>
      <c r="AX1430" s="44"/>
      <c r="AY1430" s="44"/>
      <c r="AZ1430" s="44"/>
      <c r="BA1430" s="44"/>
      <c r="BB1430" s="44"/>
      <c r="BC1430" s="44"/>
      <c r="BD1430" s="44"/>
      <c r="BE1430" s="44"/>
      <c r="BF1430" s="44"/>
      <c r="BG1430" s="44"/>
      <c r="BH1430" s="44"/>
      <c r="BI1430" s="44"/>
      <c r="BJ1430" s="44"/>
      <c r="BK1430" s="44"/>
      <c r="BL1430" s="44"/>
      <c r="BM1430" s="44"/>
      <c r="BN1430" s="44"/>
      <c r="BO1430" s="55"/>
      <c r="BP1430" s="40"/>
      <c r="BQ1430" s="4"/>
      <c r="BR1430" s="61"/>
      <c r="BS1430" s="4"/>
      <c r="BT1430" s="57"/>
      <c r="BU1430" s="62"/>
      <c r="BV1430" s="8"/>
      <c r="BW1430" s="58"/>
    </row>
    <row r="1431" spans="41:75" x14ac:dyDescent="0.35">
      <c r="AO1431" s="39">
        <v>1429</v>
      </c>
      <c r="AP1431" s="62"/>
      <c r="AQ1431" s="39"/>
      <c r="AR1431" s="42" t="str">
        <f>IFERROR(VLOOKUP(AU1431,[1]SUMMARY!$A$3:$B$7,2,FALSE),"")</f>
        <v/>
      </c>
      <c r="AS1431" s="31"/>
      <c r="AT1431" s="31" t="e">
        <f>VLOOKUP(AS1431,[1]OUTLET!$B:$C,2,0)</f>
        <v>#N/A</v>
      </c>
      <c r="AU1431" s="31"/>
      <c r="AV1431" s="4"/>
      <c r="AW1431" s="44"/>
      <c r="AX1431" s="44"/>
      <c r="AY1431" s="44"/>
      <c r="AZ1431" s="44"/>
      <c r="BA1431" s="44"/>
      <c r="BB1431" s="44"/>
      <c r="BC1431" s="44"/>
      <c r="BD1431" s="44"/>
      <c r="BE1431" s="44"/>
      <c r="BF1431" s="44"/>
      <c r="BG1431" s="44"/>
      <c r="BH1431" s="44"/>
      <c r="BI1431" s="44"/>
      <c r="BJ1431" s="44"/>
      <c r="BK1431" s="44"/>
      <c r="BL1431" s="44"/>
      <c r="BM1431" s="44"/>
      <c r="BN1431" s="44"/>
      <c r="BO1431" s="55"/>
      <c r="BP1431" s="40"/>
      <c r="BQ1431" s="4"/>
      <c r="BR1431" s="61"/>
      <c r="BS1431" s="4"/>
      <c r="BT1431" s="57"/>
      <c r="BU1431" s="62"/>
      <c r="BV1431" s="8"/>
      <c r="BW1431" s="58"/>
    </row>
    <row r="1432" spans="41:75" x14ac:dyDescent="0.35">
      <c r="AO1432" s="39">
        <v>1430</v>
      </c>
      <c r="AP1432" s="62"/>
      <c r="AQ1432" s="39"/>
      <c r="AR1432" s="42" t="str">
        <f>IFERROR(VLOOKUP(AU1432,[1]SUMMARY!$A$3:$B$7,2,FALSE),"")</f>
        <v/>
      </c>
      <c r="AS1432" s="31"/>
      <c r="AT1432" s="31" t="e">
        <f>VLOOKUP(AS1432,[1]OUTLET!$B:$C,2,0)</f>
        <v>#N/A</v>
      </c>
      <c r="AU1432" s="31"/>
      <c r="AV1432" s="4"/>
      <c r="AW1432" s="44"/>
      <c r="AX1432" s="44"/>
      <c r="AY1432" s="44"/>
      <c r="AZ1432" s="44"/>
      <c r="BA1432" s="44"/>
      <c r="BB1432" s="44"/>
      <c r="BC1432" s="44"/>
      <c r="BD1432" s="44"/>
      <c r="BE1432" s="44"/>
      <c r="BF1432" s="44"/>
      <c r="BG1432" s="44"/>
      <c r="BH1432" s="44"/>
      <c r="BI1432" s="44"/>
      <c r="BJ1432" s="44"/>
      <c r="BK1432" s="44"/>
      <c r="BL1432" s="44"/>
      <c r="BM1432" s="44"/>
      <c r="BN1432" s="44"/>
      <c r="BO1432" s="55"/>
      <c r="BP1432" s="40"/>
      <c r="BQ1432" s="4"/>
      <c r="BR1432" s="61"/>
      <c r="BS1432" s="4"/>
      <c r="BT1432" s="57"/>
      <c r="BU1432" s="62"/>
      <c r="BV1432" s="8"/>
      <c r="BW1432" s="58"/>
    </row>
    <row r="1433" spans="41:75" x14ac:dyDescent="0.35">
      <c r="AO1433" s="39">
        <v>1431</v>
      </c>
      <c r="AP1433" s="62"/>
      <c r="AQ1433" s="39"/>
      <c r="AR1433" s="42" t="str">
        <f>IFERROR(VLOOKUP(AU1433,[1]SUMMARY!$A$3:$B$7,2,FALSE),"")</f>
        <v/>
      </c>
      <c r="AS1433" s="31"/>
      <c r="AT1433" s="31" t="e">
        <f>VLOOKUP(AS1433,[1]OUTLET!$B:$C,2,0)</f>
        <v>#N/A</v>
      </c>
      <c r="AU1433" s="31"/>
      <c r="AV1433" s="4"/>
      <c r="AW1433" s="44"/>
      <c r="AX1433" s="44"/>
      <c r="AY1433" s="44"/>
      <c r="AZ1433" s="44"/>
      <c r="BA1433" s="44"/>
      <c r="BB1433" s="44"/>
      <c r="BC1433" s="44"/>
      <c r="BD1433" s="44"/>
      <c r="BE1433" s="44"/>
      <c r="BF1433" s="44"/>
      <c r="BG1433" s="44"/>
      <c r="BH1433" s="44"/>
      <c r="BI1433" s="44"/>
      <c r="BJ1433" s="44"/>
      <c r="BK1433" s="44"/>
      <c r="BL1433" s="44"/>
      <c r="BM1433" s="44"/>
      <c r="BN1433" s="44"/>
      <c r="BO1433" s="55"/>
      <c r="BP1433" s="40"/>
      <c r="BQ1433" s="4"/>
      <c r="BR1433" s="61"/>
      <c r="BS1433" s="4"/>
      <c r="BT1433" s="57"/>
      <c r="BU1433" s="62"/>
      <c r="BV1433" s="8"/>
      <c r="BW1433" s="58"/>
    </row>
    <row r="1434" spans="41:75" x14ac:dyDescent="0.35">
      <c r="AO1434" s="39">
        <v>1432</v>
      </c>
      <c r="AP1434" s="62"/>
      <c r="AQ1434" s="39"/>
      <c r="AR1434" s="42" t="str">
        <f>IFERROR(VLOOKUP(AU1434,[1]SUMMARY!$A$3:$B$7,2,FALSE),"")</f>
        <v/>
      </c>
      <c r="AS1434" s="31"/>
      <c r="AT1434" s="31" t="e">
        <f>VLOOKUP(AS1434,[1]OUTLET!$B:$C,2,0)</f>
        <v>#N/A</v>
      </c>
      <c r="AU1434" s="31"/>
      <c r="AV1434" s="4"/>
      <c r="AW1434" s="44"/>
      <c r="AX1434" s="44"/>
      <c r="AY1434" s="44"/>
      <c r="AZ1434" s="44"/>
      <c r="BA1434" s="44"/>
      <c r="BB1434" s="44"/>
      <c r="BC1434" s="44"/>
      <c r="BD1434" s="44"/>
      <c r="BE1434" s="44"/>
      <c r="BF1434" s="44"/>
      <c r="BG1434" s="44"/>
      <c r="BH1434" s="44"/>
      <c r="BI1434" s="44"/>
      <c r="BJ1434" s="44"/>
      <c r="BK1434" s="44"/>
      <c r="BL1434" s="44"/>
      <c r="BM1434" s="44"/>
      <c r="BN1434" s="44"/>
      <c r="BO1434" s="55"/>
      <c r="BP1434" s="40"/>
      <c r="BQ1434" s="4"/>
      <c r="BR1434" s="61"/>
      <c r="BS1434" s="4"/>
      <c r="BT1434" s="57"/>
      <c r="BU1434" s="62"/>
      <c r="BV1434" s="8"/>
      <c r="BW1434" s="58"/>
    </row>
    <row r="1435" spans="41:75" x14ac:dyDescent="0.35">
      <c r="AO1435" s="39">
        <v>1433</v>
      </c>
      <c r="AP1435" s="62"/>
      <c r="AQ1435" s="39"/>
      <c r="AR1435" s="42" t="str">
        <f>IFERROR(VLOOKUP(AU1435,[1]SUMMARY!$A$3:$B$7,2,FALSE),"")</f>
        <v/>
      </c>
      <c r="AS1435" s="31"/>
      <c r="AT1435" s="31" t="e">
        <f>VLOOKUP(AS1435,[1]OUTLET!$B:$C,2,0)</f>
        <v>#N/A</v>
      </c>
      <c r="AU1435" s="31"/>
      <c r="AV1435" s="4"/>
      <c r="AW1435" s="44"/>
      <c r="AX1435" s="44"/>
      <c r="AY1435" s="44"/>
      <c r="AZ1435" s="44"/>
      <c r="BA1435" s="44"/>
      <c r="BB1435" s="44"/>
      <c r="BC1435" s="44"/>
      <c r="BD1435" s="44"/>
      <c r="BE1435" s="44"/>
      <c r="BF1435" s="44"/>
      <c r="BG1435" s="44"/>
      <c r="BH1435" s="44"/>
      <c r="BI1435" s="44"/>
      <c r="BJ1435" s="44"/>
      <c r="BK1435" s="44"/>
      <c r="BL1435" s="44"/>
      <c r="BM1435" s="44"/>
      <c r="BN1435" s="44"/>
      <c r="BO1435" s="55"/>
      <c r="BP1435" s="40"/>
      <c r="BQ1435" s="4"/>
      <c r="BR1435" s="61"/>
      <c r="BS1435" s="4"/>
      <c r="BT1435" s="57"/>
      <c r="BU1435" s="62"/>
      <c r="BV1435" s="8"/>
      <c r="BW1435" s="58"/>
    </row>
    <row r="1436" spans="41:75" x14ac:dyDescent="0.35">
      <c r="AO1436" s="39">
        <v>1434</v>
      </c>
      <c r="AP1436" s="62"/>
      <c r="AQ1436" s="39"/>
      <c r="AR1436" s="42" t="str">
        <f>IFERROR(VLOOKUP(AU1436,[1]SUMMARY!$A$3:$B$7,2,FALSE),"")</f>
        <v/>
      </c>
      <c r="AS1436" s="31"/>
      <c r="AT1436" s="31" t="e">
        <f>VLOOKUP(AS1436,[1]OUTLET!$B:$C,2,0)</f>
        <v>#N/A</v>
      </c>
      <c r="AU1436" s="31"/>
      <c r="AV1436" s="4"/>
      <c r="AW1436" s="44"/>
      <c r="AX1436" s="44"/>
      <c r="AY1436" s="44"/>
      <c r="AZ1436" s="44"/>
      <c r="BA1436" s="44"/>
      <c r="BB1436" s="44"/>
      <c r="BC1436" s="44"/>
      <c r="BD1436" s="44"/>
      <c r="BE1436" s="44"/>
      <c r="BF1436" s="44"/>
      <c r="BG1436" s="44"/>
      <c r="BH1436" s="44"/>
      <c r="BI1436" s="44"/>
      <c r="BJ1436" s="44"/>
      <c r="BK1436" s="44"/>
      <c r="BL1436" s="44"/>
      <c r="BM1436" s="44"/>
      <c r="BN1436" s="44"/>
      <c r="BO1436" s="55"/>
      <c r="BP1436" s="40"/>
      <c r="BQ1436" s="4"/>
      <c r="BR1436" s="61"/>
      <c r="BS1436" s="4"/>
      <c r="BT1436" s="57"/>
      <c r="BU1436" s="62"/>
      <c r="BV1436" s="8"/>
      <c r="BW1436" s="58"/>
    </row>
    <row r="1437" spans="41:75" x14ac:dyDescent="0.35">
      <c r="AO1437" s="39">
        <v>1435</v>
      </c>
      <c r="AP1437" s="62"/>
      <c r="AQ1437" s="39"/>
      <c r="AR1437" s="42" t="str">
        <f>IFERROR(VLOOKUP(AU1437,[1]SUMMARY!$A$3:$B$7,2,FALSE),"")</f>
        <v/>
      </c>
      <c r="AS1437" s="31"/>
      <c r="AT1437" s="31" t="e">
        <f>VLOOKUP(AS1437,[1]OUTLET!$B:$C,2,0)</f>
        <v>#N/A</v>
      </c>
      <c r="AU1437" s="31"/>
      <c r="AV1437" s="4"/>
      <c r="AW1437" s="44"/>
      <c r="AX1437" s="44"/>
      <c r="AY1437" s="44"/>
      <c r="AZ1437" s="44"/>
      <c r="BA1437" s="44"/>
      <c r="BB1437" s="44"/>
      <c r="BC1437" s="44"/>
      <c r="BD1437" s="44"/>
      <c r="BE1437" s="44"/>
      <c r="BF1437" s="44"/>
      <c r="BG1437" s="44"/>
      <c r="BH1437" s="44"/>
      <c r="BI1437" s="44"/>
      <c r="BJ1437" s="44"/>
      <c r="BK1437" s="44"/>
      <c r="BL1437" s="44"/>
      <c r="BM1437" s="44"/>
      <c r="BN1437" s="44"/>
      <c r="BO1437" s="55"/>
      <c r="BP1437" s="40"/>
      <c r="BQ1437" s="4"/>
      <c r="BR1437" s="61"/>
      <c r="BS1437" s="4"/>
      <c r="BT1437" s="57"/>
      <c r="BU1437" s="62"/>
      <c r="BV1437" s="8"/>
      <c r="BW1437" s="58"/>
    </row>
    <row r="1438" spans="41:75" x14ac:dyDescent="0.35">
      <c r="AO1438" s="39">
        <v>1436</v>
      </c>
      <c r="AP1438" s="62"/>
      <c r="AQ1438" s="39"/>
      <c r="AR1438" s="42" t="str">
        <f>IFERROR(VLOOKUP(AU1438,[1]SUMMARY!$A$3:$B$7,2,FALSE),"")</f>
        <v/>
      </c>
      <c r="AS1438" s="31"/>
      <c r="AT1438" s="31" t="e">
        <f>VLOOKUP(AS1438,[1]OUTLET!$B:$C,2,0)</f>
        <v>#N/A</v>
      </c>
      <c r="AU1438" s="31"/>
      <c r="AV1438" s="4"/>
      <c r="AW1438" s="44"/>
      <c r="AX1438" s="44"/>
      <c r="AY1438" s="44"/>
      <c r="AZ1438" s="44"/>
      <c r="BA1438" s="44"/>
      <c r="BB1438" s="44"/>
      <c r="BC1438" s="44"/>
      <c r="BD1438" s="44"/>
      <c r="BE1438" s="44"/>
      <c r="BF1438" s="44"/>
      <c r="BG1438" s="44"/>
      <c r="BH1438" s="44"/>
      <c r="BI1438" s="44"/>
      <c r="BJ1438" s="44"/>
      <c r="BK1438" s="44"/>
      <c r="BL1438" s="44"/>
      <c r="BM1438" s="44"/>
      <c r="BN1438" s="44"/>
      <c r="BO1438" s="55"/>
      <c r="BP1438" s="40"/>
      <c r="BQ1438" s="4"/>
      <c r="BR1438" s="61"/>
      <c r="BS1438" s="4"/>
      <c r="BT1438" s="57"/>
      <c r="BU1438" s="62"/>
      <c r="BV1438" s="8"/>
      <c r="BW1438" s="58"/>
    </row>
    <row r="1439" spans="41:75" x14ac:dyDescent="0.35">
      <c r="AO1439" s="39">
        <v>1437</v>
      </c>
      <c r="AP1439" s="62"/>
      <c r="AQ1439" s="39"/>
      <c r="AR1439" s="42" t="str">
        <f>IFERROR(VLOOKUP(AU1439,[1]SUMMARY!$A$3:$B$7,2,FALSE),"")</f>
        <v/>
      </c>
      <c r="AS1439" s="31"/>
      <c r="AT1439" s="31" t="e">
        <f>VLOOKUP(AS1439,[1]OUTLET!$B:$C,2,0)</f>
        <v>#N/A</v>
      </c>
      <c r="AU1439" s="31"/>
      <c r="AV1439" s="4"/>
      <c r="AW1439" s="44"/>
      <c r="AX1439" s="44"/>
      <c r="AY1439" s="44"/>
      <c r="AZ1439" s="44"/>
      <c r="BA1439" s="44"/>
      <c r="BB1439" s="44"/>
      <c r="BC1439" s="44"/>
      <c r="BD1439" s="44"/>
      <c r="BE1439" s="44"/>
      <c r="BF1439" s="44"/>
      <c r="BG1439" s="44"/>
      <c r="BH1439" s="44"/>
      <c r="BI1439" s="44"/>
      <c r="BJ1439" s="44"/>
      <c r="BK1439" s="44"/>
      <c r="BL1439" s="44"/>
      <c r="BM1439" s="44"/>
      <c r="BN1439" s="44"/>
      <c r="BO1439" s="55"/>
      <c r="BP1439" s="40"/>
      <c r="BQ1439" s="4"/>
      <c r="BR1439" s="61"/>
      <c r="BS1439" s="4"/>
      <c r="BT1439" s="57"/>
      <c r="BU1439" s="62"/>
      <c r="BV1439" s="8"/>
      <c r="BW1439" s="58"/>
    </row>
    <row r="1440" spans="41:75" x14ac:dyDescent="0.35">
      <c r="AO1440" s="39">
        <v>1438</v>
      </c>
      <c r="AP1440" s="62"/>
      <c r="AQ1440" s="39"/>
      <c r="AR1440" s="42" t="str">
        <f>IFERROR(VLOOKUP(AU1440,[1]SUMMARY!$A$3:$B$7,2,FALSE),"")</f>
        <v/>
      </c>
      <c r="AS1440" s="31"/>
      <c r="AT1440" s="31" t="e">
        <f>VLOOKUP(AS1440,[1]OUTLET!$B:$C,2,0)</f>
        <v>#N/A</v>
      </c>
      <c r="AU1440" s="31"/>
      <c r="AV1440" s="4"/>
      <c r="AW1440" s="44"/>
      <c r="AX1440" s="44"/>
      <c r="AY1440" s="44"/>
      <c r="AZ1440" s="44"/>
      <c r="BA1440" s="44"/>
      <c r="BB1440" s="44"/>
      <c r="BC1440" s="44"/>
      <c r="BD1440" s="44"/>
      <c r="BE1440" s="44"/>
      <c r="BF1440" s="44"/>
      <c r="BG1440" s="44"/>
      <c r="BH1440" s="44"/>
      <c r="BI1440" s="44"/>
      <c r="BJ1440" s="44"/>
      <c r="BK1440" s="44"/>
      <c r="BL1440" s="44"/>
      <c r="BM1440" s="44"/>
      <c r="BN1440" s="44"/>
      <c r="BO1440" s="55"/>
      <c r="BP1440" s="40"/>
      <c r="BQ1440" s="4"/>
      <c r="BR1440" s="61"/>
      <c r="BS1440" s="4"/>
      <c r="BT1440" s="57"/>
      <c r="BU1440" s="62"/>
      <c r="BV1440" s="8"/>
      <c r="BW1440" s="58"/>
    </row>
    <row r="1441" spans="41:75" x14ac:dyDescent="0.35">
      <c r="AO1441" s="39">
        <v>1439</v>
      </c>
      <c r="AP1441" s="62"/>
      <c r="AQ1441" s="39"/>
      <c r="AR1441" s="42" t="str">
        <f>IFERROR(VLOOKUP(AU1441,[1]SUMMARY!$A$3:$B$7,2,FALSE),"")</f>
        <v/>
      </c>
      <c r="AS1441" s="31"/>
      <c r="AT1441" s="31" t="e">
        <f>VLOOKUP(AS1441,[1]OUTLET!$B:$C,2,0)</f>
        <v>#N/A</v>
      </c>
      <c r="AU1441" s="31"/>
      <c r="AV1441" s="4"/>
      <c r="AW1441" s="44"/>
      <c r="AX1441" s="44"/>
      <c r="AY1441" s="44"/>
      <c r="AZ1441" s="44"/>
      <c r="BA1441" s="44"/>
      <c r="BB1441" s="44"/>
      <c r="BC1441" s="44"/>
      <c r="BD1441" s="44"/>
      <c r="BE1441" s="44"/>
      <c r="BF1441" s="44"/>
      <c r="BG1441" s="44"/>
      <c r="BH1441" s="44"/>
      <c r="BI1441" s="44"/>
      <c r="BJ1441" s="44"/>
      <c r="BK1441" s="44"/>
      <c r="BL1441" s="44"/>
      <c r="BM1441" s="44"/>
      <c r="BN1441" s="44"/>
      <c r="BO1441" s="55"/>
      <c r="BP1441" s="40"/>
      <c r="BQ1441" s="4"/>
      <c r="BR1441" s="61"/>
      <c r="BS1441" s="4"/>
      <c r="BT1441" s="57"/>
      <c r="BU1441" s="62"/>
      <c r="BV1441" s="8"/>
      <c r="BW1441" s="58"/>
    </row>
    <row r="1442" spans="41:75" x14ac:dyDescent="0.35">
      <c r="AO1442" s="39">
        <v>1440</v>
      </c>
      <c r="AP1442" s="62"/>
      <c r="AQ1442" s="39"/>
      <c r="AR1442" s="42" t="str">
        <f>IFERROR(VLOOKUP(AU1442,[1]SUMMARY!$A$3:$B$7,2,FALSE),"")</f>
        <v/>
      </c>
      <c r="AS1442" s="31"/>
      <c r="AT1442" s="31" t="e">
        <f>VLOOKUP(AS1442,[1]OUTLET!$B:$C,2,0)</f>
        <v>#N/A</v>
      </c>
      <c r="AU1442" s="31"/>
      <c r="AV1442" s="4"/>
      <c r="AW1442" s="44"/>
      <c r="AX1442" s="44"/>
      <c r="AY1442" s="44"/>
      <c r="AZ1442" s="44"/>
      <c r="BA1442" s="44"/>
      <c r="BB1442" s="44"/>
      <c r="BC1442" s="44"/>
      <c r="BD1442" s="44"/>
      <c r="BE1442" s="44"/>
      <c r="BF1442" s="44"/>
      <c r="BG1442" s="44"/>
      <c r="BH1442" s="44"/>
      <c r="BI1442" s="44"/>
      <c r="BJ1442" s="44"/>
      <c r="BK1442" s="44"/>
      <c r="BL1442" s="44"/>
      <c r="BM1442" s="44"/>
      <c r="BN1442" s="44"/>
      <c r="BO1442" s="55"/>
      <c r="BP1442" s="40"/>
      <c r="BQ1442" s="4"/>
      <c r="BR1442" s="61"/>
      <c r="BS1442" s="4"/>
      <c r="BT1442" s="57"/>
      <c r="BU1442" s="62"/>
      <c r="BV1442" s="8"/>
      <c r="BW1442" s="58"/>
    </row>
    <row r="1443" spans="41:75" x14ac:dyDescent="0.35">
      <c r="AO1443" s="39">
        <v>1441</v>
      </c>
      <c r="AP1443" s="62"/>
      <c r="AQ1443" s="39"/>
      <c r="AR1443" s="42" t="str">
        <f>IFERROR(VLOOKUP(AU1443,[1]SUMMARY!$A$3:$B$7,2,FALSE),"")</f>
        <v/>
      </c>
      <c r="AS1443" s="31"/>
      <c r="AT1443" s="31" t="e">
        <f>VLOOKUP(AS1443,[1]OUTLET!$B:$C,2,0)</f>
        <v>#N/A</v>
      </c>
      <c r="AU1443" s="31"/>
      <c r="AV1443" s="4"/>
      <c r="AW1443" s="44"/>
      <c r="AX1443" s="44"/>
      <c r="AY1443" s="44"/>
      <c r="AZ1443" s="44"/>
      <c r="BA1443" s="44"/>
      <c r="BB1443" s="44"/>
      <c r="BC1443" s="44"/>
      <c r="BD1443" s="44"/>
      <c r="BE1443" s="44"/>
      <c r="BF1443" s="44"/>
      <c r="BG1443" s="44"/>
      <c r="BH1443" s="44"/>
      <c r="BI1443" s="44"/>
      <c r="BJ1443" s="44"/>
      <c r="BK1443" s="44"/>
      <c r="BL1443" s="44"/>
      <c r="BM1443" s="44"/>
      <c r="BN1443" s="44"/>
      <c r="BO1443" s="55"/>
      <c r="BP1443" s="40"/>
      <c r="BQ1443" s="4"/>
      <c r="BR1443" s="61"/>
      <c r="BS1443" s="4"/>
      <c r="BT1443" s="57"/>
      <c r="BU1443" s="62"/>
      <c r="BV1443" s="8"/>
      <c r="BW1443" s="58"/>
    </row>
    <row r="1444" spans="41:75" x14ac:dyDescent="0.35">
      <c r="AO1444" s="39">
        <v>1442</v>
      </c>
      <c r="AP1444" s="62"/>
      <c r="AQ1444" s="39"/>
      <c r="AR1444" s="42" t="str">
        <f>IFERROR(VLOOKUP(AU1444,[1]SUMMARY!$A$3:$B$7,2,FALSE),"")</f>
        <v/>
      </c>
      <c r="AS1444" s="31"/>
      <c r="AT1444" s="31" t="e">
        <f>VLOOKUP(AS1444,[1]OUTLET!$B:$C,2,0)</f>
        <v>#N/A</v>
      </c>
      <c r="AU1444" s="31"/>
      <c r="AV1444" s="4"/>
      <c r="AW1444" s="44"/>
      <c r="AX1444" s="44"/>
      <c r="AY1444" s="44"/>
      <c r="AZ1444" s="44"/>
      <c r="BA1444" s="44"/>
      <c r="BB1444" s="44"/>
      <c r="BC1444" s="44"/>
      <c r="BD1444" s="44"/>
      <c r="BE1444" s="44"/>
      <c r="BF1444" s="44"/>
      <c r="BG1444" s="44"/>
      <c r="BH1444" s="44"/>
      <c r="BI1444" s="44"/>
      <c r="BJ1444" s="44"/>
      <c r="BK1444" s="44"/>
      <c r="BL1444" s="44"/>
      <c r="BM1444" s="44"/>
      <c r="BN1444" s="44"/>
      <c r="BO1444" s="55"/>
      <c r="BP1444" s="40"/>
      <c r="BQ1444" s="4"/>
      <c r="BR1444" s="61"/>
      <c r="BS1444" s="4"/>
      <c r="BT1444" s="57"/>
      <c r="BU1444" s="62"/>
      <c r="BV1444" s="8"/>
      <c r="BW1444" s="58"/>
    </row>
    <row r="1445" spans="41:75" x14ac:dyDescent="0.35">
      <c r="AO1445" s="39">
        <v>1443</v>
      </c>
      <c r="AP1445" s="62"/>
      <c r="AQ1445" s="39"/>
      <c r="AR1445" s="42" t="str">
        <f>IFERROR(VLOOKUP(AU1445,[1]SUMMARY!$A$3:$B$7,2,FALSE),"")</f>
        <v/>
      </c>
      <c r="AS1445" s="31"/>
      <c r="AT1445" s="31" t="e">
        <f>VLOOKUP(AS1445,[1]OUTLET!$B:$C,2,0)</f>
        <v>#N/A</v>
      </c>
      <c r="AU1445" s="31"/>
      <c r="AV1445" s="4"/>
      <c r="AW1445" s="44"/>
      <c r="AX1445" s="44"/>
      <c r="AY1445" s="44"/>
      <c r="AZ1445" s="44"/>
      <c r="BA1445" s="44"/>
      <c r="BB1445" s="44"/>
      <c r="BC1445" s="44"/>
      <c r="BD1445" s="44"/>
      <c r="BE1445" s="44"/>
      <c r="BF1445" s="44"/>
      <c r="BG1445" s="44"/>
      <c r="BH1445" s="44"/>
      <c r="BI1445" s="44"/>
      <c r="BJ1445" s="44"/>
      <c r="BK1445" s="44"/>
      <c r="BL1445" s="44"/>
      <c r="BM1445" s="44"/>
      <c r="BN1445" s="44"/>
      <c r="BO1445" s="55"/>
      <c r="BP1445" s="40"/>
      <c r="BQ1445" s="4"/>
      <c r="BR1445" s="61"/>
      <c r="BS1445" s="4"/>
      <c r="BT1445" s="57"/>
      <c r="BU1445" s="62"/>
      <c r="BV1445" s="8"/>
      <c r="BW1445" s="58"/>
    </row>
    <row r="1446" spans="41:75" x14ac:dyDescent="0.35">
      <c r="AO1446" s="39">
        <v>1444</v>
      </c>
      <c r="AP1446" s="62"/>
      <c r="AQ1446" s="39"/>
      <c r="AR1446" s="42" t="str">
        <f>IFERROR(VLOOKUP(AU1446,[1]SUMMARY!$A$3:$B$7,2,FALSE),"")</f>
        <v/>
      </c>
      <c r="AS1446" s="31"/>
      <c r="AT1446" s="31" t="e">
        <f>VLOOKUP(AS1446,[1]OUTLET!$B:$C,2,0)</f>
        <v>#N/A</v>
      </c>
      <c r="AU1446" s="31"/>
      <c r="AV1446" s="4"/>
      <c r="AW1446" s="44"/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44"/>
      <c r="BJ1446" s="44"/>
      <c r="BK1446" s="44"/>
      <c r="BL1446" s="44"/>
      <c r="BM1446" s="44"/>
      <c r="BN1446" s="44"/>
      <c r="BO1446" s="55"/>
      <c r="BP1446" s="40"/>
      <c r="BQ1446" s="4"/>
      <c r="BR1446" s="61"/>
      <c r="BS1446" s="4"/>
      <c r="BT1446" s="57"/>
      <c r="BU1446" s="62"/>
      <c r="BV1446" s="8"/>
      <c r="BW1446" s="58"/>
    </row>
    <row r="1447" spans="41:75" x14ac:dyDescent="0.35">
      <c r="AO1447" s="39">
        <v>1445</v>
      </c>
      <c r="AP1447" s="62"/>
      <c r="AQ1447" s="39"/>
      <c r="AR1447" s="42" t="str">
        <f>IFERROR(VLOOKUP(AU1447,[1]SUMMARY!$A$3:$B$7,2,FALSE),"")</f>
        <v/>
      </c>
      <c r="AS1447" s="31"/>
      <c r="AT1447" s="31" t="e">
        <f>VLOOKUP(AS1447,[1]OUTLET!$B:$C,2,0)</f>
        <v>#N/A</v>
      </c>
      <c r="AU1447" s="31"/>
      <c r="AV1447" s="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44"/>
      <c r="BJ1447" s="44"/>
      <c r="BK1447" s="44"/>
      <c r="BL1447" s="44"/>
      <c r="BM1447" s="44"/>
      <c r="BN1447" s="44"/>
      <c r="BO1447" s="55"/>
      <c r="BP1447" s="40"/>
      <c r="BQ1447" s="4"/>
      <c r="BR1447" s="61"/>
      <c r="BS1447" s="4"/>
      <c r="BT1447" s="57"/>
      <c r="BU1447" s="62"/>
      <c r="BV1447" s="8"/>
      <c r="BW1447" s="58"/>
    </row>
    <row r="1448" spans="41:75" x14ac:dyDescent="0.35">
      <c r="AO1448" s="39">
        <v>1446</v>
      </c>
      <c r="AP1448" s="62"/>
      <c r="AQ1448" s="39"/>
      <c r="AR1448" s="42" t="str">
        <f>IFERROR(VLOOKUP(AU1448,[1]SUMMARY!$A$3:$B$7,2,FALSE),"")</f>
        <v/>
      </c>
      <c r="AS1448" s="31"/>
      <c r="AT1448" s="31" t="e">
        <f>VLOOKUP(AS1448,[1]OUTLET!$B:$C,2,0)</f>
        <v>#N/A</v>
      </c>
      <c r="AU1448" s="31"/>
      <c r="AV1448" s="4"/>
      <c r="AW1448" s="44"/>
      <c r="AX1448" s="44"/>
      <c r="AY1448" s="44"/>
      <c r="AZ1448" s="44"/>
      <c r="BA1448" s="44"/>
      <c r="BB1448" s="44"/>
      <c r="BC1448" s="44"/>
      <c r="BD1448" s="44"/>
      <c r="BE1448" s="44"/>
      <c r="BF1448" s="44"/>
      <c r="BG1448" s="44"/>
      <c r="BH1448" s="44"/>
      <c r="BI1448" s="44"/>
      <c r="BJ1448" s="44"/>
      <c r="BK1448" s="44"/>
      <c r="BL1448" s="44"/>
      <c r="BM1448" s="44"/>
      <c r="BN1448" s="44"/>
      <c r="BO1448" s="55"/>
      <c r="BP1448" s="40"/>
      <c r="BQ1448" s="4"/>
      <c r="BR1448" s="61"/>
      <c r="BS1448" s="4"/>
      <c r="BT1448" s="57"/>
      <c r="BU1448" s="62"/>
      <c r="BV1448" s="8"/>
      <c r="BW1448" s="58"/>
    </row>
    <row r="1449" spans="41:75" x14ac:dyDescent="0.35">
      <c r="AO1449" s="39">
        <v>1447</v>
      </c>
      <c r="AP1449" s="62"/>
      <c r="AQ1449" s="39"/>
      <c r="AR1449" s="42" t="str">
        <f>IFERROR(VLOOKUP(AU1449,[1]SUMMARY!$A$3:$B$7,2,FALSE),"")</f>
        <v/>
      </c>
      <c r="AS1449" s="31"/>
      <c r="AT1449" s="31" t="e">
        <f>VLOOKUP(AS1449,[1]OUTLET!$B:$C,2,0)</f>
        <v>#N/A</v>
      </c>
      <c r="AU1449" s="31"/>
      <c r="AV1449" s="4"/>
      <c r="AW1449" s="44"/>
      <c r="AX1449" s="44"/>
      <c r="AY1449" s="44"/>
      <c r="AZ1449" s="44"/>
      <c r="BA1449" s="44"/>
      <c r="BB1449" s="44"/>
      <c r="BC1449" s="44"/>
      <c r="BD1449" s="44"/>
      <c r="BE1449" s="44"/>
      <c r="BF1449" s="44"/>
      <c r="BG1449" s="44"/>
      <c r="BH1449" s="44"/>
      <c r="BI1449" s="44"/>
      <c r="BJ1449" s="44"/>
      <c r="BK1449" s="44"/>
      <c r="BL1449" s="44"/>
      <c r="BM1449" s="44"/>
      <c r="BN1449" s="44"/>
      <c r="BO1449" s="55"/>
      <c r="BP1449" s="40"/>
      <c r="BQ1449" s="4"/>
      <c r="BR1449" s="61"/>
      <c r="BS1449" s="4"/>
      <c r="BT1449" s="57"/>
      <c r="BU1449" s="62"/>
      <c r="BV1449" s="8"/>
      <c r="BW1449" s="58"/>
    </row>
    <row r="1450" spans="41:75" x14ac:dyDescent="0.35">
      <c r="AO1450" s="39">
        <v>1448</v>
      </c>
      <c r="AP1450" s="62"/>
      <c r="AQ1450" s="39"/>
      <c r="AR1450" s="42" t="str">
        <f>IFERROR(VLOOKUP(AU1450,[1]SUMMARY!$A$3:$B$7,2,FALSE),"")</f>
        <v/>
      </c>
      <c r="AS1450" s="31"/>
      <c r="AT1450" s="31" t="e">
        <f>VLOOKUP(AS1450,[1]OUTLET!$B:$C,2,0)</f>
        <v>#N/A</v>
      </c>
      <c r="AU1450" s="31"/>
      <c r="AV1450" s="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55"/>
      <c r="BP1450" s="40"/>
      <c r="BQ1450" s="4"/>
      <c r="BR1450" s="61"/>
      <c r="BS1450" s="4"/>
      <c r="BT1450" s="57"/>
      <c r="BU1450" s="62"/>
      <c r="BV1450" s="8"/>
      <c r="BW1450" s="58"/>
    </row>
    <row r="1451" spans="41:75" x14ac:dyDescent="0.35">
      <c r="AO1451" s="39">
        <v>1449</v>
      </c>
      <c r="AP1451" s="62"/>
      <c r="AQ1451" s="39"/>
      <c r="AR1451" s="42" t="str">
        <f>IFERROR(VLOOKUP(AU1451,[1]SUMMARY!$A$3:$B$7,2,FALSE),"")</f>
        <v/>
      </c>
      <c r="AS1451" s="31"/>
      <c r="AT1451" s="31" t="e">
        <f>VLOOKUP(AS1451,[1]OUTLET!$B:$C,2,0)</f>
        <v>#N/A</v>
      </c>
      <c r="AU1451" s="31"/>
      <c r="AV1451" s="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55"/>
      <c r="BP1451" s="40"/>
      <c r="BQ1451" s="4"/>
      <c r="BR1451" s="61"/>
      <c r="BS1451" s="4"/>
      <c r="BT1451" s="57"/>
      <c r="BU1451" s="62"/>
      <c r="BV1451" s="8"/>
      <c r="BW1451" s="58"/>
    </row>
    <row r="1452" spans="41:75" x14ac:dyDescent="0.35">
      <c r="AO1452" s="39">
        <v>1450</v>
      </c>
      <c r="AP1452" s="62"/>
      <c r="AQ1452" s="39"/>
      <c r="AR1452" s="42" t="str">
        <f>IFERROR(VLOOKUP(AU1452,[1]SUMMARY!$A$3:$B$7,2,FALSE),"")</f>
        <v/>
      </c>
      <c r="AS1452" s="31"/>
      <c r="AT1452" s="31" t="e">
        <f>VLOOKUP(AS1452,[1]OUTLET!$B:$C,2,0)</f>
        <v>#N/A</v>
      </c>
      <c r="AU1452" s="31"/>
      <c r="AV1452" s="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55"/>
      <c r="BP1452" s="40"/>
      <c r="BQ1452" s="4"/>
      <c r="BR1452" s="61"/>
      <c r="BS1452" s="4"/>
      <c r="BT1452" s="57"/>
      <c r="BU1452" s="62"/>
      <c r="BV1452" s="8"/>
      <c r="BW1452" s="58"/>
    </row>
    <row r="1453" spans="41:75" x14ac:dyDescent="0.35">
      <c r="AO1453" s="39">
        <v>1451</v>
      </c>
      <c r="AP1453" s="62"/>
      <c r="AQ1453" s="39"/>
      <c r="AR1453" s="42" t="str">
        <f>IFERROR(VLOOKUP(AU1453,[1]SUMMARY!$A$3:$B$7,2,FALSE),"")</f>
        <v/>
      </c>
      <c r="AS1453" s="31"/>
      <c r="AT1453" s="31" t="e">
        <f>VLOOKUP(AS1453,[1]OUTLET!$B:$C,2,0)</f>
        <v>#N/A</v>
      </c>
      <c r="AU1453" s="31"/>
      <c r="AV1453" s="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55"/>
      <c r="BP1453" s="40"/>
      <c r="BQ1453" s="4"/>
      <c r="BR1453" s="61"/>
      <c r="BS1453" s="4"/>
      <c r="BT1453" s="57"/>
      <c r="BU1453" s="62"/>
      <c r="BV1453" s="8"/>
      <c r="BW1453" s="58"/>
    </row>
    <row r="1454" spans="41:75" x14ac:dyDescent="0.35">
      <c r="AO1454" s="39">
        <v>1452</v>
      </c>
      <c r="AP1454" s="62"/>
      <c r="AQ1454" s="39"/>
      <c r="AR1454" s="42" t="str">
        <f>IFERROR(VLOOKUP(AU1454,[1]SUMMARY!$A$3:$B$7,2,FALSE),"")</f>
        <v/>
      </c>
      <c r="AS1454" s="31"/>
      <c r="AT1454" s="31" t="e">
        <f>VLOOKUP(AS1454,[1]OUTLET!$B:$C,2,0)</f>
        <v>#N/A</v>
      </c>
      <c r="AU1454" s="31"/>
      <c r="AV1454" s="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55"/>
      <c r="BP1454" s="40"/>
      <c r="BQ1454" s="4"/>
      <c r="BR1454" s="61"/>
      <c r="BS1454" s="4"/>
      <c r="BT1454" s="57"/>
      <c r="BU1454" s="62"/>
      <c r="BV1454" s="8"/>
      <c r="BW1454" s="58"/>
    </row>
    <row r="1455" spans="41:75" x14ac:dyDescent="0.35">
      <c r="AO1455" s="39">
        <v>1453</v>
      </c>
      <c r="AP1455" s="62"/>
      <c r="AQ1455" s="39"/>
      <c r="AR1455" s="42" t="str">
        <f>IFERROR(VLOOKUP(AU1455,[1]SUMMARY!$A$3:$B$7,2,FALSE),"")</f>
        <v/>
      </c>
      <c r="AS1455" s="31"/>
      <c r="AT1455" s="31" t="e">
        <f>VLOOKUP(AS1455,[1]OUTLET!$B:$C,2,0)</f>
        <v>#N/A</v>
      </c>
      <c r="AU1455" s="31"/>
      <c r="AV1455" s="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55"/>
      <c r="BP1455" s="40"/>
      <c r="BQ1455" s="4"/>
      <c r="BR1455" s="61"/>
      <c r="BS1455" s="4"/>
      <c r="BT1455" s="57"/>
      <c r="BU1455" s="62"/>
      <c r="BV1455" s="8"/>
      <c r="BW1455" s="58"/>
    </row>
    <row r="1456" spans="41:75" x14ac:dyDescent="0.35">
      <c r="AO1456" s="39">
        <v>1454</v>
      </c>
      <c r="AP1456" s="62"/>
      <c r="AQ1456" s="39"/>
      <c r="AR1456" s="42" t="str">
        <f>IFERROR(VLOOKUP(AU1456,[1]SUMMARY!$A$3:$B$7,2,FALSE),"")</f>
        <v/>
      </c>
      <c r="AS1456" s="31"/>
      <c r="AT1456" s="31" t="e">
        <f>VLOOKUP(AS1456,[1]OUTLET!$B:$C,2,0)</f>
        <v>#N/A</v>
      </c>
      <c r="AU1456" s="31"/>
      <c r="AV1456" s="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55"/>
      <c r="BP1456" s="40"/>
      <c r="BQ1456" s="4"/>
      <c r="BR1456" s="61"/>
      <c r="BS1456" s="4"/>
      <c r="BT1456" s="57"/>
      <c r="BU1456" s="62"/>
      <c r="BV1456" s="8"/>
      <c r="BW1456" s="58"/>
    </row>
    <row r="1457" spans="41:75" x14ac:dyDescent="0.35">
      <c r="AO1457" s="39">
        <v>1455</v>
      </c>
      <c r="AP1457" s="62"/>
      <c r="AQ1457" s="39"/>
      <c r="AR1457" s="42" t="str">
        <f>IFERROR(VLOOKUP(AU1457,[1]SUMMARY!$A$3:$B$7,2,FALSE),"")</f>
        <v/>
      </c>
      <c r="AS1457" s="31"/>
      <c r="AT1457" s="31" t="e">
        <f>VLOOKUP(AS1457,[1]OUTLET!$B:$C,2,0)</f>
        <v>#N/A</v>
      </c>
      <c r="AU1457" s="31"/>
      <c r="AV1457" s="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55"/>
      <c r="BP1457" s="40"/>
      <c r="BQ1457" s="4"/>
      <c r="BR1457" s="61"/>
      <c r="BS1457" s="4"/>
      <c r="BT1457" s="57"/>
      <c r="BU1457" s="62"/>
      <c r="BV1457" s="8"/>
      <c r="BW1457" s="58"/>
    </row>
    <row r="1458" spans="41:75" x14ac:dyDescent="0.35">
      <c r="AO1458" s="39">
        <v>1456</v>
      </c>
      <c r="AP1458" s="62"/>
      <c r="AQ1458" s="39"/>
      <c r="AR1458" s="42" t="str">
        <f>IFERROR(VLOOKUP(AU1458,[1]SUMMARY!$A$3:$B$7,2,FALSE),"")</f>
        <v/>
      </c>
      <c r="AS1458" s="31"/>
      <c r="AT1458" s="31" t="e">
        <f>VLOOKUP(AS1458,[1]OUTLET!$B:$C,2,0)</f>
        <v>#N/A</v>
      </c>
      <c r="AU1458" s="31"/>
      <c r="AV1458" s="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55"/>
      <c r="BP1458" s="40"/>
      <c r="BQ1458" s="4"/>
      <c r="BR1458" s="61"/>
      <c r="BS1458" s="4"/>
      <c r="BT1458" s="57"/>
      <c r="BU1458" s="62"/>
      <c r="BV1458" s="8"/>
      <c r="BW1458" s="58"/>
    </row>
    <row r="1459" spans="41:75" x14ac:dyDescent="0.35">
      <c r="AO1459" s="39">
        <v>1457</v>
      </c>
      <c r="AP1459" s="62"/>
      <c r="AQ1459" s="39"/>
      <c r="AR1459" s="42" t="str">
        <f>IFERROR(VLOOKUP(AU1459,[1]SUMMARY!$A$3:$B$7,2,FALSE),"")</f>
        <v/>
      </c>
      <c r="AS1459" s="31"/>
      <c r="AT1459" s="31" t="e">
        <f>VLOOKUP(AS1459,[1]OUTLET!$B:$C,2,0)</f>
        <v>#N/A</v>
      </c>
      <c r="AU1459" s="31"/>
      <c r="AV1459" s="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55"/>
      <c r="BP1459" s="40"/>
      <c r="BQ1459" s="4"/>
      <c r="BR1459" s="61"/>
      <c r="BS1459" s="4"/>
      <c r="BT1459" s="57"/>
      <c r="BU1459" s="62"/>
      <c r="BV1459" s="8"/>
      <c r="BW1459" s="58"/>
    </row>
    <row r="1460" spans="41:75" x14ac:dyDescent="0.35">
      <c r="AO1460" s="39">
        <v>1458</v>
      </c>
      <c r="AP1460" s="62"/>
      <c r="AQ1460" s="39"/>
      <c r="AR1460" s="42" t="str">
        <f>IFERROR(VLOOKUP(AU1460,[1]SUMMARY!$A$3:$B$7,2,FALSE),"")</f>
        <v/>
      </c>
      <c r="AS1460" s="31"/>
      <c r="AT1460" s="31" t="e">
        <f>VLOOKUP(AS1460,[1]OUTLET!$B:$C,2,0)</f>
        <v>#N/A</v>
      </c>
      <c r="AU1460" s="31"/>
      <c r="AV1460" s="4"/>
      <c r="AW1460" s="44"/>
      <c r="AX1460" s="44"/>
      <c r="AY1460" s="44"/>
      <c r="AZ1460" s="44"/>
      <c r="BA1460" s="44"/>
      <c r="BB1460" s="44"/>
      <c r="BC1460" s="44"/>
      <c r="BD1460" s="44"/>
      <c r="BE1460" s="44"/>
      <c r="BF1460" s="44"/>
      <c r="BG1460" s="44"/>
      <c r="BH1460" s="44"/>
      <c r="BI1460" s="44"/>
      <c r="BJ1460" s="44"/>
      <c r="BK1460" s="44"/>
      <c r="BL1460" s="44"/>
      <c r="BM1460" s="44"/>
      <c r="BN1460" s="44"/>
      <c r="BO1460" s="55"/>
      <c r="BP1460" s="40"/>
      <c r="BQ1460" s="4"/>
      <c r="BR1460" s="61"/>
      <c r="BS1460" s="4"/>
      <c r="BT1460" s="57"/>
      <c r="BU1460" s="62"/>
      <c r="BV1460" s="8"/>
      <c r="BW1460" s="58"/>
    </row>
    <row r="1461" spans="41:75" x14ac:dyDescent="0.35">
      <c r="AO1461" s="39">
        <v>1459</v>
      </c>
      <c r="AP1461" s="62"/>
      <c r="AQ1461" s="39"/>
      <c r="AR1461" s="42" t="str">
        <f>IFERROR(VLOOKUP(AU1461,[1]SUMMARY!$A$3:$B$7,2,FALSE),"")</f>
        <v/>
      </c>
      <c r="AS1461" s="31"/>
      <c r="AT1461" s="31" t="e">
        <f>VLOOKUP(AS1461,[1]OUTLET!$B:$C,2,0)</f>
        <v>#N/A</v>
      </c>
      <c r="AU1461" s="31"/>
      <c r="AV1461" s="4"/>
      <c r="AW1461" s="44"/>
      <c r="AX1461" s="44"/>
      <c r="AY1461" s="44"/>
      <c r="AZ1461" s="44"/>
      <c r="BA1461" s="44"/>
      <c r="BB1461" s="44"/>
      <c r="BC1461" s="44"/>
      <c r="BD1461" s="44"/>
      <c r="BE1461" s="44"/>
      <c r="BF1461" s="44"/>
      <c r="BG1461" s="44"/>
      <c r="BH1461" s="44"/>
      <c r="BI1461" s="44"/>
      <c r="BJ1461" s="44"/>
      <c r="BK1461" s="44"/>
      <c r="BL1461" s="44"/>
      <c r="BM1461" s="44"/>
      <c r="BN1461" s="44"/>
      <c r="BO1461" s="55"/>
      <c r="BP1461" s="40"/>
      <c r="BQ1461" s="4"/>
      <c r="BR1461" s="61"/>
      <c r="BS1461" s="4"/>
      <c r="BT1461" s="57"/>
      <c r="BU1461" s="62"/>
      <c r="BV1461" s="8"/>
      <c r="BW1461" s="58"/>
    </row>
    <row r="1462" spans="41:75" x14ac:dyDescent="0.35">
      <c r="AO1462" s="39">
        <v>1460</v>
      </c>
      <c r="AP1462" s="62"/>
      <c r="AQ1462" s="39"/>
      <c r="AR1462" s="42" t="str">
        <f>IFERROR(VLOOKUP(AU1462,[1]SUMMARY!$A$3:$B$7,2,FALSE),"")</f>
        <v/>
      </c>
      <c r="AS1462" s="31"/>
      <c r="AT1462" s="31" t="e">
        <f>VLOOKUP(AS1462,[1]OUTLET!$B:$C,2,0)</f>
        <v>#N/A</v>
      </c>
      <c r="AU1462" s="31"/>
      <c r="AV1462" s="4"/>
      <c r="AW1462" s="44"/>
      <c r="AX1462" s="44"/>
      <c r="AY1462" s="44"/>
      <c r="AZ1462" s="44"/>
      <c r="BA1462" s="44"/>
      <c r="BB1462" s="44"/>
      <c r="BC1462" s="44"/>
      <c r="BD1462" s="44"/>
      <c r="BE1462" s="44"/>
      <c r="BF1462" s="44"/>
      <c r="BG1462" s="44"/>
      <c r="BH1462" s="44"/>
      <c r="BI1462" s="44"/>
      <c r="BJ1462" s="44"/>
      <c r="BK1462" s="44"/>
      <c r="BL1462" s="44"/>
      <c r="BM1462" s="44"/>
      <c r="BN1462" s="44"/>
      <c r="BO1462" s="55"/>
      <c r="BP1462" s="40"/>
      <c r="BQ1462" s="4"/>
      <c r="BR1462" s="61"/>
      <c r="BS1462" s="4"/>
      <c r="BT1462" s="57"/>
      <c r="BU1462" s="62"/>
      <c r="BV1462" s="8"/>
      <c r="BW1462" s="58"/>
    </row>
    <row r="1463" spans="41:75" x14ac:dyDescent="0.35">
      <c r="AO1463" s="39">
        <v>1461</v>
      </c>
      <c r="AP1463" s="62"/>
      <c r="AQ1463" s="39"/>
      <c r="AR1463" s="42" t="str">
        <f>IFERROR(VLOOKUP(AU1463,[1]SUMMARY!$A$3:$B$7,2,FALSE),"")</f>
        <v/>
      </c>
      <c r="AS1463" s="31"/>
      <c r="AT1463" s="31" t="e">
        <f>VLOOKUP(AS1463,[1]OUTLET!$B:$C,2,0)</f>
        <v>#N/A</v>
      </c>
      <c r="AU1463" s="31"/>
      <c r="AV1463" s="4"/>
      <c r="AW1463" s="44"/>
      <c r="AX1463" s="44"/>
      <c r="AY1463" s="44"/>
      <c r="AZ1463" s="44"/>
      <c r="BA1463" s="44"/>
      <c r="BB1463" s="44"/>
      <c r="BC1463" s="44"/>
      <c r="BD1463" s="44"/>
      <c r="BE1463" s="44"/>
      <c r="BF1463" s="44"/>
      <c r="BG1463" s="44"/>
      <c r="BH1463" s="44"/>
      <c r="BI1463" s="44"/>
      <c r="BJ1463" s="44"/>
      <c r="BK1463" s="44"/>
      <c r="BL1463" s="44"/>
      <c r="BM1463" s="44"/>
      <c r="BN1463" s="44"/>
      <c r="BO1463" s="55"/>
      <c r="BP1463" s="40"/>
      <c r="BQ1463" s="4"/>
      <c r="BR1463" s="61"/>
      <c r="BS1463" s="4"/>
      <c r="BT1463" s="57"/>
      <c r="BU1463" s="62"/>
      <c r="BV1463" s="8"/>
      <c r="BW1463" s="58"/>
    </row>
    <row r="1464" spans="41:75" x14ac:dyDescent="0.35">
      <c r="AO1464" s="39">
        <v>1462</v>
      </c>
      <c r="AP1464" s="62"/>
      <c r="AQ1464" s="39"/>
      <c r="AR1464" s="42" t="str">
        <f>IFERROR(VLOOKUP(AU1464,[1]SUMMARY!$A$3:$B$7,2,FALSE),"")</f>
        <v/>
      </c>
      <c r="AS1464" s="31"/>
      <c r="AT1464" s="31" t="e">
        <f>VLOOKUP(AS1464,[1]OUTLET!$B:$C,2,0)</f>
        <v>#N/A</v>
      </c>
      <c r="AU1464" s="31"/>
      <c r="AV1464" s="4"/>
      <c r="AW1464" s="44"/>
      <c r="AX1464" s="44"/>
      <c r="AY1464" s="44"/>
      <c r="AZ1464" s="44"/>
      <c r="BA1464" s="44"/>
      <c r="BB1464" s="44"/>
      <c r="BC1464" s="44"/>
      <c r="BD1464" s="44"/>
      <c r="BE1464" s="44"/>
      <c r="BF1464" s="44"/>
      <c r="BG1464" s="44"/>
      <c r="BH1464" s="44"/>
      <c r="BI1464" s="44"/>
      <c r="BJ1464" s="44"/>
      <c r="BK1464" s="44"/>
      <c r="BL1464" s="44"/>
      <c r="BM1464" s="44"/>
      <c r="BN1464" s="44"/>
      <c r="BO1464" s="55"/>
      <c r="BP1464" s="40"/>
      <c r="BQ1464" s="4"/>
      <c r="BR1464" s="61"/>
      <c r="BS1464" s="4"/>
      <c r="BT1464" s="57"/>
      <c r="BU1464" s="62"/>
      <c r="BV1464" s="8"/>
      <c r="BW1464" s="58"/>
    </row>
    <row r="1465" spans="41:75" x14ac:dyDescent="0.35">
      <c r="AO1465" s="39">
        <v>1463</v>
      </c>
      <c r="AP1465" s="62"/>
      <c r="AQ1465" s="39"/>
      <c r="AR1465" s="42" t="str">
        <f>IFERROR(VLOOKUP(AU1465,[1]SUMMARY!$A$3:$B$7,2,FALSE),"")</f>
        <v/>
      </c>
      <c r="AS1465" s="31"/>
      <c r="AT1465" s="31" t="e">
        <f>VLOOKUP(AS1465,[1]OUTLET!$B:$C,2,0)</f>
        <v>#N/A</v>
      </c>
      <c r="AU1465" s="31"/>
      <c r="AV1465" s="4"/>
      <c r="AW1465" s="44"/>
      <c r="AX1465" s="44"/>
      <c r="AY1465" s="44"/>
      <c r="AZ1465" s="44"/>
      <c r="BA1465" s="44"/>
      <c r="BB1465" s="44"/>
      <c r="BC1465" s="44"/>
      <c r="BD1465" s="44"/>
      <c r="BE1465" s="44"/>
      <c r="BF1465" s="44"/>
      <c r="BG1465" s="44"/>
      <c r="BH1465" s="44"/>
      <c r="BI1465" s="44"/>
      <c r="BJ1465" s="44"/>
      <c r="BK1465" s="44"/>
      <c r="BL1465" s="44"/>
      <c r="BM1465" s="44"/>
      <c r="BN1465" s="44"/>
      <c r="BO1465" s="55"/>
      <c r="BP1465" s="40"/>
      <c r="BQ1465" s="4"/>
      <c r="BR1465" s="61"/>
      <c r="BS1465" s="4"/>
      <c r="BT1465" s="57"/>
      <c r="BU1465" s="62"/>
      <c r="BV1465" s="8"/>
      <c r="BW1465" s="58"/>
    </row>
    <row r="1466" spans="41:75" x14ac:dyDescent="0.35">
      <c r="AO1466" s="39">
        <v>1464</v>
      </c>
      <c r="AP1466" s="62"/>
      <c r="AQ1466" s="39"/>
      <c r="AR1466" s="42" t="str">
        <f>IFERROR(VLOOKUP(AU1466,[1]SUMMARY!$A$3:$B$7,2,FALSE),"")</f>
        <v/>
      </c>
      <c r="AS1466" s="31"/>
      <c r="AT1466" s="31" t="e">
        <f>VLOOKUP(AS1466,[1]OUTLET!$B:$C,2,0)</f>
        <v>#N/A</v>
      </c>
      <c r="AU1466" s="31"/>
      <c r="AV1466" s="4"/>
      <c r="AW1466" s="44"/>
      <c r="AX1466" s="44"/>
      <c r="AY1466" s="44"/>
      <c r="AZ1466" s="44"/>
      <c r="BA1466" s="44"/>
      <c r="BB1466" s="44"/>
      <c r="BC1466" s="44"/>
      <c r="BD1466" s="44"/>
      <c r="BE1466" s="44"/>
      <c r="BF1466" s="44"/>
      <c r="BG1466" s="44"/>
      <c r="BH1466" s="44"/>
      <c r="BI1466" s="44"/>
      <c r="BJ1466" s="44"/>
      <c r="BK1466" s="44"/>
      <c r="BL1466" s="44"/>
      <c r="BM1466" s="44"/>
      <c r="BN1466" s="44"/>
      <c r="BO1466" s="55"/>
      <c r="BP1466" s="40"/>
      <c r="BQ1466" s="4"/>
      <c r="BR1466" s="61"/>
      <c r="BS1466" s="4"/>
      <c r="BT1466" s="57"/>
      <c r="BU1466" s="62"/>
      <c r="BV1466" s="8"/>
      <c r="BW1466" s="58"/>
    </row>
    <row r="1467" spans="41:75" x14ac:dyDescent="0.35">
      <c r="AO1467" s="39">
        <v>1465</v>
      </c>
      <c r="AP1467" s="62"/>
      <c r="AQ1467" s="39"/>
      <c r="AR1467" s="42" t="str">
        <f>IFERROR(VLOOKUP(AU1467,[1]SUMMARY!$A$3:$B$7,2,FALSE),"")</f>
        <v/>
      </c>
      <c r="AS1467" s="31"/>
      <c r="AT1467" s="31" t="e">
        <f>VLOOKUP(AS1467,[1]OUTLET!$B:$C,2,0)</f>
        <v>#N/A</v>
      </c>
      <c r="AU1467" s="31"/>
      <c r="AV1467" s="4"/>
      <c r="AW1467" s="44"/>
      <c r="AX1467" s="44"/>
      <c r="AY1467" s="44"/>
      <c r="AZ1467" s="44"/>
      <c r="BA1467" s="44"/>
      <c r="BB1467" s="44"/>
      <c r="BC1467" s="44"/>
      <c r="BD1467" s="44"/>
      <c r="BE1467" s="44"/>
      <c r="BF1467" s="44"/>
      <c r="BG1467" s="44"/>
      <c r="BH1467" s="44"/>
      <c r="BI1467" s="44"/>
      <c r="BJ1467" s="44"/>
      <c r="BK1467" s="44"/>
      <c r="BL1467" s="44"/>
      <c r="BM1467" s="44"/>
      <c r="BN1467" s="44"/>
      <c r="BO1467" s="55"/>
      <c r="BP1467" s="40"/>
      <c r="BQ1467" s="4"/>
      <c r="BR1467" s="61"/>
      <c r="BS1467" s="4"/>
      <c r="BT1467" s="57"/>
      <c r="BU1467" s="62"/>
      <c r="BV1467" s="8"/>
      <c r="BW1467" s="58"/>
    </row>
    <row r="1468" spans="41:75" x14ac:dyDescent="0.35">
      <c r="AO1468" s="39">
        <v>1466</v>
      </c>
      <c r="AP1468" s="62"/>
      <c r="AQ1468" s="39"/>
      <c r="AR1468" s="42" t="str">
        <f>IFERROR(VLOOKUP(AU1468,[1]SUMMARY!$A$3:$B$7,2,FALSE),"")</f>
        <v/>
      </c>
      <c r="AS1468" s="31"/>
      <c r="AT1468" s="31" t="e">
        <f>VLOOKUP(AS1468,[1]OUTLET!$B:$C,2,0)</f>
        <v>#N/A</v>
      </c>
      <c r="AU1468" s="31"/>
      <c r="AV1468" s="4"/>
      <c r="AW1468" s="44"/>
      <c r="AX1468" s="44"/>
      <c r="AY1468" s="44"/>
      <c r="AZ1468" s="44"/>
      <c r="BA1468" s="44"/>
      <c r="BB1468" s="44"/>
      <c r="BC1468" s="44"/>
      <c r="BD1468" s="44"/>
      <c r="BE1468" s="44"/>
      <c r="BF1468" s="44"/>
      <c r="BG1468" s="44"/>
      <c r="BH1468" s="44"/>
      <c r="BI1468" s="44"/>
      <c r="BJ1468" s="44"/>
      <c r="BK1468" s="44"/>
      <c r="BL1468" s="44"/>
      <c r="BM1468" s="44"/>
      <c r="BN1468" s="44"/>
      <c r="BO1468" s="55"/>
      <c r="BP1468" s="40"/>
      <c r="BQ1468" s="4"/>
      <c r="BR1468" s="61"/>
      <c r="BS1468" s="4"/>
      <c r="BT1468" s="57"/>
      <c r="BU1468" s="62"/>
      <c r="BV1468" s="8"/>
      <c r="BW1468" s="58"/>
    </row>
    <row r="1469" spans="41:75" x14ac:dyDescent="0.35">
      <c r="AO1469" s="39">
        <v>1467</v>
      </c>
      <c r="AP1469" s="62"/>
      <c r="AQ1469" s="39"/>
      <c r="AR1469" s="42" t="str">
        <f>IFERROR(VLOOKUP(AU1469,[1]SUMMARY!$A$3:$B$7,2,FALSE),"")</f>
        <v/>
      </c>
      <c r="AS1469" s="31"/>
      <c r="AT1469" s="31" t="e">
        <f>VLOOKUP(AS1469,[1]OUTLET!$B:$C,2,0)</f>
        <v>#N/A</v>
      </c>
      <c r="AU1469" s="31"/>
      <c r="AV1469" s="4"/>
      <c r="AW1469" s="44"/>
      <c r="AX1469" s="44"/>
      <c r="AY1469" s="44"/>
      <c r="AZ1469" s="44"/>
      <c r="BA1469" s="44"/>
      <c r="BB1469" s="44"/>
      <c r="BC1469" s="44"/>
      <c r="BD1469" s="44"/>
      <c r="BE1469" s="44"/>
      <c r="BF1469" s="44"/>
      <c r="BG1469" s="44"/>
      <c r="BH1469" s="44"/>
      <c r="BI1469" s="44"/>
      <c r="BJ1469" s="44"/>
      <c r="BK1469" s="44"/>
      <c r="BL1469" s="44"/>
      <c r="BM1469" s="44"/>
      <c r="BN1469" s="44"/>
      <c r="BO1469" s="55"/>
      <c r="BP1469" s="40"/>
      <c r="BQ1469" s="4"/>
      <c r="BR1469" s="61"/>
      <c r="BS1469" s="4"/>
      <c r="BT1469" s="57"/>
      <c r="BU1469" s="62"/>
      <c r="BV1469" s="8"/>
      <c r="BW1469" s="58"/>
    </row>
    <row r="1470" spans="41:75" x14ac:dyDescent="0.35">
      <c r="AO1470" s="39">
        <v>1468</v>
      </c>
      <c r="AP1470" s="62"/>
      <c r="AQ1470" s="39"/>
      <c r="AR1470" s="42" t="str">
        <f>IFERROR(VLOOKUP(AU1470,[1]SUMMARY!$A$3:$B$7,2,FALSE),"")</f>
        <v/>
      </c>
      <c r="AS1470" s="31"/>
      <c r="AT1470" s="31" t="e">
        <f>VLOOKUP(AS1470,[1]OUTLET!$B:$C,2,0)</f>
        <v>#N/A</v>
      </c>
      <c r="AU1470" s="31"/>
      <c r="AV1470" s="4"/>
      <c r="AW1470" s="44"/>
      <c r="AX1470" s="44"/>
      <c r="AY1470" s="44"/>
      <c r="AZ1470" s="44"/>
      <c r="BA1470" s="44"/>
      <c r="BB1470" s="44"/>
      <c r="BC1470" s="44"/>
      <c r="BD1470" s="44"/>
      <c r="BE1470" s="44"/>
      <c r="BF1470" s="44"/>
      <c r="BG1470" s="44"/>
      <c r="BH1470" s="44"/>
      <c r="BI1470" s="44"/>
      <c r="BJ1470" s="44"/>
      <c r="BK1470" s="44"/>
      <c r="BL1470" s="44"/>
      <c r="BM1470" s="44"/>
      <c r="BN1470" s="44"/>
      <c r="BO1470" s="55"/>
      <c r="BP1470" s="40"/>
      <c r="BQ1470" s="4"/>
      <c r="BR1470" s="61"/>
      <c r="BS1470" s="4"/>
      <c r="BT1470" s="57"/>
      <c r="BU1470" s="62"/>
      <c r="BV1470" s="8"/>
      <c r="BW1470" s="58"/>
    </row>
    <row r="1471" spans="41:75" x14ac:dyDescent="0.35">
      <c r="AO1471" s="39">
        <v>1469</v>
      </c>
      <c r="AP1471" s="62"/>
      <c r="AQ1471" s="39"/>
      <c r="AR1471" s="42" t="str">
        <f>IFERROR(VLOOKUP(AU1471,[1]SUMMARY!$A$3:$B$7,2,FALSE),"")</f>
        <v/>
      </c>
      <c r="AS1471" s="31"/>
      <c r="AT1471" s="31" t="e">
        <f>VLOOKUP(AS1471,[1]OUTLET!$B:$C,2,0)</f>
        <v>#N/A</v>
      </c>
      <c r="AU1471" s="31"/>
      <c r="AV1471" s="4"/>
      <c r="AW1471" s="44"/>
      <c r="AX1471" s="44"/>
      <c r="AY1471" s="44"/>
      <c r="AZ1471" s="44"/>
      <c r="BA1471" s="44"/>
      <c r="BB1471" s="44"/>
      <c r="BC1471" s="44"/>
      <c r="BD1471" s="44"/>
      <c r="BE1471" s="44"/>
      <c r="BF1471" s="44"/>
      <c r="BG1471" s="44"/>
      <c r="BH1471" s="44"/>
      <c r="BI1471" s="44"/>
      <c r="BJ1471" s="44"/>
      <c r="BK1471" s="44"/>
      <c r="BL1471" s="44"/>
      <c r="BM1471" s="44"/>
      <c r="BN1471" s="44"/>
      <c r="BO1471" s="55"/>
      <c r="BP1471" s="40"/>
      <c r="BQ1471" s="4"/>
      <c r="BR1471" s="61"/>
      <c r="BS1471" s="4"/>
      <c r="BT1471" s="57"/>
      <c r="BU1471" s="62"/>
      <c r="BV1471" s="8"/>
      <c r="BW1471" s="58"/>
    </row>
    <row r="1472" spans="41:75" x14ac:dyDescent="0.35">
      <c r="AO1472" s="39">
        <v>1470</v>
      </c>
      <c r="AP1472" s="62"/>
      <c r="AQ1472" s="39"/>
      <c r="AR1472" s="42" t="str">
        <f>IFERROR(VLOOKUP(AU1472,[1]SUMMARY!$A$3:$B$7,2,FALSE),"")</f>
        <v/>
      </c>
      <c r="AS1472" s="31"/>
      <c r="AT1472" s="31" t="e">
        <f>VLOOKUP(AS1472,[1]OUTLET!$B:$C,2,0)</f>
        <v>#N/A</v>
      </c>
      <c r="AU1472" s="31"/>
      <c r="AV1472" s="4"/>
      <c r="AW1472" s="44"/>
      <c r="AX1472" s="44"/>
      <c r="AY1472" s="44"/>
      <c r="AZ1472" s="44"/>
      <c r="BA1472" s="44"/>
      <c r="BB1472" s="44"/>
      <c r="BC1472" s="44"/>
      <c r="BD1472" s="44"/>
      <c r="BE1472" s="44"/>
      <c r="BF1472" s="44"/>
      <c r="BG1472" s="44"/>
      <c r="BH1472" s="44"/>
      <c r="BI1472" s="44"/>
      <c r="BJ1472" s="44"/>
      <c r="BK1472" s="44"/>
      <c r="BL1472" s="44"/>
      <c r="BM1472" s="44"/>
      <c r="BN1472" s="44"/>
      <c r="BO1472" s="55"/>
      <c r="BP1472" s="40"/>
      <c r="BQ1472" s="4"/>
      <c r="BR1472" s="61"/>
      <c r="BS1472" s="4"/>
      <c r="BT1472" s="57"/>
      <c r="BU1472" s="62"/>
      <c r="BV1472" s="8"/>
      <c r="BW1472" s="58"/>
    </row>
    <row r="1473" spans="41:75" x14ac:dyDescent="0.35">
      <c r="AO1473" s="39">
        <v>1471</v>
      </c>
      <c r="AP1473" s="62"/>
      <c r="AQ1473" s="39"/>
      <c r="AR1473" s="42" t="str">
        <f>IFERROR(VLOOKUP(AU1473,[1]SUMMARY!$A$3:$B$7,2,FALSE),"")</f>
        <v/>
      </c>
      <c r="AS1473" s="31"/>
      <c r="AT1473" s="31" t="e">
        <f>VLOOKUP(AS1473,[1]OUTLET!$B:$C,2,0)</f>
        <v>#N/A</v>
      </c>
      <c r="AU1473" s="31"/>
      <c r="AV1473" s="4"/>
      <c r="AW1473" s="44"/>
      <c r="AX1473" s="44"/>
      <c r="AY1473" s="44"/>
      <c r="AZ1473" s="44"/>
      <c r="BA1473" s="44"/>
      <c r="BB1473" s="44"/>
      <c r="BC1473" s="44"/>
      <c r="BD1473" s="44"/>
      <c r="BE1473" s="44"/>
      <c r="BF1473" s="44"/>
      <c r="BG1473" s="44"/>
      <c r="BH1473" s="44"/>
      <c r="BI1473" s="44"/>
      <c r="BJ1473" s="44"/>
      <c r="BK1473" s="44"/>
      <c r="BL1473" s="44"/>
      <c r="BM1473" s="44"/>
      <c r="BN1473" s="44"/>
      <c r="BO1473" s="55"/>
      <c r="BP1473" s="40"/>
      <c r="BQ1473" s="4"/>
      <c r="BR1473" s="61"/>
      <c r="BS1473" s="4"/>
      <c r="BT1473" s="57"/>
      <c r="BU1473" s="62"/>
      <c r="BV1473" s="8"/>
      <c r="BW1473" s="58"/>
    </row>
    <row r="1474" spans="41:75" x14ac:dyDescent="0.35">
      <c r="AO1474" s="39">
        <v>1472</v>
      </c>
      <c r="AP1474" s="62"/>
      <c r="AQ1474" s="39"/>
      <c r="AR1474" s="42" t="str">
        <f>IFERROR(VLOOKUP(AU1474,[1]SUMMARY!$A$3:$B$7,2,FALSE),"")</f>
        <v/>
      </c>
      <c r="AS1474" s="31"/>
      <c r="AT1474" s="31" t="e">
        <f>VLOOKUP(AS1474,[1]OUTLET!$B:$C,2,0)</f>
        <v>#N/A</v>
      </c>
      <c r="AU1474" s="31"/>
      <c r="AV1474" s="4"/>
      <c r="AW1474" s="44"/>
      <c r="AX1474" s="44"/>
      <c r="AY1474" s="44"/>
      <c r="AZ1474" s="44"/>
      <c r="BA1474" s="44"/>
      <c r="BB1474" s="44"/>
      <c r="BC1474" s="44"/>
      <c r="BD1474" s="44"/>
      <c r="BE1474" s="44"/>
      <c r="BF1474" s="44"/>
      <c r="BG1474" s="44"/>
      <c r="BH1474" s="44"/>
      <c r="BI1474" s="44"/>
      <c r="BJ1474" s="44"/>
      <c r="BK1474" s="44"/>
      <c r="BL1474" s="44"/>
      <c r="BM1474" s="44"/>
      <c r="BN1474" s="44"/>
      <c r="BO1474" s="55"/>
      <c r="BP1474" s="40"/>
      <c r="BQ1474" s="4"/>
      <c r="BR1474" s="61"/>
      <c r="BS1474" s="4"/>
      <c r="BT1474" s="57"/>
      <c r="BU1474" s="62"/>
      <c r="BV1474" s="8"/>
      <c r="BW1474" s="58"/>
    </row>
    <row r="1475" spans="41:75" x14ac:dyDescent="0.35">
      <c r="AO1475" s="39">
        <v>1473</v>
      </c>
      <c r="AP1475" s="62"/>
      <c r="AQ1475" s="39"/>
      <c r="AR1475" s="42" t="str">
        <f>IFERROR(VLOOKUP(AU1475,[1]SUMMARY!$A$3:$B$7,2,FALSE),"")</f>
        <v/>
      </c>
      <c r="AS1475" s="31"/>
      <c r="AT1475" s="31" t="e">
        <f>VLOOKUP(AS1475,[1]OUTLET!$B:$C,2,0)</f>
        <v>#N/A</v>
      </c>
      <c r="AU1475" s="31"/>
      <c r="AV1475" s="4"/>
      <c r="AW1475" s="44"/>
      <c r="AX1475" s="44"/>
      <c r="AY1475" s="44"/>
      <c r="AZ1475" s="44"/>
      <c r="BA1475" s="44"/>
      <c r="BB1475" s="44"/>
      <c r="BC1475" s="44"/>
      <c r="BD1475" s="44"/>
      <c r="BE1475" s="44"/>
      <c r="BF1475" s="44"/>
      <c r="BG1475" s="44"/>
      <c r="BH1475" s="44"/>
      <c r="BI1475" s="44"/>
      <c r="BJ1475" s="44"/>
      <c r="BK1475" s="44"/>
      <c r="BL1475" s="44"/>
      <c r="BM1475" s="44"/>
      <c r="BN1475" s="44"/>
      <c r="BO1475" s="55"/>
      <c r="BP1475" s="40"/>
      <c r="BQ1475" s="4"/>
      <c r="BR1475" s="61"/>
      <c r="BS1475" s="4"/>
      <c r="BT1475" s="57"/>
      <c r="BU1475" s="62"/>
      <c r="BV1475" s="8"/>
      <c r="BW1475" s="58"/>
    </row>
    <row r="1476" spans="41:75" x14ac:dyDescent="0.35">
      <c r="AO1476" s="39">
        <v>1474</v>
      </c>
      <c r="AP1476" s="62"/>
      <c r="AQ1476" s="39"/>
      <c r="AR1476" s="42" t="str">
        <f>IFERROR(VLOOKUP(AU1476,[1]SUMMARY!$A$3:$B$7,2,FALSE),"")</f>
        <v/>
      </c>
      <c r="AS1476" s="31"/>
      <c r="AT1476" s="31" t="e">
        <f>VLOOKUP(AS1476,[1]OUTLET!$B:$C,2,0)</f>
        <v>#N/A</v>
      </c>
      <c r="AU1476" s="31"/>
      <c r="AV1476" s="4"/>
      <c r="AW1476" s="44"/>
      <c r="AX1476" s="44"/>
      <c r="AY1476" s="44"/>
      <c r="AZ1476" s="44"/>
      <c r="BA1476" s="44"/>
      <c r="BB1476" s="44"/>
      <c r="BC1476" s="44"/>
      <c r="BD1476" s="44"/>
      <c r="BE1476" s="44"/>
      <c r="BF1476" s="44"/>
      <c r="BG1476" s="44"/>
      <c r="BH1476" s="44"/>
      <c r="BI1476" s="44"/>
      <c r="BJ1476" s="44"/>
      <c r="BK1476" s="44"/>
      <c r="BL1476" s="44"/>
      <c r="BM1476" s="44"/>
      <c r="BN1476" s="44"/>
      <c r="BO1476" s="55"/>
      <c r="BP1476" s="40"/>
      <c r="BQ1476" s="4"/>
      <c r="BR1476" s="61"/>
      <c r="BS1476" s="4"/>
      <c r="BT1476" s="57"/>
      <c r="BU1476" s="62"/>
      <c r="BV1476" s="8"/>
      <c r="BW1476" s="58"/>
    </row>
    <row r="1477" spans="41:75" x14ac:dyDescent="0.35">
      <c r="AO1477" s="39">
        <v>1475</v>
      </c>
      <c r="AP1477" s="62"/>
      <c r="AQ1477" s="39"/>
      <c r="AR1477" s="42" t="str">
        <f>IFERROR(VLOOKUP(AU1477,[1]SUMMARY!$A$3:$B$7,2,FALSE),"")</f>
        <v/>
      </c>
      <c r="AS1477" s="31"/>
      <c r="AT1477" s="31" t="e">
        <f>VLOOKUP(AS1477,[1]OUTLET!$B:$C,2,0)</f>
        <v>#N/A</v>
      </c>
      <c r="AU1477" s="31"/>
      <c r="AV1477" s="4"/>
      <c r="AW1477" s="44"/>
      <c r="AX1477" s="44"/>
      <c r="AY1477" s="44"/>
      <c r="AZ1477" s="44"/>
      <c r="BA1477" s="44"/>
      <c r="BB1477" s="44"/>
      <c r="BC1477" s="44"/>
      <c r="BD1477" s="44"/>
      <c r="BE1477" s="44"/>
      <c r="BF1477" s="44"/>
      <c r="BG1477" s="44"/>
      <c r="BH1477" s="44"/>
      <c r="BI1477" s="44"/>
      <c r="BJ1477" s="44"/>
      <c r="BK1477" s="44"/>
      <c r="BL1477" s="44"/>
      <c r="BM1477" s="44"/>
      <c r="BN1477" s="44"/>
      <c r="BO1477" s="55"/>
      <c r="BP1477" s="40"/>
      <c r="BQ1477" s="4"/>
      <c r="BR1477" s="61"/>
      <c r="BS1477" s="4"/>
      <c r="BT1477" s="57"/>
      <c r="BU1477" s="62"/>
      <c r="BV1477" s="8"/>
      <c r="BW1477" s="58"/>
    </row>
    <row r="1478" spans="41:75" x14ac:dyDescent="0.35">
      <c r="AO1478" s="39">
        <v>1476</v>
      </c>
      <c r="AP1478" s="62"/>
      <c r="AQ1478" s="39"/>
      <c r="AR1478" s="42" t="str">
        <f>IFERROR(VLOOKUP(AU1478,[1]SUMMARY!$A$3:$B$7,2,FALSE),"")</f>
        <v/>
      </c>
      <c r="AS1478" s="31"/>
      <c r="AT1478" s="31" t="e">
        <f>VLOOKUP(AS1478,[1]OUTLET!$B:$C,2,0)</f>
        <v>#N/A</v>
      </c>
      <c r="AU1478" s="31"/>
      <c r="AV1478" s="4"/>
      <c r="AW1478" s="44"/>
      <c r="AX1478" s="44"/>
      <c r="AY1478" s="44"/>
      <c r="AZ1478" s="44"/>
      <c r="BA1478" s="44"/>
      <c r="BB1478" s="44"/>
      <c r="BC1478" s="44"/>
      <c r="BD1478" s="44"/>
      <c r="BE1478" s="44"/>
      <c r="BF1478" s="44"/>
      <c r="BG1478" s="44"/>
      <c r="BH1478" s="44"/>
      <c r="BI1478" s="44"/>
      <c r="BJ1478" s="44"/>
      <c r="BK1478" s="44"/>
      <c r="BL1478" s="44"/>
      <c r="BM1478" s="44"/>
      <c r="BN1478" s="44"/>
      <c r="BO1478" s="55"/>
      <c r="BP1478" s="40"/>
      <c r="BQ1478" s="4"/>
      <c r="BR1478" s="61"/>
      <c r="BS1478" s="4"/>
      <c r="BT1478" s="57"/>
      <c r="BU1478" s="62"/>
      <c r="BV1478" s="8"/>
      <c r="BW1478" s="58"/>
    </row>
    <row r="1479" spans="41:75" x14ac:dyDescent="0.35">
      <c r="AO1479" s="39">
        <v>1477</v>
      </c>
      <c r="AP1479" s="62"/>
      <c r="AQ1479" s="39"/>
      <c r="AR1479" s="42" t="str">
        <f>IFERROR(VLOOKUP(AU1479,[1]SUMMARY!$A$3:$B$7,2,FALSE),"")</f>
        <v/>
      </c>
      <c r="AS1479" s="31"/>
      <c r="AT1479" s="31" t="e">
        <f>VLOOKUP(AS1479,[1]OUTLET!$B:$C,2,0)</f>
        <v>#N/A</v>
      </c>
      <c r="AU1479" s="31"/>
      <c r="AV1479" s="4"/>
      <c r="AW1479" s="44"/>
      <c r="AX1479" s="44"/>
      <c r="AY1479" s="44"/>
      <c r="AZ1479" s="44"/>
      <c r="BA1479" s="44"/>
      <c r="BB1479" s="44"/>
      <c r="BC1479" s="44"/>
      <c r="BD1479" s="44"/>
      <c r="BE1479" s="44"/>
      <c r="BF1479" s="44"/>
      <c r="BG1479" s="44"/>
      <c r="BH1479" s="44"/>
      <c r="BI1479" s="44"/>
      <c r="BJ1479" s="44"/>
      <c r="BK1479" s="44"/>
      <c r="BL1479" s="44"/>
      <c r="BM1479" s="44"/>
      <c r="BN1479" s="44"/>
      <c r="BO1479" s="55"/>
      <c r="BP1479" s="40"/>
      <c r="BQ1479" s="4"/>
      <c r="BR1479" s="61"/>
      <c r="BS1479" s="4"/>
      <c r="BT1479" s="57"/>
      <c r="BU1479" s="62"/>
      <c r="BV1479" s="8"/>
      <c r="BW1479" s="58"/>
    </row>
    <row r="1480" spans="41:75" x14ac:dyDescent="0.35">
      <c r="AO1480" s="39">
        <v>1478</v>
      </c>
      <c r="AP1480" s="62"/>
      <c r="AQ1480" s="39"/>
      <c r="AR1480" s="42" t="str">
        <f>IFERROR(VLOOKUP(AU1480,[1]SUMMARY!$A$3:$B$7,2,FALSE),"")</f>
        <v/>
      </c>
      <c r="AS1480" s="31"/>
      <c r="AT1480" s="31" t="e">
        <f>VLOOKUP(AS1480,[1]OUTLET!$B:$C,2,0)</f>
        <v>#N/A</v>
      </c>
      <c r="AU1480" s="31"/>
      <c r="AV1480" s="4"/>
      <c r="AW1480" s="44"/>
      <c r="AX1480" s="44"/>
      <c r="AY1480" s="44"/>
      <c r="AZ1480" s="44"/>
      <c r="BA1480" s="44"/>
      <c r="BB1480" s="44"/>
      <c r="BC1480" s="44"/>
      <c r="BD1480" s="44"/>
      <c r="BE1480" s="44"/>
      <c r="BF1480" s="44"/>
      <c r="BG1480" s="44"/>
      <c r="BH1480" s="44"/>
      <c r="BI1480" s="44"/>
      <c r="BJ1480" s="44"/>
      <c r="BK1480" s="44"/>
      <c r="BL1480" s="44"/>
      <c r="BM1480" s="44"/>
      <c r="BN1480" s="44"/>
      <c r="BO1480" s="55"/>
      <c r="BP1480" s="40"/>
      <c r="BQ1480" s="4"/>
      <c r="BR1480" s="61"/>
      <c r="BS1480" s="4"/>
      <c r="BT1480" s="57"/>
      <c r="BU1480" s="62"/>
      <c r="BV1480" s="8"/>
      <c r="BW1480" s="58"/>
    </row>
    <row r="1481" spans="41:75" x14ac:dyDescent="0.35">
      <c r="AO1481" s="39">
        <v>1479</v>
      </c>
      <c r="AP1481" s="62"/>
      <c r="AQ1481" s="39"/>
      <c r="AR1481" s="42" t="str">
        <f>IFERROR(VLOOKUP(AU1481,[1]SUMMARY!$A$3:$B$7,2,FALSE),"")</f>
        <v/>
      </c>
      <c r="AS1481" s="31"/>
      <c r="AT1481" s="31" t="e">
        <f>VLOOKUP(AS1481,[1]OUTLET!$B:$C,2,0)</f>
        <v>#N/A</v>
      </c>
      <c r="AU1481" s="31"/>
      <c r="AV1481" s="4"/>
      <c r="AW1481" s="44"/>
      <c r="AX1481" s="44"/>
      <c r="AY1481" s="44"/>
      <c r="AZ1481" s="44"/>
      <c r="BA1481" s="44"/>
      <c r="BB1481" s="44"/>
      <c r="BC1481" s="44"/>
      <c r="BD1481" s="44"/>
      <c r="BE1481" s="44"/>
      <c r="BF1481" s="44"/>
      <c r="BG1481" s="44"/>
      <c r="BH1481" s="44"/>
      <c r="BI1481" s="44"/>
      <c r="BJ1481" s="44"/>
      <c r="BK1481" s="44"/>
      <c r="BL1481" s="44"/>
      <c r="BM1481" s="44"/>
      <c r="BN1481" s="44"/>
      <c r="BO1481" s="55"/>
      <c r="BP1481" s="40"/>
      <c r="BQ1481" s="4"/>
      <c r="BR1481" s="61"/>
      <c r="BS1481" s="4"/>
      <c r="BT1481" s="57"/>
      <c r="BU1481" s="62"/>
      <c r="BV1481" s="8"/>
      <c r="BW1481" s="58"/>
    </row>
    <row r="1482" spans="41:75" x14ac:dyDescent="0.35">
      <c r="AO1482" s="39">
        <v>1480</v>
      </c>
      <c r="AP1482" s="62"/>
      <c r="AQ1482" s="39"/>
      <c r="AR1482" s="42" t="str">
        <f>IFERROR(VLOOKUP(AU1482,[1]SUMMARY!$A$3:$B$7,2,FALSE),"")</f>
        <v/>
      </c>
      <c r="AS1482" s="31"/>
      <c r="AT1482" s="31" t="e">
        <f>VLOOKUP(AS1482,[1]OUTLET!$B:$C,2,0)</f>
        <v>#N/A</v>
      </c>
      <c r="AU1482" s="31"/>
      <c r="AV1482" s="4"/>
      <c r="AW1482" s="44"/>
      <c r="AX1482" s="44"/>
      <c r="AY1482" s="44"/>
      <c r="AZ1482" s="44"/>
      <c r="BA1482" s="44"/>
      <c r="BB1482" s="44"/>
      <c r="BC1482" s="44"/>
      <c r="BD1482" s="44"/>
      <c r="BE1482" s="44"/>
      <c r="BF1482" s="44"/>
      <c r="BG1482" s="44"/>
      <c r="BH1482" s="44"/>
      <c r="BI1482" s="44"/>
      <c r="BJ1482" s="44"/>
      <c r="BK1482" s="44"/>
      <c r="BL1482" s="44"/>
      <c r="BM1482" s="44"/>
      <c r="BN1482" s="44"/>
      <c r="BO1482" s="55"/>
      <c r="BP1482" s="40"/>
      <c r="BQ1482" s="4"/>
      <c r="BR1482" s="61"/>
      <c r="BS1482" s="4"/>
      <c r="BT1482" s="57"/>
      <c r="BU1482" s="62"/>
      <c r="BV1482" s="8"/>
      <c r="BW1482" s="58"/>
    </row>
    <row r="1483" spans="41:75" x14ac:dyDescent="0.35">
      <c r="AO1483" s="39">
        <v>1481</v>
      </c>
      <c r="AP1483" s="62"/>
      <c r="AQ1483" s="39"/>
      <c r="AR1483" s="42" t="str">
        <f>IFERROR(VLOOKUP(AU1483,[1]SUMMARY!$A$3:$B$7,2,FALSE),"")</f>
        <v/>
      </c>
      <c r="AS1483" s="31"/>
      <c r="AT1483" s="31" t="e">
        <f>VLOOKUP(AS1483,[1]OUTLET!$B:$C,2,0)</f>
        <v>#N/A</v>
      </c>
      <c r="AU1483" s="31"/>
      <c r="AV1483" s="4"/>
      <c r="AW1483" s="44"/>
      <c r="AX1483" s="44"/>
      <c r="AY1483" s="44"/>
      <c r="AZ1483" s="44"/>
      <c r="BA1483" s="44"/>
      <c r="BB1483" s="44"/>
      <c r="BC1483" s="44"/>
      <c r="BD1483" s="44"/>
      <c r="BE1483" s="44"/>
      <c r="BF1483" s="44"/>
      <c r="BG1483" s="44"/>
      <c r="BH1483" s="44"/>
      <c r="BI1483" s="44"/>
      <c r="BJ1483" s="44"/>
      <c r="BK1483" s="44"/>
      <c r="BL1483" s="44"/>
      <c r="BM1483" s="44"/>
      <c r="BN1483" s="44"/>
      <c r="BO1483" s="55"/>
      <c r="BP1483" s="40"/>
      <c r="BQ1483" s="4"/>
      <c r="BR1483" s="61"/>
      <c r="BS1483" s="4"/>
      <c r="BT1483" s="57"/>
      <c r="BU1483" s="62"/>
      <c r="BV1483" s="8"/>
      <c r="BW1483" s="58"/>
    </row>
    <row r="1484" spans="41:75" x14ac:dyDescent="0.35">
      <c r="AO1484" s="39">
        <v>1482</v>
      </c>
      <c r="AP1484" s="62"/>
      <c r="AQ1484" s="39"/>
      <c r="AR1484" s="42" t="str">
        <f>IFERROR(VLOOKUP(AU1484,[1]SUMMARY!$A$3:$B$7,2,FALSE),"")</f>
        <v/>
      </c>
      <c r="AS1484" s="31"/>
      <c r="AT1484" s="31" t="e">
        <f>VLOOKUP(AS1484,[1]OUTLET!$B:$C,2,0)</f>
        <v>#N/A</v>
      </c>
      <c r="AU1484" s="31"/>
      <c r="AV1484" s="4"/>
      <c r="AW1484" s="44"/>
      <c r="AX1484" s="44"/>
      <c r="AY1484" s="44"/>
      <c r="AZ1484" s="44"/>
      <c r="BA1484" s="44"/>
      <c r="BB1484" s="44"/>
      <c r="BC1484" s="44"/>
      <c r="BD1484" s="44"/>
      <c r="BE1484" s="44"/>
      <c r="BF1484" s="44"/>
      <c r="BG1484" s="44"/>
      <c r="BH1484" s="44"/>
      <c r="BI1484" s="44"/>
      <c r="BJ1484" s="44"/>
      <c r="BK1484" s="44"/>
      <c r="BL1484" s="44"/>
      <c r="BM1484" s="44"/>
      <c r="BN1484" s="44"/>
      <c r="BO1484" s="55"/>
      <c r="BP1484" s="40"/>
      <c r="BQ1484" s="4"/>
      <c r="BR1484" s="61"/>
      <c r="BS1484" s="4"/>
      <c r="BT1484" s="57"/>
      <c r="BU1484" s="62"/>
      <c r="BV1484" s="8"/>
      <c r="BW1484" s="58"/>
    </row>
    <row r="1485" spans="41:75" x14ac:dyDescent="0.35">
      <c r="AO1485" s="39">
        <v>1483</v>
      </c>
      <c r="AP1485" s="62"/>
      <c r="AQ1485" s="39"/>
      <c r="AR1485" s="42" t="str">
        <f>IFERROR(VLOOKUP(AU1485,[1]SUMMARY!$A$3:$B$7,2,FALSE),"")</f>
        <v/>
      </c>
      <c r="AS1485" s="31"/>
      <c r="AT1485" s="31" t="e">
        <f>VLOOKUP(AS1485,[1]OUTLET!$B:$C,2,0)</f>
        <v>#N/A</v>
      </c>
      <c r="AU1485" s="31"/>
      <c r="AV1485" s="4"/>
      <c r="AW1485" s="44"/>
      <c r="AX1485" s="44"/>
      <c r="AY1485" s="44"/>
      <c r="AZ1485" s="44"/>
      <c r="BA1485" s="44"/>
      <c r="BB1485" s="44"/>
      <c r="BC1485" s="44"/>
      <c r="BD1485" s="44"/>
      <c r="BE1485" s="44"/>
      <c r="BF1485" s="44"/>
      <c r="BG1485" s="44"/>
      <c r="BH1485" s="44"/>
      <c r="BI1485" s="44"/>
      <c r="BJ1485" s="44"/>
      <c r="BK1485" s="44"/>
      <c r="BL1485" s="44"/>
      <c r="BM1485" s="44"/>
      <c r="BN1485" s="44"/>
      <c r="BO1485" s="55"/>
      <c r="BP1485" s="40"/>
      <c r="BQ1485" s="4"/>
      <c r="BR1485" s="61"/>
      <c r="BS1485" s="4"/>
      <c r="BT1485" s="57"/>
      <c r="BU1485" s="62"/>
      <c r="BV1485" s="8"/>
      <c r="BW1485" s="58"/>
    </row>
    <row r="1486" spans="41:75" x14ac:dyDescent="0.35">
      <c r="AO1486" s="39">
        <v>1484</v>
      </c>
      <c r="AP1486" s="62"/>
      <c r="AQ1486" s="39"/>
      <c r="AR1486" s="42" t="str">
        <f>IFERROR(VLOOKUP(AU1486,[1]SUMMARY!$A$3:$B$7,2,FALSE),"")</f>
        <v/>
      </c>
      <c r="AS1486" s="31"/>
      <c r="AT1486" s="31" t="e">
        <f>VLOOKUP(AS1486,[1]OUTLET!$B:$C,2,0)</f>
        <v>#N/A</v>
      </c>
      <c r="AU1486" s="31"/>
      <c r="AV1486" s="4"/>
      <c r="AW1486" s="44"/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44"/>
      <c r="BJ1486" s="44"/>
      <c r="BK1486" s="44"/>
      <c r="BL1486" s="44"/>
      <c r="BM1486" s="44"/>
      <c r="BN1486" s="44"/>
      <c r="BO1486" s="55"/>
      <c r="BP1486" s="40"/>
      <c r="BQ1486" s="4"/>
      <c r="BR1486" s="61"/>
      <c r="BS1486" s="4"/>
      <c r="BT1486" s="57"/>
      <c r="BU1486" s="62"/>
      <c r="BV1486" s="8"/>
      <c r="BW1486" s="58"/>
    </row>
    <row r="1487" spans="41:75" x14ac:dyDescent="0.35">
      <c r="AO1487" s="39">
        <v>1485</v>
      </c>
      <c r="AP1487" s="62"/>
      <c r="AQ1487" s="39"/>
      <c r="AR1487" s="42" t="str">
        <f>IFERROR(VLOOKUP(AU1487,[1]SUMMARY!$A$3:$B$7,2,FALSE),"")</f>
        <v/>
      </c>
      <c r="AS1487" s="31"/>
      <c r="AT1487" s="31" t="e">
        <f>VLOOKUP(AS1487,[1]OUTLET!$B:$C,2,0)</f>
        <v>#N/A</v>
      </c>
      <c r="AU1487" s="31"/>
      <c r="AV1487" s="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44"/>
      <c r="BJ1487" s="44"/>
      <c r="BK1487" s="44"/>
      <c r="BL1487" s="44"/>
      <c r="BM1487" s="44"/>
      <c r="BN1487" s="44"/>
      <c r="BO1487" s="55"/>
      <c r="BP1487" s="40"/>
      <c r="BQ1487" s="4"/>
      <c r="BR1487" s="61"/>
      <c r="BS1487" s="4"/>
      <c r="BT1487" s="57"/>
      <c r="BU1487" s="62"/>
      <c r="BV1487" s="8"/>
      <c r="BW1487" s="58"/>
    </row>
    <row r="1488" spans="41:75" x14ac:dyDescent="0.35">
      <c r="AO1488" s="39">
        <v>1486</v>
      </c>
      <c r="AP1488" s="62"/>
      <c r="AQ1488" s="39"/>
      <c r="AR1488" s="42" t="str">
        <f>IFERROR(VLOOKUP(AU1488,[1]SUMMARY!$A$3:$B$7,2,FALSE),"")</f>
        <v/>
      </c>
      <c r="AS1488" s="31"/>
      <c r="AT1488" s="31" t="e">
        <f>VLOOKUP(AS1488,[1]OUTLET!$B:$C,2,0)</f>
        <v>#N/A</v>
      </c>
      <c r="AU1488" s="31"/>
      <c r="AV1488" s="4"/>
      <c r="AW1488" s="44"/>
      <c r="AX1488" s="44"/>
      <c r="AY1488" s="44"/>
      <c r="AZ1488" s="44"/>
      <c r="BA1488" s="44"/>
      <c r="BB1488" s="44"/>
      <c r="BC1488" s="44"/>
      <c r="BD1488" s="44"/>
      <c r="BE1488" s="44"/>
      <c r="BF1488" s="44"/>
      <c r="BG1488" s="44"/>
      <c r="BH1488" s="44"/>
      <c r="BI1488" s="44"/>
      <c r="BJ1488" s="44"/>
      <c r="BK1488" s="44"/>
      <c r="BL1488" s="44"/>
      <c r="BM1488" s="44"/>
      <c r="BN1488" s="44"/>
      <c r="BO1488" s="55"/>
      <c r="BP1488" s="40"/>
      <c r="BQ1488" s="4"/>
      <c r="BR1488" s="61"/>
      <c r="BS1488" s="4"/>
      <c r="BT1488" s="57"/>
      <c r="BU1488" s="62"/>
      <c r="BV1488" s="8"/>
      <c r="BW1488" s="58"/>
    </row>
    <row r="1489" spans="41:75" x14ac:dyDescent="0.35">
      <c r="AO1489" s="39">
        <v>1487</v>
      </c>
      <c r="AP1489" s="62"/>
      <c r="AQ1489" s="39"/>
      <c r="AR1489" s="42" t="str">
        <f>IFERROR(VLOOKUP(AU1489,[1]SUMMARY!$A$3:$B$7,2,FALSE),"")</f>
        <v/>
      </c>
      <c r="AS1489" s="31"/>
      <c r="AT1489" s="31" t="e">
        <f>VLOOKUP(AS1489,[1]OUTLET!$B:$C,2,0)</f>
        <v>#N/A</v>
      </c>
      <c r="AU1489" s="31"/>
      <c r="AV1489" s="4"/>
      <c r="AW1489" s="44"/>
      <c r="AX1489" s="44"/>
      <c r="AY1489" s="44"/>
      <c r="AZ1489" s="44"/>
      <c r="BA1489" s="44"/>
      <c r="BB1489" s="44"/>
      <c r="BC1489" s="44"/>
      <c r="BD1489" s="44"/>
      <c r="BE1489" s="44"/>
      <c r="BF1489" s="44"/>
      <c r="BG1489" s="44"/>
      <c r="BH1489" s="44"/>
      <c r="BI1489" s="44"/>
      <c r="BJ1489" s="44"/>
      <c r="BK1489" s="44"/>
      <c r="BL1489" s="44"/>
      <c r="BM1489" s="44"/>
      <c r="BN1489" s="44"/>
      <c r="BO1489" s="55"/>
      <c r="BP1489" s="40"/>
      <c r="BQ1489" s="4"/>
      <c r="BR1489" s="61"/>
      <c r="BS1489" s="4"/>
      <c r="BT1489" s="57"/>
      <c r="BU1489" s="62"/>
      <c r="BV1489" s="8"/>
      <c r="BW1489" s="58"/>
    </row>
    <row r="1490" spans="41:75" x14ac:dyDescent="0.35">
      <c r="AO1490" s="39">
        <v>1488</v>
      </c>
      <c r="AP1490" s="62"/>
      <c r="AQ1490" s="39"/>
      <c r="AR1490" s="42" t="str">
        <f>IFERROR(VLOOKUP(AU1490,[1]SUMMARY!$A$3:$B$7,2,FALSE),"")</f>
        <v/>
      </c>
      <c r="AS1490" s="31"/>
      <c r="AT1490" s="31" t="e">
        <f>VLOOKUP(AS1490,[1]OUTLET!$B:$C,2,0)</f>
        <v>#N/A</v>
      </c>
      <c r="AU1490" s="31"/>
      <c r="AV1490" s="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55"/>
      <c r="BP1490" s="40"/>
      <c r="BQ1490" s="4"/>
      <c r="BR1490" s="61"/>
      <c r="BS1490" s="4"/>
      <c r="BT1490" s="57"/>
      <c r="BU1490" s="62"/>
      <c r="BV1490" s="8"/>
      <c r="BW1490" s="58"/>
    </row>
    <row r="1491" spans="41:75" x14ac:dyDescent="0.35">
      <c r="AO1491" s="39">
        <v>1489</v>
      </c>
      <c r="AP1491" s="62"/>
      <c r="AQ1491" s="39"/>
      <c r="AR1491" s="42" t="str">
        <f>IFERROR(VLOOKUP(AU1491,[1]SUMMARY!$A$3:$B$7,2,FALSE),"")</f>
        <v/>
      </c>
      <c r="AS1491" s="31"/>
      <c r="AT1491" s="31" t="e">
        <f>VLOOKUP(AS1491,[1]OUTLET!$B:$C,2,0)</f>
        <v>#N/A</v>
      </c>
      <c r="AU1491" s="31"/>
      <c r="AV1491" s="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55"/>
      <c r="BP1491" s="40"/>
      <c r="BQ1491" s="4"/>
      <c r="BR1491" s="61"/>
      <c r="BS1491" s="4"/>
      <c r="BT1491" s="57"/>
      <c r="BU1491" s="62"/>
      <c r="BV1491" s="8"/>
      <c r="BW1491" s="58"/>
    </row>
    <row r="1492" spans="41:75" x14ac:dyDescent="0.35">
      <c r="AO1492" s="39">
        <v>1490</v>
      </c>
      <c r="AP1492" s="62"/>
      <c r="AQ1492" s="39"/>
      <c r="AR1492" s="42" t="str">
        <f>IFERROR(VLOOKUP(AU1492,[1]SUMMARY!$A$3:$B$7,2,FALSE),"")</f>
        <v/>
      </c>
      <c r="AS1492" s="31"/>
      <c r="AT1492" s="31" t="e">
        <f>VLOOKUP(AS1492,[1]OUTLET!$B:$C,2,0)</f>
        <v>#N/A</v>
      </c>
      <c r="AU1492" s="31"/>
      <c r="AV1492" s="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55"/>
      <c r="BP1492" s="40"/>
      <c r="BQ1492" s="4"/>
      <c r="BR1492" s="61"/>
      <c r="BS1492" s="4"/>
      <c r="BT1492" s="57"/>
      <c r="BU1492" s="62"/>
      <c r="BV1492" s="8"/>
      <c r="BW1492" s="58"/>
    </row>
    <row r="1493" spans="41:75" x14ac:dyDescent="0.35">
      <c r="AO1493" s="39">
        <v>1491</v>
      </c>
      <c r="AP1493" s="62"/>
      <c r="AQ1493" s="39"/>
      <c r="AR1493" s="42" t="str">
        <f>IFERROR(VLOOKUP(AU1493,[1]SUMMARY!$A$3:$B$7,2,FALSE),"")</f>
        <v/>
      </c>
      <c r="AS1493" s="31"/>
      <c r="AT1493" s="31" t="e">
        <f>VLOOKUP(AS1493,[1]OUTLET!$B:$C,2,0)</f>
        <v>#N/A</v>
      </c>
      <c r="AU1493" s="31"/>
      <c r="AV1493" s="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55"/>
      <c r="BP1493" s="40"/>
      <c r="BQ1493" s="4"/>
      <c r="BR1493" s="61"/>
      <c r="BS1493" s="4"/>
      <c r="BT1493" s="57"/>
      <c r="BU1493" s="62"/>
      <c r="BV1493" s="8"/>
      <c r="BW1493" s="58"/>
    </row>
    <row r="1494" spans="41:75" x14ac:dyDescent="0.35">
      <c r="AO1494" s="39">
        <v>1492</v>
      </c>
      <c r="AP1494" s="62"/>
      <c r="AQ1494" s="39"/>
      <c r="AR1494" s="42" t="str">
        <f>IFERROR(VLOOKUP(AU1494,[1]SUMMARY!$A$3:$B$7,2,FALSE),"")</f>
        <v/>
      </c>
      <c r="AS1494" s="31"/>
      <c r="AT1494" s="31" t="e">
        <f>VLOOKUP(AS1494,[1]OUTLET!$B:$C,2,0)</f>
        <v>#N/A</v>
      </c>
      <c r="AU1494" s="31"/>
      <c r="AV1494" s="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55"/>
      <c r="BP1494" s="40"/>
      <c r="BQ1494" s="4"/>
      <c r="BR1494" s="61"/>
      <c r="BS1494" s="4"/>
      <c r="BT1494" s="57"/>
      <c r="BU1494" s="62"/>
      <c r="BV1494" s="8"/>
      <c r="BW1494" s="58"/>
    </row>
    <row r="1495" spans="41:75" x14ac:dyDescent="0.35">
      <c r="AO1495" s="39">
        <v>1493</v>
      </c>
      <c r="AP1495" s="62"/>
      <c r="AQ1495" s="39"/>
      <c r="AR1495" s="42" t="str">
        <f>IFERROR(VLOOKUP(AU1495,[1]SUMMARY!$A$3:$B$7,2,FALSE),"")</f>
        <v/>
      </c>
      <c r="AS1495" s="31"/>
      <c r="AT1495" s="31" t="e">
        <f>VLOOKUP(AS1495,[1]OUTLET!$B:$C,2,0)</f>
        <v>#N/A</v>
      </c>
      <c r="AU1495" s="31"/>
      <c r="AV1495" s="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55"/>
      <c r="BP1495" s="40"/>
      <c r="BQ1495" s="4"/>
      <c r="BR1495" s="61"/>
      <c r="BS1495" s="4"/>
      <c r="BT1495" s="57"/>
      <c r="BU1495" s="62"/>
      <c r="BV1495" s="8"/>
      <c r="BW1495" s="58"/>
    </row>
    <row r="1496" spans="41:75" x14ac:dyDescent="0.35">
      <c r="AO1496" s="39">
        <v>1494</v>
      </c>
      <c r="AP1496" s="62"/>
      <c r="AQ1496" s="39"/>
      <c r="AR1496" s="42" t="str">
        <f>IFERROR(VLOOKUP(AU1496,[1]SUMMARY!$A$3:$B$7,2,FALSE),"")</f>
        <v/>
      </c>
      <c r="AS1496" s="31"/>
      <c r="AT1496" s="31" t="e">
        <f>VLOOKUP(AS1496,[1]OUTLET!$B:$C,2,0)</f>
        <v>#N/A</v>
      </c>
      <c r="AU1496" s="31"/>
      <c r="AV1496" s="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55"/>
      <c r="BP1496" s="40"/>
      <c r="BQ1496" s="4"/>
      <c r="BR1496" s="61"/>
      <c r="BS1496" s="4"/>
      <c r="BT1496" s="57"/>
      <c r="BU1496" s="62"/>
      <c r="BV1496" s="8"/>
      <c r="BW1496" s="58"/>
    </row>
    <row r="1497" spans="41:75" x14ac:dyDescent="0.35">
      <c r="AO1497" s="39">
        <v>1495</v>
      </c>
      <c r="AP1497" s="62"/>
      <c r="AQ1497" s="39"/>
      <c r="AR1497" s="42" t="str">
        <f>IFERROR(VLOOKUP(AU1497,[1]SUMMARY!$A$3:$B$7,2,FALSE),"")</f>
        <v/>
      </c>
      <c r="AS1497" s="31"/>
      <c r="AT1497" s="31" t="e">
        <f>VLOOKUP(AS1497,[1]OUTLET!$B:$C,2,0)</f>
        <v>#N/A</v>
      </c>
      <c r="AU1497" s="31"/>
      <c r="AV1497" s="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55"/>
      <c r="BP1497" s="40"/>
      <c r="BQ1497" s="4"/>
      <c r="BR1497" s="61"/>
      <c r="BS1497" s="4"/>
      <c r="BT1497" s="57"/>
      <c r="BU1497" s="62"/>
      <c r="BV1497" s="8"/>
      <c r="BW1497" s="58"/>
    </row>
    <row r="1498" spans="41:75" x14ac:dyDescent="0.35">
      <c r="AO1498" s="39">
        <v>1496</v>
      </c>
      <c r="AP1498" s="62"/>
      <c r="AQ1498" s="39"/>
      <c r="AR1498" s="42" t="str">
        <f>IFERROR(VLOOKUP(AU1498,[1]SUMMARY!$A$3:$B$7,2,FALSE),"")</f>
        <v/>
      </c>
      <c r="AS1498" s="31"/>
      <c r="AT1498" s="31" t="e">
        <f>VLOOKUP(AS1498,[1]OUTLET!$B:$C,2,0)</f>
        <v>#N/A</v>
      </c>
      <c r="AU1498" s="31"/>
      <c r="AV1498" s="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55"/>
      <c r="BP1498" s="40"/>
      <c r="BQ1498" s="4"/>
      <c r="BR1498" s="61"/>
      <c r="BS1498" s="4"/>
      <c r="BT1498" s="57"/>
      <c r="BU1498" s="62"/>
      <c r="BV1498" s="8"/>
      <c r="BW1498" s="58"/>
    </row>
    <row r="1499" spans="41:75" x14ac:dyDescent="0.35">
      <c r="AO1499" s="39">
        <v>1497</v>
      </c>
      <c r="AP1499" s="62"/>
      <c r="AQ1499" s="39"/>
      <c r="AR1499" s="42" t="str">
        <f>IFERROR(VLOOKUP(AU1499,[1]SUMMARY!$A$3:$B$7,2,FALSE),"")</f>
        <v/>
      </c>
      <c r="AS1499" s="31"/>
      <c r="AT1499" s="31" t="e">
        <f>VLOOKUP(AS1499,[1]OUTLET!$B:$C,2,0)</f>
        <v>#N/A</v>
      </c>
      <c r="AU1499" s="31"/>
      <c r="AV1499" s="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55"/>
      <c r="BP1499" s="40"/>
      <c r="BQ1499" s="4"/>
      <c r="BR1499" s="61"/>
      <c r="BS1499" s="4"/>
      <c r="BT1499" s="57"/>
      <c r="BU1499" s="62"/>
      <c r="BV1499" s="8"/>
      <c r="BW1499" s="58"/>
    </row>
    <row r="1500" spans="41:75" x14ac:dyDescent="0.35">
      <c r="AO1500" s="39">
        <v>1498</v>
      </c>
      <c r="AP1500" s="62"/>
      <c r="AQ1500" s="39"/>
      <c r="AR1500" s="42" t="str">
        <f>IFERROR(VLOOKUP(AU1500,[1]SUMMARY!$A$3:$B$7,2,FALSE),"")</f>
        <v/>
      </c>
      <c r="AS1500" s="31"/>
      <c r="AT1500" s="31" t="e">
        <f>VLOOKUP(AS1500,[1]OUTLET!$B:$C,2,0)</f>
        <v>#N/A</v>
      </c>
      <c r="AU1500" s="31"/>
      <c r="AV1500" s="4"/>
      <c r="AW1500" s="44"/>
      <c r="AX1500" s="44"/>
      <c r="AY1500" s="44"/>
      <c r="AZ1500" s="44"/>
      <c r="BA1500" s="44"/>
      <c r="BB1500" s="44"/>
      <c r="BC1500" s="44"/>
      <c r="BD1500" s="44"/>
      <c r="BE1500" s="44"/>
      <c r="BF1500" s="44"/>
      <c r="BG1500" s="44"/>
      <c r="BH1500" s="44"/>
      <c r="BI1500" s="44"/>
      <c r="BJ1500" s="44"/>
      <c r="BK1500" s="44"/>
      <c r="BL1500" s="44"/>
      <c r="BM1500" s="44"/>
      <c r="BN1500" s="44"/>
      <c r="BO1500" s="55"/>
      <c r="BP1500" s="40"/>
      <c r="BQ1500" s="4"/>
      <c r="BR1500" s="61"/>
      <c r="BS1500" s="4"/>
      <c r="BT1500" s="57"/>
      <c r="BU1500" s="62"/>
      <c r="BV1500" s="8"/>
      <c r="BW1500" s="58"/>
    </row>
    <row r="1501" spans="41:75" x14ac:dyDescent="0.35">
      <c r="AO1501" s="39">
        <v>1499</v>
      </c>
      <c r="AP1501" s="62"/>
      <c r="AQ1501" s="39"/>
      <c r="AR1501" s="42" t="str">
        <f>IFERROR(VLOOKUP(AU1501,[1]SUMMARY!$A$3:$B$7,2,FALSE),"")</f>
        <v/>
      </c>
      <c r="AS1501" s="31"/>
      <c r="AT1501" s="31" t="e">
        <f>VLOOKUP(AS1501,[1]OUTLET!$B:$C,2,0)</f>
        <v>#N/A</v>
      </c>
      <c r="AU1501" s="31"/>
      <c r="AV1501" s="4"/>
      <c r="AW1501" s="44"/>
      <c r="AX1501" s="44"/>
      <c r="AY1501" s="44"/>
      <c r="AZ1501" s="44"/>
      <c r="BA1501" s="44"/>
      <c r="BB1501" s="44"/>
      <c r="BC1501" s="44"/>
      <c r="BD1501" s="44"/>
      <c r="BE1501" s="44"/>
      <c r="BF1501" s="44"/>
      <c r="BG1501" s="44"/>
      <c r="BH1501" s="44"/>
      <c r="BI1501" s="44"/>
      <c r="BJ1501" s="44"/>
      <c r="BK1501" s="44"/>
      <c r="BL1501" s="44"/>
      <c r="BM1501" s="44"/>
      <c r="BN1501" s="44"/>
      <c r="BO1501" s="55"/>
      <c r="BP1501" s="40"/>
      <c r="BQ1501" s="4"/>
      <c r="BR1501" s="61"/>
      <c r="BS1501" s="4"/>
      <c r="BT1501" s="57"/>
      <c r="BU1501" s="62"/>
      <c r="BV1501" s="8"/>
      <c r="BW1501" s="58"/>
    </row>
    <row r="1502" spans="41:75" x14ac:dyDescent="0.35">
      <c r="AO1502" s="39">
        <v>1500</v>
      </c>
      <c r="AP1502" s="62"/>
      <c r="AQ1502" s="39"/>
      <c r="AR1502" s="42" t="str">
        <f>IFERROR(VLOOKUP(AU1502,[1]SUMMARY!$A$3:$B$7,2,FALSE),"")</f>
        <v/>
      </c>
      <c r="AS1502" s="31"/>
      <c r="AT1502" s="31" t="e">
        <f>VLOOKUP(AS1502,[1]OUTLET!$B:$C,2,0)</f>
        <v>#N/A</v>
      </c>
      <c r="AU1502" s="31"/>
      <c r="AV1502" s="4"/>
      <c r="AW1502" s="44"/>
      <c r="AX1502" s="44"/>
      <c r="AY1502" s="44"/>
      <c r="AZ1502" s="44"/>
      <c r="BA1502" s="44"/>
      <c r="BB1502" s="44"/>
      <c r="BC1502" s="44"/>
      <c r="BD1502" s="44"/>
      <c r="BE1502" s="44"/>
      <c r="BF1502" s="44"/>
      <c r="BG1502" s="44"/>
      <c r="BH1502" s="44"/>
      <c r="BI1502" s="44"/>
      <c r="BJ1502" s="44"/>
      <c r="BK1502" s="44"/>
      <c r="BL1502" s="44"/>
      <c r="BM1502" s="44"/>
      <c r="BN1502" s="44"/>
      <c r="BO1502" s="55"/>
      <c r="BP1502" s="40"/>
      <c r="BQ1502" s="4"/>
      <c r="BR1502" s="61"/>
      <c r="BS1502" s="4"/>
      <c r="BT1502" s="57"/>
      <c r="BU1502" s="62"/>
      <c r="BV1502" s="8"/>
      <c r="BW1502" s="58"/>
    </row>
    <row r="1503" spans="41:75" x14ac:dyDescent="0.35">
      <c r="AO1503" s="39">
        <v>1501</v>
      </c>
      <c r="AP1503" s="62"/>
      <c r="AQ1503" s="39"/>
      <c r="AR1503" s="42" t="str">
        <f>IFERROR(VLOOKUP(AU1503,[1]SUMMARY!$A$3:$B$7,2,FALSE),"")</f>
        <v/>
      </c>
      <c r="AS1503" s="31"/>
      <c r="AT1503" s="31" t="e">
        <f>VLOOKUP(AS1503,[1]OUTLET!$B:$C,2,0)</f>
        <v>#N/A</v>
      </c>
      <c r="AU1503" s="31"/>
      <c r="AV1503" s="4"/>
      <c r="AW1503" s="44"/>
      <c r="AX1503" s="44"/>
      <c r="AY1503" s="44"/>
      <c r="AZ1503" s="44"/>
      <c r="BA1503" s="44"/>
      <c r="BB1503" s="44"/>
      <c r="BC1503" s="44"/>
      <c r="BD1503" s="44"/>
      <c r="BE1503" s="44"/>
      <c r="BF1503" s="44"/>
      <c r="BG1503" s="44"/>
      <c r="BH1503" s="44"/>
      <c r="BI1503" s="44"/>
      <c r="BJ1503" s="44"/>
      <c r="BK1503" s="44"/>
      <c r="BL1503" s="44"/>
      <c r="BM1503" s="44"/>
      <c r="BN1503" s="44"/>
      <c r="BO1503" s="55"/>
      <c r="BP1503" s="40"/>
      <c r="BQ1503" s="4"/>
      <c r="BR1503" s="61"/>
      <c r="BS1503" s="4"/>
      <c r="BT1503" s="57"/>
      <c r="BU1503" s="62"/>
      <c r="BV1503" s="8"/>
      <c r="BW1503" s="58"/>
    </row>
    <row r="1504" spans="41:75" x14ac:dyDescent="0.35">
      <c r="AO1504" s="39">
        <v>1502</v>
      </c>
      <c r="AP1504" s="62"/>
      <c r="AQ1504" s="39"/>
      <c r="AR1504" s="42" t="str">
        <f>IFERROR(VLOOKUP(AU1504,[1]SUMMARY!$A$3:$B$7,2,FALSE),"")</f>
        <v/>
      </c>
      <c r="AS1504" s="31"/>
      <c r="AT1504" s="31" t="e">
        <f>VLOOKUP(AS1504,[1]OUTLET!$B:$C,2,0)</f>
        <v>#N/A</v>
      </c>
      <c r="AU1504" s="31"/>
      <c r="AV1504" s="4"/>
      <c r="AW1504" s="44"/>
      <c r="AX1504" s="44"/>
      <c r="AY1504" s="44"/>
      <c r="AZ1504" s="44"/>
      <c r="BA1504" s="44"/>
      <c r="BB1504" s="44"/>
      <c r="BC1504" s="44"/>
      <c r="BD1504" s="44"/>
      <c r="BE1504" s="44"/>
      <c r="BF1504" s="44"/>
      <c r="BG1504" s="44"/>
      <c r="BH1504" s="44"/>
      <c r="BI1504" s="44"/>
      <c r="BJ1504" s="44"/>
      <c r="BK1504" s="44"/>
      <c r="BL1504" s="44"/>
      <c r="BM1504" s="44"/>
      <c r="BN1504" s="44"/>
      <c r="BO1504" s="55"/>
      <c r="BP1504" s="40"/>
      <c r="BQ1504" s="4"/>
      <c r="BR1504" s="61"/>
      <c r="BS1504" s="4"/>
      <c r="BT1504" s="57"/>
      <c r="BU1504" s="62"/>
      <c r="BV1504" s="8"/>
      <c r="BW1504" s="58"/>
    </row>
    <row r="1505" spans="41:75" x14ac:dyDescent="0.35">
      <c r="AO1505" s="39">
        <v>1503</v>
      </c>
      <c r="AP1505" s="62"/>
      <c r="AQ1505" s="39"/>
      <c r="AR1505" s="42" t="str">
        <f>IFERROR(VLOOKUP(AU1505,[1]SUMMARY!$A$3:$B$7,2,FALSE),"")</f>
        <v/>
      </c>
      <c r="AS1505" s="31"/>
      <c r="AT1505" s="31" t="e">
        <f>VLOOKUP(AS1505,[1]OUTLET!$B:$C,2,0)</f>
        <v>#N/A</v>
      </c>
      <c r="AU1505" s="31"/>
      <c r="AV1505" s="4"/>
      <c r="AW1505" s="44"/>
      <c r="AX1505" s="44"/>
      <c r="AY1505" s="44"/>
      <c r="AZ1505" s="44"/>
      <c r="BA1505" s="44"/>
      <c r="BB1505" s="44"/>
      <c r="BC1505" s="44"/>
      <c r="BD1505" s="44"/>
      <c r="BE1505" s="44"/>
      <c r="BF1505" s="44"/>
      <c r="BG1505" s="44"/>
      <c r="BH1505" s="44"/>
      <c r="BI1505" s="44"/>
      <c r="BJ1505" s="44"/>
      <c r="BK1505" s="44"/>
      <c r="BL1505" s="44"/>
      <c r="BM1505" s="44"/>
      <c r="BN1505" s="44"/>
      <c r="BO1505" s="55"/>
      <c r="BP1505" s="40"/>
      <c r="BQ1505" s="4"/>
      <c r="BR1505" s="61"/>
      <c r="BS1505" s="4"/>
      <c r="BT1505" s="57"/>
      <c r="BU1505" s="62"/>
      <c r="BV1505" s="8"/>
      <c r="BW1505" s="58"/>
    </row>
    <row r="1506" spans="41:75" x14ac:dyDescent="0.35">
      <c r="AO1506" s="39">
        <v>1504</v>
      </c>
      <c r="AP1506" s="62"/>
      <c r="AQ1506" s="39"/>
      <c r="AR1506" s="42" t="str">
        <f>IFERROR(VLOOKUP(AU1506,[1]SUMMARY!$A$3:$B$7,2,FALSE),"")</f>
        <v/>
      </c>
      <c r="AS1506" s="31"/>
      <c r="AT1506" s="31" t="e">
        <f>VLOOKUP(AS1506,[1]OUTLET!$B:$C,2,0)</f>
        <v>#N/A</v>
      </c>
      <c r="AU1506" s="31"/>
      <c r="AV1506" s="4"/>
      <c r="AW1506" s="44"/>
      <c r="AX1506" s="44"/>
      <c r="AY1506" s="44"/>
      <c r="AZ1506" s="44"/>
      <c r="BA1506" s="44"/>
      <c r="BB1506" s="44"/>
      <c r="BC1506" s="44"/>
      <c r="BD1506" s="44"/>
      <c r="BE1506" s="44"/>
      <c r="BF1506" s="44"/>
      <c r="BG1506" s="44"/>
      <c r="BH1506" s="44"/>
      <c r="BI1506" s="44"/>
      <c r="BJ1506" s="44"/>
      <c r="BK1506" s="44"/>
      <c r="BL1506" s="44"/>
      <c r="BM1506" s="44"/>
      <c r="BN1506" s="44"/>
      <c r="BO1506" s="55"/>
      <c r="BP1506" s="40"/>
      <c r="BQ1506" s="4"/>
      <c r="BR1506" s="61"/>
      <c r="BS1506" s="4"/>
      <c r="BT1506" s="57"/>
      <c r="BU1506" s="62"/>
      <c r="BV1506" s="8"/>
      <c r="BW1506" s="58"/>
    </row>
    <row r="1507" spans="41:75" x14ac:dyDescent="0.35">
      <c r="AO1507" s="39">
        <v>1505</v>
      </c>
      <c r="AP1507" s="62"/>
      <c r="AQ1507" s="39"/>
      <c r="AR1507" s="42" t="str">
        <f>IFERROR(VLOOKUP(AU1507,[1]SUMMARY!$A$3:$B$7,2,FALSE),"")</f>
        <v/>
      </c>
      <c r="AS1507" s="31"/>
      <c r="AT1507" s="31" t="e">
        <f>VLOOKUP(AS1507,[1]OUTLET!$B:$C,2,0)</f>
        <v>#N/A</v>
      </c>
      <c r="AU1507" s="31"/>
      <c r="AV1507" s="4"/>
      <c r="AW1507" s="44"/>
      <c r="AX1507" s="44"/>
      <c r="AY1507" s="44"/>
      <c r="AZ1507" s="44"/>
      <c r="BA1507" s="44"/>
      <c r="BB1507" s="44"/>
      <c r="BC1507" s="44"/>
      <c r="BD1507" s="44"/>
      <c r="BE1507" s="44"/>
      <c r="BF1507" s="44"/>
      <c r="BG1507" s="44"/>
      <c r="BH1507" s="44"/>
      <c r="BI1507" s="44"/>
      <c r="BJ1507" s="44"/>
      <c r="BK1507" s="44"/>
      <c r="BL1507" s="44"/>
      <c r="BM1507" s="44"/>
      <c r="BN1507" s="44"/>
      <c r="BO1507" s="55"/>
      <c r="BP1507" s="40"/>
      <c r="BQ1507" s="4"/>
      <c r="BR1507" s="61"/>
      <c r="BS1507" s="4"/>
      <c r="BT1507" s="57"/>
      <c r="BU1507" s="62"/>
      <c r="BV1507" s="8"/>
      <c r="BW1507" s="58"/>
    </row>
    <row r="1508" spans="41:75" x14ac:dyDescent="0.35">
      <c r="AO1508" s="39">
        <v>1506</v>
      </c>
      <c r="AP1508" s="62"/>
      <c r="AQ1508" s="39"/>
      <c r="AR1508" s="42" t="str">
        <f>IFERROR(VLOOKUP(AU1508,[1]SUMMARY!$A$3:$B$7,2,FALSE),"")</f>
        <v/>
      </c>
      <c r="AS1508" s="31"/>
      <c r="AT1508" s="31" t="e">
        <f>VLOOKUP(AS1508,[1]OUTLET!$B:$C,2,0)</f>
        <v>#N/A</v>
      </c>
      <c r="AU1508" s="31"/>
      <c r="AV1508" s="4"/>
      <c r="AW1508" s="44"/>
      <c r="AX1508" s="44"/>
      <c r="AY1508" s="44"/>
      <c r="AZ1508" s="44"/>
      <c r="BA1508" s="44"/>
      <c r="BB1508" s="44"/>
      <c r="BC1508" s="44"/>
      <c r="BD1508" s="44"/>
      <c r="BE1508" s="44"/>
      <c r="BF1508" s="44"/>
      <c r="BG1508" s="44"/>
      <c r="BH1508" s="44"/>
      <c r="BI1508" s="44"/>
      <c r="BJ1508" s="44"/>
      <c r="BK1508" s="44"/>
      <c r="BL1508" s="44"/>
      <c r="BM1508" s="44"/>
      <c r="BN1508" s="44"/>
      <c r="BO1508" s="55"/>
      <c r="BP1508" s="40"/>
      <c r="BQ1508" s="4"/>
      <c r="BR1508" s="61"/>
      <c r="BS1508" s="4"/>
      <c r="BT1508" s="57"/>
      <c r="BU1508" s="62"/>
      <c r="BV1508" s="8"/>
      <c r="BW1508" s="58"/>
    </row>
    <row r="1509" spans="41:75" x14ac:dyDescent="0.35">
      <c r="AO1509" s="39">
        <v>1507</v>
      </c>
      <c r="AP1509" s="62"/>
      <c r="AQ1509" s="39"/>
      <c r="AR1509" s="42" t="str">
        <f>IFERROR(VLOOKUP(AU1509,[1]SUMMARY!$A$3:$B$7,2,FALSE),"")</f>
        <v/>
      </c>
      <c r="AS1509" s="31"/>
      <c r="AT1509" s="31" t="e">
        <f>VLOOKUP(AS1509,[1]OUTLET!$B:$C,2,0)</f>
        <v>#N/A</v>
      </c>
      <c r="AU1509" s="31"/>
      <c r="AV1509" s="4"/>
      <c r="AW1509" s="44"/>
      <c r="AX1509" s="44"/>
      <c r="AY1509" s="44"/>
      <c r="AZ1509" s="44"/>
      <c r="BA1509" s="44"/>
      <c r="BB1509" s="44"/>
      <c r="BC1509" s="44"/>
      <c r="BD1509" s="44"/>
      <c r="BE1509" s="44"/>
      <c r="BF1509" s="44"/>
      <c r="BG1509" s="44"/>
      <c r="BH1509" s="44"/>
      <c r="BI1509" s="44"/>
      <c r="BJ1509" s="44"/>
      <c r="BK1509" s="44"/>
      <c r="BL1509" s="44"/>
      <c r="BM1509" s="44"/>
      <c r="BN1509" s="44"/>
      <c r="BO1509" s="55"/>
      <c r="BP1509" s="40"/>
      <c r="BQ1509" s="4"/>
      <c r="BR1509" s="61"/>
      <c r="BS1509" s="4"/>
      <c r="BT1509" s="57"/>
      <c r="BU1509" s="62"/>
      <c r="BV1509" s="8"/>
      <c r="BW1509" s="58"/>
    </row>
    <row r="1510" spans="41:75" x14ac:dyDescent="0.35">
      <c r="AO1510" s="39">
        <v>1508</v>
      </c>
      <c r="AP1510" s="62"/>
      <c r="AQ1510" s="39"/>
      <c r="AR1510" s="42" t="str">
        <f>IFERROR(VLOOKUP(AU1510,[1]SUMMARY!$A$3:$B$7,2,FALSE),"")</f>
        <v/>
      </c>
      <c r="AS1510" s="31"/>
      <c r="AT1510" s="31" t="e">
        <f>VLOOKUP(AS1510,[1]OUTLET!$B:$C,2,0)</f>
        <v>#N/A</v>
      </c>
      <c r="AU1510" s="31"/>
      <c r="AV1510" s="4"/>
      <c r="AW1510" s="44"/>
      <c r="AX1510" s="44"/>
      <c r="AY1510" s="44"/>
      <c r="AZ1510" s="44"/>
      <c r="BA1510" s="44"/>
      <c r="BB1510" s="44"/>
      <c r="BC1510" s="44"/>
      <c r="BD1510" s="44"/>
      <c r="BE1510" s="44"/>
      <c r="BF1510" s="44"/>
      <c r="BG1510" s="44"/>
      <c r="BH1510" s="44"/>
      <c r="BI1510" s="44"/>
      <c r="BJ1510" s="44"/>
      <c r="BK1510" s="44"/>
      <c r="BL1510" s="44"/>
      <c r="BM1510" s="44"/>
      <c r="BN1510" s="44"/>
      <c r="BO1510" s="55"/>
      <c r="BP1510" s="40"/>
      <c r="BQ1510" s="4"/>
      <c r="BR1510" s="61"/>
      <c r="BS1510" s="4"/>
      <c r="BT1510" s="57"/>
      <c r="BU1510" s="62"/>
      <c r="BV1510" s="8"/>
      <c r="BW1510" s="58"/>
    </row>
    <row r="1511" spans="41:75" x14ac:dyDescent="0.35">
      <c r="AO1511" s="39">
        <v>1509</v>
      </c>
      <c r="AP1511" s="62"/>
      <c r="AQ1511" s="39"/>
      <c r="AR1511" s="42" t="str">
        <f>IFERROR(VLOOKUP(AU1511,[1]SUMMARY!$A$3:$B$7,2,FALSE),"")</f>
        <v/>
      </c>
      <c r="AS1511" s="31"/>
      <c r="AT1511" s="31" t="e">
        <f>VLOOKUP(AS1511,[1]OUTLET!$B:$C,2,0)</f>
        <v>#N/A</v>
      </c>
      <c r="AU1511" s="31"/>
      <c r="AV1511" s="4"/>
      <c r="AW1511" s="44"/>
      <c r="AX1511" s="44"/>
      <c r="AY1511" s="44"/>
      <c r="AZ1511" s="44"/>
      <c r="BA1511" s="44"/>
      <c r="BB1511" s="44"/>
      <c r="BC1511" s="44"/>
      <c r="BD1511" s="44"/>
      <c r="BE1511" s="44"/>
      <c r="BF1511" s="44"/>
      <c r="BG1511" s="44"/>
      <c r="BH1511" s="44"/>
      <c r="BI1511" s="44"/>
      <c r="BJ1511" s="44"/>
      <c r="BK1511" s="44"/>
      <c r="BL1511" s="44"/>
      <c r="BM1511" s="44"/>
      <c r="BN1511" s="44"/>
      <c r="BO1511" s="55"/>
      <c r="BP1511" s="40"/>
      <c r="BQ1511" s="4"/>
      <c r="BR1511" s="61"/>
      <c r="BS1511" s="4"/>
      <c r="BT1511" s="57"/>
      <c r="BU1511" s="62"/>
      <c r="BV1511" s="8"/>
      <c r="BW1511" s="58"/>
    </row>
    <row r="1512" spans="41:75" x14ac:dyDescent="0.35">
      <c r="AO1512" s="39">
        <v>1510</v>
      </c>
      <c r="AP1512" s="62"/>
      <c r="AQ1512" s="39"/>
      <c r="AR1512" s="42" t="str">
        <f>IFERROR(VLOOKUP(AU1512,[1]SUMMARY!$A$3:$B$7,2,FALSE),"")</f>
        <v/>
      </c>
      <c r="AS1512" s="31"/>
      <c r="AT1512" s="31" t="e">
        <f>VLOOKUP(AS1512,[1]OUTLET!$B:$C,2,0)</f>
        <v>#N/A</v>
      </c>
      <c r="AU1512" s="31"/>
      <c r="AV1512" s="4"/>
      <c r="AW1512" s="44"/>
      <c r="AX1512" s="44"/>
      <c r="AY1512" s="44"/>
      <c r="AZ1512" s="44"/>
      <c r="BA1512" s="44"/>
      <c r="BB1512" s="44"/>
      <c r="BC1512" s="44"/>
      <c r="BD1512" s="44"/>
      <c r="BE1512" s="44"/>
      <c r="BF1512" s="44"/>
      <c r="BG1512" s="44"/>
      <c r="BH1512" s="44"/>
      <c r="BI1512" s="44"/>
      <c r="BJ1512" s="44"/>
      <c r="BK1512" s="44"/>
      <c r="BL1512" s="44"/>
      <c r="BM1512" s="44"/>
      <c r="BN1512" s="44"/>
      <c r="BO1512" s="55"/>
      <c r="BP1512" s="40"/>
      <c r="BQ1512" s="4"/>
      <c r="BR1512" s="61"/>
      <c r="BS1512" s="4"/>
      <c r="BT1512" s="57"/>
      <c r="BU1512" s="62"/>
      <c r="BV1512" s="8"/>
      <c r="BW1512" s="58"/>
    </row>
    <row r="1513" spans="41:75" x14ac:dyDescent="0.35">
      <c r="AO1513" s="39">
        <v>1511</v>
      </c>
      <c r="AP1513" s="62"/>
      <c r="AQ1513" s="39"/>
      <c r="AR1513" s="42" t="str">
        <f>IFERROR(VLOOKUP(AU1513,[1]SUMMARY!$A$3:$B$7,2,FALSE),"")</f>
        <v/>
      </c>
      <c r="AS1513" s="31"/>
      <c r="AT1513" s="31" t="e">
        <f>VLOOKUP(AS1513,[1]OUTLET!$B:$C,2,0)</f>
        <v>#N/A</v>
      </c>
      <c r="AU1513" s="31"/>
      <c r="AV1513" s="4"/>
      <c r="AW1513" s="44"/>
      <c r="AX1513" s="44"/>
      <c r="AY1513" s="44"/>
      <c r="AZ1513" s="44"/>
      <c r="BA1513" s="44"/>
      <c r="BB1513" s="44"/>
      <c r="BC1513" s="44"/>
      <c r="BD1513" s="44"/>
      <c r="BE1513" s="44"/>
      <c r="BF1513" s="44"/>
      <c r="BG1513" s="44"/>
      <c r="BH1513" s="44"/>
      <c r="BI1513" s="44"/>
      <c r="BJ1513" s="44"/>
      <c r="BK1513" s="44"/>
      <c r="BL1513" s="44"/>
      <c r="BM1513" s="44"/>
      <c r="BN1513" s="44"/>
      <c r="BO1513" s="55"/>
      <c r="BP1513" s="40"/>
      <c r="BQ1513" s="4"/>
      <c r="BR1513" s="61"/>
      <c r="BS1513" s="4"/>
      <c r="BT1513" s="57"/>
      <c r="BU1513" s="62"/>
      <c r="BV1513" s="8"/>
      <c r="BW1513" s="58"/>
    </row>
    <row r="1514" spans="41:75" x14ac:dyDescent="0.35">
      <c r="AO1514" s="39">
        <v>1512</v>
      </c>
      <c r="AP1514" s="62"/>
      <c r="AQ1514" s="39"/>
      <c r="AR1514" s="42" t="str">
        <f>IFERROR(VLOOKUP(AU1514,[1]SUMMARY!$A$3:$B$7,2,FALSE),"")</f>
        <v/>
      </c>
      <c r="AS1514" s="31"/>
      <c r="AT1514" s="31" t="e">
        <f>VLOOKUP(AS1514,[1]OUTLET!$B:$C,2,0)</f>
        <v>#N/A</v>
      </c>
      <c r="AU1514" s="31"/>
      <c r="AV1514" s="4"/>
      <c r="AW1514" s="44"/>
      <c r="AX1514" s="44"/>
      <c r="AY1514" s="44"/>
      <c r="AZ1514" s="44"/>
      <c r="BA1514" s="44"/>
      <c r="BB1514" s="44"/>
      <c r="BC1514" s="44"/>
      <c r="BD1514" s="44"/>
      <c r="BE1514" s="44"/>
      <c r="BF1514" s="44"/>
      <c r="BG1514" s="44"/>
      <c r="BH1514" s="44"/>
      <c r="BI1514" s="44"/>
      <c r="BJ1514" s="44"/>
      <c r="BK1514" s="44"/>
      <c r="BL1514" s="44"/>
      <c r="BM1514" s="44"/>
      <c r="BN1514" s="44"/>
      <c r="BO1514" s="55"/>
      <c r="BP1514" s="40"/>
      <c r="BQ1514" s="4"/>
      <c r="BR1514" s="61"/>
      <c r="BS1514" s="4"/>
      <c r="BT1514" s="57"/>
      <c r="BU1514" s="62"/>
      <c r="BV1514" s="8"/>
      <c r="BW1514" s="58"/>
    </row>
    <row r="1515" spans="41:75" x14ac:dyDescent="0.35">
      <c r="AO1515" s="39">
        <v>1513</v>
      </c>
      <c r="AP1515" s="62"/>
      <c r="AQ1515" s="39"/>
      <c r="AR1515" s="42" t="str">
        <f>IFERROR(VLOOKUP(AU1515,[1]SUMMARY!$A$3:$B$7,2,FALSE),"")</f>
        <v/>
      </c>
      <c r="AS1515" s="31"/>
      <c r="AT1515" s="31" t="e">
        <f>VLOOKUP(AS1515,[1]OUTLET!$B:$C,2,0)</f>
        <v>#N/A</v>
      </c>
      <c r="AU1515" s="31"/>
      <c r="AV1515" s="4"/>
      <c r="AW1515" s="44"/>
      <c r="AX1515" s="44"/>
      <c r="AY1515" s="44"/>
      <c r="AZ1515" s="44"/>
      <c r="BA1515" s="44"/>
      <c r="BB1515" s="44"/>
      <c r="BC1515" s="44"/>
      <c r="BD1515" s="44"/>
      <c r="BE1515" s="44"/>
      <c r="BF1515" s="44"/>
      <c r="BG1515" s="44"/>
      <c r="BH1515" s="44"/>
      <c r="BI1515" s="44"/>
      <c r="BJ1515" s="44"/>
      <c r="BK1515" s="44"/>
      <c r="BL1515" s="44"/>
      <c r="BM1515" s="44"/>
      <c r="BN1515" s="44"/>
      <c r="BO1515" s="55"/>
      <c r="BP1515" s="40"/>
      <c r="BQ1515" s="4"/>
      <c r="BR1515" s="61"/>
      <c r="BS1515" s="4"/>
      <c r="BT1515" s="57"/>
      <c r="BU1515" s="62"/>
      <c r="BV1515" s="8"/>
      <c r="BW1515" s="58"/>
    </row>
    <row r="1516" spans="41:75" x14ac:dyDescent="0.35">
      <c r="AO1516" s="39">
        <v>1514</v>
      </c>
      <c r="AP1516" s="62"/>
      <c r="AQ1516" s="39"/>
      <c r="AR1516" s="42" t="str">
        <f>IFERROR(VLOOKUP(AU1516,[1]SUMMARY!$A$3:$B$7,2,FALSE),"")</f>
        <v/>
      </c>
      <c r="AS1516" s="31"/>
      <c r="AT1516" s="31" t="e">
        <f>VLOOKUP(AS1516,[1]OUTLET!$B:$C,2,0)</f>
        <v>#N/A</v>
      </c>
      <c r="AU1516" s="31"/>
      <c r="AV1516" s="4"/>
      <c r="AW1516" s="44"/>
      <c r="AX1516" s="44"/>
      <c r="AY1516" s="44"/>
      <c r="AZ1516" s="44"/>
      <c r="BA1516" s="44"/>
      <c r="BB1516" s="44"/>
      <c r="BC1516" s="44"/>
      <c r="BD1516" s="44"/>
      <c r="BE1516" s="44"/>
      <c r="BF1516" s="44"/>
      <c r="BG1516" s="44"/>
      <c r="BH1516" s="44"/>
      <c r="BI1516" s="44"/>
      <c r="BJ1516" s="44"/>
      <c r="BK1516" s="44"/>
      <c r="BL1516" s="44"/>
      <c r="BM1516" s="44"/>
      <c r="BN1516" s="44"/>
      <c r="BO1516" s="55"/>
      <c r="BP1516" s="40"/>
      <c r="BQ1516" s="4"/>
      <c r="BR1516" s="61"/>
      <c r="BS1516" s="4"/>
      <c r="BT1516" s="57"/>
      <c r="BU1516" s="62"/>
      <c r="BV1516" s="8"/>
      <c r="BW1516" s="58"/>
    </row>
    <row r="1517" spans="41:75" x14ac:dyDescent="0.35">
      <c r="AO1517" s="39">
        <v>1515</v>
      </c>
      <c r="AP1517" s="62"/>
      <c r="AQ1517" s="39"/>
      <c r="AR1517" s="42" t="str">
        <f>IFERROR(VLOOKUP(AU1517,[1]SUMMARY!$A$3:$B$7,2,FALSE),"")</f>
        <v/>
      </c>
      <c r="AS1517" s="31"/>
      <c r="AT1517" s="31" t="e">
        <f>VLOOKUP(AS1517,[1]OUTLET!$B:$C,2,0)</f>
        <v>#N/A</v>
      </c>
      <c r="AU1517" s="31"/>
      <c r="AV1517" s="4"/>
      <c r="AW1517" s="44"/>
      <c r="AX1517" s="44"/>
      <c r="AY1517" s="44"/>
      <c r="AZ1517" s="44"/>
      <c r="BA1517" s="44"/>
      <c r="BB1517" s="44"/>
      <c r="BC1517" s="44"/>
      <c r="BD1517" s="44"/>
      <c r="BE1517" s="44"/>
      <c r="BF1517" s="44"/>
      <c r="BG1517" s="44"/>
      <c r="BH1517" s="44"/>
      <c r="BI1517" s="44"/>
      <c r="BJ1517" s="44"/>
      <c r="BK1517" s="44"/>
      <c r="BL1517" s="44"/>
      <c r="BM1517" s="44"/>
      <c r="BN1517" s="44"/>
      <c r="BO1517" s="55"/>
      <c r="BP1517" s="40"/>
      <c r="BQ1517" s="4"/>
      <c r="BR1517" s="61"/>
      <c r="BS1517" s="4"/>
      <c r="BT1517" s="57"/>
      <c r="BU1517" s="62"/>
      <c r="BV1517" s="8"/>
      <c r="BW1517" s="58"/>
    </row>
    <row r="1518" spans="41:75" x14ac:dyDescent="0.35">
      <c r="AO1518" s="39">
        <v>1516</v>
      </c>
      <c r="AP1518" s="62"/>
      <c r="AQ1518" s="39"/>
      <c r="AR1518" s="42" t="str">
        <f>IFERROR(VLOOKUP(AU1518,[1]SUMMARY!$A$3:$B$7,2,FALSE),"")</f>
        <v/>
      </c>
      <c r="AS1518" s="31"/>
      <c r="AT1518" s="31" t="e">
        <f>VLOOKUP(AS1518,[1]OUTLET!$B:$C,2,0)</f>
        <v>#N/A</v>
      </c>
      <c r="AU1518" s="31"/>
      <c r="AV1518" s="4"/>
      <c r="AW1518" s="44"/>
      <c r="AX1518" s="44"/>
      <c r="AY1518" s="44"/>
      <c r="AZ1518" s="44"/>
      <c r="BA1518" s="44"/>
      <c r="BB1518" s="44"/>
      <c r="BC1518" s="44"/>
      <c r="BD1518" s="44"/>
      <c r="BE1518" s="44"/>
      <c r="BF1518" s="44"/>
      <c r="BG1518" s="44"/>
      <c r="BH1518" s="44"/>
      <c r="BI1518" s="44"/>
      <c r="BJ1518" s="44"/>
      <c r="BK1518" s="44"/>
      <c r="BL1518" s="44"/>
      <c r="BM1518" s="44"/>
      <c r="BN1518" s="44"/>
      <c r="BO1518" s="55"/>
      <c r="BP1518" s="40"/>
      <c r="BQ1518" s="4"/>
      <c r="BR1518" s="61"/>
      <c r="BS1518" s="4"/>
      <c r="BT1518" s="57"/>
      <c r="BU1518" s="62"/>
      <c r="BV1518" s="8"/>
      <c r="BW1518" s="58"/>
    </row>
    <row r="1519" spans="41:75" x14ac:dyDescent="0.35">
      <c r="AO1519" s="39">
        <v>1517</v>
      </c>
      <c r="AP1519" s="62"/>
      <c r="AQ1519" s="39"/>
      <c r="AR1519" s="42" t="str">
        <f>IFERROR(VLOOKUP(AU1519,[1]SUMMARY!$A$3:$B$7,2,FALSE),"")</f>
        <v/>
      </c>
      <c r="AS1519" s="31"/>
      <c r="AT1519" s="31" t="e">
        <f>VLOOKUP(AS1519,[1]OUTLET!$B:$C,2,0)</f>
        <v>#N/A</v>
      </c>
      <c r="AU1519" s="31"/>
      <c r="AV1519" s="4"/>
      <c r="AW1519" s="44"/>
      <c r="AX1519" s="44"/>
      <c r="AY1519" s="44"/>
      <c r="AZ1519" s="44"/>
      <c r="BA1519" s="44"/>
      <c r="BB1519" s="44"/>
      <c r="BC1519" s="44"/>
      <c r="BD1519" s="44"/>
      <c r="BE1519" s="44"/>
      <c r="BF1519" s="44"/>
      <c r="BG1519" s="44"/>
      <c r="BH1519" s="44"/>
      <c r="BI1519" s="44"/>
      <c r="BJ1519" s="44"/>
      <c r="BK1519" s="44"/>
      <c r="BL1519" s="44"/>
      <c r="BM1519" s="44"/>
      <c r="BN1519" s="44"/>
      <c r="BO1519" s="55"/>
      <c r="BP1519" s="40"/>
      <c r="BQ1519" s="4"/>
      <c r="BR1519" s="61"/>
      <c r="BS1519" s="4"/>
      <c r="BT1519" s="57"/>
      <c r="BU1519" s="62"/>
      <c r="BV1519" s="8"/>
      <c r="BW1519" s="58"/>
    </row>
    <row r="1520" spans="41:75" x14ac:dyDescent="0.35">
      <c r="AO1520" s="39">
        <v>1518</v>
      </c>
      <c r="AP1520" s="62"/>
      <c r="AQ1520" s="39"/>
      <c r="AR1520" s="42" t="str">
        <f>IFERROR(VLOOKUP(AU1520,[1]SUMMARY!$A$3:$B$7,2,FALSE),"")</f>
        <v/>
      </c>
      <c r="AS1520" s="31"/>
      <c r="AT1520" s="31" t="e">
        <f>VLOOKUP(AS1520,[1]OUTLET!$B:$C,2,0)</f>
        <v>#N/A</v>
      </c>
      <c r="AU1520" s="31"/>
      <c r="AV1520" s="4"/>
      <c r="AW1520" s="44"/>
      <c r="AX1520" s="44"/>
      <c r="AY1520" s="44"/>
      <c r="AZ1520" s="44"/>
      <c r="BA1520" s="44"/>
      <c r="BB1520" s="44"/>
      <c r="BC1520" s="44"/>
      <c r="BD1520" s="44"/>
      <c r="BE1520" s="44"/>
      <c r="BF1520" s="44"/>
      <c r="BG1520" s="44"/>
      <c r="BH1520" s="44"/>
      <c r="BI1520" s="44"/>
      <c r="BJ1520" s="44"/>
      <c r="BK1520" s="44"/>
      <c r="BL1520" s="44"/>
      <c r="BM1520" s="44"/>
      <c r="BN1520" s="44"/>
      <c r="BO1520" s="55"/>
      <c r="BP1520" s="40"/>
      <c r="BQ1520" s="4"/>
      <c r="BR1520" s="61"/>
      <c r="BS1520" s="4"/>
      <c r="BT1520" s="57"/>
      <c r="BU1520" s="62"/>
      <c r="BV1520" s="8"/>
      <c r="BW1520" s="58"/>
    </row>
    <row r="1521" spans="41:75" x14ac:dyDescent="0.35">
      <c r="AO1521" s="39">
        <v>1519</v>
      </c>
      <c r="AP1521" s="62"/>
      <c r="AQ1521" s="39"/>
      <c r="AR1521" s="42" t="str">
        <f>IFERROR(VLOOKUP(AU1521,[1]SUMMARY!$A$3:$B$7,2,FALSE),"")</f>
        <v/>
      </c>
      <c r="AS1521" s="31"/>
      <c r="AT1521" s="31" t="e">
        <f>VLOOKUP(AS1521,[1]OUTLET!$B:$C,2,0)</f>
        <v>#N/A</v>
      </c>
      <c r="AU1521" s="31"/>
      <c r="AV1521" s="4"/>
      <c r="AW1521" s="44"/>
      <c r="AX1521" s="44"/>
      <c r="AY1521" s="44"/>
      <c r="AZ1521" s="44"/>
      <c r="BA1521" s="44"/>
      <c r="BB1521" s="44"/>
      <c r="BC1521" s="44"/>
      <c r="BD1521" s="44"/>
      <c r="BE1521" s="44"/>
      <c r="BF1521" s="44"/>
      <c r="BG1521" s="44"/>
      <c r="BH1521" s="44"/>
      <c r="BI1521" s="44"/>
      <c r="BJ1521" s="44"/>
      <c r="BK1521" s="44"/>
      <c r="BL1521" s="44"/>
      <c r="BM1521" s="44"/>
      <c r="BN1521" s="44"/>
      <c r="BO1521" s="55"/>
      <c r="BP1521" s="40"/>
      <c r="BQ1521" s="4"/>
      <c r="BR1521" s="61"/>
      <c r="BS1521" s="4"/>
      <c r="BT1521" s="57"/>
      <c r="BU1521" s="62"/>
      <c r="BV1521" s="8"/>
      <c r="BW1521" s="58"/>
    </row>
    <row r="1522" spans="41:75" x14ac:dyDescent="0.35">
      <c r="AO1522" s="39">
        <v>1520</v>
      </c>
      <c r="AP1522" s="62"/>
      <c r="AQ1522" s="39"/>
      <c r="AR1522" s="42" t="str">
        <f>IFERROR(VLOOKUP(AU1522,[1]SUMMARY!$A$3:$B$7,2,FALSE),"")</f>
        <v/>
      </c>
      <c r="AS1522" s="31"/>
      <c r="AT1522" s="31" t="e">
        <f>VLOOKUP(AS1522,[1]OUTLET!$B:$C,2,0)</f>
        <v>#N/A</v>
      </c>
      <c r="AU1522" s="31"/>
      <c r="AV1522" s="4"/>
      <c r="AW1522" s="44"/>
      <c r="AX1522" s="44"/>
      <c r="AY1522" s="44"/>
      <c r="AZ1522" s="44"/>
      <c r="BA1522" s="44"/>
      <c r="BB1522" s="44"/>
      <c r="BC1522" s="44"/>
      <c r="BD1522" s="44"/>
      <c r="BE1522" s="44"/>
      <c r="BF1522" s="44"/>
      <c r="BG1522" s="44"/>
      <c r="BH1522" s="44"/>
      <c r="BI1522" s="44"/>
      <c r="BJ1522" s="44"/>
      <c r="BK1522" s="44"/>
      <c r="BL1522" s="44"/>
      <c r="BM1522" s="44"/>
      <c r="BN1522" s="44"/>
      <c r="BO1522" s="55"/>
      <c r="BP1522" s="40"/>
      <c r="BQ1522" s="4"/>
      <c r="BR1522" s="61"/>
      <c r="BS1522" s="4"/>
      <c r="BT1522" s="57"/>
      <c r="BU1522" s="62"/>
      <c r="BV1522" s="8"/>
      <c r="BW1522" s="58"/>
    </row>
    <row r="1523" spans="41:75" x14ac:dyDescent="0.35">
      <c r="AO1523" s="39">
        <v>1521</v>
      </c>
      <c r="AP1523" s="62"/>
      <c r="AQ1523" s="39"/>
      <c r="AR1523" s="42" t="str">
        <f>IFERROR(VLOOKUP(AU1523,[1]SUMMARY!$A$3:$B$7,2,FALSE),"")</f>
        <v/>
      </c>
      <c r="AS1523" s="31"/>
      <c r="AT1523" s="31" t="e">
        <f>VLOOKUP(AS1523,[1]OUTLET!$B:$C,2,0)</f>
        <v>#N/A</v>
      </c>
      <c r="AU1523" s="31"/>
      <c r="AV1523" s="4"/>
      <c r="AW1523" s="44"/>
      <c r="AX1523" s="44"/>
      <c r="AY1523" s="44"/>
      <c r="AZ1523" s="44"/>
      <c r="BA1523" s="44"/>
      <c r="BB1523" s="44"/>
      <c r="BC1523" s="44"/>
      <c r="BD1523" s="44"/>
      <c r="BE1523" s="44"/>
      <c r="BF1523" s="44"/>
      <c r="BG1523" s="44"/>
      <c r="BH1523" s="44"/>
      <c r="BI1523" s="44"/>
      <c r="BJ1523" s="44"/>
      <c r="BK1523" s="44"/>
      <c r="BL1523" s="44"/>
      <c r="BM1523" s="44"/>
      <c r="BN1523" s="44"/>
      <c r="BO1523" s="55"/>
      <c r="BP1523" s="40"/>
      <c r="BQ1523" s="4"/>
      <c r="BR1523" s="61"/>
      <c r="BS1523" s="4"/>
      <c r="BT1523" s="57"/>
      <c r="BU1523" s="62"/>
      <c r="BV1523" s="8"/>
      <c r="BW1523" s="58"/>
    </row>
    <row r="1524" spans="41:75" x14ac:dyDescent="0.35">
      <c r="AO1524" s="39">
        <v>1522</v>
      </c>
      <c r="AP1524" s="62"/>
      <c r="AQ1524" s="39"/>
      <c r="AR1524" s="42" t="str">
        <f>IFERROR(VLOOKUP(AU1524,[1]SUMMARY!$A$3:$B$7,2,FALSE),"")</f>
        <v/>
      </c>
      <c r="AS1524" s="31"/>
      <c r="AT1524" s="31" t="e">
        <f>VLOOKUP(AS1524,[1]OUTLET!$B:$C,2,0)</f>
        <v>#N/A</v>
      </c>
      <c r="AU1524" s="31"/>
      <c r="AV1524" s="4"/>
      <c r="AW1524" s="44"/>
      <c r="AX1524" s="44"/>
      <c r="AY1524" s="44"/>
      <c r="AZ1524" s="44"/>
      <c r="BA1524" s="44"/>
      <c r="BB1524" s="44"/>
      <c r="BC1524" s="44"/>
      <c r="BD1524" s="44"/>
      <c r="BE1524" s="44"/>
      <c r="BF1524" s="44"/>
      <c r="BG1524" s="44"/>
      <c r="BH1524" s="44"/>
      <c r="BI1524" s="44"/>
      <c r="BJ1524" s="44"/>
      <c r="BK1524" s="44"/>
      <c r="BL1524" s="44"/>
      <c r="BM1524" s="44"/>
      <c r="BN1524" s="44"/>
      <c r="BO1524" s="55"/>
      <c r="BP1524" s="40"/>
      <c r="BQ1524" s="4"/>
      <c r="BR1524" s="61"/>
      <c r="BS1524" s="4"/>
      <c r="BT1524" s="57"/>
      <c r="BU1524" s="62"/>
      <c r="BV1524" s="8"/>
      <c r="BW1524" s="58"/>
    </row>
    <row r="1525" spans="41:75" x14ac:dyDescent="0.35">
      <c r="AO1525" s="39">
        <v>1523</v>
      </c>
      <c r="AP1525" s="62"/>
      <c r="AQ1525" s="39"/>
      <c r="AR1525" s="42" t="str">
        <f>IFERROR(VLOOKUP(AU1525,[1]SUMMARY!$A$3:$B$7,2,FALSE),"")</f>
        <v/>
      </c>
      <c r="AS1525" s="31"/>
      <c r="AT1525" s="31" t="e">
        <f>VLOOKUP(AS1525,[1]OUTLET!$B:$C,2,0)</f>
        <v>#N/A</v>
      </c>
      <c r="AU1525" s="31"/>
      <c r="AV1525" s="4"/>
      <c r="AW1525" s="44"/>
      <c r="AX1525" s="44"/>
      <c r="AY1525" s="44"/>
      <c r="AZ1525" s="44"/>
      <c r="BA1525" s="44"/>
      <c r="BB1525" s="44"/>
      <c r="BC1525" s="44"/>
      <c r="BD1525" s="44"/>
      <c r="BE1525" s="44"/>
      <c r="BF1525" s="44"/>
      <c r="BG1525" s="44"/>
      <c r="BH1525" s="44"/>
      <c r="BI1525" s="44"/>
      <c r="BJ1525" s="44"/>
      <c r="BK1525" s="44"/>
      <c r="BL1525" s="44"/>
      <c r="BM1525" s="44"/>
      <c r="BN1525" s="44"/>
      <c r="BO1525" s="55"/>
      <c r="BP1525" s="40"/>
      <c r="BQ1525" s="4"/>
      <c r="BR1525" s="61"/>
      <c r="BS1525" s="4"/>
      <c r="BT1525" s="57"/>
      <c r="BU1525" s="62"/>
      <c r="BV1525" s="8"/>
      <c r="BW1525" s="58"/>
    </row>
    <row r="1526" spans="41:75" x14ac:dyDescent="0.35">
      <c r="AO1526" s="39">
        <v>1524</v>
      </c>
      <c r="AP1526" s="62"/>
      <c r="AQ1526" s="39"/>
      <c r="AR1526" s="42" t="str">
        <f>IFERROR(VLOOKUP(AU1526,[1]SUMMARY!$A$3:$B$7,2,FALSE),"")</f>
        <v/>
      </c>
      <c r="AS1526" s="31"/>
      <c r="AT1526" s="31" t="e">
        <f>VLOOKUP(AS1526,[1]OUTLET!$B:$C,2,0)</f>
        <v>#N/A</v>
      </c>
      <c r="AU1526" s="31"/>
      <c r="AV1526" s="4"/>
      <c r="AW1526" s="44"/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44"/>
      <c r="BJ1526" s="44"/>
      <c r="BK1526" s="44"/>
      <c r="BL1526" s="44"/>
      <c r="BM1526" s="44"/>
      <c r="BN1526" s="44"/>
      <c r="BO1526" s="55"/>
      <c r="BP1526" s="40"/>
      <c r="BQ1526" s="4"/>
      <c r="BR1526" s="61"/>
      <c r="BS1526" s="4"/>
      <c r="BT1526" s="57"/>
      <c r="BU1526" s="62"/>
      <c r="BV1526" s="8"/>
      <c r="BW1526" s="58"/>
    </row>
    <row r="1527" spans="41:75" x14ac:dyDescent="0.35">
      <c r="AO1527" s="39">
        <v>1525</v>
      </c>
      <c r="AP1527" s="62"/>
      <c r="AQ1527" s="39"/>
      <c r="AR1527" s="42" t="str">
        <f>IFERROR(VLOOKUP(AU1527,[1]SUMMARY!$A$3:$B$7,2,FALSE),"")</f>
        <v/>
      </c>
      <c r="AS1527" s="31"/>
      <c r="AT1527" s="31" t="e">
        <f>VLOOKUP(AS1527,[1]OUTLET!$B:$C,2,0)</f>
        <v>#N/A</v>
      </c>
      <c r="AU1527" s="31"/>
      <c r="AV1527" s="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44"/>
      <c r="BJ1527" s="44"/>
      <c r="BK1527" s="44"/>
      <c r="BL1527" s="44"/>
      <c r="BM1527" s="44"/>
      <c r="BN1527" s="44"/>
      <c r="BO1527" s="55"/>
      <c r="BP1527" s="40"/>
      <c r="BQ1527" s="4"/>
      <c r="BR1527" s="61"/>
      <c r="BS1527" s="4"/>
      <c r="BT1527" s="57"/>
      <c r="BU1527" s="62"/>
      <c r="BV1527" s="8"/>
      <c r="BW1527" s="58"/>
    </row>
    <row r="1528" spans="41:75" x14ac:dyDescent="0.35">
      <c r="AO1528" s="39">
        <v>1526</v>
      </c>
      <c r="AP1528" s="62"/>
      <c r="AQ1528" s="39"/>
      <c r="AR1528" s="42" t="str">
        <f>IFERROR(VLOOKUP(AU1528,[1]SUMMARY!$A$3:$B$7,2,FALSE),"")</f>
        <v/>
      </c>
      <c r="AS1528" s="31"/>
      <c r="AT1528" s="31" t="e">
        <f>VLOOKUP(AS1528,[1]OUTLET!$B:$C,2,0)</f>
        <v>#N/A</v>
      </c>
      <c r="AU1528" s="31"/>
      <c r="AV1528" s="4"/>
      <c r="AW1528" s="44"/>
      <c r="AX1528" s="44"/>
      <c r="AY1528" s="44"/>
      <c r="AZ1528" s="44"/>
      <c r="BA1528" s="44"/>
      <c r="BB1528" s="44"/>
      <c r="BC1528" s="44"/>
      <c r="BD1528" s="44"/>
      <c r="BE1528" s="44"/>
      <c r="BF1528" s="44"/>
      <c r="BG1528" s="44"/>
      <c r="BH1528" s="44"/>
      <c r="BI1528" s="44"/>
      <c r="BJ1528" s="44"/>
      <c r="BK1528" s="44"/>
      <c r="BL1528" s="44"/>
      <c r="BM1528" s="44"/>
      <c r="BN1528" s="44"/>
      <c r="BO1528" s="55"/>
      <c r="BP1528" s="40"/>
      <c r="BQ1528" s="4"/>
      <c r="BR1528" s="61"/>
      <c r="BS1528" s="4"/>
      <c r="BT1528" s="57"/>
      <c r="BU1528" s="62"/>
      <c r="BV1528" s="8"/>
      <c r="BW1528" s="58"/>
    </row>
    <row r="1529" spans="41:75" x14ac:dyDescent="0.35">
      <c r="AO1529" s="39">
        <v>1527</v>
      </c>
      <c r="AP1529" s="62"/>
      <c r="AQ1529" s="39"/>
      <c r="AR1529" s="42" t="str">
        <f>IFERROR(VLOOKUP(AU1529,[1]SUMMARY!$A$3:$B$7,2,FALSE),"")</f>
        <v/>
      </c>
      <c r="AS1529" s="31"/>
      <c r="AT1529" s="31" t="e">
        <f>VLOOKUP(AS1529,[1]OUTLET!$B:$C,2,0)</f>
        <v>#N/A</v>
      </c>
      <c r="AU1529" s="31"/>
      <c r="AV1529" s="4"/>
      <c r="AW1529" s="44"/>
      <c r="AX1529" s="44"/>
      <c r="AY1529" s="44"/>
      <c r="AZ1529" s="44"/>
      <c r="BA1529" s="44"/>
      <c r="BB1529" s="44"/>
      <c r="BC1529" s="44"/>
      <c r="BD1529" s="44"/>
      <c r="BE1529" s="44"/>
      <c r="BF1529" s="44"/>
      <c r="BG1529" s="44"/>
      <c r="BH1529" s="44"/>
      <c r="BI1529" s="44"/>
      <c r="BJ1529" s="44"/>
      <c r="BK1529" s="44"/>
      <c r="BL1529" s="44"/>
      <c r="BM1529" s="44"/>
      <c r="BN1529" s="44"/>
      <c r="BO1529" s="55"/>
      <c r="BP1529" s="40"/>
      <c r="BQ1529" s="4"/>
      <c r="BR1529" s="61"/>
      <c r="BS1529" s="4"/>
      <c r="BT1529" s="57"/>
      <c r="BU1529" s="62"/>
      <c r="BV1529" s="8"/>
      <c r="BW1529" s="58"/>
    </row>
    <row r="1530" spans="41:75" x14ac:dyDescent="0.35">
      <c r="AO1530" s="39">
        <v>1528</v>
      </c>
      <c r="AP1530" s="62"/>
      <c r="AQ1530" s="39"/>
      <c r="AR1530" s="42" t="str">
        <f>IFERROR(VLOOKUP(AU1530,[1]SUMMARY!$A$3:$B$7,2,FALSE),"")</f>
        <v/>
      </c>
      <c r="AS1530" s="31"/>
      <c r="AT1530" s="31" t="e">
        <f>VLOOKUP(AS1530,[1]OUTLET!$B:$C,2,0)</f>
        <v>#N/A</v>
      </c>
      <c r="AU1530" s="31"/>
      <c r="AV1530" s="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55"/>
      <c r="BP1530" s="40"/>
      <c r="BQ1530" s="4"/>
      <c r="BR1530" s="61"/>
      <c r="BS1530" s="4"/>
      <c r="BT1530" s="57"/>
      <c r="BU1530" s="62"/>
      <c r="BV1530" s="8"/>
      <c r="BW1530" s="58"/>
    </row>
    <row r="1531" spans="41:75" x14ac:dyDescent="0.35">
      <c r="AO1531" s="39">
        <v>1529</v>
      </c>
      <c r="AP1531" s="62"/>
      <c r="AQ1531" s="39"/>
      <c r="AR1531" s="42" t="str">
        <f>IFERROR(VLOOKUP(AU1531,[1]SUMMARY!$A$3:$B$7,2,FALSE),"")</f>
        <v/>
      </c>
      <c r="AS1531" s="31"/>
      <c r="AT1531" s="31" t="e">
        <f>VLOOKUP(AS1531,[1]OUTLET!$B:$C,2,0)</f>
        <v>#N/A</v>
      </c>
      <c r="AU1531" s="31"/>
      <c r="AV1531" s="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55"/>
      <c r="BP1531" s="40"/>
      <c r="BQ1531" s="4"/>
      <c r="BR1531" s="61"/>
      <c r="BS1531" s="4"/>
      <c r="BT1531" s="57"/>
      <c r="BU1531" s="62"/>
      <c r="BV1531" s="8"/>
      <c r="BW1531" s="58"/>
    </row>
    <row r="1532" spans="41:75" x14ac:dyDescent="0.35">
      <c r="AO1532" s="39">
        <v>1530</v>
      </c>
      <c r="AP1532" s="62"/>
      <c r="AQ1532" s="39"/>
      <c r="AR1532" s="42" t="str">
        <f>IFERROR(VLOOKUP(AU1532,[1]SUMMARY!$A$3:$B$7,2,FALSE),"")</f>
        <v/>
      </c>
      <c r="AS1532" s="31"/>
      <c r="AT1532" s="31" t="e">
        <f>VLOOKUP(AS1532,[1]OUTLET!$B:$C,2,0)</f>
        <v>#N/A</v>
      </c>
      <c r="AU1532" s="31"/>
      <c r="AV1532" s="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55"/>
      <c r="BP1532" s="40"/>
      <c r="BQ1532" s="4"/>
      <c r="BR1532" s="61"/>
      <c r="BS1532" s="4"/>
      <c r="BT1532" s="57"/>
      <c r="BU1532" s="62"/>
      <c r="BV1532" s="8"/>
      <c r="BW1532" s="58"/>
    </row>
    <row r="1533" spans="41:75" x14ac:dyDescent="0.35">
      <c r="AO1533" s="39">
        <v>1531</v>
      </c>
      <c r="AP1533" s="62"/>
      <c r="AQ1533" s="39"/>
      <c r="AR1533" s="42" t="str">
        <f>IFERROR(VLOOKUP(AU1533,[1]SUMMARY!$A$3:$B$7,2,FALSE),"")</f>
        <v/>
      </c>
      <c r="AS1533" s="31"/>
      <c r="AT1533" s="31" t="e">
        <f>VLOOKUP(AS1533,[1]OUTLET!$B:$C,2,0)</f>
        <v>#N/A</v>
      </c>
      <c r="AU1533" s="31"/>
      <c r="AV1533" s="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55"/>
      <c r="BP1533" s="40"/>
      <c r="BQ1533" s="4"/>
      <c r="BR1533" s="61"/>
      <c r="BS1533" s="4"/>
      <c r="BT1533" s="57"/>
      <c r="BU1533" s="62"/>
      <c r="BV1533" s="8"/>
      <c r="BW1533" s="58"/>
    </row>
    <row r="1534" spans="41:75" x14ac:dyDescent="0.35">
      <c r="AO1534" s="39">
        <v>1532</v>
      </c>
      <c r="AP1534" s="62"/>
      <c r="AQ1534" s="39"/>
      <c r="AR1534" s="42" t="str">
        <f>IFERROR(VLOOKUP(AU1534,[1]SUMMARY!$A$3:$B$7,2,FALSE),"")</f>
        <v/>
      </c>
      <c r="AS1534" s="31"/>
      <c r="AT1534" s="31" t="e">
        <f>VLOOKUP(AS1534,[1]OUTLET!$B:$C,2,0)</f>
        <v>#N/A</v>
      </c>
      <c r="AU1534" s="31"/>
      <c r="AV1534" s="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55"/>
      <c r="BP1534" s="40"/>
      <c r="BQ1534" s="4"/>
      <c r="BR1534" s="61"/>
      <c r="BS1534" s="4"/>
      <c r="BT1534" s="57"/>
      <c r="BU1534" s="62"/>
      <c r="BV1534" s="8"/>
      <c r="BW1534" s="58"/>
    </row>
    <row r="1535" spans="41:75" x14ac:dyDescent="0.35">
      <c r="AO1535" s="39">
        <v>1533</v>
      </c>
      <c r="AP1535" s="62"/>
      <c r="AQ1535" s="39"/>
      <c r="AR1535" s="42" t="str">
        <f>IFERROR(VLOOKUP(AU1535,[1]SUMMARY!$A$3:$B$7,2,FALSE),"")</f>
        <v/>
      </c>
      <c r="AS1535" s="31"/>
      <c r="AT1535" s="31" t="e">
        <f>VLOOKUP(AS1535,[1]OUTLET!$B:$C,2,0)</f>
        <v>#N/A</v>
      </c>
      <c r="AU1535" s="31"/>
      <c r="AV1535" s="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55"/>
      <c r="BP1535" s="40"/>
      <c r="BQ1535" s="4"/>
      <c r="BR1535" s="61"/>
      <c r="BS1535" s="4"/>
      <c r="BT1535" s="57"/>
      <c r="BU1535" s="62"/>
      <c r="BV1535" s="8"/>
      <c r="BW1535" s="58"/>
    </row>
    <row r="1536" spans="41:75" x14ac:dyDescent="0.35">
      <c r="AO1536" s="39">
        <v>1534</v>
      </c>
      <c r="AP1536" s="62"/>
      <c r="AQ1536" s="39"/>
      <c r="AR1536" s="42" t="str">
        <f>IFERROR(VLOOKUP(AU1536,[1]SUMMARY!$A$3:$B$7,2,FALSE),"")</f>
        <v/>
      </c>
      <c r="AS1536" s="31"/>
      <c r="AT1536" s="31" t="e">
        <f>VLOOKUP(AS1536,[1]OUTLET!$B:$C,2,0)</f>
        <v>#N/A</v>
      </c>
      <c r="AU1536" s="31"/>
      <c r="AV1536" s="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55"/>
      <c r="BP1536" s="40"/>
      <c r="BQ1536" s="4"/>
      <c r="BR1536" s="61"/>
      <c r="BS1536" s="4"/>
      <c r="BT1536" s="57"/>
      <c r="BU1536" s="62"/>
      <c r="BV1536" s="8"/>
      <c r="BW1536" s="58"/>
    </row>
    <row r="1537" spans="41:75" x14ac:dyDescent="0.35">
      <c r="AO1537" s="39">
        <v>1535</v>
      </c>
      <c r="AP1537" s="62"/>
      <c r="AQ1537" s="39"/>
      <c r="AR1537" s="42" t="str">
        <f>IFERROR(VLOOKUP(AU1537,[1]SUMMARY!$A$3:$B$7,2,FALSE),"")</f>
        <v/>
      </c>
      <c r="AS1537" s="31"/>
      <c r="AT1537" s="31" t="e">
        <f>VLOOKUP(AS1537,[1]OUTLET!$B:$C,2,0)</f>
        <v>#N/A</v>
      </c>
      <c r="AU1537" s="31"/>
      <c r="AV1537" s="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55"/>
      <c r="BP1537" s="40"/>
      <c r="BQ1537" s="4"/>
      <c r="BR1537" s="61"/>
      <c r="BS1537" s="4"/>
      <c r="BT1537" s="57"/>
      <c r="BU1537" s="62"/>
      <c r="BV1537" s="8"/>
      <c r="BW1537" s="58"/>
    </row>
    <row r="1538" spans="41:75" x14ac:dyDescent="0.35">
      <c r="AO1538" s="39">
        <v>1536</v>
      </c>
      <c r="AP1538" s="62"/>
      <c r="AQ1538" s="39"/>
      <c r="AR1538" s="42" t="str">
        <f>IFERROR(VLOOKUP(AU1538,[1]SUMMARY!$A$3:$B$7,2,FALSE),"")</f>
        <v/>
      </c>
      <c r="AS1538" s="31"/>
      <c r="AT1538" s="31" t="e">
        <f>VLOOKUP(AS1538,[1]OUTLET!$B:$C,2,0)</f>
        <v>#N/A</v>
      </c>
      <c r="AU1538" s="31"/>
      <c r="AV1538" s="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55"/>
      <c r="BP1538" s="40"/>
      <c r="BQ1538" s="4"/>
      <c r="BR1538" s="61"/>
      <c r="BS1538" s="4"/>
      <c r="BT1538" s="57"/>
      <c r="BU1538" s="62"/>
      <c r="BV1538" s="8"/>
      <c r="BW1538" s="58"/>
    </row>
    <row r="1539" spans="41:75" x14ac:dyDescent="0.35">
      <c r="AO1539" s="39">
        <v>1537</v>
      </c>
      <c r="AP1539" s="62"/>
      <c r="AQ1539" s="39"/>
      <c r="AR1539" s="42" t="str">
        <f>IFERROR(VLOOKUP(AU1539,[1]SUMMARY!$A$3:$B$7,2,FALSE),"")</f>
        <v/>
      </c>
      <c r="AS1539" s="31"/>
      <c r="AT1539" s="31" t="e">
        <f>VLOOKUP(AS1539,[1]OUTLET!$B:$C,2,0)</f>
        <v>#N/A</v>
      </c>
      <c r="AU1539" s="31"/>
      <c r="AV1539" s="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55"/>
      <c r="BP1539" s="40"/>
      <c r="BQ1539" s="4"/>
      <c r="BR1539" s="61"/>
      <c r="BS1539" s="4"/>
      <c r="BT1539" s="57"/>
      <c r="BU1539" s="62"/>
      <c r="BV1539" s="8"/>
      <c r="BW1539" s="58"/>
    </row>
    <row r="1540" spans="41:75" x14ac:dyDescent="0.35">
      <c r="AO1540" s="39">
        <v>1538</v>
      </c>
      <c r="AP1540" s="62"/>
      <c r="AQ1540" s="39"/>
      <c r="AR1540" s="42" t="str">
        <f>IFERROR(VLOOKUP(AU1540,[1]SUMMARY!$A$3:$B$7,2,FALSE),"")</f>
        <v/>
      </c>
      <c r="AS1540" s="31"/>
      <c r="AT1540" s="31" t="e">
        <f>VLOOKUP(AS1540,[1]OUTLET!$B:$C,2,0)</f>
        <v>#N/A</v>
      </c>
      <c r="AU1540" s="31"/>
      <c r="AV1540" s="4"/>
      <c r="AW1540" s="44"/>
      <c r="AX1540" s="44"/>
      <c r="AY1540" s="44"/>
      <c r="AZ1540" s="44"/>
      <c r="BA1540" s="44"/>
      <c r="BB1540" s="44"/>
      <c r="BC1540" s="44"/>
      <c r="BD1540" s="44"/>
      <c r="BE1540" s="44"/>
      <c r="BF1540" s="44"/>
      <c r="BG1540" s="44"/>
      <c r="BH1540" s="44"/>
      <c r="BI1540" s="44"/>
      <c r="BJ1540" s="44"/>
      <c r="BK1540" s="44"/>
      <c r="BL1540" s="44"/>
      <c r="BM1540" s="44"/>
      <c r="BN1540" s="44"/>
      <c r="BO1540" s="55"/>
      <c r="BP1540" s="40"/>
      <c r="BQ1540" s="4"/>
      <c r="BR1540" s="61"/>
      <c r="BS1540" s="4"/>
      <c r="BT1540" s="57"/>
      <c r="BU1540" s="62"/>
      <c r="BV1540" s="8"/>
      <c r="BW1540" s="58"/>
    </row>
    <row r="1541" spans="41:75" x14ac:dyDescent="0.35">
      <c r="AO1541" s="39">
        <v>1539</v>
      </c>
      <c r="AP1541" s="62"/>
      <c r="AQ1541" s="39"/>
      <c r="AR1541" s="42" t="str">
        <f>IFERROR(VLOOKUP(AU1541,[1]SUMMARY!$A$3:$B$7,2,FALSE),"")</f>
        <v/>
      </c>
      <c r="AS1541" s="31"/>
      <c r="AT1541" s="31" t="e">
        <f>VLOOKUP(AS1541,[1]OUTLET!$B:$C,2,0)</f>
        <v>#N/A</v>
      </c>
      <c r="AU1541" s="31"/>
      <c r="AV1541" s="4"/>
      <c r="AW1541" s="44"/>
      <c r="AX1541" s="44"/>
      <c r="AY1541" s="44"/>
      <c r="AZ1541" s="44"/>
      <c r="BA1541" s="44"/>
      <c r="BB1541" s="44"/>
      <c r="BC1541" s="44"/>
      <c r="BD1541" s="44"/>
      <c r="BE1541" s="44"/>
      <c r="BF1541" s="44"/>
      <c r="BG1541" s="44"/>
      <c r="BH1541" s="44"/>
      <c r="BI1541" s="44"/>
      <c r="BJ1541" s="44"/>
      <c r="BK1541" s="44"/>
      <c r="BL1541" s="44"/>
      <c r="BM1541" s="44"/>
      <c r="BN1541" s="44"/>
      <c r="BO1541" s="55"/>
      <c r="BP1541" s="40"/>
      <c r="BQ1541" s="4"/>
      <c r="BR1541" s="61"/>
      <c r="BS1541" s="4"/>
      <c r="BT1541" s="57"/>
      <c r="BU1541" s="62"/>
      <c r="BV1541" s="8"/>
      <c r="BW1541" s="58"/>
    </row>
    <row r="1542" spans="41:75" x14ac:dyDescent="0.35">
      <c r="AO1542" s="39">
        <v>1540</v>
      </c>
      <c r="AP1542" s="62"/>
      <c r="AQ1542" s="39"/>
      <c r="AR1542" s="42" t="str">
        <f>IFERROR(VLOOKUP(AU1542,[1]SUMMARY!$A$3:$B$7,2,FALSE),"")</f>
        <v/>
      </c>
      <c r="AS1542" s="31"/>
      <c r="AT1542" s="31" t="e">
        <f>VLOOKUP(AS1542,[1]OUTLET!$B:$C,2,0)</f>
        <v>#N/A</v>
      </c>
      <c r="AU1542" s="31"/>
      <c r="AV1542" s="4"/>
      <c r="AW1542" s="44"/>
      <c r="AX1542" s="44"/>
      <c r="AY1542" s="44"/>
      <c r="AZ1542" s="44"/>
      <c r="BA1542" s="44"/>
      <c r="BB1542" s="44"/>
      <c r="BC1542" s="44"/>
      <c r="BD1542" s="44"/>
      <c r="BE1542" s="44"/>
      <c r="BF1542" s="44"/>
      <c r="BG1542" s="44"/>
      <c r="BH1542" s="44"/>
      <c r="BI1542" s="44"/>
      <c r="BJ1542" s="44"/>
      <c r="BK1542" s="44"/>
      <c r="BL1542" s="44"/>
      <c r="BM1542" s="44"/>
      <c r="BN1542" s="44"/>
      <c r="BO1542" s="55"/>
      <c r="BP1542" s="40"/>
      <c r="BQ1542" s="4"/>
      <c r="BR1542" s="61"/>
      <c r="BS1542" s="4"/>
      <c r="BT1542" s="57"/>
      <c r="BU1542" s="62"/>
      <c r="BV1542" s="8"/>
      <c r="BW1542" s="58"/>
    </row>
    <row r="1543" spans="41:75" x14ac:dyDescent="0.35">
      <c r="AO1543" s="39">
        <v>1541</v>
      </c>
      <c r="AP1543" s="62"/>
      <c r="AQ1543" s="39"/>
      <c r="AR1543" s="42" t="str">
        <f>IFERROR(VLOOKUP(AU1543,[1]SUMMARY!$A$3:$B$7,2,FALSE),"")</f>
        <v/>
      </c>
      <c r="AS1543" s="31"/>
      <c r="AT1543" s="31" t="e">
        <f>VLOOKUP(AS1543,[1]OUTLET!$B:$C,2,0)</f>
        <v>#N/A</v>
      </c>
      <c r="AU1543" s="31"/>
      <c r="AV1543" s="4"/>
      <c r="AW1543" s="44"/>
      <c r="AX1543" s="44"/>
      <c r="AY1543" s="44"/>
      <c r="AZ1543" s="44"/>
      <c r="BA1543" s="44"/>
      <c r="BB1543" s="44"/>
      <c r="BC1543" s="44"/>
      <c r="BD1543" s="44"/>
      <c r="BE1543" s="44"/>
      <c r="BF1543" s="44"/>
      <c r="BG1543" s="44"/>
      <c r="BH1543" s="44"/>
      <c r="BI1543" s="44"/>
      <c r="BJ1543" s="44"/>
      <c r="BK1543" s="44"/>
      <c r="BL1543" s="44"/>
      <c r="BM1543" s="44"/>
      <c r="BN1543" s="44"/>
      <c r="BO1543" s="55"/>
      <c r="BP1543" s="40"/>
      <c r="BQ1543" s="4"/>
      <c r="BR1543" s="61"/>
      <c r="BS1543" s="4"/>
      <c r="BT1543" s="57"/>
      <c r="BU1543" s="62"/>
      <c r="BV1543" s="8"/>
      <c r="BW1543" s="58"/>
    </row>
    <row r="1544" spans="41:75" x14ac:dyDescent="0.35">
      <c r="AO1544" s="39">
        <v>1542</v>
      </c>
      <c r="AP1544" s="62"/>
      <c r="AQ1544" s="39"/>
      <c r="AR1544" s="42" t="str">
        <f>IFERROR(VLOOKUP(AU1544,[1]SUMMARY!$A$3:$B$7,2,FALSE),"")</f>
        <v/>
      </c>
      <c r="AS1544" s="31"/>
      <c r="AT1544" s="31" t="e">
        <f>VLOOKUP(AS1544,[1]OUTLET!$B:$C,2,0)</f>
        <v>#N/A</v>
      </c>
      <c r="AU1544" s="31"/>
      <c r="AV1544" s="4"/>
      <c r="AW1544" s="44"/>
      <c r="AX1544" s="44"/>
      <c r="AY1544" s="44"/>
      <c r="AZ1544" s="44"/>
      <c r="BA1544" s="44"/>
      <c r="BB1544" s="44"/>
      <c r="BC1544" s="44"/>
      <c r="BD1544" s="44"/>
      <c r="BE1544" s="44"/>
      <c r="BF1544" s="44"/>
      <c r="BG1544" s="44"/>
      <c r="BH1544" s="44"/>
      <c r="BI1544" s="44"/>
      <c r="BJ1544" s="44"/>
      <c r="BK1544" s="44"/>
      <c r="BL1544" s="44"/>
      <c r="BM1544" s="44"/>
      <c r="BN1544" s="44"/>
      <c r="BO1544" s="55"/>
      <c r="BP1544" s="40"/>
      <c r="BQ1544" s="4"/>
      <c r="BR1544" s="61"/>
      <c r="BS1544" s="4"/>
      <c r="BT1544" s="57"/>
      <c r="BU1544" s="62"/>
      <c r="BV1544" s="8"/>
      <c r="BW1544" s="58"/>
    </row>
    <row r="1545" spans="41:75" x14ac:dyDescent="0.35">
      <c r="AO1545" s="39">
        <v>1543</v>
      </c>
      <c r="AP1545" s="62"/>
      <c r="AQ1545" s="39"/>
      <c r="AR1545" s="42" t="str">
        <f>IFERROR(VLOOKUP(AU1545,[1]SUMMARY!$A$3:$B$7,2,FALSE),"")</f>
        <v/>
      </c>
      <c r="AS1545" s="31"/>
      <c r="AT1545" s="31" t="e">
        <f>VLOOKUP(AS1545,[1]OUTLET!$B:$C,2,0)</f>
        <v>#N/A</v>
      </c>
      <c r="AU1545" s="31"/>
      <c r="AV1545" s="4"/>
      <c r="AW1545" s="44"/>
      <c r="AX1545" s="44"/>
      <c r="AY1545" s="44"/>
      <c r="AZ1545" s="44"/>
      <c r="BA1545" s="44"/>
      <c r="BB1545" s="44"/>
      <c r="BC1545" s="44"/>
      <c r="BD1545" s="44"/>
      <c r="BE1545" s="44"/>
      <c r="BF1545" s="44"/>
      <c r="BG1545" s="44"/>
      <c r="BH1545" s="44"/>
      <c r="BI1545" s="44"/>
      <c r="BJ1545" s="44"/>
      <c r="BK1545" s="44"/>
      <c r="BL1545" s="44"/>
      <c r="BM1545" s="44"/>
      <c r="BN1545" s="44"/>
      <c r="BO1545" s="55"/>
      <c r="BP1545" s="40"/>
      <c r="BQ1545" s="4"/>
      <c r="BR1545" s="61"/>
      <c r="BS1545" s="4"/>
      <c r="BT1545" s="57"/>
      <c r="BU1545" s="62"/>
      <c r="BV1545" s="8"/>
      <c r="BW1545" s="58"/>
    </row>
    <row r="1546" spans="41:75" x14ac:dyDescent="0.35">
      <c r="AO1546" s="39">
        <v>1544</v>
      </c>
      <c r="AP1546" s="62"/>
      <c r="AQ1546" s="39"/>
      <c r="AR1546" s="42" t="str">
        <f>IFERROR(VLOOKUP(AU1546,[1]SUMMARY!$A$3:$B$7,2,FALSE),"")</f>
        <v/>
      </c>
      <c r="AS1546" s="31"/>
      <c r="AT1546" s="31" t="e">
        <f>VLOOKUP(AS1546,[1]OUTLET!$B:$C,2,0)</f>
        <v>#N/A</v>
      </c>
      <c r="AU1546" s="31"/>
      <c r="AV1546" s="4"/>
      <c r="AW1546" s="44"/>
      <c r="AX1546" s="44"/>
      <c r="AY1546" s="44"/>
      <c r="AZ1546" s="44"/>
      <c r="BA1546" s="44"/>
      <c r="BB1546" s="44"/>
      <c r="BC1546" s="44"/>
      <c r="BD1546" s="44"/>
      <c r="BE1546" s="44"/>
      <c r="BF1546" s="44"/>
      <c r="BG1546" s="44"/>
      <c r="BH1546" s="44"/>
      <c r="BI1546" s="44"/>
      <c r="BJ1546" s="44"/>
      <c r="BK1546" s="44"/>
      <c r="BL1546" s="44"/>
      <c r="BM1546" s="44"/>
      <c r="BN1546" s="44"/>
      <c r="BO1546" s="55"/>
      <c r="BP1546" s="40"/>
      <c r="BQ1546" s="4"/>
      <c r="BR1546" s="61"/>
      <c r="BS1546" s="4"/>
      <c r="BT1546" s="57"/>
      <c r="BU1546" s="62"/>
      <c r="BV1546" s="8"/>
      <c r="BW1546" s="58"/>
    </row>
    <row r="1547" spans="41:75" x14ac:dyDescent="0.35">
      <c r="AO1547" s="39">
        <v>1545</v>
      </c>
      <c r="AP1547" s="62"/>
      <c r="AQ1547" s="39"/>
      <c r="AR1547" s="42" t="str">
        <f>IFERROR(VLOOKUP(AU1547,[1]SUMMARY!$A$3:$B$7,2,FALSE),"")</f>
        <v/>
      </c>
      <c r="AS1547" s="31"/>
      <c r="AT1547" s="31" t="e">
        <f>VLOOKUP(AS1547,[1]OUTLET!$B:$C,2,0)</f>
        <v>#N/A</v>
      </c>
      <c r="AU1547" s="31"/>
      <c r="AV1547" s="4"/>
      <c r="AW1547" s="44"/>
      <c r="AX1547" s="44"/>
      <c r="AY1547" s="44"/>
      <c r="AZ1547" s="44"/>
      <c r="BA1547" s="44"/>
      <c r="BB1547" s="44"/>
      <c r="BC1547" s="44"/>
      <c r="BD1547" s="44"/>
      <c r="BE1547" s="44"/>
      <c r="BF1547" s="44"/>
      <c r="BG1547" s="44"/>
      <c r="BH1547" s="44"/>
      <c r="BI1547" s="44"/>
      <c r="BJ1547" s="44"/>
      <c r="BK1547" s="44"/>
      <c r="BL1547" s="44"/>
      <c r="BM1547" s="44"/>
      <c r="BN1547" s="44"/>
      <c r="BO1547" s="55"/>
      <c r="BP1547" s="40"/>
      <c r="BQ1547" s="4"/>
      <c r="BR1547" s="61"/>
      <c r="BS1547" s="4"/>
      <c r="BT1547" s="57"/>
      <c r="BU1547" s="62"/>
      <c r="BV1547" s="8"/>
      <c r="BW1547" s="58"/>
    </row>
    <row r="1548" spans="41:75" x14ac:dyDescent="0.35">
      <c r="AO1548" s="39">
        <v>1546</v>
      </c>
      <c r="AP1548" s="62"/>
      <c r="AQ1548" s="39"/>
      <c r="AR1548" s="42" t="str">
        <f>IFERROR(VLOOKUP(AU1548,[1]SUMMARY!$A$3:$B$7,2,FALSE),"")</f>
        <v/>
      </c>
      <c r="AS1548" s="31"/>
      <c r="AT1548" s="31" t="e">
        <f>VLOOKUP(AS1548,[1]OUTLET!$B:$C,2,0)</f>
        <v>#N/A</v>
      </c>
      <c r="AU1548" s="31"/>
      <c r="AV1548" s="4"/>
      <c r="AW1548" s="44"/>
      <c r="AX1548" s="44"/>
      <c r="AY1548" s="44"/>
      <c r="AZ1548" s="44"/>
      <c r="BA1548" s="44"/>
      <c r="BB1548" s="44"/>
      <c r="BC1548" s="44"/>
      <c r="BD1548" s="44"/>
      <c r="BE1548" s="44"/>
      <c r="BF1548" s="44"/>
      <c r="BG1548" s="44"/>
      <c r="BH1548" s="44"/>
      <c r="BI1548" s="44"/>
      <c r="BJ1548" s="44"/>
      <c r="BK1548" s="44"/>
      <c r="BL1548" s="44"/>
      <c r="BM1548" s="44"/>
      <c r="BN1548" s="44"/>
      <c r="BO1548" s="55"/>
      <c r="BP1548" s="40"/>
      <c r="BQ1548" s="4"/>
      <c r="BR1548" s="61"/>
      <c r="BS1548" s="4"/>
      <c r="BT1548" s="57"/>
      <c r="BU1548" s="62"/>
      <c r="BV1548" s="8"/>
      <c r="BW1548" s="58"/>
    </row>
    <row r="1549" spans="41:75" x14ac:dyDescent="0.35">
      <c r="AO1549" s="39">
        <v>1547</v>
      </c>
      <c r="AP1549" s="62"/>
      <c r="AQ1549" s="39"/>
      <c r="AR1549" s="42" t="str">
        <f>IFERROR(VLOOKUP(AU1549,[1]SUMMARY!$A$3:$B$7,2,FALSE),"")</f>
        <v/>
      </c>
      <c r="AS1549" s="31"/>
      <c r="AT1549" s="31" t="e">
        <f>VLOOKUP(AS1549,[1]OUTLET!$B:$C,2,0)</f>
        <v>#N/A</v>
      </c>
      <c r="AU1549" s="31"/>
      <c r="AV1549" s="4"/>
      <c r="AW1549" s="44"/>
      <c r="AX1549" s="44"/>
      <c r="AY1549" s="44"/>
      <c r="AZ1549" s="44"/>
      <c r="BA1549" s="44"/>
      <c r="BB1549" s="44"/>
      <c r="BC1549" s="44"/>
      <c r="BD1549" s="44"/>
      <c r="BE1549" s="44"/>
      <c r="BF1549" s="44"/>
      <c r="BG1549" s="44"/>
      <c r="BH1549" s="44"/>
      <c r="BI1549" s="44"/>
      <c r="BJ1549" s="44"/>
      <c r="BK1549" s="44"/>
      <c r="BL1549" s="44"/>
      <c r="BM1549" s="44"/>
      <c r="BN1549" s="44"/>
      <c r="BO1549" s="55"/>
      <c r="BP1549" s="40"/>
      <c r="BQ1549" s="4"/>
      <c r="BR1549" s="61"/>
      <c r="BS1549" s="4"/>
      <c r="BT1549" s="57"/>
      <c r="BU1549" s="62"/>
      <c r="BV1549" s="8"/>
      <c r="BW1549" s="58"/>
    </row>
    <row r="1550" spans="41:75" x14ac:dyDescent="0.35">
      <c r="AO1550" s="39">
        <v>1548</v>
      </c>
      <c r="AP1550" s="62"/>
      <c r="AQ1550" s="39"/>
      <c r="AR1550" s="42" t="str">
        <f>IFERROR(VLOOKUP(AU1550,[1]SUMMARY!$A$3:$B$7,2,FALSE),"")</f>
        <v/>
      </c>
      <c r="AS1550" s="31"/>
      <c r="AT1550" s="31" t="e">
        <f>VLOOKUP(AS1550,[1]OUTLET!$B:$C,2,0)</f>
        <v>#N/A</v>
      </c>
      <c r="AU1550" s="31"/>
      <c r="AV1550" s="4"/>
      <c r="AW1550" s="44"/>
      <c r="AX1550" s="44"/>
      <c r="AY1550" s="44"/>
      <c r="AZ1550" s="44"/>
      <c r="BA1550" s="44"/>
      <c r="BB1550" s="44"/>
      <c r="BC1550" s="44"/>
      <c r="BD1550" s="44"/>
      <c r="BE1550" s="44"/>
      <c r="BF1550" s="44"/>
      <c r="BG1550" s="44"/>
      <c r="BH1550" s="44"/>
      <c r="BI1550" s="44"/>
      <c r="BJ1550" s="44"/>
      <c r="BK1550" s="44"/>
      <c r="BL1550" s="44"/>
      <c r="BM1550" s="44"/>
      <c r="BN1550" s="44"/>
      <c r="BO1550" s="55"/>
      <c r="BP1550" s="40"/>
      <c r="BQ1550" s="4"/>
      <c r="BR1550" s="61"/>
      <c r="BS1550" s="4"/>
      <c r="BT1550" s="57"/>
      <c r="BU1550" s="62"/>
      <c r="BV1550" s="8"/>
      <c r="BW1550" s="58"/>
    </row>
    <row r="1551" spans="41:75" x14ac:dyDescent="0.35">
      <c r="AO1551" s="39">
        <v>1549</v>
      </c>
      <c r="AP1551" s="62"/>
      <c r="AQ1551" s="39"/>
      <c r="AR1551" s="42" t="str">
        <f>IFERROR(VLOOKUP(AU1551,[1]SUMMARY!$A$3:$B$7,2,FALSE),"")</f>
        <v/>
      </c>
      <c r="AS1551" s="31"/>
      <c r="AT1551" s="31" t="e">
        <f>VLOOKUP(AS1551,[1]OUTLET!$B:$C,2,0)</f>
        <v>#N/A</v>
      </c>
      <c r="AU1551" s="31"/>
      <c r="AV1551" s="4"/>
      <c r="AW1551" s="44"/>
      <c r="AX1551" s="44"/>
      <c r="AY1551" s="44"/>
      <c r="AZ1551" s="44"/>
      <c r="BA1551" s="44"/>
      <c r="BB1551" s="44"/>
      <c r="BC1551" s="44"/>
      <c r="BD1551" s="44"/>
      <c r="BE1551" s="44"/>
      <c r="BF1551" s="44"/>
      <c r="BG1551" s="44"/>
      <c r="BH1551" s="44"/>
      <c r="BI1551" s="44"/>
      <c r="BJ1551" s="44"/>
      <c r="BK1551" s="44"/>
      <c r="BL1551" s="44"/>
      <c r="BM1551" s="44"/>
      <c r="BN1551" s="44"/>
      <c r="BO1551" s="55"/>
      <c r="BP1551" s="40"/>
      <c r="BQ1551" s="4"/>
      <c r="BR1551" s="61"/>
      <c r="BS1551" s="4"/>
      <c r="BT1551" s="57"/>
      <c r="BU1551" s="62"/>
      <c r="BV1551" s="8"/>
      <c r="BW1551" s="58"/>
    </row>
    <row r="1552" spans="41:75" x14ac:dyDescent="0.35">
      <c r="AO1552" s="39">
        <v>1550</v>
      </c>
      <c r="AP1552" s="62"/>
      <c r="AQ1552" s="39"/>
      <c r="AR1552" s="42" t="str">
        <f>IFERROR(VLOOKUP(AU1552,[1]SUMMARY!$A$3:$B$7,2,FALSE),"")</f>
        <v/>
      </c>
      <c r="AS1552" s="31"/>
      <c r="AT1552" s="31" t="e">
        <f>VLOOKUP(AS1552,[1]OUTLET!$B:$C,2,0)</f>
        <v>#N/A</v>
      </c>
      <c r="AU1552" s="31"/>
      <c r="AV1552" s="4"/>
      <c r="AW1552" s="44"/>
      <c r="AX1552" s="44"/>
      <c r="AY1552" s="44"/>
      <c r="AZ1552" s="44"/>
      <c r="BA1552" s="44"/>
      <c r="BB1552" s="44"/>
      <c r="BC1552" s="44"/>
      <c r="BD1552" s="44"/>
      <c r="BE1552" s="44"/>
      <c r="BF1552" s="44"/>
      <c r="BG1552" s="44"/>
      <c r="BH1552" s="44"/>
      <c r="BI1552" s="44"/>
      <c r="BJ1552" s="44"/>
      <c r="BK1552" s="44"/>
      <c r="BL1552" s="44"/>
      <c r="BM1552" s="44"/>
      <c r="BN1552" s="44"/>
      <c r="BO1552" s="55"/>
      <c r="BP1552" s="40"/>
      <c r="BQ1552" s="4"/>
      <c r="BR1552" s="61"/>
      <c r="BS1552" s="4"/>
      <c r="BT1552" s="57"/>
      <c r="BU1552" s="62"/>
      <c r="BV1552" s="8"/>
      <c r="BW1552" s="58"/>
    </row>
    <row r="1553" spans="41:75" x14ac:dyDescent="0.35">
      <c r="AO1553" s="39">
        <v>1551</v>
      </c>
      <c r="AP1553" s="62"/>
      <c r="AQ1553" s="39"/>
      <c r="AR1553" s="42" t="str">
        <f>IFERROR(VLOOKUP(AU1553,[1]SUMMARY!$A$3:$B$7,2,FALSE),"")</f>
        <v/>
      </c>
      <c r="AS1553" s="31"/>
      <c r="AT1553" s="31" t="e">
        <f>VLOOKUP(AS1553,[1]OUTLET!$B:$C,2,0)</f>
        <v>#N/A</v>
      </c>
      <c r="AU1553" s="31"/>
      <c r="AV1553" s="4"/>
      <c r="AW1553" s="44"/>
      <c r="AX1553" s="44"/>
      <c r="AY1553" s="44"/>
      <c r="AZ1553" s="44"/>
      <c r="BA1553" s="44"/>
      <c r="BB1553" s="44"/>
      <c r="BC1553" s="44"/>
      <c r="BD1553" s="44"/>
      <c r="BE1553" s="44"/>
      <c r="BF1553" s="44"/>
      <c r="BG1553" s="44"/>
      <c r="BH1553" s="44"/>
      <c r="BI1553" s="44"/>
      <c r="BJ1553" s="44"/>
      <c r="BK1553" s="44"/>
      <c r="BL1553" s="44"/>
      <c r="BM1553" s="44"/>
      <c r="BN1553" s="44"/>
      <c r="BO1553" s="55"/>
      <c r="BP1553" s="40"/>
      <c r="BQ1553" s="4"/>
      <c r="BR1553" s="61"/>
      <c r="BS1553" s="4"/>
      <c r="BT1553" s="57"/>
      <c r="BU1553" s="62"/>
      <c r="BV1553" s="8"/>
      <c r="BW1553" s="58"/>
    </row>
    <row r="1554" spans="41:75" x14ac:dyDescent="0.35">
      <c r="AO1554" s="39">
        <v>1552</v>
      </c>
      <c r="AP1554" s="62"/>
      <c r="AQ1554" s="39"/>
      <c r="AR1554" s="42" t="str">
        <f>IFERROR(VLOOKUP(AU1554,[1]SUMMARY!$A$3:$B$7,2,FALSE),"")</f>
        <v/>
      </c>
      <c r="AS1554" s="31"/>
      <c r="AT1554" s="31" t="e">
        <f>VLOOKUP(AS1554,[1]OUTLET!$B:$C,2,0)</f>
        <v>#N/A</v>
      </c>
      <c r="AU1554" s="31"/>
      <c r="AV1554" s="4"/>
      <c r="AW1554" s="44"/>
      <c r="AX1554" s="44"/>
      <c r="AY1554" s="44"/>
      <c r="AZ1554" s="44"/>
      <c r="BA1554" s="44"/>
      <c r="BB1554" s="44"/>
      <c r="BC1554" s="44"/>
      <c r="BD1554" s="44"/>
      <c r="BE1554" s="44"/>
      <c r="BF1554" s="44"/>
      <c r="BG1554" s="44"/>
      <c r="BH1554" s="44"/>
      <c r="BI1554" s="44"/>
      <c r="BJ1554" s="44"/>
      <c r="BK1554" s="44"/>
      <c r="BL1554" s="44"/>
      <c r="BM1554" s="44"/>
      <c r="BN1554" s="44"/>
      <c r="BO1554" s="55"/>
      <c r="BP1554" s="40"/>
      <c r="BQ1554" s="4"/>
      <c r="BR1554" s="61"/>
      <c r="BS1554" s="4"/>
      <c r="BT1554" s="57"/>
      <c r="BU1554" s="62"/>
      <c r="BV1554" s="8"/>
      <c r="BW1554" s="58"/>
    </row>
    <row r="1555" spans="41:75" x14ac:dyDescent="0.35">
      <c r="AO1555" s="39">
        <v>1553</v>
      </c>
      <c r="AP1555" s="62"/>
      <c r="AQ1555" s="39"/>
      <c r="AR1555" s="42" t="str">
        <f>IFERROR(VLOOKUP(AU1555,[1]SUMMARY!$A$3:$B$7,2,FALSE),"")</f>
        <v/>
      </c>
      <c r="AS1555" s="31"/>
      <c r="AT1555" s="31" t="e">
        <f>VLOOKUP(AS1555,[1]OUTLET!$B:$C,2,0)</f>
        <v>#N/A</v>
      </c>
      <c r="AU1555" s="31"/>
      <c r="AV1555" s="4"/>
      <c r="AW1555" s="44"/>
      <c r="AX1555" s="44"/>
      <c r="AY1555" s="44"/>
      <c r="AZ1555" s="44"/>
      <c r="BA1555" s="44"/>
      <c r="BB1555" s="44"/>
      <c r="BC1555" s="44"/>
      <c r="BD1555" s="44"/>
      <c r="BE1555" s="44"/>
      <c r="BF1555" s="44"/>
      <c r="BG1555" s="44"/>
      <c r="BH1555" s="44"/>
      <c r="BI1555" s="44"/>
      <c r="BJ1555" s="44"/>
      <c r="BK1555" s="44"/>
      <c r="BL1555" s="44"/>
      <c r="BM1555" s="44"/>
      <c r="BN1555" s="44"/>
      <c r="BO1555" s="55"/>
      <c r="BP1555" s="40"/>
      <c r="BQ1555" s="4"/>
      <c r="BR1555" s="61"/>
      <c r="BS1555" s="4"/>
      <c r="BT1555" s="57"/>
      <c r="BU1555" s="62"/>
      <c r="BV1555" s="8"/>
      <c r="BW1555" s="58"/>
    </row>
    <row r="1556" spans="41:75" x14ac:dyDescent="0.35">
      <c r="AO1556" s="39">
        <v>1554</v>
      </c>
      <c r="AP1556" s="62"/>
      <c r="AQ1556" s="39"/>
      <c r="AR1556" s="42" t="str">
        <f>IFERROR(VLOOKUP(AU1556,[1]SUMMARY!$A$3:$B$7,2,FALSE),"")</f>
        <v/>
      </c>
      <c r="AS1556" s="31"/>
      <c r="AT1556" s="31" t="e">
        <f>VLOOKUP(AS1556,[1]OUTLET!$B:$C,2,0)</f>
        <v>#N/A</v>
      </c>
      <c r="AU1556" s="31"/>
      <c r="AV1556" s="4"/>
      <c r="AW1556" s="44"/>
      <c r="AX1556" s="44"/>
      <c r="AY1556" s="44"/>
      <c r="AZ1556" s="44"/>
      <c r="BA1556" s="44"/>
      <c r="BB1556" s="44"/>
      <c r="BC1556" s="44"/>
      <c r="BD1556" s="44"/>
      <c r="BE1556" s="44"/>
      <c r="BF1556" s="44"/>
      <c r="BG1556" s="44"/>
      <c r="BH1556" s="44"/>
      <c r="BI1556" s="44"/>
      <c r="BJ1556" s="44"/>
      <c r="BK1556" s="44"/>
      <c r="BL1556" s="44"/>
      <c r="BM1556" s="44"/>
      <c r="BN1556" s="44"/>
      <c r="BO1556" s="55"/>
      <c r="BP1556" s="40"/>
      <c r="BQ1556" s="4"/>
      <c r="BR1556" s="61"/>
      <c r="BS1556" s="4"/>
      <c r="BT1556" s="57"/>
      <c r="BU1556" s="62"/>
      <c r="BV1556" s="8"/>
      <c r="BW1556" s="58"/>
    </row>
    <row r="1557" spans="41:75" x14ac:dyDescent="0.35">
      <c r="AO1557" s="39">
        <v>1555</v>
      </c>
      <c r="AP1557" s="62"/>
      <c r="AQ1557" s="39"/>
      <c r="AR1557" s="42" t="str">
        <f>IFERROR(VLOOKUP(AU1557,[1]SUMMARY!$A$3:$B$7,2,FALSE),"")</f>
        <v/>
      </c>
      <c r="AS1557" s="31"/>
      <c r="AT1557" s="31" t="e">
        <f>VLOOKUP(AS1557,[1]OUTLET!$B:$C,2,0)</f>
        <v>#N/A</v>
      </c>
      <c r="AU1557" s="31"/>
      <c r="AV1557" s="4"/>
      <c r="AW1557" s="44"/>
      <c r="AX1557" s="44"/>
      <c r="AY1557" s="44"/>
      <c r="AZ1557" s="44"/>
      <c r="BA1557" s="44"/>
      <c r="BB1557" s="44"/>
      <c r="BC1557" s="44"/>
      <c r="BD1557" s="44"/>
      <c r="BE1557" s="44"/>
      <c r="BF1557" s="44"/>
      <c r="BG1557" s="44"/>
      <c r="BH1557" s="44"/>
      <c r="BI1557" s="44"/>
      <c r="BJ1557" s="44"/>
      <c r="BK1557" s="44"/>
      <c r="BL1557" s="44"/>
      <c r="BM1557" s="44"/>
      <c r="BN1557" s="44"/>
      <c r="BO1557" s="55"/>
      <c r="BP1557" s="40"/>
      <c r="BQ1557" s="4"/>
      <c r="BR1557" s="61"/>
      <c r="BS1557" s="4"/>
      <c r="BT1557" s="57"/>
      <c r="BU1557" s="62"/>
      <c r="BV1557" s="8"/>
      <c r="BW1557" s="58"/>
    </row>
    <row r="1558" spans="41:75" x14ac:dyDescent="0.35">
      <c r="AO1558" s="39">
        <v>1556</v>
      </c>
      <c r="AP1558" s="62"/>
      <c r="AQ1558" s="39"/>
      <c r="AR1558" s="42" t="str">
        <f>IFERROR(VLOOKUP(AU1558,[1]SUMMARY!$A$3:$B$7,2,FALSE),"")</f>
        <v/>
      </c>
      <c r="AS1558" s="31"/>
      <c r="AT1558" s="31" t="e">
        <f>VLOOKUP(AS1558,[1]OUTLET!$B:$C,2,0)</f>
        <v>#N/A</v>
      </c>
      <c r="AU1558" s="31"/>
      <c r="AV1558" s="4"/>
      <c r="AW1558" s="44"/>
      <c r="AX1558" s="44"/>
      <c r="AY1558" s="44"/>
      <c r="AZ1558" s="44"/>
      <c r="BA1558" s="44"/>
      <c r="BB1558" s="44"/>
      <c r="BC1558" s="44"/>
      <c r="BD1558" s="44"/>
      <c r="BE1558" s="44"/>
      <c r="BF1558" s="44"/>
      <c r="BG1558" s="44"/>
      <c r="BH1558" s="44"/>
      <c r="BI1558" s="44"/>
      <c r="BJ1558" s="44"/>
      <c r="BK1558" s="44"/>
      <c r="BL1558" s="44"/>
      <c r="BM1558" s="44"/>
      <c r="BN1558" s="44"/>
      <c r="BO1558" s="55"/>
      <c r="BP1558" s="40"/>
      <c r="BQ1558" s="4"/>
      <c r="BR1558" s="61"/>
      <c r="BS1558" s="4"/>
      <c r="BT1558" s="57"/>
      <c r="BU1558" s="62"/>
      <c r="BV1558" s="8"/>
      <c r="BW1558" s="58"/>
    </row>
    <row r="1559" spans="41:75" x14ac:dyDescent="0.35">
      <c r="AO1559" s="39">
        <v>1557</v>
      </c>
      <c r="AP1559" s="62"/>
      <c r="AQ1559" s="39"/>
      <c r="AR1559" s="42" t="str">
        <f>IFERROR(VLOOKUP(AU1559,[1]SUMMARY!$A$3:$B$7,2,FALSE),"")</f>
        <v/>
      </c>
      <c r="AS1559" s="31"/>
      <c r="AT1559" s="31" t="e">
        <f>VLOOKUP(AS1559,[1]OUTLET!$B:$C,2,0)</f>
        <v>#N/A</v>
      </c>
      <c r="AU1559" s="31"/>
      <c r="AV1559" s="4"/>
      <c r="AW1559" s="44"/>
      <c r="AX1559" s="44"/>
      <c r="AY1559" s="44"/>
      <c r="AZ1559" s="44"/>
      <c r="BA1559" s="44"/>
      <c r="BB1559" s="44"/>
      <c r="BC1559" s="44"/>
      <c r="BD1559" s="44"/>
      <c r="BE1559" s="44"/>
      <c r="BF1559" s="44"/>
      <c r="BG1559" s="44"/>
      <c r="BH1559" s="44"/>
      <c r="BI1559" s="44"/>
      <c r="BJ1559" s="44"/>
      <c r="BK1559" s="44"/>
      <c r="BL1559" s="44"/>
      <c r="BM1559" s="44"/>
      <c r="BN1559" s="44"/>
      <c r="BO1559" s="55"/>
      <c r="BP1559" s="40"/>
      <c r="BQ1559" s="4"/>
      <c r="BR1559" s="61"/>
      <c r="BS1559" s="4"/>
      <c r="BT1559" s="57"/>
      <c r="BU1559" s="62"/>
      <c r="BV1559" s="8"/>
      <c r="BW1559" s="58"/>
    </row>
    <row r="1560" spans="41:75" x14ac:dyDescent="0.35">
      <c r="AO1560" s="39">
        <v>1558</v>
      </c>
      <c r="AP1560" s="62"/>
      <c r="AQ1560" s="39"/>
      <c r="AR1560" s="42" t="str">
        <f>IFERROR(VLOOKUP(AU1560,[1]SUMMARY!$A$3:$B$7,2,FALSE),"")</f>
        <v/>
      </c>
      <c r="AS1560" s="31"/>
      <c r="AT1560" s="31" t="e">
        <f>VLOOKUP(AS1560,[1]OUTLET!$B:$C,2,0)</f>
        <v>#N/A</v>
      </c>
      <c r="AU1560" s="31"/>
      <c r="AV1560" s="4"/>
      <c r="AW1560" s="44"/>
      <c r="AX1560" s="44"/>
      <c r="AY1560" s="44"/>
      <c r="AZ1560" s="44"/>
      <c r="BA1560" s="44"/>
      <c r="BB1560" s="44"/>
      <c r="BC1560" s="44"/>
      <c r="BD1560" s="44"/>
      <c r="BE1560" s="44"/>
      <c r="BF1560" s="44"/>
      <c r="BG1560" s="44"/>
      <c r="BH1560" s="44"/>
      <c r="BI1560" s="44"/>
      <c r="BJ1560" s="44"/>
      <c r="BK1560" s="44"/>
      <c r="BL1560" s="44"/>
      <c r="BM1560" s="44"/>
      <c r="BN1560" s="44"/>
      <c r="BO1560" s="55"/>
      <c r="BP1560" s="40"/>
      <c r="BQ1560" s="4"/>
      <c r="BR1560" s="61"/>
      <c r="BS1560" s="4"/>
      <c r="BT1560" s="57"/>
      <c r="BU1560" s="62"/>
      <c r="BV1560" s="8"/>
      <c r="BW1560" s="58"/>
    </row>
    <row r="1561" spans="41:75" x14ac:dyDescent="0.35">
      <c r="AO1561" s="39">
        <v>1559</v>
      </c>
      <c r="AP1561" s="62"/>
      <c r="AQ1561" s="39"/>
      <c r="AR1561" s="42" t="str">
        <f>IFERROR(VLOOKUP(AU1561,[1]SUMMARY!$A$3:$B$7,2,FALSE),"")</f>
        <v/>
      </c>
      <c r="AS1561" s="31"/>
      <c r="AT1561" s="31" t="e">
        <f>VLOOKUP(AS1561,[1]OUTLET!$B:$C,2,0)</f>
        <v>#N/A</v>
      </c>
      <c r="AU1561" s="31"/>
      <c r="AV1561" s="4"/>
      <c r="AW1561" s="44"/>
      <c r="AX1561" s="44"/>
      <c r="AY1561" s="44"/>
      <c r="AZ1561" s="44"/>
      <c r="BA1561" s="44"/>
      <c r="BB1561" s="44"/>
      <c r="BC1561" s="44"/>
      <c r="BD1561" s="44"/>
      <c r="BE1561" s="44"/>
      <c r="BF1561" s="44"/>
      <c r="BG1561" s="44"/>
      <c r="BH1561" s="44"/>
      <c r="BI1561" s="44"/>
      <c r="BJ1561" s="44"/>
      <c r="BK1561" s="44"/>
      <c r="BL1561" s="44"/>
      <c r="BM1561" s="44"/>
      <c r="BN1561" s="44"/>
      <c r="BO1561" s="55"/>
      <c r="BP1561" s="40"/>
      <c r="BQ1561" s="4"/>
      <c r="BR1561" s="61"/>
      <c r="BS1561" s="4"/>
      <c r="BT1561" s="57"/>
      <c r="BU1561" s="62"/>
      <c r="BV1561" s="8"/>
      <c r="BW1561" s="58"/>
    </row>
    <row r="1562" spans="41:75" x14ac:dyDescent="0.35">
      <c r="AO1562" s="39">
        <v>1560</v>
      </c>
      <c r="AP1562" s="62"/>
      <c r="AQ1562" s="39"/>
      <c r="AR1562" s="42" t="str">
        <f>IFERROR(VLOOKUP(AU1562,[1]SUMMARY!$A$3:$B$7,2,FALSE),"")</f>
        <v/>
      </c>
      <c r="AS1562" s="31"/>
      <c r="AT1562" s="31" t="e">
        <f>VLOOKUP(AS1562,[1]OUTLET!$B:$C,2,0)</f>
        <v>#N/A</v>
      </c>
      <c r="AU1562" s="31"/>
      <c r="AV1562" s="4"/>
      <c r="AW1562" s="44"/>
      <c r="AX1562" s="44"/>
      <c r="AY1562" s="44"/>
      <c r="AZ1562" s="44"/>
      <c r="BA1562" s="44"/>
      <c r="BB1562" s="44"/>
      <c r="BC1562" s="44"/>
      <c r="BD1562" s="44"/>
      <c r="BE1562" s="44"/>
      <c r="BF1562" s="44"/>
      <c r="BG1562" s="44"/>
      <c r="BH1562" s="44"/>
      <c r="BI1562" s="44"/>
      <c r="BJ1562" s="44"/>
      <c r="BK1562" s="44"/>
      <c r="BL1562" s="44"/>
      <c r="BM1562" s="44"/>
      <c r="BN1562" s="44"/>
      <c r="BO1562" s="55"/>
      <c r="BP1562" s="40"/>
      <c r="BQ1562" s="4"/>
      <c r="BR1562" s="61"/>
      <c r="BS1562" s="4"/>
      <c r="BT1562" s="57"/>
      <c r="BU1562" s="62"/>
      <c r="BV1562" s="8"/>
      <c r="BW1562" s="58"/>
    </row>
    <row r="1563" spans="41:75" x14ac:dyDescent="0.35">
      <c r="AO1563" s="39">
        <v>1561</v>
      </c>
      <c r="AP1563" s="62"/>
      <c r="AQ1563" s="39"/>
      <c r="AR1563" s="42" t="str">
        <f>IFERROR(VLOOKUP(AU1563,[1]SUMMARY!$A$3:$B$7,2,FALSE),"")</f>
        <v/>
      </c>
      <c r="AS1563" s="31"/>
      <c r="AT1563" s="31" t="e">
        <f>VLOOKUP(AS1563,[1]OUTLET!$B:$C,2,0)</f>
        <v>#N/A</v>
      </c>
      <c r="AU1563" s="31"/>
      <c r="AV1563" s="4"/>
      <c r="AW1563" s="44"/>
      <c r="AX1563" s="44"/>
      <c r="AY1563" s="44"/>
      <c r="AZ1563" s="44"/>
      <c r="BA1563" s="44"/>
      <c r="BB1563" s="44"/>
      <c r="BC1563" s="44"/>
      <c r="BD1563" s="44"/>
      <c r="BE1563" s="44"/>
      <c r="BF1563" s="44"/>
      <c r="BG1563" s="44"/>
      <c r="BH1563" s="44"/>
      <c r="BI1563" s="44"/>
      <c r="BJ1563" s="44"/>
      <c r="BK1563" s="44"/>
      <c r="BL1563" s="44"/>
      <c r="BM1563" s="44"/>
      <c r="BN1563" s="44"/>
      <c r="BO1563" s="55"/>
      <c r="BP1563" s="40"/>
      <c r="BQ1563" s="4"/>
      <c r="BR1563" s="61"/>
      <c r="BS1563" s="4"/>
      <c r="BT1563" s="57"/>
      <c r="BU1563" s="62"/>
      <c r="BV1563" s="8"/>
      <c r="BW1563" s="58"/>
    </row>
    <row r="1564" spans="41:75" x14ac:dyDescent="0.35">
      <c r="AO1564" s="39">
        <v>1562</v>
      </c>
      <c r="AP1564" s="62"/>
      <c r="AQ1564" s="39"/>
      <c r="AR1564" s="42" t="str">
        <f>IFERROR(VLOOKUP(AU1564,[1]SUMMARY!$A$3:$B$7,2,FALSE),"")</f>
        <v/>
      </c>
      <c r="AS1564" s="31"/>
      <c r="AT1564" s="31" t="e">
        <f>VLOOKUP(AS1564,[1]OUTLET!$B:$C,2,0)</f>
        <v>#N/A</v>
      </c>
      <c r="AU1564" s="31"/>
      <c r="AV1564" s="4"/>
      <c r="AW1564" s="44"/>
      <c r="AX1564" s="44"/>
      <c r="AY1564" s="44"/>
      <c r="AZ1564" s="44"/>
      <c r="BA1564" s="44"/>
      <c r="BB1564" s="44"/>
      <c r="BC1564" s="44"/>
      <c r="BD1564" s="44"/>
      <c r="BE1564" s="44"/>
      <c r="BF1564" s="44"/>
      <c r="BG1564" s="44"/>
      <c r="BH1564" s="44"/>
      <c r="BI1564" s="44"/>
      <c r="BJ1564" s="44"/>
      <c r="BK1564" s="44"/>
      <c r="BL1564" s="44"/>
      <c r="BM1564" s="44"/>
      <c r="BN1564" s="44"/>
      <c r="BO1564" s="55"/>
      <c r="BP1564" s="40"/>
      <c r="BQ1564" s="4"/>
      <c r="BR1564" s="61"/>
      <c r="BS1564" s="4"/>
      <c r="BT1564" s="57"/>
      <c r="BU1564" s="62"/>
      <c r="BV1564" s="8"/>
      <c r="BW1564" s="58"/>
    </row>
    <row r="1565" spans="41:75" x14ac:dyDescent="0.35">
      <c r="AO1565" s="39">
        <v>1563</v>
      </c>
      <c r="AP1565" s="62"/>
      <c r="AQ1565" s="39"/>
      <c r="AR1565" s="42" t="str">
        <f>IFERROR(VLOOKUP(AU1565,[1]SUMMARY!$A$3:$B$7,2,FALSE),"")</f>
        <v/>
      </c>
      <c r="AS1565" s="31"/>
      <c r="AT1565" s="31" t="e">
        <f>VLOOKUP(AS1565,[1]OUTLET!$B:$C,2,0)</f>
        <v>#N/A</v>
      </c>
      <c r="AU1565" s="31"/>
      <c r="AV1565" s="4"/>
      <c r="AW1565" s="44"/>
      <c r="AX1565" s="44"/>
      <c r="AY1565" s="44"/>
      <c r="AZ1565" s="44"/>
      <c r="BA1565" s="44"/>
      <c r="BB1565" s="44"/>
      <c r="BC1565" s="44"/>
      <c r="BD1565" s="44"/>
      <c r="BE1565" s="44"/>
      <c r="BF1565" s="44"/>
      <c r="BG1565" s="44"/>
      <c r="BH1565" s="44"/>
      <c r="BI1565" s="44"/>
      <c r="BJ1565" s="44"/>
      <c r="BK1565" s="44"/>
      <c r="BL1565" s="44"/>
      <c r="BM1565" s="44"/>
      <c r="BN1565" s="44"/>
      <c r="BO1565" s="55"/>
      <c r="BP1565" s="40"/>
      <c r="BQ1565" s="4"/>
      <c r="BR1565" s="61"/>
      <c r="BS1565" s="4"/>
      <c r="BT1565" s="57"/>
      <c r="BU1565" s="62"/>
      <c r="BV1565" s="8"/>
      <c r="BW1565" s="58"/>
    </row>
    <row r="1566" spans="41:75" x14ac:dyDescent="0.35">
      <c r="AO1566" s="39">
        <v>1564</v>
      </c>
      <c r="AP1566" s="62"/>
      <c r="AQ1566" s="39"/>
      <c r="AR1566" s="42" t="str">
        <f>IFERROR(VLOOKUP(AU1566,[1]SUMMARY!$A$3:$B$7,2,FALSE),"")</f>
        <v/>
      </c>
      <c r="AS1566" s="31"/>
      <c r="AT1566" s="31" t="e">
        <f>VLOOKUP(AS1566,[1]OUTLET!$B:$C,2,0)</f>
        <v>#N/A</v>
      </c>
      <c r="AU1566" s="31"/>
      <c r="AV1566" s="4"/>
      <c r="AW1566" s="44"/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44"/>
      <c r="BJ1566" s="44"/>
      <c r="BK1566" s="44"/>
      <c r="BL1566" s="44"/>
      <c r="BM1566" s="44"/>
      <c r="BN1566" s="44"/>
      <c r="BO1566" s="55"/>
      <c r="BP1566" s="40"/>
      <c r="BQ1566" s="4"/>
      <c r="BR1566" s="61"/>
      <c r="BS1566" s="4"/>
      <c r="BT1566" s="57"/>
      <c r="BU1566" s="62"/>
      <c r="BV1566" s="8"/>
      <c r="BW1566" s="58"/>
    </row>
    <row r="1567" spans="41:75" x14ac:dyDescent="0.35">
      <c r="AO1567" s="39">
        <v>1565</v>
      </c>
      <c r="AP1567" s="62"/>
      <c r="AQ1567" s="39"/>
      <c r="AR1567" s="42" t="str">
        <f>IFERROR(VLOOKUP(AU1567,[1]SUMMARY!$A$3:$B$7,2,FALSE),"")</f>
        <v/>
      </c>
      <c r="AS1567" s="31"/>
      <c r="AT1567" s="31" t="e">
        <f>VLOOKUP(AS1567,[1]OUTLET!$B:$C,2,0)</f>
        <v>#N/A</v>
      </c>
      <c r="AU1567" s="31"/>
      <c r="AV1567" s="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44"/>
      <c r="BJ1567" s="44"/>
      <c r="BK1567" s="44"/>
      <c r="BL1567" s="44"/>
      <c r="BM1567" s="44"/>
      <c r="BN1567" s="44"/>
      <c r="BO1567" s="55"/>
      <c r="BP1567" s="40"/>
      <c r="BQ1567" s="4"/>
      <c r="BR1567" s="61"/>
      <c r="BS1567" s="4"/>
      <c r="BT1567" s="57"/>
      <c r="BU1567" s="62"/>
      <c r="BV1567" s="8"/>
      <c r="BW1567" s="58"/>
    </row>
    <row r="1568" spans="41:75" x14ac:dyDescent="0.35">
      <c r="AO1568" s="39">
        <v>1566</v>
      </c>
      <c r="AP1568" s="62"/>
      <c r="AQ1568" s="39"/>
      <c r="AR1568" s="42" t="str">
        <f>IFERROR(VLOOKUP(AU1568,[1]SUMMARY!$A$3:$B$7,2,FALSE),"")</f>
        <v/>
      </c>
      <c r="AS1568" s="31"/>
      <c r="AT1568" s="31" t="e">
        <f>VLOOKUP(AS1568,[1]OUTLET!$B:$C,2,0)</f>
        <v>#N/A</v>
      </c>
      <c r="AU1568" s="31"/>
      <c r="AV1568" s="4"/>
      <c r="AW1568" s="44"/>
      <c r="AX1568" s="44"/>
      <c r="AY1568" s="44"/>
      <c r="AZ1568" s="44"/>
      <c r="BA1568" s="44"/>
      <c r="BB1568" s="44"/>
      <c r="BC1568" s="44"/>
      <c r="BD1568" s="44"/>
      <c r="BE1568" s="44"/>
      <c r="BF1568" s="44"/>
      <c r="BG1568" s="44"/>
      <c r="BH1568" s="44"/>
      <c r="BI1568" s="44"/>
      <c r="BJ1568" s="44"/>
      <c r="BK1568" s="44"/>
      <c r="BL1568" s="44"/>
      <c r="BM1568" s="44"/>
      <c r="BN1568" s="44"/>
      <c r="BO1568" s="55"/>
      <c r="BP1568" s="40"/>
      <c r="BQ1568" s="4"/>
      <c r="BR1568" s="61"/>
      <c r="BS1568" s="4"/>
      <c r="BT1568" s="57"/>
      <c r="BU1568" s="62"/>
      <c r="BV1568" s="8"/>
      <c r="BW1568" s="58"/>
    </row>
    <row r="1569" spans="41:75" x14ac:dyDescent="0.35">
      <c r="AO1569" s="39">
        <v>1567</v>
      </c>
      <c r="AP1569" s="62"/>
      <c r="AQ1569" s="39"/>
      <c r="AR1569" s="42" t="str">
        <f>IFERROR(VLOOKUP(AU1569,[1]SUMMARY!$A$3:$B$7,2,FALSE),"")</f>
        <v/>
      </c>
      <c r="AS1569" s="31"/>
      <c r="AT1569" s="31" t="e">
        <f>VLOOKUP(AS1569,[1]OUTLET!$B:$C,2,0)</f>
        <v>#N/A</v>
      </c>
      <c r="AU1569" s="31"/>
      <c r="AV1569" s="4"/>
      <c r="AW1569" s="44"/>
      <c r="AX1569" s="44"/>
      <c r="AY1569" s="44"/>
      <c r="AZ1569" s="44"/>
      <c r="BA1569" s="44"/>
      <c r="BB1569" s="44"/>
      <c r="BC1569" s="44"/>
      <c r="BD1569" s="44"/>
      <c r="BE1569" s="44"/>
      <c r="BF1569" s="44"/>
      <c r="BG1569" s="44"/>
      <c r="BH1569" s="44"/>
      <c r="BI1569" s="44"/>
      <c r="BJ1569" s="44"/>
      <c r="BK1569" s="44"/>
      <c r="BL1569" s="44"/>
      <c r="BM1569" s="44"/>
      <c r="BN1569" s="44"/>
      <c r="BO1569" s="55"/>
      <c r="BP1569" s="40"/>
      <c r="BQ1569" s="4"/>
      <c r="BR1569" s="61"/>
      <c r="BS1569" s="4"/>
      <c r="BT1569" s="57"/>
      <c r="BU1569" s="62"/>
      <c r="BV1569" s="8"/>
      <c r="BW1569" s="58"/>
    </row>
    <row r="1570" spans="41:75" x14ac:dyDescent="0.35">
      <c r="AO1570" s="39">
        <v>1568</v>
      </c>
      <c r="AP1570" s="62"/>
      <c r="AQ1570" s="39"/>
      <c r="AR1570" s="42" t="str">
        <f>IFERROR(VLOOKUP(AU1570,[1]SUMMARY!$A$3:$B$7,2,FALSE),"")</f>
        <v/>
      </c>
      <c r="AS1570" s="31"/>
      <c r="AT1570" s="31" t="e">
        <f>VLOOKUP(AS1570,[1]OUTLET!$B:$C,2,0)</f>
        <v>#N/A</v>
      </c>
      <c r="AU1570" s="31"/>
      <c r="AV1570" s="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55"/>
      <c r="BP1570" s="40"/>
      <c r="BQ1570" s="4"/>
      <c r="BR1570" s="61"/>
      <c r="BS1570" s="4"/>
      <c r="BT1570" s="57"/>
      <c r="BU1570" s="62"/>
      <c r="BV1570" s="8"/>
      <c r="BW1570" s="58"/>
    </row>
    <row r="1571" spans="41:75" x14ac:dyDescent="0.35">
      <c r="AO1571" s="39">
        <v>1569</v>
      </c>
      <c r="AP1571" s="62"/>
      <c r="AQ1571" s="39"/>
      <c r="AR1571" s="42" t="str">
        <f>IFERROR(VLOOKUP(AU1571,[1]SUMMARY!$A$3:$B$7,2,FALSE),"")</f>
        <v/>
      </c>
      <c r="AS1571" s="31"/>
      <c r="AT1571" s="31" t="e">
        <f>VLOOKUP(AS1571,[1]OUTLET!$B:$C,2,0)</f>
        <v>#N/A</v>
      </c>
      <c r="AU1571" s="31"/>
      <c r="AV1571" s="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55"/>
      <c r="BP1571" s="40"/>
      <c r="BQ1571" s="4"/>
      <c r="BR1571" s="61"/>
      <c r="BS1571" s="4"/>
      <c r="BT1571" s="57"/>
      <c r="BU1571" s="62"/>
      <c r="BV1571" s="8"/>
      <c r="BW1571" s="58"/>
    </row>
    <row r="1572" spans="41:75" x14ac:dyDescent="0.35">
      <c r="AO1572" s="39">
        <v>1570</v>
      </c>
      <c r="AP1572" s="62"/>
      <c r="AQ1572" s="39"/>
      <c r="AR1572" s="42" t="str">
        <f>IFERROR(VLOOKUP(AU1572,[1]SUMMARY!$A$3:$B$7,2,FALSE),"")</f>
        <v/>
      </c>
      <c r="AS1572" s="31"/>
      <c r="AT1572" s="31" t="e">
        <f>VLOOKUP(AS1572,[1]OUTLET!$B:$C,2,0)</f>
        <v>#N/A</v>
      </c>
      <c r="AU1572" s="31"/>
      <c r="AV1572" s="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55"/>
      <c r="BP1572" s="40"/>
      <c r="BQ1572" s="4"/>
      <c r="BR1572" s="61"/>
      <c r="BS1572" s="4"/>
      <c r="BT1572" s="57"/>
      <c r="BU1572" s="62"/>
      <c r="BV1572" s="8"/>
      <c r="BW1572" s="58"/>
    </row>
    <row r="1573" spans="41:75" x14ac:dyDescent="0.35">
      <c r="AO1573" s="39">
        <v>1571</v>
      </c>
      <c r="AP1573" s="62"/>
      <c r="AQ1573" s="39"/>
      <c r="AR1573" s="42" t="str">
        <f>IFERROR(VLOOKUP(AU1573,[1]SUMMARY!$A$3:$B$7,2,FALSE),"")</f>
        <v/>
      </c>
      <c r="AS1573" s="31"/>
      <c r="AT1573" s="31" t="e">
        <f>VLOOKUP(AS1573,[1]OUTLET!$B:$C,2,0)</f>
        <v>#N/A</v>
      </c>
      <c r="AU1573" s="31"/>
      <c r="AV1573" s="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55"/>
      <c r="BP1573" s="40"/>
      <c r="BQ1573" s="4"/>
      <c r="BR1573" s="61"/>
      <c r="BS1573" s="4"/>
      <c r="BT1573" s="57"/>
      <c r="BU1573" s="62"/>
      <c r="BV1573" s="8"/>
      <c r="BW1573" s="58"/>
    </row>
    <row r="1574" spans="41:75" x14ac:dyDescent="0.35">
      <c r="AO1574" s="39">
        <v>1572</v>
      </c>
      <c r="AP1574" s="62"/>
      <c r="AQ1574" s="39"/>
      <c r="AR1574" s="42" t="str">
        <f>IFERROR(VLOOKUP(AU1574,[1]SUMMARY!$A$3:$B$7,2,FALSE),"")</f>
        <v/>
      </c>
      <c r="AS1574" s="31"/>
      <c r="AT1574" s="31" t="e">
        <f>VLOOKUP(AS1574,[1]OUTLET!$B:$C,2,0)</f>
        <v>#N/A</v>
      </c>
      <c r="AU1574" s="31"/>
      <c r="AV1574" s="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55"/>
      <c r="BP1574" s="40"/>
      <c r="BQ1574" s="4"/>
      <c r="BR1574" s="61"/>
      <c r="BS1574" s="4"/>
      <c r="BT1574" s="57"/>
      <c r="BU1574" s="62"/>
      <c r="BV1574" s="8"/>
      <c r="BW1574" s="58"/>
    </row>
    <row r="1575" spans="41:75" x14ac:dyDescent="0.35">
      <c r="AO1575" s="39">
        <v>1573</v>
      </c>
      <c r="AP1575" s="62"/>
      <c r="AQ1575" s="39"/>
      <c r="AR1575" s="42" t="str">
        <f>IFERROR(VLOOKUP(AU1575,[1]SUMMARY!$A$3:$B$7,2,FALSE),"")</f>
        <v/>
      </c>
      <c r="AS1575" s="31"/>
      <c r="AT1575" s="31" t="e">
        <f>VLOOKUP(AS1575,[1]OUTLET!$B:$C,2,0)</f>
        <v>#N/A</v>
      </c>
      <c r="AU1575" s="31"/>
      <c r="AV1575" s="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55"/>
      <c r="BP1575" s="40"/>
      <c r="BQ1575" s="4"/>
      <c r="BR1575" s="61"/>
      <c r="BS1575" s="4"/>
      <c r="BT1575" s="57"/>
      <c r="BU1575" s="62"/>
      <c r="BV1575" s="8"/>
      <c r="BW1575" s="58"/>
    </row>
    <row r="1576" spans="41:75" x14ac:dyDescent="0.35">
      <c r="AO1576" s="39">
        <v>1574</v>
      </c>
      <c r="AP1576" s="62"/>
      <c r="AQ1576" s="39"/>
      <c r="AR1576" s="42" t="str">
        <f>IFERROR(VLOOKUP(AU1576,[1]SUMMARY!$A$3:$B$7,2,FALSE),"")</f>
        <v/>
      </c>
      <c r="AS1576" s="31"/>
      <c r="AT1576" s="31" t="e">
        <f>VLOOKUP(AS1576,[1]OUTLET!$B:$C,2,0)</f>
        <v>#N/A</v>
      </c>
      <c r="AU1576" s="31"/>
      <c r="AV1576" s="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55"/>
      <c r="BP1576" s="40"/>
      <c r="BQ1576" s="4"/>
      <c r="BR1576" s="61"/>
      <c r="BS1576" s="4"/>
      <c r="BT1576" s="57"/>
      <c r="BU1576" s="62"/>
      <c r="BV1576" s="8"/>
      <c r="BW1576" s="58"/>
    </row>
    <row r="1577" spans="41:75" x14ac:dyDescent="0.35">
      <c r="AO1577" s="39">
        <v>1575</v>
      </c>
      <c r="AP1577" s="62"/>
      <c r="AQ1577" s="39"/>
      <c r="AR1577" s="42" t="str">
        <f>IFERROR(VLOOKUP(AU1577,[1]SUMMARY!$A$3:$B$7,2,FALSE),"")</f>
        <v/>
      </c>
      <c r="AS1577" s="31"/>
      <c r="AT1577" s="31" t="e">
        <f>VLOOKUP(AS1577,[1]OUTLET!$B:$C,2,0)</f>
        <v>#N/A</v>
      </c>
      <c r="AU1577" s="31"/>
      <c r="AV1577" s="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55"/>
      <c r="BP1577" s="40"/>
      <c r="BQ1577" s="4"/>
      <c r="BR1577" s="61"/>
      <c r="BS1577" s="4"/>
      <c r="BT1577" s="57"/>
      <c r="BU1577" s="62"/>
      <c r="BV1577" s="8"/>
      <c r="BW1577" s="58"/>
    </row>
    <row r="1578" spans="41:75" x14ac:dyDescent="0.35">
      <c r="AO1578" s="39">
        <v>1576</v>
      </c>
      <c r="AP1578" s="62"/>
      <c r="AQ1578" s="39"/>
      <c r="AR1578" s="42" t="str">
        <f>IFERROR(VLOOKUP(AU1578,[1]SUMMARY!$A$3:$B$7,2,FALSE),"")</f>
        <v/>
      </c>
      <c r="AS1578" s="31"/>
      <c r="AT1578" s="31" t="e">
        <f>VLOOKUP(AS1578,[1]OUTLET!$B:$C,2,0)</f>
        <v>#N/A</v>
      </c>
      <c r="AU1578" s="31"/>
      <c r="AV1578" s="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55"/>
      <c r="BP1578" s="40"/>
      <c r="BQ1578" s="4"/>
      <c r="BR1578" s="61"/>
      <c r="BS1578" s="4"/>
      <c r="BT1578" s="57"/>
      <c r="BU1578" s="62"/>
      <c r="BV1578" s="8"/>
      <c r="BW1578" s="58"/>
    </row>
    <row r="1579" spans="41:75" x14ac:dyDescent="0.35">
      <c r="AO1579" s="39">
        <v>1577</v>
      </c>
      <c r="AP1579" s="62"/>
      <c r="AQ1579" s="39"/>
      <c r="AR1579" s="42" t="str">
        <f>IFERROR(VLOOKUP(AU1579,[1]SUMMARY!$A$3:$B$7,2,FALSE),"")</f>
        <v/>
      </c>
      <c r="AS1579" s="31"/>
      <c r="AT1579" s="31" t="e">
        <f>VLOOKUP(AS1579,[1]OUTLET!$B:$C,2,0)</f>
        <v>#N/A</v>
      </c>
      <c r="AU1579" s="31"/>
      <c r="AV1579" s="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55"/>
      <c r="BP1579" s="40"/>
      <c r="BQ1579" s="4"/>
      <c r="BR1579" s="61"/>
      <c r="BS1579" s="4"/>
      <c r="BT1579" s="57"/>
      <c r="BU1579" s="62"/>
      <c r="BV1579" s="8"/>
      <c r="BW1579" s="58"/>
    </row>
    <row r="1580" spans="41:75" x14ac:dyDescent="0.35">
      <c r="AO1580" s="39">
        <v>1578</v>
      </c>
      <c r="AP1580" s="62"/>
      <c r="AQ1580" s="39"/>
      <c r="AR1580" s="42" t="str">
        <f>IFERROR(VLOOKUP(AU1580,[1]SUMMARY!$A$3:$B$7,2,FALSE),"")</f>
        <v/>
      </c>
      <c r="AS1580" s="31"/>
      <c r="AT1580" s="31" t="e">
        <f>VLOOKUP(AS1580,[1]OUTLET!$B:$C,2,0)</f>
        <v>#N/A</v>
      </c>
      <c r="AU1580" s="31"/>
      <c r="AV1580" s="4"/>
      <c r="AW1580" s="44"/>
      <c r="AX1580" s="44"/>
      <c r="AY1580" s="44"/>
      <c r="AZ1580" s="44"/>
      <c r="BA1580" s="44"/>
      <c r="BB1580" s="44"/>
      <c r="BC1580" s="44"/>
      <c r="BD1580" s="44"/>
      <c r="BE1580" s="44"/>
      <c r="BF1580" s="44"/>
      <c r="BG1580" s="44"/>
      <c r="BH1580" s="44"/>
      <c r="BI1580" s="44"/>
      <c r="BJ1580" s="44"/>
      <c r="BK1580" s="44"/>
      <c r="BL1580" s="44"/>
      <c r="BM1580" s="44"/>
      <c r="BN1580" s="44"/>
      <c r="BO1580" s="55"/>
      <c r="BP1580" s="40"/>
      <c r="BQ1580" s="4"/>
      <c r="BR1580" s="61"/>
      <c r="BS1580" s="4"/>
      <c r="BT1580" s="57"/>
      <c r="BU1580" s="62"/>
      <c r="BV1580" s="8"/>
      <c r="BW1580" s="58"/>
    </row>
    <row r="1581" spans="41:75" x14ac:dyDescent="0.35">
      <c r="AO1581" s="39">
        <v>1579</v>
      </c>
      <c r="AP1581" s="62"/>
      <c r="AQ1581" s="39"/>
      <c r="AR1581" s="42" t="str">
        <f>IFERROR(VLOOKUP(AU1581,[1]SUMMARY!$A$3:$B$7,2,FALSE),"")</f>
        <v/>
      </c>
      <c r="AS1581" s="31"/>
      <c r="AT1581" s="31" t="e">
        <f>VLOOKUP(AS1581,[1]OUTLET!$B:$C,2,0)</f>
        <v>#N/A</v>
      </c>
      <c r="AU1581" s="31"/>
      <c r="AV1581" s="4"/>
      <c r="AW1581" s="44"/>
      <c r="AX1581" s="44"/>
      <c r="AY1581" s="44"/>
      <c r="AZ1581" s="44"/>
      <c r="BA1581" s="44"/>
      <c r="BB1581" s="44"/>
      <c r="BC1581" s="44"/>
      <c r="BD1581" s="44"/>
      <c r="BE1581" s="44"/>
      <c r="BF1581" s="44"/>
      <c r="BG1581" s="44"/>
      <c r="BH1581" s="44"/>
      <c r="BI1581" s="44"/>
      <c r="BJ1581" s="44"/>
      <c r="BK1581" s="44"/>
      <c r="BL1581" s="44"/>
      <c r="BM1581" s="44"/>
      <c r="BN1581" s="44"/>
      <c r="BO1581" s="55"/>
      <c r="BP1581" s="40"/>
      <c r="BQ1581" s="4"/>
      <c r="BR1581" s="61"/>
      <c r="BS1581" s="4"/>
      <c r="BT1581" s="57"/>
      <c r="BU1581" s="62"/>
      <c r="BV1581" s="8"/>
      <c r="BW1581" s="58"/>
    </row>
    <row r="1582" spans="41:75" x14ac:dyDescent="0.35">
      <c r="AO1582" s="39">
        <v>1580</v>
      </c>
      <c r="AP1582" s="62"/>
      <c r="AQ1582" s="39"/>
      <c r="AR1582" s="42" t="str">
        <f>IFERROR(VLOOKUP(AU1582,[1]SUMMARY!$A$3:$B$7,2,FALSE),"")</f>
        <v/>
      </c>
      <c r="AS1582" s="31"/>
      <c r="AT1582" s="31" t="e">
        <f>VLOOKUP(AS1582,[1]OUTLET!$B:$C,2,0)</f>
        <v>#N/A</v>
      </c>
      <c r="AU1582" s="31"/>
      <c r="AV1582" s="4"/>
      <c r="AW1582" s="44"/>
      <c r="AX1582" s="44"/>
      <c r="AY1582" s="44"/>
      <c r="AZ1582" s="44"/>
      <c r="BA1582" s="44"/>
      <c r="BB1582" s="44"/>
      <c r="BC1582" s="44"/>
      <c r="BD1582" s="44"/>
      <c r="BE1582" s="44"/>
      <c r="BF1582" s="44"/>
      <c r="BG1582" s="44"/>
      <c r="BH1582" s="44"/>
      <c r="BI1582" s="44"/>
      <c r="BJ1582" s="44"/>
      <c r="BK1582" s="44"/>
      <c r="BL1582" s="44"/>
      <c r="BM1582" s="44"/>
      <c r="BN1582" s="44"/>
      <c r="BO1582" s="55"/>
      <c r="BP1582" s="40"/>
      <c r="BQ1582" s="4"/>
      <c r="BR1582" s="61"/>
      <c r="BS1582" s="4"/>
      <c r="BT1582" s="57"/>
      <c r="BU1582" s="62"/>
      <c r="BV1582" s="8"/>
      <c r="BW1582" s="58"/>
    </row>
    <row r="1583" spans="41:75" x14ac:dyDescent="0.35">
      <c r="AO1583" s="39">
        <v>1581</v>
      </c>
      <c r="AP1583" s="62"/>
      <c r="AQ1583" s="39"/>
      <c r="AR1583" s="42" t="str">
        <f>IFERROR(VLOOKUP(AU1583,[1]SUMMARY!$A$3:$B$7,2,FALSE),"")</f>
        <v/>
      </c>
      <c r="AS1583" s="31"/>
      <c r="AT1583" s="31" t="e">
        <f>VLOOKUP(AS1583,[1]OUTLET!$B:$C,2,0)</f>
        <v>#N/A</v>
      </c>
      <c r="AU1583" s="31"/>
      <c r="AV1583" s="4"/>
      <c r="AW1583" s="44"/>
      <c r="AX1583" s="44"/>
      <c r="AY1583" s="44"/>
      <c r="AZ1583" s="44"/>
      <c r="BA1583" s="44"/>
      <c r="BB1583" s="44"/>
      <c r="BC1583" s="44"/>
      <c r="BD1583" s="44"/>
      <c r="BE1583" s="44"/>
      <c r="BF1583" s="44"/>
      <c r="BG1583" s="44"/>
      <c r="BH1583" s="44"/>
      <c r="BI1583" s="44"/>
      <c r="BJ1583" s="44"/>
      <c r="BK1583" s="44"/>
      <c r="BL1583" s="44"/>
      <c r="BM1583" s="44"/>
      <c r="BN1583" s="44"/>
      <c r="BO1583" s="55"/>
      <c r="BP1583" s="40"/>
      <c r="BQ1583" s="4"/>
      <c r="BR1583" s="61"/>
      <c r="BS1583" s="4"/>
      <c r="BT1583" s="57"/>
      <c r="BU1583" s="62"/>
      <c r="BV1583" s="8"/>
      <c r="BW1583" s="58"/>
    </row>
    <row r="1584" spans="41:75" x14ac:dyDescent="0.35">
      <c r="AO1584" s="39">
        <v>1582</v>
      </c>
      <c r="AP1584" s="62"/>
      <c r="AQ1584" s="39"/>
      <c r="AR1584" s="42" t="str">
        <f>IFERROR(VLOOKUP(AU1584,[1]SUMMARY!$A$3:$B$7,2,FALSE),"")</f>
        <v/>
      </c>
      <c r="AS1584" s="31"/>
      <c r="AT1584" s="31" t="e">
        <f>VLOOKUP(AS1584,[1]OUTLET!$B:$C,2,0)</f>
        <v>#N/A</v>
      </c>
      <c r="AU1584" s="31"/>
      <c r="AV1584" s="4"/>
      <c r="AW1584" s="44"/>
      <c r="AX1584" s="44"/>
      <c r="AY1584" s="44"/>
      <c r="AZ1584" s="44"/>
      <c r="BA1584" s="44"/>
      <c r="BB1584" s="44"/>
      <c r="BC1584" s="44"/>
      <c r="BD1584" s="44"/>
      <c r="BE1584" s="44"/>
      <c r="BF1584" s="44"/>
      <c r="BG1584" s="44"/>
      <c r="BH1584" s="44"/>
      <c r="BI1584" s="44"/>
      <c r="BJ1584" s="44"/>
      <c r="BK1584" s="44"/>
      <c r="BL1584" s="44"/>
      <c r="BM1584" s="44"/>
      <c r="BN1584" s="44"/>
      <c r="BO1584" s="55"/>
      <c r="BP1584" s="40"/>
      <c r="BQ1584" s="4"/>
      <c r="BR1584" s="61"/>
      <c r="BS1584" s="4"/>
      <c r="BT1584" s="57"/>
      <c r="BU1584" s="62"/>
      <c r="BV1584" s="8"/>
      <c r="BW1584" s="58"/>
    </row>
    <row r="1585" spans="41:75" x14ac:dyDescent="0.35">
      <c r="AO1585" s="39">
        <v>1583</v>
      </c>
      <c r="AP1585" s="62"/>
      <c r="AQ1585" s="39"/>
      <c r="AR1585" s="42" t="str">
        <f>IFERROR(VLOOKUP(AU1585,[1]SUMMARY!$A$3:$B$7,2,FALSE),"")</f>
        <v/>
      </c>
      <c r="AS1585" s="31"/>
      <c r="AT1585" s="31" t="e">
        <f>VLOOKUP(AS1585,[1]OUTLET!$B:$C,2,0)</f>
        <v>#N/A</v>
      </c>
      <c r="AU1585" s="31"/>
      <c r="AV1585" s="4"/>
      <c r="AW1585" s="44"/>
      <c r="AX1585" s="44"/>
      <c r="AY1585" s="44"/>
      <c r="AZ1585" s="44"/>
      <c r="BA1585" s="44"/>
      <c r="BB1585" s="44"/>
      <c r="BC1585" s="44"/>
      <c r="BD1585" s="44"/>
      <c r="BE1585" s="44"/>
      <c r="BF1585" s="44"/>
      <c r="BG1585" s="44"/>
      <c r="BH1585" s="44"/>
      <c r="BI1585" s="44"/>
      <c r="BJ1585" s="44"/>
      <c r="BK1585" s="44"/>
      <c r="BL1585" s="44"/>
      <c r="BM1585" s="44"/>
      <c r="BN1585" s="44"/>
      <c r="BO1585" s="55"/>
      <c r="BP1585" s="40"/>
      <c r="BQ1585" s="4"/>
      <c r="BR1585" s="61"/>
      <c r="BS1585" s="4"/>
      <c r="BT1585" s="57"/>
      <c r="BU1585" s="62"/>
      <c r="BV1585" s="8"/>
      <c r="BW1585" s="58"/>
    </row>
    <row r="1586" spans="41:75" x14ac:dyDescent="0.35">
      <c r="AO1586" s="39">
        <v>1584</v>
      </c>
      <c r="AP1586" s="62"/>
      <c r="AQ1586" s="39"/>
      <c r="AR1586" s="42" t="str">
        <f>IFERROR(VLOOKUP(AU1586,[1]SUMMARY!$A$3:$B$7,2,FALSE),"")</f>
        <v/>
      </c>
      <c r="AS1586" s="31"/>
      <c r="AT1586" s="31" t="e">
        <f>VLOOKUP(AS1586,[1]OUTLET!$B:$C,2,0)</f>
        <v>#N/A</v>
      </c>
      <c r="AU1586" s="31"/>
      <c r="AV1586" s="4"/>
      <c r="AW1586" s="44"/>
      <c r="AX1586" s="44"/>
      <c r="AY1586" s="44"/>
      <c r="AZ1586" s="44"/>
      <c r="BA1586" s="44"/>
      <c r="BB1586" s="44"/>
      <c r="BC1586" s="44"/>
      <c r="BD1586" s="44"/>
      <c r="BE1586" s="44"/>
      <c r="BF1586" s="44"/>
      <c r="BG1586" s="44"/>
      <c r="BH1586" s="44"/>
      <c r="BI1586" s="44"/>
      <c r="BJ1586" s="44"/>
      <c r="BK1586" s="44"/>
      <c r="BL1586" s="44"/>
      <c r="BM1586" s="44"/>
      <c r="BN1586" s="44"/>
      <c r="BO1586" s="55"/>
      <c r="BP1586" s="40"/>
      <c r="BQ1586" s="4"/>
      <c r="BR1586" s="61"/>
      <c r="BS1586" s="4"/>
      <c r="BT1586" s="57"/>
      <c r="BU1586" s="62"/>
      <c r="BV1586" s="8"/>
      <c r="BW1586" s="58"/>
    </row>
    <row r="1587" spans="41:75" x14ac:dyDescent="0.35">
      <c r="AO1587" s="39">
        <v>1585</v>
      </c>
      <c r="AP1587" s="62"/>
      <c r="AQ1587" s="39"/>
      <c r="AR1587" s="42" t="str">
        <f>IFERROR(VLOOKUP(AU1587,[1]SUMMARY!$A$3:$B$7,2,FALSE),"")</f>
        <v/>
      </c>
      <c r="AS1587" s="31"/>
      <c r="AT1587" s="31" t="e">
        <f>VLOOKUP(AS1587,[1]OUTLET!$B:$C,2,0)</f>
        <v>#N/A</v>
      </c>
      <c r="AU1587" s="31"/>
      <c r="AV1587" s="4"/>
      <c r="AW1587" s="44"/>
      <c r="AX1587" s="44"/>
      <c r="AY1587" s="44"/>
      <c r="AZ1587" s="44"/>
      <c r="BA1587" s="44"/>
      <c r="BB1587" s="44"/>
      <c r="BC1587" s="44"/>
      <c r="BD1587" s="44"/>
      <c r="BE1587" s="44"/>
      <c r="BF1587" s="44"/>
      <c r="BG1587" s="44"/>
      <c r="BH1587" s="44"/>
      <c r="BI1587" s="44"/>
      <c r="BJ1587" s="44"/>
      <c r="BK1587" s="44"/>
      <c r="BL1587" s="44"/>
      <c r="BM1587" s="44"/>
      <c r="BN1587" s="44"/>
      <c r="BO1587" s="55"/>
      <c r="BP1587" s="40"/>
      <c r="BQ1587" s="4"/>
      <c r="BR1587" s="61"/>
      <c r="BS1587" s="4"/>
      <c r="BT1587" s="57"/>
      <c r="BU1587" s="62"/>
      <c r="BV1587" s="8"/>
      <c r="BW1587" s="58"/>
    </row>
    <row r="1588" spans="41:75" x14ac:dyDescent="0.35">
      <c r="AO1588" s="39">
        <v>1586</v>
      </c>
      <c r="AP1588" s="62"/>
      <c r="AQ1588" s="39"/>
      <c r="AR1588" s="42" t="str">
        <f>IFERROR(VLOOKUP(AU1588,[1]SUMMARY!$A$3:$B$7,2,FALSE),"")</f>
        <v/>
      </c>
      <c r="AS1588" s="31"/>
      <c r="AT1588" s="31" t="e">
        <f>VLOOKUP(AS1588,[1]OUTLET!$B:$C,2,0)</f>
        <v>#N/A</v>
      </c>
      <c r="AU1588" s="31"/>
      <c r="AV1588" s="4"/>
      <c r="AW1588" s="44"/>
      <c r="AX1588" s="44"/>
      <c r="AY1588" s="44"/>
      <c r="AZ1588" s="44"/>
      <c r="BA1588" s="44"/>
      <c r="BB1588" s="44"/>
      <c r="BC1588" s="44"/>
      <c r="BD1588" s="44"/>
      <c r="BE1588" s="44"/>
      <c r="BF1588" s="44"/>
      <c r="BG1588" s="44"/>
      <c r="BH1588" s="44"/>
      <c r="BI1588" s="44"/>
      <c r="BJ1588" s="44"/>
      <c r="BK1588" s="44"/>
      <c r="BL1588" s="44"/>
      <c r="BM1588" s="44"/>
      <c r="BN1588" s="44"/>
      <c r="BO1588" s="55"/>
      <c r="BP1588" s="40"/>
      <c r="BQ1588" s="4"/>
      <c r="BR1588" s="61"/>
      <c r="BS1588" s="4"/>
      <c r="BT1588" s="57"/>
      <c r="BU1588" s="62"/>
      <c r="BV1588" s="8"/>
      <c r="BW1588" s="58"/>
    </row>
    <row r="1589" spans="41:75" x14ac:dyDescent="0.35">
      <c r="AO1589" s="39">
        <v>1587</v>
      </c>
      <c r="AP1589" s="62"/>
      <c r="AQ1589" s="39"/>
      <c r="AR1589" s="42" t="str">
        <f>IFERROR(VLOOKUP(AU1589,[1]SUMMARY!$A$3:$B$7,2,FALSE),"")</f>
        <v/>
      </c>
      <c r="AS1589" s="31"/>
      <c r="AT1589" s="31" t="e">
        <f>VLOOKUP(AS1589,[1]OUTLET!$B:$C,2,0)</f>
        <v>#N/A</v>
      </c>
      <c r="AU1589" s="31"/>
      <c r="AV1589" s="4"/>
      <c r="AW1589" s="44"/>
      <c r="AX1589" s="44"/>
      <c r="AY1589" s="44"/>
      <c r="AZ1589" s="44"/>
      <c r="BA1589" s="44"/>
      <c r="BB1589" s="44"/>
      <c r="BC1589" s="44"/>
      <c r="BD1589" s="44"/>
      <c r="BE1589" s="44"/>
      <c r="BF1589" s="44"/>
      <c r="BG1589" s="44"/>
      <c r="BH1589" s="44"/>
      <c r="BI1589" s="44"/>
      <c r="BJ1589" s="44"/>
      <c r="BK1589" s="44"/>
      <c r="BL1589" s="44"/>
      <c r="BM1589" s="44"/>
      <c r="BN1589" s="44"/>
      <c r="BO1589" s="55"/>
      <c r="BP1589" s="40"/>
      <c r="BQ1589" s="4"/>
      <c r="BR1589" s="61"/>
      <c r="BS1589" s="4"/>
      <c r="BT1589" s="57"/>
      <c r="BU1589" s="62"/>
      <c r="BV1589" s="8"/>
      <c r="BW1589" s="58"/>
    </row>
    <row r="1590" spans="41:75" x14ac:dyDescent="0.35">
      <c r="AO1590" s="39">
        <v>1588</v>
      </c>
      <c r="AP1590" s="62"/>
      <c r="AQ1590" s="39"/>
      <c r="AR1590" s="42" t="str">
        <f>IFERROR(VLOOKUP(AU1590,[1]SUMMARY!$A$3:$B$7,2,FALSE),"")</f>
        <v/>
      </c>
      <c r="AS1590" s="31"/>
      <c r="AT1590" s="31" t="e">
        <f>VLOOKUP(AS1590,[1]OUTLET!$B:$C,2,0)</f>
        <v>#N/A</v>
      </c>
      <c r="AU1590" s="31"/>
      <c r="AV1590" s="4"/>
      <c r="AW1590" s="44"/>
      <c r="AX1590" s="44"/>
      <c r="AY1590" s="44"/>
      <c r="AZ1590" s="44"/>
      <c r="BA1590" s="44"/>
      <c r="BB1590" s="44"/>
      <c r="BC1590" s="44"/>
      <c r="BD1590" s="44"/>
      <c r="BE1590" s="44"/>
      <c r="BF1590" s="44"/>
      <c r="BG1590" s="44"/>
      <c r="BH1590" s="44"/>
      <c r="BI1590" s="44"/>
      <c r="BJ1590" s="44"/>
      <c r="BK1590" s="44"/>
      <c r="BL1590" s="44"/>
      <c r="BM1590" s="44"/>
      <c r="BN1590" s="44"/>
      <c r="BO1590" s="55"/>
      <c r="BP1590" s="40"/>
      <c r="BQ1590" s="4"/>
      <c r="BR1590" s="61"/>
      <c r="BS1590" s="4"/>
      <c r="BT1590" s="57"/>
      <c r="BU1590" s="62"/>
      <c r="BV1590" s="8"/>
      <c r="BW1590" s="58"/>
    </row>
    <row r="1591" spans="41:75" x14ac:dyDescent="0.35">
      <c r="AO1591" s="39">
        <v>1589</v>
      </c>
      <c r="AP1591" s="62"/>
      <c r="AQ1591" s="39"/>
      <c r="AR1591" s="42" t="str">
        <f>IFERROR(VLOOKUP(AU1591,[1]SUMMARY!$A$3:$B$7,2,FALSE),"")</f>
        <v/>
      </c>
      <c r="AS1591" s="31"/>
      <c r="AT1591" s="31" t="e">
        <f>VLOOKUP(AS1591,[1]OUTLET!$B:$C,2,0)</f>
        <v>#N/A</v>
      </c>
      <c r="AU1591" s="31"/>
      <c r="AV1591" s="4"/>
      <c r="AW1591" s="44"/>
      <c r="AX1591" s="44"/>
      <c r="AY1591" s="44"/>
      <c r="AZ1591" s="44"/>
      <c r="BA1591" s="44"/>
      <c r="BB1591" s="44"/>
      <c r="BC1591" s="44"/>
      <c r="BD1591" s="44"/>
      <c r="BE1591" s="44"/>
      <c r="BF1591" s="44"/>
      <c r="BG1591" s="44"/>
      <c r="BH1591" s="44"/>
      <c r="BI1591" s="44"/>
      <c r="BJ1591" s="44"/>
      <c r="BK1591" s="44"/>
      <c r="BL1591" s="44"/>
      <c r="BM1591" s="44"/>
      <c r="BN1591" s="44"/>
      <c r="BO1591" s="55"/>
      <c r="BP1591" s="40"/>
      <c r="BQ1591" s="4"/>
      <c r="BR1591" s="61"/>
      <c r="BS1591" s="4"/>
      <c r="BT1591" s="57"/>
      <c r="BU1591" s="62"/>
      <c r="BV1591" s="8"/>
      <c r="BW1591" s="58"/>
    </row>
    <row r="1592" spans="41:75" x14ac:dyDescent="0.35">
      <c r="AO1592" s="39">
        <v>1590</v>
      </c>
      <c r="AP1592" s="62"/>
      <c r="AQ1592" s="39"/>
      <c r="AR1592" s="42" t="str">
        <f>IFERROR(VLOOKUP(AU1592,[1]SUMMARY!$A$3:$B$7,2,FALSE),"")</f>
        <v/>
      </c>
      <c r="AS1592" s="31"/>
      <c r="AT1592" s="31" t="e">
        <f>VLOOKUP(AS1592,[1]OUTLET!$B:$C,2,0)</f>
        <v>#N/A</v>
      </c>
      <c r="AU1592" s="31"/>
      <c r="AV1592" s="4"/>
      <c r="AW1592" s="44"/>
      <c r="AX1592" s="44"/>
      <c r="AY1592" s="44"/>
      <c r="AZ1592" s="44"/>
      <c r="BA1592" s="44"/>
      <c r="BB1592" s="44"/>
      <c r="BC1592" s="44"/>
      <c r="BD1592" s="44"/>
      <c r="BE1592" s="44"/>
      <c r="BF1592" s="44"/>
      <c r="BG1592" s="44"/>
      <c r="BH1592" s="44"/>
      <c r="BI1592" s="44"/>
      <c r="BJ1592" s="44"/>
      <c r="BK1592" s="44"/>
      <c r="BL1592" s="44"/>
      <c r="BM1592" s="44"/>
      <c r="BN1592" s="44"/>
      <c r="BO1592" s="55"/>
      <c r="BP1592" s="40"/>
      <c r="BQ1592" s="4"/>
      <c r="BR1592" s="61"/>
      <c r="BS1592" s="4"/>
      <c r="BT1592" s="57"/>
      <c r="BU1592" s="62"/>
      <c r="BV1592" s="8"/>
      <c r="BW1592" s="58"/>
    </row>
    <row r="1593" spans="41:75" x14ac:dyDescent="0.35">
      <c r="AO1593" s="39">
        <v>1591</v>
      </c>
      <c r="AP1593" s="62"/>
      <c r="AQ1593" s="39"/>
      <c r="AR1593" s="42" t="str">
        <f>IFERROR(VLOOKUP(AU1593,[1]SUMMARY!$A$3:$B$7,2,FALSE),"")</f>
        <v/>
      </c>
      <c r="AS1593" s="31"/>
      <c r="AT1593" s="31" t="e">
        <f>VLOOKUP(AS1593,[1]OUTLET!$B:$C,2,0)</f>
        <v>#N/A</v>
      </c>
      <c r="AU1593" s="31"/>
      <c r="AV1593" s="4"/>
      <c r="AW1593" s="44"/>
      <c r="AX1593" s="44"/>
      <c r="AY1593" s="44"/>
      <c r="AZ1593" s="44"/>
      <c r="BA1593" s="44"/>
      <c r="BB1593" s="44"/>
      <c r="BC1593" s="44"/>
      <c r="BD1593" s="44"/>
      <c r="BE1593" s="44"/>
      <c r="BF1593" s="44"/>
      <c r="BG1593" s="44"/>
      <c r="BH1593" s="44"/>
      <c r="BI1593" s="44"/>
      <c r="BJ1593" s="44"/>
      <c r="BK1593" s="44"/>
      <c r="BL1593" s="44"/>
      <c r="BM1593" s="44"/>
      <c r="BN1593" s="44"/>
      <c r="BO1593" s="55"/>
      <c r="BP1593" s="40"/>
      <c r="BQ1593" s="4"/>
      <c r="BR1593" s="61"/>
      <c r="BS1593" s="4"/>
      <c r="BT1593" s="57"/>
      <c r="BU1593" s="62"/>
      <c r="BV1593" s="8"/>
      <c r="BW1593" s="58"/>
    </row>
    <row r="1594" spans="41:75" x14ac:dyDescent="0.35">
      <c r="AO1594" s="39">
        <v>1592</v>
      </c>
      <c r="AP1594" s="62"/>
      <c r="AQ1594" s="39"/>
      <c r="AR1594" s="42" t="str">
        <f>IFERROR(VLOOKUP(AU1594,[1]SUMMARY!$A$3:$B$7,2,FALSE),"")</f>
        <v/>
      </c>
      <c r="AS1594" s="31"/>
      <c r="AT1594" s="31" t="e">
        <f>VLOOKUP(AS1594,[1]OUTLET!$B:$C,2,0)</f>
        <v>#N/A</v>
      </c>
      <c r="AU1594" s="31"/>
      <c r="AV1594" s="4"/>
      <c r="AW1594" s="44"/>
      <c r="AX1594" s="44"/>
      <c r="AY1594" s="44"/>
      <c r="AZ1594" s="44"/>
      <c r="BA1594" s="44"/>
      <c r="BB1594" s="44"/>
      <c r="BC1594" s="44"/>
      <c r="BD1594" s="44"/>
      <c r="BE1594" s="44"/>
      <c r="BF1594" s="44"/>
      <c r="BG1594" s="44"/>
      <c r="BH1594" s="44"/>
      <c r="BI1594" s="44"/>
      <c r="BJ1594" s="44"/>
      <c r="BK1594" s="44"/>
      <c r="BL1594" s="44"/>
      <c r="BM1594" s="44"/>
      <c r="BN1594" s="44"/>
      <c r="BO1594" s="55"/>
      <c r="BP1594" s="40"/>
      <c r="BQ1594" s="4"/>
      <c r="BR1594" s="61"/>
      <c r="BS1594" s="4"/>
      <c r="BT1594" s="57"/>
      <c r="BU1594" s="62"/>
      <c r="BV1594" s="8"/>
      <c r="BW1594" s="58"/>
    </row>
    <row r="1595" spans="41:75" x14ac:dyDescent="0.35">
      <c r="AO1595" s="39">
        <v>1593</v>
      </c>
      <c r="AP1595" s="62"/>
      <c r="AQ1595" s="39"/>
      <c r="AR1595" s="42" t="str">
        <f>IFERROR(VLOOKUP(AU1595,[1]SUMMARY!$A$3:$B$7,2,FALSE),"")</f>
        <v/>
      </c>
      <c r="AS1595" s="31"/>
      <c r="AT1595" s="31" t="e">
        <f>VLOOKUP(AS1595,[1]OUTLET!$B:$C,2,0)</f>
        <v>#N/A</v>
      </c>
      <c r="AU1595" s="31"/>
      <c r="AV1595" s="4"/>
      <c r="AW1595" s="44"/>
      <c r="AX1595" s="44"/>
      <c r="AY1595" s="44"/>
      <c r="AZ1595" s="44"/>
      <c r="BA1595" s="44"/>
      <c r="BB1595" s="44"/>
      <c r="BC1595" s="44"/>
      <c r="BD1595" s="44"/>
      <c r="BE1595" s="44"/>
      <c r="BF1595" s="44"/>
      <c r="BG1595" s="44"/>
      <c r="BH1595" s="44"/>
      <c r="BI1595" s="44"/>
      <c r="BJ1595" s="44"/>
      <c r="BK1595" s="44"/>
      <c r="BL1595" s="44"/>
      <c r="BM1595" s="44"/>
      <c r="BN1595" s="44"/>
      <c r="BO1595" s="55"/>
      <c r="BP1595" s="40"/>
      <c r="BQ1595" s="4"/>
      <c r="BR1595" s="61"/>
      <c r="BS1595" s="4"/>
      <c r="BT1595" s="57"/>
      <c r="BU1595" s="62"/>
      <c r="BV1595" s="8"/>
      <c r="BW1595" s="58"/>
    </row>
    <row r="1596" spans="41:75" x14ac:dyDescent="0.35">
      <c r="AO1596" s="39">
        <v>1594</v>
      </c>
      <c r="AP1596" s="62"/>
      <c r="AQ1596" s="39"/>
      <c r="AR1596" s="42" t="str">
        <f>IFERROR(VLOOKUP(AU1596,[1]SUMMARY!$A$3:$B$7,2,FALSE),"")</f>
        <v/>
      </c>
      <c r="AS1596" s="31"/>
      <c r="AT1596" s="31" t="e">
        <f>VLOOKUP(AS1596,[1]OUTLET!$B:$C,2,0)</f>
        <v>#N/A</v>
      </c>
      <c r="AU1596" s="31"/>
      <c r="AV1596" s="4"/>
      <c r="AW1596" s="44"/>
      <c r="AX1596" s="44"/>
      <c r="AY1596" s="44"/>
      <c r="AZ1596" s="44"/>
      <c r="BA1596" s="44"/>
      <c r="BB1596" s="44"/>
      <c r="BC1596" s="44"/>
      <c r="BD1596" s="44"/>
      <c r="BE1596" s="44"/>
      <c r="BF1596" s="44"/>
      <c r="BG1596" s="44"/>
      <c r="BH1596" s="44"/>
      <c r="BI1596" s="44"/>
      <c r="BJ1596" s="44"/>
      <c r="BK1596" s="44"/>
      <c r="BL1596" s="44"/>
      <c r="BM1596" s="44"/>
      <c r="BN1596" s="44"/>
      <c r="BO1596" s="55"/>
      <c r="BP1596" s="40"/>
      <c r="BQ1596" s="4"/>
      <c r="BR1596" s="61"/>
      <c r="BS1596" s="4"/>
      <c r="BT1596" s="57"/>
      <c r="BU1596" s="62"/>
      <c r="BV1596" s="8"/>
      <c r="BW1596" s="58"/>
    </row>
    <row r="1597" spans="41:75" x14ac:dyDescent="0.35">
      <c r="AO1597" s="39">
        <v>1595</v>
      </c>
      <c r="AP1597" s="62"/>
      <c r="AQ1597" s="39"/>
      <c r="AR1597" s="42" t="str">
        <f>IFERROR(VLOOKUP(AU1597,[1]SUMMARY!$A$3:$B$7,2,FALSE),"")</f>
        <v/>
      </c>
      <c r="AS1597" s="31"/>
      <c r="AT1597" s="31" t="e">
        <f>VLOOKUP(AS1597,[1]OUTLET!$B:$C,2,0)</f>
        <v>#N/A</v>
      </c>
      <c r="AU1597" s="31"/>
      <c r="AV1597" s="4"/>
      <c r="AW1597" s="44"/>
      <c r="AX1597" s="44"/>
      <c r="AY1597" s="44"/>
      <c r="AZ1597" s="44"/>
      <c r="BA1597" s="44"/>
      <c r="BB1597" s="44"/>
      <c r="BC1597" s="44"/>
      <c r="BD1597" s="44"/>
      <c r="BE1597" s="44"/>
      <c r="BF1597" s="44"/>
      <c r="BG1597" s="44"/>
      <c r="BH1597" s="44"/>
      <c r="BI1597" s="44"/>
      <c r="BJ1597" s="44"/>
      <c r="BK1597" s="44"/>
      <c r="BL1597" s="44"/>
      <c r="BM1597" s="44"/>
      <c r="BN1597" s="44"/>
      <c r="BO1597" s="55"/>
      <c r="BP1597" s="40"/>
      <c r="BQ1597" s="4"/>
      <c r="BR1597" s="61"/>
      <c r="BS1597" s="4"/>
      <c r="BT1597" s="57"/>
      <c r="BU1597" s="62"/>
      <c r="BV1597" s="8"/>
      <c r="BW1597" s="58"/>
    </row>
    <row r="1598" spans="41:75" x14ac:dyDescent="0.35">
      <c r="AO1598" s="39">
        <v>1596</v>
      </c>
      <c r="AP1598" s="62"/>
      <c r="AQ1598" s="39"/>
      <c r="AR1598" s="42" t="str">
        <f>IFERROR(VLOOKUP(AU1598,[1]SUMMARY!$A$3:$B$7,2,FALSE),"")</f>
        <v/>
      </c>
      <c r="AS1598" s="31"/>
      <c r="AT1598" s="31" t="e">
        <f>VLOOKUP(AS1598,[1]OUTLET!$B:$C,2,0)</f>
        <v>#N/A</v>
      </c>
      <c r="AU1598" s="31"/>
      <c r="AV1598" s="4"/>
      <c r="AW1598" s="44"/>
      <c r="AX1598" s="44"/>
      <c r="AY1598" s="44"/>
      <c r="AZ1598" s="44"/>
      <c r="BA1598" s="44"/>
      <c r="BB1598" s="44"/>
      <c r="BC1598" s="44"/>
      <c r="BD1598" s="44"/>
      <c r="BE1598" s="44"/>
      <c r="BF1598" s="44"/>
      <c r="BG1598" s="44"/>
      <c r="BH1598" s="44"/>
      <c r="BI1598" s="44"/>
      <c r="BJ1598" s="44"/>
      <c r="BK1598" s="44"/>
      <c r="BL1598" s="44"/>
      <c r="BM1598" s="44"/>
      <c r="BN1598" s="44"/>
      <c r="BO1598" s="55"/>
      <c r="BP1598" s="40"/>
      <c r="BQ1598" s="4"/>
      <c r="BR1598" s="61"/>
      <c r="BS1598" s="4"/>
      <c r="BT1598" s="57"/>
      <c r="BU1598" s="62"/>
      <c r="BV1598" s="8"/>
      <c r="BW1598" s="58"/>
    </row>
    <row r="1599" spans="41:75" x14ac:dyDescent="0.35">
      <c r="AO1599" s="39">
        <v>1597</v>
      </c>
      <c r="AP1599" s="62"/>
      <c r="AQ1599" s="39"/>
      <c r="AR1599" s="42" t="str">
        <f>IFERROR(VLOOKUP(AU1599,[1]SUMMARY!$A$3:$B$7,2,FALSE),"")</f>
        <v/>
      </c>
      <c r="AS1599" s="31"/>
      <c r="AT1599" s="31" t="e">
        <f>VLOOKUP(AS1599,[1]OUTLET!$B:$C,2,0)</f>
        <v>#N/A</v>
      </c>
      <c r="AU1599" s="31"/>
      <c r="AV1599" s="4"/>
      <c r="AW1599" s="44"/>
      <c r="AX1599" s="44"/>
      <c r="AY1599" s="44"/>
      <c r="AZ1599" s="44"/>
      <c r="BA1599" s="44"/>
      <c r="BB1599" s="44"/>
      <c r="BC1599" s="44"/>
      <c r="BD1599" s="44"/>
      <c r="BE1599" s="44"/>
      <c r="BF1599" s="44"/>
      <c r="BG1599" s="44"/>
      <c r="BH1599" s="44"/>
      <c r="BI1599" s="44"/>
      <c r="BJ1599" s="44"/>
      <c r="BK1599" s="44"/>
      <c r="BL1599" s="44"/>
      <c r="BM1599" s="44"/>
      <c r="BN1599" s="44"/>
      <c r="BO1599" s="55"/>
      <c r="BP1599" s="40"/>
      <c r="BQ1599" s="4"/>
      <c r="BR1599" s="61"/>
      <c r="BS1599" s="4"/>
      <c r="BT1599" s="57"/>
      <c r="BU1599" s="62"/>
      <c r="BV1599" s="8"/>
      <c r="BW1599" s="58"/>
    </row>
    <row r="1600" spans="41:75" x14ac:dyDescent="0.35">
      <c r="AO1600" s="39">
        <v>1598</v>
      </c>
      <c r="AP1600" s="62"/>
      <c r="AQ1600" s="39"/>
      <c r="AR1600" s="42" t="str">
        <f>IFERROR(VLOOKUP(AU1600,[1]SUMMARY!$A$3:$B$7,2,FALSE),"")</f>
        <v/>
      </c>
      <c r="AS1600" s="31"/>
      <c r="AT1600" s="31" t="e">
        <f>VLOOKUP(AS1600,[1]OUTLET!$B:$C,2,0)</f>
        <v>#N/A</v>
      </c>
      <c r="AU1600" s="31"/>
      <c r="AV1600" s="4"/>
      <c r="AW1600" s="44"/>
      <c r="AX1600" s="44"/>
      <c r="AY1600" s="44"/>
      <c r="AZ1600" s="44"/>
      <c r="BA1600" s="44"/>
      <c r="BB1600" s="44"/>
      <c r="BC1600" s="44"/>
      <c r="BD1600" s="44"/>
      <c r="BE1600" s="44"/>
      <c r="BF1600" s="44"/>
      <c r="BG1600" s="44"/>
      <c r="BH1600" s="44"/>
      <c r="BI1600" s="44"/>
      <c r="BJ1600" s="44"/>
      <c r="BK1600" s="44"/>
      <c r="BL1600" s="44"/>
      <c r="BM1600" s="44"/>
      <c r="BN1600" s="44"/>
      <c r="BO1600" s="55"/>
      <c r="BP1600" s="40"/>
      <c r="BQ1600" s="4"/>
      <c r="BR1600" s="61"/>
      <c r="BS1600" s="4"/>
      <c r="BT1600" s="57"/>
      <c r="BU1600" s="62"/>
      <c r="BV1600" s="8"/>
      <c r="BW1600" s="58"/>
    </row>
    <row r="1601" spans="41:75" x14ac:dyDescent="0.35">
      <c r="AO1601" s="39">
        <v>1599</v>
      </c>
      <c r="AP1601" s="62"/>
      <c r="AQ1601" s="39"/>
      <c r="AR1601" s="42" t="str">
        <f>IFERROR(VLOOKUP(AU1601,[1]SUMMARY!$A$3:$B$7,2,FALSE),"")</f>
        <v/>
      </c>
      <c r="AS1601" s="31"/>
      <c r="AT1601" s="31" t="e">
        <f>VLOOKUP(AS1601,[1]OUTLET!$B:$C,2,0)</f>
        <v>#N/A</v>
      </c>
      <c r="AU1601" s="31"/>
      <c r="AV1601" s="4"/>
      <c r="AW1601" s="44"/>
      <c r="AX1601" s="44"/>
      <c r="AY1601" s="44"/>
      <c r="AZ1601" s="44"/>
      <c r="BA1601" s="44"/>
      <c r="BB1601" s="44"/>
      <c r="BC1601" s="44"/>
      <c r="BD1601" s="44"/>
      <c r="BE1601" s="44"/>
      <c r="BF1601" s="44"/>
      <c r="BG1601" s="44"/>
      <c r="BH1601" s="44"/>
      <c r="BI1601" s="44"/>
      <c r="BJ1601" s="44"/>
      <c r="BK1601" s="44"/>
      <c r="BL1601" s="44"/>
      <c r="BM1601" s="44"/>
      <c r="BN1601" s="44"/>
      <c r="BO1601" s="55"/>
      <c r="BP1601" s="40"/>
      <c r="BQ1601" s="4"/>
      <c r="BR1601" s="61"/>
      <c r="BS1601" s="4"/>
      <c r="BT1601" s="57"/>
      <c r="BU1601" s="62"/>
      <c r="BV1601" s="8"/>
      <c r="BW1601" s="58"/>
    </row>
    <row r="1602" spans="41:75" x14ac:dyDescent="0.35">
      <c r="AO1602" s="39">
        <v>1600</v>
      </c>
      <c r="AP1602" s="62"/>
      <c r="AQ1602" s="39"/>
      <c r="AR1602" s="42" t="str">
        <f>IFERROR(VLOOKUP(AU1602,[1]SUMMARY!$A$3:$B$7,2,FALSE),"")</f>
        <v/>
      </c>
      <c r="AS1602" s="31"/>
      <c r="AT1602" s="31" t="e">
        <f>VLOOKUP(AS1602,[1]OUTLET!$B:$C,2,0)</f>
        <v>#N/A</v>
      </c>
      <c r="AU1602" s="31"/>
      <c r="AV1602" s="4"/>
      <c r="AW1602" s="44"/>
      <c r="AX1602" s="44"/>
      <c r="AY1602" s="44"/>
      <c r="AZ1602" s="44"/>
      <c r="BA1602" s="44"/>
      <c r="BB1602" s="44"/>
      <c r="BC1602" s="44"/>
      <c r="BD1602" s="44"/>
      <c r="BE1602" s="44"/>
      <c r="BF1602" s="44"/>
      <c r="BG1602" s="44"/>
      <c r="BH1602" s="44"/>
      <c r="BI1602" s="44"/>
      <c r="BJ1602" s="44"/>
      <c r="BK1602" s="44"/>
      <c r="BL1602" s="44"/>
      <c r="BM1602" s="44"/>
      <c r="BN1602" s="44"/>
      <c r="BO1602" s="55"/>
      <c r="BP1602" s="40"/>
      <c r="BQ1602" s="4"/>
      <c r="BR1602" s="61"/>
      <c r="BS1602" s="4"/>
      <c r="BT1602" s="57"/>
      <c r="BU1602" s="62"/>
      <c r="BV1602" s="8"/>
      <c r="BW1602" s="58"/>
    </row>
    <row r="1603" spans="41:75" x14ac:dyDescent="0.35">
      <c r="AO1603" s="39">
        <v>1601</v>
      </c>
      <c r="AP1603" s="62"/>
      <c r="AQ1603" s="39"/>
      <c r="AR1603" s="42" t="str">
        <f>IFERROR(VLOOKUP(AU1603,[1]SUMMARY!$A$3:$B$7,2,FALSE),"")</f>
        <v/>
      </c>
      <c r="AS1603" s="31"/>
      <c r="AT1603" s="31" t="e">
        <f>VLOOKUP(AS1603,[1]OUTLET!$B:$C,2,0)</f>
        <v>#N/A</v>
      </c>
      <c r="AU1603" s="31"/>
      <c r="AV1603" s="4"/>
      <c r="AW1603" s="44"/>
      <c r="AX1603" s="44"/>
      <c r="AY1603" s="44"/>
      <c r="AZ1603" s="44"/>
      <c r="BA1603" s="44"/>
      <c r="BB1603" s="44"/>
      <c r="BC1603" s="44"/>
      <c r="BD1603" s="44"/>
      <c r="BE1603" s="44"/>
      <c r="BF1603" s="44"/>
      <c r="BG1603" s="44"/>
      <c r="BH1603" s="44"/>
      <c r="BI1603" s="44"/>
      <c r="BJ1603" s="44"/>
      <c r="BK1603" s="44"/>
      <c r="BL1603" s="44"/>
      <c r="BM1603" s="44"/>
      <c r="BN1603" s="44"/>
      <c r="BO1603" s="55"/>
      <c r="BP1603" s="40"/>
      <c r="BQ1603" s="4"/>
      <c r="BR1603" s="61"/>
      <c r="BS1603" s="4"/>
      <c r="BT1603" s="57"/>
      <c r="BU1603" s="62"/>
      <c r="BV1603" s="8"/>
      <c r="BW1603" s="58"/>
    </row>
    <row r="1604" spans="41:75" x14ac:dyDescent="0.35">
      <c r="AO1604" s="39">
        <v>1602</v>
      </c>
      <c r="AP1604" s="62"/>
      <c r="AQ1604" s="39"/>
      <c r="AR1604" s="42" t="str">
        <f>IFERROR(VLOOKUP(AU1604,[1]SUMMARY!$A$3:$B$7,2,FALSE),"")</f>
        <v/>
      </c>
      <c r="AS1604" s="31"/>
      <c r="AT1604" s="31" t="e">
        <f>VLOOKUP(AS1604,[1]OUTLET!$B:$C,2,0)</f>
        <v>#N/A</v>
      </c>
      <c r="AU1604" s="31"/>
      <c r="AV1604" s="4"/>
      <c r="AW1604" s="44"/>
      <c r="AX1604" s="44"/>
      <c r="AY1604" s="44"/>
      <c r="AZ1604" s="44"/>
      <c r="BA1604" s="44"/>
      <c r="BB1604" s="44"/>
      <c r="BC1604" s="44"/>
      <c r="BD1604" s="44"/>
      <c r="BE1604" s="44"/>
      <c r="BF1604" s="44"/>
      <c r="BG1604" s="44"/>
      <c r="BH1604" s="44"/>
      <c r="BI1604" s="44"/>
      <c r="BJ1604" s="44"/>
      <c r="BK1604" s="44"/>
      <c r="BL1604" s="44"/>
      <c r="BM1604" s="44"/>
      <c r="BN1604" s="44"/>
      <c r="BO1604" s="55"/>
      <c r="BP1604" s="40"/>
      <c r="BQ1604" s="4"/>
      <c r="BR1604" s="61"/>
      <c r="BS1604" s="4"/>
      <c r="BT1604" s="57"/>
      <c r="BU1604" s="62"/>
      <c r="BV1604" s="8"/>
      <c r="BW1604" s="58"/>
    </row>
    <row r="1605" spans="41:75" x14ac:dyDescent="0.35">
      <c r="AO1605" s="39">
        <v>1603</v>
      </c>
      <c r="AP1605" s="62"/>
      <c r="AQ1605" s="39"/>
      <c r="AR1605" s="42" t="str">
        <f>IFERROR(VLOOKUP(AU1605,[1]SUMMARY!$A$3:$B$7,2,FALSE),"")</f>
        <v/>
      </c>
      <c r="AS1605" s="31"/>
      <c r="AT1605" s="31" t="e">
        <f>VLOOKUP(AS1605,[1]OUTLET!$B:$C,2,0)</f>
        <v>#N/A</v>
      </c>
      <c r="AU1605" s="31"/>
      <c r="AV1605" s="4"/>
      <c r="AW1605" s="44"/>
      <c r="AX1605" s="44"/>
      <c r="AY1605" s="44"/>
      <c r="AZ1605" s="44"/>
      <c r="BA1605" s="44"/>
      <c r="BB1605" s="44"/>
      <c r="BC1605" s="44"/>
      <c r="BD1605" s="44"/>
      <c r="BE1605" s="44"/>
      <c r="BF1605" s="44"/>
      <c r="BG1605" s="44"/>
      <c r="BH1605" s="44"/>
      <c r="BI1605" s="44"/>
      <c r="BJ1605" s="44"/>
      <c r="BK1605" s="44"/>
      <c r="BL1605" s="44"/>
      <c r="BM1605" s="44"/>
      <c r="BN1605" s="44"/>
      <c r="BO1605" s="55"/>
      <c r="BP1605" s="40"/>
      <c r="BQ1605" s="4"/>
      <c r="BR1605" s="61"/>
      <c r="BS1605" s="4"/>
      <c r="BT1605" s="57"/>
      <c r="BU1605" s="62"/>
      <c r="BV1605" s="8"/>
      <c r="BW1605" s="58"/>
    </row>
    <row r="1606" spans="41:75" x14ac:dyDescent="0.35">
      <c r="AO1606" s="39">
        <v>1604</v>
      </c>
      <c r="AP1606" s="62"/>
      <c r="AQ1606" s="39"/>
      <c r="AR1606" s="42" t="str">
        <f>IFERROR(VLOOKUP(AU1606,[1]SUMMARY!$A$3:$B$7,2,FALSE),"")</f>
        <v/>
      </c>
      <c r="AS1606" s="31"/>
      <c r="AT1606" s="31" t="e">
        <f>VLOOKUP(AS1606,[1]OUTLET!$B:$C,2,0)</f>
        <v>#N/A</v>
      </c>
      <c r="AU1606" s="31"/>
      <c r="AV1606" s="4"/>
      <c r="AW1606" s="44"/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44"/>
      <c r="BJ1606" s="44"/>
      <c r="BK1606" s="44"/>
      <c r="BL1606" s="44"/>
      <c r="BM1606" s="44"/>
      <c r="BN1606" s="44"/>
      <c r="BO1606" s="55"/>
      <c r="BP1606" s="40"/>
      <c r="BQ1606" s="4"/>
      <c r="BR1606" s="61"/>
      <c r="BS1606" s="4"/>
      <c r="BT1606" s="57"/>
      <c r="BU1606" s="62"/>
      <c r="BV1606" s="8"/>
      <c r="BW1606" s="58"/>
    </row>
    <row r="1607" spans="41:75" x14ac:dyDescent="0.35">
      <c r="AO1607" s="39">
        <v>1605</v>
      </c>
      <c r="AP1607" s="62"/>
      <c r="AQ1607" s="39"/>
      <c r="AR1607" s="42" t="str">
        <f>IFERROR(VLOOKUP(AU1607,[1]SUMMARY!$A$3:$B$7,2,FALSE),"")</f>
        <v/>
      </c>
      <c r="AS1607" s="31"/>
      <c r="AT1607" s="31" t="e">
        <f>VLOOKUP(AS1607,[1]OUTLET!$B:$C,2,0)</f>
        <v>#N/A</v>
      </c>
      <c r="AU1607" s="31"/>
      <c r="AV1607" s="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44"/>
      <c r="BJ1607" s="44"/>
      <c r="BK1607" s="44"/>
      <c r="BL1607" s="44"/>
      <c r="BM1607" s="44"/>
      <c r="BN1607" s="44"/>
      <c r="BO1607" s="55"/>
      <c r="BP1607" s="40"/>
      <c r="BQ1607" s="4"/>
      <c r="BR1607" s="61"/>
      <c r="BS1607" s="4"/>
      <c r="BT1607" s="57"/>
      <c r="BU1607" s="62"/>
      <c r="BV1607" s="8"/>
      <c r="BW1607" s="58"/>
    </row>
    <row r="1608" spans="41:75" x14ac:dyDescent="0.35">
      <c r="AO1608" s="39">
        <v>1606</v>
      </c>
      <c r="AP1608" s="62"/>
      <c r="AQ1608" s="39"/>
      <c r="AR1608" s="42" t="str">
        <f>IFERROR(VLOOKUP(AU1608,[1]SUMMARY!$A$3:$B$7,2,FALSE),"")</f>
        <v/>
      </c>
      <c r="AS1608" s="31"/>
      <c r="AT1608" s="31" t="e">
        <f>VLOOKUP(AS1608,[1]OUTLET!$B:$C,2,0)</f>
        <v>#N/A</v>
      </c>
      <c r="AU1608" s="31"/>
      <c r="AV1608" s="4"/>
      <c r="AW1608" s="44"/>
      <c r="AX1608" s="44"/>
      <c r="AY1608" s="44"/>
      <c r="AZ1608" s="44"/>
      <c r="BA1608" s="44"/>
      <c r="BB1608" s="44"/>
      <c r="BC1608" s="44"/>
      <c r="BD1608" s="44"/>
      <c r="BE1608" s="44"/>
      <c r="BF1608" s="44"/>
      <c r="BG1608" s="44"/>
      <c r="BH1608" s="44"/>
      <c r="BI1608" s="44"/>
      <c r="BJ1608" s="44"/>
      <c r="BK1608" s="44"/>
      <c r="BL1608" s="44"/>
      <c r="BM1608" s="44"/>
      <c r="BN1608" s="44"/>
      <c r="BO1608" s="55"/>
      <c r="BP1608" s="40"/>
      <c r="BQ1608" s="4"/>
      <c r="BR1608" s="61"/>
      <c r="BS1608" s="4"/>
      <c r="BT1608" s="57"/>
      <c r="BU1608" s="62"/>
      <c r="BV1608" s="8"/>
      <c r="BW1608" s="58"/>
    </row>
    <row r="1609" spans="41:75" x14ac:dyDescent="0.35">
      <c r="AO1609" s="39">
        <v>1607</v>
      </c>
      <c r="AP1609" s="62"/>
      <c r="AQ1609" s="39"/>
      <c r="AR1609" s="42" t="str">
        <f>IFERROR(VLOOKUP(AU1609,[1]SUMMARY!$A$3:$B$7,2,FALSE),"")</f>
        <v/>
      </c>
      <c r="AS1609" s="31"/>
      <c r="AT1609" s="31" t="e">
        <f>VLOOKUP(AS1609,[1]OUTLET!$B:$C,2,0)</f>
        <v>#N/A</v>
      </c>
      <c r="AU1609" s="31"/>
      <c r="AV1609" s="4"/>
      <c r="AW1609" s="44"/>
      <c r="AX1609" s="44"/>
      <c r="AY1609" s="44"/>
      <c r="AZ1609" s="44"/>
      <c r="BA1609" s="44"/>
      <c r="BB1609" s="44"/>
      <c r="BC1609" s="44"/>
      <c r="BD1609" s="44"/>
      <c r="BE1609" s="44"/>
      <c r="BF1609" s="44"/>
      <c r="BG1609" s="44"/>
      <c r="BH1609" s="44"/>
      <c r="BI1609" s="44"/>
      <c r="BJ1609" s="44"/>
      <c r="BK1609" s="44"/>
      <c r="BL1609" s="44"/>
      <c r="BM1609" s="44"/>
      <c r="BN1609" s="44"/>
      <c r="BO1609" s="55"/>
      <c r="BP1609" s="40"/>
      <c r="BQ1609" s="4"/>
      <c r="BR1609" s="61"/>
      <c r="BS1609" s="4"/>
      <c r="BT1609" s="57"/>
      <c r="BU1609" s="62"/>
      <c r="BV1609" s="8"/>
      <c r="BW1609" s="58"/>
    </row>
    <row r="1610" spans="41:75" x14ac:dyDescent="0.35">
      <c r="AO1610" s="39">
        <v>1608</v>
      </c>
      <c r="AP1610" s="62"/>
      <c r="AQ1610" s="39"/>
      <c r="AR1610" s="42" t="str">
        <f>IFERROR(VLOOKUP(AU1610,[1]SUMMARY!$A$3:$B$7,2,FALSE),"")</f>
        <v/>
      </c>
      <c r="AS1610" s="31"/>
      <c r="AT1610" s="31" t="e">
        <f>VLOOKUP(AS1610,[1]OUTLET!$B:$C,2,0)</f>
        <v>#N/A</v>
      </c>
      <c r="AU1610" s="31"/>
      <c r="AV1610" s="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55"/>
      <c r="BP1610" s="40"/>
      <c r="BQ1610" s="4"/>
      <c r="BR1610" s="61"/>
      <c r="BS1610" s="4"/>
      <c r="BT1610" s="57"/>
      <c r="BU1610" s="62"/>
      <c r="BV1610" s="8"/>
      <c r="BW1610" s="58"/>
    </row>
    <row r="1611" spans="41:75" x14ac:dyDescent="0.35">
      <c r="AO1611" s="39">
        <v>1609</v>
      </c>
      <c r="AP1611" s="62"/>
      <c r="AQ1611" s="39"/>
      <c r="AR1611" s="42" t="str">
        <f>IFERROR(VLOOKUP(AU1611,[1]SUMMARY!$A$3:$B$7,2,FALSE),"")</f>
        <v/>
      </c>
      <c r="AS1611" s="31"/>
      <c r="AT1611" s="31" t="e">
        <f>VLOOKUP(AS1611,[1]OUTLET!$B:$C,2,0)</f>
        <v>#N/A</v>
      </c>
      <c r="AU1611" s="31"/>
      <c r="AV1611" s="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55"/>
      <c r="BP1611" s="40"/>
      <c r="BQ1611" s="4"/>
      <c r="BR1611" s="61"/>
      <c r="BS1611" s="4"/>
      <c r="BT1611" s="57"/>
      <c r="BU1611" s="62"/>
      <c r="BV1611" s="8"/>
      <c r="BW1611" s="58"/>
    </row>
    <row r="1612" spans="41:75" x14ac:dyDescent="0.35">
      <c r="AO1612" s="39">
        <v>1610</v>
      </c>
      <c r="AP1612" s="62"/>
      <c r="AQ1612" s="39"/>
      <c r="AR1612" s="42" t="str">
        <f>IFERROR(VLOOKUP(AU1612,[1]SUMMARY!$A$3:$B$7,2,FALSE),"")</f>
        <v/>
      </c>
      <c r="AS1612" s="31"/>
      <c r="AT1612" s="31" t="e">
        <f>VLOOKUP(AS1612,[1]OUTLET!$B:$C,2,0)</f>
        <v>#N/A</v>
      </c>
      <c r="AU1612" s="31"/>
      <c r="AV1612" s="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55"/>
      <c r="BP1612" s="40"/>
      <c r="BQ1612" s="4"/>
      <c r="BR1612" s="61"/>
      <c r="BS1612" s="4"/>
      <c r="BT1612" s="57"/>
      <c r="BU1612" s="62"/>
      <c r="BV1612" s="8"/>
      <c r="BW1612" s="58"/>
    </row>
    <row r="1613" spans="41:75" x14ac:dyDescent="0.35">
      <c r="AO1613" s="39">
        <v>1611</v>
      </c>
      <c r="AP1613" s="62"/>
      <c r="AQ1613" s="39"/>
      <c r="AR1613" s="42" t="str">
        <f>IFERROR(VLOOKUP(AU1613,[1]SUMMARY!$A$3:$B$7,2,FALSE),"")</f>
        <v/>
      </c>
      <c r="AS1613" s="31"/>
      <c r="AT1613" s="31" t="e">
        <f>VLOOKUP(AS1613,[1]OUTLET!$B:$C,2,0)</f>
        <v>#N/A</v>
      </c>
      <c r="AU1613" s="31"/>
      <c r="AV1613" s="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55"/>
      <c r="BP1613" s="40"/>
      <c r="BQ1613" s="4"/>
      <c r="BR1613" s="61"/>
      <c r="BS1613" s="4"/>
      <c r="BT1613" s="57"/>
      <c r="BU1613" s="62"/>
      <c r="BV1613" s="8"/>
      <c r="BW1613" s="58"/>
    </row>
    <row r="1614" spans="41:75" x14ac:dyDescent="0.35">
      <c r="AO1614" s="39">
        <v>1612</v>
      </c>
      <c r="AP1614" s="62"/>
      <c r="AQ1614" s="39"/>
      <c r="AR1614" s="42" t="str">
        <f>IFERROR(VLOOKUP(AU1614,[1]SUMMARY!$A$3:$B$7,2,FALSE),"")</f>
        <v/>
      </c>
      <c r="AS1614" s="31"/>
      <c r="AT1614" s="31" t="e">
        <f>VLOOKUP(AS1614,[1]OUTLET!$B:$C,2,0)</f>
        <v>#N/A</v>
      </c>
      <c r="AU1614" s="31"/>
      <c r="AV1614" s="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55"/>
      <c r="BP1614" s="40"/>
      <c r="BQ1614" s="4"/>
      <c r="BR1614" s="61"/>
      <c r="BS1614" s="4"/>
      <c r="BT1614" s="57"/>
      <c r="BU1614" s="62"/>
      <c r="BV1614" s="8"/>
      <c r="BW1614" s="58"/>
    </row>
    <row r="1615" spans="41:75" x14ac:dyDescent="0.35">
      <c r="AO1615" s="39">
        <v>1613</v>
      </c>
      <c r="AP1615" s="62"/>
      <c r="AQ1615" s="39"/>
      <c r="AR1615" s="42" t="str">
        <f>IFERROR(VLOOKUP(AU1615,[1]SUMMARY!$A$3:$B$7,2,FALSE),"")</f>
        <v/>
      </c>
      <c r="AS1615" s="31"/>
      <c r="AT1615" s="31" t="e">
        <f>VLOOKUP(AS1615,[1]OUTLET!$B:$C,2,0)</f>
        <v>#N/A</v>
      </c>
      <c r="AU1615" s="31"/>
      <c r="AV1615" s="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55"/>
      <c r="BP1615" s="40"/>
      <c r="BQ1615" s="4"/>
      <c r="BR1615" s="61"/>
      <c r="BS1615" s="4"/>
      <c r="BT1615" s="57"/>
      <c r="BU1615" s="62"/>
      <c r="BV1615" s="8"/>
      <c r="BW1615" s="58"/>
    </row>
    <row r="1616" spans="41:75" x14ac:dyDescent="0.35">
      <c r="AO1616" s="39">
        <v>1614</v>
      </c>
      <c r="AP1616" s="62"/>
      <c r="AQ1616" s="39"/>
      <c r="AR1616" s="42" t="str">
        <f>IFERROR(VLOOKUP(AU1616,[1]SUMMARY!$A$3:$B$7,2,FALSE),"")</f>
        <v/>
      </c>
      <c r="AS1616" s="31"/>
      <c r="AT1616" s="31" t="e">
        <f>VLOOKUP(AS1616,[1]OUTLET!$B:$C,2,0)</f>
        <v>#N/A</v>
      </c>
      <c r="AU1616" s="31"/>
      <c r="AV1616" s="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55"/>
      <c r="BP1616" s="40"/>
      <c r="BQ1616" s="4"/>
      <c r="BR1616" s="61"/>
      <c r="BS1616" s="4"/>
      <c r="BT1616" s="57"/>
      <c r="BU1616" s="62"/>
      <c r="BV1616" s="8"/>
      <c r="BW1616" s="58"/>
    </row>
    <row r="1617" spans="41:75" x14ac:dyDescent="0.35">
      <c r="AO1617" s="39">
        <v>1615</v>
      </c>
      <c r="AP1617" s="62"/>
      <c r="AQ1617" s="39"/>
      <c r="AR1617" s="42" t="str">
        <f>IFERROR(VLOOKUP(AU1617,[1]SUMMARY!$A$3:$B$7,2,FALSE),"")</f>
        <v/>
      </c>
      <c r="AS1617" s="31"/>
      <c r="AT1617" s="31" t="e">
        <f>VLOOKUP(AS1617,[1]OUTLET!$B:$C,2,0)</f>
        <v>#N/A</v>
      </c>
      <c r="AU1617" s="31"/>
      <c r="AV1617" s="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55"/>
      <c r="BP1617" s="40"/>
      <c r="BQ1617" s="4"/>
      <c r="BR1617" s="61"/>
      <c r="BS1617" s="4"/>
      <c r="BT1617" s="57"/>
      <c r="BU1617" s="62"/>
      <c r="BV1617" s="8"/>
      <c r="BW1617" s="58"/>
    </row>
    <row r="1618" spans="41:75" x14ac:dyDescent="0.35">
      <c r="AO1618" s="39">
        <v>1616</v>
      </c>
      <c r="AP1618" s="62"/>
      <c r="AQ1618" s="39"/>
      <c r="AR1618" s="42" t="str">
        <f>IFERROR(VLOOKUP(AU1618,[1]SUMMARY!$A$3:$B$7,2,FALSE),"")</f>
        <v/>
      </c>
      <c r="AS1618" s="31"/>
      <c r="AT1618" s="31" t="e">
        <f>VLOOKUP(AS1618,[1]OUTLET!$B:$C,2,0)</f>
        <v>#N/A</v>
      </c>
      <c r="AU1618" s="31"/>
      <c r="AV1618" s="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55"/>
      <c r="BP1618" s="40"/>
      <c r="BQ1618" s="4"/>
      <c r="BR1618" s="61"/>
      <c r="BS1618" s="4"/>
      <c r="BT1618" s="57"/>
      <c r="BU1618" s="62"/>
      <c r="BV1618" s="8"/>
      <c r="BW1618" s="58"/>
    </row>
    <row r="1619" spans="41:75" x14ac:dyDescent="0.35">
      <c r="AO1619" s="39">
        <v>1617</v>
      </c>
      <c r="AP1619" s="62"/>
      <c r="AQ1619" s="39"/>
      <c r="AR1619" s="42" t="str">
        <f>IFERROR(VLOOKUP(AU1619,[1]SUMMARY!$A$3:$B$7,2,FALSE),"")</f>
        <v/>
      </c>
      <c r="AS1619" s="31"/>
      <c r="AT1619" s="31" t="e">
        <f>VLOOKUP(AS1619,[1]OUTLET!$B:$C,2,0)</f>
        <v>#N/A</v>
      </c>
      <c r="AU1619" s="31"/>
      <c r="AV1619" s="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55"/>
      <c r="BP1619" s="40"/>
      <c r="BQ1619" s="4"/>
      <c r="BR1619" s="61"/>
      <c r="BS1619" s="4"/>
      <c r="BT1619" s="57"/>
      <c r="BU1619" s="62"/>
      <c r="BV1619" s="8"/>
      <c r="BW1619" s="58"/>
    </row>
    <row r="1620" spans="41:75" x14ac:dyDescent="0.35">
      <c r="AO1620" s="39">
        <v>1618</v>
      </c>
      <c r="AP1620" s="62"/>
      <c r="AQ1620" s="39"/>
      <c r="AR1620" s="42" t="str">
        <f>IFERROR(VLOOKUP(AU1620,[1]SUMMARY!$A$3:$B$7,2,FALSE),"")</f>
        <v/>
      </c>
      <c r="AS1620" s="31"/>
      <c r="AT1620" s="31" t="e">
        <f>VLOOKUP(AS1620,[1]OUTLET!$B:$C,2,0)</f>
        <v>#N/A</v>
      </c>
      <c r="AU1620" s="31"/>
      <c r="AV1620" s="4"/>
      <c r="AW1620" s="44"/>
      <c r="AX1620" s="44"/>
      <c r="AY1620" s="44"/>
      <c r="AZ1620" s="44"/>
      <c r="BA1620" s="44"/>
      <c r="BB1620" s="44"/>
      <c r="BC1620" s="44"/>
      <c r="BD1620" s="44"/>
      <c r="BE1620" s="44"/>
      <c r="BF1620" s="44"/>
      <c r="BG1620" s="44"/>
      <c r="BH1620" s="44"/>
      <c r="BI1620" s="44"/>
      <c r="BJ1620" s="44"/>
      <c r="BK1620" s="44"/>
      <c r="BL1620" s="44"/>
      <c r="BM1620" s="44"/>
      <c r="BN1620" s="44"/>
      <c r="BO1620" s="55"/>
      <c r="BP1620" s="40"/>
      <c r="BQ1620" s="4"/>
      <c r="BR1620" s="61"/>
      <c r="BS1620" s="4"/>
      <c r="BT1620" s="57"/>
      <c r="BU1620" s="62"/>
      <c r="BV1620" s="8"/>
      <c r="BW1620" s="58"/>
    </row>
    <row r="1621" spans="41:75" x14ac:dyDescent="0.35">
      <c r="AO1621" s="39">
        <v>1619</v>
      </c>
      <c r="AP1621" s="62"/>
      <c r="AQ1621" s="39"/>
      <c r="AR1621" s="42" t="str">
        <f>IFERROR(VLOOKUP(AU1621,[1]SUMMARY!$A$3:$B$7,2,FALSE),"")</f>
        <v/>
      </c>
      <c r="AS1621" s="31"/>
      <c r="AT1621" s="31" t="e">
        <f>VLOOKUP(AS1621,[1]OUTLET!$B:$C,2,0)</f>
        <v>#N/A</v>
      </c>
      <c r="AU1621" s="31"/>
      <c r="AV1621" s="4"/>
      <c r="AW1621" s="44"/>
      <c r="AX1621" s="44"/>
      <c r="AY1621" s="44"/>
      <c r="AZ1621" s="44"/>
      <c r="BA1621" s="44"/>
      <c r="BB1621" s="44"/>
      <c r="BC1621" s="44"/>
      <c r="BD1621" s="44"/>
      <c r="BE1621" s="44"/>
      <c r="BF1621" s="44"/>
      <c r="BG1621" s="44"/>
      <c r="BH1621" s="44"/>
      <c r="BI1621" s="44"/>
      <c r="BJ1621" s="44"/>
      <c r="BK1621" s="44"/>
      <c r="BL1621" s="44"/>
      <c r="BM1621" s="44"/>
      <c r="BN1621" s="44"/>
      <c r="BO1621" s="55"/>
      <c r="BP1621" s="40"/>
      <c r="BQ1621" s="4"/>
      <c r="BR1621" s="61"/>
      <c r="BS1621" s="4"/>
      <c r="BT1621" s="57"/>
      <c r="BU1621" s="62"/>
      <c r="BV1621" s="8"/>
      <c r="BW1621" s="58"/>
    </row>
    <row r="1622" spans="41:75" x14ac:dyDescent="0.35">
      <c r="AO1622" s="39">
        <v>1620</v>
      </c>
      <c r="AP1622" s="62"/>
      <c r="AQ1622" s="39"/>
      <c r="AR1622" s="42" t="str">
        <f>IFERROR(VLOOKUP(AU1622,[1]SUMMARY!$A$3:$B$7,2,FALSE),"")</f>
        <v/>
      </c>
      <c r="AS1622" s="31"/>
      <c r="AT1622" s="31" t="e">
        <f>VLOOKUP(AS1622,[1]OUTLET!$B:$C,2,0)</f>
        <v>#N/A</v>
      </c>
      <c r="AU1622" s="31"/>
      <c r="AV1622" s="4"/>
      <c r="AW1622" s="44"/>
      <c r="AX1622" s="44"/>
      <c r="AY1622" s="44"/>
      <c r="AZ1622" s="44"/>
      <c r="BA1622" s="44"/>
      <c r="BB1622" s="44"/>
      <c r="BC1622" s="44"/>
      <c r="BD1622" s="44"/>
      <c r="BE1622" s="44"/>
      <c r="BF1622" s="44"/>
      <c r="BG1622" s="44"/>
      <c r="BH1622" s="44"/>
      <c r="BI1622" s="44"/>
      <c r="BJ1622" s="44"/>
      <c r="BK1622" s="44"/>
      <c r="BL1622" s="44"/>
      <c r="BM1622" s="44"/>
      <c r="BN1622" s="44"/>
      <c r="BO1622" s="55"/>
      <c r="BP1622" s="40"/>
      <c r="BQ1622" s="4"/>
      <c r="BR1622" s="61"/>
      <c r="BS1622" s="4"/>
      <c r="BT1622" s="57"/>
      <c r="BU1622" s="62"/>
      <c r="BV1622" s="8"/>
      <c r="BW1622" s="58"/>
    </row>
    <row r="1623" spans="41:75" x14ac:dyDescent="0.35">
      <c r="AO1623" s="39">
        <v>1621</v>
      </c>
      <c r="AP1623" s="62"/>
      <c r="AQ1623" s="39"/>
      <c r="AR1623" s="42" t="str">
        <f>IFERROR(VLOOKUP(AU1623,[1]SUMMARY!$A$3:$B$7,2,FALSE),"")</f>
        <v/>
      </c>
      <c r="AS1623" s="31"/>
      <c r="AT1623" s="31" t="e">
        <f>VLOOKUP(AS1623,[1]OUTLET!$B:$C,2,0)</f>
        <v>#N/A</v>
      </c>
      <c r="AU1623" s="31"/>
      <c r="AV1623" s="4"/>
      <c r="AW1623" s="44"/>
      <c r="AX1623" s="44"/>
      <c r="AY1623" s="44"/>
      <c r="AZ1623" s="44"/>
      <c r="BA1623" s="44"/>
      <c r="BB1623" s="44"/>
      <c r="BC1623" s="44"/>
      <c r="BD1623" s="44"/>
      <c r="BE1623" s="44"/>
      <c r="BF1623" s="44"/>
      <c r="BG1623" s="44"/>
      <c r="BH1623" s="44"/>
      <c r="BI1623" s="44"/>
      <c r="BJ1623" s="44"/>
      <c r="BK1623" s="44"/>
      <c r="BL1623" s="44"/>
      <c r="BM1623" s="44"/>
      <c r="BN1623" s="44"/>
      <c r="BO1623" s="55"/>
      <c r="BP1623" s="40"/>
      <c r="BQ1623" s="4"/>
      <c r="BR1623" s="61"/>
      <c r="BS1623" s="4"/>
      <c r="BT1623" s="57"/>
      <c r="BU1623" s="62"/>
      <c r="BV1623" s="8"/>
      <c r="BW1623" s="58"/>
    </row>
    <row r="1624" spans="41:75" x14ac:dyDescent="0.35">
      <c r="AO1624" s="39">
        <v>1622</v>
      </c>
      <c r="AP1624" s="62"/>
      <c r="AQ1624" s="39"/>
      <c r="AR1624" s="42" t="str">
        <f>IFERROR(VLOOKUP(AU1624,[1]SUMMARY!$A$3:$B$7,2,FALSE),"")</f>
        <v/>
      </c>
      <c r="AS1624" s="31"/>
      <c r="AT1624" s="31" t="e">
        <f>VLOOKUP(AS1624,[1]OUTLET!$B:$C,2,0)</f>
        <v>#N/A</v>
      </c>
      <c r="AU1624" s="31"/>
      <c r="AV1624" s="4"/>
      <c r="AW1624" s="44"/>
      <c r="AX1624" s="44"/>
      <c r="AY1624" s="44"/>
      <c r="AZ1624" s="44"/>
      <c r="BA1624" s="44"/>
      <c r="BB1624" s="44"/>
      <c r="BC1624" s="44"/>
      <c r="BD1624" s="44"/>
      <c r="BE1624" s="44"/>
      <c r="BF1624" s="44"/>
      <c r="BG1624" s="44"/>
      <c r="BH1624" s="44"/>
      <c r="BI1624" s="44"/>
      <c r="BJ1624" s="44"/>
      <c r="BK1624" s="44"/>
      <c r="BL1624" s="44"/>
      <c r="BM1624" s="44"/>
      <c r="BN1624" s="44"/>
      <c r="BO1624" s="55"/>
      <c r="BP1624" s="40"/>
      <c r="BQ1624" s="4"/>
      <c r="BR1624" s="61"/>
      <c r="BS1624" s="4"/>
      <c r="BT1624" s="57"/>
      <c r="BU1624" s="62"/>
      <c r="BV1624" s="8"/>
      <c r="BW1624" s="58"/>
    </row>
    <row r="1625" spans="41:75" x14ac:dyDescent="0.35">
      <c r="AO1625" s="39">
        <v>1623</v>
      </c>
      <c r="AP1625" s="62"/>
      <c r="AQ1625" s="39"/>
      <c r="AR1625" s="42" t="str">
        <f>IFERROR(VLOOKUP(AU1625,[1]SUMMARY!$A$3:$B$7,2,FALSE),"")</f>
        <v/>
      </c>
      <c r="AS1625" s="31"/>
      <c r="AT1625" s="31" t="e">
        <f>VLOOKUP(AS1625,[1]OUTLET!$B:$C,2,0)</f>
        <v>#N/A</v>
      </c>
      <c r="AU1625" s="31"/>
      <c r="AV1625" s="4"/>
      <c r="AW1625" s="44"/>
      <c r="AX1625" s="44"/>
      <c r="AY1625" s="44"/>
      <c r="AZ1625" s="44"/>
      <c r="BA1625" s="44"/>
      <c r="BB1625" s="44"/>
      <c r="BC1625" s="44"/>
      <c r="BD1625" s="44"/>
      <c r="BE1625" s="44"/>
      <c r="BF1625" s="44"/>
      <c r="BG1625" s="44"/>
      <c r="BH1625" s="44"/>
      <c r="BI1625" s="44"/>
      <c r="BJ1625" s="44"/>
      <c r="BK1625" s="44"/>
      <c r="BL1625" s="44"/>
      <c r="BM1625" s="44"/>
      <c r="BN1625" s="44"/>
      <c r="BO1625" s="55"/>
      <c r="BP1625" s="40"/>
      <c r="BQ1625" s="4"/>
      <c r="BR1625" s="61"/>
      <c r="BS1625" s="4"/>
      <c r="BT1625" s="57"/>
      <c r="BU1625" s="62"/>
      <c r="BV1625" s="8"/>
      <c r="BW1625" s="58"/>
    </row>
    <row r="1626" spans="41:75" x14ac:dyDescent="0.35">
      <c r="AO1626" s="39">
        <v>1624</v>
      </c>
      <c r="AP1626" s="62"/>
      <c r="AQ1626" s="39"/>
      <c r="AR1626" s="42" t="str">
        <f>IFERROR(VLOOKUP(AU1626,[1]SUMMARY!$A$3:$B$7,2,FALSE),"")</f>
        <v/>
      </c>
      <c r="AS1626" s="31"/>
      <c r="AT1626" s="31" t="e">
        <f>VLOOKUP(AS1626,[1]OUTLET!$B:$C,2,0)</f>
        <v>#N/A</v>
      </c>
      <c r="AU1626" s="31"/>
      <c r="AV1626" s="4"/>
      <c r="AW1626" s="44"/>
      <c r="AX1626" s="44"/>
      <c r="AY1626" s="44"/>
      <c r="AZ1626" s="44"/>
      <c r="BA1626" s="44"/>
      <c r="BB1626" s="44"/>
      <c r="BC1626" s="44"/>
      <c r="BD1626" s="44"/>
      <c r="BE1626" s="44"/>
      <c r="BF1626" s="44"/>
      <c r="BG1626" s="44"/>
      <c r="BH1626" s="44"/>
      <c r="BI1626" s="44"/>
      <c r="BJ1626" s="44"/>
      <c r="BK1626" s="44"/>
      <c r="BL1626" s="44"/>
      <c r="BM1626" s="44"/>
      <c r="BN1626" s="44"/>
      <c r="BO1626" s="55"/>
      <c r="BP1626" s="40"/>
      <c r="BQ1626" s="4"/>
      <c r="BR1626" s="61"/>
      <c r="BS1626" s="4"/>
      <c r="BT1626" s="57"/>
      <c r="BU1626" s="62"/>
      <c r="BV1626" s="8"/>
      <c r="BW1626" s="58"/>
    </row>
    <row r="1627" spans="41:75" x14ac:dyDescent="0.35">
      <c r="AO1627" s="39">
        <v>1625</v>
      </c>
      <c r="AP1627" s="62"/>
      <c r="AQ1627" s="39"/>
      <c r="AR1627" s="42" t="str">
        <f>IFERROR(VLOOKUP(AU1627,[1]SUMMARY!$A$3:$B$7,2,FALSE),"")</f>
        <v/>
      </c>
      <c r="AS1627" s="31"/>
      <c r="AT1627" s="31" t="e">
        <f>VLOOKUP(AS1627,[1]OUTLET!$B:$C,2,0)</f>
        <v>#N/A</v>
      </c>
      <c r="AU1627" s="31"/>
      <c r="AV1627" s="4"/>
      <c r="AW1627" s="44"/>
      <c r="AX1627" s="44"/>
      <c r="AY1627" s="44"/>
      <c r="AZ1627" s="44"/>
      <c r="BA1627" s="44"/>
      <c r="BB1627" s="44"/>
      <c r="BC1627" s="44"/>
      <c r="BD1627" s="44"/>
      <c r="BE1627" s="44"/>
      <c r="BF1627" s="44"/>
      <c r="BG1627" s="44"/>
      <c r="BH1627" s="44"/>
      <c r="BI1627" s="44"/>
      <c r="BJ1627" s="44"/>
      <c r="BK1627" s="44"/>
      <c r="BL1627" s="44"/>
      <c r="BM1627" s="44"/>
      <c r="BN1627" s="44"/>
      <c r="BO1627" s="55"/>
      <c r="BP1627" s="40"/>
      <c r="BQ1627" s="4"/>
      <c r="BR1627" s="61"/>
      <c r="BS1627" s="4"/>
      <c r="BT1627" s="57"/>
      <c r="BU1627" s="62"/>
      <c r="BV1627" s="8"/>
      <c r="BW1627" s="58"/>
    </row>
    <row r="1628" spans="41:75" x14ac:dyDescent="0.35">
      <c r="AO1628" s="39">
        <v>1626</v>
      </c>
      <c r="AP1628" s="62"/>
      <c r="AQ1628" s="39"/>
      <c r="AR1628" s="42" t="str">
        <f>IFERROR(VLOOKUP(AU1628,[1]SUMMARY!$A$3:$B$7,2,FALSE),"")</f>
        <v/>
      </c>
      <c r="AS1628" s="31"/>
      <c r="AT1628" s="31" t="e">
        <f>VLOOKUP(AS1628,[1]OUTLET!$B:$C,2,0)</f>
        <v>#N/A</v>
      </c>
      <c r="AU1628" s="31"/>
      <c r="AV1628" s="4"/>
      <c r="AW1628" s="44"/>
      <c r="AX1628" s="44"/>
      <c r="AY1628" s="44"/>
      <c r="AZ1628" s="44"/>
      <c r="BA1628" s="44"/>
      <c r="BB1628" s="44"/>
      <c r="BC1628" s="44"/>
      <c r="BD1628" s="44"/>
      <c r="BE1628" s="44"/>
      <c r="BF1628" s="44"/>
      <c r="BG1628" s="44"/>
      <c r="BH1628" s="44"/>
      <c r="BI1628" s="44"/>
      <c r="BJ1628" s="44"/>
      <c r="BK1628" s="44"/>
      <c r="BL1628" s="44"/>
      <c r="BM1628" s="44"/>
      <c r="BN1628" s="44"/>
      <c r="BO1628" s="55"/>
      <c r="BP1628" s="40"/>
      <c r="BQ1628" s="4"/>
      <c r="BR1628" s="61"/>
      <c r="BS1628" s="4"/>
      <c r="BT1628" s="57"/>
      <c r="BU1628" s="62"/>
      <c r="BV1628" s="8"/>
      <c r="BW1628" s="58"/>
    </row>
    <row r="1629" spans="41:75" x14ac:dyDescent="0.35">
      <c r="AO1629" s="39">
        <v>1627</v>
      </c>
      <c r="AP1629" s="62"/>
      <c r="AQ1629" s="39"/>
      <c r="AR1629" s="42" t="str">
        <f>IFERROR(VLOOKUP(AU1629,[1]SUMMARY!$A$3:$B$7,2,FALSE),"")</f>
        <v/>
      </c>
      <c r="AS1629" s="31"/>
      <c r="AT1629" s="31" t="e">
        <f>VLOOKUP(AS1629,[1]OUTLET!$B:$C,2,0)</f>
        <v>#N/A</v>
      </c>
      <c r="AU1629" s="31"/>
      <c r="AV1629" s="4"/>
      <c r="AW1629" s="44"/>
      <c r="AX1629" s="44"/>
      <c r="AY1629" s="44"/>
      <c r="AZ1629" s="44"/>
      <c r="BA1629" s="44"/>
      <c r="BB1629" s="44"/>
      <c r="BC1629" s="44"/>
      <c r="BD1629" s="44"/>
      <c r="BE1629" s="44"/>
      <c r="BF1629" s="44"/>
      <c r="BG1629" s="44"/>
      <c r="BH1629" s="44"/>
      <c r="BI1629" s="44"/>
      <c r="BJ1629" s="44"/>
      <c r="BK1629" s="44"/>
      <c r="BL1629" s="44"/>
      <c r="BM1629" s="44"/>
      <c r="BN1629" s="44"/>
      <c r="BO1629" s="55"/>
      <c r="BP1629" s="40"/>
      <c r="BQ1629" s="4"/>
      <c r="BR1629" s="61"/>
      <c r="BS1629" s="4"/>
      <c r="BT1629" s="57"/>
      <c r="BU1629" s="62"/>
      <c r="BV1629" s="8"/>
      <c r="BW1629" s="58"/>
    </row>
    <row r="1630" spans="41:75" x14ac:dyDescent="0.35">
      <c r="AO1630" s="39">
        <v>1628</v>
      </c>
      <c r="AP1630" s="62"/>
      <c r="AQ1630" s="39"/>
      <c r="AR1630" s="42" t="str">
        <f>IFERROR(VLOOKUP(AU1630,[1]SUMMARY!$A$3:$B$7,2,FALSE),"")</f>
        <v/>
      </c>
      <c r="AS1630" s="31"/>
      <c r="AT1630" s="31" t="e">
        <f>VLOOKUP(AS1630,[1]OUTLET!$B:$C,2,0)</f>
        <v>#N/A</v>
      </c>
      <c r="AU1630" s="31"/>
      <c r="AV1630" s="4"/>
      <c r="AW1630" s="44"/>
      <c r="AX1630" s="44"/>
      <c r="AY1630" s="44"/>
      <c r="AZ1630" s="44"/>
      <c r="BA1630" s="44"/>
      <c r="BB1630" s="44"/>
      <c r="BC1630" s="44"/>
      <c r="BD1630" s="44"/>
      <c r="BE1630" s="44"/>
      <c r="BF1630" s="44"/>
      <c r="BG1630" s="44"/>
      <c r="BH1630" s="44"/>
      <c r="BI1630" s="44"/>
      <c r="BJ1630" s="44"/>
      <c r="BK1630" s="44"/>
      <c r="BL1630" s="44"/>
      <c r="BM1630" s="44"/>
      <c r="BN1630" s="44"/>
      <c r="BO1630" s="55"/>
      <c r="BP1630" s="40"/>
      <c r="BQ1630" s="4"/>
      <c r="BR1630" s="61"/>
      <c r="BS1630" s="4"/>
      <c r="BT1630" s="57"/>
      <c r="BU1630" s="62"/>
      <c r="BV1630" s="8"/>
      <c r="BW1630" s="58"/>
    </row>
    <row r="1631" spans="41:75" x14ac:dyDescent="0.35">
      <c r="AO1631" s="39">
        <v>1629</v>
      </c>
      <c r="AP1631" s="62"/>
      <c r="AQ1631" s="39"/>
      <c r="AR1631" s="42" t="str">
        <f>IFERROR(VLOOKUP(AU1631,[1]SUMMARY!$A$3:$B$7,2,FALSE),"")</f>
        <v/>
      </c>
      <c r="AS1631" s="31"/>
      <c r="AT1631" s="31" t="e">
        <f>VLOOKUP(AS1631,[1]OUTLET!$B:$C,2,0)</f>
        <v>#N/A</v>
      </c>
      <c r="AU1631" s="31"/>
      <c r="AV1631" s="4"/>
      <c r="AW1631" s="44"/>
      <c r="AX1631" s="44"/>
      <c r="AY1631" s="44"/>
      <c r="AZ1631" s="44"/>
      <c r="BA1631" s="44"/>
      <c r="BB1631" s="44"/>
      <c r="BC1631" s="44"/>
      <c r="BD1631" s="44"/>
      <c r="BE1631" s="44"/>
      <c r="BF1631" s="44"/>
      <c r="BG1631" s="44"/>
      <c r="BH1631" s="44"/>
      <c r="BI1631" s="44"/>
      <c r="BJ1631" s="44"/>
      <c r="BK1631" s="44"/>
      <c r="BL1631" s="44"/>
      <c r="BM1631" s="44"/>
      <c r="BN1631" s="44"/>
      <c r="BO1631" s="55"/>
      <c r="BP1631" s="40"/>
      <c r="BQ1631" s="4"/>
      <c r="BR1631" s="61"/>
      <c r="BS1631" s="4"/>
      <c r="BT1631" s="57"/>
      <c r="BU1631" s="62"/>
      <c r="BV1631" s="8"/>
      <c r="BW1631" s="58"/>
    </row>
    <row r="1632" spans="41:75" x14ac:dyDescent="0.35">
      <c r="AO1632" s="39">
        <v>1630</v>
      </c>
      <c r="AP1632" s="62"/>
      <c r="AQ1632" s="39"/>
      <c r="AR1632" s="42" t="str">
        <f>IFERROR(VLOOKUP(AU1632,[1]SUMMARY!$A$3:$B$7,2,FALSE),"")</f>
        <v/>
      </c>
      <c r="AS1632" s="31"/>
      <c r="AT1632" s="31" t="e">
        <f>VLOOKUP(AS1632,[1]OUTLET!$B:$C,2,0)</f>
        <v>#N/A</v>
      </c>
      <c r="AU1632" s="31"/>
      <c r="AV1632" s="4"/>
      <c r="AW1632" s="44"/>
      <c r="AX1632" s="44"/>
      <c r="AY1632" s="44"/>
      <c r="AZ1632" s="44"/>
      <c r="BA1632" s="44"/>
      <c r="BB1632" s="44"/>
      <c r="BC1632" s="44"/>
      <c r="BD1632" s="44"/>
      <c r="BE1632" s="44"/>
      <c r="BF1632" s="44"/>
      <c r="BG1632" s="44"/>
      <c r="BH1632" s="44"/>
      <c r="BI1632" s="44"/>
      <c r="BJ1632" s="44"/>
      <c r="BK1632" s="44"/>
      <c r="BL1632" s="44"/>
      <c r="BM1632" s="44"/>
      <c r="BN1632" s="44"/>
      <c r="BO1632" s="55"/>
      <c r="BP1632" s="40"/>
      <c r="BQ1632" s="4"/>
      <c r="BR1632" s="61"/>
      <c r="BS1632" s="4"/>
      <c r="BT1632" s="57"/>
      <c r="BU1632" s="62"/>
      <c r="BV1632" s="8"/>
      <c r="BW1632" s="58"/>
    </row>
    <row r="1633" spans="41:75" x14ac:dyDescent="0.35">
      <c r="AO1633" s="39">
        <v>1631</v>
      </c>
      <c r="AP1633" s="62"/>
      <c r="AQ1633" s="39"/>
      <c r="AR1633" s="42" t="str">
        <f>IFERROR(VLOOKUP(AU1633,[1]SUMMARY!$A$3:$B$7,2,FALSE),"")</f>
        <v/>
      </c>
      <c r="AS1633" s="31"/>
      <c r="AT1633" s="31" t="e">
        <f>VLOOKUP(AS1633,[1]OUTLET!$B:$C,2,0)</f>
        <v>#N/A</v>
      </c>
      <c r="AU1633" s="31"/>
      <c r="AV1633" s="4"/>
      <c r="AW1633" s="44"/>
      <c r="AX1633" s="44"/>
      <c r="AY1633" s="44"/>
      <c r="AZ1633" s="44"/>
      <c r="BA1633" s="44"/>
      <c r="BB1633" s="44"/>
      <c r="BC1633" s="44"/>
      <c r="BD1633" s="44"/>
      <c r="BE1633" s="44"/>
      <c r="BF1633" s="44"/>
      <c r="BG1633" s="44"/>
      <c r="BH1633" s="44"/>
      <c r="BI1633" s="44"/>
      <c r="BJ1633" s="44"/>
      <c r="BK1633" s="44"/>
      <c r="BL1633" s="44"/>
      <c r="BM1633" s="44"/>
      <c r="BN1633" s="44"/>
      <c r="BO1633" s="55"/>
      <c r="BP1633" s="40"/>
      <c r="BQ1633" s="4"/>
      <c r="BR1633" s="61"/>
      <c r="BS1633" s="4"/>
      <c r="BT1633" s="57"/>
      <c r="BU1633" s="62"/>
      <c r="BV1633" s="8"/>
      <c r="BW1633" s="58"/>
    </row>
    <row r="1634" spans="41:75" x14ac:dyDescent="0.35">
      <c r="AO1634" s="39">
        <v>1632</v>
      </c>
      <c r="AP1634" s="62"/>
      <c r="AQ1634" s="39"/>
      <c r="AR1634" s="42" t="str">
        <f>IFERROR(VLOOKUP(AU1634,[1]SUMMARY!$A$3:$B$7,2,FALSE),"")</f>
        <v/>
      </c>
      <c r="AS1634" s="31"/>
      <c r="AT1634" s="31" t="e">
        <f>VLOOKUP(AS1634,[1]OUTLET!$B:$C,2,0)</f>
        <v>#N/A</v>
      </c>
      <c r="AU1634" s="31"/>
      <c r="AV1634" s="4"/>
      <c r="AW1634" s="44"/>
      <c r="AX1634" s="44"/>
      <c r="AY1634" s="44"/>
      <c r="AZ1634" s="44"/>
      <c r="BA1634" s="44"/>
      <c r="BB1634" s="44"/>
      <c r="BC1634" s="44"/>
      <c r="BD1634" s="44"/>
      <c r="BE1634" s="44"/>
      <c r="BF1634" s="44"/>
      <c r="BG1634" s="44"/>
      <c r="BH1634" s="44"/>
      <c r="BI1634" s="44"/>
      <c r="BJ1634" s="44"/>
      <c r="BK1634" s="44"/>
      <c r="BL1634" s="44"/>
      <c r="BM1634" s="44"/>
      <c r="BN1634" s="44"/>
      <c r="BO1634" s="55"/>
      <c r="BP1634" s="40"/>
      <c r="BQ1634" s="4"/>
      <c r="BR1634" s="61"/>
      <c r="BS1634" s="4"/>
      <c r="BT1634" s="57"/>
      <c r="BU1634" s="62"/>
      <c r="BV1634" s="8"/>
      <c r="BW1634" s="58"/>
    </row>
    <row r="1635" spans="41:75" x14ac:dyDescent="0.35">
      <c r="AO1635" s="39">
        <v>1633</v>
      </c>
      <c r="AP1635" s="62"/>
      <c r="AQ1635" s="39"/>
      <c r="AR1635" s="42" t="str">
        <f>IFERROR(VLOOKUP(AU1635,[1]SUMMARY!$A$3:$B$7,2,FALSE),"")</f>
        <v/>
      </c>
      <c r="AS1635" s="31"/>
      <c r="AT1635" s="31" t="e">
        <f>VLOOKUP(AS1635,[1]OUTLET!$B:$C,2,0)</f>
        <v>#N/A</v>
      </c>
      <c r="AU1635" s="31"/>
      <c r="AV1635" s="4"/>
      <c r="AW1635" s="44"/>
      <c r="AX1635" s="44"/>
      <c r="AY1635" s="44"/>
      <c r="AZ1635" s="44"/>
      <c r="BA1635" s="44"/>
      <c r="BB1635" s="44"/>
      <c r="BC1635" s="44"/>
      <c r="BD1635" s="44"/>
      <c r="BE1635" s="44"/>
      <c r="BF1635" s="44"/>
      <c r="BG1635" s="44"/>
      <c r="BH1635" s="44"/>
      <c r="BI1635" s="44"/>
      <c r="BJ1635" s="44"/>
      <c r="BK1635" s="44"/>
      <c r="BL1635" s="44"/>
      <c r="BM1635" s="44"/>
      <c r="BN1635" s="44"/>
      <c r="BO1635" s="55"/>
      <c r="BP1635" s="40"/>
      <c r="BQ1635" s="4"/>
      <c r="BR1635" s="61"/>
      <c r="BS1635" s="4"/>
      <c r="BT1635" s="57"/>
      <c r="BU1635" s="62"/>
      <c r="BV1635" s="8"/>
      <c r="BW1635" s="58"/>
    </row>
    <row r="1636" spans="41:75" x14ac:dyDescent="0.35">
      <c r="AO1636" s="39">
        <v>1634</v>
      </c>
      <c r="AP1636" s="62"/>
      <c r="AQ1636" s="39"/>
      <c r="AR1636" s="42" t="str">
        <f>IFERROR(VLOOKUP(AU1636,[1]SUMMARY!$A$3:$B$7,2,FALSE),"")</f>
        <v/>
      </c>
      <c r="AS1636" s="31"/>
      <c r="AT1636" s="31" t="e">
        <f>VLOOKUP(AS1636,[1]OUTLET!$B:$C,2,0)</f>
        <v>#N/A</v>
      </c>
      <c r="AU1636" s="31"/>
      <c r="AV1636" s="4"/>
      <c r="AW1636" s="44"/>
      <c r="AX1636" s="44"/>
      <c r="AY1636" s="44"/>
      <c r="AZ1636" s="44"/>
      <c r="BA1636" s="44"/>
      <c r="BB1636" s="44"/>
      <c r="BC1636" s="44"/>
      <c r="BD1636" s="44"/>
      <c r="BE1636" s="44"/>
      <c r="BF1636" s="44"/>
      <c r="BG1636" s="44"/>
      <c r="BH1636" s="44"/>
      <c r="BI1636" s="44"/>
      <c r="BJ1636" s="44"/>
      <c r="BK1636" s="44"/>
      <c r="BL1636" s="44"/>
      <c r="BM1636" s="44"/>
      <c r="BN1636" s="44"/>
      <c r="BO1636" s="55"/>
      <c r="BP1636" s="40"/>
      <c r="BQ1636" s="4"/>
      <c r="BR1636" s="61"/>
      <c r="BS1636" s="4"/>
      <c r="BT1636" s="57"/>
      <c r="BU1636" s="62"/>
      <c r="BV1636" s="8"/>
      <c r="BW1636" s="58"/>
    </row>
    <row r="1637" spans="41:75" x14ac:dyDescent="0.35">
      <c r="AO1637" s="39">
        <v>1635</v>
      </c>
      <c r="AP1637" s="62"/>
      <c r="AQ1637" s="39"/>
      <c r="AR1637" s="42" t="str">
        <f>IFERROR(VLOOKUP(AU1637,[1]SUMMARY!$A$3:$B$7,2,FALSE),"")</f>
        <v/>
      </c>
      <c r="AS1637" s="31"/>
      <c r="AT1637" s="31" t="e">
        <f>VLOOKUP(AS1637,[1]OUTLET!$B:$C,2,0)</f>
        <v>#N/A</v>
      </c>
      <c r="AU1637" s="31"/>
      <c r="AV1637" s="4"/>
      <c r="AW1637" s="44"/>
      <c r="AX1637" s="44"/>
      <c r="AY1637" s="44"/>
      <c r="AZ1637" s="44"/>
      <c r="BA1637" s="44"/>
      <c r="BB1637" s="44"/>
      <c r="BC1637" s="44"/>
      <c r="BD1637" s="44"/>
      <c r="BE1637" s="44"/>
      <c r="BF1637" s="44"/>
      <c r="BG1637" s="44"/>
      <c r="BH1637" s="44"/>
      <c r="BI1637" s="44"/>
      <c r="BJ1637" s="44"/>
      <c r="BK1637" s="44"/>
      <c r="BL1637" s="44"/>
      <c r="BM1637" s="44"/>
      <c r="BN1637" s="44"/>
      <c r="BO1637" s="55"/>
      <c r="BP1637" s="40"/>
      <c r="BQ1637" s="4"/>
      <c r="BR1637" s="61"/>
      <c r="BS1637" s="4"/>
      <c r="BT1637" s="57"/>
      <c r="BU1637" s="62"/>
      <c r="BV1637" s="8"/>
      <c r="BW1637" s="58"/>
    </row>
    <row r="1638" spans="41:75" x14ac:dyDescent="0.35">
      <c r="AO1638" s="39">
        <v>1636</v>
      </c>
      <c r="AP1638" s="62"/>
      <c r="AQ1638" s="39"/>
      <c r="AR1638" s="42" t="str">
        <f>IFERROR(VLOOKUP(AU1638,[1]SUMMARY!$A$3:$B$7,2,FALSE),"")</f>
        <v/>
      </c>
      <c r="AS1638" s="31"/>
      <c r="AT1638" s="31" t="e">
        <f>VLOOKUP(AS1638,[1]OUTLET!$B:$C,2,0)</f>
        <v>#N/A</v>
      </c>
      <c r="AU1638" s="31"/>
      <c r="AV1638" s="4"/>
      <c r="AW1638" s="44"/>
      <c r="AX1638" s="44"/>
      <c r="AY1638" s="44"/>
      <c r="AZ1638" s="44"/>
      <c r="BA1638" s="44"/>
      <c r="BB1638" s="44"/>
      <c r="BC1638" s="44"/>
      <c r="BD1638" s="44"/>
      <c r="BE1638" s="44"/>
      <c r="BF1638" s="44"/>
      <c r="BG1638" s="44"/>
      <c r="BH1638" s="44"/>
      <c r="BI1638" s="44"/>
      <c r="BJ1638" s="44"/>
      <c r="BK1638" s="44"/>
      <c r="BL1638" s="44"/>
      <c r="BM1638" s="44"/>
      <c r="BN1638" s="44"/>
      <c r="BO1638" s="55"/>
      <c r="BP1638" s="40"/>
      <c r="BQ1638" s="4"/>
      <c r="BR1638" s="61"/>
      <c r="BS1638" s="4"/>
      <c r="BT1638" s="57"/>
      <c r="BU1638" s="62"/>
      <c r="BV1638" s="8"/>
      <c r="BW1638" s="58"/>
    </row>
    <row r="1639" spans="41:75" x14ac:dyDescent="0.35">
      <c r="AO1639" s="39">
        <v>1637</v>
      </c>
      <c r="AP1639" s="62"/>
      <c r="AQ1639" s="39"/>
      <c r="AR1639" s="42" t="str">
        <f>IFERROR(VLOOKUP(AU1639,[1]SUMMARY!$A$3:$B$7,2,FALSE),"")</f>
        <v/>
      </c>
      <c r="AS1639" s="31"/>
      <c r="AT1639" s="31" t="e">
        <f>VLOOKUP(AS1639,[1]OUTLET!$B:$C,2,0)</f>
        <v>#N/A</v>
      </c>
      <c r="AU1639" s="31"/>
      <c r="AV1639" s="4"/>
      <c r="AW1639" s="44"/>
      <c r="AX1639" s="44"/>
      <c r="AY1639" s="44"/>
      <c r="AZ1639" s="44"/>
      <c r="BA1639" s="44"/>
      <c r="BB1639" s="44"/>
      <c r="BC1639" s="44"/>
      <c r="BD1639" s="44"/>
      <c r="BE1639" s="44"/>
      <c r="BF1639" s="44"/>
      <c r="BG1639" s="44"/>
      <c r="BH1639" s="44"/>
      <c r="BI1639" s="44"/>
      <c r="BJ1639" s="44"/>
      <c r="BK1639" s="44"/>
      <c r="BL1639" s="44"/>
      <c r="BM1639" s="44"/>
      <c r="BN1639" s="44"/>
      <c r="BO1639" s="55"/>
      <c r="BP1639" s="40"/>
      <c r="BQ1639" s="4"/>
      <c r="BR1639" s="61"/>
      <c r="BS1639" s="4"/>
      <c r="BT1639" s="57"/>
      <c r="BU1639" s="62"/>
      <c r="BV1639" s="8"/>
      <c r="BW1639" s="58"/>
    </row>
    <row r="1640" spans="41:75" x14ac:dyDescent="0.35">
      <c r="AO1640" s="39">
        <v>1638</v>
      </c>
      <c r="AP1640" s="62"/>
      <c r="AQ1640" s="39"/>
      <c r="AR1640" s="42" t="str">
        <f>IFERROR(VLOOKUP(AU1640,[1]SUMMARY!$A$3:$B$7,2,FALSE),"")</f>
        <v/>
      </c>
      <c r="AS1640" s="31"/>
      <c r="AT1640" s="31" t="e">
        <f>VLOOKUP(AS1640,[1]OUTLET!$B:$C,2,0)</f>
        <v>#N/A</v>
      </c>
      <c r="AU1640" s="31"/>
      <c r="AV1640" s="4"/>
      <c r="AW1640" s="44"/>
      <c r="AX1640" s="44"/>
      <c r="AY1640" s="44"/>
      <c r="AZ1640" s="44"/>
      <c r="BA1640" s="44"/>
      <c r="BB1640" s="44"/>
      <c r="BC1640" s="44"/>
      <c r="BD1640" s="44"/>
      <c r="BE1640" s="44"/>
      <c r="BF1640" s="44"/>
      <c r="BG1640" s="44"/>
      <c r="BH1640" s="44"/>
      <c r="BI1640" s="44"/>
      <c r="BJ1640" s="44"/>
      <c r="BK1640" s="44"/>
      <c r="BL1640" s="44"/>
      <c r="BM1640" s="44"/>
      <c r="BN1640" s="44"/>
      <c r="BO1640" s="55"/>
      <c r="BP1640" s="40"/>
      <c r="BQ1640" s="4"/>
      <c r="BR1640" s="61"/>
      <c r="BS1640" s="4"/>
      <c r="BT1640" s="57"/>
      <c r="BU1640" s="62"/>
      <c r="BV1640" s="8"/>
      <c r="BW1640" s="58"/>
    </row>
    <row r="1641" spans="41:75" x14ac:dyDescent="0.35">
      <c r="AO1641" s="39">
        <v>1639</v>
      </c>
      <c r="AP1641" s="62"/>
      <c r="AQ1641" s="39"/>
      <c r="AR1641" s="42" t="str">
        <f>IFERROR(VLOOKUP(AU1641,[1]SUMMARY!$A$3:$B$7,2,FALSE),"")</f>
        <v/>
      </c>
      <c r="AS1641" s="31"/>
      <c r="AT1641" s="31" t="e">
        <f>VLOOKUP(AS1641,[1]OUTLET!$B:$C,2,0)</f>
        <v>#N/A</v>
      </c>
      <c r="AU1641" s="31"/>
      <c r="AV1641" s="4"/>
      <c r="AW1641" s="44"/>
      <c r="AX1641" s="44"/>
      <c r="AY1641" s="44"/>
      <c r="AZ1641" s="44"/>
      <c r="BA1641" s="44"/>
      <c r="BB1641" s="44"/>
      <c r="BC1641" s="44"/>
      <c r="BD1641" s="44"/>
      <c r="BE1641" s="44"/>
      <c r="BF1641" s="44"/>
      <c r="BG1641" s="44"/>
      <c r="BH1641" s="44"/>
      <c r="BI1641" s="44"/>
      <c r="BJ1641" s="44"/>
      <c r="BK1641" s="44"/>
      <c r="BL1641" s="44"/>
      <c r="BM1641" s="44"/>
      <c r="BN1641" s="44"/>
      <c r="BO1641" s="55"/>
      <c r="BP1641" s="40"/>
      <c r="BQ1641" s="4"/>
      <c r="BR1641" s="61"/>
      <c r="BS1641" s="4"/>
      <c r="BT1641" s="57"/>
      <c r="BU1641" s="62"/>
      <c r="BV1641" s="8"/>
      <c r="BW1641" s="58"/>
    </row>
    <row r="1642" spans="41:75" x14ac:dyDescent="0.35">
      <c r="AO1642" s="39">
        <v>1640</v>
      </c>
      <c r="AP1642" s="62"/>
      <c r="AQ1642" s="39"/>
      <c r="AR1642" s="42" t="str">
        <f>IFERROR(VLOOKUP(AU1642,[1]SUMMARY!$A$3:$B$7,2,FALSE),"")</f>
        <v/>
      </c>
      <c r="AS1642" s="31"/>
      <c r="AT1642" s="31" t="e">
        <f>VLOOKUP(AS1642,[1]OUTLET!$B:$C,2,0)</f>
        <v>#N/A</v>
      </c>
      <c r="AU1642" s="31"/>
      <c r="AV1642" s="4"/>
      <c r="AW1642" s="44"/>
      <c r="AX1642" s="44"/>
      <c r="AY1642" s="44"/>
      <c r="AZ1642" s="44"/>
      <c r="BA1642" s="44"/>
      <c r="BB1642" s="44"/>
      <c r="BC1642" s="44"/>
      <c r="BD1642" s="44"/>
      <c r="BE1642" s="44"/>
      <c r="BF1642" s="44"/>
      <c r="BG1642" s="44"/>
      <c r="BH1642" s="44"/>
      <c r="BI1642" s="44"/>
      <c r="BJ1642" s="44"/>
      <c r="BK1642" s="44"/>
      <c r="BL1642" s="44"/>
      <c r="BM1642" s="44"/>
      <c r="BN1642" s="44"/>
      <c r="BO1642" s="55"/>
      <c r="BP1642" s="40"/>
      <c r="BQ1642" s="4"/>
      <c r="BR1642" s="61"/>
      <c r="BS1642" s="4"/>
      <c r="BT1642" s="57"/>
      <c r="BU1642" s="62"/>
      <c r="BV1642" s="8"/>
      <c r="BW1642" s="58"/>
    </row>
    <row r="1643" spans="41:75" x14ac:dyDescent="0.35">
      <c r="AO1643" s="39">
        <v>1641</v>
      </c>
      <c r="AP1643" s="62"/>
      <c r="AQ1643" s="39"/>
      <c r="AR1643" s="42" t="str">
        <f>IFERROR(VLOOKUP(AU1643,[1]SUMMARY!$A$3:$B$7,2,FALSE),"")</f>
        <v/>
      </c>
      <c r="AS1643" s="31"/>
      <c r="AT1643" s="31" t="e">
        <f>VLOOKUP(AS1643,[1]OUTLET!$B:$C,2,0)</f>
        <v>#N/A</v>
      </c>
      <c r="AU1643" s="31"/>
      <c r="AV1643" s="4"/>
      <c r="AW1643" s="44"/>
      <c r="AX1643" s="44"/>
      <c r="AY1643" s="44"/>
      <c r="AZ1643" s="44"/>
      <c r="BA1643" s="44"/>
      <c r="BB1643" s="44"/>
      <c r="BC1643" s="44"/>
      <c r="BD1643" s="44"/>
      <c r="BE1643" s="44"/>
      <c r="BF1643" s="44"/>
      <c r="BG1643" s="44"/>
      <c r="BH1643" s="44"/>
      <c r="BI1643" s="44"/>
      <c r="BJ1643" s="44"/>
      <c r="BK1643" s="44"/>
      <c r="BL1643" s="44"/>
      <c r="BM1643" s="44"/>
      <c r="BN1643" s="44"/>
      <c r="BO1643" s="55"/>
      <c r="BP1643" s="40"/>
      <c r="BQ1643" s="4"/>
      <c r="BR1643" s="61"/>
      <c r="BS1643" s="4"/>
      <c r="BT1643" s="57"/>
      <c r="BU1643" s="62"/>
      <c r="BV1643" s="8"/>
      <c r="BW1643" s="58"/>
    </row>
    <row r="1644" spans="41:75" x14ac:dyDescent="0.35">
      <c r="AO1644" s="39">
        <v>1642</v>
      </c>
      <c r="AP1644" s="62"/>
      <c r="AQ1644" s="39"/>
      <c r="AR1644" s="42" t="str">
        <f>IFERROR(VLOOKUP(AU1644,[1]SUMMARY!$A$3:$B$7,2,FALSE),"")</f>
        <v/>
      </c>
      <c r="AS1644" s="31"/>
      <c r="AT1644" s="31" t="e">
        <f>VLOOKUP(AS1644,[1]OUTLET!$B:$C,2,0)</f>
        <v>#N/A</v>
      </c>
      <c r="AU1644" s="31"/>
      <c r="AV1644" s="4"/>
      <c r="AW1644" s="44"/>
      <c r="AX1644" s="44"/>
      <c r="AY1644" s="44"/>
      <c r="AZ1644" s="44"/>
      <c r="BA1644" s="44"/>
      <c r="BB1644" s="44"/>
      <c r="BC1644" s="44"/>
      <c r="BD1644" s="44"/>
      <c r="BE1644" s="44"/>
      <c r="BF1644" s="44"/>
      <c r="BG1644" s="44"/>
      <c r="BH1644" s="44"/>
      <c r="BI1644" s="44"/>
      <c r="BJ1644" s="44"/>
      <c r="BK1644" s="44"/>
      <c r="BL1644" s="44"/>
      <c r="BM1644" s="44"/>
      <c r="BN1644" s="44"/>
      <c r="BO1644" s="55"/>
      <c r="BP1644" s="40"/>
      <c r="BQ1644" s="4"/>
      <c r="BR1644" s="61"/>
      <c r="BS1644" s="4"/>
      <c r="BT1644" s="57"/>
      <c r="BU1644" s="62"/>
      <c r="BV1644" s="8"/>
      <c r="BW1644" s="58"/>
    </row>
    <row r="1645" spans="41:75" x14ac:dyDescent="0.35">
      <c r="AO1645" s="39">
        <v>1643</v>
      </c>
      <c r="AP1645" s="62"/>
      <c r="AQ1645" s="39"/>
      <c r="AR1645" s="42" t="str">
        <f>IFERROR(VLOOKUP(AU1645,[1]SUMMARY!$A$3:$B$7,2,FALSE),"")</f>
        <v/>
      </c>
      <c r="AS1645" s="31"/>
      <c r="AT1645" s="31" t="e">
        <f>VLOOKUP(AS1645,[1]OUTLET!$B:$C,2,0)</f>
        <v>#N/A</v>
      </c>
      <c r="AU1645" s="31"/>
      <c r="AV1645" s="4"/>
      <c r="AW1645" s="44"/>
      <c r="AX1645" s="44"/>
      <c r="AY1645" s="44"/>
      <c r="AZ1645" s="44"/>
      <c r="BA1645" s="44"/>
      <c r="BB1645" s="44"/>
      <c r="BC1645" s="44"/>
      <c r="BD1645" s="44"/>
      <c r="BE1645" s="44"/>
      <c r="BF1645" s="44"/>
      <c r="BG1645" s="44"/>
      <c r="BH1645" s="44"/>
      <c r="BI1645" s="44"/>
      <c r="BJ1645" s="44"/>
      <c r="BK1645" s="44"/>
      <c r="BL1645" s="44"/>
      <c r="BM1645" s="44"/>
      <c r="BN1645" s="44"/>
      <c r="BO1645" s="55"/>
      <c r="BP1645" s="40"/>
      <c r="BQ1645" s="4"/>
      <c r="BR1645" s="61"/>
      <c r="BS1645" s="4"/>
      <c r="BT1645" s="57"/>
      <c r="BU1645" s="62"/>
      <c r="BV1645" s="8"/>
      <c r="BW1645" s="58"/>
    </row>
    <row r="1646" spans="41:75" x14ac:dyDescent="0.35">
      <c r="AO1646" s="39">
        <v>1644</v>
      </c>
      <c r="AP1646" s="62"/>
      <c r="AQ1646" s="39"/>
      <c r="AR1646" s="42" t="str">
        <f>IFERROR(VLOOKUP(AU1646,[1]SUMMARY!$A$3:$B$7,2,FALSE),"")</f>
        <v/>
      </c>
      <c r="AS1646" s="31"/>
      <c r="AT1646" s="31" t="e">
        <f>VLOOKUP(AS1646,[1]OUTLET!$B:$C,2,0)</f>
        <v>#N/A</v>
      </c>
      <c r="AU1646" s="31"/>
      <c r="AV1646" s="4"/>
      <c r="AW1646" s="44"/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44"/>
      <c r="BJ1646" s="44"/>
      <c r="BK1646" s="44"/>
      <c r="BL1646" s="44"/>
      <c r="BM1646" s="44"/>
      <c r="BN1646" s="44"/>
      <c r="BO1646" s="55"/>
      <c r="BP1646" s="40"/>
      <c r="BQ1646" s="4"/>
      <c r="BR1646" s="61"/>
      <c r="BS1646" s="4"/>
      <c r="BT1646" s="57"/>
      <c r="BU1646" s="62"/>
      <c r="BV1646" s="8"/>
      <c r="BW1646" s="58"/>
    </row>
    <row r="1647" spans="41:75" x14ac:dyDescent="0.35">
      <c r="AO1647" s="39">
        <v>1645</v>
      </c>
      <c r="AP1647" s="62"/>
      <c r="AQ1647" s="39"/>
      <c r="AR1647" s="42" t="str">
        <f>IFERROR(VLOOKUP(AU1647,[1]SUMMARY!$A$3:$B$7,2,FALSE),"")</f>
        <v/>
      </c>
      <c r="AS1647" s="31"/>
      <c r="AT1647" s="31" t="e">
        <f>VLOOKUP(AS1647,[1]OUTLET!$B:$C,2,0)</f>
        <v>#N/A</v>
      </c>
      <c r="AU1647" s="31"/>
      <c r="AV1647" s="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44"/>
      <c r="BJ1647" s="44"/>
      <c r="BK1647" s="44"/>
      <c r="BL1647" s="44"/>
      <c r="BM1647" s="44"/>
      <c r="BN1647" s="44"/>
      <c r="BO1647" s="55"/>
      <c r="BP1647" s="40"/>
      <c r="BQ1647" s="4"/>
      <c r="BR1647" s="61"/>
      <c r="BS1647" s="4"/>
      <c r="BT1647" s="57"/>
      <c r="BU1647" s="62"/>
      <c r="BV1647" s="8"/>
      <c r="BW1647" s="58"/>
    </row>
    <row r="1648" spans="41:75" x14ac:dyDescent="0.35">
      <c r="AO1648" s="39">
        <v>1646</v>
      </c>
      <c r="AP1648" s="62"/>
      <c r="AQ1648" s="39"/>
      <c r="AR1648" s="42" t="str">
        <f>IFERROR(VLOOKUP(AU1648,[1]SUMMARY!$A$3:$B$7,2,FALSE),"")</f>
        <v/>
      </c>
      <c r="AS1648" s="31"/>
      <c r="AT1648" s="31" t="e">
        <f>VLOOKUP(AS1648,[1]OUTLET!$B:$C,2,0)</f>
        <v>#N/A</v>
      </c>
      <c r="AU1648" s="31"/>
      <c r="AV1648" s="4"/>
      <c r="AW1648" s="44"/>
      <c r="AX1648" s="44"/>
      <c r="AY1648" s="44"/>
      <c r="AZ1648" s="44"/>
      <c r="BA1648" s="44"/>
      <c r="BB1648" s="44"/>
      <c r="BC1648" s="44"/>
      <c r="BD1648" s="44"/>
      <c r="BE1648" s="44"/>
      <c r="BF1648" s="44"/>
      <c r="BG1648" s="44"/>
      <c r="BH1648" s="44"/>
      <c r="BI1648" s="44"/>
      <c r="BJ1648" s="44"/>
      <c r="BK1648" s="44"/>
      <c r="BL1648" s="44"/>
      <c r="BM1648" s="44"/>
      <c r="BN1648" s="44"/>
      <c r="BO1648" s="55"/>
      <c r="BP1648" s="40"/>
      <c r="BQ1648" s="4"/>
      <c r="BR1648" s="61"/>
      <c r="BS1648" s="4"/>
      <c r="BT1648" s="57"/>
      <c r="BU1648" s="62"/>
      <c r="BV1648" s="8"/>
      <c r="BW1648" s="58"/>
    </row>
    <row r="1649" spans="41:75" x14ac:dyDescent="0.35">
      <c r="AO1649" s="39">
        <v>1647</v>
      </c>
      <c r="AP1649" s="62"/>
      <c r="AQ1649" s="39"/>
      <c r="AR1649" s="42" t="str">
        <f>IFERROR(VLOOKUP(AU1649,[1]SUMMARY!$A$3:$B$7,2,FALSE),"")</f>
        <v/>
      </c>
      <c r="AS1649" s="31"/>
      <c r="AT1649" s="31" t="e">
        <f>VLOOKUP(AS1649,[1]OUTLET!$B:$C,2,0)</f>
        <v>#N/A</v>
      </c>
      <c r="AU1649" s="31"/>
      <c r="AV1649" s="4"/>
      <c r="AW1649" s="44"/>
      <c r="AX1649" s="44"/>
      <c r="AY1649" s="44"/>
      <c r="AZ1649" s="44"/>
      <c r="BA1649" s="44"/>
      <c r="BB1649" s="44"/>
      <c r="BC1649" s="44"/>
      <c r="BD1649" s="44"/>
      <c r="BE1649" s="44"/>
      <c r="BF1649" s="44"/>
      <c r="BG1649" s="44"/>
      <c r="BH1649" s="44"/>
      <c r="BI1649" s="44"/>
      <c r="BJ1649" s="44"/>
      <c r="BK1649" s="44"/>
      <c r="BL1649" s="44"/>
      <c r="BM1649" s="44"/>
      <c r="BN1649" s="44"/>
      <c r="BO1649" s="55"/>
      <c r="BP1649" s="40"/>
      <c r="BQ1649" s="4"/>
      <c r="BR1649" s="61"/>
      <c r="BS1649" s="4"/>
      <c r="BT1649" s="57"/>
      <c r="BU1649" s="62"/>
      <c r="BV1649" s="8"/>
      <c r="BW1649" s="58"/>
    </row>
    <row r="1650" spans="41:75" x14ac:dyDescent="0.35">
      <c r="AO1650" s="39">
        <v>1648</v>
      </c>
      <c r="AP1650" s="62"/>
      <c r="AQ1650" s="39"/>
      <c r="AR1650" s="42" t="str">
        <f>IFERROR(VLOOKUP(AU1650,[1]SUMMARY!$A$3:$B$7,2,FALSE),"")</f>
        <v/>
      </c>
      <c r="AS1650" s="31"/>
      <c r="AT1650" s="31" t="e">
        <f>VLOOKUP(AS1650,[1]OUTLET!$B:$C,2,0)</f>
        <v>#N/A</v>
      </c>
      <c r="AU1650" s="31"/>
      <c r="AV1650" s="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55"/>
      <c r="BP1650" s="40"/>
      <c r="BQ1650" s="4"/>
      <c r="BR1650" s="61"/>
      <c r="BS1650" s="4"/>
      <c r="BT1650" s="57"/>
      <c r="BU1650" s="62"/>
      <c r="BV1650" s="8"/>
      <c r="BW1650" s="58"/>
    </row>
    <row r="1651" spans="41:75" x14ac:dyDescent="0.35">
      <c r="AO1651" s="39">
        <v>1649</v>
      </c>
      <c r="AP1651" s="62"/>
      <c r="AQ1651" s="39"/>
      <c r="AR1651" s="42" t="str">
        <f>IFERROR(VLOOKUP(AU1651,[1]SUMMARY!$A$3:$B$7,2,FALSE),"")</f>
        <v/>
      </c>
      <c r="AS1651" s="31"/>
      <c r="AT1651" s="31" t="e">
        <f>VLOOKUP(AS1651,[1]OUTLET!$B:$C,2,0)</f>
        <v>#N/A</v>
      </c>
      <c r="AU1651" s="31"/>
      <c r="AV1651" s="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55"/>
      <c r="BP1651" s="40"/>
      <c r="BQ1651" s="4"/>
      <c r="BR1651" s="61"/>
      <c r="BS1651" s="4"/>
      <c r="BT1651" s="57"/>
      <c r="BU1651" s="62"/>
      <c r="BV1651" s="8"/>
      <c r="BW1651" s="58"/>
    </row>
    <row r="1652" spans="41:75" x14ac:dyDescent="0.35">
      <c r="AO1652" s="39">
        <v>1650</v>
      </c>
      <c r="AP1652" s="62"/>
      <c r="AQ1652" s="39"/>
      <c r="AR1652" s="42" t="str">
        <f>IFERROR(VLOOKUP(AU1652,[1]SUMMARY!$A$3:$B$7,2,FALSE),"")</f>
        <v/>
      </c>
      <c r="AS1652" s="31"/>
      <c r="AT1652" s="31" t="e">
        <f>VLOOKUP(AS1652,[1]OUTLET!$B:$C,2,0)</f>
        <v>#N/A</v>
      </c>
      <c r="AU1652" s="31"/>
      <c r="AV1652" s="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55"/>
      <c r="BP1652" s="40"/>
      <c r="BQ1652" s="4"/>
      <c r="BR1652" s="61"/>
      <c r="BS1652" s="4"/>
      <c r="BT1652" s="57"/>
      <c r="BU1652" s="62"/>
      <c r="BV1652" s="8"/>
      <c r="BW1652" s="58"/>
    </row>
    <row r="1653" spans="41:75" x14ac:dyDescent="0.35">
      <c r="AO1653" s="39">
        <v>1651</v>
      </c>
      <c r="AP1653" s="62"/>
      <c r="AQ1653" s="39"/>
      <c r="AR1653" s="42" t="str">
        <f>IFERROR(VLOOKUP(AU1653,[1]SUMMARY!$A$3:$B$7,2,FALSE),"")</f>
        <v/>
      </c>
      <c r="AS1653" s="31"/>
      <c r="AT1653" s="31" t="e">
        <f>VLOOKUP(AS1653,[1]OUTLET!$B:$C,2,0)</f>
        <v>#N/A</v>
      </c>
      <c r="AU1653" s="31"/>
      <c r="AV1653" s="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55"/>
      <c r="BP1653" s="40"/>
      <c r="BQ1653" s="4"/>
      <c r="BR1653" s="61"/>
      <c r="BS1653" s="4"/>
      <c r="BT1653" s="57"/>
      <c r="BU1653" s="62"/>
      <c r="BV1653" s="8"/>
      <c r="BW1653" s="58"/>
    </row>
    <row r="1654" spans="41:75" x14ac:dyDescent="0.35">
      <c r="AO1654" s="39">
        <v>1652</v>
      </c>
      <c r="AP1654" s="62"/>
      <c r="AQ1654" s="39"/>
      <c r="AR1654" s="42" t="str">
        <f>IFERROR(VLOOKUP(AU1654,[1]SUMMARY!$A$3:$B$7,2,FALSE),"")</f>
        <v/>
      </c>
      <c r="AS1654" s="31"/>
      <c r="AT1654" s="31" t="e">
        <f>VLOOKUP(AS1654,[1]OUTLET!$B:$C,2,0)</f>
        <v>#N/A</v>
      </c>
      <c r="AU1654" s="31"/>
      <c r="AV1654" s="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55"/>
      <c r="BP1654" s="40"/>
      <c r="BQ1654" s="4"/>
      <c r="BR1654" s="61"/>
      <c r="BS1654" s="4"/>
      <c r="BT1654" s="57"/>
      <c r="BU1654" s="62"/>
      <c r="BV1654" s="8"/>
      <c r="BW1654" s="58"/>
    </row>
    <row r="1655" spans="41:75" x14ac:dyDescent="0.35">
      <c r="AO1655" s="39">
        <v>1653</v>
      </c>
      <c r="AP1655" s="62"/>
      <c r="AQ1655" s="39"/>
      <c r="AR1655" s="42" t="str">
        <f>IFERROR(VLOOKUP(AU1655,[1]SUMMARY!$A$3:$B$7,2,FALSE),"")</f>
        <v/>
      </c>
      <c r="AS1655" s="31"/>
      <c r="AT1655" s="31" t="e">
        <f>VLOOKUP(AS1655,[1]OUTLET!$B:$C,2,0)</f>
        <v>#N/A</v>
      </c>
      <c r="AU1655" s="31"/>
      <c r="AV1655" s="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55"/>
      <c r="BP1655" s="40"/>
      <c r="BQ1655" s="4"/>
      <c r="BR1655" s="61"/>
      <c r="BS1655" s="4"/>
      <c r="BT1655" s="57"/>
      <c r="BU1655" s="62"/>
      <c r="BV1655" s="8"/>
      <c r="BW1655" s="58"/>
    </row>
    <row r="1656" spans="41:75" x14ac:dyDescent="0.35">
      <c r="AO1656" s="39">
        <v>1654</v>
      </c>
      <c r="AP1656" s="62"/>
      <c r="AQ1656" s="39"/>
      <c r="AR1656" s="42" t="str">
        <f>IFERROR(VLOOKUP(AU1656,[1]SUMMARY!$A$3:$B$7,2,FALSE),"")</f>
        <v/>
      </c>
      <c r="AS1656" s="31"/>
      <c r="AT1656" s="31" t="e">
        <f>VLOOKUP(AS1656,[1]OUTLET!$B:$C,2,0)</f>
        <v>#N/A</v>
      </c>
      <c r="AU1656" s="31"/>
      <c r="AV1656" s="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55"/>
      <c r="BP1656" s="40"/>
      <c r="BQ1656" s="4"/>
      <c r="BR1656" s="61"/>
      <c r="BS1656" s="4"/>
      <c r="BT1656" s="57"/>
      <c r="BU1656" s="62"/>
      <c r="BV1656" s="8"/>
      <c r="BW1656" s="58"/>
    </row>
    <row r="1657" spans="41:75" x14ac:dyDescent="0.35">
      <c r="AO1657" s="39">
        <v>1655</v>
      </c>
      <c r="AP1657" s="62"/>
      <c r="AQ1657" s="39"/>
      <c r="AR1657" s="42" t="str">
        <f>IFERROR(VLOOKUP(AU1657,[1]SUMMARY!$A$3:$B$7,2,FALSE),"")</f>
        <v/>
      </c>
      <c r="AS1657" s="31"/>
      <c r="AT1657" s="31" t="e">
        <f>VLOOKUP(AS1657,[1]OUTLET!$B:$C,2,0)</f>
        <v>#N/A</v>
      </c>
      <c r="AU1657" s="31"/>
      <c r="AV1657" s="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55"/>
      <c r="BP1657" s="40"/>
      <c r="BQ1657" s="4"/>
      <c r="BR1657" s="61"/>
      <c r="BS1657" s="4"/>
      <c r="BT1657" s="57"/>
      <c r="BU1657" s="62"/>
      <c r="BV1657" s="8"/>
      <c r="BW1657" s="58"/>
    </row>
    <row r="1658" spans="41:75" x14ac:dyDescent="0.35">
      <c r="AO1658" s="39">
        <v>1656</v>
      </c>
      <c r="AP1658" s="62"/>
      <c r="AQ1658" s="39"/>
      <c r="AR1658" s="42" t="str">
        <f>IFERROR(VLOOKUP(AU1658,[1]SUMMARY!$A$3:$B$7,2,FALSE),"")</f>
        <v/>
      </c>
      <c r="AS1658" s="31"/>
      <c r="AT1658" s="31" t="e">
        <f>VLOOKUP(AS1658,[1]OUTLET!$B:$C,2,0)</f>
        <v>#N/A</v>
      </c>
      <c r="AU1658" s="31"/>
      <c r="AV1658" s="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55"/>
      <c r="BP1658" s="40"/>
      <c r="BQ1658" s="4"/>
      <c r="BR1658" s="61"/>
      <c r="BS1658" s="4"/>
      <c r="BT1658" s="57"/>
      <c r="BU1658" s="62"/>
      <c r="BV1658" s="8"/>
      <c r="BW1658" s="58"/>
    </row>
    <row r="1659" spans="41:75" x14ac:dyDescent="0.35">
      <c r="AO1659" s="39">
        <v>1657</v>
      </c>
      <c r="AP1659" s="62"/>
      <c r="AQ1659" s="39"/>
      <c r="AR1659" s="42" t="str">
        <f>IFERROR(VLOOKUP(AU1659,[1]SUMMARY!$A$3:$B$7,2,FALSE),"")</f>
        <v/>
      </c>
      <c r="AS1659" s="31"/>
      <c r="AT1659" s="31" t="e">
        <f>VLOOKUP(AS1659,[1]OUTLET!$B:$C,2,0)</f>
        <v>#N/A</v>
      </c>
      <c r="AU1659" s="31"/>
      <c r="AV1659" s="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55"/>
      <c r="BP1659" s="40"/>
      <c r="BQ1659" s="4"/>
      <c r="BR1659" s="61"/>
      <c r="BS1659" s="4"/>
      <c r="BT1659" s="57"/>
      <c r="BU1659" s="62"/>
      <c r="BV1659" s="8"/>
      <c r="BW1659" s="58"/>
    </row>
    <row r="1660" spans="41:75" x14ac:dyDescent="0.35">
      <c r="AO1660" s="39">
        <v>1658</v>
      </c>
      <c r="AP1660" s="62"/>
      <c r="AQ1660" s="39"/>
      <c r="AR1660" s="42" t="str">
        <f>IFERROR(VLOOKUP(AU1660,[1]SUMMARY!$A$3:$B$7,2,FALSE),"")</f>
        <v/>
      </c>
      <c r="AS1660" s="31"/>
      <c r="AT1660" s="31" t="e">
        <f>VLOOKUP(AS1660,[1]OUTLET!$B:$C,2,0)</f>
        <v>#N/A</v>
      </c>
      <c r="AU1660" s="31"/>
      <c r="AV1660" s="4"/>
      <c r="AW1660" s="44"/>
      <c r="AX1660" s="44"/>
      <c r="AY1660" s="44"/>
      <c r="AZ1660" s="44"/>
      <c r="BA1660" s="44"/>
      <c r="BB1660" s="44"/>
      <c r="BC1660" s="44"/>
      <c r="BD1660" s="44"/>
      <c r="BE1660" s="44"/>
      <c r="BF1660" s="44"/>
      <c r="BG1660" s="44"/>
      <c r="BH1660" s="44"/>
      <c r="BI1660" s="44"/>
      <c r="BJ1660" s="44"/>
      <c r="BK1660" s="44"/>
      <c r="BL1660" s="44"/>
      <c r="BM1660" s="44"/>
      <c r="BN1660" s="44"/>
      <c r="BO1660" s="55"/>
      <c r="BP1660" s="40"/>
      <c r="BQ1660" s="4"/>
      <c r="BR1660" s="61"/>
      <c r="BS1660" s="4"/>
      <c r="BT1660" s="57"/>
      <c r="BU1660" s="62"/>
      <c r="BV1660" s="8"/>
      <c r="BW1660" s="58"/>
    </row>
    <row r="1661" spans="41:75" x14ac:dyDescent="0.35">
      <c r="AO1661" s="39">
        <v>1659</v>
      </c>
      <c r="AP1661" s="62"/>
      <c r="AQ1661" s="39"/>
      <c r="AR1661" s="42" t="str">
        <f>IFERROR(VLOOKUP(AU1661,[1]SUMMARY!$A$3:$B$7,2,FALSE),"")</f>
        <v/>
      </c>
      <c r="AS1661" s="31"/>
      <c r="AT1661" s="31" t="e">
        <f>VLOOKUP(AS1661,[1]OUTLET!$B:$C,2,0)</f>
        <v>#N/A</v>
      </c>
      <c r="AU1661" s="31"/>
      <c r="AV1661" s="4"/>
      <c r="AW1661" s="44"/>
      <c r="AX1661" s="44"/>
      <c r="AY1661" s="44"/>
      <c r="AZ1661" s="44"/>
      <c r="BA1661" s="44"/>
      <c r="BB1661" s="44"/>
      <c r="BC1661" s="44"/>
      <c r="BD1661" s="44"/>
      <c r="BE1661" s="44"/>
      <c r="BF1661" s="44"/>
      <c r="BG1661" s="44"/>
      <c r="BH1661" s="44"/>
      <c r="BI1661" s="44"/>
      <c r="BJ1661" s="44"/>
      <c r="BK1661" s="44"/>
      <c r="BL1661" s="44"/>
      <c r="BM1661" s="44"/>
      <c r="BN1661" s="44"/>
      <c r="BO1661" s="55"/>
      <c r="BP1661" s="40"/>
      <c r="BQ1661" s="4"/>
      <c r="BR1661" s="61"/>
      <c r="BS1661" s="4"/>
      <c r="BT1661" s="57"/>
      <c r="BU1661" s="62"/>
      <c r="BV1661" s="8"/>
      <c r="BW1661" s="58"/>
    </row>
    <row r="1662" spans="41:75" x14ac:dyDescent="0.35">
      <c r="AO1662" s="39">
        <v>1660</v>
      </c>
      <c r="AP1662" s="62"/>
      <c r="AQ1662" s="39"/>
      <c r="AR1662" s="42" t="str">
        <f>IFERROR(VLOOKUP(AU1662,[1]SUMMARY!$A$3:$B$7,2,FALSE),"")</f>
        <v/>
      </c>
      <c r="AS1662" s="31"/>
      <c r="AT1662" s="31" t="e">
        <f>VLOOKUP(AS1662,[1]OUTLET!$B:$C,2,0)</f>
        <v>#N/A</v>
      </c>
      <c r="AU1662" s="31"/>
      <c r="AV1662" s="4"/>
      <c r="AW1662" s="44"/>
      <c r="AX1662" s="44"/>
      <c r="AY1662" s="44"/>
      <c r="AZ1662" s="44"/>
      <c r="BA1662" s="44"/>
      <c r="BB1662" s="44"/>
      <c r="BC1662" s="44"/>
      <c r="BD1662" s="44"/>
      <c r="BE1662" s="44"/>
      <c r="BF1662" s="44"/>
      <c r="BG1662" s="44"/>
      <c r="BH1662" s="44"/>
      <c r="BI1662" s="44"/>
      <c r="BJ1662" s="44"/>
      <c r="BK1662" s="44"/>
      <c r="BL1662" s="44"/>
      <c r="BM1662" s="44"/>
      <c r="BN1662" s="44"/>
      <c r="BO1662" s="55"/>
      <c r="BP1662" s="40"/>
      <c r="BQ1662" s="4"/>
      <c r="BR1662" s="61"/>
      <c r="BS1662" s="4"/>
      <c r="BT1662" s="57"/>
      <c r="BU1662" s="62"/>
      <c r="BV1662" s="8"/>
      <c r="BW1662" s="58"/>
    </row>
    <row r="1663" spans="41:75" x14ac:dyDescent="0.35">
      <c r="AO1663" s="39">
        <v>1661</v>
      </c>
      <c r="AP1663" s="62"/>
      <c r="AQ1663" s="39"/>
      <c r="AR1663" s="42" t="str">
        <f>IFERROR(VLOOKUP(AU1663,[1]SUMMARY!$A$3:$B$7,2,FALSE),"")</f>
        <v/>
      </c>
      <c r="AS1663" s="31"/>
      <c r="AT1663" s="31" t="e">
        <f>VLOOKUP(AS1663,[1]OUTLET!$B:$C,2,0)</f>
        <v>#N/A</v>
      </c>
      <c r="AU1663" s="31"/>
      <c r="AV1663" s="4"/>
      <c r="AW1663" s="44"/>
      <c r="AX1663" s="44"/>
      <c r="AY1663" s="44"/>
      <c r="AZ1663" s="44"/>
      <c r="BA1663" s="44"/>
      <c r="BB1663" s="44"/>
      <c r="BC1663" s="44"/>
      <c r="BD1663" s="44"/>
      <c r="BE1663" s="44"/>
      <c r="BF1663" s="44"/>
      <c r="BG1663" s="44"/>
      <c r="BH1663" s="44"/>
      <c r="BI1663" s="44"/>
      <c r="BJ1663" s="44"/>
      <c r="BK1663" s="44"/>
      <c r="BL1663" s="44"/>
      <c r="BM1663" s="44"/>
      <c r="BN1663" s="44"/>
      <c r="BO1663" s="55"/>
      <c r="BP1663" s="40"/>
      <c r="BQ1663" s="4"/>
      <c r="BR1663" s="61"/>
      <c r="BS1663" s="4"/>
      <c r="BT1663" s="57"/>
      <c r="BU1663" s="62"/>
      <c r="BV1663" s="8"/>
      <c r="BW1663" s="58"/>
    </row>
    <row r="1664" spans="41:75" x14ac:dyDescent="0.35">
      <c r="AO1664" s="39">
        <v>1662</v>
      </c>
      <c r="AP1664" s="62"/>
      <c r="AQ1664" s="39"/>
      <c r="AR1664" s="42" t="str">
        <f>IFERROR(VLOOKUP(AU1664,[1]SUMMARY!$A$3:$B$7,2,FALSE),"")</f>
        <v/>
      </c>
      <c r="AS1664" s="31"/>
      <c r="AT1664" s="31" t="e">
        <f>VLOOKUP(AS1664,[1]OUTLET!$B:$C,2,0)</f>
        <v>#N/A</v>
      </c>
      <c r="AU1664" s="31"/>
      <c r="AV1664" s="4"/>
      <c r="AW1664" s="44"/>
      <c r="AX1664" s="44"/>
      <c r="AY1664" s="44"/>
      <c r="AZ1664" s="44"/>
      <c r="BA1664" s="44"/>
      <c r="BB1664" s="44"/>
      <c r="BC1664" s="44"/>
      <c r="BD1664" s="44"/>
      <c r="BE1664" s="44"/>
      <c r="BF1664" s="44"/>
      <c r="BG1664" s="44"/>
      <c r="BH1664" s="44"/>
      <c r="BI1664" s="44"/>
      <c r="BJ1664" s="44"/>
      <c r="BK1664" s="44"/>
      <c r="BL1664" s="44"/>
      <c r="BM1664" s="44"/>
      <c r="BN1664" s="44"/>
      <c r="BO1664" s="55"/>
      <c r="BP1664" s="40"/>
      <c r="BQ1664" s="4"/>
      <c r="BR1664" s="61"/>
      <c r="BS1664" s="4"/>
      <c r="BT1664" s="57"/>
      <c r="BU1664" s="62"/>
      <c r="BV1664" s="8"/>
      <c r="BW1664" s="58"/>
    </row>
    <row r="1665" spans="41:75" x14ac:dyDescent="0.35">
      <c r="AO1665" s="39">
        <v>1663</v>
      </c>
      <c r="AP1665" s="62"/>
      <c r="AQ1665" s="39"/>
      <c r="AR1665" s="42" t="str">
        <f>IFERROR(VLOOKUP(AU1665,[1]SUMMARY!$A$3:$B$7,2,FALSE),"")</f>
        <v/>
      </c>
      <c r="AS1665" s="31"/>
      <c r="AT1665" s="31" t="e">
        <f>VLOOKUP(AS1665,[1]OUTLET!$B:$C,2,0)</f>
        <v>#N/A</v>
      </c>
      <c r="AU1665" s="31"/>
      <c r="AV1665" s="4"/>
      <c r="AW1665" s="44"/>
      <c r="AX1665" s="44"/>
      <c r="AY1665" s="44"/>
      <c r="AZ1665" s="44"/>
      <c r="BA1665" s="44"/>
      <c r="BB1665" s="44"/>
      <c r="BC1665" s="44"/>
      <c r="BD1665" s="44"/>
      <c r="BE1665" s="44"/>
      <c r="BF1665" s="44"/>
      <c r="BG1665" s="44"/>
      <c r="BH1665" s="44"/>
      <c r="BI1665" s="44"/>
      <c r="BJ1665" s="44"/>
      <c r="BK1665" s="44"/>
      <c r="BL1665" s="44"/>
      <c r="BM1665" s="44"/>
      <c r="BN1665" s="44"/>
      <c r="BO1665" s="55"/>
      <c r="BP1665" s="40"/>
      <c r="BQ1665" s="4"/>
      <c r="BR1665" s="61"/>
      <c r="BS1665" s="4"/>
      <c r="BT1665" s="57"/>
      <c r="BU1665" s="62"/>
      <c r="BV1665" s="8"/>
      <c r="BW1665" s="58"/>
    </row>
    <row r="1666" spans="41:75" x14ac:dyDescent="0.35">
      <c r="AO1666" s="39">
        <v>1664</v>
      </c>
      <c r="AP1666" s="62"/>
      <c r="AQ1666" s="39"/>
      <c r="AR1666" s="42" t="str">
        <f>IFERROR(VLOOKUP(AU1666,[1]SUMMARY!$A$3:$B$7,2,FALSE),"")</f>
        <v/>
      </c>
      <c r="AS1666" s="31"/>
      <c r="AT1666" s="31" t="e">
        <f>VLOOKUP(AS1666,[1]OUTLET!$B:$C,2,0)</f>
        <v>#N/A</v>
      </c>
      <c r="AU1666" s="31"/>
      <c r="AV1666" s="4"/>
      <c r="AW1666" s="44"/>
      <c r="AX1666" s="44"/>
      <c r="AY1666" s="44"/>
      <c r="AZ1666" s="44"/>
      <c r="BA1666" s="44"/>
      <c r="BB1666" s="44"/>
      <c r="BC1666" s="44"/>
      <c r="BD1666" s="44"/>
      <c r="BE1666" s="44"/>
      <c r="BF1666" s="44"/>
      <c r="BG1666" s="44"/>
      <c r="BH1666" s="44"/>
      <c r="BI1666" s="44"/>
      <c r="BJ1666" s="44"/>
      <c r="BK1666" s="44"/>
      <c r="BL1666" s="44"/>
      <c r="BM1666" s="44"/>
      <c r="BN1666" s="44"/>
      <c r="BO1666" s="55"/>
      <c r="BP1666" s="40"/>
      <c r="BQ1666" s="4"/>
      <c r="BR1666" s="61"/>
      <c r="BS1666" s="4"/>
      <c r="BT1666" s="57"/>
      <c r="BU1666" s="62"/>
      <c r="BV1666" s="8"/>
      <c r="BW1666" s="58"/>
    </row>
    <row r="1667" spans="41:75" x14ac:dyDescent="0.35">
      <c r="AO1667" s="39">
        <v>1665</v>
      </c>
      <c r="AP1667" s="62"/>
      <c r="AQ1667" s="39"/>
      <c r="AR1667" s="42" t="str">
        <f>IFERROR(VLOOKUP(AU1667,[1]SUMMARY!$A$3:$B$7,2,FALSE),"")</f>
        <v/>
      </c>
      <c r="AS1667" s="31"/>
      <c r="AT1667" s="31" t="e">
        <f>VLOOKUP(AS1667,[1]OUTLET!$B:$C,2,0)</f>
        <v>#N/A</v>
      </c>
      <c r="AU1667" s="31"/>
      <c r="AV1667" s="4"/>
      <c r="AW1667" s="44"/>
      <c r="AX1667" s="44"/>
      <c r="AY1667" s="44"/>
      <c r="AZ1667" s="44"/>
      <c r="BA1667" s="44"/>
      <c r="BB1667" s="44"/>
      <c r="BC1667" s="44"/>
      <c r="BD1667" s="44"/>
      <c r="BE1667" s="44"/>
      <c r="BF1667" s="44"/>
      <c r="BG1667" s="44"/>
      <c r="BH1667" s="44"/>
      <c r="BI1667" s="44"/>
      <c r="BJ1667" s="44"/>
      <c r="BK1667" s="44"/>
      <c r="BL1667" s="44"/>
      <c r="BM1667" s="44"/>
      <c r="BN1667" s="44"/>
      <c r="BO1667" s="55"/>
      <c r="BP1667" s="40"/>
      <c r="BQ1667" s="4"/>
      <c r="BR1667" s="61"/>
      <c r="BS1667" s="4"/>
      <c r="BT1667" s="57"/>
      <c r="BU1667" s="62"/>
      <c r="BV1667" s="8"/>
      <c r="BW1667" s="58"/>
    </row>
    <row r="1668" spans="41:75" x14ac:dyDescent="0.35">
      <c r="AO1668" s="39">
        <v>1666</v>
      </c>
      <c r="AP1668" s="62"/>
      <c r="AQ1668" s="39"/>
      <c r="AR1668" s="42" t="str">
        <f>IFERROR(VLOOKUP(AU1668,[1]SUMMARY!$A$3:$B$7,2,FALSE),"")</f>
        <v/>
      </c>
      <c r="AS1668" s="31"/>
      <c r="AT1668" s="31" t="e">
        <f>VLOOKUP(AS1668,[1]OUTLET!$B:$C,2,0)</f>
        <v>#N/A</v>
      </c>
      <c r="AU1668" s="31"/>
      <c r="AV1668" s="4"/>
      <c r="AW1668" s="44"/>
      <c r="AX1668" s="44"/>
      <c r="AY1668" s="44"/>
      <c r="AZ1668" s="44"/>
      <c r="BA1668" s="44"/>
      <c r="BB1668" s="44"/>
      <c r="BC1668" s="44"/>
      <c r="BD1668" s="44"/>
      <c r="BE1668" s="44"/>
      <c r="BF1668" s="44"/>
      <c r="BG1668" s="44"/>
      <c r="BH1668" s="44"/>
      <c r="BI1668" s="44"/>
      <c r="BJ1668" s="44"/>
      <c r="BK1668" s="44"/>
      <c r="BL1668" s="44"/>
      <c r="BM1668" s="44"/>
      <c r="BN1668" s="44"/>
      <c r="BO1668" s="55"/>
      <c r="BP1668" s="40"/>
      <c r="BQ1668" s="4"/>
      <c r="BR1668" s="61"/>
      <c r="BS1668" s="4"/>
      <c r="BT1668" s="57"/>
      <c r="BU1668" s="62"/>
      <c r="BV1668" s="8"/>
      <c r="BW1668" s="58"/>
    </row>
    <row r="1669" spans="41:75" x14ac:dyDescent="0.35">
      <c r="AO1669" s="39">
        <v>1667</v>
      </c>
      <c r="AP1669" s="62"/>
      <c r="AQ1669" s="39"/>
      <c r="AR1669" s="42" t="str">
        <f>IFERROR(VLOOKUP(AU1669,[1]SUMMARY!$A$3:$B$7,2,FALSE),"")</f>
        <v/>
      </c>
      <c r="AS1669" s="31"/>
      <c r="AT1669" s="31" t="e">
        <f>VLOOKUP(AS1669,[1]OUTLET!$B:$C,2,0)</f>
        <v>#N/A</v>
      </c>
      <c r="AU1669" s="31"/>
      <c r="AV1669" s="4"/>
      <c r="AW1669" s="44"/>
      <c r="AX1669" s="44"/>
      <c r="AY1669" s="44"/>
      <c r="AZ1669" s="44"/>
      <c r="BA1669" s="44"/>
      <c r="BB1669" s="44"/>
      <c r="BC1669" s="44"/>
      <c r="BD1669" s="44"/>
      <c r="BE1669" s="44"/>
      <c r="BF1669" s="44"/>
      <c r="BG1669" s="44"/>
      <c r="BH1669" s="44"/>
      <c r="BI1669" s="44"/>
      <c r="BJ1669" s="44"/>
      <c r="BK1669" s="44"/>
      <c r="BL1669" s="44"/>
      <c r="BM1669" s="44"/>
      <c r="BN1669" s="44"/>
      <c r="BO1669" s="55"/>
      <c r="BP1669" s="40"/>
      <c r="BQ1669" s="4"/>
      <c r="BR1669" s="61"/>
      <c r="BS1669" s="4"/>
      <c r="BT1669" s="57"/>
      <c r="BU1669" s="62"/>
      <c r="BV1669" s="8"/>
      <c r="BW1669" s="58"/>
    </row>
    <row r="1670" spans="41:75" x14ac:dyDescent="0.35">
      <c r="AO1670" s="39">
        <v>1668</v>
      </c>
      <c r="AP1670" s="62"/>
      <c r="AQ1670" s="39"/>
      <c r="AR1670" s="42" t="str">
        <f>IFERROR(VLOOKUP(AU1670,[1]SUMMARY!$A$3:$B$7,2,FALSE),"")</f>
        <v/>
      </c>
      <c r="AS1670" s="31"/>
      <c r="AT1670" s="31" t="e">
        <f>VLOOKUP(AS1670,[1]OUTLET!$B:$C,2,0)</f>
        <v>#N/A</v>
      </c>
      <c r="AU1670" s="31"/>
      <c r="AV1670" s="4"/>
      <c r="AW1670" s="44"/>
      <c r="AX1670" s="44"/>
      <c r="AY1670" s="44"/>
      <c r="AZ1670" s="44"/>
      <c r="BA1670" s="44"/>
      <c r="BB1670" s="44"/>
      <c r="BC1670" s="44"/>
      <c r="BD1670" s="44"/>
      <c r="BE1670" s="44"/>
      <c r="BF1670" s="44"/>
      <c r="BG1670" s="44"/>
      <c r="BH1670" s="44"/>
      <c r="BI1670" s="44"/>
      <c r="BJ1670" s="44"/>
      <c r="BK1670" s="44"/>
      <c r="BL1670" s="44"/>
      <c r="BM1670" s="44"/>
      <c r="BN1670" s="44"/>
      <c r="BO1670" s="55"/>
      <c r="BP1670" s="40"/>
      <c r="BQ1670" s="4"/>
      <c r="BR1670" s="61"/>
      <c r="BS1670" s="4"/>
      <c r="BT1670" s="57"/>
      <c r="BU1670" s="62"/>
      <c r="BV1670" s="8"/>
      <c r="BW1670" s="58"/>
    </row>
    <row r="1671" spans="41:75" x14ac:dyDescent="0.35">
      <c r="AO1671" s="39">
        <v>1669</v>
      </c>
      <c r="AP1671" s="62"/>
      <c r="AQ1671" s="39"/>
      <c r="AR1671" s="42" t="str">
        <f>IFERROR(VLOOKUP(AU1671,[1]SUMMARY!$A$3:$B$7,2,FALSE),"")</f>
        <v/>
      </c>
      <c r="AS1671" s="31"/>
      <c r="AT1671" s="31" t="e">
        <f>VLOOKUP(AS1671,[1]OUTLET!$B:$C,2,0)</f>
        <v>#N/A</v>
      </c>
      <c r="AU1671" s="31"/>
      <c r="AV1671" s="4"/>
      <c r="AW1671" s="44"/>
      <c r="AX1671" s="44"/>
      <c r="AY1671" s="44"/>
      <c r="AZ1671" s="44"/>
      <c r="BA1671" s="44"/>
      <c r="BB1671" s="44"/>
      <c r="BC1671" s="44"/>
      <c r="BD1671" s="44"/>
      <c r="BE1671" s="44"/>
      <c r="BF1671" s="44"/>
      <c r="BG1671" s="44"/>
      <c r="BH1671" s="44"/>
      <c r="BI1671" s="44"/>
      <c r="BJ1671" s="44"/>
      <c r="BK1671" s="44"/>
      <c r="BL1671" s="44"/>
      <c r="BM1671" s="44"/>
      <c r="BN1671" s="44"/>
      <c r="BO1671" s="55"/>
      <c r="BP1671" s="40"/>
      <c r="BQ1671" s="4"/>
      <c r="BR1671" s="61"/>
      <c r="BS1671" s="4"/>
      <c r="BT1671" s="57"/>
      <c r="BU1671" s="62"/>
      <c r="BV1671" s="8"/>
      <c r="BW1671" s="58"/>
    </row>
    <row r="1672" spans="41:75" x14ac:dyDescent="0.35">
      <c r="AO1672" s="39">
        <v>1670</v>
      </c>
      <c r="AP1672" s="62"/>
      <c r="AQ1672" s="39"/>
      <c r="AR1672" s="42" t="str">
        <f>IFERROR(VLOOKUP(AU1672,[1]SUMMARY!$A$3:$B$7,2,FALSE),"")</f>
        <v/>
      </c>
      <c r="AS1672" s="31"/>
      <c r="AT1672" s="31" t="e">
        <f>VLOOKUP(AS1672,[1]OUTLET!$B:$C,2,0)</f>
        <v>#N/A</v>
      </c>
      <c r="AU1672" s="31"/>
      <c r="AV1672" s="4"/>
      <c r="AW1672" s="44"/>
      <c r="AX1672" s="44"/>
      <c r="AY1672" s="44"/>
      <c r="AZ1672" s="44"/>
      <c r="BA1672" s="44"/>
      <c r="BB1672" s="44"/>
      <c r="BC1672" s="44"/>
      <c r="BD1672" s="44"/>
      <c r="BE1672" s="44"/>
      <c r="BF1672" s="44"/>
      <c r="BG1672" s="44"/>
      <c r="BH1672" s="44"/>
      <c r="BI1672" s="44"/>
      <c r="BJ1672" s="44"/>
      <c r="BK1672" s="44"/>
      <c r="BL1672" s="44"/>
      <c r="BM1672" s="44"/>
      <c r="BN1672" s="44"/>
      <c r="BO1672" s="55"/>
      <c r="BP1672" s="40"/>
      <c r="BQ1672" s="4"/>
      <c r="BR1672" s="61"/>
      <c r="BS1672" s="4"/>
      <c r="BT1672" s="57"/>
      <c r="BU1672" s="62"/>
      <c r="BV1672" s="8"/>
      <c r="BW1672" s="58"/>
    </row>
    <row r="1673" spans="41:75" x14ac:dyDescent="0.35">
      <c r="AO1673" s="39">
        <v>1671</v>
      </c>
      <c r="AP1673" s="62"/>
      <c r="AQ1673" s="39"/>
      <c r="AR1673" s="42" t="str">
        <f>IFERROR(VLOOKUP(AU1673,[1]SUMMARY!$A$3:$B$7,2,FALSE),"")</f>
        <v/>
      </c>
      <c r="AS1673" s="31"/>
      <c r="AT1673" s="31" t="e">
        <f>VLOOKUP(AS1673,[1]OUTLET!$B:$C,2,0)</f>
        <v>#N/A</v>
      </c>
      <c r="AU1673" s="31"/>
      <c r="AV1673" s="4"/>
      <c r="AW1673" s="44"/>
      <c r="AX1673" s="44"/>
      <c r="AY1673" s="44"/>
      <c r="AZ1673" s="44"/>
      <c r="BA1673" s="44"/>
      <c r="BB1673" s="44"/>
      <c r="BC1673" s="44"/>
      <c r="BD1673" s="44"/>
      <c r="BE1673" s="44"/>
      <c r="BF1673" s="44"/>
      <c r="BG1673" s="44"/>
      <c r="BH1673" s="44"/>
      <c r="BI1673" s="44"/>
      <c r="BJ1673" s="44"/>
      <c r="BK1673" s="44"/>
      <c r="BL1673" s="44"/>
      <c r="BM1673" s="44"/>
      <c r="BN1673" s="44"/>
      <c r="BO1673" s="55"/>
      <c r="BP1673" s="40"/>
      <c r="BQ1673" s="4"/>
      <c r="BR1673" s="61"/>
      <c r="BS1673" s="4"/>
      <c r="BT1673" s="57"/>
      <c r="BU1673" s="62"/>
      <c r="BV1673" s="8"/>
      <c r="BW1673" s="58"/>
    </row>
    <row r="1674" spans="41:75" x14ac:dyDescent="0.35">
      <c r="AO1674" s="39">
        <v>1672</v>
      </c>
      <c r="AP1674" s="62"/>
      <c r="AQ1674" s="39"/>
      <c r="AR1674" s="42" t="str">
        <f>IFERROR(VLOOKUP(AU1674,[1]SUMMARY!$A$3:$B$7,2,FALSE),"")</f>
        <v/>
      </c>
      <c r="AS1674" s="31"/>
      <c r="AT1674" s="31" t="e">
        <f>VLOOKUP(AS1674,[1]OUTLET!$B:$C,2,0)</f>
        <v>#N/A</v>
      </c>
      <c r="AU1674" s="31"/>
      <c r="AV1674" s="4"/>
      <c r="AW1674" s="44"/>
      <c r="AX1674" s="44"/>
      <c r="AY1674" s="44"/>
      <c r="AZ1674" s="44"/>
      <c r="BA1674" s="44"/>
      <c r="BB1674" s="44"/>
      <c r="BC1674" s="44"/>
      <c r="BD1674" s="44"/>
      <c r="BE1674" s="44"/>
      <c r="BF1674" s="44"/>
      <c r="BG1674" s="44"/>
      <c r="BH1674" s="44"/>
      <c r="BI1674" s="44"/>
      <c r="BJ1674" s="44"/>
      <c r="BK1674" s="44"/>
      <c r="BL1674" s="44"/>
      <c r="BM1674" s="44"/>
      <c r="BN1674" s="44"/>
      <c r="BO1674" s="55"/>
      <c r="BP1674" s="40"/>
      <c r="BQ1674" s="4"/>
      <c r="BR1674" s="61"/>
      <c r="BS1674" s="4"/>
      <c r="BT1674" s="57"/>
      <c r="BU1674" s="62"/>
      <c r="BV1674" s="8"/>
      <c r="BW1674" s="58"/>
    </row>
    <row r="1675" spans="41:75" x14ac:dyDescent="0.35">
      <c r="AO1675" s="39">
        <v>1673</v>
      </c>
      <c r="AP1675" s="62"/>
      <c r="AQ1675" s="39"/>
      <c r="AR1675" s="42" t="str">
        <f>IFERROR(VLOOKUP(AU1675,[1]SUMMARY!$A$3:$B$7,2,FALSE),"")</f>
        <v/>
      </c>
      <c r="AS1675" s="31"/>
      <c r="AT1675" s="31" t="e">
        <f>VLOOKUP(AS1675,[1]OUTLET!$B:$C,2,0)</f>
        <v>#N/A</v>
      </c>
      <c r="AU1675" s="31"/>
      <c r="AV1675" s="4"/>
      <c r="AW1675" s="44"/>
      <c r="AX1675" s="44"/>
      <c r="AY1675" s="44"/>
      <c r="AZ1675" s="44"/>
      <c r="BA1675" s="44"/>
      <c r="BB1675" s="44"/>
      <c r="BC1675" s="44"/>
      <c r="BD1675" s="44"/>
      <c r="BE1675" s="44"/>
      <c r="BF1675" s="44"/>
      <c r="BG1675" s="44"/>
      <c r="BH1675" s="44"/>
      <c r="BI1675" s="44"/>
      <c r="BJ1675" s="44"/>
      <c r="BK1675" s="44"/>
      <c r="BL1675" s="44"/>
      <c r="BM1675" s="44"/>
      <c r="BN1675" s="44"/>
      <c r="BO1675" s="55"/>
      <c r="BP1675" s="40"/>
      <c r="BQ1675" s="4"/>
      <c r="BR1675" s="61"/>
      <c r="BS1675" s="4"/>
      <c r="BT1675" s="57"/>
      <c r="BU1675" s="62"/>
      <c r="BV1675" s="8"/>
      <c r="BW1675" s="58"/>
    </row>
    <row r="1676" spans="41:75" x14ac:dyDescent="0.35">
      <c r="AO1676" s="39">
        <v>1674</v>
      </c>
      <c r="AP1676" s="62"/>
      <c r="AQ1676" s="39"/>
      <c r="AR1676" s="42" t="str">
        <f>IFERROR(VLOOKUP(AU1676,[1]SUMMARY!$A$3:$B$7,2,FALSE),"")</f>
        <v/>
      </c>
      <c r="AS1676" s="31"/>
      <c r="AT1676" s="31" t="e">
        <f>VLOOKUP(AS1676,[1]OUTLET!$B:$C,2,0)</f>
        <v>#N/A</v>
      </c>
      <c r="AU1676" s="31"/>
      <c r="AV1676" s="4"/>
      <c r="AW1676" s="44"/>
      <c r="AX1676" s="44"/>
      <c r="AY1676" s="44"/>
      <c r="AZ1676" s="44"/>
      <c r="BA1676" s="44"/>
      <c r="BB1676" s="44"/>
      <c r="BC1676" s="44"/>
      <c r="BD1676" s="44"/>
      <c r="BE1676" s="44"/>
      <c r="BF1676" s="44"/>
      <c r="BG1676" s="44"/>
      <c r="BH1676" s="44"/>
      <c r="BI1676" s="44"/>
      <c r="BJ1676" s="44"/>
      <c r="BK1676" s="44"/>
      <c r="BL1676" s="44"/>
      <c r="BM1676" s="44"/>
      <c r="BN1676" s="44"/>
      <c r="BO1676" s="55"/>
      <c r="BP1676" s="40"/>
      <c r="BQ1676" s="4"/>
      <c r="BR1676" s="61"/>
      <c r="BS1676" s="4"/>
      <c r="BT1676" s="57"/>
      <c r="BU1676" s="62"/>
      <c r="BV1676" s="8"/>
      <c r="BW1676" s="58"/>
    </row>
    <row r="1677" spans="41:75" x14ac:dyDescent="0.35">
      <c r="AO1677" s="39">
        <v>1675</v>
      </c>
      <c r="AP1677" s="62"/>
      <c r="AQ1677" s="39"/>
      <c r="AR1677" s="42" t="str">
        <f>IFERROR(VLOOKUP(AU1677,[1]SUMMARY!$A$3:$B$7,2,FALSE),"")</f>
        <v/>
      </c>
      <c r="AS1677" s="31"/>
      <c r="AT1677" s="31" t="e">
        <f>VLOOKUP(AS1677,[1]OUTLET!$B:$C,2,0)</f>
        <v>#N/A</v>
      </c>
      <c r="AU1677" s="31"/>
      <c r="AV1677" s="4"/>
      <c r="AW1677" s="44"/>
      <c r="AX1677" s="44"/>
      <c r="AY1677" s="44"/>
      <c r="AZ1677" s="44"/>
      <c r="BA1677" s="44"/>
      <c r="BB1677" s="44"/>
      <c r="BC1677" s="44"/>
      <c r="BD1677" s="44"/>
      <c r="BE1677" s="44"/>
      <c r="BF1677" s="44"/>
      <c r="BG1677" s="44"/>
      <c r="BH1677" s="44"/>
      <c r="BI1677" s="44"/>
      <c r="BJ1677" s="44"/>
      <c r="BK1677" s="44"/>
      <c r="BL1677" s="44"/>
      <c r="BM1677" s="44"/>
      <c r="BN1677" s="44"/>
      <c r="BO1677" s="55"/>
      <c r="BP1677" s="40"/>
      <c r="BQ1677" s="4"/>
      <c r="BR1677" s="61"/>
      <c r="BS1677" s="4"/>
      <c r="BT1677" s="57"/>
      <c r="BU1677" s="62"/>
      <c r="BV1677" s="8"/>
      <c r="BW1677" s="58"/>
    </row>
    <row r="1678" spans="41:75" x14ac:dyDescent="0.35">
      <c r="AO1678" s="39">
        <v>1676</v>
      </c>
      <c r="AP1678" s="62"/>
      <c r="AQ1678" s="39"/>
      <c r="AR1678" s="42" t="str">
        <f>IFERROR(VLOOKUP(AU1678,[1]SUMMARY!$A$3:$B$7,2,FALSE),"")</f>
        <v/>
      </c>
      <c r="AS1678" s="31"/>
      <c r="AT1678" s="31" t="e">
        <f>VLOOKUP(AS1678,[1]OUTLET!$B:$C,2,0)</f>
        <v>#N/A</v>
      </c>
      <c r="AU1678" s="31"/>
      <c r="AV1678" s="4"/>
      <c r="AW1678" s="44"/>
      <c r="AX1678" s="44"/>
      <c r="AY1678" s="44"/>
      <c r="AZ1678" s="44"/>
      <c r="BA1678" s="44"/>
      <c r="BB1678" s="44"/>
      <c r="BC1678" s="44"/>
      <c r="BD1678" s="44"/>
      <c r="BE1678" s="44"/>
      <c r="BF1678" s="44"/>
      <c r="BG1678" s="44"/>
      <c r="BH1678" s="44"/>
      <c r="BI1678" s="44"/>
      <c r="BJ1678" s="44"/>
      <c r="BK1678" s="44"/>
      <c r="BL1678" s="44"/>
      <c r="BM1678" s="44"/>
      <c r="BN1678" s="44"/>
      <c r="BO1678" s="55"/>
      <c r="BP1678" s="40"/>
      <c r="BQ1678" s="4"/>
      <c r="BR1678" s="61"/>
      <c r="BS1678" s="4"/>
      <c r="BT1678" s="57"/>
      <c r="BU1678" s="62"/>
      <c r="BV1678" s="8"/>
      <c r="BW1678" s="58"/>
    </row>
    <row r="1679" spans="41:75" x14ac:dyDescent="0.35">
      <c r="AO1679" s="39">
        <v>1677</v>
      </c>
      <c r="AP1679" s="62"/>
      <c r="AQ1679" s="39"/>
      <c r="AR1679" s="42" t="str">
        <f>IFERROR(VLOOKUP(AU1679,[1]SUMMARY!$A$3:$B$7,2,FALSE),"")</f>
        <v/>
      </c>
      <c r="AS1679" s="31"/>
      <c r="AT1679" s="31" t="e">
        <f>VLOOKUP(AS1679,[1]OUTLET!$B:$C,2,0)</f>
        <v>#N/A</v>
      </c>
      <c r="AU1679" s="31"/>
      <c r="AV1679" s="4"/>
      <c r="AW1679" s="44"/>
      <c r="AX1679" s="44"/>
      <c r="AY1679" s="44"/>
      <c r="AZ1679" s="44"/>
      <c r="BA1679" s="44"/>
      <c r="BB1679" s="44"/>
      <c r="BC1679" s="44"/>
      <c r="BD1679" s="44"/>
      <c r="BE1679" s="44"/>
      <c r="BF1679" s="44"/>
      <c r="BG1679" s="44"/>
      <c r="BH1679" s="44"/>
      <c r="BI1679" s="44"/>
      <c r="BJ1679" s="44"/>
      <c r="BK1679" s="44"/>
      <c r="BL1679" s="44"/>
      <c r="BM1679" s="44"/>
      <c r="BN1679" s="44"/>
      <c r="BO1679" s="55"/>
      <c r="BP1679" s="40"/>
      <c r="BQ1679" s="4"/>
      <c r="BR1679" s="61"/>
      <c r="BS1679" s="4"/>
      <c r="BT1679" s="57"/>
      <c r="BU1679" s="62"/>
      <c r="BV1679" s="8"/>
      <c r="BW1679" s="58"/>
    </row>
    <row r="1680" spans="41:75" x14ac:dyDescent="0.35">
      <c r="AO1680" s="39">
        <v>1678</v>
      </c>
      <c r="AP1680" s="62"/>
      <c r="AQ1680" s="39"/>
      <c r="AR1680" s="42" t="str">
        <f>IFERROR(VLOOKUP(AU1680,[1]SUMMARY!$A$3:$B$7,2,FALSE),"")</f>
        <v/>
      </c>
      <c r="AS1680" s="31"/>
      <c r="AT1680" s="31" t="e">
        <f>VLOOKUP(AS1680,[1]OUTLET!$B:$C,2,0)</f>
        <v>#N/A</v>
      </c>
      <c r="AU1680" s="31"/>
      <c r="AV1680" s="4"/>
      <c r="AW1680" s="44"/>
      <c r="AX1680" s="44"/>
      <c r="AY1680" s="44"/>
      <c r="AZ1680" s="44"/>
      <c r="BA1680" s="44"/>
      <c r="BB1680" s="44"/>
      <c r="BC1680" s="44"/>
      <c r="BD1680" s="44"/>
      <c r="BE1680" s="44"/>
      <c r="BF1680" s="44"/>
      <c r="BG1680" s="44"/>
      <c r="BH1680" s="44"/>
      <c r="BI1680" s="44"/>
      <c r="BJ1680" s="44"/>
      <c r="BK1680" s="44"/>
      <c r="BL1680" s="44"/>
      <c r="BM1680" s="44"/>
      <c r="BN1680" s="44"/>
      <c r="BO1680" s="55"/>
      <c r="BP1680" s="40"/>
      <c r="BQ1680" s="4"/>
      <c r="BR1680" s="61"/>
      <c r="BS1680" s="4"/>
      <c r="BT1680" s="57"/>
      <c r="BU1680" s="62"/>
      <c r="BV1680" s="8"/>
      <c r="BW1680" s="58"/>
    </row>
    <row r="1681" spans="41:75" x14ac:dyDescent="0.35">
      <c r="AO1681" s="39">
        <v>1679</v>
      </c>
      <c r="AP1681" s="62"/>
      <c r="AQ1681" s="39"/>
      <c r="AR1681" s="42" t="str">
        <f>IFERROR(VLOOKUP(AU1681,[1]SUMMARY!$A$3:$B$7,2,FALSE),"")</f>
        <v/>
      </c>
      <c r="AS1681" s="31"/>
      <c r="AT1681" s="31" t="e">
        <f>VLOOKUP(AS1681,[1]OUTLET!$B:$C,2,0)</f>
        <v>#N/A</v>
      </c>
      <c r="AU1681" s="31"/>
      <c r="AV1681" s="4"/>
      <c r="AW1681" s="44"/>
      <c r="AX1681" s="44"/>
      <c r="AY1681" s="44"/>
      <c r="AZ1681" s="44"/>
      <c r="BA1681" s="44"/>
      <c r="BB1681" s="44"/>
      <c r="BC1681" s="44"/>
      <c r="BD1681" s="44"/>
      <c r="BE1681" s="44"/>
      <c r="BF1681" s="44"/>
      <c r="BG1681" s="44"/>
      <c r="BH1681" s="44"/>
      <c r="BI1681" s="44"/>
      <c r="BJ1681" s="44"/>
      <c r="BK1681" s="44"/>
      <c r="BL1681" s="44"/>
      <c r="BM1681" s="44"/>
      <c r="BN1681" s="44"/>
      <c r="BO1681" s="55"/>
      <c r="BP1681" s="40"/>
      <c r="BQ1681" s="4"/>
      <c r="BR1681" s="61"/>
      <c r="BS1681" s="4"/>
      <c r="BT1681" s="57"/>
      <c r="BU1681" s="62"/>
      <c r="BV1681" s="8"/>
      <c r="BW1681" s="58"/>
    </row>
    <row r="1682" spans="41:75" x14ac:dyDescent="0.35">
      <c r="AO1682" s="39">
        <v>1680</v>
      </c>
      <c r="AP1682" s="62"/>
      <c r="AQ1682" s="39"/>
      <c r="AR1682" s="42" t="str">
        <f>IFERROR(VLOOKUP(AU1682,[1]SUMMARY!$A$3:$B$7,2,FALSE),"")</f>
        <v/>
      </c>
      <c r="AS1682" s="31"/>
      <c r="AT1682" s="31" t="e">
        <f>VLOOKUP(AS1682,[1]OUTLET!$B:$C,2,0)</f>
        <v>#N/A</v>
      </c>
      <c r="AU1682" s="31"/>
      <c r="AV1682" s="4"/>
      <c r="AW1682" s="44"/>
      <c r="AX1682" s="44"/>
      <c r="AY1682" s="44"/>
      <c r="AZ1682" s="44"/>
      <c r="BA1682" s="44"/>
      <c r="BB1682" s="44"/>
      <c r="BC1682" s="44"/>
      <c r="BD1682" s="44"/>
      <c r="BE1682" s="44"/>
      <c r="BF1682" s="44"/>
      <c r="BG1682" s="44"/>
      <c r="BH1682" s="44"/>
      <c r="BI1682" s="44"/>
      <c r="BJ1682" s="44"/>
      <c r="BK1682" s="44"/>
      <c r="BL1682" s="44"/>
      <c r="BM1682" s="44"/>
      <c r="BN1682" s="44"/>
      <c r="BO1682" s="55"/>
      <c r="BP1682" s="40"/>
      <c r="BQ1682" s="4"/>
      <c r="BR1682" s="61"/>
      <c r="BS1682" s="4"/>
      <c r="BT1682" s="57"/>
      <c r="BU1682" s="62"/>
      <c r="BV1682" s="8"/>
      <c r="BW1682" s="58"/>
    </row>
    <row r="1683" spans="41:75" x14ac:dyDescent="0.35">
      <c r="AO1683" s="39">
        <v>1681</v>
      </c>
      <c r="AP1683" s="62"/>
      <c r="AQ1683" s="39"/>
      <c r="AR1683" s="42" t="str">
        <f>IFERROR(VLOOKUP(AU1683,[1]SUMMARY!$A$3:$B$7,2,FALSE),"")</f>
        <v/>
      </c>
      <c r="AS1683" s="31"/>
      <c r="AT1683" s="31" t="e">
        <f>VLOOKUP(AS1683,[1]OUTLET!$B:$C,2,0)</f>
        <v>#N/A</v>
      </c>
      <c r="AU1683" s="31"/>
      <c r="AV1683" s="4"/>
      <c r="AW1683" s="44"/>
      <c r="AX1683" s="44"/>
      <c r="AY1683" s="44"/>
      <c r="AZ1683" s="44"/>
      <c r="BA1683" s="44"/>
      <c r="BB1683" s="44"/>
      <c r="BC1683" s="44"/>
      <c r="BD1683" s="44"/>
      <c r="BE1683" s="44"/>
      <c r="BF1683" s="44"/>
      <c r="BG1683" s="44"/>
      <c r="BH1683" s="44"/>
      <c r="BI1683" s="44"/>
      <c r="BJ1683" s="44"/>
      <c r="BK1683" s="44"/>
      <c r="BL1683" s="44"/>
      <c r="BM1683" s="44"/>
      <c r="BN1683" s="44"/>
      <c r="BO1683" s="55"/>
      <c r="BP1683" s="40"/>
      <c r="BQ1683" s="4"/>
      <c r="BR1683" s="61"/>
      <c r="BS1683" s="4"/>
      <c r="BT1683" s="57"/>
      <c r="BU1683" s="62"/>
      <c r="BV1683" s="8"/>
      <c r="BW1683" s="58"/>
    </row>
    <row r="1684" spans="41:75" x14ac:dyDescent="0.35">
      <c r="AO1684" s="39">
        <v>1682</v>
      </c>
      <c r="AP1684" s="62"/>
      <c r="AQ1684" s="39"/>
      <c r="AR1684" s="42" t="str">
        <f>IFERROR(VLOOKUP(AU1684,[1]SUMMARY!$A$3:$B$7,2,FALSE),"")</f>
        <v/>
      </c>
      <c r="AS1684" s="31"/>
      <c r="AT1684" s="31" t="e">
        <f>VLOOKUP(AS1684,[1]OUTLET!$B:$C,2,0)</f>
        <v>#N/A</v>
      </c>
      <c r="AU1684" s="31"/>
      <c r="AV1684" s="4"/>
      <c r="AW1684" s="44"/>
      <c r="AX1684" s="44"/>
      <c r="AY1684" s="44"/>
      <c r="AZ1684" s="44"/>
      <c r="BA1684" s="44"/>
      <c r="BB1684" s="44"/>
      <c r="BC1684" s="44"/>
      <c r="BD1684" s="44"/>
      <c r="BE1684" s="44"/>
      <c r="BF1684" s="44"/>
      <c r="BG1684" s="44"/>
      <c r="BH1684" s="44"/>
      <c r="BI1684" s="44"/>
      <c r="BJ1684" s="44"/>
      <c r="BK1684" s="44"/>
      <c r="BL1684" s="44"/>
      <c r="BM1684" s="44"/>
      <c r="BN1684" s="44"/>
      <c r="BO1684" s="55"/>
      <c r="BP1684" s="40"/>
      <c r="BQ1684" s="4"/>
      <c r="BR1684" s="61"/>
      <c r="BS1684" s="4"/>
      <c r="BT1684" s="57"/>
      <c r="BU1684" s="62"/>
      <c r="BV1684" s="8"/>
      <c r="BW1684" s="58"/>
    </row>
    <row r="1685" spans="41:75" x14ac:dyDescent="0.35">
      <c r="AO1685" s="39">
        <v>1683</v>
      </c>
      <c r="AP1685" s="62"/>
      <c r="AQ1685" s="39"/>
      <c r="AR1685" s="42" t="str">
        <f>IFERROR(VLOOKUP(AU1685,[1]SUMMARY!$A$3:$B$7,2,FALSE),"")</f>
        <v/>
      </c>
      <c r="AS1685" s="31"/>
      <c r="AT1685" s="31" t="e">
        <f>VLOOKUP(AS1685,[1]OUTLET!$B:$C,2,0)</f>
        <v>#N/A</v>
      </c>
      <c r="AU1685" s="31"/>
      <c r="AV1685" s="4"/>
      <c r="AW1685" s="44"/>
      <c r="AX1685" s="44"/>
      <c r="AY1685" s="44"/>
      <c r="AZ1685" s="44"/>
      <c r="BA1685" s="44"/>
      <c r="BB1685" s="44"/>
      <c r="BC1685" s="44"/>
      <c r="BD1685" s="44"/>
      <c r="BE1685" s="44"/>
      <c r="BF1685" s="44"/>
      <c r="BG1685" s="44"/>
      <c r="BH1685" s="44"/>
      <c r="BI1685" s="44"/>
      <c r="BJ1685" s="44"/>
      <c r="BK1685" s="44"/>
      <c r="BL1685" s="44"/>
      <c r="BM1685" s="44"/>
      <c r="BN1685" s="44"/>
      <c r="BO1685" s="55"/>
      <c r="BP1685" s="40"/>
      <c r="BQ1685" s="4"/>
      <c r="BR1685" s="61"/>
      <c r="BS1685" s="4"/>
      <c r="BT1685" s="57"/>
      <c r="BU1685" s="62"/>
      <c r="BV1685" s="8"/>
      <c r="BW1685" s="58"/>
    </row>
    <row r="1686" spans="41:75" x14ac:dyDescent="0.35">
      <c r="AO1686" s="39">
        <v>1684</v>
      </c>
      <c r="AP1686" s="62"/>
      <c r="AQ1686" s="39"/>
      <c r="AR1686" s="42" t="str">
        <f>IFERROR(VLOOKUP(AU1686,[1]SUMMARY!$A$3:$B$7,2,FALSE),"")</f>
        <v/>
      </c>
      <c r="AS1686" s="31"/>
      <c r="AT1686" s="31" t="e">
        <f>VLOOKUP(AS1686,[1]OUTLET!$B:$C,2,0)</f>
        <v>#N/A</v>
      </c>
      <c r="AU1686" s="31"/>
      <c r="AV1686" s="4"/>
      <c r="AW1686" s="44"/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44"/>
      <c r="BJ1686" s="44"/>
      <c r="BK1686" s="44"/>
      <c r="BL1686" s="44"/>
      <c r="BM1686" s="44"/>
      <c r="BN1686" s="44"/>
      <c r="BO1686" s="55"/>
      <c r="BP1686" s="40"/>
      <c r="BQ1686" s="4"/>
      <c r="BR1686" s="61"/>
      <c r="BS1686" s="4"/>
      <c r="BT1686" s="57"/>
      <c r="BU1686" s="62"/>
      <c r="BV1686" s="8"/>
      <c r="BW1686" s="58"/>
    </row>
    <row r="1687" spans="41:75" x14ac:dyDescent="0.35">
      <c r="AO1687" s="39">
        <v>1685</v>
      </c>
      <c r="AP1687" s="62"/>
      <c r="AQ1687" s="39"/>
      <c r="AR1687" s="42" t="str">
        <f>IFERROR(VLOOKUP(AU1687,[1]SUMMARY!$A$3:$B$7,2,FALSE),"")</f>
        <v/>
      </c>
      <c r="AS1687" s="31"/>
      <c r="AT1687" s="31" t="e">
        <f>VLOOKUP(AS1687,[1]OUTLET!$B:$C,2,0)</f>
        <v>#N/A</v>
      </c>
      <c r="AU1687" s="31"/>
      <c r="AV1687" s="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44"/>
      <c r="BJ1687" s="44"/>
      <c r="BK1687" s="44"/>
      <c r="BL1687" s="44"/>
      <c r="BM1687" s="44"/>
      <c r="BN1687" s="44"/>
      <c r="BO1687" s="55"/>
      <c r="BP1687" s="40"/>
      <c r="BQ1687" s="4"/>
      <c r="BR1687" s="61"/>
      <c r="BS1687" s="4"/>
      <c r="BT1687" s="57"/>
      <c r="BU1687" s="62"/>
      <c r="BV1687" s="8"/>
      <c r="BW1687" s="58"/>
    </row>
    <row r="1688" spans="41:75" x14ac:dyDescent="0.35">
      <c r="AO1688" s="39">
        <v>1686</v>
      </c>
      <c r="AP1688" s="62"/>
      <c r="AQ1688" s="39"/>
      <c r="AR1688" s="42" t="str">
        <f>IFERROR(VLOOKUP(AU1688,[1]SUMMARY!$A$3:$B$7,2,FALSE),"")</f>
        <v/>
      </c>
      <c r="AS1688" s="31"/>
      <c r="AT1688" s="31" t="e">
        <f>VLOOKUP(AS1688,[1]OUTLET!$B:$C,2,0)</f>
        <v>#N/A</v>
      </c>
      <c r="AU1688" s="31"/>
      <c r="AV1688" s="4"/>
      <c r="AW1688" s="44"/>
      <c r="AX1688" s="44"/>
      <c r="AY1688" s="44"/>
      <c r="AZ1688" s="44"/>
      <c r="BA1688" s="44"/>
      <c r="BB1688" s="44"/>
      <c r="BC1688" s="44"/>
      <c r="BD1688" s="44"/>
      <c r="BE1688" s="44"/>
      <c r="BF1688" s="44"/>
      <c r="BG1688" s="44"/>
      <c r="BH1688" s="44"/>
      <c r="BI1688" s="44"/>
      <c r="BJ1688" s="44"/>
      <c r="BK1688" s="44"/>
      <c r="BL1688" s="44"/>
      <c r="BM1688" s="44"/>
      <c r="BN1688" s="44"/>
      <c r="BO1688" s="55"/>
      <c r="BP1688" s="40"/>
      <c r="BQ1688" s="4"/>
      <c r="BR1688" s="61"/>
      <c r="BS1688" s="4"/>
      <c r="BT1688" s="57"/>
      <c r="BU1688" s="62"/>
      <c r="BV1688" s="8"/>
      <c r="BW1688" s="58"/>
    </row>
    <row r="1689" spans="41:75" x14ac:dyDescent="0.35">
      <c r="AO1689" s="39">
        <v>1687</v>
      </c>
      <c r="AP1689" s="62"/>
      <c r="AQ1689" s="39"/>
      <c r="AR1689" s="42" t="str">
        <f>IFERROR(VLOOKUP(AU1689,[1]SUMMARY!$A$3:$B$7,2,FALSE),"")</f>
        <v/>
      </c>
      <c r="AS1689" s="31"/>
      <c r="AT1689" s="31" t="e">
        <f>VLOOKUP(AS1689,[1]OUTLET!$B:$C,2,0)</f>
        <v>#N/A</v>
      </c>
      <c r="AU1689" s="31"/>
      <c r="AV1689" s="4"/>
      <c r="AW1689" s="44"/>
      <c r="AX1689" s="44"/>
      <c r="AY1689" s="44"/>
      <c r="AZ1689" s="44"/>
      <c r="BA1689" s="44"/>
      <c r="BB1689" s="44"/>
      <c r="BC1689" s="44"/>
      <c r="BD1689" s="44"/>
      <c r="BE1689" s="44"/>
      <c r="BF1689" s="44"/>
      <c r="BG1689" s="44"/>
      <c r="BH1689" s="44"/>
      <c r="BI1689" s="44"/>
      <c r="BJ1689" s="44"/>
      <c r="BK1689" s="44"/>
      <c r="BL1689" s="44"/>
      <c r="BM1689" s="44"/>
      <c r="BN1689" s="44"/>
      <c r="BO1689" s="55"/>
      <c r="BP1689" s="40"/>
      <c r="BQ1689" s="4"/>
      <c r="BR1689" s="61"/>
      <c r="BS1689" s="4"/>
      <c r="BT1689" s="57"/>
      <c r="BU1689" s="62"/>
      <c r="BV1689" s="8"/>
      <c r="BW1689" s="58"/>
    </row>
    <row r="1690" spans="41:75" x14ac:dyDescent="0.35">
      <c r="AO1690" s="39">
        <v>1688</v>
      </c>
      <c r="AP1690" s="62"/>
      <c r="AQ1690" s="39"/>
      <c r="AR1690" s="42" t="str">
        <f>IFERROR(VLOOKUP(AU1690,[1]SUMMARY!$A$3:$B$7,2,FALSE),"")</f>
        <v/>
      </c>
      <c r="AS1690" s="31"/>
      <c r="AT1690" s="31" t="e">
        <f>VLOOKUP(AS1690,[1]OUTLET!$B:$C,2,0)</f>
        <v>#N/A</v>
      </c>
      <c r="AU1690" s="31"/>
      <c r="AV1690" s="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55"/>
      <c r="BP1690" s="40"/>
      <c r="BQ1690" s="4"/>
      <c r="BR1690" s="61"/>
      <c r="BS1690" s="4"/>
      <c r="BT1690" s="57"/>
      <c r="BU1690" s="62"/>
      <c r="BV1690" s="8"/>
      <c r="BW1690" s="58"/>
    </row>
    <row r="1691" spans="41:75" x14ac:dyDescent="0.35">
      <c r="AO1691" s="39">
        <v>1689</v>
      </c>
      <c r="AP1691" s="62"/>
      <c r="AQ1691" s="39"/>
      <c r="AR1691" s="42" t="str">
        <f>IFERROR(VLOOKUP(AU1691,[1]SUMMARY!$A$3:$B$7,2,FALSE),"")</f>
        <v/>
      </c>
      <c r="AS1691" s="31"/>
      <c r="AT1691" s="31" t="e">
        <f>VLOOKUP(AS1691,[1]OUTLET!$B:$C,2,0)</f>
        <v>#N/A</v>
      </c>
      <c r="AU1691" s="31"/>
      <c r="AV1691" s="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55"/>
      <c r="BP1691" s="40"/>
      <c r="BQ1691" s="4"/>
      <c r="BR1691" s="61"/>
      <c r="BS1691" s="4"/>
      <c r="BT1691" s="57"/>
      <c r="BU1691" s="62"/>
      <c r="BV1691" s="8"/>
      <c r="BW1691" s="58"/>
    </row>
    <row r="1692" spans="41:75" x14ac:dyDescent="0.35">
      <c r="AO1692" s="39">
        <v>1690</v>
      </c>
      <c r="AP1692" s="62"/>
      <c r="AQ1692" s="39"/>
      <c r="AR1692" s="42" t="str">
        <f>IFERROR(VLOOKUP(AU1692,[1]SUMMARY!$A$3:$B$7,2,FALSE),"")</f>
        <v/>
      </c>
      <c r="AS1692" s="31"/>
      <c r="AT1692" s="31" t="e">
        <f>VLOOKUP(AS1692,[1]OUTLET!$B:$C,2,0)</f>
        <v>#N/A</v>
      </c>
      <c r="AU1692" s="31"/>
      <c r="AV1692" s="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55"/>
      <c r="BP1692" s="40"/>
      <c r="BQ1692" s="4"/>
      <c r="BR1692" s="61"/>
      <c r="BS1692" s="4"/>
      <c r="BT1692" s="57"/>
      <c r="BU1692" s="62"/>
      <c r="BV1692" s="8"/>
      <c r="BW1692" s="58"/>
    </row>
    <row r="1693" spans="41:75" x14ac:dyDescent="0.35">
      <c r="AO1693" s="39">
        <v>1691</v>
      </c>
      <c r="AP1693" s="62"/>
      <c r="AQ1693" s="39"/>
      <c r="AR1693" s="42" t="str">
        <f>IFERROR(VLOOKUP(AU1693,[1]SUMMARY!$A$3:$B$7,2,FALSE),"")</f>
        <v/>
      </c>
      <c r="AS1693" s="31"/>
      <c r="AT1693" s="31" t="e">
        <f>VLOOKUP(AS1693,[1]OUTLET!$B:$C,2,0)</f>
        <v>#N/A</v>
      </c>
      <c r="AU1693" s="31"/>
      <c r="AV1693" s="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55"/>
      <c r="BP1693" s="40"/>
      <c r="BQ1693" s="4"/>
      <c r="BR1693" s="61"/>
      <c r="BS1693" s="4"/>
      <c r="BT1693" s="57"/>
      <c r="BU1693" s="62"/>
      <c r="BV1693" s="8"/>
      <c r="BW1693" s="58"/>
    </row>
    <row r="1694" spans="41:75" x14ac:dyDescent="0.35">
      <c r="AO1694" s="39">
        <v>1692</v>
      </c>
      <c r="AP1694" s="62"/>
      <c r="AQ1694" s="39"/>
      <c r="AR1694" s="42" t="str">
        <f>IFERROR(VLOOKUP(AU1694,[1]SUMMARY!$A$3:$B$7,2,FALSE),"")</f>
        <v/>
      </c>
      <c r="AS1694" s="31"/>
      <c r="AT1694" s="31" t="e">
        <f>VLOOKUP(AS1694,[1]OUTLET!$B:$C,2,0)</f>
        <v>#N/A</v>
      </c>
      <c r="AU1694" s="31"/>
      <c r="AV1694" s="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55"/>
      <c r="BP1694" s="40"/>
      <c r="BQ1694" s="4"/>
      <c r="BR1694" s="61"/>
      <c r="BS1694" s="4"/>
      <c r="BT1694" s="57"/>
      <c r="BU1694" s="62"/>
      <c r="BV1694" s="8"/>
      <c r="BW1694" s="58"/>
    </row>
    <row r="1695" spans="41:75" x14ac:dyDescent="0.35">
      <c r="AO1695" s="39">
        <v>1693</v>
      </c>
      <c r="AP1695" s="62"/>
      <c r="AQ1695" s="39"/>
      <c r="AR1695" s="42" t="str">
        <f>IFERROR(VLOOKUP(AU1695,[1]SUMMARY!$A$3:$B$7,2,FALSE),"")</f>
        <v/>
      </c>
      <c r="AS1695" s="31"/>
      <c r="AT1695" s="31" t="e">
        <f>VLOOKUP(AS1695,[1]OUTLET!$B:$C,2,0)</f>
        <v>#N/A</v>
      </c>
      <c r="AU1695" s="31"/>
      <c r="AV1695" s="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55"/>
      <c r="BP1695" s="40"/>
      <c r="BQ1695" s="4"/>
      <c r="BR1695" s="61"/>
      <c r="BS1695" s="4"/>
      <c r="BT1695" s="57"/>
      <c r="BU1695" s="62"/>
      <c r="BV1695" s="8"/>
      <c r="BW1695" s="58"/>
    </row>
    <row r="1696" spans="41:75" x14ac:dyDescent="0.35">
      <c r="AO1696" s="39">
        <v>1694</v>
      </c>
      <c r="AP1696" s="62"/>
      <c r="AQ1696" s="39"/>
      <c r="AR1696" s="42" t="str">
        <f>IFERROR(VLOOKUP(AU1696,[1]SUMMARY!$A$3:$B$7,2,FALSE),"")</f>
        <v/>
      </c>
      <c r="AS1696" s="31"/>
      <c r="AT1696" s="31" t="e">
        <f>VLOOKUP(AS1696,[1]OUTLET!$B:$C,2,0)</f>
        <v>#N/A</v>
      </c>
      <c r="AU1696" s="31"/>
      <c r="AV1696" s="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55"/>
      <c r="BP1696" s="40"/>
      <c r="BQ1696" s="4"/>
      <c r="BR1696" s="61"/>
      <c r="BS1696" s="4"/>
      <c r="BT1696" s="57"/>
      <c r="BU1696" s="62"/>
      <c r="BV1696" s="8"/>
      <c r="BW1696" s="58"/>
    </row>
    <row r="1697" spans="41:75" x14ac:dyDescent="0.35">
      <c r="AO1697" s="39">
        <v>1695</v>
      </c>
      <c r="AP1697" s="62"/>
      <c r="AQ1697" s="39"/>
      <c r="AR1697" s="42" t="str">
        <f>IFERROR(VLOOKUP(AU1697,[1]SUMMARY!$A$3:$B$7,2,FALSE),"")</f>
        <v/>
      </c>
      <c r="AS1697" s="31"/>
      <c r="AT1697" s="31" t="e">
        <f>VLOOKUP(AS1697,[1]OUTLET!$B:$C,2,0)</f>
        <v>#N/A</v>
      </c>
      <c r="AU1697" s="31"/>
      <c r="AV1697" s="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55"/>
      <c r="BP1697" s="40"/>
      <c r="BQ1697" s="4"/>
      <c r="BR1697" s="61"/>
      <c r="BS1697" s="4"/>
      <c r="BT1697" s="57"/>
      <c r="BU1697" s="62"/>
      <c r="BV1697" s="8"/>
      <c r="BW1697" s="58"/>
    </row>
    <row r="1698" spans="41:75" x14ac:dyDescent="0.35">
      <c r="AO1698" s="39">
        <v>1696</v>
      </c>
      <c r="AP1698" s="62"/>
      <c r="AQ1698" s="39"/>
      <c r="AR1698" s="42" t="str">
        <f>IFERROR(VLOOKUP(AU1698,[1]SUMMARY!$A$3:$B$7,2,FALSE),"")</f>
        <v/>
      </c>
      <c r="AS1698" s="31"/>
      <c r="AT1698" s="31" t="e">
        <f>VLOOKUP(AS1698,[1]OUTLET!$B:$C,2,0)</f>
        <v>#N/A</v>
      </c>
      <c r="AU1698" s="31"/>
      <c r="AV1698" s="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55"/>
      <c r="BP1698" s="40"/>
      <c r="BQ1698" s="4"/>
      <c r="BR1698" s="61"/>
      <c r="BS1698" s="4"/>
      <c r="BT1698" s="57"/>
      <c r="BU1698" s="62"/>
      <c r="BV1698" s="8"/>
      <c r="BW1698" s="58"/>
    </row>
    <row r="1699" spans="41:75" x14ac:dyDescent="0.35">
      <c r="AO1699" s="39">
        <v>1697</v>
      </c>
      <c r="AP1699" s="62"/>
      <c r="AQ1699" s="39"/>
      <c r="AR1699" s="42" t="str">
        <f>IFERROR(VLOOKUP(AU1699,[1]SUMMARY!$A$3:$B$7,2,FALSE),"")</f>
        <v/>
      </c>
      <c r="AS1699" s="31"/>
      <c r="AT1699" s="31" t="e">
        <f>VLOOKUP(AS1699,[1]OUTLET!$B:$C,2,0)</f>
        <v>#N/A</v>
      </c>
      <c r="AU1699" s="31"/>
      <c r="AV1699" s="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55"/>
      <c r="BP1699" s="40"/>
      <c r="BQ1699" s="4"/>
      <c r="BR1699" s="61"/>
      <c r="BS1699" s="4"/>
      <c r="BT1699" s="57"/>
      <c r="BU1699" s="62"/>
      <c r="BV1699" s="8"/>
      <c r="BW1699" s="58"/>
    </row>
    <row r="1700" spans="41:75" x14ac:dyDescent="0.35">
      <c r="AO1700" s="39">
        <v>1698</v>
      </c>
      <c r="AP1700" s="62"/>
      <c r="AQ1700" s="39"/>
      <c r="AR1700" s="42" t="str">
        <f>IFERROR(VLOOKUP(AU1700,[1]SUMMARY!$A$3:$B$7,2,FALSE),"")</f>
        <v/>
      </c>
      <c r="AS1700" s="31"/>
      <c r="AT1700" s="31" t="e">
        <f>VLOOKUP(AS1700,[1]OUTLET!$B:$C,2,0)</f>
        <v>#N/A</v>
      </c>
      <c r="AU1700" s="31"/>
      <c r="AV1700" s="4"/>
      <c r="AW1700" s="44"/>
      <c r="AX1700" s="44"/>
      <c r="AY1700" s="44"/>
      <c r="AZ1700" s="44"/>
      <c r="BA1700" s="44"/>
      <c r="BB1700" s="44"/>
      <c r="BC1700" s="44"/>
      <c r="BD1700" s="44"/>
      <c r="BE1700" s="44"/>
      <c r="BF1700" s="44"/>
      <c r="BG1700" s="44"/>
      <c r="BH1700" s="44"/>
      <c r="BI1700" s="44"/>
      <c r="BJ1700" s="44"/>
      <c r="BK1700" s="44"/>
      <c r="BL1700" s="44"/>
      <c r="BM1700" s="44"/>
      <c r="BN1700" s="44"/>
      <c r="BO1700" s="55"/>
      <c r="BP1700" s="40"/>
      <c r="BQ1700" s="4"/>
      <c r="BR1700" s="61"/>
      <c r="BS1700" s="4"/>
      <c r="BT1700" s="57"/>
      <c r="BU1700" s="62"/>
      <c r="BV1700" s="8"/>
      <c r="BW1700" s="58"/>
    </row>
    <row r="1701" spans="41:75" x14ac:dyDescent="0.35">
      <c r="AO1701" s="39">
        <v>1699</v>
      </c>
      <c r="AP1701" s="62"/>
      <c r="AQ1701" s="39"/>
      <c r="AR1701" s="42" t="str">
        <f>IFERROR(VLOOKUP(AU1701,[1]SUMMARY!$A$3:$B$7,2,FALSE),"")</f>
        <v/>
      </c>
      <c r="AS1701" s="31"/>
      <c r="AT1701" s="31" t="e">
        <f>VLOOKUP(AS1701,[1]OUTLET!$B:$C,2,0)</f>
        <v>#N/A</v>
      </c>
      <c r="AU1701" s="31"/>
      <c r="AV1701" s="4"/>
      <c r="AW1701" s="44"/>
      <c r="AX1701" s="44"/>
      <c r="AY1701" s="44"/>
      <c r="AZ1701" s="44"/>
      <c r="BA1701" s="44"/>
      <c r="BB1701" s="44"/>
      <c r="BC1701" s="44"/>
      <c r="BD1701" s="44"/>
      <c r="BE1701" s="44"/>
      <c r="BF1701" s="44"/>
      <c r="BG1701" s="44"/>
      <c r="BH1701" s="44"/>
      <c r="BI1701" s="44"/>
      <c r="BJ1701" s="44"/>
      <c r="BK1701" s="44"/>
      <c r="BL1701" s="44"/>
      <c r="BM1701" s="44"/>
      <c r="BN1701" s="44"/>
      <c r="BO1701" s="55"/>
      <c r="BP1701" s="40"/>
      <c r="BQ1701" s="4"/>
      <c r="BR1701" s="61"/>
      <c r="BS1701" s="4"/>
      <c r="BT1701" s="57"/>
      <c r="BU1701" s="62"/>
      <c r="BV1701" s="8"/>
      <c r="BW1701" s="58"/>
    </row>
    <row r="1702" spans="41:75" x14ac:dyDescent="0.35">
      <c r="AO1702" s="39">
        <v>1700</v>
      </c>
      <c r="AP1702" s="62"/>
      <c r="AQ1702" s="39"/>
      <c r="AR1702" s="42" t="str">
        <f>IFERROR(VLOOKUP(AU1702,[1]SUMMARY!$A$3:$B$7,2,FALSE),"")</f>
        <v/>
      </c>
      <c r="AS1702" s="31"/>
      <c r="AT1702" s="31" t="e">
        <f>VLOOKUP(AS1702,[1]OUTLET!$B:$C,2,0)</f>
        <v>#N/A</v>
      </c>
      <c r="AU1702" s="31"/>
      <c r="AV1702" s="4"/>
      <c r="AW1702" s="44"/>
      <c r="AX1702" s="44"/>
      <c r="AY1702" s="44"/>
      <c r="AZ1702" s="44"/>
      <c r="BA1702" s="44"/>
      <c r="BB1702" s="44"/>
      <c r="BC1702" s="44"/>
      <c r="BD1702" s="44"/>
      <c r="BE1702" s="44"/>
      <c r="BF1702" s="44"/>
      <c r="BG1702" s="44"/>
      <c r="BH1702" s="44"/>
      <c r="BI1702" s="44"/>
      <c r="BJ1702" s="44"/>
      <c r="BK1702" s="44"/>
      <c r="BL1702" s="44"/>
      <c r="BM1702" s="44"/>
      <c r="BN1702" s="44"/>
      <c r="BO1702" s="55"/>
      <c r="BP1702" s="40"/>
      <c r="BQ1702" s="4"/>
      <c r="BR1702" s="61"/>
      <c r="BS1702" s="4"/>
      <c r="BT1702" s="57"/>
      <c r="BU1702" s="62"/>
      <c r="BV1702" s="8"/>
      <c r="BW1702" s="58"/>
    </row>
    <row r="1703" spans="41:75" x14ac:dyDescent="0.35">
      <c r="AO1703" s="39">
        <v>1701</v>
      </c>
      <c r="AP1703" s="62"/>
      <c r="AQ1703" s="39"/>
      <c r="AR1703" s="42" t="str">
        <f>IFERROR(VLOOKUP(AU1703,[1]SUMMARY!$A$3:$B$7,2,FALSE),"")</f>
        <v/>
      </c>
      <c r="AS1703" s="31"/>
      <c r="AT1703" s="31" t="e">
        <f>VLOOKUP(AS1703,[1]OUTLET!$B:$C,2,0)</f>
        <v>#N/A</v>
      </c>
      <c r="AU1703" s="31"/>
      <c r="AV1703" s="4"/>
      <c r="AW1703" s="44"/>
      <c r="AX1703" s="44"/>
      <c r="AY1703" s="44"/>
      <c r="AZ1703" s="44"/>
      <c r="BA1703" s="44"/>
      <c r="BB1703" s="44"/>
      <c r="BC1703" s="44"/>
      <c r="BD1703" s="44"/>
      <c r="BE1703" s="44"/>
      <c r="BF1703" s="44"/>
      <c r="BG1703" s="44"/>
      <c r="BH1703" s="44"/>
      <c r="BI1703" s="44"/>
      <c r="BJ1703" s="44"/>
      <c r="BK1703" s="44"/>
      <c r="BL1703" s="44"/>
      <c r="BM1703" s="44"/>
      <c r="BN1703" s="44"/>
      <c r="BO1703" s="55"/>
      <c r="BP1703" s="40"/>
      <c r="BQ1703" s="4"/>
      <c r="BR1703" s="61"/>
      <c r="BS1703" s="4"/>
      <c r="BT1703" s="57"/>
      <c r="BU1703" s="62"/>
      <c r="BV1703" s="8"/>
      <c r="BW1703" s="58"/>
    </row>
    <row r="1704" spans="41:75" x14ac:dyDescent="0.35">
      <c r="AO1704" s="39">
        <v>1702</v>
      </c>
      <c r="AP1704" s="62"/>
      <c r="AQ1704" s="39"/>
      <c r="AR1704" s="42" t="str">
        <f>IFERROR(VLOOKUP(AU1704,[1]SUMMARY!$A$3:$B$7,2,FALSE),"")</f>
        <v/>
      </c>
      <c r="AS1704" s="31"/>
      <c r="AT1704" s="31" t="e">
        <f>VLOOKUP(AS1704,[1]OUTLET!$B:$C,2,0)</f>
        <v>#N/A</v>
      </c>
      <c r="AU1704" s="31"/>
      <c r="AV1704" s="4"/>
      <c r="AW1704" s="44"/>
      <c r="AX1704" s="44"/>
      <c r="AY1704" s="44"/>
      <c r="AZ1704" s="44"/>
      <c r="BA1704" s="44"/>
      <c r="BB1704" s="44"/>
      <c r="BC1704" s="44"/>
      <c r="BD1704" s="44"/>
      <c r="BE1704" s="44"/>
      <c r="BF1704" s="44"/>
      <c r="BG1704" s="44"/>
      <c r="BH1704" s="44"/>
      <c r="BI1704" s="44"/>
      <c r="BJ1704" s="44"/>
      <c r="BK1704" s="44"/>
      <c r="BL1704" s="44"/>
      <c r="BM1704" s="44"/>
      <c r="BN1704" s="44"/>
      <c r="BO1704" s="55"/>
      <c r="BP1704" s="40"/>
      <c r="BQ1704" s="4"/>
      <c r="BR1704" s="61"/>
      <c r="BS1704" s="4"/>
      <c r="BT1704" s="57"/>
      <c r="BU1704" s="62"/>
      <c r="BV1704" s="8"/>
      <c r="BW1704" s="58"/>
    </row>
    <row r="1705" spans="41:75" x14ac:dyDescent="0.35">
      <c r="AO1705" s="39">
        <v>1703</v>
      </c>
      <c r="AP1705" s="62"/>
      <c r="AQ1705" s="39"/>
      <c r="AR1705" s="42" t="str">
        <f>IFERROR(VLOOKUP(AU1705,[1]SUMMARY!$A$3:$B$7,2,FALSE),"")</f>
        <v/>
      </c>
      <c r="AS1705" s="31"/>
      <c r="AT1705" s="31" t="e">
        <f>VLOOKUP(AS1705,[1]OUTLET!$B:$C,2,0)</f>
        <v>#N/A</v>
      </c>
      <c r="AU1705" s="31"/>
      <c r="AV1705" s="4"/>
      <c r="AW1705" s="44"/>
      <c r="AX1705" s="44"/>
      <c r="AY1705" s="44"/>
      <c r="AZ1705" s="44"/>
      <c r="BA1705" s="44"/>
      <c r="BB1705" s="44"/>
      <c r="BC1705" s="44"/>
      <c r="BD1705" s="44"/>
      <c r="BE1705" s="44"/>
      <c r="BF1705" s="44"/>
      <c r="BG1705" s="44"/>
      <c r="BH1705" s="44"/>
      <c r="BI1705" s="44"/>
      <c r="BJ1705" s="44"/>
      <c r="BK1705" s="44"/>
      <c r="BL1705" s="44"/>
      <c r="BM1705" s="44"/>
      <c r="BN1705" s="44"/>
      <c r="BO1705" s="55"/>
      <c r="BP1705" s="40"/>
      <c r="BQ1705" s="4"/>
      <c r="BR1705" s="61"/>
      <c r="BS1705" s="4"/>
      <c r="BT1705" s="57"/>
      <c r="BU1705" s="62"/>
      <c r="BV1705" s="8"/>
      <c r="BW1705" s="58"/>
    </row>
    <row r="1706" spans="41:75" x14ac:dyDescent="0.35">
      <c r="AO1706" s="39">
        <v>1704</v>
      </c>
      <c r="AP1706" s="62"/>
      <c r="AQ1706" s="39"/>
      <c r="AR1706" s="42" t="str">
        <f>IFERROR(VLOOKUP(AU1706,[1]SUMMARY!$A$3:$B$7,2,FALSE),"")</f>
        <v/>
      </c>
      <c r="AS1706" s="31"/>
      <c r="AT1706" s="31" t="e">
        <f>VLOOKUP(AS1706,[1]OUTLET!$B:$C,2,0)</f>
        <v>#N/A</v>
      </c>
      <c r="AU1706" s="31"/>
      <c r="AV1706" s="4"/>
      <c r="AW1706" s="44"/>
      <c r="AX1706" s="44"/>
      <c r="AY1706" s="44"/>
      <c r="AZ1706" s="44"/>
      <c r="BA1706" s="44"/>
      <c r="BB1706" s="44"/>
      <c r="BC1706" s="44"/>
      <c r="BD1706" s="44"/>
      <c r="BE1706" s="44"/>
      <c r="BF1706" s="44"/>
      <c r="BG1706" s="44"/>
      <c r="BH1706" s="44"/>
      <c r="BI1706" s="44"/>
      <c r="BJ1706" s="44"/>
      <c r="BK1706" s="44"/>
      <c r="BL1706" s="44"/>
      <c r="BM1706" s="44"/>
      <c r="BN1706" s="44"/>
      <c r="BO1706" s="55"/>
      <c r="BP1706" s="40"/>
      <c r="BQ1706" s="4"/>
      <c r="BR1706" s="61"/>
      <c r="BS1706" s="4"/>
      <c r="BT1706" s="57"/>
      <c r="BU1706" s="62"/>
      <c r="BV1706" s="8"/>
      <c r="BW1706" s="58"/>
    </row>
    <row r="1707" spans="41:75" x14ac:dyDescent="0.35">
      <c r="AO1707" s="39">
        <v>1705</v>
      </c>
      <c r="AP1707" s="62"/>
      <c r="AQ1707" s="39"/>
      <c r="AR1707" s="42" t="str">
        <f>IFERROR(VLOOKUP(AU1707,[1]SUMMARY!$A$3:$B$7,2,FALSE),"")</f>
        <v/>
      </c>
      <c r="AS1707" s="31"/>
      <c r="AT1707" s="31" t="e">
        <f>VLOOKUP(AS1707,[1]OUTLET!$B:$C,2,0)</f>
        <v>#N/A</v>
      </c>
      <c r="AU1707" s="31"/>
      <c r="AV1707" s="4"/>
      <c r="AW1707" s="44"/>
      <c r="AX1707" s="44"/>
      <c r="AY1707" s="44"/>
      <c r="AZ1707" s="44"/>
      <c r="BA1707" s="44"/>
      <c r="BB1707" s="44"/>
      <c r="BC1707" s="44"/>
      <c r="BD1707" s="44"/>
      <c r="BE1707" s="44"/>
      <c r="BF1707" s="44"/>
      <c r="BG1707" s="44"/>
      <c r="BH1707" s="44"/>
      <c r="BI1707" s="44"/>
      <c r="BJ1707" s="44"/>
      <c r="BK1707" s="44"/>
      <c r="BL1707" s="44"/>
      <c r="BM1707" s="44"/>
      <c r="BN1707" s="44"/>
      <c r="BO1707" s="55"/>
      <c r="BP1707" s="40"/>
      <c r="BQ1707" s="4"/>
      <c r="BR1707" s="61"/>
      <c r="BS1707" s="4"/>
      <c r="BT1707" s="57"/>
      <c r="BU1707" s="62"/>
      <c r="BV1707" s="8"/>
      <c r="BW1707" s="58"/>
    </row>
    <row r="1708" spans="41:75" x14ac:dyDescent="0.35">
      <c r="AO1708" s="39">
        <v>1706</v>
      </c>
      <c r="AP1708" s="62"/>
      <c r="AQ1708" s="39"/>
      <c r="AR1708" s="42" t="str">
        <f>IFERROR(VLOOKUP(AU1708,[1]SUMMARY!$A$3:$B$7,2,FALSE),"")</f>
        <v/>
      </c>
      <c r="AS1708" s="31"/>
      <c r="AT1708" s="31" t="e">
        <f>VLOOKUP(AS1708,[1]OUTLET!$B:$C,2,0)</f>
        <v>#N/A</v>
      </c>
      <c r="AU1708" s="31"/>
      <c r="AV1708" s="4"/>
      <c r="AW1708" s="44"/>
      <c r="AX1708" s="44"/>
      <c r="AY1708" s="44"/>
      <c r="AZ1708" s="44"/>
      <c r="BA1708" s="44"/>
      <c r="BB1708" s="44"/>
      <c r="BC1708" s="44"/>
      <c r="BD1708" s="44"/>
      <c r="BE1708" s="44"/>
      <c r="BF1708" s="44"/>
      <c r="BG1708" s="44"/>
      <c r="BH1708" s="44"/>
      <c r="BI1708" s="44"/>
      <c r="BJ1708" s="44"/>
      <c r="BK1708" s="44"/>
      <c r="BL1708" s="44"/>
      <c r="BM1708" s="44"/>
      <c r="BN1708" s="44"/>
      <c r="BO1708" s="55"/>
      <c r="BP1708" s="40"/>
      <c r="BQ1708" s="4"/>
      <c r="BR1708" s="61"/>
      <c r="BS1708" s="4"/>
      <c r="BT1708" s="57"/>
      <c r="BU1708" s="62"/>
      <c r="BV1708" s="8"/>
      <c r="BW1708" s="58"/>
    </row>
    <row r="1709" spans="41:75" x14ac:dyDescent="0.35">
      <c r="AO1709" s="39">
        <v>1707</v>
      </c>
      <c r="AP1709" s="62"/>
      <c r="AQ1709" s="39"/>
      <c r="AR1709" s="42" t="str">
        <f>IFERROR(VLOOKUP(AU1709,[1]SUMMARY!$A$3:$B$7,2,FALSE),"")</f>
        <v/>
      </c>
      <c r="AS1709" s="31"/>
      <c r="AT1709" s="31" t="e">
        <f>VLOOKUP(AS1709,[1]OUTLET!$B:$C,2,0)</f>
        <v>#N/A</v>
      </c>
      <c r="AU1709" s="31"/>
      <c r="AV1709" s="4"/>
      <c r="AW1709" s="44"/>
      <c r="AX1709" s="44"/>
      <c r="AY1709" s="44"/>
      <c r="AZ1709" s="44"/>
      <c r="BA1709" s="44"/>
      <c r="BB1709" s="44"/>
      <c r="BC1709" s="44"/>
      <c r="BD1709" s="44"/>
      <c r="BE1709" s="44"/>
      <c r="BF1709" s="44"/>
      <c r="BG1709" s="44"/>
      <c r="BH1709" s="44"/>
      <c r="BI1709" s="44"/>
      <c r="BJ1709" s="44"/>
      <c r="BK1709" s="44"/>
      <c r="BL1709" s="44"/>
      <c r="BM1709" s="44"/>
      <c r="BN1709" s="44"/>
      <c r="BO1709" s="55"/>
      <c r="BP1709" s="40"/>
      <c r="BQ1709" s="4"/>
      <c r="BR1709" s="61"/>
      <c r="BS1709" s="4"/>
      <c r="BT1709" s="57"/>
      <c r="BU1709" s="62"/>
      <c r="BV1709" s="8"/>
      <c r="BW1709" s="58"/>
    </row>
    <row r="1710" spans="41:75" x14ac:dyDescent="0.35">
      <c r="AO1710" s="39">
        <v>1708</v>
      </c>
      <c r="AP1710" s="62"/>
      <c r="AQ1710" s="39"/>
      <c r="AR1710" s="42" t="str">
        <f>IFERROR(VLOOKUP(AU1710,[1]SUMMARY!$A$3:$B$7,2,FALSE),"")</f>
        <v/>
      </c>
      <c r="AS1710" s="31"/>
      <c r="AT1710" s="31" t="e">
        <f>VLOOKUP(AS1710,[1]OUTLET!$B:$C,2,0)</f>
        <v>#N/A</v>
      </c>
      <c r="AU1710" s="31"/>
      <c r="AV1710" s="4"/>
      <c r="AW1710" s="44"/>
      <c r="AX1710" s="44"/>
      <c r="AY1710" s="44"/>
      <c r="AZ1710" s="44"/>
      <c r="BA1710" s="44"/>
      <c r="BB1710" s="44"/>
      <c r="BC1710" s="44"/>
      <c r="BD1710" s="44"/>
      <c r="BE1710" s="44"/>
      <c r="BF1710" s="44"/>
      <c r="BG1710" s="44"/>
      <c r="BH1710" s="44"/>
      <c r="BI1710" s="44"/>
      <c r="BJ1710" s="44"/>
      <c r="BK1710" s="44"/>
      <c r="BL1710" s="44"/>
      <c r="BM1710" s="44"/>
      <c r="BN1710" s="44"/>
      <c r="BO1710" s="55"/>
      <c r="BP1710" s="40"/>
      <c r="BQ1710" s="4"/>
      <c r="BR1710" s="61"/>
      <c r="BS1710" s="4"/>
      <c r="BT1710" s="57"/>
      <c r="BU1710" s="62"/>
      <c r="BV1710" s="8"/>
      <c r="BW1710" s="58"/>
    </row>
    <row r="1711" spans="41:75" x14ac:dyDescent="0.35">
      <c r="AO1711" s="39">
        <v>1709</v>
      </c>
      <c r="AP1711" s="62"/>
      <c r="AQ1711" s="39"/>
      <c r="AR1711" s="42" t="str">
        <f>IFERROR(VLOOKUP(AU1711,[1]SUMMARY!$A$3:$B$7,2,FALSE),"")</f>
        <v/>
      </c>
      <c r="AS1711" s="31"/>
      <c r="AT1711" s="31" t="e">
        <f>VLOOKUP(AS1711,[1]OUTLET!$B:$C,2,0)</f>
        <v>#N/A</v>
      </c>
      <c r="AU1711" s="31"/>
      <c r="AV1711" s="4"/>
      <c r="AW1711" s="44"/>
      <c r="AX1711" s="44"/>
      <c r="AY1711" s="44"/>
      <c r="AZ1711" s="44"/>
      <c r="BA1711" s="44"/>
      <c r="BB1711" s="44"/>
      <c r="BC1711" s="44"/>
      <c r="BD1711" s="44"/>
      <c r="BE1711" s="44"/>
      <c r="BF1711" s="44"/>
      <c r="BG1711" s="44"/>
      <c r="BH1711" s="44"/>
      <c r="BI1711" s="44"/>
      <c r="BJ1711" s="44"/>
      <c r="BK1711" s="44"/>
      <c r="BL1711" s="44"/>
      <c r="BM1711" s="44"/>
      <c r="BN1711" s="44"/>
      <c r="BO1711" s="55"/>
      <c r="BP1711" s="40"/>
      <c r="BQ1711" s="4"/>
      <c r="BR1711" s="61"/>
      <c r="BS1711" s="4"/>
      <c r="BT1711" s="57"/>
      <c r="BU1711" s="62"/>
      <c r="BV1711" s="8"/>
      <c r="BW1711" s="58"/>
    </row>
    <row r="1712" spans="41:75" x14ac:dyDescent="0.35">
      <c r="AO1712" s="39">
        <v>1710</v>
      </c>
      <c r="AP1712" s="62"/>
      <c r="AQ1712" s="39"/>
      <c r="AR1712" s="42" t="str">
        <f>IFERROR(VLOOKUP(AU1712,[1]SUMMARY!$A$3:$B$7,2,FALSE),"")</f>
        <v/>
      </c>
      <c r="AS1712" s="31"/>
      <c r="AT1712" s="31" t="e">
        <f>VLOOKUP(AS1712,[1]OUTLET!$B:$C,2,0)</f>
        <v>#N/A</v>
      </c>
      <c r="AU1712" s="31"/>
      <c r="AV1712" s="4"/>
      <c r="AW1712" s="44"/>
      <c r="AX1712" s="44"/>
      <c r="AY1712" s="44"/>
      <c r="AZ1712" s="44"/>
      <c r="BA1712" s="44"/>
      <c r="BB1712" s="44"/>
      <c r="BC1712" s="44"/>
      <c r="BD1712" s="44"/>
      <c r="BE1712" s="44"/>
      <c r="BF1712" s="44"/>
      <c r="BG1712" s="44"/>
      <c r="BH1712" s="44"/>
      <c r="BI1712" s="44"/>
      <c r="BJ1712" s="44"/>
      <c r="BK1712" s="44"/>
      <c r="BL1712" s="44"/>
      <c r="BM1712" s="44"/>
      <c r="BN1712" s="44"/>
      <c r="BO1712" s="55"/>
      <c r="BP1712" s="40"/>
      <c r="BQ1712" s="4"/>
      <c r="BR1712" s="61"/>
      <c r="BS1712" s="4"/>
      <c r="BT1712" s="57"/>
      <c r="BU1712" s="62"/>
      <c r="BV1712" s="8"/>
      <c r="BW1712" s="58"/>
    </row>
    <row r="1713" spans="41:75" x14ac:dyDescent="0.35">
      <c r="AO1713" s="39">
        <v>1711</v>
      </c>
      <c r="AP1713" s="62"/>
      <c r="AQ1713" s="39"/>
      <c r="AR1713" s="42" t="str">
        <f>IFERROR(VLOOKUP(AU1713,[1]SUMMARY!$A$3:$B$7,2,FALSE),"")</f>
        <v/>
      </c>
      <c r="AS1713" s="31"/>
      <c r="AT1713" s="31" t="e">
        <f>VLOOKUP(AS1713,[1]OUTLET!$B:$C,2,0)</f>
        <v>#N/A</v>
      </c>
      <c r="AU1713" s="31"/>
      <c r="AV1713" s="4"/>
      <c r="AW1713" s="44"/>
      <c r="AX1713" s="44"/>
      <c r="AY1713" s="44"/>
      <c r="AZ1713" s="44"/>
      <c r="BA1713" s="44"/>
      <c r="BB1713" s="44"/>
      <c r="BC1713" s="44"/>
      <c r="BD1713" s="44"/>
      <c r="BE1713" s="44"/>
      <c r="BF1713" s="44"/>
      <c r="BG1713" s="44"/>
      <c r="BH1713" s="44"/>
      <c r="BI1713" s="44"/>
      <c r="BJ1713" s="44"/>
      <c r="BK1713" s="44"/>
      <c r="BL1713" s="44"/>
      <c r="BM1713" s="44"/>
      <c r="BN1713" s="44"/>
      <c r="BO1713" s="55"/>
      <c r="BP1713" s="40"/>
      <c r="BQ1713" s="4"/>
      <c r="BR1713" s="61"/>
      <c r="BS1713" s="4"/>
      <c r="BT1713" s="57"/>
      <c r="BU1713" s="62"/>
      <c r="BV1713" s="8"/>
      <c r="BW1713" s="58"/>
    </row>
    <row r="1714" spans="41:75" x14ac:dyDescent="0.35">
      <c r="AO1714" s="39">
        <v>1712</v>
      </c>
      <c r="AP1714" s="62"/>
      <c r="AQ1714" s="39"/>
      <c r="AR1714" s="42" t="str">
        <f>IFERROR(VLOOKUP(AU1714,[1]SUMMARY!$A$3:$B$7,2,FALSE),"")</f>
        <v/>
      </c>
      <c r="AS1714" s="31"/>
      <c r="AT1714" s="31" t="e">
        <f>VLOOKUP(AS1714,[1]OUTLET!$B:$C,2,0)</f>
        <v>#N/A</v>
      </c>
      <c r="AU1714" s="31"/>
      <c r="AV1714" s="4"/>
      <c r="AW1714" s="44"/>
      <c r="AX1714" s="44"/>
      <c r="AY1714" s="44"/>
      <c r="AZ1714" s="44"/>
      <c r="BA1714" s="44"/>
      <c r="BB1714" s="44"/>
      <c r="BC1714" s="44"/>
      <c r="BD1714" s="44"/>
      <c r="BE1714" s="44"/>
      <c r="BF1714" s="44"/>
      <c r="BG1714" s="44"/>
      <c r="BH1714" s="44"/>
      <c r="BI1714" s="44"/>
      <c r="BJ1714" s="44"/>
      <c r="BK1714" s="44"/>
      <c r="BL1714" s="44"/>
      <c r="BM1714" s="44"/>
      <c r="BN1714" s="44"/>
      <c r="BO1714" s="55"/>
      <c r="BP1714" s="40"/>
      <c r="BQ1714" s="4"/>
      <c r="BR1714" s="61"/>
      <c r="BS1714" s="4"/>
      <c r="BT1714" s="57"/>
      <c r="BU1714" s="62"/>
      <c r="BV1714" s="8"/>
      <c r="BW1714" s="58"/>
    </row>
    <row r="1715" spans="41:75" x14ac:dyDescent="0.35">
      <c r="AO1715" s="39">
        <v>1713</v>
      </c>
      <c r="AP1715" s="62"/>
      <c r="AQ1715" s="39"/>
      <c r="AR1715" s="42" t="str">
        <f>IFERROR(VLOOKUP(AU1715,[1]SUMMARY!$A$3:$B$7,2,FALSE),"")</f>
        <v/>
      </c>
      <c r="AS1715" s="31"/>
      <c r="AT1715" s="31" t="e">
        <f>VLOOKUP(AS1715,[1]OUTLET!$B:$C,2,0)</f>
        <v>#N/A</v>
      </c>
      <c r="AU1715" s="31"/>
      <c r="AV1715" s="4"/>
      <c r="AW1715" s="44"/>
      <c r="AX1715" s="44"/>
      <c r="AY1715" s="44"/>
      <c r="AZ1715" s="44"/>
      <c r="BA1715" s="44"/>
      <c r="BB1715" s="44"/>
      <c r="BC1715" s="44"/>
      <c r="BD1715" s="44"/>
      <c r="BE1715" s="44"/>
      <c r="BF1715" s="44"/>
      <c r="BG1715" s="44"/>
      <c r="BH1715" s="44"/>
      <c r="BI1715" s="44"/>
      <c r="BJ1715" s="44"/>
      <c r="BK1715" s="44"/>
      <c r="BL1715" s="44"/>
      <c r="BM1715" s="44"/>
      <c r="BN1715" s="44"/>
      <c r="BO1715" s="55"/>
      <c r="BP1715" s="40"/>
      <c r="BQ1715" s="4"/>
      <c r="BR1715" s="61"/>
      <c r="BS1715" s="4"/>
      <c r="BT1715" s="57"/>
      <c r="BU1715" s="62"/>
      <c r="BV1715" s="8"/>
      <c r="BW1715" s="58"/>
    </row>
    <row r="1716" spans="41:75" x14ac:dyDescent="0.35">
      <c r="AO1716" s="39">
        <v>1714</v>
      </c>
      <c r="AP1716" s="62"/>
      <c r="AQ1716" s="39"/>
      <c r="AR1716" s="42" t="str">
        <f>IFERROR(VLOOKUP(AU1716,[1]SUMMARY!$A$3:$B$7,2,FALSE),"")</f>
        <v/>
      </c>
      <c r="AS1716" s="31"/>
      <c r="AT1716" s="31" t="e">
        <f>VLOOKUP(AS1716,[1]OUTLET!$B:$C,2,0)</f>
        <v>#N/A</v>
      </c>
      <c r="AU1716" s="31"/>
      <c r="AV1716" s="4"/>
      <c r="AW1716" s="44"/>
      <c r="AX1716" s="44"/>
      <c r="AY1716" s="44"/>
      <c r="AZ1716" s="44"/>
      <c r="BA1716" s="44"/>
      <c r="BB1716" s="44"/>
      <c r="BC1716" s="44"/>
      <c r="BD1716" s="44"/>
      <c r="BE1716" s="44"/>
      <c r="BF1716" s="44"/>
      <c r="BG1716" s="44"/>
      <c r="BH1716" s="44"/>
      <c r="BI1716" s="44"/>
      <c r="BJ1716" s="44"/>
      <c r="BK1716" s="44"/>
      <c r="BL1716" s="44"/>
      <c r="BM1716" s="44"/>
      <c r="BN1716" s="44"/>
      <c r="BO1716" s="55"/>
      <c r="BP1716" s="40"/>
      <c r="BQ1716" s="4"/>
      <c r="BR1716" s="61"/>
      <c r="BS1716" s="4"/>
      <c r="BT1716" s="57"/>
      <c r="BU1716" s="62"/>
      <c r="BV1716" s="8"/>
      <c r="BW1716" s="58"/>
    </row>
    <row r="1717" spans="41:75" x14ac:dyDescent="0.35">
      <c r="AO1717" s="39">
        <v>1715</v>
      </c>
      <c r="AP1717" s="62"/>
      <c r="AQ1717" s="39"/>
      <c r="AR1717" s="42" t="str">
        <f>IFERROR(VLOOKUP(AU1717,[1]SUMMARY!$A$3:$B$7,2,FALSE),"")</f>
        <v/>
      </c>
      <c r="AS1717" s="31"/>
      <c r="AT1717" s="31" t="e">
        <f>VLOOKUP(AS1717,[1]OUTLET!$B:$C,2,0)</f>
        <v>#N/A</v>
      </c>
      <c r="AU1717" s="31"/>
      <c r="AV1717" s="4"/>
      <c r="AW1717" s="44"/>
      <c r="AX1717" s="44"/>
      <c r="AY1717" s="44"/>
      <c r="AZ1717" s="44"/>
      <c r="BA1717" s="44"/>
      <c r="BB1717" s="44"/>
      <c r="BC1717" s="44"/>
      <c r="BD1717" s="44"/>
      <c r="BE1717" s="44"/>
      <c r="BF1717" s="44"/>
      <c r="BG1717" s="44"/>
      <c r="BH1717" s="44"/>
      <c r="BI1717" s="44"/>
      <c r="BJ1717" s="44"/>
      <c r="BK1717" s="44"/>
      <c r="BL1717" s="44"/>
      <c r="BM1717" s="44"/>
      <c r="BN1717" s="44"/>
      <c r="BO1717" s="55"/>
      <c r="BP1717" s="40"/>
      <c r="BQ1717" s="4"/>
      <c r="BR1717" s="61"/>
      <c r="BS1717" s="4"/>
      <c r="BT1717" s="57"/>
      <c r="BU1717" s="62"/>
      <c r="BV1717" s="8"/>
      <c r="BW1717" s="58"/>
    </row>
    <row r="1718" spans="41:75" x14ac:dyDescent="0.35">
      <c r="AO1718" s="39">
        <v>1716</v>
      </c>
      <c r="AP1718" s="62"/>
      <c r="AQ1718" s="39"/>
      <c r="AR1718" s="42" t="str">
        <f>IFERROR(VLOOKUP(AU1718,[1]SUMMARY!$A$3:$B$7,2,FALSE),"")</f>
        <v/>
      </c>
      <c r="AS1718" s="31"/>
      <c r="AT1718" s="31" t="e">
        <f>VLOOKUP(AS1718,[1]OUTLET!$B:$C,2,0)</f>
        <v>#N/A</v>
      </c>
      <c r="AU1718" s="31"/>
      <c r="AV1718" s="4"/>
      <c r="AW1718" s="44"/>
      <c r="AX1718" s="44"/>
      <c r="AY1718" s="44"/>
      <c r="AZ1718" s="44"/>
      <c r="BA1718" s="44"/>
      <c r="BB1718" s="44"/>
      <c r="BC1718" s="44"/>
      <c r="BD1718" s="44"/>
      <c r="BE1718" s="44"/>
      <c r="BF1718" s="44"/>
      <c r="BG1718" s="44"/>
      <c r="BH1718" s="44"/>
      <c r="BI1718" s="44"/>
      <c r="BJ1718" s="44"/>
      <c r="BK1718" s="44"/>
      <c r="BL1718" s="44"/>
      <c r="BM1718" s="44"/>
      <c r="BN1718" s="44"/>
      <c r="BO1718" s="55"/>
      <c r="BP1718" s="40"/>
      <c r="BQ1718" s="4"/>
      <c r="BR1718" s="61"/>
      <c r="BS1718" s="4"/>
      <c r="BT1718" s="57"/>
      <c r="BU1718" s="62"/>
      <c r="BV1718" s="8"/>
      <c r="BW1718" s="58"/>
    </row>
    <row r="1719" spans="41:75" x14ac:dyDescent="0.35">
      <c r="AO1719" s="39">
        <v>1717</v>
      </c>
      <c r="AP1719" s="62"/>
      <c r="AQ1719" s="39"/>
      <c r="AR1719" s="42" t="str">
        <f>IFERROR(VLOOKUP(AU1719,[1]SUMMARY!$A$3:$B$7,2,FALSE),"")</f>
        <v/>
      </c>
      <c r="AS1719" s="31"/>
      <c r="AT1719" s="31" t="e">
        <f>VLOOKUP(AS1719,[1]OUTLET!$B:$C,2,0)</f>
        <v>#N/A</v>
      </c>
      <c r="AU1719" s="31"/>
      <c r="AV1719" s="4"/>
      <c r="AW1719" s="44"/>
      <c r="AX1719" s="44"/>
      <c r="AY1719" s="44"/>
      <c r="AZ1719" s="44"/>
      <c r="BA1719" s="44"/>
      <c r="BB1719" s="44"/>
      <c r="BC1719" s="44"/>
      <c r="BD1719" s="44"/>
      <c r="BE1719" s="44"/>
      <c r="BF1719" s="44"/>
      <c r="BG1719" s="44"/>
      <c r="BH1719" s="44"/>
      <c r="BI1719" s="44"/>
      <c r="BJ1719" s="44"/>
      <c r="BK1719" s="44"/>
      <c r="BL1719" s="44"/>
      <c r="BM1719" s="44"/>
      <c r="BN1719" s="44"/>
      <c r="BO1719" s="55"/>
      <c r="BP1719" s="40"/>
      <c r="BQ1719" s="4"/>
      <c r="BR1719" s="61"/>
      <c r="BS1719" s="4"/>
      <c r="BT1719" s="57"/>
      <c r="BU1719" s="62"/>
      <c r="BV1719" s="8"/>
      <c r="BW1719" s="58"/>
    </row>
    <row r="1720" spans="41:75" x14ac:dyDescent="0.35">
      <c r="AO1720" s="39">
        <v>1718</v>
      </c>
      <c r="AP1720" s="62"/>
      <c r="AQ1720" s="39"/>
      <c r="AR1720" s="42" t="str">
        <f>IFERROR(VLOOKUP(AU1720,[1]SUMMARY!$A$3:$B$7,2,FALSE),"")</f>
        <v/>
      </c>
      <c r="AS1720" s="31"/>
      <c r="AT1720" s="31" t="e">
        <f>VLOOKUP(AS1720,[1]OUTLET!$B:$C,2,0)</f>
        <v>#N/A</v>
      </c>
      <c r="AU1720" s="31"/>
      <c r="AV1720" s="4"/>
      <c r="AW1720" s="44"/>
      <c r="AX1720" s="44"/>
      <c r="AY1720" s="44"/>
      <c r="AZ1720" s="44"/>
      <c r="BA1720" s="44"/>
      <c r="BB1720" s="44"/>
      <c r="BC1720" s="44"/>
      <c r="BD1720" s="44"/>
      <c r="BE1720" s="44"/>
      <c r="BF1720" s="44"/>
      <c r="BG1720" s="44"/>
      <c r="BH1720" s="44"/>
      <c r="BI1720" s="44"/>
      <c r="BJ1720" s="44"/>
      <c r="BK1720" s="44"/>
      <c r="BL1720" s="44"/>
      <c r="BM1720" s="44"/>
      <c r="BN1720" s="44"/>
      <c r="BO1720" s="55"/>
      <c r="BP1720" s="40"/>
      <c r="BQ1720" s="4"/>
      <c r="BR1720" s="61"/>
      <c r="BS1720" s="4"/>
      <c r="BT1720" s="57"/>
      <c r="BU1720" s="62"/>
      <c r="BV1720" s="8"/>
      <c r="BW1720" s="58"/>
    </row>
    <row r="1721" spans="41:75" x14ac:dyDescent="0.35">
      <c r="AO1721" s="39">
        <v>1719</v>
      </c>
      <c r="AP1721" s="62"/>
      <c r="AQ1721" s="39"/>
      <c r="AR1721" s="42" t="str">
        <f>IFERROR(VLOOKUP(AU1721,[1]SUMMARY!$A$3:$B$7,2,FALSE),"")</f>
        <v/>
      </c>
      <c r="AS1721" s="31"/>
      <c r="AT1721" s="31" t="e">
        <f>VLOOKUP(AS1721,[1]OUTLET!$B:$C,2,0)</f>
        <v>#N/A</v>
      </c>
      <c r="AU1721" s="31"/>
      <c r="AV1721" s="4"/>
      <c r="AW1721" s="44"/>
      <c r="AX1721" s="44"/>
      <c r="AY1721" s="44"/>
      <c r="AZ1721" s="44"/>
      <c r="BA1721" s="44"/>
      <c r="BB1721" s="44"/>
      <c r="BC1721" s="44"/>
      <c r="BD1721" s="44"/>
      <c r="BE1721" s="44"/>
      <c r="BF1721" s="44"/>
      <c r="BG1721" s="44"/>
      <c r="BH1721" s="44"/>
      <c r="BI1721" s="44"/>
      <c r="BJ1721" s="44"/>
      <c r="BK1721" s="44"/>
      <c r="BL1721" s="44"/>
      <c r="BM1721" s="44"/>
      <c r="BN1721" s="44"/>
      <c r="BO1721" s="55"/>
      <c r="BP1721" s="40"/>
      <c r="BQ1721" s="4"/>
      <c r="BR1721" s="61"/>
      <c r="BS1721" s="4"/>
      <c r="BT1721" s="57"/>
      <c r="BU1721" s="62"/>
      <c r="BV1721" s="8"/>
      <c r="BW1721" s="58"/>
    </row>
    <row r="1722" spans="41:75" x14ac:dyDescent="0.35">
      <c r="AO1722" s="39">
        <v>1720</v>
      </c>
      <c r="AP1722" s="62"/>
      <c r="AQ1722" s="39"/>
      <c r="AR1722" s="42" t="str">
        <f>IFERROR(VLOOKUP(AU1722,[1]SUMMARY!$A$3:$B$7,2,FALSE),"")</f>
        <v/>
      </c>
      <c r="AS1722" s="31"/>
      <c r="AT1722" s="31" t="e">
        <f>VLOOKUP(AS1722,[1]OUTLET!$B:$C,2,0)</f>
        <v>#N/A</v>
      </c>
      <c r="AU1722" s="31"/>
      <c r="AV1722" s="4"/>
      <c r="AW1722" s="44"/>
      <c r="AX1722" s="44"/>
      <c r="AY1722" s="44"/>
      <c r="AZ1722" s="44"/>
      <c r="BA1722" s="44"/>
      <c r="BB1722" s="44"/>
      <c r="BC1722" s="44"/>
      <c r="BD1722" s="44"/>
      <c r="BE1722" s="44"/>
      <c r="BF1722" s="44"/>
      <c r="BG1722" s="44"/>
      <c r="BH1722" s="44"/>
      <c r="BI1722" s="44"/>
      <c r="BJ1722" s="44"/>
      <c r="BK1722" s="44"/>
      <c r="BL1722" s="44"/>
      <c r="BM1722" s="44"/>
      <c r="BN1722" s="44"/>
      <c r="BO1722" s="55"/>
      <c r="BP1722" s="40"/>
      <c r="BQ1722" s="4"/>
      <c r="BR1722" s="61"/>
      <c r="BS1722" s="4"/>
      <c r="BT1722" s="57"/>
      <c r="BU1722" s="62"/>
      <c r="BV1722" s="8"/>
      <c r="BW1722" s="58"/>
    </row>
    <row r="1723" spans="41:75" x14ac:dyDescent="0.35">
      <c r="AO1723" s="39">
        <v>1721</v>
      </c>
      <c r="AP1723" s="62"/>
      <c r="AQ1723" s="39"/>
      <c r="AR1723" s="42" t="str">
        <f>IFERROR(VLOOKUP(AU1723,[1]SUMMARY!$A$3:$B$7,2,FALSE),"")</f>
        <v/>
      </c>
      <c r="AS1723" s="31"/>
      <c r="AT1723" s="31" t="e">
        <f>VLOOKUP(AS1723,[1]OUTLET!$B:$C,2,0)</f>
        <v>#N/A</v>
      </c>
      <c r="AU1723" s="31"/>
      <c r="AV1723" s="4"/>
      <c r="AW1723" s="44"/>
      <c r="AX1723" s="44"/>
      <c r="AY1723" s="44"/>
      <c r="AZ1723" s="44"/>
      <c r="BA1723" s="44"/>
      <c r="BB1723" s="44"/>
      <c r="BC1723" s="44"/>
      <c r="BD1723" s="44"/>
      <c r="BE1723" s="44"/>
      <c r="BF1723" s="44"/>
      <c r="BG1723" s="44"/>
      <c r="BH1723" s="44"/>
      <c r="BI1723" s="44"/>
      <c r="BJ1723" s="44"/>
      <c r="BK1723" s="44"/>
      <c r="BL1723" s="44"/>
      <c r="BM1723" s="44"/>
      <c r="BN1723" s="44"/>
      <c r="BO1723" s="55"/>
      <c r="BP1723" s="40"/>
      <c r="BQ1723" s="4"/>
      <c r="BR1723" s="61"/>
      <c r="BS1723" s="4"/>
      <c r="BT1723" s="57"/>
      <c r="BU1723" s="62"/>
      <c r="BV1723" s="8"/>
      <c r="BW1723" s="58"/>
    </row>
    <row r="1724" spans="41:75" x14ac:dyDescent="0.35">
      <c r="AO1724" s="39">
        <v>1722</v>
      </c>
      <c r="AP1724" s="62"/>
      <c r="AQ1724" s="39"/>
      <c r="AR1724" s="42" t="str">
        <f>IFERROR(VLOOKUP(AU1724,[1]SUMMARY!$A$3:$B$7,2,FALSE),"")</f>
        <v/>
      </c>
      <c r="AS1724" s="31"/>
      <c r="AT1724" s="31" t="e">
        <f>VLOOKUP(AS1724,[1]OUTLET!$B:$C,2,0)</f>
        <v>#N/A</v>
      </c>
      <c r="AU1724" s="31"/>
      <c r="AV1724" s="4"/>
      <c r="AW1724" s="44"/>
      <c r="AX1724" s="44"/>
      <c r="AY1724" s="44"/>
      <c r="AZ1724" s="44"/>
      <c r="BA1724" s="44"/>
      <c r="BB1724" s="44"/>
      <c r="BC1724" s="44"/>
      <c r="BD1724" s="44"/>
      <c r="BE1724" s="44"/>
      <c r="BF1724" s="44"/>
      <c r="BG1724" s="44"/>
      <c r="BH1724" s="44"/>
      <c r="BI1724" s="44"/>
      <c r="BJ1724" s="44"/>
      <c r="BK1724" s="44"/>
      <c r="BL1724" s="44"/>
      <c r="BM1724" s="44"/>
      <c r="BN1724" s="44"/>
      <c r="BO1724" s="55"/>
      <c r="BP1724" s="40"/>
      <c r="BQ1724" s="4"/>
      <c r="BR1724" s="61"/>
      <c r="BS1724" s="4"/>
      <c r="BT1724" s="57"/>
      <c r="BU1724" s="62"/>
      <c r="BV1724" s="8"/>
      <c r="BW1724" s="58"/>
    </row>
    <row r="1725" spans="41:75" x14ac:dyDescent="0.35">
      <c r="AO1725" s="39">
        <v>1723</v>
      </c>
      <c r="AP1725" s="62"/>
      <c r="AQ1725" s="39"/>
      <c r="AR1725" s="42" t="str">
        <f>IFERROR(VLOOKUP(AU1725,[1]SUMMARY!$A$3:$B$7,2,FALSE),"")</f>
        <v/>
      </c>
      <c r="AS1725" s="31"/>
      <c r="AT1725" s="31" t="e">
        <f>VLOOKUP(AS1725,[1]OUTLET!$B:$C,2,0)</f>
        <v>#N/A</v>
      </c>
      <c r="AU1725" s="31"/>
      <c r="AV1725" s="4"/>
      <c r="AW1725" s="44"/>
      <c r="AX1725" s="44"/>
      <c r="AY1725" s="44"/>
      <c r="AZ1725" s="44"/>
      <c r="BA1725" s="44"/>
      <c r="BB1725" s="44"/>
      <c r="BC1725" s="44"/>
      <c r="BD1725" s="44"/>
      <c r="BE1725" s="44"/>
      <c r="BF1725" s="44"/>
      <c r="BG1725" s="44"/>
      <c r="BH1725" s="44"/>
      <c r="BI1725" s="44"/>
      <c r="BJ1725" s="44"/>
      <c r="BK1725" s="44"/>
      <c r="BL1725" s="44"/>
      <c r="BM1725" s="44"/>
      <c r="BN1725" s="44"/>
      <c r="BO1725" s="55"/>
      <c r="BP1725" s="40"/>
      <c r="BQ1725" s="4"/>
      <c r="BR1725" s="61"/>
      <c r="BS1725" s="4"/>
      <c r="BT1725" s="57"/>
      <c r="BU1725" s="62"/>
      <c r="BV1725" s="8"/>
      <c r="BW1725" s="58"/>
    </row>
    <row r="1726" spans="41:75" x14ac:dyDescent="0.35">
      <c r="AO1726" s="39">
        <v>1724</v>
      </c>
      <c r="AP1726" s="62"/>
      <c r="AQ1726" s="39"/>
      <c r="AR1726" s="42" t="str">
        <f>IFERROR(VLOOKUP(AU1726,[1]SUMMARY!$A$3:$B$7,2,FALSE),"")</f>
        <v/>
      </c>
      <c r="AS1726" s="31"/>
      <c r="AT1726" s="31" t="e">
        <f>VLOOKUP(AS1726,[1]OUTLET!$B:$C,2,0)</f>
        <v>#N/A</v>
      </c>
      <c r="AU1726" s="31"/>
      <c r="AV1726" s="4"/>
      <c r="AW1726" s="44"/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44"/>
      <c r="BJ1726" s="44"/>
      <c r="BK1726" s="44"/>
      <c r="BL1726" s="44"/>
      <c r="BM1726" s="44"/>
      <c r="BN1726" s="44"/>
      <c r="BO1726" s="55"/>
      <c r="BP1726" s="40"/>
      <c r="BQ1726" s="4"/>
      <c r="BR1726" s="61"/>
      <c r="BS1726" s="4"/>
      <c r="BT1726" s="57"/>
      <c r="BU1726" s="62"/>
      <c r="BV1726" s="8"/>
      <c r="BW1726" s="58"/>
    </row>
    <row r="1727" spans="41:75" x14ac:dyDescent="0.35">
      <c r="AO1727" s="39">
        <v>1725</v>
      </c>
      <c r="AP1727" s="62"/>
      <c r="AQ1727" s="39"/>
      <c r="AR1727" s="42" t="str">
        <f>IFERROR(VLOOKUP(AU1727,[1]SUMMARY!$A$3:$B$7,2,FALSE),"")</f>
        <v/>
      </c>
      <c r="AS1727" s="31"/>
      <c r="AT1727" s="31" t="e">
        <f>VLOOKUP(AS1727,[1]OUTLET!$B:$C,2,0)</f>
        <v>#N/A</v>
      </c>
      <c r="AU1727" s="31"/>
      <c r="AV1727" s="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44"/>
      <c r="BJ1727" s="44"/>
      <c r="BK1727" s="44"/>
      <c r="BL1727" s="44"/>
      <c r="BM1727" s="44"/>
      <c r="BN1727" s="44"/>
      <c r="BO1727" s="55"/>
      <c r="BP1727" s="40"/>
      <c r="BQ1727" s="4"/>
      <c r="BR1727" s="61"/>
      <c r="BS1727" s="4"/>
      <c r="BT1727" s="57"/>
      <c r="BU1727" s="62"/>
      <c r="BV1727" s="8"/>
      <c r="BW1727" s="58"/>
    </row>
    <row r="1728" spans="41:75" x14ac:dyDescent="0.35">
      <c r="AO1728" s="39">
        <v>1726</v>
      </c>
      <c r="AP1728" s="62"/>
      <c r="AQ1728" s="39"/>
      <c r="AR1728" s="42" t="str">
        <f>IFERROR(VLOOKUP(AU1728,[1]SUMMARY!$A$3:$B$7,2,FALSE),"")</f>
        <v/>
      </c>
      <c r="AS1728" s="31"/>
      <c r="AT1728" s="31" t="e">
        <f>VLOOKUP(AS1728,[1]OUTLET!$B:$C,2,0)</f>
        <v>#N/A</v>
      </c>
      <c r="AU1728" s="31"/>
      <c r="AV1728" s="4"/>
      <c r="AW1728" s="44"/>
      <c r="AX1728" s="44"/>
      <c r="AY1728" s="44"/>
      <c r="AZ1728" s="44"/>
      <c r="BA1728" s="44"/>
      <c r="BB1728" s="44"/>
      <c r="BC1728" s="44"/>
      <c r="BD1728" s="44"/>
      <c r="BE1728" s="44"/>
      <c r="BF1728" s="44"/>
      <c r="BG1728" s="44"/>
      <c r="BH1728" s="44"/>
      <c r="BI1728" s="44"/>
      <c r="BJ1728" s="44"/>
      <c r="BK1728" s="44"/>
      <c r="BL1728" s="44"/>
      <c r="BM1728" s="44"/>
      <c r="BN1728" s="44"/>
      <c r="BO1728" s="55"/>
      <c r="BP1728" s="40"/>
      <c r="BQ1728" s="4"/>
      <c r="BR1728" s="61"/>
      <c r="BS1728" s="4"/>
      <c r="BT1728" s="57"/>
      <c r="BU1728" s="62"/>
      <c r="BV1728" s="8"/>
      <c r="BW1728" s="58"/>
    </row>
    <row r="1729" spans="41:75" x14ac:dyDescent="0.35">
      <c r="AO1729" s="39">
        <v>1727</v>
      </c>
      <c r="AP1729" s="62"/>
      <c r="AQ1729" s="39"/>
      <c r="AR1729" s="42" t="str">
        <f>IFERROR(VLOOKUP(AU1729,[1]SUMMARY!$A$3:$B$7,2,FALSE),"")</f>
        <v/>
      </c>
      <c r="AS1729" s="31"/>
      <c r="AT1729" s="31" t="e">
        <f>VLOOKUP(AS1729,[1]OUTLET!$B:$C,2,0)</f>
        <v>#N/A</v>
      </c>
      <c r="AU1729" s="31"/>
      <c r="AV1729" s="4"/>
      <c r="AW1729" s="44"/>
      <c r="AX1729" s="44"/>
      <c r="AY1729" s="44"/>
      <c r="AZ1729" s="44"/>
      <c r="BA1729" s="44"/>
      <c r="BB1729" s="44"/>
      <c r="BC1729" s="44"/>
      <c r="BD1729" s="44"/>
      <c r="BE1729" s="44"/>
      <c r="BF1729" s="44"/>
      <c r="BG1729" s="44"/>
      <c r="BH1729" s="44"/>
      <c r="BI1729" s="44"/>
      <c r="BJ1729" s="44"/>
      <c r="BK1729" s="44"/>
      <c r="BL1729" s="44"/>
      <c r="BM1729" s="44"/>
      <c r="BN1729" s="44"/>
      <c r="BO1729" s="55"/>
      <c r="BP1729" s="40"/>
      <c r="BQ1729" s="4"/>
      <c r="BR1729" s="61"/>
      <c r="BS1729" s="4"/>
      <c r="BT1729" s="57"/>
      <c r="BU1729" s="62"/>
      <c r="BV1729" s="8"/>
      <c r="BW1729" s="58"/>
    </row>
    <row r="1730" spans="41:75" x14ac:dyDescent="0.35">
      <c r="AO1730" s="39">
        <v>1728</v>
      </c>
      <c r="AP1730" s="62"/>
      <c r="AQ1730" s="39"/>
      <c r="AR1730" s="42" t="str">
        <f>IFERROR(VLOOKUP(AU1730,[1]SUMMARY!$A$3:$B$7,2,FALSE),"")</f>
        <v/>
      </c>
      <c r="AS1730" s="31"/>
      <c r="AT1730" s="31" t="e">
        <f>VLOOKUP(AS1730,[1]OUTLET!$B:$C,2,0)</f>
        <v>#N/A</v>
      </c>
      <c r="AU1730" s="31"/>
      <c r="AV1730" s="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55"/>
      <c r="BP1730" s="40"/>
      <c r="BQ1730" s="4"/>
      <c r="BR1730" s="61"/>
      <c r="BS1730" s="4"/>
      <c r="BT1730" s="57"/>
      <c r="BU1730" s="62"/>
      <c r="BV1730" s="8"/>
      <c r="BW1730" s="58"/>
    </row>
    <row r="1731" spans="41:75" x14ac:dyDescent="0.35">
      <c r="AO1731" s="39">
        <v>1729</v>
      </c>
      <c r="AP1731" s="62"/>
      <c r="AQ1731" s="39"/>
      <c r="AR1731" s="42" t="str">
        <f>IFERROR(VLOOKUP(AU1731,[1]SUMMARY!$A$3:$B$7,2,FALSE),"")</f>
        <v/>
      </c>
      <c r="AS1731" s="31"/>
      <c r="AT1731" s="31" t="e">
        <f>VLOOKUP(AS1731,[1]OUTLET!$B:$C,2,0)</f>
        <v>#N/A</v>
      </c>
      <c r="AU1731" s="31"/>
      <c r="AV1731" s="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55"/>
      <c r="BP1731" s="40"/>
      <c r="BQ1731" s="4"/>
      <c r="BR1731" s="61"/>
      <c r="BS1731" s="4"/>
      <c r="BT1731" s="57"/>
      <c r="BU1731" s="62"/>
      <c r="BV1731" s="8"/>
      <c r="BW1731" s="58"/>
    </row>
    <row r="1732" spans="41:75" x14ac:dyDescent="0.35">
      <c r="AO1732" s="39">
        <v>1730</v>
      </c>
      <c r="AP1732" s="62"/>
      <c r="AQ1732" s="39"/>
      <c r="AR1732" s="42" t="str">
        <f>IFERROR(VLOOKUP(AU1732,[1]SUMMARY!$A$3:$B$7,2,FALSE),"")</f>
        <v/>
      </c>
      <c r="AS1732" s="31"/>
      <c r="AT1732" s="31" t="e">
        <f>VLOOKUP(AS1732,[1]OUTLET!$B:$C,2,0)</f>
        <v>#N/A</v>
      </c>
      <c r="AU1732" s="31"/>
      <c r="AV1732" s="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55"/>
      <c r="BP1732" s="40"/>
      <c r="BQ1732" s="4"/>
      <c r="BR1732" s="61"/>
      <c r="BS1732" s="4"/>
      <c r="BT1732" s="57"/>
      <c r="BU1732" s="62"/>
      <c r="BV1732" s="8"/>
      <c r="BW1732" s="58"/>
    </row>
    <row r="1733" spans="41:75" x14ac:dyDescent="0.35">
      <c r="AO1733" s="39">
        <v>1731</v>
      </c>
      <c r="AP1733" s="62"/>
      <c r="AQ1733" s="39"/>
      <c r="AR1733" s="42" t="str">
        <f>IFERROR(VLOOKUP(AU1733,[1]SUMMARY!$A$3:$B$7,2,FALSE),"")</f>
        <v/>
      </c>
      <c r="AS1733" s="31"/>
      <c r="AT1733" s="31" t="e">
        <f>VLOOKUP(AS1733,[1]OUTLET!$B:$C,2,0)</f>
        <v>#N/A</v>
      </c>
      <c r="AU1733" s="31"/>
      <c r="AV1733" s="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55"/>
      <c r="BP1733" s="40"/>
      <c r="BQ1733" s="4"/>
      <c r="BR1733" s="61"/>
      <c r="BS1733" s="4"/>
      <c r="BT1733" s="57"/>
      <c r="BU1733" s="62"/>
      <c r="BV1733" s="8"/>
      <c r="BW1733" s="58"/>
    </row>
    <row r="1734" spans="41:75" x14ac:dyDescent="0.35">
      <c r="AO1734" s="39">
        <v>1732</v>
      </c>
      <c r="AP1734" s="62"/>
      <c r="AQ1734" s="39"/>
      <c r="AR1734" s="42" t="str">
        <f>IFERROR(VLOOKUP(AU1734,[1]SUMMARY!$A$3:$B$7,2,FALSE),"")</f>
        <v/>
      </c>
      <c r="AS1734" s="31"/>
      <c r="AT1734" s="31" t="e">
        <f>VLOOKUP(AS1734,[1]OUTLET!$B:$C,2,0)</f>
        <v>#N/A</v>
      </c>
      <c r="AU1734" s="31"/>
      <c r="AV1734" s="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55"/>
      <c r="BP1734" s="40"/>
      <c r="BQ1734" s="4"/>
      <c r="BR1734" s="61"/>
      <c r="BS1734" s="4"/>
      <c r="BT1734" s="57"/>
      <c r="BU1734" s="62"/>
      <c r="BV1734" s="8"/>
      <c r="BW1734" s="58"/>
    </row>
    <row r="1735" spans="41:75" x14ac:dyDescent="0.35">
      <c r="AO1735" s="39">
        <v>1733</v>
      </c>
      <c r="AP1735" s="62"/>
      <c r="AQ1735" s="39"/>
      <c r="AR1735" s="42" t="str">
        <f>IFERROR(VLOOKUP(AU1735,[1]SUMMARY!$A$3:$B$7,2,FALSE),"")</f>
        <v/>
      </c>
      <c r="AS1735" s="31"/>
      <c r="AT1735" s="31" t="e">
        <f>VLOOKUP(AS1735,[1]OUTLET!$B:$C,2,0)</f>
        <v>#N/A</v>
      </c>
      <c r="AU1735" s="31"/>
      <c r="AV1735" s="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55"/>
      <c r="BP1735" s="40"/>
      <c r="BQ1735" s="4"/>
      <c r="BR1735" s="61"/>
      <c r="BS1735" s="4"/>
      <c r="BT1735" s="57"/>
      <c r="BU1735" s="62"/>
      <c r="BV1735" s="8"/>
      <c r="BW1735" s="58"/>
    </row>
    <row r="1736" spans="41:75" x14ac:dyDescent="0.35">
      <c r="AO1736" s="39">
        <v>1734</v>
      </c>
      <c r="AP1736" s="62"/>
      <c r="AQ1736" s="39"/>
      <c r="AR1736" s="42" t="str">
        <f>IFERROR(VLOOKUP(AU1736,[1]SUMMARY!$A$3:$B$7,2,FALSE),"")</f>
        <v/>
      </c>
      <c r="AS1736" s="31"/>
      <c r="AT1736" s="31" t="e">
        <f>VLOOKUP(AS1736,[1]OUTLET!$B:$C,2,0)</f>
        <v>#N/A</v>
      </c>
      <c r="AU1736" s="31"/>
      <c r="AV1736" s="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55"/>
      <c r="BP1736" s="40"/>
      <c r="BQ1736" s="4"/>
      <c r="BR1736" s="61"/>
      <c r="BS1736" s="4"/>
      <c r="BT1736" s="57"/>
      <c r="BU1736" s="62"/>
      <c r="BV1736" s="8"/>
      <c r="BW1736" s="58"/>
    </row>
    <row r="1737" spans="41:75" x14ac:dyDescent="0.35">
      <c r="AO1737" s="39">
        <v>1735</v>
      </c>
      <c r="AP1737" s="62"/>
      <c r="AQ1737" s="39"/>
      <c r="AR1737" s="42" t="str">
        <f>IFERROR(VLOOKUP(AU1737,[1]SUMMARY!$A$3:$B$7,2,FALSE),"")</f>
        <v/>
      </c>
      <c r="AS1737" s="31"/>
      <c r="AT1737" s="31" t="e">
        <f>VLOOKUP(AS1737,[1]OUTLET!$B:$C,2,0)</f>
        <v>#N/A</v>
      </c>
      <c r="AU1737" s="31"/>
      <c r="AV1737" s="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55"/>
      <c r="BP1737" s="40"/>
      <c r="BQ1737" s="4"/>
      <c r="BR1737" s="61"/>
      <c r="BS1737" s="4"/>
      <c r="BT1737" s="57"/>
      <c r="BU1737" s="62"/>
      <c r="BV1737" s="8"/>
      <c r="BW1737" s="58"/>
    </row>
    <row r="1738" spans="41:75" x14ac:dyDescent="0.35">
      <c r="AO1738" s="39">
        <v>1736</v>
      </c>
      <c r="AP1738" s="62"/>
      <c r="AQ1738" s="39"/>
      <c r="AR1738" s="42" t="str">
        <f>IFERROR(VLOOKUP(AU1738,[1]SUMMARY!$A$3:$B$7,2,FALSE),"")</f>
        <v/>
      </c>
      <c r="AS1738" s="31"/>
      <c r="AT1738" s="31" t="e">
        <f>VLOOKUP(AS1738,[1]OUTLET!$B:$C,2,0)</f>
        <v>#N/A</v>
      </c>
      <c r="AU1738" s="31"/>
      <c r="AV1738" s="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55"/>
      <c r="BP1738" s="40"/>
      <c r="BQ1738" s="4"/>
      <c r="BR1738" s="61"/>
      <c r="BS1738" s="4"/>
      <c r="BT1738" s="57"/>
      <c r="BU1738" s="62"/>
      <c r="BV1738" s="8"/>
      <c r="BW1738" s="58"/>
    </row>
    <row r="1739" spans="41:75" x14ac:dyDescent="0.35">
      <c r="AO1739" s="39">
        <v>1737</v>
      </c>
      <c r="AP1739" s="62"/>
      <c r="AQ1739" s="39"/>
      <c r="AR1739" s="42" t="str">
        <f>IFERROR(VLOOKUP(AU1739,[1]SUMMARY!$A$3:$B$7,2,FALSE),"")</f>
        <v/>
      </c>
      <c r="AS1739" s="31"/>
      <c r="AT1739" s="31" t="e">
        <f>VLOOKUP(AS1739,[1]OUTLET!$B:$C,2,0)</f>
        <v>#N/A</v>
      </c>
      <c r="AU1739" s="31"/>
      <c r="AV1739" s="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55"/>
      <c r="BP1739" s="40"/>
      <c r="BQ1739" s="4"/>
      <c r="BR1739" s="61"/>
      <c r="BS1739" s="4"/>
      <c r="BT1739" s="57"/>
      <c r="BU1739" s="62"/>
      <c r="BV1739" s="8"/>
      <c r="BW1739" s="58"/>
    </row>
    <row r="1740" spans="41:75" x14ac:dyDescent="0.35">
      <c r="AO1740" s="39">
        <v>1738</v>
      </c>
      <c r="AP1740" s="62"/>
      <c r="AQ1740" s="39"/>
      <c r="AR1740" s="42" t="str">
        <f>IFERROR(VLOOKUP(AU1740,[1]SUMMARY!$A$3:$B$7,2,FALSE),"")</f>
        <v/>
      </c>
      <c r="AS1740" s="31"/>
      <c r="AT1740" s="31" t="e">
        <f>VLOOKUP(AS1740,[1]OUTLET!$B:$C,2,0)</f>
        <v>#N/A</v>
      </c>
      <c r="AU1740" s="31"/>
      <c r="AV1740" s="4"/>
      <c r="AW1740" s="44"/>
      <c r="AX1740" s="44"/>
      <c r="AY1740" s="44"/>
      <c r="AZ1740" s="44"/>
      <c r="BA1740" s="44"/>
      <c r="BB1740" s="44"/>
      <c r="BC1740" s="44"/>
      <c r="BD1740" s="44"/>
      <c r="BE1740" s="44"/>
      <c r="BF1740" s="44"/>
      <c r="BG1740" s="44"/>
      <c r="BH1740" s="44"/>
      <c r="BI1740" s="44"/>
      <c r="BJ1740" s="44"/>
      <c r="BK1740" s="44"/>
      <c r="BL1740" s="44"/>
      <c r="BM1740" s="44"/>
      <c r="BN1740" s="44"/>
      <c r="BO1740" s="55"/>
      <c r="BP1740" s="40"/>
      <c r="BQ1740" s="4"/>
      <c r="BR1740" s="61"/>
      <c r="BS1740" s="4"/>
      <c r="BT1740" s="57"/>
      <c r="BU1740" s="62"/>
      <c r="BV1740" s="8"/>
      <c r="BW1740" s="58"/>
    </row>
    <row r="1741" spans="41:75" x14ac:dyDescent="0.35">
      <c r="AO1741" s="39">
        <v>1739</v>
      </c>
      <c r="AP1741" s="62"/>
      <c r="AQ1741" s="39"/>
      <c r="AR1741" s="42" t="str">
        <f>IFERROR(VLOOKUP(AU1741,[1]SUMMARY!$A$3:$B$7,2,FALSE),"")</f>
        <v/>
      </c>
      <c r="AS1741" s="31"/>
      <c r="AT1741" s="31" t="e">
        <f>VLOOKUP(AS1741,[1]OUTLET!$B:$C,2,0)</f>
        <v>#N/A</v>
      </c>
      <c r="AU1741" s="31"/>
      <c r="AV1741" s="4"/>
      <c r="AW1741" s="44"/>
      <c r="AX1741" s="44"/>
      <c r="AY1741" s="44"/>
      <c r="AZ1741" s="44"/>
      <c r="BA1741" s="44"/>
      <c r="BB1741" s="44"/>
      <c r="BC1741" s="44"/>
      <c r="BD1741" s="44"/>
      <c r="BE1741" s="44"/>
      <c r="BF1741" s="44"/>
      <c r="BG1741" s="44"/>
      <c r="BH1741" s="44"/>
      <c r="BI1741" s="44"/>
      <c r="BJ1741" s="44"/>
      <c r="BK1741" s="44"/>
      <c r="BL1741" s="44"/>
      <c r="BM1741" s="44"/>
      <c r="BN1741" s="44"/>
      <c r="BO1741" s="55"/>
      <c r="BP1741" s="40"/>
      <c r="BQ1741" s="4"/>
      <c r="BR1741" s="61"/>
      <c r="BS1741" s="4"/>
      <c r="BT1741" s="57"/>
      <c r="BU1741" s="62"/>
      <c r="BV1741" s="8"/>
      <c r="BW1741" s="58"/>
    </row>
    <row r="1742" spans="41:75" x14ac:dyDescent="0.35">
      <c r="AO1742" s="39">
        <v>1740</v>
      </c>
      <c r="AP1742" s="62"/>
      <c r="AQ1742" s="39"/>
      <c r="AR1742" s="42" t="str">
        <f>IFERROR(VLOOKUP(AU1742,[1]SUMMARY!$A$3:$B$7,2,FALSE),"")</f>
        <v/>
      </c>
      <c r="AS1742" s="31"/>
      <c r="AT1742" s="31" t="e">
        <f>VLOOKUP(AS1742,[1]OUTLET!$B:$C,2,0)</f>
        <v>#N/A</v>
      </c>
      <c r="AU1742" s="31"/>
      <c r="AV1742" s="4"/>
      <c r="AW1742" s="44"/>
      <c r="AX1742" s="44"/>
      <c r="AY1742" s="44"/>
      <c r="AZ1742" s="44"/>
      <c r="BA1742" s="44"/>
      <c r="BB1742" s="44"/>
      <c r="BC1742" s="44"/>
      <c r="BD1742" s="44"/>
      <c r="BE1742" s="44"/>
      <c r="BF1742" s="44"/>
      <c r="BG1742" s="44"/>
      <c r="BH1742" s="44"/>
      <c r="BI1742" s="44"/>
      <c r="BJ1742" s="44"/>
      <c r="BK1742" s="44"/>
      <c r="BL1742" s="44"/>
      <c r="BM1742" s="44"/>
      <c r="BN1742" s="44"/>
      <c r="BO1742" s="55"/>
      <c r="BP1742" s="40"/>
      <c r="BQ1742" s="4"/>
      <c r="BR1742" s="61"/>
      <c r="BS1742" s="4"/>
      <c r="BT1742" s="57"/>
      <c r="BU1742" s="62"/>
      <c r="BV1742" s="8"/>
      <c r="BW1742" s="58"/>
    </row>
    <row r="1743" spans="41:75" x14ac:dyDescent="0.35">
      <c r="AO1743" s="39">
        <v>1741</v>
      </c>
      <c r="AP1743" s="62"/>
      <c r="AQ1743" s="39"/>
      <c r="AR1743" s="42" t="str">
        <f>IFERROR(VLOOKUP(AU1743,[1]SUMMARY!$A$3:$B$7,2,FALSE),"")</f>
        <v/>
      </c>
      <c r="AS1743" s="31"/>
      <c r="AT1743" s="31" t="e">
        <f>VLOOKUP(AS1743,[1]OUTLET!$B:$C,2,0)</f>
        <v>#N/A</v>
      </c>
      <c r="AU1743" s="31"/>
      <c r="AV1743" s="4"/>
      <c r="AW1743" s="44"/>
      <c r="AX1743" s="44"/>
      <c r="AY1743" s="44"/>
      <c r="AZ1743" s="44"/>
      <c r="BA1743" s="44"/>
      <c r="BB1743" s="44"/>
      <c r="BC1743" s="44"/>
      <c r="BD1743" s="44"/>
      <c r="BE1743" s="44"/>
      <c r="BF1743" s="44"/>
      <c r="BG1743" s="44"/>
      <c r="BH1743" s="44"/>
      <c r="BI1743" s="44"/>
      <c r="BJ1743" s="44"/>
      <c r="BK1743" s="44"/>
      <c r="BL1743" s="44"/>
      <c r="BM1743" s="44"/>
      <c r="BN1743" s="44"/>
      <c r="BO1743" s="55"/>
      <c r="BP1743" s="40"/>
      <c r="BQ1743" s="4"/>
      <c r="BR1743" s="61"/>
      <c r="BS1743" s="4"/>
      <c r="BT1743" s="57"/>
      <c r="BU1743" s="62"/>
      <c r="BV1743" s="8"/>
      <c r="BW1743" s="58"/>
    </row>
    <row r="1744" spans="41:75" x14ac:dyDescent="0.35">
      <c r="AO1744" s="39">
        <v>1742</v>
      </c>
      <c r="AP1744" s="62"/>
      <c r="AQ1744" s="39"/>
      <c r="AR1744" s="42" t="str">
        <f>IFERROR(VLOOKUP(AU1744,[1]SUMMARY!$A$3:$B$7,2,FALSE),"")</f>
        <v/>
      </c>
      <c r="AS1744" s="31"/>
      <c r="AT1744" s="31" t="e">
        <f>VLOOKUP(AS1744,[1]OUTLET!$B:$C,2,0)</f>
        <v>#N/A</v>
      </c>
      <c r="AU1744" s="31"/>
      <c r="AV1744" s="4"/>
      <c r="AW1744" s="44"/>
      <c r="AX1744" s="44"/>
      <c r="AY1744" s="44"/>
      <c r="AZ1744" s="44"/>
      <c r="BA1744" s="44"/>
      <c r="BB1744" s="44"/>
      <c r="BC1744" s="44"/>
      <c r="BD1744" s="44"/>
      <c r="BE1744" s="44"/>
      <c r="BF1744" s="44"/>
      <c r="BG1744" s="44"/>
      <c r="BH1744" s="44"/>
      <c r="BI1744" s="44"/>
      <c r="BJ1744" s="44"/>
      <c r="BK1744" s="44"/>
      <c r="BL1744" s="44"/>
      <c r="BM1744" s="44"/>
      <c r="BN1744" s="44"/>
      <c r="BO1744" s="55"/>
      <c r="BP1744" s="40"/>
      <c r="BQ1744" s="4"/>
      <c r="BR1744" s="61"/>
      <c r="BS1744" s="4"/>
      <c r="BT1744" s="57"/>
      <c r="BU1744" s="62"/>
      <c r="BV1744" s="8"/>
      <c r="BW1744" s="58"/>
    </row>
    <row r="1745" spans="41:75" x14ac:dyDescent="0.35">
      <c r="AO1745" s="39">
        <v>1743</v>
      </c>
      <c r="AP1745" s="62"/>
      <c r="AQ1745" s="39"/>
      <c r="AR1745" s="42" t="str">
        <f>IFERROR(VLOOKUP(AU1745,[1]SUMMARY!$A$3:$B$7,2,FALSE),"")</f>
        <v/>
      </c>
      <c r="AS1745" s="31"/>
      <c r="AT1745" s="31" t="e">
        <f>VLOOKUP(AS1745,[1]OUTLET!$B:$C,2,0)</f>
        <v>#N/A</v>
      </c>
      <c r="AU1745" s="31"/>
      <c r="AV1745" s="4"/>
      <c r="AW1745" s="44"/>
      <c r="AX1745" s="44"/>
      <c r="AY1745" s="44"/>
      <c r="AZ1745" s="44"/>
      <c r="BA1745" s="44"/>
      <c r="BB1745" s="44"/>
      <c r="BC1745" s="44"/>
      <c r="BD1745" s="44"/>
      <c r="BE1745" s="44"/>
      <c r="BF1745" s="44"/>
      <c r="BG1745" s="44"/>
      <c r="BH1745" s="44"/>
      <c r="BI1745" s="44"/>
      <c r="BJ1745" s="44"/>
      <c r="BK1745" s="44"/>
      <c r="BL1745" s="44"/>
      <c r="BM1745" s="44"/>
      <c r="BN1745" s="44"/>
      <c r="BO1745" s="55"/>
      <c r="BP1745" s="40"/>
      <c r="BQ1745" s="4"/>
      <c r="BR1745" s="61"/>
      <c r="BS1745" s="4"/>
      <c r="BT1745" s="57"/>
      <c r="BU1745" s="62"/>
      <c r="BV1745" s="8"/>
      <c r="BW1745" s="58"/>
    </row>
    <row r="1746" spans="41:75" x14ac:dyDescent="0.35">
      <c r="AO1746" s="39">
        <v>1744</v>
      </c>
      <c r="AP1746" s="62"/>
      <c r="AQ1746" s="39"/>
      <c r="AR1746" s="42" t="str">
        <f>IFERROR(VLOOKUP(AU1746,[1]SUMMARY!$A$3:$B$7,2,FALSE),"")</f>
        <v/>
      </c>
      <c r="AS1746" s="31"/>
      <c r="AT1746" s="31" t="e">
        <f>VLOOKUP(AS1746,[1]OUTLET!$B:$C,2,0)</f>
        <v>#N/A</v>
      </c>
      <c r="AU1746" s="31"/>
      <c r="AV1746" s="4"/>
      <c r="AW1746" s="44"/>
      <c r="AX1746" s="44"/>
      <c r="AY1746" s="44"/>
      <c r="AZ1746" s="44"/>
      <c r="BA1746" s="44"/>
      <c r="BB1746" s="44"/>
      <c r="BC1746" s="44"/>
      <c r="BD1746" s="44"/>
      <c r="BE1746" s="44"/>
      <c r="BF1746" s="44"/>
      <c r="BG1746" s="44"/>
      <c r="BH1746" s="44"/>
      <c r="BI1746" s="44"/>
      <c r="BJ1746" s="44"/>
      <c r="BK1746" s="44"/>
      <c r="BL1746" s="44"/>
      <c r="BM1746" s="44"/>
      <c r="BN1746" s="44"/>
      <c r="BO1746" s="55"/>
      <c r="BP1746" s="40"/>
      <c r="BQ1746" s="4"/>
      <c r="BR1746" s="61"/>
      <c r="BS1746" s="4"/>
      <c r="BT1746" s="57"/>
      <c r="BU1746" s="62"/>
      <c r="BV1746" s="8"/>
      <c r="BW1746" s="58"/>
    </row>
    <row r="1747" spans="41:75" x14ac:dyDescent="0.35">
      <c r="AO1747" s="39">
        <v>1745</v>
      </c>
      <c r="AP1747" s="62"/>
      <c r="AQ1747" s="39"/>
      <c r="AR1747" s="42" t="str">
        <f>IFERROR(VLOOKUP(AU1747,[1]SUMMARY!$A$3:$B$7,2,FALSE),"")</f>
        <v/>
      </c>
      <c r="AS1747" s="31"/>
      <c r="AT1747" s="31" t="e">
        <f>VLOOKUP(AS1747,[1]OUTLET!$B:$C,2,0)</f>
        <v>#N/A</v>
      </c>
      <c r="AU1747" s="31"/>
      <c r="AV1747" s="4"/>
      <c r="AW1747" s="44"/>
      <c r="AX1747" s="44"/>
      <c r="AY1747" s="44"/>
      <c r="AZ1747" s="44"/>
      <c r="BA1747" s="44"/>
      <c r="BB1747" s="44"/>
      <c r="BC1747" s="44"/>
      <c r="BD1747" s="44"/>
      <c r="BE1747" s="44"/>
      <c r="BF1747" s="44"/>
      <c r="BG1747" s="44"/>
      <c r="BH1747" s="44"/>
      <c r="BI1747" s="44"/>
      <c r="BJ1747" s="44"/>
      <c r="BK1747" s="44"/>
      <c r="BL1747" s="44"/>
      <c r="BM1747" s="44"/>
      <c r="BN1747" s="44"/>
      <c r="BO1747" s="55"/>
      <c r="BP1747" s="40"/>
      <c r="BQ1747" s="4"/>
      <c r="BR1747" s="61"/>
      <c r="BS1747" s="4"/>
      <c r="BT1747" s="57"/>
      <c r="BU1747" s="62"/>
      <c r="BV1747" s="8"/>
      <c r="BW1747" s="58"/>
    </row>
    <row r="1748" spans="41:75" x14ac:dyDescent="0.35">
      <c r="AO1748" s="39">
        <v>1746</v>
      </c>
      <c r="AP1748" s="62"/>
      <c r="AQ1748" s="39"/>
      <c r="AR1748" s="42" t="str">
        <f>IFERROR(VLOOKUP(AU1748,[1]SUMMARY!$A$3:$B$7,2,FALSE),"")</f>
        <v/>
      </c>
      <c r="AS1748" s="31"/>
      <c r="AT1748" s="31" t="e">
        <f>VLOOKUP(AS1748,[1]OUTLET!$B:$C,2,0)</f>
        <v>#N/A</v>
      </c>
      <c r="AU1748" s="31"/>
      <c r="AV1748" s="4"/>
      <c r="AW1748" s="44"/>
      <c r="AX1748" s="44"/>
      <c r="AY1748" s="44"/>
      <c r="AZ1748" s="44"/>
      <c r="BA1748" s="44"/>
      <c r="BB1748" s="44"/>
      <c r="BC1748" s="44"/>
      <c r="BD1748" s="44"/>
      <c r="BE1748" s="44"/>
      <c r="BF1748" s="44"/>
      <c r="BG1748" s="44"/>
      <c r="BH1748" s="44"/>
      <c r="BI1748" s="44"/>
      <c r="BJ1748" s="44"/>
      <c r="BK1748" s="44"/>
      <c r="BL1748" s="44"/>
      <c r="BM1748" s="44"/>
      <c r="BN1748" s="44"/>
      <c r="BO1748" s="55"/>
      <c r="BP1748" s="40"/>
      <c r="BQ1748" s="4"/>
      <c r="BR1748" s="61"/>
      <c r="BS1748" s="4"/>
      <c r="BT1748" s="57"/>
      <c r="BU1748" s="62"/>
      <c r="BV1748" s="8"/>
      <c r="BW1748" s="58"/>
    </row>
    <row r="1749" spans="41:75" x14ac:dyDescent="0.35">
      <c r="AO1749" s="39">
        <v>1747</v>
      </c>
      <c r="AP1749" s="62"/>
      <c r="AQ1749" s="39"/>
      <c r="AR1749" s="42" t="str">
        <f>IFERROR(VLOOKUP(AU1749,[1]SUMMARY!$A$3:$B$7,2,FALSE),"")</f>
        <v/>
      </c>
      <c r="AS1749" s="31"/>
      <c r="AT1749" s="31" t="e">
        <f>VLOOKUP(AS1749,[1]OUTLET!$B:$C,2,0)</f>
        <v>#N/A</v>
      </c>
      <c r="AU1749" s="31"/>
      <c r="AV1749" s="4"/>
      <c r="AW1749" s="44"/>
      <c r="AX1749" s="44"/>
      <c r="AY1749" s="44"/>
      <c r="AZ1749" s="44"/>
      <c r="BA1749" s="44"/>
      <c r="BB1749" s="44"/>
      <c r="BC1749" s="44"/>
      <c r="BD1749" s="44"/>
      <c r="BE1749" s="44"/>
      <c r="BF1749" s="44"/>
      <c r="BG1749" s="44"/>
      <c r="BH1749" s="44"/>
      <c r="BI1749" s="44"/>
      <c r="BJ1749" s="44"/>
      <c r="BK1749" s="44"/>
      <c r="BL1749" s="44"/>
      <c r="BM1749" s="44"/>
      <c r="BN1749" s="44"/>
      <c r="BO1749" s="55"/>
      <c r="BP1749" s="40"/>
      <c r="BQ1749" s="4"/>
      <c r="BR1749" s="61"/>
      <c r="BS1749" s="4"/>
      <c r="BT1749" s="57"/>
      <c r="BU1749" s="62"/>
      <c r="BV1749" s="8"/>
      <c r="BW1749" s="58"/>
    </row>
    <row r="1750" spans="41:75" x14ac:dyDescent="0.35">
      <c r="AO1750" s="39">
        <v>1748</v>
      </c>
      <c r="AP1750" s="62"/>
      <c r="AQ1750" s="39"/>
      <c r="AR1750" s="42" t="str">
        <f>IFERROR(VLOOKUP(AU1750,[1]SUMMARY!$A$3:$B$7,2,FALSE),"")</f>
        <v/>
      </c>
      <c r="AS1750" s="31"/>
      <c r="AT1750" s="31" t="e">
        <f>VLOOKUP(AS1750,[1]OUTLET!$B:$C,2,0)</f>
        <v>#N/A</v>
      </c>
      <c r="AU1750" s="31"/>
      <c r="AV1750" s="4"/>
      <c r="AW1750" s="44"/>
      <c r="AX1750" s="44"/>
      <c r="AY1750" s="44"/>
      <c r="AZ1750" s="44"/>
      <c r="BA1750" s="44"/>
      <c r="BB1750" s="44"/>
      <c r="BC1750" s="44"/>
      <c r="BD1750" s="44"/>
      <c r="BE1750" s="44"/>
      <c r="BF1750" s="44"/>
      <c r="BG1750" s="44"/>
      <c r="BH1750" s="44"/>
      <c r="BI1750" s="44"/>
      <c r="BJ1750" s="44"/>
      <c r="BK1750" s="44"/>
      <c r="BL1750" s="44"/>
      <c r="BM1750" s="44"/>
      <c r="BN1750" s="44"/>
      <c r="BO1750" s="55"/>
      <c r="BP1750" s="40"/>
      <c r="BQ1750" s="4"/>
      <c r="BR1750" s="61"/>
      <c r="BS1750" s="4"/>
      <c r="BT1750" s="57"/>
      <c r="BU1750" s="62"/>
      <c r="BV1750" s="8"/>
      <c r="BW1750" s="58"/>
    </row>
    <row r="1751" spans="41:75" x14ac:dyDescent="0.35">
      <c r="AO1751" s="39">
        <v>1749</v>
      </c>
      <c r="AP1751" s="62"/>
      <c r="AQ1751" s="39"/>
      <c r="AR1751" s="42" t="str">
        <f>IFERROR(VLOOKUP(AU1751,[1]SUMMARY!$A$3:$B$7,2,FALSE),"")</f>
        <v/>
      </c>
      <c r="AS1751" s="31"/>
      <c r="AT1751" s="31" t="e">
        <f>VLOOKUP(AS1751,[1]OUTLET!$B:$C,2,0)</f>
        <v>#N/A</v>
      </c>
      <c r="AU1751" s="31"/>
      <c r="AV1751" s="4"/>
      <c r="AW1751" s="44"/>
      <c r="AX1751" s="44"/>
      <c r="AY1751" s="44"/>
      <c r="AZ1751" s="44"/>
      <c r="BA1751" s="44"/>
      <c r="BB1751" s="44"/>
      <c r="BC1751" s="44"/>
      <c r="BD1751" s="44"/>
      <c r="BE1751" s="44"/>
      <c r="BF1751" s="44"/>
      <c r="BG1751" s="44"/>
      <c r="BH1751" s="44"/>
      <c r="BI1751" s="44"/>
      <c r="BJ1751" s="44"/>
      <c r="BK1751" s="44"/>
      <c r="BL1751" s="44"/>
      <c r="BM1751" s="44"/>
      <c r="BN1751" s="44"/>
      <c r="BO1751" s="55"/>
      <c r="BP1751" s="40"/>
      <c r="BQ1751" s="4"/>
      <c r="BR1751" s="61"/>
      <c r="BS1751" s="4"/>
      <c r="BT1751" s="57"/>
      <c r="BU1751" s="62"/>
      <c r="BV1751" s="8"/>
      <c r="BW1751" s="58"/>
    </row>
    <row r="1752" spans="41:75" x14ac:dyDescent="0.35">
      <c r="AO1752" s="39">
        <v>1750</v>
      </c>
      <c r="AP1752" s="62"/>
      <c r="AQ1752" s="39"/>
      <c r="AR1752" s="42" t="str">
        <f>IFERROR(VLOOKUP(AU1752,[1]SUMMARY!$A$3:$B$7,2,FALSE),"")</f>
        <v/>
      </c>
      <c r="AS1752" s="31"/>
      <c r="AT1752" s="31" t="e">
        <f>VLOOKUP(AS1752,[1]OUTLET!$B:$C,2,0)</f>
        <v>#N/A</v>
      </c>
      <c r="AU1752" s="31"/>
      <c r="AV1752" s="4"/>
      <c r="AW1752" s="44"/>
      <c r="AX1752" s="44"/>
      <c r="AY1752" s="44"/>
      <c r="AZ1752" s="44"/>
      <c r="BA1752" s="44"/>
      <c r="BB1752" s="44"/>
      <c r="BC1752" s="44"/>
      <c r="BD1752" s="44"/>
      <c r="BE1752" s="44"/>
      <c r="BF1752" s="44"/>
      <c r="BG1752" s="44"/>
      <c r="BH1752" s="44"/>
      <c r="BI1752" s="44"/>
      <c r="BJ1752" s="44"/>
      <c r="BK1752" s="44"/>
      <c r="BL1752" s="44"/>
      <c r="BM1752" s="44"/>
      <c r="BN1752" s="44"/>
      <c r="BO1752" s="55"/>
      <c r="BP1752" s="40"/>
      <c r="BQ1752" s="4"/>
      <c r="BR1752" s="61"/>
      <c r="BS1752" s="4"/>
      <c r="BT1752" s="57"/>
      <c r="BU1752" s="62"/>
      <c r="BV1752" s="8"/>
      <c r="BW1752" s="58"/>
    </row>
    <row r="1753" spans="41:75" x14ac:dyDescent="0.35">
      <c r="AO1753" s="39">
        <v>1751</v>
      </c>
      <c r="AP1753" s="62"/>
      <c r="AQ1753" s="39"/>
      <c r="AR1753" s="42" t="str">
        <f>IFERROR(VLOOKUP(AU1753,[1]SUMMARY!$A$3:$B$7,2,FALSE),"")</f>
        <v/>
      </c>
      <c r="AS1753" s="31"/>
      <c r="AT1753" s="31" t="e">
        <f>VLOOKUP(AS1753,[1]OUTLET!$B:$C,2,0)</f>
        <v>#N/A</v>
      </c>
      <c r="AU1753" s="31"/>
      <c r="AV1753" s="4"/>
      <c r="AW1753" s="44"/>
      <c r="AX1753" s="44"/>
      <c r="AY1753" s="44"/>
      <c r="AZ1753" s="44"/>
      <c r="BA1753" s="44"/>
      <c r="BB1753" s="44"/>
      <c r="BC1753" s="44"/>
      <c r="BD1753" s="44"/>
      <c r="BE1753" s="44"/>
      <c r="BF1753" s="44"/>
      <c r="BG1753" s="44"/>
      <c r="BH1753" s="44"/>
      <c r="BI1753" s="44"/>
      <c r="BJ1753" s="44"/>
      <c r="BK1753" s="44"/>
      <c r="BL1753" s="44"/>
      <c r="BM1753" s="44"/>
      <c r="BN1753" s="44"/>
      <c r="BO1753" s="55"/>
      <c r="BP1753" s="40"/>
      <c r="BQ1753" s="4"/>
      <c r="BR1753" s="61"/>
      <c r="BS1753" s="4"/>
      <c r="BT1753" s="57"/>
      <c r="BU1753" s="62"/>
      <c r="BV1753" s="8"/>
      <c r="BW1753" s="58"/>
    </row>
    <row r="1754" spans="41:75" x14ac:dyDescent="0.35">
      <c r="AO1754" s="39">
        <v>1752</v>
      </c>
      <c r="AP1754" s="62"/>
      <c r="AQ1754" s="39"/>
      <c r="AR1754" s="42" t="str">
        <f>IFERROR(VLOOKUP(AU1754,[1]SUMMARY!$A$3:$B$7,2,FALSE),"")</f>
        <v/>
      </c>
      <c r="AS1754" s="31"/>
      <c r="AT1754" s="31" t="e">
        <f>VLOOKUP(AS1754,[1]OUTLET!$B:$C,2,0)</f>
        <v>#N/A</v>
      </c>
      <c r="AU1754" s="31"/>
      <c r="AV1754" s="4"/>
      <c r="AW1754" s="44"/>
      <c r="AX1754" s="44"/>
      <c r="AY1754" s="44"/>
      <c r="AZ1754" s="44"/>
      <c r="BA1754" s="44"/>
      <c r="BB1754" s="44"/>
      <c r="BC1754" s="44"/>
      <c r="BD1754" s="44"/>
      <c r="BE1754" s="44"/>
      <c r="BF1754" s="44"/>
      <c r="BG1754" s="44"/>
      <c r="BH1754" s="44"/>
      <c r="BI1754" s="44"/>
      <c r="BJ1754" s="44"/>
      <c r="BK1754" s="44"/>
      <c r="BL1754" s="44"/>
      <c r="BM1754" s="44"/>
      <c r="BN1754" s="44"/>
      <c r="BO1754" s="55"/>
      <c r="BP1754" s="40"/>
      <c r="BQ1754" s="4"/>
      <c r="BR1754" s="61"/>
      <c r="BS1754" s="4"/>
      <c r="BT1754" s="57"/>
      <c r="BU1754" s="62"/>
      <c r="BV1754" s="8"/>
      <c r="BW1754" s="58"/>
    </row>
    <row r="1755" spans="41:75" x14ac:dyDescent="0.35">
      <c r="AO1755" s="39">
        <v>1753</v>
      </c>
      <c r="AP1755" s="62"/>
      <c r="AQ1755" s="39"/>
      <c r="AR1755" s="42" t="str">
        <f>IFERROR(VLOOKUP(AU1755,[1]SUMMARY!$A$3:$B$7,2,FALSE),"")</f>
        <v/>
      </c>
      <c r="AS1755" s="31"/>
      <c r="AT1755" s="31" t="e">
        <f>VLOOKUP(AS1755,[1]OUTLET!$B:$C,2,0)</f>
        <v>#N/A</v>
      </c>
      <c r="AU1755" s="31"/>
      <c r="AV1755" s="4"/>
      <c r="AW1755" s="44"/>
      <c r="AX1755" s="44"/>
      <c r="AY1755" s="44"/>
      <c r="AZ1755" s="44"/>
      <c r="BA1755" s="44"/>
      <c r="BB1755" s="44"/>
      <c r="BC1755" s="44"/>
      <c r="BD1755" s="44"/>
      <c r="BE1755" s="44"/>
      <c r="BF1755" s="44"/>
      <c r="BG1755" s="44"/>
      <c r="BH1755" s="44"/>
      <c r="BI1755" s="44"/>
      <c r="BJ1755" s="44"/>
      <c r="BK1755" s="44"/>
      <c r="BL1755" s="44"/>
      <c r="BM1755" s="44"/>
      <c r="BN1755" s="44"/>
      <c r="BO1755" s="55"/>
      <c r="BP1755" s="40"/>
      <c r="BQ1755" s="4"/>
      <c r="BR1755" s="61"/>
      <c r="BS1755" s="4"/>
      <c r="BT1755" s="57"/>
      <c r="BU1755" s="62"/>
      <c r="BV1755" s="8"/>
      <c r="BW1755" s="58"/>
    </row>
    <row r="1756" spans="41:75" x14ac:dyDescent="0.35">
      <c r="AO1756" s="39">
        <v>1754</v>
      </c>
      <c r="AP1756" s="62"/>
      <c r="AQ1756" s="39"/>
      <c r="AR1756" s="42" t="str">
        <f>IFERROR(VLOOKUP(AU1756,[1]SUMMARY!$A$3:$B$7,2,FALSE),"")</f>
        <v/>
      </c>
      <c r="AS1756" s="31"/>
      <c r="AT1756" s="31" t="e">
        <f>VLOOKUP(AS1756,[1]OUTLET!$B:$C,2,0)</f>
        <v>#N/A</v>
      </c>
      <c r="AU1756" s="31"/>
      <c r="AV1756" s="4"/>
      <c r="AW1756" s="44"/>
      <c r="AX1756" s="44"/>
      <c r="AY1756" s="44"/>
      <c r="AZ1756" s="44"/>
      <c r="BA1756" s="44"/>
      <c r="BB1756" s="44"/>
      <c r="BC1756" s="44"/>
      <c r="BD1756" s="44"/>
      <c r="BE1756" s="44"/>
      <c r="BF1756" s="44"/>
      <c r="BG1756" s="44"/>
      <c r="BH1756" s="44"/>
      <c r="BI1756" s="44"/>
      <c r="BJ1756" s="44"/>
      <c r="BK1756" s="44"/>
      <c r="BL1756" s="44"/>
      <c r="BM1756" s="44"/>
      <c r="BN1756" s="44"/>
      <c r="BO1756" s="55"/>
      <c r="BP1756" s="40"/>
      <c r="BQ1756" s="4"/>
      <c r="BR1756" s="61"/>
      <c r="BS1756" s="4"/>
      <c r="BT1756" s="57"/>
      <c r="BU1756" s="62"/>
      <c r="BV1756" s="8"/>
      <c r="BW1756" s="58"/>
    </row>
    <row r="1757" spans="41:75" x14ac:dyDescent="0.35">
      <c r="AO1757" s="39">
        <v>1755</v>
      </c>
      <c r="AP1757" s="62"/>
      <c r="AQ1757" s="39"/>
      <c r="AR1757" s="42" t="str">
        <f>IFERROR(VLOOKUP(AU1757,[1]SUMMARY!$A$3:$B$7,2,FALSE),"")</f>
        <v/>
      </c>
      <c r="AS1757" s="31"/>
      <c r="AT1757" s="31" t="e">
        <f>VLOOKUP(AS1757,[1]OUTLET!$B:$C,2,0)</f>
        <v>#N/A</v>
      </c>
      <c r="AU1757" s="31"/>
      <c r="AV1757" s="4"/>
      <c r="AW1757" s="44"/>
      <c r="AX1757" s="44"/>
      <c r="AY1757" s="44"/>
      <c r="AZ1757" s="44"/>
      <c r="BA1757" s="44"/>
      <c r="BB1757" s="44"/>
      <c r="BC1757" s="44"/>
      <c r="BD1757" s="44"/>
      <c r="BE1757" s="44"/>
      <c r="BF1757" s="44"/>
      <c r="BG1757" s="44"/>
      <c r="BH1757" s="44"/>
      <c r="BI1757" s="44"/>
      <c r="BJ1757" s="44"/>
      <c r="BK1757" s="44"/>
      <c r="BL1757" s="44"/>
      <c r="BM1757" s="44"/>
      <c r="BN1757" s="44"/>
      <c r="BO1757" s="55"/>
      <c r="BP1757" s="40"/>
      <c r="BQ1757" s="4"/>
      <c r="BR1757" s="61"/>
      <c r="BS1757" s="4"/>
      <c r="BT1757" s="57"/>
      <c r="BU1757" s="62"/>
      <c r="BV1757" s="8"/>
      <c r="BW1757" s="58"/>
    </row>
    <row r="1758" spans="41:75" x14ac:dyDescent="0.35">
      <c r="AO1758" s="39">
        <v>1756</v>
      </c>
      <c r="AP1758" s="62"/>
      <c r="AQ1758" s="39"/>
      <c r="AR1758" s="42" t="str">
        <f>IFERROR(VLOOKUP(AU1758,[1]SUMMARY!$A$3:$B$7,2,FALSE),"")</f>
        <v/>
      </c>
      <c r="AS1758" s="31"/>
      <c r="AT1758" s="31" t="e">
        <f>VLOOKUP(AS1758,[1]OUTLET!$B:$C,2,0)</f>
        <v>#N/A</v>
      </c>
      <c r="AU1758" s="31"/>
      <c r="AV1758" s="4"/>
      <c r="AW1758" s="44"/>
      <c r="AX1758" s="44"/>
      <c r="AY1758" s="44"/>
      <c r="AZ1758" s="44"/>
      <c r="BA1758" s="44"/>
      <c r="BB1758" s="44"/>
      <c r="BC1758" s="44"/>
      <c r="BD1758" s="44"/>
      <c r="BE1758" s="44"/>
      <c r="BF1758" s="44"/>
      <c r="BG1758" s="44"/>
      <c r="BH1758" s="44"/>
      <c r="BI1758" s="44"/>
      <c r="BJ1758" s="44"/>
      <c r="BK1758" s="44"/>
      <c r="BL1758" s="44"/>
      <c r="BM1758" s="44"/>
      <c r="BN1758" s="44"/>
      <c r="BO1758" s="55"/>
      <c r="BP1758" s="40"/>
      <c r="BQ1758" s="4"/>
      <c r="BR1758" s="61"/>
      <c r="BS1758" s="4"/>
      <c r="BT1758" s="57"/>
      <c r="BU1758" s="62"/>
      <c r="BV1758" s="8"/>
      <c r="BW1758" s="58"/>
    </row>
    <row r="1759" spans="41:75" x14ac:dyDescent="0.35">
      <c r="AO1759" s="39">
        <v>1757</v>
      </c>
      <c r="AP1759" s="62"/>
      <c r="AQ1759" s="39"/>
      <c r="AR1759" s="42" t="str">
        <f>IFERROR(VLOOKUP(AU1759,[1]SUMMARY!$A$3:$B$7,2,FALSE),"")</f>
        <v/>
      </c>
      <c r="AS1759" s="31"/>
      <c r="AT1759" s="31" t="e">
        <f>VLOOKUP(AS1759,[1]OUTLET!$B:$C,2,0)</f>
        <v>#N/A</v>
      </c>
      <c r="AU1759" s="31"/>
      <c r="AV1759" s="4"/>
      <c r="AW1759" s="44"/>
      <c r="AX1759" s="44"/>
      <c r="AY1759" s="44"/>
      <c r="AZ1759" s="44"/>
      <c r="BA1759" s="44"/>
      <c r="BB1759" s="44"/>
      <c r="BC1759" s="44"/>
      <c r="BD1759" s="44"/>
      <c r="BE1759" s="44"/>
      <c r="BF1759" s="44"/>
      <c r="BG1759" s="44"/>
      <c r="BH1759" s="44"/>
      <c r="BI1759" s="44"/>
      <c r="BJ1759" s="44"/>
      <c r="BK1759" s="44"/>
      <c r="BL1759" s="44"/>
      <c r="BM1759" s="44"/>
      <c r="BN1759" s="44"/>
      <c r="BO1759" s="55"/>
      <c r="BP1759" s="40"/>
      <c r="BQ1759" s="4"/>
      <c r="BR1759" s="61"/>
      <c r="BS1759" s="4"/>
      <c r="BT1759" s="57"/>
      <c r="BU1759" s="62"/>
      <c r="BV1759" s="8"/>
      <c r="BW1759" s="58"/>
    </row>
    <row r="1760" spans="41:75" x14ac:dyDescent="0.35">
      <c r="AO1760" s="39">
        <v>1758</v>
      </c>
      <c r="AP1760" s="62"/>
      <c r="AQ1760" s="39"/>
      <c r="AR1760" s="42" t="str">
        <f>IFERROR(VLOOKUP(AU1760,[1]SUMMARY!$A$3:$B$7,2,FALSE),"")</f>
        <v/>
      </c>
      <c r="AS1760" s="31"/>
      <c r="AT1760" s="31" t="e">
        <f>VLOOKUP(AS1760,[1]OUTLET!$B:$C,2,0)</f>
        <v>#N/A</v>
      </c>
      <c r="AU1760" s="31"/>
      <c r="AV1760" s="4"/>
      <c r="AW1760" s="44"/>
      <c r="AX1760" s="44"/>
      <c r="AY1760" s="44"/>
      <c r="AZ1760" s="44"/>
      <c r="BA1760" s="44"/>
      <c r="BB1760" s="44"/>
      <c r="BC1760" s="44"/>
      <c r="BD1760" s="44"/>
      <c r="BE1760" s="44"/>
      <c r="BF1760" s="44"/>
      <c r="BG1760" s="44"/>
      <c r="BH1760" s="44"/>
      <c r="BI1760" s="44"/>
      <c r="BJ1760" s="44"/>
      <c r="BK1760" s="44"/>
      <c r="BL1760" s="44"/>
      <c r="BM1760" s="44"/>
      <c r="BN1760" s="44"/>
      <c r="BO1760" s="55"/>
      <c r="BP1760" s="40"/>
      <c r="BQ1760" s="4"/>
      <c r="BR1760" s="61"/>
      <c r="BS1760" s="4"/>
      <c r="BT1760" s="57"/>
      <c r="BU1760" s="62"/>
      <c r="BV1760" s="8"/>
      <c r="BW1760" s="58"/>
    </row>
    <row r="1761" spans="41:75" x14ac:dyDescent="0.35">
      <c r="AO1761" s="39">
        <v>1759</v>
      </c>
      <c r="AP1761" s="62"/>
      <c r="AQ1761" s="39"/>
      <c r="AR1761" s="42" t="str">
        <f>IFERROR(VLOOKUP(AU1761,[1]SUMMARY!$A$3:$B$7,2,FALSE),"")</f>
        <v/>
      </c>
      <c r="AS1761" s="31"/>
      <c r="AT1761" s="31" t="e">
        <f>VLOOKUP(AS1761,[1]OUTLET!$B:$C,2,0)</f>
        <v>#N/A</v>
      </c>
      <c r="AU1761" s="31"/>
      <c r="AV1761" s="4"/>
      <c r="AW1761" s="44"/>
      <c r="AX1761" s="44"/>
      <c r="AY1761" s="44"/>
      <c r="AZ1761" s="44"/>
      <c r="BA1761" s="44"/>
      <c r="BB1761" s="44"/>
      <c r="BC1761" s="44"/>
      <c r="BD1761" s="44"/>
      <c r="BE1761" s="44"/>
      <c r="BF1761" s="44"/>
      <c r="BG1761" s="44"/>
      <c r="BH1761" s="44"/>
      <c r="BI1761" s="44"/>
      <c r="BJ1761" s="44"/>
      <c r="BK1761" s="44"/>
      <c r="BL1761" s="44"/>
      <c r="BM1761" s="44"/>
      <c r="BN1761" s="44"/>
      <c r="BO1761" s="55"/>
      <c r="BP1761" s="40"/>
      <c r="BQ1761" s="4"/>
      <c r="BR1761" s="61"/>
      <c r="BS1761" s="4"/>
      <c r="BT1761" s="57"/>
      <c r="BU1761" s="62"/>
      <c r="BV1761" s="8"/>
      <c r="BW1761" s="58"/>
    </row>
    <row r="1762" spans="41:75" x14ac:dyDescent="0.35">
      <c r="AO1762" s="39">
        <v>1760</v>
      </c>
      <c r="AP1762" s="62"/>
      <c r="AQ1762" s="39"/>
      <c r="AR1762" s="42" t="str">
        <f>IFERROR(VLOOKUP(AU1762,[1]SUMMARY!$A$3:$B$7,2,FALSE),"")</f>
        <v/>
      </c>
      <c r="AS1762" s="31"/>
      <c r="AT1762" s="31" t="e">
        <f>VLOOKUP(AS1762,[1]OUTLET!$B:$C,2,0)</f>
        <v>#N/A</v>
      </c>
      <c r="AU1762" s="31"/>
      <c r="AV1762" s="4"/>
      <c r="AW1762" s="44"/>
      <c r="AX1762" s="44"/>
      <c r="AY1762" s="44"/>
      <c r="AZ1762" s="44"/>
      <c r="BA1762" s="44"/>
      <c r="BB1762" s="44"/>
      <c r="BC1762" s="44"/>
      <c r="BD1762" s="44"/>
      <c r="BE1762" s="44"/>
      <c r="BF1762" s="44"/>
      <c r="BG1762" s="44"/>
      <c r="BH1762" s="44"/>
      <c r="BI1762" s="44"/>
      <c r="BJ1762" s="44"/>
      <c r="BK1762" s="44"/>
      <c r="BL1762" s="44"/>
      <c r="BM1762" s="44"/>
      <c r="BN1762" s="44"/>
      <c r="BO1762" s="55"/>
      <c r="BP1762" s="40"/>
      <c r="BQ1762" s="4"/>
      <c r="BR1762" s="61"/>
      <c r="BS1762" s="4"/>
      <c r="BT1762" s="57"/>
      <c r="BU1762" s="62"/>
      <c r="BV1762" s="8"/>
      <c r="BW1762" s="58"/>
    </row>
    <row r="1763" spans="41:75" x14ac:dyDescent="0.35">
      <c r="AO1763" s="39">
        <v>1761</v>
      </c>
      <c r="AP1763" s="62"/>
      <c r="AQ1763" s="39"/>
      <c r="AR1763" s="42" t="str">
        <f>IFERROR(VLOOKUP(AU1763,[1]SUMMARY!$A$3:$B$7,2,FALSE),"")</f>
        <v/>
      </c>
      <c r="AS1763" s="31"/>
      <c r="AT1763" s="31" t="e">
        <f>VLOOKUP(AS1763,[1]OUTLET!$B:$C,2,0)</f>
        <v>#N/A</v>
      </c>
      <c r="AU1763" s="31"/>
      <c r="AV1763" s="4"/>
      <c r="AW1763" s="44"/>
      <c r="AX1763" s="44"/>
      <c r="AY1763" s="44"/>
      <c r="AZ1763" s="44"/>
      <c r="BA1763" s="44"/>
      <c r="BB1763" s="44"/>
      <c r="BC1763" s="44"/>
      <c r="BD1763" s="44"/>
      <c r="BE1763" s="44"/>
      <c r="BF1763" s="44"/>
      <c r="BG1763" s="44"/>
      <c r="BH1763" s="44"/>
      <c r="BI1763" s="44"/>
      <c r="BJ1763" s="44"/>
      <c r="BK1763" s="44"/>
      <c r="BL1763" s="44"/>
      <c r="BM1763" s="44"/>
      <c r="BN1763" s="44"/>
      <c r="BO1763" s="55"/>
      <c r="BP1763" s="40"/>
      <c r="BQ1763" s="4"/>
      <c r="BR1763" s="61"/>
      <c r="BS1763" s="4"/>
      <c r="BT1763" s="57"/>
      <c r="BU1763" s="62"/>
      <c r="BV1763" s="8"/>
      <c r="BW1763" s="58"/>
    </row>
    <row r="1764" spans="41:75" x14ac:dyDescent="0.35">
      <c r="AO1764" s="39">
        <v>1762</v>
      </c>
      <c r="AP1764" s="62"/>
      <c r="AQ1764" s="39"/>
      <c r="AR1764" s="42" t="str">
        <f>IFERROR(VLOOKUP(AU1764,[1]SUMMARY!$A$3:$B$7,2,FALSE),"")</f>
        <v/>
      </c>
      <c r="AS1764" s="31"/>
      <c r="AT1764" s="31" t="e">
        <f>VLOOKUP(AS1764,[1]OUTLET!$B:$C,2,0)</f>
        <v>#N/A</v>
      </c>
      <c r="AU1764" s="31"/>
      <c r="AV1764" s="4"/>
      <c r="AW1764" s="44"/>
      <c r="AX1764" s="44"/>
      <c r="AY1764" s="44"/>
      <c r="AZ1764" s="44"/>
      <c r="BA1764" s="44"/>
      <c r="BB1764" s="44"/>
      <c r="BC1764" s="44"/>
      <c r="BD1764" s="44"/>
      <c r="BE1764" s="44"/>
      <c r="BF1764" s="44"/>
      <c r="BG1764" s="44"/>
      <c r="BH1764" s="44"/>
      <c r="BI1764" s="44"/>
      <c r="BJ1764" s="44"/>
      <c r="BK1764" s="44"/>
      <c r="BL1764" s="44"/>
      <c r="BM1764" s="44"/>
      <c r="BN1764" s="44"/>
      <c r="BO1764" s="55"/>
      <c r="BP1764" s="40"/>
      <c r="BQ1764" s="4"/>
      <c r="BR1764" s="61"/>
      <c r="BS1764" s="4"/>
      <c r="BT1764" s="57"/>
      <c r="BU1764" s="62"/>
      <c r="BV1764" s="8"/>
      <c r="BW1764" s="58"/>
    </row>
    <row r="1765" spans="41:75" x14ac:dyDescent="0.35">
      <c r="AO1765" s="39">
        <v>1763</v>
      </c>
      <c r="AP1765" s="62"/>
      <c r="AQ1765" s="39"/>
      <c r="AR1765" s="42" t="str">
        <f>IFERROR(VLOOKUP(AU1765,[1]SUMMARY!$A$3:$B$7,2,FALSE),"")</f>
        <v/>
      </c>
      <c r="AS1765" s="31"/>
      <c r="AT1765" s="31" t="e">
        <f>VLOOKUP(AS1765,[1]OUTLET!$B:$C,2,0)</f>
        <v>#N/A</v>
      </c>
      <c r="AU1765" s="31"/>
      <c r="AV1765" s="4"/>
      <c r="AW1765" s="44"/>
      <c r="AX1765" s="44"/>
      <c r="AY1765" s="44"/>
      <c r="AZ1765" s="44"/>
      <c r="BA1765" s="44"/>
      <c r="BB1765" s="44"/>
      <c r="BC1765" s="44"/>
      <c r="BD1765" s="44"/>
      <c r="BE1765" s="44"/>
      <c r="BF1765" s="44"/>
      <c r="BG1765" s="44"/>
      <c r="BH1765" s="44"/>
      <c r="BI1765" s="44"/>
      <c r="BJ1765" s="44"/>
      <c r="BK1765" s="44"/>
      <c r="BL1765" s="44"/>
      <c r="BM1765" s="44"/>
      <c r="BN1765" s="44"/>
      <c r="BO1765" s="55"/>
      <c r="BP1765" s="40"/>
      <c r="BQ1765" s="4"/>
      <c r="BR1765" s="61"/>
      <c r="BS1765" s="4"/>
      <c r="BT1765" s="57"/>
      <c r="BU1765" s="62"/>
      <c r="BV1765" s="8"/>
      <c r="BW1765" s="58"/>
    </row>
    <row r="1766" spans="41:75" x14ac:dyDescent="0.35">
      <c r="AO1766" s="39">
        <v>1764</v>
      </c>
      <c r="AP1766" s="62"/>
      <c r="AQ1766" s="39"/>
      <c r="AR1766" s="42" t="str">
        <f>IFERROR(VLOOKUP(AU1766,[1]SUMMARY!$A$3:$B$7,2,FALSE),"")</f>
        <v/>
      </c>
      <c r="AS1766" s="31"/>
      <c r="AT1766" s="31" t="e">
        <f>VLOOKUP(AS1766,[1]OUTLET!$B:$C,2,0)</f>
        <v>#N/A</v>
      </c>
      <c r="AU1766" s="31"/>
      <c r="AV1766" s="4"/>
      <c r="AW1766" s="44"/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44"/>
      <c r="BJ1766" s="44"/>
      <c r="BK1766" s="44"/>
      <c r="BL1766" s="44"/>
      <c r="BM1766" s="44"/>
      <c r="BN1766" s="44"/>
      <c r="BO1766" s="55"/>
      <c r="BP1766" s="40"/>
      <c r="BQ1766" s="4"/>
      <c r="BR1766" s="61"/>
      <c r="BS1766" s="4"/>
      <c r="BT1766" s="57"/>
      <c r="BU1766" s="62"/>
      <c r="BV1766" s="8"/>
      <c r="BW1766" s="58"/>
    </row>
    <row r="1767" spans="41:75" x14ac:dyDescent="0.35">
      <c r="AO1767" s="39">
        <v>1765</v>
      </c>
      <c r="AP1767" s="62"/>
      <c r="AQ1767" s="39"/>
      <c r="AR1767" s="42" t="str">
        <f>IFERROR(VLOOKUP(AU1767,[1]SUMMARY!$A$3:$B$7,2,FALSE),"")</f>
        <v/>
      </c>
      <c r="AS1767" s="31"/>
      <c r="AT1767" s="31" t="e">
        <f>VLOOKUP(AS1767,[1]OUTLET!$B:$C,2,0)</f>
        <v>#N/A</v>
      </c>
      <c r="AU1767" s="31"/>
      <c r="AV1767" s="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44"/>
      <c r="BJ1767" s="44"/>
      <c r="BK1767" s="44"/>
      <c r="BL1767" s="44"/>
      <c r="BM1767" s="44"/>
      <c r="BN1767" s="44"/>
      <c r="BO1767" s="55"/>
      <c r="BP1767" s="40"/>
      <c r="BQ1767" s="4"/>
      <c r="BR1767" s="61"/>
      <c r="BS1767" s="4"/>
      <c r="BT1767" s="57"/>
      <c r="BU1767" s="62"/>
      <c r="BV1767" s="8"/>
      <c r="BW1767" s="58"/>
    </row>
    <row r="1768" spans="41:75" x14ac:dyDescent="0.35">
      <c r="AO1768" s="39">
        <v>1766</v>
      </c>
      <c r="AP1768" s="62"/>
      <c r="AQ1768" s="39"/>
      <c r="AR1768" s="42" t="str">
        <f>IFERROR(VLOOKUP(AU1768,[1]SUMMARY!$A$3:$B$7,2,FALSE),"")</f>
        <v/>
      </c>
      <c r="AS1768" s="31"/>
      <c r="AT1768" s="31" t="e">
        <f>VLOOKUP(AS1768,[1]OUTLET!$B:$C,2,0)</f>
        <v>#N/A</v>
      </c>
      <c r="AU1768" s="31"/>
      <c r="AV1768" s="4"/>
      <c r="AW1768" s="44"/>
      <c r="AX1768" s="44"/>
      <c r="AY1768" s="44"/>
      <c r="AZ1768" s="44"/>
      <c r="BA1768" s="44"/>
      <c r="BB1768" s="44"/>
      <c r="BC1768" s="44"/>
      <c r="BD1768" s="44"/>
      <c r="BE1768" s="44"/>
      <c r="BF1768" s="44"/>
      <c r="BG1768" s="44"/>
      <c r="BH1768" s="44"/>
      <c r="BI1768" s="44"/>
      <c r="BJ1768" s="44"/>
      <c r="BK1768" s="44"/>
      <c r="BL1768" s="44"/>
      <c r="BM1768" s="44"/>
      <c r="BN1768" s="44"/>
      <c r="BO1768" s="55"/>
      <c r="BP1768" s="40"/>
      <c r="BQ1768" s="4"/>
      <c r="BR1768" s="61"/>
      <c r="BS1768" s="4"/>
      <c r="BT1768" s="57"/>
      <c r="BU1768" s="62"/>
      <c r="BV1768" s="8"/>
      <c r="BW1768" s="58"/>
    </row>
    <row r="1769" spans="41:75" x14ac:dyDescent="0.35">
      <c r="AO1769" s="39">
        <v>1767</v>
      </c>
      <c r="AP1769" s="62"/>
      <c r="AQ1769" s="39"/>
      <c r="AR1769" s="42" t="str">
        <f>IFERROR(VLOOKUP(AU1769,[1]SUMMARY!$A$3:$B$7,2,FALSE),"")</f>
        <v/>
      </c>
      <c r="AS1769" s="31"/>
      <c r="AT1769" s="31" t="e">
        <f>VLOOKUP(AS1769,[1]OUTLET!$B:$C,2,0)</f>
        <v>#N/A</v>
      </c>
      <c r="AU1769" s="31"/>
      <c r="AV1769" s="4"/>
      <c r="AW1769" s="44"/>
      <c r="AX1769" s="44"/>
      <c r="AY1769" s="44"/>
      <c r="AZ1769" s="44"/>
      <c r="BA1769" s="44"/>
      <c r="BB1769" s="44"/>
      <c r="BC1769" s="44"/>
      <c r="BD1769" s="44"/>
      <c r="BE1769" s="44"/>
      <c r="BF1769" s="44"/>
      <c r="BG1769" s="44"/>
      <c r="BH1769" s="44"/>
      <c r="BI1769" s="44"/>
      <c r="BJ1769" s="44"/>
      <c r="BK1769" s="44"/>
      <c r="BL1769" s="44"/>
      <c r="BM1769" s="44"/>
      <c r="BN1769" s="44"/>
      <c r="BO1769" s="55"/>
      <c r="BP1769" s="40"/>
      <c r="BQ1769" s="4"/>
      <c r="BR1769" s="61"/>
      <c r="BS1769" s="4"/>
      <c r="BT1769" s="57"/>
      <c r="BU1769" s="62"/>
      <c r="BV1769" s="8"/>
      <c r="BW1769" s="58"/>
    </row>
    <row r="1770" spans="41:75" x14ac:dyDescent="0.35">
      <c r="AO1770" s="39">
        <v>1768</v>
      </c>
      <c r="AP1770" s="62"/>
      <c r="AQ1770" s="39"/>
      <c r="AR1770" s="42" t="str">
        <f>IFERROR(VLOOKUP(AU1770,[1]SUMMARY!$A$3:$B$7,2,FALSE),"")</f>
        <v/>
      </c>
      <c r="AS1770" s="31"/>
      <c r="AT1770" s="31" t="e">
        <f>VLOOKUP(AS1770,[1]OUTLET!$B:$C,2,0)</f>
        <v>#N/A</v>
      </c>
      <c r="AU1770" s="31"/>
      <c r="AV1770" s="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55"/>
      <c r="BP1770" s="40"/>
      <c r="BQ1770" s="4"/>
      <c r="BR1770" s="61"/>
      <c r="BS1770" s="4"/>
      <c r="BT1770" s="57"/>
      <c r="BU1770" s="62"/>
      <c r="BV1770" s="8"/>
      <c r="BW1770" s="58"/>
    </row>
    <row r="1771" spans="41:75" x14ac:dyDescent="0.35">
      <c r="AO1771" s="39">
        <v>1769</v>
      </c>
      <c r="AP1771" s="62"/>
      <c r="AQ1771" s="39"/>
      <c r="AR1771" s="42" t="str">
        <f>IFERROR(VLOOKUP(AU1771,[1]SUMMARY!$A$3:$B$7,2,FALSE),"")</f>
        <v/>
      </c>
      <c r="AS1771" s="31"/>
      <c r="AT1771" s="31" t="e">
        <f>VLOOKUP(AS1771,[1]OUTLET!$B:$C,2,0)</f>
        <v>#N/A</v>
      </c>
      <c r="AU1771" s="31"/>
      <c r="AV1771" s="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55"/>
      <c r="BP1771" s="40"/>
      <c r="BQ1771" s="4"/>
      <c r="BR1771" s="61"/>
      <c r="BS1771" s="4"/>
      <c r="BT1771" s="57"/>
      <c r="BU1771" s="62"/>
      <c r="BV1771" s="8"/>
      <c r="BW1771" s="58"/>
    </row>
    <row r="1772" spans="41:75" x14ac:dyDescent="0.35">
      <c r="AO1772" s="39">
        <v>1770</v>
      </c>
      <c r="AP1772" s="62"/>
      <c r="AQ1772" s="39"/>
      <c r="AR1772" s="42" t="str">
        <f>IFERROR(VLOOKUP(AU1772,[1]SUMMARY!$A$3:$B$7,2,FALSE),"")</f>
        <v/>
      </c>
      <c r="AS1772" s="31"/>
      <c r="AT1772" s="31" t="e">
        <f>VLOOKUP(AS1772,[1]OUTLET!$B:$C,2,0)</f>
        <v>#N/A</v>
      </c>
      <c r="AU1772" s="31"/>
      <c r="AV1772" s="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55"/>
      <c r="BP1772" s="40"/>
      <c r="BQ1772" s="4"/>
      <c r="BR1772" s="61"/>
      <c r="BS1772" s="4"/>
      <c r="BT1772" s="57"/>
      <c r="BU1772" s="62"/>
      <c r="BV1772" s="8"/>
      <c r="BW1772" s="58"/>
    </row>
    <row r="1773" spans="41:75" x14ac:dyDescent="0.35">
      <c r="AO1773" s="39">
        <v>1771</v>
      </c>
      <c r="AP1773" s="62"/>
      <c r="AQ1773" s="39"/>
      <c r="AR1773" s="42" t="str">
        <f>IFERROR(VLOOKUP(AU1773,[1]SUMMARY!$A$3:$B$7,2,FALSE),"")</f>
        <v/>
      </c>
      <c r="AS1773" s="31"/>
      <c r="AT1773" s="31" t="e">
        <f>VLOOKUP(AS1773,[1]OUTLET!$B:$C,2,0)</f>
        <v>#N/A</v>
      </c>
      <c r="AU1773" s="31"/>
      <c r="AV1773" s="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55"/>
      <c r="BP1773" s="40"/>
      <c r="BQ1773" s="4"/>
      <c r="BR1773" s="61"/>
      <c r="BS1773" s="4"/>
      <c r="BT1773" s="57"/>
      <c r="BU1773" s="62"/>
      <c r="BV1773" s="8"/>
      <c r="BW1773" s="58"/>
    </row>
    <row r="1774" spans="41:75" x14ac:dyDescent="0.35">
      <c r="AO1774" s="39">
        <v>1772</v>
      </c>
      <c r="AP1774" s="62"/>
      <c r="AQ1774" s="39"/>
      <c r="AR1774" s="42" t="str">
        <f>IFERROR(VLOOKUP(AU1774,[1]SUMMARY!$A$3:$B$7,2,FALSE),"")</f>
        <v/>
      </c>
      <c r="AS1774" s="31"/>
      <c r="AT1774" s="31" t="e">
        <f>VLOOKUP(AS1774,[1]OUTLET!$B:$C,2,0)</f>
        <v>#N/A</v>
      </c>
      <c r="AU1774" s="31"/>
      <c r="AV1774" s="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55"/>
      <c r="BP1774" s="40"/>
      <c r="BQ1774" s="4"/>
      <c r="BR1774" s="61"/>
      <c r="BS1774" s="4"/>
      <c r="BT1774" s="57"/>
      <c r="BU1774" s="62"/>
      <c r="BV1774" s="8"/>
      <c r="BW1774" s="58"/>
    </row>
    <row r="1775" spans="41:75" x14ac:dyDescent="0.35">
      <c r="AO1775" s="39">
        <v>1773</v>
      </c>
      <c r="AP1775" s="62"/>
      <c r="AQ1775" s="39"/>
      <c r="AR1775" s="42" t="str">
        <f>IFERROR(VLOOKUP(AU1775,[1]SUMMARY!$A$3:$B$7,2,FALSE),"")</f>
        <v/>
      </c>
      <c r="AS1775" s="31"/>
      <c r="AT1775" s="31" t="e">
        <f>VLOOKUP(AS1775,[1]OUTLET!$B:$C,2,0)</f>
        <v>#N/A</v>
      </c>
      <c r="AU1775" s="31"/>
      <c r="AV1775" s="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55"/>
      <c r="BP1775" s="40"/>
      <c r="BQ1775" s="4"/>
      <c r="BR1775" s="61"/>
      <c r="BS1775" s="4"/>
      <c r="BT1775" s="57"/>
      <c r="BU1775" s="62"/>
      <c r="BV1775" s="8"/>
      <c r="BW1775" s="58"/>
    </row>
    <row r="1776" spans="41:75" x14ac:dyDescent="0.35">
      <c r="AO1776" s="39">
        <v>1774</v>
      </c>
      <c r="AP1776" s="62"/>
      <c r="AQ1776" s="39"/>
      <c r="AR1776" s="42" t="str">
        <f>IFERROR(VLOOKUP(AU1776,[1]SUMMARY!$A$3:$B$7,2,FALSE),"")</f>
        <v/>
      </c>
      <c r="AS1776" s="31"/>
      <c r="AT1776" s="31" t="e">
        <f>VLOOKUP(AS1776,[1]OUTLET!$B:$C,2,0)</f>
        <v>#N/A</v>
      </c>
      <c r="AU1776" s="31"/>
      <c r="AV1776" s="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55"/>
      <c r="BP1776" s="40"/>
      <c r="BQ1776" s="4"/>
      <c r="BR1776" s="61"/>
      <c r="BS1776" s="4"/>
      <c r="BT1776" s="57"/>
      <c r="BU1776" s="62"/>
      <c r="BV1776" s="8"/>
      <c r="BW1776" s="58"/>
    </row>
    <row r="1777" spans="41:75" x14ac:dyDescent="0.35">
      <c r="AO1777" s="39">
        <v>1775</v>
      </c>
      <c r="AP1777" s="62"/>
      <c r="AQ1777" s="39"/>
      <c r="AR1777" s="42" t="str">
        <f>IFERROR(VLOOKUP(AU1777,[1]SUMMARY!$A$3:$B$7,2,FALSE),"")</f>
        <v/>
      </c>
      <c r="AS1777" s="31"/>
      <c r="AT1777" s="31" t="e">
        <f>VLOOKUP(AS1777,[1]OUTLET!$B:$C,2,0)</f>
        <v>#N/A</v>
      </c>
      <c r="AU1777" s="31"/>
      <c r="AV1777" s="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55"/>
      <c r="BP1777" s="40"/>
      <c r="BQ1777" s="4"/>
      <c r="BR1777" s="61"/>
      <c r="BS1777" s="4"/>
      <c r="BT1777" s="57"/>
      <c r="BU1777" s="62"/>
      <c r="BV1777" s="8"/>
      <c r="BW1777" s="58"/>
    </row>
    <row r="1778" spans="41:75" x14ac:dyDescent="0.35">
      <c r="AO1778" s="39">
        <v>1776</v>
      </c>
      <c r="AP1778" s="62"/>
      <c r="AQ1778" s="39"/>
      <c r="AR1778" s="42" t="str">
        <f>IFERROR(VLOOKUP(AU1778,[1]SUMMARY!$A$3:$B$7,2,FALSE),"")</f>
        <v/>
      </c>
      <c r="AS1778" s="31"/>
      <c r="AT1778" s="31" t="e">
        <f>VLOOKUP(AS1778,[1]OUTLET!$B:$C,2,0)</f>
        <v>#N/A</v>
      </c>
      <c r="AU1778" s="31"/>
      <c r="AV1778" s="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55"/>
      <c r="BP1778" s="40"/>
      <c r="BQ1778" s="4"/>
      <c r="BR1778" s="61"/>
      <c r="BS1778" s="4"/>
      <c r="BT1778" s="57"/>
      <c r="BU1778" s="62"/>
      <c r="BV1778" s="8"/>
      <c r="BW1778" s="58"/>
    </row>
    <row r="1779" spans="41:75" x14ac:dyDescent="0.35">
      <c r="AO1779" s="39">
        <v>1777</v>
      </c>
      <c r="AP1779" s="62"/>
      <c r="AQ1779" s="39"/>
      <c r="AR1779" s="42" t="str">
        <f>IFERROR(VLOOKUP(AU1779,[1]SUMMARY!$A$3:$B$7,2,FALSE),"")</f>
        <v/>
      </c>
      <c r="AS1779" s="31"/>
      <c r="AT1779" s="31" t="e">
        <f>VLOOKUP(AS1779,[1]OUTLET!$B:$C,2,0)</f>
        <v>#N/A</v>
      </c>
      <c r="AU1779" s="31"/>
      <c r="AV1779" s="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55"/>
      <c r="BP1779" s="40"/>
      <c r="BQ1779" s="4"/>
      <c r="BR1779" s="61"/>
      <c r="BS1779" s="4"/>
      <c r="BT1779" s="57"/>
      <c r="BU1779" s="62"/>
      <c r="BV1779" s="8"/>
      <c r="BW1779" s="58"/>
    </row>
    <row r="1780" spans="41:75" x14ac:dyDescent="0.35">
      <c r="AO1780" s="39">
        <v>1778</v>
      </c>
      <c r="AP1780" s="62"/>
      <c r="AQ1780" s="39"/>
      <c r="AR1780" s="42" t="str">
        <f>IFERROR(VLOOKUP(AU1780,[1]SUMMARY!$A$3:$B$7,2,FALSE),"")</f>
        <v/>
      </c>
      <c r="AS1780" s="31"/>
      <c r="AT1780" s="31" t="e">
        <f>VLOOKUP(AS1780,[1]OUTLET!$B:$C,2,0)</f>
        <v>#N/A</v>
      </c>
      <c r="AU1780" s="31"/>
      <c r="AV1780" s="4"/>
      <c r="AW1780" s="44"/>
      <c r="AX1780" s="44"/>
      <c r="AY1780" s="44"/>
      <c r="AZ1780" s="44"/>
      <c r="BA1780" s="44"/>
      <c r="BB1780" s="44"/>
      <c r="BC1780" s="44"/>
      <c r="BD1780" s="44"/>
      <c r="BE1780" s="44"/>
      <c r="BF1780" s="44"/>
      <c r="BG1780" s="44"/>
      <c r="BH1780" s="44"/>
      <c r="BI1780" s="44"/>
      <c r="BJ1780" s="44"/>
      <c r="BK1780" s="44"/>
      <c r="BL1780" s="44"/>
      <c r="BM1780" s="44"/>
      <c r="BN1780" s="44"/>
      <c r="BO1780" s="55"/>
      <c r="BP1780" s="40"/>
      <c r="BQ1780" s="4"/>
      <c r="BR1780" s="61"/>
      <c r="BS1780" s="4"/>
      <c r="BT1780" s="57"/>
      <c r="BU1780" s="62"/>
      <c r="BV1780" s="8"/>
      <c r="BW1780" s="58"/>
    </row>
    <row r="1781" spans="41:75" x14ac:dyDescent="0.35">
      <c r="AO1781" s="39">
        <v>1779</v>
      </c>
      <c r="AP1781" s="62"/>
      <c r="AQ1781" s="39"/>
      <c r="AR1781" s="42" t="str">
        <f>IFERROR(VLOOKUP(AU1781,[1]SUMMARY!$A$3:$B$7,2,FALSE),"")</f>
        <v/>
      </c>
      <c r="AS1781" s="31"/>
      <c r="AT1781" s="31" t="e">
        <f>VLOOKUP(AS1781,[1]OUTLET!$B:$C,2,0)</f>
        <v>#N/A</v>
      </c>
      <c r="AU1781" s="31"/>
      <c r="AV1781" s="4"/>
      <c r="AW1781" s="44"/>
      <c r="AX1781" s="44"/>
      <c r="AY1781" s="44"/>
      <c r="AZ1781" s="44"/>
      <c r="BA1781" s="44"/>
      <c r="BB1781" s="44"/>
      <c r="BC1781" s="44"/>
      <c r="BD1781" s="44"/>
      <c r="BE1781" s="44"/>
      <c r="BF1781" s="44"/>
      <c r="BG1781" s="44"/>
      <c r="BH1781" s="44"/>
      <c r="BI1781" s="44"/>
      <c r="BJ1781" s="44"/>
      <c r="BK1781" s="44"/>
      <c r="BL1781" s="44"/>
      <c r="BM1781" s="44"/>
      <c r="BN1781" s="44"/>
      <c r="BO1781" s="55"/>
      <c r="BP1781" s="40"/>
      <c r="BQ1781" s="4"/>
      <c r="BR1781" s="61"/>
      <c r="BS1781" s="4"/>
      <c r="BT1781" s="57"/>
      <c r="BU1781" s="62"/>
      <c r="BV1781" s="8"/>
      <c r="BW1781" s="58"/>
    </row>
    <row r="1782" spans="41:75" x14ac:dyDescent="0.35">
      <c r="AO1782" s="39">
        <v>1780</v>
      </c>
      <c r="AP1782" s="62"/>
      <c r="AQ1782" s="39"/>
      <c r="AR1782" s="42" t="str">
        <f>IFERROR(VLOOKUP(AU1782,[1]SUMMARY!$A$3:$B$7,2,FALSE),"")</f>
        <v/>
      </c>
      <c r="AS1782" s="31"/>
      <c r="AT1782" s="31" t="e">
        <f>VLOOKUP(AS1782,[1]OUTLET!$B:$C,2,0)</f>
        <v>#N/A</v>
      </c>
      <c r="AU1782" s="31"/>
      <c r="AV1782" s="4"/>
      <c r="AW1782" s="44"/>
      <c r="AX1782" s="44"/>
      <c r="AY1782" s="44"/>
      <c r="AZ1782" s="44"/>
      <c r="BA1782" s="44"/>
      <c r="BB1782" s="44"/>
      <c r="BC1782" s="44"/>
      <c r="BD1782" s="44"/>
      <c r="BE1782" s="44"/>
      <c r="BF1782" s="44"/>
      <c r="BG1782" s="44"/>
      <c r="BH1782" s="44"/>
      <c r="BI1782" s="44"/>
      <c r="BJ1782" s="44"/>
      <c r="BK1782" s="44"/>
      <c r="BL1782" s="44"/>
      <c r="BM1782" s="44"/>
      <c r="BN1782" s="44"/>
      <c r="BO1782" s="55"/>
      <c r="BP1782" s="40"/>
      <c r="BQ1782" s="4"/>
      <c r="BR1782" s="61"/>
      <c r="BS1782" s="4"/>
      <c r="BT1782" s="57"/>
      <c r="BU1782" s="62"/>
      <c r="BV1782" s="8"/>
      <c r="BW1782" s="58"/>
    </row>
    <row r="1783" spans="41:75" x14ac:dyDescent="0.35">
      <c r="AO1783" s="39">
        <v>1781</v>
      </c>
      <c r="AP1783" s="62"/>
      <c r="AQ1783" s="39"/>
      <c r="AR1783" s="42" t="str">
        <f>IFERROR(VLOOKUP(AU1783,[1]SUMMARY!$A$3:$B$7,2,FALSE),"")</f>
        <v/>
      </c>
      <c r="AS1783" s="31"/>
      <c r="AT1783" s="31" t="e">
        <f>VLOOKUP(AS1783,[1]OUTLET!$B:$C,2,0)</f>
        <v>#N/A</v>
      </c>
      <c r="AU1783" s="31"/>
      <c r="AV1783" s="4"/>
      <c r="AW1783" s="44"/>
      <c r="AX1783" s="44"/>
      <c r="AY1783" s="44"/>
      <c r="AZ1783" s="44"/>
      <c r="BA1783" s="44"/>
      <c r="BB1783" s="44"/>
      <c r="BC1783" s="44"/>
      <c r="BD1783" s="44"/>
      <c r="BE1783" s="44"/>
      <c r="BF1783" s="44"/>
      <c r="BG1783" s="44"/>
      <c r="BH1783" s="44"/>
      <c r="BI1783" s="44"/>
      <c r="BJ1783" s="44"/>
      <c r="BK1783" s="44"/>
      <c r="BL1783" s="44"/>
      <c r="BM1783" s="44"/>
      <c r="BN1783" s="44"/>
      <c r="BO1783" s="55"/>
      <c r="BP1783" s="40"/>
      <c r="BQ1783" s="4"/>
      <c r="BR1783" s="61"/>
      <c r="BS1783" s="4"/>
      <c r="BT1783" s="57"/>
      <c r="BU1783" s="62"/>
      <c r="BV1783" s="8"/>
      <c r="BW1783" s="58"/>
    </row>
    <row r="1784" spans="41:75" x14ac:dyDescent="0.35">
      <c r="AO1784" s="39">
        <v>1782</v>
      </c>
      <c r="AP1784" s="62"/>
      <c r="AQ1784" s="39"/>
      <c r="AR1784" s="42" t="str">
        <f>IFERROR(VLOOKUP(AU1784,[1]SUMMARY!$A$3:$B$7,2,FALSE),"")</f>
        <v/>
      </c>
      <c r="AS1784" s="31"/>
      <c r="AT1784" s="31" t="e">
        <f>VLOOKUP(AS1784,[1]OUTLET!$B:$C,2,0)</f>
        <v>#N/A</v>
      </c>
      <c r="AU1784" s="31"/>
      <c r="AV1784" s="4"/>
      <c r="AW1784" s="44"/>
      <c r="AX1784" s="44"/>
      <c r="AY1784" s="44"/>
      <c r="AZ1784" s="44"/>
      <c r="BA1784" s="44"/>
      <c r="BB1784" s="44"/>
      <c r="BC1784" s="44"/>
      <c r="BD1784" s="44"/>
      <c r="BE1784" s="44"/>
      <c r="BF1784" s="44"/>
      <c r="BG1784" s="44"/>
      <c r="BH1784" s="44"/>
      <c r="BI1784" s="44"/>
      <c r="BJ1784" s="44"/>
      <c r="BK1784" s="44"/>
      <c r="BL1784" s="44"/>
      <c r="BM1784" s="44"/>
      <c r="BN1784" s="44"/>
      <c r="BO1784" s="55"/>
      <c r="BP1784" s="40"/>
      <c r="BQ1784" s="4"/>
      <c r="BR1784" s="61"/>
      <c r="BS1784" s="4"/>
      <c r="BT1784" s="57"/>
      <c r="BU1784" s="62"/>
      <c r="BV1784" s="8"/>
      <c r="BW1784" s="58"/>
    </row>
    <row r="1785" spans="41:75" x14ac:dyDescent="0.35">
      <c r="AO1785" s="39">
        <v>1783</v>
      </c>
      <c r="AP1785" s="62"/>
      <c r="AQ1785" s="39"/>
      <c r="AR1785" s="42" t="str">
        <f>IFERROR(VLOOKUP(AU1785,[1]SUMMARY!$A$3:$B$7,2,FALSE),"")</f>
        <v/>
      </c>
      <c r="AS1785" s="31"/>
      <c r="AT1785" s="31" t="e">
        <f>VLOOKUP(AS1785,[1]OUTLET!$B:$C,2,0)</f>
        <v>#N/A</v>
      </c>
      <c r="AU1785" s="31"/>
      <c r="AV1785" s="4"/>
      <c r="AW1785" s="44"/>
      <c r="AX1785" s="44"/>
      <c r="AY1785" s="44"/>
      <c r="AZ1785" s="44"/>
      <c r="BA1785" s="44"/>
      <c r="BB1785" s="44"/>
      <c r="BC1785" s="44"/>
      <c r="BD1785" s="44"/>
      <c r="BE1785" s="44"/>
      <c r="BF1785" s="44"/>
      <c r="BG1785" s="44"/>
      <c r="BH1785" s="44"/>
      <c r="BI1785" s="44"/>
      <c r="BJ1785" s="44"/>
      <c r="BK1785" s="44"/>
      <c r="BL1785" s="44"/>
      <c r="BM1785" s="44"/>
      <c r="BN1785" s="44"/>
      <c r="BO1785" s="55"/>
      <c r="BP1785" s="40"/>
      <c r="BQ1785" s="4"/>
      <c r="BR1785" s="61"/>
      <c r="BS1785" s="4"/>
      <c r="BT1785" s="57"/>
      <c r="BU1785" s="62"/>
      <c r="BV1785" s="8"/>
      <c r="BW1785" s="58"/>
    </row>
    <row r="1786" spans="41:75" x14ac:dyDescent="0.35">
      <c r="AO1786" s="39">
        <v>1784</v>
      </c>
      <c r="AP1786" s="62"/>
      <c r="AQ1786" s="39"/>
      <c r="AR1786" s="42" t="str">
        <f>IFERROR(VLOOKUP(AU1786,[1]SUMMARY!$A$3:$B$7,2,FALSE),"")</f>
        <v/>
      </c>
      <c r="AS1786" s="31"/>
      <c r="AT1786" s="31" t="e">
        <f>VLOOKUP(AS1786,[1]OUTLET!$B:$C,2,0)</f>
        <v>#N/A</v>
      </c>
      <c r="AU1786" s="31"/>
      <c r="AV1786" s="4"/>
      <c r="AW1786" s="44"/>
      <c r="AX1786" s="44"/>
      <c r="AY1786" s="44"/>
      <c r="AZ1786" s="44"/>
      <c r="BA1786" s="44"/>
      <c r="BB1786" s="44"/>
      <c r="BC1786" s="44"/>
      <c r="BD1786" s="44"/>
      <c r="BE1786" s="44"/>
      <c r="BF1786" s="44"/>
      <c r="BG1786" s="44"/>
      <c r="BH1786" s="44"/>
      <c r="BI1786" s="44"/>
      <c r="BJ1786" s="44"/>
      <c r="BK1786" s="44"/>
      <c r="BL1786" s="44"/>
      <c r="BM1786" s="44"/>
      <c r="BN1786" s="44"/>
      <c r="BO1786" s="55"/>
      <c r="BP1786" s="40"/>
      <c r="BQ1786" s="4"/>
      <c r="BR1786" s="61"/>
      <c r="BS1786" s="4"/>
      <c r="BT1786" s="57"/>
      <c r="BU1786" s="62"/>
      <c r="BV1786" s="8"/>
      <c r="BW1786" s="58"/>
    </row>
    <row r="1787" spans="41:75" x14ac:dyDescent="0.35">
      <c r="AO1787" s="39">
        <v>1785</v>
      </c>
      <c r="AP1787" s="62"/>
      <c r="AQ1787" s="39"/>
      <c r="AR1787" s="42" t="str">
        <f>IFERROR(VLOOKUP(AU1787,[1]SUMMARY!$A$3:$B$7,2,FALSE),"")</f>
        <v/>
      </c>
      <c r="AS1787" s="31"/>
      <c r="AT1787" s="31" t="e">
        <f>VLOOKUP(AS1787,[1]OUTLET!$B:$C,2,0)</f>
        <v>#N/A</v>
      </c>
      <c r="AU1787" s="31"/>
      <c r="AV1787" s="4"/>
      <c r="AW1787" s="44"/>
      <c r="AX1787" s="44"/>
      <c r="AY1787" s="44"/>
      <c r="AZ1787" s="44"/>
      <c r="BA1787" s="44"/>
      <c r="BB1787" s="44"/>
      <c r="BC1787" s="44"/>
      <c r="BD1787" s="44"/>
      <c r="BE1787" s="44"/>
      <c r="BF1787" s="44"/>
      <c r="BG1787" s="44"/>
      <c r="BH1787" s="44"/>
      <c r="BI1787" s="44"/>
      <c r="BJ1787" s="44"/>
      <c r="BK1787" s="44"/>
      <c r="BL1787" s="44"/>
      <c r="BM1787" s="44"/>
      <c r="BN1787" s="44"/>
      <c r="BO1787" s="55"/>
      <c r="BP1787" s="40"/>
      <c r="BQ1787" s="4"/>
      <c r="BR1787" s="61"/>
      <c r="BS1787" s="4"/>
      <c r="BT1787" s="57"/>
      <c r="BU1787" s="62"/>
      <c r="BV1787" s="8"/>
      <c r="BW1787" s="58"/>
    </row>
    <row r="1788" spans="41:75" x14ac:dyDescent="0.35">
      <c r="AO1788" s="39">
        <v>1786</v>
      </c>
      <c r="AP1788" s="62"/>
      <c r="AQ1788" s="39"/>
      <c r="AR1788" s="42" t="str">
        <f>IFERROR(VLOOKUP(AU1788,[1]SUMMARY!$A$3:$B$7,2,FALSE),"")</f>
        <v/>
      </c>
      <c r="AS1788" s="31"/>
      <c r="AT1788" s="31" t="e">
        <f>VLOOKUP(AS1788,[1]OUTLET!$B:$C,2,0)</f>
        <v>#N/A</v>
      </c>
      <c r="AU1788" s="31"/>
      <c r="AV1788" s="4"/>
      <c r="AW1788" s="44"/>
      <c r="AX1788" s="44"/>
      <c r="AY1788" s="44"/>
      <c r="AZ1788" s="44"/>
      <c r="BA1788" s="44"/>
      <c r="BB1788" s="44"/>
      <c r="BC1788" s="44"/>
      <c r="BD1788" s="44"/>
      <c r="BE1788" s="44"/>
      <c r="BF1788" s="44"/>
      <c r="BG1788" s="44"/>
      <c r="BH1788" s="44"/>
      <c r="BI1788" s="44"/>
      <c r="BJ1788" s="44"/>
      <c r="BK1788" s="44"/>
      <c r="BL1788" s="44"/>
      <c r="BM1788" s="44"/>
      <c r="BN1788" s="44"/>
      <c r="BO1788" s="55"/>
      <c r="BP1788" s="40"/>
      <c r="BQ1788" s="4"/>
      <c r="BR1788" s="61"/>
      <c r="BS1788" s="4"/>
      <c r="BT1788" s="57"/>
      <c r="BU1788" s="62"/>
      <c r="BV1788" s="8"/>
      <c r="BW1788" s="58"/>
    </row>
    <row r="1789" spans="41:75" x14ac:dyDescent="0.35">
      <c r="AO1789" s="39">
        <v>1787</v>
      </c>
      <c r="AP1789" s="62"/>
      <c r="AQ1789" s="39"/>
      <c r="AR1789" s="42" t="str">
        <f>IFERROR(VLOOKUP(AU1789,[1]SUMMARY!$A$3:$B$7,2,FALSE),"")</f>
        <v/>
      </c>
      <c r="AS1789" s="31"/>
      <c r="AT1789" s="31" t="e">
        <f>VLOOKUP(AS1789,[1]OUTLET!$B:$C,2,0)</f>
        <v>#N/A</v>
      </c>
      <c r="AU1789" s="31"/>
      <c r="AV1789" s="4"/>
      <c r="AW1789" s="44"/>
      <c r="AX1789" s="44"/>
      <c r="AY1789" s="44"/>
      <c r="AZ1789" s="44"/>
      <c r="BA1789" s="44"/>
      <c r="BB1789" s="44"/>
      <c r="BC1789" s="44"/>
      <c r="BD1789" s="44"/>
      <c r="BE1789" s="44"/>
      <c r="BF1789" s="44"/>
      <c r="BG1789" s="44"/>
      <c r="BH1789" s="44"/>
      <c r="BI1789" s="44"/>
      <c r="BJ1789" s="44"/>
      <c r="BK1789" s="44"/>
      <c r="BL1789" s="44"/>
      <c r="BM1789" s="44"/>
      <c r="BN1789" s="44"/>
      <c r="BO1789" s="55"/>
      <c r="BP1789" s="40"/>
      <c r="BQ1789" s="4"/>
      <c r="BR1789" s="61"/>
      <c r="BS1789" s="4"/>
      <c r="BT1789" s="57"/>
      <c r="BU1789" s="62"/>
      <c r="BV1789" s="8"/>
      <c r="BW1789" s="58"/>
    </row>
    <row r="1790" spans="41:75" x14ac:dyDescent="0.35">
      <c r="AO1790" s="39">
        <v>1788</v>
      </c>
      <c r="AP1790" s="62"/>
      <c r="AQ1790" s="39"/>
      <c r="AR1790" s="42" t="str">
        <f>IFERROR(VLOOKUP(AU1790,[1]SUMMARY!$A$3:$B$7,2,FALSE),"")</f>
        <v/>
      </c>
      <c r="AS1790" s="31"/>
      <c r="AT1790" s="31" t="e">
        <f>VLOOKUP(AS1790,[1]OUTLET!$B:$C,2,0)</f>
        <v>#N/A</v>
      </c>
      <c r="AU1790" s="31"/>
      <c r="AV1790" s="4"/>
      <c r="AW1790" s="44"/>
      <c r="AX1790" s="44"/>
      <c r="AY1790" s="44"/>
      <c r="AZ1790" s="44"/>
      <c r="BA1790" s="44"/>
      <c r="BB1790" s="44"/>
      <c r="BC1790" s="44"/>
      <c r="BD1790" s="44"/>
      <c r="BE1790" s="44"/>
      <c r="BF1790" s="44"/>
      <c r="BG1790" s="44"/>
      <c r="BH1790" s="44"/>
      <c r="BI1790" s="44"/>
      <c r="BJ1790" s="44"/>
      <c r="BK1790" s="44"/>
      <c r="BL1790" s="44"/>
      <c r="BM1790" s="44"/>
      <c r="BN1790" s="44"/>
      <c r="BO1790" s="55"/>
      <c r="BP1790" s="40"/>
      <c r="BQ1790" s="4"/>
      <c r="BR1790" s="61"/>
      <c r="BS1790" s="4"/>
      <c r="BT1790" s="57"/>
      <c r="BU1790" s="62"/>
      <c r="BV1790" s="8"/>
      <c r="BW1790" s="58"/>
    </row>
    <row r="1791" spans="41:75" x14ac:dyDescent="0.35">
      <c r="AO1791" s="39">
        <v>1789</v>
      </c>
      <c r="AP1791" s="62"/>
      <c r="AQ1791" s="39"/>
      <c r="AR1791" s="42" t="str">
        <f>IFERROR(VLOOKUP(AU1791,[1]SUMMARY!$A$3:$B$7,2,FALSE),"")</f>
        <v/>
      </c>
      <c r="AS1791" s="31"/>
      <c r="AT1791" s="31" t="e">
        <f>VLOOKUP(AS1791,[1]OUTLET!$B:$C,2,0)</f>
        <v>#N/A</v>
      </c>
      <c r="AU1791" s="31"/>
      <c r="AV1791" s="4"/>
      <c r="AW1791" s="44"/>
      <c r="AX1791" s="44"/>
      <c r="AY1791" s="44"/>
      <c r="AZ1791" s="44"/>
      <c r="BA1791" s="44"/>
      <c r="BB1791" s="44"/>
      <c r="BC1791" s="44"/>
      <c r="BD1791" s="44"/>
      <c r="BE1791" s="44"/>
      <c r="BF1791" s="44"/>
      <c r="BG1791" s="44"/>
      <c r="BH1791" s="44"/>
      <c r="BI1791" s="44"/>
      <c r="BJ1791" s="44"/>
      <c r="BK1791" s="44"/>
      <c r="BL1791" s="44"/>
      <c r="BM1791" s="44"/>
      <c r="BN1791" s="44"/>
      <c r="BO1791" s="55"/>
      <c r="BP1791" s="40"/>
      <c r="BQ1791" s="4"/>
      <c r="BR1791" s="61"/>
      <c r="BS1791" s="4"/>
      <c r="BT1791" s="57"/>
      <c r="BU1791" s="62"/>
      <c r="BV1791" s="8"/>
      <c r="BW1791" s="58"/>
    </row>
    <row r="1792" spans="41:75" x14ac:dyDescent="0.35">
      <c r="AO1792" s="39">
        <v>1790</v>
      </c>
      <c r="AP1792" s="62"/>
      <c r="AQ1792" s="39"/>
      <c r="AR1792" s="42" t="str">
        <f>IFERROR(VLOOKUP(AU1792,[1]SUMMARY!$A$3:$B$7,2,FALSE),"")</f>
        <v/>
      </c>
      <c r="AS1792" s="31"/>
      <c r="AT1792" s="31" t="e">
        <f>VLOOKUP(AS1792,[1]OUTLET!$B:$C,2,0)</f>
        <v>#N/A</v>
      </c>
      <c r="AU1792" s="31"/>
      <c r="AV1792" s="4"/>
      <c r="AW1792" s="44"/>
      <c r="AX1792" s="44"/>
      <c r="AY1792" s="44"/>
      <c r="AZ1792" s="44"/>
      <c r="BA1792" s="44"/>
      <c r="BB1792" s="44"/>
      <c r="BC1792" s="44"/>
      <c r="BD1792" s="44"/>
      <c r="BE1792" s="44"/>
      <c r="BF1792" s="44"/>
      <c r="BG1792" s="44"/>
      <c r="BH1792" s="44"/>
      <c r="BI1792" s="44"/>
      <c r="BJ1792" s="44"/>
      <c r="BK1792" s="44"/>
      <c r="BL1792" s="44"/>
      <c r="BM1792" s="44"/>
      <c r="BN1792" s="44"/>
      <c r="BO1792" s="55"/>
      <c r="BP1792" s="40"/>
      <c r="BQ1792" s="4"/>
      <c r="BR1792" s="61"/>
      <c r="BS1792" s="4"/>
      <c r="BT1792" s="57"/>
      <c r="BU1792" s="62"/>
      <c r="BV1792" s="8"/>
      <c r="BW1792" s="58"/>
    </row>
    <row r="1793" spans="41:75" x14ac:dyDescent="0.35">
      <c r="AO1793" s="39">
        <v>1791</v>
      </c>
      <c r="AP1793" s="62"/>
      <c r="AQ1793" s="39"/>
      <c r="AR1793" s="42" t="str">
        <f>IFERROR(VLOOKUP(AU1793,[1]SUMMARY!$A$3:$B$7,2,FALSE),"")</f>
        <v/>
      </c>
      <c r="AS1793" s="31"/>
      <c r="AT1793" s="31" t="e">
        <f>VLOOKUP(AS1793,[1]OUTLET!$B:$C,2,0)</f>
        <v>#N/A</v>
      </c>
      <c r="AU1793" s="31"/>
      <c r="AV1793" s="4"/>
      <c r="AW1793" s="44"/>
      <c r="AX1793" s="44"/>
      <c r="AY1793" s="44"/>
      <c r="AZ1793" s="44"/>
      <c r="BA1793" s="44"/>
      <c r="BB1793" s="44"/>
      <c r="BC1793" s="44"/>
      <c r="BD1793" s="44"/>
      <c r="BE1793" s="44"/>
      <c r="BF1793" s="44"/>
      <c r="BG1793" s="44"/>
      <c r="BH1793" s="44"/>
      <c r="BI1793" s="44"/>
      <c r="BJ1793" s="44"/>
      <c r="BK1793" s="44"/>
      <c r="BL1793" s="44"/>
      <c r="BM1793" s="44"/>
      <c r="BN1793" s="44"/>
      <c r="BO1793" s="55"/>
      <c r="BP1793" s="40"/>
      <c r="BQ1793" s="4"/>
      <c r="BR1793" s="61"/>
      <c r="BS1793" s="4"/>
      <c r="BT1793" s="57"/>
      <c r="BU1793" s="62"/>
      <c r="BV1793" s="8"/>
      <c r="BW1793" s="58"/>
    </row>
    <row r="1794" spans="41:75" x14ac:dyDescent="0.35">
      <c r="AO1794" s="39">
        <v>1792</v>
      </c>
      <c r="AP1794" s="62"/>
      <c r="AQ1794" s="39"/>
      <c r="AR1794" s="42" t="str">
        <f>IFERROR(VLOOKUP(AU1794,[1]SUMMARY!$A$3:$B$7,2,FALSE),"")</f>
        <v/>
      </c>
      <c r="AS1794" s="31"/>
      <c r="AT1794" s="31" t="e">
        <f>VLOOKUP(AS1794,[1]OUTLET!$B:$C,2,0)</f>
        <v>#N/A</v>
      </c>
      <c r="AU1794" s="31"/>
      <c r="AV1794" s="4"/>
      <c r="AW1794" s="44"/>
      <c r="AX1794" s="44"/>
      <c r="AY1794" s="44"/>
      <c r="AZ1794" s="44"/>
      <c r="BA1794" s="44"/>
      <c r="BB1794" s="44"/>
      <c r="BC1794" s="44"/>
      <c r="BD1794" s="44"/>
      <c r="BE1794" s="44"/>
      <c r="BF1794" s="44"/>
      <c r="BG1794" s="44"/>
      <c r="BH1794" s="44"/>
      <c r="BI1794" s="44"/>
      <c r="BJ1794" s="44"/>
      <c r="BK1794" s="44"/>
      <c r="BL1794" s="44"/>
      <c r="BM1794" s="44"/>
      <c r="BN1794" s="44"/>
      <c r="BO1794" s="55"/>
      <c r="BP1794" s="40"/>
      <c r="BQ1794" s="4"/>
      <c r="BR1794" s="61"/>
      <c r="BS1794" s="4"/>
      <c r="BT1794" s="57"/>
      <c r="BU1794" s="62"/>
      <c r="BV1794" s="8"/>
      <c r="BW1794" s="58"/>
    </row>
    <row r="1795" spans="41:75" x14ac:dyDescent="0.35">
      <c r="AO1795" s="39">
        <v>1793</v>
      </c>
      <c r="AP1795" s="62"/>
      <c r="AQ1795" s="39"/>
      <c r="AR1795" s="42" t="str">
        <f>IFERROR(VLOOKUP(AU1795,[1]SUMMARY!$A$3:$B$7,2,FALSE),"")</f>
        <v/>
      </c>
      <c r="AS1795" s="31"/>
      <c r="AT1795" s="31" t="e">
        <f>VLOOKUP(AS1795,[1]OUTLET!$B:$C,2,0)</f>
        <v>#N/A</v>
      </c>
      <c r="AU1795" s="31"/>
      <c r="AV1795" s="4"/>
      <c r="AW1795" s="44"/>
      <c r="AX1795" s="44"/>
      <c r="AY1795" s="44"/>
      <c r="AZ1795" s="44"/>
      <c r="BA1795" s="44"/>
      <c r="BB1795" s="44"/>
      <c r="BC1795" s="44"/>
      <c r="BD1795" s="44"/>
      <c r="BE1795" s="44"/>
      <c r="BF1795" s="44"/>
      <c r="BG1795" s="44"/>
      <c r="BH1795" s="44"/>
      <c r="BI1795" s="44"/>
      <c r="BJ1795" s="44"/>
      <c r="BK1795" s="44"/>
      <c r="BL1795" s="44"/>
      <c r="BM1795" s="44"/>
      <c r="BN1795" s="44"/>
      <c r="BO1795" s="55"/>
      <c r="BP1795" s="40"/>
      <c r="BQ1795" s="4"/>
      <c r="BR1795" s="61"/>
      <c r="BS1795" s="4"/>
      <c r="BT1795" s="57"/>
      <c r="BU1795" s="62"/>
      <c r="BV1795" s="8"/>
      <c r="BW1795" s="58"/>
    </row>
    <row r="1796" spans="41:75" x14ac:dyDescent="0.35">
      <c r="AO1796" s="39">
        <v>1794</v>
      </c>
      <c r="AP1796" s="62"/>
      <c r="AQ1796" s="39"/>
      <c r="AR1796" s="42" t="str">
        <f>IFERROR(VLOOKUP(AU1796,[1]SUMMARY!$A$3:$B$7,2,FALSE),"")</f>
        <v/>
      </c>
      <c r="AS1796" s="31"/>
      <c r="AT1796" s="31" t="e">
        <f>VLOOKUP(AS1796,[1]OUTLET!$B:$C,2,0)</f>
        <v>#N/A</v>
      </c>
      <c r="AU1796" s="31"/>
      <c r="AV1796" s="4"/>
      <c r="AW1796" s="44"/>
      <c r="AX1796" s="44"/>
      <c r="AY1796" s="44"/>
      <c r="AZ1796" s="44"/>
      <c r="BA1796" s="44"/>
      <c r="BB1796" s="44"/>
      <c r="BC1796" s="44"/>
      <c r="BD1796" s="44"/>
      <c r="BE1796" s="44"/>
      <c r="BF1796" s="44"/>
      <c r="BG1796" s="44"/>
      <c r="BH1796" s="44"/>
      <c r="BI1796" s="44"/>
      <c r="BJ1796" s="44"/>
      <c r="BK1796" s="44"/>
      <c r="BL1796" s="44"/>
      <c r="BM1796" s="44"/>
      <c r="BN1796" s="44"/>
      <c r="BO1796" s="55"/>
      <c r="BP1796" s="40"/>
      <c r="BQ1796" s="4"/>
      <c r="BR1796" s="61"/>
      <c r="BS1796" s="4"/>
      <c r="BT1796" s="57"/>
      <c r="BU1796" s="62"/>
      <c r="BV1796" s="8"/>
      <c r="BW1796" s="58"/>
    </row>
    <row r="1797" spans="41:75" x14ac:dyDescent="0.35">
      <c r="AO1797" s="39">
        <v>1795</v>
      </c>
      <c r="AP1797" s="62"/>
      <c r="AQ1797" s="39"/>
      <c r="AR1797" s="42" t="str">
        <f>IFERROR(VLOOKUP(AU1797,[1]SUMMARY!$A$3:$B$7,2,FALSE),"")</f>
        <v/>
      </c>
      <c r="AS1797" s="31"/>
      <c r="AT1797" s="31" t="e">
        <f>VLOOKUP(AS1797,[1]OUTLET!$B:$C,2,0)</f>
        <v>#N/A</v>
      </c>
      <c r="AU1797" s="31"/>
      <c r="AV1797" s="4"/>
      <c r="AW1797" s="44"/>
      <c r="AX1797" s="44"/>
      <c r="AY1797" s="44"/>
      <c r="AZ1797" s="44"/>
      <c r="BA1797" s="44"/>
      <c r="BB1797" s="44"/>
      <c r="BC1797" s="44"/>
      <c r="BD1797" s="44"/>
      <c r="BE1797" s="44"/>
      <c r="BF1797" s="44"/>
      <c r="BG1797" s="44"/>
      <c r="BH1797" s="44"/>
      <c r="BI1797" s="44"/>
      <c r="BJ1797" s="44"/>
      <c r="BK1797" s="44"/>
      <c r="BL1797" s="44"/>
      <c r="BM1797" s="44"/>
      <c r="BN1797" s="44"/>
      <c r="BO1797" s="55"/>
      <c r="BP1797" s="40"/>
      <c r="BQ1797" s="4"/>
      <c r="BR1797" s="61"/>
      <c r="BS1797" s="4"/>
      <c r="BT1797" s="57"/>
      <c r="BU1797" s="62"/>
      <c r="BV1797" s="8"/>
      <c r="BW1797" s="58"/>
    </row>
    <row r="1798" spans="41:75" x14ac:dyDescent="0.35">
      <c r="AO1798" s="39">
        <v>1796</v>
      </c>
      <c r="AP1798" s="62"/>
      <c r="AQ1798" s="39"/>
      <c r="AR1798" s="42" t="str">
        <f>IFERROR(VLOOKUP(AU1798,[1]SUMMARY!$A$3:$B$7,2,FALSE),"")</f>
        <v/>
      </c>
      <c r="AS1798" s="31"/>
      <c r="AT1798" s="31" t="e">
        <f>VLOOKUP(AS1798,[1]OUTLET!$B:$C,2,0)</f>
        <v>#N/A</v>
      </c>
      <c r="AU1798" s="31"/>
      <c r="AV1798" s="4"/>
      <c r="AW1798" s="44"/>
      <c r="AX1798" s="44"/>
      <c r="AY1798" s="44"/>
      <c r="AZ1798" s="44"/>
      <c r="BA1798" s="44"/>
      <c r="BB1798" s="44"/>
      <c r="BC1798" s="44"/>
      <c r="BD1798" s="44"/>
      <c r="BE1798" s="44"/>
      <c r="BF1798" s="44"/>
      <c r="BG1798" s="44"/>
      <c r="BH1798" s="44"/>
      <c r="BI1798" s="44"/>
      <c r="BJ1798" s="44"/>
      <c r="BK1798" s="44"/>
      <c r="BL1798" s="44"/>
      <c r="BM1798" s="44"/>
      <c r="BN1798" s="44"/>
      <c r="BO1798" s="55"/>
      <c r="BP1798" s="40"/>
      <c r="BQ1798" s="4"/>
      <c r="BR1798" s="61"/>
      <c r="BS1798" s="4"/>
      <c r="BT1798" s="57"/>
      <c r="BU1798" s="62"/>
      <c r="BV1798" s="8"/>
      <c r="BW1798" s="58"/>
    </row>
    <row r="1799" spans="41:75" x14ac:dyDescent="0.35">
      <c r="AO1799" s="39">
        <v>1797</v>
      </c>
      <c r="AP1799" s="62"/>
      <c r="AQ1799" s="39"/>
      <c r="AR1799" s="42" t="str">
        <f>IFERROR(VLOOKUP(AU1799,[1]SUMMARY!$A$3:$B$7,2,FALSE),"")</f>
        <v/>
      </c>
      <c r="AS1799" s="31"/>
      <c r="AT1799" s="31" t="e">
        <f>VLOOKUP(AS1799,[1]OUTLET!$B:$C,2,0)</f>
        <v>#N/A</v>
      </c>
      <c r="AU1799" s="31"/>
      <c r="AV1799" s="4"/>
      <c r="AW1799" s="44"/>
      <c r="AX1799" s="44"/>
      <c r="AY1799" s="44"/>
      <c r="AZ1799" s="44"/>
      <c r="BA1799" s="44"/>
      <c r="BB1799" s="44"/>
      <c r="BC1799" s="44"/>
      <c r="BD1799" s="44"/>
      <c r="BE1799" s="44"/>
      <c r="BF1799" s="44"/>
      <c r="BG1799" s="44"/>
      <c r="BH1799" s="44"/>
      <c r="BI1799" s="44"/>
      <c r="BJ1799" s="44"/>
      <c r="BK1799" s="44"/>
      <c r="BL1799" s="44"/>
      <c r="BM1799" s="44"/>
      <c r="BN1799" s="44"/>
      <c r="BO1799" s="55"/>
      <c r="BP1799" s="40"/>
      <c r="BQ1799" s="4"/>
      <c r="BR1799" s="61"/>
      <c r="BS1799" s="4"/>
      <c r="BT1799" s="57"/>
      <c r="BU1799" s="62"/>
      <c r="BV1799" s="8"/>
      <c r="BW1799" s="58"/>
    </row>
    <row r="1800" spans="41:75" x14ac:dyDescent="0.35">
      <c r="AO1800" s="39">
        <v>1798</v>
      </c>
      <c r="AP1800" s="62"/>
      <c r="AQ1800" s="39"/>
      <c r="AR1800" s="42" t="str">
        <f>IFERROR(VLOOKUP(AU1800,[1]SUMMARY!$A$3:$B$7,2,FALSE),"")</f>
        <v/>
      </c>
      <c r="AS1800" s="31"/>
      <c r="AT1800" s="31" t="e">
        <f>VLOOKUP(AS1800,[1]OUTLET!$B:$C,2,0)</f>
        <v>#N/A</v>
      </c>
      <c r="AU1800" s="31"/>
      <c r="AV1800" s="4"/>
      <c r="AW1800" s="44"/>
      <c r="AX1800" s="44"/>
      <c r="AY1800" s="44"/>
      <c r="AZ1800" s="44"/>
      <c r="BA1800" s="44"/>
      <c r="BB1800" s="44"/>
      <c r="BC1800" s="44"/>
      <c r="BD1800" s="44"/>
      <c r="BE1800" s="44"/>
      <c r="BF1800" s="44"/>
      <c r="BG1800" s="44"/>
      <c r="BH1800" s="44"/>
      <c r="BI1800" s="44"/>
      <c r="BJ1800" s="44"/>
      <c r="BK1800" s="44"/>
      <c r="BL1800" s="44"/>
      <c r="BM1800" s="44"/>
      <c r="BN1800" s="44"/>
      <c r="BO1800" s="55"/>
      <c r="BP1800" s="40"/>
      <c r="BQ1800" s="4"/>
      <c r="BR1800" s="61"/>
      <c r="BS1800" s="4"/>
      <c r="BT1800" s="57"/>
      <c r="BU1800" s="62"/>
      <c r="BV1800" s="8"/>
      <c r="BW1800" s="58"/>
    </row>
    <row r="1801" spans="41:75" x14ac:dyDescent="0.35">
      <c r="AO1801" s="39">
        <v>1799</v>
      </c>
      <c r="AP1801" s="62"/>
      <c r="AQ1801" s="39"/>
      <c r="AR1801" s="42" t="str">
        <f>IFERROR(VLOOKUP(AU1801,[1]SUMMARY!$A$3:$B$7,2,FALSE),"")</f>
        <v/>
      </c>
      <c r="AS1801" s="31"/>
      <c r="AT1801" s="31" t="e">
        <f>VLOOKUP(AS1801,[1]OUTLET!$B:$C,2,0)</f>
        <v>#N/A</v>
      </c>
      <c r="AU1801" s="31"/>
      <c r="AV1801" s="4"/>
      <c r="AW1801" s="44"/>
      <c r="AX1801" s="44"/>
      <c r="AY1801" s="44"/>
      <c r="AZ1801" s="44"/>
      <c r="BA1801" s="44"/>
      <c r="BB1801" s="44"/>
      <c r="BC1801" s="44"/>
      <c r="BD1801" s="44"/>
      <c r="BE1801" s="44"/>
      <c r="BF1801" s="44"/>
      <c r="BG1801" s="44"/>
      <c r="BH1801" s="44"/>
      <c r="BI1801" s="44"/>
      <c r="BJ1801" s="44"/>
      <c r="BK1801" s="44"/>
      <c r="BL1801" s="44"/>
      <c r="BM1801" s="44"/>
      <c r="BN1801" s="44"/>
      <c r="BO1801" s="55"/>
      <c r="BP1801" s="40"/>
      <c r="BQ1801" s="4"/>
      <c r="BR1801" s="61"/>
      <c r="BS1801" s="4"/>
      <c r="BT1801" s="57"/>
      <c r="BU1801" s="62"/>
      <c r="BV1801" s="8"/>
      <c r="BW1801" s="58"/>
    </row>
    <row r="1802" spans="41:75" x14ac:dyDescent="0.35">
      <c r="AO1802" s="39">
        <v>1800</v>
      </c>
      <c r="AP1802" s="62"/>
      <c r="AQ1802" s="39"/>
      <c r="AR1802" s="42" t="str">
        <f>IFERROR(VLOOKUP(AU1802,[1]SUMMARY!$A$3:$B$7,2,FALSE),"")</f>
        <v/>
      </c>
      <c r="AS1802" s="31"/>
      <c r="AT1802" s="31" t="e">
        <f>VLOOKUP(AS1802,[1]OUTLET!$B:$C,2,0)</f>
        <v>#N/A</v>
      </c>
      <c r="AU1802" s="31"/>
      <c r="AV1802" s="4"/>
      <c r="AW1802" s="44"/>
      <c r="AX1802" s="44"/>
      <c r="AY1802" s="44"/>
      <c r="AZ1802" s="44"/>
      <c r="BA1802" s="44"/>
      <c r="BB1802" s="44"/>
      <c r="BC1802" s="44"/>
      <c r="BD1802" s="44"/>
      <c r="BE1802" s="44"/>
      <c r="BF1802" s="44"/>
      <c r="BG1802" s="44"/>
      <c r="BH1802" s="44"/>
      <c r="BI1802" s="44"/>
      <c r="BJ1802" s="44"/>
      <c r="BK1802" s="44"/>
      <c r="BL1802" s="44"/>
      <c r="BM1802" s="44"/>
      <c r="BN1802" s="44"/>
      <c r="BO1802" s="55"/>
      <c r="BP1802" s="40"/>
      <c r="BQ1802" s="4"/>
      <c r="BR1802" s="61"/>
      <c r="BS1802" s="4"/>
      <c r="BT1802" s="57"/>
      <c r="BU1802" s="62"/>
      <c r="BV1802" s="8"/>
      <c r="BW1802" s="58"/>
    </row>
    <row r="1803" spans="41:75" x14ac:dyDescent="0.35">
      <c r="BN1803" s="44">
        <f>IFERROR(VLOOKUP(AQ1804,'[2]Harga &amp; Nama CSO'!$A$116:$S$136,19,FALSE),0)*AV1804</f>
        <v>0</v>
      </c>
    </row>
    <row r="1804" spans="41:75" x14ac:dyDescent="0.35">
      <c r="BN1804" s="44">
        <f>IFERROR(VLOOKUP(AQ1805,'[2]Harga &amp; Nama CSO'!$A$116:$S$136,19,FALSE),0)*AV1805</f>
        <v>0</v>
      </c>
    </row>
  </sheetData>
  <mergeCells count="15">
    <mergeCell ref="AB2:AB3"/>
    <mergeCell ref="AC2:AC3"/>
    <mergeCell ref="A2:A3"/>
    <mergeCell ref="B2:B3"/>
    <mergeCell ref="C2:C3"/>
    <mergeCell ref="D2:D3"/>
    <mergeCell ref="F2:L2"/>
    <mergeCell ref="AA2:AA3"/>
    <mergeCell ref="Z2:Z3"/>
    <mergeCell ref="AG29:AG30"/>
    <mergeCell ref="A29:A30"/>
    <mergeCell ref="B29:B30"/>
    <mergeCell ref="C29:S29"/>
    <mergeCell ref="U29:W29"/>
    <mergeCell ref="X29:AF29"/>
  </mergeCells>
  <conditionalFormatting sqref="X31:AB34">
    <cfRule type="cellIs" dxfId="8" priority="8" operator="lessThan">
      <formula>1</formula>
    </cfRule>
  </conditionalFormatting>
  <conditionalFormatting sqref="AF31:AF34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G31:AG34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J19:AJ20 AL19:AL20 AJ21:AL22">
    <cfRule type="cellIs" dxfId="7" priority="18" operator="lessThan">
      <formula>1</formula>
    </cfRule>
  </conditionalFormatting>
  <conditionalFormatting sqref="AJ4:AM7">
    <cfRule type="cellIs" dxfId="6" priority="38" operator="lessThan">
      <formula>1</formula>
    </cfRule>
  </conditionalFormatting>
  <conditionalFormatting sqref="AS14:AS213">
    <cfRule type="duplicateValues" dxfId="5" priority="3"/>
  </conditionalFormatting>
  <conditionalFormatting sqref="AS72:AS84">
    <cfRule type="duplicateValues" dxfId="4" priority="4"/>
  </conditionalFormatting>
  <conditionalFormatting sqref="AS214:AS1802">
    <cfRule type="duplicateValues" dxfId="3" priority="33"/>
  </conditionalFormatting>
  <conditionalFormatting sqref="BV3:BV1802">
    <cfRule type="cellIs" dxfId="2" priority="1" operator="lessThan">
      <formula>99999</formula>
    </cfRule>
  </conditionalFormatting>
  <conditionalFormatting sqref="BW3:BW1802">
    <cfRule type="cellIs" dxfId="1" priority="34" operator="lessThan">
      <formula>200000</formula>
    </cfRule>
    <cfRule type="cellIs" dxfId="0" priority="35" operator="lessThan">
      <formula>1</formula>
    </cfRule>
  </conditionalFormatting>
  <pageMargins left="0.7" right="0.7" top="0.75" bottom="0.75" header="0.3" footer="0.3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04A55-AB49-42C9-9BDD-272FB75850D3}">
  <dimension ref="A1"/>
  <sheetViews>
    <sheetView workbookViewId="0">
      <selection sqref="A1:P1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stok-gudang</vt:lpstr>
      <vt:lpstr>stok-barang-dse</vt:lpstr>
      <vt:lpstr>penjualan-salmo</vt:lpstr>
      <vt:lpstr>penjualan-reguler-new</vt:lpstr>
      <vt:lpstr>penjualan-paket-jupiter</vt:lpstr>
      <vt:lpstr>penjualan-direct-selling</vt:lpstr>
      <vt:lpstr>penjualan-hifi</vt:lpstr>
      <vt:lpstr>Dashboard</vt:lpstr>
      <vt:lpstr>index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cp:lastModifiedBy>Andi Ramdani</cp:lastModifiedBy>
  <dcterms:created xsi:type="dcterms:W3CDTF">2026-05-20T04:03:51Z</dcterms:created>
  <dcterms:modified xsi:type="dcterms:W3CDTF">2026-08-13T01:55:44Z</dcterms:modified>
</cp:coreProperties>
</file>