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0221632B-E756-43FA-BC43-E3E8F512C529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 s="1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 s="1"/>
  <c r="U16" i="8"/>
  <c r="E16" i="4" s="1"/>
  <c r="V16" i="8"/>
  <c r="F16" i="4" s="1"/>
  <c r="R17" i="8"/>
  <c r="B17" i="4" s="1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<sst xmlns="http://schemas.openxmlformats.org/spreadsheetml/2006/main" count="1163" uniqueCount="291">
  <si>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</si>
  <si>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</si>
  <si>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</si>
  <si>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</si>
  <si>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</si>
  <si>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</si>
  <si>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</si>
  <si>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</si>
  <si>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</si>
  <si>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</si>
  <si>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</si>
  <si>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</si>
  <si>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</si>
  <si>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</si>
  <si>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</si>
  <si>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</si>
  <si>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</si>
  <si>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</si>
  <si>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</si>
  <si>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</si>
  <si>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</si>
  <si>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</si>
  <si>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</si>
  <si>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</si>
  <si>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</si>
  <si>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</si>
  <si>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</si>
  <si>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</si>
  <si>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</si>
  <si>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</si>
  <si>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</si>
  <si>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</si>
  <si>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</si>
  <si>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</si>
  <si>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</si>
  <si>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</si>
  <si>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</si>
  <si>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</si>
  <si>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</si>
  <si>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</si>
  <si>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</si>
  <si>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</si>
  <si>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</si>
  <si>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</si>
  <si>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</si>
  <si>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</si>
  <si>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</si>
  <si>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</si>
  <si>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</si>
  <si>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</si>
  <si>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</si>
  <si>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</si>
  <si>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</si>
  <si>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</si>
  <si>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</si>
  <si>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</si>
  <si>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</si>
  <si>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</si>
  <si>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</si>
  <si>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</si>
  <si>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</si>
  <si>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</si>
  <si>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</si>
  <si>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</si>
  <si>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</si>
  <si>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</si>
  <si>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</si>
  <si>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</si>
  <si>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</si>
  <si>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</si>
  <si>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</si>
  <si>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</si>
  <si>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</si>
  <si>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</si>
  <si>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</si>
  <si>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</si>
  <si>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</si>
  <si>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</si>
  <si>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</si>
  <si>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</si>
  <si>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</si>
  <si>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</si>
  <si>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</si>
  <si>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</si>
  <si>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</si>
  <si>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</si>
  <si>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</si>
  <si>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</si>
  <si>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</si>
  <si>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</si>
  <si>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</si>
  <si>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</si>
  <si>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</si>
  <si>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</si>
  <si>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</si>
  <si>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</si>
  <si>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</si>
  <si>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</si>
  <si>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</si>
  <si>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</si>
  <si>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</si>
  <si>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</si>
  <si>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</si>
  <si>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</si>
  <si>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</si>
  <si>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</si>
  <si>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</si>
  <si>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</si>
  <si>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</si>
  <si>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</si>
  <si>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</si>
  <si>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</si>
  <si>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</si>
  <si>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</si>
  <si>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</si>
  <si>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</si>
  <si>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</si>
  <si>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</si>
  <si>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</si>
  <si>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</si>
  <si>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</si>
  <si>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</si>
  <si>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</si>
  <si>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</si>
  <si>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</si>
  <si>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</si>
  <si>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</si>
  <si>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</si>
  <si>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</si>
  <si>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</si>
  <si>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</si>
  <si>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</si>
  <si>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</si>
  <si>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</si>
  <si>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</si>
  <si>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</si>
  <si>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</si>
  <si>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</si>
  <si>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</si>
  <si>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</si>
  <si>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</si>
  <si>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</si>
  <si>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</si>
  <si>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</si>
  <si>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</si>
  <si>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</si>
  <si>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</si>
  <si>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</si>
  <si>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</si>
  <si>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</si>
  <si>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</si>
  <si>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</si>
  <si>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</si>
  <si>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</si>
  <si>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</si>
  <si>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</si>
  <si>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</si>
  <si>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</si>
  <si>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</si>
  <si>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</si>
  <si>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</si>
  <si>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</si>
  <si>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</si>
  <si>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</si>
  <si>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</si>
  <si>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</si>
  <si>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</si>
  <si>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</si>
  <si>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</si>
  <si>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</si>
  <si>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</si>
  <si>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</si>
  <si>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</si>
  <si>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</si>
  <si>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</si>
  <si>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</si>
  <si>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</si>
  <si>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</si>
  <si>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</si>
  <si>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</si>
  <si>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</si>
  <si>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</si>
  <si>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</si>
  <si>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</si>
  <si>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</si>
  <si>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</si>
  <si>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</si>
  <si>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</si>
  <si>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</si>
  <si>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</si>
  <si>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</si>
  <si>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</si>
  <si>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</si>
  <si>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</si>
  <si>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</si>
  <si>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</si>
  <si>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</si>
  <si>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</si>
  <si>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</si>
  <si>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</si>
  <si>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</si>
  <si>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</si>
  <si>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</si>
  <si>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</si>
  <si>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</si>
  <si>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</si>
  <si>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</si>
  <si>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</si>
  <si>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</si>
  <si>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</si>
  <si>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</si>
  <si>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</si>
  <si>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</si>
  <si>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</si>
  <si>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</si>
  <si>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</si>
  <si>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</si>
  <si>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</si>
  <si>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</si>
  <si>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</si>
  <si>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</si>
  <si>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</si>
  <si>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</si>
  <si>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</si>
  <si>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</si>
  <si>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</si>
  <si>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</si>
  <si>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</si>
  <si>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</si>
  <si>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</si>
  <si>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</si>
  <si>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</si>
  <si>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</si>
  <si>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</si>
  <si>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</si>
  <si>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</si>
  <si>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</si>
  <si>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</si>
  <si>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</si>
  <si>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</si>
  <si>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</si>
  <si>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</si>
  <si>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</si>
  <si>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</si>
  <si>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</si>
  <si>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</si>
  <si>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</si>
  <si>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</si>
  <si>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</si>
  <si>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</si>
  <si>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</si>
  <si>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</si>
  <si>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</si>
  <si>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</si>
  <si>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</si>
  <si>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</si>
  <si>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</si>
  <si>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</si>
  <si>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</si>
  <si>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</si>
  <si>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</si>
  <si>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</si>
  <si>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</si>
  <si>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</si>
  <si>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</si>
  <si>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</si>
  <si>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</si>
  <si>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</si>
  <si>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</si>
  <si>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</si>
  <si>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</si>
  <si>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</si>
  <si>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</si>
  <si>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</si>
  <si>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</si>
  <si>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</si>
  <si>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</si>
  <si>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</si>
  <si>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</si>
  <si>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</si>
  <si>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</si>
  <si>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</si>
  <si>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</si>
  <si>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</si>
  <si>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</si>
  <si>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</si>
  <si>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</si>
  <si>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</si>
  <si>
    <t>KENTHU CELULER</t>
  </si>
  <si>
    <t>AF Cell 2</t>
  </si>
  <si>
    <t>GILANG CELL2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</si>
</sst>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1200</v>
      </c>
      <c r="C3">
        <f>index!C4</f>
        <v>0</v>
      </c>
      <c r="D3" s="1">
        <f>B3+C3</f>
        <v>1200</v>
      </c>
    </row>
    <row r="4" spans="1:4" x14ac:dyDescent="0.35">
      <c r="A4" t="s">
        <v>5</v>
      </c>
      <c r="B4">
        <f>index!B5</f>
        <v>312</v>
      </c>
      <c r="C4">
        <f>index!C5</f>
        <v>0</v>
      </c>
      <c r="D4" s="1">
        <f t="shared" ref="D4:D21" si="0">B4+C4</f>
        <v>312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331</v>
      </c>
      <c r="C7">
        <f>index!C8</f>
        <v>22</v>
      </c>
      <c r="D7" s="1">
        <f t="shared" si="0"/>
        <v>353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3600</v>
      </c>
      <c r="C9">
        <f>index!C10</f>
        <v>0</v>
      </c>
      <c r="D9" s="1">
        <f t="shared" si="0"/>
        <v>3600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369</v>
      </c>
      <c r="C11">
        <f>index!C12</f>
        <v>845</v>
      </c>
      <c r="D11" s="1">
        <f t="shared" si="0"/>
        <v>1214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176</v>
      </c>
      <c r="D13" s="1">
        <f t="shared" si="0"/>
        <v>176</v>
      </c>
    </row>
    <row r="14" spans="1:4" x14ac:dyDescent="0.35">
      <c r="A14" t="s">
        <v>13</v>
      </c>
      <c r="B14">
        <f>index!B15</f>
        <v>210</v>
      </c>
      <c r="C14">
        <f>index!C15</f>
        <v>0</v>
      </c>
      <c r="D14" s="1">
        <f t="shared" si="0"/>
        <v>210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51</v>
      </c>
      <c r="D17" s="1">
        <f t="shared" si="0"/>
        <v>51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240</v>
      </c>
      <c r="C20">
        <f>index!C21</f>
        <v>904</v>
      </c>
      <c r="D20" s="1">
        <f t="shared" si="0"/>
        <v>1144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153</v>
      </c>
      <c r="C3">
        <f>index!H6</f>
        <v>127</v>
      </c>
      <c r="D3">
        <f>index!I6</f>
        <v>125</v>
      </c>
      <c r="E3">
        <f>index!J6</f>
        <v>200</v>
      </c>
      <c r="G3">
        <f t="shared" ref="G3:G22" si="0">SUM(B3:F3)</f>
        <v>605</v>
      </c>
    </row>
    <row r="4" spans="1:7" x14ac:dyDescent="0.35">
      <c r="A4" t="s">
        <v>30</v>
      </c>
      <c r="B4">
        <f>index!G7</f>
        <v>5</v>
      </c>
      <c r="C4">
        <f>index!H7</f>
        <v>63</v>
      </c>
      <c r="D4">
        <f>index!I7</f>
        <v>109</v>
      </c>
      <c r="E4">
        <f>index!J7</f>
        <v>183</v>
      </c>
      <c r="G4">
        <f t="shared" si="0"/>
        <v>360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23</v>
      </c>
      <c r="E8">
        <f>index!J11</f>
        <v>150</v>
      </c>
      <c r="G8">
        <f t="shared" si="0"/>
        <v>573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3</v>
      </c>
      <c r="E9">
        <f>index!J12</f>
        <v>0</v>
      </c>
      <c r="G9">
        <f t="shared" si="0"/>
        <v>3</v>
      </c>
    </row>
    <row r="10" spans="1:7" x14ac:dyDescent="0.35">
      <c r="A10" t="s">
        <v>32</v>
      </c>
      <c r="B10">
        <f>index!G13</f>
        <v>18</v>
      </c>
      <c r="C10">
        <f>index!H13</f>
        <v>96</v>
      </c>
      <c r="D10">
        <f>index!I13</f>
        <v>45</v>
      </c>
      <c r="E10">
        <f>index!J13</f>
        <v>180</v>
      </c>
      <c r="G10">
        <f t="shared" si="0"/>
        <v>339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0</v>
      </c>
      <c r="D12">
        <f>index!I15</f>
        <v>13</v>
      </c>
      <c r="E12">
        <f>index!J15</f>
        <v>6</v>
      </c>
      <c r="G12">
        <f t="shared" si="0"/>
        <v>28</v>
      </c>
    </row>
    <row r="13" spans="1:7" x14ac:dyDescent="0.35">
      <c r="A13" t="s">
        <v>35</v>
      </c>
      <c r="B13">
        <f>index!G16</f>
        <v>2</v>
      </c>
      <c r="C13">
        <f>index!H16</f>
        <v>78</v>
      </c>
      <c r="D13">
        <f>index!I16</f>
        <v>45</v>
      </c>
      <c r="E13">
        <f>index!J16</f>
        <v>14</v>
      </c>
      <c r="G13">
        <f t="shared" si="0"/>
        <v>139</v>
      </c>
    </row>
    <row r="14" spans="1:7" x14ac:dyDescent="0.35">
      <c r="A14" t="s">
        <v>36</v>
      </c>
      <c r="B14">
        <f>index!G17</f>
        <v>30</v>
      </c>
      <c r="C14">
        <f>index!H17</f>
        <v>45</v>
      </c>
      <c r="D14">
        <f>index!I17</f>
        <v>27</v>
      </c>
      <c r="E14">
        <f>index!J17</f>
        <v>72</v>
      </c>
      <c r="G14">
        <f t="shared" si="0"/>
        <v>174</v>
      </c>
    </row>
    <row r="15" spans="1:7" x14ac:dyDescent="0.35">
      <c r="A15" t="s">
        <v>15</v>
      </c>
      <c r="B15">
        <f>index!G18</f>
        <v>15</v>
      </c>
      <c r="C15">
        <f>index!H18</f>
        <v>0</v>
      </c>
      <c r="D15">
        <f>index!I18</f>
        <v>4</v>
      </c>
      <c r="E15">
        <f>index!J18</f>
        <v>20</v>
      </c>
      <c r="G15">
        <f t="shared" si="0"/>
        <v>39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16</v>
      </c>
      <c r="C19">
        <f>index!H22</f>
        <v>30</v>
      </c>
      <c r="D19">
        <f>index!I22</f>
        <v>75</v>
      </c>
      <c r="E19">
        <f>index!J22</f>
        <v>62</v>
      </c>
      <c r="G19">
        <f t="shared" si="0"/>
        <v>183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374</v>
      </c>
      <c r="C23">
        <f t="shared" ref="C23:G23" si="1">SUM(C2:C22)</f>
        <v>753</v>
      </c>
      <c r="D23">
        <f t="shared" si="1"/>
        <v>481</v>
      </c>
      <c r="E23">
        <f t="shared" si="1"/>
        <v>946</v>
      </c>
      <c r="F23">
        <f t="shared" si="1"/>
        <v>0</v>
      </c>
      <c r="G23">
        <f t="shared" si="1"/>
        <v>2554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32259000</v>
      </c>
    </row>
    <row r="3" spans="1:2" x14ac:dyDescent="0.35">
      <c r="A3" t="s">
        <v>40</v>
      </c>
      <c r="B3">
        <f>index!O4</f>
        <v>52263000</v>
      </c>
    </row>
    <row r="4" spans="1:2" x14ac:dyDescent="0.35">
      <c r="A4" t="s">
        <v>41</v>
      </c>
      <c r="B4">
        <f>index!O5</f>
        <v>43042000</v>
      </c>
    </row>
    <row r="5" spans="1:2" x14ac:dyDescent="0.35">
      <c r="A5" t="s">
        <v>42</v>
      </c>
      <c r="B5">
        <f>index!O6</f>
        <v>50945000</v>
      </c>
    </row>
    <row r="6" spans="1:2" x14ac:dyDescent="0.35">
      <c r="A6" t="s">
        <v>43</v>
      </c>
      <c r="B6">
        <f>SUM(B2:B5)</f>
        <v>178509000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23-Jul</v>
      </c>
      <c r="C1" t="s">
        <v>47</v>
      </c>
      <c r="D1" s="66" t="str">
        <f ca="1">"Parhan " &amp; TEXT(TODAY()-1, "dd-mmm")</f>
        <v>Parhan 23-Jul</v>
      </c>
      <c r="E1" t="s">
        <v>39</v>
      </c>
      <c r="F1" s="66" t="str">
        <f ca="1">"Enden " &amp; TEXT(TODAY()-1, "dd-mmm")</f>
        <v>Enden 23-Jul</v>
      </c>
      <c r="G1" t="s">
        <v>48</v>
      </c>
      <c r="H1" s="66" t="str">
        <f ca="1">"Pebrian " &amp; TEXT(TODAY()-1, "dd-mmm")</f>
        <v>Pebrian 23-Jul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3</v>
      </c>
      <c r="G12">
        <f>index!W12</f>
        <v>131</v>
      </c>
      <c r="H12">
        <f>index!X12</f>
        <v>0</v>
      </c>
      <c r="I12">
        <f>index!Y12</f>
        <v>22</v>
      </c>
      <c r="J12" s="70">
        <f t="shared" si="4"/>
        <v>3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25</v>
      </c>
      <c r="AC12">
        <f>index!DS14</f>
        <v>0</v>
      </c>
      <c r="AD12">
        <f>index!DT14</f>
        <v>0</v>
      </c>
      <c r="AE12">
        <f>index!DU14</f>
        <v>86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0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10</v>
      </c>
      <c r="I15">
        <f>index!Y15</f>
        <v>60</v>
      </c>
      <c r="J15" s="70">
        <f t="shared" si="4"/>
        <v>10</v>
      </c>
      <c r="K15">
        <f t="shared" si="5"/>
        <v>278</v>
      </c>
      <c r="L15">
        <v>17250</v>
      </c>
      <c r="M15">
        <f t="shared" si="6"/>
        <v>4795500</v>
      </c>
      <c r="N15">
        <f t="shared" si="7"/>
        <v>4795500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30</v>
      </c>
      <c r="AH15">
        <f>index!DX17</f>
        <v>0</v>
      </c>
      <c r="AI15">
        <f>index!DY17</f>
        <v>0</v>
      </c>
      <c r="AJ15">
        <f>index!DZ17</f>
        <v>60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65</v>
      </c>
      <c r="D21" s="70">
        <f>index!T21</f>
        <v>10</v>
      </c>
      <c r="E21">
        <f>index!U21</f>
        <v>76</v>
      </c>
      <c r="F21" s="70">
        <f>index!V21</f>
        <v>4</v>
      </c>
      <c r="G21">
        <f>index!W21</f>
        <v>42</v>
      </c>
      <c r="H21">
        <f>index!X21</f>
        <v>0</v>
      </c>
      <c r="I21">
        <f>index!Y21</f>
        <v>27</v>
      </c>
      <c r="J21" s="70">
        <f t="shared" si="4"/>
        <v>14</v>
      </c>
      <c r="K21">
        <f t="shared" si="5"/>
        <v>224</v>
      </c>
      <c r="L21">
        <v>9600</v>
      </c>
      <c r="M21">
        <f t="shared" si="6"/>
        <v>2150400</v>
      </c>
      <c r="N21">
        <f t="shared" si="7"/>
        <v>2150400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63</v>
      </c>
      <c r="X21">
        <f>index!DN23</f>
        <v>0</v>
      </c>
      <c r="Y21">
        <f>index!DO23</f>
        <v>0</v>
      </c>
      <c r="Z21">
        <f>index!DP23</f>
        <v>76</v>
      </c>
      <c r="AA21">
        <f>index!DQ23</f>
        <v>35</v>
      </c>
      <c r="AB21">
        <f>index!DR23</f>
        <v>7</v>
      </c>
      <c r="AC21">
        <f>index!DS23</f>
        <v>0</v>
      </c>
      <c r="AD21">
        <f>index!DT23</f>
        <v>0</v>
      </c>
      <c r="AE21">
        <f>index!DU23</f>
        <v>42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0</v>
      </c>
      <c r="C23">
        <f>SUM(C10:C22)</f>
        <v>561</v>
      </c>
      <c r="D23" s="70">
        <f>SUM(D10:D22)</f>
        <v>10</v>
      </c>
      <c r="E23">
        <f t="shared" ref="E23:N23" si="8">SUM(E10:E22)</f>
        <v>1371</v>
      </c>
      <c r="F23" s="70">
        <f>SUM(F10:F22)</f>
        <v>7</v>
      </c>
      <c r="G23">
        <f t="shared" si="8"/>
        <v>645</v>
      </c>
      <c r="H23">
        <f>SUM(H10:H22)</f>
        <v>10</v>
      </c>
      <c r="I23">
        <f t="shared" si="8"/>
        <v>887</v>
      </c>
      <c r="J23" s="70">
        <f>SUM(J10:J22)</f>
        <v>27</v>
      </c>
      <c r="K23">
        <f t="shared" si="8"/>
        <v>3491</v>
      </c>
      <c r="M23">
        <f>SUM(M10:M22)</f>
        <v>25368200</v>
      </c>
      <c r="N23">
        <f t="shared" si="8"/>
        <v>25368200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17383074</v>
      </c>
      <c r="F26" s="31" t="str">
        <f>index!AT27</f>
        <v>KENTHU CELULER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17138377</v>
      </c>
      <c r="F27" s="31" t="str">
        <f>index!AT28</f>
        <v>EMYRATE CELL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17737026</v>
      </c>
      <c r="F28" s="31" t="str">
        <f>index!AT29</f>
        <v>Yan cell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17675348</v>
      </c>
      <c r="F29" s="31" t="str">
        <f>index!AT30</f>
        <v>AF Cell 2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17260654</v>
      </c>
      <c r="F30" s="31" t="str">
        <f>index!AT31</f>
        <v>GILANG CELL2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46216</v>
      </c>
      <c r="C31" s="41" t="str">
        <f>index!AQ32</f>
        <v>GOL</v>
      </c>
      <c r="D31" s="42" t="str">
        <f>index!AR32</f>
        <v>MC-SAGARANTEN</v>
      </c>
      <c r="E31" s="31">
        <f>index!AS32</f>
        <v>0</v>
      </c>
      <c r="F31" s="31" t="e">
        <f>index!AT32</f>
        <v>#N/A</v>
      </c>
      <c r="G31" s="43" t="str">
        <f>index!AU32</f>
        <v>Muhamad Parhan</v>
      </c>
      <c r="H31" s="6">
        <f>index!AV32</f>
        <v>0</v>
      </c>
      <c r="I31" s="44">
        <f>index!BO32</f>
        <v>0</v>
      </c>
      <c r="J31" s="44">
        <f>index!BR32</f>
        <v>300000</v>
      </c>
      <c r="K31" s="44">
        <f>index!BT32</f>
        <v>-300000</v>
      </c>
      <c r="L31" s="40">
        <f>index!BU32</f>
        <v>0</v>
      </c>
    </row>
    <row r="32" spans="1:12" x14ac:dyDescent="0.35">
      <c r="A32" s="39">
        <v>31</v>
      </c>
      <c r="B32" s="40">
        <f>index!AP33</f>
        <v>46216</v>
      </c>
      <c r="C32" s="41" t="str">
        <f>index!AQ33</f>
        <v>GOL</v>
      </c>
      <c r="D32" s="42" t="str">
        <f>index!AR33</f>
        <v>MC-SAGARANTEN</v>
      </c>
      <c r="E32" s="31">
        <f>index!AS33</f>
        <v>0</v>
      </c>
      <c r="F32" s="31" t="e">
        <f>index!AT33</f>
        <v>#N/A</v>
      </c>
      <c r="G32" s="43" t="str">
        <f>index!AU33</f>
        <v>Kurnia</v>
      </c>
      <c r="H32" s="6">
        <f>index!AV33</f>
        <v>0</v>
      </c>
      <c r="I32" s="44">
        <f>index!BO33</f>
        <v>0</v>
      </c>
      <c r="J32" s="44">
        <f>index!BR33</f>
        <v>375000</v>
      </c>
      <c r="K32" s="44">
        <f>index!BT33</f>
        <v>-375000</v>
      </c>
      <c r="L32" s="40">
        <f>index!BU33</f>
        <v>0</v>
      </c>
    </row>
    <row r="33" spans="1:12" x14ac:dyDescent="0.35">
      <c r="A33" s="39">
        <v>32</v>
      </c>
      <c r="B33" s="40">
        <f>index!AP34</f>
        <v>46216</v>
      </c>
      <c r="C33" s="41" t="str">
        <f>index!AQ34</f>
        <v>GOL</v>
      </c>
      <c r="D33" s="42" t="str">
        <f>index!AR34</f>
        <v>MC-SAGARANTEN</v>
      </c>
      <c r="E33" s="31">
        <f>index!AS34</f>
        <v>0</v>
      </c>
      <c r="F33" s="31" t="e">
        <f>index!AT34</f>
        <v>#N/A</v>
      </c>
      <c r="G33" s="43" t="str">
        <f>index!AU34</f>
        <v>M. Enden Abdul Latif</v>
      </c>
      <c r="H33" s="6">
        <f>index!AV34</f>
        <v>0</v>
      </c>
      <c r="I33" s="44">
        <f>index!BO34</f>
        <v>0</v>
      </c>
      <c r="J33" s="44">
        <f>index!BR34</f>
        <v>375000</v>
      </c>
      <c r="K33" s="44">
        <f>index!BT34</f>
        <v>-375000</v>
      </c>
      <c r="L33" s="40">
        <f>index!BU34</f>
        <v>0</v>
      </c>
    </row>
    <row r="34" spans="1:12" x14ac:dyDescent="0.35">
      <c r="A34" s="39">
        <v>33</v>
      </c>
      <c r="B34" s="40">
        <f>index!AP35</f>
        <v>46216</v>
      </c>
      <c r="C34" s="41" t="str">
        <f>index!AQ35</f>
        <v>GOL</v>
      </c>
      <c r="D34" s="42" t="str">
        <f>index!AR35</f>
        <v>MC-SAGARANTEN</v>
      </c>
      <c r="E34" s="31">
        <f>index!AS35</f>
        <v>0</v>
      </c>
      <c r="F34" s="31" t="e">
        <f>index!AT35</f>
        <v>#N/A</v>
      </c>
      <c r="G34" s="43" t="str">
        <f>index!AU35</f>
        <v>Pebrian Sahri Ramdani</v>
      </c>
      <c r="H34" s="6">
        <f>index!AV35</f>
        <v>0</v>
      </c>
      <c r="I34" s="44">
        <f>index!BO35</f>
        <v>0</v>
      </c>
      <c r="J34" s="44">
        <f>index!BR35</f>
        <v>375000</v>
      </c>
      <c r="K34" s="44">
        <f>index!BT35</f>
        <v>-375000</v>
      </c>
      <c r="L34" s="40">
        <f>index!BU35</f>
        <v>0</v>
      </c>
    </row>
    <row r="35" spans="1:12" x14ac:dyDescent="0.35">
      <c r="A35" s="39">
        <v>34</v>
      </c>
      <c r="B35" s="40">
        <f>index!AP36</f>
        <v>46217</v>
      </c>
      <c r="C35" s="41" t="str">
        <f>index!AQ36</f>
        <v>GOL</v>
      </c>
      <c r="D35" s="42" t="str">
        <f>index!AR36</f>
        <v>MC-SAGARANTEN</v>
      </c>
      <c r="E35" s="31">
        <f>index!AS36</f>
        <v>0</v>
      </c>
      <c r="F35" s="31" t="e">
        <f>index!AT36</f>
        <v>#N/A</v>
      </c>
      <c r="G35" s="43" t="str">
        <f>index!AU36</f>
        <v>Kurnia</v>
      </c>
      <c r="H35" s="6">
        <f>index!AV36</f>
        <v>28</v>
      </c>
      <c r="I35" s="44">
        <f>index!BO36</f>
        <v>2100000</v>
      </c>
      <c r="J35" s="44">
        <f>index!BR36</f>
        <v>0</v>
      </c>
      <c r="K35" s="44">
        <f>index!BT36</f>
        <v>2100000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178509000</v>
      </c>
      <c r="B2">
        <f>'penjualan-reguler-new'!N7+'penjualan-reguler-new'!N23</f>
        <v>75448200</v>
      </c>
      <c r="C2">
        <f>SUM('penjualan-paket-jupiter'!J2:J400)+'penjualan-direct-selling'!E6</f>
        <v>30405000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>
      <selection activeCell="A2" sqref="A2:A3"/>
    </sheetView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3" t="s">
        <v>0</v>
      </c>
      <c r="B2" s="93" t="s">
        <v>1</v>
      </c>
      <c r="C2" s="93" t="s">
        <v>2</v>
      </c>
      <c r="D2" s="93" t="s">
        <v>3</v>
      </c>
      <c r="F2" s="95" t="s">
        <v>74</v>
      </c>
      <c r="G2" s="96"/>
      <c r="H2" s="96"/>
      <c r="I2" s="96"/>
      <c r="J2" s="96"/>
      <c r="K2" s="96"/>
      <c r="L2" s="97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8" t="s">
        <v>168</v>
      </c>
      <c r="AA2" s="98" t="s">
        <v>44</v>
      </c>
      <c r="AB2" s="89" t="s">
        <v>45</v>
      </c>
      <c r="AC2" s="91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4"/>
      <c r="B3" s="94"/>
      <c r="C3" s="94"/>
      <c r="D3" s="94"/>
      <c r="F3" s="15"/>
      <c r="G3" s="16"/>
      <c r="H3" s="17"/>
      <c r="I3" s="17"/>
      <c r="J3" s="17"/>
      <c r="K3" s="17"/>
      <c r="L3" s="18"/>
      <c r="N3" s="31" t="s">
        <v>39</v>
      </c>
      <c r="O3" s="33">
        <f>29759000+O9</f>
        <v>32259000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9"/>
      <c r="AA3" s="99"/>
      <c r="AB3" s="90"/>
      <c r="AC3" s="92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46226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1200</v>
      </c>
      <c r="C4" s="14">
        <v>0</v>
      </c>
      <c r="D4" s="13">
        <f>C4+B4</f>
        <v>1200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45713000+O10</f>
        <v>52263000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1150000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312</v>
      </c>
      <c r="C5" s="14">
        <v>0</v>
      </c>
      <c r="D5" s="13">
        <f t="shared" ref="D5:D22" si="0">C5+B5</f>
        <v>312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38942000+O11</f>
        <v>43042000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2200000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0"/>
        <v>581</v>
      </c>
      <c r="F6" s="20" t="s">
        <v>29</v>
      </c>
      <c r="G6" s="21">
        <v>153</v>
      </c>
      <c r="H6" s="21">
        <v>127</v>
      </c>
      <c r="I6" s="21">
        <v>125</v>
      </c>
      <c r="J6" s="21">
        <v>200</v>
      </c>
      <c r="K6" s="21">
        <v>0</v>
      </c>
      <c r="L6" s="22">
        <f t="shared" ref="L6:L25" si="11">SUM(G6:K6)</f>
        <v>605</v>
      </c>
      <c r="N6" s="4" t="s">
        <v>42</v>
      </c>
      <c r="O6" s="33">
        <f>47595000+O12</f>
        <v>50945000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3000000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</v>
      </c>
      <c r="H7" s="21">
        <v>63</v>
      </c>
      <c r="I7" s="21">
        <v>109</v>
      </c>
      <c r="J7" s="21">
        <v>183</v>
      </c>
      <c r="K7" s="21">
        <v>10</v>
      </c>
      <c r="L7" s="22">
        <f t="shared" si="11"/>
        <v>370</v>
      </c>
      <c r="N7" s="31" t="s">
        <v>43</v>
      </c>
      <c r="O7" s="8">
        <f>SUM(O3:O6)</f>
        <v>178509000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0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331</v>
      </c>
      <c r="C8" s="14">
        <v>22</v>
      </c>
      <c r="D8" s="13">
        <f t="shared" si="0"/>
        <v>353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2500000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800000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3600</v>
      </c>
      <c r="C10" s="14">
        <v>0</v>
      </c>
      <c r="D10" s="13">
        <f t="shared" si="0"/>
        <v>3600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6550000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300</v>
      </c>
      <c r="I11" s="21">
        <v>23</v>
      </c>
      <c r="J11" s="21">
        <v>150</v>
      </c>
      <c r="K11" s="21">
        <v>0</v>
      </c>
      <c r="L11" s="22">
        <f t="shared" si="11"/>
        <v>573</v>
      </c>
      <c r="O11">
        <v>4100000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369</v>
      </c>
      <c r="C12" s="14">
        <v>845</v>
      </c>
      <c r="D12" s="13">
        <f>C12+B12</f>
        <v>1214</v>
      </c>
      <c r="F12" s="20" t="s">
        <v>31</v>
      </c>
      <c r="G12" s="21">
        <v>0</v>
      </c>
      <c r="H12" s="21">
        <v>0</v>
      </c>
      <c r="I12" s="21">
        <v>3</v>
      </c>
      <c r="J12" s="21">
        <v>0</v>
      </c>
      <c r="K12" s="21">
        <v>0</v>
      </c>
      <c r="L12" s="22">
        <f t="shared" si="11"/>
        <v>3</v>
      </c>
      <c r="O12">
        <v>3350000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3</v>
      </c>
      <c r="W12" s="27">
        <f>CY12+AI6</f>
        <v>131</v>
      </c>
      <c r="X12" s="69">
        <f>CP14+AI22</f>
        <v>0</v>
      </c>
      <c r="Y12" s="27">
        <f>CZ12+AI7</f>
        <v>22</v>
      </c>
      <c r="Z12" s="27">
        <f t="shared" si="1"/>
        <v>3</v>
      </c>
      <c r="AA12" s="69">
        <f t="shared" si="2"/>
        <v>497</v>
      </c>
      <c r="AB12" s="4">
        <v>13500</v>
      </c>
      <c r="AC12" s="27">
        <f t="shared" si="3"/>
        <v>6709500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2600000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18</v>
      </c>
      <c r="H13" s="21">
        <v>96</v>
      </c>
      <c r="I13" s="21">
        <v>45</v>
      </c>
      <c r="J13" s="21">
        <v>180</v>
      </c>
      <c r="K13" s="21">
        <v>18</v>
      </c>
      <c r="L13" s="22">
        <f t="shared" si="11"/>
        <v>357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1700000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176</v>
      </c>
      <c r="D14" s="13">
        <f t="shared" si="0"/>
        <v>176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0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7500000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>
        <v>3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25</v>
      </c>
      <c r="DS14">
        <v>0</v>
      </c>
      <c r="DT14">
        <v>0</v>
      </c>
      <c r="DU14">
        <v>86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210</v>
      </c>
      <c r="C15" s="14">
        <v>0</v>
      </c>
      <c r="D15" s="13">
        <f t="shared" si="0"/>
        <v>210</v>
      </c>
      <c r="F15" s="20" t="s">
        <v>34</v>
      </c>
      <c r="G15" s="21">
        <v>9</v>
      </c>
      <c r="H15" s="21">
        <v>0</v>
      </c>
      <c r="I15" s="21">
        <v>13</v>
      </c>
      <c r="J15" s="21">
        <v>6</v>
      </c>
      <c r="K15" s="21">
        <v>0</v>
      </c>
      <c r="L15" s="22">
        <f t="shared" si="11"/>
        <v>28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10</v>
      </c>
      <c r="Y15" s="27">
        <f t="shared" si="19"/>
        <v>60</v>
      </c>
      <c r="Z15" s="27">
        <f t="shared" si="1"/>
        <v>10</v>
      </c>
      <c r="AA15" s="69">
        <f t="shared" si="2"/>
        <v>268</v>
      </c>
      <c r="AB15" s="4">
        <v>17250</v>
      </c>
      <c r="AC15" s="27">
        <f t="shared" si="3"/>
        <v>4623000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450000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60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0"/>
        <v>456</v>
      </c>
      <c r="F16" s="20" t="s">
        <v>35</v>
      </c>
      <c r="G16" s="21">
        <v>2</v>
      </c>
      <c r="H16" s="21">
        <v>78</v>
      </c>
      <c r="I16" s="21">
        <v>45</v>
      </c>
      <c r="J16" s="21">
        <v>14</v>
      </c>
      <c r="K16" s="21">
        <v>18</v>
      </c>
      <c r="L16" s="22">
        <f t="shared" si="11"/>
        <v>157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1800000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30</v>
      </c>
      <c r="H17" s="21">
        <v>45</v>
      </c>
      <c r="I17" s="21">
        <v>27</v>
      </c>
      <c r="J17" s="21">
        <v>72</v>
      </c>
      <c r="K17" s="21">
        <v>16</v>
      </c>
      <c r="L17" s="22">
        <f t="shared" si="11"/>
        <v>190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10</v>
      </c>
      <c r="CQ17">
        <v>10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30</v>
      </c>
      <c r="DX17">
        <v>0</v>
      </c>
      <c r="DY17">
        <v>0</v>
      </c>
      <c r="DZ17">
        <v>60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51</v>
      </c>
      <c r="D18" s="13">
        <f t="shared" si="0"/>
        <v>51</v>
      </c>
      <c r="F18" s="20" t="s">
        <v>15</v>
      </c>
      <c r="G18" s="21">
        <v>15</v>
      </c>
      <c r="H18" s="21">
        <v>0</v>
      </c>
      <c r="I18" s="21">
        <v>4</v>
      </c>
      <c r="J18" s="21">
        <v>20</v>
      </c>
      <c r="K18" s="21">
        <v>0</v>
      </c>
      <c r="L18" s="22">
        <f t="shared" si="11"/>
        <v>39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5200000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>
        <v>0</v>
      </c>
      <c r="AZ19" s="44">
        <v>0</v>
      </c>
      <c r="BA19" s="44">
        <v>0</v>
      </c>
      <c r="BB19" s="44">
        <v>0</v>
      </c>
      <c r="BC19" s="44">
        <v>0</v>
      </c>
      <c r="BD19" s="44">
        <v>0</v>
      </c>
      <c r="BE19" s="44"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0</v>
      </c>
      <c r="BK19" s="44">
        <v>0</v>
      </c>
      <c r="BL19" s="44">
        <v>0</v>
      </c>
      <c r="BM19" s="44">
        <v>0</v>
      </c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>
        <v>0</v>
      </c>
      <c r="AZ20" s="44">
        <v>0</v>
      </c>
      <c r="BA20" s="44">
        <v>0</v>
      </c>
      <c r="BB20" s="44">
        <v>0</v>
      </c>
      <c r="BC20" s="44">
        <v>0</v>
      </c>
      <c r="BD20" s="44">
        <v>0</v>
      </c>
      <c r="BE20" s="44"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0</v>
      </c>
      <c r="BK20" s="44">
        <v>0</v>
      </c>
      <c r="BL20" s="44">
        <v>0</v>
      </c>
      <c r="BM20" s="44">
        <v>0</v>
      </c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3950000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240</v>
      </c>
      <c r="C21" s="14">
        <v>904</v>
      </c>
      <c r="D21" s="13">
        <f t="shared" si="0"/>
        <v>1144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0</v>
      </c>
      <c r="S21" s="69">
        <f t="shared" si="13"/>
        <v>65</v>
      </c>
      <c r="T21" s="69">
        <f t="shared" si="14"/>
        <v>10</v>
      </c>
      <c r="U21" s="27">
        <f t="shared" si="15"/>
        <v>76</v>
      </c>
      <c r="V21" s="27">
        <f t="shared" si="25"/>
        <v>4</v>
      </c>
      <c r="W21" s="27">
        <f t="shared" si="17"/>
        <v>42</v>
      </c>
      <c r="X21" s="27">
        <f t="shared" si="18"/>
        <v>0</v>
      </c>
      <c r="Y21" s="27">
        <f t="shared" si="19"/>
        <v>27</v>
      </c>
      <c r="Z21" s="27">
        <f t="shared" si="1"/>
        <v>14</v>
      </c>
      <c r="AA21" s="69">
        <f t="shared" si="2"/>
        <v>210</v>
      </c>
      <c r="AB21" s="4">
        <v>9600</v>
      </c>
      <c r="AC21" s="27">
        <f t="shared" si="3"/>
        <v>2016000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>
        <v>0</v>
      </c>
      <c r="AZ21" s="44">
        <v>0</v>
      </c>
      <c r="BA21" s="44">
        <v>0</v>
      </c>
      <c r="BB21" s="44">
        <v>0</v>
      </c>
      <c r="BC21" s="44">
        <v>0</v>
      </c>
      <c r="BD21" s="44">
        <v>0</v>
      </c>
      <c r="BE21" s="44"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0</v>
      </c>
      <c r="BK21" s="44">
        <v>0</v>
      </c>
      <c r="BL21" s="44">
        <v>0</v>
      </c>
      <c r="BM21" s="44">
        <v>0</v>
      </c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76</v>
      </c>
      <c r="CY21">
        <v>42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16</v>
      </c>
      <c r="H22" s="21">
        <v>30</v>
      </c>
      <c r="I22" s="21">
        <v>75</v>
      </c>
      <c r="J22" s="21">
        <v>62</v>
      </c>
      <c r="K22" s="21">
        <v>12</v>
      </c>
      <c r="L22" s="22">
        <f t="shared" si="11"/>
        <v>195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>
        <v>0</v>
      </c>
      <c r="AZ22" s="44">
        <v>0</v>
      </c>
      <c r="BA22" s="44">
        <v>0</v>
      </c>
      <c r="BB22" s="44">
        <v>0</v>
      </c>
      <c r="BC22" s="44">
        <v>0</v>
      </c>
      <c r="BD22" s="44">
        <v>0</v>
      </c>
      <c r="BE22" s="44"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0</v>
      </c>
      <c r="BK22" s="44">
        <v>0</v>
      </c>
      <c r="BL22" s="44">
        <v>0</v>
      </c>
      <c r="BM22" s="44">
        <v>0</v>
      </c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>
        <v>0</v>
      </c>
      <c r="AZ23" s="44">
        <v>0</v>
      </c>
      <c r="BA23" s="44">
        <v>0</v>
      </c>
      <c r="BB23" s="44">
        <v>0</v>
      </c>
      <c r="BC23" s="44">
        <v>0</v>
      </c>
      <c r="BD23" s="44">
        <v>0</v>
      </c>
      <c r="BE23" s="44"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0</v>
      </c>
      <c r="BK23" s="44">
        <v>0</v>
      </c>
      <c r="BL23" s="44">
        <v>0</v>
      </c>
      <c r="BM23" s="44">
        <v>0</v>
      </c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0</v>
      </c>
      <c r="CN23" s="70">
        <v>10</v>
      </c>
      <c r="CO23" s="70">
        <v>4</v>
      </c>
      <c r="CP23" s="70">
        <v>0</v>
      </c>
      <c r="CQ23">
        <v>14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63</v>
      </c>
      <c r="DN23">
        <v>0</v>
      </c>
      <c r="DO23">
        <v>0</v>
      </c>
      <c r="DP23">
        <v>76</v>
      </c>
      <c r="DQ23">
        <v>35</v>
      </c>
      <c r="DR23">
        <v>7</v>
      </c>
      <c r="DS23">
        <v>0</v>
      </c>
      <c r="DT23">
        <v>0</v>
      </c>
      <c r="DU23">
        <v>42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>
        <v>0</v>
      </c>
      <c r="AZ24" s="44">
        <v>0</v>
      </c>
      <c r="BA24" s="44">
        <v>0</v>
      </c>
      <c r="BB24" s="44">
        <v>0</v>
      </c>
      <c r="BC24" s="44">
        <v>0</v>
      </c>
      <c r="BD24" s="44">
        <v>0</v>
      </c>
      <c r="BE24" s="44"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0</v>
      </c>
      <c r="BK24" s="44">
        <v>0</v>
      </c>
      <c r="BL24" s="44">
        <v>0</v>
      </c>
      <c r="BM24" s="44">
        <v>0</v>
      </c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6">SUM(U4:U24)</f>
        <v>1893</v>
      </c>
      <c r="V25" s="19"/>
      <c r="W25" s="19">
        <f t="shared" si="26"/>
        <v>1238</v>
      </c>
      <c r="X25" s="19"/>
      <c r="Y25" s="19">
        <f t="shared" si="26"/>
        <v>1329</v>
      </c>
      <c r="Z25" s="19">
        <f>SUM(Z4:Z24)</f>
        <v>27</v>
      </c>
      <c r="AA25" s="19">
        <f t="shared" si="26"/>
        <v>5537</v>
      </c>
      <c r="AB25" s="19"/>
      <c r="AC25" s="19">
        <f t="shared" si="26"/>
        <v>75100800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>
        <v>0</v>
      </c>
      <c r="AZ25" s="44">
        <v>0</v>
      </c>
      <c r="BA25" s="44">
        <v>0</v>
      </c>
      <c r="BB25" s="44">
        <v>0</v>
      </c>
      <c r="BC25" s="44">
        <v>0</v>
      </c>
      <c r="BD25" s="44">
        <v>0</v>
      </c>
      <c r="BE25" s="44"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0</v>
      </c>
      <c r="BK25" s="44">
        <v>0</v>
      </c>
      <c r="BL25" s="44">
        <v>0</v>
      </c>
      <c r="BM25" s="44">
        <v>0</v>
      </c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7">SUM(G5:G25)</f>
        <v>374</v>
      </c>
      <c r="H26" s="24">
        <f t="shared" si="27"/>
        <v>753</v>
      </c>
      <c r="I26" s="24">
        <f t="shared" si="27"/>
        <v>481</v>
      </c>
      <c r="J26" s="24">
        <f t="shared" si="27"/>
        <v>946</v>
      </c>
      <c r="K26" s="24">
        <f t="shared" si="27"/>
        <v>105</v>
      </c>
      <c r="L26" s="24">
        <f>SUM(L5:L25)</f>
        <v>2659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>
        <v>0</v>
      </c>
      <c r="AZ26" s="44">
        <v>0</v>
      </c>
      <c r="BA26" s="44">
        <v>0</v>
      </c>
      <c r="BB26" s="44">
        <v>0</v>
      </c>
      <c r="BC26" s="44">
        <v>0</v>
      </c>
      <c r="BD26" s="44">
        <v>0</v>
      </c>
      <c r="BE26" s="44"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0</v>
      </c>
      <c r="BK26" s="44">
        <v>0</v>
      </c>
      <c r="BL26" s="44">
        <v>0</v>
      </c>
      <c r="BM26" s="44">
        <v>0</v>
      </c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>
        <v>17383074</v>
      </c>
      <c r="AT27" s="31" t="s">
        <v>288</v>
      </c>
      <c r="AU27" s="43" t="s">
        <v>53</v>
      </c>
      <c r="AV27" s="6"/>
      <c r="AW27" s="44">
        <v>0</v>
      </c>
      <c r="AX27" s="44">
        <v>0</v>
      </c>
      <c r="AY27" s="44">
        <v>0</v>
      </c>
      <c r="AZ27" s="44">
        <v>0</v>
      </c>
      <c r="BA27" s="44">
        <v>0</v>
      </c>
      <c r="BB27" s="44">
        <v>0</v>
      </c>
      <c r="BC27" s="44">
        <v>0</v>
      </c>
      <c r="BD27" s="44">
        <v>0</v>
      </c>
      <c r="BE27" s="44">
        <v>0</v>
      </c>
      <c r="BF27" s="44">
        <v>0</v>
      </c>
      <c r="BG27" s="44">
        <v>0</v>
      </c>
      <c r="BH27" s="44">
        <v>0</v>
      </c>
      <c r="BI27" s="44">
        <v>0</v>
      </c>
      <c r="BJ27" s="44">
        <v>0</v>
      </c>
      <c r="BK27" s="44">
        <v>0</v>
      </c>
      <c r="BL27" s="44">
        <v>0</v>
      </c>
      <c r="BM27" s="44">
        <v>0</v>
      </c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501000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>
        <v>17138377</v>
      </c>
      <c r="AT28" s="31" t="s">
        <v>253</v>
      </c>
      <c r="AU28" s="43" t="s">
        <v>42</v>
      </c>
      <c r="AV28" s="6"/>
      <c r="AW28" s="44">
        <v>0</v>
      </c>
      <c r="AX28" s="44">
        <v>0</v>
      </c>
      <c r="AY28" s="44">
        <v>0</v>
      </c>
      <c r="AZ28" s="44">
        <v>0</v>
      </c>
      <c r="BA28" s="44">
        <v>0</v>
      </c>
      <c r="BB28" s="44">
        <v>0</v>
      </c>
      <c r="BC28" s="44">
        <v>0</v>
      </c>
      <c r="BD28" s="44">
        <v>0</v>
      </c>
      <c r="BE28" s="44">
        <v>0</v>
      </c>
      <c r="BF28" s="44">
        <v>0</v>
      </c>
      <c r="BG28" s="44">
        <v>0</v>
      </c>
      <c r="BH28" s="44">
        <v>0</v>
      </c>
      <c r="BI28" s="44">
        <v>0</v>
      </c>
      <c r="BJ28" s="44">
        <v>0</v>
      </c>
      <c r="BK28" s="44">
        <v>0</v>
      </c>
      <c r="BL28" s="44">
        <v>0</v>
      </c>
      <c r="BM28" s="44">
        <v>0</v>
      </c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1000000</v>
      </c>
      <c r="BW28" s="58"/>
    </row>
    <row r="29" spans="1:133" x14ac:dyDescent="0.35">
      <c r="A29" s="101" t="s">
        <v>51</v>
      </c>
      <c r="B29" s="102" t="s">
        <v>214</v>
      </c>
      <c r="C29" s="103" t="s">
        <v>215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73"/>
      <c r="U29" s="104" t="s">
        <v>216</v>
      </c>
      <c r="V29" s="104"/>
      <c r="W29" s="104"/>
      <c r="X29" s="104" t="s">
        <v>217</v>
      </c>
      <c r="Y29" s="104"/>
      <c r="Z29" s="104"/>
      <c r="AA29" s="104"/>
      <c r="AB29" s="104"/>
      <c r="AC29" s="104"/>
      <c r="AD29" s="104"/>
      <c r="AE29" s="104"/>
      <c r="AF29" s="104"/>
      <c r="AG29" s="100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>
        <v>17737026</v>
      </c>
      <c r="AT29" s="31" t="s">
        <v>258</v>
      </c>
      <c r="AU29" s="43" t="s">
        <v>53</v>
      </c>
      <c r="AV29" s="6"/>
      <c r="AW29" s="44">
        <v>0</v>
      </c>
      <c r="AX29" s="44">
        <v>0</v>
      </c>
      <c r="AY29" s="44">
        <v>0</v>
      </c>
      <c r="AZ29" s="44">
        <v>0</v>
      </c>
      <c r="BA29" s="44">
        <v>0</v>
      </c>
      <c r="BB29" s="44">
        <v>0</v>
      </c>
      <c r="BC29" s="44">
        <v>0</v>
      </c>
      <c r="BD29" s="44">
        <v>0</v>
      </c>
      <c r="BE29" s="44">
        <v>0</v>
      </c>
      <c r="BF29" s="44">
        <v>0</v>
      </c>
      <c r="BG29" s="44">
        <v>0</v>
      </c>
      <c r="BH29" s="44">
        <v>0</v>
      </c>
      <c r="BI29" s="44">
        <v>0</v>
      </c>
      <c r="BJ29" s="44">
        <v>0</v>
      </c>
      <c r="BK29" s="44">
        <v>0</v>
      </c>
      <c r="BL29" s="44">
        <v>0</v>
      </c>
      <c r="BM29" s="44">
        <v>0</v>
      </c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201000</v>
      </c>
      <c r="BW29" s="58"/>
    </row>
    <row r="30" spans="1:133" x14ac:dyDescent="0.35">
      <c r="A30" s="101"/>
      <c r="B30" s="102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100"/>
      <c r="AO30" s="39">
        <v>28</v>
      </c>
      <c r="AP30" s="40">
        <v>46214</v>
      </c>
      <c r="AQ30" s="41" t="s">
        <v>204</v>
      </c>
      <c r="AR30" s="42" t="s">
        <v>184</v>
      </c>
      <c r="AS30" s="31">
        <v>17675348</v>
      </c>
      <c r="AT30" s="31" t="s">
        <v>289</v>
      </c>
      <c r="AU30" s="31" t="s">
        <v>41</v>
      </c>
      <c r="AV30" s="6"/>
      <c r="AW30" s="44">
        <v>0</v>
      </c>
      <c r="AX30" s="44">
        <v>0</v>
      </c>
      <c r="AY30" s="44">
        <v>0</v>
      </c>
      <c r="AZ30" s="44">
        <v>0</v>
      </c>
      <c r="BA30" s="44">
        <v>0</v>
      </c>
      <c r="BB30" s="44">
        <v>0</v>
      </c>
      <c r="BC30" s="44">
        <v>0</v>
      </c>
      <c r="BD30" s="44">
        <v>0</v>
      </c>
      <c r="BE30" s="44"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0</v>
      </c>
      <c r="BK30" s="44">
        <v>0</v>
      </c>
      <c r="BL30" s="44">
        <v>0</v>
      </c>
      <c r="BM30" s="44">
        <v>0</v>
      </c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601000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>
        <v>17260654</v>
      </c>
      <c r="AT31" s="31" t="s">
        <v>290</v>
      </c>
      <c r="AU31" s="31" t="s">
        <v>42</v>
      </c>
      <c r="AV31" s="6"/>
      <c r="AW31" s="44">
        <v>0</v>
      </c>
      <c r="AX31" s="44">
        <v>0</v>
      </c>
      <c r="AY31" s="44">
        <v>0</v>
      </c>
      <c r="AZ31" s="44">
        <v>0</v>
      </c>
      <c r="BA31" s="44">
        <v>0</v>
      </c>
      <c r="BB31" s="44">
        <v>0</v>
      </c>
      <c r="BC31" s="44">
        <v>0</v>
      </c>
      <c r="BD31" s="44">
        <v>0</v>
      </c>
      <c r="BE31" s="44"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0</v>
      </c>
      <c r="BK31" s="44">
        <v>0</v>
      </c>
      <c r="BL31" s="44">
        <v>0</v>
      </c>
      <c r="BM31" s="44">
        <v>0</v>
      </c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3000100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46216</v>
      </c>
      <c r="AQ32" s="41" t="s">
        <v>204</v>
      </c>
      <c r="AR32" s="42" t="s">
        <v>184</v>
      </c>
      <c r="AS32" s="31"/>
      <c r="AT32" s="31" t="e">
        <v>#N/A</v>
      </c>
      <c r="AU32" s="31" t="s">
        <v>53</v>
      </c>
      <c r="AV32" s="6"/>
      <c r="AW32" s="44"/>
      <c r="AX32" s="44">
        <v>0</v>
      </c>
      <c r="AY32" s="44">
        <v>0</v>
      </c>
      <c r="AZ32" s="44">
        <v>0</v>
      </c>
      <c r="BA32" s="44">
        <v>0</v>
      </c>
      <c r="BB32" s="44">
        <v>0</v>
      </c>
      <c r="BC32" s="44">
        <v>0</v>
      </c>
      <c r="BD32" s="44">
        <v>0</v>
      </c>
      <c r="BE32" s="44">
        <v>0</v>
      </c>
      <c r="BF32" s="44">
        <v>0</v>
      </c>
      <c r="BG32" s="44">
        <v>0</v>
      </c>
      <c r="BH32" s="44">
        <v>0</v>
      </c>
      <c r="BI32" s="44">
        <v>0</v>
      </c>
      <c r="BJ32" s="44">
        <v>0</v>
      </c>
      <c r="BK32" s="44">
        <v>0</v>
      </c>
      <c r="BL32" s="44">
        <v>0</v>
      </c>
      <c r="BM32" s="44">
        <v>0</v>
      </c>
      <c r="BN32" s="44">
        <v>0</v>
      </c>
      <c r="BO32" s="55">
        <v>0</v>
      </c>
      <c r="BP32" s="40">
        <v>46216</v>
      </c>
      <c r="BQ32" s="39">
        <v>4</v>
      </c>
      <c r="BR32" s="59">
        <v>300000</v>
      </c>
      <c r="BS32" s="39" t="s">
        <v>109</v>
      </c>
      <c r="BT32" s="57">
        <v>-300000</v>
      </c>
      <c r="BU32" s="40"/>
      <c r="BV32" s="8">
        <v>0</v>
      </c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46216</v>
      </c>
      <c r="AQ33" s="41" t="s">
        <v>204</v>
      </c>
      <c r="AR33" s="42" t="s">
        <v>184</v>
      </c>
      <c r="AS33" s="31"/>
      <c r="AT33" s="31" t="e">
        <v>#N/A</v>
      </c>
      <c r="AU33" s="31" t="s">
        <v>273</v>
      </c>
      <c r="AV33" s="6"/>
      <c r="AW33" s="44"/>
      <c r="AX33" s="44">
        <v>0</v>
      </c>
      <c r="AY33" s="44">
        <v>0</v>
      </c>
      <c r="AZ33" s="44">
        <v>0</v>
      </c>
      <c r="BA33" s="44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0</v>
      </c>
      <c r="BK33" s="44">
        <v>0</v>
      </c>
      <c r="BL33" s="44">
        <v>0</v>
      </c>
      <c r="BM33" s="44">
        <v>0</v>
      </c>
      <c r="BN33" s="44">
        <v>0</v>
      </c>
      <c r="BO33" s="55">
        <v>0</v>
      </c>
      <c r="BP33" s="40">
        <v>46216</v>
      </c>
      <c r="BQ33" s="39">
        <v>5</v>
      </c>
      <c r="BR33" s="59">
        <v>375000</v>
      </c>
      <c r="BS33" s="39" t="s">
        <v>109</v>
      </c>
      <c r="BT33" s="57">
        <v>-375000</v>
      </c>
      <c r="BU33" s="40"/>
      <c r="BV33" s="8">
        <v>0</v>
      </c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46216</v>
      </c>
      <c r="AQ34" s="41" t="s">
        <v>204</v>
      </c>
      <c r="AR34" s="42" t="s">
        <v>184</v>
      </c>
      <c r="AS34" s="31"/>
      <c r="AT34" s="31" t="e">
        <v>#N/A</v>
      </c>
      <c r="AU34" s="31" t="s">
        <v>41</v>
      </c>
      <c r="AV34" s="6"/>
      <c r="AW34" s="44"/>
      <c r="AX34" s="44">
        <v>0</v>
      </c>
      <c r="AY34" s="44">
        <v>0</v>
      </c>
      <c r="AZ34" s="44">
        <v>0</v>
      </c>
      <c r="BA34" s="44">
        <v>0</v>
      </c>
      <c r="BB34" s="44">
        <v>0</v>
      </c>
      <c r="BC34" s="44">
        <v>0</v>
      </c>
      <c r="BD34" s="44">
        <v>0</v>
      </c>
      <c r="BE34" s="44"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0</v>
      </c>
      <c r="BK34" s="44">
        <v>0</v>
      </c>
      <c r="BL34" s="44">
        <v>0</v>
      </c>
      <c r="BM34" s="44">
        <v>0</v>
      </c>
      <c r="BN34" s="44">
        <v>0</v>
      </c>
      <c r="BO34" s="55">
        <v>0</v>
      </c>
      <c r="BP34" s="40">
        <v>46216</v>
      </c>
      <c r="BQ34" s="39">
        <v>5</v>
      </c>
      <c r="BR34" s="59">
        <v>375000</v>
      </c>
      <c r="BS34" s="39" t="s">
        <v>109</v>
      </c>
      <c r="BT34" s="57">
        <v>-375000</v>
      </c>
      <c r="BU34" s="40"/>
      <c r="BV34" s="8">
        <v>0</v>
      </c>
      <c r="BW34" s="58"/>
    </row>
    <row r="35" spans="1:75" x14ac:dyDescent="0.35">
      <c r="AO35" s="39">
        <v>33</v>
      </c>
      <c r="AP35" s="40">
        <v>46216</v>
      </c>
      <c r="AQ35" s="41" t="s">
        <v>204</v>
      </c>
      <c r="AR35" s="42" t="s">
        <v>184</v>
      </c>
      <c r="AS35" s="31"/>
      <c r="AT35" s="31" t="e">
        <v>#N/A</v>
      </c>
      <c r="AU35" s="31" t="s">
        <v>42</v>
      </c>
      <c r="AV35" s="6"/>
      <c r="AW35" s="44"/>
      <c r="AX35" s="44">
        <v>0</v>
      </c>
      <c r="AY35" s="44">
        <v>0</v>
      </c>
      <c r="AZ35" s="44">
        <v>0</v>
      </c>
      <c r="BA35" s="44">
        <v>0</v>
      </c>
      <c r="BB35" s="44">
        <v>0</v>
      </c>
      <c r="BC35" s="44">
        <v>0</v>
      </c>
      <c r="BD35" s="44">
        <v>0</v>
      </c>
      <c r="BE35" s="44"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0</v>
      </c>
      <c r="BK35" s="44">
        <v>0</v>
      </c>
      <c r="BL35" s="44">
        <v>0</v>
      </c>
      <c r="BM35" s="44">
        <v>0</v>
      </c>
      <c r="BN35" s="44">
        <v>0</v>
      </c>
      <c r="BO35" s="55">
        <v>0</v>
      </c>
      <c r="BP35" s="40">
        <v>46216</v>
      </c>
      <c r="BQ35" s="39">
        <v>5</v>
      </c>
      <c r="BR35" s="59">
        <v>375000</v>
      </c>
      <c r="BS35" s="39" t="s">
        <v>109</v>
      </c>
      <c r="BT35" s="57">
        <v>-375000</v>
      </c>
      <c r="BU35" s="40"/>
      <c r="BV35" s="8">
        <v>0</v>
      </c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46217</v>
      </c>
      <c r="AQ36" s="41" t="s">
        <v>204</v>
      </c>
      <c r="AR36" s="42" t="s">
        <v>184</v>
      </c>
      <c r="AS36" s="31"/>
      <c r="AT36" s="31" t="e">
        <v>#N/A</v>
      </c>
      <c r="AU36" s="31" t="s">
        <v>273</v>
      </c>
      <c r="AV36" s="6">
        <v>28</v>
      </c>
      <c r="AW36" s="44"/>
      <c r="AX36" s="44">
        <v>84</v>
      </c>
      <c r="AY36" s="44">
        <v>0</v>
      </c>
      <c r="AZ36" s="44">
        <v>0</v>
      </c>
      <c r="BA36" s="44">
        <v>0</v>
      </c>
      <c r="BB36" s="44">
        <v>0</v>
      </c>
      <c r="BC36" s="44">
        <v>0</v>
      </c>
      <c r="BD36" s="44">
        <v>0</v>
      </c>
      <c r="BE36" s="44"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0</v>
      </c>
      <c r="BK36" s="44">
        <v>0</v>
      </c>
      <c r="BL36" s="44">
        <v>0</v>
      </c>
      <c r="BM36" s="44">
        <v>0</v>
      </c>
      <c r="BN36" s="44">
        <v>28</v>
      </c>
      <c r="BO36" s="55">
        <v>2100000</v>
      </c>
      <c r="BP36" s="40"/>
      <c r="BQ36" s="39"/>
      <c r="BR36" s="59"/>
      <c r="BS36" s="39"/>
      <c r="BT36" s="57">
        <v>2100000</v>
      </c>
      <c r="BU36" s="40"/>
      <c r="BV36" s="8">
        <v>0</v>
      </c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2026-07-24T04:13:23Z</dcterms:modified>
</cp:coreProperties>
</file>