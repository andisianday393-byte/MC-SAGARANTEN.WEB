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34" documentId="8_{9F82AD4D-DC67-1C4D-A5DD-D2653976B53D}" xr6:coauthVersionLast="47" xr6:coauthVersionMax="47" xr10:uidLastSave="{9301B34B-6E72-44D5-898F-ED87BB99D573}"/>
  <bookViews>
    <workbookView xWindow="-110" yWindow="-110" windowWidth="19420" windowHeight="10300" firstSheet="3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B10" i="4" l="1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D16" i="4"/>
  <c r="E16" i="4"/>
  <c r="B17" i="4"/>
  <c r="C17" i="4"/>
  <c r="D17" i="4"/>
  <c r="E17" i="4"/>
  <c r="B18" i="4"/>
  <c r="C18" i="4"/>
  <c r="D18" i="4"/>
  <c r="E18" i="4"/>
  <c r="B19" i="4"/>
  <c r="C19" i="4"/>
  <c r="D19" i="4"/>
  <c r="E19" i="4"/>
  <c r="B20" i="4"/>
  <c r="C20" i="4"/>
  <c r="D20" i="4"/>
  <c r="E20" i="4"/>
  <c r="B21" i="4"/>
  <c r="C21" i="4"/>
  <c r="D21" i="4"/>
  <c r="E21" i="4"/>
  <c r="C9" i="4"/>
  <c r="D9" i="4"/>
  <c r="E9" i="4"/>
  <c r="B9" i="4"/>
  <c r="B3" i="4"/>
  <c r="C3" i="4"/>
  <c r="D3" i="4"/>
  <c r="E3" i="4"/>
  <c r="B4" i="4"/>
  <c r="C4" i="4"/>
  <c r="D4" i="4"/>
  <c r="E4" i="4"/>
  <c r="B5" i="4"/>
  <c r="C5" i="4"/>
  <c r="D5" i="4"/>
  <c r="E5" i="4"/>
  <c r="C2" i="4"/>
  <c r="D2" i="4"/>
  <c r="E2" i="4"/>
  <c r="B2" i="4"/>
  <c r="H17" i="4" l="1"/>
  <c r="C22" i="4"/>
  <c r="D22" i="4"/>
  <c r="E22" i="4"/>
  <c r="B22" i="4"/>
  <c r="F10" i="4"/>
  <c r="H10" i="4" s="1"/>
  <c r="F11" i="4"/>
  <c r="H11" i="4" s="1"/>
  <c r="F12" i="4"/>
  <c r="H12" i="4" s="1"/>
  <c r="F13" i="4"/>
  <c r="H13" i="4" s="1"/>
  <c r="F14" i="4"/>
  <c r="H14" i="4" s="1"/>
  <c r="F15" i="4"/>
  <c r="H15" i="4" s="1"/>
  <c r="F16" i="4"/>
  <c r="H16" i="4" s="1"/>
  <c r="F17" i="4"/>
  <c r="F18" i="4"/>
  <c r="H18" i="4" s="1"/>
  <c r="F19" i="4"/>
  <c r="H19" i="4" s="1"/>
  <c r="F20" i="4"/>
  <c r="H20" i="4" s="1"/>
  <c r="F21" i="4"/>
  <c r="H21" i="4" s="1"/>
  <c r="F9" i="4"/>
  <c r="H9" i="4" s="1"/>
  <c r="F3" i="4"/>
  <c r="H3" i="4" s="1"/>
  <c r="F4" i="4"/>
  <c r="H4" i="4" s="1"/>
  <c r="F5" i="4"/>
  <c r="H5" i="4" s="1"/>
  <c r="F2" i="4"/>
  <c r="H2" i="4" s="1"/>
  <c r="C6" i="4"/>
  <c r="D6" i="4"/>
  <c r="E6" i="4"/>
  <c r="B6" i="4"/>
  <c r="B3" i="3"/>
  <c r="B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B9" i="2"/>
  <c r="D9" i="2"/>
  <c r="E9" i="2"/>
  <c r="B17" i="2"/>
  <c r="D17" i="2"/>
  <c r="E17" i="2"/>
  <c r="D2" i="2"/>
  <c r="B2" i="2"/>
  <c r="E2" i="2"/>
  <c r="D3" i="2"/>
  <c r="D4" i="2"/>
  <c r="D5" i="2"/>
  <c r="D6" i="2"/>
  <c r="B6" i="2"/>
  <c r="E6" i="2"/>
  <c r="D7" i="2"/>
  <c r="D8" i="2"/>
  <c r="D10" i="2"/>
  <c r="D11" i="2"/>
  <c r="D12" i="2"/>
  <c r="D13" i="2"/>
  <c r="D14" i="2"/>
  <c r="B14" i="2"/>
  <c r="E14" i="2"/>
  <c r="D15" i="2"/>
  <c r="G15" i="2" s="1"/>
  <c r="D16" i="2"/>
  <c r="D18" i="2"/>
  <c r="D19" i="2"/>
  <c r="D20" i="2"/>
  <c r="E3" i="2"/>
  <c r="E4" i="2"/>
  <c r="E5" i="2"/>
  <c r="E7" i="2"/>
  <c r="E8" i="2"/>
  <c r="E10" i="2"/>
  <c r="E11" i="2"/>
  <c r="E12" i="2"/>
  <c r="E13" i="2"/>
  <c r="E15" i="2"/>
  <c r="E16" i="2"/>
  <c r="E18" i="2"/>
  <c r="E19" i="2"/>
  <c r="E20" i="2"/>
  <c r="B8" i="2"/>
  <c r="F23" i="2"/>
  <c r="B3" i="2"/>
  <c r="B4" i="2"/>
  <c r="G4" i="2"/>
  <c r="B5" i="2"/>
  <c r="B7" i="2"/>
  <c r="B10" i="2"/>
  <c r="B11" i="2"/>
  <c r="G11" i="2" s="1"/>
  <c r="B12" i="2"/>
  <c r="B13" i="2"/>
  <c r="B15" i="2"/>
  <c r="B16" i="2"/>
  <c r="B18" i="2"/>
  <c r="B19" i="2"/>
  <c r="B20" i="2"/>
  <c r="G21" i="2"/>
  <c r="G22" i="2"/>
  <c r="L5" i="8"/>
  <c r="W10" i="8"/>
  <c r="Y10" i="8" s="1"/>
  <c r="W4" i="8"/>
  <c r="Y4" i="8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3" i="5"/>
  <c r="D5" i="5"/>
  <c r="D6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4" i="3"/>
  <c r="B5" i="3"/>
  <c r="B4" i="1"/>
  <c r="C4" i="1"/>
  <c r="B5" i="1"/>
  <c r="D5" i="1" s="1"/>
  <c r="C5" i="1"/>
  <c r="B6" i="1"/>
  <c r="C6" i="1"/>
  <c r="B7" i="1"/>
  <c r="C7" i="1"/>
  <c r="B8" i="1"/>
  <c r="C8" i="1"/>
  <c r="D8" i="1" s="1"/>
  <c r="B9" i="1"/>
  <c r="C9" i="1"/>
  <c r="B10" i="1"/>
  <c r="C10" i="1"/>
  <c r="B11" i="1"/>
  <c r="D11" i="1" s="1"/>
  <c r="C11" i="1"/>
  <c r="B12" i="1"/>
  <c r="C12" i="1"/>
  <c r="B13" i="1"/>
  <c r="D13" i="1" s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D3" i="1" s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G3" i="5"/>
  <c r="G4" i="5"/>
  <c r="H4" i="5"/>
  <c r="I4" i="5"/>
  <c r="J4" i="5"/>
  <c r="K4" i="5"/>
  <c r="G5" i="5"/>
  <c r="G6" i="5"/>
  <c r="H6" i="5"/>
  <c r="I6" i="5"/>
  <c r="I7" i="5" s="1"/>
  <c r="J6" i="5"/>
  <c r="H3" i="5"/>
  <c r="H5" i="5"/>
  <c r="I3" i="5"/>
  <c r="I5" i="5"/>
  <c r="J3" i="5"/>
  <c r="J5" i="5"/>
  <c r="K5" i="5"/>
  <c r="E3" i="5"/>
  <c r="E4" i="5"/>
  <c r="E5" i="5"/>
  <c r="E6" i="5"/>
  <c r="F3" i="5"/>
  <c r="F4" i="5"/>
  <c r="F5" i="5"/>
  <c r="F6" i="5"/>
  <c r="F7" i="5"/>
  <c r="C3" i="5"/>
  <c r="C4" i="5"/>
  <c r="C5" i="5"/>
  <c r="C6" i="5"/>
  <c r="W22" i="8"/>
  <c r="Y22" i="8"/>
  <c r="W21" i="8"/>
  <c r="Y21" i="8" s="1"/>
  <c r="W20" i="8"/>
  <c r="Y20" i="8"/>
  <c r="W19" i="8"/>
  <c r="Y19" i="8" s="1"/>
  <c r="W18" i="8"/>
  <c r="Y18" i="8" s="1"/>
  <c r="W17" i="8"/>
  <c r="Y17" i="8" s="1"/>
  <c r="W16" i="8"/>
  <c r="Y16" i="8"/>
  <c r="W15" i="8"/>
  <c r="Y15" i="8" s="1"/>
  <c r="W14" i="8"/>
  <c r="Y14" i="8"/>
  <c r="W13" i="8"/>
  <c r="Y13" i="8" s="1"/>
  <c r="W12" i="8"/>
  <c r="Y12" i="8" s="1"/>
  <c r="W11" i="8"/>
  <c r="Y11" i="8" s="1"/>
  <c r="W9" i="8"/>
  <c r="Y9" i="8" s="1"/>
  <c r="W8" i="8"/>
  <c r="Y8" i="8" s="1"/>
  <c r="W7" i="8"/>
  <c r="Y7" i="8"/>
  <c r="W6" i="8"/>
  <c r="Y6" i="8" s="1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/>
  <c r="R25" i="8"/>
  <c r="D10" i="1"/>
  <c r="D17" i="1"/>
  <c r="W25" i="8"/>
  <c r="G5" i="2"/>
  <c r="E23" i="2" l="1"/>
  <c r="G6" i="2"/>
  <c r="G14" i="2"/>
  <c r="G2" i="2"/>
  <c r="D20" i="1"/>
  <c r="D18" i="1"/>
  <c r="D16" i="1"/>
  <c r="D14" i="1"/>
  <c r="D19" i="1"/>
  <c r="D4" i="1"/>
  <c r="K6" i="5"/>
  <c r="G7" i="5"/>
  <c r="H7" i="5"/>
  <c r="J7" i="5"/>
  <c r="E7" i="5"/>
  <c r="D7" i="5"/>
  <c r="C7" i="5"/>
  <c r="G10" i="2"/>
  <c r="G8" i="2"/>
  <c r="G9" i="2"/>
  <c r="L26" i="8"/>
  <c r="G19" i="2"/>
  <c r="G13" i="2"/>
  <c r="G3" i="2"/>
  <c r="G20" i="2"/>
  <c r="G12" i="2"/>
  <c r="G7" i="2"/>
  <c r="G17" i="2"/>
  <c r="G16" i="2"/>
  <c r="G18" i="2"/>
  <c r="D23" i="2"/>
  <c r="D7" i="1"/>
  <c r="D21" i="1"/>
  <c r="D15" i="1"/>
  <c r="D12" i="1"/>
  <c r="D9" i="1"/>
  <c r="D6" i="1"/>
  <c r="K3" i="5"/>
  <c r="K7" i="5" s="1"/>
  <c r="F22" i="4"/>
  <c r="H22" i="4"/>
  <c r="F6" i="4"/>
  <c r="H6" i="4"/>
  <c r="Y25" i="8"/>
  <c r="B6" i="3"/>
  <c r="O7" i="8"/>
  <c r="C23" i="2"/>
  <c r="B23" i="2"/>
  <c r="G23" i="2" l="1"/>
</calcChain>
</file>

<file path=xl/sharedStrings.xml><?xml version="1.0" encoding="utf-8"?>
<sst xmlns="http://schemas.openxmlformats.org/spreadsheetml/2006/main" count="340" uniqueCount="128">
  <si>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</si>
  <si>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</si>
  <si>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</si>
  <si>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</si>
  <si>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</si>
  <si>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</si>
  <si>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</si>
  <si>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</si>
  <si>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</si>
  <si>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</si>
  <si>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</si>
  <si>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</si>
  <si>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</si>
  <si>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</si>
  <si>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</si>
  <si>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</si>
  <si>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</si>
  <si>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</si>
  <si>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</si>
  <si>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</si>
  <si>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</si>
  <si>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</si>
  <si>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</si>
  <si>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</si>
  <si>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</si>
  <si>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</si>
  <si>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</si>
  <si>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</si>
  <si>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</si>
  <si>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</si>
  <si>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</si>
  <si>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</si>
  <si>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</si>
  <si>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</si>
  <si>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</si>
  <si>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</si>
  <si>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</si>
  <si>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</si>
  <si>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</si>
  <si>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</si>
  <si>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</si>
  <si>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</si>
  <si>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</si>
  <si>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</si>
  <si>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</si>
  <si>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</si>
  <si>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</si>
  <si>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</si>
  <si>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</si>
  <si>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</si>
  <si>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</si>
  <si>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</si>
  <si>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</si>
  <si>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</si>
  <si>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</si>
  <si>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</si>
  <si>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</si>
  <si>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</si>
  <si>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</si>
  <si>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</si>
  <si>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</si>
  <si>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</si>
  <si>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</si>
  <si>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</si>
  <si>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</si>
  <si>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</si>
  <si>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</si>
  <si>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</si>
  <si>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</si>
  <si>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</si>
  <si>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</si>
  <si>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</si>
  <si>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</si>
  <si>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</si>
  <si>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</si>
  <si>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</si>
  <si>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</si>
  <si>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</si>
  <si>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</si>
  <si>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</si>
  <si>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</si>
  <si>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</si>
  <si>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</si>
  <si>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</si>
  <si>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</si>
  <si>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</si>
  <si>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</si>
  <si>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</si>
  <si>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</si>
  <si>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</si>
  <si>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</si>
  <si>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</si>
  <si>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</si>
  <si>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</si>
  <si>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</si>
  <si>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</si>
  <si>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</si>
  <si>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</si>
  <si>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</si>
  <si>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</si>
  <si>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</si>
  <si>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</si>
  <si>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</si>
  <si>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</si>
  <si>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</si>
  <si>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</si>
  <si>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</si>
  <si>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</si>
  <si>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</si>
  <si>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</si>
  <si>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</si>
  <si>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</si>
  <si>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</si>
  <si>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</si>
  <si>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</si>
  <si>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</si>
  <si>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</si>
  <si>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</si>
  <si>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</si>
  <si>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</si>
  <si>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paste disisni</t>
  </si>
  <si>
    <t>On Hand Dse</t>
  </si>
  <si>
    <t>SP</t>
  </si>
  <si>
    <t>Total PCS</t>
  </si>
  <si>
    <t>Harga</t>
  </si>
  <si>
    <t>Total Rp</t>
  </si>
  <si>
    <t>TOTAL SP</t>
  </si>
  <si>
    <t>VOUCHER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</si>
</sst>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2250</v>
      </c>
      <c r="C9">
        <f>index!C10</f>
        <v>0</v>
      </c>
      <c r="D9" s="1">
        <f t="shared" si="0"/>
        <v>2250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30</v>
      </c>
      <c r="C11">
        <f>index!C12</f>
        <v>981</v>
      </c>
      <c r="D11" s="1">
        <f t="shared" si="0"/>
        <v>1011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35">
      <c r="A14" t="s">
        <v>13</v>
      </c>
      <c r="B14">
        <f>index!B15</f>
        <v>0</v>
      </c>
      <c r="C14">
        <f>index!C15</f>
        <v>3</v>
      </c>
      <c r="D14" s="1">
        <f t="shared" si="0"/>
        <v>3</v>
      </c>
    </row>
    <row r="15" spans="1:4" x14ac:dyDescent="0.35">
      <c r="A15" t="s">
        <v>14</v>
      </c>
      <c r="B15">
        <f>index!B16</f>
        <v>60</v>
      </c>
      <c r="C15">
        <f>index!C16</f>
        <v>6</v>
      </c>
      <c r="D15" s="1">
        <f t="shared" si="0"/>
        <v>66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90</v>
      </c>
      <c r="C20">
        <f>index!C21</f>
        <v>1002</v>
      </c>
      <c r="D20" s="1">
        <f t="shared" si="0"/>
        <v>1092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37</v>
      </c>
      <c r="C2">
        <f>index!H5</f>
        <v>0</v>
      </c>
      <c r="D2">
        <f>index!I5</f>
        <v>5</v>
      </c>
      <c r="E2">
        <f>index!J5</f>
        <v>19</v>
      </c>
      <c r="G2">
        <f>SUM(B2:F2)</f>
        <v>61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482</v>
      </c>
      <c r="C4">
        <f>index!H7</f>
        <v>213</v>
      </c>
      <c r="D4">
        <f>index!I7</f>
        <v>376</v>
      </c>
      <c r="E4">
        <f>index!J7</f>
        <v>267</v>
      </c>
      <c r="G4">
        <f t="shared" si="0"/>
        <v>1338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70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732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107</v>
      </c>
      <c r="C10">
        <f>index!H13</f>
        <v>115</v>
      </c>
      <c r="D10">
        <f>index!I13</f>
        <v>60</v>
      </c>
      <c r="E10">
        <f>index!J13</f>
        <v>147</v>
      </c>
      <c r="G10">
        <f t="shared" si="0"/>
        <v>429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12</v>
      </c>
      <c r="D12">
        <f>index!I15</f>
        <v>18</v>
      </c>
      <c r="E12">
        <f>index!J15</f>
        <v>57</v>
      </c>
      <c r="G12">
        <f t="shared" si="0"/>
        <v>131</v>
      </c>
    </row>
    <row r="13" spans="1:7" x14ac:dyDescent="0.35">
      <c r="A13" t="s">
        <v>35</v>
      </c>
      <c r="B13">
        <f>index!G16</f>
        <v>114</v>
      </c>
      <c r="C13">
        <f>index!H16</f>
        <v>50</v>
      </c>
      <c r="D13">
        <f>index!I16</f>
        <v>13</v>
      </c>
      <c r="E13">
        <f>index!J16</f>
        <v>116</v>
      </c>
      <c r="G13">
        <f t="shared" si="0"/>
        <v>293</v>
      </c>
    </row>
    <row r="14" spans="1:7" x14ac:dyDescent="0.35">
      <c r="A14" t="s">
        <v>36</v>
      </c>
      <c r="B14">
        <f>index!G17</f>
        <v>76</v>
      </c>
      <c r="C14">
        <f>index!H17</f>
        <v>74</v>
      </c>
      <c r="D14">
        <f>index!I17</f>
        <v>36</v>
      </c>
      <c r="E14">
        <f>index!J17</f>
        <v>93</v>
      </c>
      <c r="G14">
        <f t="shared" si="0"/>
        <v>279</v>
      </c>
    </row>
    <row r="15" spans="1:7" x14ac:dyDescent="0.35">
      <c r="A15" t="s">
        <v>15</v>
      </c>
      <c r="B15">
        <f>index!G18</f>
        <v>45</v>
      </c>
      <c r="C15">
        <f>index!H18</f>
        <v>35</v>
      </c>
      <c r="D15">
        <f>index!I18</f>
        <v>18</v>
      </c>
      <c r="E15">
        <f>index!J18</f>
        <v>20</v>
      </c>
      <c r="G15">
        <f t="shared" si="0"/>
        <v>118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131</v>
      </c>
      <c r="C19">
        <f>index!H22</f>
        <v>75</v>
      </c>
      <c r="D19">
        <f>index!I22</f>
        <v>64</v>
      </c>
      <c r="E19">
        <f>index!J22</f>
        <v>61</v>
      </c>
      <c r="G19">
        <f t="shared" si="0"/>
        <v>331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1133</v>
      </c>
      <c r="C23">
        <f t="shared" ref="C23:G23" si="1">SUM(C2:C22)</f>
        <v>948</v>
      </c>
      <c r="D23">
        <f t="shared" si="1"/>
        <v>681</v>
      </c>
      <c r="E23">
        <f t="shared" si="1"/>
        <v>1145</v>
      </c>
      <c r="F23">
        <f t="shared" si="1"/>
        <v>0</v>
      </c>
      <c r="G23">
        <f t="shared" si="1"/>
        <v>3907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79565900</v>
      </c>
    </row>
    <row r="3" spans="1:2" x14ac:dyDescent="0.35">
      <c r="A3" t="s">
        <v>40</v>
      </c>
      <c r="B3">
        <f>index!O4</f>
        <v>130361600</v>
      </c>
    </row>
    <row r="4" spans="1:2" x14ac:dyDescent="0.35">
      <c r="A4" t="s">
        <v>41</v>
      </c>
      <c r="B4">
        <f>index!O5</f>
        <v>102820500</v>
      </c>
    </row>
    <row r="5" spans="1:2" x14ac:dyDescent="0.35">
      <c r="A5" t="s">
        <v>42</v>
      </c>
      <c r="B5">
        <f>index!O6</f>
        <v>121169800</v>
      </c>
    </row>
    <row r="6" spans="1:2" x14ac:dyDescent="0.35">
      <c r="A6" t="s">
        <v>43</v>
      </c>
      <c r="B6">
        <f>SUM(B2:B5)</f>
        <v>433917800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122</v>
      </c>
      <c r="B1" t="s">
        <v>47</v>
      </c>
      <c r="C1" t="s">
        <v>39</v>
      </c>
      <c r="D1" t="s">
        <v>48</v>
      </c>
      <c r="E1" t="s">
        <v>49</v>
      </c>
      <c r="F1" t="s">
        <v>123</v>
      </c>
      <c r="G1" t="s">
        <v>124</v>
      </c>
      <c r="H1" t="s">
        <v>125</v>
      </c>
    </row>
    <row r="2" spans="1:8" x14ac:dyDescent="0.35">
      <c r="A2" t="s">
        <v>4</v>
      </c>
      <c r="B2">
        <f>index!R4</f>
        <v>62</v>
      </c>
      <c r="C2">
        <f>index!S4</f>
        <v>62</v>
      </c>
      <c r="D2">
        <f>index!T4</f>
        <v>95</v>
      </c>
      <c r="E2">
        <f>index!U4</f>
        <v>148</v>
      </c>
      <c r="F2">
        <f>SUM(B2:E2)</f>
        <v>367</v>
      </c>
      <c r="G2">
        <v>11000</v>
      </c>
      <c r="H2">
        <f>F2*G2</f>
        <v>4037000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2</v>
      </c>
      <c r="C4">
        <f>index!S6</f>
        <v>3</v>
      </c>
      <c r="D4">
        <f>index!T6</f>
        <v>0</v>
      </c>
      <c r="E4">
        <f>index!U6</f>
        <v>0</v>
      </c>
      <c r="F4">
        <f t="shared" si="0"/>
        <v>5</v>
      </c>
      <c r="G4">
        <v>25000</v>
      </c>
      <c r="H4">
        <f t="shared" si="1"/>
        <v>125000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126</v>
      </c>
      <c r="B6">
        <f>SUM(B2:B5)</f>
        <v>64</v>
      </c>
      <c r="C6">
        <f t="shared" ref="C6:H6" si="2">SUM(C2:C5)</f>
        <v>65</v>
      </c>
      <c r="D6">
        <f t="shared" si="2"/>
        <v>95</v>
      </c>
      <c r="E6">
        <f t="shared" si="2"/>
        <v>148</v>
      </c>
      <c r="F6">
        <f t="shared" si="2"/>
        <v>372</v>
      </c>
      <c r="H6">
        <f t="shared" si="2"/>
        <v>4162000</v>
      </c>
    </row>
    <row r="7" spans="1:8" s="33" customFormat="1" x14ac:dyDescent="0.35"/>
    <row r="8" spans="1:8" x14ac:dyDescent="0.35">
      <c r="A8" t="s">
        <v>127</v>
      </c>
      <c r="B8" t="s">
        <v>47</v>
      </c>
      <c r="C8" t="s">
        <v>39</v>
      </c>
      <c r="D8" t="s">
        <v>48</v>
      </c>
      <c r="E8" t="s">
        <v>49</v>
      </c>
      <c r="F8" t="s">
        <v>123</v>
      </c>
      <c r="G8" t="s">
        <v>124</v>
      </c>
      <c r="H8" t="s">
        <v>125</v>
      </c>
    </row>
    <row r="9" spans="1:8" x14ac:dyDescent="0.35">
      <c r="A9" t="s">
        <v>8</v>
      </c>
      <c r="B9">
        <f>index!R10</f>
        <v>160</v>
      </c>
      <c r="C9">
        <f>index!S10</f>
        <v>519</v>
      </c>
      <c r="D9">
        <f>index!T10</f>
        <v>150</v>
      </c>
      <c r="E9">
        <f>index!U10</f>
        <v>0</v>
      </c>
      <c r="F9">
        <f>SUM(B9:E9)</f>
        <v>829</v>
      </c>
      <c r="G9">
        <v>600</v>
      </c>
      <c r="H9">
        <f>F9*G9</f>
        <v>497400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ref="F10:F21" si="3">SUM(B10:E10)</f>
        <v>2</v>
      </c>
      <c r="G10">
        <v>22500</v>
      </c>
      <c r="H10">
        <f t="shared" ref="H10:H21" si="4">F10*G10</f>
        <v>45000</v>
      </c>
    </row>
    <row r="11" spans="1:8" x14ac:dyDescent="0.35">
      <c r="A11" t="s">
        <v>32</v>
      </c>
      <c r="B11">
        <f>index!R12</f>
        <v>289</v>
      </c>
      <c r="C11">
        <f>index!S12</f>
        <v>414</v>
      </c>
      <c r="D11">
        <f>index!T12</f>
        <v>269</v>
      </c>
      <c r="E11">
        <f>index!U12</f>
        <v>215</v>
      </c>
      <c r="F11">
        <f t="shared" si="3"/>
        <v>1187</v>
      </c>
      <c r="G11">
        <v>13200</v>
      </c>
      <c r="H11">
        <f t="shared" si="4"/>
        <v>15668400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21</v>
      </c>
      <c r="C13">
        <f>index!S14</f>
        <v>29</v>
      </c>
      <c r="D13">
        <f>index!T14</f>
        <v>76</v>
      </c>
      <c r="E13">
        <f>index!U14</f>
        <v>58</v>
      </c>
      <c r="F13">
        <f t="shared" si="3"/>
        <v>184</v>
      </c>
      <c r="G13">
        <v>14500</v>
      </c>
      <c r="H13">
        <f t="shared" si="4"/>
        <v>2668000</v>
      </c>
    </row>
    <row r="14" spans="1:8" x14ac:dyDescent="0.35">
      <c r="A14" t="s">
        <v>35</v>
      </c>
      <c r="B14">
        <f>index!R15</f>
        <v>97</v>
      </c>
      <c r="C14">
        <f>index!S15</f>
        <v>220</v>
      </c>
      <c r="D14">
        <f>index!T15</f>
        <v>120</v>
      </c>
      <c r="E14">
        <f>index!U15</f>
        <v>48</v>
      </c>
      <c r="F14">
        <f t="shared" si="3"/>
        <v>485</v>
      </c>
      <c r="G14">
        <v>17250</v>
      </c>
      <c r="H14">
        <f t="shared" si="4"/>
        <v>8366250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3"/>
        <v>85</v>
      </c>
      <c r="G15">
        <v>23000</v>
      </c>
      <c r="H15">
        <f t="shared" si="4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17</v>
      </c>
      <c r="D16">
        <f>index!T17</f>
        <v>0</v>
      </c>
      <c r="E16">
        <f>index!U17</f>
        <v>0</v>
      </c>
      <c r="F16">
        <f t="shared" si="3"/>
        <v>20</v>
      </c>
      <c r="G16">
        <v>30000</v>
      </c>
      <c r="H16">
        <f t="shared" si="4"/>
        <v>600000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42</v>
      </c>
      <c r="G17">
        <v>6900</v>
      </c>
      <c r="H17">
        <f t="shared" si="4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3"/>
        <v>9</v>
      </c>
      <c r="G18">
        <v>7000</v>
      </c>
      <c r="H18">
        <f t="shared" si="4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6</v>
      </c>
      <c r="E19">
        <f>index!U20</f>
        <v>0</v>
      </c>
      <c r="F19">
        <f t="shared" si="3"/>
        <v>6</v>
      </c>
      <c r="G19">
        <v>12000</v>
      </c>
      <c r="H19">
        <f t="shared" si="4"/>
        <v>72000</v>
      </c>
    </row>
    <row r="20" spans="1:8" x14ac:dyDescent="0.35">
      <c r="A20" t="s">
        <v>19</v>
      </c>
      <c r="B20">
        <f>index!R21</f>
        <v>136</v>
      </c>
      <c r="C20">
        <f>index!S21</f>
        <v>140</v>
      </c>
      <c r="D20">
        <f>index!T21</f>
        <v>60</v>
      </c>
      <c r="E20">
        <f>index!U21</f>
        <v>49</v>
      </c>
      <c r="F20">
        <f t="shared" si="3"/>
        <v>385</v>
      </c>
      <c r="G20">
        <v>9600</v>
      </c>
      <c r="H20">
        <f t="shared" si="4"/>
        <v>3696000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772</v>
      </c>
      <c r="C22">
        <f t="shared" ref="C22:H22" si="5">SUM(C9:C21)</f>
        <v>1394</v>
      </c>
      <c r="D22">
        <f t="shared" si="5"/>
        <v>686</v>
      </c>
      <c r="E22">
        <f t="shared" si="5"/>
        <v>382</v>
      </c>
      <c r="F22">
        <f t="shared" si="5"/>
        <v>3234</v>
      </c>
      <c r="H22">
        <f t="shared" si="5"/>
        <v>33920850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51</v>
      </c>
      <c r="B1" t="s">
        <v>52</v>
      </c>
      <c r="D1" t="s">
        <v>53</v>
      </c>
      <c r="G1" t="s">
        <v>54</v>
      </c>
    </row>
    <row r="2" spans="1:11" x14ac:dyDescent="0.35">
      <c r="C2" t="s">
        <v>55</v>
      </c>
      <c r="D2" t="s">
        <v>56</v>
      </c>
      <c r="E2" t="s">
        <v>57</v>
      </c>
      <c r="F2" t="s">
        <v>58</v>
      </c>
      <c r="G2" t="s">
        <v>59</v>
      </c>
      <c r="H2" t="s">
        <v>60</v>
      </c>
      <c r="I2" t="s">
        <v>61</v>
      </c>
      <c r="J2" t="s">
        <v>62</v>
      </c>
      <c r="K2" t="s">
        <v>27</v>
      </c>
    </row>
    <row r="3" spans="1:11" x14ac:dyDescent="0.35">
      <c r="A3" t="s">
        <v>63</v>
      </c>
      <c r="B3" t="s">
        <v>64</v>
      </c>
      <c r="C3">
        <f>index!AC4</f>
        <v>385</v>
      </c>
      <c r="D3" s="28">
        <f>index!AD4</f>
        <v>8750000</v>
      </c>
      <c r="E3" s="28">
        <f>index!AE4</f>
        <v>8750000</v>
      </c>
      <c r="F3" s="28" t="str">
        <f>index!AF4</f>
        <v xml:space="preserve"> -   </v>
      </c>
      <c r="G3">
        <f>index!AG4</f>
        <v>35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35</v>
      </c>
    </row>
    <row r="4" spans="1:11" x14ac:dyDescent="0.35">
      <c r="A4" t="s">
        <v>65</v>
      </c>
      <c r="B4" t="s">
        <v>64</v>
      </c>
      <c r="C4">
        <f>index!AC5</f>
        <v>372</v>
      </c>
      <c r="D4" s="28">
        <f>index!AD5</f>
        <v>8335000</v>
      </c>
      <c r="E4" s="28">
        <f>index!AE5</f>
        <v>8335000</v>
      </c>
      <c r="F4" s="28" t="str">
        <f>index!AF5</f>
        <v xml:space="preserve"> -   </v>
      </c>
      <c r="G4">
        <f>index!AG5</f>
        <v>30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32</v>
      </c>
    </row>
    <row r="5" spans="1:11" x14ac:dyDescent="0.35">
      <c r="A5" t="s">
        <v>41</v>
      </c>
      <c r="B5" t="s">
        <v>64</v>
      </c>
      <c r="C5">
        <f>index!AC6</f>
        <v>457</v>
      </c>
      <c r="D5" s="28">
        <f>index!AD6</f>
        <v>10170000</v>
      </c>
      <c r="E5" s="28">
        <f>index!AE6</f>
        <v>10170000</v>
      </c>
      <c r="F5" s="28" t="str">
        <f>index!AF6</f>
        <v xml:space="preserve"> -   </v>
      </c>
      <c r="G5">
        <f>index!AG6</f>
        <v>39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41</v>
      </c>
    </row>
    <row r="6" spans="1:11" x14ac:dyDescent="0.35">
      <c r="A6" t="s">
        <v>42</v>
      </c>
      <c r="B6" t="s">
        <v>64</v>
      </c>
      <c r="C6">
        <f>index!AC7</f>
        <v>535</v>
      </c>
      <c r="D6" s="28">
        <f>index!AD7</f>
        <v>12125000</v>
      </c>
      <c r="E6" s="28">
        <f>index!AE7</f>
        <v>12125000</v>
      </c>
      <c r="F6" s="28" t="str">
        <f>index!AF7</f>
        <v xml:space="preserve"> -   </v>
      </c>
      <c r="G6">
        <f>index!AG7</f>
        <v>41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44</v>
      </c>
    </row>
    <row r="7" spans="1:11" x14ac:dyDescent="0.35">
      <c r="C7" s="28">
        <f>SUM(C3:C6)</f>
        <v>1749</v>
      </c>
      <c r="D7" s="28">
        <f>SUM(D3:D6)</f>
        <v>39380000</v>
      </c>
      <c r="E7" s="28">
        <f t="shared" ref="E7:F7" si="1">SUM(E3:E6)</f>
        <v>39380000</v>
      </c>
      <c r="F7" s="1">
        <f t="shared" si="1"/>
        <v>0</v>
      </c>
      <c r="G7" s="1">
        <f t="shared" ref="G7" si="2">SUM(G3:G6)</f>
        <v>145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72</v>
      </c>
      <c r="B3" t="s">
        <v>65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73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74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workbookViewId="0">
      <selection activeCell="J5" sqref="J5:J10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 t="str">
        <f>index!AV3</f>
        <v>On Hand Dse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 t="str">
        <f>index!AV4</f>
        <v>On Hand Dse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 t="str">
        <f>index!AV5</f>
        <v>On Hand Dse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 t="str">
        <f>index!AV6</f>
        <v>On Hand Dse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On Hand Dse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On Hand Dse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On Hand Dse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On Hand Dse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7"/>
  <sheetViews>
    <sheetView tabSelected="1" topLeftCell="A2" workbookViewId="0">
      <selection activeCell="A2" sqref="A2:A3"/>
    </sheetView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</row>
    <row r="2" spans="1:49" ht="18.5" x14ac:dyDescent="0.45">
      <c r="A2" s="38" t="s">
        <v>0</v>
      </c>
      <c r="B2" s="38" t="s">
        <v>1</v>
      </c>
      <c r="C2" s="38" t="s">
        <v>2</v>
      </c>
      <c r="D2" s="38" t="s">
        <v>3</v>
      </c>
      <c r="F2" s="40" t="s">
        <v>110</v>
      </c>
      <c r="G2" s="41"/>
      <c r="H2" s="41"/>
      <c r="I2" s="41"/>
      <c r="J2" s="41"/>
      <c r="K2" s="41"/>
      <c r="L2" s="42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3" t="s">
        <v>44</v>
      </c>
      <c r="X2" s="34" t="s">
        <v>45</v>
      </c>
      <c r="Y2" s="36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</row>
    <row r="3" spans="1:49" x14ac:dyDescent="0.35">
      <c r="A3" s="39"/>
      <c r="B3" s="39"/>
      <c r="C3" s="39"/>
      <c r="D3" s="39"/>
      <c r="F3" s="15"/>
      <c r="G3" s="16"/>
      <c r="H3" s="17"/>
      <c r="I3" s="17"/>
      <c r="J3" s="17"/>
      <c r="K3" s="17"/>
      <c r="L3" s="18"/>
      <c r="N3" s="31" t="s">
        <v>39</v>
      </c>
      <c r="O3" s="27">
        <f>65965900+O9+O14+O19+O24</f>
        <v>79565900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44"/>
      <c r="X3" s="35"/>
      <c r="Y3" s="37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410000</v>
      </c>
      <c r="AU3" s="5"/>
      <c r="AV3" s="4" t="s">
        <v>121</v>
      </c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f>101851400+O10+O15+O20+O25</f>
        <v>130361600</v>
      </c>
      <c r="Q4" s="20" t="s">
        <v>4</v>
      </c>
      <c r="R4" s="27">
        <v>62</v>
      </c>
      <c r="S4" s="27">
        <v>62</v>
      </c>
      <c r="T4" s="27">
        <v>95</v>
      </c>
      <c r="U4" s="27">
        <v>148</v>
      </c>
      <c r="V4" s="27">
        <v>0</v>
      </c>
      <c r="W4" s="27">
        <f>SUM(R4:V4)</f>
        <v>367</v>
      </c>
      <c r="X4" s="4">
        <v>11000</v>
      </c>
      <c r="Y4" s="27">
        <f>W4*X4</f>
        <v>4037000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410000</v>
      </c>
      <c r="AU4" s="5"/>
      <c r="AV4" s="4" t="s">
        <v>121</v>
      </c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37</v>
      </c>
      <c r="H5" s="21">
        <v>0</v>
      </c>
      <c r="I5" s="21">
        <v>5</v>
      </c>
      <c r="J5" s="21">
        <v>19</v>
      </c>
      <c r="K5" s="21">
        <v>22</v>
      </c>
      <c r="L5" s="22">
        <f>SUM(G5:K5)</f>
        <v>83</v>
      </c>
      <c r="N5" s="31" t="s">
        <v>41</v>
      </c>
      <c r="O5" s="27">
        <f>81582500+O11+O16+O21+O26</f>
        <v>102820500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410000</v>
      </c>
      <c r="AU5" s="5"/>
      <c r="AV5" s="4" t="s">
        <v>121</v>
      </c>
      <c r="AW5" s="5"/>
    </row>
    <row r="6" spans="1:49" x14ac:dyDescent="0.35">
      <c r="A6" s="12" t="s">
        <v>6</v>
      </c>
      <c r="B6" s="13">
        <v>1525</v>
      </c>
      <c r="C6" s="14">
        <v>1445</v>
      </c>
      <c r="D6" s="13">
        <f t="shared" si="0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f>98259500+O12+O17+O22+O27</f>
        <v>121169800</v>
      </c>
      <c r="Q6" s="20" t="s">
        <v>30</v>
      </c>
      <c r="R6" s="27">
        <v>2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5</v>
      </c>
      <c r="X6" s="4">
        <v>25000</v>
      </c>
      <c r="Y6" s="27">
        <f t="shared" si="2"/>
        <v>125000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410000</v>
      </c>
      <c r="AU6" s="5"/>
      <c r="AV6" s="4" t="s">
        <v>121</v>
      </c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482</v>
      </c>
      <c r="H7" s="21">
        <v>213</v>
      </c>
      <c r="I7" s="21">
        <v>376</v>
      </c>
      <c r="J7" s="21">
        <v>267</v>
      </c>
      <c r="K7" s="21">
        <v>10</v>
      </c>
      <c r="L7" s="22">
        <f t="shared" si="3"/>
        <v>1348</v>
      </c>
      <c r="N7" s="31" t="s">
        <v>43</v>
      </c>
      <c r="O7" s="27">
        <f>SUM(O3:O6)</f>
        <v>433917800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9">
        <v>410000</v>
      </c>
      <c r="AU7" s="5"/>
      <c r="AV7" s="4" t="s">
        <v>121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9">
        <v>410000</v>
      </c>
      <c r="AU8" s="5"/>
      <c r="AV8" s="4" t="s">
        <v>121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120</v>
      </c>
      <c r="O9">
        <v>6250000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410000</v>
      </c>
      <c r="AU9" s="5"/>
      <c r="AV9" s="4" t="s">
        <v>121</v>
      </c>
      <c r="AW9" s="5"/>
    </row>
    <row r="10" spans="1:49" x14ac:dyDescent="0.35">
      <c r="A10" s="12" t="s">
        <v>8</v>
      </c>
      <c r="B10" s="13">
        <v>2250</v>
      </c>
      <c r="C10" s="14">
        <v>0</v>
      </c>
      <c r="D10" s="13">
        <f t="shared" si="0"/>
        <v>2250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13577100</v>
      </c>
      <c r="Q10" s="20" t="s">
        <v>8</v>
      </c>
      <c r="R10" s="27">
        <v>160</v>
      </c>
      <c r="S10" s="27">
        <v>519</v>
      </c>
      <c r="T10" s="27">
        <v>150</v>
      </c>
      <c r="U10" s="27">
        <v>0</v>
      </c>
      <c r="V10" s="27">
        <v>0</v>
      </c>
      <c r="W10" s="27">
        <f>SUM(R10:V10)</f>
        <v>829</v>
      </c>
      <c r="X10" s="4">
        <v>600</v>
      </c>
      <c r="Y10" s="27">
        <f t="shared" si="2"/>
        <v>497400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410000</v>
      </c>
      <c r="AU10" s="5"/>
      <c r="AV10" s="4" t="s">
        <v>121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70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3"/>
        <v>732</v>
      </c>
      <c r="O11">
        <v>8700000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</row>
    <row r="12" spans="1:49" x14ac:dyDescent="0.35">
      <c r="A12" s="12" t="s">
        <v>10</v>
      </c>
      <c r="B12" s="13">
        <v>30</v>
      </c>
      <c r="C12" s="14">
        <v>981</v>
      </c>
      <c r="D12" s="13">
        <f>C12+B12</f>
        <v>1011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9626800</v>
      </c>
      <c r="Q12" s="20" t="s">
        <v>32</v>
      </c>
      <c r="R12" s="27">
        <v>289</v>
      </c>
      <c r="S12" s="27">
        <v>414</v>
      </c>
      <c r="T12" s="27">
        <v>269</v>
      </c>
      <c r="U12" s="27">
        <v>215</v>
      </c>
      <c r="V12" s="27">
        <v>0</v>
      </c>
      <c r="W12" s="27">
        <f t="shared" si="1"/>
        <v>1187</v>
      </c>
      <c r="X12" s="4">
        <v>13200</v>
      </c>
      <c r="Y12" s="27">
        <f t="shared" si="2"/>
        <v>15668400</v>
      </c>
      <c r="AA12" t="s">
        <v>71</v>
      </c>
      <c r="AB12" t="s">
        <v>63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107</v>
      </c>
      <c r="H13" s="21">
        <v>115</v>
      </c>
      <c r="I13" s="21">
        <v>60</v>
      </c>
      <c r="J13" s="21">
        <v>147</v>
      </c>
      <c r="K13" s="21">
        <v>21</v>
      </c>
      <c r="L13" s="22">
        <f t="shared" si="3"/>
        <v>450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72</v>
      </c>
      <c r="AB13" t="s">
        <v>65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O14">
        <v>4050000</v>
      </c>
      <c r="Q14" s="20" t="s">
        <v>34</v>
      </c>
      <c r="R14" s="27">
        <v>21</v>
      </c>
      <c r="S14" s="27">
        <v>29</v>
      </c>
      <c r="T14" s="27">
        <v>76</v>
      </c>
      <c r="U14" s="27">
        <v>58</v>
      </c>
      <c r="V14" s="27">
        <v>0</v>
      </c>
      <c r="W14" s="27">
        <f t="shared" si="1"/>
        <v>184</v>
      </c>
      <c r="X14" s="4">
        <v>14500</v>
      </c>
      <c r="Y14" s="27">
        <f t="shared" si="2"/>
        <v>2668000</v>
      </c>
      <c r="AA14" t="s">
        <v>73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0</v>
      </c>
      <c r="C15" s="14">
        <v>3</v>
      </c>
      <c r="D15" s="13">
        <f t="shared" si="0"/>
        <v>3</v>
      </c>
      <c r="F15" s="20" t="s">
        <v>34</v>
      </c>
      <c r="G15" s="21">
        <v>44</v>
      </c>
      <c r="H15" s="21">
        <v>12</v>
      </c>
      <c r="I15" s="21">
        <v>18</v>
      </c>
      <c r="J15" s="21">
        <v>57</v>
      </c>
      <c r="K15" s="21">
        <v>0</v>
      </c>
      <c r="L15" s="22">
        <f t="shared" si="3"/>
        <v>131</v>
      </c>
      <c r="O15">
        <v>4048900</v>
      </c>
      <c r="Q15" s="20" t="s">
        <v>35</v>
      </c>
      <c r="R15" s="27">
        <v>97</v>
      </c>
      <c r="S15" s="27">
        <v>220</v>
      </c>
      <c r="T15" s="27">
        <v>120</v>
      </c>
      <c r="U15" s="27">
        <v>48</v>
      </c>
      <c r="V15" s="27">
        <v>0</v>
      </c>
      <c r="W15" s="27">
        <f t="shared" si="1"/>
        <v>485</v>
      </c>
      <c r="X15" s="4">
        <v>17250</v>
      </c>
      <c r="Y15" s="27">
        <f t="shared" si="2"/>
        <v>8366250</v>
      </c>
      <c r="AA15" t="s">
        <v>74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60</v>
      </c>
      <c r="C16" s="14">
        <v>6</v>
      </c>
      <c r="D16" s="13">
        <f t="shared" si="0"/>
        <v>66</v>
      </c>
      <c r="F16" s="20" t="s">
        <v>35</v>
      </c>
      <c r="G16" s="21">
        <v>114</v>
      </c>
      <c r="H16" s="21">
        <v>50</v>
      </c>
      <c r="I16" s="21">
        <v>13</v>
      </c>
      <c r="J16" s="21">
        <v>116</v>
      </c>
      <c r="K16" s="21">
        <v>21</v>
      </c>
      <c r="L16" s="22">
        <f t="shared" si="3"/>
        <v>314</v>
      </c>
      <c r="O16">
        <v>3938000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76</v>
      </c>
      <c r="H17" s="21">
        <v>74</v>
      </c>
      <c r="I17" s="21">
        <v>36</v>
      </c>
      <c r="J17" s="21">
        <v>93</v>
      </c>
      <c r="K17" s="21">
        <v>22</v>
      </c>
      <c r="L17" s="22">
        <f t="shared" si="3"/>
        <v>301</v>
      </c>
      <c r="O17">
        <v>3263400</v>
      </c>
      <c r="Q17" s="20" t="s">
        <v>15</v>
      </c>
      <c r="R17" s="27">
        <v>3</v>
      </c>
      <c r="S17" s="27">
        <v>17</v>
      </c>
      <c r="T17" s="27">
        <v>0</v>
      </c>
      <c r="U17" s="27">
        <v>0</v>
      </c>
      <c r="V17" s="27">
        <v>0</v>
      </c>
      <c r="W17" s="27">
        <f t="shared" si="1"/>
        <v>20</v>
      </c>
      <c r="X17" s="4">
        <v>30000</v>
      </c>
      <c r="Y17" s="27">
        <f t="shared" si="2"/>
        <v>600000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35</v>
      </c>
      <c r="I18" s="21">
        <v>18</v>
      </c>
      <c r="J18" s="21">
        <v>20</v>
      </c>
      <c r="K18" s="21">
        <v>0</v>
      </c>
      <c r="L18" s="22">
        <f t="shared" si="3"/>
        <v>118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O19">
        <v>3200000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O20">
        <v>9184200</v>
      </c>
      <c r="Q20" s="20" t="s">
        <v>18</v>
      </c>
      <c r="R20" s="27">
        <v>0</v>
      </c>
      <c r="S20" s="27">
        <v>0</v>
      </c>
      <c r="T20" s="27">
        <v>6</v>
      </c>
      <c r="U20" s="27">
        <v>0</v>
      </c>
      <c r="V20" s="27">
        <v>0</v>
      </c>
      <c r="W20" s="27">
        <f t="shared" si="1"/>
        <v>6</v>
      </c>
      <c r="X20" s="4">
        <v>12000</v>
      </c>
      <c r="Y20" s="27">
        <f t="shared" si="2"/>
        <v>72000</v>
      </c>
    </row>
    <row r="21" spans="1:49" x14ac:dyDescent="0.35">
      <c r="A21" s="12" t="s">
        <v>19</v>
      </c>
      <c r="B21" s="13">
        <v>90</v>
      </c>
      <c r="C21" s="14">
        <v>1002</v>
      </c>
      <c r="D21" s="13">
        <f t="shared" si="0"/>
        <v>1092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O21">
        <v>6150000</v>
      </c>
      <c r="Q21" s="20" t="s">
        <v>19</v>
      </c>
      <c r="R21" s="27">
        <v>136</v>
      </c>
      <c r="S21" s="27">
        <v>140</v>
      </c>
      <c r="T21" s="27">
        <v>60</v>
      </c>
      <c r="U21" s="27">
        <v>49</v>
      </c>
      <c r="V21" s="27">
        <v>0</v>
      </c>
      <c r="W21" s="27">
        <f t="shared" si="1"/>
        <v>385</v>
      </c>
      <c r="X21" s="4">
        <v>9600</v>
      </c>
      <c r="Y21" s="27">
        <f t="shared" si="2"/>
        <v>3696000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131</v>
      </c>
      <c r="H22" s="21">
        <v>75</v>
      </c>
      <c r="I22" s="21">
        <v>64</v>
      </c>
      <c r="J22" s="21">
        <v>61</v>
      </c>
      <c r="K22" s="21">
        <v>12</v>
      </c>
      <c r="L22" s="22">
        <f t="shared" si="3"/>
        <v>343</v>
      </c>
      <c r="O22">
        <v>8420100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O24">
        <v>100000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O25">
        <v>1700000</v>
      </c>
      <c r="Q25" s="23" t="s">
        <v>50</v>
      </c>
      <c r="R25" s="19">
        <f>SUM(R4:R24)</f>
        <v>836</v>
      </c>
      <c r="S25" s="19">
        <f t="shared" ref="S25:Y25" si="6">SUM(S4:S24)</f>
        <v>1459</v>
      </c>
      <c r="T25" s="19">
        <f t="shared" si="6"/>
        <v>781</v>
      </c>
      <c r="U25" s="19">
        <f t="shared" si="6"/>
        <v>530</v>
      </c>
      <c r="V25" s="19">
        <f t="shared" si="6"/>
        <v>0</v>
      </c>
      <c r="W25" s="19">
        <f t="shared" si="6"/>
        <v>3606</v>
      </c>
      <c r="X25" s="19"/>
      <c r="Y25" s="19">
        <f t="shared" si="6"/>
        <v>38082850</v>
      </c>
    </row>
    <row r="26" spans="1:49" x14ac:dyDescent="0.35">
      <c r="F26" s="23" t="s">
        <v>27</v>
      </c>
      <c r="G26" s="24">
        <f t="shared" ref="G26:K26" si="7">SUM(G5:G25)</f>
        <v>1133</v>
      </c>
      <c r="H26" s="24">
        <f t="shared" si="7"/>
        <v>948</v>
      </c>
      <c r="I26" s="24">
        <f t="shared" si="7"/>
        <v>681</v>
      </c>
      <c r="J26" s="24">
        <f t="shared" si="7"/>
        <v>1145</v>
      </c>
      <c r="K26" s="24">
        <f t="shared" si="7"/>
        <v>117</v>
      </c>
      <c r="L26" s="24">
        <f>SUM(L5:L25)</f>
        <v>4024</v>
      </c>
      <c r="O26">
        <v>2450000</v>
      </c>
    </row>
    <row r="27" spans="1:49" x14ac:dyDescent="0.35">
      <c r="O27">
        <v>1600000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2026-06-02T03:41:36Z</dcterms:modified>
</cp:coreProperties>
</file>