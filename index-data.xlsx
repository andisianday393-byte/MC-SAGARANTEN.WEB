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6" documentId="8_{DEBA2040-E3D9-49C9-998E-3302C635B836}" xr6:coauthVersionLast="47" xr6:coauthVersionMax="47" xr10:uidLastSave="{307D1ECE-E19F-4C79-99CE-93E19C7C59F8}"/>
  <bookViews>
    <workbookView xWindow="9510" yWindow="0" windowWidth="9780" windowHeight="10170" firstSheet="6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" sheetId="4" r:id="rId4"/>
    <sheet name="penjualan-paket-tm" sheetId="5" r:id="rId5"/>
    <sheet name="penjualan-direct-selling" sheetId="6" r:id="rId6"/>
    <sheet name="penjualan-hifi" sheetId="7" r:id="rId7"/>
    <sheet name="index" sheetId="8" r:id="rId8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G14" i="2" s="1"/>
  <c r="D15" i="2"/>
  <c r="D16" i="2"/>
  <c r="D17" i="2"/>
  <c r="D18" i="2"/>
  <c r="D19" i="2"/>
  <c r="D2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F23" i="2"/>
  <c r="B2" i="2"/>
  <c r="B3" i="2"/>
  <c r="G3" i="2" s="1"/>
  <c r="B4" i="2"/>
  <c r="B5" i="2"/>
  <c r="B6" i="2"/>
  <c r="G6" i="2"/>
  <c r="B7" i="2"/>
  <c r="B8" i="2"/>
  <c r="G8" i="2"/>
  <c r="B9" i="2"/>
  <c r="G9" i="2" s="1"/>
  <c r="B10" i="2"/>
  <c r="B11" i="2"/>
  <c r="B12" i="2"/>
  <c r="G12" i="2" s="1"/>
  <c r="B13" i="2"/>
  <c r="B14" i="2"/>
  <c r="B15" i="2"/>
  <c r="B16" i="2"/>
  <c r="G16" i="2" s="1"/>
  <c r="B17" i="2"/>
  <c r="B18" i="2"/>
  <c r="B19" i="2"/>
  <c r="G19" i="2" s="1"/>
  <c r="B20" i="2"/>
  <c r="G21" i="2"/>
  <c r="G22" i="2"/>
  <c r="B23" i="2"/>
  <c r="L5" i="8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3" i="4"/>
  <c r="W10" i="8"/>
  <c r="Y10" i="8" s="1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D4" i="5"/>
  <c r="D5" i="5"/>
  <c r="D6" i="5"/>
  <c r="D3" i="5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6" i="6"/>
  <c r="E6" i="6"/>
  <c r="F6" i="6"/>
  <c r="G6" i="6"/>
  <c r="H6" i="6"/>
  <c r="C6" i="6"/>
  <c r="I2" i="7"/>
  <c r="F22" i="4"/>
  <c r="H22" i="4"/>
  <c r="F23" i="4"/>
  <c r="H23" i="4"/>
  <c r="B24" i="4"/>
  <c r="B2" i="3"/>
  <c r="B3" i="3"/>
  <c r="B4" i="3"/>
  <c r="B5" i="3"/>
  <c r="O7" i="8"/>
  <c r="B4" i="1"/>
  <c r="D4" i="1" s="1"/>
  <c r="C4" i="1"/>
  <c r="B5" i="1"/>
  <c r="C5" i="1"/>
  <c r="B6" i="1"/>
  <c r="D6" i="1" s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D13" i="1" s="1"/>
  <c r="B14" i="1"/>
  <c r="C14" i="1"/>
  <c r="D14" i="1"/>
  <c r="B15" i="1"/>
  <c r="D15" i="1" s="1"/>
  <c r="C15" i="1"/>
  <c r="B16" i="1"/>
  <c r="C16" i="1"/>
  <c r="B17" i="1"/>
  <c r="C17" i="1"/>
  <c r="B18" i="1"/>
  <c r="C18" i="1"/>
  <c r="D18" i="1"/>
  <c r="B19" i="1"/>
  <c r="C19" i="1"/>
  <c r="B20" i="1"/>
  <c r="C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C2" i="6"/>
  <c r="D2" i="6"/>
  <c r="F2" i="6"/>
  <c r="G2" i="6"/>
  <c r="H2" i="6"/>
  <c r="C3" i="6"/>
  <c r="D3" i="6"/>
  <c r="F3" i="6"/>
  <c r="G3" i="6"/>
  <c r="H3" i="6"/>
  <c r="C4" i="6"/>
  <c r="D4" i="6"/>
  <c r="F4" i="6"/>
  <c r="G4" i="6"/>
  <c r="H4" i="6"/>
  <c r="C5" i="6"/>
  <c r="D5" i="6"/>
  <c r="F5" i="6"/>
  <c r="G5" i="6"/>
  <c r="H5" i="6"/>
  <c r="G3" i="5"/>
  <c r="G4" i="5"/>
  <c r="G5" i="5"/>
  <c r="G6" i="5"/>
  <c r="G7" i="5"/>
  <c r="H3" i="5"/>
  <c r="H4" i="5"/>
  <c r="H5" i="5"/>
  <c r="H6" i="5"/>
  <c r="H7" i="5" s="1"/>
  <c r="I3" i="5"/>
  <c r="I4" i="5"/>
  <c r="I5" i="5"/>
  <c r="I6" i="5"/>
  <c r="J3" i="5"/>
  <c r="J4" i="5"/>
  <c r="J5" i="5"/>
  <c r="J6" i="5"/>
  <c r="K3" i="5"/>
  <c r="K4" i="5"/>
  <c r="K5" i="5"/>
  <c r="K6" i="5"/>
  <c r="E3" i="5"/>
  <c r="E4" i="5"/>
  <c r="E5" i="5"/>
  <c r="E6" i="5"/>
  <c r="F3" i="5"/>
  <c r="F4" i="5"/>
  <c r="F5" i="5"/>
  <c r="F6" i="5"/>
  <c r="F7" i="5"/>
  <c r="C3" i="5"/>
  <c r="C4" i="5"/>
  <c r="C5" i="5"/>
  <c r="C6" i="5"/>
  <c r="C7" i="5"/>
  <c r="W22" i="8"/>
  <c r="Y22" i="8" s="1"/>
  <c r="W21" i="8"/>
  <c r="Y21" i="8" s="1"/>
  <c r="W20" i="8"/>
  <c r="Y20" i="8" s="1"/>
  <c r="W19" i="8"/>
  <c r="Y19" i="8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/>
  <c r="W9" i="8"/>
  <c r="Y9" i="8" s="1"/>
  <c r="W8" i="8"/>
  <c r="Y8" i="8" s="1"/>
  <c r="W7" i="8"/>
  <c r="Y7" i="8"/>
  <c r="W6" i="8"/>
  <c r="Y6" i="8" s="1"/>
  <c r="S25" i="8"/>
  <c r="V25" i="8"/>
  <c r="U25" i="8"/>
  <c r="T25" i="8"/>
  <c r="K26" i="8"/>
  <c r="G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K7" i="5" l="1"/>
  <c r="D7" i="5"/>
  <c r="E7" i="5"/>
  <c r="F18" i="4"/>
  <c r="H18" i="4" s="1"/>
  <c r="F14" i="4"/>
  <c r="H14" i="4" s="1"/>
  <c r="F10" i="4"/>
  <c r="H10" i="4" s="1"/>
  <c r="F6" i="4"/>
  <c r="H6" i="4" s="1"/>
  <c r="F19" i="4"/>
  <c r="H19" i="4" s="1"/>
  <c r="F15" i="4"/>
  <c r="H15" i="4" s="1"/>
  <c r="F11" i="4"/>
  <c r="H11" i="4" s="1"/>
  <c r="F7" i="4"/>
  <c r="H7" i="4" s="1"/>
  <c r="F3" i="4"/>
  <c r="F20" i="4"/>
  <c r="H20" i="4" s="1"/>
  <c r="F16" i="4"/>
  <c r="H16" i="4" s="1"/>
  <c r="F12" i="4"/>
  <c r="H12" i="4" s="1"/>
  <c r="F8" i="4"/>
  <c r="H8" i="4" s="1"/>
  <c r="F4" i="4"/>
  <c r="H4" i="4" s="1"/>
  <c r="F21" i="4"/>
  <c r="H21" i="4" s="1"/>
  <c r="F17" i="4"/>
  <c r="H17" i="4" s="1"/>
  <c r="F13" i="4"/>
  <c r="H13" i="4" s="1"/>
  <c r="F9" i="4"/>
  <c r="H9" i="4" s="1"/>
  <c r="F5" i="4"/>
  <c r="H5" i="4" s="1"/>
  <c r="G11" i="2"/>
  <c r="D23" i="2"/>
  <c r="G15" i="2"/>
  <c r="E23" i="2"/>
  <c r="G17" i="2"/>
  <c r="L26" i="8"/>
  <c r="G20" i="2"/>
  <c r="G7" i="2"/>
  <c r="G4" i="2"/>
  <c r="G23" i="2" s="1"/>
  <c r="G18" i="2"/>
  <c r="G10" i="2"/>
  <c r="C23" i="2"/>
  <c r="D3" i="1"/>
  <c r="D11" i="1"/>
  <c r="D5" i="1"/>
  <c r="D19" i="1"/>
  <c r="D10" i="1"/>
  <c r="B6" i="3"/>
  <c r="I7" i="5"/>
  <c r="J7" i="5"/>
  <c r="G13" i="2"/>
  <c r="G5" i="2"/>
  <c r="G2" i="2"/>
  <c r="D21" i="1"/>
  <c r="D16" i="1"/>
  <c r="D7" i="1"/>
  <c r="D20" i="1"/>
  <c r="D17" i="1"/>
  <c r="D12" i="1"/>
  <c r="D8" i="1"/>
  <c r="D9" i="1"/>
  <c r="H3" i="4"/>
  <c r="F24" i="4"/>
  <c r="Y25" i="8"/>
  <c r="E24" i="4"/>
  <c r="D24" i="4"/>
  <c r="W25" i="8"/>
  <c r="C24" i="4"/>
  <c r="H24" i="4" l="1"/>
</calcChain>
</file>

<file path=xl/sharedStrings.xml><?xml version="1.0" encoding="utf-8"?>
<sst xmlns="http://schemas.openxmlformats.org/spreadsheetml/2006/main" count="331" uniqueCount="128">
  <si>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</si>
  <si>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</si>
  <si>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</si>
  <si>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</si>
  <si>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</si>
  <si>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</si>
  <si>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</si>
  <si>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</si>
  <si>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</si>
  <si>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</si>
  <si>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</si>
  <si>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</si>
  <si>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</si>
  <si>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</si>
  <si>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</si>
  <si>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</si>
  <si>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</si>
  <si>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</si>
  <si>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</si>
  <si>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</si>
  <si>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</si>
  <si>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</si>
  <si>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</si>
  <si>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</si>
  <si>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</si>
  <si>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</si>
  <si>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</si>
  <si>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</si>
  <si>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</si>
  <si>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</si>
  <si>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</si>
  <si>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</si>
  <si>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</si>
  <si>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</si>
  <si>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</si>
  <si>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</si>
  <si>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</si>
  <si>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</si>
  <si>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</si>
  <si>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</si>
  <si>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</si>
  <si>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</si>
  <si>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</si>
  <si>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</si>
  <si>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Skbplara08</t>
  </si>
  <si>
    <t>Skbplara04</t>
  </si>
  <si>
    <t>Skbplara11</t>
  </si>
  <si>
    <t>Dsesgrn01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</si>
  <si>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</si>
  <si>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</si>
  <si>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</si>
  <si>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</si>
  <si>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</si>
  <si>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</si>
  <si>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</si>
  <si>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</si>
  <si>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</si>
  <si>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</si>
  <si>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</si>
  <si>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</si>
  <si>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</si>
  <si>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</si>
  <si>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</si>
  <si>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</si>
  <si>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</si>
  <si>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</si>
  <si>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</si>
  <si>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</si>
  <si>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</si>
  <si>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</si>
  <si>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</si>
  <si>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</si>
  <si>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</si>
  <si>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</si>
  <si>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</si>
  <si>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</si>
  <si>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</si>
  <si>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</si>
  <si>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</si>
  <si>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</si>
  <si>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</si>
  <si>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</si>
  <si>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</si>
  <si>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</si>
  <si>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</si>
  <si>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</si>
  <si>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</si>
  <si>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</si>
  <si>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</si>
  <si>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</si>
  <si>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</si>
  <si>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</si>
  <si>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</si>
  <si>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</si>
  <si>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</si>
  <si>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</si>
  <si>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</si>
  <si>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</si>
  <si>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</si>
  <si>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</si>
  <si>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GUDANG</t>
  </si>
  <si>
    <t>085882732618</t>
  </si>
  <si>
    <t>355806671214105</t>
  </si>
  <si>
    <t>SEGEL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</si>
  <si>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</si>
  <si>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</si>
  <si>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</si>
  <si>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</si>
  <si>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</si>
  <si>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</si>
  <si>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</si>
  <si>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</si>
  <si>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</si>
  <si>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</si>
  <si>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</si>
  <si>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</si>
  <si>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</si>
  <si>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</si>
  <si>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</si>
  <si>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</si>
  <si>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</si>
  <si>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</si>
  <si>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</si>
  <si>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</si>
  <si>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CSM</t>
  </si>
  <si>
    <t>REWARD</t>
  </si>
  <si>
    <t>RETURE</t>
  </si>
  <si>
    <t>paste disisni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</si>
</sst>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</cellStyleXfs>
  <cellXfs count="44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4">
    <cellStyle name="Comma" xfId="1" builtinId="3"/>
    <cellStyle name="Comma 2" xfId="2" xr:uid="{27F0E25F-2FC2-4FA2-85C5-647DEB95F14E}"/>
    <cellStyle name="Normal" xfId="0" builtinId="0"/>
    <cellStyle name="Normal 2" xfId="3" xr:uid="{8F2B6BF2-7FD2-4FA0-9F55-2107D04465A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993</v>
      </c>
      <c r="C3">
        <f>index!C4</f>
        <v>1</v>
      </c>
      <c r="D3" s="1">
        <f>B3+C3</f>
        <v>994</v>
      </c>
    </row>
    <row r="4" spans="1:4" x14ac:dyDescent="0.35">
      <c r="A4" t="s">
        <v>5</v>
      </c>
      <c r="B4">
        <f>index!B5</f>
        <v>0</v>
      </c>
      <c r="C4">
        <f>index!C5</f>
        <v>0</v>
      </c>
      <c r="D4" s="1">
        <f t="shared" ref="D4:D21" si="0">B4+C4</f>
        <v>0</v>
      </c>
    </row>
    <row r="5" spans="1:4" x14ac:dyDescent="0.35">
      <c r="A5" t="s">
        <v>6</v>
      </c>
      <c r="B5">
        <f>index!B6</f>
        <v>1525</v>
      </c>
      <c r="C5">
        <f>index!C6</f>
        <v>1511</v>
      </c>
      <c r="D5" s="1">
        <f t="shared" si="0"/>
        <v>3036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2462</v>
      </c>
      <c r="C9">
        <f>index!C10</f>
        <v>0</v>
      </c>
      <c r="D9" s="1">
        <f t="shared" si="0"/>
        <v>2462</v>
      </c>
    </row>
    <row r="10" spans="1:4" x14ac:dyDescent="0.35">
      <c r="A10" t="s">
        <v>9</v>
      </c>
      <c r="B10">
        <f>index!B11</f>
        <v>0</v>
      </c>
      <c r="C10">
        <f>index!C11</f>
        <v>1</v>
      </c>
      <c r="D10" s="1">
        <f t="shared" si="0"/>
        <v>1</v>
      </c>
    </row>
    <row r="11" spans="1:4" x14ac:dyDescent="0.35">
      <c r="A11" t="s">
        <v>10</v>
      </c>
      <c r="B11">
        <f>index!B12</f>
        <v>210</v>
      </c>
      <c r="C11">
        <f>index!C12</f>
        <v>978</v>
      </c>
      <c r="D11" s="1">
        <f t="shared" si="0"/>
        <v>1188</v>
      </c>
    </row>
    <row r="12" spans="1:4" x14ac:dyDescent="0.35">
      <c r="A12" t="s">
        <v>11</v>
      </c>
      <c r="B12">
        <f>index!B13</f>
        <v>0</v>
      </c>
      <c r="C12">
        <f>index!C13</f>
        <v>300</v>
      </c>
      <c r="D12" s="1">
        <f t="shared" si="0"/>
        <v>300</v>
      </c>
    </row>
    <row r="13" spans="1:4" x14ac:dyDescent="0.35">
      <c r="A13" t="s">
        <v>12</v>
      </c>
      <c r="B13">
        <f>index!B14</f>
        <v>0</v>
      </c>
      <c r="C13">
        <f>index!C14</f>
        <v>457</v>
      </c>
      <c r="D13" s="1">
        <f t="shared" si="0"/>
        <v>457</v>
      </c>
    </row>
    <row r="14" spans="1:4" x14ac:dyDescent="0.35">
      <c r="A14" t="s">
        <v>13</v>
      </c>
      <c r="B14">
        <f>index!B15</f>
        <v>0</v>
      </c>
      <c r="C14">
        <f>index!C15</f>
        <v>0</v>
      </c>
      <c r="D14" s="1">
        <f t="shared" si="0"/>
        <v>0</v>
      </c>
    </row>
    <row r="15" spans="1:4" x14ac:dyDescent="0.35">
      <c r="A15" t="s">
        <v>14</v>
      </c>
      <c r="B15">
        <f>index!B16</f>
        <v>105</v>
      </c>
      <c r="C15">
        <f>index!C16</f>
        <v>0</v>
      </c>
      <c r="D15" s="1">
        <f t="shared" si="0"/>
        <v>105</v>
      </c>
    </row>
    <row r="16" spans="1:4" x14ac:dyDescent="0.35">
      <c r="A16" t="s">
        <v>15</v>
      </c>
      <c r="B16">
        <f>index!B17</f>
        <v>403</v>
      </c>
      <c r="C16">
        <f>index!C17</f>
        <v>2</v>
      </c>
      <c r="D16" s="1">
        <f t="shared" si="0"/>
        <v>405</v>
      </c>
    </row>
    <row r="17" spans="1:4" x14ac:dyDescent="0.35">
      <c r="A17" t="s">
        <v>16</v>
      </c>
      <c r="B17">
        <f>index!B18</f>
        <v>0</v>
      </c>
      <c r="C17">
        <f>index!C18</f>
        <v>198</v>
      </c>
      <c r="D17" s="1">
        <f t="shared" si="0"/>
        <v>198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240</v>
      </c>
      <c r="C20">
        <f>index!C21</f>
        <v>1002</v>
      </c>
      <c r="D20" s="1">
        <f t="shared" si="0"/>
        <v>1242</v>
      </c>
    </row>
    <row r="21" spans="1:4" x14ac:dyDescent="0.35">
      <c r="A21" t="s">
        <v>20</v>
      </c>
      <c r="B21">
        <f>index!B22</f>
        <v>72</v>
      </c>
      <c r="C21">
        <f>index!C22</f>
        <v>0</v>
      </c>
      <c r="D21" s="1">
        <f t="shared" si="0"/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67</v>
      </c>
      <c r="C2">
        <f>index!H5</f>
        <v>30</v>
      </c>
      <c r="D2">
        <f>index!I5</f>
        <v>28</v>
      </c>
      <c r="E2">
        <f>index!J5</f>
        <v>87</v>
      </c>
      <c r="G2">
        <f>SUM(B2:F2)</f>
        <v>212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517</v>
      </c>
      <c r="C4">
        <f>index!H7</f>
        <v>268</v>
      </c>
      <c r="D4">
        <f>index!I7</f>
        <v>453</v>
      </c>
      <c r="E4">
        <f>index!J7</f>
        <v>476</v>
      </c>
      <c r="G4">
        <f t="shared" si="0"/>
        <v>1714</v>
      </c>
    </row>
    <row r="5" spans="1:7" x14ac:dyDescent="0.35">
      <c r="A5" t="s">
        <v>7</v>
      </c>
      <c r="B5">
        <f>index!G8</f>
        <v>0</v>
      </c>
      <c r="C5">
        <f>index!H8</f>
        <v>0</v>
      </c>
      <c r="D5">
        <f>index!I8</f>
        <v>0</v>
      </c>
      <c r="E5">
        <f>index!J8</f>
        <v>0</v>
      </c>
      <c r="G5">
        <f t="shared" si="0"/>
        <v>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100</v>
      </c>
      <c r="C8">
        <f>index!H11</f>
        <v>300</v>
      </c>
      <c r="D8">
        <f>index!I11</f>
        <v>100</v>
      </c>
      <c r="E8">
        <f>index!J11</f>
        <v>300</v>
      </c>
      <c r="G8">
        <f t="shared" si="0"/>
        <v>800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87</v>
      </c>
      <c r="C10">
        <f>index!H13</f>
        <v>60</v>
      </c>
      <c r="D10">
        <f>index!I13</f>
        <v>45</v>
      </c>
      <c r="E10">
        <f>index!J13</f>
        <v>120</v>
      </c>
      <c r="G10">
        <f t="shared" si="0"/>
        <v>312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44</v>
      </c>
      <c r="C12">
        <f>index!H15</f>
        <v>12</v>
      </c>
      <c r="D12">
        <f>index!I15</f>
        <v>40</v>
      </c>
      <c r="E12">
        <f>index!J15</f>
        <v>72</v>
      </c>
      <c r="G12">
        <f t="shared" si="0"/>
        <v>168</v>
      </c>
    </row>
    <row r="13" spans="1:7" x14ac:dyDescent="0.35">
      <c r="A13" t="s">
        <v>35</v>
      </c>
      <c r="B13">
        <f>index!G16</f>
        <v>134</v>
      </c>
      <c r="C13">
        <f>index!H16</f>
        <v>75</v>
      </c>
      <c r="D13">
        <f>index!I16</f>
        <v>42</v>
      </c>
      <c r="E13">
        <f>index!J16</f>
        <v>119</v>
      </c>
      <c r="G13">
        <f t="shared" si="0"/>
        <v>370</v>
      </c>
    </row>
    <row r="14" spans="1:7" x14ac:dyDescent="0.35">
      <c r="A14" t="s">
        <v>36</v>
      </c>
      <c r="B14">
        <f>index!G17</f>
        <v>46</v>
      </c>
      <c r="C14">
        <f>index!H17</f>
        <v>74</v>
      </c>
      <c r="D14">
        <f>index!I17</f>
        <v>36</v>
      </c>
      <c r="E14">
        <f>index!J17</f>
        <v>78</v>
      </c>
      <c r="G14">
        <f t="shared" si="0"/>
        <v>234</v>
      </c>
    </row>
    <row r="15" spans="1:7" x14ac:dyDescent="0.35">
      <c r="A15" t="s">
        <v>15</v>
      </c>
      <c r="B15">
        <f>index!G18</f>
        <v>45</v>
      </c>
      <c r="C15">
        <f>index!H18</f>
        <v>40</v>
      </c>
      <c r="D15">
        <f>index!I18</f>
        <v>18</v>
      </c>
      <c r="E15">
        <f>index!J18</f>
        <v>20</v>
      </c>
      <c r="G15">
        <f t="shared" si="0"/>
        <v>123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27</v>
      </c>
      <c r="E18">
        <f>index!J21</f>
        <v>6</v>
      </c>
      <c r="G18">
        <f t="shared" si="0"/>
        <v>114</v>
      </c>
    </row>
    <row r="19" spans="1:7" x14ac:dyDescent="0.35">
      <c r="A19" t="s">
        <v>19</v>
      </c>
      <c r="B19">
        <f>index!G22</f>
        <v>107</v>
      </c>
      <c r="C19">
        <f>index!H22</f>
        <v>90</v>
      </c>
      <c r="D19">
        <f>index!I22</f>
        <v>82</v>
      </c>
      <c r="E19">
        <f>index!J22</f>
        <v>53</v>
      </c>
      <c r="G19">
        <f t="shared" si="0"/>
        <v>332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1174</v>
      </c>
      <c r="C23">
        <f t="shared" ref="C23:G23" si="1">SUM(C2:C22)</f>
        <v>1023</v>
      </c>
      <c r="D23">
        <f t="shared" si="1"/>
        <v>879</v>
      </c>
      <c r="E23">
        <f t="shared" si="1"/>
        <v>1390</v>
      </c>
      <c r="F23">
        <f t="shared" si="1"/>
        <v>0</v>
      </c>
      <c r="G23">
        <f t="shared" si="1"/>
        <v>4466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123</v>
      </c>
      <c r="B2">
        <f>index!O3</f>
        <v>63565800</v>
      </c>
    </row>
    <row r="3" spans="1:2" x14ac:dyDescent="0.35">
      <c r="A3" t="s">
        <v>40</v>
      </c>
      <c r="B3">
        <f>index!O4</f>
        <v>96751400</v>
      </c>
    </row>
    <row r="4" spans="1:2" x14ac:dyDescent="0.35">
      <c r="A4" t="s">
        <v>41</v>
      </c>
      <c r="B4">
        <f>index!O5</f>
        <v>78062500</v>
      </c>
    </row>
    <row r="5" spans="1:2" x14ac:dyDescent="0.35">
      <c r="A5" t="s">
        <v>42</v>
      </c>
      <c r="B5">
        <f>index!O6</f>
        <v>95059500</v>
      </c>
    </row>
    <row r="6" spans="1:2" x14ac:dyDescent="0.35">
      <c r="A6" t="s">
        <v>43</v>
      </c>
      <c r="B6">
        <f>SUM(B2:B5)</f>
        <v>333439200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4"/>
  <sheetViews>
    <sheetView topLeftCell="D1" workbookViewId="0">
      <selection activeCell="H24" sqref="H24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21</v>
      </c>
      <c r="B1" t="s">
        <v>44</v>
      </c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</row>
    <row r="2" spans="1:8" x14ac:dyDescent="0.35">
      <c r="B2" t="s">
        <v>51</v>
      </c>
      <c r="C2" t="s">
        <v>39</v>
      </c>
      <c r="D2" t="s">
        <v>52</v>
      </c>
      <c r="E2" t="s">
        <v>53</v>
      </c>
    </row>
    <row r="3" spans="1:8" x14ac:dyDescent="0.35">
      <c r="A3" t="s">
        <v>4</v>
      </c>
      <c r="B3">
        <f>index!R4</f>
        <v>32</v>
      </c>
      <c r="C3">
        <f>index!S4</f>
        <v>32</v>
      </c>
      <c r="D3">
        <f>index!T4</f>
        <v>72</v>
      </c>
      <c r="E3">
        <f>index!U4</f>
        <v>80</v>
      </c>
      <c r="F3">
        <f>SUM(B3:E3)</f>
        <v>216</v>
      </c>
      <c r="G3">
        <v>11000</v>
      </c>
      <c r="H3">
        <f>F3*G3</f>
        <v>2376000</v>
      </c>
    </row>
    <row r="4" spans="1:8" x14ac:dyDescent="0.35">
      <c r="A4" t="s">
        <v>29</v>
      </c>
      <c r="B4">
        <f>index!R5</f>
        <v>0</v>
      </c>
      <c r="C4">
        <f>index!S5</f>
        <v>0</v>
      </c>
      <c r="D4">
        <f>index!T5</f>
        <v>0</v>
      </c>
      <c r="E4">
        <f>index!U5</f>
        <v>0</v>
      </c>
      <c r="F4">
        <f t="shared" ref="F4:F23" si="0">SUM(B4:E4)</f>
        <v>0</v>
      </c>
      <c r="G4">
        <v>30000</v>
      </c>
      <c r="H4">
        <f t="shared" ref="H4:H23" si="1">F4*G4</f>
        <v>0</v>
      </c>
    </row>
    <row r="5" spans="1:8" x14ac:dyDescent="0.35">
      <c r="A5" t="s">
        <v>30</v>
      </c>
      <c r="B5">
        <f>index!R6</f>
        <v>0</v>
      </c>
      <c r="C5">
        <f>index!S6</f>
        <v>3</v>
      </c>
      <c r="D5">
        <f>index!T6</f>
        <v>0</v>
      </c>
      <c r="E5">
        <f>index!U6</f>
        <v>0</v>
      </c>
      <c r="F5">
        <f t="shared" si="0"/>
        <v>3</v>
      </c>
      <c r="G5">
        <v>25000</v>
      </c>
      <c r="H5">
        <f t="shared" si="1"/>
        <v>75000</v>
      </c>
    </row>
    <row r="6" spans="1:8" x14ac:dyDescent="0.35">
      <c r="A6" t="s">
        <v>7</v>
      </c>
      <c r="B6">
        <f>index!R7</f>
        <v>0</v>
      </c>
      <c r="C6">
        <f>index!S7</f>
        <v>0</v>
      </c>
      <c r="D6">
        <f>index!T7</f>
        <v>0</v>
      </c>
      <c r="E6">
        <f>index!U7</f>
        <v>0</v>
      </c>
      <c r="F6">
        <f t="shared" si="0"/>
        <v>0</v>
      </c>
      <c r="G6">
        <v>30000</v>
      </c>
      <c r="H6">
        <f t="shared" si="1"/>
        <v>0</v>
      </c>
    </row>
    <row r="7" spans="1:8" x14ac:dyDescent="0.35">
      <c r="B7">
        <f>index!R8</f>
        <v>0</v>
      </c>
      <c r="C7">
        <f>index!S8</f>
        <v>0</v>
      </c>
      <c r="D7">
        <f>index!T8</f>
        <v>0</v>
      </c>
      <c r="E7">
        <f>index!U8</f>
        <v>0</v>
      </c>
      <c r="F7">
        <f t="shared" si="0"/>
        <v>0</v>
      </c>
      <c r="H7">
        <f t="shared" si="1"/>
        <v>0</v>
      </c>
    </row>
    <row r="8" spans="1:8" x14ac:dyDescent="0.35">
      <c r="B8">
        <f>index!R9</f>
        <v>0</v>
      </c>
      <c r="C8">
        <f>index!S9</f>
        <v>0</v>
      </c>
      <c r="D8">
        <f>index!T9</f>
        <v>0</v>
      </c>
      <c r="E8">
        <f>index!U9</f>
        <v>0</v>
      </c>
      <c r="F8">
        <f t="shared" si="0"/>
        <v>0</v>
      </c>
      <c r="H8">
        <f t="shared" si="1"/>
        <v>0</v>
      </c>
    </row>
    <row r="9" spans="1:8" x14ac:dyDescent="0.35">
      <c r="A9" t="s">
        <v>8</v>
      </c>
      <c r="B9">
        <f>index!R10</f>
        <v>130</v>
      </c>
      <c r="C9">
        <f>index!S10</f>
        <v>369</v>
      </c>
      <c r="D9">
        <f>index!T10</f>
        <v>50</v>
      </c>
      <c r="E9">
        <f>index!U10</f>
        <v>0</v>
      </c>
      <c r="F9">
        <f t="shared" si="0"/>
        <v>549</v>
      </c>
      <c r="G9">
        <v>600</v>
      </c>
      <c r="H9">
        <f t="shared" si="1"/>
        <v>329400</v>
      </c>
    </row>
    <row r="10" spans="1:8" x14ac:dyDescent="0.35">
      <c r="A10" t="s">
        <v>31</v>
      </c>
      <c r="B10">
        <f>index!R11</f>
        <v>0</v>
      </c>
      <c r="C10">
        <f>index!S11</f>
        <v>2</v>
      </c>
      <c r="D10">
        <f>index!T11</f>
        <v>0</v>
      </c>
      <c r="E10">
        <f>index!U11</f>
        <v>0</v>
      </c>
      <c r="F10">
        <f t="shared" si="0"/>
        <v>2</v>
      </c>
      <c r="G10">
        <v>22500</v>
      </c>
      <c r="H10">
        <f t="shared" si="1"/>
        <v>45000</v>
      </c>
    </row>
    <row r="11" spans="1:8" x14ac:dyDescent="0.35">
      <c r="A11" t="s">
        <v>32</v>
      </c>
      <c r="B11">
        <f>index!R12</f>
        <v>279</v>
      </c>
      <c r="C11">
        <f>index!S12</f>
        <v>389</v>
      </c>
      <c r="D11">
        <f>index!T12</f>
        <v>254</v>
      </c>
      <c r="E11">
        <f>index!U12</f>
        <v>212</v>
      </c>
      <c r="F11">
        <f t="shared" si="0"/>
        <v>1134</v>
      </c>
      <c r="G11">
        <v>13200</v>
      </c>
      <c r="H11">
        <f t="shared" si="1"/>
        <v>14968800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0"/>
        <v>0</v>
      </c>
      <c r="G12">
        <v>20000</v>
      </c>
      <c r="H12">
        <f t="shared" si="1"/>
        <v>0</v>
      </c>
    </row>
    <row r="13" spans="1:8" x14ac:dyDescent="0.35">
      <c r="A13" t="s">
        <v>34</v>
      </c>
      <c r="B13">
        <f>index!R14</f>
        <v>21</v>
      </c>
      <c r="C13">
        <f>index!S14</f>
        <v>19</v>
      </c>
      <c r="D13">
        <f>index!T14</f>
        <v>54</v>
      </c>
      <c r="E13">
        <f>index!U14</f>
        <v>43</v>
      </c>
      <c r="F13">
        <f t="shared" si="0"/>
        <v>137</v>
      </c>
      <c r="G13">
        <v>14500</v>
      </c>
      <c r="H13">
        <f t="shared" si="1"/>
        <v>1986500</v>
      </c>
    </row>
    <row r="14" spans="1:8" x14ac:dyDescent="0.35">
      <c r="A14" t="s">
        <v>35</v>
      </c>
      <c r="B14">
        <f>index!R15</f>
        <v>77</v>
      </c>
      <c r="C14">
        <f>index!S15</f>
        <v>195</v>
      </c>
      <c r="D14">
        <f>index!T15</f>
        <v>91</v>
      </c>
      <c r="E14">
        <f>index!U15</f>
        <v>45</v>
      </c>
      <c r="F14">
        <f t="shared" si="0"/>
        <v>408</v>
      </c>
      <c r="G14">
        <v>17250</v>
      </c>
      <c r="H14">
        <f t="shared" si="1"/>
        <v>7038000</v>
      </c>
    </row>
    <row r="15" spans="1:8" x14ac:dyDescent="0.35">
      <c r="A15" t="s">
        <v>36</v>
      </c>
      <c r="B15">
        <f>index!R16</f>
        <v>24</v>
      </c>
      <c r="C15">
        <f>index!S16</f>
        <v>53</v>
      </c>
      <c r="D15">
        <f>index!T16</f>
        <v>5</v>
      </c>
      <c r="E15">
        <f>index!U16</f>
        <v>3</v>
      </c>
      <c r="F15">
        <f t="shared" si="0"/>
        <v>85</v>
      </c>
      <c r="G15">
        <v>23000</v>
      </c>
      <c r="H15">
        <f t="shared" si="1"/>
        <v>1955000</v>
      </c>
    </row>
    <row r="16" spans="1:8" x14ac:dyDescent="0.35">
      <c r="A16" t="s">
        <v>15</v>
      </c>
      <c r="B16">
        <f>index!R17</f>
        <v>3</v>
      </c>
      <c r="C16">
        <f>index!S17</f>
        <v>12</v>
      </c>
      <c r="D16">
        <f>index!T17</f>
        <v>0</v>
      </c>
      <c r="E16">
        <f>index!U17</f>
        <v>0</v>
      </c>
      <c r="F16">
        <f t="shared" si="0"/>
        <v>15</v>
      </c>
      <c r="G16">
        <v>30000</v>
      </c>
      <c r="H16">
        <f t="shared" si="1"/>
        <v>450000</v>
      </c>
    </row>
    <row r="17" spans="1:8" x14ac:dyDescent="0.35">
      <c r="A17" t="s">
        <v>16</v>
      </c>
      <c r="B17">
        <f>index!R18</f>
        <v>42</v>
      </c>
      <c r="C17">
        <f>index!S18</f>
        <v>0</v>
      </c>
      <c r="D17">
        <f>index!T18</f>
        <v>0</v>
      </c>
      <c r="E17">
        <f>index!U18</f>
        <v>0</v>
      </c>
      <c r="F17">
        <f t="shared" si="0"/>
        <v>42</v>
      </c>
      <c r="G17">
        <v>6900</v>
      </c>
      <c r="H17">
        <f t="shared" si="1"/>
        <v>289800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9</v>
      </c>
      <c r="F18">
        <f t="shared" si="0"/>
        <v>9</v>
      </c>
      <c r="G18">
        <v>7000</v>
      </c>
      <c r="H18">
        <f t="shared" si="1"/>
        <v>63000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0"/>
        <v>0</v>
      </c>
      <c r="G19">
        <v>12000</v>
      </c>
      <c r="H19">
        <f t="shared" si="1"/>
        <v>0</v>
      </c>
    </row>
    <row r="20" spans="1:8" x14ac:dyDescent="0.35">
      <c r="A20" t="s">
        <v>19</v>
      </c>
      <c r="B20">
        <f>index!R21</f>
        <v>100</v>
      </c>
      <c r="C20">
        <f>index!S21</f>
        <v>65</v>
      </c>
      <c r="D20">
        <f>index!T21</f>
        <v>42</v>
      </c>
      <c r="E20">
        <f>index!U21</f>
        <v>27</v>
      </c>
      <c r="F20">
        <f t="shared" si="0"/>
        <v>234</v>
      </c>
      <c r="G20">
        <v>9600</v>
      </c>
      <c r="H20">
        <f t="shared" si="1"/>
        <v>2246400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0"/>
        <v>0</v>
      </c>
      <c r="G21">
        <v>13200</v>
      </c>
      <c r="H21">
        <f t="shared" si="1"/>
        <v>0</v>
      </c>
    </row>
    <row r="22" spans="1:8" x14ac:dyDescent="0.35">
      <c r="B22">
        <f>index!R23</f>
        <v>0</v>
      </c>
      <c r="C22">
        <f>index!S23</f>
        <v>0</v>
      </c>
      <c r="D22">
        <f>index!T23</f>
        <v>0</v>
      </c>
      <c r="E22">
        <f>index!U23</f>
        <v>0</v>
      </c>
      <c r="F22">
        <f t="shared" si="0"/>
        <v>0</v>
      </c>
      <c r="H22">
        <f t="shared" si="1"/>
        <v>0</v>
      </c>
    </row>
    <row r="23" spans="1:8" x14ac:dyDescent="0.35">
      <c r="B23">
        <f>index!R24</f>
        <v>0</v>
      </c>
      <c r="C23">
        <f>index!S24</f>
        <v>0</v>
      </c>
      <c r="D23">
        <f>index!T24</f>
        <v>0</v>
      </c>
      <c r="E23">
        <f>index!U24</f>
        <v>0</v>
      </c>
      <c r="F23">
        <f t="shared" si="0"/>
        <v>0</v>
      </c>
      <c r="H23">
        <f t="shared" si="1"/>
        <v>0</v>
      </c>
    </row>
    <row r="24" spans="1:8" x14ac:dyDescent="0.35">
      <c r="A24" t="s">
        <v>54</v>
      </c>
      <c r="B24">
        <f t="shared" ref="B24:F24" si="2">SUM(B3:B23)</f>
        <v>708</v>
      </c>
      <c r="C24">
        <f t="shared" si="2"/>
        <v>1139</v>
      </c>
      <c r="D24">
        <f t="shared" si="2"/>
        <v>568</v>
      </c>
      <c r="E24">
        <f t="shared" si="2"/>
        <v>419</v>
      </c>
      <c r="F24">
        <f t="shared" si="2"/>
        <v>2834</v>
      </c>
      <c r="H24">
        <f>SUM(H3:H23)</f>
        <v>31822900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K7"/>
  <sheetViews>
    <sheetView topLeftCell="G1" workbookViewId="0">
      <selection activeCell="D6" sqref="D6"/>
    </sheetView>
  </sheetViews>
  <sheetFormatPr defaultRowHeight="14.5" x14ac:dyDescent="0.35"/>
  <cols>
    <col min="1" max="1" width="18.54296875" bestFit="1" customWidth="1"/>
    <col min="2" max="2" width="15.08984375" bestFit="1" customWidth="1"/>
    <col min="3" max="3" width="6.54296875" bestFit="1" customWidth="1"/>
    <col min="4" max="4" width="12.6328125" bestFit="1" customWidth="1"/>
    <col min="5" max="5" width="11.81640625" bestFit="1" customWidth="1"/>
    <col min="6" max="6" width="4.81640625" bestFit="1" customWidth="1"/>
    <col min="7" max="7" width="27.81640625" bestFit="1" customWidth="1"/>
    <col min="8" max="10" width="5.08984375" bestFit="1" customWidth="1"/>
    <col min="11" max="11" width="5.81640625" bestFit="1" customWidth="1"/>
  </cols>
  <sheetData>
    <row r="1" spans="1:11" x14ac:dyDescent="0.35">
      <c r="A1" t="s">
        <v>55</v>
      </c>
      <c r="B1" t="s">
        <v>56</v>
      </c>
      <c r="D1" t="s">
        <v>57</v>
      </c>
      <c r="G1" t="s">
        <v>58</v>
      </c>
    </row>
    <row r="2" spans="1:11" x14ac:dyDescent="0.35">
      <c r="C2" t="s">
        <v>59</v>
      </c>
      <c r="D2" t="s">
        <v>60</v>
      </c>
      <c r="E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27</v>
      </c>
    </row>
    <row r="3" spans="1:11" x14ac:dyDescent="0.35">
      <c r="A3" t="s">
        <v>67</v>
      </c>
      <c r="B3" t="s">
        <v>68</v>
      </c>
      <c r="C3">
        <f>index!AC4</f>
        <v>275</v>
      </c>
      <c r="D3" s="28">
        <f>index!AD4</f>
        <v>7500000</v>
      </c>
      <c r="E3" s="28">
        <f>index!AE4</f>
        <v>7500000</v>
      </c>
      <c r="F3" s="28" t="str">
        <f>index!AF4</f>
        <v xml:space="preserve"> -   </v>
      </c>
      <c r="G3">
        <f>index!AG4</f>
        <v>30</v>
      </c>
      <c r="H3">
        <f>index!AH4</f>
        <v>0</v>
      </c>
      <c r="I3">
        <f>index!AI4</f>
        <v>0</v>
      </c>
      <c r="J3">
        <f>index!AJ4</f>
        <v>0</v>
      </c>
      <c r="K3">
        <f>SUM(G3:J3)</f>
        <v>30</v>
      </c>
    </row>
    <row r="4" spans="1:11" x14ac:dyDescent="0.35">
      <c r="A4" t="s">
        <v>69</v>
      </c>
      <c r="B4" t="s">
        <v>68</v>
      </c>
      <c r="C4">
        <f>index!AC5</f>
        <v>237</v>
      </c>
      <c r="D4" s="28">
        <f>index!AD5</f>
        <v>6835000</v>
      </c>
      <c r="E4" s="28">
        <f>index!AE5</f>
        <v>6835000</v>
      </c>
      <c r="F4" s="28" t="str">
        <f>index!AF5</f>
        <v xml:space="preserve"> -   </v>
      </c>
      <c r="G4">
        <f>index!AG5</f>
        <v>24</v>
      </c>
      <c r="H4">
        <f>index!AH5</f>
        <v>1</v>
      </c>
      <c r="I4">
        <f>index!AI5</f>
        <v>0</v>
      </c>
      <c r="J4">
        <f>index!AJ5</f>
        <v>1</v>
      </c>
      <c r="K4">
        <f t="shared" ref="K4:K6" si="0">SUM(G4:J4)</f>
        <v>26</v>
      </c>
    </row>
    <row r="5" spans="1:11" x14ac:dyDescent="0.35">
      <c r="A5" t="s">
        <v>41</v>
      </c>
      <c r="B5" t="s">
        <v>68</v>
      </c>
      <c r="C5">
        <f>index!AC6</f>
        <v>286</v>
      </c>
      <c r="D5" s="28">
        <f>index!AD6</f>
        <v>8420000</v>
      </c>
      <c r="E5" s="28">
        <f>index!AE6</f>
        <v>8420000</v>
      </c>
      <c r="F5" s="28" t="str">
        <f>index!AF6</f>
        <v xml:space="preserve"> -   </v>
      </c>
      <c r="G5">
        <f>index!AG6</f>
        <v>32</v>
      </c>
      <c r="H5">
        <f>index!AH6</f>
        <v>0</v>
      </c>
      <c r="I5">
        <f>index!AI6</f>
        <v>0</v>
      </c>
      <c r="J5">
        <f>index!AJ6</f>
        <v>2</v>
      </c>
      <c r="K5">
        <f t="shared" si="0"/>
        <v>34</v>
      </c>
    </row>
    <row r="6" spans="1:11" x14ac:dyDescent="0.35">
      <c r="A6" t="s">
        <v>42</v>
      </c>
      <c r="B6" t="s">
        <v>68</v>
      </c>
      <c r="C6">
        <f>index!AC7</f>
        <v>260</v>
      </c>
      <c r="D6" s="28">
        <f>index!AD7</f>
        <v>6625000</v>
      </c>
      <c r="E6" s="28">
        <f>index!AE7</f>
        <v>6625000</v>
      </c>
      <c r="F6" s="28" t="str">
        <f>index!AF7</f>
        <v xml:space="preserve"> -   </v>
      </c>
      <c r="G6">
        <f>index!AG7</f>
        <v>19</v>
      </c>
      <c r="H6">
        <f>index!AH7</f>
        <v>3</v>
      </c>
      <c r="I6">
        <f>index!AI7</f>
        <v>0</v>
      </c>
      <c r="J6">
        <f>index!AJ7</f>
        <v>0</v>
      </c>
      <c r="K6">
        <f t="shared" si="0"/>
        <v>22</v>
      </c>
    </row>
    <row r="7" spans="1:11" x14ac:dyDescent="0.35">
      <c r="C7" s="28">
        <f>SUM(C3:C6)</f>
        <v>1058</v>
      </c>
      <c r="D7" s="28">
        <f>SUM(D3:D6)</f>
        <v>29380000</v>
      </c>
      <c r="E7" s="28">
        <f t="shared" ref="E7:F7" si="1">SUM(E3:E6)</f>
        <v>29380000</v>
      </c>
      <c r="F7" s="1">
        <f t="shared" si="1"/>
        <v>0</v>
      </c>
      <c r="G7" s="1">
        <f t="shared" ref="G7" si="2">SUM(G3:G6)</f>
        <v>105</v>
      </c>
      <c r="H7" s="1">
        <f t="shared" ref="H7" si="3">SUM(H3:H6)</f>
        <v>4</v>
      </c>
      <c r="I7" s="1">
        <f t="shared" ref="I7" si="4">SUM(I3:I6)</f>
        <v>0</v>
      </c>
      <c r="J7" s="1">
        <f t="shared" ref="J7" si="5">SUM(J3:J6)</f>
        <v>3</v>
      </c>
      <c r="K7" s="1">
        <f t="shared" ref="K7" si="6">SUM(K3:K6)</f>
        <v>112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F18" sqref="F18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70</v>
      </c>
      <c r="B1" t="s">
        <v>55</v>
      </c>
      <c r="C1" t="s">
        <v>59</v>
      </c>
      <c r="D1" t="s">
        <v>71</v>
      </c>
      <c r="E1" t="s">
        <v>72</v>
      </c>
      <c r="F1" t="s">
        <v>73</v>
      </c>
      <c r="G1" t="s">
        <v>74</v>
      </c>
      <c r="H1" t="s">
        <v>27</v>
      </c>
    </row>
    <row r="2" spans="1:8" x14ac:dyDescent="0.35">
      <c r="A2" t="s">
        <v>75</v>
      </c>
      <c r="B2" t="s">
        <v>67</v>
      </c>
      <c r="C2">
        <f>index!AC12</f>
        <v>63</v>
      </c>
      <c r="D2">
        <f>index!AD12</f>
        <v>630000</v>
      </c>
      <c r="E2">
        <v>630000</v>
      </c>
      <c r="F2">
        <f>index!AF12</f>
        <v>63</v>
      </c>
      <c r="G2">
        <f>index!AG12</f>
        <v>0</v>
      </c>
      <c r="H2">
        <f>index!AH12</f>
        <v>63</v>
      </c>
    </row>
    <row r="3" spans="1:8" x14ac:dyDescent="0.35">
      <c r="A3" t="s">
        <v>76</v>
      </c>
      <c r="B3" t="s">
        <v>69</v>
      </c>
      <c r="C3">
        <f>index!AC13</f>
        <v>63</v>
      </c>
      <c r="D3">
        <f>index!AD13</f>
        <v>630000</v>
      </c>
      <c r="E3">
        <v>630000</v>
      </c>
      <c r="F3">
        <f>index!AF13</f>
        <v>63</v>
      </c>
      <c r="G3">
        <f>index!AG13</f>
        <v>0</v>
      </c>
      <c r="H3">
        <f>index!AH13</f>
        <v>63</v>
      </c>
    </row>
    <row r="4" spans="1:8" x14ac:dyDescent="0.35">
      <c r="A4" t="s">
        <v>77</v>
      </c>
      <c r="B4" t="s">
        <v>41</v>
      </c>
      <c r="C4">
        <f>index!AC14</f>
        <v>63</v>
      </c>
      <c r="D4">
        <f>index!AD14</f>
        <v>630000</v>
      </c>
      <c r="E4">
        <v>630000</v>
      </c>
      <c r="F4">
        <f>index!AF14</f>
        <v>63</v>
      </c>
      <c r="G4">
        <f>index!AG14</f>
        <v>0</v>
      </c>
      <c r="H4">
        <f>index!AH14</f>
        <v>63</v>
      </c>
    </row>
    <row r="5" spans="1:8" x14ac:dyDescent="0.35">
      <c r="A5" t="s">
        <v>78</v>
      </c>
      <c r="B5" t="s">
        <v>42</v>
      </c>
      <c r="C5">
        <f>index!AC15</f>
        <v>63</v>
      </c>
      <c r="D5">
        <f>index!AD15</f>
        <v>630000</v>
      </c>
      <c r="E5">
        <v>630000</v>
      </c>
      <c r="F5">
        <f>index!AF15</f>
        <v>63</v>
      </c>
      <c r="G5">
        <f>index!AG15</f>
        <v>0</v>
      </c>
      <c r="H5">
        <f>index!AH15</f>
        <v>63</v>
      </c>
    </row>
    <row r="6" spans="1:8" x14ac:dyDescent="0.35">
      <c r="C6">
        <f>SUM(C2:C5)</f>
        <v>252</v>
      </c>
      <c r="D6">
        <f t="shared" ref="D6:H6" si="0">SUM(D2:D5)</f>
        <v>2520000</v>
      </c>
      <c r="E6">
        <f t="shared" si="0"/>
        <v>2520000</v>
      </c>
      <c r="F6">
        <f t="shared" si="0"/>
        <v>252</v>
      </c>
      <c r="G6">
        <f t="shared" si="0"/>
        <v>0</v>
      </c>
      <c r="H6">
        <f t="shared" si="0"/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H1" workbookViewId="0">
      <selection activeCell="J5" sqref="J5:J10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79</v>
      </c>
      <c r="B1" s="2" t="s">
        <v>80</v>
      </c>
      <c r="C1" s="3" t="s">
        <v>81</v>
      </c>
      <c r="D1" s="3" t="s">
        <v>82</v>
      </c>
      <c r="E1" s="3" t="s">
        <v>83</v>
      </c>
      <c r="F1" s="3" t="s">
        <v>84</v>
      </c>
      <c r="G1" s="3" t="s">
        <v>85</v>
      </c>
      <c r="H1" s="3" t="s">
        <v>49</v>
      </c>
      <c r="I1" s="3" t="s">
        <v>86</v>
      </c>
      <c r="J1" s="3" t="s">
        <v>87</v>
      </c>
      <c r="K1" s="3" t="s">
        <v>88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410000</v>
      </c>
      <c r="I2" s="5">
        <f>index!AU3</f>
        <v>0</v>
      </c>
      <c r="J2" s="4">
        <f>index!AV3</f>
        <v>0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410000</v>
      </c>
      <c r="I3" s="5">
        <f>index!AU4</f>
        <v>0</v>
      </c>
      <c r="J3" s="4">
        <f>index!AV4</f>
        <v>0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410000</v>
      </c>
      <c r="I4" s="5">
        <f>index!AU5</f>
        <v>0</v>
      </c>
      <c r="J4" s="4">
        <f>index!AV5</f>
        <v>0</v>
      </c>
      <c r="K4" s="5"/>
      <c r="M4" t="s">
        <v>97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410000</v>
      </c>
      <c r="I5" s="5">
        <f>index!AU6</f>
        <v>0</v>
      </c>
      <c r="J5" s="4">
        <f>index!AV6</f>
        <v>0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410000</v>
      </c>
      <c r="I6" s="5">
        <f>index!AU7</f>
        <v>0</v>
      </c>
      <c r="J6" s="4" t="str">
        <f>index!AV7</f>
        <v>SEGEL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410000</v>
      </c>
      <c r="I7" s="5">
        <f>index!AU8</f>
        <v>0</v>
      </c>
      <c r="J7" s="4" t="str">
        <f>index!AV8</f>
        <v>SEGEL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410000</v>
      </c>
      <c r="I8" s="5">
        <f>index!AU9</f>
        <v>0</v>
      </c>
      <c r="J8" s="4" t="str">
        <f>index!AV9</f>
        <v>SEGEL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410000</v>
      </c>
      <c r="I9" s="5">
        <f>index!AU10</f>
        <v>0</v>
      </c>
      <c r="J9" s="4" t="str">
        <f>index!AV10</f>
        <v>SEGEL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CSM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GUDANG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AW26"/>
  <sheetViews>
    <sheetView tabSelected="1" workbookViewId="0"/>
  </sheetViews>
  <sheetFormatPr defaultRowHeight="14.5" x14ac:dyDescent="0.35"/>
  <cols>
    <col min="15" max="15" width="9.8164062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</cols>
  <sheetData>
    <row r="1" spans="1:49" x14ac:dyDescent="0.35">
      <c r="A1" t="s">
        <v>114</v>
      </c>
      <c r="F1" t="s">
        <v>115</v>
      </c>
      <c r="N1" t="s">
        <v>117</v>
      </c>
      <c r="Q1" t="s">
        <v>118</v>
      </c>
      <c r="AA1" t="s">
        <v>120</v>
      </c>
      <c r="AM1" t="s">
        <v>122</v>
      </c>
    </row>
    <row r="2" spans="1:49" ht="18.5" x14ac:dyDescent="0.45">
      <c r="A2" s="37" t="s">
        <v>0</v>
      </c>
      <c r="B2" s="37" t="s">
        <v>1</v>
      </c>
      <c r="C2" s="37" t="s">
        <v>2</v>
      </c>
      <c r="D2" s="37" t="s">
        <v>3</v>
      </c>
      <c r="F2" s="39" t="s">
        <v>116</v>
      </c>
      <c r="G2" s="40"/>
      <c r="H2" s="40"/>
      <c r="I2" s="40"/>
      <c r="J2" s="40"/>
      <c r="K2" s="40"/>
      <c r="L2" s="41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42" t="s">
        <v>48</v>
      </c>
      <c r="X2" s="33" t="s">
        <v>49</v>
      </c>
      <c r="Y2" s="35" t="s">
        <v>50</v>
      </c>
      <c r="AA2" t="s">
        <v>55</v>
      </c>
      <c r="AB2" t="s">
        <v>56</v>
      </c>
      <c r="AD2" t="s">
        <v>57</v>
      </c>
      <c r="AG2" t="s">
        <v>58</v>
      </c>
      <c r="AM2" s="2" t="s">
        <v>79</v>
      </c>
      <c r="AN2" s="2" t="s">
        <v>80</v>
      </c>
      <c r="AO2" s="3" t="s">
        <v>81</v>
      </c>
      <c r="AP2" s="3" t="s">
        <v>82</v>
      </c>
      <c r="AQ2" s="3" t="s">
        <v>83</v>
      </c>
      <c r="AR2" s="3" t="s">
        <v>84</v>
      </c>
      <c r="AS2" s="3" t="s">
        <v>85</v>
      </c>
      <c r="AT2" s="3" t="s">
        <v>49</v>
      </c>
      <c r="AU2" s="3" t="s">
        <v>86</v>
      </c>
      <c r="AV2" s="3" t="s">
        <v>87</v>
      </c>
      <c r="AW2" s="3" t="s">
        <v>88</v>
      </c>
    </row>
    <row r="3" spans="1:49" x14ac:dyDescent="0.35">
      <c r="A3" s="38"/>
      <c r="B3" s="38"/>
      <c r="C3" s="38"/>
      <c r="D3" s="38"/>
      <c r="F3" s="15"/>
      <c r="G3" s="16"/>
      <c r="H3" s="17"/>
      <c r="I3" s="17"/>
      <c r="J3" s="17"/>
      <c r="K3" s="17"/>
      <c r="L3" s="18"/>
      <c r="N3" s="31" t="s">
        <v>39</v>
      </c>
      <c r="O3" s="27">
        <v>63565800</v>
      </c>
      <c r="Q3" s="25"/>
      <c r="R3" s="26" t="s">
        <v>51</v>
      </c>
      <c r="S3" s="26" t="s">
        <v>39</v>
      </c>
      <c r="T3" s="26" t="s">
        <v>52</v>
      </c>
      <c r="U3" s="26" t="s">
        <v>53</v>
      </c>
      <c r="V3" s="26" t="s">
        <v>119</v>
      </c>
      <c r="W3" s="43"/>
      <c r="X3" s="34"/>
      <c r="Y3" s="36"/>
      <c r="AC3" t="s">
        <v>59</v>
      </c>
      <c r="AD3" t="s">
        <v>60</v>
      </c>
      <c r="AE3" t="s">
        <v>61</v>
      </c>
      <c r="AF3" t="s">
        <v>62</v>
      </c>
      <c r="AG3" t="s">
        <v>63</v>
      </c>
      <c r="AH3" t="s">
        <v>64</v>
      </c>
      <c r="AI3" t="s">
        <v>65</v>
      </c>
      <c r="AJ3" t="s">
        <v>66</v>
      </c>
      <c r="AK3" t="s">
        <v>27</v>
      </c>
      <c r="AM3" s="4">
        <v>1</v>
      </c>
      <c r="AN3" s="5">
        <v>46157</v>
      </c>
      <c r="AO3" s="4" t="s">
        <v>89</v>
      </c>
      <c r="AP3" s="6" t="s">
        <v>90</v>
      </c>
      <c r="AQ3" s="4">
        <v>1</v>
      </c>
      <c r="AR3" s="7" t="s">
        <v>91</v>
      </c>
      <c r="AS3" s="7" t="s">
        <v>92</v>
      </c>
      <c r="AT3" s="8">
        <v>410000</v>
      </c>
      <c r="AU3" s="5"/>
      <c r="AV3" s="4"/>
      <c r="AW3" s="5"/>
    </row>
    <row r="4" spans="1:49" x14ac:dyDescent="0.35">
      <c r="A4" s="12" t="s">
        <v>4</v>
      </c>
      <c r="B4" s="13">
        <v>993</v>
      </c>
      <c r="C4" s="14">
        <v>1</v>
      </c>
      <c r="D4" s="13">
        <f>C4+B4</f>
        <v>994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27">
        <v>96751400</v>
      </c>
      <c r="Q4" s="20" t="s">
        <v>4</v>
      </c>
      <c r="R4" s="27">
        <v>32</v>
      </c>
      <c r="S4" s="27">
        <v>32</v>
      </c>
      <c r="T4" s="27">
        <v>72</v>
      </c>
      <c r="U4" s="27">
        <v>80</v>
      </c>
      <c r="V4" s="27">
        <v>0</v>
      </c>
      <c r="W4" s="27">
        <f>SUM(R4:V4)</f>
        <v>216</v>
      </c>
      <c r="X4" s="4">
        <v>11000</v>
      </c>
      <c r="Y4" s="27">
        <f>W4*X4</f>
        <v>2376000</v>
      </c>
      <c r="AA4" t="s">
        <v>67</v>
      </c>
      <c r="AB4" t="s">
        <v>68</v>
      </c>
      <c r="AC4">
        <v>275</v>
      </c>
      <c r="AD4" s="28">
        <v>7500000</v>
      </c>
      <c r="AE4" s="28">
        <v>7500000</v>
      </c>
      <c r="AF4" t="s">
        <v>28</v>
      </c>
      <c r="AG4">
        <v>30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90</v>
      </c>
      <c r="AQ4" s="4">
        <v>1</v>
      </c>
      <c r="AR4" s="7" t="s">
        <v>93</v>
      </c>
      <c r="AS4" s="7" t="s">
        <v>94</v>
      </c>
      <c r="AT4" s="8">
        <v>410000</v>
      </c>
      <c r="AU4" s="5"/>
      <c r="AV4" s="4"/>
      <c r="AW4" s="5"/>
    </row>
    <row r="5" spans="1:49" x14ac:dyDescent="0.35">
      <c r="A5" s="12" t="s">
        <v>5</v>
      </c>
      <c r="B5" s="13">
        <v>0</v>
      </c>
      <c r="C5" s="14">
        <v>0</v>
      </c>
      <c r="D5" s="13">
        <f t="shared" ref="D5:D22" si="0">C5+B5</f>
        <v>0</v>
      </c>
      <c r="F5" s="20" t="s">
        <v>4</v>
      </c>
      <c r="G5" s="21">
        <v>67</v>
      </c>
      <c r="H5" s="21">
        <v>30</v>
      </c>
      <c r="I5" s="21">
        <v>28</v>
      </c>
      <c r="J5" s="21">
        <v>87</v>
      </c>
      <c r="K5" s="21">
        <v>22</v>
      </c>
      <c r="L5" s="22">
        <f>SUM(G5:K5)</f>
        <v>234</v>
      </c>
      <c r="N5" s="31" t="s">
        <v>41</v>
      </c>
      <c r="O5" s="27">
        <v>78062500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69</v>
      </c>
      <c r="AB5" t="s">
        <v>68</v>
      </c>
      <c r="AC5">
        <v>237</v>
      </c>
      <c r="AD5" s="28">
        <v>6835000</v>
      </c>
      <c r="AE5" s="28">
        <v>6835000</v>
      </c>
      <c r="AF5" t="s">
        <v>28</v>
      </c>
      <c r="AG5">
        <v>24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90</v>
      </c>
      <c r="AQ5" s="4">
        <v>1</v>
      </c>
      <c r="AR5" s="7" t="s">
        <v>95</v>
      </c>
      <c r="AS5" s="7" t="s">
        <v>96</v>
      </c>
      <c r="AT5" s="8">
        <v>410000</v>
      </c>
      <c r="AU5" s="5"/>
      <c r="AV5" s="4"/>
      <c r="AW5" s="5"/>
    </row>
    <row r="6" spans="1:49" x14ac:dyDescent="0.35">
      <c r="A6" s="12" t="s">
        <v>6</v>
      </c>
      <c r="B6" s="13">
        <v>1525</v>
      </c>
      <c r="C6" s="14">
        <v>1511</v>
      </c>
      <c r="D6" s="13">
        <f t="shared" si="0"/>
        <v>3036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27">
        <v>95059500</v>
      </c>
      <c r="Q6" s="20" t="s">
        <v>30</v>
      </c>
      <c r="R6" s="27">
        <v>0</v>
      </c>
      <c r="S6" s="27">
        <v>3</v>
      </c>
      <c r="T6" s="27">
        <v>0</v>
      </c>
      <c r="U6" s="27">
        <v>0</v>
      </c>
      <c r="V6" s="27">
        <v>0</v>
      </c>
      <c r="W6" s="27">
        <f t="shared" si="1"/>
        <v>3</v>
      </c>
      <c r="X6" s="4">
        <v>25000</v>
      </c>
      <c r="Y6" s="27">
        <f t="shared" si="2"/>
        <v>75000</v>
      </c>
      <c r="AA6" t="s">
        <v>41</v>
      </c>
      <c r="AB6" t="s">
        <v>68</v>
      </c>
      <c r="AC6">
        <v>286</v>
      </c>
      <c r="AD6" s="28">
        <v>8420000</v>
      </c>
      <c r="AE6" s="28">
        <v>8420000</v>
      </c>
      <c r="AF6" t="s">
        <v>28</v>
      </c>
      <c r="AG6">
        <v>32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90</v>
      </c>
      <c r="AQ6" s="4">
        <v>1</v>
      </c>
      <c r="AR6" s="7" t="s">
        <v>98</v>
      </c>
      <c r="AS6" s="7" t="s">
        <v>99</v>
      </c>
      <c r="AT6" s="8">
        <v>410000</v>
      </c>
      <c r="AU6" s="5"/>
      <c r="AV6" s="4"/>
      <c r="AW6" s="5"/>
    </row>
    <row r="7" spans="1:49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517</v>
      </c>
      <c r="H7" s="21">
        <v>268</v>
      </c>
      <c r="I7" s="21">
        <v>453</v>
      </c>
      <c r="J7" s="21">
        <v>476</v>
      </c>
      <c r="K7" s="21">
        <v>10</v>
      </c>
      <c r="L7" s="22">
        <f t="shared" si="3"/>
        <v>1724</v>
      </c>
      <c r="N7" s="31" t="s">
        <v>43</v>
      </c>
      <c r="O7" s="27">
        <f>SUM(O3:O6)</f>
        <v>333439200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68</v>
      </c>
      <c r="AC7">
        <v>260</v>
      </c>
      <c r="AD7" s="28">
        <v>6625000</v>
      </c>
      <c r="AE7" s="28">
        <v>6625000</v>
      </c>
      <c r="AF7" t="s">
        <v>28</v>
      </c>
      <c r="AG7">
        <v>19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89</v>
      </c>
      <c r="AP7" s="6" t="s">
        <v>90</v>
      </c>
      <c r="AQ7" s="4">
        <v>1</v>
      </c>
      <c r="AR7" s="7" t="s">
        <v>101</v>
      </c>
      <c r="AS7" s="7" t="s">
        <v>102</v>
      </c>
      <c r="AT7" s="9">
        <v>410000</v>
      </c>
      <c r="AU7" s="5"/>
      <c r="AV7" s="4" t="s">
        <v>103</v>
      </c>
      <c r="AW7" s="5"/>
    </row>
    <row r="8" spans="1:49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2">
        <f t="shared" si="3"/>
        <v>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29380000</v>
      </c>
      <c r="AE8" s="28">
        <f>SUM(AE4:AE7)</f>
        <v>29380000</v>
      </c>
      <c r="AF8" t="s">
        <v>28</v>
      </c>
      <c r="AG8">
        <f>SUM(AG4:AG7)</f>
        <v>105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90</v>
      </c>
      <c r="AQ8" s="4">
        <v>1</v>
      </c>
      <c r="AR8" s="7" t="s">
        <v>104</v>
      </c>
      <c r="AS8" s="7" t="s">
        <v>105</v>
      </c>
      <c r="AT8" s="9">
        <v>410000</v>
      </c>
      <c r="AU8" s="5"/>
      <c r="AV8" s="4" t="s">
        <v>103</v>
      </c>
      <c r="AW8" s="5"/>
    </row>
    <row r="9" spans="1:49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 t="s">
        <v>127</v>
      </c>
      <c r="O9">
        <v>2550000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90</v>
      </c>
      <c r="AQ9" s="4">
        <v>1</v>
      </c>
      <c r="AR9" s="7" t="s">
        <v>106</v>
      </c>
      <c r="AS9" s="7" t="s">
        <v>107</v>
      </c>
      <c r="AT9" s="8">
        <v>410000</v>
      </c>
      <c r="AU9" s="5"/>
      <c r="AV9" s="4" t="s">
        <v>103</v>
      </c>
      <c r="AW9" s="5"/>
    </row>
    <row r="10" spans="1:49" x14ac:dyDescent="0.35">
      <c r="A10" s="12" t="s">
        <v>8</v>
      </c>
      <c r="B10" s="13">
        <v>2462</v>
      </c>
      <c r="C10" s="14">
        <v>0</v>
      </c>
      <c r="D10" s="13">
        <f t="shared" si="0"/>
        <v>2462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>
        <v>3519000</v>
      </c>
      <c r="Q10" s="20" t="s">
        <v>8</v>
      </c>
      <c r="R10" s="27">
        <v>130</v>
      </c>
      <c r="S10" s="27">
        <v>369</v>
      </c>
      <c r="T10" s="27">
        <v>50</v>
      </c>
      <c r="U10" s="27">
        <v>0</v>
      </c>
      <c r="V10" s="27">
        <v>0</v>
      </c>
      <c r="W10" s="27">
        <f>SUM(R10:V10)</f>
        <v>549</v>
      </c>
      <c r="X10" s="4">
        <v>600</v>
      </c>
      <c r="Y10" s="27">
        <f t="shared" si="2"/>
        <v>329400</v>
      </c>
      <c r="AA10" t="s">
        <v>121</v>
      </c>
      <c r="AM10" s="4">
        <v>8</v>
      </c>
      <c r="AN10" s="5">
        <v>46163</v>
      </c>
      <c r="AO10" s="4" t="s">
        <v>25</v>
      </c>
      <c r="AP10" s="6" t="s">
        <v>90</v>
      </c>
      <c r="AQ10" s="4">
        <v>1</v>
      </c>
      <c r="AR10" s="7" t="s">
        <v>108</v>
      </c>
      <c r="AS10" s="7" t="s">
        <v>109</v>
      </c>
      <c r="AT10" s="8">
        <v>410000</v>
      </c>
      <c r="AU10" s="5"/>
      <c r="AV10" s="4" t="s">
        <v>103</v>
      </c>
      <c r="AW10" s="5"/>
    </row>
    <row r="11" spans="1:49" x14ac:dyDescent="0.35">
      <c r="A11" s="12" t="s">
        <v>9</v>
      </c>
      <c r="B11" s="13">
        <v>0</v>
      </c>
      <c r="C11" s="14">
        <v>1</v>
      </c>
      <c r="D11" s="13">
        <f t="shared" si="0"/>
        <v>1</v>
      </c>
      <c r="F11" s="20" t="s">
        <v>8</v>
      </c>
      <c r="G11" s="21">
        <v>100</v>
      </c>
      <c r="H11" s="21">
        <v>300</v>
      </c>
      <c r="I11" s="21">
        <v>100</v>
      </c>
      <c r="J11" s="21">
        <v>300</v>
      </c>
      <c r="K11" s="21">
        <v>0</v>
      </c>
      <c r="L11" s="22">
        <f t="shared" si="3"/>
        <v>800</v>
      </c>
      <c r="O11">
        <v>5819000</v>
      </c>
      <c r="Q11" s="20" t="s">
        <v>31</v>
      </c>
      <c r="R11" s="27">
        <v>0</v>
      </c>
      <c r="S11" s="27">
        <v>2</v>
      </c>
      <c r="T11" s="27">
        <v>0</v>
      </c>
      <c r="U11" s="27">
        <v>0</v>
      </c>
      <c r="V11" s="27">
        <v>0</v>
      </c>
      <c r="W11" s="27">
        <f t="shared" si="1"/>
        <v>2</v>
      </c>
      <c r="X11" s="4">
        <v>22500</v>
      </c>
      <c r="Y11" s="27">
        <f t="shared" si="2"/>
        <v>45000</v>
      </c>
      <c r="AA11" t="s">
        <v>70</v>
      </c>
      <c r="AB11" t="s">
        <v>55</v>
      </c>
      <c r="AC11" t="s">
        <v>59</v>
      </c>
      <c r="AD11" t="s">
        <v>71</v>
      </c>
      <c r="AE11" t="s">
        <v>72</v>
      </c>
      <c r="AF11" t="s">
        <v>73</v>
      </c>
      <c r="AG11" t="s">
        <v>74</v>
      </c>
      <c r="AH11" t="s">
        <v>27</v>
      </c>
      <c r="AM11" s="4">
        <v>9</v>
      </c>
      <c r="AN11" s="5">
        <v>46163</v>
      </c>
      <c r="AO11" s="4" t="s">
        <v>124</v>
      </c>
      <c r="AP11" s="6" t="s">
        <v>90</v>
      </c>
      <c r="AQ11" s="4">
        <v>1</v>
      </c>
      <c r="AR11" s="7" t="s">
        <v>110</v>
      </c>
      <c r="AS11" s="7" t="s">
        <v>111</v>
      </c>
      <c r="AT11" s="8"/>
      <c r="AU11" s="5"/>
      <c r="AV11" s="4" t="s">
        <v>125</v>
      </c>
      <c r="AW11" s="5"/>
    </row>
    <row r="12" spans="1:49" x14ac:dyDescent="0.35">
      <c r="A12" s="12" t="s">
        <v>10</v>
      </c>
      <c r="B12" s="13">
        <v>210</v>
      </c>
      <c r="C12" s="14">
        <v>978</v>
      </c>
      <c r="D12" s="13">
        <f>C12+B12</f>
        <v>1188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>
        <v>3500000</v>
      </c>
      <c r="Q12" s="20" t="s">
        <v>32</v>
      </c>
      <c r="R12" s="27">
        <v>279</v>
      </c>
      <c r="S12" s="27">
        <v>389</v>
      </c>
      <c r="T12" s="27">
        <v>254</v>
      </c>
      <c r="U12" s="27">
        <v>212</v>
      </c>
      <c r="V12" s="27">
        <v>0</v>
      </c>
      <c r="W12" s="27">
        <f t="shared" si="1"/>
        <v>1134</v>
      </c>
      <c r="X12" s="4">
        <v>13200</v>
      </c>
      <c r="Y12" s="27">
        <f t="shared" si="2"/>
        <v>14968800</v>
      </c>
      <c r="AA12" t="s">
        <v>75</v>
      </c>
      <c r="AB12" t="s">
        <v>67</v>
      </c>
      <c r="AC12">
        <v>63</v>
      </c>
      <c r="AD12">
        <v>630000</v>
      </c>
      <c r="AE12">
        <v>630000</v>
      </c>
      <c r="AF12">
        <v>63</v>
      </c>
      <c r="AG12">
        <v>0</v>
      </c>
      <c r="AH12">
        <v>63</v>
      </c>
      <c r="AM12" s="4">
        <v>10</v>
      </c>
      <c r="AN12" s="5">
        <v>46164</v>
      </c>
      <c r="AO12" s="4" t="s">
        <v>100</v>
      </c>
      <c r="AP12" s="6" t="s">
        <v>90</v>
      </c>
      <c r="AQ12" s="4">
        <v>1</v>
      </c>
      <c r="AR12" s="7" t="s">
        <v>112</v>
      </c>
      <c r="AS12" s="7" t="s">
        <v>113</v>
      </c>
      <c r="AT12" s="9"/>
      <c r="AU12" s="5"/>
      <c r="AV12" s="4" t="s">
        <v>126</v>
      </c>
      <c r="AW12" s="5"/>
    </row>
    <row r="13" spans="1:49" x14ac:dyDescent="0.35">
      <c r="A13" s="12" t="s">
        <v>11</v>
      </c>
      <c r="B13" s="13">
        <v>0</v>
      </c>
      <c r="C13" s="14">
        <v>300</v>
      </c>
      <c r="D13" s="13">
        <f t="shared" si="0"/>
        <v>300</v>
      </c>
      <c r="F13" s="20" t="s">
        <v>32</v>
      </c>
      <c r="G13" s="21">
        <v>87</v>
      </c>
      <c r="H13" s="21">
        <v>60</v>
      </c>
      <c r="I13" s="21">
        <v>45</v>
      </c>
      <c r="J13" s="21">
        <v>120</v>
      </c>
      <c r="K13" s="21">
        <v>21</v>
      </c>
      <c r="L13" s="22">
        <f t="shared" si="3"/>
        <v>333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76</v>
      </c>
      <c r="AB13" t="s">
        <v>69</v>
      </c>
      <c r="AC13">
        <v>63</v>
      </c>
      <c r="AD13">
        <v>630000</v>
      </c>
      <c r="AE13">
        <v>630000</v>
      </c>
      <c r="AF13">
        <v>63</v>
      </c>
      <c r="AG13">
        <v>0</v>
      </c>
      <c r="AH13">
        <v>63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</row>
    <row r="14" spans="1:49" x14ac:dyDescent="0.35">
      <c r="A14" s="12" t="s">
        <v>12</v>
      </c>
      <c r="B14" s="13">
        <v>0</v>
      </c>
      <c r="C14" s="14">
        <v>457</v>
      </c>
      <c r="D14" s="13">
        <f t="shared" si="0"/>
        <v>457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21</v>
      </c>
      <c r="S14" s="27">
        <v>19</v>
      </c>
      <c r="T14" s="27">
        <v>54</v>
      </c>
      <c r="U14" s="27">
        <v>43</v>
      </c>
      <c r="V14" s="27">
        <v>0</v>
      </c>
      <c r="W14" s="27">
        <f t="shared" si="1"/>
        <v>137</v>
      </c>
      <c r="X14" s="4">
        <v>14500</v>
      </c>
      <c r="Y14" s="27">
        <f t="shared" si="2"/>
        <v>1986500</v>
      </c>
      <c r="AA14" t="s">
        <v>77</v>
      </c>
      <c r="AB14" t="s">
        <v>41</v>
      </c>
      <c r="AC14">
        <v>63</v>
      </c>
      <c r="AD14">
        <v>630000</v>
      </c>
      <c r="AE14">
        <v>630000</v>
      </c>
      <c r="AF14">
        <v>63</v>
      </c>
      <c r="AG14">
        <v>0</v>
      </c>
      <c r="AH14">
        <v>63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</row>
    <row r="15" spans="1:49" x14ac:dyDescent="0.35">
      <c r="A15" s="12" t="s">
        <v>13</v>
      </c>
      <c r="B15" s="13">
        <v>0</v>
      </c>
      <c r="C15" s="14">
        <v>0</v>
      </c>
      <c r="D15" s="13">
        <f t="shared" si="0"/>
        <v>0</v>
      </c>
      <c r="F15" s="20" t="s">
        <v>34</v>
      </c>
      <c r="G15" s="21">
        <v>44</v>
      </c>
      <c r="H15" s="21">
        <v>12</v>
      </c>
      <c r="I15" s="21">
        <v>40</v>
      </c>
      <c r="J15" s="21">
        <v>72</v>
      </c>
      <c r="K15" s="21">
        <v>0</v>
      </c>
      <c r="L15" s="22">
        <f t="shared" si="3"/>
        <v>168</v>
      </c>
      <c r="Q15" s="20" t="s">
        <v>35</v>
      </c>
      <c r="R15" s="27">
        <v>77</v>
      </c>
      <c r="S15" s="27">
        <v>195</v>
      </c>
      <c r="T15" s="27">
        <v>91</v>
      </c>
      <c r="U15" s="27">
        <v>45</v>
      </c>
      <c r="V15" s="27">
        <v>0</v>
      </c>
      <c r="W15" s="27">
        <f t="shared" si="1"/>
        <v>408</v>
      </c>
      <c r="X15" s="4">
        <v>17250</v>
      </c>
      <c r="Y15" s="27">
        <f t="shared" si="2"/>
        <v>7038000</v>
      </c>
      <c r="AA15" t="s">
        <v>78</v>
      </c>
      <c r="AB15" t="s">
        <v>42</v>
      </c>
      <c r="AC15">
        <v>63</v>
      </c>
      <c r="AD15">
        <v>630000</v>
      </c>
      <c r="AE15">
        <v>630000</v>
      </c>
      <c r="AF15">
        <v>63</v>
      </c>
      <c r="AG15">
        <v>0</v>
      </c>
      <c r="AH15">
        <v>63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</row>
    <row r="16" spans="1:49" x14ac:dyDescent="0.35">
      <c r="A16" s="12" t="s">
        <v>14</v>
      </c>
      <c r="B16" s="13">
        <v>105</v>
      </c>
      <c r="C16" s="14">
        <v>0</v>
      </c>
      <c r="D16" s="13">
        <f t="shared" si="0"/>
        <v>105</v>
      </c>
      <c r="F16" s="20" t="s">
        <v>35</v>
      </c>
      <c r="G16" s="21">
        <v>134</v>
      </c>
      <c r="H16" s="21">
        <v>75</v>
      </c>
      <c r="I16" s="21">
        <v>42</v>
      </c>
      <c r="J16" s="21">
        <v>119</v>
      </c>
      <c r="K16" s="21">
        <v>21</v>
      </c>
      <c r="L16" s="22">
        <f t="shared" si="3"/>
        <v>391</v>
      </c>
      <c r="Q16" s="20" t="s">
        <v>36</v>
      </c>
      <c r="R16" s="27">
        <v>24</v>
      </c>
      <c r="S16" s="27">
        <v>53</v>
      </c>
      <c r="T16" s="27">
        <v>5</v>
      </c>
      <c r="U16" s="27">
        <v>3</v>
      </c>
      <c r="V16" s="27">
        <v>0</v>
      </c>
      <c r="W16" s="27">
        <f t="shared" si="1"/>
        <v>85</v>
      </c>
      <c r="X16" s="4">
        <v>23000</v>
      </c>
      <c r="Y16" s="27">
        <f t="shared" si="2"/>
        <v>1955000</v>
      </c>
      <c r="AC16">
        <f>SUM(AC12:AC15)</f>
        <v>252</v>
      </c>
      <c r="AD16">
        <f t="shared" ref="AD16:AH16" si="5">SUM(AD12:AD15)</f>
        <v>2520000</v>
      </c>
      <c r="AE16">
        <f t="shared" si="5"/>
        <v>2520000</v>
      </c>
      <c r="AF16">
        <f t="shared" si="5"/>
        <v>252</v>
      </c>
      <c r="AG16">
        <f t="shared" si="5"/>
        <v>0</v>
      </c>
      <c r="AH16">
        <f t="shared" si="5"/>
        <v>252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</row>
    <row r="17" spans="1:49" x14ac:dyDescent="0.35">
      <c r="A17" s="12" t="s">
        <v>15</v>
      </c>
      <c r="B17" s="13">
        <v>403</v>
      </c>
      <c r="C17" s="14">
        <v>2</v>
      </c>
      <c r="D17" s="13">
        <f t="shared" si="0"/>
        <v>405</v>
      </c>
      <c r="F17" s="20" t="s">
        <v>36</v>
      </c>
      <c r="G17" s="21">
        <v>46</v>
      </c>
      <c r="H17" s="21">
        <v>74</v>
      </c>
      <c r="I17" s="21">
        <v>36</v>
      </c>
      <c r="J17" s="21">
        <v>78</v>
      </c>
      <c r="K17" s="21">
        <v>22</v>
      </c>
      <c r="L17" s="22">
        <f t="shared" si="3"/>
        <v>256</v>
      </c>
      <c r="Q17" s="20" t="s">
        <v>15</v>
      </c>
      <c r="R17" s="27">
        <v>3</v>
      </c>
      <c r="S17" s="27">
        <v>12</v>
      </c>
      <c r="T17" s="27">
        <v>0</v>
      </c>
      <c r="U17" s="27">
        <v>0</v>
      </c>
      <c r="V17" s="27">
        <v>0</v>
      </c>
      <c r="W17" s="27">
        <f t="shared" si="1"/>
        <v>15</v>
      </c>
      <c r="X17" s="4">
        <v>30000</v>
      </c>
      <c r="Y17" s="27">
        <f t="shared" si="2"/>
        <v>450000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</row>
    <row r="18" spans="1:49" x14ac:dyDescent="0.35">
      <c r="A18" s="12" t="s">
        <v>16</v>
      </c>
      <c r="B18" s="13">
        <v>0</v>
      </c>
      <c r="C18" s="14">
        <v>198</v>
      </c>
      <c r="D18" s="13">
        <f t="shared" si="0"/>
        <v>198</v>
      </c>
      <c r="F18" s="20" t="s">
        <v>15</v>
      </c>
      <c r="G18" s="21">
        <v>45</v>
      </c>
      <c r="H18" s="21">
        <v>40</v>
      </c>
      <c r="I18" s="21">
        <v>18</v>
      </c>
      <c r="J18" s="21">
        <v>20</v>
      </c>
      <c r="K18" s="21">
        <v>0</v>
      </c>
      <c r="L18" s="22">
        <f t="shared" si="3"/>
        <v>123</v>
      </c>
      <c r="Q18" s="20" t="s">
        <v>16</v>
      </c>
      <c r="R18" s="27">
        <v>42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42</v>
      </c>
      <c r="X18" s="4">
        <v>6900</v>
      </c>
      <c r="Y18" s="27">
        <f t="shared" si="2"/>
        <v>289800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</row>
    <row r="19" spans="1:49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9</v>
      </c>
      <c r="V19" s="27">
        <v>0</v>
      </c>
      <c r="W19" s="27">
        <f t="shared" si="1"/>
        <v>9</v>
      </c>
      <c r="X19" s="4">
        <v>7000</v>
      </c>
      <c r="Y19" s="27">
        <f t="shared" si="2"/>
        <v>63000</v>
      </c>
    </row>
    <row r="20" spans="1:49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1"/>
        <v>0</v>
      </c>
      <c r="X20" s="4">
        <v>12000</v>
      </c>
      <c r="Y20" s="27">
        <f t="shared" si="2"/>
        <v>0</v>
      </c>
    </row>
    <row r="21" spans="1:49" x14ac:dyDescent="0.35">
      <c r="A21" s="12" t="s">
        <v>19</v>
      </c>
      <c r="B21" s="13">
        <v>240</v>
      </c>
      <c r="C21" s="14">
        <v>1002</v>
      </c>
      <c r="D21" s="13">
        <f t="shared" si="0"/>
        <v>1242</v>
      </c>
      <c r="F21" s="20" t="s">
        <v>18</v>
      </c>
      <c r="G21" s="21">
        <v>11</v>
      </c>
      <c r="H21" s="21">
        <v>70</v>
      </c>
      <c r="I21" s="21">
        <v>27</v>
      </c>
      <c r="J21" s="21">
        <v>6</v>
      </c>
      <c r="K21" s="21">
        <v>0</v>
      </c>
      <c r="L21" s="22">
        <f t="shared" si="3"/>
        <v>114</v>
      </c>
      <c r="Q21" s="20" t="s">
        <v>19</v>
      </c>
      <c r="R21" s="27">
        <v>100</v>
      </c>
      <c r="S21" s="27">
        <v>65</v>
      </c>
      <c r="T21" s="27">
        <v>42</v>
      </c>
      <c r="U21" s="27">
        <v>27</v>
      </c>
      <c r="V21" s="27">
        <v>0</v>
      </c>
      <c r="W21" s="27">
        <f t="shared" si="1"/>
        <v>234</v>
      </c>
      <c r="X21" s="4">
        <v>9600</v>
      </c>
      <c r="Y21" s="27">
        <f t="shared" si="2"/>
        <v>2246400</v>
      </c>
    </row>
    <row r="22" spans="1:49" x14ac:dyDescent="0.35">
      <c r="A22" s="12" t="s">
        <v>20</v>
      </c>
      <c r="B22" s="13">
        <v>72</v>
      </c>
      <c r="C22" s="14">
        <v>0</v>
      </c>
      <c r="D22" s="13">
        <f t="shared" si="0"/>
        <v>72</v>
      </c>
      <c r="F22" s="20" t="s">
        <v>19</v>
      </c>
      <c r="G22" s="21">
        <v>107</v>
      </c>
      <c r="H22" s="21">
        <v>90</v>
      </c>
      <c r="I22" s="21">
        <v>82</v>
      </c>
      <c r="J22" s="21">
        <v>53</v>
      </c>
      <c r="K22" s="21">
        <v>12</v>
      </c>
      <c r="L22" s="22">
        <f t="shared" si="3"/>
        <v>344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</row>
    <row r="23" spans="1:49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</row>
    <row r="24" spans="1:49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</row>
    <row r="25" spans="1:49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54</v>
      </c>
      <c r="R25" s="19">
        <f>SUM(R4:R24)</f>
        <v>708</v>
      </c>
      <c r="S25" s="19">
        <f t="shared" ref="S25:Y25" si="6">SUM(S4:S24)</f>
        <v>1139</v>
      </c>
      <c r="T25" s="19">
        <f t="shared" si="6"/>
        <v>568</v>
      </c>
      <c r="U25" s="19">
        <f t="shared" si="6"/>
        <v>419</v>
      </c>
      <c r="V25" s="19">
        <f t="shared" si="6"/>
        <v>0</v>
      </c>
      <c r="W25" s="19">
        <f t="shared" si="6"/>
        <v>2834</v>
      </c>
      <c r="X25" s="19"/>
      <c r="Y25" s="19">
        <f t="shared" si="6"/>
        <v>31822900</v>
      </c>
    </row>
    <row r="26" spans="1:49" x14ac:dyDescent="0.35">
      <c r="F26" s="23" t="s">
        <v>27</v>
      </c>
      <c r="G26" s="24">
        <f t="shared" ref="G26:K26" si="7">SUM(G5:G25)</f>
        <v>1174</v>
      </c>
      <c r="H26" s="24">
        <f t="shared" si="7"/>
        <v>1023</v>
      </c>
      <c r="I26" s="24">
        <f t="shared" si="7"/>
        <v>879</v>
      </c>
      <c r="J26" s="24">
        <f t="shared" si="7"/>
        <v>1390</v>
      </c>
      <c r="K26" s="24">
        <f t="shared" si="7"/>
        <v>117</v>
      </c>
      <c r="L26" s="24">
        <f>SUM(L5:L25)</f>
        <v>4583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0" priority="1" operator="lessThan">
      <formula>1</formula>
    </cfRule>
  </conditionalFormatting>
  <conditionalFormatting sqref="AJ4:AJ7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</vt:lpstr>
      <vt:lpstr>penjualan-paket-tm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2026-05-25T07:51:30Z</dcterms:modified>
</cp:coreProperties>
</file>