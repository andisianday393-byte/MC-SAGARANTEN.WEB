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54" documentId="8_{9F82AD4D-DC67-1C4D-A5DD-D2653976B53D}" xr6:coauthVersionLast="47" xr6:coauthVersionMax="47" xr10:uidLastSave="{52040D7D-2062-5E48-AB67-46D7CEE52431}"/>
  <bookViews>
    <workbookView xWindow="-110" yWindow="-110" windowWidth="19420" windowHeight="10300" firstSheet="3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8" l="1"/>
  <c r="O11" i="8"/>
  <c r="O10" i="8"/>
  <c r="O9" i="8"/>
  <c r="O4" i="8"/>
  <c r="O5" i="8"/>
  <c r="O6" i="8"/>
  <c r="O3" i="8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F10" i="4"/>
  <c r="H10" i="4"/>
  <c r="F13" i="4"/>
  <c r="H13" i="4"/>
  <c r="F14" i="4"/>
  <c r="H14" i="4"/>
  <c r="F17" i="4"/>
  <c r="H17" i="4"/>
  <c r="F18" i="4"/>
  <c r="H18" i="4"/>
  <c r="F21" i="4"/>
  <c r="H21" i="4"/>
  <c r="F9" i="4"/>
  <c r="H9" i="4"/>
  <c r="C22" i="4"/>
  <c r="D22" i="4"/>
  <c r="E22" i="4"/>
  <c r="B22" i="4"/>
  <c r="F11" i="4"/>
  <c r="H11" i="4"/>
  <c r="F12" i="4"/>
  <c r="H12" i="4"/>
  <c r="F15" i="4"/>
  <c r="H15" i="4"/>
  <c r="F16" i="4"/>
  <c r="H16" i="4"/>
  <c r="F19" i="4"/>
  <c r="H19" i="4"/>
  <c r="F20" i="4"/>
  <c r="H20" i="4"/>
  <c r="F5" i="4"/>
  <c r="H5" i="4"/>
  <c r="F3" i="4"/>
  <c r="H3" i="4"/>
  <c r="F4" i="4"/>
  <c r="H4" i="4"/>
  <c r="F2" i="4"/>
  <c r="H2" i="4"/>
  <c r="C6" i="4"/>
  <c r="D6" i="4"/>
  <c r="E6" i="4"/>
  <c r="B6" i="4"/>
  <c r="B3" i="3"/>
  <c r="B2" i="3"/>
  <c r="C2" i="2"/>
  <c r="B2" i="2"/>
  <c r="D2" i="2"/>
  <c r="E2" i="2"/>
  <c r="G2" i="2"/>
  <c r="C3" i="2"/>
  <c r="C4" i="2"/>
  <c r="C5" i="2"/>
  <c r="C6" i="2"/>
  <c r="C7" i="2"/>
  <c r="C8" i="2"/>
  <c r="C9" i="2"/>
  <c r="C10" i="2"/>
  <c r="B10" i="2"/>
  <c r="D10" i="2"/>
  <c r="E10" i="2"/>
  <c r="G10" i="2"/>
  <c r="C11" i="2"/>
  <c r="C12" i="2"/>
  <c r="C13" i="2"/>
  <c r="C14" i="2"/>
  <c r="C15" i="2"/>
  <c r="C16" i="2"/>
  <c r="C17" i="2"/>
  <c r="C18" i="2"/>
  <c r="C19" i="2"/>
  <c r="C20" i="2"/>
  <c r="B9" i="2"/>
  <c r="D9" i="2"/>
  <c r="E9" i="2"/>
  <c r="G9" i="2"/>
  <c r="B17" i="2"/>
  <c r="D17" i="2"/>
  <c r="E17" i="2"/>
  <c r="G17" i="2"/>
  <c r="D3" i="2"/>
  <c r="D4" i="2"/>
  <c r="D5" i="2"/>
  <c r="D6" i="2"/>
  <c r="D7" i="2"/>
  <c r="D8" i="2"/>
  <c r="D11" i="2"/>
  <c r="D12" i="2"/>
  <c r="D13" i="2"/>
  <c r="D14" i="2"/>
  <c r="D15" i="2"/>
  <c r="D16" i="2"/>
  <c r="D18" i="2"/>
  <c r="D19" i="2"/>
  <c r="D20" i="2"/>
  <c r="D23" i="2"/>
  <c r="B6" i="2"/>
  <c r="E6" i="2"/>
  <c r="G6" i="2"/>
  <c r="B7" i="2"/>
  <c r="E7" i="2"/>
  <c r="G7" i="2"/>
  <c r="B8" i="2"/>
  <c r="E8" i="2"/>
  <c r="G8" i="2"/>
  <c r="B12" i="2"/>
  <c r="E12" i="2"/>
  <c r="G12" i="2"/>
  <c r="B14" i="2"/>
  <c r="E14" i="2"/>
  <c r="G14" i="2"/>
  <c r="E3" i="2"/>
  <c r="E4" i="2"/>
  <c r="E5" i="2"/>
  <c r="E11" i="2"/>
  <c r="E13" i="2"/>
  <c r="E15" i="2"/>
  <c r="E16" i="2"/>
  <c r="B16" i="2"/>
  <c r="G16" i="2"/>
  <c r="E18" i="2"/>
  <c r="E19" i="2"/>
  <c r="E20" i="2"/>
  <c r="B20" i="2"/>
  <c r="G20" i="2"/>
  <c r="E23" i="2"/>
  <c r="F23" i="2"/>
  <c r="B3" i="2"/>
  <c r="G3" i="2"/>
  <c r="B4" i="2"/>
  <c r="G4" i="2"/>
  <c r="B5" i="2"/>
  <c r="B11" i="2"/>
  <c r="G11" i="2"/>
  <c r="B13" i="2"/>
  <c r="G13" i="2"/>
  <c r="B15" i="2"/>
  <c r="B18" i="2"/>
  <c r="G18" i="2"/>
  <c r="B19" i="2"/>
  <c r="G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W10" i="8"/>
  <c r="Y10" i="8"/>
  <c r="W4" i="8"/>
  <c r="Y4" i="8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3" i="5"/>
  <c r="D5" i="5"/>
  <c r="D6" i="5"/>
  <c r="D7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4" i="3"/>
  <c r="B5" i="3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B18" i="1"/>
  <c r="C18" i="1"/>
  <c r="D18" i="1"/>
  <c r="B19" i="1"/>
  <c r="C19" i="1"/>
  <c r="D19" i="1"/>
  <c r="B20" i="1"/>
  <c r="C20" i="1"/>
  <c r="B21" i="1"/>
  <c r="C21" i="1"/>
  <c r="D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G3" i="5"/>
  <c r="G4" i="5"/>
  <c r="G5" i="5"/>
  <c r="G6" i="5"/>
  <c r="G7" i="5"/>
  <c r="H4" i="5"/>
  <c r="I4" i="5"/>
  <c r="J4" i="5"/>
  <c r="K4" i="5"/>
  <c r="H6" i="5"/>
  <c r="I6" i="5"/>
  <c r="J6" i="5"/>
  <c r="K6" i="5"/>
  <c r="I3" i="5"/>
  <c r="I5" i="5"/>
  <c r="I7" i="5"/>
  <c r="H3" i="5"/>
  <c r="H5" i="5"/>
  <c r="H7" i="5"/>
  <c r="J3" i="5"/>
  <c r="J5" i="5"/>
  <c r="J7" i="5"/>
  <c r="K5" i="5"/>
  <c r="E3" i="5"/>
  <c r="E4" i="5"/>
  <c r="E5" i="5"/>
  <c r="E6" i="5"/>
  <c r="E7" i="5"/>
  <c r="F3" i="5"/>
  <c r="F4" i="5"/>
  <c r="F5" i="5"/>
  <c r="F6" i="5"/>
  <c r="F7" i="5"/>
  <c r="C3" i="5"/>
  <c r="C4" i="5"/>
  <c r="C5" i="5"/>
  <c r="C6" i="5"/>
  <c r="C7" i="5"/>
  <c r="W22" i="8"/>
  <c r="Y22" i="8"/>
  <c r="W21" i="8"/>
  <c r="Y21" i="8"/>
  <c r="W20" i="8"/>
  <c r="Y20" i="8"/>
  <c r="W19" i="8"/>
  <c r="Y19" i="8"/>
  <c r="W18" i="8"/>
  <c r="Y18" i="8"/>
  <c r="W17" i="8"/>
  <c r="Y17" i="8"/>
  <c r="W16" i="8"/>
  <c r="Y16" i="8"/>
  <c r="W15" i="8"/>
  <c r="Y15" i="8"/>
  <c r="W14" i="8"/>
  <c r="Y14" i="8"/>
  <c r="W13" i="8"/>
  <c r="Y13" i="8"/>
  <c r="W12" i="8"/>
  <c r="Y12" i="8"/>
  <c r="W11" i="8"/>
  <c r="Y11" i="8"/>
  <c r="W9" i="8"/>
  <c r="Y9" i="8"/>
  <c r="W8" i="8"/>
  <c r="Y8" i="8"/>
  <c r="W7" i="8"/>
  <c r="Y7" i="8"/>
  <c r="W6" i="8"/>
  <c r="Y6" i="8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G15" i="2"/>
  <c r="D3" i="1"/>
  <c r="D10" i="1"/>
  <c r="D20" i="1"/>
  <c r="D17" i="1"/>
  <c r="W25" i="8"/>
  <c r="G5" i="2"/>
  <c r="K3" i="5"/>
  <c r="K7" i="5"/>
  <c r="F22" i="4"/>
  <c r="H22" i="4"/>
  <c r="F6" i="4"/>
  <c r="H6" i="4"/>
  <c r="Y25" i="8"/>
  <c r="B6" i="3"/>
  <c r="O7" i="8"/>
  <c r="G23" i="2"/>
  <c r="C23" i="2"/>
  <c r="B23" i="2"/>
</calcChain>
</file>

<file path=xl/sharedStrings.xml><?xml version="1.0" encoding="utf-8"?>
<sst xmlns="http://schemas.openxmlformats.org/spreadsheetml/2006/main" count="363" uniqueCount="127">
  <si>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</si>
  <si>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</si>
  <si>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</si>
  <si>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</si>
  <si>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</si>
  <si>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</si>
  <si>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</si>
  <si>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</si>
  <si>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</si>
  <si>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</si>
  <si>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</si>
  <si>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</si>
  <si>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</si>
  <si>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</si>
  <si>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</si>
  <si>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</si>
  <si>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</si>
  <si>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</si>
  <si>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</si>
  <si>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</si>
  <si>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</si>
  <si>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</si>
  <si>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</si>
  <si>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</si>
  <si>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</si>
  <si>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</si>
  <si>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</si>
  <si>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</si>
  <si>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</si>
  <si>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</si>
  <si>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</si>
  <si>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</si>
  <si>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</si>
  <si>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</si>
  <si>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</si>
  <si>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</si>
  <si>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</si>
  <si>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</si>
  <si>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</si>
  <si>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</si>
  <si>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</si>
  <si>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</si>
  <si>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</si>
  <si>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</si>
  <si>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</si>
  <si>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</si>
  <si>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</si>
  <si>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</si>
  <si>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</si>
  <si>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</si>
  <si>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</si>
  <si>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</si>
  <si>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</si>
  <si>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</si>
  <si>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</si>
  <si>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</si>
  <si>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</si>
  <si>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</si>
  <si>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</si>
  <si>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</si>
  <si>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</si>
  <si>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</si>
  <si>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</si>
  <si>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</si>
  <si>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</si>
  <si>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</si>
  <si>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</si>
  <si>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</si>
  <si>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</si>
  <si>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</si>
  <si>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</si>
  <si>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</si>
  <si>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</si>
  <si>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</si>
  <si>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</si>
  <si>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</si>
  <si>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</si>
  <si>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</si>
  <si>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</si>
  <si>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</si>
  <si>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</si>
  <si>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</si>
  <si>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</si>
  <si>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</si>
  <si>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</si>
  <si>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</si>
  <si>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</si>
  <si>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</si>
  <si>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</si>
  <si>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</si>
  <si>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</si>
  <si>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</si>
  <si>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</si>
  <si>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</si>
  <si>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</si>
  <si>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</si>
  <si>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</si>
  <si>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</si>
  <si>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</si>
  <si>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</si>
  <si>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</si>
  <si>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</si>
  <si>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</si>
  <si>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</si>
  <si>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</si>
  <si>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</si>
  <si>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</si>
  <si>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</si>
  <si>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</si>
  <si>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</si>
  <si>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</si>
  <si>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</si>
  <si>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</si>
  <si>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</si>
  <si>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</si>
  <si>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</si>
  <si>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</si>
  <si>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</si>
  <si>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</si>
  <si>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</si>
  <si>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On Hand Dse</t>
  </si>
  <si>
    <t>SP</t>
  </si>
  <si>
    <t>Total PCS</t>
  </si>
  <si>
    <t>Harga</t>
  </si>
  <si>
    <t>Total Rp</t>
  </si>
  <si>
    <t>TOTAL SP</t>
  </si>
  <si>
    <t>VOUCHER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</si>
</sst>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</cellStyleXfs>
  <cellXfs count="46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4">
    <cellStyle name="Comma 2" xfId="2" xr:uid="{27F0E25F-2FC2-4FA2-85C5-647DEB95F14E}"/>
    <cellStyle name="Koma" xfId="1" builtinId="3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2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2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2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2">
      <c r="A11" t="s">
        <v>10</v>
      </c>
      <c r="B11">
        <f>index!B12</f>
        <v>150</v>
      </c>
      <c r="C11">
        <f>index!C12</f>
        <v>981</v>
      </c>
      <c r="D11" s="1">
        <f t="shared" si="0"/>
        <v>1131</v>
      </c>
    </row>
    <row r="12" spans="1:4" x14ac:dyDescent="0.2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2">
      <c r="A13" t="s">
        <v>12</v>
      </c>
      <c r="B13">
        <f>index!B14</f>
        <v>0</v>
      </c>
      <c r="C13">
        <f>index!C14</f>
        <v>397</v>
      </c>
      <c r="D13" s="1">
        <f t="shared" si="0"/>
        <v>397</v>
      </c>
    </row>
    <row r="14" spans="1:4" x14ac:dyDescent="0.2">
      <c r="A14" t="s">
        <v>13</v>
      </c>
      <c r="B14">
        <f>index!B15</f>
        <v>39</v>
      </c>
      <c r="C14">
        <f>index!C15</f>
        <v>3</v>
      </c>
      <c r="D14" s="1">
        <f t="shared" si="0"/>
        <v>42</v>
      </c>
    </row>
    <row r="15" spans="1:4" x14ac:dyDescent="0.2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2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2">
      <c r="A17" t="s">
        <v>16</v>
      </c>
      <c r="B17">
        <f>index!B18</f>
        <v>0</v>
      </c>
      <c r="C17">
        <f>index!C18</f>
        <v>183</v>
      </c>
      <c r="D17" s="1">
        <f t="shared" si="0"/>
        <v>183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390</v>
      </c>
      <c r="C20">
        <f>index!C21</f>
        <v>1002</v>
      </c>
      <c r="D20" s="1">
        <f t="shared" si="0"/>
        <v>1392</v>
      </c>
    </row>
    <row r="21" spans="1:4" x14ac:dyDescent="0.2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37</v>
      </c>
      <c r="C2" t="str">
        <f>index!H5</f>
        <v xml:space="preserve"> -   </v>
      </c>
      <c r="D2">
        <f>index!I5</f>
        <v>5</v>
      </c>
      <c r="E2">
        <f>index!J5</f>
        <v>19</v>
      </c>
      <c r="G2">
        <f>SUM(B2:F2)</f>
        <v>61</v>
      </c>
    </row>
    <row r="3" spans="1:7" x14ac:dyDescent="0.2">
      <c r="A3" t="s">
        <v>29</v>
      </c>
      <c r="B3" t="str">
        <f>index!G6</f>
        <v xml:space="preserve"> -   </v>
      </c>
      <c r="C3" t="str">
        <f>index!H6</f>
        <v xml:space="preserve"> -   </v>
      </c>
      <c r="D3" t="str">
        <f>index!I6</f>
        <v xml:space="preserve"> -   </v>
      </c>
      <c r="E3" t="str">
        <f>index!J6</f>
        <v xml:space="preserve"> -   </v>
      </c>
      <c r="G3">
        <f t="shared" ref="G3:G22" si="0">SUM(B3:F3)</f>
        <v>0</v>
      </c>
    </row>
    <row r="4" spans="1:7" x14ac:dyDescent="0.2">
      <c r="A4" t="s">
        <v>30</v>
      </c>
      <c r="B4">
        <f>index!G7</f>
        <v>462</v>
      </c>
      <c r="C4">
        <f>index!H7</f>
        <v>203</v>
      </c>
      <c r="D4">
        <f>index!I7</f>
        <v>356</v>
      </c>
      <c r="E4">
        <f>index!J7</f>
        <v>257</v>
      </c>
      <c r="G4">
        <f t="shared" si="0"/>
        <v>1278</v>
      </c>
    </row>
    <row r="5" spans="1:7" x14ac:dyDescent="0.2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2">
      <c r="B6" t="str">
        <f>index!G9</f>
        <v xml:space="preserve"> -   </v>
      </c>
      <c r="C6" t="str">
        <f>index!H9</f>
        <v xml:space="preserve"> -   </v>
      </c>
      <c r="D6" t="str">
        <f>index!I9</f>
        <v xml:space="preserve"> -   </v>
      </c>
      <c r="E6" t="str">
        <f>index!J9</f>
        <v xml:space="preserve"> -   </v>
      </c>
      <c r="G6">
        <f t="shared" si="0"/>
        <v>0</v>
      </c>
    </row>
    <row r="7" spans="1:7" x14ac:dyDescent="0.2">
      <c r="B7" t="str">
        <f>index!G10</f>
        <v xml:space="preserve"> -   </v>
      </c>
      <c r="C7" t="str">
        <f>index!H10</f>
        <v xml:space="preserve"> -   </v>
      </c>
      <c r="D7" t="str">
        <f>index!I10</f>
        <v xml:space="preserve"> -   </v>
      </c>
      <c r="E7" t="str">
        <f>index!J10</f>
        <v xml:space="preserve"> -   </v>
      </c>
      <c r="G7">
        <f t="shared" si="0"/>
        <v>0</v>
      </c>
    </row>
    <row r="8" spans="1:7" x14ac:dyDescent="0.2">
      <c r="A8" t="s">
        <v>8</v>
      </c>
      <c r="B8">
        <f>index!G11</f>
        <v>220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882</v>
      </c>
    </row>
    <row r="9" spans="1:7" x14ac:dyDescent="0.2">
      <c r="A9" t="s">
        <v>31</v>
      </c>
      <c r="B9">
        <f>index!G12</f>
        <v>5</v>
      </c>
      <c r="C9" t="str">
        <f>index!H12</f>
        <v xml:space="preserve"> -   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107</v>
      </c>
      <c r="C10">
        <f>index!H13</f>
        <v>105</v>
      </c>
      <c r="D10">
        <f>index!I13</f>
        <v>90</v>
      </c>
      <c r="E10">
        <f>index!J13</f>
        <v>137</v>
      </c>
      <c r="G10">
        <f t="shared" si="0"/>
        <v>439</v>
      </c>
    </row>
    <row r="11" spans="1:7" x14ac:dyDescent="0.2">
      <c r="A11" t="s">
        <v>33</v>
      </c>
      <c r="B11" t="str">
        <f>index!G14</f>
        <v xml:space="preserve"> -   </v>
      </c>
      <c r="C11" t="str">
        <f>index!H14</f>
        <v xml:space="preserve"> -   </v>
      </c>
      <c r="D11" t="str">
        <f>index!I14</f>
        <v xml:space="preserve"> -   </v>
      </c>
      <c r="E11" t="str">
        <f>index!J14</f>
        <v xml:space="preserve"> -   </v>
      </c>
      <c r="G11">
        <f t="shared" si="0"/>
        <v>0</v>
      </c>
    </row>
    <row r="12" spans="1:7" x14ac:dyDescent="0.2">
      <c r="A12" t="s">
        <v>34</v>
      </c>
      <c r="B12">
        <f>index!G15</f>
        <v>44</v>
      </c>
      <c r="C12">
        <f>index!H15</f>
        <v>42</v>
      </c>
      <c r="D12">
        <f>index!I15</f>
        <v>42</v>
      </c>
      <c r="E12">
        <f>index!J15</f>
        <v>57</v>
      </c>
      <c r="G12">
        <f t="shared" si="0"/>
        <v>185</v>
      </c>
    </row>
    <row r="13" spans="1:7" x14ac:dyDescent="0.2">
      <c r="A13" t="s">
        <v>35</v>
      </c>
      <c r="B13">
        <f>index!G16</f>
        <v>114</v>
      </c>
      <c r="C13">
        <f>index!H16</f>
        <v>110</v>
      </c>
      <c r="D13">
        <f>index!I16</f>
        <v>58</v>
      </c>
      <c r="E13">
        <f>index!J16</f>
        <v>116</v>
      </c>
      <c r="G13">
        <f t="shared" si="0"/>
        <v>398</v>
      </c>
    </row>
    <row r="14" spans="1:7" x14ac:dyDescent="0.2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2">
      <c r="A15" t="s">
        <v>15</v>
      </c>
      <c r="B15">
        <f>index!G18</f>
        <v>45</v>
      </c>
      <c r="C15">
        <f>index!H18</f>
        <v>35</v>
      </c>
      <c r="D15">
        <f>index!I18</f>
        <v>18</v>
      </c>
      <c r="E15">
        <f>index!J18</f>
        <v>20</v>
      </c>
      <c r="G15">
        <f t="shared" si="0"/>
        <v>118</v>
      </c>
    </row>
    <row r="16" spans="1:7" x14ac:dyDescent="0.2">
      <c r="A16" t="s">
        <v>16</v>
      </c>
      <c r="B16" t="str">
        <f>index!G19</f>
        <v xml:space="preserve"> -   </v>
      </c>
      <c r="C16">
        <f>index!H19</f>
        <v>15</v>
      </c>
      <c r="D16" t="str">
        <f>index!I19</f>
        <v xml:space="preserve"> -   </v>
      </c>
      <c r="E16" t="str">
        <f>index!J19</f>
        <v xml:space="preserve"> -   </v>
      </c>
      <c r="G16">
        <f t="shared" si="0"/>
        <v>15</v>
      </c>
    </row>
    <row r="17" spans="1:7" x14ac:dyDescent="0.2">
      <c r="A17" t="s">
        <v>17</v>
      </c>
      <c r="B17">
        <f>index!G20</f>
        <v>1</v>
      </c>
      <c r="C17" t="str">
        <f>index!H20</f>
        <v xml:space="preserve"> -   </v>
      </c>
      <c r="D17" t="str">
        <f>index!I20</f>
        <v xml:space="preserve"> -   </v>
      </c>
      <c r="E17" t="str">
        <f>index!J20</f>
        <v xml:space="preserve"> -   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2">
      <c r="A19" t="s">
        <v>19</v>
      </c>
      <c r="B19">
        <f>index!G22</f>
        <v>121</v>
      </c>
      <c r="C19">
        <f>index!H22</f>
        <v>55</v>
      </c>
      <c r="D19">
        <f>index!I22</f>
        <v>64</v>
      </c>
      <c r="E19">
        <f>index!J22</f>
        <v>61</v>
      </c>
      <c r="G19">
        <f t="shared" si="0"/>
        <v>301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f>SUM(B2:B22)</f>
        <v>1258</v>
      </c>
      <c r="C23">
        <f t="shared" ref="C23:G23" si="1">SUM(C2:C22)</f>
        <v>1018</v>
      </c>
      <c r="D23">
        <f t="shared" si="1"/>
        <v>765</v>
      </c>
      <c r="E23">
        <f t="shared" si="1"/>
        <v>1130</v>
      </c>
      <c r="F23">
        <f t="shared" si="1"/>
        <v>0</v>
      </c>
      <c r="G23">
        <f t="shared" si="1"/>
        <v>4171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117</v>
      </c>
      <c r="B2">
        <f>index!O3</f>
        <v>5000000</v>
      </c>
    </row>
    <row r="3" spans="1:2" x14ac:dyDescent="0.2">
      <c r="A3" t="s">
        <v>40</v>
      </c>
      <c r="B3">
        <f>index!O4</f>
        <v>6781700</v>
      </c>
    </row>
    <row r="4" spans="1:2" x14ac:dyDescent="0.2">
      <c r="A4" t="s">
        <v>41</v>
      </c>
      <c r="B4">
        <f>index!O5</f>
        <v>7968000</v>
      </c>
    </row>
    <row r="5" spans="1:2" x14ac:dyDescent="0.2">
      <c r="A5" t="s">
        <v>42</v>
      </c>
      <c r="B5">
        <f>index!O6</f>
        <v>8350000</v>
      </c>
    </row>
    <row r="6" spans="1:2" x14ac:dyDescent="0.2">
      <c r="A6" t="s">
        <v>43</v>
      </c>
      <c r="B6">
        <f>SUM(B2:B5)</f>
        <v>28099700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5" x14ac:dyDescent="0.2"/>
  <cols>
    <col min="1" max="1" width="19.37109375" bestFit="1" customWidth="1"/>
    <col min="2" max="4" width="9.81640625" bestFit="1" customWidth="1"/>
    <col min="5" max="5" width="9.28125" bestFit="1" customWidth="1"/>
    <col min="6" max="6" width="13.1796875" bestFit="1" customWidth="1"/>
    <col min="7" max="7" width="6.72265625" bestFit="1" customWidth="1"/>
    <col min="8" max="8" width="9.4140625" bestFit="1" customWidth="1"/>
  </cols>
  <sheetData>
    <row r="1" spans="1:8" x14ac:dyDescent="0.2">
      <c r="A1" t="s">
        <v>121</v>
      </c>
      <c r="B1" t="s">
        <v>47</v>
      </c>
      <c r="C1" t="s">
        <v>39</v>
      </c>
      <c r="D1" t="s">
        <v>48</v>
      </c>
      <c r="E1" t="s">
        <v>49</v>
      </c>
      <c r="F1" t="s">
        <v>122</v>
      </c>
      <c r="G1" t="s">
        <v>123</v>
      </c>
      <c r="H1" t="s">
        <v>124</v>
      </c>
    </row>
    <row r="2" spans="1:8" x14ac:dyDescent="0.2">
      <c r="A2" t="s">
        <v>4</v>
      </c>
      <c r="B2">
        <f>index!R4</f>
        <v>0</v>
      </c>
      <c r="C2">
        <f>index!S4</f>
        <v>0</v>
      </c>
      <c r="D2">
        <f>index!T4</f>
        <v>0</v>
      </c>
      <c r="E2">
        <f>index!U4</f>
        <v>0</v>
      </c>
      <c r="F2">
        <f>SUM(B2:E2)</f>
        <v>0</v>
      </c>
      <c r="G2">
        <v>11000</v>
      </c>
      <c r="H2">
        <f>F2*G2</f>
        <v>0</v>
      </c>
    </row>
    <row r="3" spans="1:8" x14ac:dyDescent="0.2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2">
      <c r="A4" t="s">
        <v>30</v>
      </c>
      <c r="B4">
        <f>index!R6</f>
        <v>20</v>
      </c>
      <c r="C4">
        <f>index!S6</f>
        <v>10</v>
      </c>
      <c r="D4">
        <f>index!T6</f>
        <v>20</v>
      </c>
      <c r="E4">
        <f>index!U6</f>
        <v>10</v>
      </c>
      <c r="F4">
        <f t="shared" si="0"/>
        <v>60</v>
      </c>
      <c r="G4">
        <v>25000</v>
      </c>
      <c r="H4">
        <f t="shared" si="1"/>
        <v>1500000</v>
      </c>
    </row>
    <row r="5" spans="1:8" x14ac:dyDescent="0.2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2">
      <c r="A6" t="s">
        <v>125</v>
      </c>
      <c r="B6">
        <f>SUM(B2:B5)</f>
        <v>20</v>
      </c>
      <c r="C6">
        <f t="shared" ref="C6:H6" si="2">SUM(C2:C5)</f>
        <v>10</v>
      </c>
      <c r="D6">
        <f t="shared" si="2"/>
        <v>20</v>
      </c>
      <c r="E6">
        <f t="shared" si="2"/>
        <v>10</v>
      </c>
      <c r="F6">
        <f t="shared" si="2"/>
        <v>60</v>
      </c>
      <c r="H6">
        <f t="shared" si="2"/>
        <v>1500000</v>
      </c>
    </row>
    <row r="7" spans="1:8" s="45" customFormat="1" x14ac:dyDescent="0.2"/>
    <row r="8" spans="1:8" x14ac:dyDescent="0.2">
      <c r="A8" t="s">
        <v>126</v>
      </c>
      <c r="B8" t="s">
        <v>47</v>
      </c>
      <c r="C8" t="s">
        <v>39</v>
      </c>
      <c r="D8" t="s">
        <v>48</v>
      </c>
      <c r="E8" t="s">
        <v>49</v>
      </c>
      <c r="F8" t="s">
        <v>122</v>
      </c>
      <c r="G8" t="s">
        <v>123</v>
      </c>
      <c r="H8" t="s">
        <v>124</v>
      </c>
    </row>
    <row r="9" spans="1:8" x14ac:dyDescent="0.2">
      <c r="A9" t="s">
        <v>8</v>
      </c>
      <c r="B9">
        <f>index!R10</f>
        <v>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0</v>
      </c>
      <c r="G9">
        <v>600</v>
      </c>
      <c r="H9">
        <f>F9*G9</f>
        <v>0</v>
      </c>
    </row>
    <row r="10" spans="1:8" x14ac:dyDescent="0.2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2" si="3">SUM(B10:E10)</f>
        <v>0</v>
      </c>
      <c r="G10">
        <v>22500</v>
      </c>
      <c r="H10">
        <f t="shared" ref="H10:H21" si="4">F10*G10</f>
        <v>0</v>
      </c>
    </row>
    <row r="11" spans="1:8" x14ac:dyDescent="0.2">
      <c r="A11" t="s">
        <v>32</v>
      </c>
      <c r="B11">
        <f>index!R12</f>
        <v>0</v>
      </c>
      <c r="C11">
        <f>index!S12</f>
        <v>10</v>
      </c>
      <c r="D11">
        <f>index!T12</f>
        <v>0</v>
      </c>
      <c r="E11">
        <f>index!U12</f>
        <v>10</v>
      </c>
      <c r="F11">
        <f t="shared" si="3"/>
        <v>20</v>
      </c>
      <c r="G11">
        <v>13200</v>
      </c>
      <c r="H11">
        <f t="shared" si="4"/>
        <v>264000</v>
      </c>
    </row>
    <row r="12" spans="1:8" x14ac:dyDescent="0.2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2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0</v>
      </c>
      <c r="F13">
        <f t="shared" si="3"/>
        <v>6</v>
      </c>
      <c r="G13">
        <v>14500</v>
      </c>
      <c r="H13">
        <f t="shared" si="4"/>
        <v>87000</v>
      </c>
    </row>
    <row r="14" spans="1:8" x14ac:dyDescent="0.2">
      <c r="A14" t="s">
        <v>35</v>
      </c>
      <c r="B14">
        <f>index!R15</f>
        <v>0</v>
      </c>
      <c r="C14">
        <f>index!S15</f>
        <v>0</v>
      </c>
      <c r="D14">
        <f>index!T15</f>
        <v>6</v>
      </c>
      <c r="E14">
        <f>index!U15</f>
        <v>0</v>
      </c>
      <c r="F14">
        <f t="shared" si="3"/>
        <v>6</v>
      </c>
      <c r="G14">
        <v>17250</v>
      </c>
      <c r="H14">
        <f t="shared" si="4"/>
        <v>103500</v>
      </c>
    </row>
    <row r="15" spans="1:8" x14ac:dyDescent="0.2">
      <c r="A15" t="s">
        <v>36</v>
      </c>
      <c r="B15">
        <f>index!R16</f>
        <v>0</v>
      </c>
      <c r="C15">
        <f>index!S16</f>
        <v>0</v>
      </c>
      <c r="D15">
        <f>index!T16</f>
        <v>0</v>
      </c>
      <c r="E15">
        <f>index!U16</f>
        <v>0</v>
      </c>
      <c r="F15">
        <f t="shared" si="3"/>
        <v>0</v>
      </c>
      <c r="G15">
        <v>23000</v>
      </c>
      <c r="H15">
        <f t="shared" si="4"/>
        <v>0</v>
      </c>
    </row>
    <row r="16" spans="1:8" x14ac:dyDescent="0.2">
      <c r="A16" t="s">
        <v>15</v>
      </c>
      <c r="B16">
        <f>index!R17</f>
        <v>0</v>
      </c>
      <c r="C16">
        <f>index!S17</f>
        <v>0</v>
      </c>
      <c r="D16">
        <f>index!T17</f>
        <v>0</v>
      </c>
      <c r="E16">
        <f>index!U17</f>
        <v>0</v>
      </c>
      <c r="F16">
        <f t="shared" si="3"/>
        <v>0</v>
      </c>
      <c r="G16">
        <v>30000</v>
      </c>
      <c r="H16">
        <f t="shared" si="4"/>
        <v>0</v>
      </c>
    </row>
    <row r="17" spans="1:8" x14ac:dyDescent="0.2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2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2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0</v>
      </c>
      <c r="F19">
        <f t="shared" si="3"/>
        <v>0</v>
      </c>
      <c r="G19">
        <v>12000</v>
      </c>
      <c r="H19">
        <f t="shared" si="4"/>
        <v>0</v>
      </c>
    </row>
    <row r="20" spans="1:8" x14ac:dyDescent="0.2">
      <c r="A20" t="s">
        <v>19</v>
      </c>
      <c r="B20">
        <f>index!R21</f>
        <v>10</v>
      </c>
      <c r="C20">
        <f>index!S21</f>
        <v>20</v>
      </c>
      <c r="D20">
        <f>index!T21</f>
        <v>0</v>
      </c>
      <c r="E20">
        <f>index!U21</f>
        <v>0</v>
      </c>
      <c r="F20">
        <f t="shared" si="3"/>
        <v>30</v>
      </c>
      <c r="G20">
        <v>9600</v>
      </c>
      <c r="H20">
        <f t="shared" si="4"/>
        <v>288000</v>
      </c>
    </row>
    <row r="21" spans="1:8" x14ac:dyDescent="0.2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2">
      <c r="A22" t="s">
        <v>50</v>
      </c>
      <c r="B22">
        <f>SUM(B9:B21)</f>
        <v>10</v>
      </c>
      <c r="C22">
        <f t="shared" ref="C22:H22" si="5">SUM(C9:C21)</f>
        <v>30</v>
      </c>
      <c r="D22">
        <f t="shared" si="5"/>
        <v>12</v>
      </c>
      <c r="E22">
        <f t="shared" si="5"/>
        <v>10</v>
      </c>
      <c r="F22">
        <f t="shared" si="5"/>
        <v>62</v>
      </c>
      <c r="H22">
        <f t="shared" si="5"/>
        <v>742500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5" x14ac:dyDescent="0.2"/>
  <cols>
    <col min="1" max="1" width="18.5625" bestFit="1" customWidth="1"/>
    <col min="2" max="2" width="15.06640625" bestFit="1" customWidth="1"/>
    <col min="3" max="3" width="6.58984375" bestFit="1" customWidth="1"/>
    <col min="4" max="4" width="12.64453125" bestFit="1" customWidth="1"/>
    <col min="5" max="5" width="11.8359375" bestFit="1" customWidth="1"/>
    <col min="6" max="6" width="4.83984375" bestFit="1" customWidth="1"/>
    <col min="7" max="7" width="27.84375" bestFit="1" customWidth="1"/>
    <col min="8" max="10" width="5.109375" bestFit="1" customWidth="1"/>
    <col min="11" max="11" width="5.78125" bestFit="1" customWidth="1"/>
  </cols>
  <sheetData>
    <row r="1" spans="1:11" x14ac:dyDescent="0.2">
      <c r="A1" t="s">
        <v>51</v>
      </c>
      <c r="B1" t="s">
        <v>52</v>
      </c>
      <c r="D1" t="s">
        <v>53</v>
      </c>
      <c r="G1" t="s">
        <v>54</v>
      </c>
    </row>
    <row r="2" spans="1:11" x14ac:dyDescent="0.2">
      <c r="C2" t="s">
        <v>55</v>
      </c>
      <c r="D2" t="s">
        <v>56</v>
      </c>
      <c r="E2" t="s">
        <v>57</v>
      </c>
      <c r="F2" t="s">
        <v>58</v>
      </c>
      <c r="G2" t="s">
        <v>59</v>
      </c>
      <c r="H2" t="s">
        <v>60</v>
      </c>
      <c r="I2" t="s">
        <v>61</v>
      </c>
      <c r="J2" t="s">
        <v>62</v>
      </c>
      <c r="K2" t="s">
        <v>27</v>
      </c>
    </row>
    <row r="3" spans="1:11" x14ac:dyDescent="0.2">
      <c r="A3" t="s">
        <v>63</v>
      </c>
      <c r="B3" t="s">
        <v>64</v>
      </c>
      <c r="C3">
        <f>index!AC4</f>
        <v>385</v>
      </c>
      <c r="D3" s="28">
        <f>index!AD4</f>
        <v>8750000</v>
      </c>
      <c r="E3" s="28">
        <f>index!AE4</f>
        <v>8750000</v>
      </c>
      <c r="F3" s="28" t="str">
        <f>index!AF4</f>
        <v xml:space="preserve"> -   </v>
      </c>
      <c r="G3">
        <f>index!AG4</f>
        <v>35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35</v>
      </c>
    </row>
    <row r="4" spans="1:11" x14ac:dyDescent="0.2">
      <c r="A4" t="s">
        <v>65</v>
      </c>
      <c r="B4" t="s">
        <v>64</v>
      </c>
      <c r="C4">
        <f>index!AC5</f>
        <v>372</v>
      </c>
      <c r="D4" s="28">
        <f>index!AD5</f>
        <v>8335000</v>
      </c>
      <c r="E4" s="28">
        <f>index!AE5</f>
        <v>8335000</v>
      </c>
      <c r="F4" s="28" t="str">
        <f>index!AF5</f>
        <v xml:space="preserve"> -   </v>
      </c>
      <c r="G4">
        <f>index!AG5</f>
        <v>30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32</v>
      </c>
    </row>
    <row r="5" spans="1:11" x14ac:dyDescent="0.2">
      <c r="A5" t="s">
        <v>41</v>
      </c>
      <c r="B5" t="s">
        <v>64</v>
      </c>
      <c r="C5">
        <f>index!AC6</f>
        <v>457</v>
      </c>
      <c r="D5" s="28">
        <f>index!AD6</f>
        <v>10170000</v>
      </c>
      <c r="E5" s="28">
        <f>index!AE6</f>
        <v>10170000</v>
      </c>
      <c r="F5" s="28" t="str">
        <f>index!AF6</f>
        <v xml:space="preserve"> -   </v>
      </c>
      <c r="G5">
        <f>index!AG6</f>
        <v>39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41</v>
      </c>
    </row>
    <row r="6" spans="1:11" x14ac:dyDescent="0.2">
      <c r="A6" t="s">
        <v>42</v>
      </c>
      <c r="B6" t="s">
        <v>64</v>
      </c>
      <c r="C6">
        <f>index!AC7</f>
        <v>535</v>
      </c>
      <c r="D6" s="28">
        <f>index!AD7</f>
        <v>12125000</v>
      </c>
      <c r="E6" s="28">
        <f>index!AE7</f>
        <v>12125000</v>
      </c>
      <c r="F6" s="28" t="str">
        <f>index!AF7</f>
        <v xml:space="preserve"> -   </v>
      </c>
      <c r="G6">
        <f>index!AG7</f>
        <v>41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44</v>
      </c>
    </row>
    <row r="7" spans="1:11" x14ac:dyDescent="0.2">
      <c r="C7" s="28">
        <f>SUM(C3:C6)</f>
        <v>1749</v>
      </c>
      <c r="D7" s="28">
        <f>SUM(D3:D6)</f>
        <v>39380000</v>
      </c>
      <c r="E7" s="28">
        <f t="shared" ref="E7:F7" si="1">SUM(E3:E6)</f>
        <v>39380000</v>
      </c>
      <c r="F7" s="1">
        <f t="shared" si="1"/>
        <v>0</v>
      </c>
      <c r="G7" s="1">
        <f t="shared" ref="G7" si="2">SUM(G3:G6)</f>
        <v>145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2">
      <c r="A2" t="s">
        <v>71</v>
      </c>
      <c r="B2" t="s">
        <v>63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2">
      <c r="A3" t="s">
        <v>72</v>
      </c>
      <c r="B3" t="s">
        <v>65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2">
      <c r="A4" t="s">
        <v>73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2">
      <c r="A5" t="s">
        <v>74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2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G1" workbookViewId="0">
      <selection activeCell="I6" sqref="I6"/>
    </sheetView>
  </sheetViews>
  <sheetFormatPr defaultRowHeight="15" x14ac:dyDescent="0.2"/>
  <cols>
    <col min="2" max="2" width="11.703125" style="11" bestFit="1" customWidth="1"/>
    <col min="4" max="4" width="13.85546875" bestFit="1" customWidth="1"/>
    <col min="6" max="6" width="12.9140625" bestFit="1" customWidth="1"/>
    <col min="7" max="7" width="15.87109375" bestFit="1" customWidth="1"/>
    <col min="8" max="8" width="15.87109375" customWidth="1"/>
    <col min="9" max="9" width="12.23828125" bestFit="1" customWidth="1"/>
    <col min="10" max="10" width="13.98828125" bestFit="1" customWidth="1"/>
    <col min="11" max="11" width="11.703125" bestFit="1" customWidth="1"/>
  </cols>
  <sheetData>
    <row r="1" spans="1:13" x14ac:dyDescent="0.2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2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310000</v>
      </c>
      <c r="I2" s="5">
        <f>index!AU3</f>
        <v>0</v>
      </c>
      <c r="J2" s="4" t="str">
        <f>index!AV3</f>
        <v>On Hand Dse</v>
      </c>
      <c r="K2" s="5"/>
    </row>
    <row r="3" spans="1:13" x14ac:dyDescent="0.2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310000</v>
      </c>
      <c r="I3" s="5">
        <f>index!AU4</f>
        <v>46176</v>
      </c>
      <c r="J3" s="4" t="str">
        <f>index!AV4</f>
        <v>On Hand Dse</v>
      </c>
      <c r="K3" s="5"/>
    </row>
    <row r="4" spans="1:13" x14ac:dyDescent="0.2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310000</v>
      </c>
      <c r="I4" s="5">
        <f>index!AU5</f>
        <v>0</v>
      </c>
      <c r="J4" s="4" t="str">
        <f>index!AV5</f>
        <v>On Hand Dse</v>
      </c>
      <c r="K4" s="5"/>
      <c r="M4" t="s">
        <v>93</v>
      </c>
    </row>
    <row r="5" spans="1:13" x14ac:dyDescent="0.2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310000</v>
      </c>
      <c r="I5" s="5">
        <f>index!AU6</f>
        <v>0</v>
      </c>
      <c r="J5" s="4" t="str">
        <f>index!AV6</f>
        <v>On Hand Dse</v>
      </c>
      <c r="K5" s="5"/>
    </row>
    <row r="6" spans="1:13" x14ac:dyDescent="0.2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310000</v>
      </c>
      <c r="I6" s="5">
        <f>index!AU7</f>
        <v>0</v>
      </c>
      <c r="J6" s="4" t="str">
        <f>index!AV7</f>
        <v>On Hand Dse</v>
      </c>
      <c r="K6" s="5"/>
    </row>
    <row r="7" spans="1:13" x14ac:dyDescent="0.2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310000</v>
      </c>
      <c r="I7" s="5">
        <f>index!AU8</f>
        <v>46176</v>
      </c>
      <c r="J7" s="4" t="str">
        <f>index!AV8</f>
        <v>On Hand Dse</v>
      </c>
      <c r="K7" s="5"/>
    </row>
    <row r="8" spans="1:13" x14ac:dyDescent="0.2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310000</v>
      </c>
      <c r="I8" s="5">
        <f>index!AU9</f>
        <v>0</v>
      </c>
      <c r="J8" s="4" t="str">
        <f>index!AV9</f>
        <v>On Hand Dse</v>
      </c>
      <c r="K8" s="5"/>
    </row>
    <row r="9" spans="1:13" x14ac:dyDescent="0.2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310000</v>
      </c>
      <c r="I9" s="5">
        <f>index!AU10</f>
        <v>0</v>
      </c>
      <c r="J9" s="4" t="str">
        <f>index!AV10</f>
        <v>On Hand Dse</v>
      </c>
      <c r="K9" s="5"/>
    </row>
    <row r="10" spans="1:13" x14ac:dyDescent="0.2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2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2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2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2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2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2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2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2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tabSelected="1" workbookViewId="0">
      <selection activeCell="O12" sqref="O12"/>
    </sheetView>
  </sheetViews>
  <sheetFormatPr defaultRowHeight="15" x14ac:dyDescent="0.2"/>
  <cols>
    <col min="15" max="15" width="9.81640625" bestFit="1" customWidth="1"/>
    <col min="25" max="25" width="9.4140625" bestFit="1" customWidth="1"/>
    <col min="30" max="31" width="9.4140625" bestFit="1" customWidth="1"/>
    <col min="40" max="40" width="11.703125" bestFit="1" customWidth="1"/>
    <col min="46" max="46" width="9.68359375" bestFit="1" customWidth="1"/>
    <col min="47" max="47" width="12.23828125" bestFit="1" customWidth="1"/>
  </cols>
  <sheetData>
    <row r="1" spans="1:49" x14ac:dyDescent="0.2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</row>
    <row r="2" spans="1:49" ht="18.75" x14ac:dyDescent="0.25">
      <c r="A2" s="38" t="s">
        <v>0</v>
      </c>
      <c r="B2" s="38" t="s">
        <v>1</v>
      </c>
      <c r="C2" s="38" t="s">
        <v>2</v>
      </c>
      <c r="D2" s="38" t="s">
        <v>3</v>
      </c>
      <c r="F2" s="40" t="s">
        <v>110</v>
      </c>
      <c r="G2" s="41"/>
      <c r="H2" s="41"/>
      <c r="I2" s="41"/>
      <c r="J2" s="41"/>
      <c r="K2" s="41"/>
      <c r="L2" s="42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3" t="s">
        <v>44</v>
      </c>
      <c r="X2" s="34" t="s">
        <v>45</v>
      </c>
      <c r="Y2" s="36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</row>
    <row r="3" spans="1:49" x14ac:dyDescent="0.2">
      <c r="A3" s="39"/>
      <c r="B3" s="39"/>
      <c r="C3" s="39"/>
      <c r="D3" s="39"/>
      <c r="F3" s="15"/>
      <c r="G3" s="16"/>
      <c r="H3" s="17"/>
      <c r="I3" s="17"/>
      <c r="J3" s="17"/>
      <c r="K3" s="17"/>
      <c r="L3" s="18"/>
      <c r="N3" s="31" t="s">
        <v>39</v>
      </c>
      <c r="O3" s="33">
        <f>O9</f>
        <v>5000000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44"/>
      <c r="X3" s="35"/>
      <c r="Y3" s="37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310000</v>
      </c>
      <c r="AU3" s="5"/>
      <c r="AV3" s="4" t="s">
        <v>120</v>
      </c>
      <c r="AW3" s="5"/>
    </row>
    <row r="4" spans="1:49" x14ac:dyDescent="0.2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 t="shared" ref="O4:O6" si="0">O10</f>
        <v>6781700</v>
      </c>
      <c r="Q4" s="20" t="s">
        <v>4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f>SUM(R4:V4)</f>
        <v>0</v>
      </c>
      <c r="X4" s="4">
        <v>11000</v>
      </c>
      <c r="Y4" s="27">
        <f>W4*X4</f>
        <v>0</v>
      </c>
      <c r="AA4" t="s">
        <v>63</v>
      </c>
      <c r="AB4" t="s">
        <v>64</v>
      </c>
      <c r="AC4">
        <v>385</v>
      </c>
      <c r="AD4" s="28">
        <v>8750000</v>
      </c>
      <c r="AE4" s="28">
        <v>8750000</v>
      </c>
      <c r="AF4" t="s">
        <v>28</v>
      </c>
      <c r="AG4">
        <v>35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310000</v>
      </c>
      <c r="AU4" s="5">
        <v>46176</v>
      </c>
      <c r="AV4" s="4" t="s">
        <v>120</v>
      </c>
      <c r="AW4" s="5"/>
    </row>
    <row r="5" spans="1:49" x14ac:dyDescent="0.2">
      <c r="A5" s="12" t="s">
        <v>5</v>
      </c>
      <c r="B5" s="13">
        <v>0</v>
      </c>
      <c r="C5" s="14">
        <v>0</v>
      </c>
      <c r="D5" s="13">
        <f t="shared" ref="D5:D22" si="1">C5+B5</f>
        <v>0</v>
      </c>
      <c r="F5" s="20" t="s">
        <v>4</v>
      </c>
      <c r="G5" s="21">
        <v>37</v>
      </c>
      <c r="H5" s="21" t="s">
        <v>28</v>
      </c>
      <c r="I5" s="21">
        <v>5</v>
      </c>
      <c r="J5" s="21">
        <v>19</v>
      </c>
      <c r="K5" s="21">
        <v>22</v>
      </c>
      <c r="L5" s="22">
        <f>SUM(G5:K5)</f>
        <v>83</v>
      </c>
      <c r="N5" s="31" t="s">
        <v>41</v>
      </c>
      <c r="O5" s="33">
        <f t="shared" si="0"/>
        <v>7968000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A5" t="s">
        <v>65</v>
      </c>
      <c r="AB5" t="s">
        <v>64</v>
      </c>
      <c r="AC5">
        <v>372</v>
      </c>
      <c r="AD5" s="28">
        <v>8335000</v>
      </c>
      <c r="AE5" s="28">
        <v>8335000</v>
      </c>
      <c r="AF5" t="s">
        <v>28</v>
      </c>
      <c r="AG5">
        <v>30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310000</v>
      </c>
      <c r="AU5" s="5"/>
      <c r="AV5" s="4" t="s">
        <v>120</v>
      </c>
      <c r="AW5" s="5"/>
    </row>
    <row r="6" spans="1:49" x14ac:dyDescent="0.2">
      <c r="A6" s="12" t="s">
        <v>6</v>
      </c>
      <c r="B6" s="13">
        <v>1525</v>
      </c>
      <c r="C6" s="14">
        <v>1445</v>
      </c>
      <c r="D6" s="13">
        <f t="shared" si="1"/>
        <v>2970</v>
      </c>
      <c r="F6" s="20" t="s">
        <v>29</v>
      </c>
      <c r="G6" s="21" t="s">
        <v>28</v>
      </c>
      <c r="H6" s="21" t="s">
        <v>28</v>
      </c>
      <c r="I6" s="21" t="s">
        <v>28</v>
      </c>
      <c r="J6" s="21" t="s">
        <v>28</v>
      </c>
      <c r="K6" s="21">
        <v>0</v>
      </c>
      <c r="L6" s="22">
        <f t="shared" ref="L6:L25" si="4">SUM(G6:K6)</f>
        <v>0</v>
      </c>
      <c r="N6" s="4" t="s">
        <v>42</v>
      </c>
      <c r="O6" s="33">
        <f t="shared" si="0"/>
        <v>8350000</v>
      </c>
      <c r="Q6" s="20" t="s">
        <v>30</v>
      </c>
      <c r="R6" s="27">
        <v>20</v>
      </c>
      <c r="S6" s="27">
        <v>10</v>
      </c>
      <c r="T6" s="27">
        <v>20</v>
      </c>
      <c r="U6" s="27">
        <v>10</v>
      </c>
      <c r="V6" s="27">
        <v>0</v>
      </c>
      <c r="W6" s="27">
        <f t="shared" si="2"/>
        <v>60</v>
      </c>
      <c r="X6" s="4">
        <v>25000</v>
      </c>
      <c r="Y6" s="27">
        <f t="shared" si="3"/>
        <v>1500000</v>
      </c>
      <c r="AA6" t="s">
        <v>41</v>
      </c>
      <c r="AB6" t="s">
        <v>64</v>
      </c>
      <c r="AC6">
        <v>457</v>
      </c>
      <c r="AD6" s="28">
        <v>10170000</v>
      </c>
      <c r="AE6" s="28">
        <v>10170000</v>
      </c>
      <c r="AF6" t="s">
        <v>28</v>
      </c>
      <c r="AG6">
        <v>39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310000</v>
      </c>
      <c r="AU6" s="5"/>
      <c r="AV6" s="4" t="s">
        <v>120</v>
      </c>
      <c r="AW6" s="5"/>
    </row>
    <row r="7" spans="1:49" x14ac:dyDescent="0.2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462</v>
      </c>
      <c r="H7" s="21">
        <v>203</v>
      </c>
      <c r="I7" s="21">
        <v>356</v>
      </c>
      <c r="J7" s="21">
        <v>257</v>
      </c>
      <c r="K7" s="21">
        <v>10</v>
      </c>
      <c r="L7" s="22">
        <f t="shared" si="4"/>
        <v>1288</v>
      </c>
      <c r="N7" s="31" t="s">
        <v>43</v>
      </c>
      <c r="O7" s="27">
        <f>SUM(O3:O6)</f>
        <v>28099700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A7" t="s">
        <v>42</v>
      </c>
      <c r="AB7" t="s">
        <v>64</v>
      </c>
      <c r="AC7">
        <v>535</v>
      </c>
      <c r="AD7" s="28">
        <v>12125000</v>
      </c>
      <c r="AE7" s="28">
        <v>12125000</v>
      </c>
      <c r="AF7" t="s">
        <v>28</v>
      </c>
      <c r="AG7">
        <v>41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8">
        <v>310000</v>
      </c>
      <c r="AU7" s="5"/>
      <c r="AV7" s="4" t="s">
        <v>120</v>
      </c>
      <c r="AW7" s="5"/>
    </row>
    <row r="8" spans="1:49" x14ac:dyDescent="0.2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>
        <v>1058</v>
      </c>
      <c r="AD8" s="28">
        <f>SUM(AD4:AD7)</f>
        <v>39380000</v>
      </c>
      <c r="AE8" s="28">
        <f>SUM(AE4:AE7)</f>
        <v>39380000</v>
      </c>
      <c r="AF8" t="s">
        <v>28</v>
      </c>
      <c r="AG8">
        <f>SUM(AG4:AG7)</f>
        <v>145</v>
      </c>
      <c r="AH8">
        <f t="shared" ref="AH8:AK8" si="5">SUM(AH4:AH7)</f>
        <v>4</v>
      </c>
      <c r="AI8">
        <f t="shared" si="5"/>
        <v>0</v>
      </c>
      <c r="AJ8">
        <f t="shared" si="5"/>
        <v>3</v>
      </c>
      <c r="AK8">
        <f t="shared" si="5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8">
        <v>310000</v>
      </c>
      <c r="AU8" s="5">
        <v>46176</v>
      </c>
      <c r="AV8" s="4" t="s">
        <v>120</v>
      </c>
      <c r="AW8" s="5"/>
    </row>
    <row r="9" spans="1:49" x14ac:dyDescent="0.2">
      <c r="A9" s="12"/>
      <c r="B9" s="13">
        <v>0</v>
      </c>
      <c r="C9" s="14">
        <v>0</v>
      </c>
      <c r="D9" s="13">
        <f t="shared" si="1"/>
        <v>0</v>
      </c>
      <c r="F9" s="20"/>
      <c r="G9" s="21" t="s">
        <v>28</v>
      </c>
      <c r="H9" s="21" t="s">
        <v>28</v>
      </c>
      <c r="I9" s="21" t="s">
        <v>28</v>
      </c>
      <c r="J9" s="21" t="s">
        <v>28</v>
      </c>
      <c r="K9" s="21">
        <v>0</v>
      </c>
      <c r="L9" s="22">
        <f t="shared" si="4"/>
        <v>0</v>
      </c>
      <c r="N9" s="32"/>
      <c r="O9" s="1">
        <f>100000+4900000</f>
        <v>5000000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310000</v>
      </c>
      <c r="AU9" s="5"/>
      <c r="AV9" s="4" t="s">
        <v>120</v>
      </c>
      <c r="AW9" s="5"/>
    </row>
    <row r="10" spans="1:49" x14ac:dyDescent="0.2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 t="s">
        <v>28</v>
      </c>
      <c r="H10" s="21" t="s">
        <v>28</v>
      </c>
      <c r="I10" s="21" t="s">
        <v>28</v>
      </c>
      <c r="J10" s="21" t="s">
        <v>28</v>
      </c>
      <c r="K10" s="21">
        <v>0</v>
      </c>
      <c r="L10" s="22">
        <f t="shared" si="4"/>
        <v>0</v>
      </c>
      <c r="O10" s="1">
        <f>1700000+5081700</f>
        <v>6781700</v>
      </c>
      <c r="Q10" s="20" t="s">
        <v>8</v>
      </c>
      <c r="R10" s="27">
        <v>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0</v>
      </c>
      <c r="X10" s="4">
        <v>600</v>
      </c>
      <c r="Y10" s="27">
        <f t="shared" si="3"/>
        <v>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310000</v>
      </c>
      <c r="AU10" s="5"/>
      <c r="AV10" s="4" t="s">
        <v>120</v>
      </c>
      <c r="AW10" s="5"/>
    </row>
    <row r="11" spans="1:49" x14ac:dyDescent="0.2">
      <c r="A11" s="12" t="s">
        <v>9</v>
      </c>
      <c r="B11" s="13">
        <v>0</v>
      </c>
      <c r="C11" s="14">
        <v>1</v>
      </c>
      <c r="D11" s="13">
        <f t="shared" si="1"/>
        <v>1</v>
      </c>
      <c r="F11" s="20" t="s">
        <v>8</v>
      </c>
      <c r="G11" s="21">
        <v>220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882</v>
      </c>
      <c r="O11" s="1">
        <f>2450000+5518000</f>
        <v>7968000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</row>
    <row r="12" spans="1:49" x14ac:dyDescent="0.2">
      <c r="A12" s="12" t="s">
        <v>10</v>
      </c>
      <c r="B12" s="13">
        <v>150</v>
      </c>
      <c r="C12" s="14">
        <v>981</v>
      </c>
      <c r="D12" s="13">
        <f>C12+B12</f>
        <v>1131</v>
      </c>
      <c r="F12" s="20" t="s">
        <v>31</v>
      </c>
      <c r="G12" s="21">
        <v>5</v>
      </c>
      <c r="H12" s="21" t="s">
        <v>28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1600000+6750000</f>
        <v>8350000</v>
      </c>
      <c r="Q12" s="20" t="s">
        <v>32</v>
      </c>
      <c r="R12" s="27">
        <v>0</v>
      </c>
      <c r="S12" s="27">
        <v>10</v>
      </c>
      <c r="T12" s="27">
        <v>0</v>
      </c>
      <c r="U12" s="27">
        <v>10</v>
      </c>
      <c r="V12" s="27">
        <v>0</v>
      </c>
      <c r="W12" s="27">
        <f t="shared" si="2"/>
        <v>20</v>
      </c>
      <c r="X12" s="4">
        <v>13200</v>
      </c>
      <c r="Y12" s="27">
        <f t="shared" si="3"/>
        <v>264000</v>
      </c>
      <c r="AA12" t="s">
        <v>71</v>
      </c>
      <c r="AB12" t="s">
        <v>63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</row>
    <row r="13" spans="1:49" x14ac:dyDescent="0.2">
      <c r="A13" s="12" t="s">
        <v>11</v>
      </c>
      <c r="B13" s="13">
        <v>0</v>
      </c>
      <c r="C13" s="14">
        <v>300</v>
      </c>
      <c r="D13" s="13">
        <f t="shared" si="1"/>
        <v>300</v>
      </c>
      <c r="F13" s="20" t="s">
        <v>32</v>
      </c>
      <c r="G13" s="21">
        <v>107</v>
      </c>
      <c r="H13" s="21">
        <v>105</v>
      </c>
      <c r="I13" s="21">
        <v>90</v>
      </c>
      <c r="J13" s="21">
        <v>137</v>
      </c>
      <c r="K13" s="21">
        <v>21</v>
      </c>
      <c r="L13" s="22">
        <f t="shared" si="4"/>
        <v>460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72</v>
      </c>
      <c r="AB13" t="s">
        <v>65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2">
      <c r="A14" s="12" t="s">
        <v>12</v>
      </c>
      <c r="B14" s="13">
        <v>0</v>
      </c>
      <c r="C14" s="14">
        <v>397</v>
      </c>
      <c r="D14" s="13">
        <f t="shared" si="1"/>
        <v>397</v>
      </c>
      <c r="F14" s="20" t="s">
        <v>33</v>
      </c>
      <c r="G14" s="21" t="s">
        <v>28</v>
      </c>
      <c r="H14" s="21" t="s">
        <v>28</v>
      </c>
      <c r="I14" s="21" t="s">
        <v>28</v>
      </c>
      <c r="J14" s="21" t="s">
        <v>28</v>
      </c>
      <c r="K14" s="21">
        <v>0</v>
      </c>
      <c r="L14" s="22">
        <f t="shared" si="4"/>
        <v>0</v>
      </c>
      <c r="Q14" s="20" t="s">
        <v>34</v>
      </c>
      <c r="R14" s="27">
        <v>0</v>
      </c>
      <c r="S14" s="27">
        <v>0</v>
      </c>
      <c r="T14" s="27">
        <v>6</v>
      </c>
      <c r="U14" s="27">
        <v>0</v>
      </c>
      <c r="V14" s="27">
        <v>0</v>
      </c>
      <c r="W14" s="27">
        <f t="shared" si="2"/>
        <v>6</v>
      </c>
      <c r="X14" s="4">
        <v>14500</v>
      </c>
      <c r="Y14" s="27">
        <f t="shared" si="3"/>
        <v>87000</v>
      </c>
      <c r="AA14" t="s">
        <v>73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2">
      <c r="A15" s="12" t="s">
        <v>13</v>
      </c>
      <c r="B15" s="13">
        <v>39</v>
      </c>
      <c r="C15" s="14">
        <v>3</v>
      </c>
      <c r="D15" s="13">
        <f t="shared" si="1"/>
        <v>42</v>
      </c>
      <c r="F15" s="20" t="s">
        <v>34</v>
      </c>
      <c r="G15" s="21">
        <v>44</v>
      </c>
      <c r="H15" s="21">
        <v>42</v>
      </c>
      <c r="I15" s="21">
        <v>42</v>
      </c>
      <c r="J15" s="21">
        <v>57</v>
      </c>
      <c r="K15" s="21">
        <v>0</v>
      </c>
      <c r="L15" s="22">
        <f t="shared" si="4"/>
        <v>185</v>
      </c>
      <c r="Q15" s="20" t="s">
        <v>35</v>
      </c>
      <c r="R15" s="27">
        <v>0</v>
      </c>
      <c r="S15" s="27">
        <v>0</v>
      </c>
      <c r="T15" s="27">
        <v>6</v>
      </c>
      <c r="U15" s="27">
        <v>0</v>
      </c>
      <c r="V15" s="27">
        <v>0</v>
      </c>
      <c r="W15" s="27">
        <f t="shared" si="2"/>
        <v>6</v>
      </c>
      <c r="X15" s="4">
        <v>17250</v>
      </c>
      <c r="Y15" s="27">
        <f t="shared" si="3"/>
        <v>103500</v>
      </c>
      <c r="AA15" t="s">
        <v>74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2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114</v>
      </c>
      <c r="H16" s="21">
        <v>110</v>
      </c>
      <c r="I16" s="21">
        <v>58</v>
      </c>
      <c r="J16" s="21">
        <v>116</v>
      </c>
      <c r="K16" s="21">
        <v>21</v>
      </c>
      <c r="L16" s="22">
        <f t="shared" si="4"/>
        <v>419</v>
      </c>
      <c r="Q16" s="20" t="s">
        <v>36</v>
      </c>
      <c r="R16" s="27">
        <v>0</v>
      </c>
      <c r="S16" s="27">
        <v>0</v>
      </c>
      <c r="T16" s="27">
        <v>0</v>
      </c>
      <c r="U16" s="27">
        <v>0</v>
      </c>
      <c r="V16" s="27">
        <v>0</v>
      </c>
      <c r="W16" s="27">
        <f t="shared" si="2"/>
        <v>0</v>
      </c>
      <c r="X16" s="4">
        <v>23000</v>
      </c>
      <c r="Y16" s="27">
        <f t="shared" si="3"/>
        <v>0</v>
      </c>
      <c r="AC16">
        <f>SUM(AC12:AC15)</f>
        <v>252</v>
      </c>
      <c r="AD16">
        <f t="shared" ref="AD16:AH16" si="6">SUM(AD12:AD15)</f>
        <v>2520000</v>
      </c>
      <c r="AE16">
        <f t="shared" si="6"/>
        <v>2520000</v>
      </c>
      <c r="AF16">
        <f t="shared" si="6"/>
        <v>252</v>
      </c>
      <c r="AG16">
        <f t="shared" si="6"/>
        <v>0</v>
      </c>
      <c r="AH16">
        <f t="shared" si="6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2">
      <c r="A17" s="12" t="s">
        <v>15</v>
      </c>
      <c r="B17" s="13">
        <v>403</v>
      </c>
      <c r="C17" s="14">
        <v>2</v>
      </c>
      <c r="D17" s="13">
        <f t="shared" si="1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22</v>
      </c>
      <c r="L17" s="22">
        <f t="shared" si="4"/>
        <v>301</v>
      </c>
      <c r="Q17" s="20" t="s">
        <v>15</v>
      </c>
      <c r="R17" s="27">
        <v>0</v>
      </c>
      <c r="S17" s="27">
        <v>0</v>
      </c>
      <c r="T17" s="27">
        <v>0</v>
      </c>
      <c r="U17" s="27">
        <v>0</v>
      </c>
      <c r="V17" s="27">
        <v>0</v>
      </c>
      <c r="W17" s="27">
        <f t="shared" si="2"/>
        <v>0</v>
      </c>
      <c r="X17" s="4">
        <v>30000</v>
      </c>
      <c r="Y17" s="27">
        <f t="shared" si="3"/>
        <v>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2">
      <c r="A18" s="12" t="s">
        <v>16</v>
      </c>
      <c r="B18" s="13">
        <v>0</v>
      </c>
      <c r="C18" s="14">
        <v>183</v>
      </c>
      <c r="D18" s="13">
        <f t="shared" si="1"/>
        <v>183</v>
      </c>
      <c r="F18" s="20" t="s">
        <v>15</v>
      </c>
      <c r="G18" s="21">
        <v>45</v>
      </c>
      <c r="H18" s="21">
        <v>35</v>
      </c>
      <c r="I18" s="21">
        <v>18</v>
      </c>
      <c r="J18" s="21">
        <v>20</v>
      </c>
      <c r="K18" s="21">
        <v>0</v>
      </c>
      <c r="L18" s="22">
        <f t="shared" si="4"/>
        <v>118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2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 t="s">
        <v>28</v>
      </c>
      <c r="H19" s="21">
        <v>15</v>
      </c>
      <c r="I19" s="21" t="s">
        <v>28</v>
      </c>
      <c r="J19" s="21" t="s">
        <v>28</v>
      </c>
      <c r="K19" s="21">
        <v>0</v>
      </c>
      <c r="L19" s="22">
        <f t="shared" si="4"/>
        <v>15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</row>
    <row r="20" spans="1:49" x14ac:dyDescent="0.2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 t="s">
        <v>28</v>
      </c>
      <c r="I20" s="21" t="s">
        <v>28</v>
      </c>
      <c r="J20" s="21" t="s">
        <v>28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0</v>
      </c>
      <c r="V20" s="27">
        <v>0</v>
      </c>
      <c r="W20" s="27">
        <f t="shared" si="2"/>
        <v>0</v>
      </c>
      <c r="X20" s="4">
        <v>12000</v>
      </c>
      <c r="Y20" s="27">
        <f t="shared" si="3"/>
        <v>0</v>
      </c>
    </row>
    <row r="21" spans="1:49" x14ac:dyDescent="0.2">
      <c r="A21" s="12" t="s">
        <v>19</v>
      </c>
      <c r="B21" s="13">
        <v>390</v>
      </c>
      <c r="C21" s="14">
        <v>1002</v>
      </c>
      <c r="D21" s="13">
        <f t="shared" si="1"/>
        <v>1392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4"/>
        <v>108</v>
      </c>
      <c r="Q21" s="20" t="s">
        <v>19</v>
      </c>
      <c r="R21" s="27">
        <v>10</v>
      </c>
      <c r="S21" s="27">
        <v>20</v>
      </c>
      <c r="T21" s="27">
        <v>0</v>
      </c>
      <c r="U21" s="27">
        <v>0</v>
      </c>
      <c r="V21" s="27">
        <v>0</v>
      </c>
      <c r="W21" s="27">
        <f t="shared" si="2"/>
        <v>30</v>
      </c>
      <c r="X21" s="4">
        <v>9600</v>
      </c>
      <c r="Y21" s="27">
        <f t="shared" si="3"/>
        <v>288000</v>
      </c>
    </row>
    <row r="22" spans="1:49" x14ac:dyDescent="0.2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121</v>
      </c>
      <c r="H22" s="21">
        <v>55</v>
      </c>
      <c r="I22" s="21">
        <v>64</v>
      </c>
      <c r="J22" s="21">
        <v>61</v>
      </c>
      <c r="K22" s="21">
        <v>12</v>
      </c>
      <c r="L22" s="22">
        <f t="shared" si="4"/>
        <v>313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</row>
    <row r="23" spans="1:49" x14ac:dyDescent="0.2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30</v>
      </c>
      <c r="S25" s="19">
        <f t="shared" ref="S25:Y25" si="7">SUM(S4:S24)</f>
        <v>40</v>
      </c>
      <c r="T25" s="19">
        <f t="shared" si="7"/>
        <v>32</v>
      </c>
      <c r="U25" s="19">
        <f t="shared" si="7"/>
        <v>20</v>
      </c>
      <c r="V25" s="19">
        <f t="shared" si="7"/>
        <v>0</v>
      </c>
      <c r="W25" s="19">
        <f t="shared" si="7"/>
        <v>122</v>
      </c>
      <c r="X25" s="19"/>
      <c r="Y25" s="19">
        <f t="shared" si="7"/>
        <v>2242500</v>
      </c>
    </row>
    <row r="26" spans="1:49" x14ac:dyDescent="0.2">
      <c r="F26" s="23" t="s">
        <v>27</v>
      </c>
      <c r="G26" s="24">
        <f t="shared" ref="G26:K26" si="8">SUM(G5:G25)</f>
        <v>1258</v>
      </c>
      <c r="H26" s="24">
        <f t="shared" si="8"/>
        <v>1018</v>
      </c>
      <c r="I26" s="24">
        <f t="shared" si="8"/>
        <v>765</v>
      </c>
      <c r="J26" s="24">
        <f t="shared" si="8"/>
        <v>1130</v>
      </c>
      <c r="K26" s="24">
        <f t="shared" si="8"/>
        <v>117</v>
      </c>
      <c r="L26" s="24">
        <f>SUM(L5:L25)</f>
        <v>4288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2026-05-30T04:59:19Z</dcterms:modified>
</cp:coreProperties>
</file>