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2" documentId="8_{A68C8C10-5CC6-0546-870F-240369AE7AB4}" xr6:coauthVersionLast="47" xr6:coauthVersionMax="47" xr10:uidLastSave="{B459E66B-8E60-4023-9826-FD81EA15678A}"/>
  <bookViews>
    <workbookView xWindow="-110" yWindow="-110" windowWidth="19420" windowHeight="10300" firstSheet="4" activeTab="6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H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H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H62" i="5"/>
  <c r="J62" i="5"/>
  <c r="L62" i="5"/>
  <c r="B63" i="5"/>
  <c r="C63" i="5"/>
  <c r="E63" i="5"/>
  <c r="G63" i="5"/>
  <c r="H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H65" i="5"/>
  <c r="J65" i="5"/>
  <c r="L65" i="5"/>
  <c r="B66" i="5"/>
  <c r="C66" i="5"/>
  <c r="E66" i="5"/>
  <c r="G66" i="5"/>
  <c r="H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H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H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H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H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H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H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H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J47" i="8"/>
  <c r="BO47" i="8" s="1"/>
  <c r="K46" i="5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J46" i="8"/>
  <c r="I45" i="5" s="1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 s="1"/>
  <c r="K44" i="5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 s="1"/>
  <c r="K43" i="5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J43" i="8"/>
  <c r="BO43" i="8" s="1"/>
  <c r="K42" i="5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J42" i="8"/>
  <c r="I41" i="5" s="1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 s="1"/>
  <c r="K40" i="5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 s="1"/>
  <c r="K39" i="5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J39" i="8"/>
  <c r="BO39" i="8" s="1"/>
  <c r="K38" i="5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J38" i="8"/>
  <c r="I37" i="5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 s="1"/>
  <c r="K36" i="5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J36" i="8"/>
  <c r="BO36" i="8" s="1"/>
  <c r="K35" i="5" s="1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J35" i="8"/>
  <c r="BO35" i="8" s="1"/>
  <c r="K34" i="5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J34" i="8"/>
  <c r="I33" i="5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 s="1"/>
  <c r="K32" i="5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 s="1"/>
  <c r="K31" i="5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J31" i="8"/>
  <c r="BO31" i="8" s="1"/>
  <c r="K30" i="5" s="1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J30" i="8"/>
  <c r="I29" i="5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 s="1"/>
  <c r="K28" i="5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 s="1"/>
  <c r="K27" i="5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J23" i="8"/>
  <c r="BO23" i="8" s="1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47" i="8"/>
  <c r="F46" i="5" s="1"/>
  <c r="AN47" i="8"/>
  <c r="AP46" i="8"/>
  <c r="F45" i="5" s="1"/>
  <c r="AN46" i="8"/>
  <c r="AP45" i="8"/>
  <c r="F44" i="5" s="1"/>
  <c r="AN45" i="8"/>
  <c r="AP44" i="8"/>
  <c r="F43" i="5" s="1"/>
  <c r="AN44" i="8"/>
  <c r="AP43" i="8"/>
  <c r="F42" i="5" s="1"/>
  <c r="AN43" i="8"/>
  <c r="AP42" i="8"/>
  <c r="F41" i="5" s="1"/>
  <c r="AN42" i="8"/>
  <c r="AP41" i="8"/>
  <c r="F40" i="5" s="1"/>
  <c r="AN41" i="8"/>
  <c r="AP40" i="8"/>
  <c r="F39" i="5" s="1"/>
  <c r="AN40" i="8"/>
  <c r="AP39" i="8"/>
  <c r="F38" i="5" s="1"/>
  <c r="AN39" i="8"/>
  <c r="AP38" i="8"/>
  <c r="F37" i="5" s="1"/>
  <c r="AN38" i="8"/>
  <c r="AP37" i="8"/>
  <c r="F36" i="5" s="1"/>
  <c r="AN37" i="8"/>
  <c r="AP36" i="8"/>
  <c r="F35" i="5" s="1"/>
  <c r="AN36" i="8"/>
  <c r="AP35" i="8"/>
  <c r="F34" i="5" s="1"/>
  <c r="AN35" i="8"/>
  <c r="AP34" i="8"/>
  <c r="F33" i="5" s="1"/>
  <c r="AN34" i="8"/>
  <c r="AP33" i="8"/>
  <c r="F32" i="5" s="1"/>
  <c r="AN33" i="8"/>
  <c r="AP32" i="8"/>
  <c r="F31" i="5" s="1"/>
  <c r="AN32" i="8"/>
  <c r="AP31" i="8"/>
  <c r="F30" i="5" s="1"/>
  <c r="AN31" i="8"/>
  <c r="AP30" i="8"/>
  <c r="F29" i="5" s="1"/>
  <c r="AN30" i="8"/>
  <c r="AP29" i="8"/>
  <c r="F28" i="5" s="1"/>
  <c r="AN29" i="8"/>
  <c r="AP28" i="8"/>
  <c r="F27" i="5" s="1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BO34" i="8" l="1"/>
  <c r="K33" i="5" s="1"/>
  <c r="BO38" i="8"/>
  <c r="K37" i="5" s="1"/>
  <c r="BO42" i="8"/>
  <c r="K41" i="5" s="1"/>
  <c r="BO30" i="8"/>
  <c r="K29" i="5" s="1"/>
  <c r="BO46" i="8"/>
  <c r="K45" i="5" s="1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O12" i="8"/>
  <c r="O11" i="8"/>
  <c r="O10" i="8"/>
  <c r="O9" i="8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O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O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O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O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O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O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J92" i="8"/>
  <c r="BO92" i="8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R91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R90" i="8"/>
  <c r="BJ90" i="8"/>
  <c r="BO90" i="8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R89" i="8"/>
  <c r="BJ89" i="8"/>
  <c r="BO89" i="8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R88" i="8"/>
  <c r="BJ88" i="8"/>
  <c r="BO88" i="8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R87" i="8"/>
  <c r="BJ87" i="8"/>
  <c r="BO87" i="8" s="1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R86" i="8"/>
  <c r="BJ86" i="8"/>
  <c r="BO86" i="8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R85" i="8"/>
  <c r="BJ85" i="8"/>
  <c r="BO85" i="8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R84" i="8"/>
  <c r="BJ84" i="8"/>
  <c r="BO84" i="8" s="1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R83" i="8"/>
  <c r="BJ83" i="8"/>
  <c r="BO83" i="8" s="1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R82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R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F80" i="5" s="1"/>
  <c r="AN81" i="8"/>
  <c r="D80" i="5" s="1"/>
  <c r="BR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F79" i="5" s="1"/>
  <c r="AN80" i="8"/>
  <c r="D79" i="5" s="1"/>
  <c r="BR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AP79" i="8"/>
  <c r="F78" i="5" s="1"/>
  <c r="AN79" i="8"/>
  <c r="D78" i="5" s="1"/>
  <c r="BR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AP78" i="8"/>
  <c r="F77" i="5" s="1"/>
  <c r="AN78" i="8"/>
  <c r="D77" i="5" s="1"/>
  <c r="BR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AP77" i="8"/>
  <c r="F76" i="5" s="1"/>
  <c r="AN77" i="8"/>
  <c r="D76" i="5" s="1"/>
  <c r="BR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P76" i="8"/>
  <c r="F75" i="5" s="1"/>
  <c r="AN76" i="8"/>
  <c r="D75" i="5" s="1"/>
  <c r="BR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AP75" i="8"/>
  <c r="F74" i="5" s="1"/>
  <c r="AN75" i="8"/>
  <c r="D74" i="5" s="1"/>
  <c r="BR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AP74" i="8"/>
  <c r="F73" i="5" s="1"/>
  <c r="AN74" i="8"/>
  <c r="D73" i="5" s="1"/>
  <c r="BR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AP73" i="8"/>
  <c r="F72" i="5" s="1"/>
  <c r="AN73" i="8"/>
  <c r="D72" i="5" s="1"/>
  <c r="BR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AP72" i="8"/>
  <c r="F71" i="5" s="1"/>
  <c r="AN72" i="8"/>
  <c r="D71" i="5" s="1"/>
  <c r="BR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AP71" i="8"/>
  <c r="F70" i="5" s="1"/>
  <c r="AN71" i="8"/>
  <c r="D70" i="5" s="1"/>
  <c r="BR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P70" i="8"/>
  <c r="F69" i="5" s="1"/>
  <c r="AN70" i="8"/>
  <c r="D69" i="5" s="1"/>
  <c r="BR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P69" i="8"/>
  <c r="F68" i="5" s="1"/>
  <c r="AN69" i="8"/>
  <c r="D68" i="5" s="1"/>
  <c r="BR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P68" i="8"/>
  <c r="F67" i="5" s="1"/>
  <c r="AN68" i="8"/>
  <c r="D67" i="5" s="1"/>
  <c r="BR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P67" i="8"/>
  <c r="F66" i="5" s="1"/>
  <c r="AN67" i="8"/>
  <c r="D66" i="5" s="1"/>
  <c r="BR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P66" i="8"/>
  <c r="F65" i="5" s="1"/>
  <c r="AN66" i="8"/>
  <c r="D65" i="5" s="1"/>
  <c r="BR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P65" i="8"/>
  <c r="F64" i="5" s="1"/>
  <c r="AN65" i="8"/>
  <c r="D64" i="5" s="1"/>
  <c r="BR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P64" i="8"/>
  <c r="F63" i="5" s="1"/>
  <c r="AN64" i="8"/>
  <c r="D63" i="5" s="1"/>
  <c r="BR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P63" i="8"/>
  <c r="F62" i="5" s="1"/>
  <c r="AN63" i="8"/>
  <c r="D62" i="5" s="1"/>
  <c r="BR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P62" i="8"/>
  <c r="F61" i="5" s="1"/>
  <c r="AN62" i="8"/>
  <c r="D61" i="5" s="1"/>
  <c r="BR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P61" i="8"/>
  <c r="F60" i="5" s="1"/>
  <c r="AN61" i="8"/>
  <c r="D60" i="5" s="1"/>
  <c r="BR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AP60" i="8"/>
  <c r="F59" i="5" s="1"/>
  <c r="AN60" i="8"/>
  <c r="D59" i="5" s="1"/>
  <c r="BR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AP59" i="8"/>
  <c r="F58" i="5" s="1"/>
  <c r="AN59" i="8"/>
  <c r="D58" i="5" s="1"/>
  <c r="BR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P58" i="8"/>
  <c r="F57" i="5" s="1"/>
  <c r="AN58" i="8"/>
  <c r="D57" i="5" s="1"/>
  <c r="BR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P57" i="8"/>
  <c r="F56" i="5" s="1"/>
  <c r="AN57" i="8"/>
  <c r="D56" i="5" s="1"/>
  <c r="BR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P56" i="8"/>
  <c r="F55" i="5" s="1"/>
  <c r="AN56" i="8"/>
  <c r="D55" i="5" s="1"/>
  <c r="BR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P55" i="8"/>
  <c r="F54" i="5" s="1"/>
  <c r="AN55" i="8"/>
  <c r="D54" i="5" s="1"/>
  <c r="BR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P54" i="8"/>
  <c r="F53" i="5" s="1"/>
  <c r="AN54" i="8"/>
  <c r="D53" i="5" s="1"/>
  <c r="BR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P53" i="8"/>
  <c r="F52" i="5" s="1"/>
  <c r="AN53" i="8"/>
  <c r="D52" i="5" s="1"/>
  <c r="BR52" i="8"/>
  <c r="BJ52" i="8"/>
  <c r="I51" i="5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P52" i="8"/>
  <c r="F51" i="5" s="1"/>
  <c r="AN52" i="8"/>
  <c r="D51" i="5" s="1"/>
  <c r="BR51" i="8"/>
  <c r="BJ51" i="8"/>
  <c r="I50" i="5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P51" i="8"/>
  <c r="F50" i="5" s="1"/>
  <c r="AN51" i="8"/>
  <c r="D50" i="5" s="1"/>
  <c r="BR50" i="8"/>
  <c r="BJ50" i="8"/>
  <c r="I49" i="5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AP50" i="8"/>
  <c r="F49" i="5" s="1"/>
  <c r="AN50" i="8"/>
  <c r="D49" i="5" s="1"/>
  <c r="BR49" i="8"/>
  <c r="BJ49" i="8"/>
  <c r="I48" i="5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AP49" i="8"/>
  <c r="F48" i="5" s="1"/>
  <c r="AN49" i="8"/>
  <c r="D48" i="5" s="1"/>
  <c r="BR48" i="8"/>
  <c r="BJ48" i="8"/>
  <c r="I47" i="5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P48" i="8"/>
  <c r="F47" i="5" s="1"/>
  <c r="AN48" i="8"/>
  <c r="D47" i="5" s="1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E6" i="6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G8" i="2" s="1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F5" i="6"/>
  <c r="G2" i="6"/>
  <c r="G3" i="6"/>
  <c r="G4" i="6"/>
  <c r="G5" i="6"/>
  <c r="C2" i="6"/>
  <c r="C3" i="6"/>
  <c r="C6" i="6" s="1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D20" i="1" s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BO56" i="8" l="1"/>
  <c r="K55" i="5" s="1"/>
  <c r="I55" i="5"/>
  <c r="BO68" i="8"/>
  <c r="K67" i="5" s="1"/>
  <c r="I67" i="5"/>
  <c r="BO57" i="8"/>
  <c r="K56" i="5" s="1"/>
  <c r="I56" i="5"/>
  <c r="BO61" i="8"/>
  <c r="K60" i="5" s="1"/>
  <c r="I60" i="5"/>
  <c r="BO69" i="8"/>
  <c r="K68" i="5" s="1"/>
  <c r="I68" i="5"/>
  <c r="BO77" i="8"/>
  <c r="K76" i="5" s="1"/>
  <c r="I76" i="5"/>
  <c r="BO72" i="8"/>
  <c r="K71" i="5" s="1"/>
  <c r="I71" i="5"/>
  <c r="BO76" i="8"/>
  <c r="K75" i="5" s="1"/>
  <c r="I75" i="5"/>
  <c r="BO53" i="8"/>
  <c r="K52" i="5" s="1"/>
  <c r="I52" i="5"/>
  <c r="BO65" i="8"/>
  <c r="K64" i="5" s="1"/>
  <c r="I64" i="5"/>
  <c r="BO73" i="8"/>
  <c r="K72" i="5" s="1"/>
  <c r="I72" i="5"/>
  <c r="BO81" i="8"/>
  <c r="K80" i="5" s="1"/>
  <c r="I80" i="5"/>
  <c r="BO54" i="8"/>
  <c r="K53" i="5" s="1"/>
  <c r="I53" i="5"/>
  <c r="BO58" i="8"/>
  <c r="K57" i="5" s="1"/>
  <c r="I57" i="5"/>
  <c r="BO62" i="8"/>
  <c r="K61" i="5" s="1"/>
  <c r="I61" i="5"/>
  <c r="BO66" i="8"/>
  <c r="K65" i="5" s="1"/>
  <c r="I65" i="5"/>
  <c r="BO70" i="8"/>
  <c r="K69" i="5" s="1"/>
  <c r="I69" i="5"/>
  <c r="BO74" i="8"/>
  <c r="K73" i="5" s="1"/>
  <c r="I73" i="5"/>
  <c r="BO78" i="8"/>
  <c r="K77" i="5" s="1"/>
  <c r="I77" i="5"/>
  <c r="BO60" i="8"/>
  <c r="K59" i="5" s="1"/>
  <c r="I59" i="5"/>
  <c r="BO64" i="8"/>
  <c r="K63" i="5" s="1"/>
  <c r="I63" i="5"/>
  <c r="BO80" i="8"/>
  <c r="K79" i="5" s="1"/>
  <c r="I79" i="5"/>
  <c r="BO55" i="8"/>
  <c r="K54" i="5" s="1"/>
  <c r="I54" i="5"/>
  <c r="BO59" i="8"/>
  <c r="K58" i="5" s="1"/>
  <c r="I58" i="5"/>
  <c r="BO63" i="8"/>
  <c r="K62" i="5" s="1"/>
  <c r="I62" i="5"/>
  <c r="BO67" i="8"/>
  <c r="K66" i="5" s="1"/>
  <c r="I66" i="5"/>
  <c r="BO71" i="8"/>
  <c r="K70" i="5" s="1"/>
  <c r="I70" i="5"/>
  <c r="BO75" i="8"/>
  <c r="K74" i="5" s="1"/>
  <c r="I74" i="5"/>
  <c r="BO79" i="8"/>
  <c r="K78" i="5" s="1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BO48" i="8"/>
  <c r="K47" i="5" s="1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BO52" i="8"/>
  <c r="K51" i="5" s="1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BO50" i="8"/>
  <c r="K49" i="5" s="1"/>
  <c r="K12" i="5"/>
  <c r="I12" i="5"/>
  <c r="K18" i="5"/>
  <c r="I18" i="5"/>
  <c r="I21" i="5"/>
  <c r="K21" i="5"/>
  <c r="BO51" i="8"/>
  <c r="K50" i="5" s="1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BO49" i="8"/>
  <c r="K48" i="5" s="1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H9" i="4"/>
  <c r="Y25" i="8"/>
  <c r="H2" i="4"/>
  <c r="B6" i="4"/>
  <c r="D22" i="4"/>
  <c r="W25" i="8"/>
  <c r="B23" i="2"/>
  <c r="H2" i="6" l="1"/>
  <c r="H6" i="6" s="1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<sst xmlns="http://schemas.openxmlformats.org/spreadsheetml/2006/main" count="490" uniqueCount="167">
  <si>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</si>
  <si>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</si>
  <si>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</si>
  <si>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</si>
  <si>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</si>
  <si>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</si>
  <si>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</si>
  <si>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</si>
  <si>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</si>
  <si>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</si>
  <si>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</si>
  <si>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</si>
  <si>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</si>
  <si>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</si>
  <si>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</si>
  <si>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</si>
  <si>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</si>
  <si>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</si>
  <si>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</si>
  <si>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</si>
  <si>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</si>
  <si>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</si>
  <si>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</si>
  <si>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</si>
  <si>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</si>
  <si>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</si>
  <si>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</si>
  <si>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</si>
  <si>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</si>
  <si>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</si>
  <si>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</si>
  <si>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</si>
  <si>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</si>
  <si>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</si>
  <si>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</si>
  <si>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</si>
  <si>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</si>
  <si>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</si>
  <si>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</si>
  <si>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</si>
  <si>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</si>
  <si>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</si>
  <si>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</si>
  <si>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</si>
  <si>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</si>
  <si>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</si>
  <si>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</si>
  <si>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</si>
  <si>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</si>
  <si>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</si>
  <si>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</si>
  <si>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</si>
  <si>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</si>
  <si>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</si>
  <si>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</si>
  <si>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</si>
  <si>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</si>
  <si>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</si>
  <si>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</si>
  <si>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</si>
  <si>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</si>
  <si>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</si>
  <si>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</si>
  <si>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</si>
  <si>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</si>
  <si>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</si>
  <si>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</si>
  <si>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</si>
  <si>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</si>
  <si>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</si>
  <si>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</si>
  <si>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</si>
  <si>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</si>
  <si>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</si>
  <si>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</si>
  <si>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</si>
  <si>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</si>
  <si>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</si>
  <si>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</si>
  <si>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</si>
  <si>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</si>
  <si>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</si>
  <si>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</si>
  <si>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</si>
  <si>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</si>
  <si>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</si>
  <si>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</si>
  <si>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</si>
  <si>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</si>
  <si>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</si>
  <si>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</si>
  <si>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</si>
  <si>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</si>
  <si>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</si>
  <si>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</si>
  <si>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</si>
  <si>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</si>
  <si>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</si>
  <si>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</si>
  <si>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</si>
  <si>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</si>
  <si>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</si>
  <si>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</si>
  <si>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</si>
  <si>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</si>
  <si>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</si>
  <si>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</si>
  <si>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</si>
  <si>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</si>
  <si>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</si>
  <si>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</si>
  <si>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</si>
  <si>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</si>
  <si>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</si>
  <si>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</si>
  <si>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</si>
  <si>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</si>
  <si>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</si>
  <si>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</si>
  <si>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</si>
  <si>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</si>
  <si>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</si>
  <si>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</si>
  <si>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</si>
  <si>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</si>
  <si>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</si>
  <si>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</si>
  <si>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</si>
  <si>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</si>
  <si>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</si>
  <si>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</si>
  <si>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</si>
  <si>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</si>
  <si>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</si>
  <si>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</si>
  <si>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</si>
  <si>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</si>
  <si>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</si>
  <si>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</si>
  <si>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</si>
  <si>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</si>
  <si>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</si>
  <si>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</si>
  <si>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</si>
  <si>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</si>
  <si>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</si>
  <si>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</si>
  <si>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</si>
  <si>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</si>
  <si>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</si>
  <si>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</si>
  <si>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</si>
  <si>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</si>
  <si>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</si>
  <si>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</si>
  <si>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</si>
  <si>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</si>
  <si>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</si>
  <si>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</si>
  <si>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</si>
  <si>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</si>
  <si>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</si>
  <si>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</si>
  <si>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</si>
  <si>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</si>
  <si>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RAMLAN 3ID</t>
  </si>
  <si>
    <t>ON HAND DSE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</si>
</sst>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709200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591000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3073200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893</v>
      </c>
      <c r="D4" s="1">
        <f t="shared" ref="D4:D21" si="0">B4+C4</f>
        <v>893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130</v>
      </c>
      <c r="D10" s="1">
        <f t="shared" si="0"/>
        <v>130</v>
      </c>
    </row>
    <row r="11" spans="1:4" x14ac:dyDescent="0.35">
      <c r="A11" t="s">
        <v>10</v>
      </c>
      <c r="B11">
        <f>index!B12</f>
        <v>20</v>
      </c>
      <c r="C11">
        <f>index!C12</f>
        <v>757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347</v>
      </c>
      <c r="D13" s="1">
        <f t="shared" si="0"/>
        <v>347</v>
      </c>
    </row>
    <row r="14" spans="1:4" x14ac:dyDescent="0.35">
      <c r="A14" t="s">
        <v>13</v>
      </c>
      <c r="B14">
        <f>index!B15</f>
        <v>309</v>
      </c>
      <c r="C14">
        <f>index!C15</f>
        <v>3</v>
      </c>
      <c r="D14" s="1">
        <f t="shared" si="0"/>
        <v>312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84</v>
      </c>
      <c r="D17" s="1">
        <f t="shared" si="0"/>
        <v>84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370</v>
      </c>
      <c r="C4">
        <f>index!H7</f>
        <v>155</v>
      </c>
      <c r="D4">
        <f>index!I7</f>
        <v>278</v>
      </c>
      <c r="E4">
        <f>index!J7</f>
        <v>202</v>
      </c>
      <c r="G4">
        <f t="shared" si="0"/>
        <v>1005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217</v>
      </c>
      <c r="C10">
        <f>index!H13</f>
        <v>128</v>
      </c>
      <c r="D10">
        <f>index!I13</f>
        <v>154</v>
      </c>
      <c r="E10">
        <f>index!J13</f>
        <v>241</v>
      </c>
      <c r="G10">
        <f t="shared" si="0"/>
        <v>740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30</v>
      </c>
      <c r="D12">
        <f>index!I15</f>
        <v>51</v>
      </c>
      <c r="E12">
        <f>index!J15</f>
        <v>53</v>
      </c>
      <c r="G12">
        <f t="shared" si="0"/>
        <v>163</v>
      </c>
    </row>
    <row r="13" spans="1:7" x14ac:dyDescent="0.35">
      <c r="A13" t="s">
        <v>35</v>
      </c>
      <c r="B13">
        <f>index!G16</f>
        <v>94</v>
      </c>
      <c r="C13">
        <f>index!H16</f>
        <v>70</v>
      </c>
      <c r="D13">
        <f>index!I16</f>
        <v>46</v>
      </c>
      <c r="E13">
        <f>index!J16</f>
        <v>116</v>
      </c>
      <c r="G13">
        <f t="shared" si="0"/>
        <v>326</v>
      </c>
    </row>
    <row r="14" spans="1:7" x14ac:dyDescent="0.35">
      <c r="A14" t="s">
        <v>36</v>
      </c>
      <c r="B14">
        <f>index!G17</f>
        <v>76</v>
      </c>
      <c r="C14">
        <f>index!H17</f>
        <v>56</v>
      </c>
      <c r="D14">
        <f>index!I17</f>
        <v>36</v>
      </c>
      <c r="E14">
        <f>index!J17</f>
        <v>91</v>
      </c>
      <c r="G14">
        <f t="shared" si="0"/>
        <v>259</v>
      </c>
    </row>
    <row r="15" spans="1:7" x14ac:dyDescent="0.35">
      <c r="A15" t="s">
        <v>15</v>
      </c>
      <c r="B15">
        <f>index!G18</f>
        <v>45</v>
      </c>
      <c r="C15">
        <f>index!H18</f>
        <v>26</v>
      </c>
      <c r="D15">
        <f>index!I18</f>
        <v>18</v>
      </c>
      <c r="E15">
        <f>index!J18</f>
        <v>20</v>
      </c>
      <c r="G15">
        <f t="shared" si="0"/>
        <v>109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291</v>
      </c>
      <c r="C19">
        <f>index!H22</f>
        <v>100</v>
      </c>
      <c r="D19">
        <f>index!I22</f>
        <v>137</v>
      </c>
      <c r="E19">
        <f>index!J22</f>
        <v>147</v>
      </c>
      <c r="G19">
        <f t="shared" si="0"/>
        <v>675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1381</v>
      </c>
      <c r="C23">
        <f t="shared" ref="C23:G23" si="1">SUM(C2:C22)</f>
        <v>944</v>
      </c>
      <c r="D23">
        <f t="shared" si="1"/>
        <v>816</v>
      </c>
      <c r="E23">
        <f t="shared" si="1"/>
        <v>1253</v>
      </c>
      <c r="F23">
        <f t="shared" si="1"/>
        <v>0</v>
      </c>
      <c r="G23">
        <f t="shared" si="1"/>
        <v>4394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20666000</v>
      </c>
    </row>
    <row r="3" spans="1:2" x14ac:dyDescent="0.35">
      <c r="A3" t="s">
        <v>40</v>
      </c>
      <c r="B3">
        <f>index!O4</f>
        <v>33740200</v>
      </c>
    </row>
    <row r="4" spans="1:2" x14ac:dyDescent="0.35">
      <c r="A4" t="s">
        <v>41</v>
      </c>
      <c r="B4">
        <f>index!O5</f>
        <v>32587500</v>
      </c>
    </row>
    <row r="5" spans="1:2" x14ac:dyDescent="0.35">
      <c r="A5" t="s">
        <v>42</v>
      </c>
      <c r="B5">
        <f>index!O6</f>
        <v>42797900</v>
      </c>
    </row>
    <row r="6" spans="1:2" x14ac:dyDescent="0.35">
      <c r="A6" t="s">
        <v>43</v>
      </c>
      <c r="B6">
        <f>SUM(B2:B5)</f>
        <v>129791600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82</v>
      </c>
      <c r="C4">
        <f>index!S6</f>
        <v>19</v>
      </c>
      <c r="D4">
        <f>index!T6</f>
        <v>47</v>
      </c>
      <c r="E4">
        <f>index!U6</f>
        <v>50</v>
      </c>
      <c r="F4">
        <f t="shared" si="0"/>
        <v>198</v>
      </c>
      <c r="G4">
        <v>25000</v>
      </c>
      <c r="H4">
        <f t="shared" si="1"/>
        <v>4950000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92</v>
      </c>
      <c r="C6">
        <f t="shared" ref="C6:H6" si="2">SUM(C2:C5)</f>
        <v>19</v>
      </c>
      <c r="D6">
        <f t="shared" si="2"/>
        <v>52</v>
      </c>
      <c r="E6">
        <f t="shared" si="2"/>
        <v>50</v>
      </c>
      <c r="F6">
        <f t="shared" si="2"/>
        <v>213</v>
      </c>
      <c r="H6">
        <f t="shared" si="2"/>
        <v>5115000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60</v>
      </c>
      <c r="D11">
        <f>index!T12</f>
        <v>6</v>
      </c>
      <c r="E11">
        <f>index!U12</f>
        <v>20</v>
      </c>
      <c r="F11">
        <f t="shared" si="3"/>
        <v>91</v>
      </c>
      <c r="G11">
        <v>13200</v>
      </c>
      <c r="H11">
        <f t="shared" si="4"/>
        <v>1201200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20</v>
      </c>
      <c r="C14">
        <f>index!S15</f>
        <v>40</v>
      </c>
      <c r="D14">
        <f>index!T15</f>
        <v>48</v>
      </c>
      <c r="E14">
        <f>index!U15</f>
        <v>0</v>
      </c>
      <c r="F14">
        <f t="shared" si="3"/>
        <v>108</v>
      </c>
      <c r="G14">
        <v>17250</v>
      </c>
      <c r="H14">
        <f t="shared" si="4"/>
        <v>1863000</v>
      </c>
    </row>
    <row r="15" spans="1:8" x14ac:dyDescent="0.35">
      <c r="A15" t="s">
        <v>36</v>
      </c>
      <c r="B15">
        <f>index!R16</f>
        <v>0</v>
      </c>
      <c r="C15">
        <f>index!S16</f>
        <v>18</v>
      </c>
      <c r="D15">
        <f>index!T16</f>
        <v>0</v>
      </c>
      <c r="E15">
        <f>index!U16</f>
        <v>2</v>
      </c>
      <c r="F15">
        <f t="shared" si="3"/>
        <v>20</v>
      </c>
      <c r="G15">
        <v>23000</v>
      </c>
      <c r="H15">
        <f t="shared" si="4"/>
        <v>460000</v>
      </c>
    </row>
    <row r="16" spans="1:8" x14ac:dyDescent="0.35">
      <c r="A16" t="s">
        <v>15</v>
      </c>
      <c r="B16">
        <f>index!R17</f>
        <v>0</v>
      </c>
      <c r="C16">
        <f>index!S17</f>
        <v>9</v>
      </c>
      <c r="D16">
        <f>index!T17</f>
        <v>0</v>
      </c>
      <c r="E16">
        <f>index!U17</f>
        <v>0</v>
      </c>
      <c r="F16">
        <f t="shared" si="3"/>
        <v>9</v>
      </c>
      <c r="G16">
        <v>30000</v>
      </c>
      <c r="H16">
        <f t="shared" si="4"/>
        <v>270000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30</v>
      </c>
      <c r="C20">
        <f>index!S21</f>
        <v>75</v>
      </c>
      <c r="D20">
        <f>index!T21</f>
        <v>27</v>
      </c>
      <c r="E20">
        <f>index!U21</f>
        <v>14</v>
      </c>
      <c r="F20">
        <f t="shared" si="3"/>
        <v>146</v>
      </c>
      <c r="G20">
        <v>9600</v>
      </c>
      <c r="H20">
        <f t="shared" si="4"/>
        <v>1401600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75</v>
      </c>
      <c r="C22">
        <f t="shared" ref="C22:H22" si="5">SUM(C9:C21)</f>
        <v>202</v>
      </c>
      <c r="D22">
        <f t="shared" si="5"/>
        <v>87</v>
      </c>
      <c r="E22">
        <f t="shared" si="5"/>
        <v>57</v>
      </c>
      <c r="F22">
        <f t="shared" si="5"/>
        <v>421</v>
      </c>
      <c r="H22">
        <f t="shared" si="5"/>
        <v>5584300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80"/>
  <sheetViews>
    <sheetView workbookViewId="0">
      <selection activeCell="A50" sqref="A50:L80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118200</v>
      </c>
      <c r="K33" s="44">
        <f>index!BO34</f>
        <v>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0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0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0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0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0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0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0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0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0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0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0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0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118200</v>
      </c>
      <c r="K46" s="44">
        <f>index!BO47</f>
        <v>0</v>
      </c>
      <c r="L46" s="40">
        <f>index!BP47</f>
        <v>0</v>
      </c>
    </row>
    <row r="47" spans="1:12" x14ac:dyDescent="0.35">
      <c r="A47" s="39">
        <v>46</v>
      </c>
      <c r="B47" s="40">
        <f>index!AL48</f>
        <v>0</v>
      </c>
      <c r="C47" s="41">
        <f>index!AM48</f>
        <v>0</v>
      </c>
      <c r="D47" s="42" t="str">
        <f>index!AN48</f>
        <v/>
      </c>
      <c r="E47" s="31">
        <f>index!AO48</f>
        <v>0</v>
      </c>
      <c r="F47" s="31" t="e">
        <f>index!AP48</f>
        <v>#N/A</v>
      </c>
      <c r="G47" s="43">
        <f>index!AQ48</f>
        <v>0</v>
      </c>
      <c r="H47" s="6">
        <f>index!AR48</f>
        <v>0</v>
      </c>
      <c r="I47" s="44" t="e">
        <f>index!BJ48</f>
        <v>#VALUE!</v>
      </c>
      <c r="J47" s="44">
        <f>index!BM48</f>
        <v>0</v>
      </c>
      <c r="K47" s="44" t="e">
        <f>index!BO48</f>
        <v>#VALUE!</v>
      </c>
      <c r="L47" s="40">
        <f>index!BP48</f>
        <v>0</v>
      </c>
    </row>
    <row r="48" spans="1:12" x14ac:dyDescent="0.35">
      <c r="A48" s="39">
        <v>47</v>
      </c>
      <c r="B48" s="40">
        <f>index!AL49</f>
        <v>0</v>
      </c>
      <c r="C48" s="41">
        <f>index!AM49</f>
        <v>0</v>
      </c>
      <c r="D48" s="42" t="str">
        <f>index!AN49</f>
        <v/>
      </c>
      <c r="E48" s="31">
        <f>index!AO49</f>
        <v>0</v>
      </c>
      <c r="F48" s="31" t="e">
        <f>index!AP49</f>
        <v>#N/A</v>
      </c>
      <c r="G48" s="43">
        <f>index!AQ49</f>
        <v>0</v>
      </c>
      <c r="H48" s="6">
        <f>index!AR49</f>
        <v>0</v>
      </c>
      <c r="I48" s="44" t="e">
        <f>index!BJ49</f>
        <v>#VALUE!</v>
      </c>
      <c r="J48" s="44">
        <f>index!BM49</f>
        <v>0</v>
      </c>
      <c r="K48" s="44" t="e">
        <f>index!BO49</f>
        <v>#VALUE!</v>
      </c>
      <c r="L48" s="40">
        <f>index!BP49</f>
        <v>0</v>
      </c>
    </row>
    <row r="49" spans="1:12" x14ac:dyDescent="0.35">
      <c r="A49" s="39">
        <v>48</v>
      </c>
      <c r="B49" s="40">
        <f>index!AL50</f>
        <v>0</v>
      </c>
      <c r="C49" s="41">
        <f>index!AM50</f>
        <v>0</v>
      </c>
      <c r="D49" s="42" t="str">
        <f>index!AN50</f>
        <v/>
      </c>
      <c r="E49" s="31">
        <f>index!AO50</f>
        <v>0</v>
      </c>
      <c r="F49" s="31" t="e">
        <f>index!AP50</f>
        <v>#N/A</v>
      </c>
      <c r="G49" s="43">
        <f>index!AQ50</f>
        <v>0</v>
      </c>
      <c r="H49" s="6">
        <f>index!AR50</f>
        <v>0</v>
      </c>
      <c r="I49" s="44" t="e">
        <f>index!BJ50</f>
        <v>#VALUE!</v>
      </c>
      <c r="J49" s="44">
        <f>index!BM50</f>
        <v>0</v>
      </c>
      <c r="K49" s="44" t="e">
        <f>index!BO50</f>
        <v>#VALUE!</v>
      </c>
      <c r="L49" s="40">
        <f>index!BP50</f>
        <v>0</v>
      </c>
    </row>
    <row r="50" spans="1:12" x14ac:dyDescent="0.35">
      <c r="A50" s="39">
        <v>49</v>
      </c>
      <c r="B50" s="40">
        <f>index!AL51</f>
        <v>0</v>
      </c>
      <c r="C50" s="41">
        <f>index!AM51</f>
        <v>0</v>
      </c>
      <c r="D50" s="42" t="str">
        <f>index!AN51</f>
        <v/>
      </c>
      <c r="E50" s="31">
        <f>index!AO51</f>
        <v>0</v>
      </c>
      <c r="F50" s="31" t="e">
        <f>index!AP51</f>
        <v>#N/A</v>
      </c>
      <c r="G50" s="43">
        <f>index!AQ51</f>
        <v>0</v>
      </c>
      <c r="H50" s="6">
        <f>index!AR51</f>
        <v>0</v>
      </c>
      <c r="I50" s="44" t="e">
        <f>index!BJ51</f>
        <v>#VALUE!</v>
      </c>
      <c r="J50" s="44">
        <f>index!BM51</f>
        <v>0</v>
      </c>
      <c r="K50" s="44" t="e">
        <f>index!BO51</f>
        <v>#VALUE!</v>
      </c>
      <c r="L50" s="40">
        <f>index!BP51</f>
        <v>0</v>
      </c>
    </row>
    <row r="51" spans="1:12" x14ac:dyDescent="0.35">
      <c r="A51" s="39">
        <v>50</v>
      </c>
      <c r="B51" s="40">
        <f>index!AL52</f>
        <v>0</v>
      </c>
      <c r="C51" s="41">
        <f>index!AM52</f>
        <v>0</v>
      </c>
      <c r="D51" s="42" t="str">
        <f>index!AN52</f>
        <v/>
      </c>
      <c r="E51" s="31">
        <f>index!AO52</f>
        <v>0</v>
      </c>
      <c r="F51" s="31" t="e">
        <f>index!AP52</f>
        <v>#N/A</v>
      </c>
      <c r="G51" s="43">
        <f>index!AQ52</f>
        <v>0</v>
      </c>
      <c r="H51" s="6">
        <f>index!AR52</f>
        <v>0</v>
      </c>
      <c r="I51" s="44" t="e">
        <f>index!BJ52</f>
        <v>#VALUE!</v>
      </c>
      <c r="J51" s="44">
        <f>index!BM52</f>
        <v>0</v>
      </c>
      <c r="K51" s="44" t="e">
        <f>index!BO52</f>
        <v>#VALUE!</v>
      </c>
      <c r="L51" s="40">
        <f>index!BP52</f>
        <v>0</v>
      </c>
    </row>
    <row r="52" spans="1:12" x14ac:dyDescent="0.35">
      <c r="A52" s="39">
        <v>51</v>
      </c>
      <c r="B52" s="40">
        <f>index!AL53</f>
        <v>0</v>
      </c>
      <c r="C52" s="41">
        <f>index!AM53</f>
        <v>0</v>
      </c>
      <c r="D52" s="42" t="str">
        <f>index!AN53</f>
        <v/>
      </c>
      <c r="E52" s="31">
        <f>index!AO53</f>
        <v>0</v>
      </c>
      <c r="F52" s="31" t="e">
        <f>index!AP53</f>
        <v>#N/A</v>
      </c>
      <c r="G52" s="43">
        <f>index!AQ53</f>
        <v>0</v>
      </c>
      <c r="H52" s="6">
        <f>index!AR53</f>
        <v>0</v>
      </c>
      <c r="I52" s="44" t="e">
        <f>index!BJ53</f>
        <v>#VALUE!</v>
      </c>
      <c r="J52" s="44">
        <f>index!BM53</f>
        <v>0</v>
      </c>
      <c r="K52" s="44" t="e">
        <f>index!BO53</f>
        <v>#VALUE!</v>
      </c>
      <c r="L52" s="40">
        <f>index!BP53</f>
        <v>0</v>
      </c>
    </row>
    <row r="53" spans="1:12" x14ac:dyDescent="0.35">
      <c r="A53" s="39">
        <v>52</v>
      </c>
      <c r="B53" s="40">
        <f>index!AL54</f>
        <v>0</v>
      </c>
      <c r="C53" s="41">
        <f>index!AM54</f>
        <v>0</v>
      </c>
      <c r="D53" s="42" t="str">
        <f>index!AN54</f>
        <v/>
      </c>
      <c r="E53" s="31">
        <f>index!AO54</f>
        <v>0</v>
      </c>
      <c r="F53" s="31" t="e">
        <f>index!AP54</f>
        <v>#N/A</v>
      </c>
      <c r="G53" s="43">
        <f>index!AQ54</f>
        <v>0</v>
      </c>
      <c r="H53" s="6">
        <f>index!AR54</f>
        <v>0</v>
      </c>
      <c r="I53" s="44" t="e">
        <f>index!BJ54</f>
        <v>#VALUE!</v>
      </c>
      <c r="J53" s="44">
        <f>index!BM54</f>
        <v>0</v>
      </c>
      <c r="K53" s="44" t="e">
        <f>index!BO54</f>
        <v>#VALUE!</v>
      </c>
      <c r="L53" s="40">
        <f>index!BP54</f>
        <v>0</v>
      </c>
    </row>
    <row r="54" spans="1:12" x14ac:dyDescent="0.35">
      <c r="A54" s="39">
        <v>53</v>
      </c>
      <c r="B54" s="40">
        <f>index!AL55</f>
        <v>0</v>
      </c>
      <c r="C54" s="41">
        <f>index!AM55</f>
        <v>0</v>
      </c>
      <c r="D54" s="42" t="str">
        <f>index!AN55</f>
        <v/>
      </c>
      <c r="E54" s="31">
        <f>index!AO55</f>
        <v>0</v>
      </c>
      <c r="F54" s="31" t="e">
        <f>index!AP55</f>
        <v>#N/A</v>
      </c>
      <c r="G54" s="43">
        <f>index!AQ55</f>
        <v>0</v>
      </c>
      <c r="H54" s="6">
        <f>index!AR55</f>
        <v>0</v>
      </c>
      <c r="I54" s="44" t="e">
        <f>index!BJ55</f>
        <v>#VALUE!</v>
      </c>
      <c r="J54" s="44">
        <f>index!BM55</f>
        <v>0</v>
      </c>
      <c r="K54" s="44" t="e">
        <f>index!BO55</f>
        <v>#VALUE!</v>
      </c>
      <c r="L54" s="40">
        <f>index!BP55</f>
        <v>0</v>
      </c>
    </row>
    <row r="55" spans="1:12" x14ac:dyDescent="0.35">
      <c r="A55" s="39">
        <v>54</v>
      </c>
      <c r="B55" s="40">
        <f>index!AL56</f>
        <v>0</v>
      </c>
      <c r="C55" s="41">
        <f>index!AM56</f>
        <v>0</v>
      </c>
      <c r="D55" s="42" t="str">
        <f>index!AN56</f>
        <v/>
      </c>
      <c r="E55" s="31">
        <f>index!AO56</f>
        <v>0</v>
      </c>
      <c r="F55" s="31" t="e">
        <f>index!AP56</f>
        <v>#N/A</v>
      </c>
      <c r="G55" s="43">
        <f>index!AQ56</f>
        <v>0</v>
      </c>
      <c r="H55" s="6">
        <f>index!AR56</f>
        <v>0</v>
      </c>
      <c r="I55" s="44" t="e">
        <f>index!BJ56</f>
        <v>#VALUE!</v>
      </c>
      <c r="J55" s="44">
        <f>index!BM56</f>
        <v>0</v>
      </c>
      <c r="K55" s="44" t="e">
        <f>index!BO56</f>
        <v>#VALUE!</v>
      </c>
      <c r="L55" s="40">
        <f>index!BP56</f>
        <v>0</v>
      </c>
    </row>
    <row r="56" spans="1:12" x14ac:dyDescent="0.35">
      <c r="A56" s="39">
        <v>55</v>
      </c>
      <c r="B56" s="40">
        <f>index!AL57</f>
        <v>0</v>
      </c>
      <c r="C56" s="41">
        <f>index!AM57</f>
        <v>0</v>
      </c>
      <c r="D56" s="42" t="str">
        <f>index!AN57</f>
        <v/>
      </c>
      <c r="E56" s="31">
        <f>index!AO57</f>
        <v>0</v>
      </c>
      <c r="F56" s="31" t="e">
        <f>index!AP57</f>
        <v>#N/A</v>
      </c>
      <c r="G56" s="43">
        <f>index!AQ57</f>
        <v>0</v>
      </c>
      <c r="H56" s="6">
        <f>index!AR57</f>
        <v>0</v>
      </c>
      <c r="I56" s="44" t="e">
        <f>index!BJ57</f>
        <v>#VALUE!</v>
      </c>
      <c r="J56" s="44">
        <f>index!BM57</f>
        <v>0</v>
      </c>
      <c r="K56" s="44" t="e">
        <f>index!BO57</f>
        <v>#VALUE!</v>
      </c>
      <c r="L56" s="40">
        <f>index!BP57</f>
        <v>0</v>
      </c>
    </row>
    <row r="57" spans="1:12" x14ac:dyDescent="0.35">
      <c r="A57" s="39">
        <v>56</v>
      </c>
      <c r="B57" s="40">
        <f>index!AL58</f>
        <v>0</v>
      </c>
      <c r="C57" s="41">
        <f>index!AM58</f>
        <v>0</v>
      </c>
      <c r="D57" s="42" t="str">
        <f>index!AN58</f>
        <v/>
      </c>
      <c r="E57" s="31">
        <f>index!AO58</f>
        <v>0</v>
      </c>
      <c r="F57" s="31" t="e">
        <f>index!AP58</f>
        <v>#N/A</v>
      </c>
      <c r="G57" s="43">
        <f>index!AQ58</f>
        <v>0</v>
      </c>
      <c r="H57" s="6">
        <f>index!AR58</f>
        <v>0</v>
      </c>
      <c r="I57" s="44" t="e">
        <f>index!BJ58</f>
        <v>#VALUE!</v>
      </c>
      <c r="J57" s="44">
        <f>index!BM58</f>
        <v>0</v>
      </c>
      <c r="K57" s="44" t="e">
        <f>index!BO58</f>
        <v>#VALUE!</v>
      </c>
      <c r="L57" s="40">
        <f>index!BP58</f>
        <v>0</v>
      </c>
    </row>
    <row r="58" spans="1:12" x14ac:dyDescent="0.35">
      <c r="A58" s="39">
        <v>57</v>
      </c>
      <c r="B58" s="40">
        <f>index!AL59</f>
        <v>0</v>
      </c>
      <c r="C58" s="41">
        <f>index!AM59</f>
        <v>0</v>
      </c>
      <c r="D58" s="42" t="str">
        <f>index!AN59</f>
        <v/>
      </c>
      <c r="E58" s="31">
        <f>index!AO59</f>
        <v>0</v>
      </c>
      <c r="F58" s="31" t="e">
        <f>index!AP59</f>
        <v>#N/A</v>
      </c>
      <c r="G58" s="43">
        <f>index!AQ59</f>
        <v>0</v>
      </c>
      <c r="H58" s="6">
        <f>index!AR59</f>
        <v>0</v>
      </c>
      <c r="I58" s="44" t="e">
        <f>index!BJ59</f>
        <v>#VALUE!</v>
      </c>
      <c r="J58" s="44">
        <f>index!BM59</f>
        <v>0</v>
      </c>
      <c r="K58" s="44" t="e">
        <f>index!BO59</f>
        <v>#VALUE!</v>
      </c>
      <c r="L58" s="40">
        <f>index!BP59</f>
        <v>0</v>
      </c>
    </row>
    <row r="59" spans="1:12" x14ac:dyDescent="0.35">
      <c r="A59" s="39">
        <v>58</v>
      </c>
      <c r="B59" s="40">
        <f>index!AL60</f>
        <v>0</v>
      </c>
      <c r="C59" s="41">
        <f>index!AM60</f>
        <v>0</v>
      </c>
      <c r="D59" s="42" t="str">
        <f>index!AN60</f>
        <v/>
      </c>
      <c r="E59" s="31">
        <f>index!AO60</f>
        <v>0</v>
      </c>
      <c r="F59" s="31" t="e">
        <f>index!AP60</f>
        <v>#N/A</v>
      </c>
      <c r="G59" s="43">
        <f>index!AQ60</f>
        <v>0</v>
      </c>
      <c r="H59" s="6">
        <f>index!AR60</f>
        <v>0</v>
      </c>
      <c r="I59" s="44" t="e">
        <f>index!BJ60</f>
        <v>#VALUE!</v>
      </c>
      <c r="J59" s="44">
        <f>index!BM60</f>
        <v>0</v>
      </c>
      <c r="K59" s="44" t="e">
        <f>index!BO60</f>
        <v>#VALUE!</v>
      </c>
      <c r="L59" s="40">
        <f>index!BP60</f>
        <v>0</v>
      </c>
    </row>
    <row r="60" spans="1:12" x14ac:dyDescent="0.35">
      <c r="A60" s="39">
        <v>59</v>
      </c>
      <c r="B60" s="40">
        <f>index!AL61</f>
        <v>0</v>
      </c>
      <c r="C60" s="41">
        <f>index!AM61</f>
        <v>0</v>
      </c>
      <c r="D60" s="42" t="str">
        <f>index!AN61</f>
        <v/>
      </c>
      <c r="E60" s="31">
        <f>index!AO61</f>
        <v>0</v>
      </c>
      <c r="F60" s="31" t="e">
        <f>index!AP61</f>
        <v>#N/A</v>
      </c>
      <c r="G60" s="43">
        <f>index!AQ61</f>
        <v>0</v>
      </c>
      <c r="H60" s="6">
        <f>index!AR61</f>
        <v>0</v>
      </c>
      <c r="I60" s="44" t="e">
        <f>index!BJ61</f>
        <v>#VALUE!</v>
      </c>
      <c r="J60" s="44">
        <f>index!BM61</f>
        <v>0</v>
      </c>
      <c r="K60" s="44" t="e">
        <f>index!BO61</f>
        <v>#VALUE!</v>
      </c>
      <c r="L60" s="40">
        <f>index!BP61</f>
        <v>0</v>
      </c>
    </row>
    <row r="61" spans="1:12" x14ac:dyDescent="0.35">
      <c r="A61" s="39">
        <v>60</v>
      </c>
      <c r="B61" s="40">
        <f>index!AL62</f>
        <v>0</v>
      </c>
      <c r="C61" s="41">
        <f>index!AM62</f>
        <v>0</v>
      </c>
      <c r="D61" s="42" t="str">
        <f>index!AN62</f>
        <v/>
      </c>
      <c r="E61" s="31">
        <f>index!AO62</f>
        <v>0</v>
      </c>
      <c r="F61" s="31" t="e">
        <f>index!AP62</f>
        <v>#N/A</v>
      </c>
      <c r="G61" s="43">
        <f>index!AQ62</f>
        <v>0</v>
      </c>
      <c r="H61" s="6">
        <f>index!AR62</f>
        <v>0</v>
      </c>
      <c r="I61" s="44" t="e">
        <f>index!BJ62</f>
        <v>#VALUE!</v>
      </c>
      <c r="J61" s="44">
        <f>index!BM62</f>
        <v>0</v>
      </c>
      <c r="K61" s="44" t="e">
        <f>index!BO62</f>
        <v>#VALUE!</v>
      </c>
      <c r="L61" s="40">
        <f>index!BP62</f>
        <v>0</v>
      </c>
    </row>
    <row r="62" spans="1:12" x14ac:dyDescent="0.35">
      <c r="A62" s="39">
        <v>61</v>
      </c>
      <c r="B62" s="40">
        <f>index!AL63</f>
        <v>0</v>
      </c>
      <c r="C62" s="41">
        <f>index!AM63</f>
        <v>0</v>
      </c>
      <c r="D62" s="42" t="str">
        <f>index!AN63</f>
        <v/>
      </c>
      <c r="E62" s="31">
        <f>index!AO63</f>
        <v>0</v>
      </c>
      <c r="F62" s="31" t="e">
        <f>index!AP63</f>
        <v>#N/A</v>
      </c>
      <c r="G62" s="43">
        <f>index!AQ63</f>
        <v>0</v>
      </c>
      <c r="H62" s="6">
        <f>index!AR63</f>
        <v>0</v>
      </c>
      <c r="I62" s="44" t="e">
        <f>index!BJ63</f>
        <v>#VALUE!</v>
      </c>
      <c r="J62" s="44">
        <f>index!BM63</f>
        <v>0</v>
      </c>
      <c r="K62" s="44" t="e">
        <f>index!BO63</f>
        <v>#VALUE!</v>
      </c>
      <c r="L62" s="40">
        <f>index!BP63</f>
        <v>0</v>
      </c>
    </row>
    <row r="63" spans="1:12" x14ac:dyDescent="0.35">
      <c r="A63" s="39">
        <v>62</v>
      </c>
      <c r="B63" s="40">
        <f>index!AL64</f>
        <v>0</v>
      </c>
      <c r="C63" s="41">
        <f>index!AM64</f>
        <v>0</v>
      </c>
      <c r="D63" s="42" t="str">
        <f>index!AN64</f>
        <v/>
      </c>
      <c r="E63" s="31">
        <f>index!AO64</f>
        <v>0</v>
      </c>
      <c r="F63" s="31" t="e">
        <f>index!AP64</f>
        <v>#N/A</v>
      </c>
      <c r="G63" s="43">
        <f>index!AQ64</f>
        <v>0</v>
      </c>
      <c r="H63" s="6">
        <f>index!AR64</f>
        <v>0</v>
      </c>
      <c r="I63" s="44" t="e">
        <f>index!BJ64</f>
        <v>#VALUE!</v>
      </c>
      <c r="J63" s="44">
        <f>index!BM64</f>
        <v>0</v>
      </c>
      <c r="K63" s="44" t="e">
        <f>index!BO64</f>
        <v>#VALUE!</v>
      </c>
      <c r="L63" s="40">
        <f>index!BP64</f>
        <v>0</v>
      </c>
    </row>
    <row r="64" spans="1:12" x14ac:dyDescent="0.35">
      <c r="A64" s="39">
        <v>63</v>
      </c>
      <c r="B64" s="40">
        <f>index!AL65</f>
        <v>0</v>
      </c>
      <c r="C64" s="41">
        <f>index!AM65</f>
        <v>0</v>
      </c>
      <c r="D64" s="42" t="str">
        <f>index!AN65</f>
        <v/>
      </c>
      <c r="E64" s="31">
        <f>index!AO65</f>
        <v>0</v>
      </c>
      <c r="F64" s="31" t="e">
        <f>index!AP65</f>
        <v>#N/A</v>
      </c>
      <c r="G64" s="43">
        <f>index!AQ65</f>
        <v>0</v>
      </c>
      <c r="H64" s="6">
        <f>index!AR65</f>
        <v>0</v>
      </c>
      <c r="I64" s="44" t="e">
        <f>index!BJ65</f>
        <v>#VALUE!</v>
      </c>
      <c r="J64" s="44">
        <f>index!BM65</f>
        <v>0</v>
      </c>
      <c r="K64" s="44" t="e">
        <f>index!BO65</f>
        <v>#VALUE!</v>
      </c>
      <c r="L64" s="40">
        <f>index!BP65</f>
        <v>0</v>
      </c>
    </row>
    <row r="65" spans="1:12" x14ac:dyDescent="0.35">
      <c r="A65" s="39">
        <v>64</v>
      </c>
      <c r="B65" s="40">
        <f>index!AL66</f>
        <v>0</v>
      </c>
      <c r="C65" s="41">
        <f>index!AM66</f>
        <v>0</v>
      </c>
      <c r="D65" s="42" t="str">
        <f>index!AN66</f>
        <v/>
      </c>
      <c r="E65" s="31">
        <f>index!AO66</f>
        <v>0</v>
      </c>
      <c r="F65" s="31" t="e">
        <f>index!AP66</f>
        <v>#N/A</v>
      </c>
      <c r="G65" s="43">
        <f>index!AQ66</f>
        <v>0</v>
      </c>
      <c r="H65" s="6">
        <f>index!AR66</f>
        <v>0</v>
      </c>
      <c r="I65" s="44" t="e">
        <f>index!BJ66</f>
        <v>#VALUE!</v>
      </c>
      <c r="J65" s="44">
        <f>index!BM66</f>
        <v>0</v>
      </c>
      <c r="K65" s="44" t="e">
        <f>index!BO66</f>
        <v>#VALUE!</v>
      </c>
      <c r="L65" s="40">
        <f>index!BP66</f>
        <v>0</v>
      </c>
    </row>
    <row r="66" spans="1:12" x14ac:dyDescent="0.35">
      <c r="A66" s="39">
        <v>65</v>
      </c>
      <c r="B66" s="40">
        <f>index!AL67</f>
        <v>0</v>
      </c>
      <c r="C66" s="41">
        <f>index!AM67</f>
        <v>0</v>
      </c>
      <c r="D66" s="42" t="str">
        <f>index!AN67</f>
        <v/>
      </c>
      <c r="E66" s="31">
        <f>index!AO67</f>
        <v>0</v>
      </c>
      <c r="F66" s="31" t="e">
        <f>index!AP67</f>
        <v>#N/A</v>
      </c>
      <c r="G66" s="43">
        <f>index!AQ67</f>
        <v>0</v>
      </c>
      <c r="H66" s="6">
        <f>index!AR67</f>
        <v>0</v>
      </c>
      <c r="I66" s="44" t="e">
        <f>index!BJ67</f>
        <v>#VALUE!</v>
      </c>
      <c r="J66" s="44">
        <f>index!BM67</f>
        <v>0</v>
      </c>
      <c r="K66" s="44" t="e">
        <f>index!BO67</f>
        <v>#VALUE!</v>
      </c>
      <c r="L66" s="40">
        <f>index!BP67</f>
        <v>0</v>
      </c>
    </row>
    <row r="67" spans="1:12" x14ac:dyDescent="0.35">
      <c r="A67" s="39">
        <v>66</v>
      </c>
      <c r="B67" s="40">
        <f>index!AL68</f>
        <v>0</v>
      </c>
      <c r="C67" s="41">
        <f>index!AM68</f>
        <v>0</v>
      </c>
      <c r="D67" s="42" t="str">
        <f>index!AN68</f>
        <v/>
      </c>
      <c r="E67" s="31">
        <f>index!AO68</f>
        <v>0</v>
      </c>
      <c r="F67" s="31" t="e">
        <f>index!AP68</f>
        <v>#N/A</v>
      </c>
      <c r="G67" s="43">
        <f>index!AQ68</f>
        <v>0</v>
      </c>
      <c r="H67" s="6">
        <f>index!AR68</f>
        <v>0</v>
      </c>
      <c r="I67" s="44" t="e">
        <f>index!BJ68</f>
        <v>#VALUE!</v>
      </c>
      <c r="J67" s="44">
        <f>index!BM68</f>
        <v>0</v>
      </c>
      <c r="K67" s="44" t="e">
        <f>index!BO68</f>
        <v>#VALUE!</v>
      </c>
      <c r="L67" s="40">
        <f>index!BP68</f>
        <v>0</v>
      </c>
    </row>
    <row r="68" spans="1:12" x14ac:dyDescent="0.35">
      <c r="A68" s="39">
        <v>67</v>
      </c>
      <c r="B68" s="40">
        <f>index!AL69</f>
        <v>0</v>
      </c>
      <c r="C68" s="41">
        <f>index!AM69</f>
        <v>0</v>
      </c>
      <c r="D68" s="42" t="str">
        <f>index!AN69</f>
        <v/>
      </c>
      <c r="E68" s="31">
        <f>index!AO69</f>
        <v>0</v>
      </c>
      <c r="F68" s="31" t="e">
        <f>index!AP69</f>
        <v>#N/A</v>
      </c>
      <c r="G68" s="43">
        <f>index!AQ69</f>
        <v>0</v>
      </c>
      <c r="H68" s="6">
        <f>index!AR69</f>
        <v>0</v>
      </c>
      <c r="I68" s="44" t="e">
        <f>index!BJ69</f>
        <v>#VALUE!</v>
      </c>
      <c r="J68" s="44">
        <f>index!BM69</f>
        <v>0</v>
      </c>
      <c r="K68" s="44" t="e">
        <f>index!BO69</f>
        <v>#VALUE!</v>
      </c>
      <c r="L68" s="40">
        <f>index!BP69</f>
        <v>0</v>
      </c>
    </row>
    <row r="69" spans="1:12" x14ac:dyDescent="0.35">
      <c r="A69" s="39">
        <v>68</v>
      </c>
      <c r="B69" s="40">
        <f>index!AL70</f>
        <v>0</v>
      </c>
      <c r="C69" s="41">
        <f>index!AM70</f>
        <v>0</v>
      </c>
      <c r="D69" s="42" t="str">
        <f>index!AN70</f>
        <v/>
      </c>
      <c r="E69" s="31">
        <f>index!AO70</f>
        <v>0</v>
      </c>
      <c r="F69" s="31" t="e">
        <f>index!AP70</f>
        <v>#N/A</v>
      </c>
      <c r="G69" s="43">
        <f>index!AQ70</f>
        <v>0</v>
      </c>
      <c r="H69" s="6">
        <f>index!AR70</f>
        <v>0</v>
      </c>
      <c r="I69" s="44" t="e">
        <f>index!BJ70</f>
        <v>#VALUE!</v>
      </c>
      <c r="J69" s="44">
        <f>index!BM70</f>
        <v>0</v>
      </c>
      <c r="K69" s="44" t="e">
        <f>index!BO70</f>
        <v>#VALUE!</v>
      </c>
      <c r="L69" s="40">
        <f>index!BP70</f>
        <v>0</v>
      </c>
    </row>
    <row r="70" spans="1:12" x14ac:dyDescent="0.35">
      <c r="A70" s="39">
        <v>69</v>
      </c>
      <c r="B70" s="40">
        <f>index!AL71</f>
        <v>0</v>
      </c>
      <c r="C70" s="41">
        <f>index!AM71</f>
        <v>0</v>
      </c>
      <c r="D70" s="42" t="str">
        <f>index!AN71</f>
        <v/>
      </c>
      <c r="E70" s="31">
        <f>index!AO71</f>
        <v>0</v>
      </c>
      <c r="F70" s="31" t="e">
        <f>index!AP71</f>
        <v>#N/A</v>
      </c>
      <c r="G70" s="43">
        <f>index!AQ71</f>
        <v>0</v>
      </c>
      <c r="H70" s="6">
        <f>index!AR71</f>
        <v>0</v>
      </c>
      <c r="I70" s="44" t="e">
        <f>index!BJ71</f>
        <v>#VALUE!</v>
      </c>
      <c r="J70" s="44">
        <f>index!BM71</f>
        <v>0</v>
      </c>
      <c r="K70" s="44" t="e">
        <f>index!BO71</f>
        <v>#VALUE!</v>
      </c>
      <c r="L70" s="40">
        <f>index!BP71</f>
        <v>0</v>
      </c>
    </row>
    <row r="71" spans="1:12" x14ac:dyDescent="0.35">
      <c r="A71" s="39">
        <v>70</v>
      </c>
      <c r="B71" s="40">
        <f>index!AL72</f>
        <v>0</v>
      </c>
      <c r="C71" s="41">
        <f>index!AM72</f>
        <v>0</v>
      </c>
      <c r="D71" s="42" t="str">
        <f>index!AN72</f>
        <v/>
      </c>
      <c r="E71" s="31">
        <f>index!AO72</f>
        <v>0</v>
      </c>
      <c r="F71" s="31" t="e">
        <f>index!AP72</f>
        <v>#N/A</v>
      </c>
      <c r="G71" s="43">
        <f>index!AQ72</f>
        <v>0</v>
      </c>
      <c r="H71" s="6">
        <f>index!AR72</f>
        <v>0</v>
      </c>
      <c r="I71" s="44" t="e">
        <f>index!BJ72</f>
        <v>#VALUE!</v>
      </c>
      <c r="J71" s="44">
        <f>index!BM72</f>
        <v>0</v>
      </c>
      <c r="K71" s="44" t="e">
        <f>index!BO72</f>
        <v>#VALUE!</v>
      </c>
      <c r="L71" s="40">
        <f>index!BP72</f>
        <v>0</v>
      </c>
    </row>
    <row r="72" spans="1:12" x14ac:dyDescent="0.35">
      <c r="A72" s="39">
        <v>71</v>
      </c>
      <c r="B72" s="40">
        <f>index!AL73</f>
        <v>0</v>
      </c>
      <c r="C72" s="41">
        <f>index!AM73</f>
        <v>0</v>
      </c>
      <c r="D72" s="42" t="str">
        <f>index!AN73</f>
        <v/>
      </c>
      <c r="E72" s="31">
        <f>index!AO73</f>
        <v>0</v>
      </c>
      <c r="F72" s="31" t="e">
        <f>index!AP73</f>
        <v>#N/A</v>
      </c>
      <c r="G72" s="43">
        <f>index!AQ73</f>
        <v>0</v>
      </c>
      <c r="H72" s="6">
        <f>index!AR73</f>
        <v>0</v>
      </c>
      <c r="I72" s="44" t="e">
        <f>index!BJ73</f>
        <v>#VALUE!</v>
      </c>
      <c r="J72" s="44">
        <f>index!BM73</f>
        <v>0</v>
      </c>
      <c r="K72" s="44" t="e">
        <f>index!BO73</f>
        <v>#VALUE!</v>
      </c>
      <c r="L72" s="40">
        <f>index!BP73</f>
        <v>0</v>
      </c>
    </row>
    <row r="73" spans="1:12" x14ac:dyDescent="0.35">
      <c r="A73" s="39">
        <v>72</v>
      </c>
      <c r="B73" s="40">
        <f>index!AL74</f>
        <v>0</v>
      </c>
      <c r="C73" s="41">
        <f>index!AM74</f>
        <v>0</v>
      </c>
      <c r="D73" s="42" t="str">
        <f>index!AN74</f>
        <v/>
      </c>
      <c r="E73" s="31">
        <f>index!AO74</f>
        <v>0</v>
      </c>
      <c r="F73" s="31" t="e">
        <f>index!AP74</f>
        <v>#N/A</v>
      </c>
      <c r="G73" s="43">
        <f>index!AQ74</f>
        <v>0</v>
      </c>
      <c r="H73" s="6">
        <f>index!AR74</f>
        <v>0</v>
      </c>
      <c r="I73" s="44" t="e">
        <f>index!BJ74</f>
        <v>#VALUE!</v>
      </c>
      <c r="J73" s="44">
        <f>index!BM74</f>
        <v>0</v>
      </c>
      <c r="K73" s="44" t="e">
        <f>index!BO74</f>
        <v>#VALUE!</v>
      </c>
      <c r="L73" s="40">
        <f>index!BP74</f>
        <v>0</v>
      </c>
    </row>
    <row r="74" spans="1:12" x14ac:dyDescent="0.35">
      <c r="A74" s="39">
        <v>73</v>
      </c>
      <c r="B74" s="40">
        <f>index!AL75</f>
        <v>0</v>
      </c>
      <c r="C74" s="41">
        <f>index!AM75</f>
        <v>0</v>
      </c>
      <c r="D74" s="42" t="str">
        <f>index!AN75</f>
        <v/>
      </c>
      <c r="E74" s="31">
        <f>index!AO75</f>
        <v>0</v>
      </c>
      <c r="F74" s="31" t="e">
        <f>index!AP75</f>
        <v>#N/A</v>
      </c>
      <c r="G74" s="43">
        <f>index!AQ75</f>
        <v>0</v>
      </c>
      <c r="H74" s="6">
        <f>index!AR75</f>
        <v>0</v>
      </c>
      <c r="I74" s="44" t="e">
        <f>index!BJ75</f>
        <v>#VALUE!</v>
      </c>
      <c r="J74" s="44">
        <f>index!BM75</f>
        <v>0</v>
      </c>
      <c r="K74" s="44" t="e">
        <f>index!BO75</f>
        <v>#VALUE!</v>
      </c>
      <c r="L74" s="40">
        <f>index!BP75</f>
        <v>0</v>
      </c>
    </row>
    <row r="75" spans="1:12" x14ac:dyDescent="0.35">
      <c r="A75" s="39">
        <v>74</v>
      </c>
      <c r="B75" s="40">
        <f>index!AL76</f>
        <v>0</v>
      </c>
      <c r="C75" s="41">
        <f>index!AM76</f>
        <v>0</v>
      </c>
      <c r="D75" s="42" t="str">
        <f>index!AN76</f>
        <v/>
      </c>
      <c r="E75" s="31">
        <f>index!AO76</f>
        <v>0</v>
      </c>
      <c r="F75" s="31" t="e">
        <f>index!AP76</f>
        <v>#N/A</v>
      </c>
      <c r="G75" s="43">
        <f>index!AQ76</f>
        <v>0</v>
      </c>
      <c r="H75" s="6">
        <f>index!AR76</f>
        <v>0</v>
      </c>
      <c r="I75" s="44" t="e">
        <f>index!BJ76</f>
        <v>#VALUE!</v>
      </c>
      <c r="J75" s="44">
        <f>index!BM76</f>
        <v>0</v>
      </c>
      <c r="K75" s="44" t="e">
        <f>index!BO76</f>
        <v>#VALUE!</v>
      </c>
      <c r="L75" s="40">
        <f>index!BP76</f>
        <v>0</v>
      </c>
    </row>
    <row r="76" spans="1:12" x14ac:dyDescent="0.35">
      <c r="A76" s="39">
        <v>75</v>
      </c>
      <c r="B76" s="40">
        <f>index!AL77</f>
        <v>0</v>
      </c>
      <c r="C76" s="41">
        <f>index!AM77</f>
        <v>0</v>
      </c>
      <c r="D76" s="42" t="str">
        <f>index!AN77</f>
        <v/>
      </c>
      <c r="E76" s="31">
        <f>index!AO77</f>
        <v>0</v>
      </c>
      <c r="F76" s="31" t="e">
        <f>index!AP77</f>
        <v>#N/A</v>
      </c>
      <c r="G76" s="43">
        <f>index!AQ77</f>
        <v>0</v>
      </c>
      <c r="H76" s="6">
        <f>index!AR77</f>
        <v>0</v>
      </c>
      <c r="I76" s="44" t="e">
        <f>index!BJ77</f>
        <v>#VALUE!</v>
      </c>
      <c r="J76" s="44">
        <f>index!BM77</f>
        <v>0</v>
      </c>
      <c r="K76" s="44" t="e">
        <f>index!BO77</f>
        <v>#VALUE!</v>
      </c>
      <c r="L76" s="40">
        <f>index!BP77</f>
        <v>0</v>
      </c>
    </row>
    <row r="77" spans="1:12" x14ac:dyDescent="0.35">
      <c r="A77" s="39">
        <v>76</v>
      </c>
      <c r="B77" s="40">
        <f>index!AL78</f>
        <v>0</v>
      </c>
      <c r="C77" s="41">
        <f>index!AM78</f>
        <v>0</v>
      </c>
      <c r="D77" s="42" t="str">
        <f>index!AN78</f>
        <v/>
      </c>
      <c r="E77" s="31">
        <f>index!AO78</f>
        <v>0</v>
      </c>
      <c r="F77" s="31" t="e">
        <f>index!AP78</f>
        <v>#N/A</v>
      </c>
      <c r="G77" s="43">
        <f>index!AQ78</f>
        <v>0</v>
      </c>
      <c r="H77" s="6">
        <f>index!AR78</f>
        <v>0</v>
      </c>
      <c r="I77" s="44" t="e">
        <f>index!BJ78</f>
        <v>#VALUE!</v>
      </c>
      <c r="J77" s="44">
        <f>index!BM78</f>
        <v>0</v>
      </c>
      <c r="K77" s="44" t="e">
        <f>index!BO78</f>
        <v>#VALUE!</v>
      </c>
      <c r="L77" s="40">
        <f>index!BP78</f>
        <v>0</v>
      </c>
    </row>
    <row r="78" spans="1:12" x14ac:dyDescent="0.35">
      <c r="A78" s="39">
        <v>77</v>
      </c>
      <c r="B78" s="40">
        <f>index!AL79</f>
        <v>0</v>
      </c>
      <c r="C78" s="41">
        <f>index!AM79</f>
        <v>0</v>
      </c>
      <c r="D78" s="42" t="str">
        <f>index!AN79</f>
        <v/>
      </c>
      <c r="E78" s="31">
        <f>index!AO79</f>
        <v>0</v>
      </c>
      <c r="F78" s="31" t="e">
        <f>index!AP79</f>
        <v>#N/A</v>
      </c>
      <c r="G78" s="43">
        <f>index!AQ79</f>
        <v>0</v>
      </c>
      <c r="H78" s="6">
        <f>index!AR79</f>
        <v>0</v>
      </c>
      <c r="I78" s="44" t="e">
        <f>index!BJ79</f>
        <v>#VALUE!</v>
      </c>
      <c r="J78" s="44">
        <f>index!BM79</f>
        <v>0</v>
      </c>
      <c r="K78" s="44" t="e">
        <f>index!BO79</f>
        <v>#VALUE!</v>
      </c>
      <c r="L78" s="40">
        <f>index!BP79</f>
        <v>0</v>
      </c>
    </row>
    <row r="79" spans="1:12" x14ac:dyDescent="0.35">
      <c r="A79" s="39">
        <v>78</v>
      </c>
      <c r="B79" s="40">
        <f>index!AL80</f>
        <v>0</v>
      </c>
      <c r="C79" s="41">
        <f>index!AM80</f>
        <v>0</v>
      </c>
      <c r="D79" s="42" t="str">
        <f>index!AN80</f>
        <v/>
      </c>
      <c r="E79" s="31">
        <f>index!AO80</f>
        <v>0</v>
      </c>
      <c r="F79" s="31" t="e">
        <f>index!AP80</f>
        <v>#N/A</v>
      </c>
      <c r="G79" s="43">
        <f>index!AQ80</f>
        <v>0</v>
      </c>
      <c r="H79" s="6">
        <f>index!AR80</f>
        <v>0</v>
      </c>
      <c r="I79" s="44" t="e">
        <f>index!BJ80</f>
        <v>#VALUE!</v>
      </c>
      <c r="J79" s="44">
        <f>index!BM80</f>
        <v>0</v>
      </c>
      <c r="K79" s="44" t="e">
        <f>index!BO80</f>
        <v>#VALUE!</v>
      </c>
      <c r="L79" s="40">
        <f>index!BP80</f>
        <v>0</v>
      </c>
    </row>
    <row r="80" spans="1:12" x14ac:dyDescent="0.35">
      <c r="A80" s="39">
        <v>79</v>
      </c>
      <c r="B80" s="40">
        <f>index!AL81</f>
        <v>0</v>
      </c>
      <c r="C80" s="41">
        <f>index!AM81</f>
        <v>0</v>
      </c>
      <c r="D80" s="42" t="str">
        <f>index!AN81</f>
        <v/>
      </c>
      <c r="E80" s="31">
        <f>index!AO81</f>
        <v>0</v>
      </c>
      <c r="F80" s="31" t="e">
        <f>index!AP81</f>
        <v>#N/A</v>
      </c>
      <c r="G80" s="43">
        <f>index!AQ81</f>
        <v>0</v>
      </c>
      <c r="H80" s="6">
        <f>index!AR81</f>
        <v>0</v>
      </c>
      <c r="I80" s="44" t="e">
        <f>index!BJ81</f>
        <v>#VALUE!</v>
      </c>
      <c r="J80" s="44">
        <f>index!BM81</f>
        <v>0</v>
      </c>
      <c r="K80" s="44" t="e">
        <f>index!BO81</f>
        <v>#VALUE!</v>
      </c>
      <c r="L80" s="40">
        <f>index!BP81</f>
        <v>0</v>
      </c>
    </row>
  </sheetData>
  <conditionalFormatting sqref="E2:E80">
    <cfRule type="duplicateValues" dxfId="7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25</v>
      </c>
      <c r="D2">
        <f>index!AD12</f>
        <v>375000</v>
      </c>
      <c r="E2">
        <f>index!AE12</f>
        <v>0</v>
      </c>
      <c r="F2">
        <f>index!AF12</f>
        <v>25</v>
      </c>
      <c r="G2">
        <f>index!AG12</f>
        <v>0</v>
      </c>
      <c r="H2">
        <f>index!AH12</f>
        <v>25</v>
      </c>
    </row>
    <row r="3" spans="1:8" x14ac:dyDescent="0.35">
      <c r="A3" t="s">
        <v>61</v>
      </c>
      <c r="B3" t="s">
        <v>54</v>
      </c>
      <c r="C3">
        <f>index!AC13</f>
        <v>25</v>
      </c>
      <c r="D3">
        <f>index!AD13</f>
        <v>375000</v>
      </c>
      <c r="E3">
        <f>index!AE13</f>
        <v>0</v>
      </c>
      <c r="F3">
        <f>index!AF13</f>
        <v>25</v>
      </c>
      <c r="G3">
        <f>index!AG13</f>
        <v>0</v>
      </c>
      <c r="H3">
        <f>index!AH13</f>
        <v>25</v>
      </c>
    </row>
    <row r="4" spans="1:8" x14ac:dyDescent="0.35">
      <c r="A4" t="s">
        <v>62</v>
      </c>
      <c r="B4" t="s">
        <v>41</v>
      </c>
      <c r="C4">
        <f>index!AC14</f>
        <v>25</v>
      </c>
      <c r="D4">
        <f>index!AD14</f>
        <v>375000</v>
      </c>
      <c r="E4">
        <f>index!AE14</f>
        <v>375000</v>
      </c>
      <c r="F4">
        <f>index!AF14</f>
        <v>25</v>
      </c>
      <c r="G4">
        <f>index!AG14</f>
        <v>0</v>
      </c>
      <c r="H4">
        <f>index!AH14</f>
        <v>25</v>
      </c>
    </row>
    <row r="5" spans="1:8" x14ac:dyDescent="0.35">
      <c r="A5" t="s">
        <v>63</v>
      </c>
      <c r="B5" t="s">
        <v>42</v>
      </c>
      <c r="C5">
        <f>index!AC15</f>
        <v>25</v>
      </c>
      <c r="D5">
        <f>index!AD15</f>
        <v>375000</v>
      </c>
      <c r="E5">
        <f>index!AE15</f>
        <v>0</v>
      </c>
      <c r="F5">
        <f>index!AF15</f>
        <v>25</v>
      </c>
      <c r="G5">
        <f>index!AG15</f>
        <v>0</v>
      </c>
      <c r="H5">
        <f>index!AH15</f>
        <v>25</v>
      </c>
    </row>
    <row r="6" spans="1:8" x14ac:dyDescent="0.35">
      <c r="C6">
        <f>SUM(C2:C5)</f>
        <v>100</v>
      </c>
      <c r="D6">
        <f t="shared" ref="D6:H6" si="0">SUM(D2:D5)</f>
        <v>1500000</v>
      </c>
      <c r="E6">
        <f t="shared" si="0"/>
        <v>375000</v>
      </c>
      <c r="F6">
        <f t="shared" si="0"/>
        <v>100</v>
      </c>
      <c r="G6">
        <f t="shared" si="0"/>
        <v>0</v>
      </c>
      <c r="H6">
        <f t="shared" si="0"/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abSelected="1"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>
        <f>index!BZ3</f>
        <v>0</v>
      </c>
      <c r="H2" s="6">
        <f>index!CA3</f>
        <v>0</v>
      </c>
      <c r="I2" s="65">
        <f>index!CB3</f>
        <v>0</v>
      </c>
      <c r="J2" s="65">
        <f>index!CC3</f>
        <v>0</v>
      </c>
      <c r="K2" s="6" t="str">
        <f>index!CD3</f>
        <v>STOK GUDANG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>
        <f>index!BZ4</f>
        <v>0</v>
      </c>
      <c r="H3" s="6">
        <f>index!CA4</f>
        <v>0</v>
      </c>
      <c r="I3" s="65">
        <f>index!CB4</f>
        <v>0</v>
      </c>
      <c r="J3" s="65">
        <f>index!CC4</f>
        <v>0</v>
      </c>
      <c r="K3" s="6" t="str">
        <f>index!CD4</f>
        <v>STOK GUDANG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>
        <f>index!BZ5</f>
        <v>0</v>
      </c>
      <c r="H4" s="6">
        <f>index!CA5</f>
        <v>0</v>
      </c>
      <c r="I4" s="65">
        <f>index!CB5</f>
        <v>0</v>
      </c>
      <c r="J4" s="65">
        <f>index!CC5</f>
        <v>0</v>
      </c>
      <c r="K4" s="6" t="str">
        <f>index!CD5</f>
        <v>STOK GUDANG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>
        <f>index!BZ6</f>
        <v>0</v>
      </c>
      <c r="H5" s="6">
        <f>index!CA6</f>
        <v>0</v>
      </c>
      <c r="I5" s="65">
        <f>index!CB6</f>
        <v>0</v>
      </c>
      <c r="J5" s="65">
        <f>index!CC6</f>
        <v>0</v>
      </c>
      <c r="K5" s="6" t="str">
        <f>index!CD6</f>
        <v>STOK GUDANG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>
        <f>index!BZ15</f>
        <v>0</v>
      </c>
      <c r="H14" s="6">
        <f>index!CA15</f>
        <v>0</v>
      </c>
      <c r="I14" s="65">
        <f>index!CB15</f>
        <v>0</v>
      </c>
      <c r="J14" s="65">
        <f>index!CC15</f>
        <v>0</v>
      </c>
      <c r="K14" s="6" t="str">
        <f>index!CD15</f>
        <v>STOK GUDANG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7"/>
      <c r="E15" s="7"/>
      <c r="F15" s="7"/>
      <c r="G15" s="6" t="str">
        <f>index!BZ16</f>
        <v>RAMLAN 3ID</v>
      </c>
      <c r="H15" s="6">
        <f>index!CA16</f>
        <v>0</v>
      </c>
      <c r="I15" s="65">
        <f>index!CB16</f>
        <v>46183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opLeftCell="BN1" workbookViewId="0">
      <selection activeCell="BT2" sqref="BT2:CE18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v>20666000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47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/>
      <c r="CA3" s="8"/>
      <c r="CB3" s="5"/>
      <c r="CC3" s="5"/>
      <c r="CD3" s="4" t="s">
        <v>127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33740200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/>
      <c r="CA4" s="8"/>
      <c r="CB4" s="5"/>
      <c r="CC4" s="5"/>
      <c r="CD4" s="4" t="s">
        <v>127</v>
      </c>
      <c r="CE4" s="5"/>
    </row>
    <row r="5" spans="1:83" x14ac:dyDescent="0.35">
      <c r="A5" s="12" t="s">
        <v>5</v>
      </c>
      <c r="B5" s="13">
        <v>0</v>
      </c>
      <c r="C5" s="14">
        <v>893</v>
      </c>
      <c r="D5" s="13">
        <f t="shared" ref="D5:D22" si="1">C5+B5</f>
        <v>893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v>32587500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/>
      <c r="CA5" s="8"/>
      <c r="CB5" s="5"/>
      <c r="CC5" s="5"/>
      <c r="CD5" s="4" t="s">
        <v>127</v>
      </c>
      <c r="CE5" s="5"/>
    </row>
    <row r="6" spans="1:83" x14ac:dyDescent="0.35">
      <c r="A6" s="12" t="s">
        <v>6</v>
      </c>
      <c r="B6" s="13">
        <v>1525</v>
      </c>
      <c r="C6" s="14">
        <v>1445</v>
      </c>
      <c r="D6" s="13">
        <f t="shared" si="1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v>42797900</v>
      </c>
      <c r="Q6" s="20" t="s">
        <v>30</v>
      </c>
      <c r="R6" s="27">
        <v>82</v>
      </c>
      <c r="S6" s="27">
        <v>19</v>
      </c>
      <c r="T6" s="27">
        <v>47</v>
      </c>
      <c r="U6" s="27">
        <v>50</v>
      </c>
      <c r="V6" s="27">
        <v>0</v>
      </c>
      <c r="W6" s="27">
        <f t="shared" si="2"/>
        <v>198</v>
      </c>
      <c r="X6" s="4">
        <v>25000</v>
      </c>
      <c r="Y6" s="27">
        <f t="shared" si="3"/>
        <v>4950000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/>
      <c r="CA6" s="8"/>
      <c r="CB6" s="5"/>
      <c r="CC6" s="5"/>
      <c r="CD6" s="4" t="s">
        <v>127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370</v>
      </c>
      <c r="H7" s="21">
        <v>155</v>
      </c>
      <c r="I7" s="21">
        <v>278</v>
      </c>
      <c r="J7" s="21">
        <v>202</v>
      </c>
      <c r="K7" s="21">
        <v>10</v>
      </c>
      <c r="L7" s="22">
        <f t="shared" si="4"/>
        <v>1015</v>
      </c>
      <c r="N7" s="31" t="s">
        <v>43</v>
      </c>
      <c r="O7" s="8">
        <f>SUM(O3:O6)</f>
        <v>129791600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100000+4900000+2500000+3350000+4100000</f>
        <v>14950000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1700000+5081700+5228000+4123500+9757000</f>
        <v>25890200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3"/>
        <v>12000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130</v>
      </c>
      <c r="D11" s="13">
        <f t="shared" si="1"/>
        <v>130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862</v>
      </c>
      <c r="O11" s="1">
        <f>2450000+5518000+5210500+5469000+4307000</f>
        <v>22954500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20</v>
      </c>
      <c r="C12" s="14">
        <v>757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1600000+6750000+8383500+6464400+6950000</f>
        <v>30147900</v>
      </c>
      <c r="Q12" s="20" t="s">
        <v>32</v>
      </c>
      <c r="R12" s="27">
        <v>5</v>
      </c>
      <c r="S12" s="27">
        <v>60</v>
      </c>
      <c r="T12" s="27">
        <v>6</v>
      </c>
      <c r="U12" s="27">
        <v>20</v>
      </c>
      <c r="V12" s="27">
        <v>0</v>
      </c>
      <c r="W12" s="27">
        <f t="shared" si="2"/>
        <v>91</v>
      </c>
      <c r="X12" s="4">
        <v>13200</v>
      </c>
      <c r="Y12" s="27">
        <f t="shared" si="3"/>
        <v>1201200</v>
      </c>
      <c r="AA12" t="s">
        <v>60</v>
      </c>
      <c r="AB12" t="s">
        <v>53</v>
      </c>
      <c r="AC12">
        <v>25</v>
      </c>
      <c r="AD12">
        <f>15000*AC12</f>
        <v>375000</v>
      </c>
      <c r="AF12">
        <f>AC12</f>
        <v>25</v>
      </c>
      <c r="AG12">
        <v>0</v>
      </c>
      <c r="AH12">
        <f>AF12</f>
        <v>25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217</v>
      </c>
      <c r="H13" s="21">
        <v>128</v>
      </c>
      <c r="I13" s="21">
        <v>154</v>
      </c>
      <c r="J13" s="21">
        <v>241</v>
      </c>
      <c r="K13" s="21">
        <v>18</v>
      </c>
      <c r="L13" s="22">
        <f t="shared" si="4"/>
        <v>758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25</v>
      </c>
      <c r="AD13">
        <f t="shared" ref="AD13:AD15" si="5">15000*AC13</f>
        <v>375000</v>
      </c>
      <c r="AF13">
        <f t="shared" ref="AF13:AF15" si="6">AC13</f>
        <v>25</v>
      </c>
      <c r="AG13">
        <v>0</v>
      </c>
      <c r="AH13">
        <f t="shared" ref="AH13:AH15" si="7">AF13</f>
        <v>25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347</v>
      </c>
      <c r="D14" s="13">
        <f t="shared" si="1"/>
        <v>347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25</v>
      </c>
      <c r="AD14">
        <f t="shared" si="5"/>
        <v>375000</v>
      </c>
      <c r="AE14">
        <v>375000</v>
      </c>
      <c r="AF14">
        <f t="shared" si="6"/>
        <v>25</v>
      </c>
      <c r="AG14">
        <v>0</v>
      </c>
      <c r="AH14">
        <f t="shared" si="7"/>
        <v>25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309</v>
      </c>
      <c r="C15" s="14">
        <v>3</v>
      </c>
      <c r="D15" s="13">
        <f t="shared" si="1"/>
        <v>312</v>
      </c>
      <c r="F15" s="20" t="s">
        <v>34</v>
      </c>
      <c r="G15" s="21">
        <v>29</v>
      </c>
      <c r="H15" s="21">
        <v>30</v>
      </c>
      <c r="I15" s="21">
        <v>51</v>
      </c>
      <c r="J15" s="21">
        <v>53</v>
      </c>
      <c r="K15" s="21">
        <v>0</v>
      </c>
      <c r="L15" s="22">
        <f t="shared" si="4"/>
        <v>163</v>
      </c>
      <c r="Q15" s="20" t="s">
        <v>35</v>
      </c>
      <c r="R15" s="27">
        <v>20</v>
      </c>
      <c r="S15" s="27">
        <v>40</v>
      </c>
      <c r="T15" s="27">
        <v>48</v>
      </c>
      <c r="U15" s="27">
        <v>0</v>
      </c>
      <c r="V15" s="27">
        <v>0</v>
      </c>
      <c r="W15" s="27">
        <f t="shared" si="2"/>
        <v>108</v>
      </c>
      <c r="X15" s="4">
        <v>17250</v>
      </c>
      <c r="Y15" s="27">
        <f t="shared" si="3"/>
        <v>1863000</v>
      </c>
      <c r="AA15" t="s">
        <v>63</v>
      </c>
      <c r="AB15" t="s">
        <v>42</v>
      </c>
      <c r="AC15">
        <v>25</v>
      </c>
      <c r="AD15">
        <f t="shared" si="5"/>
        <v>375000</v>
      </c>
      <c r="AF15">
        <f t="shared" si="6"/>
        <v>25</v>
      </c>
      <c r="AG15">
        <v>0</v>
      </c>
      <c r="AH15">
        <f t="shared" si="7"/>
        <v>25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/>
      <c r="CA15" s="8"/>
      <c r="CB15" s="5"/>
      <c r="CC15" s="5"/>
      <c r="CD15" s="4" t="s">
        <v>127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94</v>
      </c>
      <c r="H16" s="21">
        <v>70</v>
      </c>
      <c r="I16" s="21">
        <v>46</v>
      </c>
      <c r="J16" s="21">
        <v>116</v>
      </c>
      <c r="K16" s="21">
        <v>18</v>
      </c>
      <c r="L16" s="22">
        <f t="shared" si="4"/>
        <v>344</v>
      </c>
      <c r="Q16" s="20" t="s">
        <v>36</v>
      </c>
      <c r="R16" s="27">
        <v>0</v>
      </c>
      <c r="S16" s="27">
        <v>18</v>
      </c>
      <c r="T16" s="27">
        <v>0</v>
      </c>
      <c r="U16" s="27">
        <v>2</v>
      </c>
      <c r="V16" s="27">
        <v>0</v>
      </c>
      <c r="W16" s="27">
        <f t="shared" si="2"/>
        <v>20</v>
      </c>
      <c r="X16" s="4">
        <v>23000</v>
      </c>
      <c r="Y16" s="27">
        <f t="shared" si="3"/>
        <v>460000</v>
      </c>
      <c r="AC16">
        <f>SUM(AC12:AC15)</f>
        <v>100</v>
      </c>
      <c r="AD16">
        <f t="shared" ref="AD16:AH16" si="8">SUM(AD12:AD15)</f>
        <v>1500000</v>
      </c>
      <c r="AE16">
        <f t="shared" si="8"/>
        <v>375000</v>
      </c>
      <c r="AF16">
        <f t="shared" si="8"/>
        <v>100</v>
      </c>
      <c r="AG16">
        <f t="shared" si="8"/>
        <v>0</v>
      </c>
      <c r="AH16">
        <f t="shared" si="8"/>
        <v>100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/>
      <c r="BX16" s="7"/>
      <c r="BY16" s="7"/>
      <c r="BZ16" s="4" t="s">
        <v>165</v>
      </c>
      <c r="CA16" s="9"/>
      <c r="CB16" s="5">
        <v>46183</v>
      </c>
      <c r="CC16" s="10"/>
      <c r="CD16" s="4" t="s">
        <v>166</v>
      </c>
      <c r="CE16" s="10"/>
    </row>
    <row r="17" spans="1:83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76</v>
      </c>
      <c r="H17" s="21">
        <v>56</v>
      </c>
      <c r="I17" s="21">
        <v>36</v>
      </c>
      <c r="J17" s="21">
        <v>91</v>
      </c>
      <c r="K17" s="21">
        <v>16</v>
      </c>
      <c r="L17" s="22">
        <f t="shared" si="4"/>
        <v>275</v>
      </c>
      <c r="Q17" s="20" t="s">
        <v>15</v>
      </c>
      <c r="R17" s="27">
        <v>0</v>
      </c>
      <c r="S17" s="27">
        <v>9</v>
      </c>
      <c r="T17" s="27">
        <v>0</v>
      </c>
      <c r="U17" s="27">
        <v>0</v>
      </c>
      <c r="V17" s="27">
        <v>0</v>
      </c>
      <c r="W17" s="27">
        <f t="shared" si="2"/>
        <v>9</v>
      </c>
      <c r="X17" s="4">
        <v>30000</v>
      </c>
      <c r="Y17" s="27">
        <f t="shared" si="3"/>
        <v>270000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84</v>
      </c>
      <c r="D18" s="13">
        <f t="shared" si="1"/>
        <v>84</v>
      </c>
      <c r="F18" s="20" t="s">
        <v>15</v>
      </c>
      <c r="G18" s="21">
        <v>45</v>
      </c>
      <c r="H18" s="21">
        <v>26</v>
      </c>
      <c r="I18" s="21">
        <v>18</v>
      </c>
      <c r="J18" s="21">
        <v>20</v>
      </c>
      <c r="K18" s="21">
        <v>0</v>
      </c>
      <c r="L18" s="22">
        <f t="shared" si="4"/>
        <v>109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Q21" s="20" t="s">
        <v>19</v>
      </c>
      <c r="R21" s="27">
        <v>30</v>
      </c>
      <c r="S21" s="27">
        <v>75</v>
      </c>
      <c r="T21" s="27">
        <v>27</v>
      </c>
      <c r="U21" s="27">
        <v>14</v>
      </c>
      <c r="V21" s="27">
        <v>0</v>
      </c>
      <c r="W21" s="27">
        <f t="shared" si="2"/>
        <v>146</v>
      </c>
      <c r="X21" s="4">
        <v>9600</v>
      </c>
      <c r="Y21" s="27">
        <f t="shared" si="3"/>
        <v>1401600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291</v>
      </c>
      <c r="H22" s="21">
        <v>100</v>
      </c>
      <c r="I22" s="21">
        <v>137</v>
      </c>
      <c r="J22" s="21">
        <v>147</v>
      </c>
      <c r="K22" s="21">
        <v>12</v>
      </c>
      <c r="L22" s="22">
        <f t="shared" si="4"/>
        <v>687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167</v>
      </c>
      <c r="S25" s="19">
        <f t="shared" ref="S25:Y25" si="9">SUM(S4:S24)</f>
        <v>221</v>
      </c>
      <c r="T25" s="19">
        <f t="shared" si="9"/>
        <v>139</v>
      </c>
      <c r="U25" s="19">
        <f t="shared" si="9"/>
        <v>107</v>
      </c>
      <c r="V25" s="19">
        <f t="shared" si="9"/>
        <v>0</v>
      </c>
      <c r="W25" s="19">
        <f t="shared" si="9"/>
        <v>634</v>
      </c>
      <c r="X25" s="19"/>
      <c r="Y25" s="19">
        <f t="shared" si="9"/>
        <v>10699300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1381</v>
      </c>
      <c r="H26" s="24">
        <f t="shared" si="10"/>
        <v>944</v>
      </c>
      <c r="I26" s="24">
        <f t="shared" si="10"/>
        <v>816</v>
      </c>
      <c r="J26" s="24">
        <f t="shared" si="10"/>
        <v>1253</v>
      </c>
      <c r="K26" s="24">
        <f t="shared" si="10"/>
        <v>105</v>
      </c>
      <c r="L26" s="24">
        <f>SUM(L5:L25)</f>
        <v>4499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118200</v>
      </c>
      <c r="BN34" s="39" t="s">
        <v>112</v>
      </c>
      <c r="BO34" s="57">
        <f t="shared" si="0"/>
        <v>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60"/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60"/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60"/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60"/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60"/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60"/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60"/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60"/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60"/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60"/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60"/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60"/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118200</v>
      </c>
      <c r="BN47" s="39" t="s">
        <v>112</v>
      </c>
      <c r="BO47" s="57">
        <f t="shared" si="0"/>
        <v>0</v>
      </c>
      <c r="BP47" s="60"/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/>
      <c r="AM48" s="41"/>
      <c r="AN48" s="42" t="str">
        <f>IFERROR(VLOOKUP(AQ48,[1]SUMMARY!$A$3:$B$7,2,FALSE),"")</f>
        <v/>
      </c>
      <c r="AO48" s="42"/>
      <c r="AP48" s="31" t="e">
        <f>VLOOKUP(AO48,[1]OUTLET!$B:$C,2,0)</f>
        <v>#N/A</v>
      </c>
      <c r="AQ48" s="43"/>
      <c r="AR48" s="6"/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0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0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0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 t="e">
        <f>IFERROR(VLOOKUP(AM48,'[1]Harga &amp; Nama CSO'!$H$2:$N$22,2,FALSE),"")*AR48</f>
        <v>#VALUE!</v>
      </c>
      <c r="BK48" s="40"/>
      <c r="BL48" s="39"/>
      <c r="BM48" s="59"/>
      <c r="BN48" s="39"/>
      <c r="BO48" s="57" t="e">
        <f t="shared" ref="BO48:BO66" si="11">BJ48-BM48</f>
        <v>#VALUE!</v>
      </c>
      <c r="BP48" s="60"/>
      <c r="BQ48" s="8">
        <v>0</v>
      </c>
      <c r="BR48" s="58" t="e">
        <f>VLOOKUP(AM48,'[1]Harga &amp; Nama CSO'!$A$28:$D$31,4,0)*BL48</f>
        <v>#N/A</v>
      </c>
    </row>
    <row r="49" spans="37:70" x14ac:dyDescent="0.35">
      <c r="AK49" s="39">
        <v>47</v>
      </c>
      <c r="AL49" s="40"/>
      <c r="AM49" s="41"/>
      <c r="AN49" s="42" t="str">
        <f>IFERROR(VLOOKUP(AQ49,[1]SUMMARY!$A$3:$B$7,2,FALSE),"")</f>
        <v/>
      </c>
      <c r="AO49" s="42"/>
      <c r="AP49" s="31" t="e">
        <f>VLOOKUP(AO49,[1]OUTLET!$B:$C,2,0)</f>
        <v>#N/A</v>
      </c>
      <c r="AQ49" s="43"/>
      <c r="AR49" s="6"/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0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0</v>
      </c>
      <c r="AY49" s="44">
        <f>IFERROR(VLOOKUP(AM49,'[1]Harga &amp; Nama CSO'!$A$116:$L$136,8,FALSE),0)*AR49</f>
        <v>0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 t="e">
        <f>IFERROR(VLOOKUP(AM49,'[1]Harga &amp; Nama CSO'!$H$2:$N$22,2,FALSE),"")*AR49</f>
        <v>#VALUE!</v>
      </c>
      <c r="BK49" s="40"/>
      <c r="BL49" s="39"/>
      <c r="BM49" s="59"/>
      <c r="BN49" s="39"/>
      <c r="BO49" s="57" t="e">
        <f t="shared" si="11"/>
        <v>#VALUE!</v>
      </c>
      <c r="BP49" s="60"/>
      <c r="BQ49" s="8">
        <v>0</v>
      </c>
      <c r="BR49" s="58" t="e">
        <f>VLOOKUP(AM49,'[1]Harga &amp; Nama CSO'!$A$28:$D$31,4,0)*BL49</f>
        <v>#N/A</v>
      </c>
    </row>
    <row r="50" spans="37:70" x14ac:dyDescent="0.35">
      <c r="AK50" s="39">
        <v>48</v>
      </c>
      <c r="AL50" s="40"/>
      <c r="AM50" s="41"/>
      <c r="AN50" s="42" t="str">
        <f>IFERROR(VLOOKUP(AQ50,[1]SUMMARY!$A$3:$B$7,2,FALSE),"")</f>
        <v/>
      </c>
      <c r="AO50" s="42"/>
      <c r="AP50" s="31" t="e">
        <f>VLOOKUP(AO50,[1]OUTLET!$B:$C,2,0)</f>
        <v>#N/A</v>
      </c>
      <c r="AQ50" s="43"/>
      <c r="AR50" s="6"/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0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0</v>
      </c>
      <c r="AY50" s="44">
        <f>IFERROR(VLOOKUP(AM50,'[1]Harga &amp; Nama CSO'!$A$116:$L$136,8,FALSE),0)*AR50</f>
        <v>0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 t="e">
        <f>IFERROR(VLOOKUP(AM50,'[1]Harga &amp; Nama CSO'!$H$2:$N$22,2,FALSE),"")*AR50</f>
        <v>#VALUE!</v>
      </c>
      <c r="BK50" s="40"/>
      <c r="BL50" s="39"/>
      <c r="BM50" s="59"/>
      <c r="BN50" s="39"/>
      <c r="BO50" s="57" t="e">
        <f t="shared" si="11"/>
        <v>#VALUE!</v>
      </c>
      <c r="BP50" s="60"/>
      <c r="BQ50" s="8">
        <v>0</v>
      </c>
      <c r="BR50" s="58" t="e">
        <f>VLOOKUP(AM50,'[1]Harga &amp; Nama CSO'!$A$28:$D$31,4,0)*BL50</f>
        <v>#N/A</v>
      </c>
    </row>
    <row r="51" spans="37:70" x14ac:dyDescent="0.35">
      <c r="AK51" s="39">
        <v>49</v>
      </c>
      <c r="AL51" s="40"/>
      <c r="AM51" s="41"/>
      <c r="AN51" s="42" t="str">
        <f>IFERROR(VLOOKUP(AQ51,[1]SUMMARY!$A$3:$B$7,2,FALSE),"")</f>
        <v/>
      </c>
      <c r="AO51" s="42"/>
      <c r="AP51" s="31" t="e">
        <f>VLOOKUP(AO51,[1]OUTLET!$B:$C,2,0)</f>
        <v>#N/A</v>
      </c>
      <c r="AQ51" s="43"/>
      <c r="AR51" s="6"/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0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0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0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 t="e">
        <f>IFERROR(VLOOKUP(AM51,'[1]Harga &amp; Nama CSO'!$H$2:$N$22,2,FALSE),"")*AR51</f>
        <v>#VALUE!</v>
      </c>
      <c r="BK51" s="40"/>
      <c r="BL51" s="39"/>
      <c r="BM51" s="59"/>
      <c r="BN51" s="39"/>
      <c r="BO51" s="57" t="e">
        <f t="shared" si="11"/>
        <v>#VALUE!</v>
      </c>
      <c r="BP51" s="60"/>
      <c r="BQ51" s="8">
        <v>0</v>
      </c>
      <c r="BR51" s="58" t="e">
        <f>VLOOKUP(AM51,'[1]Harga &amp; Nama CSO'!$A$28:$D$31,4,0)*BL51</f>
        <v>#N/A</v>
      </c>
    </row>
    <row r="52" spans="37:70" x14ac:dyDescent="0.35">
      <c r="AK52" s="39">
        <v>50</v>
      </c>
      <c r="AL52" s="40"/>
      <c r="AM52" s="41"/>
      <c r="AN52" s="42" t="str">
        <f>IFERROR(VLOOKUP(AQ52,[1]SUMMARY!$A$3:$B$7,2,FALSE),"")</f>
        <v/>
      </c>
      <c r="AO52" s="42"/>
      <c r="AP52" s="31" t="e">
        <f>VLOOKUP(AO52,[1]OUTLET!$B:$C,2,0)</f>
        <v>#N/A</v>
      </c>
      <c r="AQ52" s="43"/>
      <c r="AR52" s="6"/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0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0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0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 t="e">
        <f>IFERROR(VLOOKUP(AM52,'[1]Harga &amp; Nama CSO'!$H$2:$N$22,2,FALSE),"")*AR52</f>
        <v>#VALUE!</v>
      </c>
      <c r="BK52" s="40"/>
      <c r="BL52" s="39"/>
      <c r="BM52" s="59"/>
      <c r="BN52" s="39"/>
      <c r="BO52" s="57" t="e">
        <f t="shared" si="11"/>
        <v>#VALUE!</v>
      </c>
      <c r="BP52" s="60"/>
      <c r="BQ52" s="8">
        <v>0</v>
      </c>
      <c r="BR52" s="58" t="e">
        <f>VLOOKUP(AM52,'[1]Harga &amp; Nama CSO'!$A$28:$D$31,4,0)*BL52</f>
        <v>#N/A</v>
      </c>
    </row>
    <row r="53" spans="37:70" x14ac:dyDescent="0.35">
      <c r="AK53" s="39">
        <v>51</v>
      </c>
      <c r="AL53" s="40"/>
      <c r="AM53" s="41"/>
      <c r="AN53" s="42" t="str">
        <f>IFERROR(VLOOKUP(AQ53,[1]SUMMARY!$A$3:$B$7,2,FALSE),"")</f>
        <v/>
      </c>
      <c r="AO53" s="42"/>
      <c r="AP53" s="31" t="e">
        <f>VLOOKUP(AO53,[1]OUTLET!$B:$C,2,0)</f>
        <v>#N/A</v>
      </c>
      <c r="AQ53" s="43"/>
      <c r="AR53" s="6"/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0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0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0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 t="e">
        <f>IFERROR(VLOOKUP(AM53,'[1]Harga &amp; Nama CSO'!$H$2:$N$22,2,FALSE),"")*AR53</f>
        <v>#VALUE!</v>
      </c>
      <c r="BK53" s="40"/>
      <c r="BL53" s="39"/>
      <c r="BM53" s="59"/>
      <c r="BN53" s="39"/>
      <c r="BO53" s="57" t="e">
        <f t="shared" si="11"/>
        <v>#VALUE!</v>
      </c>
      <c r="BP53" s="60"/>
      <c r="BQ53" s="8">
        <v>0</v>
      </c>
      <c r="BR53" s="58" t="e">
        <f>VLOOKUP(AM53,'[1]Harga &amp; Nama CSO'!$A$28:$D$31,4,0)*BL53</f>
        <v>#N/A</v>
      </c>
    </row>
    <row r="54" spans="37:70" x14ac:dyDescent="0.35">
      <c r="AK54" s="39">
        <v>52</v>
      </c>
      <c r="AL54" s="40"/>
      <c r="AM54" s="41"/>
      <c r="AN54" s="42" t="str">
        <f>IFERROR(VLOOKUP(AQ54,[1]SUMMARY!$A$3:$B$7,2,FALSE),"")</f>
        <v/>
      </c>
      <c r="AO54" s="42"/>
      <c r="AP54" s="31" t="e">
        <f>VLOOKUP(AO54,[1]OUTLET!$B:$C,2,0)</f>
        <v>#N/A</v>
      </c>
      <c r="AQ54" s="43"/>
      <c r="AR54" s="6"/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0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0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0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 t="e">
        <f>IFERROR(VLOOKUP(AM54,'[1]Harga &amp; Nama CSO'!$H$2:$N$22,2,FALSE),"")*AR54</f>
        <v>#VALUE!</v>
      </c>
      <c r="BK54" s="40"/>
      <c r="BL54" s="39"/>
      <c r="BM54" s="59"/>
      <c r="BN54" s="39"/>
      <c r="BO54" s="57" t="e">
        <f t="shared" si="11"/>
        <v>#VALUE!</v>
      </c>
      <c r="BP54" s="60"/>
      <c r="BQ54" s="8">
        <v>0</v>
      </c>
      <c r="BR54" s="58" t="e">
        <f>VLOOKUP(AM54,'[1]Harga &amp; Nama CSO'!$A$28:$D$31,4,0)*BL54</f>
        <v>#N/A</v>
      </c>
    </row>
    <row r="55" spans="37:70" x14ac:dyDescent="0.35">
      <c r="AK55" s="39">
        <v>53</v>
      </c>
      <c r="AL55" s="40"/>
      <c r="AM55" s="41"/>
      <c r="AN55" s="42" t="str">
        <f>IFERROR(VLOOKUP(AQ55,[1]SUMMARY!$A$3:$B$7,2,FALSE),"")</f>
        <v/>
      </c>
      <c r="AO55" s="42"/>
      <c r="AP55" s="31" t="e">
        <f>VLOOKUP(AO55,[1]OUTLET!$B:$C,2,0)</f>
        <v>#N/A</v>
      </c>
      <c r="AQ55" s="43"/>
      <c r="AR55" s="6"/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0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0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0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 t="e">
        <f>IFERROR(VLOOKUP(AM55,'[1]Harga &amp; Nama CSO'!$H$2:$N$22,2,FALSE),"")*AR55</f>
        <v>#VALUE!</v>
      </c>
      <c r="BK55" s="40"/>
      <c r="BL55" s="39"/>
      <c r="BM55" s="59"/>
      <c r="BN55" s="39"/>
      <c r="BO55" s="57" t="e">
        <f t="shared" si="11"/>
        <v>#VALUE!</v>
      </c>
      <c r="BP55" s="60"/>
      <c r="BQ55" s="8">
        <v>0</v>
      </c>
      <c r="BR55" s="58" t="e">
        <f>VLOOKUP(AM55,'[1]Harga &amp; Nama CSO'!$A$28:$D$31,4,0)*BL55</f>
        <v>#N/A</v>
      </c>
    </row>
    <row r="56" spans="37:70" x14ac:dyDescent="0.35">
      <c r="AK56" s="39">
        <v>54</v>
      </c>
      <c r="AL56" s="40"/>
      <c r="AM56" s="41"/>
      <c r="AN56" s="42" t="str">
        <f>IFERROR(VLOOKUP(AQ56,[1]SUMMARY!$A$3:$B$7,2,FALSE),"")</f>
        <v/>
      </c>
      <c r="AO56" s="42"/>
      <c r="AP56" s="31" t="e">
        <f>VLOOKUP(AO56,[1]OUTLET!$B:$C,2,0)</f>
        <v>#N/A</v>
      </c>
      <c r="AQ56" s="43"/>
      <c r="AR56" s="6"/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0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0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0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 t="e">
        <f>IFERROR(VLOOKUP(AM56,'[1]Harga &amp; Nama CSO'!$H$2:$N$22,2,FALSE),"")*AR56</f>
        <v>#VALUE!</v>
      </c>
      <c r="BK56" s="40"/>
      <c r="BL56" s="39"/>
      <c r="BM56" s="59"/>
      <c r="BN56" s="39"/>
      <c r="BO56" s="57" t="e">
        <f t="shared" si="11"/>
        <v>#VALUE!</v>
      </c>
      <c r="BP56" s="60"/>
      <c r="BQ56" s="8">
        <v>0</v>
      </c>
      <c r="BR56" s="58" t="e">
        <f>VLOOKUP(AM56,'[1]Harga &amp; Nama CSO'!$A$28:$D$31,4,0)*BL56</f>
        <v>#N/A</v>
      </c>
    </row>
    <row r="57" spans="37:70" x14ac:dyDescent="0.35">
      <c r="AK57" s="39">
        <v>55</v>
      </c>
      <c r="AL57" s="40"/>
      <c r="AM57" s="41"/>
      <c r="AN57" s="42" t="str">
        <f>IFERROR(VLOOKUP(AQ57,[1]SUMMARY!$A$3:$B$7,2,FALSE),"")</f>
        <v/>
      </c>
      <c r="AO57" s="42"/>
      <c r="AP57" s="31" t="e">
        <f>VLOOKUP(AO57,[1]OUTLET!$B:$C,2,0)</f>
        <v>#N/A</v>
      </c>
      <c r="AQ57" s="43"/>
      <c r="AR57" s="6"/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0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0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0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 t="e">
        <f>IFERROR(VLOOKUP(AM57,'[1]Harga &amp; Nama CSO'!$H$2:$N$22,2,FALSE),"")*AR57</f>
        <v>#VALUE!</v>
      </c>
      <c r="BK57" s="40"/>
      <c r="BL57" s="39"/>
      <c r="BM57" s="59"/>
      <c r="BN57" s="39"/>
      <c r="BO57" s="57" t="e">
        <f t="shared" si="11"/>
        <v>#VALUE!</v>
      </c>
      <c r="BP57" s="60"/>
      <c r="BQ57" s="8">
        <v>0</v>
      </c>
      <c r="BR57" s="58" t="e">
        <f>VLOOKUP(AM57,'[1]Harga &amp; Nama CSO'!$A$28:$D$31,4,0)*BL57</f>
        <v>#N/A</v>
      </c>
    </row>
    <row r="58" spans="37:70" x14ac:dyDescent="0.35">
      <c r="AK58" s="39">
        <v>56</v>
      </c>
      <c r="AL58" s="40"/>
      <c r="AM58" s="41"/>
      <c r="AN58" s="42" t="str">
        <f>IFERROR(VLOOKUP(AQ58,[1]SUMMARY!$A$3:$B$7,2,FALSE),"")</f>
        <v/>
      </c>
      <c r="AO58" s="42"/>
      <c r="AP58" s="31" t="e">
        <f>VLOOKUP(AO58,[1]OUTLET!$B:$C,2,0)</f>
        <v>#N/A</v>
      </c>
      <c r="AQ58" s="43"/>
      <c r="AR58" s="6"/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0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0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0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 t="e">
        <f>IFERROR(VLOOKUP(AM58,'[1]Harga &amp; Nama CSO'!$H$2:$N$22,2,FALSE),"")*AR58</f>
        <v>#VALUE!</v>
      </c>
      <c r="BK58" s="40"/>
      <c r="BL58" s="39"/>
      <c r="BM58" s="59"/>
      <c r="BN58" s="39"/>
      <c r="BO58" s="57" t="e">
        <f t="shared" si="11"/>
        <v>#VALUE!</v>
      </c>
      <c r="BP58" s="60"/>
      <c r="BQ58" s="8">
        <v>0</v>
      </c>
      <c r="BR58" s="58" t="e">
        <f>VLOOKUP(AM58,'[1]Harga &amp; Nama CSO'!$A$28:$D$31,4,0)*BL58</f>
        <v>#N/A</v>
      </c>
    </row>
    <row r="59" spans="37:70" x14ac:dyDescent="0.35">
      <c r="AK59" s="39">
        <v>57</v>
      </c>
      <c r="AL59" s="40"/>
      <c r="AM59" s="41"/>
      <c r="AN59" s="42" t="str">
        <f>IFERROR(VLOOKUP(AQ59,[1]SUMMARY!$A$3:$B$7,2,FALSE),"")</f>
        <v/>
      </c>
      <c r="AO59" s="42"/>
      <c r="AP59" s="31" t="e">
        <f>VLOOKUP(AO59,[1]OUTLET!$B:$C,2,0)</f>
        <v>#N/A</v>
      </c>
      <c r="AQ59" s="31"/>
      <c r="AR59" s="6"/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0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0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0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 t="e">
        <f>IFERROR(VLOOKUP(AM59,'[1]Harga &amp; Nama CSO'!$H$2:$N$22,2,FALSE),"")*AR59</f>
        <v>#VALUE!</v>
      </c>
      <c r="BK59" s="40"/>
      <c r="BL59" s="39"/>
      <c r="BM59" s="59"/>
      <c r="BN59" s="39"/>
      <c r="BO59" s="57" t="e">
        <f t="shared" si="11"/>
        <v>#VALUE!</v>
      </c>
      <c r="BP59" s="60"/>
      <c r="BQ59" s="8">
        <v>0</v>
      </c>
      <c r="BR59" s="58" t="e">
        <f>VLOOKUP(AM59,'[1]Harga &amp; Nama CSO'!$A$28:$D$31,4,0)*BL59</f>
        <v>#N/A</v>
      </c>
    </row>
    <row r="60" spans="37:70" x14ac:dyDescent="0.35">
      <c r="AK60" s="39">
        <v>58</v>
      </c>
      <c r="AL60" s="40"/>
      <c r="AM60" s="41"/>
      <c r="AN60" s="42" t="str">
        <f>IFERROR(VLOOKUP(AQ60,[1]SUMMARY!$A$3:$B$7,2,FALSE),"")</f>
        <v/>
      </c>
      <c r="AO60" s="42"/>
      <c r="AP60" s="31" t="e">
        <f>VLOOKUP(AO60,[1]OUTLET!$B:$C,2,0)</f>
        <v>#N/A</v>
      </c>
      <c r="AQ60" s="31"/>
      <c r="AR60" s="6"/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0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0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0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 t="e">
        <f>IFERROR(VLOOKUP(AM60,'[1]Harga &amp; Nama CSO'!$H$2:$N$22,2,FALSE),"")*AR60</f>
        <v>#VALUE!</v>
      </c>
      <c r="BK60" s="40"/>
      <c r="BL60" s="39"/>
      <c r="BM60" s="59"/>
      <c r="BN60" s="39"/>
      <c r="BO60" s="57" t="e">
        <f t="shared" si="11"/>
        <v>#VALUE!</v>
      </c>
      <c r="BP60" s="60"/>
      <c r="BQ60" s="8">
        <v>0</v>
      </c>
      <c r="BR60" s="58" t="e">
        <f>VLOOKUP(AM60,'[1]Harga &amp; Nama CSO'!$A$28:$D$31,4,0)*BL60</f>
        <v>#N/A</v>
      </c>
    </row>
    <row r="61" spans="37:70" x14ac:dyDescent="0.35">
      <c r="AK61" s="39">
        <v>59</v>
      </c>
      <c r="AL61" s="40"/>
      <c r="AM61" s="41"/>
      <c r="AN61" s="42" t="str">
        <f>IFERROR(VLOOKUP(AQ61,[1]SUMMARY!$A$3:$B$7,2,FALSE),"")</f>
        <v/>
      </c>
      <c r="AO61" s="31"/>
      <c r="AP61" s="31" t="e">
        <f>VLOOKUP(AO61,[1]OUTLET!$B:$C,2,0)</f>
        <v>#N/A</v>
      </c>
      <c r="AQ61" s="31"/>
      <c r="AR61" s="6"/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0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0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0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 t="e">
        <f>IFERROR(VLOOKUP(AM61,'[1]Harga &amp; Nama CSO'!$H$2:$N$22,2,FALSE),"")*AR61</f>
        <v>#VALUE!</v>
      </c>
      <c r="BK61" s="40"/>
      <c r="BL61" s="39"/>
      <c r="BM61" s="59"/>
      <c r="BN61" s="39"/>
      <c r="BO61" s="57" t="e">
        <f t="shared" si="11"/>
        <v>#VALUE!</v>
      </c>
      <c r="BP61" s="60"/>
      <c r="BQ61" s="8">
        <v>0</v>
      </c>
      <c r="BR61" s="58" t="e">
        <f>VLOOKUP(AM61,'[1]Harga &amp; Nama CSO'!$A$28:$D$31,4,0)*BL61</f>
        <v>#N/A</v>
      </c>
    </row>
    <row r="62" spans="37:70" x14ac:dyDescent="0.35">
      <c r="AK62" s="39">
        <v>60</v>
      </c>
      <c r="AL62" s="40"/>
      <c r="AM62" s="41"/>
      <c r="AN62" s="42" t="str">
        <f>IFERROR(VLOOKUP(AQ62,[1]SUMMARY!$A$3:$B$7,2,FALSE),"")</f>
        <v/>
      </c>
      <c r="AO62" s="31"/>
      <c r="AP62" s="31" t="e">
        <f>VLOOKUP(AO62,[1]OUTLET!$B:$C,2,0)</f>
        <v>#N/A</v>
      </c>
      <c r="AQ62" s="31"/>
      <c r="AR62" s="6"/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0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0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0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 t="e">
        <f>IFERROR(VLOOKUP(AM62,'[1]Harga &amp; Nama CSO'!$H$2:$N$22,2,FALSE),"")*AR62</f>
        <v>#VALUE!</v>
      </c>
      <c r="BK62" s="40"/>
      <c r="BL62" s="39"/>
      <c r="BM62" s="59"/>
      <c r="BN62" s="39"/>
      <c r="BO62" s="57" t="e">
        <f t="shared" si="11"/>
        <v>#VALUE!</v>
      </c>
      <c r="BP62" s="60"/>
      <c r="BQ62" s="8">
        <v>0</v>
      </c>
      <c r="BR62" s="58" t="e">
        <f>VLOOKUP(AM62,'[1]Harga &amp; Nama CSO'!$A$28:$D$31,4,0)*BL62</f>
        <v>#N/A</v>
      </c>
    </row>
    <row r="63" spans="37:70" x14ac:dyDescent="0.35">
      <c r="AK63" s="39">
        <v>61</v>
      </c>
      <c r="AL63" s="40"/>
      <c r="AM63" s="41"/>
      <c r="AN63" s="42" t="str">
        <f>IFERROR(VLOOKUP(AQ63,[1]SUMMARY!$A$3:$B$7,2,FALSE),"")</f>
        <v/>
      </c>
      <c r="AO63" s="31"/>
      <c r="AP63" s="31" t="e">
        <f>VLOOKUP(AO63,[1]OUTLET!$B:$C,2,0)</f>
        <v>#N/A</v>
      </c>
      <c r="AQ63" s="31"/>
      <c r="AR63" s="6"/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0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0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0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 t="e">
        <f>IFERROR(VLOOKUP(AM63,'[1]Harga &amp; Nama CSO'!$H$2:$N$22,2,FALSE),"")*AR63</f>
        <v>#VALUE!</v>
      </c>
      <c r="BK63" s="40"/>
      <c r="BL63" s="39"/>
      <c r="BM63" s="59"/>
      <c r="BN63" s="39"/>
      <c r="BO63" s="57" t="e">
        <f t="shared" si="11"/>
        <v>#VALUE!</v>
      </c>
      <c r="BP63" s="60"/>
      <c r="BQ63" s="8">
        <v>0</v>
      </c>
      <c r="BR63" s="58" t="e">
        <f>VLOOKUP(AM63,'[1]Harga &amp; Nama CSO'!$A$28:$D$31,4,0)*BL63</f>
        <v>#N/A</v>
      </c>
    </row>
    <row r="64" spans="37:70" x14ac:dyDescent="0.35">
      <c r="AK64" s="39">
        <v>62</v>
      </c>
      <c r="AL64" s="40"/>
      <c r="AM64" s="41"/>
      <c r="AN64" s="42" t="str">
        <f>IFERROR(VLOOKUP(AQ64,[1]SUMMARY!$A$3:$B$7,2,FALSE),"")</f>
        <v/>
      </c>
      <c r="AO64" s="31"/>
      <c r="AP64" s="31" t="e">
        <f>VLOOKUP(AO64,[1]OUTLET!$B:$C,2,0)</f>
        <v>#N/A</v>
      </c>
      <c r="AQ64" s="31"/>
      <c r="AR64" s="6"/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0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0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0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 t="e">
        <f>IFERROR(VLOOKUP(AM64,'[1]Harga &amp; Nama CSO'!$H$2:$N$22,2,FALSE),"")*AR64</f>
        <v>#VALUE!</v>
      </c>
      <c r="BK64" s="40"/>
      <c r="BL64" s="39"/>
      <c r="BM64" s="59"/>
      <c r="BN64" s="39"/>
      <c r="BO64" s="57" t="e">
        <f t="shared" si="11"/>
        <v>#VALUE!</v>
      </c>
      <c r="BP64" s="60"/>
      <c r="BQ64" s="8">
        <v>0</v>
      </c>
      <c r="BR64" s="58" t="e">
        <f>VLOOKUP(AM64,'[1]Harga &amp; Nama CSO'!$A$28:$D$31,4,0)*BL64</f>
        <v>#N/A</v>
      </c>
    </row>
    <row r="65" spans="37:70" x14ac:dyDescent="0.35">
      <c r="AK65" s="39">
        <v>63</v>
      </c>
      <c r="AL65" s="40"/>
      <c r="AM65" s="41"/>
      <c r="AN65" s="42" t="str">
        <f>IFERROR(VLOOKUP(AQ65,[1]SUMMARY!$A$3:$B$7,2,FALSE),"")</f>
        <v/>
      </c>
      <c r="AO65" s="31"/>
      <c r="AP65" s="31" t="e">
        <f>VLOOKUP(AO65,[1]OUTLET!$B:$C,2,0)</f>
        <v>#N/A</v>
      </c>
      <c r="AQ65" s="31"/>
      <c r="AR65" s="6"/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0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0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0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 t="e">
        <f>IFERROR(VLOOKUP(AM65,'[1]Harga &amp; Nama CSO'!$H$2:$N$22,2,FALSE),"")*AR65</f>
        <v>#VALUE!</v>
      </c>
      <c r="BK65" s="40"/>
      <c r="BL65" s="39"/>
      <c r="BM65" s="59"/>
      <c r="BN65" s="39"/>
      <c r="BO65" s="57" t="e">
        <f t="shared" si="11"/>
        <v>#VALUE!</v>
      </c>
      <c r="BP65" s="60"/>
      <c r="BQ65" s="8">
        <v>0</v>
      </c>
      <c r="BR65" s="58" t="e">
        <f>VLOOKUP(AM65,'[1]Harga &amp; Nama CSO'!$A$28:$D$31,4,0)*BL65</f>
        <v>#N/A</v>
      </c>
    </row>
    <row r="66" spans="37:70" x14ac:dyDescent="0.35">
      <c r="AK66" s="39">
        <v>64</v>
      </c>
      <c r="AL66" s="40"/>
      <c r="AM66" s="41"/>
      <c r="AN66" s="42" t="str">
        <f>IFERROR(VLOOKUP(AQ66,[1]SUMMARY!$A$3:$B$7,2,FALSE),"")</f>
        <v/>
      </c>
      <c r="AO66" s="31"/>
      <c r="AP66" s="31" t="e">
        <f>VLOOKUP(AO66,[1]OUTLET!$B:$C,2,0)</f>
        <v>#N/A</v>
      </c>
      <c r="AQ66" s="31"/>
      <c r="AR66" s="6"/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0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0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0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 t="e">
        <f>IFERROR(VLOOKUP(AM66,'[1]Harga &amp; Nama CSO'!$H$2:$N$22,2,FALSE),"")*AR66</f>
        <v>#VALUE!</v>
      </c>
      <c r="BK66" s="40"/>
      <c r="BL66" s="39"/>
      <c r="BM66" s="59"/>
      <c r="BN66" s="39"/>
      <c r="BO66" s="57" t="e">
        <f t="shared" si="11"/>
        <v>#VALUE!</v>
      </c>
      <c r="BP66" s="60"/>
      <c r="BQ66" s="8">
        <v>0</v>
      </c>
      <c r="BR66" s="58" t="e">
        <f>VLOOKUP(AM66,'[1]Harga &amp; Nama CSO'!$A$28:$D$31,4,0)*BL66</f>
        <v>#N/A</v>
      </c>
    </row>
    <row r="67" spans="37:70" x14ac:dyDescent="0.35">
      <c r="AK67" s="39">
        <v>65</v>
      </c>
      <c r="AL67" s="40"/>
      <c r="AM67" s="41"/>
      <c r="AN67" s="42" t="str">
        <f>IFERROR(VLOOKUP(AQ67,[1]SUMMARY!$A$3:$B$7,2,FALSE),"")</f>
        <v/>
      </c>
      <c r="AO67" s="31"/>
      <c r="AP67" s="31" t="e">
        <f>VLOOKUP(AO67,[1]OUTLET!$B:$C,2,0)</f>
        <v>#N/A</v>
      </c>
      <c r="AQ67" s="31"/>
      <c r="AR67" s="6"/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0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0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0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 t="e">
        <f>IFERROR(VLOOKUP(AM67,'[1]Harga &amp; Nama CSO'!$H$2:$N$22,2,FALSE),"")*AR67</f>
        <v>#VALUE!</v>
      </c>
      <c r="BK67" s="40"/>
      <c r="BL67" s="39"/>
      <c r="BM67" s="59"/>
      <c r="BN67" s="39"/>
      <c r="BO67" s="57" t="e">
        <f t="shared" ref="BO67:BO130" si="12">BJ67-BM67</f>
        <v>#VALUE!</v>
      </c>
      <c r="BP67" s="60"/>
      <c r="BQ67" s="8">
        <v>0</v>
      </c>
      <c r="BR67" s="58" t="e">
        <f>VLOOKUP(AM67,'[1]Harga &amp; Nama CSO'!$A$28:$D$31,4,0)*BL67</f>
        <v>#N/A</v>
      </c>
    </row>
    <row r="68" spans="37:70" x14ac:dyDescent="0.35">
      <c r="AK68" s="39">
        <v>66</v>
      </c>
      <c r="AL68" s="40"/>
      <c r="AM68" s="41"/>
      <c r="AN68" s="42" t="str">
        <f>IFERROR(VLOOKUP(AQ68,[1]SUMMARY!$A$3:$B$7,2,FALSE),"")</f>
        <v/>
      </c>
      <c r="AO68" s="31"/>
      <c r="AP68" s="31" t="e">
        <f>VLOOKUP(AO68,[1]OUTLET!$B:$C,2,0)</f>
        <v>#N/A</v>
      </c>
      <c r="AQ68" s="31"/>
      <c r="AR68" s="6"/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0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0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0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 t="e">
        <f>IFERROR(VLOOKUP(AM68,'[1]Harga &amp; Nama CSO'!$H$2:$N$22,2,FALSE),"")*AR68</f>
        <v>#VALUE!</v>
      </c>
      <c r="BK68" s="40"/>
      <c r="BL68" s="39"/>
      <c r="BM68" s="59"/>
      <c r="BN68" s="39"/>
      <c r="BO68" s="57" t="e">
        <f t="shared" si="12"/>
        <v>#VALUE!</v>
      </c>
      <c r="BP68" s="60"/>
      <c r="BQ68" s="8">
        <v>0</v>
      </c>
      <c r="BR68" s="58" t="e">
        <f>VLOOKUP(AM68,'[1]Harga &amp; Nama CSO'!$A$28:$D$31,4,0)*BL68</f>
        <v>#N/A</v>
      </c>
    </row>
    <row r="69" spans="37:70" x14ac:dyDescent="0.35">
      <c r="AK69" s="39">
        <v>67</v>
      </c>
      <c r="AL69" s="40"/>
      <c r="AM69" s="41"/>
      <c r="AN69" s="42" t="str">
        <f>IFERROR(VLOOKUP(AQ69,[1]SUMMARY!$A$3:$B$7,2,FALSE),"")</f>
        <v/>
      </c>
      <c r="AO69" s="31"/>
      <c r="AP69" s="31" t="e">
        <f>VLOOKUP(AO69,[1]OUTLET!$B:$C,2,0)</f>
        <v>#N/A</v>
      </c>
      <c r="AQ69" s="31"/>
      <c r="AR69" s="6"/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0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0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0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 t="e">
        <f>IFERROR(VLOOKUP(AM69,'[1]Harga &amp; Nama CSO'!$H$2:$N$22,2,FALSE),"")*AR69</f>
        <v>#VALUE!</v>
      </c>
      <c r="BK69" s="40"/>
      <c r="BL69" s="39"/>
      <c r="BM69" s="59"/>
      <c r="BN69" s="39"/>
      <c r="BO69" s="57" t="e">
        <f t="shared" si="12"/>
        <v>#VALUE!</v>
      </c>
      <c r="BP69" s="40"/>
      <c r="BQ69" s="8">
        <v>0</v>
      </c>
      <c r="BR69" s="58" t="e">
        <f>VLOOKUP(AM69,'[1]Harga &amp; Nama CSO'!$A$28:$D$31,4,0)*BL69</f>
        <v>#N/A</v>
      </c>
    </row>
    <row r="70" spans="37:70" x14ac:dyDescent="0.35">
      <c r="AK70" s="39">
        <v>68</v>
      </c>
      <c r="AL70" s="40"/>
      <c r="AM70" s="41"/>
      <c r="AN70" s="42" t="str">
        <f>IFERROR(VLOOKUP(AQ70,[1]SUMMARY!$A$3:$B$7,2,FALSE),"")</f>
        <v/>
      </c>
      <c r="AO70" s="31"/>
      <c r="AP70" s="31" t="e">
        <f>VLOOKUP(AO70,[1]OUTLET!$B:$C,2,0)</f>
        <v>#N/A</v>
      </c>
      <c r="AQ70" s="31"/>
      <c r="AR70" s="6"/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0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0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0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 t="e">
        <f>IFERROR(VLOOKUP(AM70,'[1]Harga &amp; Nama CSO'!$H$2:$N$22,2,FALSE),"")*AR70</f>
        <v>#VALUE!</v>
      </c>
      <c r="BK70" s="40"/>
      <c r="BL70" s="39"/>
      <c r="BM70" s="59"/>
      <c r="BN70" s="39"/>
      <c r="BO70" s="57" t="e">
        <f t="shared" si="12"/>
        <v>#VALUE!</v>
      </c>
      <c r="BP70" s="40"/>
      <c r="BQ70" s="8">
        <v>0</v>
      </c>
      <c r="BR70" s="58" t="e">
        <f>VLOOKUP(AM70,'[1]Harga &amp; Nama CSO'!$A$28:$D$31,4,0)*BL70</f>
        <v>#N/A</v>
      </c>
    </row>
    <row r="71" spans="37:70" x14ac:dyDescent="0.35">
      <c r="AK71" s="39">
        <v>69</v>
      </c>
      <c r="AL71" s="40"/>
      <c r="AM71" s="41"/>
      <c r="AN71" s="42" t="str">
        <f>IFERROR(VLOOKUP(AQ71,[1]SUMMARY!$A$3:$B$7,2,FALSE),"")</f>
        <v/>
      </c>
      <c r="AO71" s="31"/>
      <c r="AP71" s="31" t="e">
        <f>VLOOKUP(AO71,[1]OUTLET!$B:$C,2,0)</f>
        <v>#N/A</v>
      </c>
      <c r="AQ71" s="31"/>
      <c r="AR71" s="6"/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0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0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0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 t="e">
        <f>IFERROR(VLOOKUP(AM71,'[1]Harga &amp; Nama CSO'!$H$2:$N$22,2,FALSE),"")*AR71</f>
        <v>#VALUE!</v>
      </c>
      <c r="BK71" s="40"/>
      <c r="BL71" s="39"/>
      <c r="BM71" s="59"/>
      <c r="BN71" s="39"/>
      <c r="BO71" s="57" t="e">
        <f t="shared" si="12"/>
        <v>#VALUE!</v>
      </c>
      <c r="BP71" s="40"/>
      <c r="BQ71" s="8">
        <v>0</v>
      </c>
      <c r="BR71" s="58" t="e">
        <f>VLOOKUP(AM71,'[1]Harga &amp; Nama CSO'!$A$28:$D$31,4,0)*BL71</f>
        <v>#N/A</v>
      </c>
    </row>
    <row r="72" spans="37:70" x14ac:dyDescent="0.35">
      <c r="AK72" s="39">
        <v>70</v>
      </c>
      <c r="AL72" s="40"/>
      <c r="AM72" s="41"/>
      <c r="AN72" s="42" t="str">
        <f>IFERROR(VLOOKUP(AQ72,[1]SUMMARY!$A$3:$B$7,2,FALSE),"")</f>
        <v/>
      </c>
      <c r="AO72" s="31"/>
      <c r="AP72" s="31" t="e">
        <f>VLOOKUP(AO72,[1]OUTLET!$B:$C,2,0)</f>
        <v>#N/A</v>
      </c>
      <c r="AQ72" s="31"/>
      <c r="AR72" s="6"/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0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0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0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 t="e">
        <f>IFERROR(VLOOKUP(AM72,'[1]Harga &amp; Nama CSO'!$H$2:$N$22,2,FALSE),"")*AR72</f>
        <v>#VALUE!</v>
      </c>
      <c r="BK72" s="40"/>
      <c r="BL72" s="39"/>
      <c r="BM72" s="59"/>
      <c r="BN72" s="39"/>
      <c r="BO72" s="57" t="e">
        <f t="shared" si="12"/>
        <v>#VALUE!</v>
      </c>
      <c r="BP72" s="60"/>
      <c r="BQ72" s="8">
        <v>0</v>
      </c>
      <c r="BR72" s="58" t="e">
        <f>VLOOKUP(AM72,'[1]Harga &amp; Nama CSO'!$A$28:$D$31,4,0)*BL72</f>
        <v>#N/A</v>
      </c>
    </row>
    <row r="73" spans="37:70" x14ac:dyDescent="0.35">
      <c r="AK73" s="39">
        <v>71</v>
      </c>
      <c r="AL73" s="40"/>
      <c r="AM73" s="41"/>
      <c r="AN73" s="42" t="str">
        <f>IFERROR(VLOOKUP(AQ73,[1]SUMMARY!$A$3:$B$7,2,FALSE),"")</f>
        <v/>
      </c>
      <c r="AO73" s="31"/>
      <c r="AP73" s="31" t="e">
        <f>VLOOKUP(AO73,[1]OUTLET!$B:$C,2,0)</f>
        <v>#N/A</v>
      </c>
      <c r="AQ73" s="31"/>
      <c r="AR73" s="6"/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0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0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0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 t="e">
        <f>IFERROR(VLOOKUP(AM73,'[1]Harga &amp; Nama CSO'!$H$2:$N$22,2,FALSE),"")*AR73</f>
        <v>#VALUE!</v>
      </c>
      <c r="BK73" s="40"/>
      <c r="BL73" s="6"/>
      <c r="BM73" s="59"/>
      <c r="BN73" s="39"/>
      <c r="BO73" s="57" t="e">
        <f t="shared" si="12"/>
        <v>#VALUE!</v>
      </c>
      <c r="BP73" s="60"/>
      <c r="BQ73" s="8">
        <v>0</v>
      </c>
      <c r="BR73" s="58" t="e">
        <f>VLOOKUP(AM73,'[1]Harga &amp; Nama CSO'!$A$28:$D$31,4,0)*BL73</f>
        <v>#N/A</v>
      </c>
    </row>
    <row r="74" spans="37:70" x14ac:dyDescent="0.35">
      <c r="AK74" s="39">
        <v>72</v>
      </c>
      <c r="AL74" s="40"/>
      <c r="AM74" s="41"/>
      <c r="AN74" s="42" t="str">
        <f>IFERROR(VLOOKUP(AQ74,[1]SUMMARY!$A$3:$B$7,2,FALSE),"")</f>
        <v/>
      </c>
      <c r="AO74" s="31"/>
      <c r="AP74" s="31" t="e">
        <f>VLOOKUP(AO74,[1]OUTLET!$B:$C,2,0)</f>
        <v>#N/A</v>
      </c>
      <c r="AQ74" s="31"/>
      <c r="AR74" s="6"/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0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0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0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 t="e">
        <f>IFERROR(VLOOKUP(AM74,'[1]Harga &amp; Nama CSO'!$H$2:$N$22,2,FALSE),"")*AR74</f>
        <v>#VALUE!</v>
      </c>
      <c r="BK74" s="40"/>
      <c r="BL74" s="6"/>
      <c r="BM74" s="59"/>
      <c r="BN74" s="39"/>
      <c r="BO74" s="57" t="e">
        <f t="shared" si="12"/>
        <v>#VALUE!</v>
      </c>
      <c r="BP74" s="60"/>
      <c r="BQ74" s="8">
        <v>0</v>
      </c>
      <c r="BR74" s="58" t="e">
        <f>VLOOKUP(AM74,'[1]Harga &amp; Nama CSO'!$A$28:$D$31,4,0)*BL74</f>
        <v>#N/A</v>
      </c>
    </row>
    <row r="75" spans="37:70" x14ac:dyDescent="0.35">
      <c r="AK75" s="39">
        <v>73</v>
      </c>
      <c r="AL75" s="40"/>
      <c r="AM75" s="41"/>
      <c r="AN75" s="42" t="str">
        <f>IFERROR(VLOOKUP(AQ75,[1]SUMMARY!$A$3:$B$7,2,FALSE),"")</f>
        <v/>
      </c>
      <c r="AO75" s="31"/>
      <c r="AP75" s="31" t="e">
        <f>VLOOKUP(AO75,[1]OUTLET!$B:$C,2,0)</f>
        <v>#N/A</v>
      </c>
      <c r="AQ75" s="31"/>
      <c r="AR75" s="6"/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0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0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0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 t="e">
        <f>IFERROR(VLOOKUP(AM75,'[1]Harga &amp; Nama CSO'!$H$2:$N$22,2,FALSE),"")*AR75</f>
        <v>#VALUE!</v>
      </c>
      <c r="BK75" s="40"/>
      <c r="BL75" s="6"/>
      <c r="BM75" s="59"/>
      <c r="BN75" s="39"/>
      <c r="BO75" s="57" t="e">
        <f t="shared" si="12"/>
        <v>#VALUE!</v>
      </c>
      <c r="BP75" s="60"/>
      <c r="BQ75" s="8">
        <v>0</v>
      </c>
      <c r="BR75" s="58" t="e">
        <f>VLOOKUP(AM75,'[1]Harga &amp; Nama CSO'!$A$28:$D$31,4,0)*BL75</f>
        <v>#N/A</v>
      </c>
    </row>
    <row r="76" spans="37:70" x14ac:dyDescent="0.35">
      <c r="AK76" s="39">
        <v>74</v>
      </c>
      <c r="AL76" s="40"/>
      <c r="AM76" s="41"/>
      <c r="AN76" s="42" t="str">
        <f>IFERROR(VLOOKUP(AQ76,[1]SUMMARY!$A$3:$B$7,2,FALSE),"")</f>
        <v/>
      </c>
      <c r="AO76" s="31"/>
      <c r="AP76" s="31" t="e">
        <f>VLOOKUP(AO76,[1]OUTLET!$B:$C,2,0)</f>
        <v>#N/A</v>
      </c>
      <c r="AQ76" s="31"/>
      <c r="AR76" s="6"/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0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0</v>
      </c>
      <c r="AY76" s="44">
        <f>IFERROR(VLOOKUP(AM76,'[1]Harga &amp; Nama CSO'!$A$116:$L$136,8,FALSE),0)*AR76</f>
        <v>0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 t="e">
        <f>IFERROR(VLOOKUP(AM76,'[1]Harga &amp; Nama CSO'!$H$2:$N$22,2,FALSE),"")*AR76</f>
        <v>#VALUE!</v>
      </c>
      <c r="BK76" s="40"/>
      <c r="BL76" s="6"/>
      <c r="BM76" s="59"/>
      <c r="BN76" s="39"/>
      <c r="BO76" s="57" t="e">
        <f t="shared" si="12"/>
        <v>#VALUE!</v>
      </c>
      <c r="BP76" s="60"/>
      <c r="BQ76" s="8">
        <v>0</v>
      </c>
      <c r="BR76" s="58" t="e">
        <f>VLOOKUP(AM76,'[1]Harga &amp; Nama CSO'!$A$28:$D$31,4,0)*BL76</f>
        <v>#N/A</v>
      </c>
    </row>
    <row r="77" spans="37:70" x14ac:dyDescent="0.35">
      <c r="AK77" s="39">
        <v>75</v>
      </c>
      <c r="AL77" s="40"/>
      <c r="AM77" s="41"/>
      <c r="AN77" s="42" t="str">
        <f>IFERROR(VLOOKUP(AQ77,[1]SUMMARY!$A$3:$B$7,2,FALSE),"")</f>
        <v/>
      </c>
      <c r="AO77" s="31"/>
      <c r="AP77" s="31" t="e">
        <f>VLOOKUP(AO77,[1]OUTLET!$B:$C,2,0)</f>
        <v>#N/A</v>
      </c>
      <c r="AQ77" s="31"/>
      <c r="AR77" s="6"/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0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0</v>
      </c>
      <c r="AY77" s="44">
        <f>IFERROR(VLOOKUP(AM77,'[1]Harga &amp; Nama CSO'!$A$116:$L$136,8,FALSE),0)*AR77</f>
        <v>0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 t="e">
        <f>IFERROR(VLOOKUP(AM77,'[1]Harga &amp; Nama CSO'!$H$2:$N$22,2,FALSE),"")*AR77</f>
        <v>#VALUE!</v>
      </c>
      <c r="BK77" s="40"/>
      <c r="BL77" s="6"/>
      <c r="BM77" s="59"/>
      <c r="BN77" s="39"/>
      <c r="BO77" s="57" t="e">
        <f t="shared" si="12"/>
        <v>#VALUE!</v>
      </c>
      <c r="BP77" s="60"/>
      <c r="BQ77" s="8">
        <v>0</v>
      </c>
      <c r="BR77" s="58" t="e">
        <f>VLOOKUP(AM77,'[1]Harga &amp; Nama CSO'!$A$28:$D$31,4,0)*BL77</f>
        <v>#N/A</v>
      </c>
    </row>
    <row r="78" spans="37:70" x14ac:dyDescent="0.35">
      <c r="AK78" s="39">
        <v>76</v>
      </c>
      <c r="AL78" s="40"/>
      <c r="AM78" s="41"/>
      <c r="AN78" s="42" t="str">
        <f>IFERROR(VLOOKUP(AQ78,[1]SUMMARY!$A$3:$B$7,2,FALSE),"")</f>
        <v/>
      </c>
      <c r="AO78" s="31"/>
      <c r="AP78" s="31" t="e">
        <f>VLOOKUP(AO78,[1]OUTLET!$B:$C,2,0)</f>
        <v>#N/A</v>
      </c>
      <c r="AQ78" s="31"/>
      <c r="AR78" s="6"/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0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0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0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 t="e">
        <f>IFERROR(VLOOKUP(AM78,'[1]Harga &amp; Nama CSO'!$H$2:$N$22,2,FALSE),"")*AR78</f>
        <v>#VALUE!</v>
      </c>
      <c r="BK78" s="40"/>
      <c r="BL78" s="6"/>
      <c r="BM78" s="59"/>
      <c r="BN78" s="39"/>
      <c r="BO78" s="57" t="e">
        <f t="shared" si="12"/>
        <v>#VALUE!</v>
      </c>
      <c r="BP78" s="60"/>
      <c r="BQ78" s="8">
        <v>0</v>
      </c>
      <c r="BR78" s="58" t="e">
        <f>VLOOKUP(AM78,'[1]Harga &amp; Nama CSO'!$A$28:$D$31,4,0)*BL78</f>
        <v>#N/A</v>
      </c>
    </row>
    <row r="79" spans="37:70" x14ac:dyDescent="0.35">
      <c r="AK79" s="39">
        <v>77</v>
      </c>
      <c r="AL79" s="40"/>
      <c r="AM79" s="41"/>
      <c r="AN79" s="42" t="str">
        <f>IFERROR(VLOOKUP(AQ79,[1]SUMMARY!$A$3:$B$7,2,FALSE),"")</f>
        <v/>
      </c>
      <c r="AO79" s="31"/>
      <c r="AP79" s="31" t="e">
        <f>VLOOKUP(AO79,[1]OUTLET!$B:$C,2,0)</f>
        <v>#N/A</v>
      </c>
      <c r="AQ79" s="31"/>
      <c r="AR79" s="6"/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0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0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0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 t="e">
        <f>IFERROR(VLOOKUP(AM79,'[1]Harga &amp; Nama CSO'!$H$2:$N$22,2,FALSE),"")*AR79</f>
        <v>#VALUE!</v>
      </c>
      <c r="BK79" s="40"/>
      <c r="BL79" s="6"/>
      <c r="BM79" s="59"/>
      <c r="BN79" s="39"/>
      <c r="BO79" s="57" t="e">
        <f t="shared" si="12"/>
        <v>#VALUE!</v>
      </c>
      <c r="BP79" s="60"/>
      <c r="BQ79" s="8">
        <v>0</v>
      </c>
      <c r="BR79" s="58" t="e">
        <f>VLOOKUP(AM79,'[1]Harga &amp; Nama CSO'!$A$28:$D$31,4,0)*BL79</f>
        <v>#N/A</v>
      </c>
    </row>
    <row r="80" spans="37:70" x14ac:dyDescent="0.35">
      <c r="AK80" s="39">
        <v>78</v>
      </c>
      <c r="AL80" s="40"/>
      <c r="AM80" s="41"/>
      <c r="AN80" s="42" t="str">
        <f>IFERROR(VLOOKUP(AQ80,[1]SUMMARY!$A$3:$B$7,2,FALSE),"")</f>
        <v/>
      </c>
      <c r="AO80" s="31"/>
      <c r="AP80" s="31" t="e">
        <f>VLOOKUP(AO80,[1]OUTLET!$B:$C,2,0)</f>
        <v>#N/A</v>
      </c>
      <c r="AQ80" s="31"/>
      <c r="AR80" s="6"/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0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0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0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 t="e">
        <f>IFERROR(VLOOKUP(AM80,'[1]Harga &amp; Nama CSO'!$H$2:$N$22,2,FALSE),"")*AR80</f>
        <v>#VALUE!</v>
      </c>
      <c r="BK80" s="40"/>
      <c r="BL80" s="6"/>
      <c r="BM80" s="59"/>
      <c r="BN80" s="39"/>
      <c r="BO80" s="57" t="e">
        <f t="shared" si="12"/>
        <v>#VALUE!</v>
      </c>
      <c r="BP80" s="60"/>
      <c r="BQ80" s="8">
        <v>0</v>
      </c>
      <c r="BR80" s="58" t="e">
        <f>VLOOKUP(AM80,'[1]Harga &amp; Nama CSO'!$A$28:$D$31,4,0)*BL80</f>
        <v>#N/A</v>
      </c>
    </row>
    <row r="81" spans="37:70" x14ac:dyDescent="0.35">
      <c r="AK81" s="39">
        <v>79</v>
      </c>
      <c r="AL81" s="40"/>
      <c r="AM81" s="41"/>
      <c r="AN81" s="42" t="str">
        <f>IFERROR(VLOOKUP(AQ81,[1]SUMMARY!$A$3:$B$7,2,FALSE),"")</f>
        <v/>
      </c>
      <c r="AO81" s="31"/>
      <c r="AP81" s="31" t="e">
        <f>VLOOKUP(AO81,[1]OUTLET!$B:$C,2,0)</f>
        <v>#N/A</v>
      </c>
      <c r="AQ81" s="31"/>
      <c r="AR81" s="6"/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0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0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0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 t="e">
        <f>IFERROR(VLOOKUP(AM81,'[1]Harga &amp; Nama CSO'!$H$2:$N$22,2,FALSE),"")*AR81</f>
        <v>#VALUE!</v>
      </c>
      <c r="BK81" s="40"/>
      <c r="BL81" s="6"/>
      <c r="BM81" s="59"/>
      <c r="BN81" s="39"/>
      <c r="BO81" s="57" t="e">
        <f t="shared" si="12"/>
        <v>#VALUE!</v>
      </c>
      <c r="BP81" s="60"/>
      <c r="BQ81" s="8">
        <v>0</v>
      </c>
      <c r="BR81" s="58" t="e">
        <f>VLOOKUP(AM81,'[1]Harga &amp; Nama CSO'!$A$28:$D$31,4,0)*BL81</f>
        <v>#N/A</v>
      </c>
    </row>
    <row r="82" spans="37:70" x14ac:dyDescent="0.35">
      <c r="AK82" s="39">
        <v>80</v>
      </c>
      <c r="AL82" s="40"/>
      <c r="AM82" s="41"/>
      <c r="AN82" s="42" t="str">
        <f>IFERROR(VLOOKUP(AQ82,[1]SUMMARY!$A$3:$B$7,2,FALSE),"")</f>
        <v/>
      </c>
      <c r="AO82" s="31"/>
      <c r="AP82" s="31" t="e">
        <f>VLOOKUP(AO82,[1]OUTLET!$B:$C,2,0)</f>
        <v>#N/A</v>
      </c>
      <c r="AQ82" s="31"/>
      <c r="AR82" s="6"/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0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0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0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 t="e">
        <f>IFERROR(VLOOKUP(AM82,'[1]Harga &amp; Nama CSO'!$H$2:$N$22,2,FALSE),"")*AR82</f>
        <v>#VALUE!</v>
      </c>
      <c r="BK82" s="40"/>
      <c r="BL82" s="6"/>
      <c r="BM82" s="59"/>
      <c r="BN82" s="39"/>
      <c r="BO82" s="57" t="e">
        <f>BJ82-BM82</f>
        <v>#VALUE!</v>
      </c>
      <c r="BP82" s="60"/>
      <c r="BQ82" s="8">
        <v>0</v>
      </c>
      <c r="BR82" s="58" t="e">
        <f>VLOOKUP(AM82,'[1]Harga &amp; Nama CSO'!$A$28:$D$31,4,0)*BL82</f>
        <v>#N/A</v>
      </c>
    </row>
    <row r="83" spans="37:70" x14ac:dyDescent="0.35">
      <c r="AK83" s="39">
        <v>81</v>
      </c>
      <c r="AL83" s="40"/>
      <c r="AM83" s="41"/>
      <c r="AN83" s="42" t="str">
        <f>IFERROR(VLOOKUP(AQ83,[1]SUMMARY!$A$3:$B$7,2,FALSE),"")</f>
        <v/>
      </c>
      <c r="AO83" s="31"/>
      <c r="AP83" s="31" t="e">
        <f>VLOOKUP(AO83,[1]OUTLET!$B:$C,2,0)</f>
        <v>#N/A</v>
      </c>
      <c r="AQ83" s="31"/>
      <c r="AR83" s="6"/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0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0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0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 t="e">
        <f>IFERROR(VLOOKUP(AM83,'[1]Harga &amp; Nama CSO'!$H$2:$N$22,2,FALSE),"")*AR83</f>
        <v>#VALUE!</v>
      </c>
      <c r="BK83" s="40"/>
      <c r="BL83" s="6"/>
      <c r="BM83" s="59"/>
      <c r="BN83" s="39"/>
      <c r="BO83" s="57" t="e">
        <f t="shared" si="12"/>
        <v>#VALUE!</v>
      </c>
      <c r="BP83" s="60"/>
      <c r="BQ83" s="8">
        <v>0</v>
      </c>
      <c r="BR83" s="58" t="e">
        <f>VLOOKUP(AM83,'[1]Harga &amp; Nama CSO'!$A$28:$D$31,4,0)*BL83</f>
        <v>#N/A</v>
      </c>
    </row>
    <row r="84" spans="37:70" x14ac:dyDescent="0.35">
      <c r="AK84" s="39">
        <v>82</v>
      </c>
      <c r="AL84" s="40"/>
      <c r="AM84" s="41"/>
      <c r="AN84" s="42" t="str">
        <f>IFERROR(VLOOKUP(AQ84,[1]SUMMARY!$A$3:$B$7,2,FALSE),"")</f>
        <v/>
      </c>
      <c r="AO84" s="31"/>
      <c r="AP84" s="31" t="e">
        <f>VLOOKUP(AO84,[1]OUTLET!$B:$C,2,0)</f>
        <v>#N/A</v>
      </c>
      <c r="AQ84" s="31"/>
      <c r="AR84" s="6"/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0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0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0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 t="e">
        <f>IFERROR(VLOOKUP(AM84,'[1]Harga &amp; Nama CSO'!$H$2:$N$22,2,FALSE),"")*AR84</f>
        <v>#VALUE!</v>
      </c>
      <c r="BK84" s="40"/>
      <c r="BL84" s="6"/>
      <c r="BM84" s="59"/>
      <c r="BN84" s="39"/>
      <c r="BO84" s="57" t="e">
        <f>BJ84-BM84</f>
        <v>#VALUE!</v>
      </c>
      <c r="BP84" s="60"/>
      <c r="BQ84" s="8">
        <v>0</v>
      </c>
      <c r="BR84" s="58" t="e">
        <f>VLOOKUP(AM84,'[1]Harga &amp; Nama CSO'!$A$28:$D$31,4,0)*BL84</f>
        <v>#N/A</v>
      </c>
    </row>
    <row r="85" spans="37:70" x14ac:dyDescent="0.35">
      <c r="AK85" s="39">
        <v>83</v>
      </c>
      <c r="AL85" s="40"/>
      <c r="AM85" s="41"/>
      <c r="AN85" s="42" t="str">
        <f>IFERROR(VLOOKUP(AQ85,[1]SUMMARY!$A$3:$B$7,2,FALSE),"")</f>
        <v/>
      </c>
      <c r="AO85" s="31"/>
      <c r="AP85" s="31" t="e">
        <f>VLOOKUP(AO85,[1]OUTLET!$B:$C,2,0)</f>
        <v>#N/A</v>
      </c>
      <c r="AQ85" s="31"/>
      <c r="AR85" s="6"/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0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0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0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 t="e">
        <f>IFERROR(VLOOKUP(AM85,'[1]Harga &amp; Nama CSO'!$H$2:$N$22,2,FALSE),"")*AR85</f>
        <v>#VALUE!</v>
      </c>
      <c r="BK85" s="40"/>
      <c r="BL85" s="6"/>
      <c r="BM85" s="59"/>
      <c r="BN85" s="39"/>
      <c r="BO85" s="57" t="e">
        <f t="shared" si="12"/>
        <v>#VALUE!</v>
      </c>
      <c r="BP85" s="60"/>
      <c r="BQ85" s="8">
        <v>0</v>
      </c>
      <c r="BR85" s="58" t="e">
        <f>VLOOKUP(AM85,'[1]Harga &amp; Nama CSO'!$A$28:$D$31,4,0)*BL85</f>
        <v>#N/A</v>
      </c>
    </row>
    <row r="86" spans="37:70" x14ac:dyDescent="0.35">
      <c r="AK86" s="39">
        <v>84</v>
      </c>
      <c r="AL86" s="40"/>
      <c r="AM86" s="41"/>
      <c r="AN86" s="42" t="str">
        <f>IFERROR(VLOOKUP(AQ86,[1]SUMMARY!$A$3:$B$7,2,FALSE),"")</f>
        <v/>
      </c>
      <c r="AO86" s="31"/>
      <c r="AP86" s="31" t="e">
        <f>VLOOKUP(AO86,[1]OUTLET!$B:$C,2,0)</f>
        <v>#N/A</v>
      </c>
      <c r="AQ86" s="31"/>
      <c r="AR86" s="6"/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0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0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0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 t="e">
        <f>IFERROR(VLOOKUP(AM86,'[1]Harga &amp; Nama CSO'!$H$2:$N$22,2,FALSE),"")*AR86</f>
        <v>#VALUE!</v>
      </c>
      <c r="BK86" s="40"/>
      <c r="BL86" s="6"/>
      <c r="BM86" s="59"/>
      <c r="BN86" s="39"/>
      <c r="BO86" s="57" t="e">
        <f t="shared" si="12"/>
        <v>#VALUE!</v>
      </c>
      <c r="BP86" s="60"/>
      <c r="BQ86" s="8">
        <v>0</v>
      </c>
      <c r="BR86" s="58" t="e">
        <f>VLOOKUP(AM86,'[1]Harga &amp; Nama CSO'!$A$28:$D$31,4,0)*BL86</f>
        <v>#N/A</v>
      </c>
    </row>
    <row r="87" spans="37:70" x14ac:dyDescent="0.35">
      <c r="AK87" s="39">
        <v>85</v>
      </c>
      <c r="AL87" s="40"/>
      <c r="AM87" s="41"/>
      <c r="AN87" s="42" t="str">
        <f>IFERROR(VLOOKUP(AQ87,[1]SUMMARY!$A$3:$B$7,2,FALSE),"")</f>
        <v/>
      </c>
      <c r="AO87" s="31"/>
      <c r="AP87" s="31" t="e">
        <f>VLOOKUP(AO87,[1]OUTLET!$B:$C,2,0)</f>
        <v>#N/A</v>
      </c>
      <c r="AQ87" s="31"/>
      <c r="AR87" s="6"/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0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0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0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 t="e">
        <f>IFERROR(VLOOKUP(AM87,'[1]Harga &amp; Nama CSO'!$H$2:$N$22,2,FALSE),"")*AR87</f>
        <v>#VALUE!</v>
      </c>
      <c r="BK87" s="40"/>
      <c r="BL87" s="6"/>
      <c r="BM87" s="59"/>
      <c r="BN87" s="39"/>
      <c r="BO87" s="57" t="e">
        <f t="shared" si="12"/>
        <v>#VALUE!</v>
      </c>
      <c r="BP87" s="60"/>
      <c r="BQ87" s="8">
        <v>0</v>
      </c>
      <c r="BR87" s="58" t="e">
        <f>VLOOKUP(AM87,'[1]Harga &amp; Nama CSO'!$A$28:$D$31,4,0)*BL87</f>
        <v>#N/A</v>
      </c>
    </row>
    <row r="88" spans="37:70" x14ac:dyDescent="0.35">
      <c r="AK88" s="39">
        <v>86</v>
      </c>
      <c r="AL88" s="40"/>
      <c r="AM88" s="41"/>
      <c r="AN88" s="42" t="str">
        <f>IFERROR(VLOOKUP(AQ88,[1]SUMMARY!$A$3:$B$7,2,FALSE),"")</f>
        <v/>
      </c>
      <c r="AO88" s="31"/>
      <c r="AP88" s="31" t="e">
        <f>VLOOKUP(AO88,[1]OUTLET!$B:$C,2,0)</f>
        <v>#N/A</v>
      </c>
      <c r="AQ88" s="31"/>
      <c r="AR88" s="6"/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0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0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0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 t="e">
        <f>IFERROR(VLOOKUP(AM88,'[1]Harga &amp; Nama CSO'!$H$2:$N$22,2,FALSE),"")*AR88</f>
        <v>#VALUE!</v>
      </c>
      <c r="BK88" s="40"/>
      <c r="BL88" s="6"/>
      <c r="BM88" s="59"/>
      <c r="BN88" s="39"/>
      <c r="BO88" s="57" t="e">
        <f t="shared" si="12"/>
        <v>#VALUE!</v>
      </c>
      <c r="BP88" s="60"/>
      <c r="BQ88" s="8">
        <v>0</v>
      </c>
      <c r="BR88" s="58" t="e">
        <f>VLOOKUP(AM88,'[1]Harga &amp; Nama CSO'!$A$28:$D$31,4,0)*BL88</f>
        <v>#N/A</v>
      </c>
    </row>
    <row r="89" spans="37:70" x14ac:dyDescent="0.35">
      <c r="AK89" s="39">
        <v>87</v>
      </c>
      <c r="AL89" s="40"/>
      <c r="AM89" s="41"/>
      <c r="AN89" s="42" t="str">
        <f>IFERROR(VLOOKUP(AQ89,[1]SUMMARY!$A$3:$B$7,2,FALSE),"")</f>
        <v/>
      </c>
      <c r="AO89" s="31"/>
      <c r="AP89" s="31" t="e">
        <f>VLOOKUP(AO89,[1]OUTLET!$B:$C,2,0)</f>
        <v>#N/A</v>
      </c>
      <c r="AQ89" s="31"/>
      <c r="AR89" s="6"/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0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0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0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 t="e">
        <f>IFERROR(VLOOKUP(AM89,'[1]Harga &amp; Nama CSO'!$H$2:$N$22,2,FALSE),"")*AR89</f>
        <v>#VALUE!</v>
      </c>
      <c r="BK89" s="40"/>
      <c r="BL89" s="6"/>
      <c r="BM89" s="59"/>
      <c r="BN89" s="39"/>
      <c r="BO89" s="57" t="e">
        <f t="shared" si="12"/>
        <v>#VALUE!</v>
      </c>
      <c r="BP89" s="60"/>
      <c r="BQ89" s="8">
        <v>0</v>
      </c>
      <c r="BR89" s="58" t="e">
        <f>VLOOKUP(AM89,'[1]Harga &amp; Nama CSO'!$A$28:$D$31,4,0)*BL89</f>
        <v>#N/A</v>
      </c>
    </row>
    <row r="90" spans="37:70" x14ac:dyDescent="0.35">
      <c r="AK90" s="39">
        <v>88</v>
      </c>
      <c r="AL90" s="40"/>
      <c r="AM90" s="41"/>
      <c r="AN90" s="42" t="str">
        <f>IFERROR(VLOOKUP(AQ90,[1]SUMMARY!$A$3:$B$7,2,FALSE),"")</f>
        <v/>
      </c>
      <c r="AO90" s="31"/>
      <c r="AP90" s="31" t="e">
        <f>VLOOKUP(AO90,[1]OUTLET!$B:$C,2,0)</f>
        <v>#N/A</v>
      </c>
      <c r="AQ90" s="31"/>
      <c r="AR90" s="6"/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0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0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0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 t="e">
        <f>IFERROR(VLOOKUP(AM90,'[1]Harga &amp; Nama CSO'!$H$2:$N$22,2,FALSE),"")*AR90</f>
        <v>#VALUE!</v>
      </c>
      <c r="BK90" s="40"/>
      <c r="BL90" s="6"/>
      <c r="BM90" s="59"/>
      <c r="BN90" s="39"/>
      <c r="BO90" s="57" t="e">
        <f t="shared" si="12"/>
        <v>#VALUE!</v>
      </c>
      <c r="BP90" s="60"/>
      <c r="BQ90" s="8">
        <v>0</v>
      </c>
      <c r="BR90" s="58" t="e">
        <f>VLOOKUP(AM90,'[1]Harga &amp; Nama CSO'!$A$28:$D$31,4,0)*BL90</f>
        <v>#N/A</v>
      </c>
    </row>
    <row r="91" spans="37:70" x14ac:dyDescent="0.35">
      <c r="AK91" s="39">
        <v>89</v>
      </c>
      <c r="AL91" s="60"/>
      <c r="AM91" s="41"/>
      <c r="AN91" s="42" t="str">
        <f>IFERROR(VLOOKUP(AQ91,[1]SUMMARY!$A$3:$B$7,2,FALSE),"")</f>
        <v/>
      </c>
      <c r="AO91" s="31"/>
      <c r="AP91" s="31" t="e">
        <f>VLOOKUP(AO91,[1]OUTLET!$B:$C,2,0)</f>
        <v>#N/A</v>
      </c>
      <c r="AQ91" s="31"/>
      <c r="AR91" s="6"/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0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0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0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 t="e">
        <f>IFERROR(VLOOKUP(AM91,'[1]Harga &amp; Nama CSO'!$H$2:$N$22,2,FALSE),"")*AR91</f>
        <v>#VALUE!</v>
      </c>
      <c r="BK91" s="40"/>
      <c r="BL91" s="39"/>
      <c r="BM91" s="59"/>
      <c r="BN91" s="39"/>
      <c r="BO91" s="57" t="e">
        <f t="shared" si="12"/>
        <v>#VALUE!</v>
      </c>
      <c r="BP91" s="60"/>
      <c r="BQ91" s="8">
        <v>0</v>
      </c>
      <c r="BR91" s="58" t="e">
        <f>VLOOKUP(AM91,'[1]Harga &amp; Nama CSO'!$A$28:$D$31,4,0)*BL91</f>
        <v>#N/A</v>
      </c>
    </row>
    <row r="92" spans="37:70" x14ac:dyDescent="0.35">
      <c r="AK92" s="39">
        <v>90</v>
      </c>
      <c r="AL92" s="60"/>
      <c r="AM92" s="41"/>
      <c r="AN92" s="42" t="str">
        <f>IFERROR(VLOOKUP(AQ92,[1]SUMMARY!$A$3:$B$7,2,FALSE),"")</f>
        <v/>
      </c>
      <c r="AO92" s="31"/>
      <c r="AP92" s="31" t="e">
        <f>VLOOKUP(AO92,[1]OUTLET!$B:$C,2,0)</f>
        <v>#N/A</v>
      </c>
      <c r="AQ92" s="31"/>
      <c r="AR92" s="6"/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0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0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0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 t="e">
        <f>IFERROR(VLOOKUP(AM92,'[1]Harga &amp; Nama CSO'!$H$2:$N$22,2,FALSE),"")*AR92</f>
        <v>#VALUE!</v>
      </c>
      <c r="BK92" s="40"/>
      <c r="BL92" s="39"/>
      <c r="BM92" s="59"/>
      <c r="BN92" s="39"/>
      <c r="BO92" s="57" t="e">
        <f t="shared" si="12"/>
        <v>#VALUE!</v>
      </c>
      <c r="BP92" s="60"/>
      <c r="BQ92" s="8">
        <v>0</v>
      </c>
      <c r="BR92" s="58" t="e">
        <f>VLOOKUP(AM92,'[1]Harga &amp; Nama CSO'!$A$28:$D$31,4,0)*BL92</f>
        <v>#N/A</v>
      </c>
    </row>
    <row r="93" spans="37:70" x14ac:dyDescent="0.35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si="12"/>
        <v>#VALUE!</v>
      </c>
      <c r="BP93" s="60"/>
      <c r="BQ93" s="8">
        <v>0</v>
      </c>
      <c r="BR93" s="58" t="e">
        <f>VLOOKUP(AM93,'[1]Harga &amp; Nama CSO'!$A$28:$D$31,4,0)*BL93</f>
        <v>#N/A</v>
      </c>
    </row>
    <row r="94" spans="37:70" x14ac:dyDescent="0.35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>
        <v>0</v>
      </c>
      <c r="BR94" s="58" t="e">
        <f>VLOOKUP(AM94,'[1]Harga &amp; Nama CSO'!$A$28:$D$31,4,0)*BL94</f>
        <v>#N/A</v>
      </c>
    </row>
    <row r="95" spans="37:70" x14ac:dyDescent="0.35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>
        <v>0</v>
      </c>
      <c r="BR95" s="58" t="e">
        <f>VLOOKUP(AM95,'[1]Harga &amp; Nama CSO'!$A$28:$D$31,4,0)*BL95</f>
        <v>#N/A</v>
      </c>
    </row>
    <row r="96" spans="37:70" x14ac:dyDescent="0.35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>
        <v>0</v>
      </c>
      <c r="BR96" s="58" t="e">
        <f>VLOOKUP(AM96,'[1]Harga &amp; Nama CSO'!$A$28:$D$31,4,0)*BL96</f>
        <v>#N/A</v>
      </c>
    </row>
    <row r="97" spans="37:70" x14ac:dyDescent="0.35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>
        <v>0</v>
      </c>
      <c r="BR97" s="58" t="e">
        <f>VLOOKUP(AM97,'[1]Harga &amp; Nama CSO'!$A$28:$D$31,4,0)*BL97</f>
        <v>#N/A</v>
      </c>
    </row>
    <row r="98" spans="37:70" x14ac:dyDescent="0.35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>
        <v>0</v>
      </c>
      <c r="BR98" s="58" t="e">
        <f>VLOOKUP(AM98,'[1]Harga &amp; Nama CSO'!$A$28:$D$31,4,0)*BL98</f>
        <v>#N/A</v>
      </c>
    </row>
    <row r="99" spans="37:70" x14ac:dyDescent="0.35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>
        <v>0</v>
      </c>
      <c r="BR99" s="58" t="e">
        <f>VLOOKUP(AM99,'[1]Harga &amp; Nama CSO'!$A$28:$D$31,4,0)*BL99</f>
        <v>#N/A</v>
      </c>
    </row>
    <row r="100" spans="37:70" x14ac:dyDescent="0.35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>
        <v>0</v>
      </c>
      <c r="BR100" s="58" t="e">
        <f>VLOOKUP(AM100,'[1]Harga &amp; Nama CSO'!$A$28:$D$31,4,0)*BL100</f>
        <v>#N/A</v>
      </c>
    </row>
    <row r="101" spans="37:70" x14ac:dyDescent="0.35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>
        <v>0</v>
      </c>
      <c r="BR101" s="58" t="e">
        <f>VLOOKUP(AM101,'[1]Harga &amp; Nama CSO'!$A$28:$D$31,4,0)*BL101</f>
        <v>#N/A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6" priority="8" operator="lessThan">
      <formula>1</formula>
    </cfRule>
  </conditionalFormatting>
  <conditionalFormatting sqref="AO3:AO47">
    <cfRule type="duplicateValues" dxfId="5" priority="1"/>
  </conditionalFormatting>
  <conditionalFormatting sqref="AO48:AO1802">
    <cfRule type="duplicateValues" dxfId="4" priority="3"/>
  </conditionalFormatting>
  <conditionalFormatting sqref="AO76:AO84">
    <cfRule type="duplicateValues" dxfId="3" priority="6"/>
  </conditionalFormatting>
  <conditionalFormatting sqref="BQ3:BQ1802">
    <cfRule type="cellIs" dxfId="2" priority="7" operator="lessThan">
      <formula>99999</formula>
    </cfRule>
  </conditionalFormatting>
  <conditionalFormatting sqref="BR3:BR1802">
    <cfRule type="cellIs" dxfId="1" priority="4" operator="lessThan">
      <formula>200000</formula>
    </cfRule>
    <cfRule type="cellIs" dxfId="0" priority="5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2026-06-11T03:59:48Z</dcterms:modified>
</cp:coreProperties>
</file>