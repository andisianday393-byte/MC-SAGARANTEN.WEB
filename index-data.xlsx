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B52BDE4-C65C-45CE-BC9F-46BE041A36A8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2" r:id="rId13"/>
    <pivotCache cacheId="9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O212" i="8" l="1"/>
  <c r="BT212" i="8" s="1"/>
  <c r="BN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BO211" i="8"/>
  <c r="BT211" i="8" s="1"/>
  <c r="BN211" i="8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BO210" i="8"/>
  <c r="BT210" i="8" s="1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BO209" i="8"/>
  <c r="BT209" i="8" s="1"/>
  <c r="BN209" i="8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BO208" i="8"/>
  <c r="BT208" i="8" s="1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BO207" i="8"/>
  <c r="BT207" i="8" s="1"/>
  <c r="BN207" i="8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BT206" i="8"/>
  <c r="BO206" i="8"/>
  <c r="BN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BO205" i="8"/>
  <c r="BT205" i="8" s="1"/>
  <c r="BN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BT204" i="8"/>
  <c r="BO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BO203" i="8"/>
  <c r="BT203" i="8" s="1"/>
  <c r="BN203" i="8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BO202" i="8"/>
  <c r="BT202" i="8" s="1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BO201" i="8"/>
  <c r="BT201" i="8" s="1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BO200" i="8"/>
  <c r="BT200" i="8" s="1"/>
  <c r="BN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BO199" i="8"/>
  <c r="BT199" i="8" s="1"/>
  <c r="BN199" i="8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BT198" i="8"/>
  <c r="BO198" i="8"/>
  <c r="BN198" i="8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BO197" i="8"/>
  <c r="BT197" i="8" s="1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BO196" i="8"/>
  <c r="BT196" i="8" s="1"/>
  <c r="BN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AR196" i="8"/>
  <c r="BT195" i="8"/>
  <c r="BO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AR195" i="8"/>
  <c r="BO194" i="8"/>
  <c r="BT194" i="8" s="1"/>
  <c r="BN194" i="8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AR194" i="8"/>
  <c r="BO193" i="8"/>
  <c r="BT193" i="8" s="1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AR193" i="8"/>
  <c r="BT192" i="8"/>
  <c r="BO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AR192" i="8"/>
  <c r="BO191" i="8"/>
  <c r="BT191" i="8" s="1"/>
  <c r="BN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AR191" i="8"/>
  <c r="BT190" i="8"/>
  <c r="BO190" i="8"/>
  <c r="BN190" i="8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AR190" i="8"/>
  <c r="BO189" i="8"/>
  <c r="BT189" i="8" s="1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AR189" i="8"/>
  <c r="BT188" i="8"/>
  <c r="BO188" i="8"/>
  <c r="BN188" i="8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AR188" i="8"/>
  <c r="BO187" i="8"/>
  <c r="BT187" i="8" s="1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AR187" i="8"/>
  <c r="BT186" i="8"/>
  <c r="BO186" i="8"/>
  <c r="BN186" i="8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AR186" i="8"/>
  <c r="BO185" i="8"/>
  <c r="BT185" i="8" s="1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AR185" i="8"/>
  <c r="BT184" i="8"/>
  <c r="BO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AR184" i="8"/>
  <c r="BT183" i="8"/>
  <c r="BO183" i="8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AR183" i="8"/>
  <c r="BO182" i="8"/>
  <c r="BT182" i="8" s="1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AR182" i="8"/>
  <c r="BT181" i="8"/>
  <c r="BO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AR181" i="8"/>
  <c r="BO180" i="8"/>
  <c r="BT180" i="8" s="1"/>
  <c r="BN180" i="8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AR180" i="8"/>
  <c r="BT179" i="8"/>
  <c r="BO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AR179" i="8"/>
  <c r="BO178" i="8"/>
  <c r="BT178" i="8" s="1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T177" i="8"/>
  <c r="BO177" i="8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O176" i="8"/>
  <c r="BT176" i="8" s="1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T175" i="8"/>
  <c r="BO175" i="8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O174" i="8"/>
  <c r="BT174" i="8" s="1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T173" i="8"/>
  <c r="BO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O172" i="8"/>
  <c r="BT172" i="8" s="1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T171" i="8"/>
  <c r="BO171" i="8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O170" i="8"/>
  <c r="BT170" i="8" s="1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T169" i="8"/>
  <c r="BO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O168" i="8"/>
  <c r="BT168" i="8" s="1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T167" i="8"/>
  <c r="BO167" i="8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O166" i="8"/>
  <c r="BT166" i="8" s="1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T165" i="8"/>
  <c r="BO165" i="8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O164" i="8"/>
  <c r="BT164" i="8" s="1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T163" i="8"/>
  <c r="BO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 s="1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T161" i="8"/>
  <c r="BO161" i="8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O160" i="8"/>
  <c r="BT160" i="8" s="1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T159" i="8"/>
  <c r="BO159" i="8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O158" i="8"/>
  <c r="BT158" i="8" s="1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T157" i="8"/>
  <c r="BO157" i="8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 s="1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T155" i="8"/>
  <c r="BO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 s="1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T153" i="8"/>
  <c r="BO153" i="8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 s="1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T151" i="8"/>
  <c r="BO151" i="8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 s="1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T149" i="8"/>
  <c r="BO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O148" i="8"/>
  <c r="BT148" i="8" s="1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T147" i="8"/>
  <c r="BO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O146" i="8"/>
  <c r="BT146" i="8" s="1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T145" i="8"/>
  <c r="BO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T144" i="8"/>
  <c r="BO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T143" i="8"/>
  <c r="BO143" i="8"/>
  <c r="BN143" i="8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AR143" i="8"/>
  <c r="BT142" i="8"/>
  <c r="BO142" i="8"/>
  <c r="BN142" i="8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AR142" i="8"/>
  <c r="BT141" i="8"/>
  <c r="BO141" i="8"/>
  <c r="BN141" i="8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AR141" i="8"/>
  <c r="BT140" i="8"/>
  <c r="BO140" i="8"/>
  <c r="BN140" i="8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AR140" i="8"/>
  <c r="BT139" i="8"/>
  <c r="BO139" i="8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AR139" i="8"/>
  <c r="BT138" i="8"/>
  <c r="BO138" i="8"/>
  <c r="BN138" i="8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AR138" i="8"/>
  <c r="BT137" i="8"/>
  <c r="BO137" i="8"/>
  <c r="BN137" i="8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T136" i="8"/>
  <c r="BO136" i="8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T135" i="8"/>
  <c r="BO135" i="8"/>
  <c r="BN135" i="8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T134" i="8"/>
  <c r="BO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T133" i="8"/>
  <c r="BO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T132" i="8"/>
  <c r="BO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T131" i="8"/>
  <c r="BO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BT130" i="8"/>
  <c r="BO130" i="8"/>
  <c r="BN130" i="8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BT129" i="8"/>
  <c r="BO129" i="8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T128" i="8"/>
  <c r="BO128" i="8"/>
  <c r="BN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AR128" i="8"/>
  <c r="BO127" i="8"/>
  <c r="BT127" i="8" s="1"/>
  <c r="BN127" i="8"/>
  <c r="BM127" i="8"/>
  <c r="BL127" i="8"/>
  <c r="BK127" i="8"/>
  <c r="BJ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T127" i="8"/>
  <c r="AR127" i="8"/>
  <c r="BT126" i="8"/>
  <c r="BO126" i="8"/>
  <c r="BN126" i="8"/>
  <c r="BM126" i="8"/>
  <c r="BL126" i="8"/>
  <c r="BK126" i="8"/>
  <c r="BJ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T126" i="8"/>
  <c r="AR126" i="8"/>
  <c r="BO125" i="8"/>
  <c r="BT125" i="8" s="1"/>
  <c r="BN125" i="8"/>
  <c r="BM125" i="8"/>
  <c r="BL125" i="8"/>
  <c r="BK125" i="8"/>
  <c r="BJ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T125" i="8"/>
  <c r="AR125" i="8"/>
  <c r="BT124" i="8"/>
  <c r="BO124" i="8"/>
  <c r="BN124" i="8"/>
  <c r="BM124" i="8"/>
  <c r="BL124" i="8"/>
  <c r="BK124" i="8"/>
  <c r="BJ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T124" i="8"/>
  <c r="AR124" i="8"/>
  <c r="BO123" i="8"/>
  <c r="BT123" i="8" s="1"/>
  <c r="BN123" i="8"/>
  <c r="BM123" i="8"/>
  <c r="BL123" i="8"/>
  <c r="BK123" i="8"/>
  <c r="BJ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T123" i="8"/>
  <c r="AR123" i="8"/>
  <c r="BT122" i="8"/>
  <c r="BO122" i="8"/>
  <c r="BN122" i="8"/>
  <c r="BM122" i="8"/>
  <c r="BL122" i="8"/>
  <c r="BK122" i="8"/>
  <c r="BJ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T122" i="8"/>
  <c r="AR122" i="8"/>
  <c r="BO121" i="8"/>
  <c r="BT121" i="8" s="1"/>
  <c r="BN121" i="8"/>
  <c r="BM121" i="8"/>
  <c r="BL121" i="8"/>
  <c r="BK121" i="8"/>
  <c r="BJ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T121" i="8"/>
  <c r="AR121" i="8"/>
  <c r="BT120" i="8"/>
  <c r="BO120" i="8"/>
  <c r="BN120" i="8"/>
  <c r="BM120" i="8"/>
  <c r="BL120" i="8"/>
  <c r="BK120" i="8"/>
  <c r="BJ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T120" i="8"/>
  <c r="AR120" i="8"/>
  <c r="BO119" i="8"/>
  <c r="BT119" i="8" s="1"/>
  <c r="BN119" i="8"/>
  <c r="BM119" i="8"/>
  <c r="BL119" i="8"/>
  <c r="BK119" i="8"/>
  <c r="BJ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T119" i="8"/>
  <c r="AR119" i="8"/>
  <c r="BT118" i="8"/>
  <c r="BO118" i="8"/>
  <c r="BN118" i="8"/>
  <c r="BM118" i="8"/>
  <c r="BL118" i="8"/>
  <c r="BK118" i="8"/>
  <c r="BJ118" i="8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T118" i="8"/>
  <c r="AR118" i="8"/>
  <c r="BO117" i="8"/>
  <c r="BT117" i="8" s="1"/>
  <c r="BN117" i="8"/>
  <c r="BM117" i="8"/>
  <c r="BL117" i="8"/>
  <c r="BK117" i="8"/>
  <c r="BJ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T117" i="8"/>
  <c r="AR117" i="8"/>
  <c r="BT116" i="8"/>
  <c r="BO116" i="8"/>
  <c r="BN116" i="8"/>
  <c r="BM116" i="8"/>
  <c r="BL116" i="8"/>
  <c r="BK116" i="8"/>
  <c r="BJ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T116" i="8"/>
  <c r="AR116" i="8"/>
  <c r="BO115" i="8"/>
  <c r="BT115" i="8" s="1"/>
  <c r="BN115" i="8"/>
  <c r="BM115" i="8"/>
  <c r="BL115" i="8"/>
  <c r="BK115" i="8"/>
  <c r="BJ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T115" i="8"/>
  <c r="AR115" i="8"/>
  <c r="BT114" i="8"/>
  <c r="BO114" i="8"/>
  <c r="BN114" i="8"/>
  <c r="BM114" i="8"/>
  <c r="BL114" i="8"/>
  <c r="BK114" i="8"/>
  <c r="BJ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T114" i="8"/>
  <c r="AR114" i="8"/>
  <c r="BO113" i="8"/>
  <c r="BT113" i="8" s="1"/>
  <c r="BN113" i="8"/>
  <c r="BM113" i="8"/>
  <c r="BL113" i="8"/>
  <c r="BK113" i="8"/>
  <c r="BJ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T113" i="8"/>
  <c r="AR113" i="8"/>
  <c r="BT112" i="8"/>
  <c r="BO112" i="8"/>
  <c r="BN112" i="8"/>
  <c r="BM112" i="8"/>
  <c r="BL112" i="8"/>
  <c r="BK112" i="8"/>
  <c r="BJ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T112" i="8"/>
  <c r="AR112" i="8"/>
  <c r="BO111" i="8"/>
  <c r="BT111" i="8" s="1"/>
  <c r="BN111" i="8"/>
  <c r="BM111" i="8"/>
  <c r="BL111" i="8"/>
  <c r="BK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T111" i="8"/>
  <c r="AR111" i="8"/>
  <c r="BT110" i="8"/>
  <c r="BO110" i="8"/>
  <c r="BN110" i="8"/>
  <c r="BM110" i="8"/>
  <c r="BL110" i="8"/>
  <c r="BK110" i="8"/>
  <c r="BJ110" i="8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T110" i="8"/>
  <c r="AR110" i="8"/>
  <c r="BO109" i="8"/>
  <c r="BT109" i="8" s="1"/>
  <c r="BN109" i="8"/>
  <c r="BM109" i="8"/>
  <c r="BL109" i="8"/>
  <c r="BK109" i="8"/>
  <c r="BJ109" i="8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T109" i="8"/>
  <c r="AR109" i="8"/>
  <c r="BT108" i="8"/>
  <c r="BO108" i="8"/>
  <c r="BN108" i="8"/>
  <c r="BM108" i="8"/>
  <c r="BL108" i="8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T108" i="8"/>
  <c r="AR108" i="8"/>
  <c r="BO107" i="8"/>
  <c r="BT107" i="8" s="1"/>
  <c r="BN107" i="8"/>
  <c r="BM107" i="8"/>
  <c r="BL107" i="8"/>
  <c r="BK107" i="8"/>
  <c r="BJ107" i="8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T107" i="8"/>
  <c r="AR107" i="8"/>
  <c r="BT106" i="8"/>
  <c r="BO106" i="8"/>
  <c r="BN106" i="8"/>
  <c r="BM106" i="8"/>
  <c r="BL106" i="8"/>
  <c r="BK106" i="8"/>
  <c r="BJ106" i="8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T106" i="8"/>
  <c r="AR106" i="8"/>
  <c r="BO105" i="8"/>
  <c r="BT105" i="8" s="1"/>
  <c r="BN105" i="8"/>
  <c r="BM105" i="8"/>
  <c r="BL105" i="8"/>
  <c r="BK105" i="8"/>
  <c r="BJ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T105" i="8"/>
  <c r="AR105" i="8"/>
  <c r="BT104" i="8"/>
  <c r="BO104" i="8"/>
  <c r="BN104" i="8"/>
  <c r="BM104" i="8"/>
  <c r="BL104" i="8"/>
  <c r="BK104" i="8"/>
  <c r="BJ104" i="8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T104" i="8"/>
  <c r="AR104" i="8"/>
  <c r="BO103" i="8"/>
  <c r="BT103" i="8" s="1"/>
  <c r="BN103" i="8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T102" i="8"/>
  <c r="BO102" i="8"/>
  <c r="BN102" i="8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 s="1"/>
  <c r="BN101" i="8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AR101" i="8"/>
  <c r="BT100" i="8"/>
  <c r="BO100" i="8"/>
  <c r="BN100" i="8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AR100" i="8"/>
  <c r="BO99" i="8"/>
  <c r="BT99" i="8" s="1"/>
  <c r="BN99" i="8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BT98" i="8"/>
  <c r="BO98" i="8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AR98" i="8"/>
  <c r="BO97" i="8"/>
  <c r="BT97" i="8" s="1"/>
  <c r="BN97" i="8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AR97" i="8"/>
  <c r="BT96" i="8"/>
  <c r="BO96" i="8"/>
  <c r="BN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AR96" i="8"/>
  <c r="BO95" i="8"/>
  <c r="BT95" i="8" s="1"/>
  <c r="BN95" i="8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AR95" i="8"/>
  <c r="BT94" i="8"/>
  <c r="BO94" i="8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AR94" i="8"/>
  <c r="BO93" i="8"/>
  <c r="BT93" i="8" s="1"/>
  <c r="BN93" i="8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AR93" i="8"/>
  <c r="BT92" i="8"/>
  <c r="BO92" i="8"/>
  <c r="BN92" i="8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AR92" i="8"/>
  <c r="BO91" i="8"/>
  <c r="BT91" i="8" s="1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AR91" i="8"/>
  <c r="BT90" i="8"/>
  <c r="BO90" i="8"/>
  <c r="BN90" i="8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AR90" i="8"/>
  <c r="BO89" i="8"/>
  <c r="BT89" i="8" s="1"/>
  <c r="BN89" i="8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AR89" i="8"/>
  <c r="BT88" i="8"/>
  <c r="BO88" i="8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AR88" i="8"/>
  <c r="BO87" i="8"/>
  <c r="BT87" i="8" s="1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AR87" i="8"/>
  <c r="BT86" i="8"/>
  <c r="BO86" i="8"/>
  <c r="BN86" i="8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AR86" i="8"/>
  <c r="BO85" i="8"/>
  <c r="BT85" i="8" s="1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AR85" i="8"/>
  <c r="BT84" i="8"/>
  <c r="BO84" i="8"/>
  <c r="BN84" i="8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AR84" i="8"/>
  <c r="BO83" i="8"/>
  <c r="BT83" i="8" s="1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AR83" i="8"/>
  <c r="BT82" i="8"/>
  <c r="BO82" i="8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AR82" i="8"/>
  <c r="BO81" i="8"/>
  <c r="BT81" i="8" s="1"/>
  <c r="BN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BT80" i="8"/>
  <c r="BO80" i="8"/>
  <c r="BN80" i="8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T79" i="8"/>
  <c r="BO79" i="8"/>
  <c r="BN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AR79" i="8"/>
  <c r="BT78" i="8"/>
  <c r="BO78" i="8"/>
  <c r="BN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T77" i="8"/>
  <c r="BO77" i="8"/>
  <c r="BN77" i="8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T76" i="8"/>
  <c r="BO76" i="8"/>
  <c r="BN76" i="8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T75" i="8"/>
  <c r="BO75" i="8"/>
  <c r="BN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T74" i="8"/>
  <c r="BO74" i="8"/>
  <c r="BN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BT73" i="8"/>
  <c r="BO73" i="8"/>
  <c r="BN73" i="8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BT72" i="8"/>
  <c r="BO72" i="8"/>
  <c r="BN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AR72" i="8"/>
  <c r="BT71" i="8"/>
  <c r="BO71" i="8"/>
  <c r="BN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T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T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T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T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BT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T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T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AR64" i="8"/>
  <c r="BT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T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T61" i="8"/>
  <c r="BO61" i="8"/>
  <c r="BN61" i="8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BT60" i="8"/>
  <c r="BO60" i="8"/>
  <c r="BN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T59" i="8"/>
  <c r="BO59" i="8"/>
  <c r="BN59" i="8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T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T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BT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T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T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T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T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T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T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T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BT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AR48" i="8"/>
  <c r="BT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AR47" i="8"/>
  <c r="BT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T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AR45" i="8"/>
  <c r="BT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AR44" i="8"/>
  <c r="BT43" i="8"/>
  <c r="BO43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AR43" i="8"/>
  <c r="BT42" i="8"/>
  <c r="BO42" i="8"/>
  <c r="BN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T41" i="8"/>
  <c r="BO41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T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AR40" i="8"/>
  <c r="BT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T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AR38" i="8"/>
  <c r="BT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AR37" i="8"/>
  <c r="BT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AR36" i="8"/>
  <c r="BT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AR35" i="8"/>
  <c r="BT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AR34" i="8"/>
  <c r="BT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AR33" i="8"/>
  <c r="BT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AR32" i="8"/>
  <c r="BT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T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T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AR29" i="8"/>
  <c r="BT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AR28" i="8"/>
  <c r="BT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T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T25" i="8"/>
  <c r="BO25" i="8"/>
  <c r="BN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T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AR24" i="8"/>
  <c r="BT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T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BT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T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T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T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T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T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AR16" i="8"/>
  <c r="BT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T14" i="8"/>
  <c r="BO14" i="8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AR14" i="8"/>
  <c r="BT13" i="8"/>
  <c r="BO13" i="8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T12" i="8"/>
  <c r="BO12" i="8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T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T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T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T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T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T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T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T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T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BO213" i="8"/>
  <c r="BT213" i="8" s="1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O6" i="8"/>
  <c r="O5" i="8"/>
  <c r="O4" i="8"/>
  <c r="O3" i="8"/>
  <c r="AM4" i="8" l="1"/>
  <c r="AI3" i="4"/>
  <c r="AD3" i="4"/>
  <c r="T3" i="4"/>
  <c r="AC3" i="4"/>
  <c r="S3" i="4"/>
  <c r="AG3" i="4"/>
  <c r="AB3" i="4"/>
  <c r="W3" i="4"/>
  <c r="R3" i="4"/>
  <c r="C31" i="8" a="1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U4" i="8"/>
  <c r="AA4" i="8" s="1"/>
  <c r="AC4" i="8" s="1"/>
  <c r="E2" i="4"/>
  <c r="V4" i="8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T7" i="8"/>
  <c r="D5" i="4" s="1"/>
  <c r="U7" i="8"/>
  <c r="V7" i="8"/>
  <c r="F5" i="4" s="1"/>
  <c r="R8" i="8"/>
  <c r="B6" i="4" s="1"/>
  <c r="S8" i="8"/>
  <c r="C6" i="4"/>
  <c r="T8" i="8"/>
  <c r="D6" i="4" s="1"/>
  <c r="U8" i="8"/>
  <c r="E6" i="4" s="1"/>
  <c r="V8" i="8"/>
  <c r="F6" i="4" s="1"/>
  <c r="R9" i="8"/>
  <c r="S9" i="8"/>
  <c r="T9" i="8"/>
  <c r="U9" i="8"/>
  <c r="V9" i="8"/>
  <c r="R10" i="8"/>
  <c r="B10" i="4"/>
  <c r="S10" i="8"/>
  <c r="C10" i="4"/>
  <c r="T10" i="8"/>
  <c r="U10" i="8"/>
  <c r="V10" i="8"/>
  <c r="F10" i="4"/>
  <c r="R11" i="8"/>
  <c r="B11" i="4" s="1"/>
  <c r="T11" i="8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U13" i="8"/>
  <c r="V13" i="8"/>
  <c r="F13" i="4"/>
  <c r="R14" i="8"/>
  <c r="B14" i="4"/>
  <c r="T14" i="8"/>
  <c r="V14" i="8"/>
  <c r="F14" i="4" s="1"/>
  <c r="R15" i="8"/>
  <c r="B15" i="4" s="1"/>
  <c r="S15" i="8"/>
  <c r="T15" i="8"/>
  <c r="U15" i="8"/>
  <c r="E15" i="4" s="1"/>
  <c r="V15" i="8"/>
  <c r="F15" i="4" s="1"/>
  <c r="R16" i="8"/>
  <c r="S16" i="8"/>
  <c r="T16" i="8"/>
  <c r="D16" i="4"/>
  <c r="U16" i="8"/>
  <c r="E16" i="4" s="1"/>
  <c r="V16" i="8"/>
  <c r="F16" i="4" s="1"/>
  <c r="R17" i="8"/>
  <c r="B17" i="4"/>
  <c r="S17" i="8"/>
  <c r="T17" i="8"/>
  <c r="U17" i="8"/>
  <c r="V17" i="8"/>
  <c r="F17" i="4" s="1"/>
  <c r="R18" i="8"/>
  <c r="B18" i="4" s="1"/>
  <c r="T18" i="8"/>
  <c r="D18" i="4" s="1"/>
  <c r="V18" i="8"/>
  <c r="F18" i="4"/>
  <c r="R19" i="8"/>
  <c r="B19" i="4"/>
  <c r="S19" i="8"/>
  <c r="T19" i="8"/>
  <c r="D19" i="4" s="1"/>
  <c r="U19" i="8"/>
  <c r="E19" i="4" s="1"/>
  <c r="V19" i="8"/>
  <c r="F19" i="4" s="1"/>
  <c r="R20" i="8"/>
  <c r="B20" i="4" s="1"/>
  <c r="S20" i="8"/>
  <c r="C20" i="4" s="1"/>
  <c r="T20" i="8"/>
  <c r="U20" i="8"/>
  <c r="E20" i="4"/>
  <c r="V20" i="8"/>
  <c r="Z20" i="8" s="1"/>
  <c r="R21" i="8"/>
  <c r="B21" i="4" s="1"/>
  <c r="S21" i="8"/>
  <c r="AA21" i="8" s="1"/>
  <c r="AC21" i="8" s="1"/>
  <c r="T21" i="8"/>
  <c r="D21" i="4" s="1"/>
  <c r="U21" i="8"/>
  <c r="V21" i="8"/>
  <c r="F21" i="4" s="1"/>
  <c r="R22" i="8"/>
  <c r="T22" i="8"/>
  <c r="V22" i="8"/>
  <c r="F22" i="4" s="1"/>
  <c r="D10" i="4"/>
  <c r="D14" i="4"/>
  <c r="D15" i="4"/>
  <c r="B16" i="4"/>
  <c r="F20" i="4"/>
  <c r="D22" i="4"/>
  <c r="D2" i="4"/>
  <c r="F2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/>
  <c r="W7" i="8"/>
  <c r="G5" i="4" s="1"/>
  <c r="W10" i="8"/>
  <c r="G10" i="4" s="1"/>
  <c r="Y10" i="8"/>
  <c r="W13" i="8"/>
  <c r="G13" i="4" s="1"/>
  <c r="Y13" i="8"/>
  <c r="I13" i="4" s="1"/>
  <c r="W17" i="8"/>
  <c r="G17" i="4" s="1"/>
  <c r="Y17" i="8"/>
  <c r="I17" i="4" s="1"/>
  <c r="Y7" i="8"/>
  <c r="I5" i="4"/>
  <c r="Y8" i="8"/>
  <c r="I6" i="4" s="1"/>
  <c r="Y9" i="8"/>
  <c r="Y15" i="8"/>
  <c r="I15" i="4"/>
  <c r="Y16" i="8"/>
  <c r="I16" i="4" s="1"/>
  <c r="Y19" i="8"/>
  <c r="I19" i="4"/>
  <c r="Y20" i="8"/>
  <c r="I20" i="4" s="1"/>
  <c r="Y21" i="8"/>
  <c r="I21" i="4" s="1"/>
  <c r="Y4" i="8"/>
  <c r="I2" i="4"/>
  <c r="W8" i="8"/>
  <c r="G6" i="4" s="1"/>
  <c r="W9" i="8"/>
  <c r="W15" i="8"/>
  <c r="G15" i="4"/>
  <c r="W16" i="8"/>
  <c r="G16" i="4" s="1"/>
  <c r="W19" i="8"/>
  <c r="G19" i="4"/>
  <c r="W20" i="8"/>
  <c r="G20" i="4" s="1"/>
  <c r="W21" i="8"/>
  <c r="G21" i="4"/>
  <c r="X4" i="8"/>
  <c r="H2" i="4" s="1"/>
  <c r="X7" i="8"/>
  <c r="H5" i="4" s="1"/>
  <c r="X8" i="8"/>
  <c r="H6" i="4"/>
  <c r="X9" i="8"/>
  <c r="X10" i="8"/>
  <c r="H10" i="4" s="1"/>
  <c r="X13" i="8"/>
  <c r="H13" i="4" s="1"/>
  <c r="X15" i="8"/>
  <c r="H15" i="4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 s="1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 s="1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 s="1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 s="1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 s="1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 s="1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 s="1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 s="1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 s="1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 s="1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 s="1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 s="1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 s="1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 s="1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 s="1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 s="1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 s="1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 s="1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 s="1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 s="1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 s="1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 s="1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 s="1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 s="1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 s="1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 s="1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 s="1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 s="1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 s="1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 s="1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 s="1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 s="1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 s="1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 s="1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 s="1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 s="1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 s="1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 s="1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 s="1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 s="1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 s="1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 s="1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 s="1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 s="1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 s="1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 s="1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 s="1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 s="1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 s="1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 s="1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 s="1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 s="1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 s="1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 s="1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 s="1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 s="1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 s="1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 s="1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 s="1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 s="1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 s="1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 s="1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 s="1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 s="1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 s="1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 s="1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 s="1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 s="1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 s="1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 s="1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 s="1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 s="1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 s="1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 s="1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 s="1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 s="1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 s="1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 s="1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 s="1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 s="1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 s="1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 s="1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 s="1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 s="1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 s="1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 s="1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 s="1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 s="1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 s="1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 s="1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 s="1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 s="1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 s="1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 s="1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 s="1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 s="1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 s="1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 s="1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 s="1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 s="1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 s="1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 s="1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 s="1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 s="1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 s="1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 s="1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 s="1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 s="1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 s="1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 s="1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 s="1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 s="1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 s="1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 s="1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 s="1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 s="1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 s="1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 s="1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 s="1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 s="1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 s="1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 s="1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 s="1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 s="1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 s="1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 s="1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 s="1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 s="1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 s="1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 s="1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 s="1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 s="1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 s="1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 s="1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 s="1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 s="1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 s="1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 s="1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 s="1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 s="1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 s="1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 s="1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 s="1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 s="1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 s="1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 s="1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 s="1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 s="1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 s="1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 s="1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 s="1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 s="1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 s="1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 s="1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 s="1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 s="1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 s="1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 s="1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 s="1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 s="1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 s="1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 s="1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 s="1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 s="1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 s="1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 s="1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 s="1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 s="1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 s="1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 s="1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 s="1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 s="1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 s="1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 s="1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 s="1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 s="1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 s="1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 s="1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 s="1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 s="1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 s="1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 s="1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 s="1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 s="1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 s="1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 s="1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 s="1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 s="1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 s="1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 s="1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 s="1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 s="1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 s="1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 s="1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 s="1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 s="1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 s="1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 s="1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 s="1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 s="1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 s="1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 s="1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 s="1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 s="1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 s="1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 s="1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 s="1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 s="1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 s="1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 s="1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 s="1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 s="1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 s="1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 s="1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 s="1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 s="1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 s="1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 s="1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 s="1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 s="1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 s="1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 s="1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 s="1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 s="1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 s="1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 s="1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 s="1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 s="1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 s="1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 s="1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 s="1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 s="1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 s="1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 s="1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 s="1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 s="1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 s="1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 s="1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 s="1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 s="1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 s="1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 s="1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 s="1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 s="1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 s="1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 s="1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 s="1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 s="1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 s="1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 s="1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 s="1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 s="1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 s="1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 s="1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 s="1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 s="1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 s="1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 s="1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 s="1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 s="1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 s="1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 s="1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 s="1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 s="1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 s="1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 s="1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 s="1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 s="1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 s="1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 s="1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 s="1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 s="1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 s="1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 s="1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 s="1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 s="1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 s="1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 s="1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 s="1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 s="1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 s="1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 s="1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 s="1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 s="1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 s="1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 s="1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 s="1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 s="1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 s="1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 s="1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 s="1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 s="1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 s="1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 s="1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 s="1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 s="1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 s="1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 s="1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 s="1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 s="1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 s="1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 s="1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 s="1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 s="1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 s="1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 s="1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 s="1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 s="1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 s="1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 s="1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 s="1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 s="1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 s="1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 s="1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 s="1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 s="1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 s="1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 s="1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 s="1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 s="1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 s="1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 s="1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 s="1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 s="1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 s="1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 s="1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 s="1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 s="1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 s="1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 s="1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 s="1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 s="1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 s="1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 s="1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 s="1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 s="1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 s="1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 s="1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 s="1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 s="1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 s="1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 s="1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 s="1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 s="1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 s="1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 s="1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 s="1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 s="1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 s="1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 s="1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 s="1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 s="1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 s="1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 s="1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 s="1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 s="1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 s="1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 s="1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 s="1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 s="1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 s="1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 s="1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 s="1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 s="1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 s="1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 s="1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 s="1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 s="1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 s="1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 s="1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 s="1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 s="1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 s="1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 s="1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 s="1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 s="1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 s="1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 s="1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 s="1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 s="1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 s="1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 s="1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 s="1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 s="1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 s="1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 s="1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 s="1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 s="1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 s="1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 s="1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 s="1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 s="1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 s="1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 s="1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 s="1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 s="1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 s="1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 s="1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 s="1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 s="1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 s="1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 s="1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 s="1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 s="1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 s="1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 s="1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 s="1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 s="1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 s="1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 s="1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 s="1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 s="1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 s="1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 s="1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 s="1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 s="1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 s="1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 s="1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 s="1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 s="1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 s="1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 s="1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 s="1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 s="1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 s="1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 s="1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 s="1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 s="1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 s="1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 s="1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 s="1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 s="1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 s="1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 s="1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 s="1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 s="1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 s="1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 s="1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 s="1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 s="1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 s="1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 s="1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 s="1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 s="1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 s="1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 s="1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 s="1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 s="1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 s="1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 s="1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 s="1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 s="1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 s="1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 s="1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 s="1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 s="1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 s="1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 s="1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 s="1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 s="1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 s="1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 s="1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 s="1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 s="1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 s="1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 s="1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 s="1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 s="1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 s="1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 s="1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 s="1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 s="1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 s="1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 s="1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 s="1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 s="1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 s="1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 s="1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 s="1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 s="1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 s="1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 s="1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 s="1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 s="1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 s="1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 s="1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 s="1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 s="1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 s="1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 s="1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 s="1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 s="1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 s="1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 s="1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 s="1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 s="1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 s="1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 s="1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 s="1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 s="1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 s="1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 s="1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 s="1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 s="1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 s="1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 s="1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 s="1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 s="1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 s="1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 s="1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 s="1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 s="1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 s="1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 s="1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 s="1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 s="1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 s="1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 s="1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 s="1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 s="1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 s="1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 s="1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 s="1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 s="1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 s="1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 s="1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 s="1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 s="1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 s="1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 s="1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 s="1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 s="1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 s="1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 s="1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 s="1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 s="1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 s="1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 s="1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 s="1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 s="1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 s="1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 s="1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 s="1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 s="1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 s="1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 s="1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 s="1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 s="1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 s="1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 s="1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 s="1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 s="1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 s="1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 s="1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 s="1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 s="1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 s="1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 s="1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 s="1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 s="1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 s="1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 s="1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 s="1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 s="1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 s="1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 s="1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 s="1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 s="1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 s="1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 s="1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 s="1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 s="1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 s="1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 s="1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 s="1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 s="1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 s="1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 s="1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 s="1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 s="1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 s="1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 s="1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 s="1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 s="1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 s="1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 s="1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 s="1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 s="1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 s="1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 s="1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 s="1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 s="1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 s="1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 s="1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 s="1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 s="1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 s="1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 s="1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 s="1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 s="1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 s="1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 s="1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 s="1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 s="1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 s="1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 s="1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 s="1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 s="1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 s="1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 s="1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 s="1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 s="1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 s="1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 s="1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 s="1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 s="1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 s="1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 s="1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 s="1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 s="1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 s="1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 s="1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 s="1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 s="1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 s="1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 s="1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 s="1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 s="1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 s="1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 s="1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 s="1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 s="1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 s="1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 s="1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 s="1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 s="1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 s="1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 s="1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 s="1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 s="1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 s="1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 s="1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 s="1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 s="1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 s="1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 s="1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 s="1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 s="1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 s="1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 s="1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 s="1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 s="1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 s="1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 s="1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 s="1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 s="1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 s="1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 s="1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 s="1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 s="1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 s="1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 s="1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 s="1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 s="1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 s="1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 s="1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 s="1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 s="1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 s="1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 s="1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 s="1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 s="1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 s="1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 s="1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 s="1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 s="1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 s="1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 s="1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 s="1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 s="1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 s="1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 s="1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 s="1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 s="1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 s="1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 s="1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 s="1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 s="1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 s="1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 s="1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 s="1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 s="1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 s="1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 s="1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 s="1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 s="1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 s="1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 s="1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 s="1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 s="1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 s="1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 s="1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 s="1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 s="1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 s="1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 s="1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 s="1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 s="1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 s="1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 s="1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 s="1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 s="1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 s="1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 s="1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 s="1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 s="1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 s="1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 s="1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 s="1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 s="1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 s="1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 s="1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 s="1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 s="1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 s="1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 s="1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 s="1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 s="1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 s="1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 s="1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 s="1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 s="1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 s="1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 s="1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 s="1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 s="1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 s="1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 s="1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 s="1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 s="1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 s="1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 s="1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 s="1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 s="1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 s="1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 s="1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 s="1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 s="1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 s="1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 s="1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 s="1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 s="1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 s="1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 s="1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 s="1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 s="1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 s="1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 s="1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 s="1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 s="1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 s="1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 s="1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 s="1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 s="1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 s="1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 s="1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 s="1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 s="1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 s="1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 s="1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 s="1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 s="1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 s="1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 s="1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 s="1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 s="1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 s="1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 s="1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 s="1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 s="1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 s="1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 s="1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 s="1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 s="1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 s="1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 s="1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 s="1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 s="1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 s="1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 s="1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 s="1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 s="1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 s="1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 s="1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 s="1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 s="1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 s="1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 s="1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 s="1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 s="1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 s="1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 s="1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 s="1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 s="1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 s="1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 s="1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 s="1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 s="1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 s="1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 s="1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 s="1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 s="1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 s="1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 s="1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 s="1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 s="1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 s="1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 s="1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 s="1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 s="1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 s="1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 s="1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 s="1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 s="1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 s="1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 s="1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 s="1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 s="1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 s="1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 s="1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 s="1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 s="1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 s="1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 s="1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 s="1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 s="1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 s="1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 s="1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 s="1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 s="1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 s="1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 s="1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 s="1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 s="1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 s="1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 s="1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 s="1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 s="1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 s="1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 s="1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 s="1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 s="1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 s="1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 s="1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 s="1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 s="1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 s="1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 s="1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 s="1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 s="1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 s="1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 s="1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 s="1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 s="1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 s="1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 s="1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 s="1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 s="1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 s="1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 s="1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 s="1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 s="1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 s="1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 s="1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 s="1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 s="1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 s="1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 s="1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 s="1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 s="1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 s="1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 s="1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 s="1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 s="1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 s="1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 s="1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 s="1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 s="1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 s="1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 s="1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 s="1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 s="1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 s="1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 s="1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 s="1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 s="1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 s="1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 s="1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 s="1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 s="1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 s="1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 s="1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 s="1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 s="1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 s="1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 s="1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 s="1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 s="1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 s="1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 s="1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 s="1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 s="1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 s="1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 s="1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 s="1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 s="1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 s="1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 s="1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 s="1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 s="1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 s="1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 s="1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 s="1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 s="1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 s="1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 s="1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 s="1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 s="1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 s="1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 s="1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 s="1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 s="1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 s="1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 s="1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 s="1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 s="1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 s="1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 s="1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 s="1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 s="1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 s="1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 s="1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 s="1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 s="1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 s="1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 s="1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 s="1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 s="1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 s="1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 s="1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 s="1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 s="1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 s="1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 s="1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 s="1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 s="1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 s="1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 s="1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 s="1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 s="1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 s="1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 s="1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 s="1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 s="1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 s="1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 s="1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 s="1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 s="1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 s="1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 s="1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 s="1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 s="1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 s="1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 s="1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 s="1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 s="1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 s="1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 s="1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 s="1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 s="1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 s="1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 s="1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 s="1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 s="1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 s="1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 s="1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 s="1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 s="1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 s="1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 s="1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 s="1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 s="1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 s="1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 s="1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 s="1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 s="1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 s="1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 s="1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 s="1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 s="1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 s="1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 s="1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 s="1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 s="1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 s="1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 s="1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 s="1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 s="1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 s="1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 s="1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 s="1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 s="1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 s="1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 s="1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 s="1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 s="1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 s="1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 s="1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 s="1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 s="1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 s="1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 s="1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 s="1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 s="1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 s="1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 s="1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 s="1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 s="1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 s="1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 s="1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 s="1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 s="1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 s="1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 s="1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 s="1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 s="1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 s="1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 s="1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 s="1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 s="1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 s="1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 s="1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 s="1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 s="1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 s="1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 s="1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 s="1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 s="1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 s="1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 s="1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 s="1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 s="1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 s="1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 s="1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 s="1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 s="1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 s="1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 s="1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 s="1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 s="1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 s="1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 s="1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 s="1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 s="1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 s="1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 s="1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 s="1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 s="1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 s="1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 s="1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 s="1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 s="1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 s="1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 s="1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 s="1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 s="1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 s="1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 s="1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 s="1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 s="1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 s="1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 s="1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 s="1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 s="1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 s="1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 s="1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 s="1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 s="1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 s="1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 s="1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 s="1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 s="1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 s="1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 s="1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 s="1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 s="1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 s="1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 s="1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 s="1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 s="1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 s="1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 s="1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 s="1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 s="1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 s="1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 s="1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 s="1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 s="1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 s="1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 s="1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 s="1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 s="1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 s="1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 s="1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 s="1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 s="1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 s="1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 s="1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 s="1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 s="1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 s="1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 s="1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 s="1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 s="1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 s="1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 s="1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 s="1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 s="1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 s="1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 s="1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 s="1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 s="1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 s="1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 s="1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 s="1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 s="1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 s="1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 s="1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 s="1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 s="1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 s="1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 s="1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 s="1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 s="1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 s="1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 s="1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 s="1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 s="1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 s="1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 s="1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 s="1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 s="1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 s="1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 s="1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 s="1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 s="1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 s="1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 s="1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 s="1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 s="1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 s="1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 s="1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 s="1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 s="1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 s="1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 s="1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 s="1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 s="1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 s="1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 s="1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 s="1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 s="1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 s="1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 s="1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 s="1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 s="1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 s="1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 s="1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 s="1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 s="1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 s="1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 s="1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 s="1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 s="1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 s="1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 s="1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 s="1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 s="1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 s="1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 s="1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 s="1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 s="1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 s="1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 s="1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 s="1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 s="1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 s="1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 s="1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 s="1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 s="1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 s="1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 s="1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 s="1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 s="1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 s="1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 s="1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 s="1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 s="1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 s="1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 s="1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 s="1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 s="1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 s="1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 s="1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 s="1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 s="1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 s="1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 s="1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 s="1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 s="1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 s="1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 s="1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 s="1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 s="1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 s="1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 s="1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 s="1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 s="1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 s="1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 s="1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 s="1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 s="1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 s="1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 s="1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 s="1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 s="1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 s="1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 s="1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 s="1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 s="1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 s="1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 s="1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 s="1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 s="1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 s="1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 s="1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 s="1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 s="1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 s="1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 s="1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 s="1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 s="1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 s="1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 s="1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 s="1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 s="1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 s="1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 s="1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 s="1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 s="1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 s="1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 s="1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 s="1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 s="1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 s="1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 s="1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 s="1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 s="1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 s="1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 s="1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 s="1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 s="1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 s="1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 s="1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 s="1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 s="1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 s="1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 s="1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 s="1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 s="1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 s="1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 s="1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 s="1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 s="1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 s="1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 s="1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 s="1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 s="1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 s="1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 s="1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 s="1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 s="1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 s="1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 s="1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 s="1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 s="1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 s="1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 s="1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 s="1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 s="1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 s="1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 s="1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 s="1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 s="1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 s="1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 s="1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 s="1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 s="1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 s="1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 s="1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 s="1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 s="1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 s="1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 s="1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 s="1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 s="1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 s="1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 s="1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 s="1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 s="1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 s="1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 s="1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 s="1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 s="1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 s="1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 s="1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 s="1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 s="1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 s="1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 s="1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 s="1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 s="1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 s="1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 s="1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 s="1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 s="1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 s="1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 s="1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 s="1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 s="1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 s="1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 s="1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 s="1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 s="1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 s="1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 s="1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 s="1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 s="1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 s="1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 s="1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 s="1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 s="1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 s="1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 s="1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 s="1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 s="1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 s="1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 s="1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 s="1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 s="1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 s="1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 s="1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 s="1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 s="1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 s="1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 s="1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 s="1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 s="1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 s="1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 s="1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 s="1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 s="1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 s="1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 s="1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 s="1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 s="1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 s="1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 s="1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 s="1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 s="1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 s="1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 s="1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 s="1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 s="1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 s="1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 s="1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 s="1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 s="1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 s="1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 s="1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 s="1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 s="1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 s="1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 s="1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 s="1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 s="1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 s="1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 s="1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 s="1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 s="1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 s="1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 s="1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 s="1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 s="1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 s="1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 s="1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 s="1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 s="1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 s="1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 s="1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 s="1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 s="1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 s="1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 s="1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 s="1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 s="1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 s="1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 s="1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 s="1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 s="1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 s="1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 s="1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 s="1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 s="1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 s="1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 s="1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 s="1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 s="1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 s="1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 s="1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 s="1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 s="1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 s="1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 s="1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 s="1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 s="1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 s="1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 s="1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 s="1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 s="1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 s="1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 s="1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 s="1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 s="1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 s="1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 s="1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 s="1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 s="1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 s="1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 s="1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I250" i="5" s="1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/>
  <c r="AR251" i="8"/>
  <c r="D250" i="5"/>
  <c r="BW250" i="8"/>
  <c r="BO250" i="8"/>
  <c r="BT250" i="8" s="1"/>
  <c r="K249" i="5" s="1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 s="1"/>
  <c r="BW249" i="8"/>
  <c r="BO249" i="8"/>
  <c r="BT249" i="8" s="1"/>
  <c r="K248" i="5" s="1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/>
  <c r="BW248" i="8"/>
  <c r="BO248" i="8"/>
  <c r="BT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/>
  <c r="BW247" i="8"/>
  <c r="BO247" i="8"/>
  <c r="BT247" i="8" s="1"/>
  <c r="K246" i="5" s="1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W246" i="8"/>
  <c r="BO246" i="8"/>
  <c r="I245" i="5" s="1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/>
  <c r="AR246" i="8"/>
  <c r="D245" i="5" s="1"/>
  <c r="BW245" i="8"/>
  <c r="BO245" i="8"/>
  <c r="I244" i="5" s="1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 s="1"/>
  <c r="BW244" i="8"/>
  <c r="BO244" i="8"/>
  <c r="I243" i="5" s="1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 s="1"/>
  <c r="BW243" i="8"/>
  <c r="BO243" i="8"/>
  <c r="I242" i="5" s="1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 s="1"/>
  <c r="AR243" i="8"/>
  <c r="D242" i="5" s="1"/>
  <c r="BW242" i="8"/>
  <c r="BO242" i="8"/>
  <c r="I241" i="5" s="1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W241" i="8"/>
  <c r="BO241" i="8"/>
  <c r="BT241" i="8" s="1"/>
  <c r="K240" i="5" s="1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 s="1"/>
  <c r="AR241" i="8"/>
  <c r="D240" i="5" s="1"/>
  <c r="BW240" i="8"/>
  <c r="BO240" i="8"/>
  <c r="BT240" i="8" s="1"/>
  <c r="K239" i="5" s="1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/>
  <c r="AR240" i="8"/>
  <c r="D239" i="5"/>
  <c r="BW239" i="8"/>
  <c r="BO239" i="8"/>
  <c r="BT239" i="8" s="1"/>
  <c r="K238" i="5" s="1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W238" i="8"/>
  <c r="BO238" i="8"/>
  <c r="BT238" i="8" s="1"/>
  <c r="K237" i="5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/>
  <c r="BW237" i="8"/>
  <c r="BO237" i="8"/>
  <c r="BT237" i="8" s="1"/>
  <c r="K236" i="5" s="1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 s="1"/>
  <c r="BW236" i="8"/>
  <c r="BO236" i="8"/>
  <c r="I235" i="5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/>
  <c r="AR236" i="8"/>
  <c r="D235" i="5"/>
  <c r="BW235" i="8"/>
  <c r="BO235" i="8"/>
  <c r="BT235" i="8" s="1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/>
  <c r="BW234" i="8"/>
  <c r="BO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/>
  <c r="AR234" i="8"/>
  <c r="D233" i="5"/>
  <c r="BW233" i="8"/>
  <c r="BO233" i="8"/>
  <c r="I232" i="5" s="1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W232" i="8"/>
  <c r="BO232" i="8"/>
  <c r="BT232" i="8" s="1"/>
  <c r="K231" i="5" s="1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/>
  <c r="AR232" i="8"/>
  <c r="D231" i="5"/>
  <c r="BW231" i="8"/>
  <c r="BO231" i="8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/>
  <c r="AR231" i="8"/>
  <c r="D230" i="5"/>
  <c r="BW230" i="8"/>
  <c r="BO230" i="8"/>
  <c r="I229" i="5" s="1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/>
  <c r="AR230" i="8"/>
  <c r="D229" i="5"/>
  <c r="BW229" i="8"/>
  <c r="BO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/>
  <c r="BW228" i="8"/>
  <c r="BO228" i="8"/>
  <c r="I227" i="5" s="1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/>
  <c r="AR228" i="8"/>
  <c r="D227" i="5"/>
  <c r="BW227" i="8"/>
  <c r="BO227" i="8"/>
  <c r="BT227" i="8" s="1"/>
  <c r="K226" i="5" s="1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 s="1"/>
  <c r="AR227" i="8"/>
  <c r="D226" i="5"/>
  <c r="BW226" i="8"/>
  <c r="BO226" i="8"/>
  <c r="BT226" i="8" s="1"/>
  <c r="K225" i="5" s="1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W225" i="8"/>
  <c r="BO225" i="8"/>
  <c r="BT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/>
  <c r="AR225" i="8"/>
  <c r="D224" i="5" s="1"/>
  <c r="BW224" i="8"/>
  <c r="BO224" i="8"/>
  <c r="I223" i="5" s="1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/>
  <c r="AR224" i="8"/>
  <c r="D223" i="5" s="1"/>
  <c r="BW223" i="8"/>
  <c r="BO223" i="8"/>
  <c r="BT223" i="8" s="1"/>
  <c r="K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 s="1"/>
  <c r="BW222" i="8"/>
  <c r="BO222" i="8"/>
  <c r="I221" i="5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 s="1"/>
  <c r="BW221" i="8"/>
  <c r="BO221" i="8"/>
  <c r="BT221" i="8" s="1"/>
  <c r="K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/>
  <c r="BW219" i="8"/>
  <c r="BO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 s="1"/>
  <c r="AR219" i="8"/>
  <c r="D218" i="5" s="1"/>
  <c r="BW218" i="8"/>
  <c r="BO218" i="8"/>
  <c r="I217" i="5" s="1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/>
  <c r="AR218" i="8"/>
  <c r="D217" i="5"/>
  <c r="BW217" i="8"/>
  <c r="BO217" i="8"/>
  <c r="I216" i="5" s="1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 s="1"/>
  <c r="BW216" i="8"/>
  <c r="BO216" i="8"/>
  <c r="BT216" i="8" s="1"/>
  <c r="K215" i="5" s="1"/>
  <c r="I215" i="5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W215" i="8"/>
  <c r="BO215" i="8"/>
  <c r="I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/>
  <c r="BW214" i="8"/>
  <c r="BO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/>
  <c r="AR214" i="8"/>
  <c r="D213" i="5"/>
  <c r="BW213" i="8"/>
  <c r="K212" i="5"/>
  <c r="F212" i="5"/>
  <c r="D212" i="5"/>
  <c r="BW212" i="8"/>
  <c r="I211" i="5"/>
  <c r="F211" i="5"/>
  <c r="D211" i="5"/>
  <c r="BW211" i="8"/>
  <c r="K210" i="5"/>
  <c r="F210" i="5"/>
  <c r="D210" i="5"/>
  <c r="BW210" i="8"/>
  <c r="K209" i="5"/>
  <c r="F209" i="5"/>
  <c r="D209" i="5"/>
  <c r="BW209" i="8"/>
  <c r="K208" i="5"/>
  <c r="F208" i="5"/>
  <c r="D208" i="5"/>
  <c r="BW208" i="8"/>
  <c r="I207" i="5"/>
  <c r="F207" i="5"/>
  <c r="D207" i="5"/>
  <c r="BW207" i="8"/>
  <c r="K206" i="5"/>
  <c r="F206" i="5"/>
  <c r="D206" i="5"/>
  <c r="BW206" i="8"/>
  <c r="K205" i="5"/>
  <c r="F205" i="5"/>
  <c r="D205" i="5"/>
  <c r="BW205" i="8"/>
  <c r="K204" i="5"/>
  <c r="F204" i="5"/>
  <c r="D204" i="5"/>
  <c r="BW204" i="8"/>
  <c r="F203" i="5"/>
  <c r="D203" i="5"/>
  <c r="BW203" i="8"/>
  <c r="I202" i="5"/>
  <c r="F202" i="5"/>
  <c r="D202" i="5"/>
  <c r="BW202" i="8"/>
  <c r="K201" i="5"/>
  <c r="F201" i="5"/>
  <c r="D201" i="5"/>
  <c r="BW201" i="8"/>
  <c r="K200" i="5"/>
  <c r="F200" i="5"/>
  <c r="D200" i="5"/>
  <c r="BW200" i="8"/>
  <c r="K199" i="5"/>
  <c r="F199" i="5"/>
  <c r="D199" i="5"/>
  <c r="BW199" i="8"/>
  <c r="I198" i="5"/>
  <c r="F198" i="5"/>
  <c r="D198" i="5"/>
  <c r="BW198" i="8"/>
  <c r="K197" i="5"/>
  <c r="F197" i="5"/>
  <c r="D197" i="5"/>
  <c r="BW197" i="8"/>
  <c r="K196" i="5"/>
  <c r="F196" i="5"/>
  <c r="D196" i="5"/>
  <c r="BW196" i="8"/>
  <c r="F195" i="5"/>
  <c r="D195" i="5"/>
  <c r="BW195" i="8"/>
  <c r="K194" i="5"/>
  <c r="F194" i="5"/>
  <c r="D194" i="5"/>
  <c r="BW194" i="8"/>
  <c r="I193" i="5"/>
  <c r="F193" i="5"/>
  <c r="D193" i="5"/>
  <c r="BW193" i="8"/>
  <c r="K192" i="5"/>
  <c r="F192" i="5"/>
  <c r="D192" i="5"/>
  <c r="BW192" i="8"/>
  <c r="I191" i="5"/>
  <c r="F191" i="5"/>
  <c r="D191" i="5"/>
  <c r="BW191" i="8"/>
  <c r="K190" i="5"/>
  <c r="F190" i="5"/>
  <c r="D190" i="5"/>
  <c r="BW190" i="8"/>
  <c r="K189" i="5"/>
  <c r="F189" i="5"/>
  <c r="D189" i="5"/>
  <c r="BW189" i="8"/>
  <c r="F188" i="5"/>
  <c r="D188" i="5"/>
  <c r="BW188" i="8"/>
  <c r="K187" i="5"/>
  <c r="F187" i="5"/>
  <c r="D187" i="5"/>
  <c r="BW187" i="8"/>
  <c r="F186" i="5"/>
  <c r="D186" i="5"/>
  <c r="BW186" i="8"/>
  <c r="I185" i="5"/>
  <c r="F185" i="5"/>
  <c r="D185" i="5"/>
  <c r="BW185" i="8"/>
  <c r="K184" i="5"/>
  <c r="F184" i="5"/>
  <c r="D184" i="5"/>
  <c r="BW184" i="8"/>
  <c r="K183" i="5"/>
  <c r="F183" i="5"/>
  <c r="D183" i="5"/>
  <c r="BW183" i="8"/>
  <c r="F182" i="5"/>
  <c r="D182" i="5"/>
  <c r="BW182" i="8"/>
  <c r="K181" i="5"/>
  <c r="F181" i="5"/>
  <c r="D181" i="5"/>
  <c r="BW181" i="8"/>
  <c r="F180" i="5"/>
  <c r="D180" i="5"/>
  <c r="BW180" i="8"/>
  <c r="F179" i="5"/>
  <c r="D179" i="5"/>
  <c r="BW179" i="8"/>
  <c r="F178" i="5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D50" i="5"/>
  <c r="BW50" i="8"/>
  <c r="D49" i="5"/>
  <c r="BW49" i="8"/>
  <c r="BW48" i="8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BW38" i="8"/>
  <c r="D37" i="5"/>
  <c r="BW37" i="8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1046" i="8" s="1"/>
  <c r="BV1768" i="8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/>
  <c r="AH14" i="8"/>
  <c r="D4" i="6"/>
  <c r="AH15" i="8"/>
  <c r="D5" i="6"/>
  <c r="AH12" i="8"/>
  <c r="D2" i="6"/>
  <c r="B4" i="3"/>
  <c r="B2" i="3"/>
  <c r="E13" i="4"/>
  <c r="C15" i="4"/>
  <c r="C16" i="4"/>
  <c r="E17" i="4"/>
  <c r="C19" i="4"/>
  <c r="E21" i="4"/>
  <c r="E10" i="4"/>
  <c r="I10" i="4"/>
  <c r="C5" i="4"/>
  <c r="E5" i="4"/>
  <c r="C2" i="4"/>
  <c r="B3" i="3"/>
  <c r="C2" i="2"/>
  <c r="B2" i="2"/>
  <c r="D2" i="2"/>
  <c r="D3" i="2"/>
  <c r="D4" i="2"/>
  <c r="D5" i="2"/>
  <c r="D6" i="2"/>
  <c r="D7" i="2"/>
  <c r="G7" i="2" s="1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G17" i="2" s="1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G19" i="2" s="1"/>
  <c r="C20" i="2"/>
  <c r="B10" i="2"/>
  <c r="B13" i="2"/>
  <c r="B9" i="2"/>
  <c r="B17" i="2"/>
  <c r="B4" i="2"/>
  <c r="B18" i="2"/>
  <c r="B6" i="2"/>
  <c r="G6" i="2" s="1"/>
  <c r="B7" i="2"/>
  <c r="B8" i="2"/>
  <c r="G8" i="2" s="1"/>
  <c r="B12" i="2"/>
  <c r="G12" i="2" s="1"/>
  <c r="B16" i="2"/>
  <c r="B20" i="2"/>
  <c r="F23" i="2"/>
  <c r="B5" i="2"/>
  <c r="G5" i="2" s="1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D5" i="1" s="1"/>
  <c r="B6" i="1"/>
  <c r="C6" i="1"/>
  <c r="B7" i="1"/>
  <c r="C7" i="1"/>
  <c r="D7" i="1" s="1"/>
  <c r="B8" i="1"/>
  <c r="C8" i="1"/>
  <c r="B9" i="1"/>
  <c r="C9" i="1"/>
  <c r="B10" i="1"/>
  <c r="C10" i="1"/>
  <c r="D10" i="1" s="1"/>
  <c r="B11" i="1"/>
  <c r="C11" i="1"/>
  <c r="D11" i="1" s="1"/>
  <c r="B12" i="1"/>
  <c r="C12" i="1"/>
  <c r="B13" i="1"/>
  <c r="C13" i="1"/>
  <c r="B14" i="1"/>
  <c r="C14" i="1"/>
  <c r="B15" i="1"/>
  <c r="C15" i="1"/>
  <c r="D15" i="1" s="1"/>
  <c r="B16" i="1"/>
  <c r="C16" i="1"/>
  <c r="D16" i="1" s="1"/>
  <c r="B17" i="1"/>
  <c r="C17" i="1"/>
  <c r="D17" i="1" s="1"/>
  <c r="B18" i="1"/>
  <c r="C18" i="1"/>
  <c r="B19" i="1"/>
  <c r="C19" i="1"/>
  <c r="D19" i="1" s="1"/>
  <c r="B20" i="1"/>
  <c r="C20" i="1"/>
  <c r="B21" i="1"/>
  <c r="C21" i="1"/>
  <c r="D21" i="1" s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BT222" i="8"/>
  <c r="K221" i="5" s="1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I226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BV750" i="8"/>
  <c r="K26" i="5"/>
  <c r="I26" i="5"/>
  <c r="BV1716" i="8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V1404" i="8"/>
  <c r="BV1099" i="8"/>
  <c r="BV447" i="8"/>
  <c r="BV30" i="8"/>
  <c r="BV477" i="8"/>
  <c r="BV594" i="8"/>
  <c r="BV776" i="8"/>
  <c r="BV893" i="8"/>
  <c r="BV1096" i="8"/>
  <c r="BV1202" i="8"/>
  <c r="BV1434" i="8"/>
  <c r="BV1577" i="8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BT219" i="8"/>
  <c r="K218" i="5" s="1"/>
  <c r="I218" i="5"/>
  <c r="BV1336" i="8"/>
  <c r="BV1160" i="8"/>
  <c r="BV712" i="8"/>
  <c r="BV552" i="8"/>
  <c r="BV94" i="8"/>
  <c r="BV363" i="8"/>
  <c r="BV959" i="8"/>
  <c r="BV1243" i="8"/>
  <c r="BV932" i="8"/>
  <c r="BV136" i="8"/>
  <c r="BV1189" i="8"/>
  <c r="BV138" i="8"/>
  <c r="BV331" i="8"/>
  <c r="BV1155" i="8"/>
  <c r="BV1494" i="8"/>
  <c r="BV958" i="8"/>
  <c r="BV1677" i="8"/>
  <c r="BV1117" i="8"/>
  <c r="BV978" i="8"/>
  <c r="BV520" i="8"/>
  <c r="BV370" i="8"/>
  <c r="BV403" i="8"/>
  <c r="BV563" i="8"/>
  <c r="BV1324" i="8"/>
  <c r="BV1649" i="8"/>
  <c r="BV24" i="8"/>
  <c r="BV977" i="8"/>
  <c r="I234" i="5"/>
  <c r="I38" i="5"/>
  <c r="BV1359" i="8"/>
  <c r="BV269" i="8"/>
  <c r="I30" i="5"/>
  <c r="I184" i="5"/>
  <c r="K191" i="5"/>
  <c r="I206" i="5"/>
  <c r="I43" i="5"/>
  <c r="I47" i="5"/>
  <c r="I49" i="5"/>
  <c r="I48" i="5"/>
  <c r="I46" i="5"/>
  <c r="BV1506" i="8"/>
  <c r="BV1406" i="8"/>
  <c r="BV1149" i="8"/>
  <c r="BV1064" i="8"/>
  <c r="BV840" i="8"/>
  <c r="BV765" i="8"/>
  <c r="BV541" i="8"/>
  <c r="BV466" i="8"/>
  <c r="BV242" i="8"/>
  <c r="BV158" i="8"/>
  <c r="BV395" i="8"/>
  <c r="BV459" i="8"/>
  <c r="BV735" i="8"/>
  <c r="BV859" i="8"/>
  <c r="BV1259" i="8"/>
  <c r="BV1457" i="8"/>
  <c r="BV1511" i="8"/>
  <c r="BV1671" i="8"/>
  <c r="BV336" i="8"/>
  <c r="BV120" i="8"/>
  <c r="BV1704" i="8"/>
  <c r="BV789" i="8"/>
  <c r="BV289" i="8"/>
  <c r="BV848" i="8"/>
  <c r="BV1121" i="8"/>
  <c r="BV37" i="8"/>
  <c r="I240" i="5"/>
  <c r="BV1748" i="8"/>
  <c r="BV1662" i="8"/>
  <c r="BV1562" i="8"/>
  <c r="BV1449" i="8"/>
  <c r="BV1349" i="8"/>
  <c r="BV1266" i="8"/>
  <c r="BV1181" i="8"/>
  <c r="BV1106" i="8"/>
  <c r="BV1032" i="8"/>
  <c r="BV946" i="8"/>
  <c r="BV882" i="8"/>
  <c r="BV808" i="8"/>
  <c r="BV722" i="8"/>
  <c r="BV648" i="8"/>
  <c r="BV584" i="8"/>
  <c r="BV498" i="8"/>
  <c r="BV424" i="8"/>
  <c r="BV349" i="8"/>
  <c r="BV266" i="8"/>
  <c r="BV202" i="8"/>
  <c r="BV126" i="8"/>
  <c r="BV42" i="8"/>
  <c r="BV351" i="8"/>
  <c r="BV415" i="8"/>
  <c r="BV499" i="8"/>
  <c r="BV587" i="8"/>
  <c r="BV671" i="8"/>
  <c r="BV799" i="8"/>
  <c r="BV927" i="8"/>
  <c r="BV1071" i="8"/>
  <c r="BV1215" i="8"/>
  <c r="BV1345" i="8"/>
  <c r="BV1537" i="8"/>
  <c r="BV1745" i="8"/>
  <c r="BV1415" i="8"/>
  <c r="BV1571" i="8"/>
  <c r="BV1759" i="8"/>
  <c r="BV982" i="8"/>
  <c r="BV494" i="8"/>
  <c r="BV179" i="8"/>
  <c r="BV1180" i="8"/>
  <c r="BV558" i="8"/>
  <c r="BV135" i="8"/>
  <c r="BV560" i="8"/>
  <c r="I205" i="5"/>
  <c r="BV985" i="8"/>
  <c r="BV288" i="8"/>
  <c r="BV1110" i="8"/>
  <c r="BV502" i="8"/>
  <c r="I236" i="5"/>
  <c r="K185" i="5"/>
  <c r="I192" i="5"/>
  <c r="I199" i="5"/>
  <c r="BT218" i="8"/>
  <c r="K217" i="5" s="1"/>
  <c r="K195" i="5"/>
  <c r="I195" i="5"/>
  <c r="D9" i="1"/>
  <c r="BV39" i="8"/>
  <c r="BV1249" i="8"/>
  <c r="BV748" i="8"/>
  <c r="K211" i="5"/>
  <c r="BV433" i="8"/>
  <c r="BV188" i="8"/>
  <c r="BV1130" i="8"/>
  <c r="BV745" i="8"/>
  <c r="BV1260" i="8"/>
  <c r="BV84" i="8"/>
  <c r="BV1776" i="8"/>
  <c r="BV1690" i="8"/>
  <c r="BV1620" i="8"/>
  <c r="BV1549" i="8"/>
  <c r="BV1464" i="8"/>
  <c r="BV1392" i="8"/>
  <c r="BV1321" i="8"/>
  <c r="BV1245" i="8"/>
  <c r="BV1192" i="8"/>
  <c r="BV1138" i="8"/>
  <c r="BV1074" i="8"/>
  <c r="BV1021" i="8"/>
  <c r="BV968" i="8"/>
  <c r="BV904" i="8"/>
  <c r="BV850" i="8"/>
  <c r="BV797" i="8"/>
  <c r="BV733" i="8"/>
  <c r="BV680" i="8"/>
  <c r="BV626" i="8"/>
  <c r="BV562" i="8"/>
  <c r="BV509" i="8"/>
  <c r="BV456" i="8"/>
  <c r="BV392" i="8"/>
  <c r="BV338" i="8"/>
  <c r="BV286" i="8"/>
  <c r="BV222" i="8"/>
  <c r="BV170" i="8"/>
  <c r="BV114" i="8"/>
  <c r="BV50" i="8"/>
  <c r="BV319" i="8"/>
  <c r="BV371" i="8"/>
  <c r="BV435" i="8"/>
  <c r="BV491" i="8"/>
  <c r="BV543" i="8"/>
  <c r="BV619" i="8"/>
  <c r="BV703" i="8"/>
  <c r="BV787" i="8"/>
  <c r="BV875" i="8"/>
  <c r="BV987" i="8"/>
  <c r="BV1087" i="8"/>
  <c r="BV1183" i="8"/>
  <c r="BV1308" i="8"/>
  <c r="BV1425" i="8"/>
  <c r="BV1553" i="8"/>
  <c r="BV1724" i="8"/>
  <c r="BV1343" i="8"/>
  <c r="BV1459" i="8"/>
  <c r="BV1615" i="8"/>
  <c r="BV1743" i="8"/>
  <c r="BV1333" i="8"/>
  <c r="BV768" i="8"/>
  <c r="BV457" i="8"/>
  <c r="BV248" i="8"/>
  <c r="BV45" i="8"/>
  <c r="BV1773" i="8"/>
  <c r="BV1054" i="8"/>
  <c r="BV700" i="8"/>
  <c r="BV362" i="8"/>
  <c r="BV177" i="8"/>
  <c r="BV714" i="8"/>
  <c r="BV1632" i="8"/>
  <c r="BV801" i="8"/>
  <c r="BV1440" i="8"/>
  <c r="BV1597" i="8"/>
  <c r="BV389" i="8"/>
  <c r="BT233" i="8"/>
  <c r="K232" i="5" s="1"/>
  <c r="BV1134" i="8"/>
  <c r="BV240" i="8"/>
  <c r="BV938" i="8"/>
  <c r="BV1522" i="8"/>
  <c r="BV1517" i="8"/>
  <c r="BV1014" i="8"/>
  <c r="BV709" i="8"/>
  <c r="BV1330" i="8"/>
  <c r="BV790" i="8"/>
  <c r="BV97" i="8"/>
  <c r="BV247" i="8"/>
  <c r="BV377" i="8"/>
  <c r="BV597" i="8"/>
  <c r="BV928" i="8"/>
  <c r="BV1325" i="8"/>
  <c r="BV67" i="8"/>
  <c r="BV216" i="8"/>
  <c r="BV364" i="8"/>
  <c r="BV561" i="8"/>
  <c r="BV892" i="8"/>
  <c r="BV1205" i="8"/>
  <c r="BV1799" i="8"/>
  <c r="BV1683" i="8"/>
  <c r="BV1587" i="8"/>
  <c r="BV1503" i="8"/>
  <c r="BV1383" i="8"/>
  <c r="BV1287" i="8"/>
  <c r="BV1686" i="8"/>
  <c r="BV1574" i="8"/>
  <c r="BV1478" i="8"/>
  <c r="BV1382" i="8"/>
  <c r="BV1267" i="8"/>
  <c r="BV1199" i="8"/>
  <c r="BV1131" i="8"/>
  <c r="BV1043" i="8"/>
  <c r="BV971" i="8"/>
  <c r="BV899" i="8"/>
  <c r="BV815" i="8"/>
  <c r="BV747" i="8"/>
  <c r="BV691" i="8"/>
  <c r="BV627" i="8"/>
  <c r="BV575" i="8"/>
  <c r="I187" i="5"/>
  <c r="I219" i="5"/>
  <c r="BT220" i="8"/>
  <c r="K219" i="5" s="1"/>
  <c r="I238" i="5"/>
  <c r="G16" i="2"/>
  <c r="I95" i="5"/>
  <c r="K35" i="5"/>
  <c r="I167" i="5"/>
  <c r="I175" i="5"/>
  <c r="K153" i="5"/>
  <c r="D13" i="1"/>
  <c r="Z8" i="8"/>
  <c r="J6" i="4" s="1"/>
  <c r="Z10" i="8"/>
  <c r="AA9" i="8"/>
  <c r="AC9" i="8" s="1"/>
  <c r="G9" i="2"/>
  <c r="D11" i="4"/>
  <c r="G18" i="2"/>
  <c r="L26" i="8"/>
  <c r="Z14" i="8"/>
  <c r="B22" i="4"/>
  <c r="J22" i="4" s="1"/>
  <c r="D20" i="4"/>
  <c r="Z7" i="8"/>
  <c r="AA13" i="8"/>
  <c r="AC13" i="8" s="1"/>
  <c r="K203" i="5"/>
  <c r="I203" i="5"/>
  <c r="K149" i="5"/>
  <c r="I149" i="5"/>
  <c r="I166" i="5"/>
  <c r="K166" i="5"/>
  <c r="I188" i="5"/>
  <c r="K188" i="5"/>
  <c r="I176" i="5"/>
  <c r="BV20" i="8"/>
  <c r="BV380" i="8"/>
  <c r="BV260" i="8"/>
  <c r="BV165" i="8"/>
  <c r="BV490" i="8"/>
  <c r="BV1040" i="8"/>
  <c r="BV1701" i="8"/>
  <c r="BV1322" i="8"/>
  <c r="BV1717" i="8"/>
  <c r="BV1337" i="8"/>
  <c r="BV1050" i="8"/>
  <c r="BV858" i="8"/>
  <c r="BV652" i="8"/>
  <c r="BV1760" i="8"/>
  <c r="BV1244" i="8"/>
  <c r="BV924" i="8"/>
  <c r="BV677" i="8"/>
  <c r="BV76" i="8"/>
  <c r="BV156" i="8"/>
  <c r="BV231" i="8"/>
  <c r="BV305" i="8"/>
  <c r="BV405" i="8"/>
  <c r="BV529" i="8"/>
  <c r="BV654" i="8"/>
  <c r="BV841" i="8"/>
  <c r="BV1030" i="8"/>
  <c r="BV1237" i="8"/>
  <c r="BV1604" i="8"/>
  <c r="BV77" i="8"/>
  <c r="BV157" i="8"/>
  <c r="BV237" i="8"/>
  <c r="BV308" i="8"/>
  <c r="BV414" i="8"/>
  <c r="BV533" i="8"/>
  <c r="BV665" i="8"/>
  <c r="BV842" i="8"/>
  <c r="BV1033" i="8"/>
  <c r="BV1241" i="8"/>
  <c r="BV1609" i="8"/>
  <c r="BV1767" i="8"/>
  <c r="BV1715" i="8"/>
  <c r="BV1655" i="8"/>
  <c r="BV1599" i="8"/>
  <c r="BV1543" i="8"/>
  <c r="BV1487" i="8"/>
  <c r="BV1427" i="8"/>
  <c r="BV1375" i="8"/>
  <c r="BV1315" i="8"/>
  <c r="BV1777" i="8"/>
  <c r="BV1708" i="8"/>
  <c r="BV458" i="8"/>
  <c r="I140" i="5"/>
  <c r="K140" i="5"/>
  <c r="I182" i="5"/>
  <c r="K178" i="5"/>
  <c r="I178" i="5"/>
  <c r="BV1762" i="8"/>
  <c r="BV1705" i="8"/>
  <c r="BV1648" i="8"/>
  <c r="BV1592" i="8"/>
  <c r="BV1534" i="8"/>
  <c r="BV1477" i="8"/>
  <c r="BV1421" i="8"/>
  <c r="BV1364" i="8"/>
  <c r="BV1306" i="8"/>
  <c r="BV1256" i="8"/>
  <c r="BV1213" i="8"/>
  <c r="BV1170" i="8"/>
  <c r="BV1128" i="8"/>
  <c r="BV1085" i="8"/>
  <c r="BV1042" i="8"/>
  <c r="BV1000" i="8"/>
  <c r="BV957" i="8"/>
  <c r="BV914" i="8"/>
  <c r="BV872" i="8"/>
  <c r="BV829" i="8"/>
  <c r="BV786" i="8"/>
  <c r="BV744" i="8"/>
  <c r="BV701" i="8"/>
  <c r="BV658" i="8"/>
  <c r="BV616" i="8"/>
  <c r="BV573" i="8"/>
  <c r="BV530" i="8"/>
  <c r="BV488" i="8"/>
  <c r="BV445" i="8"/>
  <c r="BV402" i="8"/>
  <c r="BV360" i="8"/>
  <c r="BV317" i="8"/>
  <c r="BV274" i="8"/>
  <c r="BV234" i="8"/>
  <c r="BV190" i="8"/>
  <c r="BV146" i="8"/>
  <c r="BV106" i="8"/>
  <c r="BV62" i="8"/>
  <c r="BV18" i="8"/>
  <c r="BV339" i="8"/>
  <c r="BV383" i="8"/>
  <c r="BV427" i="8"/>
  <c r="BV467" i="8"/>
  <c r="BV511" i="8"/>
  <c r="BV555" i="8"/>
  <c r="BV595" i="8"/>
  <c r="BV639" i="8"/>
  <c r="BV683" i="8"/>
  <c r="BV723" i="8"/>
  <c r="BV771" i="8"/>
  <c r="BV831" i="8"/>
  <c r="BV883" i="8"/>
  <c r="BV943" i="8"/>
  <c r="BV1003" i="8"/>
  <c r="BV1055" i="8"/>
  <c r="BV1115" i="8"/>
  <c r="BV1171" i="8"/>
  <c r="BV1227" i="8"/>
  <c r="BV1286" i="8"/>
  <c r="BV1366" i="8"/>
  <c r="BV1436" i="8"/>
  <c r="BV1516" i="8"/>
  <c r="BV1596" i="8"/>
  <c r="BV1665" i="8"/>
  <c r="BV1766" i="8"/>
  <c r="BV1331" i="8"/>
  <c r="BV1399" i="8"/>
  <c r="BV1471" i="8"/>
  <c r="BV1555" i="8"/>
  <c r="BV1631" i="8"/>
  <c r="BV1699" i="8"/>
  <c r="BV1783" i="8"/>
  <c r="BV1433" i="8"/>
  <c r="BV1070" i="8"/>
  <c r="BV793" i="8"/>
  <c r="BV598" i="8"/>
  <c r="BV442" i="8"/>
  <c r="BV291" i="8"/>
  <c r="BV195" i="8"/>
  <c r="BV99" i="8"/>
  <c r="BV1504" i="8"/>
  <c r="BV1105" i="8"/>
  <c r="BV890" i="8"/>
  <c r="BV634" i="8"/>
  <c r="BV454" i="8"/>
  <c r="BV334" i="8"/>
  <c r="BV209" i="8"/>
  <c r="BV119" i="8"/>
  <c r="BV17" i="8"/>
  <c r="BV998" i="8"/>
  <c r="BV1481" i="8"/>
  <c r="BV596" i="8"/>
  <c r="BV901" i="8"/>
  <c r="BV1200" i="8"/>
  <c r="BV1621" i="8"/>
  <c r="BV1426" i="8"/>
  <c r="BV1646" i="8"/>
  <c r="BV593" i="8"/>
  <c r="BV91" i="8"/>
  <c r="BV746" i="8"/>
  <c r="BV366" i="8"/>
  <c r="I169" i="5"/>
  <c r="BT217" i="8"/>
  <c r="K216" i="5" s="1"/>
  <c r="BT246" i="8"/>
  <c r="K245" i="5" s="1"/>
  <c r="K42" i="5"/>
  <c r="I42" i="5"/>
  <c r="I34" i="5"/>
  <c r="I29" i="5"/>
  <c r="K37" i="5"/>
  <c r="I37" i="5"/>
  <c r="AH16" i="8"/>
  <c r="D6" i="6"/>
  <c r="I133" i="5"/>
  <c r="K129" i="5"/>
  <c r="I134" i="5"/>
  <c r="K127" i="5"/>
  <c r="Z5" i="8"/>
  <c r="D13" i="4"/>
  <c r="C17" i="4"/>
  <c r="BV1797" i="8"/>
  <c r="BV1769" i="8"/>
  <c r="BV1741" i="8"/>
  <c r="BV1712" i="8"/>
  <c r="BV1684" i="8"/>
  <c r="BV1656" i="8"/>
  <c r="BV1626" i="8"/>
  <c r="BV1598" i="8"/>
  <c r="BV1570" i="8"/>
  <c r="BV1541" i="8"/>
  <c r="BV1513" i="8"/>
  <c r="BV1485" i="8"/>
  <c r="BV1456" i="8"/>
  <c r="BV1428" i="8"/>
  <c r="BV1400" i="8"/>
  <c r="BV1370" i="8"/>
  <c r="BV1342" i="8"/>
  <c r="BV1314" i="8"/>
  <c r="BV1285" i="8"/>
  <c r="BV1261" i="8"/>
  <c r="BV1240" i="8"/>
  <c r="BV1218" i="8"/>
  <c r="BV1197" i="8"/>
  <c r="BV1176" i="8"/>
  <c r="BV1154" i="8"/>
  <c r="BV1133" i="8"/>
  <c r="BV1112" i="8"/>
  <c r="BV1090" i="8"/>
  <c r="BV1069" i="8"/>
  <c r="BV1048" i="8"/>
  <c r="BV1026" i="8"/>
  <c r="BV1005" i="8"/>
  <c r="BV984" i="8"/>
  <c r="BV962" i="8"/>
  <c r="BV941" i="8"/>
  <c r="BV920" i="8"/>
  <c r="BV898" i="8"/>
  <c r="BV877" i="8"/>
  <c r="BV856" i="8"/>
  <c r="BV834" i="8"/>
  <c r="BV813" i="8"/>
  <c r="BV792" i="8"/>
  <c r="BV770" i="8"/>
  <c r="BV749" i="8"/>
  <c r="BV728" i="8"/>
  <c r="BV706" i="8"/>
  <c r="BV685" i="8"/>
  <c r="BV664" i="8"/>
  <c r="BV642" i="8"/>
  <c r="BV621" i="8"/>
  <c r="BV600" i="8"/>
  <c r="BV578" i="8"/>
  <c r="BV557" i="8"/>
  <c r="BV536" i="8"/>
  <c r="BV514" i="8"/>
  <c r="BV493" i="8"/>
  <c r="BV472" i="8"/>
  <c r="BV450" i="8"/>
  <c r="BV429" i="8"/>
  <c r="BV408" i="8"/>
  <c r="BV386" i="8"/>
  <c r="BV365" i="8"/>
  <c r="BV344" i="8"/>
  <c r="BV322" i="8"/>
  <c r="BV302" i="8"/>
  <c r="BV282" i="8"/>
  <c r="BV258" i="8"/>
  <c r="BV238" i="8"/>
  <c r="BV218" i="8"/>
  <c r="BV194" i="8"/>
  <c r="BV174" i="8"/>
  <c r="BV154" i="8"/>
  <c r="BV130" i="8"/>
  <c r="BV110" i="8"/>
  <c r="BV90" i="8"/>
  <c r="BV66" i="8"/>
  <c r="BV46" i="8"/>
  <c r="BV26" i="8"/>
  <c r="BV315" i="8"/>
  <c r="BV335" i="8"/>
  <c r="BV355" i="8"/>
  <c r="BV379" i="8"/>
  <c r="BV399" i="8"/>
  <c r="BV419" i="8"/>
  <c r="BV443" i="8"/>
  <c r="BV463" i="8"/>
  <c r="BV483" i="8"/>
  <c r="BV507" i="8"/>
  <c r="BV527" i="8"/>
  <c r="BV547" i="8"/>
  <c r="BV571" i="8"/>
  <c r="BV591" i="8"/>
  <c r="BV611" i="8"/>
  <c r="BV635" i="8"/>
  <c r="BV655" i="8"/>
  <c r="BV675" i="8"/>
  <c r="BV699" i="8"/>
  <c r="BV719" i="8"/>
  <c r="BV739" i="8"/>
  <c r="BV767" i="8"/>
  <c r="BV795" i="8"/>
  <c r="BV819" i="8"/>
  <c r="BV851" i="8"/>
  <c r="BV879" i="8"/>
  <c r="BV907" i="8"/>
  <c r="BV939" i="8"/>
  <c r="BV963" i="8"/>
  <c r="BV991" i="8"/>
  <c r="BV1023" i="8"/>
  <c r="BV1051" i="8"/>
  <c r="BV1075" i="8"/>
  <c r="BV1107" i="8"/>
  <c r="BV1135" i="8"/>
  <c r="BV1163" i="8"/>
  <c r="BV1195" i="8"/>
  <c r="BV1219" i="8"/>
  <c r="BV1247" i="8"/>
  <c r="BV1281" i="8"/>
  <c r="BV1318" i="8"/>
  <c r="BV1350" i="8"/>
  <c r="BV1393" i="8"/>
  <c r="BV1430" i="8"/>
  <c r="BV1468" i="8"/>
  <c r="BV1510" i="8"/>
  <c r="BV1542" i="8"/>
  <c r="BV1580" i="8"/>
  <c r="BV1622" i="8"/>
  <c r="BV1660" i="8"/>
  <c r="BV1692" i="8"/>
  <c r="BV1734" i="8"/>
  <c r="BV1772" i="8"/>
  <c r="BV1279" i="8"/>
  <c r="BV1311" i="8"/>
  <c r="BV1335" i="8"/>
  <c r="BV1363" i="8"/>
  <c r="BV1395" i="8"/>
  <c r="BV1423" i="8"/>
  <c r="BV1447" i="8"/>
  <c r="BV1479" i="8"/>
  <c r="BV1507" i="8"/>
  <c r="BV1535" i="8"/>
  <c r="BV1567" i="8"/>
  <c r="BV1591" i="8"/>
  <c r="BV1619" i="8"/>
  <c r="BV1651" i="8"/>
  <c r="BV1679" i="8"/>
  <c r="BV1703" i="8"/>
  <c r="BV1735" i="8"/>
  <c r="BV1763" i="8"/>
  <c r="BV1791" i="8"/>
  <c r="BV1637" i="8"/>
  <c r="BV1486" i="8"/>
  <c r="BV1305" i="8"/>
  <c r="BV1148" i="8"/>
  <c r="BV1045" i="8"/>
  <c r="BV969" i="8"/>
  <c r="BV869" i="8"/>
  <c r="BV778" i="8"/>
  <c r="BV692" i="8"/>
  <c r="BV608" i="8"/>
  <c r="BV550" i="8"/>
  <c r="BV485" i="8"/>
  <c r="BV421" i="8"/>
  <c r="BV372" i="8"/>
  <c r="BV329" i="8"/>
  <c r="BV280" i="8"/>
  <c r="BV243" i="8"/>
  <c r="BV205" i="8"/>
  <c r="BV163" i="8"/>
  <c r="BV131" i="8"/>
  <c r="BV93" i="8"/>
  <c r="BV51" i="8"/>
  <c r="BV3" i="8"/>
  <c r="BV1742" i="8"/>
  <c r="BV1552" i="8"/>
  <c r="BV1353" i="8"/>
  <c r="BV1220" i="8"/>
  <c r="BV1092" i="8"/>
  <c r="BV992" i="8"/>
  <c r="BV902" i="8"/>
  <c r="BV826" i="8"/>
  <c r="BV726" i="8"/>
  <c r="BV644" i="8"/>
  <c r="BV577" i="8"/>
  <c r="BV501" i="8"/>
  <c r="BV448" i="8"/>
  <c r="BV398" i="8"/>
  <c r="BV341" i="8"/>
  <c r="BV295" i="8"/>
  <c r="BV263" i="8"/>
  <c r="BV220" i="8"/>
  <c r="BV183" i="8"/>
  <c r="BV145" i="8"/>
  <c r="BV103" i="8"/>
  <c r="BV71" i="8"/>
  <c r="BV33" i="8"/>
  <c r="BV705" i="8"/>
  <c r="BV820" i="8"/>
  <c r="BV942" i="8"/>
  <c r="BV1094" i="8"/>
  <c r="BV1290" i="8"/>
  <c r="BV1538" i="8"/>
  <c r="BV481" i="8"/>
  <c r="BV574" i="8"/>
  <c r="BV673" i="8"/>
  <c r="BV788" i="8"/>
  <c r="BV880" i="8"/>
  <c r="BV972" i="8"/>
  <c r="BV1093" i="8"/>
  <c r="BV1228" i="8"/>
  <c r="BV1374" i="8"/>
  <c r="BV1582" i="8"/>
  <c r="BV1757" i="8"/>
  <c r="BV1217" i="8"/>
  <c r="BV1397" i="8"/>
  <c r="BV1560" i="8"/>
  <c r="BV1752" i="8"/>
  <c r="BV1418" i="8"/>
  <c r="BV976" i="8"/>
  <c r="BV684" i="8"/>
  <c r="BV425" i="8"/>
  <c r="BV267" i="8"/>
  <c r="BV139" i="8"/>
  <c r="BV100" i="8"/>
  <c r="BV132" i="8"/>
  <c r="BV31" i="8"/>
  <c r="BV1800" i="8"/>
  <c r="BV1098" i="8"/>
  <c r="BV1113" i="8"/>
  <c r="BV105" i="8"/>
  <c r="BV276" i="8"/>
  <c r="BV506" i="8"/>
  <c r="BV860" i="8"/>
  <c r="BV1362" i="8"/>
  <c r="BV121" i="8"/>
  <c r="BV292" i="8"/>
  <c r="BV534" i="8"/>
  <c r="BV897" i="8"/>
  <c r="BV1466" i="8"/>
  <c r="BV1618" i="8"/>
  <c r="BV1566" i="8"/>
  <c r="BV1152" i="8"/>
  <c r="BV934" i="8"/>
  <c r="BV732" i="8"/>
  <c r="BV564" i="8"/>
  <c r="BV422" i="8"/>
  <c r="BV309" i="8"/>
  <c r="BV223" i="8"/>
  <c r="BV137" i="8"/>
  <c r="BV52" i="8"/>
  <c r="BV1390" i="8"/>
  <c r="BV1073" i="8"/>
  <c r="BV870" i="8"/>
  <c r="BV670" i="8"/>
  <c r="BV516" i="8"/>
  <c r="BV388" i="8"/>
  <c r="BV281" i="8"/>
  <c r="BV196" i="8"/>
  <c r="BV111" i="8"/>
  <c r="BV25" i="8"/>
  <c r="BV127" i="8"/>
  <c r="BV352" i="8"/>
  <c r="BV620" i="8"/>
  <c r="BV1012" i="8"/>
  <c r="BV143" i="8"/>
  <c r="BV316" i="8"/>
  <c r="BV572" i="8"/>
  <c r="BV948" i="8"/>
  <c r="BV1589" i="8"/>
  <c r="BV21" i="8"/>
  <c r="BV43" i="8"/>
  <c r="BV64" i="8"/>
  <c r="BV85" i="8"/>
  <c r="BV107" i="8"/>
  <c r="BV128" i="8"/>
  <c r="BV149" i="8"/>
  <c r="BV171" i="8"/>
  <c r="BV192" i="8"/>
  <c r="BV213" i="8"/>
  <c r="BV235" i="8"/>
  <c r="BV256" i="8"/>
  <c r="BV277" i="8"/>
  <c r="BV299" i="8"/>
  <c r="BV325" i="8"/>
  <c r="BV353" i="8"/>
  <c r="BV382" i="8"/>
  <c r="BV410" i="8"/>
  <c r="BV438" i="8"/>
  <c r="BV470" i="8"/>
  <c r="BV508" i="8"/>
  <c r="BV548" i="8"/>
  <c r="BV585" i="8"/>
  <c r="BV622" i="8"/>
  <c r="BV661" i="8"/>
  <c r="BV710" i="8"/>
  <c r="BV761" i="8"/>
  <c r="BV812" i="8"/>
  <c r="BV862" i="8"/>
  <c r="BV912" i="8"/>
  <c r="BV964" i="8"/>
  <c r="BV1013" i="8"/>
  <c r="BV1062" i="8"/>
  <c r="BV1120" i="8"/>
  <c r="BV1194" i="8"/>
  <c r="BV1269" i="8"/>
  <c r="BV1373" i="8"/>
  <c r="BV1472" i="8"/>
  <c r="BV1572" i="8"/>
  <c r="BV1674" i="8"/>
  <c r="BV1796" i="8"/>
  <c r="BV1758" i="8"/>
  <c r="BV1721" i="8"/>
  <c r="BV1774" i="8"/>
  <c r="BV1725" i="8"/>
  <c r="BV1682" i="8"/>
  <c r="BV1645" i="8"/>
  <c r="BV1608" i="8"/>
  <c r="BV1568" i="8"/>
  <c r="BV1530" i="8"/>
  <c r="BV1493" i="8"/>
  <c r="BV1454" i="8"/>
  <c r="BV1417" i="8"/>
  <c r="BV1380" i="8"/>
  <c r="BV1341" i="8"/>
  <c r="BV1304" i="8"/>
  <c r="BV1268" i="8"/>
  <c r="BV1238" i="8"/>
  <c r="BV1210" i="8"/>
  <c r="BV1182" i="8"/>
  <c r="BV1153" i="8"/>
  <c r="BV1125" i="8"/>
  <c r="BV1781" i="8"/>
  <c r="BV1732" i="8"/>
  <c r="BV1688" i="8"/>
  <c r="BV1650" i="8"/>
  <c r="BV1610" i="8"/>
  <c r="BV1573" i="8"/>
  <c r="BV1536" i="8"/>
  <c r="BV1497" i="8"/>
  <c r="BV1460" i="8"/>
  <c r="BV1422" i="8"/>
  <c r="BV1384" i="8"/>
  <c r="BV1346" i="8"/>
  <c r="BV1309" i="8"/>
  <c r="BV1270" i="8"/>
  <c r="BV1242" i="8"/>
  <c r="BV1214" i="8"/>
  <c r="BV1185" i="8"/>
  <c r="BV1157" i="8"/>
  <c r="BV1129" i="8"/>
  <c r="BV1100" i="8"/>
  <c r="BV1072" i="8"/>
  <c r="BV63" i="8"/>
  <c r="BV324" i="8"/>
  <c r="BV657" i="8"/>
  <c r="BV1190" i="8"/>
  <c r="BV164" i="8"/>
  <c r="BV401" i="8"/>
  <c r="BV796" i="8"/>
  <c r="BV1753" i="8"/>
  <c r="BV1416" i="8"/>
  <c r="BV1226" i="8"/>
  <c r="BV884" i="8"/>
  <c r="BV640" i="8"/>
  <c r="BV452" i="8"/>
  <c r="BV287" i="8"/>
  <c r="BV180" i="8"/>
  <c r="BV73" i="8"/>
  <c r="BV1288" i="8"/>
  <c r="BV974" i="8"/>
  <c r="BV720" i="8"/>
  <c r="BV478" i="8"/>
  <c r="BV330" i="8"/>
  <c r="BV217" i="8"/>
  <c r="BV89" i="8"/>
  <c r="BV41" i="8"/>
  <c r="BV255" i="8"/>
  <c r="BV708" i="8"/>
  <c r="BV1490" i="8"/>
  <c r="BV57" i="8"/>
  <c r="BV271" i="8"/>
  <c r="BV649" i="8"/>
  <c r="BV1169" i="8"/>
  <c r="BV16" i="8"/>
  <c r="BV48" i="8"/>
  <c r="BV75" i="8"/>
  <c r="BV101" i="8"/>
  <c r="BV133" i="8"/>
  <c r="BV160" i="8"/>
  <c r="BV187" i="8"/>
  <c r="BV219" i="8"/>
  <c r="BV245" i="8"/>
  <c r="BV272" i="8"/>
  <c r="BV304" i="8"/>
  <c r="BV340" i="8"/>
  <c r="BV374" i="8"/>
  <c r="BV417" i="8"/>
  <c r="BV453" i="8"/>
  <c r="BV500" i="8"/>
  <c r="BV556" i="8"/>
  <c r="BV604" i="8"/>
  <c r="BV650" i="8"/>
  <c r="BV721" i="8"/>
  <c r="BV785" i="8"/>
  <c r="BV849" i="8"/>
  <c r="BV926" i="8"/>
  <c r="BV988" i="8"/>
  <c r="BV1052" i="8"/>
  <c r="BV1137" i="8"/>
  <c r="BV1233" i="8"/>
  <c r="BV1344" i="8"/>
  <c r="BV1496" i="8"/>
  <c r="BV1624" i="8"/>
  <c r="BV1765" i="8"/>
  <c r="BV1749" i="8"/>
  <c r="BV1801" i="8"/>
  <c r="BV1737" i="8"/>
  <c r="BV148" i="8"/>
  <c r="BV437" i="8"/>
  <c r="BV1061" i="8"/>
  <c r="BV207" i="8"/>
  <c r="BV612" i="8"/>
  <c r="BV1248" i="8"/>
  <c r="BV1694" i="8"/>
  <c r="BV1034" i="8"/>
  <c r="BV682" i="8"/>
  <c r="BV394" i="8"/>
  <c r="BV244" i="8"/>
  <c r="BV95" i="8"/>
  <c r="BV1209" i="8"/>
  <c r="BV821" i="8"/>
  <c r="BV554" i="8"/>
  <c r="BV303" i="8"/>
  <c r="BV153" i="8"/>
  <c r="BV4" i="8"/>
  <c r="BV409" i="8"/>
  <c r="BV233" i="8"/>
  <c r="BV757" i="8"/>
  <c r="BV36" i="8"/>
  <c r="BV345" i="8"/>
  <c r="BV997" i="8"/>
  <c r="BV297" i="8"/>
  <c r="BV1722" i="8"/>
  <c r="BV1316" i="8"/>
  <c r="BV833" i="8"/>
  <c r="BV526" i="8"/>
  <c r="BV337" i="8"/>
  <c r="BV159" i="8"/>
  <c r="BV1666" i="8"/>
  <c r="BV1024" i="8"/>
  <c r="BV629" i="8"/>
  <c r="BV416" i="8"/>
  <c r="BV239" i="8"/>
  <c r="BV68" i="8"/>
  <c r="BV169" i="8"/>
  <c r="BV544" i="8"/>
  <c r="BV1792" i="8"/>
  <c r="BV185" i="8"/>
  <c r="BV497" i="8"/>
  <c r="BV1338" i="8"/>
  <c r="BV32" i="8"/>
  <c r="BV69" i="8"/>
  <c r="BV112" i="8"/>
  <c r="BV144" i="8"/>
  <c r="BV181" i="8"/>
  <c r="BV224" i="8"/>
  <c r="BV261" i="8"/>
  <c r="BV293" i="8"/>
  <c r="BV346" i="8"/>
  <c r="BV396" i="8"/>
  <c r="BV446" i="8"/>
  <c r="BV518" i="8"/>
  <c r="BV576" i="8"/>
  <c r="BV641" i="8"/>
  <c r="BV736" i="8"/>
  <c r="BV825" i="8"/>
  <c r="BV900" i="8"/>
  <c r="BV1002" i="8"/>
  <c r="BV1089" i="8"/>
  <c r="BV1212" i="8"/>
  <c r="BV1396" i="8"/>
  <c r="BV1546" i="8"/>
  <c r="BV1728" i="8"/>
  <c r="BV1738" i="8"/>
  <c r="BV1764" i="8"/>
  <c r="BV1693" i="8"/>
  <c r="BV1636" i="8"/>
  <c r="BV1588" i="8"/>
  <c r="BV1540" i="8"/>
  <c r="BV1482" i="8"/>
  <c r="BV1437" i="8"/>
  <c r="BV1389" i="8"/>
  <c r="BV1332" i="8"/>
  <c r="BV1284" i="8"/>
  <c r="BV1246" i="8"/>
  <c r="BV1204" i="8"/>
  <c r="BV1168" i="8"/>
  <c r="BV1132" i="8"/>
  <c r="BV1770" i="8"/>
  <c r="BV1706" i="8"/>
  <c r="BV1658" i="8"/>
  <c r="BV1602" i="8"/>
  <c r="BV1554" i="8"/>
  <c r="BV1508" i="8"/>
  <c r="BV1450" i="8"/>
  <c r="BV1402" i="8"/>
  <c r="BV1354" i="8"/>
  <c r="BV1298" i="8"/>
  <c r="BV1257" i="8"/>
  <c r="BV1221" i="8"/>
  <c r="BV1178" i="8"/>
  <c r="BV1142" i="8"/>
  <c r="BV1108" i="8"/>
  <c r="BV1065" i="8"/>
  <c r="BV1036" i="8"/>
  <c r="BV1008" i="8"/>
  <c r="BV980" i="8"/>
  <c r="BV950" i="8"/>
  <c r="BV922" i="8"/>
  <c r="BV894" i="8"/>
  <c r="BV865" i="8"/>
  <c r="BV837" i="8"/>
  <c r="BV809" i="8"/>
  <c r="BV780" i="8"/>
  <c r="BV752" i="8"/>
  <c r="BV724" i="8"/>
  <c r="BV694" i="8"/>
  <c r="BV666" i="8"/>
  <c r="BV638" i="8"/>
  <c r="BV609" i="8"/>
  <c r="BV581" i="8"/>
  <c r="BV553" i="8"/>
  <c r="BV524" i="8"/>
  <c r="BV496" i="8"/>
  <c r="BV468" i="8"/>
  <c r="BV1736" i="8"/>
  <c r="BV1652" i="8"/>
  <c r="BV1576" i="8"/>
  <c r="BV1501" i="8"/>
  <c r="BV1424" i="8"/>
  <c r="BV1348" i="8"/>
  <c r="BV1273" i="8"/>
  <c r="BV1216" i="8"/>
  <c r="BV1158" i="8"/>
  <c r="BV1104" i="8"/>
  <c r="BV1066" i="8"/>
  <c r="BV1028" i="8"/>
  <c r="BV990" i="8"/>
  <c r="BV953" i="8"/>
  <c r="BV913" i="8"/>
  <c r="BV876" i="8"/>
  <c r="BV838" i="8"/>
  <c r="BV800" i="8"/>
  <c r="BV762" i="8"/>
  <c r="BV725" i="8"/>
  <c r="BV686" i="8"/>
  <c r="BV23" i="8"/>
  <c r="BV44" i="8"/>
  <c r="BV65" i="8"/>
  <c r="BV87" i="8"/>
  <c r="BV108" i="8"/>
  <c r="BV129" i="8"/>
  <c r="BV151" i="8"/>
  <c r="BV172" i="8"/>
  <c r="BV193" i="8"/>
  <c r="BV215" i="8"/>
  <c r="BV236" i="8"/>
  <c r="BV257" i="8"/>
  <c r="BV279" i="8"/>
  <c r="BV300" i="8"/>
  <c r="BV326" i="8"/>
  <c r="BV356" i="8"/>
  <c r="BV384" i="8"/>
  <c r="BV412" i="8"/>
  <c r="BV441" i="8"/>
  <c r="BV473" i="8"/>
  <c r="BV512" i="8"/>
  <c r="BV549" i="8"/>
  <c r="BV586" i="8"/>
  <c r="BV625" i="8"/>
  <c r="BV662" i="8"/>
  <c r="BV713" i="8"/>
  <c r="BV764" i="8"/>
  <c r="BV814" i="8"/>
  <c r="BV864" i="8"/>
  <c r="BV917" i="8"/>
  <c r="BV966" i="8"/>
  <c r="BV1017" i="8"/>
  <c r="BV1068" i="8"/>
  <c r="BV1124" i="8"/>
  <c r="BV1198" i="8"/>
  <c r="BV1277" i="8"/>
  <c r="BV1376" i="8"/>
  <c r="BV1476" i="8"/>
  <c r="BV1581" i="8"/>
  <c r="BV1680" i="8"/>
  <c r="BV1802" i="8"/>
  <c r="BV19" i="8"/>
  <c r="BV40" i="8"/>
  <c r="BV61" i="8"/>
  <c r="BV83" i="8"/>
  <c r="BV104" i="8"/>
  <c r="BV125" i="8"/>
  <c r="BV147" i="8"/>
  <c r="BV168" i="8"/>
  <c r="BV189" i="8"/>
  <c r="BV211" i="8"/>
  <c r="BV232" i="8"/>
  <c r="BV253" i="8"/>
  <c r="BV275" i="8"/>
  <c r="BV296" i="8"/>
  <c r="BV321" i="8"/>
  <c r="BV350" i="8"/>
  <c r="BV378" i="8"/>
  <c r="BV406" i="8"/>
  <c r="BV436" i="8"/>
  <c r="BV465" i="8"/>
  <c r="BV505" i="8"/>
  <c r="BV542" i="8"/>
  <c r="BV580" i="8"/>
  <c r="BV618" i="8"/>
  <c r="BV656" i="8"/>
  <c r="BV704" i="8"/>
  <c r="BV756" i="8"/>
  <c r="BV805" i="8"/>
  <c r="BV854" i="8"/>
  <c r="BV906" i="8"/>
  <c r="BV956" i="8"/>
  <c r="BV1006" i="8"/>
  <c r="BV1060" i="8"/>
  <c r="BV1109" i="8"/>
  <c r="BV1184" i="8"/>
  <c r="BV1262" i="8"/>
  <c r="BV1358" i="8"/>
  <c r="BV1458" i="8"/>
  <c r="BV1561" i="8"/>
  <c r="BV1661" i="8"/>
  <c r="BV1780" i="8"/>
  <c r="BV1787" i="8"/>
  <c r="BV1771" i="8"/>
  <c r="BV1755" i="8"/>
  <c r="BV1739" i="8"/>
  <c r="BV1723" i="8"/>
  <c r="BV1707" i="8"/>
  <c r="BV1691" i="8"/>
  <c r="BV1675" i="8"/>
  <c r="BV1659" i="8"/>
  <c r="BV1643" i="8"/>
  <c r="BV1627" i="8"/>
  <c r="BV1611" i="8"/>
  <c r="BV1595" i="8"/>
  <c r="BV1579" i="8"/>
  <c r="BV1563" i="8"/>
  <c r="BV1547" i="8"/>
  <c r="BV1531" i="8"/>
  <c r="BV1515" i="8"/>
  <c r="BV1499" i="8"/>
  <c r="BV1483" i="8"/>
  <c r="BV1467" i="8"/>
  <c r="BV1451" i="8"/>
  <c r="BV1435" i="8"/>
  <c r="BV1419" i="8"/>
  <c r="BV1403" i="8"/>
  <c r="BV1387" i="8"/>
  <c r="BV1371" i="8"/>
  <c r="BV1355" i="8"/>
  <c r="BV1339" i="8"/>
  <c r="BV1323" i="8"/>
  <c r="BV1307" i="8"/>
  <c r="BV1291" i="8"/>
  <c r="BV1275" i="8"/>
  <c r="BV1782" i="8"/>
  <c r="BV1761" i="8"/>
  <c r="BV1740" i="8"/>
  <c r="BV1718" i="8"/>
  <c r="BV1697" i="8"/>
  <c r="BV1676" i="8"/>
  <c r="BV1654" i="8"/>
  <c r="BV1633" i="8"/>
  <c r="BV1612" i="8"/>
  <c r="BV1590" i="8"/>
  <c r="BV1569" i="8"/>
  <c r="BV1548" i="8"/>
  <c r="BV1526" i="8"/>
  <c r="BV1505" i="8"/>
  <c r="BV1484" i="8"/>
  <c r="BV1462" i="8"/>
  <c r="BV1441" i="8"/>
  <c r="BV1420" i="8"/>
  <c r="BV1398" i="8"/>
  <c r="BV1377" i="8"/>
  <c r="BV1356" i="8"/>
  <c r="BV1334" i="8"/>
  <c r="BV1313" i="8"/>
  <c r="BV1292" i="8"/>
  <c r="BV1271" i="8"/>
  <c r="BV1255" i="8"/>
  <c r="BV1239" i="8"/>
  <c r="BV1223" i="8"/>
  <c r="BV1207" i="8"/>
  <c r="BV1191" i="8"/>
  <c r="BV1175" i="8"/>
  <c r="BV1159" i="8"/>
  <c r="BV1143" i="8"/>
  <c r="BV1127" i="8"/>
  <c r="BV1111" i="8"/>
  <c r="BV1095" i="8"/>
  <c r="BV1079" i="8"/>
  <c r="BV1063" i="8"/>
  <c r="BV1047" i="8"/>
  <c r="BV1031" i="8"/>
  <c r="BV1015" i="8"/>
  <c r="BV999" i="8"/>
  <c r="BV983" i="8"/>
  <c r="BV967" i="8"/>
  <c r="BV951" i="8"/>
  <c r="BV935" i="8"/>
  <c r="BV919" i="8"/>
  <c r="BV903" i="8"/>
  <c r="BV887" i="8"/>
  <c r="BV871" i="8"/>
  <c r="BV855" i="8"/>
  <c r="BV839" i="8"/>
  <c r="BV823" i="8"/>
  <c r="BV807" i="8"/>
  <c r="BV791" i="8"/>
  <c r="BV775" i="8"/>
  <c r="BV759" i="8"/>
  <c r="BV743" i="8"/>
  <c r="BV727" i="8"/>
  <c r="BV711" i="8"/>
  <c r="BV695" i="8"/>
  <c r="BV679" i="8"/>
  <c r="BV663" i="8"/>
  <c r="BV647" i="8"/>
  <c r="BV631" i="8"/>
  <c r="BV615" i="8"/>
  <c r="BV599" i="8"/>
  <c r="BV583" i="8"/>
  <c r="BV567" i="8"/>
  <c r="BV551" i="8"/>
  <c r="BV535" i="8"/>
  <c r="BV519" i="8"/>
  <c r="BV503" i="8"/>
  <c r="BV487" i="8"/>
  <c r="BV471" i="8"/>
  <c r="BV455" i="8"/>
  <c r="BV439" i="8"/>
  <c r="BV423" i="8"/>
  <c r="BV407" i="8"/>
  <c r="BV391" i="8"/>
  <c r="BV375" i="8"/>
  <c r="BV359" i="8"/>
  <c r="BV343" i="8"/>
  <c r="BV327" i="8"/>
  <c r="BV311" i="8"/>
  <c r="BV22" i="8"/>
  <c r="BV38" i="8"/>
  <c r="BV54" i="8"/>
  <c r="BV70" i="8"/>
  <c r="BV86" i="8"/>
  <c r="BV102" i="8"/>
  <c r="BV118" i="8"/>
  <c r="BV134" i="8"/>
  <c r="BV150" i="8"/>
  <c r="BV166" i="8"/>
  <c r="BV182" i="8"/>
  <c r="BV198" i="8"/>
  <c r="BV214" i="8"/>
  <c r="BV230" i="8"/>
  <c r="BV246" i="8"/>
  <c r="BV262" i="8"/>
  <c r="BV278" i="8"/>
  <c r="BV294" i="8"/>
  <c r="BV582" i="8"/>
  <c r="BV249" i="8"/>
  <c r="BV1514" i="8"/>
  <c r="BV784" i="8"/>
  <c r="BV265" i="8"/>
  <c r="BV1544" i="8"/>
  <c r="BV592" i="8"/>
  <c r="BV175" i="8"/>
  <c r="BV212" i="8"/>
  <c r="BV1265" i="8"/>
  <c r="BV228" i="8"/>
  <c r="BV846" i="8"/>
  <c r="BV27" i="8"/>
  <c r="BV80" i="8"/>
  <c r="BV123" i="8"/>
  <c r="BV176" i="8"/>
  <c r="BV229" i="8"/>
  <c r="BV283" i="8"/>
  <c r="BV332" i="8"/>
  <c r="BV404" i="8"/>
  <c r="BV480" i="8"/>
  <c r="BV565" i="8"/>
  <c r="BV672" i="8"/>
  <c r="BV774" i="8"/>
  <c r="BV889" i="8"/>
  <c r="BV1025" i="8"/>
  <c r="BV1156" i="8"/>
  <c r="BV1320" i="8"/>
  <c r="BV1600" i="8"/>
  <c r="BV1778" i="8"/>
  <c r="BV1789" i="8"/>
  <c r="BV1673" i="8"/>
  <c r="BV1616" i="8"/>
  <c r="BV1550" i="8"/>
  <c r="BV1474" i="8"/>
  <c r="BV1408" i="8"/>
  <c r="BV1352" i="8"/>
  <c r="BV1274" i="8"/>
  <c r="BV1225" i="8"/>
  <c r="BV1174" i="8"/>
  <c r="BV1118" i="8"/>
  <c r="BV1744" i="8"/>
  <c r="BV1668" i="8"/>
  <c r="BV1593" i="8"/>
  <c r="BV1525" i="8"/>
  <c r="BV1469" i="8"/>
  <c r="BV1394" i="8"/>
  <c r="BV1326" i="8"/>
  <c r="BV1264" i="8"/>
  <c r="BV1206" i="8"/>
  <c r="BV1164" i="8"/>
  <c r="BV1114" i="8"/>
  <c r="BV1057" i="8"/>
  <c r="BV1022" i="8"/>
  <c r="BV986" i="8"/>
  <c r="BV944" i="8"/>
  <c r="BV908" i="8"/>
  <c r="BV873" i="8"/>
  <c r="BV830" i="8"/>
  <c r="BV794" i="8"/>
  <c r="BV758" i="8"/>
  <c r="BV716" i="8"/>
  <c r="BV681" i="8"/>
  <c r="BV645" i="8"/>
  <c r="BV602" i="8"/>
  <c r="BV566" i="8"/>
  <c r="BV532" i="8"/>
  <c r="BV489" i="8"/>
  <c r="BV1785" i="8"/>
  <c r="BV1672" i="8"/>
  <c r="BV1557" i="8"/>
  <c r="BV1461" i="8"/>
  <c r="BV1368" i="8"/>
  <c r="BV1258" i="8"/>
  <c r="BV1188" i="8"/>
  <c r="BV1116" i="8"/>
  <c r="BV1056" i="8"/>
  <c r="BV1009" i="8"/>
  <c r="BV961" i="8"/>
  <c r="BV905" i="8"/>
  <c r="BV857" i="8"/>
  <c r="BV810" i="8"/>
  <c r="BV753" i="8"/>
  <c r="BV191" i="8"/>
  <c r="BV1642" i="8"/>
  <c r="BV693" i="8"/>
  <c r="BV1088" i="8"/>
  <c r="BV486" i="8"/>
  <c r="BV116" i="8"/>
  <c r="BV921" i="8"/>
  <c r="BV358" i="8"/>
  <c r="BV47" i="8"/>
  <c r="BV806" i="8"/>
  <c r="BV15" i="8"/>
  <c r="BV430" i="8"/>
  <c r="BV53" i="8"/>
  <c r="BV96" i="8"/>
  <c r="BV155" i="8"/>
  <c r="BV203" i="8"/>
  <c r="BV251" i="8"/>
  <c r="BV310" i="8"/>
  <c r="BV368" i="8"/>
  <c r="BV432" i="8"/>
  <c r="BV528" i="8"/>
  <c r="BV613" i="8"/>
  <c r="BV698" i="8"/>
  <c r="BV836" i="8"/>
  <c r="BV949" i="8"/>
  <c r="BV1077" i="8"/>
  <c r="BV1252" i="8"/>
  <c r="BV1448" i="8"/>
  <c r="BV1700" i="8"/>
  <c r="BV1730" i="8"/>
  <c r="BV1714" i="8"/>
  <c r="BV1653" i="8"/>
  <c r="BV1578" i="8"/>
  <c r="BV1512" i="8"/>
  <c r="BV1445" i="8"/>
  <c r="BV1369" i="8"/>
  <c r="BV1312" i="8"/>
  <c r="BV1253" i="8"/>
  <c r="BV1196" i="8"/>
  <c r="BV1146" i="8"/>
  <c r="BV1794" i="8"/>
  <c r="BV1696" i="8"/>
  <c r="BV1630" i="8"/>
  <c r="BV1565" i="8"/>
  <c r="BV1488" i="8"/>
  <c r="BV1432" i="8"/>
  <c r="BV1365" i="8"/>
  <c r="BV1289" i="8"/>
  <c r="BV1236" i="8"/>
  <c r="BV1193" i="8"/>
  <c r="BV1136" i="8"/>
  <c r="BV1086" i="8"/>
  <c r="BV1044" i="8"/>
  <c r="BV1001" i="8"/>
  <c r="BV965" i="8"/>
  <c r="BV929" i="8"/>
  <c r="BV886" i="8"/>
  <c r="BV852" i="8"/>
  <c r="BV816" i="8"/>
  <c r="BV773" i="8"/>
  <c r="BV737" i="8"/>
  <c r="BV702" i="8"/>
  <c r="BV660" i="8"/>
  <c r="BV624" i="8"/>
  <c r="BV588" i="8"/>
  <c r="BV545" i="8"/>
  <c r="BV510" i="8"/>
  <c r="BV474" i="8"/>
  <c r="BV1709" i="8"/>
  <c r="BV1614" i="8"/>
  <c r="BV1518" i="8"/>
  <c r="BV1405" i="8"/>
  <c r="BV1310" i="8"/>
  <c r="BV1230" i="8"/>
  <c r="BV1145" i="8"/>
  <c r="BV1084" i="8"/>
  <c r="BV1038" i="8"/>
  <c r="BV981" i="8"/>
  <c r="BV933" i="8"/>
  <c r="BV885" i="8"/>
  <c r="BV828" i="8"/>
  <c r="BV782" i="8"/>
  <c r="BV734" i="8"/>
  <c r="BV960" i="8"/>
  <c r="BV1438" i="8"/>
  <c r="BV201" i="8"/>
  <c r="BV444" i="8"/>
  <c r="BV469" i="8"/>
  <c r="BV373" i="8"/>
  <c r="BV117" i="8"/>
  <c r="BV208" i="8"/>
  <c r="BV318" i="8"/>
  <c r="BV462" i="8"/>
  <c r="BV633" i="8"/>
  <c r="BV874" i="8"/>
  <c r="BV1102" i="8"/>
  <c r="BV1524" i="8"/>
  <c r="BV1710" i="8"/>
  <c r="BV1625" i="8"/>
  <c r="BV1502" i="8"/>
  <c r="BV1360" i="8"/>
  <c r="BV1232" i="8"/>
  <c r="BV1140" i="8"/>
  <c r="BV1678" i="8"/>
  <c r="BV1545" i="8"/>
  <c r="BV1412" i="8"/>
  <c r="BV1280" i="8"/>
  <c r="BV1172" i="8"/>
  <c r="BV1078" i="8"/>
  <c r="BV993" i="8"/>
  <c r="BV916" i="8"/>
  <c r="BV844" i="8"/>
  <c r="BV766" i="8"/>
  <c r="BV688" i="8"/>
  <c r="BV617" i="8"/>
  <c r="BV538" i="8"/>
  <c r="BV460" i="8"/>
  <c r="BV1594" i="8"/>
  <c r="BV1386" i="8"/>
  <c r="BV1201" i="8"/>
  <c r="BV1076" i="8"/>
  <c r="BV970" i="8"/>
  <c r="BV868" i="8"/>
  <c r="BV772" i="8"/>
  <c r="BV697" i="8"/>
  <c r="BV28" i="8"/>
  <c r="BV55" i="8"/>
  <c r="BV81" i="8"/>
  <c r="BV113" i="8"/>
  <c r="BV140" i="8"/>
  <c r="BV167" i="8"/>
  <c r="BV199" i="8"/>
  <c r="BV225" i="8"/>
  <c r="BV252" i="8"/>
  <c r="BV284" i="8"/>
  <c r="BV313" i="8"/>
  <c r="BV348" i="8"/>
  <c r="BV390" i="8"/>
  <c r="BV426" i="8"/>
  <c r="BV464" i="8"/>
  <c r="BV521" i="8"/>
  <c r="BV569" i="8"/>
  <c r="BV614" i="8"/>
  <c r="BV676" i="8"/>
  <c r="BV740" i="8"/>
  <c r="BV804" i="8"/>
  <c r="BV878" i="8"/>
  <c r="BV940" i="8"/>
  <c r="BV1004" i="8"/>
  <c r="BV1081" i="8"/>
  <c r="BV1162" i="8"/>
  <c r="BV1254" i="8"/>
  <c r="BV1401" i="8"/>
  <c r="BV1529" i="8"/>
  <c r="BV1657" i="8"/>
  <c r="BV29" i="8"/>
  <c r="BV56" i="8"/>
  <c r="BV88" i="8"/>
  <c r="BV115" i="8"/>
  <c r="BV141" i="8"/>
  <c r="BV173" i="8"/>
  <c r="BV200" i="8"/>
  <c r="BV227" i="8"/>
  <c r="BV259" i="8"/>
  <c r="BV285" i="8"/>
  <c r="BV314" i="8"/>
  <c r="BV357" i="8"/>
  <c r="BV393" i="8"/>
  <c r="BV428" i="8"/>
  <c r="BV476" i="8"/>
  <c r="BV522" i="8"/>
  <c r="BV570" i="8"/>
  <c r="BV628" i="8"/>
  <c r="BV678" i="8"/>
  <c r="BV741" i="8"/>
  <c r="BV817" i="8"/>
  <c r="BV881" i="8"/>
  <c r="BV945" i="8"/>
  <c r="BV1020" i="8"/>
  <c r="BV1082" i="8"/>
  <c r="BV1166" i="8"/>
  <c r="BV1282" i="8"/>
  <c r="BV1410" i="8"/>
  <c r="BV1533" i="8"/>
  <c r="BV1685" i="8"/>
  <c r="BV1795" i="8"/>
  <c r="BV1775" i="8"/>
  <c r="BV1751" i="8"/>
  <c r="BV1731" i="8"/>
  <c r="BV1711" i="8"/>
  <c r="BV1687" i="8"/>
  <c r="BV1667" i="8"/>
  <c r="BV1647" i="8"/>
  <c r="BV1623" i="8"/>
  <c r="BV1603" i="8"/>
  <c r="BV1583" i="8"/>
  <c r="BV1559" i="8"/>
  <c r="BV1539" i="8"/>
  <c r="BV1519" i="8"/>
  <c r="BV1495" i="8"/>
  <c r="BV1475" i="8"/>
  <c r="BV1455" i="8"/>
  <c r="BV1431" i="8"/>
  <c r="BV1411" i="8"/>
  <c r="BV1391" i="8"/>
  <c r="BV1367" i="8"/>
  <c r="BV1347" i="8"/>
  <c r="BV1327" i="8"/>
  <c r="BV1303" i="8"/>
  <c r="BV1283" i="8"/>
  <c r="BV1788" i="8"/>
  <c r="BV1756" i="8"/>
  <c r="BV1729" i="8"/>
  <c r="BV1702" i="8"/>
  <c r="BV1670" i="8"/>
  <c r="BV1644" i="8"/>
  <c r="BV1617" i="8"/>
  <c r="BV1585" i="8"/>
  <c r="BV1558" i="8"/>
  <c r="BV1532" i="8"/>
  <c r="BV1500" i="8"/>
  <c r="BV1473" i="8"/>
  <c r="BV1446" i="8"/>
  <c r="BV1414" i="8"/>
  <c r="BV1388" i="8"/>
  <c r="BV1361" i="8"/>
  <c r="BV1329" i="8"/>
  <c r="BV1302" i="8"/>
  <c r="BV1276" i="8"/>
  <c r="BV1251" i="8"/>
  <c r="BV1231" i="8"/>
  <c r="BV1211" i="8"/>
  <c r="BV1187" i="8"/>
  <c r="BV1167" i="8"/>
  <c r="BV1147" i="8"/>
  <c r="BV1123" i="8"/>
  <c r="BV1103" i="8"/>
  <c r="BV1083" i="8"/>
  <c r="BV1059" i="8"/>
  <c r="BV1039" i="8"/>
  <c r="BV1019" i="8"/>
  <c r="BV995" i="8"/>
  <c r="BV975" i="8"/>
  <c r="BV955" i="8"/>
  <c r="BV931" i="8"/>
  <c r="BV911" i="8"/>
  <c r="BV891" i="8"/>
  <c r="BV867" i="8"/>
  <c r="BV847" i="8"/>
  <c r="BV827" i="8"/>
  <c r="BV803" i="8"/>
  <c r="BV783" i="8"/>
  <c r="BV763" i="8"/>
  <c r="BV1784" i="8"/>
  <c r="BV1754" i="8"/>
  <c r="BV1726" i="8"/>
  <c r="BV1698" i="8"/>
  <c r="BV1669" i="8"/>
  <c r="BV1641" i="8"/>
  <c r="BV1613" i="8"/>
  <c r="BV1584" i="8"/>
  <c r="BV1556" i="8"/>
  <c r="BV1528" i="8"/>
  <c r="BV1498" i="8"/>
  <c r="BV1470" i="8"/>
  <c r="BV1442" i="8"/>
  <c r="BV1413" i="8"/>
  <c r="BV1385" i="8"/>
  <c r="BV1357" i="8"/>
  <c r="BV1328" i="8"/>
  <c r="BV1300" i="8"/>
  <c r="BV1272" i="8"/>
  <c r="BV1250" i="8"/>
  <c r="BV1229" i="8"/>
  <c r="BV1208" i="8"/>
  <c r="BV1186" i="8"/>
  <c r="BV1165" i="8"/>
  <c r="BV1144" i="8"/>
  <c r="BV1122" i="8"/>
  <c r="BV1101" i="8"/>
  <c r="BV1080" i="8"/>
  <c r="BV1058" i="8"/>
  <c r="BV1037" i="8"/>
  <c r="BV1016" i="8"/>
  <c r="BV994" i="8"/>
  <c r="BV973" i="8"/>
  <c r="BV952" i="8"/>
  <c r="BV930" i="8"/>
  <c r="BV909" i="8"/>
  <c r="BV888" i="8"/>
  <c r="BV866" i="8"/>
  <c r="BV845" i="8"/>
  <c r="BV824" i="8"/>
  <c r="BV802" i="8"/>
  <c r="BV781" i="8"/>
  <c r="BV760" i="8"/>
  <c r="BV738" i="8"/>
  <c r="BV717" i="8"/>
  <c r="BV696" i="8"/>
  <c r="BV674" i="8"/>
  <c r="BV653" i="8"/>
  <c r="BV632" i="8"/>
  <c r="BV610" i="8"/>
  <c r="BV589" i="8"/>
  <c r="BV568" i="8"/>
  <c r="BV546" i="8"/>
  <c r="BV525" i="8"/>
  <c r="BV504" i="8"/>
  <c r="BV482" i="8"/>
  <c r="BV461" i="8"/>
  <c r="BV440" i="8"/>
  <c r="BV418" i="8"/>
  <c r="BV397" i="8"/>
  <c r="BV376" i="8"/>
  <c r="BV354" i="8"/>
  <c r="BV333" i="8"/>
  <c r="BV312" i="8"/>
  <c r="BV290" i="8"/>
  <c r="BV270" i="8"/>
  <c r="BV250" i="8"/>
  <c r="BV226" i="8"/>
  <c r="BV206" i="8"/>
  <c r="BV186" i="8"/>
  <c r="BV162" i="8"/>
  <c r="BV142" i="8"/>
  <c r="BV122" i="8"/>
  <c r="BV98" i="8"/>
  <c r="BV78" i="8"/>
  <c r="BV58" i="8"/>
  <c r="BV34" i="8"/>
  <c r="BV14" i="8"/>
  <c r="BV323" i="8"/>
  <c r="BV347" i="8"/>
  <c r="BV367" i="8"/>
  <c r="BV387" i="8"/>
  <c r="BV411" i="8"/>
  <c r="BV431" i="8"/>
  <c r="BV451" i="8"/>
  <c r="BV475" i="8"/>
  <c r="BV495" i="8"/>
  <c r="BV515" i="8"/>
  <c r="BV539" i="8"/>
  <c r="BV559" i="8"/>
  <c r="BV579" i="8"/>
  <c r="BV603" i="8"/>
  <c r="BV623" i="8"/>
  <c r="BV643" i="8"/>
  <c r="BV667" i="8"/>
  <c r="BV687" i="8"/>
  <c r="BV707" i="8"/>
  <c r="BV731" i="8"/>
  <c r="BV751" i="8"/>
  <c r="BV779" i="8"/>
  <c r="BV811" i="8"/>
  <c r="BV835" i="8"/>
  <c r="BV863" i="8"/>
  <c r="BV895" i="8"/>
  <c r="BV923" i="8"/>
  <c r="BV947" i="8"/>
  <c r="BV979" i="8"/>
  <c r="BV1007" i="8"/>
  <c r="BV1035" i="8"/>
  <c r="BV1067" i="8"/>
  <c r="BV1091" i="8"/>
  <c r="BV1119" i="8"/>
  <c r="BV1151" i="8"/>
  <c r="BV1179" i="8"/>
  <c r="BV1203" i="8"/>
  <c r="BV1235" i="8"/>
  <c r="BV1263" i="8"/>
  <c r="BV1297" i="8"/>
  <c r="BV1340" i="8"/>
  <c r="BV1372" i="8"/>
  <c r="BV1409" i="8"/>
  <c r="BV1452" i="8"/>
  <c r="BV1489" i="8"/>
  <c r="BV1521" i="8"/>
  <c r="BV1564" i="8"/>
  <c r="BV1601" i="8"/>
  <c r="BV1638" i="8"/>
  <c r="BV1681" i="8"/>
  <c r="BV1713" i="8"/>
  <c r="BV1750" i="8"/>
  <c r="BV1793" i="8"/>
  <c r="BV1295" i="8"/>
  <c r="BV1319" i="8"/>
  <c r="BV1351" i="8"/>
  <c r="BV1379" i="8"/>
  <c r="BV1407" i="8"/>
  <c r="BV1439" i="8"/>
  <c r="BV1463" i="8"/>
  <c r="BV1491" i="8"/>
  <c r="BV1523" i="8"/>
  <c r="BV1551" i="8"/>
  <c r="BV1575" i="8"/>
  <c r="BV1607" i="8"/>
  <c r="BV1635" i="8"/>
  <c r="BV1663" i="8"/>
  <c r="BV1695" i="8"/>
  <c r="BV1719" i="8"/>
  <c r="BV1747" i="8"/>
  <c r="BV1779" i="8"/>
  <c r="BV1746" i="8"/>
  <c r="BV1586" i="8"/>
  <c r="BV1381" i="8"/>
  <c r="BV1222" i="8"/>
  <c r="BV1097" i="8"/>
  <c r="BV996" i="8"/>
  <c r="BV918" i="8"/>
  <c r="BV832" i="8"/>
  <c r="BV729" i="8"/>
  <c r="BV646" i="8"/>
  <c r="BV590" i="8"/>
  <c r="BV513" i="8"/>
  <c r="BV449" i="8"/>
  <c r="BV400" i="8"/>
  <c r="BV342" i="8"/>
  <c r="BV301" i="8"/>
  <c r="BV264" i="8"/>
  <c r="BV221" i="8"/>
  <c r="BV184" i="8"/>
  <c r="BV152" i="8"/>
  <c r="BV109" i="8"/>
  <c r="BV72" i="8"/>
  <c r="BV35" i="8"/>
  <c r="BV1629" i="8"/>
  <c r="BV1453" i="8"/>
  <c r="BV1301" i="8"/>
  <c r="BV1141" i="8"/>
  <c r="BV1041" i="8"/>
  <c r="BV954" i="8"/>
  <c r="BV853" i="8"/>
  <c r="BV777" i="8"/>
  <c r="BV689" i="8"/>
  <c r="BV606" i="8"/>
  <c r="BV540" i="8"/>
  <c r="BV484" i="8"/>
  <c r="BV420" i="8"/>
  <c r="BV369" i="8"/>
  <c r="BV320" i="8"/>
  <c r="BV273" i="8"/>
  <c r="BV241" i="8"/>
  <c r="BV204" i="8"/>
  <c r="BV161" i="8"/>
  <c r="BV124" i="8"/>
  <c r="BV92" i="8"/>
  <c r="BV49" i="8"/>
  <c r="BV668" i="8"/>
  <c r="BV742" i="8"/>
  <c r="BV896" i="8"/>
  <c r="BV1018" i="8"/>
  <c r="BV1173" i="8"/>
  <c r="BV1444" i="8"/>
  <c r="BV1689" i="8"/>
  <c r="BV517" i="8"/>
  <c r="BV630" i="8"/>
  <c r="BV730" i="8"/>
  <c r="BV822" i="8"/>
  <c r="BV937" i="8"/>
  <c r="BV1029" i="8"/>
  <c r="BV1150" i="8"/>
  <c r="BV1317" i="8"/>
  <c r="BV1480" i="8"/>
  <c r="BV1640" i="8"/>
  <c r="BV1161" i="8"/>
  <c r="BV1294" i="8"/>
  <c r="BV1465" i="8"/>
  <c r="BV1664" i="8"/>
  <c r="BV1786" i="8"/>
  <c r="BV1177" i="8"/>
  <c r="BV798" i="8"/>
  <c r="BV537" i="8"/>
  <c r="BV361" i="8"/>
  <c r="BV197" i="8"/>
  <c r="BV59" i="8"/>
  <c r="BV1049" i="8"/>
  <c r="BV910" i="8"/>
  <c r="BV769" i="8"/>
  <c r="BV601" i="8"/>
  <c r="BV79" i="8"/>
  <c r="I136" i="5"/>
  <c r="K136" i="5"/>
  <c r="I141" i="5"/>
  <c r="K141" i="5"/>
  <c r="I163" i="5"/>
  <c r="K163" i="5"/>
  <c r="I171" i="5"/>
  <c r="K171" i="5"/>
  <c r="I246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BV5" i="8"/>
  <c r="BV12" i="8"/>
  <c r="BV11" i="8"/>
  <c r="BV9" i="8"/>
  <c r="BV7" i="8"/>
  <c r="BV6" i="8"/>
  <c r="BV8" i="8"/>
  <c r="BV10" i="8"/>
  <c r="BV13" i="8"/>
  <c r="AM7" i="8"/>
  <c r="AM6" i="8"/>
  <c r="AM5" i="8"/>
  <c r="AH4" i="8"/>
  <c r="U11" i="8"/>
  <c r="E11" i="4"/>
  <c r="AG4" i="8"/>
  <c r="U6" i="8"/>
  <c r="AG31" i="8"/>
  <c r="AJ7" i="8"/>
  <c r="Y14" i="8"/>
  <c r="I14" i="4" s="1"/>
  <c r="AG32" i="8"/>
  <c r="AI5" i="8"/>
  <c r="S12" i="8"/>
  <c r="C12" i="4" s="1"/>
  <c r="AG5" i="8"/>
  <c r="S6" i="8"/>
  <c r="AL6" i="8"/>
  <c r="W22" i="8"/>
  <c r="G22" i="4" s="1"/>
  <c r="AK6" i="8"/>
  <c r="W18" i="8"/>
  <c r="G18" i="4" s="1"/>
  <c r="AG33" i="8"/>
  <c r="AI6" i="8"/>
  <c r="W12" i="8"/>
  <c r="G12" i="4" s="1"/>
  <c r="AG6" i="8"/>
  <c r="W6" i="8"/>
  <c r="G4" i="4" s="1"/>
  <c r="AH5" i="8"/>
  <c r="S11" i="8"/>
  <c r="AK4" i="8"/>
  <c r="U18" i="8"/>
  <c r="AA18" i="8" s="1"/>
  <c r="AC18" i="8" s="1"/>
  <c r="E18" i="4"/>
  <c r="AL4" i="8"/>
  <c r="AL7" i="8"/>
  <c r="Y22" i="8"/>
  <c r="I22" i="4"/>
  <c r="AK7" i="8"/>
  <c r="Y18" i="8"/>
  <c r="I18" i="4"/>
  <c r="E4" i="4"/>
  <c r="AI4" i="8"/>
  <c r="U12" i="8"/>
  <c r="E12" i="4"/>
  <c r="AG34" i="8"/>
  <c r="AI7" i="8"/>
  <c r="Y12" i="8"/>
  <c r="I12" i="4"/>
  <c r="AG7" i="8"/>
  <c r="Y6" i="8"/>
  <c r="AH6" i="8"/>
  <c r="W11" i="8"/>
  <c r="G11" i="4"/>
  <c r="AJ5" i="8"/>
  <c r="S14" i="8"/>
  <c r="AJ4" i="8"/>
  <c r="U14" i="8"/>
  <c r="E14" i="4" s="1"/>
  <c r="AH7" i="8"/>
  <c r="Y11" i="8"/>
  <c r="I11" i="4" s="1"/>
  <c r="AJ6" i="8"/>
  <c r="W14" i="8"/>
  <c r="G14" i="4" s="1"/>
  <c r="AL5" i="8"/>
  <c r="AK5" i="8"/>
  <c r="S18" i="8"/>
  <c r="C18" i="4" s="1"/>
  <c r="C14" i="4"/>
  <c r="I4" i="4"/>
  <c r="U22" i="8"/>
  <c r="E22" i="4"/>
  <c r="S22" i="8"/>
  <c r="C11" i="4"/>
  <c r="AA11" i="8"/>
  <c r="AC11" i="8" s="1"/>
  <c r="C4" i="4"/>
  <c r="AA22" i="8"/>
  <c r="AC22" i="8" s="1"/>
  <c r="C22" i="4"/>
  <c r="AJ13" i="8"/>
  <c r="AJ12" i="8"/>
  <c r="AJ15" i="8"/>
  <c r="AJ14" i="8"/>
  <c r="AF6" i="8"/>
  <c r="AF4" i="8"/>
  <c r="AF7" i="8"/>
  <c r="AF5" i="8"/>
  <c r="F4" i="6" l="1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AI12" i="8"/>
  <c r="U5" i="8"/>
  <c r="E3" i="4" s="1"/>
  <c r="E7" i="4" s="1"/>
  <c r="W5" i="8"/>
  <c r="G3" i="4" s="1"/>
  <c r="K3" i="4" s="1"/>
  <c r="N3" i="4" s="1"/>
  <c r="D23" i="2"/>
  <c r="I7" i="4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U25" i="8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J10" i="4"/>
  <c r="D20" i="1"/>
  <c r="D12" i="1"/>
  <c r="D6" i="1"/>
  <c r="D3" i="1"/>
  <c r="D14" i="1"/>
  <c r="D4" i="1"/>
  <c r="I225" i="5"/>
  <c r="I209" i="5"/>
  <c r="BT243" i="8"/>
  <c r="K242" i="5" s="1"/>
  <c r="I224" i="5"/>
  <c r="I201" i="5"/>
  <c r="I204" i="5"/>
  <c r="I249" i="5"/>
  <c r="K202" i="5"/>
  <c r="I210" i="5"/>
  <c r="BT224" i="8"/>
  <c r="K223" i="5" s="1"/>
  <c r="I237" i="5"/>
  <c r="BT230" i="8"/>
  <c r="K229" i="5" s="1"/>
  <c r="K207" i="5"/>
  <c r="BT215" i="8"/>
  <c r="K214" i="5" s="1"/>
  <c r="I220" i="5"/>
  <c r="I222" i="5"/>
  <c r="G23" i="4"/>
  <c r="I23" i="4"/>
  <c r="AA7" i="8"/>
  <c r="AC7" i="8" s="1"/>
  <c r="E23" i="4"/>
  <c r="K22" i="4"/>
  <c r="N22" i="4" s="1"/>
  <c r="S25" i="8"/>
  <c r="G7" i="4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B23" i="4"/>
  <c r="J12" i="4"/>
  <c r="J4" i="4"/>
  <c r="M4" i="4" s="1"/>
  <c r="J3" i="4"/>
  <c r="M3" i="4" s="1"/>
  <c r="K21" i="4"/>
  <c r="N21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3" i="4"/>
  <c r="K16" i="4"/>
  <c r="N16" i="4" s="1"/>
  <c r="Z18" i="8"/>
  <c r="Z11" i="8"/>
  <c r="K19" i="4"/>
  <c r="M19" i="4" s="1"/>
  <c r="K15" i="4"/>
  <c r="N15" i="4" s="1"/>
  <c r="B6" i="3"/>
  <c r="A2" i="10" s="1"/>
  <c r="N19" i="4"/>
  <c r="M12" i="4"/>
  <c r="K20" i="4"/>
  <c r="B23" i="2"/>
  <c r="K10" i="4"/>
  <c r="G4" i="2"/>
  <c r="G23" i="2" s="1"/>
  <c r="BT228" i="8"/>
  <c r="K227" i="5" s="1"/>
  <c r="BT234" i="8"/>
  <c r="K233" i="5" s="1"/>
  <c r="BT242" i="8"/>
  <c r="K241" i="5" s="1"/>
  <c r="I247" i="5"/>
  <c r="I248" i="5"/>
  <c r="BT244" i="8"/>
  <c r="K243" i="5" s="1"/>
  <c r="BT214" i="8"/>
  <c r="K213" i="5" s="1"/>
  <c r="I208" i="5"/>
  <c r="BT245" i="8"/>
  <c r="K244" i="5" s="1"/>
  <c r="BT236" i="8"/>
  <c r="K235" i="5" s="1"/>
  <c r="I212" i="5"/>
  <c r="I239" i="5"/>
  <c r="I196" i="5"/>
  <c r="BT251" i="8"/>
  <c r="K250" i="5" s="1"/>
  <c r="I231" i="5"/>
  <c r="I197" i="5"/>
  <c r="I230" i="5"/>
  <c r="BT231" i="8"/>
  <c r="K230" i="5" s="1"/>
  <c r="BT229" i="8"/>
  <c r="K228" i="5" s="1"/>
  <c r="I228" i="5"/>
  <c r="BV1509" i="8"/>
  <c r="BV1628" i="8"/>
  <c r="BV1011" i="8"/>
  <c r="BV531" i="8"/>
  <c r="BV82" i="8"/>
  <c r="BV381" i="8"/>
  <c r="BV690" i="8"/>
  <c r="BV989" i="8"/>
  <c r="BV1293" i="8"/>
  <c r="BV1720" i="8"/>
  <c r="BV492" i="8"/>
  <c r="BV298" i="8"/>
  <c r="BV60" i="8"/>
  <c r="BV1527" i="8"/>
  <c r="BV755" i="8"/>
  <c r="BV210" i="8"/>
  <c r="BV818" i="8"/>
  <c r="BV1492" i="8"/>
  <c r="BV1727" i="8"/>
  <c r="BV479" i="8"/>
  <c r="BV1429" i="8"/>
  <c r="BV1606" i="8"/>
  <c r="BV523" i="8"/>
  <c r="BV413" i="8"/>
  <c r="BV1010" i="8"/>
  <c r="BV1733" i="8"/>
  <c r="BV1634" i="8"/>
  <c r="BV1234" i="8"/>
  <c r="BV936" i="8"/>
  <c r="BV637" i="8"/>
  <c r="BV178" i="8"/>
  <c r="BV843" i="8"/>
  <c r="BV1639" i="8"/>
  <c r="BV718" i="8"/>
  <c r="BV1299" i="8"/>
  <c r="BV1139" i="8"/>
  <c r="BV651" i="8"/>
  <c r="BV307" i="8"/>
  <c r="BV306" i="8"/>
  <c r="BV605" i="8"/>
  <c r="BV925" i="8"/>
  <c r="BV1224" i="8"/>
  <c r="BV1605" i="8"/>
  <c r="BV659" i="8"/>
  <c r="BV1296" i="8"/>
  <c r="BV636" i="8"/>
  <c r="BV1027" i="8"/>
  <c r="BV74" i="8"/>
  <c r="BV669" i="8"/>
  <c r="BV1278" i="8"/>
  <c r="BV1126" i="8"/>
  <c r="BV915" i="8"/>
  <c r="BV434" i="8"/>
  <c r="BV268" i="8"/>
  <c r="BV1443" i="8"/>
  <c r="BV715" i="8"/>
  <c r="BV254" i="8"/>
  <c r="BV861" i="8"/>
  <c r="BV1520" i="8"/>
  <c r="BV1790" i="8"/>
  <c r="BV1378" i="8"/>
  <c r="BV1053" i="8"/>
  <c r="BV754" i="8"/>
  <c r="BV328" i="8"/>
  <c r="BV607" i="8"/>
  <c r="BV1798" i="8"/>
  <c r="BV385" i="8"/>
  <c r="I100" i="5"/>
  <c r="H2" i="6" l="1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E6" i="6"/>
  <c r="C2" i="10" s="1"/>
  <c r="AI16" i="8"/>
  <c r="E2" i="6"/>
  <c r="N7" i="4"/>
  <c r="K6" i="4"/>
  <c r="AC8" i="8"/>
  <c r="M6" i="4" s="1"/>
  <c r="M22" i="4"/>
  <c r="M18" i="4"/>
  <c r="J23" i="4"/>
  <c r="M14" i="4"/>
  <c r="M15" i="4"/>
  <c r="M16" i="4"/>
  <c r="AA25" i="8"/>
  <c r="AC5" i="8"/>
  <c r="AC25" i="8" s="1"/>
  <c r="J7" i="4"/>
  <c r="M2" i="4"/>
  <c r="M7" i="4" s="1"/>
  <c r="K17" i="4"/>
  <c r="Z25" i="8"/>
  <c r="K7" i="4"/>
  <c r="M21" i="4"/>
  <c r="D23" i="4"/>
  <c r="N13" i="4"/>
  <c r="M13" i="4"/>
  <c r="N11" i="4"/>
  <c r="M11" i="4"/>
  <c r="M20" i="4"/>
  <c r="N20" i="4"/>
  <c r="N10" i="4"/>
  <c r="K23" i="4"/>
  <c r="M10" i="4"/>
  <c r="AL16" i="8" l="1"/>
  <c r="H6" i="6"/>
  <c r="M17" i="4"/>
  <c r="M23" i="4" s="1"/>
  <c r="N17" i="4"/>
  <c r="N23" i="4" s="1"/>
  <c r="B2" i="10" s="1"/>
  <c r="C31" i="8" l="1"/>
  <c r="C32" i="8" l="1"/>
  <c r="C33" i="8"/>
  <c r="C3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<sst xmlns="http://schemas.openxmlformats.org/spreadsheetml/2006/main" count="1549" uniqueCount="266">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</sst>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3">
          <cell r="G3" t="str">
            <v>Nama CSO</v>
          </cell>
          <cell r="I3" t="str">
            <v>SP ZERO</v>
          </cell>
        </row>
        <row r="4">
          <cell r="G4" t="str">
            <v>Muhamad Parhan</v>
          </cell>
          <cell r="I4">
            <v>0</v>
          </cell>
        </row>
        <row r="5">
          <cell r="G5" t="str">
            <v>Andi Sutiawan</v>
          </cell>
          <cell r="I5">
            <v>0</v>
          </cell>
        </row>
        <row r="6">
          <cell r="G6" t="str">
            <v>M. Enden Abdul Latif</v>
          </cell>
          <cell r="I6">
            <v>0</v>
          </cell>
        </row>
        <row r="7">
          <cell r="G7" t="str">
            <v>Pebrian Sahri Ramdani</v>
          </cell>
          <cell r="I7">
            <v>0</v>
          </cell>
        </row>
        <row r="8">
          <cell r="G8" t="str">
            <v>Muhamad Parhan</v>
          </cell>
          <cell r="I8">
            <v>0</v>
          </cell>
        </row>
        <row r="9">
          <cell r="G9" t="str">
            <v>Muhamad Parhan</v>
          </cell>
          <cell r="I9">
            <v>0</v>
          </cell>
        </row>
        <row r="10">
          <cell r="G10" t="str">
            <v>Muhamad Parhan</v>
          </cell>
          <cell r="I10">
            <v>0</v>
          </cell>
        </row>
        <row r="11">
          <cell r="G11" t="str">
            <v>Andi Sutiawan</v>
          </cell>
          <cell r="I11">
            <v>0</v>
          </cell>
        </row>
        <row r="12">
          <cell r="G12" t="str">
            <v>M. Enden Abdul Latif</v>
          </cell>
          <cell r="I12">
            <v>0</v>
          </cell>
        </row>
        <row r="13">
          <cell r="G13" t="str">
            <v>M. Enden Abdul Latif</v>
          </cell>
          <cell r="I13">
            <v>0</v>
          </cell>
        </row>
        <row r="14">
          <cell r="G14" t="str">
            <v>Pebrian Sahri Ramdani</v>
          </cell>
          <cell r="I14">
            <v>0</v>
          </cell>
        </row>
        <row r="15">
          <cell r="G15" t="str">
            <v>Muhamad Parhan</v>
          </cell>
          <cell r="I15">
            <v>0</v>
          </cell>
        </row>
        <row r="16">
          <cell r="G16" t="str">
            <v>Muhamad Parhan</v>
          </cell>
          <cell r="I16">
            <v>0</v>
          </cell>
        </row>
        <row r="17">
          <cell r="G17" t="str">
            <v>Andi Sutiawan</v>
          </cell>
          <cell r="I17">
            <v>0</v>
          </cell>
        </row>
        <row r="18">
          <cell r="G18" t="str">
            <v>Andi Sutiawan</v>
          </cell>
          <cell r="I18">
            <v>0</v>
          </cell>
        </row>
        <row r="19">
          <cell r="G19" t="str">
            <v>M. Enden Abdul Latif</v>
          </cell>
          <cell r="I19">
            <v>0</v>
          </cell>
        </row>
        <row r="20">
          <cell r="G20" t="str">
            <v>M. Enden Abdul Latif</v>
          </cell>
          <cell r="I20">
            <v>0</v>
          </cell>
        </row>
        <row r="21">
          <cell r="G21" t="str">
            <v>M. Enden Abdul Latif</v>
          </cell>
          <cell r="I21">
            <v>0</v>
          </cell>
        </row>
        <row r="22">
          <cell r="G22" t="str">
            <v>M. Enden Abdul Latif</v>
          </cell>
          <cell r="I22">
            <v>0</v>
          </cell>
        </row>
        <row r="23">
          <cell r="G23" t="str">
            <v>M. Enden Abdul Latif</v>
          </cell>
          <cell r="I23">
            <v>0</v>
          </cell>
        </row>
        <row r="24">
          <cell r="G24" t="str">
            <v>Pebrian Sahri Ramdani</v>
          </cell>
          <cell r="I24">
            <v>0</v>
          </cell>
        </row>
        <row r="25">
          <cell r="G25" t="str">
            <v>Muhamad Parhan</v>
          </cell>
          <cell r="I25">
            <v>0</v>
          </cell>
        </row>
        <row r="26">
          <cell r="G26" t="str">
            <v>Muhamad Parhan</v>
          </cell>
          <cell r="I26">
            <v>0</v>
          </cell>
        </row>
        <row r="27">
          <cell r="G27" t="str">
            <v>Muhamad Parhan</v>
          </cell>
          <cell r="I27">
            <v>0</v>
          </cell>
        </row>
        <row r="28">
          <cell r="G28" t="str">
            <v>Muhamad Parhan</v>
          </cell>
          <cell r="I28">
            <v>0</v>
          </cell>
        </row>
        <row r="29">
          <cell r="G29" t="str">
            <v>Muhamad Parhan</v>
          </cell>
          <cell r="I29">
            <v>0</v>
          </cell>
        </row>
        <row r="30">
          <cell r="G30" t="str">
            <v>Muhamad Parhan</v>
          </cell>
          <cell r="I30">
            <v>0</v>
          </cell>
        </row>
        <row r="31">
          <cell r="G31" t="str">
            <v>Andi Sutiawan</v>
          </cell>
          <cell r="I31">
            <v>0</v>
          </cell>
        </row>
        <row r="32">
          <cell r="G32" t="str">
            <v>Andi Sutiawan</v>
          </cell>
          <cell r="I32">
            <v>0</v>
          </cell>
        </row>
        <row r="33">
          <cell r="G33" t="str">
            <v>Andi Sutiawan</v>
          </cell>
          <cell r="I33">
            <v>0</v>
          </cell>
        </row>
        <row r="34">
          <cell r="G34" t="str">
            <v>Andi Sutiawan</v>
          </cell>
          <cell r="I34">
            <v>0</v>
          </cell>
        </row>
        <row r="35">
          <cell r="G35" t="str">
            <v>M. Enden Abdul Latif</v>
          </cell>
          <cell r="I35">
            <v>0</v>
          </cell>
        </row>
        <row r="36">
          <cell r="G36" t="str">
            <v>M. Enden Abdul Latif</v>
          </cell>
          <cell r="I36">
            <v>0</v>
          </cell>
        </row>
        <row r="37">
          <cell r="G37" t="str">
            <v>M. Enden Abdul Latif</v>
          </cell>
          <cell r="I37">
            <v>0</v>
          </cell>
        </row>
        <row r="38">
          <cell r="G38" t="str">
            <v>M. Enden Abdul Latif</v>
          </cell>
          <cell r="I38">
            <v>0</v>
          </cell>
        </row>
        <row r="39">
          <cell r="G39" t="str">
            <v>M. Enden Abdul Latif</v>
          </cell>
          <cell r="I39">
            <v>0</v>
          </cell>
        </row>
        <row r="40">
          <cell r="G40" t="str">
            <v>Muhamad Parhan</v>
          </cell>
          <cell r="I40">
            <v>0</v>
          </cell>
        </row>
        <row r="41">
          <cell r="G41" t="str">
            <v>Muhamad Parhan</v>
          </cell>
          <cell r="I41">
            <v>0</v>
          </cell>
        </row>
        <row r="42">
          <cell r="G42" t="str">
            <v>Andi Sutiawan</v>
          </cell>
          <cell r="I42">
            <v>0</v>
          </cell>
        </row>
        <row r="43">
          <cell r="G43" t="str">
            <v>Andi Sutiawan</v>
          </cell>
          <cell r="I43">
            <v>0</v>
          </cell>
        </row>
        <row r="44">
          <cell r="G44" t="str">
            <v>Andi Sutiawan</v>
          </cell>
          <cell r="I44">
            <v>0</v>
          </cell>
        </row>
        <row r="45">
          <cell r="G45" t="str">
            <v>M. Enden Abdul Latif</v>
          </cell>
          <cell r="I45">
            <v>0</v>
          </cell>
        </row>
        <row r="46">
          <cell r="G46" t="str">
            <v>M. Enden Abdul Latif</v>
          </cell>
          <cell r="I46">
            <v>0</v>
          </cell>
        </row>
        <row r="47">
          <cell r="G47" t="str">
            <v>M. Enden Abdul Latif</v>
          </cell>
          <cell r="I47">
            <v>0</v>
          </cell>
        </row>
        <row r="48">
          <cell r="G48" t="str">
            <v>M. Enden Abdul Latif</v>
          </cell>
          <cell r="I48">
            <v>0</v>
          </cell>
        </row>
        <row r="49">
          <cell r="G49" t="str">
            <v>M. Enden Abdul Latif</v>
          </cell>
          <cell r="I49">
            <v>0</v>
          </cell>
        </row>
        <row r="50">
          <cell r="G50" t="str">
            <v>Pebrian Sahri Ramdani</v>
          </cell>
          <cell r="I50">
            <v>0</v>
          </cell>
        </row>
        <row r="51">
          <cell r="G51" t="str">
            <v>Pebrian Sahri Ramdani</v>
          </cell>
          <cell r="I51">
            <v>0</v>
          </cell>
        </row>
        <row r="52">
          <cell r="G52" t="str">
            <v>Pebrian Sahri Ramdani</v>
          </cell>
          <cell r="I52">
            <v>0</v>
          </cell>
        </row>
        <row r="53">
          <cell r="G53" t="str">
            <v>Muhamad Parhan</v>
          </cell>
          <cell r="I53">
            <v>0</v>
          </cell>
        </row>
        <row r="54">
          <cell r="G54" t="str">
            <v>Muhamad Parhan</v>
          </cell>
          <cell r="I54">
            <v>0</v>
          </cell>
        </row>
        <row r="55">
          <cell r="G55" t="str">
            <v>Muhamad Parhan</v>
          </cell>
          <cell r="I55">
            <v>0</v>
          </cell>
        </row>
        <row r="56">
          <cell r="G56" t="str">
            <v>Muhamad Parhan</v>
          </cell>
          <cell r="I56">
            <v>0</v>
          </cell>
        </row>
        <row r="57">
          <cell r="G57" t="str">
            <v>Muhamad Parhan</v>
          </cell>
          <cell r="I57">
            <v>0</v>
          </cell>
        </row>
        <row r="58">
          <cell r="G58" t="str">
            <v>Andi Sutiawan</v>
          </cell>
          <cell r="I58">
            <v>0</v>
          </cell>
        </row>
        <row r="59">
          <cell r="G59" t="str">
            <v>Andi Sutiawan</v>
          </cell>
          <cell r="I59">
            <v>0</v>
          </cell>
        </row>
        <row r="60">
          <cell r="G60" t="str">
            <v>Andi Sutiawan</v>
          </cell>
          <cell r="I60">
            <v>0</v>
          </cell>
        </row>
        <row r="61">
          <cell r="G61" t="str">
            <v>Andi Sutiawan</v>
          </cell>
          <cell r="I61">
            <v>0</v>
          </cell>
        </row>
        <row r="62">
          <cell r="G62" t="str">
            <v>Andi Sutiawan</v>
          </cell>
          <cell r="I62">
            <v>0</v>
          </cell>
        </row>
        <row r="63">
          <cell r="G63" t="str">
            <v>Andi Sutiawan</v>
          </cell>
          <cell r="I63">
            <v>0</v>
          </cell>
        </row>
        <row r="64">
          <cell r="G64" t="str">
            <v>Andi Sutiawan</v>
          </cell>
          <cell r="I64">
            <v>0</v>
          </cell>
        </row>
        <row r="65">
          <cell r="G65" t="str">
            <v>Andi Sutiawan</v>
          </cell>
          <cell r="I65">
            <v>0</v>
          </cell>
        </row>
        <row r="66">
          <cell r="G66" t="str">
            <v>Andi Sutiawan</v>
          </cell>
          <cell r="I66">
            <v>0</v>
          </cell>
        </row>
        <row r="67">
          <cell r="G67" t="str">
            <v>Andi Sutiawan</v>
          </cell>
          <cell r="I67">
            <v>0</v>
          </cell>
        </row>
        <row r="68">
          <cell r="G68" t="str">
            <v>M. Enden Abdul Latif</v>
          </cell>
          <cell r="I68">
            <v>0</v>
          </cell>
        </row>
        <row r="69">
          <cell r="G69" t="str">
            <v>M. Enden Abdul Latif</v>
          </cell>
          <cell r="I69">
            <v>0</v>
          </cell>
        </row>
        <row r="70">
          <cell r="G70" t="str">
            <v>M. Enden Abdul Latif</v>
          </cell>
          <cell r="I70">
            <v>0</v>
          </cell>
        </row>
        <row r="71">
          <cell r="G71" t="str">
            <v>Pebrian Sahri Ramdani</v>
          </cell>
          <cell r="I71">
            <v>0</v>
          </cell>
        </row>
        <row r="72">
          <cell r="G72" t="str">
            <v>Pebrian Sahri Ramdani</v>
          </cell>
          <cell r="I72">
            <v>0</v>
          </cell>
        </row>
        <row r="73">
          <cell r="G73" t="str">
            <v>Andi Sutiawan</v>
          </cell>
          <cell r="I73">
            <v>0</v>
          </cell>
        </row>
        <row r="74">
          <cell r="G74" t="str">
            <v>Andi Sutiawan</v>
          </cell>
          <cell r="I74">
            <v>0</v>
          </cell>
        </row>
        <row r="75">
          <cell r="G75" t="str">
            <v>Andi Sutiawan</v>
          </cell>
          <cell r="I75">
            <v>0</v>
          </cell>
        </row>
        <row r="76">
          <cell r="G76" t="str">
            <v>Muhamad Parhan</v>
          </cell>
          <cell r="I76">
            <v>0</v>
          </cell>
        </row>
        <row r="77">
          <cell r="G77" t="str">
            <v>Muhamad Parhan</v>
          </cell>
          <cell r="I77">
            <v>0</v>
          </cell>
        </row>
        <row r="78">
          <cell r="G78" t="str">
            <v>Muhamad Parhan</v>
          </cell>
          <cell r="I78">
            <v>0</v>
          </cell>
        </row>
        <row r="79">
          <cell r="G79" t="str">
            <v>Muhamad Parhan</v>
          </cell>
          <cell r="I79">
            <v>0</v>
          </cell>
        </row>
        <row r="80">
          <cell r="G80" t="str">
            <v>Muhamad Parhan</v>
          </cell>
          <cell r="I80">
            <v>0</v>
          </cell>
        </row>
        <row r="81">
          <cell r="G81" t="str">
            <v>M. Enden Abdul Latif</v>
          </cell>
          <cell r="I81">
            <v>0</v>
          </cell>
        </row>
        <row r="82">
          <cell r="G82" t="str">
            <v>M. Enden Abdul Latif</v>
          </cell>
          <cell r="I82">
            <v>0</v>
          </cell>
        </row>
        <row r="83">
          <cell r="G83" t="str">
            <v>Pebrian Sahri Ramdani</v>
          </cell>
          <cell r="I83">
            <v>0</v>
          </cell>
        </row>
        <row r="84">
          <cell r="G84" t="str">
            <v>Pebrian Sahri Ramdani</v>
          </cell>
          <cell r="I84">
            <v>0</v>
          </cell>
        </row>
        <row r="85">
          <cell r="G85" t="str">
            <v>Muhamad Parhan</v>
          </cell>
          <cell r="I85">
            <v>0</v>
          </cell>
        </row>
        <row r="86">
          <cell r="G86" t="str">
            <v>Andi Sutiawan</v>
          </cell>
          <cell r="I86">
            <v>0</v>
          </cell>
        </row>
        <row r="87">
          <cell r="G87" t="str">
            <v>M. Enden Abdul Latif</v>
          </cell>
          <cell r="I87">
            <v>0</v>
          </cell>
        </row>
        <row r="88">
          <cell r="G88" t="str">
            <v>Pebrian Sahri Ramdani</v>
          </cell>
          <cell r="I88">
            <v>0</v>
          </cell>
        </row>
        <row r="89">
          <cell r="G89" t="str">
            <v>Muhamad Parhan</v>
          </cell>
          <cell r="I89">
            <v>0</v>
          </cell>
        </row>
        <row r="90">
          <cell r="G90" t="str">
            <v>Muhamad Parhan</v>
          </cell>
          <cell r="I90">
            <v>0</v>
          </cell>
        </row>
        <row r="91">
          <cell r="G91" t="str">
            <v>Muhamad Parhan</v>
          </cell>
          <cell r="I91">
            <v>0</v>
          </cell>
        </row>
        <row r="92">
          <cell r="G92" t="str">
            <v>Muhamad Parhan</v>
          </cell>
          <cell r="I92">
            <v>0</v>
          </cell>
        </row>
        <row r="93">
          <cell r="G93" t="str">
            <v>Muhamad Parhan</v>
          </cell>
          <cell r="I93">
            <v>0</v>
          </cell>
        </row>
        <row r="94">
          <cell r="G94" t="str">
            <v>Muhamad Parhan</v>
          </cell>
          <cell r="I94">
            <v>0</v>
          </cell>
        </row>
        <row r="95">
          <cell r="G95" t="str">
            <v>Muhamad Parhan</v>
          </cell>
          <cell r="I95">
            <v>0</v>
          </cell>
        </row>
        <row r="96">
          <cell r="G96" t="str">
            <v>Muhamad Parhan</v>
          </cell>
          <cell r="I96">
            <v>0</v>
          </cell>
        </row>
        <row r="97">
          <cell r="G97" t="str">
            <v>M. Enden Abdul Latif</v>
          </cell>
          <cell r="I97">
            <v>0</v>
          </cell>
        </row>
        <row r="98">
          <cell r="G98" t="str">
            <v>Muhamad Parhan</v>
          </cell>
          <cell r="I98">
            <v>0</v>
          </cell>
        </row>
        <row r="99">
          <cell r="G99" t="str">
            <v>Muhamad Parhan</v>
          </cell>
          <cell r="I99">
            <v>0</v>
          </cell>
        </row>
        <row r="100">
          <cell r="G100" t="str">
            <v>Muhamad Parhan</v>
          </cell>
          <cell r="I100">
            <v>0</v>
          </cell>
        </row>
        <row r="101">
          <cell r="G101" t="str">
            <v>Muhamad Parhan</v>
          </cell>
          <cell r="I101">
            <v>0</v>
          </cell>
        </row>
        <row r="102">
          <cell r="G102" t="str">
            <v>Muhamad Parhan</v>
          </cell>
          <cell r="I102">
            <v>0</v>
          </cell>
        </row>
        <row r="103">
          <cell r="G103" t="str">
            <v>Muhamad Parhan</v>
          </cell>
          <cell r="I103">
            <v>0</v>
          </cell>
        </row>
        <row r="104">
          <cell r="G104" t="str">
            <v>Andi Sutiawan</v>
          </cell>
          <cell r="I104">
            <v>0</v>
          </cell>
        </row>
        <row r="105">
          <cell r="G105" t="str">
            <v>Andi Sutiawan</v>
          </cell>
          <cell r="I105">
            <v>0</v>
          </cell>
        </row>
        <row r="106">
          <cell r="G106" t="str">
            <v>M. Enden Abdul Latif</v>
          </cell>
          <cell r="I106">
            <v>0</v>
          </cell>
        </row>
        <row r="107">
          <cell r="G107" t="str">
            <v>M. Enden Abdul Latif</v>
          </cell>
          <cell r="I107">
            <v>0</v>
          </cell>
        </row>
        <row r="108">
          <cell r="G108" t="str">
            <v>M. Enden Abdul Latif</v>
          </cell>
          <cell r="I108">
            <v>0</v>
          </cell>
        </row>
        <row r="109">
          <cell r="G109" t="str">
            <v>M. Enden Abdul Latif</v>
          </cell>
          <cell r="I109">
            <v>0</v>
          </cell>
        </row>
        <row r="110">
          <cell r="G110" t="str">
            <v>Pebrian Sahri Ramdani</v>
          </cell>
          <cell r="I110">
            <v>0</v>
          </cell>
        </row>
        <row r="111">
          <cell r="G111" t="str">
            <v>Muhamad Parhan</v>
          </cell>
          <cell r="I111">
            <v>0</v>
          </cell>
        </row>
        <row r="112">
          <cell r="G112" t="str">
            <v>Muhamad Parhan</v>
          </cell>
          <cell r="I112">
            <v>0</v>
          </cell>
        </row>
        <row r="113">
          <cell r="G113" t="str">
            <v>Muhamad Parhan</v>
          </cell>
          <cell r="I113">
            <v>0</v>
          </cell>
        </row>
        <row r="114">
          <cell r="G114" t="str">
            <v>Muhamad Parhan</v>
          </cell>
          <cell r="I114">
            <v>0</v>
          </cell>
        </row>
        <row r="115">
          <cell r="G115" t="str">
            <v>Muhamad Parhan</v>
          </cell>
          <cell r="I115">
            <v>0</v>
          </cell>
        </row>
        <row r="116">
          <cell r="G116" t="str">
            <v>Muhamad Parhan</v>
          </cell>
          <cell r="I116">
            <v>0</v>
          </cell>
        </row>
        <row r="117">
          <cell r="G117" t="str">
            <v>Muhamad Parhan</v>
          </cell>
          <cell r="I117">
            <v>0</v>
          </cell>
        </row>
        <row r="118">
          <cell r="G118" t="str">
            <v>M. Enden Abdul Latif</v>
          </cell>
          <cell r="I118">
            <v>0</v>
          </cell>
        </row>
        <row r="119">
          <cell r="G119" t="str">
            <v>Pebrian Sahri Ramdani</v>
          </cell>
          <cell r="I119">
            <v>0</v>
          </cell>
        </row>
        <row r="120">
          <cell r="G120" t="str">
            <v>Muhamad Parhan</v>
          </cell>
          <cell r="I120">
            <v>0</v>
          </cell>
        </row>
        <row r="121">
          <cell r="G121" t="str">
            <v>Muhamad Parhan</v>
          </cell>
          <cell r="I121">
            <v>0</v>
          </cell>
        </row>
        <row r="122">
          <cell r="G122" t="str">
            <v>Andi Sutiawan</v>
          </cell>
          <cell r="I122">
            <v>0</v>
          </cell>
        </row>
        <row r="123">
          <cell r="G123" t="str">
            <v>Pebrian Sahri Ramdani</v>
          </cell>
          <cell r="I123">
            <v>0</v>
          </cell>
        </row>
        <row r="124">
          <cell r="G124" t="str">
            <v>Pebrian Sahri Ramdani</v>
          </cell>
          <cell r="I124">
            <v>0</v>
          </cell>
        </row>
        <row r="125">
          <cell r="G125" t="str">
            <v>Pebrian Sahri Ramdani</v>
          </cell>
          <cell r="I125">
            <v>0</v>
          </cell>
        </row>
        <row r="126">
          <cell r="G126" t="str">
            <v>Pebrian Sahri Ramdani</v>
          </cell>
          <cell r="I126">
            <v>0</v>
          </cell>
        </row>
        <row r="127">
          <cell r="G127" t="str">
            <v>Pebrian Sahri Ramdani</v>
          </cell>
          <cell r="I127">
            <v>0</v>
          </cell>
        </row>
        <row r="128">
          <cell r="G128" t="str">
            <v>Muhamad Parhan</v>
          </cell>
          <cell r="I128">
            <v>0</v>
          </cell>
        </row>
        <row r="129">
          <cell r="G129" t="str">
            <v>Muhamad Parhan</v>
          </cell>
          <cell r="I129">
            <v>0</v>
          </cell>
        </row>
        <row r="130">
          <cell r="G130" t="str">
            <v>M. Enden Abdul Latif</v>
          </cell>
          <cell r="I130">
            <v>0</v>
          </cell>
        </row>
        <row r="131">
          <cell r="G131" t="str">
            <v>M. Enden Abdul Latif</v>
          </cell>
          <cell r="I131">
            <v>0</v>
          </cell>
        </row>
        <row r="132">
          <cell r="G132" t="str">
            <v>Pebrian Sahri Ramdani</v>
          </cell>
          <cell r="I132">
            <v>0</v>
          </cell>
        </row>
        <row r="133">
          <cell r="G133" t="str">
            <v>Pebrian Sahri Ramdani</v>
          </cell>
          <cell r="I133">
            <v>0</v>
          </cell>
        </row>
        <row r="134">
          <cell r="G134" t="str">
            <v>Pebrian Sahri Ramdani</v>
          </cell>
          <cell r="I134">
            <v>0</v>
          </cell>
        </row>
        <row r="135">
          <cell r="G135" t="str">
            <v>Pebrian Sahri Ramdani</v>
          </cell>
          <cell r="I135">
            <v>0</v>
          </cell>
        </row>
        <row r="136">
          <cell r="G136" t="str">
            <v>Pebrian Sahri Ramdani</v>
          </cell>
          <cell r="I136">
            <v>0</v>
          </cell>
        </row>
        <row r="137">
          <cell r="G137" t="str">
            <v>Andi Sutiawan</v>
          </cell>
          <cell r="I137">
            <v>0</v>
          </cell>
        </row>
        <row r="138">
          <cell r="G138" t="str">
            <v>Muhamad Parhan</v>
          </cell>
          <cell r="I138">
            <v>0</v>
          </cell>
        </row>
        <row r="139">
          <cell r="G139" t="str">
            <v>M. Enden Abdul Latif</v>
          </cell>
          <cell r="I139">
            <v>0</v>
          </cell>
        </row>
        <row r="140">
          <cell r="G140" t="str">
            <v>Pebrian Sahri Ramdani</v>
          </cell>
          <cell r="I140">
            <v>0</v>
          </cell>
        </row>
        <row r="141">
          <cell r="G141" t="str">
            <v>Muhamad Parhan</v>
          </cell>
          <cell r="I141">
            <v>0</v>
          </cell>
        </row>
        <row r="142">
          <cell r="G142" t="str">
            <v>M. Enden Abdul Latif</v>
          </cell>
          <cell r="I142">
            <v>0</v>
          </cell>
        </row>
        <row r="143">
          <cell r="G143" t="str">
            <v>M. Enden Abdul Latif</v>
          </cell>
          <cell r="I143">
            <v>0</v>
          </cell>
        </row>
        <row r="144">
          <cell r="G144" t="str">
            <v>Andi Sutiawan</v>
          </cell>
          <cell r="I144">
            <v>0</v>
          </cell>
        </row>
        <row r="145">
          <cell r="G145" t="str">
            <v>Andi Sutiawan</v>
          </cell>
          <cell r="I145">
            <v>0</v>
          </cell>
        </row>
        <row r="146">
          <cell r="G146" t="str">
            <v>Andi Sutiawan</v>
          </cell>
          <cell r="I146">
            <v>0</v>
          </cell>
        </row>
        <row r="147">
          <cell r="G147" t="str">
            <v>Andi Sutiawan</v>
          </cell>
          <cell r="I147">
            <v>0</v>
          </cell>
        </row>
        <row r="148">
          <cell r="G148" t="str">
            <v>Muhamad Parhan</v>
          </cell>
          <cell r="I148">
            <v>0</v>
          </cell>
        </row>
        <row r="149">
          <cell r="G149" t="str">
            <v>Muhamad Parhan</v>
          </cell>
          <cell r="I149">
            <v>0</v>
          </cell>
        </row>
        <row r="150">
          <cell r="G150" t="str">
            <v>Muhamad Parhan</v>
          </cell>
          <cell r="I150">
            <v>0</v>
          </cell>
        </row>
        <row r="151">
          <cell r="G151" t="str">
            <v>Muhamad Parhan</v>
          </cell>
          <cell r="I151">
            <v>0</v>
          </cell>
        </row>
        <row r="152">
          <cell r="G152" t="str">
            <v>Muhamad Parhan</v>
          </cell>
          <cell r="I152">
            <v>0</v>
          </cell>
        </row>
        <row r="153">
          <cell r="G153" t="str">
            <v>Andi Sutiawan</v>
          </cell>
          <cell r="I153">
            <v>0</v>
          </cell>
        </row>
        <row r="154">
          <cell r="G154" t="str">
            <v>Andi Sutiawan</v>
          </cell>
          <cell r="I154">
            <v>0</v>
          </cell>
        </row>
        <row r="155">
          <cell r="G155" t="str">
            <v>Andi Sutiawan</v>
          </cell>
          <cell r="I155">
            <v>0</v>
          </cell>
        </row>
        <row r="156">
          <cell r="G156" t="str">
            <v>Andi Sutiawan</v>
          </cell>
          <cell r="I156">
            <v>0</v>
          </cell>
        </row>
        <row r="157">
          <cell r="G157" t="str">
            <v>Andi Sutiawan</v>
          </cell>
          <cell r="I157">
            <v>0</v>
          </cell>
        </row>
        <row r="158">
          <cell r="G158" t="str">
            <v>M. Enden Abdul Latif</v>
          </cell>
          <cell r="I158">
            <v>0</v>
          </cell>
        </row>
        <row r="159">
          <cell r="G159" t="str">
            <v>M. Enden Abdul Latif</v>
          </cell>
          <cell r="I159">
            <v>0</v>
          </cell>
        </row>
        <row r="160">
          <cell r="G160" t="str">
            <v>M. Enden Abdul Latif</v>
          </cell>
          <cell r="I160">
            <v>0</v>
          </cell>
        </row>
        <row r="161">
          <cell r="G161" t="str">
            <v>M. Enden Abdul Latif</v>
          </cell>
          <cell r="I161">
            <v>0</v>
          </cell>
        </row>
        <row r="162">
          <cell r="G162" t="str">
            <v>M. Enden Abdul Latif</v>
          </cell>
          <cell r="I162">
            <v>0</v>
          </cell>
        </row>
        <row r="163">
          <cell r="G163" t="str">
            <v>M. Enden Abdul Latif</v>
          </cell>
          <cell r="I163">
            <v>0</v>
          </cell>
        </row>
        <row r="164">
          <cell r="G164" t="str">
            <v>M. Enden Abdul Latif</v>
          </cell>
          <cell r="I164">
            <v>0</v>
          </cell>
        </row>
        <row r="165">
          <cell r="G165" t="str">
            <v>M. Enden Abdul Latif</v>
          </cell>
          <cell r="I165">
            <v>0</v>
          </cell>
        </row>
        <row r="166">
          <cell r="G166" t="str">
            <v>M. Enden Abdul Latif</v>
          </cell>
          <cell r="I166">
            <v>0</v>
          </cell>
        </row>
        <row r="167">
          <cell r="G167" t="str">
            <v>M. Enden Abdul Latif</v>
          </cell>
          <cell r="I167">
            <v>0</v>
          </cell>
        </row>
        <row r="168">
          <cell r="G168" t="str">
            <v>M. Enden Abdul Latif</v>
          </cell>
          <cell r="I168">
            <v>0</v>
          </cell>
        </row>
        <row r="169">
          <cell r="G169" t="str">
            <v>Muhamad Parhan</v>
          </cell>
          <cell r="I169">
            <v>0</v>
          </cell>
        </row>
        <row r="170">
          <cell r="G170" t="str">
            <v>Muhamad Parhan</v>
          </cell>
          <cell r="I170">
            <v>0</v>
          </cell>
        </row>
        <row r="171">
          <cell r="G171" t="str">
            <v>Muhamad Parhan</v>
          </cell>
          <cell r="I171">
            <v>0</v>
          </cell>
        </row>
        <row r="172">
          <cell r="G172" t="str">
            <v>Muhamad Parhan</v>
          </cell>
          <cell r="I172">
            <v>0</v>
          </cell>
        </row>
        <row r="173">
          <cell r="G173" t="str">
            <v>Muhamad Parhan</v>
          </cell>
          <cell r="I173">
            <v>0</v>
          </cell>
        </row>
        <row r="174">
          <cell r="G174" t="str">
            <v>Muhamad Parhan</v>
          </cell>
          <cell r="I174">
            <v>0</v>
          </cell>
        </row>
        <row r="175">
          <cell r="G175" t="str">
            <v>Muhamad Parhan</v>
          </cell>
          <cell r="I175">
            <v>0</v>
          </cell>
        </row>
        <row r="176">
          <cell r="G176" t="str">
            <v>Andi Sutiawan</v>
          </cell>
          <cell r="I176">
            <v>0</v>
          </cell>
        </row>
        <row r="177">
          <cell r="G177" t="str">
            <v>Andi Sutiawan</v>
          </cell>
          <cell r="I177">
            <v>0</v>
          </cell>
        </row>
        <row r="178">
          <cell r="G178" t="str">
            <v>Andi Sutiawan</v>
          </cell>
          <cell r="I178">
            <v>0</v>
          </cell>
        </row>
        <row r="179">
          <cell r="G179" t="str">
            <v>Andi Sutiawan</v>
          </cell>
          <cell r="I179">
            <v>0</v>
          </cell>
        </row>
        <row r="180">
          <cell r="G180" t="str">
            <v>Andi Sutiawan</v>
          </cell>
          <cell r="I180">
            <v>0</v>
          </cell>
        </row>
        <row r="181">
          <cell r="G181" t="str">
            <v>Andi Sutiawan</v>
          </cell>
          <cell r="I181">
            <v>0</v>
          </cell>
        </row>
        <row r="182">
          <cell r="G182" t="str">
            <v>Andi Sutiawan</v>
          </cell>
          <cell r="I182">
            <v>0</v>
          </cell>
        </row>
        <row r="183">
          <cell r="G183" t="str">
            <v>Andi Sutiawan</v>
          </cell>
          <cell r="I183">
            <v>0</v>
          </cell>
        </row>
        <row r="184">
          <cell r="G184" t="str">
            <v>Andi Sutiawan</v>
          </cell>
          <cell r="I184">
            <v>0</v>
          </cell>
        </row>
        <row r="185">
          <cell r="G185" t="str">
            <v>Andi Sutiawan</v>
          </cell>
          <cell r="I185">
            <v>0</v>
          </cell>
        </row>
        <row r="186">
          <cell r="G186" t="str">
            <v>M. Enden Abdul Latif</v>
          </cell>
          <cell r="I186">
            <v>0</v>
          </cell>
        </row>
        <row r="187">
          <cell r="G187" t="str">
            <v>M. Enden Abdul Latif</v>
          </cell>
          <cell r="I187">
            <v>0</v>
          </cell>
        </row>
        <row r="188">
          <cell r="G188" t="str">
            <v>M. Enden Abdul Latif</v>
          </cell>
          <cell r="I188">
            <v>0</v>
          </cell>
        </row>
        <row r="189">
          <cell r="G189" t="str">
            <v>M. Enden Abdul Latif</v>
          </cell>
          <cell r="I189">
            <v>0</v>
          </cell>
        </row>
        <row r="190">
          <cell r="G190" t="str">
            <v>Pebrian Sahri Ramdani</v>
          </cell>
          <cell r="I190">
            <v>0</v>
          </cell>
        </row>
        <row r="191">
          <cell r="G191" t="str">
            <v>Pebrian Sahri Ramdani</v>
          </cell>
          <cell r="I191">
            <v>0</v>
          </cell>
        </row>
        <row r="192">
          <cell r="G192" t="str">
            <v>Pebrian Sahri Ramdani</v>
          </cell>
          <cell r="I192">
            <v>0</v>
          </cell>
        </row>
        <row r="193">
          <cell r="G193" t="str">
            <v>Pebrian Sahri Ramdani</v>
          </cell>
          <cell r="I193">
            <v>0</v>
          </cell>
        </row>
        <row r="194">
          <cell r="G194" t="str">
            <v>Andi Sutiawan</v>
          </cell>
          <cell r="I194">
            <v>0</v>
          </cell>
        </row>
        <row r="195">
          <cell r="G195" t="str">
            <v>Andi Sutiawan</v>
          </cell>
          <cell r="I195">
            <v>0</v>
          </cell>
        </row>
        <row r="196">
          <cell r="G196" t="str">
            <v>Muhamad Parhan</v>
          </cell>
          <cell r="I196">
            <v>0</v>
          </cell>
        </row>
        <row r="197">
          <cell r="G197" t="str">
            <v>M. Enden Abdul Latif</v>
          </cell>
          <cell r="I197">
            <v>0</v>
          </cell>
        </row>
        <row r="198">
          <cell r="G198" t="str">
            <v>Pebrian Sahri Ramdani</v>
          </cell>
          <cell r="I198">
            <v>0</v>
          </cell>
        </row>
        <row r="199">
          <cell r="G199" t="str">
            <v>M. Enden Abdul Latif</v>
          </cell>
          <cell r="I199">
            <v>0</v>
          </cell>
        </row>
        <row r="200">
          <cell r="G200" t="str">
            <v>Muhamad Parhan</v>
          </cell>
          <cell r="I200">
            <v>0</v>
          </cell>
        </row>
        <row r="201">
          <cell r="G201" t="str">
            <v>M. Enden Abdul Latif</v>
          </cell>
          <cell r="I201">
            <v>0</v>
          </cell>
        </row>
        <row r="202">
          <cell r="G202" t="str">
            <v>Pebrian Sahri Ramdani</v>
          </cell>
          <cell r="I202">
            <v>0</v>
          </cell>
        </row>
        <row r="203">
          <cell r="G203" t="str">
            <v>Pebrian Sahri Ramdani</v>
          </cell>
          <cell r="I203">
            <v>0</v>
          </cell>
        </row>
        <row r="204">
          <cell r="G204" t="str">
            <v>Muhamad Parhan</v>
          </cell>
          <cell r="I204">
            <v>0</v>
          </cell>
        </row>
        <row r="205">
          <cell r="G205" t="str">
            <v>Andi Sutiawan</v>
          </cell>
          <cell r="I205">
            <v>0</v>
          </cell>
        </row>
        <row r="206">
          <cell r="G206" t="str">
            <v>M. Enden Abdul Latif</v>
          </cell>
          <cell r="I206">
            <v>0</v>
          </cell>
        </row>
        <row r="207">
          <cell r="G207" t="str">
            <v>Muhamad Parhan</v>
          </cell>
          <cell r="I207">
            <v>0</v>
          </cell>
        </row>
        <row r="208">
          <cell r="G208" t="str">
            <v>M. Enden Abdul Latif</v>
          </cell>
          <cell r="I208">
            <v>0</v>
          </cell>
        </row>
        <row r="209">
          <cell r="G209" t="str">
            <v>Pebrian Sahri Ramdani</v>
          </cell>
          <cell r="I209">
            <v>0</v>
          </cell>
        </row>
        <row r="210">
          <cell r="G210" t="str">
            <v>Andi Sutiawan</v>
          </cell>
          <cell r="I210">
            <v>0</v>
          </cell>
        </row>
        <row r="211">
          <cell r="G211" t="str">
            <v>Muhamad Parhan</v>
          </cell>
          <cell r="I211">
            <v>0</v>
          </cell>
        </row>
        <row r="212">
          <cell r="G212" t="str">
            <v>Andi Sutiawan</v>
          </cell>
          <cell r="I212">
            <v>0</v>
          </cell>
        </row>
        <row r="213">
          <cell r="G213" t="str">
            <v>M. Enden Abdul Latif</v>
          </cell>
          <cell r="I213">
            <v>0</v>
          </cell>
        </row>
        <row r="214">
          <cell r="G214" t="str">
            <v>Pebrian Sahri Ramdani</v>
          </cell>
          <cell r="I214">
            <v>0</v>
          </cell>
        </row>
        <row r="215">
          <cell r="I215">
            <v>0</v>
          </cell>
        </row>
        <row r="216">
          <cell r="I216">
            <v>0</v>
          </cell>
        </row>
        <row r="217">
          <cell r="I217">
            <v>0</v>
          </cell>
        </row>
        <row r="218">
          <cell r="I218">
            <v>0</v>
          </cell>
        </row>
        <row r="219">
          <cell r="I219">
            <v>0</v>
          </cell>
        </row>
        <row r="220">
          <cell r="I220">
            <v>0</v>
          </cell>
        </row>
        <row r="221">
          <cell r="I221">
            <v>0</v>
          </cell>
        </row>
        <row r="222">
          <cell r="I222">
            <v>0</v>
          </cell>
        </row>
        <row r="223">
          <cell r="I223">
            <v>0</v>
          </cell>
        </row>
        <row r="224">
          <cell r="I224">
            <v>0</v>
          </cell>
        </row>
        <row r="225">
          <cell r="I225">
            <v>0</v>
          </cell>
        </row>
        <row r="226">
          <cell r="I226">
            <v>0</v>
          </cell>
        </row>
        <row r="227">
          <cell r="I227">
            <v>0</v>
          </cell>
        </row>
        <row r="228">
          <cell r="I228">
            <v>0</v>
          </cell>
        </row>
        <row r="229">
          <cell r="I229">
            <v>0</v>
          </cell>
        </row>
        <row r="230">
          <cell r="I230">
            <v>0</v>
          </cell>
        </row>
        <row r="231">
          <cell r="I231">
            <v>0</v>
          </cell>
        </row>
        <row r="232">
          <cell r="I232">
            <v>0</v>
          </cell>
        </row>
        <row r="233">
          <cell r="I233">
            <v>0</v>
          </cell>
        </row>
        <row r="234">
          <cell r="I234">
            <v>0</v>
          </cell>
        </row>
        <row r="235">
          <cell r="I235">
            <v>0</v>
          </cell>
        </row>
        <row r="236">
          <cell r="I236">
            <v>0</v>
          </cell>
        </row>
        <row r="237">
          <cell r="I237">
            <v>0</v>
          </cell>
        </row>
        <row r="238">
          <cell r="I238">
            <v>0</v>
          </cell>
        </row>
        <row r="239">
          <cell r="I239">
            <v>0</v>
          </cell>
        </row>
        <row r="240">
          <cell r="I240">
            <v>0</v>
          </cell>
        </row>
        <row r="241">
          <cell r="I241">
            <v>0</v>
          </cell>
        </row>
        <row r="242">
          <cell r="I242">
            <v>0</v>
          </cell>
        </row>
        <row r="243">
          <cell r="I243">
            <v>0</v>
          </cell>
        </row>
        <row r="244">
          <cell r="I244">
            <v>0</v>
          </cell>
        </row>
        <row r="245">
          <cell r="I245">
            <v>0</v>
          </cell>
        </row>
        <row r="246">
          <cell r="I246">
            <v>0</v>
          </cell>
        </row>
        <row r="247">
          <cell r="I247">
            <v>0</v>
          </cell>
        </row>
        <row r="248">
          <cell r="I248">
            <v>0</v>
          </cell>
        </row>
        <row r="249">
          <cell r="I249">
            <v>0</v>
          </cell>
        </row>
        <row r="250">
          <cell r="I250">
            <v>0</v>
          </cell>
        </row>
        <row r="251">
          <cell r="I251">
            <v>0</v>
          </cell>
        </row>
        <row r="252">
          <cell r="I252">
            <v>0</v>
          </cell>
        </row>
        <row r="253">
          <cell r="I253">
            <v>0</v>
          </cell>
        </row>
        <row r="254">
          <cell r="I254">
            <v>0</v>
          </cell>
        </row>
        <row r="255">
          <cell r="I255">
            <v>0</v>
          </cell>
        </row>
        <row r="256">
          <cell r="I256">
            <v>0</v>
          </cell>
        </row>
        <row r="257">
          <cell r="I257">
            <v>0</v>
          </cell>
        </row>
        <row r="258">
          <cell r="I258">
            <v>0</v>
          </cell>
        </row>
        <row r="259">
          <cell r="I259">
            <v>0</v>
          </cell>
        </row>
        <row r="260">
          <cell r="I260">
            <v>0</v>
          </cell>
        </row>
        <row r="261">
          <cell r="I261">
            <v>0</v>
          </cell>
        </row>
        <row r="262">
          <cell r="I262">
            <v>0</v>
          </cell>
        </row>
        <row r="263">
          <cell r="I263">
            <v>0</v>
          </cell>
        </row>
        <row r="264">
          <cell r="I264">
            <v>0</v>
          </cell>
        </row>
        <row r="265">
          <cell r="I265">
            <v>0</v>
          </cell>
        </row>
        <row r="266">
          <cell r="I266">
            <v>0</v>
          </cell>
        </row>
        <row r="267">
          <cell r="I267">
            <v>0</v>
          </cell>
        </row>
        <row r="268">
          <cell r="I268">
            <v>0</v>
          </cell>
        </row>
        <row r="269">
          <cell r="I269">
            <v>0</v>
          </cell>
        </row>
        <row r="270">
          <cell r="I270">
            <v>0</v>
          </cell>
        </row>
        <row r="271">
          <cell r="I271">
            <v>0</v>
          </cell>
        </row>
        <row r="272">
          <cell r="I272">
            <v>0</v>
          </cell>
        </row>
        <row r="273">
          <cell r="I273">
            <v>0</v>
          </cell>
        </row>
        <row r="274">
          <cell r="I274">
            <v>0</v>
          </cell>
        </row>
        <row r="275">
          <cell r="I275">
            <v>0</v>
          </cell>
        </row>
        <row r="276">
          <cell r="I276">
            <v>0</v>
          </cell>
        </row>
        <row r="277">
          <cell r="I277">
            <v>0</v>
          </cell>
        </row>
        <row r="278">
          <cell r="I278">
            <v>0</v>
          </cell>
        </row>
        <row r="279">
          <cell r="I279">
            <v>0</v>
          </cell>
        </row>
        <row r="280">
          <cell r="I280">
            <v>0</v>
          </cell>
        </row>
        <row r="281">
          <cell r="I281">
            <v>0</v>
          </cell>
        </row>
        <row r="282">
          <cell r="I282">
            <v>0</v>
          </cell>
        </row>
        <row r="283">
          <cell r="I283">
            <v>0</v>
          </cell>
        </row>
        <row r="284">
          <cell r="I284">
            <v>0</v>
          </cell>
        </row>
        <row r="285">
          <cell r="I285">
            <v>0</v>
          </cell>
        </row>
        <row r="286">
          <cell r="I286">
            <v>0</v>
          </cell>
        </row>
        <row r="287">
          <cell r="I287">
            <v>0</v>
          </cell>
        </row>
        <row r="288">
          <cell r="I288">
            <v>0</v>
          </cell>
        </row>
        <row r="289">
          <cell r="I289">
            <v>0</v>
          </cell>
        </row>
        <row r="290">
          <cell r="I290">
            <v>0</v>
          </cell>
        </row>
        <row r="291">
          <cell r="I291">
            <v>0</v>
          </cell>
        </row>
        <row r="292">
          <cell r="I292">
            <v>0</v>
          </cell>
        </row>
        <row r="293">
          <cell r="I293">
            <v>0</v>
          </cell>
        </row>
        <row r="294">
          <cell r="I294">
            <v>0</v>
          </cell>
        </row>
        <row r="295">
          <cell r="I295">
            <v>0</v>
          </cell>
        </row>
        <row r="296">
          <cell r="I296">
            <v>0</v>
          </cell>
        </row>
        <row r="297">
          <cell r="I297">
            <v>0</v>
          </cell>
        </row>
        <row r="298">
          <cell r="I298">
            <v>0</v>
          </cell>
        </row>
        <row r="299">
          <cell r="I299">
            <v>0</v>
          </cell>
        </row>
        <row r="300">
          <cell r="I300">
            <v>0</v>
          </cell>
        </row>
        <row r="301">
          <cell r="I301">
            <v>0</v>
          </cell>
        </row>
        <row r="302">
          <cell r="I302">
            <v>0</v>
          </cell>
        </row>
        <row r="303">
          <cell r="I303">
            <v>0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0</v>
          </cell>
        </row>
        <row r="308">
          <cell r="I308">
            <v>0</v>
          </cell>
        </row>
        <row r="309">
          <cell r="I309">
            <v>0</v>
          </cell>
        </row>
        <row r="310">
          <cell r="I310">
            <v>0</v>
          </cell>
        </row>
        <row r="311">
          <cell r="I311">
            <v>0</v>
          </cell>
        </row>
        <row r="312">
          <cell r="I312">
            <v>0</v>
          </cell>
        </row>
        <row r="313">
          <cell r="I313">
            <v>0</v>
          </cell>
        </row>
        <row r="314">
          <cell r="I314">
            <v>0</v>
          </cell>
        </row>
        <row r="315">
          <cell r="I315">
            <v>0</v>
          </cell>
        </row>
        <row r="316">
          <cell r="I316">
            <v>0</v>
          </cell>
        </row>
        <row r="317">
          <cell r="I317">
            <v>0</v>
          </cell>
        </row>
        <row r="318">
          <cell r="I318">
            <v>0</v>
          </cell>
        </row>
        <row r="319">
          <cell r="I319">
            <v>0</v>
          </cell>
        </row>
        <row r="320">
          <cell r="I320">
            <v>0</v>
          </cell>
        </row>
        <row r="321">
          <cell r="I321">
            <v>0</v>
          </cell>
        </row>
        <row r="322">
          <cell r="I322">
            <v>0</v>
          </cell>
        </row>
        <row r="323">
          <cell r="I323">
            <v>0</v>
          </cell>
        </row>
        <row r="324">
          <cell r="I324">
            <v>0</v>
          </cell>
        </row>
        <row r="325">
          <cell r="I325">
            <v>0</v>
          </cell>
        </row>
        <row r="326">
          <cell r="I326">
            <v>0</v>
          </cell>
        </row>
        <row r="327">
          <cell r="I327">
            <v>0</v>
          </cell>
        </row>
        <row r="328">
          <cell r="I328">
            <v>0</v>
          </cell>
        </row>
        <row r="329">
          <cell r="I329">
            <v>0</v>
          </cell>
        </row>
        <row r="330">
          <cell r="I330">
            <v>0</v>
          </cell>
        </row>
        <row r="331">
          <cell r="I331">
            <v>0</v>
          </cell>
        </row>
        <row r="332">
          <cell r="I332">
            <v>0</v>
          </cell>
        </row>
        <row r="333">
          <cell r="I333">
            <v>0</v>
          </cell>
        </row>
        <row r="334">
          <cell r="I334">
            <v>0</v>
          </cell>
        </row>
        <row r="335">
          <cell r="I335">
            <v>0</v>
          </cell>
        </row>
        <row r="336">
          <cell r="I336">
            <v>0</v>
          </cell>
        </row>
        <row r="337">
          <cell r="I337">
            <v>0</v>
          </cell>
        </row>
        <row r="338">
          <cell r="I338">
            <v>0</v>
          </cell>
        </row>
        <row r="339">
          <cell r="I339">
            <v>0</v>
          </cell>
        </row>
        <row r="340">
          <cell r="I340">
            <v>0</v>
          </cell>
        </row>
        <row r="341">
          <cell r="I341">
            <v>0</v>
          </cell>
        </row>
        <row r="342">
          <cell r="I342">
            <v>0</v>
          </cell>
        </row>
        <row r="343">
          <cell r="I343">
            <v>0</v>
          </cell>
        </row>
        <row r="344">
          <cell r="I344">
            <v>0</v>
          </cell>
        </row>
        <row r="345">
          <cell r="I345">
            <v>0</v>
          </cell>
        </row>
        <row r="346">
          <cell r="I346">
            <v>0</v>
          </cell>
        </row>
        <row r="347">
          <cell r="I347">
            <v>0</v>
          </cell>
        </row>
        <row r="348">
          <cell r="I348">
            <v>0</v>
          </cell>
        </row>
        <row r="349">
          <cell r="I349">
            <v>0</v>
          </cell>
        </row>
        <row r="350">
          <cell r="I350">
            <v>0</v>
          </cell>
        </row>
        <row r="351">
          <cell r="I351">
            <v>0</v>
          </cell>
        </row>
        <row r="352">
          <cell r="I352">
            <v>0</v>
          </cell>
        </row>
        <row r="353">
          <cell r="I353">
            <v>0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0</v>
          </cell>
        </row>
        <row r="357">
          <cell r="I357">
            <v>0</v>
          </cell>
        </row>
        <row r="358">
          <cell r="I358">
            <v>0</v>
          </cell>
        </row>
        <row r="359">
          <cell r="I359">
            <v>0</v>
          </cell>
        </row>
        <row r="360">
          <cell r="I360">
            <v>0</v>
          </cell>
        </row>
        <row r="361">
          <cell r="I361">
            <v>0</v>
          </cell>
        </row>
        <row r="362">
          <cell r="I362">
            <v>0</v>
          </cell>
        </row>
        <row r="363">
          <cell r="I363">
            <v>0</v>
          </cell>
        </row>
        <row r="364">
          <cell r="I364">
            <v>0</v>
          </cell>
        </row>
        <row r="365">
          <cell r="I365">
            <v>0</v>
          </cell>
        </row>
        <row r="366">
          <cell r="I366">
            <v>0</v>
          </cell>
        </row>
        <row r="367">
          <cell r="I367">
            <v>0</v>
          </cell>
        </row>
        <row r="368">
          <cell r="I368">
            <v>0</v>
          </cell>
        </row>
        <row r="369">
          <cell r="I369">
            <v>0</v>
          </cell>
        </row>
        <row r="370">
          <cell r="I370">
            <v>0</v>
          </cell>
        </row>
        <row r="371">
          <cell r="I371">
            <v>0</v>
          </cell>
        </row>
        <row r="372">
          <cell r="I372">
            <v>0</v>
          </cell>
        </row>
        <row r="373">
          <cell r="I373">
            <v>0</v>
          </cell>
        </row>
        <row r="374">
          <cell r="I374">
            <v>0</v>
          </cell>
        </row>
        <row r="375">
          <cell r="I375">
            <v>0</v>
          </cell>
        </row>
        <row r="376">
          <cell r="I376">
            <v>0</v>
          </cell>
        </row>
        <row r="377">
          <cell r="I377">
            <v>0</v>
          </cell>
        </row>
        <row r="378">
          <cell r="I378">
            <v>0</v>
          </cell>
        </row>
        <row r="379">
          <cell r="I379">
            <v>0</v>
          </cell>
        </row>
        <row r="380">
          <cell r="I380">
            <v>0</v>
          </cell>
        </row>
        <row r="381">
          <cell r="I381">
            <v>0</v>
          </cell>
        </row>
        <row r="382">
          <cell r="I382">
            <v>0</v>
          </cell>
        </row>
        <row r="383">
          <cell r="I383">
            <v>0</v>
          </cell>
        </row>
        <row r="384">
          <cell r="I384">
            <v>0</v>
          </cell>
        </row>
        <row r="385">
          <cell r="I385">
            <v>0</v>
          </cell>
        </row>
        <row r="386">
          <cell r="I386">
            <v>0</v>
          </cell>
        </row>
        <row r="387">
          <cell r="I387">
            <v>0</v>
          </cell>
        </row>
        <row r="388">
          <cell r="I388">
            <v>0</v>
          </cell>
        </row>
        <row r="389">
          <cell r="I389">
            <v>0</v>
          </cell>
        </row>
        <row r="390">
          <cell r="I390">
            <v>0</v>
          </cell>
        </row>
        <row r="391">
          <cell r="I391">
            <v>0</v>
          </cell>
        </row>
        <row r="392">
          <cell r="I392">
            <v>0</v>
          </cell>
        </row>
        <row r="393">
          <cell r="I393">
            <v>0</v>
          </cell>
        </row>
        <row r="394">
          <cell r="I394">
            <v>0</v>
          </cell>
        </row>
        <row r="395">
          <cell r="I395">
            <v>0</v>
          </cell>
        </row>
        <row r="396">
          <cell r="I396">
            <v>0</v>
          </cell>
        </row>
        <row r="397">
          <cell r="I397">
            <v>0</v>
          </cell>
        </row>
        <row r="398">
          <cell r="I398">
            <v>0</v>
          </cell>
        </row>
        <row r="399">
          <cell r="I399">
            <v>0</v>
          </cell>
        </row>
        <row r="400">
          <cell r="I400">
            <v>0</v>
          </cell>
        </row>
        <row r="401">
          <cell r="I401">
            <v>0</v>
          </cell>
        </row>
        <row r="402">
          <cell r="I402">
            <v>0</v>
          </cell>
        </row>
        <row r="403">
          <cell r="I403">
            <v>0</v>
          </cell>
        </row>
        <row r="404">
          <cell r="I404">
            <v>0</v>
          </cell>
        </row>
        <row r="405">
          <cell r="I405">
            <v>0</v>
          </cell>
        </row>
        <row r="406">
          <cell r="I406">
            <v>0</v>
          </cell>
        </row>
        <row r="407">
          <cell r="I407">
            <v>0</v>
          </cell>
        </row>
        <row r="408">
          <cell r="I408">
            <v>0</v>
          </cell>
        </row>
        <row r="409">
          <cell r="I409">
            <v>0</v>
          </cell>
        </row>
        <row r="410">
          <cell r="I410">
            <v>0</v>
          </cell>
        </row>
        <row r="411">
          <cell r="I411">
            <v>0</v>
          </cell>
        </row>
        <row r="412">
          <cell r="I412">
            <v>0</v>
          </cell>
        </row>
        <row r="413">
          <cell r="I413">
            <v>0</v>
          </cell>
        </row>
        <row r="414">
          <cell r="I414">
            <v>0</v>
          </cell>
        </row>
        <row r="415">
          <cell r="I415">
            <v>0</v>
          </cell>
        </row>
        <row r="416">
          <cell r="I416">
            <v>0</v>
          </cell>
        </row>
        <row r="417">
          <cell r="I417">
            <v>0</v>
          </cell>
        </row>
        <row r="418">
          <cell r="I418">
            <v>0</v>
          </cell>
        </row>
        <row r="419">
          <cell r="I419">
            <v>0</v>
          </cell>
        </row>
        <row r="420">
          <cell r="I420">
            <v>0</v>
          </cell>
        </row>
        <row r="421">
          <cell r="I421">
            <v>0</v>
          </cell>
        </row>
        <row r="422">
          <cell r="I422">
            <v>0</v>
          </cell>
        </row>
        <row r="423">
          <cell r="I423">
            <v>0</v>
          </cell>
        </row>
        <row r="424">
          <cell r="I424">
            <v>0</v>
          </cell>
        </row>
        <row r="425">
          <cell r="I425">
            <v>0</v>
          </cell>
        </row>
        <row r="426">
          <cell r="I426">
            <v>0</v>
          </cell>
        </row>
        <row r="427">
          <cell r="I427">
            <v>0</v>
          </cell>
        </row>
        <row r="428">
          <cell r="I428">
            <v>0</v>
          </cell>
        </row>
        <row r="429">
          <cell r="I429">
            <v>0</v>
          </cell>
        </row>
        <row r="430">
          <cell r="I430">
            <v>0</v>
          </cell>
        </row>
        <row r="431">
          <cell r="I431">
            <v>0</v>
          </cell>
        </row>
        <row r="432">
          <cell r="I432">
            <v>0</v>
          </cell>
        </row>
        <row r="433">
          <cell r="I433">
            <v>0</v>
          </cell>
        </row>
        <row r="434">
          <cell r="I434">
            <v>0</v>
          </cell>
        </row>
        <row r="435">
          <cell r="I435">
            <v>0</v>
          </cell>
        </row>
        <row r="436">
          <cell r="I436">
            <v>0</v>
          </cell>
        </row>
        <row r="437">
          <cell r="I437">
            <v>0</v>
          </cell>
        </row>
        <row r="438">
          <cell r="I438">
            <v>0</v>
          </cell>
        </row>
        <row r="439">
          <cell r="I439">
            <v>0</v>
          </cell>
        </row>
        <row r="440">
          <cell r="I440">
            <v>0</v>
          </cell>
        </row>
        <row r="441">
          <cell r="I441">
            <v>0</v>
          </cell>
        </row>
        <row r="442">
          <cell r="I442">
            <v>0</v>
          </cell>
        </row>
        <row r="443">
          <cell r="I443">
            <v>0</v>
          </cell>
        </row>
        <row r="444">
          <cell r="I444">
            <v>0</v>
          </cell>
        </row>
        <row r="445">
          <cell r="I445">
            <v>0</v>
          </cell>
        </row>
        <row r="446">
          <cell r="I446">
            <v>0</v>
          </cell>
        </row>
        <row r="447">
          <cell r="I447">
            <v>0</v>
          </cell>
        </row>
        <row r="448">
          <cell r="I448">
            <v>0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0</v>
          </cell>
        </row>
        <row r="452">
          <cell r="I452">
            <v>0</v>
          </cell>
        </row>
        <row r="453">
          <cell r="I453">
            <v>0</v>
          </cell>
        </row>
        <row r="454">
          <cell r="I454">
            <v>0</v>
          </cell>
        </row>
        <row r="455">
          <cell r="I455">
            <v>0</v>
          </cell>
        </row>
        <row r="456">
          <cell r="I456">
            <v>0</v>
          </cell>
        </row>
        <row r="457">
          <cell r="I457">
            <v>0</v>
          </cell>
        </row>
        <row r="458">
          <cell r="I458">
            <v>0</v>
          </cell>
        </row>
        <row r="459">
          <cell r="I459">
            <v>0</v>
          </cell>
        </row>
        <row r="460">
          <cell r="I460">
            <v>0</v>
          </cell>
        </row>
        <row r="461">
          <cell r="I461">
            <v>0</v>
          </cell>
        </row>
        <row r="462">
          <cell r="I462">
            <v>0</v>
          </cell>
        </row>
        <row r="463">
          <cell r="I463">
            <v>0</v>
          </cell>
        </row>
        <row r="464">
          <cell r="I464">
            <v>0</v>
          </cell>
        </row>
        <row r="465">
          <cell r="I465">
            <v>0</v>
          </cell>
        </row>
        <row r="466">
          <cell r="I466">
            <v>0</v>
          </cell>
        </row>
        <row r="467">
          <cell r="I467">
            <v>0</v>
          </cell>
        </row>
        <row r="468">
          <cell r="I468">
            <v>0</v>
          </cell>
        </row>
        <row r="469">
          <cell r="I469">
            <v>0</v>
          </cell>
        </row>
        <row r="470">
          <cell r="I470">
            <v>0</v>
          </cell>
        </row>
        <row r="471">
          <cell r="I471">
            <v>0</v>
          </cell>
        </row>
        <row r="472">
          <cell r="I472">
            <v>0</v>
          </cell>
        </row>
        <row r="473">
          <cell r="I473">
            <v>0</v>
          </cell>
        </row>
        <row r="474">
          <cell r="I474">
            <v>0</v>
          </cell>
        </row>
        <row r="475">
          <cell r="I475">
            <v>0</v>
          </cell>
        </row>
        <row r="476">
          <cell r="I476">
            <v>0</v>
          </cell>
        </row>
        <row r="477">
          <cell r="I477">
            <v>0</v>
          </cell>
        </row>
        <row r="478">
          <cell r="I478">
            <v>0</v>
          </cell>
        </row>
        <row r="479">
          <cell r="I479">
            <v>0</v>
          </cell>
        </row>
        <row r="480">
          <cell r="I480">
            <v>0</v>
          </cell>
        </row>
        <row r="481">
          <cell r="I481">
            <v>0</v>
          </cell>
        </row>
        <row r="482">
          <cell r="I482">
            <v>0</v>
          </cell>
        </row>
        <row r="483">
          <cell r="I483">
            <v>0</v>
          </cell>
        </row>
        <row r="484">
          <cell r="I484">
            <v>0</v>
          </cell>
        </row>
        <row r="485">
          <cell r="I485">
            <v>0</v>
          </cell>
        </row>
        <row r="486">
          <cell r="I486">
            <v>0</v>
          </cell>
        </row>
        <row r="487">
          <cell r="I487">
            <v>0</v>
          </cell>
        </row>
        <row r="488">
          <cell r="I488">
            <v>0</v>
          </cell>
        </row>
        <row r="489">
          <cell r="I489">
            <v>0</v>
          </cell>
        </row>
        <row r="490">
          <cell r="I490">
            <v>0</v>
          </cell>
        </row>
        <row r="491">
          <cell r="I491">
            <v>0</v>
          </cell>
        </row>
        <row r="492">
          <cell r="I492">
            <v>0</v>
          </cell>
        </row>
        <row r="493">
          <cell r="I493">
            <v>0</v>
          </cell>
        </row>
        <row r="494">
          <cell r="I494">
            <v>0</v>
          </cell>
        </row>
        <row r="495">
          <cell r="I495">
            <v>0</v>
          </cell>
        </row>
        <row r="496">
          <cell r="I496">
            <v>0</v>
          </cell>
        </row>
        <row r="497">
          <cell r="I497">
            <v>0</v>
          </cell>
        </row>
        <row r="498">
          <cell r="I498">
            <v>0</v>
          </cell>
        </row>
        <row r="499">
          <cell r="I499">
            <v>0</v>
          </cell>
        </row>
        <row r="500">
          <cell r="I500">
            <v>0</v>
          </cell>
        </row>
        <row r="501">
          <cell r="I501">
            <v>0</v>
          </cell>
        </row>
        <row r="502">
          <cell r="I502">
            <v>0</v>
          </cell>
        </row>
        <row r="503">
          <cell r="I503">
            <v>0</v>
          </cell>
        </row>
        <row r="504">
          <cell r="I504">
            <v>0</v>
          </cell>
        </row>
        <row r="505">
          <cell r="I505">
            <v>0</v>
          </cell>
        </row>
        <row r="506">
          <cell r="I506">
            <v>0</v>
          </cell>
        </row>
        <row r="507">
          <cell r="I507">
            <v>0</v>
          </cell>
        </row>
        <row r="508">
          <cell r="I508">
            <v>0</v>
          </cell>
        </row>
        <row r="509">
          <cell r="I509">
            <v>0</v>
          </cell>
        </row>
        <row r="510">
          <cell r="I510">
            <v>0</v>
          </cell>
        </row>
        <row r="511">
          <cell r="I511">
            <v>0</v>
          </cell>
        </row>
        <row r="512">
          <cell r="I512">
            <v>0</v>
          </cell>
        </row>
        <row r="513">
          <cell r="I513">
            <v>0</v>
          </cell>
        </row>
        <row r="514">
          <cell r="I514">
            <v>0</v>
          </cell>
        </row>
        <row r="515">
          <cell r="I515">
            <v>0</v>
          </cell>
        </row>
        <row r="516">
          <cell r="I516">
            <v>0</v>
          </cell>
        </row>
        <row r="517">
          <cell r="I517">
            <v>0</v>
          </cell>
        </row>
        <row r="518">
          <cell r="I518">
            <v>0</v>
          </cell>
        </row>
        <row r="519">
          <cell r="I519">
            <v>0</v>
          </cell>
        </row>
        <row r="520">
          <cell r="I520">
            <v>0</v>
          </cell>
        </row>
        <row r="521">
          <cell r="I521">
            <v>0</v>
          </cell>
        </row>
        <row r="522">
          <cell r="I522">
            <v>0</v>
          </cell>
        </row>
        <row r="523">
          <cell r="I523">
            <v>0</v>
          </cell>
        </row>
        <row r="524">
          <cell r="I524">
            <v>0</v>
          </cell>
        </row>
        <row r="525">
          <cell r="I525">
            <v>0</v>
          </cell>
        </row>
        <row r="526">
          <cell r="I526">
            <v>0</v>
          </cell>
        </row>
        <row r="527">
          <cell r="I527">
            <v>0</v>
          </cell>
        </row>
        <row r="528">
          <cell r="I528">
            <v>0</v>
          </cell>
        </row>
        <row r="529">
          <cell r="I529">
            <v>0</v>
          </cell>
        </row>
        <row r="530">
          <cell r="I530">
            <v>0</v>
          </cell>
        </row>
        <row r="531">
          <cell r="I531">
            <v>0</v>
          </cell>
        </row>
        <row r="532">
          <cell r="I532">
            <v>0</v>
          </cell>
        </row>
        <row r="533">
          <cell r="I533">
            <v>0</v>
          </cell>
        </row>
        <row r="534">
          <cell r="I534">
            <v>0</v>
          </cell>
        </row>
        <row r="535">
          <cell r="I535">
            <v>0</v>
          </cell>
        </row>
        <row r="536">
          <cell r="I536">
            <v>0</v>
          </cell>
        </row>
        <row r="537">
          <cell r="I537">
            <v>0</v>
          </cell>
        </row>
        <row r="538">
          <cell r="I538">
            <v>0</v>
          </cell>
        </row>
        <row r="539">
          <cell r="I539">
            <v>0</v>
          </cell>
        </row>
        <row r="540">
          <cell r="I540">
            <v>0</v>
          </cell>
        </row>
        <row r="541">
          <cell r="I541">
            <v>0</v>
          </cell>
        </row>
        <row r="542">
          <cell r="I542">
            <v>0</v>
          </cell>
        </row>
        <row r="543">
          <cell r="I543">
            <v>0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0</v>
          </cell>
        </row>
        <row r="547">
          <cell r="I547">
            <v>0</v>
          </cell>
        </row>
        <row r="548">
          <cell r="I548">
            <v>0</v>
          </cell>
        </row>
        <row r="549">
          <cell r="I549">
            <v>0</v>
          </cell>
        </row>
        <row r="550">
          <cell r="I550">
            <v>0</v>
          </cell>
        </row>
        <row r="551">
          <cell r="I551">
            <v>0</v>
          </cell>
        </row>
        <row r="552">
          <cell r="I552">
            <v>0</v>
          </cell>
        </row>
        <row r="553">
          <cell r="I553">
            <v>0</v>
          </cell>
        </row>
        <row r="554">
          <cell r="I554">
            <v>0</v>
          </cell>
        </row>
        <row r="555">
          <cell r="I555">
            <v>0</v>
          </cell>
        </row>
        <row r="556">
          <cell r="I556">
            <v>0</v>
          </cell>
        </row>
        <row r="557">
          <cell r="I557">
            <v>0</v>
          </cell>
        </row>
        <row r="558">
          <cell r="I558">
            <v>0</v>
          </cell>
        </row>
        <row r="559">
          <cell r="I559">
            <v>0</v>
          </cell>
        </row>
        <row r="560">
          <cell r="I560">
            <v>0</v>
          </cell>
        </row>
        <row r="561">
          <cell r="I561">
            <v>0</v>
          </cell>
        </row>
        <row r="562">
          <cell r="I562">
            <v>0</v>
          </cell>
        </row>
        <row r="563">
          <cell r="I563">
            <v>0</v>
          </cell>
        </row>
        <row r="564">
          <cell r="I564">
            <v>0</v>
          </cell>
        </row>
        <row r="565">
          <cell r="I565">
            <v>0</v>
          </cell>
        </row>
        <row r="566">
          <cell r="I566">
            <v>0</v>
          </cell>
        </row>
        <row r="567">
          <cell r="I567">
            <v>0</v>
          </cell>
        </row>
        <row r="568">
          <cell r="I568">
            <v>0</v>
          </cell>
        </row>
        <row r="569">
          <cell r="I569">
            <v>0</v>
          </cell>
        </row>
        <row r="570">
          <cell r="I570">
            <v>0</v>
          </cell>
        </row>
        <row r="571">
          <cell r="I571">
            <v>0</v>
          </cell>
        </row>
        <row r="572">
          <cell r="I572">
            <v>0</v>
          </cell>
        </row>
        <row r="573">
          <cell r="I573">
            <v>0</v>
          </cell>
        </row>
        <row r="574">
          <cell r="I574">
            <v>0</v>
          </cell>
        </row>
        <row r="575">
          <cell r="I575">
            <v>0</v>
          </cell>
        </row>
        <row r="576">
          <cell r="I576">
            <v>0</v>
          </cell>
        </row>
        <row r="577">
          <cell r="I577">
            <v>0</v>
          </cell>
        </row>
        <row r="578">
          <cell r="I578">
            <v>0</v>
          </cell>
        </row>
        <row r="579">
          <cell r="I579">
            <v>0</v>
          </cell>
        </row>
        <row r="580">
          <cell r="I580">
            <v>0</v>
          </cell>
        </row>
        <row r="581">
          <cell r="I581">
            <v>0</v>
          </cell>
        </row>
        <row r="582">
          <cell r="I582">
            <v>0</v>
          </cell>
        </row>
        <row r="583">
          <cell r="I583">
            <v>0</v>
          </cell>
        </row>
        <row r="584">
          <cell r="I584">
            <v>0</v>
          </cell>
        </row>
        <row r="585">
          <cell r="I585">
            <v>0</v>
          </cell>
        </row>
        <row r="586">
          <cell r="I586">
            <v>0</v>
          </cell>
        </row>
        <row r="587">
          <cell r="I587">
            <v>0</v>
          </cell>
        </row>
        <row r="588">
          <cell r="I588">
            <v>0</v>
          </cell>
        </row>
        <row r="589">
          <cell r="I589">
            <v>0</v>
          </cell>
        </row>
        <row r="590">
          <cell r="I590">
            <v>0</v>
          </cell>
        </row>
        <row r="591">
          <cell r="I591">
            <v>0</v>
          </cell>
        </row>
        <row r="592">
          <cell r="I592">
            <v>0</v>
          </cell>
        </row>
        <row r="593">
          <cell r="I593">
            <v>0</v>
          </cell>
        </row>
        <row r="594">
          <cell r="I594">
            <v>0</v>
          </cell>
        </row>
        <row r="595">
          <cell r="I595">
            <v>0</v>
          </cell>
        </row>
        <row r="596">
          <cell r="I596">
            <v>0</v>
          </cell>
        </row>
        <row r="597">
          <cell r="I597">
            <v>0</v>
          </cell>
        </row>
        <row r="598">
          <cell r="I598">
            <v>0</v>
          </cell>
        </row>
        <row r="599">
          <cell r="I599">
            <v>0</v>
          </cell>
        </row>
        <row r="600">
          <cell r="I600">
            <v>0</v>
          </cell>
        </row>
        <row r="601">
          <cell r="I601">
            <v>0</v>
          </cell>
        </row>
        <row r="602">
          <cell r="I602">
            <v>0</v>
          </cell>
        </row>
        <row r="603">
          <cell r="I603">
            <v>0</v>
          </cell>
        </row>
        <row r="604">
          <cell r="I604">
            <v>0</v>
          </cell>
        </row>
        <row r="605">
          <cell r="I605">
            <v>0</v>
          </cell>
        </row>
        <row r="606">
          <cell r="I606">
            <v>0</v>
          </cell>
        </row>
        <row r="607">
          <cell r="I607">
            <v>0</v>
          </cell>
        </row>
        <row r="608">
          <cell r="I608">
            <v>0</v>
          </cell>
        </row>
        <row r="609">
          <cell r="I609">
            <v>0</v>
          </cell>
        </row>
        <row r="610">
          <cell r="I610">
            <v>0</v>
          </cell>
        </row>
        <row r="611">
          <cell r="I611">
            <v>0</v>
          </cell>
        </row>
        <row r="612">
          <cell r="I612">
            <v>0</v>
          </cell>
        </row>
        <row r="613">
          <cell r="I613">
            <v>0</v>
          </cell>
        </row>
        <row r="614">
          <cell r="I614">
            <v>0</v>
          </cell>
        </row>
        <row r="615">
          <cell r="I615">
            <v>0</v>
          </cell>
        </row>
        <row r="616">
          <cell r="I616">
            <v>0</v>
          </cell>
        </row>
        <row r="617">
          <cell r="I617">
            <v>0</v>
          </cell>
        </row>
        <row r="618">
          <cell r="I618">
            <v>0</v>
          </cell>
        </row>
        <row r="619">
          <cell r="I619">
            <v>0</v>
          </cell>
        </row>
        <row r="620">
          <cell r="I620">
            <v>0</v>
          </cell>
        </row>
        <row r="621">
          <cell r="I621">
            <v>0</v>
          </cell>
        </row>
        <row r="622">
          <cell r="I622">
            <v>0</v>
          </cell>
        </row>
        <row r="623">
          <cell r="I623">
            <v>0</v>
          </cell>
        </row>
        <row r="624">
          <cell r="I624">
            <v>0</v>
          </cell>
        </row>
        <row r="625">
          <cell r="I625">
            <v>0</v>
          </cell>
        </row>
        <row r="626">
          <cell r="I626">
            <v>0</v>
          </cell>
        </row>
        <row r="627">
          <cell r="I627">
            <v>0</v>
          </cell>
        </row>
        <row r="628">
          <cell r="I628">
            <v>0</v>
          </cell>
        </row>
        <row r="629">
          <cell r="I629">
            <v>0</v>
          </cell>
        </row>
        <row r="630">
          <cell r="I630">
            <v>0</v>
          </cell>
        </row>
        <row r="631">
          <cell r="I631">
            <v>0</v>
          </cell>
        </row>
        <row r="632">
          <cell r="I632">
            <v>0</v>
          </cell>
        </row>
        <row r="633">
          <cell r="I633">
            <v>0</v>
          </cell>
        </row>
        <row r="634">
          <cell r="I634">
            <v>0</v>
          </cell>
        </row>
        <row r="635">
          <cell r="I635">
            <v>0</v>
          </cell>
        </row>
        <row r="636">
          <cell r="I636">
            <v>0</v>
          </cell>
        </row>
        <row r="637">
          <cell r="I637">
            <v>0</v>
          </cell>
        </row>
        <row r="638">
          <cell r="I638">
            <v>0</v>
          </cell>
        </row>
        <row r="639">
          <cell r="I639">
            <v>0</v>
          </cell>
        </row>
        <row r="640">
          <cell r="I640">
            <v>0</v>
          </cell>
        </row>
        <row r="641">
          <cell r="I641">
            <v>0</v>
          </cell>
        </row>
        <row r="642">
          <cell r="I642">
            <v>0</v>
          </cell>
        </row>
        <row r="643">
          <cell r="I643">
            <v>0</v>
          </cell>
        </row>
        <row r="644">
          <cell r="I644">
            <v>0</v>
          </cell>
        </row>
        <row r="645">
          <cell r="I645">
            <v>0</v>
          </cell>
        </row>
        <row r="646">
          <cell r="I646">
            <v>0</v>
          </cell>
        </row>
        <row r="647">
          <cell r="I647">
            <v>0</v>
          </cell>
        </row>
        <row r="648">
          <cell r="I648">
            <v>0</v>
          </cell>
        </row>
        <row r="649">
          <cell r="I649">
            <v>0</v>
          </cell>
        </row>
        <row r="650">
          <cell r="I650">
            <v>0</v>
          </cell>
        </row>
        <row r="651">
          <cell r="I651">
            <v>0</v>
          </cell>
        </row>
        <row r="652">
          <cell r="I652">
            <v>0</v>
          </cell>
        </row>
        <row r="653">
          <cell r="I653">
            <v>0</v>
          </cell>
        </row>
        <row r="654">
          <cell r="I654">
            <v>0</v>
          </cell>
        </row>
        <row r="655">
          <cell r="I655">
            <v>0</v>
          </cell>
        </row>
        <row r="656">
          <cell r="I656">
            <v>0</v>
          </cell>
        </row>
        <row r="657">
          <cell r="I657">
            <v>0</v>
          </cell>
        </row>
        <row r="658">
          <cell r="I658">
            <v>0</v>
          </cell>
        </row>
        <row r="659">
          <cell r="I659">
            <v>0</v>
          </cell>
        </row>
        <row r="660">
          <cell r="I660">
            <v>0</v>
          </cell>
        </row>
        <row r="661">
          <cell r="I661">
            <v>0</v>
          </cell>
        </row>
        <row r="662">
          <cell r="I662">
            <v>0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0</v>
          </cell>
        </row>
        <row r="669">
          <cell r="I669">
            <v>0</v>
          </cell>
        </row>
        <row r="670">
          <cell r="I670">
            <v>0</v>
          </cell>
        </row>
        <row r="671">
          <cell r="I671">
            <v>0</v>
          </cell>
        </row>
        <row r="672">
          <cell r="I672">
            <v>0</v>
          </cell>
        </row>
        <row r="673">
          <cell r="I673">
            <v>0</v>
          </cell>
        </row>
        <row r="674">
          <cell r="I674">
            <v>0</v>
          </cell>
        </row>
        <row r="675">
          <cell r="I675">
            <v>0</v>
          </cell>
        </row>
        <row r="676">
          <cell r="I676">
            <v>0</v>
          </cell>
        </row>
        <row r="677">
          <cell r="I677">
            <v>0</v>
          </cell>
        </row>
        <row r="678">
          <cell r="I678">
            <v>0</v>
          </cell>
        </row>
        <row r="679">
          <cell r="I679">
            <v>0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0</v>
          </cell>
        </row>
        <row r="684">
          <cell r="I684">
            <v>0</v>
          </cell>
        </row>
        <row r="685">
          <cell r="I685">
            <v>0</v>
          </cell>
        </row>
        <row r="686">
          <cell r="I686">
            <v>0</v>
          </cell>
        </row>
        <row r="687">
          <cell r="I687">
            <v>0</v>
          </cell>
        </row>
        <row r="688">
          <cell r="I688">
            <v>0</v>
          </cell>
        </row>
        <row r="689">
          <cell r="I689">
            <v>0</v>
          </cell>
        </row>
        <row r="690">
          <cell r="I690">
            <v>0</v>
          </cell>
        </row>
        <row r="691">
          <cell r="I691">
            <v>0</v>
          </cell>
        </row>
        <row r="692">
          <cell r="I692">
            <v>0</v>
          </cell>
        </row>
        <row r="693">
          <cell r="I693">
            <v>0</v>
          </cell>
        </row>
        <row r="694">
          <cell r="I694">
            <v>0</v>
          </cell>
        </row>
        <row r="695">
          <cell r="I695">
            <v>0</v>
          </cell>
        </row>
        <row r="696">
          <cell r="I696">
            <v>0</v>
          </cell>
        </row>
        <row r="697">
          <cell r="I697">
            <v>0</v>
          </cell>
        </row>
        <row r="698">
          <cell r="I698">
            <v>0</v>
          </cell>
        </row>
        <row r="699">
          <cell r="I699">
            <v>0</v>
          </cell>
        </row>
        <row r="700">
          <cell r="I700">
            <v>0</v>
          </cell>
        </row>
        <row r="701">
          <cell r="I701">
            <v>0</v>
          </cell>
        </row>
        <row r="702">
          <cell r="I702">
            <v>0</v>
          </cell>
        </row>
        <row r="703">
          <cell r="I703">
            <v>0</v>
          </cell>
        </row>
        <row r="704">
          <cell r="I704">
            <v>0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0</v>
          </cell>
        </row>
        <row r="708">
          <cell r="I708">
            <v>0</v>
          </cell>
        </row>
        <row r="709">
          <cell r="I709">
            <v>0</v>
          </cell>
        </row>
        <row r="710">
          <cell r="I710">
            <v>0</v>
          </cell>
        </row>
        <row r="711">
          <cell r="I711">
            <v>0</v>
          </cell>
        </row>
        <row r="712">
          <cell r="I712">
            <v>0</v>
          </cell>
        </row>
        <row r="713">
          <cell r="I713">
            <v>0</v>
          </cell>
        </row>
        <row r="714">
          <cell r="I714">
            <v>0</v>
          </cell>
        </row>
        <row r="715">
          <cell r="I715">
            <v>0</v>
          </cell>
        </row>
        <row r="716">
          <cell r="I716">
            <v>0</v>
          </cell>
        </row>
        <row r="717">
          <cell r="I717">
            <v>0</v>
          </cell>
        </row>
        <row r="718">
          <cell r="I718">
            <v>0</v>
          </cell>
        </row>
        <row r="719">
          <cell r="I719">
            <v>0</v>
          </cell>
        </row>
        <row r="720">
          <cell r="I720">
            <v>0</v>
          </cell>
        </row>
        <row r="721">
          <cell r="I721">
            <v>0</v>
          </cell>
        </row>
        <row r="722">
          <cell r="I722">
            <v>0</v>
          </cell>
        </row>
        <row r="723">
          <cell r="I723">
            <v>0</v>
          </cell>
        </row>
        <row r="724">
          <cell r="I724">
            <v>0</v>
          </cell>
        </row>
        <row r="725">
          <cell r="I725">
            <v>0</v>
          </cell>
        </row>
        <row r="726">
          <cell r="I726">
            <v>0</v>
          </cell>
        </row>
        <row r="727">
          <cell r="I727">
            <v>0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0</v>
          </cell>
        </row>
        <row r="731">
          <cell r="I731">
            <v>0</v>
          </cell>
        </row>
        <row r="732">
          <cell r="I732">
            <v>0</v>
          </cell>
        </row>
        <row r="733">
          <cell r="I733">
            <v>0</v>
          </cell>
        </row>
        <row r="734">
          <cell r="I734">
            <v>0</v>
          </cell>
        </row>
        <row r="735">
          <cell r="I735">
            <v>0</v>
          </cell>
        </row>
        <row r="736">
          <cell r="I736">
            <v>0</v>
          </cell>
        </row>
        <row r="737">
          <cell r="I737">
            <v>0</v>
          </cell>
        </row>
        <row r="738">
          <cell r="I738">
            <v>0</v>
          </cell>
        </row>
        <row r="739">
          <cell r="I739">
            <v>0</v>
          </cell>
        </row>
        <row r="740">
          <cell r="I740">
            <v>0</v>
          </cell>
        </row>
        <row r="741">
          <cell r="I741">
            <v>0</v>
          </cell>
        </row>
        <row r="742">
          <cell r="I742">
            <v>0</v>
          </cell>
        </row>
        <row r="743">
          <cell r="I743">
            <v>0</v>
          </cell>
        </row>
        <row r="744">
          <cell r="I744">
            <v>0</v>
          </cell>
        </row>
        <row r="745">
          <cell r="I745">
            <v>0</v>
          </cell>
        </row>
        <row r="746">
          <cell r="I746">
            <v>0</v>
          </cell>
        </row>
        <row r="747">
          <cell r="I747">
            <v>0</v>
          </cell>
        </row>
        <row r="748">
          <cell r="I748">
            <v>0</v>
          </cell>
        </row>
        <row r="749">
          <cell r="I749">
            <v>0</v>
          </cell>
        </row>
        <row r="750">
          <cell r="I750">
            <v>0</v>
          </cell>
        </row>
        <row r="751">
          <cell r="I751">
            <v>0</v>
          </cell>
        </row>
        <row r="752">
          <cell r="I752">
            <v>0</v>
          </cell>
        </row>
        <row r="753">
          <cell r="I753">
            <v>0</v>
          </cell>
        </row>
        <row r="754">
          <cell r="I754">
            <v>0</v>
          </cell>
        </row>
        <row r="755">
          <cell r="I755">
            <v>0</v>
          </cell>
        </row>
        <row r="756">
          <cell r="I756">
            <v>0</v>
          </cell>
        </row>
        <row r="757">
          <cell r="I757">
            <v>0</v>
          </cell>
        </row>
        <row r="758">
          <cell r="I758">
            <v>0</v>
          </cell>
        </row>
        <row r="759">
          <cell r="I759">
            <v>0</v>
          </cell>
        </row>
        <row r="760">
          <cell r="I760">
            <v>0</v>
          </cell>
        </row>
        <row r="761">
          <cell r="I761">
            <v>0</v>
          </cell>
        </row>
        <row r="762">
          <cell r="I762">
            <v>0</v>
          </cell>
        </row>
        <row r="763">
          <cell r="I763">
            <v>0</v>
          </cell>
        </row>
        <row r="764">
          <cell r="I764">
            <v>0</v>
          </cell>
        </row>
        <row r="765">
          <cell r="I765">
            <v>0</v>
          </cell>
        </row>
        <row r="766">
          <cell r="I766">
            <v>0</v>
          </cell>
        </row>
        <row r="767">
          <cell r="I767">
            <v>0</v>
          </cell>
        </row>
        <row r="768">
          <cell r="I768">
            <v>0</v>
          </cell>
        </row>
        <row r="769">
          <cell r="I769">
            <v>0</v>
          </cell>
        </row>
        <row r="770">
          <cell r="I770">
            <v>0</v>
          </cell>
        </row>
        <row r="771">
          <cell r="I771">
            <v>0</v>
          </cell>
        </row>
        <row r="772">
          <cell r="I772">
            <v>0</v>
          </cell>
        </row>
        <row r="773">
          <cell r="I773">
            <v>0</v>
          </cell>
        </row>
        <row r="774">
          <cell r="I774">
            <v>0</v>
          </cell>
        </row>
        <row r="775">
          <cell r="I775">
            <v>0</v>
          </cell>
        </row>
        <row r="776">
          <cell r="I776">
            <v>0</v>
          </cell>
        </row>
        <row r="777">
          <cell r="I777">
            <v>0</v>
          </cell>
        </row>
        <row r="778">
          <cell r="I778">
            <v>0</v>
          </cell>
        </row>
        <row r="779">
          <cell r="I779">
            <v>0</v>
          </cell>
        </row>
        <row r="780">
          <cell r="I780">
            <v>0</v>
          </cell>
        </row>
        <row r="781">
          <cell r="I781">
            <v>0</v>
          </cell>
        </row>
        <row r="782">
          <cell r="I782">
            <v>0</v>
          </cell>
        </row>
        <row r="783">
          <cell r="I783">
            <v>0</v>
          </cell>
        </row>
        <row r="784">
          <cell r="I784">
            <v>0</v>
          </cell>
        </row>
        <row r="785">
          <cell r="I785">
            <v>0</v>
          </cell>
        </row>
        <row r="786">
          <cell r="I786">
            <v>0</v>
          </cell>
        </row>
        <row r="787">
          <cell r="I787">
            <v>0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0</v>
          </cell>
        </row>
        <row r="793">
          <cell r="I793">
            <v>0</v>
          </cell>
        </row>
        <row r="794">
          <cell r="I794">
            <v>0</v>
          </cell>
        </row>
        <row r="795">
          <cell r="I795">
            <v>0</v>
          </cell>
        </row>
        <row r="796">
          <cell r="I796">
            <v>0</v>
          </cell>
        </row>
        <row r="797">
          <cell r="I797">
            <v>0</v>
          </cell>
        </row>
        <row r="798">
          <cell r="I798">
            <v>0</v>
          </cell>
        </row>
        <row r="799">
          <cell r="I799">
            <v>0</v>
          </cell>
        </row>
        <row r="800">
          <cell r="I800">
            <v>0</v>
          </cell>
        </row>
        <row r="801">
          <cell r="I801">
            <v>0</v>
          </cell>
        </row>
        <row r="802">
          <cell r="I802">
            <v>0</v>
          </cell>
        </row>
        <row r="803">
          <cell r="I803">
            <v>0</v>
          </cell>
        </row>
        <row r="804">
          <cell r="I804">
            <v>0</v>
          </cell>
        </row>
        <row r="805">
          <cell r="I805">
            <v>0</v>
          </cell>
        </row>
        <row r="806">
          <cell r="I806">
            <v>0</v>
          </cell>
        </row>
        <row r="807">
          <cell r="I807">
            <v>0</v>
          </cell>
        </row>
        <row r="808">
          <cell r="I808">
            <v>0</v>
          </cell>
        </row>
        <row r="809">
          <cell r="I809">
            <v>0</v>
          </cell>
        </row>
        <row r="810">
          <cell r="I810">
            <v>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0</v>
          </cell>
        </row>
        <row r="816">
          <cell r="I816">
            <v>0</v>
          </cell>
        </row>
        <row r="817">
          <cell r="I817">
            <v>0</v>
          </cell>
        </row>
        <row r="818">
          <cell r="I818">
            <v>0</v>
          </cell>
        </row>
        <row r="819">
          <cell r="I819">
            <v>0</v>
          </cell>
        </row>
        <row r="820">
          <cell r="I820">
            <v>0</v>
          </cell>
        </row>
        <row r="821">
          <cell r="I821">
            <v>0</v>
          </cell>
        </row>
        <row r="822">
          <cell r="I822">
            <v>0</v>
          </cell>
        </row>
        <row r="823">
          <cell r="I823">
            <v>0</v>
          </cell>
        </row>
        <row r="824">
          <cell r="I824">
            <v>0</v>
          </cell>
        </row>
        <row r="825">
          <cell r="I825">
            <v>0</v>
          </cell>
        </row>
        <row r="826">
          <cell r="I826">
            <v>0</v>
          </cell>
        </row>
        <row r="827">
          <cell r="I827">
            <v>0</v>
          </cell>
        </row>
        <row r="828">
          <cell r="I828">
            <v>0</v>
          </cell>
        </row>
        <row r="829">
          <cell r="I829">
            <v>0</v>
          </cell>
        </row>
        <row r="830">
          <cell r="I830">
            <v>0</v>
          </cell>
        </row>
        <row r="831">
          <cell r="I831">
            <v>0</v>
          </cell>
        </row>
        <row r="832">
          <cell r="I832">
            <v>0</v>
          </cell>
        </row>
        <row r="833">
          <cell r="I833">
            <v>0</v>
          </cell>
        </row>
        <row r="834">
          <cell r="I834">
            <v>0</v>
          </cell>
        </row>
        <row r="835">
          <cell r="I835">
            <v>0</v>
          </cell>
        </row>
        <row r="836">
          <cell r="I836">
            <v>0</v>
          </cell>
        </row>
        <row r="837">
          <cell r="I837">
            <v>0</v>
          </cell>
        </row>
        <row r="838">
          <cell r="I838">
            <v>0</v>
          </cell>
        </row>
        <row r="839">
          <cell r="I839">
            <v>0</v>
          </cell>
        </row>
        <row r="840">
          <cell r="I840">
            <v>0</v>
          </cell>
        </row>
        <row r="841">
          <cell r="I841">
            <v>0</v>
          </cell>
        </row>
        <row r="842">
          <cell r="I842">
            <v>0</v>
          </cell>
        </row>
        <row r="843">
          <cell r="I843">
            <v>0</v>
          </cell>
        </row>
        <row r="844">
          <cell r="I844">
            <v>0</v>
          </cell>
        </row>
        <row r="845">
          <cell r="I845">
            <v>0</v>
          </cell>
        </row>
        <row r="846">
          <cell r="I846">
            <v>0</v>
          </cell>
        </row>
        <row r="847">
          <cell r="I847">
            <v>0</v>
          </cell>
        </row>
        <row r="848">
          <cell r="I848">
            <v>0</v>
          </cell>
        </row>
        <row r="849">
          <cell r="I849">
            <v>0</v>
          </cell>
        </row>
        <row r="850">
          <cell r="I850">
            <v>0</v>
          </cell>
        </row>
        <row r="851">
          <cell r="I851">
            <v>0</v>
          </cell>
        </row>
        <row r="852">
          <cell r="I852">
            <v>0</v>
          </cell>
        </row>
        <row r="853">
          <cell r="I853">
            <v>0</v>
          </cell>
        </row>
        <row r="854">
          <cell r="I854">
            <v>0</v>
          </cell>
        </row>
        <row r="855">
          <cell r="I855">
            <v>0</v>
          </cell>
        </row>
        <row r="856">
          <cell r="I856">
            <v>0</v>
          </cell>
        </row>
        <row r="857">
          <cell r="I857">
            <v>0</v>
          </cell>
        </row>
        <row r="858">
          <cell r="I858">
            <v>0</v>
          </cell>
        </row>
        <row r="859">
          <cell r="I859">
            <v>0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0</v>
          </cell>
        </row>
        <row r="863">
          <cell r="I863">
            <v>0</v>
          </cell>
        </row>
        <row r="864">
          <cell r="I864">
            <v>0</v>
          </cell>
        </row>
        <row r="865">
          <cell r="I865">
            <v>0</v>
          </cell>
        </row>
        <row r="866">
          <cell r="I866">
            <v>0</v>
          </cell>
        </row>
        <row r="867">
          <cell r="I867">
            <v>0</v>
          </cell>
        </row>
        <row r="868">
          <cell r="I868">
            <v>0</v>
          </cell>
        </row>
        <row r="869">
          <cell r="I869">
            <v>0</v>
          </cell>
        </row>
        <row r="870">
          <cell r="I870">
            <v>0</v>
          </cell>
        </row>
        <row r="871">
          <cell r="I871">
            <v>0</v>
          </cell>
        </row>
        <row r="872">
          <cell r="I872">
            <v>0</v>
          </cell>
        </row>
        <row r="873">
          <cell r="I873">
            <v>0</v>
          </cell>
        </row>
        <row r="874">
          <cell r="I874">
            <v>0</v>
          </cell>
        </row>
        <row r="875">
          <cell r="I875">
            <v>0</v>
          </cell>
        </row>
        <row r="876">
          <cell r="I876">
            <v>0</v>
          </cell>
        </row>
        <row r="877">
          <cell r="I877">
            <v>0</v>
          </cell>
        </row>
        <row r="878">
          <cell r="I878">
            <v>0</v>
          </cell>
        </row>
        <row r="879">
          <cell r="I879">
            <v>0</v>
          </cell>
        </row>
        <row r="880">
          <cell r="I880">
            <v>0</v>
          </cell>
        </row>
        <row r="881">
          <cell r="I881">
            <v>0</v>
          </cell>
        </row>
        <row r="882">
          <cell r="I882">
            <v>0</v>
          </cell>
        </row>
        <row r="883">
          <cell r="I883">
            <v>0</v>
          </cell>
        </row>
        <row r="884">
          <cell r="I884">
            <v>0</v>
          </cell>
        </row>
        <row r="885">
          <cell r="I885">
            <v>0</v>
          </cell>
        </row>
        <row r="886">
          <cell r="I886">
            <v>0</v>
          </cell>
        </row>
        <row r="887">
          <cell r="I887">
            <v>0</v>
          </cell>
        </row>
        <row r="888">
          <cell r="I888">
            <v>0</v>
          </cell>
        </row>
        <row r="889">
          <cell r="I889">
            <v>0</v>
          </cell>
        </row>
        <row r="890">
          <cell r="I890">
            <v>0</v>
          </cell>
        </row>
        <row r="891">
          <cell r="I891">
            <v>0</v>
          </cell>
        </row>
        <row r="892">
          <cell r="I892">
            <v>0</v>
          </cell>
        </row>
        <row r="893">
          <cell r="I893">
            <v>0</v>
          </cell>
        </row>
        <row r="894">
          <cell r="I894">
            <v>0</v>
          </cell>
        </row>
        <row r="895">
          <cell r="I895">
            <v>0</v>
          </cell>
        </row>
        <row r="896">
          <cell r="I896">
            <v>0</v>
          </cell>
        </row>
        <row r="897">
          <cell r="I897">
            <v>0</v>
          </cell>
        </row>
        <row r="898">
          <cell r="I898">
            <v>0</v>
          </cell>
        </row>
        <row r="899">
          <cell r="I899">
            <v>0</v>
          </cell>
        </row>
        <row r="900">
          <cell r="I900">
            <v>0</v>
          </cell>
        </row>
        <row r="901">
          <cell r="I901">
            <v>0</v>
          </cell>
        </row>
        <row r="902">
          <cell r="I902">
            <v>0</v>
          </cell>
        </row>
        <row r="903">
          <cell r="I903">
            <v>0</v>
          </cell>
        </row>
        <row r="904">
          <cell r="I904">
            <v>0</v>
          </cell>
        </row>
        <row r="905">
          <cell r="I905">
            <v>0</v>
          </cell>
        </row>
        <row r="906">
          <cell r="I906">
            <v>0</v>
          </cell>
        </row>
        <row r="907">
          <cell r="I907">
            <v>0</v>
          </cell>
        </row>
        <row r="908">
          <cell r="I908">
            <v>0</v>
          </cell>
        </row>
        <row r="909">
          <cell r="I909">
            <v>0</v>
          </cell>
        </row>
        <row r="910">
          <cell r="I910">
            <v>0</v>
          </cell>
        </row>
        <row r="911">
          <cell r="I911">
            <v>0</v>
          </cell>
        </row>
        <row r="912">
          <cell r="I912">
            <v>0</v>
          </cell>
        </row>
        <row r="913">
          <cell r="I913">
            <v>0</v>
          </cell>
        </row>
        <row r="914">
          <cell r="I914">
            <v>0</v>
          </cell>
        </row>
        <row r="915">
          <cell r="I915">
            <v>0</v>
          </cell>
        </row>
        <row r="916">
          <cell r="I916">
            <v>0</v>
          </cell>
        </row>
        <row r="917">
          <cell r="I917">
            <v>0</v>
          </cell>
        </row>
        <row r="918">
          <cell r="I918">
            <v>0</v>
          </cell>
        </row>
        <row r="919">
          <cell r="I919">
            <v>0</v>
          </cell>
        </row>
        <row r="920">
          <cell r="I920">
            <v>0</v>
          </cell>
        </row>
        <row r="921">
          <cell r="I921">
            <v>0</v>
          </cell>
        </row>
        <row r="922">
          <cell r="I922">
            <v>0</v>
          </cell>
        </row>
        <row r="923">
          <cell r="I923">
            <v>0</v>
          </cell>
        </row>
        <row r="924">
          <cell r="I924">
            <v>0</v>
          </cell>
        </row>
        <row r="925">
          <cell r="I925">
            <v>0</v>
          </cell>
        </row>
        <row r="926">
          <cell r="I926">
            <v>0</v>
          </cell>
        </row>
        <row r="927">
          <cell r="I927">
            <v>0</v>
          </cell>
        </row>
        <row r="928">
          <cell r="I928">
            <v>0</v>
          </cell>
        </row>
        <row r="929">
          <cell r="I929">
            <v>0</v>
          </cell>
        </row>
        <row r="930">
          <cell r="I930">
            <v>0</v>
          </cell>
        </row>
        <row r="931">
          <cell r="I931">
            <v>0</v>
          </cell>
        </row>
        <row r="932">
          <cell r="I932">
            <v>0</v>
          </cell>
        </row>
        <row r="933">
          <cell r="I933">
            <v>0</v>
          </cell>
        </row>
        <row r="934">
          <cell r="I934">
            <v>0</v>
          </cell>
        </row>
        <row r="935">
          <cell r="I935">
            <v>0</v>
          </cell>
        </row>
        <row r="936">
          <cell r="I936">
            <v>0</v>
          </cell>
        </row>
        <row r="937">
          <cell r="I937">
            <v>0</v>
          </cell>
        </row>
        <row r="938">
          <cell r="I938">
            <v>0</v>
          </cell>
        </row>
        <row r="939">
          <cell r="I939">
            <v>0</v>
          </cell>
        </row>
        <row r="940">
          <cell r="I940">
            <v>0</v>
          </cell>
        </row>
        <row r="941">
          <cell r="I941">
            <v>0</v>
          </cell>
        </row>
        <row r="942">
          <cell r="I942">
            <v>0</v>
          </cell>
        </row>
        <row r="943">
          <cell r="I943">
            <v>0</v>
          </cell>
        </row>
        <row r="944">
          <cell r="I944">
            <v>0</v>
          </cell>
        </row>
        <row r="945">
          <cell r="I945">
            <v>0</v>
          </cell>
        </row>
        <row r="946">
          <cell r="I946">
            <v>0</v>
          </cell>
        </row>
        <row r="947">
          <cell r="I947">
            <v>0</v>
          </cell>
        </row>
        <row r="948">
          <cell r="I948">
            <v>0</v>
          </cell>
        </row>
        <row r="949">
          <cell r="I949">
            <v>0</v>
          </cell>
        </row>
        <row r="950">
          <cell r="I950">
            <v>0</v>
          </cell>
        </row>
        <row r="951">
          <cell r="I951">
            <v>0</v>
          </cell>
        </row>
        <row r="952">
          <cell r="I952">
            <v>0</v>
          </cell>
        </row>
        <row r="953">
          <cell r="I953">
            <v>0</v>
          </cell>
        </row>
        <row r="954">
          <cell r="I954">
            <v>0</v>
          </cell>
        </row>
        <row r="955">
          <cell r="I955">
            <v>0</v>
          </cell>
        </row>
        <row r="956">
          <cell r="I956">
            <v>0</v>
          </cell>
        </row>
        <row r="957">
          <cell r="I957">
            <v>0</v>
          </cell>
        </row>
        <row r="958">
          <cell r="I958">
            <v>0</v>
          </cell>
        </row>
        <row r="959">
          <cell r="I959">
            <v>0</v>
          </cell>
        </row>
        <row r="960">
          <cell r="I960">
            <v>0</v>
          </cell>
        </row>
        <row r="961">
          <cell r="I961">
            <v>0</v>
          </cell>
        </row>
        <row r="962">
          <cell r="I962">
            <v>0</v>
          </cell>
        </row>
        <row r="963">
          <cell r="I963">
            <v>0</v>
          </cell>
        </row>
        <row r="964">
          <cell r="I964">
            <v>0</v>
          </cell>
        </row>
        <row r="965">
          <cell r="I965">
            <v>0</v>
          </cell>
        </row>
        <row r="966">
          <cell r="I966">
            <v>0</v>
          </cell>
        </row>
        <row r="967">
          <cell r="I967">
            <v>0</v>
          </cell>
        </row>
        <row r="968">
          <cell r="I968">
            <v>0</v>
          </cell>
        </row>
        <row r="969">
          <cell r="I969">
            <v>0</v>
          </cell>
        </row>
        <row r="970">
          <cell r="I970">
            <v>0</v>
          </cell>
        </row>
        <row r="971">
          <cell r="I971">
            <v>0</v>
          </cell>
        </row>
        <row r="972">
          <cell r="I972">
            <v>0</v>
          </cell>
        </row>
        <row r="973">
          <cell r="I973">
            <v>0</v>
          </cell>
        </row>
        <row r="974">
          <cell r="I974">
            <v>0</v>
          </cell>
        </row>
        <row r="975">
          <cell r="I975">
            <v>0</v>
          </cell>
        </row>
        <row r="976">
          <cell r="I976">
            <v>0</v>
          </cell>
        </row>
        <row r="977">
          <cell r="I977">
            <v>0</v>
          </cell>
        </row>
        <row r="978">
          <cell r="I978">
            <v>0</v>
          </cell>
        </row>
        <row r="979">
          <cell r="I979">
            <v>0</v>
          </cell>
        </row>
        <row r="980">
          <cell r="I980">
            <v>0</v>
          </cell>
        </row>
        <row r="981">
          <cell r="I981">
            <v>0</v>
          </cell>
        </row>
        <row r="982">
          <cell r="I982">
            <v>0</v>
          </cell>
        </row>
        <row r="983">
          <cell r="I983">
            <v>0</v>
          </cell>
        </row>
        <row r="984">
          <cell r="I984">
            <v>0</v>
          </cell>
        </row>
        <row r="985">
          <cell r="I985">
            <v>0</v>
          </cell>
        </row>
        <row r="986">
          <cell r="I986">
            <v>0</v>
          </cell>
        </row>
        <row r="987">
          <cell r="I987">
            <v>0</v>
          </cell>
        </row>
        <row r="988">
          <cell r="I988">
            <v>0</v>
          </cell>
        </row>
        <row r="989">
          <cell r="I989">
            <v>0</v>
          </cell>
        </row>
        <row r="990">
          <cell r="I990">
            <v>0</v>
          </cell>
        </row>
        <row r="991">
          <cell r="I991">
            <v>0</v>
          </cell>
        </row>
        <row r="992">
          <cell r="I992">
            <v>0</v>
          </cell>
        </row>
        <row r="993">
          <cell r="I993">
            <v>0</v>
          </cell>
        </row>
        <row r="994">
          <cell r="I994">
            <v>0</v>
          </cell>
        </row>
        <row r="995">
          <cell r="I995">
            <v>0</v>
          </cell>
        </row>
        <row r="996">
          <cell r="I996">
            <v>0</v>
          </cell>
        </row>
        <row r="997">
          <cell r="I997">
            <v>0</v>
          </cell>
        </row>
        <row r="998">
          <cell r="I998">
            <v>0</v>
          </cell>
        </row>
        <row r="999">
          <cell r="I999">
            <v>0</v>
          </cell>
        </row>
        <row r="1000">
          <cell r="I1000">
            <v>0</v>
          </cell>
        </row>
        <row r="1001">
          <cell r="I1001">
            <v>0</v>
          </cell>
        </row>
        <row r="1002">
          <cell r="I1002">
            <v>0</v>
          </cell>
        </row>
        <row r="1003">
          <cell r="I1003">
            <v>0</v>
          </cell>
        </row>
        <row r="1004">
          <cell r="I1004">
            <v>0</v>
          </cell>
        </row>
        <row r="1005">
          <cell r="I1005">
            <v>0</v>
          </cell>
        </row>
        <row r="1006">
          <cell r="I1006">
            <v>0</v>
          </cell>
        </row>
        <row r="1007">
          <cell r="I1007">
            <v>0</v>
          </cell>
        </row>
        <row r="1008">
          <cell r="I1008">
            <v>0</v>
          </cell>
        </row>
        <row r="1009">
          <cell r="I1009">
            <v>0</v>
          </cell>
        </row>
        <row r="1010">
          <cell r="I1010">
            <v>0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0</v>
          </cell>
        </row>
        <row r="1014">
          <cell r="I1014">
            <v>0</v>
          </cell>
        </row>
        <row r="1015">
          <cell r="I1015">
            <v>0</v>
          </cell>
        </row>
        <row r="1016">
          <cell r="I1016">
            <v>0</v>
          </cell>
        </row>
        <row r="1017">
          <cell r="I1017">
            <v>0</v>
          </cell>
        </row>
        <row r="1018">
          <cell r="I1018">
            <v>0</v>
          </cell>
        </row>
        <row r="1019">
          <cell r="I1019">
            <v>0</v>
          </cell>
        </row>
        <row r="1020">
          <cell r="I1020">
            <v>0</v>
          </cell>
        </row>
        <row r="1021">
          <cell r="I1021">
            <v>0</v>
          </cell>
        </row>
        <row r="1022">
          <cell r="I1022">
            <v>0</v>
          </cell>
        </row>
        <row r="1023">
          <cell r="I1023">
            <v>0</v>
          </cell>
        </row>
        <row r="1024">
          <cell r="I1024">
            <v>0</v>
          </cell>
        </row>
        <row r="1025">
          <cell r="I1025">
            <v>0</v>
          </cell>
        </row>
        <row r="1026">
          <cell r="I1026">
            <v>0</v>
          </cell>
        </row>
        <row r="1027">
          <cell r="I1027">
            <v>0</v>
          </cell>
        </row>
        <row r="1028">
          <cell r="I1028">
            <v>0</v>
          </cell>
        </row>
        <row r="1029">
          <cell r="I1029">
            <v>0</v>
          </cell>
        </row>
        <row r="1030">
          <cell r="I1030">
            <v>0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0</v>
          </cell>
        </row>
        <row r="1034">
          <cell r="I1034">
            <v>0</v>
          </cell>
        </row>
        <row r="1035">
          <cell r="I1035">
            <v>0</v>
          </cell>
        </row>
        <row r="1036">
          <cell r="I1036">
            <v>0</v>
          </cell>
        </row>
        <row r="1037">
          <cell r="I1037">
            <v>0</v>
          </cell>
        </row>
        <row r="1038">
          <cell r="I1038">
            <v>0</v>
          </cell>
        </row>
        <row r="1039">
          <cell r="I1039">
            <v>0</v>
          </cell>
        </row>
        <row r="1040">
          <cell r="I1040">
            <v>0</v>
          </cell>
        </row>
        <row r="1041">
          <cell r="I1041">
            <v>0</v>
          </cell>
        </row>
        <row r="1042">
          <cell r="I1042">
            <v>0</v>
          </cell>
        </row>
        <row r="1043">
          <cell r="I1043">
            <v>0</v>
          </cell>
        </row>
        <row r="1044">
          <cell r="I1044">
            <v>0</v>
          </cell>
        </row>
        <row r="1045">
          <cell r="I1045">
            <v>0</v>
          </cell>
        </row>
        <row r="1046">
          <cell r="I1046">
            <v>0</v>
          </cell>
        </row>
        <row r="1047">
          <cell r="I1047">
            <v>0</v>
          </cell>
        </row>
        <row r="1048">
          <cell r="I1048">
            <v>0</v>
          </cell>
        </row>
        <row r="1049">
          <cell r="I1049">
            <v>0</v>
          </cell>
        </row>
        <row r="1050">
          <cell r="I1050">
            <v>0</v>
          </cell>
        </row>
        <row r="1051">
          <cell r="I1051">
            <v>0</v>
          </cell>
        </row>
        <row r="1052">
          <cell r="I1052">
            <v>0</v>
          </cell>
        </row>
        <row r="1053">
          <cell r="I1053">
            <v>0</v>
          </cell>
        </row>
        <row r="1054">
          <cell r="I1054">
            <v>0</v>
          </cell>
        </row>
        <row r="1055">
          <cell r="I1055">
            <v>0</v>
          </cell>
        </row>
        <row r="1056">
          <cell r="I1056">
            <v>0</v>
          </cell>
        </row>
        <row r="1057">
          <cell r="I1057">
            <v>0</v>
          </cell>
        </row>
        <row r="1058">
          <cell r="I1058">
            <v>0</v>
          </cell>
        </row>
        <row r="1059">
          <cell r="I1059">
            <v>0</v>
          </cell>
        </row>
        <row r="1060">
          <cell r="I1060">
            <v>0</v>
          </cell>
        </row>
        <row r="1061">
          <cell r="I1061">
            <v>0</v>
          </cell>
        </row>
        <row r="1062">
          <cell r="I1062">
            <v>0</v>
          </cell>
        </row>
        <row r="1063">
          <cell r="I1063">
            <v>0</v>
          </cell>
        </row>
        <row r="1064">
          <cell r="I1064">
            <v>0</v>
          </cell>
        </row>
        <row r="1065">
          <cell r="I1065">
            <v>0</v>
          </cell>
        </row>
        <row r="1066">
          <cell r="I1066">
            <v>0</v>
          </cell>
        </row>
        <row r="1067">
          <cell r="I1067">
            <v>0</v>
          </cell>
        </row>
        <row r="1068">
          <cell r="I1068">
            <v>0</v>
          </cell>
        </row>
        <row r="1069">
          <cell r="I1069">
            <v>0</v>
          </cell>
        </row>
        <row r="1070">
          <cell r="I1070">
            <v>0</v>
          </cell>
        </row>
        <row r="1071">
          <cell r="I1071">
            <v>0</v>
          </cell>
        </row>
        <row r="1072">
          <cell r="I1072">
            <v>0</v>
          </cell>
        </row>
        <row r="1073">
          <cell r="I1073">
            <v>0</v>
          </cell>
        </row>
        <row r="1074">
          <cell r="I1074">
            <v>0</v>
          </cell>
        </row>
        <row r="1075">
          <cell r="I1075">
            <v>0</v>
          </cell>
        </row>
        <row r="1076">
          <cell r="I1076">
            <v>0</v>
          </cell>
        </row>
        <row r="1077">
          <cell r="I1077">
            <v>0</v>
          </cell>
        </row>
        <row r="1078">
          <cell r="I1078">
            <v>0</v>
          </cell>
        </row>
        <row r="1079">
          <cell r="I1079">
            <v>0</v>
          </cell>
        </row>
        <row r="1080">
          <cell r="I1080">
            <v>0</v>
          </cell>
        </row>
        <row r="1081">
          <cell r="I1081">
            <v>0</v>
          </cell>
        </row>
        <row r="1082">
          <cell r="I1082">
            <v>0</v>
          </cell>
        </row>
        <row r="1083">
          <cell r="I1083">
            <v>0</v>
          </cell>
        </row>
        <row r="1084">
          <cell r="I1084">
            <v>0</v>
          </cell>
        </row>
        <row r="1085">
          <cell r="I1085">
            <v>0</v>
          </cell>
        </row>
        <row r="1086">
          <cell r="I1086">
            <v>0</v>
          </cell>
        </row>
        <row r="1087">
          <cell r="I1087">
            <v>0</v>
          </cell>
        </row>
        <row r="1088">
          <cell r="I1088">
            <v>0</v>
          </cell>
        </row>
        <row r="1089">
          <cell r="I1089">
            <v>0</v>
          </cell>
        </row>
        <row r="1090">
          <cell r="I1090">
            <v>0</v>
          </cell>
        </row>
        <row r="1091">
          <cell r="I1091">
            <v>0</v>
          </cell>
        </row>
        <row r="1092">
          <cell r="I1092">
            <v>0</v>
          </cell>
        </row>
        <row r="1093">
          <cell r="I1093">
            <v>0</v>
          </cell>
        </row>
        <row r="1094">
          <cell r="I1094">
            <v>0</v>
          </cell>
        </row>
        <row r="1095">
          <cell r="I1095">
            <v>0</v>
          </cell>
        </row>
        <row r="1096">
          <cell r="I1096">
            <v>0</v>
          </cell>
        </row>
        <row r="1097">
          <cell r="I1097">
            <v>0</v>
          </cell>
        </row>
        <row r="1098">
          <cell r="I1098">
            <v>0</v>
          </cell>
        </row>
        <row r="1099">
          <cell r="I1099">
            <v>0</v>
          </cell>
        </row>
        <row r="1100">
          <cell r="I1100">
            <v>0</v>
          </cell>
        </row>
        <row r="1101">
          <cell r="I1101">
            <v>0</v>
          </cell>
        </row>
        <row r="1102">
          <cell r="I1102">
            <v>0</v>
          </cell>
        </row>
        <row r="1103">
          <cell r="I1103">
            <v>0</v>
          </cell>
        </row>
        <row r="1104">
          <cell r="I1104">
            <v>0</v>
          </cell>
        </row>
        <row r="1105">
          <cell r="I1105">
            <v>0</v>
          </cell>
        </row>
        <row r="1106">
          <cell r="I1106">
            <v>0</v>
          </cell>
        </row>
        <row r="1107">
          <cell r="I1107">
            <v>0</v>
          </cell>
        </row>
        <row r="1108">
          <cell r="I1108">
            <v>0</v>
          </cell>
        </row>
        <row r="1109">
          <cell r="I1109">
            <v>0</v>
          </cell>
        </row>
        <row r="1110">
          <cell r="I1110">
            <v>0</v>
          </cell>
        </row>
        <row r="1111">
          <cell r="I1111">
            <v>0</v>
          </cell>
        </row>
        <row r="1112">
          <cell r="I1112">
            <v>0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0</v>
          </cell>
        </row>
        <row r="1118">
          <cell r="I1118">
            <v>0</v>
          </cell>
        </row>
        <row r="1119">
          <cell r="I1119">
            <v>0</v>
          </cell>
        </row>
        <row r="1120">
          <cell r="I1120">
            <v>0</v>
          </cell>
        </row>
        <row r="1121">
          <cell r="I1121">
            <v>0</v>
          </cell>
        </row>
        <row r="1122">
          <cell r="I1122">
            <v>0</v>
          </cell>
        </row>
        <row r="1123">
          <cell r="I1123">
            <v>0</v>
          </cell>
        </row>
        <row r="1124">
          <cell r="I1124">
            <v>0</v>
          </cell>
        </row>
        <row r="1125">
          <cell r="I1125">
            <v>0</v>
          </cell>
        </row>
        <row r="1126">
          <cell r="I1126">
            <v>0</v>
          </cell>
        </row>
        <row r="1127">
          <cell r="I1127">
            <v>0</v>
          </cell>
        </row>
        <row r="1128">
          <cell r="I1128">
            <v>0</v>
          </cell>
        </row>
        <row r="1129">
          <cell r="I1129">
            <v>0</v>
          </cell>
        </row>
        <row r="1130">
          <cell r="I1130">
            <v>0</v>
          </cell>
        </row>
        <row r="1131">
          <cell r="I1131">
            <v>0</v>
          </cell>
        </row>
        <row r="1132">
          <cell r="I1132">
            <v>0</v>
          </cell>
        </row>
        <row r="1133">
          <cell r="I1133">
            <v>0</v>
          </cell>
        </row>
        <row r="1134">
          <cell r="I1134">
            <v>0</v>
          </cell>
        </row>
        <row r="1135">
          <cell r="I1135">
            <v>0</v>
          </cell>
        </row>
        <row r="1136">
          <cell r="I1136">
            <v>0</v>
          </cell>
        </row>
        <row r="1137">
          <cell r="I1137">
            <v>0</v>
          </cell>
        </row>
        <row r="1138">
          <cell r="I1138">
            <v>0</v>
          </cell>
        </row>
        <row r="1139">
          <cell r="I1139">
            <v>0</v>
          </cell>
        </row>
        <row r="1140">
          <cell r="I1140">
            <v>0</v>
          </cell>
        </row>
        <row r="1141">
          <cell r="I1141">
            <v>0</v>
          </cell>
        </row>
        <row r="1142">
          <cell r="I1142">
            <v>0</v>
          </cell>
        </row>
        <row r="1143">
          <cell r="I1143">
            <v>0</v>
          </cell>
        </row>
        <row r="1144">
          <cell r="I1144">
            <v>0</v>
          </cell>
        </row>
        <row r="1145">
          <cell r="I1145">
            <v>0</v>
          </cell>
        </row>
        <row r="1146">
          <cell r="I1146">
            <v>0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0</v>
          </cell>
        </row>
        <row r="1151">
          <cell r="I1151">
            <v>0</v>
          </cell>
        </row>
        <row r="1152">
          <cell r="I1152">
            <v>0</v>
          </cell>
        </row>
        <row r="1153">
          <cell r="I1153">
            <v>0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0</v>
          </cell>
        </row>
        <row r="1167">
          <cell r="I1167">
            <v>0</v>
          </cell>
        </row>
        <row r="1168">
          <cell r="I1168">
            <v>0</v>
          </cell>
        </row>
        <row r="1169">
          <cell r="I1169">
            <v>0</v>
          </cell>
        </row>
        <row r="1170">
          <cell r="I1170">
            <v>0</v>
          </cell>
        </row>
        <row r="1171">
          <cell r="I1171">
            <v>0</v>
          </cell>
        </row>
        <row r="1172">
          <cell r="I1172">
            <v>0</v>
          </cell>
        </row>
        <row r="1173">
          <cell r="I1173">
            <v>0</v>
          </cell>
        </row>
        <row r="1174">
          <cell r="I1174">
            <v>0</v>
          </cell>
        </row>
        <row r="1175">
          <cell r="I1175">
            <v>0</v>
          </cell>
        </row>
        <row r="1176">
          <cell r="I1176">
            <v>0</v>
          </cell>
        </row>
        <row r="1177">
          <cell r="I1177">
            <v>0</v>
          </cell>
        </row>
        <row r="1178">
          <cell r="I1178">
            <v>0</v>
          </cell>
        </row>
        <row r="1179">
          <cell r="I1179">
            <v>0</v>
          </cell>
        </row>
        <row r="1180">
          <cell r="I1180">
            <v>0</v>
          </cell>
        </row>
        <row r="1181">
          <cell r="I1181">
            <v>0</v>
          </cell>
        </row>
        <row r="1182">
          <cell r="I1182">
            <v>0</v>
          </cell>
        </row>
        <row r="1183">
          <cell r="I1183">
            <v>0</v>
          </cell>
        </row>
        <row r="1184">
          <cell r="I1184">
            <v>0</v>
          </cell>
        </row>
        <row r="1185">
          <cell r="I1185">
            <v>0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0</v>
          </cell>
        </row>
        <row r="1189">
          <cell r="I1189">
            <v>0</v>
          </cell>
        </row>
        <row r="1190">
          <cell r="I1190">
            <v>0</v>
          </cell>
        </row>
        <row r="1191">
          <cell r="I1191">
            <v>0</v>
          </cell>
        </row>
        <row r="1192">
          <cell r="I1192">
            <v>0</v>
          </cell>
        </row>
        <row r="1193">
          <cell r="I1193">
            <v>0</v>
          </cell>
        </row>
        <row r="1194">
          <cell r="I1194">
            <v>0</v>
          </cell>
        </row>
        <row r="1195">
          <cell r="I1195">
            <v>0</v>
          </cell>
        </row>
        <row r="1196">
          <cell r="I1196">
            <v>0</v>
          </cell>
        </row>
        <row r="1197">
          <cell r="I1197">
            <v>0</v>
          </cell>
        </row>
        <row r="1198">
          <cell r="I1198">
            <v>0</v>
          </cell>
        </row>
        <row r="1199">
          <cell r="I1199">
            <v>0</v>
          </cell>
        </row>
        <row r="1200">
          <cell r="I1200">
            <v>0</v>
          </cell>
        </row>
        <row r="1201">
          <cell r="I1201">
            <v>0</v>
          </cell>
        </row>
        <row r="1202">
          <cell r="I1202">
            <v>0</v>
          </cell>
        </row>
        <row r="1203">
          <cell r="I1203">
            <v>0</v>
          </cell>
        </row>
        <row r="1204">
          <cell r="I1204">
            <v>0</v>
          </cell>
        </row>
        <row r="1205">
          <cell r="I1205">
            <v>0</v>
          </cell>
        </row>
        <row r="1206">
          <cell r="I1206">
            <v>0</v>
          </cell>
        </row>
        <row r="1207">
          <cell r="I1207">
            <v>0</v>
          </cell>
        </row>
        <row r="1208">
          <cell r="I1208">
            <v>0</v>
          </cell>
        </row>
        <row r="1209">
          <cell r="I1209">
            <v>0</v>
          </cell>
        </row>
        <row r="1210">
          <cell r="I1210">
            <v>0</v>
          </cell>
        </row>
        <row r="1211">
          <cell r="I1211">
            <v>0</v>
          </cell>
        </row>
        <row r="1212">
          <cell r="I1212">
            <v>0</v>
          </cell>
        </row>
        <row r="1213">
          <cell r="I1213">
            <v>0</v>
          </cell>
        </row>
        <row r="1214">
          <cell r="I1214">
            <v>0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0</v>
          </cell>
        </row>
        <row r="1218">
          <cell r="I1218">
            <v>0</v>
          </cell>
        </row>
        <row r="1219">
          <cell r="I1219">
            <v>0</v>
          </cell>
        </row>
        <row r="1220">
          <cell r="I1220">
            <v>0</v>
          </cell>
        </row>
        <row r="1221">
          <cell r="I1221">
            <v>0</v>
          </cell>
        </row>
        <row r="1222">
          <cell r="I1222">
            <v>0</v>
          </cell>
        </row>
        <row r="1223">
          <cell r="I1223">
            <v>0</v>
          </cell>
        </row>
        <row r="1224">
          <cell r="I1224">
            <v>0</v>
          </cell>
        </row>
        <row r="1225">
          <cell r="I1225">
            <v>0</v>
          </cell>
        </row>
        <row r="1226">
          <cell r="I1226">
            <v>0</v>
          </cell>
        </row>
        <row r="1227">
          <cell r="I1227">
            <v>0</v>
          </cell>
        </row>
        <row r="1228">
          <cell r="I1228">
            <v>0</v>
          </cell>
        </row>
        <row r="1229">
          <cell r="I1229">
            <v>0</v>
          </cell>
        </row>
        <row r="1230">
          <cell r="I1230">
            <v>0</v>
          </cell>
        </row>
        <row r="1231">
          <cell r="I1231">
            <v>0</v>
          </cell>
        </row>
        <row r="1232">
          <cell r="I1232">
            <v>0</v>
          </cell>
        </row>
        <row r="1233">
          <cell r="I1233">
            <v>0</v>
          </cell>
        </row>
        <row r="1234">
          <cell r="I1234">
            <v>0</v>
          </cell>
        </row>
        <row r="1235">
          <cell r="I1235">
            <v>0</v>
          </cell>
        </row>
        <row r="1236">
          <cell r="I1236">
            <v>0</v>
          </cell>
        </row>
        <row r="1237">
          <cell r="I1237">
            <v>0</v>
          </cell>
        </row>
        <row r="1238">
          <cell r="I1238">
            <v>0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0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0</v>
          </cell>
        </row>
        <row r="1245">
          <cell r="I1245">
            <v>0</v>
          </cell>
        </row>
        <row r="1246">
          <cell r="I1246">
            <v>0</v>
          </cell>
        </row>
        <row r="1247">
          <cell r="I1247">
            <v>0</v>
          </cell>
        </row>
        <row r="1248">
          <cell r="I1248">
            <v>0</v>
          </cell>
        </row>
        <row r="1249">
          <cell r="I1249">
            <v>0</v>
          </cell>
        </row>
        <row r="1250">
          <cell r="I1250">
            <v>0</v>
          </cell>
        </row>
        <row r="1251">
          <cell r="I1251">
            <v>0</v>
          </cell>
        </row>
        <row r="1252">
          <cell r="I1252">
            <v>0</v>
          </cell>
        </row>
        <row r="1253">
          <cell r="I1253">
            <v>0</v>
          </cell>
        </row>
        <row r="1254">
          <cell r="I1254">
            <v>0</v>
          </cell>
        </row>
        <row r="1255">
          <cell r="I1255">
            <v>0</v>
          </cell>
        </row>
        <row r="1256">
          <cell r="I1256">
            <v>0</v>
          </cell>
        </row>
        <row r="1257">
          <cell r="I1257">
            <v>0</v>
          </cell>
        </row>
        <row r="1258">
          <cell r="I1258">
            <v>0</v>
          </cell>
        </row>
        <row r="1259">
          <cell r="I1259">
            <v>0</v>
          </cell>
        </row>
        <row r="1260">
          <cell r="I1260">
            <v>0</v>
          </cell>
        </row>
        <row r="1261">
          <cell r="I1261">
            <v>0</v>
          </cell>
        </row>
        <row r="1262">
          <cell r="I1262">
            <v>0</v>
          </cell>
        </row>
        <row r="1263">
          <cell r="I1263">
            <v>0</v>
          </cell>
        </row>
        <row r="1264">
          <cell r="I1264">
            <v>0</v>
          </cell>
        </row>
        <row r="1265">
          <cell r="I1265">
            <v>0</v>
          </cell>
        </row>
        <row r="1266">
          <cell r="I1266">
            <v>0</v>
          </cell>
        </row>
        <row r="1267">
          <cell r="I1267">
            <v>0</v>
          </cell>
        </row>
        <row r="1268">
          <cell r="I1268">
            <v>0</v>
          </cell>
        </row>
        <row r="1269">
          <cell r="I1269">
            <v>0</v>
          </cell>
        </row>
        <row r="1270">
          <cell r="I1270">
            <v>0</v>
          </cell>
        </row>
        <row r="1271">
          <cell r="I1271">
            <v>0</v>
          </cell>
        </row>
        <row r="1272">
          <cell r="I1272">
            <v>0</v>
          </cell>
        </row>
        <row r="1273">
          <cell r="I1273">
            <v>0</v>
          </cell>
        </row>
        <row r="1274">
          <cell r="I1274">
            <v>0</v>
          </cell>
        </row>
        <row r="1275">
          <cell r="I1275">
            <v>0</v>
          </cell>
        </row>
        <row r="1276">
          <cell r="I1276">
            <v>0</v>
          </cell>
        </row>
        <row r="1277">
          <cell r="I1277">
            <v>0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0</v>
          </cell>
        </row>
        <row r="1292">
          <cell r="I1292">
            <v>0</v>
          </cell>
        </row>
        <row r="1293">
          <cell r="I1293">
            <v>0</v>
          </cell>
        </row>
        <row r="1294">
          <cell r="I1294">
            <v>0</v>
          </cell>
        </row>
        <row r="1295">
          <cell r="I1295">
            <v>0</v>
          </cell>
        </row>
        <row r="1296">
          <cell r="I1296">
            <v>0</v>
          </cell>
        </row>
        <row r="1297">
          <cell r="I1297">
            <v>0</v>
          </cell>
        </row>
        <row r="1298">
          <cell r="I1298">
            <v>0</v>
          </cell>
        </row>
        <row r="1299">
          <cell r="I1299">
            <v>0</v>
          </cell>
        </row>
        <row r="1300">
          <cell r="I1300">
            <v>0</v>
          </cell>
        </row>
        <row r="1301">
          <cell r="I1301">
            <v>0</v>
          </cell>
        </row>
        <row r="1302">
          <cell r="I1302">
            <v>0</v>
          </cell>
        </row>
        <row r="1303">
          <cell r="I1303">
            <v>0</v>
          </cell>
        </row>
        <row r="1304">
          <cell r="I1304">
            <v>0</v>
          </cell>
        </row>
        <row r="1305">
          <cell r="I1305">
            <v>0</v>
          </cell>
        </row>
        <row r="1306">
          <cell r="I1306">
            <v>0</v>
          </cell>
        </row>
        <row r="1307">
          <cell r="I1307">
            <v>0</v>
          </cell>
        </row>
        <row r="1308">
          <cell r="I1308">
            <v>0</v>
          </cell>
        </row>
        <row r="1309">
          <cell r="I1309">
            <v>0</v>
          </cell>
        </row>
        <row r="1310">
          <cell r="I1310">
            <v>0</v>
          </cell>
        </row>
        <row r="1311">
          <cell r="I1311">
            <v>0</v>
          </cell>
        </row>
        <row r="1312">
          <cell r="I1312">
            <v>0</v>
          </cell>
        </row>
        <row r="1313">
          <cell r="I1313">
            <v>0</v>
          </cell>
        </row>
        <row r="1314">
          <cell r="I1314">
            <v>0</v>
          </cell>
        </row>
        <row r="1315">
          <cell r="I1315">
            <v>0</v>
          </cell>
        </row>
        <row r="1316">
          <cell r="I1316">
            <v>0</v>
          </cell>
        </row>
        <row r="1317">
          <cell r="I1317">
            <v>0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0</v>
          </cell>
        </row>
        <row r="1323">
          <cell r="I1323">
            <v>0</v>
          </cell>
        </row>
        <row r="1324">
          <cell r="I1324">
            <v>0</v>
          </cell>
        </row>
        <row r="1325">
          <cell r="I1325">
            <v>0</v>
          </cell>
        </row>
        <row r="1326">
          <cell r="I1326">
            <v>0</v>
          </cell>
        </row>
        <row r="1327">
          <cell r="I1327">
            <v>0</v>
          </cell>
        </row>
        <row r="1328">
          <cell r="I1328">
            <v>0</v>
          </cell>
        </row>
        <row r="1329">
          <cell r="I1329">
            <v>0</v>
          </cell>
        </row>
        <row r="1330">
          <cell r="I1330">
            <v>0</v>
          </cell>
        </row>
        <row r="1331">
          <cell r="I1331">
            <v>0</v>
          </cell>
        </row>
        <row r="1332">
          <cell r="I1332">
            <v>0</v>
          </cell>
        </row>
        <row r="1333">
          <cell r="I1333">
            <v>0</v>
          </cell>
        </row>
        <row r="1334">
          <cell r="I1334">
            <v>0</v>
          </cell>
        </row>
        <row r="1335">
          <cell r="I1335">
            <v>0</v>
          </cell>
        </row>
        <row r="1336">
          <cell r="I1336">
            <v>0</v>
          </cell>
        </row>
        <row r="1337">
          <cell r="I1337">
            <v>0</v>
          </cell>
        </row>
        <row r="1338">
          <cell r="I1338">
            <v>0</v>
          </cell>
        </row>
        <row r="1339">
          <cell r="I1339">
            <v>0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0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0</v>
          </cell>
        </row>
        <row r="1348">
          <cell r="I1348">
            <v>0</v>
          </cell>
        </row>
        <row r="1349">
          <cell r="I1349">
            <v>0</v>
          </cell>
        </row>
        <row r="1350">
          <cell r="I1350">
            <v>0</v>
          </cell>
        </row>
        <row r="1351">
          <cell r="I1351">
            <v>0</v>
          </cell>
        </row>
        <row r="1352">
          <cell r="I1352">
            <v>0</v>
          </cell>
        </row>
        <row r="1353">
          <cell r="I1353">
            <v>0</v>
          </cell>
        </row>
        <row r="1354">
          <cell r="I1354">
            <v>0</v>
          </cell>
        </row>
        <row r="1355">
          <cell r="I1355">
            <v>0</v>
          </cell>
        </row>
        <row r="1356">
          <cell r="I1356">
            <v>0</v>
          </cell>
        </row>
        <row r="1357">
          <cell r="I1357">
            <v>0</v>
          </cell>
        </row>
        <row r="1358">
          <cell r="I1358">
            <v>0</v>
          </cell>
        </row>
        <row r="1359">
          <cell r="I1359">
            <v>0</v>
          </cell>
        </row>
        <row r="1360">
          <cell r="I1360">
            <v>0</v>
          </cell>
        </row>
        <row r="1361">
          <cell r="I1361">
            <v>0</v>
          </cell>
        </row>
        <row r="1362">
          <cell r="I1362">
            <v>0</v>
          </cell>
        </row>
        <row r="1363">
          <cell r="I1363">
            <v>0</v>
          </cell>
        </row>
        <row r="1364">
          <cell r="I1364">
            <v>0</v>
          </cell>
        </row>
        <row r="1365">
          <cell r="I1365">
            <v>0</v>
          </cell>
        </row>
        <row r="1366">
          <cell r="I1366">
            <v>0</v>
          </cell>
        </row>
        <row r="1367">
          <cell r="I1367">
            <v>0</v>
          </cell>
        </row>
        <row r="1368">
          <cell r="I1368">
            <v>0</v>
          </cell>
        </row>
        <row r="1369">
          <cell r="I1369">
            <v>0</v>
          </cell>
        </row>
        <row r="1370">
          <cell r="I1370">
            <v>0</v>
          </cell>
        </row>
        <row r="1371">
          <cell r="I1371">
            <v>0</v>
          </cell>
        </row>
        <row r="1372">
          <cell r="I1372">
            <v>0</v>
          </cell>
        </row>
        <row r="1373">
          <cell r="I1373">
            <v>0</v>
          </cell>
        </row>
        <row r="1374">
          <cell r="I1374">
            <v>0</v>
          </cell>
        </row>
        <row r="1375">
          <cell r="I1375">
            <v>0</v>
          </cell>
        </row>
        <row r="1376">
          <cell r="I1376">
            <v>0</v>
          </cell>
        </row>
        <row r="1377">
          <cell r="I1377">
            <v>0</v>
          </cell>
        </row>
        <row r="1378">
          <cell r="I1378">
            <v>0</v>
          </cell>
        </row>
        <row r="1379">
          <cell r="I1379">
            <v>0</v>
          </cell>
        </row>
        <row r="1380">
          <cell r="I1380">
            <v>0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0</v>
          </cell>
        </row>
        <row r="1385">
          <cell r="I1385">
            <v>0</v>
          </cell>
        </row>
        <row r="1386">
          <cell r="I1386">
            <v>0</v>
          </cell>
        </row>
        <row r="1387">
          <cell r="I1387">
            <v>0</v>
          </cell>
        </row>
        <row r="1388">
          <cell r="I1388">
            <v>0</v>
          </cell>
        </row>
        <row r="1389">
          <cell r="I1389">
            <v>0</v>
          </cell>
        </row>
        <row r="1390">
          <cell r="I1390">
            <v>0</v>
          </cell>
        </row>
        <row r="1391">
          <cell r="I1391">
            <v>0</v>
          </cell>
        </row>
        <row r="1392">
          <cell r="I1392">
            <v>0</v>
          </cell>
        </row>
        <row r="1393">
          <cell r="I1393">
            <v>0</v>
          </cell>
        </row>
        <row r="1394">
          <cell r="I1394">
            <v>0</v>
          </cell>
        </row>
        <row r="1395">
          <cell r="I1395">
            <v>0</v>
          </cell>
        </row>
        <row r="1396">
          <cell r="I1396">
            <v>0</v>
          </cell>
        </row>
        <row r="1397">
          <cell r="I1397">
            <v>0</v>
          </cell>
        </row>
        <row r="1398">
          <cell r="I1398">
            <v>0</v>
          </cell>
        </row>
        <row r="1399">
          <cell r="I1399">
            <v>0</v>
          </cell>
        </row>
        <row r="1400">
          <cell r="I1400">
            <v>0</v>
          </cell>
        </row>
        <row r="1401">
          <cell r="I1401">
            <v>0</v>
          </cell>
        </row>
        <row r="1402">
          <cell r="I1402">
            <v>0</v>
          </cell>
        </row>
        <row r="1403">
          <cell r="I1403">
            <v>0</v>
          </cell>
        </row>
        <row r="1404">
          <cell r="I1404">
            <v>0</v>
          </cell>
        </row>
        <row r="1405">
          <cell r="I1405">
            <v>0</v>
          </cell>
        </row>
        <row r="1406">
          <cell r="I1406">
            <v>0</v>
          </cell>
        </row>
        <row r="1407">
          <cell r="I1407">
            <v>0</v>
          </cell>
        </row>
        <row r="1408">
          <cell r="I1408">
            <v>0</v>
          </cell>
        </row>
        <row r="1409">
          <cell r="I1409">
            <v>0</v>
          </cell>
        </row>
        <row r="1410">
          <cell r="I1410">
            <v>0</v>
          </cell>
        </row>
        <row r="1411">
          <cell r="I1411">
            <v>0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0</v>
          </cell>
        </row>
        <row r="1424">
          <cell r="I1424">
            <v>0</v>
          </cell>
        </row>
        <row r="1425">
          <cell r="I1425">
            <v>0</v>
          </cell>
        </row>
        <row r="1426">
          <cell r="I1426">
            <v>0</v>
          </cell>
        </row>
        <row r="1427">
          <cell r="I1427">
            <v>0</v>
          </cell>
        </row>
        <row r="1428">
          <cell r="I1428">
            <v>0</v>
          </cell>
        </row>
        <row r="1429">
          <cell r="I1429">
            <v>0</v>
          </cell>
        </row>
        <row r="1430">
          <cell r="I1430">
            <v>0</v>
          </cell>
        </row>
        <row r="1431">
          <cell r="I1431">
            <v>0</v>
          </cell>
        </row>
        <row r="1432">
          <cell r="I1432">
            <v>0</v>
          </cell>
        </row>
        <row r="1433">
          <cell r="I1433">
            <v>0</v>
          </cell>
        </row>
        <row r="1434">
          <cell r="I1434">
            <v>0</v>
          </cell>
        </row>
        <row r="1435">
          <cell r="I1435">
            <v>0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0</v>
          </cell>
        </row>
        <row r="1446">
          <cell r="I1446">
            <v>0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0</v>
          </cell>
        </row>
        <row r="1451">
          <cell r="I1451">
            <v>0</v>
          </cell>
        </row>
        <row r="1452">
          <cell r="I1452">
            <v>0</v>
          </cell>
        </row>
        <row r="1453">
          <cell r="I1453">
            <v>0</v>
          </cell>
        </row>
        <row r="1454">
          <cell r="I1454">
            <v>0</v>
          </cell>
        </row>
        <row r="1455">
          <cell r="I1455">
            <v>0</v>
          </cell>
        </row>
        <row r="1456">
          <cell r="I1456">
            <v>0</v>
          </cell>
        </row>
        <row r="1457">
          <cell r="I1457">
            <v>0</v>
          </cell>
        </row>
        <row r="1458">
          <cell r="I1458">
            <v>0</v>
          </cell>
        </row>
        <row r="1459">
          <cell r="I1459">
            <v>0</v>
          </cell>
        </row>
        <row r="1460">
          <cell r="I1460">
            <v>0</v>
          </cell>
        </row>
        <row r="1461">
          <cell r="I1461">
            <v>0</v>
          </cell>
        </row>
        <row r="1462">
          <cell r="I1462">
            <v>0</v>
          </cell>
        </row>
        <row r="1463">
          <cell r="I1463">
            <v>0</v>
          </cell>
        </row>
        <row r="1464">
          <cell r="I1464">
            <v>0</v>
          </cell>
        </row>
        <row r="1465">
          <cell r="I1465">
            <v>0</v>
          </cell>
        </row>
        <row r="1466">
          <cell r="I1466">
            <v>0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0</v>
          </cell>
        </row>
        <row r="1470">
          <cell r="I1470">
            <v>0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0</v>
          </cell>
        </row>
        <row r="1478">
          <cell r="I1478">
            <v>0</v>
          </cell>
        </row>
        <row r="1479">
          <cell r="I1479">
            <v>0</v>
          </cell>
        </row>
        <row r="1480">
          <cell r="I1480">
            <v>0</v>
          </cell>
        </row>
        <row r="1481">
          <cell r="I1481">
            <v>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0</v>
          </cell>
        </row>
        <row r="1488">
          <cell r="I1488">
            <v>0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0</v>
          </cell>
        </row>
        <row r="1493">
          <cell r="I1493">
            <v>0</v>
          </cell>
        </row>
        <row r="1494">
          <cell r="I1494">
            <v>0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0</v>
          </cell>
        </row>
        <row r="1502">
          <cell r="I1502">
            <v>0</v>
          </cell>
        </row>
        <row r="1503">
          <cell r="I1503">
            <v>0</v>
          </cell>
        </row>
        <row r="1504">
          <cell r="I1504">
            <v>0</v>
          </cell>
        </row>
        <row r="1505">
          <cell r="I1505">
            <v>0</v>
          </cell>
        </row>
        <row r="1506">
          <cell r="I1506">
            <v>0</v>
          </cell>
        </row>
        <row r="1507">
          <cell r="I1507">
            <v>0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0</v>
          </cell>
        </row>
        <row r="1521">
          <cell r="I1521">
            <v>0</v>
          </cell>
        </row>
        <row r="1522">
          <cell r="I1522">
            <v>0</v>
          </cell>
        </row>
        <row r="1523">
          <cell r="I1523">
            <v>0</v>
          </cell>
        </row>
        <row r="1524">
          <cell r="I1524">
            <v>0</v>
          </cell>
        </row>
        <row r="1525">
          <cell r="I1525">
            <v>0</v>
          </cell>
        </row>
        <row r="1526">
          <cell r="I1526">
            <v>0</v>
          </cell>
        </row>
        <row r="1527">
          <cell r="I1527">
            <v>0</v>
          </cell>
        </row>
        <row r="1528">
          <cell r="I1528">
            <v>0</v>
          </cell>
        </row>
        <row r="1529">
          <cell r="I1529">
            <v>0</v>
          </cell>
        </row>
        <row r="1530">
          <cell r="I1530">
            <v>0</v>
          </cell>
        </row>
        <row r="1531">
          <cell r="I1531">
            <v>0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0</v>
          </cell>
        </row>
        <row r="1535">
          <cell r="I1535">
            <v>0</v>
          </cell>
        </row>
        <row r="1536">
          <cell r="I1536">
            <v>0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0</v>
          </cell>
        </row>
        <row r="1544">
          <cell r="I1544">
            <v>0</v>
          </cell>
        </row>
        <row r="1545">
          <cell r="I1545">
            <v>0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0</v>
          </cell>
        </row>
        <row r="1560">
          <cell r="I1560">
            <v>0</v>
          </cell>
        </row>
        <row r="1561">
          <cell r="I1561">
            <v>0</v>
          </cell>
        </row>
        <row r="1562">
          <cell r="I1562">
            <v>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0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0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0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0</v>
          </cell>
        </row>
        <row r="1587">
          <cell r="I1587">
            <v>0</v>
          </cell>
        </row>
        <row r="1588">
          <cell r="I1588">
            <v>0</v>
          </cell>
        </row>
        <row r="1589">
          <cell r="I1589">
            <v>0</v>
          </cell>
        </row>
        <row r="1590">
          <cell r="I1590">
            <v>0</v>
          </cell>
        </row>
        <row r="1591">
          <cell r="I1591">
            <v>0</v>
          </cell>
        </row>
        <row r="1592">
          <cell r="I1592">
            <v>0</v>
          </cell>
        </row>
        <row r="1593">
          <cell r="I1593">
            <v>0</v>
          </cell>
        </row>
        <row r="1594">
          <cell r="I1594">
            <v>0</v>
          </cell>
        </row>
        <row r="1595">
          <cell r="I1595">
            <v>0</v>
          </cell>
        </row>
        <row r="1596">
          <cell r="I1596">
            <v>0</v>
          </cell>
        </row>
        <row r="1597">
          <cell r="I1597">
            <v>0</v>
          </cell>
        </row>
        <row r="1598">
          <cell r="I1598">
            <v>0</v>
          </cell>
        </row>
        <row r="1599">
          <cell r="I1599">
            <v>0</v>
          </cell>
        </row>
        <row r="1600">
          <cell r="I1600">
            <v>0</v>
          </cell>
        </row>
        <row r="1601">
          <cell r="I1601">
            <v>0</v>
          </cell>
        </row>
        <row r="1602">
          <cell r="I1602">
            <v>0</v>
          </cell>
        </row>
        <row r="1603">
          <cell r="I1603">
            <v>0</v>
          </cell>
        </row>
        <row r="1604">
          <cell r="I1604">
            <v>0</v>
          </cell>
        </row>
        <row r="1605">
          <cell r="I1605">
            <v>0</v>
          </cell>
        </row>
        <row r="1606">
          <cell r="I1606">
            <v>0</v>
          </cell>
        </row>
        <row r="1607">
          <cell r="I1607">
            <v>0</v>
          </cell>
        </row>
        <row r="1608">
          <cell r="I1608">
            <v>0</v>
          </cell>
        </row>
        <row r="1609">
          <cell r="I1609">
            <v>0</v>
          </cell>
        </row>
        <row r="1610">
          <cell r="I1610">
            <v>0</v>
          </cell>
        </row>
        <row r="1611">
          <cell r="I1611">
            <v>0</v>
          </cell>
        </row>
        <row r="1612">
          <cell r="I1612">
            <v>0</v>
          </cell>
        </row>
        <row r="1613">
          <cell r="I1613">
            <v>0</v>
          </cell>
        </row>
        <row r="1614">
          <cell r="I1614">
            <v>0</v>
          </cell>
        </row>
        <row r="1615">
          <cell r="I1615">
            <v>0</v>
          </cell>
        </row>
        <row r="1616">
          <cell r="I1616">
            <v>0</v>
          </cell>
        </row>
        <row r="1617">
          <cell r="I1617">
            <v>0</v>
          </cell>
        </row>
        <row r="1618">
          <cell r="I1618">
            <v>0</v>
          </cell>
        </row>
        <row r="1619">
          <cell r="I1619">
            <v>0</v>
          </cell>
        </row>
        <row r="1620">
          <cell r="I1620">
            <v>0</v>
          </cell>
        </row>
        <row r="1621">
          <cell r="I1621">
            <v>0</v>
          </cell>
        </row>
        <row r="1622">
          <cell r="I1622">
            <v>0</v>
          </cell>
        </row>
        <row r="1623">
          <cell r="I1623">
            <v>0</v>
          </cell>
        </row>
        <row r="1624">
          <cell r="I1624">
            <v>0</v>
          </cell>
        </row>
        <row r="1625">
          <cell r="I1625">
            <v>0</v>
          </cell>
        </row>
        <row r="1626">
          <cell r="I1626">
            <v>0</v>
          </cell>
        </row>
        <row r="1627">
          <cell r="I1627">
            <v>0</v>
          </cell>
        </row>
        <row r="1628">
          <cell r="I1628">
            <v>0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0</v>
          </cell>
        </row>
        <row r="1647">
          <cell r="I1647">
            <v>0</v>
          </cell>
        </row>
        <row r="1648">
          <cell r="I1648">
            <v>0</v>
          </cell>
        </row>
        <row r="1649">
          <cell r="I1649">
            <v>0</v>
          </cell>
        </row>
        <row r="1650">
          <cell r="I1650">
            <v>0</v>
          </cell>
        </row>
        <row r="1651">
          <cell r="I1651">
            <v>0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0</v>
          </cell>
        </row>
        <row r="1658">
          <cell r="I1658">
            <v>0</v>
          </cell>
        </row>
        <row r="1659">
          <cell r="I1659">
            <v>0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0</v>
          </cell>
        </row>
        <row r="1672">
          <cell r="I1672">
            <v>0</v>
          </cell>
        </row>
        <row r="1673">
          <cell r="I1673">
            <v>0</v>
          </cell>
        </row>
        <row r="1674">
          <cell r="I1674">
            <v>0</v>
          </cell>
        </row>
        <row r="1675">
          <cell r="I1675">
            <v>0</v>
          </cell>
        </row>
        <row r="1676">
          <cell r="I1676">
            <v>0</v>
          </cell>
        </row>
        <row r="1677">
          <cell r="I1677">
            <v>0</v>
          </cell>
        </row>
        <row r="1678">
          <cell r="I1678">
            <v>0</v>
          </cell>
        </row>
        <row r="1679">
          <cell r="I1679">
            <v>0</v>
          </cell>
        </row>
        <row r="1680">
          <cell r="I1680">
            <v>0</v>
          </cell>
        </row>
        <row r="1681">
          <cell r="I1681">
            <v>0</v>
          </cell>
        </row>
        <row r="1682">
          <cell r="I1682">
            <v>0</v>
          </cell>
        </row>
        <row r="1683">
          <cell r="I1683">
            <v>0</v>
          </cell>
        </row>
        <row r="1684">
          <cell r="I1684">
            <v>0</v>
          </cell>
        </row>
        <row r="1685">
          <cell r="I1685">
            <v>0</v>
          </cell>
        </row>
        <row r="1686">
          <cell r="I1686">
            <v>0</v>
          </cell>
        </row>
        <row r="1687">
          <cell r="I1687">
            <v>0</v>
          </cell>
        </row>
        <row r="1688">
          <cell r="I1688">
            <v>0</v>
          </cell>
        </row>
        <row r="1689">
          <cell r="I1689">
            <v>0</v>
          </cell>
        </row>
        <row r="1690">
          <cell r="I1690">
            <v>0</v>
          </cell>
        </row>
        <row r="1691">
          <cell r="I1691">
            <v>0</v>
          </cell>
        </row>
        <row r="1692">
          <cell r="I1692">
            <v>0</v>
          </cell>
        </row>
        <row r="1693">
          <cell r="I1693">
            <v>0</v>
          </cell>
        </row>
        <row r="1694">
          <cell r="I1694">
            <v>0</v>
          </cell>
        </row>
        <row r="1695">
          <cell r="I1695">
            <v>0</v>
          </cell>
        </row>
        <row r="1696">
          <cell r="I1696">
            <v>0</v>
          </cell>
        </row>
        <row r="1697">
          <cell r="I1697">
            <v>0</v>
          </cell>
        </row>
        <row r="1698">
          <cell r="I1698">
            <v>0</v>
          </cell>
        </row>
        <row r="1699">
          <cell r="I1699">
            <v>0</v>
          </cell>
        </row>
        <row r="1700">
          <cell r="I1700">
            <v>0</v>
          </cell>
        </row>
        <row r="1701">
          <cell r="I1701">
            <v>0</v>
          </cell>
        </row>
        <row r="1702">
          <cell r="I1702">
            <v>0</v>
          </cell>
        </row>
        <row r="1703">
          <cell r="I1703">
            <v>0</v>
          </cell>
        </row>
        <row r="1704">
          <cell r="I1704">
            <v>0</v>
          </cell>
        </row>
        <row r="1705">
          <cell r="I1705">
            <v>0</v>
          </cell>
        </row>
        <row r="1706">
          <cell r="I1706">
            <v>0</v>
          </cell>
        </row>
        <row r="1707">
          <cell r="I1707">
            <v>0</v>
          </cell>
        </row>
        <row r="1708">
          <cell r="I1708">
            <v>0</v>
          </cell>
        </row>
        <row r="1709">
          <cell r="I1709">
            <v>0</v>
          </cell>
        </row>
        <row r="1710">
          <cell r="I1710">
            <v>0</v>
          </cell>
        </row>
        <row r="1711">
          <cell r="I1711">
            <v>0</v>
          </cell>
        </row>
        <row r="1712">
          <cell r="I1712">
            <v>0</v>
          </cell>
        </row>
        <row r="1713">
          <cell r="I1713">
            <v>0</v>
          </cell>
        </row>
        <row r="1714">
          <cell r="I1714">
            <v>0</v>
          </cell>
        </row>
        <row r="1715">
          <cell r="I1715">
            <v>0</v>
          </cell>
        </row>
        <row r="1716">
          <cell r="I1716">
            <v>0</v>
          </cell>
        </row>
        <row r="1717">
          <cell r="I1717">
            <v>0</v>
          </cell>
        </row>
        <row r="1718">
          <cell r="I1718">
            <v>0</v>
          </cell>
        </row>
        <row r="1719">
          <cell r="I1719">
            <v>0</v>
          </cell>
        </row>
        <row r="1720">
          <cell r="I1720">
            <v>0</v>
          </cell>
        </row>
        <row r="1721">
          <cell r="I1721">
            <v>0</v>
          </cell>
        </row>
        <row r="1722">
          <cell r="I1722">
            <v>0</v>
          </cell>
        </row>
        <row r="1723">
          <cell r="I1723">
            <v>0</v>
          </cell>
        </row>
        <row r="1724">
          <cell r="I1724">
            <v>0</v>
          </cell>
        </row>
        <row r="1725">
          <cell r="I1725">
            <v>0</v>
          </cell>
        </row>
        <row r="1726">
          <cell r="I1726">
            <v>0</v>
          </cell>
        </row>
        <row r="1727">
          <cell r="I1727">
            <v>0</v>
          </cell>
        </row>
        <row r="1728">
          <cell r="I1728">
            <v>0</v>
          </cell>
        </row>
        <row r="1729">
          <cell r="I1729">
            <v>0</v>
          </cell>
        </row>
        <row r="1730">
          <cell r="I1730">
            <v>0</v>
          </cell>
        </row>
        <row r="1731">
          <cell r="I1731">
            <v>0</v>
          </cell>
        </row>
        <row r="1732">
          <cell r="I1732">
            <v>0</v>
          </cell>
        </row>
        <row r="1733">
          <cell r="I1733">
            <v>0</v>
          </cell>
        </row>
        <row r="1734">
          <cell r="I1734">
            <v>0</v>
          </cell>
        </row>
        <row r="1735">
          <cell r="I1735">
            <v>0</v>
          </cell>
        </row>
        <row r="1736">
          <cell r="I1736">
            <v>0</v>
          </cell>
        </row>
        <row r="1737">
          <cell r="I1737">
            <v>0</v>
          </cell>
        </row>
        <row r="1738">
          <cell r="I1738">
            <v>0</v>
          </cell>
        </row>
        <row r="1739">
          <cell r="I1739">
            <v>0</v>
          </cell>
        </row>
        <row r="1740">
          <cell r="I1740">
            <v>0</v>
          </cell>
        </row>
        <row r="1741">
          <cell r="I1741">
            <v>0</v>
          </cell>
        </row>
        <row r="1742">
          <cell r="I1742">
            <v>0</v>
          </cell>
        </row>
        <row r="1743">
          <cell r="I1743">
            <v>0</v>
          </cell>
        </row>
        <row r="1744">
          <cell r="I1744">
            <v>0</v>
          </cell>
        </row>
        <row r="1745">
          <cell r="I1745">
            <v>0</v>
          </cell>
        </row>
        <row r="1746">
          <cell r="I1746">
            <v>0</v>
          </cell>
        </row>
        <row r="1747">
          <cell r="I1747">
            <v>0</v>
          </cell>
        </row>
        <row r="1748">
          <cell r="I1748">
            <v>0</v>
          </cell>
        </row>
        <row r="1749">
          <cell r="I1749">
            <v>0</v>
          </cell>
        </row>
        <row r="1750">
          <cell r="I1750">
            <v>0</v>
          </cell>
        </row>
        <row r="1751">
          <cell r="I1751">
            <v>0</v>
          </cell>
        </row>
        <row r="1752">
          <cell r="I1752">
            <v>0</v>
          </cell>
        </row>
        <row r="1753">
          <cell r="I1753">
            <v>0</v>
          </cell>
        </row>
        <row r="1754">
          <cell r="I1754">
            <v>0</v>
          </cell>
        </row>
        <row r="1755">
          <cell r="I1755">
            <v>0</v>
          </cell>
        </row>
        <row r="1756">
          <cell r="I1756">
            <v>0</v>
          </cell>
        </row>
        <row r="1757">
          <cell r="I1757">
            <v>0</v>
          </cell>
        </row>
        <row r="1758">
          <cell r="I1758">
            <v>0</v>
          </cell>
        </row>
        <row r="1759">
          <cell r="I1759">
            <v>0</v>
          </cell>
        </row>
        <row r="1760">
          <cell r="I1760">
            <v>0</v>
          </cell>
        </row>
        <row r="1761">
          <cell r="I1761">
            <v>0</v>
          </cell>
        </row>
        <row r="1762">
          <cell r="I1762">
            <v>0</v>
          </cell>
        </row>
        <row r="1763">
          <cell r="I1763">
            <v>0</v>
          </cell>
        </row>
        <row r="1764">
          <cell r="I1764">
            <v>0</v>
          </cell>
        </row>
        <row r="1765">
          <cell r="I1765">
            <v>0</v>
          </cell>
        </row>
        <row r="1766">
          <cell r="I1766">
            <v>0</v>
          </cell>
        </row>
        <row r="1767">
          <cell r="I1767">
            <v>0</v>
          </cell>
        </row>
        <row r="1768">
          <cell r="I1768">
            <v>0</v>
          </cell>
        </row>
        <row r="1769">
          <cell r="I1769">
            <v>0</v>
          </cell>
        </row>
        <row r="1770">
          <cell r="I1770">
            <v>0</v>
          </cell>
        </row>
        <row r="1771">
          <cell r="I1771">
            <v>0</v>
          </cell>
        </row>
        <row r="1772">
          <cell r="I1772">
            <v>0</v>
          </cell>
        </row>
        <row r="1773">
          <cell r="I1773">
            <v>0</v>
          </cell>
        </row>
        <row r="1774">
          <cell r="I1774">
            <v>0</v>
          </cell>
        </row>
        <row r="1775">
          <cell r="I1775">
            <v>0</v>
          </cell>
        </row>
        <row r="1776">
          <cell r="I1776">
            <v>0</v>
          </cell>
        </row>
        <row r="1777">
          <cell r="I1777">
            <v>0</v>
          </cell>
        </row>
        <row r="1778">
          <cell r="I1778">
            <v>0</v>
          </cell>
        </row>
        <row r="1779">
          <cell r="I1779">
            <v>0</v>
          </cell>
        </row>
        <row r="1780">
          <cell r="I1780">
            <v>0</v>
          </cell>
        </row>
        <row r="1781">
          <cell r="I1781">
            <v>0</v>
          </cell>
        </row>
        <row r="1782">
          <cell r="I1782">
            <v>0</v>
          </cell>
        </row>
        <row r="1783">
          <cell r="I1783">
            <v>0</v>
          </cell>
        </row>
        <row r="1784">
          <cell r="I1784">
            <v>0</v>
          </cell>
        </row>
        <row r="1785">
          <cell r="I1785">
            <v>0</v>
          </cell>
        </row>
        <row r="1786">
          <cell r="I1786">
            <v>0</v>
          </cell>
        </row>
        <row r="1787">
          <cell r="I1787">
            <v>0</v>
          </cell>
        </row>
        <row r="1788">
          <cell r="I1788">
            <v>0</v>
          </cell>
        </row>
        <row r="1789">
          <cell r="I1789">
            <v>0</v>
          </cell>
        </row>
        <row r="1790">
          <cell r="I1790">
            <v>0</v>
          </cell>
        </row>
        <row r="1791">
          <cell r="I1791">
            <v>0</v>
          </cell>
        </row>
        <row r="1792">
          <cell r="I1792">
            <v>0</v>
          </cell>
        </row>
        <row r="1793">
          <cell r="I1793">
            <v>0</v>
          </cell>
        </row>
        <row r="1794">
          <cell r="I1794">
            <v>0</v>
          </cell>
        </row>
        <row r="1795">
          <cell r="I1795">
            <v>0</v>
          </cell>
        </row>
        <row r="1796">
          <cell r="I1796">
            <v>0</v>
          </cell>
        </row>
        <row r="1797">
          <cell r="I1797">
            <v>0</v>
          </cell>
        </row>
        <row r="1798">
          <cell r="I1798">
            <v>0</v>
          </cell>
        </row>
        <row r="1799">
          <cell r="I1799">
            <v>0</v>
          </cell>
        </row>
        <row r="1800">
          <cell r="I1800">
            <v>0</v>
          </cell>
        </row>
        <row r="1801">
          <cell r="I1801">
            <v>0</v>
          </cell>
        </row>
        <row r="1802">
          <cell r="I1802">
            <v>0</v>
          </cell>
        </row>
        <row r="1803">
          <cell r="I1803">
            <v>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0.462818402775" createdVersion="8" refreshedVersion="8" minRefreshableVersion="3" recordCount="33" xr:uid="{E21C5060-1D10-4A85-879D-52EB852DA5FE}">
  <cacheSource type="worksheet">
    <worksheetSource ref="A60:AG93" sheet="index"/>
  </cacheSource>
  <cacheFields count="33">
    <cacheField name="No." numFmtId="0">
      <sharedItems containsSemiMixedTypes="0" containsString="0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6-27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128738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10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30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10"/>
    </cacheField>
    <cacheField name="Tagihan" numFmtId="0">
      <sharedItems containsSemiMixedTypes="0" containsString="0" containsNumber="1" containsInteger="1" minValue="75000" maxValue="750000"/>
    </cacheField>
    <cacheField name="Tanggal Pembayaran" numFmtId="0">
      <sharedItems containsDate="1" containsString="0" containsBlank="1" containsMixedTypes="1" minDate="2026-06-24T00:00:00" maxDate="1900-01-06T01:51:04"/>
    </cacheField>
    <cacheField name="Qty2" numFmtId="0">
      <sharedItems containsString="0" containsBlank="1" containsNumber="1" containsInteger="1" minValue="1" maxValue="10"/>
    </cacheField>
    <cacheField name="Jumlah Pembayaran" numFmtId="0">
      <sharedItems containsString="0" containsBlank="1" containsNumber="1" containsInteger="1" minValue="75000" maxValue="7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0" maxValue="750000"/>
    </cacheField>
    <cacheField name="Keterangan Setoran" numFmtId="0">
      <sharedItems containsString="0" containsBlank="1" containsNumber="1" containsInteger="1" minValue="46198" maxValue="46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3.5419287037" createdVersion="8" refreshedVersion="8" minRefreshableVersion="3" recordCount="20" xr:uid="{F0BDDC42-61F4-46FE-815E-B9F052B45A64}">
  <cacheSource type="worksheet">
    <worksheetSource ref="A36:P56" sheet="index"/>
  </cacheSource>
  <cacheFields count="16">
    <cacheField name="No." numFmtId="0">
      <sharedItems containsSemiMixedTypes="0" containsString="0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33"/>
    </cacheField>
    <cacheField name="Tagihan" numFmtId="0">
      <sharedItems containsSemiMixedTypes="0" containsString="0" containsNumber="1" containsInteger="1" minValue="0" maxValue="3495000"/>
    </cacheField>
    <cacheField name="Tanggal Pembayaran" numFmtId="0">
      <sharedItems containsNonDate="0" containsDate="1" containsString="0" containsBlank="1" minDate="2026-06-10T00:00:00" maxDate="2026-06-30T00:00:00"/>
    </cacheField>
    <cacheField name="Qty2" numFmtId="0">
      <sharedItems containsString="0" containsBlank="1" containsNumber="1" containsInteger="1" minValue="10" maxValue="30"/>
    </cacheField>
    <cacheField name="Jumlah Pembayaran" numFmtId="0">
      <sharedItems containsString="0" containsBlank="1" containsNumber="1" containsInteger="1" minValue="150000" maxValue="450000"/>
    </cacheField>
    <cacheField name="Metode _x000a_Pembayaran" numFmtId="0">
      <sharedItems containsBlank="1"/>
    </cacheField>
    <cacheField name="Selisih" numFmtId="0">
      <sharedItems containsSemiMixedTypes="0" containsString="0" containsNumber="1" containsInteger="1" minValue="-300000" maxValue="3495000"/>
    </cacheField>
    <cacheField name="Keterangan Setoran" numFmtId="14">
      <sharedItems containsNonDate="0" containsDate="1" containsString="0" containsBlank="1" minDate="2026-06-10T00:00:00" maxDate="2026-06-27T00:00:00"/>
    </cacheField>
    <cacheField name="SALDO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m/>
    <m/>
    <m/>
    <m/>
    <n v="75000"/>
    <m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m/>
    <m/>
    <m/>
    <m/>
    <n v="750000"/>
    <m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n v="46199"/>
    <n v="9"/>
    <n v="675000"/>
    <s v="CASH"/>
    <n v="0"/>
    <m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n v="46199"/>
    <n v="5"/>
    <n v="375000"/>
    <s v="CASH"/>
    <n v="0"/>
    <m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m/>
    <m/>
    <m/>
    <m/>
    <n v="525000"/>
    <m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m/>
    <m/>
    <m/>
    <m/>
    <n v="22500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m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m/>
    <m/>
    <m/>
    <m/>
    <n v="750000"/>
    <m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m/>
    <n v="0"/>
  </r>
  <r>
    <n v="208"/>
    <d v="2026-06-30T00:00:00"/>
    <s v="HT"/>
    <s v="MC-SAGARANTEN"/>
    <m/>
    <e v="#N/A"/>
    <x v="0"/>
    <n v="230"/>
    <n v="3450000"/>
    <m/>
    <m/>
    <m/>
    <m/>
    <n v="3450000"/>
    <m/>
    <n v="0"/>
  </r>
  <r>
    <n v="209"/>
    <d v="2026-06-30T00:00:00"/>
    <s v="HT"/>
    <s v="MC-SAGARANTEN"/>
    <m/>
    <e v="#N/A"/>
    <x v="1"/>
    <n v="233"/>
    <n v="3495000"/>
    <m/>
    <m/>
    <m/>
    <m/>
    <n v="3495000"/>
    <m/>
    <n v="0"/>
  </r>
  <r>
    <n v="210"/>
    <d v="2026-06-30T00:00:00"/>
    <s v="HT"/>
    <s v="MC-SAGARANTEN"/>
    <m/>
    <e v="#N/A"/>
    <x v="2"/>
    <n v="146"/>
    <n v="2190000"/>
    <m/>
    <m/>
    <m/>
    <m/>
    <n v="2190000"/>
    <m/>
    <n v="0"/>
  </r>
  <r>
    <n v="211"/>
    <d v="2026-06-30T00:00:00"/>
    <s v="HT"/>
    <s v="MC-SAGARANTEN"/>
    <m/>
    <e v="#N/A"/>
    <x v="3"/>
    <n v="200"/>
    <n v="3000000"/>
    <m/>
    <m/>
    <m/>
    <m/>
    <n v="300000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ECE545-D939-4E18-BA54-ACB2C26F543A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2DB27-6405-4756-9EA8-73E5E15ACD33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60:AJ65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P 3GB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173</v>
      </c>
      <c r="C4">
        <f>index!C5</f>
        <v>0</v>
      </c>
      <c r="D4" s="1">
        <f t="shared" ref="D4:D21" si="0">B4+C4</f>
        <v>173</v>
      </c>
    </row>
    <row r="5" spans="1:4" x14ac:dyDescent="0.35">
      <c r="A5" t="s">
        <v>6</v>
      </c>
      <c r="B5">
        <f>index!B6</f>
        <v>70</v>
      </c>
      <c r="C5">
        <f>index!C6</f>
        <v>0</v>
      </c>
      <c r="D5" s="1">
        <f t="shared" si="0"/>
        <v>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500</v>
      </c>
      <c r="C7">
        <f>index!C8</f>
        <v>163</v>
      </c>
      <c r="D7" s="1">
        <f t="shared" si="0"/>
        <v>663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885</v>
      </c>
      <c r="D20" s="1">
        <f t="shared" si="0"/>
        <v>885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12</v>
      </c>
      <c r="C2">
        <f>index!H5</f>
        <v>0</v>
      </c>
      <c r="D2">
        <f>index!I5</f>
        <v>0</v>
      </c>
      <c r="E2">
        <f>index!J5</f>
        <v>0</v>
      </c>
      <c r="G2">
        <f>SUM(B2:F2)</f>
        <v>12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71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430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86</v>
      </c>
      <c r="D10">
        <f>index!I13</f>
        <v>114</v>
      </c>
      <c r="E10">
        <f>index!J13</f>
        <v>232</v>
      </c>
      <c r="G10">
        <f t="shared" si="0"/>
        <v>577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17</v>
      </c>
      <c r="C12">
        <f>index!H15</f>
        <v>19</v>
      </c>
      <c r="D12">
        <f>index!I15</f>
        <v>41</v>
      </c>
      <c r="E12">
        <f>index!J15</f>
        <v>71</v>
      </c>
      <c r="G12">
        <f t="shared" si="0"/>
        <v>148</v>
      </c>
    </row>
    <row r="13" spans="1:7" x14ac:dyDescent="0.35">
      <c r="A13" t="s">
        <v>35</v>
      </c>
      <c r="B13">
        <f>index!G16</f>
        <v>60</v>
      </c>
      <c r="C13">
        <f>index!H16</f>
        <v>80</v>
      </c>
      <c r="D13">
        <f>index!I16</f>
        <v>44</v>
      </c>
      <c r="E13">
        <f>index!J16</f>
        <v>45</v>
      </c>
      <c r="G13">
        <f t="shared" si="0"/>
        <v>229</v>
      </c>
    </row>
    <row r="14" spans="1:7" x14ac:dyDescent="0.35">
      <c r="A14" t="s">
        <v>36</v>
      </c>
      <c r="B14">
        <f>index!G17</f>
        <v>45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178</v>
      </c>
    </row>
    <row r="15" spans="1:7" x14ac:dyDescent="0.35">
      <c r="A15" t="s">
        <v>15</v>
      </c>
      <c r="B15">
        <f>index!G18</f>
        <v>39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81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189</v>
      </c>
      <c r="C19">
        <f>index!H22</f>
        <v>28</v>
      </c>
      <c r="D19">
        <f>index!I22</f>
        <v>77</v>
      </c>
      <c r="E19">
        <f>index!J22</f>
        <v>85</v>
      </c>
      <c r="G19">
        <f t="shared" si="0"/>
        <v>379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724</v>
      </c>
      <c r="C23">
        <f t="shared" ref="C23:G23" si="1">SUM(C2:C22)</f>
        <v>825</v>
      </c>
      <c r="D23">
        <f t="shared" si="1"/>
        <v>513</v>
      </c>
      <c r="E23">
        <f t="shared" si="1"/>
        <v>1075</v>
      </c>
      <c r="F23">
        <f t="shared" si="1"/>
        <v>0</v>
      </c>
      <c r="G23">
        <f t="shared" si="1"/>
        <v>3137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79620000</v>
      </c>
    </row>
    <row r="3" spans="1:2" x14ac:dyDescent="0.35">
      <c r="A3" t="s">
        <v>40</v>
      </c>
      <c r="B3">
        <f>index!O4</f>
        <v>129118200</v>
      </c>
    </row>
    <row r="4" spans="1:2" x14ac:dyDescent="0.35">
      <c r="A4" t="s">
        <v>41</v>
      </c>
      <c r="B4">
        <f>index!O5</f>
        <v>105237600</v>
      </c>
    </row>
    <row r="5" spans="1:2" x14ac:dyDescent="0.35">
      <c r="A5" t="s">
        <v>42</v>
      </c>
      <c r="B5">
        <f>index!O6</f>
        <v>125560300</v>
      </c>
    </row>
    <row r="6" spans="1:2" x14ac:dyDescent="0.35">
      <c r="A6" t="s">
        <v>43</v>
      </c>
      <c r="B6">
        <f>SUM(B2:B5)</f>
        <v>439536100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29-Jun</v>
      </c>
      <c r="C1" t="s">
        <v>47</v>
      </c>
      <c r="D1" s="66" t="str">
        <f ca="1">"Parhan " &amp; TEXT(TODAY()-1, "dd-mmm")</f>
        <v>Parhan 29-Jun</v>
      </c>
      <c r="E1" t="s">
        <v>39</v>
      </c>
      <c r="F1" s="66" t="str">
        <f ca="1">"Enden " &amp; TEXT(TODAY()-1, "dd-mmm")</f>
        <v>Enden 29-Jun</v>
      </c>
      <c r="G1" t="s">
        <v>48</v>
      </c>
      <c r="H1" s="66" t="str">
        <f ca="1">"Pebrian " &amp; TEXT(TODAY()-1, "dd-mmm")</f>
        <v>Pebrian 29-Jun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25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0</v>
      </c>
      <c r="K2">
        <f>SUM(C2:I2)</f>
        <v>49</v>
      </c>
      <c r="L2">
        <v>11000</v>
      </c>
      <c r="M2">
        <f>J2*L2</f>
        <v>0</v>
      </c>
      <c r="N2">
        <f>K2*L2</f>
        <v>539000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10</v>
      </c>
      <c r="U2">
        <f>index!DK4</f>
        <v>25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135</v>
      </c>
      <c r="D3" s="70">
        <f>index!T5</f>
        <v>0</v>
      </c>
      <c r="E3">
        <f>index!U5</f>
        <v>91</v>
      </c>
      <c r="F3" s="70">
        <f>index!V5</f>
        <v>0</v>
      </c>
      <c r="G3">
        <f>index!W5</f>
        <v>187</v>
      </c>
      <c r="H3">
        <f>index!X5</f>
        <v>0</v>
      </c>
      <c r="I3">
        <f>index!Y5</f>
        <v>140</v>
      </c>
      <c r="J3" s="70">
        <f t="shared" ref="J3:J5" si="0">B3+D3+F3+H3</f>
        <v>0</v>
      </c>
      <c r="K3">
        <f t="shared" ref="K3:K5" si="1">SUM(C3:I3)</f>
        <v>553</v>
      </c>
      <c r="L3">
        <v>30000</v>
      </c>
      <c r="M3">
        <f t="shared" ref="M3:M5" si="2">J3*L3</f>
        <v>0</v>
      </c>
      <c r="N3">
        <f>K3*L3</f>
        <v>16590000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10</v>
      </c>
      <c r="C4">
        <f>index!S6</f>
        <v>296</v>
      </c>
      <c r="D4" s="70">
        <f>index!T6</f>
        <v>0</v>
      </c>
      <c r="E4">
        <f>index!U6</f>
        <v>321</v>
      </c>
      <c r="F4" s="70">
        <f>index!V6</f>
        <v>0</v>
      </c>
      <c r="G4">
        <f>index!W6</f>
        <v>347</v>
      </c>
      <c r="H4">
        <f>index!X6</f>
        <v>0</v>
      </c>
      <c r="I4">
        <f>index!Y6</f>
        <v>254</v>
      </c>
      <c r="J4" s="70">
        <f t="shared" si="0"/>
        <v>10</v>
      </c>
      <c r="K4">
        <f t="shared" si="1"/>
        <v>1218</v>
      </c>
      <c r="L4">
        <v>25000</v>
      </c>
      <c r="M4">
        <f t="shared" si="2"/>
        <v>250000</v>
      </c>
      <c r="N4">
        <f>K4*L4</f>
        <v>30450000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10</v>
      </c>
      <c r="U4">
        <f>index!DK6</f>
        <v>182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45</v>
      </c>
      <c r="Z4">
        <f>index!DP6</f>
        <v>159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45</v>
      </c>
      <c r="AJ4">
        <f>index!DZ6</f>
        <v>201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0</v>
      </c>
      <c r="D6" s="70">
        <f>index!T8</f>
        <v>0</v>
      </c>
      <c r="E6" s="70">
        <f>index!U8</f>
        <v>0</v>
      </c>
      <c r="F6" s="70">
        <f>index!V8</f>
        <v>0</v>
      </c>
      <c r="G6" s="70">
        <f>index!W8</f>
        <v>0</v>
      </c>
      <c r="H6" s="70">
        <f>index!X8</f>
        <v>0</v>
      </c>
      <c r="I6" s="70">
        <f>index!Y8</f>
        <v>0</v>
      </c>
      <c r="J6" s="70">
        <f>index!Z8</f>
        <v>0</v>
      </c>
      <c r="K6" s="70">
        <f>index!AA8</f>
        <v>0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67</v>
      </c>
      <c r="R6">
        <f>index!DH9</f>
        <v>71</v>
      </c>
      <c r="S6">
        <f>index!DI9</f>
        <v>49</v>
      </c>
      <c r="T6">
        <f>index!DJ9</f>
        <v>20</v>
      </c>
      <c r="U6">
        <f>index!DK9</f>
        <v>207</v>
      </c>
      <c r="V6">
        <f>index!DL9</f>
        <v>19</v>
      </c>
      <c r="W6">
        <f>index!DM9</f>
        <v>10</v>
      </c>
      <c r="X6">
        <f>index!DN9</f>
        <v>85</v>
      </c>
      <c r="Y6">
        <f>index!DO9</f>
        <v>45</v>
      </c>
      <c r="Z6">
        <f>index!DP9</f>
        <v>159</v>
      </c>
      <c r="AA6">
        <f>index!DQ9</f>
        <v>50</v>
      </c>
      <c r="AB6">
        <f>index!DR9</f>
        <v>10</v>
      </c>
      <c r="AC6">
        <f>index!DS9</f>
        <v>85</v>
      </c>
      <c r="AD6">
        <f>index!DT9</f>
        <v>0</v>
      </c>
      <c r="AE6">
        <f>index!DU9</f>
        <v>145</v>
      </c>
      <c r="AF6">
        <f>index!DV9</f>
        <v>40</v>
      </c>
      <c r="AG6">
        <f>index!DW9</f>
        <v>23</v>
      </c>
      <c r="AH6">
        <f>index!DX9</f>
        <v>112</v>
      </c>
      <c r="AI6">
        <f>index!DY9</f>
        <v>45</v>
      </c>
      <c r="AJ6">
        <f>index!DZ9</f>
        <v>220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10</v>
      </c>
      <c r="C7">
        <f t="shared" si="3"/>
        <v>456</v>
      </c>
      <c r="D7" s="70">
        <f t="shared" si="3"/>
        <v>0</v>
      </c>
      <c r="E7">
        <f t="shared" si="3"/>
        <v>412</v>
      </c>
      <c r="F7" s="70">
        <f t="shared" si="3"/>
        <v>0</v>
      </c>
      <c r="G7">
        <f t="shared" si="3"/>
        <v>539</v>
      </c>
      <c r="H7">
        <f t="shared" si="3"/>
        <v>0</v>
      </c>
      <c r="I7">
        <f t="shared" si="3"/>
        <v>413</v>
      </c>
      <c r="J7" s="70">
        <f t="shared" si="3"/>
        <v>10</v>
      </c>
      <c r="K7">
        <f t="shared" si="3"/>
        <v>1820</v>
      </c>
      <c r="L7"/>
      <c r="M7">
        <f>SUM(M2:M5)</f>
        <v>250000</v>
      </c>
      <c r="N7">
        <f>SUM(N2:N5)</f>
        <v>47579000</v>
      </c>
      <c r="O7"/>
      <c r="P7" t="s">
        <v>206</v>
      </c>
      <c r="Q7">
        <f>index!DG9</f>
        <v>67</v>
      </c>
      <c r="R7">
        <f>index!DH9</f>
        <v>71</v>
      </c>
      <c r="S7">
        <f>index!DI9</f>
        <v>49</v>
      </c>
      <c r="T7">
        <f>index!DJ9</f>
        <v>20</v>
      </c>
      <c r="U7">
        <f>index!DK9</f>
        <v>207</v>
      </c>
      <c r="V7">
        <f>index!DL9</f>
        <v>19</v>
      </c>
      <c r="W7">
        <f>index!DM9</f>
        <v>10</v>
      </c>
      <c r="X7">
        <f>index!DN9</f>
        <v>85</v>
      </c>
      <c r="Y7">
        <f>index!DO9</f>
        <v>45</v>
      </c>
      <c r="Z7">
        <f>index!DP9</f>
        <v>159</v>
      </c>
      <c r="AA7">
        <f>index!DQ9</f>
        <v>50</v>
      </c>
      <c r="AB7">
        <f>index!DR9</f>
        <v>10</v>
      </c>
      <c r="AC7">
        <f>index!DS9</f>
        <v>85</v>
      </c>
      <c r="AD7">
        <f>index!DT9</f>
        <v>0</v>
      </c>
      <c r="AE7">
        <f>index!DU9</f>
        <v>145</v>
      </c>
      <c r="AF7">
        <f>index!DV9</f>
        <v>40</v>
      </c>
      <c r="AG7">
        <f>index!DW9</f>
        <v>23</v>
      </c>
      <c r="AH7">
        <f>index!DX9</f>
        <v>112</v>
      </c>
      <c r="AI7">
        <f>index!DY9</f>
        <v>45</v>
      </c>
      <c r="AJ7">
        <f>index!DZ9</f>
        <v>220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105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0</v>
      </c>
      <c r="I10">
        <f>index!Y10</f>
        <v>0</v>
      </c>
      <c r="J10" s="70">
        <f>B10+D10+F10+H10</f>
        <v>0</v>
      </c>
      <c r="K10">
        <f>SUM(C10:I10)</f>
        <v>105</v>
      </c>
      <c r="L10">
        <v>600</v>
      </c>
      <c r="M10">
        <f>K10*L10</f>
        <v>63000</v>
      </c>
      <c r="N10">
        <f>K10*L10</f>
        <v>63000</v>
      </c>
      <c r="P10" t="s">
        <v>8</v>
      </c>
      <c r="Q10">
        <f>index!DG12</f>
        <v>20</v>
      </c>
      <c r="R10">
        <f>index!DH12</f>
        <v>50</v>
      </c>
      <c r="S10">
        <f>index!DI12</f>
        <v>25</v>
      </c>
      <c r="T10">
        <f>index!DJ12</f>
        <v>10</v>
      </c>
      <c r="U10">
        <f>index!DK12</f>
        <v>105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0</v>
      </c>
      <c r="K11">
        <f t="shared" ref="K11:K22" si="5">SUM(C11:I11)</f>
        <v>48</v>
      </c>
      <c r="L11">
        <v>22500</v>
      </c>
      <c r="M11">
        <f t="shared" ref="M11:M22" si="6">K11*L11</f>
        <v>1080000</v>
      </c>
      <c r="N11">
        <f t="shared" ref="N11:N22" si="7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92</v>
      </c>
      <c r="D12" s="70">
        <f>index!T12</f>
        <v>0</v>
      </c>
      <c r="E12">
        <f>index!U12</f>
        <v>279</v>
      </c>
      <c r="F12" s="70">
        <f>index!V12</f>
        <v>0</v>
      </c>
      <c r="G12">
        <f>index!W12</f>
        <v>76</v>
      </c>
      <c r="H12">
        <f>index!X12</f>
        <v>12</v>
      </c>
      <c r="I12">
        <f>index!Y12</f>
        <v>47</v>
      </c>
      <c r="J12" s="70">
        <f t="shared" si="4"/>
        <v>12</v>
      </c>
      <c r="K12">
        <f t="shared" si="5"/>
        <v>506</v>
      </c>
      <c r="L12">
        <v>13500</v>
      </c>
      <c r="M12">
        <f t="shared" si="6"/>
        <v>6831000</v>
      </c>
      <c r="N12">
        <f t="shared" si="7"/>
        <v>6831000</v>
      </c>
      <c r="P12" t="s">
        <v>32</v>
      </c>
      <c r="Q12">
        <f>index!DG14</f>
        <v>5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5</v>
      </c>
      <c r="V12">
        <f>index!DL14</f>
        <v>30</v>
      </c>
      <c r="W12">
        <f>index!DM14</f>
        <v>70</v>
      </c>
      <c r="X12">
        <f>index!DN14</f>
        <v>10</v>
      </c>
      <c r="Y12">
        <f>index!DO14</f>
        <v>40</v>
      </c>
      <c r="Z12">
        <f>index!DP14</f>
        <v>150</v>
      </c>
      <c r="AA12">
        <f>index!DQ14</f>
        <v>0</v>
      </c>
      <c r="AB12">
        <f>index!DR14</f>
        <v>70</v>
      </c>
      <c r="AC12">
        <f>index!DS14</f>
        <v>10</v>
      </c>
      <c r="AD12">
        <f>index!DT14</f>
        <v>24</v>
      </c>
      <c r="AE12">
        <f>index!DU14</f>
        <v>104</v>
      </c>
      <c r="AF12">
        <f>index!DV14</f>
        <v>20</v>
      </c>
      <c r="AG12">
        <f>index!DW14</f>
        <v>0</v>
      </c>
      <c r="AH12">
        <f>index!DX14</f>
        <v>3</v>
      </c>
      <c r="AI12">
        <f>index!DY14</f>
        <v>40</v>
      </c>
      <c r="AJ12">
        <f>index!DZ14</f>
        <v>63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53</v>
      </c>
      <c r="F14" s="70">
        <f>index!V14</f>
        <v>0</v>
      </c>
      <c r="G14">
        <f>index!W14</f>
        <v>88</v>
      </c>
      <c r="H14">
        <f>index!X14</f>
        <v>0</v>
      </c>
      <c r="I14">
        <f>index!Y14</f>
        <v>66</v>
      </c>
      <c r="J14" s="70">
        <f t="shared" si="4"/>
        <v>0</v>
      </c>
      <c r="K14">
        <f t="shared" si="5"/>
        <v>234</v>
      </c>
      <c r="L14">
        <v>15400</v>
      </c>
      <c r="M14">
        <f t="shared" si="6"/>
        <v>3603600</v>
      </c>
      <c r="N14">
        <f t="shared" si="7"/>
        <v>3603600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20</v>
      </c>
      <c r="Y14">
        <f>index!DO16</f>
        <v>0</v>
      </c>
      <c r="Z14">
        <f>index!DP16</f>
        <v>20</v>
      </c>
      <c r="AA14">
        <f>index!DQ16</f>
        <v>6</v>
      </c>
      <c r="AB14">
        <f>index!DR16</f>
        <v>0</v>
      </c>
      <c r="AC14">
        <f>index!DS16</f>
        <v>20</v>
      </c>
      <c r="AD14">
        <f>index!DT16</f>
        <v>0</v>
      </c>
      <c r="AE14">
        <f>index!DU16</f>
        <v>26</v>
      </c>
      <c r="AF14">
        <f>index!DV16</f>
        <v>10</v>
      </c>
      <c r="AG14">
        <f>index!DW16</f>
        <v>5</v>
      </c>
      <c r="AH14">
        <f>index!DX16</f>
        <v>0</v>
      </c>
      <c r="AI14">
        <f>index!DY16</f>
        <v>0</v>
      </c>
      <c r="AJ14">
        <f>index!DZ16</f>
        <v>15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54</v>
      </c>
      <c r="D15" s="70">
        <f>index!T15</f>
        <v>10</v>
      </c>
      <c r="E15">
        <f>index!U15</f>
        <v>220</v>
      </c>
      <c r="F15" s="70">
        <f>index!V15</f>
        <v>6</v>
      </c>
      <c r="G15">
        <f>index!W15</f>
        <v>167</v>
      </c>
      <c r="H15">
        <f>index!X15</f>
        <v>0</v>
      </c>
      <c r="I15">
        <f>index!Y15</f>
        <v>71</v>
      </c>
      <c r="J15" s="70">
        <f t="shared" si="4"/>
        <v>16</v>
      </c>
      <c r="K15">
        <f t="shared" si="5"/>
        <v>528</v>
      </c>
      <c r="L15">
        <v>17250</v>
      </c>
      <c r="M15">
        <f t="shared" si="6"/>
        <v>9108000</v>
      </c>
      <c r="N15">
        <f t="shared" si="7"/>
        <v>9108000</v>
      </c>
      <c r="P15" t="s">
        <v>35</v>
      </c>
      <c r="Q15">
        <f>index!DG17</f>
        <v>10</v>
      </c>
      <c r="R15">
        <f>index!DH17</f>
        <v>20</v>
      </c>
      <c r="S15">
        <f>index!DI17</f>
        <v>14</v>
      </c>
      <c r="T15">
        <f>index!DJ17</f>
        <v>10</v>
      </c>
      <c r="U15">
        <f>index!DK17</f>
        <v>54</v>
      </c>
      <c r="V15">
        <f>index!DL17</f>
        <v>15</v>
      </c>
      <c r="W15">
        <f>index!DM17</f>
        <v>70</v>
      </c>
      <c r="X15">
        <f>index!DN17</f>
        <v>85</v>
      </c>
      <c r="Y15">
        <f>index!DO17</f>
        <v>50</v>
      </c>
      <c r="Z15">
        <f>index!DP17</f>
        <v>220</v>
      </c>
      <c r="AA15">
        <f>index!DQ17</f>
        <v>27</v>
      </c>
      <c r="AB15">
        <f>index!DR17</f>
        <v>70</v>
      </c>
      <c r="AC15">
        <f>index!DS17</f>
        <v>85</v>
      </c>
      <c r="AD15">
        <f>index!DT17</f>
        <v>52</v>
      </c>
      <c r="AE15">
        <f>index!DU17</f>
        <v>234</v>
      </c>
      <c r="AF15">
        <f>index!DV17</f>
        <v>0</v>
      </c>
      <c r="AG15">
        <f>index!DW17</f>
        <v>26</v>
      </c>
      <c r="AH15">
        <f>index!DX17</f>
        <v>35</v>
      </c>
      <c r="AI15">
        <f>index!DY17</f>
        <v>50</v>
      </c>
      <c r="AJ15">
        <f>index!DZ17</f>
        <v>111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31</v>
      </c>
      <c r="D16" s="70">
        <f>index!T16</f>
        <v>0</v>
      </c>
      <c r="E16">
        <f>index!U16</f>
        <v>49</v>
      </c>
      <c r="F16" s="70">
        <f>index!V16</f>
        <v>0</v>
      </c>
      <c r="G16">
        <f>index!W16</f>
        <v>3</v>
      </c>
      <c r="H16">
        <f>index!X16</f>
        <v>0</v>
      </c>
      <c r="I16">
        <f>index!Y16</f>
        <v>18</v>
      </c>
      <c r="J16" s="70">
        <f t="shared" si="4"/>
        <v>0</v>
      </c>
      <c r="K16">
        <f t="shared" si="5"/>
        <v>101</v>
      </c>
      <c r="L16">
        <v>23800</v>
      </c>
      <c r="M16">
        <f t="shared" si="6"/>
        <v>2403800</v>
      </c>
      <c r="N16">
        <f t="shared" si="7"/>
        <v>2403800</v>
      </c>
      <c r="P16" t="s">
        <v>36</v>
      </c>
      <c r="Q16">
        <f>index!DG18</f>
        <v>0</v>
      </c>
      <c r="R16">
        <f>index!DH18</f>
        <v>15</v>
      </c>
      <c r="S16">
        <f>index!DI18</f>
        <v>10</v>
      </c>
      <c r="T16">
        <f>index!DJ18</f>
        <v>6</v>
      </c>
      <c r="U16">
        <f>index!DK18</f>
        <v>31</v>
      </c>
      <c r="V16">
        <f>index!DL18</f>
        <v>7</v>
      </c>
      <c r="W16">
        <f>index!DM18</f>
        <v>20</v>
      </c>
      <c r="X16">
        <f>index!DN18</f>
        <v>22</v>
      </c>
      <c r="Y16">
        <f>index!DO18</f>
        <v>0</v>
      </c>
      <c r="Z16">
        <f>index!DP18</f>
        <v>49</v>
      </c>
      <c r="AA16">
        <f>index!DQ18</f>
        <v>0</v>
      </c>
      <c r="AB16">
        <f>index!DR18</f>
        <v>20</v>
      </c>
      <c r="AC16">
        <f>index!DS18</f>
        <v>22</v>
      </c>
      <c r="AD16">
        <f>index!DT18</f>
        <v>0</v>
      </c>
      <c r="AE16">
        <f>index!DU18</f>
        <v>42</v>
      </c>
      <c r="AF16">
        <f>index!DV18</f>
        <v>2</v>
      </c>
      <c r="AG16">
        <f>index!DW18</f>
        <v>16</v>
      </c>
      <c r="AH16">
        <f>index!DX18</f>
        <v>0</v>
      </c>
      <c r="AI16">
        <f>index!DY18</f>
        <v>0</v>
      </c>
      <c r="AJ16">
        <f>index!DZ18</f>
        <v>18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6</v>
      </c>
      <c r="D17" s="70">
        <f>index!T17</f>
        <v>0</v>
      </c>
      <c r="E17">
        <f>index!U17</f>
        <v>19</v>
      </c>
      <c r="F17" s="70">
        <f>index!V17</f>
        <v>0</v>
      </c>
      <c r="G17">
        <f>index!W17</f>
        <v>12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37</v>
      </c>
      <c r="L17">
        <v>30000</v>
      </c>
      <c r="M17">
        <f t="shared" si="6"/>
        <v>1110000</v>
      </c>
      <c r="N17">
        <f t="shared" si="7"/>
        <v>1110000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6</v>
      </c>
      <c r="U17">
        <f>index!DK19</f>
        <v>6</v>
      </c>
      <c r="V17">
        <f>index!DL19</f>
        <v>3</v>
      </c>
      <c r="W17">
        <f>index!DM19</f>
        <v>16</v>
      </c>
      <c r="X17">
        <f>index!DN19</f>
        <v>0</v>
      </c>
      <c r="Y17">
        <f>index!DO19</f>
        <v>0</v>
      </c>
      <c r="Z17">
        <f>index!DP19</f>
        <v>19</v>
      </c>
      <c r="AA17">
        <f>index!DQ19</f>
        <v>0</v>
      </c>
      <c r="AB17">
        <f>index!DR19</f>
        <v>16</v>
      </c>
      <c r="AC17">
        <f>index!DS19</f>
        <v>0</v>
      </c>
      <c r="AD17">
        <f>index!DT19</f>
        <v>0</v>
      </c>
      <c r="AE17">
        <f>index!DU19</f>
        <v>16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1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1</v>
      </c>
      <c r="L19">
        <v>7000</v>
      </c>
      <c r="M19">
        <f t="shared" si="6"/>
        <v>7000</v>
      </c>
      <c r="N19">
        <f t="shared" si="7"/>
        <v>7000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1</v>
      </c>
      <c r="U19">
        <f>index!DK21</f>
        <v>1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25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6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25</v>
      </c>
      <c r="Z20">
        <f>index!DP22</f>
        <v>25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6</v>
      </c>
      <c r="AH20">
        <f>index!DX22</f>
        <v>0</v>
      </c>
      <c r="AI20">
        <f>index!DY22</f>
        <v>25</v>
      </c>
      <c r="AJ20">
        <f>index!DZ22</f>
        <v>31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20</v>
      </c>
      <c r="C21">
        <f>index!S21</f>
        <v>152</v>
      </c>
      <c r="D21" s="70">
        <f>index!T21</f>
        <v>15</v>
      </c>
      <c r="E21">
        <f>index!U21</f>
        <v>177</v>
      </c>
      <c r="F21" s="70">
        <f>index!V21</f>
        <v>21</v>
      </c>
      <c r="G21">
        <f>index!W21</f>
        <v>108</v>
      </c>
      <c r="H21">
        <f>index!X21</f>
        <v>0</v>
      </c>
      <c r="I21">
        <f>index!Y21</f>
        <v>76</v>
      </c>
      <c r="J21" s="70">
        <f t="shared" si="4"/>
        <v>56</v>
      </c>
      <c r="K21">
        <f t="shared" si="5"/>
        <v>549</v>
      </c>
      <c r="L21">
        <v>9600</v>
      </c>
      <c r="M21">
        <f t="shared" si="6"/>
        <v>5270400</v>
      </c>
      <c r="N21">
        <f t="shared" si="7"/>
        <v>5270400</v>
      </c>
      <c r="P21" t="s">
        <v>19</v>
      </c>
      <c r="Q21">
        <f>index!DG23</f>
        <v>30</v>
      </c>
      <c r="R21">
        <f>index!DH23</f>
        <v>6</v>
      </c>
      <c r="S21">
        <f>index!DI23</f>
        <v>26</v>
      </c>
      <c r="T21">
        <f>index!DJ23</f>
        <v>90</v>
      </c>
      <c r="U21">
        <f>index!DK23</f>
        <v>152</v>
      </c>
      <c r="V21">
        <f>index!DL23</f>
        <v>75</v>
      </c>
      <c r="W21">
        <f>index!DM23</f>
        <v>5</v>
      </c>
      <c r="X21">
        <f>index!DN23</f>
        <v>49</v>
      </c>
      <c r="Y21">
        <f>index!DO23</f>
        <v>48</v>
      </c>
      <c r="Z21">
        <f>index!DP23</f>
        <v>177</v>
      </c>
      <c r="AA21">
        <f>index!DQ23</f>
        <v>12</v>
      </c>
      <c r="AB21">
        <f>index!DR23</f>
        <v>5</v>
      </c>
      <c r="AC21">
        <f>index!DS23</f>
        <v>49</v>
      </c>
      <c r="AD21">
        <f>index!DT23</f>
        <v>36</v>
      </c>
      <c r="AE21">
        <f>index!DU23</f>
        <v>102</v>
      </c>
      <c r="AF21">
        <f>index!DV23</f>
        <v>8</v>
      </c>
      <c r="AG21">
        <f>index!DW23</f>
        <v>12</v>
      </c>
      <c r="AH21">
        <f>index!DX23</f>
        <v>6</v>
      </c>
      <c r="AI21">
        <f>index!DY23</f>
        <v>48</v>
      </c>
      <c r="AJ21">
        <f>index!DZ23</f>
        <v>74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1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1</v>
      </c>
      <c r="L22">
        <v>13200</v>
      </c>
      <c r="M22">
        <f t="shared" si="6"/>
        <v>13200</v>
      </c>
      <c r="N22">
        <f t="shared" si="7"/>
        <v>13200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20</v>
      </c>
      <c r="C23">
        <f>SUM(C10:C22)</f>
        <v>582</v>
      </c>
      <c r="D23" s="70">
        <f>SUM(D10:D22)</f>
        <v>25</v>
      </c>
      <c r="E23">
        <f t="shared" ref="E23:N23" si="8">SUM(E10:E22)</f>
        <v>984</v>
      </c>
      <c r="F23" s="70">
        <f>SUM(F10:F22)</f>
        <v>27</v>
      </c>
      <c r="G23">
        <f t="shared" si="8"/>
        <v>587</v>
      </c>
      <c r="H23">
        <f>SUM(H10:H22)</f>
        <v>12</v>
      </c>
      <c r="I23">
        <f t="shared" si="8"/>
        <v>347</v>
      </c>
      <c r="J23" s="70">
        <f>SUM(J10:J22)</f>
        <v>84</v>
      </c>
      <c r="K23">
        <f t="shared" si="8"/>
        <v>2564</v>
      </c>
      <c r="M23">
        <f>SUM(M10:M22)</f>
        <v>32811300</v>
      </c>
      <c r="N23">
        <f t="shared" si="8"/>
        <v>32811300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46195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46195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46195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46195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46195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46195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46195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46195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118300</v>
      </c>
      <c r="K126" s="44">
        <f>index!BT127</f>
        <v>-100</v>
      </c>
      <c r="L126" s="40">
        <f>index!BU127</f>
        <v>46195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115700</v>
      </c>
      <c r="K141" s="44">
        <f>index!BT142</f>
        <v>100</v>
      </c>
      <c r="L141" s="40">
        <f>index!BU142</f>
        <v>46197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35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46198</v>
      </c>
    </row>
    <row r="144" spans="1:12" x14ac:dyDescent="0.35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46198</v>
      </c>
    </row>
    <row r="145" spans="1:12" x14ac:dyDescent="0.35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46198</v>
      </c>
    </row>
    <row r="146" spans="1:12" x14ac:dyDescent="0.35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46198</v>
      </c>
    </row>
    <row r="147" spans="1:12" x14ac:dyDescent="0.35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46198</v>
      </c>
    </row>
    <row r="148" spans="1:12" x14ac:dyDescent="0.35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46198</v>
      </c>
    </row>
    <row r="149" spans="1:12" x14ac:dyDescent="0.35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46198</v>
      </c>
    </row>
    <row r="150" spans="1:12" x14ac:dyDescent="0.35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46198</v>
      </c>
    </row>
    <row r="151" spans="1:12" x14ac:dyDescent="0.35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46198</v>
      </c>
    </row>
    <row r="152" spans="1:12" x14ac:dyDescent="0.35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46198</v>
      </c>
    </row>
    <row r="153" spans="1:12" x14ac:dyDescent="0.35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46198</v>
      </c>
    </row>
    <row r="154" spans="1:12" x14ac:dyDescent="0.35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46198</v>
      </c>
    </row>
    <row r="155" spans="1:12" x14ac:dyDescent="0.35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46198</v>
      </c>
    </row>
    <row r="156" spans="1:12" x14ac:dyDescent="0.35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46198</v>
      </c>
    </row>
    <row r="157" spans="1:12" x14ac:dyDescent="0.35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46198</v>
      </c>
    </row>
    <row r="158" spans="1:12" x14ac:dyDescent="0.35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46198</v>
      </c>
    </row>
    <row r="159" spans="1:12" x14ac:dyDescent="0.35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46198</v>
      </c>
    </row>
    <row r="160" spans="1:12" x14ac:dyDescent="0.35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75000</v>
      </c>
      <c r="K160" s="44">
        <f>index!BT161</f>
        <v>0</v>
      </c>
      <c r="L160" s="40">
        <f>index!BU161</f>
        <v>46202</v>
      </c>
    </row>
    <row r="161" spans="1:12" x14ac:dyDescent="0.35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75000</v>
      </c>
      <c r="K161" s="44">
        <f>index!BT162</f>
        <v>0</v>
      </c>
      <c r="L161" s="40">
        <f>index!BU162</f>
        <v>46202</v>
      </c>
    </row>
    <row r="162" spans="1:12" x14ac:dyDescent="0.35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75000</v>
      </c>
      <c r="K162" s="44">
        <f>index!BT163</f>
        <v>0</v>
      </c>
      <c r="L162" s="40">
        <f>index!BU163</f>
        <v>46202</v>
      </c>
    </row>
    <row r="163" spans="1:12" x14ac:dyDescent="0.35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75000</v>
      </c>
      <c r="K163" s="44">
        <f>index!BT164</f>
        <v>0</v>
      </c>
      <c r="L163" s="40">
        <f>index!BU164</f>
        <v>46202</v>
      </c>
    </row>
    <row r="164" spans="1:12" x14ac:dyDescent="0.35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75000</v>
      </c>
      <c r="K164" s="44">
        <f>index!BT165</f>
        <v>0</v>
      </c>
      <c r="L164" s="40">
        <f>index!BU165</f>
        <v>46202</v>
      </c>
    </row>
    <row r="165" spans="1:12" x14ac:dyDescent="0.35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75000</v>
      </c>
      <c r="K165" s="44">
        <f>index!BT166</f>
        <v>0</v>
      </c>
      <c r="L165" s="40">
        <f>index!BU166</f>
        <v>46202</v>
      </c>
    </row>
    <row r="166" spans="1:12" x14ac:dyDescent="0.35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75000</v>
      </c>
      <c r="K166" s="44">
        <f>index!BT167</f>
        <v>0</v>
      </c>
      <c r="L166" s="40">
        <f>index!BU167</f>
        <v>46202</v>
      </c>
    </row>
    <row r="167" spans="1:12" x14ac:dyDescent="0.35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75000</v>
      </c>
      <c r="K167" s="44">
        <f>index!BT168</f>
        <v>0</v>
      </c>
      <c r="L167" s="40">
        <f>index!BU168</f>
        <v>46202</v>
      </c>
    </row>
    <row r="168" spans="1:12" x14ac:dyDescent="0.35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75000</v>
      </c>
      <c r="K168" s="44">
        <f>index!BT169</f>
        <v>0</v>
      </c>
      <c r="L168" s="40">
        <f>index!BU169</f>
        <v>46202</v>
      </c>
    </row>
    <row r="169" spans="1:12" x14ac:dyDescent="0.35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75000</v>
      </c>
      <c r="K169" s="44">
        <f>index!BT170</f>
        <v>0</v>
      </c>
      <c r="L169" s="40">
        <f>index!BU170</f>
        <v>46202</v>
      </c>
    </row>
    <row r="170" spans="1:12" x14ac:dyDescent="0.35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46198</v>
      </c>
    </row>
    <row r="171" spans="1:12" x14ac:dyDescent="0.35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46198</v>
      </c>
    </row>
    <row r="172" spans="1:12" x14ac:dyDescent="0.35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46198</v>
      </c>
    </row>
    <row r="173" spans="1:12" x14ac:dyDescent="0.35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46198</v>
      </c>
    </row>
    <row r="174" spans="1:12" x14ac:dyDescent="0.35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150000</v>
      </c>
      <c r="K174" s="44">
        <f>index!BT175</f>
        <v>0</v>
      </c>
      <c r="L174" s="40">
        <f>index!BU175</f>
        <v>46199</v>
      </c>
    </row>
    <row r="175" spans="1:12" x14ac:dyDescent="0.35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375000</v>
      </c>
      <c r="K175" s="44">
        <f>index!BT176</f>
        <v>0</v>
      </c>
      <c r="L175" s="40">
        <f>index!BU176</f>
        <v>46199</v>
      </c>
    </row>
    <row r="176" spans="1:12" x14ac:dyDescent="0.35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75000</v>
      </c>
      <c r="K176" s="44">
        <f>index!BT177</f>
        <v>0</v>
      </c>
      <c r="L176" s="40">
        <f>index!BU177</f>
        <v>46199</v>
      </c>
    </row>
    <row r="177" spans="1:12" x14ac:dyDescent="0.35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150000</v>
      </c>
      <c r="K177" s="44">
        <f>index!BT178</f>
        <v>0</v>
      </c>
      <c r="L177" s="40">
        <f>index!BU178</f>
        <v>46199</v>
      </c>
    </row>
    <row r="178" spans="1:12" x14ac:dyDescent="0.35">
      <c r="A178" s="39">
        <v>177</v>
      </c>
      <c r="B178" s="40">
        <f>index!AP179</f>
        <v>46198</v>
      </c>
      <c r="C178" s="41" t="str">
        <f>index!AQ179</f>
        <v>PAKET4</v>
      </c>
      <c r="D178" s="42" t="str">
        <f>index!AR179</f>
        <v>MC-SAGARANTEN</v>
      </c>
      <c r="E178" s="31">
        <f>index!AS179</f>
        <v>17711073</v>
      </c>
      <c r="F178" s="31" t="str">
        <f>index!AT179</f>
        <v>GILANG CELL 3</v>
      </c>
      <c r="G178" s="43" t="str">
        <f>index!AU179</f>
        <v>Andi Sutiawan</v>
      </c>
      <c r="H178" s="6">
        <f>index!AV179</f>
        <v>4</v>
      </c>
      <c r="I178" s="44">
        <f>index!BO179</f>
        <v>472800</v>
      </c>
      <c r="J178" s="44">
        <f>index!BR179</f>
        <v>472800</v>
      </c>
      <c r="K178" s="44">
        <f>index!BT179</f>
        <v>0</v>
      </c>
      <c r="L178" s="40">
        <f>index!BU179</f>
        <v>46199</v>
      </c>
    </row>
    <row r="179" spans="1:12" x14ac:dyDescent="0.35">
      <c r="A179" s="39">
        <v>178</v>
      </c>
      <c r="B179" s="40">
        <f>index!AP180</f>
        <v>46198</v>
      </c>
      <c r="C179" s="41" t="str">
        <f>index!AQ180</f>
        <v>GOL</v>
      </c>
      <c r="D179" s="42" t="str">
        <f>index!AR180</f>
        <v>MC-SAGARANTEN</v>
      </c>
      <c r="E179" s="31">
        <f>index!AS180</f>
        <v>17399911</v>
      </c>
      <c r="F179" s="31" t="str">
        <f>index!AT180</f>
        <v>HIKARU CELL 2</v>
      </c>
      <c r="G179" s="43" t="str">
        <f>index!AU180</f>
        <v>Andi Sutiawan</v>
      </c>
      <c r="H179" s="6">
        <f>index!AV180</f>
        <v>10</v>
      </c>
      <c r="I179" s="44">
        <f>index!BO180</f>
        <v>750000</v>
      </c>
      <c r="J179" s="44">
        <f>index!BR180</f>
        <v>750000</v>
      </c>
      <c r="K179" s="44">
        <f>index!BT180</f>
        <v>0</v>
      </c>
      <c r="L179" s="40">
        <f>index!BU180</f>
        <v>46202</v>
      </c>
    </row>
    <row r="180" spans="1:12" x14ac:dyDescent="0.35">
      <c r="A180" s="39">
        <v>179</v>
      </c>
      <c r="B180" s="40">
        <f>index!AP181</f>
        <v>46198</v>
      </c>
      <c r="C180" s="41" t="str">
        <f>index!AQ181</f>
        <v>GOL</v>
      </c>
      <c r="D180" s="42" t="str">
        <f>index!AR181</f>
        <v>MC-SAGARANTEN</v>
      </c>
      <c r="E180" s="31">
        <f>index!AS181</f>
        <v>17190542</v>
      </c>
      <c r="F180" s="31" t="str">
        <f>index!AT181</f>
        <v>BERKAH CELLULAR</v>
      </c>
      <c r="G180" s="43" t="str">
        <f>index!AU181</f>
        <v>Muhamad Parhan</v>
      </c>
      <c r="H180" s="6">
        <f>index!AV181</f>
        <v>6</v>
      </c>
      <c r="I180" s="44">
        <f>index!BO181</f>
        <v>450000</v>
      </c>
      <c r="J180" s="44">
        <f>index!BR181</f>
        <v>425000</v>
      </c>
      <c r="K180" s="44">
        <f>index!BT181</f>
        <v>25000</v>
      </c>
      <c r="L180" s="40">
        <f>index!BU181</f>
        <v>46199</v>
      </c>
    </row>
    <row r="181" spans="1:12" x14ac:dyDescent="0.35">
      <c r="A181" s="39">
        <v>180</v>
      </c>
      <c r="B181" s="40">
        <f>index!AP182</f>
        <v>46198</v>
      </c>
      <c r="C181" s="41" t="str">
        <f>index!AQ182</f>
        <v>GOL</v>
      </c>
      <c r="D181" s="42" t="str">
        <f>index!AR182</f>
        <v>MC-SAGARANTEN</v>
      </c>
      <c r="E181" s="31">
        <f>index!AS182</f>
        <v>17179164</v>
      </c>
      <c r="F181" s="31" t="str">
        <f>index!AT182</f>
        <v>JR STORE</v>
      </c>
      <c r="G181" s="43" t="str">
        <f>index!AU182</f>
        <v>M. Enden Abdul Latif</v>
      </c>
      <c r="H181" s="6">
        <f>index!AV182</f>
        <v>10</v>
      </c>
      <c r="I181" s="44">
        <f>index!BO182</f>
        <v>750000</v>
      </c>
      <c r="J181" s="44">
        <f>index!BR182</f>
        <v>750000</v>
      </c>
      <c r="K181" s="44">
        <f>index!BT182</f>
        <v>0</v>
      </c>
      <c r="L181" s="40">
        <f>index!BU182</f>
        <v>46199</v>
      </c>
    </row>
    <row r="182" spans="1:12" x14ac:dyDescent="0.35">
      <c r="A182" s="39">
        <v>181</v>
      </c>
      <c r="B182" s="40">
        <f>index!AP183</f>
        <v>46198</v>
      </c>
      <c r="C182" s="41" t="str">
        <f>index!AQ183</f>
        <v>GOL</v>
      </c>
      <c r="D182" s="42" t="str">
        <f>index!AR183</f>
        <v>MC-SAGARANTEN</v>
      </c>
      <c r="E182" s="31">
        <f>index!AS183</f>
        <v>1287387</v>
      </c>
      <c r="F182" s="31" t="str">
        <f>index!AT183</f>
        <v>DEAN CLL</v>
      </c>
      <c r="G182" s="43" t="str">
        <f>index!AU183</f>
        <v>Pebrian Sahri Ramdani</v>
      </c>
      <c r="H182" s="6">
        <f>index!AV183</f>
        <v>10</v>
      </c>
      <c r="I182" s="44">
        <f>index!BO183</f>
        <v>750000</v>
      </c>
      <c r="J182" s="44">
        <f>index!BR183</f>
        <v>750000</v>
      </c>
      <c r="K182" s="44">
        <f>index!BT183</f>
        <v>0</v>
      </c>
      <c r="L182" s="40">
        <f>index!BU183</f>
        <v>46202</v>
      </c>
    </row>
    <row r="183" spans="1:12" x14ac:dyDescent="0.35">
      <c r="A183" s="39">
        <v>182</v>
      </c>
      <c r="B183" s="40">
        <f>index!AP184</f>
        <v>46199</v>
      </c>
      <c r="C183" s="41" t="str">
        <f>index!AQ184</f>
        <v>GOL</v>
      </c>
      <c r="D183" s="42" t="str">
        <f>index!AR184</f>
        <v>MC-SAGARANTEN</v>
      </c>
      <c r="E183" s="31">
        <f>index!AS184</f>
        <v>17737026</v>
      </c>
      <c r="F183" s="31" t="str">
        <f>index!AT184</f>
        <v>Yan cell</v>
      </c>
      <c r="G183" s="43" t="str">
        <f>index!AU184</f>
        <v>Muhamad Parhan</v>
      </c>
      <c r="H183" s="6">
        <f>index!AV184</f>
        <v>9</v>
      </c>
      <c r="I183" s="44">
        <f>index!BO184</f>
        <v>675000</v>
      </c>
      <c r="J183" s="44">
        <f>index!BR184</f>
        <v>675000</v>
      </c>
      <c r="K183" s="44">
        <f>index!BT184</f>
        <v>0</v>
      </c>
      <c r="L183" s="40">
        <f>index!BU184</f>
        <v>46202</v>
      </c>
    </row>
    <row r="184" spans="1:12" x14ac:dyDescent="0.35">
      <c r="A184" s="39">
        <v>183</v>
      </c>
      <c r="B184" s="40">
        <f>index!AP185</f>
        <v>46199</v>
      </c>
      <c r="C184" s="41" t="str">
        <f>index!AQ185</f>
        <v>GOL</v>
      </c>
      <c r="D184" s="42" t="str">
        <f>index!AR185</f>
        <v>MC-SAGARANTEN</v>
      </c>
      <c r="E184" s="31">
        <f>index!AS185</f>
        <v>17288556</v>
      </c>
      <c r="F184" s="31" t="str">
        <f>index!AT185</f>
        <v>M luthvi Qolbi</v>
      </c>
      <c r="G184" s="43" t="str">
        <f>index!AU185</f>
        <v>M. Enden Abdul Latif</v>
      </c>
      <c r="H184" s="6">
        <f>index!AV185</f>
        <v>5</v>
      </c>
      <c r="I184" s="44">
        <f>index!BO185</f>
        <v>375000</v>
      </c>
      <c r="J184" s="44">
        <f>index!BR185</f>
        <v>375000</v>
      </c>
      <c r="K184" s="44">
        <f>index!BT185</f>
        <v>0</v>
      </c>
      <c r="L184" s="40">
        <f>index!BU185</f>
        <v>46202</v>
      </c>
    </row>
    <row r="185" spans="1:12" x14ac:dyDescent="0.35">
      <c r="A185" s="39">
        <v>184</v>
      </c>
      <c r="B185" s="40">
        <f>index!AP186</f>
        <v>46199</v>
      </c>
      <c r="C185" s="41" t="str">
        <f>index!AQ186</f>
        <v>GOL</v>
      </c>
      <c r="D185" s="42" t="str">
        <f>index!AR186</f>
        <v>MC-SAGARANTEN</v>
      </c>
      <c r="E185" s="31">
        <f>index!AS186</f>
        <v>17695935</v>
      </c>
      <c r="F185" s="31" t="str">
        <f>index!AT186</f>
        <v>Taufiq cell</v>
      </c>
      <c r="G185" s="43" t="str">
        <f>index!AU186</f>
        <v>Pebrian Sahri Ramdani</v>
      </c>
      <c r="H185" s="6">
        <f>index!AV186</f>
        <v>7</v>
      </c>
      <c r="I185" s="44">
        <f>index!BO186</f>
        <v>525000</v>
      </c>
      <c r="J185" s="44">
        <f>index!BR186</f>
        <v>525000</v>
      </c>
      <c r="K185" s="44">
        <f>index!BT186</f>
        <v>0</v>
      </c>
      <c r="L185" s="40">
        <f>index!BU186</f>
        <v>46202</v>
      </c>
    </row>
    <row r="186" spans="1:12" x14ac:dyDescent="0.35">
      <c r="A186" s="39">
        <v>185</v>
      </c>
      <c r="B186" s="40">
        <f>index!AP187</f>
        <v>46199</v>
      </c>
      <c r="C186" s="41" t="str">
        <f>index!AQ187</f>
        <v>GOL</v>
      </c>
      <c r="D186" s="42" t="str">
        <f>index!AR187</f>
        <v>MC-SAGARANTEN</v>
      </c>
      <c r="E186" s="31">
        <f>index!AS187</f>
        <v>17437435</v>
      </c>
      <c r="F186" s="31" t="str">
        <f>index!AT187</f>
        <v>FIRMAN CELL</v>
      </c>
      <c r="G186" s="43" t="str">
        <f>index!AU187</f>
        <v>Pebrian Sahri Ramdani</v>
      </c>
      <c r="H186" s="6">
        <f>index!AV187</f>
        <v>3</v>
      </c>
      <c r="I186" s="44">
        <f>index!BO187</f>
        <v>225000</v>
      </c>
      <c r="J186" s="44">
        <f>index!BR187</f>
        <v>225000</v>
      </c>
      <c r="K186" s="44">
        <f>index!BT187</f>
        <v>0</v>
      </c>
      <c r="L186" s="40">
        <f>index!BU187</f>
        <v>46202</v>
      </c>
    </row>
    <row r="187" spans="1:12" x14ac:dyDescent="0.35">
      <c r="A187" s="39">
        <v>186</v>
      </c>
      <c r="B187" s="40">
        <f>index!AP188</f>
        <v>46200</v>
      </c>
      <c r="C187" s="41" t="str">
        <f>index!AQ188</f>
        <v>GOL</v>
      </c>
      <c r="D187" s="42" t="str">
        <f>index!AR188</f>
        <v>MC-SAGARANTEN</v>
      </c>
      <c r="E187" s="31">
        <f>index!AS188</f>
        <v>17031672</v>
      </c>
      <c r="F187" s="31" t="str">
        <f>index!AT188</f>
        <v>ZM CELLULER</v>
      </c>
      <c r="G187" s="43" t="str">
        <f>index!AU188</f>
        <v>Muhamad Parhan</v>
      </c>
      <c r="H187" s="6">
        <f>index!AV188</f>
        <v>7</v>
      </c>
      <c r="I187" s="44">
        <f>index!BO188</f>
        <v>525000</v>
      </c>
      <c r="J187" s="44">
        <f>index!BR188</f>
        <v>525000</v>
      </c>
      <c r="K187" s="44">
        <f>index!BT188</f>
        <v>0</v>
      </c>
      <c r="L187" s="40">
        <f>index!BU188</f>
        <v>46202</v>
      </c>
    </row>
    <row r="188" spans="1:12" x14ac:dyDescent="0.35">
      <c r="A188" s="39">
        <v>187</v>
      </c>
      <c r="B188" s="40">
        <f>index!AP189</f>
        <v>46200</v>
      </c>
      <c r="C188" s="41" t="str">
        <f>index!AQ189</f>
        <v>GOL</v>
      </c>
      <c r="D188" s="42" t="str">
        <f>index!AR189</f>
        <v>MC-SAGARANTEN</v>
      </c>
      <c r="E188" s="31">
        <f>index!AS189</f>
        <v>17268971</v>
      </c>
      <c r="F188" s="31" t="str">
        <f>index!AT189</f>
        <v>AKBAR CELL</v>
      </c>
      <c r="G188" s="43" t="str">
        <f>index!AU189</f>
        <v>Andi Sutiawan</v>
      </c>
      <c r="H188" s="6">
        <f>index!AV189</f>
        <v>4</v>
      </c>
      <c r="I188" s="44">
        <f>index!BO189</f>
        <v>300000</v>
      </c>
      <c r="J188" s="44">
        <f>index!BR189</f>
        <v>300000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46200</v>
      </c>
      <c r="C189" s="41" t="str">
        <f>index!AQ190</f>
        <v>GOL</v>
      </c>
      <c r="D189" s="42" t="str">
        <f>index!AR190</f>
        <v>MC-SAGARANTEN</v>
      </c>
      <c r="E189" s="31">
        <f>index!AS190</f>
        <v>17672233</v>
      </c>
      <c r="F189" s="31" t="str">
        <f>index!AT190</f>
        <v>G-mart Cell</v>
      </c>
      <c r="G189" s="43" t="str">
        <f>index!AU190</f>
        <v>M. Enden Abdul Latif</v>
      </c>
      <c r="H189" s="6">
        <f>index!AV190</f>
        <v>1</v>
      </c>
      <c r="I189" s="44">
        <f>index!BO190</f>
        <v>75000</v>
      </c>
      <c r="J189" s="44">
        <f>index!BR190</f>
        <v>75000</v>
      </c>
      <c r="K189" s="44">
        <f>index!BT190</f>
        <v>0</v>
      </c>
      <c r="L189" s="40">
        <f>index!BU190</f>
        <v>46202</v>
      </c>
    </row>
    <row r="190" spans="1:12" x14ac:dyDescent="0.35">
      <c r="A190" s="39">
        <v>189</v>
      </c>
      <c r="B190" s="40">
        <f>index!AP191</f>
        <v>46202</v>
      </c>
      <c r="C190" s="41" t="str">
        <f>index!AQ191</f>
        <v>GOL</v>
      </c>
      <c r="D190" s="42" t="str">
        <f>index!AR191</f>
        <v>MC-SAGARANTEN</v>
      </c>
      <c r="E190" s="31">
        <f>index!AS191</f>
        <v>17437773</v>
      </c>
      <c r="F190" s="31" t="str">
        <f>index!AT191</f>
        <v>Kimo stor</v>
      </c>
      <c r="G190" s="43" t="str">
        <f>index!AU191</f>
        <v>Muhamad Parhan</v>
      </c>
      <c r="H190" s="6">
        <f>index!AV191</f>
        <v>2</v>
      </c>
      <c r="I190" s="44">
        <f>index!BO191</f>
        <v>150000</v>
      </c>
      <c r="J190" s="44">
        <f>index!BR191</f>
        <v>150000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46202</v>
      </c>
      <c r="C191" s="41" t="str">
        <f>index!AQ192</f>
        <v>GOL</v>
      </c>
      <c r="D191" s="42" t="str">
        <f>index!AR192</f>
        <v>MC-SAGARANTEN</v>
      </c>
      <c r="E191" s="31">
        <f>index!AS192</f>
        <v>1305465</v>
      </c>
      <c r="F191" s="31" t="str">
        <f>index!AT192</f>
        <v>ADI CELL</v>
      </c>
      <c r="G191" s="43" t="str">
        <f>index!AU192</f>
        <v>M. Enden Abdul Latif</v>
      </c>
      <c r="H191" s="6">
        <f>index!AV192</f>
        <v>3</v>
      </c>
      <c r="I191" s="44">
        <f>index!BO192</f>
        <v>225000</v>
      </c>
      <c r="J191" s="44">
        <f>index!BR192</f>
        <v>225000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46202</v>
      </c>
      <c r="C192" s="41" t="str">
        <f>index!AQ193</f>
        <v>GOL</v>
      </c>
      <c r="D192" s="42" t="str">
        <f>index!AR193</f>
        <v>MC-SAGARANTEN</v>
      </c>
      <c r="E192" s="31">
        <f>index!AS193</f>
        <v>572677</v>
      </c>
      <c r="F192" s="31" t="str">
        <f>index!AT193</f>
        <v>Fitri cell</v>
      </c>
      <c r="G192" s="43" t="str">
        <f>index!AU193</f>
        <v>Pebrian Sahri Ramdani</v>
      </c>
      <c r="H192" s="6">
        <f>index!AV193</f>
        <v>19</v>
      </c>
      <c r="I192" s="44">
        <f>index!BO193</f>
        <v>1425000</v>
      </c>
      <c r="J192" s="44">
        <f>index!BR193</f>
        <v>1425000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46202</v>
      </c>
      <c r="C193" s="41" t="str">
        <f>index!AQ194</f>
        <v>GOL</v>
      </c>
      <c r="D193" s="42" t="str">
        <f>index!AR194</f>
        <v>MC-SAGARANTEN</v>
      </c>
      <c r="E193" s="31">
        <f>index!AS194</f>
        <v>17437773</v>
      </c>
      <c r="F193" s="31" t="str">
        <f>index!AT194</f>
        <v>Kimo stor</v>
      </c>
      <c r="G193" s="43" t="str">
        <f>index!AU194</f>
        <v>Muhamad Parhan</v>
      </c>
      <c r="H193" s="6">
        <f>index!AV194</f>
        <v>2</v>
      </c>
      <c r="I193" s="44">
        <f>index!BO194</f>
        <v>150000</v>
      </c>
      <c r="J193" s="44">
        <f>index!BR194</f>
        <v>150000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46202</v>
      </c>
      <c r="C194" s="41" t="str">
        <f>index!AQ195</f>
        <v>GOL</v>
      </c>
      <c r="D194" s="42" t="str">
        <f>index!AR195</f>
        <v>MC-SAGARANTEN</v>
      </c>
      <c r="E194" s="31">
        <f>index!AS195</f>
        <v>1305465</v>
      </c>
      <c r="F194" s="31" t="str">
        <f>index!AT195</f>
        <v>ADI CELL</v>
      </c>
      <c r="G194" s="43" t="str">
        <f>index!AU195</f>
        <v>M. Enden Abdul Latif</v>
      </c>
      <c r="H194" s="6">
        <f>index!AV195</f>
        <v>3</v>
      </c>
      <c r="I194" s="44">
        <f>index!BO195</f>
        <v>225000</v>
      </c>
      <c r="J194" s="44">
        <f>index!BR195</f>
        <v>225000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46202</v>
      </c>
      <c r="C195" s="41" t="str">
        <f>index!AQ196</f>
        <v>GOL</v>
      </c>
      <c r="D195" s="42" t="str">
        <f>index!AR196</f>
        <v>MC-SAGARANTEN</v>
      </c>
      <c r="E195" s="31">
        <f>index!AS196</f>
        <v>572677</v>
      </c>
      <c r="F195" s="31" t="str">
        <f>index!AT196</f>
        <v>Fitri cell</v>
      </c>
      <c r="G195" s="43" t="str">
        <f>index!AU196</f>
        <v>Pebrian Sahri Ramdani</v>
      </c>
      <c r="H195" s="6">
        <f>index!AV196</f>
        <v>19</v>
      </c>
      <c r="I195" s="44">
        <f>index!BO196</f>
        <v>1425000</v>
      </c>
      <c r="J195" s="44">
        <f>index!BR196</f>
        <v>1425000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 t="e">
        <f>index!BO197</f>
        <v>#VALUE!</v>
      </c>
      <c r="J196" s="44">
        <f>index!BR197</f>
        <v>150000</v>
      </c>
      <c r="K196" s="44" t="e">
        <f>index!BT197</f>
        <v>#VALUE!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2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100</v>
      </c>
      <c r="D2">
        <f>index!AH12</f>
        <v>1500000</v>
      </c>
      <c r="E2">
        <f>index!AI12</f>
        <v>1740000</v>
      </c>
      <c r="F2">
        <f>index!AJ12</f>
        <v>50</v>
      </c>
      <c r="G2">
        <f>index!AK12</f>
        <v>50</v>
      </c>
      <c r="H2">
        <f>index!AL12</f>
        <v>100</v>
      </c>
    </row>
    <row r="3" spans="1:8" x14ac:dyDescent="0.35">
      <c r="A3" t="s">
        <v>59</v>
      </c>
      <c r="B3" t="s">
        <v>54</v>
      </c>
      <c r="C3">
        <f>index!AG13</f>
        <v>100</v>
      </c>
      <c r="D3">
        <f>index!AH13</f>
        <v>1500000</v>
      </c>
      <c r="E3">
        <f>index!AI13</f>
        <v>2400000</v>
      </c>
      <c r="F3">
        <f>index!AJ13</f>
        <v>100</v>
      </c>
      <c r="G3">
        <f>index!AK13</f>
        <v>0</v>
      </c>
      <c r="H3">
        <f>index!AL13</f>
        <v>100</v>
      </c>
    </row>
    <row r="4" spans="1:8" x14ac:dyDescent="0.35">
      <c r="A4" t="s">
        <v>60</v>
      </c>
      <c r="B4" t="s">
        <v>41</v>
      </c>
      <c r="C4">
        <f>index!AG14</f>
        <v>100</v>
      </c>
      <c r="D4">
        <f>index!AH14</f>
        <v>1500000</v>
      </c>
      <c r="E4">
        <f>index!AI14</f>
        <v>1500000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2475000</v>
      </c>
      <c r="F5">
        <f>index!AJ15</f>
        <v>75</v>
      </c>
      <c r="G5">
        <f>index!AK15</f>
        <v>25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8115000</v>
      </c>
      <c r="F6">
        <f t="shared" si="0"/>
        <v>325</v>
      </c>
      <c r="G6">
        <f t="shared" si="0"/>
        <v>75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>
        <f>index!CE12</f>
        <v>0</v>
      </c>
      <c r="H11" s="6">
        <f>index!CF12</f>
        <v>0</v>
      </c>
      <c r="I11" s="64">
        <f>index!CG12</f>
        <v>0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439536100</v>
      </c>
      <c r="B2">
        <f>'penjualan-reguler-new'!N7+'penjualan-reguler-new'!N23</f>
        <v>80390300</v>
      </c>
      <c r="C2">
        <f>SUM('penjualan-paket-jupiter'!J2:J400)+'penjualan-direct-selling'!E6</f>
        <v>39166900</v>
      </c>
      <c r="D2">
        <f>SUM('penjualan-hifi'!H2:H17)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9.453125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7265625" bestFit="1" customWidth="1"/>
    <col min="36" max="36" width="13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6" t="s">
        <v>0</v>
      </c>
      <c r="B2" s="96" t="s">
        <v>1</v>
      </c>
      <c r="C2" s="96" t="s">
        <v>2</v>
      </c>
      <c r="D2" s="96" t="s">
        <v>3</v>
      </c>
      <c r="F2" s="98" t="s">
        <v>74</v>
      </c>
      <c r="G2" s="99"/>
      <c r="H2" s="99"/>
      <c r="I2" s="99"/>
      <c r="J2" s="99"/>
      <c r="K2" s="99"/>
      <c r="L2" s="100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1" t="s">
        <v>168</v>
      </c>
      <c r="AA2" s="101" t="s">
        <v>44</v>
      </c>
      <c r="AB2" s="92" t="s">
        <v>45</v>
      </c>
      <c r="AC2" s="94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7"/>
      <c r="B3" s="97"/>
      <c r="C3" s="97"/>
      <c r="D3" s="97"/>
      <c r="F3" s="15"/>
      <c r="G3" s="16"/>
      <c r="H3" s="17"/>
      <c r="I3" s="17"/>
      <c r="J3" s="17"/>
      <c r="K3" s="17"/>
      <c r="L3" s="18"/>
      <c r="N3" s="31" t="s">
        <v>39</v>
      </c>
      <c r="O3" s="33">
        <f>76970000+O9</f>
        <v>79620000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2"/>
      <c r="AA3" s="102"/>
      <c r="AB3" s="93"/>
      <c r="AC3" s="95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46176</v>
      </c>
      <c r="AQ3" s="41" t="s">
        <v>96</v>
      </c>
      <c r="AR3" s="42" t="str">
        <f>IFERROR(VLOOKUP(AU3,[2]SUMMARY!$A$3:$B$7,2,FALSE),"")</f>
        <v>MC-SAGARANTEN</v>
      </c>
      <c r="AS3" s="31">
        <v>17588141</v>
      </c>
      <c r="AT3" s="31" t="str">
        <f>VLOOKUP(AS3,[2]OUTLET!$B:$C,2,0)</f>
        <v>Cuf cell</v>
      </c>
      <c r="AU3" s="43" t="s">
        <v>53</v>
      </c>
      <c r="AV3" s="6">
        <v>1</v>
      </c>
      <c r="AW3" s="44">
        <f>IFERROR(VLOOKUP(AQ3,'[2]Harga &amp; Nama CSO'!$A$116:$L$136,2,FALSE),0)*AV3</f>
        <v>0</v>
      </c>
      <c r="AX3" s="44">
        <f>IFERROR(VLOOKUP(AQ3,'[2]Harga &amp; Nama CSO'!$A$116:$L$136,3,FALSE),0)*AV3</f>
        <v>0</v>
      </c>
      <c r="AY3" s="44">
        <f>IFERROR(VLOOKUP(AQ3,'[2]Harga &amp; Nama CSO'!$A$116:$L$136,4,FALSE),0)*AV3</f>
        <v>3</v>
      </c>
      <c r="AZ3" s="44">
        <f>IFERROR(VLOOKUP(AQ3,'[2]Harga &amp; Nama CSO'!$A$116:$L$136,5,FALSE),0)*AV3</f>
        <v>0</v>
      </c>
      <c r="BA3" s="44">
        <f>IFERROR(VLOOKUP(AQ3,'[2]Harga &amp; Nama CSO'!$A$116:$L$136,6,FALSE),0)*AV3</f>
        <v>0</v>
      </c>
      <c r="BB3" s="44">
        <f>IFERROR(VLOOKUP(AQ3,'[2]Harga &amp; Nama CSO'!$A$116:$L$136,7,FALSE),0)*AV3</f>
        <v>0</v>
      </c>
      <c r="BC3" s="44">
        <f>IFERROR(VLOOKUP(AQ3,'[2]Harga &amp; Nama CSO'!$A$116:$L$136,8,FALSE),0)*AV3</f>
        <v>3</v>
      </c>
      <c r="BD3" s="44">
        <f>IFERROR(VLOOKUP(AQ3,'[2]Harga &amp; Nama CSO'!$A$116:$L$136,9,FALSE),0)*AV3</f>
        <v>0</v>
      </c>
      <c r="BE3" s="44">
        <f>IFERROR(VLOOKUP(AQ3,'[2]Harga &amp; Nama CSO'!$A$116:$L$136,10,FALSE),0)*AV3</f>
        <v>0</v>
      </c>
      <c r="BF3" s="44">
        <f>IFERROR(VLOOKUP(AQ3,'[2]Harga &amp; Nama CSO'!$A$116:$L$136,11,FALSE),0)*AV3</f>
        <v>0</v>
      </c>
      <c r="BG3" s="44">
        <f>IFERROR(VLOOKUP(AQ3,'[2]Harga &amp; Nama CSO'!$A$116:$L$136,12,FALSE),0)*AV3</f>
        <v>0</v>
      </c>
      <c r="BH3" s="44">
        <f>IFERROR(VLOOKUP(AQ3,'[2]Harga &amp; Nama CSO'!$A$116:$R$136,13,FALSE),0)*AV3</f>
        <v>0</v>
      </c>
      <c r="BI3" s="44">
        <f>IFERROR(VLOOKUP(AQ3,'[2]Harga &amp; Nama CSO'!$A$116:$R$136,14,FALSE),0)*AV3</f>
        <v>3</v>
      </c>
      <c r="BJ3" s="44">
        <f>IFERROR(VLOOKUP(AQ3,'[2]Harga &amp; Nama CSO'!$A$116:$R$136,15,FALSE),0)*AV3</f>
        <v>0</v>
      </c>
      <c r="BK3" s="44">
        <f>IFERROR(VLOOKUP(AQ3,'[2]Harga &amp; Nama CSO'!$A$116:$R$136,16,FALSE),0)*AV3</f>
        <v>0</v>
      </c>
      <c r="BL3" s="44">
        <f>IFERROR(VLOOKUP(AQ3,'[2]Harga &amp; Nama CSO'!$A$116:$R$136,17,FALSE),0)*AV3</f>
        <v>0</v>
      </c>
      <c r="BM3" s="44">
        <f>IFERROR(VLOOKUP(AQ3,'[2]Harga &amp; Nama CSO'!$A$116:$R$136,18,FALSE),0)*AV3</f>
        <v>0</v>
      </c>
      <c r="BN3" s="44">
        <f>IFERROR(VLOOKUP(AQ3,'[2]Harga &amp; Nama CSO'!$A$116:$S$136,19,FALSE),0)*AV3</f>
        <v>0</v>
      </c>
      <c r="BO3" s="55">
        <f>IFERROR(VLOOKUP(AQ3,'[2]Harga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SUMIF('[1]SALDO MOBO'!BB:BB,[1]SGR!BC3:BC1802,'[1]SALDO MOBO'!BE:BE)</f>
        <v>#VALUE!</v>
      </c>
      <c r="BW3" s="58">
        <f>VLOOKUP(AQ3,'[1]Harga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46202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121618200+O10</f>
        <v>129118200</v>
      </c>
      <c r="Q4" s="20" t="s">
        <v>4</v>
      </c>
      <c r="R4" s="68">
        <f>CM6</f>
        <v>0</v>
      </c>
      <c r="S4" s="69">
        <f>CW4</f>
        <v>25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0</v>
      </c>
      <c r="AA4" s="69">
        <f>S4+U4+W4+Y4</f>
        <v>49</v>
      </c>
      <c r="AB4" s="4">
        <v>11000</v>
      </c>
      <c r="AC4" s="27">
        <f>AA4*AB4</f>
        <v>539000</v>
      </c>
      <c r="AE4" t="s">
        <v>53</v>
      </c>
      <c r="AF4">
        <f>GETPIVOTDATA("Sum of Qty2",$R$36,"Nama CSO","Muhamad Parhan")+GETPIVOTDATA("SP 3GB",$AI$60,"Nama CSO","Muhamad Parhan")</f>
        <v>116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22</v>
      </c>
      <c r="AO4" s="39">
        <v>2</v>
      </c>
      <c r="AP4" s="40">
        <v>46176</v>
      </c>
      <c r="AQ4" s="41" t="s">
        <v>97</v>
      </c>
      <c r="AR4" s="42" t="str">
        <f>IFERROR(VLOOKUP(AU4,[2]SUMMARY!$A$3:$B$7,2,FALSE),"")</f>
        <v>MC-SAGARANTEN</v>
      </c>
      <c r="AS4" s="31">
        <v>17459415</v>
      </c>
      <c r="AT4" s="31" t="str">
        <f>VLOOKUP(AS4,[2]OUTLET!$B:$C,2,0)</f>
        <v>Amel cell</v>
      </c>
      <c r="AU4" s="43" t="s">
        <v>53</v>
      </c>
      <c r="AV4" s="6">
        <v>1</v>
      </c>
      <c r="AW4" s="44">
        <f>IFERROR(VLOOKUP(AQ4,'[2]Harga &amp; Nama CSO'!$A$116:$L$136,2,FALSE),0)*AV4</f>
        <v>0</v>
      </c>
      <c r="AX4" s="44">
        <f>IFERROR(VLOOKUP(AQ4,'[2]Harga &amp; Nama CSO'!$A$116:$L$136,3,FALSE),0)*AV4</f>
        <v>0</v>
      </c>
      <c r="AY4" s="44">
        <f>IFERROR(VLOOKUP(AQ4,'[2]Harga &amp; Nama CSO'!$A$116:$L$136,4,FALSE),0)*AV4</f>
        <v>3</v>
      </c>
      <c r="AZ4" s="44">
        <f>IFERROR(VLOOKUP(AQ4,'[2]Harga &amp; Nama CSO'!$A$116:$L$136,5,FALSE),0)*AV4</f>
        <v>0</v>
      </c>
      <c r="BA4" s="44">
        <f>IFERROR(VLOOKUP(AQ4,'[2]Harga &amp; Nama CSO'!$A$116:$L$136,6,FALSE),0)*AV4</f>
        <v>0</v>
      </c>
      <c r="BB4" s="44">
        <f>IFERROR(VLOOKUP(AQ4,'[2]Harga &amp; Nama CSO'!$A$116:$L$136,7,FALSE),0)*AV4</f>
        <v>0</v>
      </c>
      <c r="BC4" s="44">
        <f>IFERROR(VLOOKUP(AQ4,'[2]Harga &amp; Nama CSO'!$A$116:$L$136,8,FALSE),0)*AV4</f>
        <v>0</v>
      </c>
      <c r="BD4" s="44">
        <f>IFERROR(VLOOKUP(AQ4,'[2]Harga &amp; Nama CSO'!$A$116:$L$136,9,FALSE),0)*AV4</f>
        <v>0</v>
      </c>
      <c r="BE4" s="44">
        <f>IFERROR(VLOOKUP(AQ4,'[2]Harga &amp; Nama CSO'!$A$116:$L$136,10,FALSE),0)*AV4</f>
        <v>3</v>
      </c>
      <c r="BF4" s="44">
        <f>IFERROR(VLOOKUP(AQ4,'[2]Harga &amp; Nama CSO'!$A$116:$L$136,11,FALSE),0)*AV4</f>
        <v>0</v>
      </c>
      <c r="BG4" s="44">
        <f>IFERROR(VLOOKUP(AQ4,'[2]Harga &amp; Nama CSO'!$A$116:$L$136,12,FALSE),0)*AV4</f>
        <v>0</v>
      </c>
      <c r="BH4" s="44">
        <f>IFERROR(VLOOKUP(AQ4,'[2]Harga &amp; Nama CSO'!$A$116:$R$136,13,FALSE),0)*AV4</f>
        <v>0</v>
      </c>
      <c r="BI4" s="44">
        <f>IFERROR(VLOOKUP(AQ4,'[2]Harga &amp; Nama CSO'!$A$116:$R$136,14,FALSE),0)*AV4</f>
        <v>3</v>
      </c>
      <c r="BJ4" s="44">
        <f>IFERROR(VLOOKUP(AQ4,'[2]Harga &amp; Nama CSO'!$A$116:$R$136,15,FALSE),0)*AV4</f>
        <v>0</v>
      </c>
      <c r="BK4" s="44">
        <f>IFERROR(VLOOKUP(AQ4,'[2]Harga &amp; Nama CSO'!$A$116:$R$136,16,FALSE),0)*AV4</f>
        <v>0</v>
      </c>
      <c r="BL4" s="44">
        <f>IFERROR(VLOOKUP(AQ4,'[2]Harga &amp; Nama CSO'!$A$116:$R$136,17,FALSE),0)*AV4</f>
        <v>0</v>
      </c>
      <c r="BM4" s="44">
        <f>IFERROR(VLOOKUP(AQ4,'[2]Harga &amp; Nama CSO'!$A$116:$R$136,18,FALSE),0)*AV4</f>
        <v>0</v>
      </c>
      <c r="BN4" s="44">
        <f>IFERROR(VLOOKUP(AQ4,'[2]Harga &amp; Nama CSO'!$A$116:$S$136,19,FALSE),0)*AV4</f>
        <v>0</v>
      </c>
      <c r="BO4" s="55">
        <f>IFERROR(VLOOKUP(AQ4,'[2]Harga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VLOOKUP(AQ4,'[1]Harga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25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10</v>
      </c>
      <c r="DK4">
        <v>25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173</v>
      </c>
      <c r="C5" s="14">
        <v>0</v>
      </c>
      <c r="D5" s="13">
        <f t="shared" ref="D5:D22" si="1">C5+B5</f>
        <v>173</v>
      </c>
      <c r="F5" s="20" t="s">
        <v>4</v>
      </c>
      <c r="G5" s="21">
        <v>12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34</v>
      </c>
      <c r="N5" s="31" t="s">
        <v>41</v>
      </c>
      <c r="O5" s="33">
        <f>100587600+O11</f>
        <v>105237600</v>
      </c>
      <c r="Q5" s="20" t="s">
        <v>29</v>
      </c>
      <c r="R5" s="68">
        <f>CM7+AF20</f>
        <v>0</v>
      </c>
      <c r="S5" s="69">
        <f>CW5+AF5-25</f>
        <v>135</v>
      </c>
      <c r="T5" s="69">
        <f>CN7+AF19</f>
        <v>0</v>
      </c>
      <c r="U5" s="27">
        <f>CX5+AF4-25</f>
        <v>91</v>
      </c>
      <c r="V5" s="69">
        <f>CO7+AF21</f>
        <v>0</v>
      </c>
      <c r="W5" s="27">
        <f>CY5+AF6</f>
        <v>187</v>
      </c>
      <c r="X5" s="69">
        <f>CP7+AF22</f>
        <v>0</v>
      </c>
      <c r="Y5" s="27">
        <f>CZ5+AF7+-25</f>
        <v>140</v>
      </c>
      <c r="Z5" s="27">
        <f t="shared" ref="Z5:Z24" si="2">R5+T5+V5+X5</f>
        <v>0</v>
      </c>
      <c r="AA5" s="69">
        <f t="shared" ref="AA5:AA22" si="3">S5+U5+W5+Y5</f>
        <v>553</v>
      </c>
      <c r="AB5" s="4">
        <v>30000</v>
      </c>
      <c r="AC5" s="27">
        <f t="shared" ref="AC5:AC22" si="4">AA5*AB5</f>
        <v>16590000</v>
      </c>
      <c r="AE5" t="s">
        <v>54</v>
      </c>
      <c r="AF5">
        <f>GETPIVOTDATA("Sum of Qty2",$R$36,"Nama CSO","Andi Sutiawan")+GETPIVOTDATA("SP 3GB",$AI$60,"Nama CSO","Andi Sutiawan")</f>
        <v>160</v>
      </c>
      <c r="AG5" s="82">
        <f t="shared" ref="AG5:AG7" si="5">E32</f>
        <v>114</v>
      </c>
      <c r="AH5" s="82">
        <f t="shared" ref="AH5:AH7" si="6">H32</f>
        <v>0</v>
      </c>
      <c r="AI5" s="82">
        <f t="shared" ref="AI5:AI7" si="7">I32</f>
        <v>87</v>
      </c>
      <c r="AJ5" s="83">
        <f t="shared" ref="AJ5:AJ7" si="8">K32</f>
        <v>27</v>
      </c>
      <c r="AK5" s="83">
        <f t="shared" ref="AK5:AK7" si="9">O32</f>
        <v>114</v>
      </c>
      <c r="AL5" s="83">
        <f t="shared" ref="AL5:AL7" si="10">S32</f>
        <v>0</v>
      </c>
      <c r="AM5" s="83">
        <f t="shared" ref="AM5:AM7" si="11">T32</f>
        <v>20</v>
      </c>
      <c r="AO5" s="39">
        <v>3</v>
      </c>
      <c r="AP5" s="40">
        <v>46176</v>
      </c>
      <c r="AQ5" s="41" t="s">
        <v>97</v>
      </c>
      <c r="AR5" s="42" t="str">
        <f>IFERROR(VLOOKUP(AU5,[2]SUMMARY!$A$3:$B$7,2,FALSE),"")</f>
        <v>MC-SAGARANTEN</v>
      </c>
      <c r="AS5" s="31">
        <v>17197757</v>
      </c>
      <c r="AT5" s="31" t="str">
        <f>VLOOKUP(AS5,[2]OUTLET!$B:$C,2,0)</f>
        <v>GIAN ABDULLAH CELL</v>
      </c>
      <c r="AU5" s="43" t="s">
        <v>53</v>
      </c>
      <c r="AV5" s="6">
        <v>1</v>
      </c>
      <c r="AW5" s="44">
        <f>IFERROR(VLOOKUP(AQ5,'[2]Harga &amp; Nama CSO'!$A$116:$L$136,2,FALSE),0)*AV5</f>
        <v>0</v>
      </c>
      <c r="AX5" s="44">
        <f>IFERROR(VLOOKUP(AQ5,'[2]Harga &amp; Nama CSO'!$A$116:$L$136,3,FALSE),0)*AV5</f>
        <v>0</v>
      </c>
      <c r="AY5" s="44">
        <f>IFERROR(VLOOKUP(AQ5,'[2]Harga &amp; Nama CSO'!$A$116:$L$136,4,FALSE),0)*AV5</f>
        <v>3</v>
      </c>
      <c r="AZ5" s="44">
        <f>IFERROR(VLOOKUP(AQ5,'[2]Harga &amp; Nama CSO'!$A$116:$L$136,5,FALSE),0)*AV5</f>
        <v>0</v>
      </c>
      <c r="BA5" s="44">
        <f>IFERROR(VLOOKUP(AQ5,'[2]Harga &amp; Nama CSO'!$A$116:$L$136,6,FALSE),0)*AV5</f>
        <v>0</v>
      </c>
      <c r="BB5" s="44">
        <f>IFERROR(VLOOKUP(AQ5,'[2]Harga &amp; Nama CSO'!$A$116:$L$136,7,FALSE),0)*AV5</f>
        <v>0</v>
      </c>
      <c r="BC5" s="44">
        <f>IFERROR(VLOOKUP(AQ5,'[2]Harga &amp; Nama CSO'!$A$116:$L$136,8,FALSE),0)*AV5</f>
        <v>0</v>
      </c>
      <c r="BD5" s="44">
        <f>IFERROR(VLOOKUP(AQ5,'[2]Harga &amp; Nama CSO'!$A$116:$L$136,9,FALSE),0)*AV5</f>
        <v>0</v>
      </c>
      <c r="BE5" s="44">
        <f>IFERROR(VLOOKUP(AQ5,'[2]Harga &amp; Nama CSO'!$A$116:$L$136,10,FALSE),0)*AV5</f>
        <v>3</v>
      </c>
      <c r="BF5" s="44">
        <f>IFERROR(VLOOKUP(AQ5,'[2]Harga &amp; Nama CSO'!$A$116:$L$136,11,FALSE),0)*AV5</f>
        <v>0</v>
      </c>
      <c r="BG5" s="44">
        <f>IFERROR(VLOOKUP(AQ5,'[2]Harga &amp; Nama CSO'!$A$116:$L$136,12,FALSE),0)*AV5</f>
        <v>0</v>
      </c>
      <c r="BH5" s="44">
        <f>IFERROR(VLOOKUP(AQ5,'[2]Harga &amp; Nama CSO'!$A$116:$R$136,13,FALSE),0)*AV5</f>
        <v>0</v>
      </c>
      <c r="BI5" s="44">
        <f>IFERROR(VLOOKUP(AQ5,'[2]Harga &amp; Nama CSO'!$A$116:$R$136,14,FALSE),0)*AV5</f>
        <v>3</v>
      </c>
      <c r="BJ5" s="44">
        <f>IFERROR(VLOOKUP(AQ5,'[2]Harga &amp; Nama CSO'!$A$116:$R$136,15,FALSE),0)*AV5</f>
        <v>0</v>
      </c>
      <c r="BK5" s="44">
        <f>IFERROR(VLOOKUP(AQ5,'[2]Harga &amp; Nama CSO'!$A$116:$R$136,16,FALSE),0)*AV5</f>
        <v>0</v>
      </c>
      <c r="BL5" s="44">
        <f>IFERROR(VLOOKUP(AQ5,'[2]Harga &amp; Nama CSO'!$A$116:$R$136,17,FALSE),0)*AV5</f>
        <v>0</v>
      </c>
      <c r="BM5" s="44">
        <f>IFERROR(VLOOKUP(AQ5,'[2]Harga &amp; Nama CSO'!$A$116:$R$136,18,FALSE),0)*AV5</f>
        <v>0</v>
      </c>
      <c r="BN5" s="44">
        <f>IFERROR(VLOOKUP(AQ5,'[2]Harga &amp; Nama CSO'!$A$116:$S$136,19,FALSE),0)*AV5</f>
        <v>0</v>
      </c>
      <c r="BO5" s="55">
        <f>IFERROR(VLOOKUP(AQ5,'[2]Harga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VLOOKUP(AQ5,'[1]Harga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70</v>
      </c>
      <c r="C6" s="14">
        <v>0</v>
      </c>
      <c r="D6" s="13">
        <f t="shared" si="1"/>
        <v>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2">SUM(G6:K6)</f>
        <v>0</v>
      </c>
      <c r="N6" s="4" t="s">
        <v>42</v>
      </c>
      <c r="O6" s="33">
        <f>119610300+O12</f>
        <v>125560300</v>
      </c>
      <c r="Q6" s="20" t="s">
        <v>30</v>
      </c>
      <c r="R6" s="68">
        <f>CM8+AG20</f>
        <v>10</v>
      </c>
      <c r="S6" s="69">
        <f>CW6+AG5</f>
        <v>296</v>
      </c>
      <c r="T6" s="69">
        <f>CN8+AG19</f>
        <v>0</v>
      </c>
      <c r="U6" s="27">
        <f>CX6+AG4</f>
        <v>321</v>
      </c>
      <c r="V6" s="69">
        <f>CO8+AG21</f>
        <v>0</v>
      </c>
      <c r="W6" s="27">
        <f>CY6+AG6</f>
        <v>347</v>
      </c>
      <c r="X6" s="69">
        <f>CP8+AG22</f>
        <v>0</v>
      </c>
      <c r="Y6" s="27">
        <f>CZ6+AG7</f>
        <v>254</v>
      </c>
      <c r="Z6" s="27">
        <f t="shared" si="2"/>
        <v>10</v>
      </c>
      <c r="AA6" s="69">
        <f t="shared" si="3"/>
        <v>1218</v>
      </c>
      <c r="AB6" s="4">
        <v>25000</v>
      </c>
      <c r="AC6" s="27">
        <f t="shared" si="4"/>
        <v>30450000</v>
      </c>
      <c r="AE6" t="s">
        <v>41</v>
      </c>
      <c r="AF6">
        <f>GETPIVOTDATA("Sum of Qty2",$R$36,"Nama CSO","M. Enden Abdul Latif")+GETPIVOTDATA("SP 3GB",$AI$60,"Nama CSO","M. Enden Abdul Latif")</f>
        <v>187</v>
      </c>
      <c r="AG6" s="82">
        <f t="shared" si="5"/>
        <v>126</v>
      </c>
      <c r="AH6" s="82">
        <f t="shared" si="6"/>
        <v>21</v>
      </c>
      <c r="AI6" s="82">
        <f t="shared" si="7"/>
        <v>45</v>
      </c>
      <c r="AJ6" s="83">
        <f t="shared" si="8"/>
        <v>81</v>
      </c>
      <c r="AK6" s="83">
        <f t="shared" si="9"/>
        <v>105</v>
      </c>
      <c r="AL6" s="83">
        <f t="shared" si="10"/>
        <v>0</v>
      </c>
      <c r="AM6" s="83">
        <f t="shared" si="11"/>
        <v>29</v>
      </c>
      <c r="AO6" s="39">
        <v>4</v>
      </c>
      <c r="AP6" s="40">
        <v>46176</v>
      </c>
      <c r="AQ6" s="41" t="s">
        <v>96</v>
      </c>
      <c r="AR6" s="42" t="str">
        <f>IFERROR(VLOOKUP(AU6,[2]SUMMARY!$A$3:$B$7,2,FALSE),"")</f>
        <v>MC-SAGARANTEN</v>
      </c>
      <c r="AS6" s="31">
        <v>17438405</v>
      </c>
      <c r="AT6" s="31" t="str">
        <f>VLOOKUP(AS6,[2]OUTLET!$B:$C,2,0)</f>
        <v>ALKHA CELL</v>
      </c>
      <c r="AU6" s="43" t="s">
        <v>54</v>
      </c>
      <c r="AV6" s="6">
        <v>1</v>
      </c>
      <c r="AW6" s="44">
        <f>IFERROR(VLOOKUP(AQ6,'[2]Harga &amp; Nama CSO'!$A$116:$L$136,2,FALSE),0)*AV6</f>
        <v>0</v>
      </c>
      <c r="AX6" s="44">
        <f>IFERROR(VLOOKUP(AQ6,'[2]Harga &amp; Nama CSO'!$A$116:$L$136,3,FALSE),0)*AV6</f>
        <v>0</v>
      </c>
      <c r="AY6" s="44">
        <f>IFERROR(VLOOKUP(AQ6,'[2]Harga &amp; Nama CSO'!$A$116:$L$136,4,FALSE),0)*AV6</f>
        <v>3</v>
      </c>
      <c r="AZ6" s="44">
        <f>IFERROR(VLOOKUP(AQ6,'[2]Harga &amp; Nama CSO'!$A$116:$L$136,5,FALSE),0)*AV6</f>
        <v>0</v>
      </c>
      <c r="BA6" s="44">
        <f>IFERROR(VLOOKUP(AQ6,'[2]Harga &amp; Nama CSO'!$A$116:$L$136,6,FALSE),0)*AV6</f>
        <v>0</v>
      </c>
      <c r="BB6" s="44">
        <f>IFERROR(VLOOKUP(AQ6,'[2]Harga &amp; Nama CSO'!$A$116:$L$136,7,FALSE),0)*AV6</f>
        <v>0</v>
      </c>
      <c r="BC6" s="44">
        <f>IFERROR(VLOOKUP(AQ6,'[2]Harga &amp; Nama CSO'!$A$116:$L$136,8,FALSE),0)*AV6</f>
        <v>3</v>
      </c>
      <c r="BD6" s="44">
        <f>IFERROR(VLOOKUP(AQ6,'[2]Harga &amp; Nama CSO'!$A$116:$L$136,9,FALSE),0)*AV6</f>
        <v>0</v>
      </c>
      <c r="BE6" s="44">
        <f>IFERROR(VLOOKUP(AQ6,'[2]Harga &amp; Nama CSO'!$A$116:$L$136,10,FALSE),0)*AV6</f>
        <v>0</v>
      </c>
      <c r="BF6" s="44">
        <f>IFERROR(VLOOKUP(AQ6,'[2]Harga &amp; Nama CSO'!$A$116:$L$136,11,FALSE),0)*AV6</f>
        <v>0</v>
      </c>
      <c r="BG6" s="44">
        <f>IFERROR(VLOOKUP(AQ6,'[2]Harga &amp; Nama CSO'!$A$116:$L$136,12,FALSE),0)*AV6</f>
        <v>0</v>
      </c>
      <c r="BH6" s="44">
        <f>IFERROR(VLOOKUP(AQ6,'[2]Harga &amp; Nama CSO'!$A$116:$R$136,13,FALSE),0)*AV6</f>
        <v>0</v>
      </c>
      <c r="BI6" s="44">
        <f>IFERROR(VLOOKUP(AQ6,'[2]Harga &amp; Nama CSO'!$A$116:$R$136,14,FALSE),0)*AV6</f>
        <v>3</v>
      </c>
      <c r="BJ6" s="44">
        <f>IFERROR(VLOOKUP(AQ6,'[2]Harga &amp; Nama CSO'!$A$116:$R$136,15,FALSE),0)*AV6</f>
        <v>0</v>
      </c>
      <c r="BK6" s="44">
        <f>IFERROR(VLOOKUP(AQ6,'[2]Harga &amp; Nama CSO'!$A$116:$R$136,16,FALSE),0)*AV6</f>
        <v>0</v>
      </c>
      <c r="BL6" s="44">
        <f>IFERROR(VLOOKUP(AQ6,'[2]Harga &amp; Nama CSO'!$A$116:$R$136,17,FALSE),0)*AV6</f>
        <v>0</v>
      </c>
      <c r="BM6" s="44">
        <f>IFERROR(VLOOKUP(AQ6,'[2]Harga &amp; Nama CSO'!$A$116:$R$136,18,FALSE),0)*AV6</f>
        <v>0</v>
      </c>
      <c r="BN6" s="44">
        <f>IFERROR(VLOOKUP(AQ6,'[2]Harga &amp; Nama CSO'!$A$116:$S$136,19,FALSE),0)*AV6</f>
        <v>0</v>
      </c>
      <c r="BO6" s="55">
        <f>IFERROR(VLOOKUP(AQ6,'[2]Harga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VLOOKUP(AQ6,'[1]Harga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182</v>
      </c>
      <c r="CX6">
        <v>159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10</v>
      </c>
      <c r="DK6">
        <v>182</v>
      </c>
      <c r="DL6">
        <v>19</v>
      </c>
      <c r="DM6">
        <v>10</v>
      </c>
      <c r="DN6">
        <v>85</v>
      </c>
      <c r="DO6">
        <v>45</v>
      </c>
      <c r="DP6">
        <v>159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45</v>
      </c>
      <c r="DZ6">
        <v>201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71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2"/>
        <v>440</v>
      </c>
      <c r="N7" s="31" t="s">
        <v>43</v>
      </c>
      <c r="O7" s="8">
        <f>SUM(O3:O6)</f>
        <v>439536100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3GB",$AI$60,"Nama CSO","Pebrian Sahri Ramdani")</f>
        <v>165</v>
      </c>
      <c r="AG7" s="82">
        <f t="shared" si="5"/>
        <v>63</v>
      </c>
      <c r="AH7" s="82">
        <f t="shared" si="6"/>
        <v>0</v>
      </c>
      <c r="AI7" s="82">
        <f t="shared" si="7"/>
        <v>12</v>
      </c>
      <c r="AJ7" s="83">
        <f t="shared" si="8"/>
        <v>51</v>
      </c>
      <c r="AK7" s="83">
        <f t="shared" si="9"/>
        <v>63</v>
      </c>
      <c r="AL7" s="83">
        <f t="shared" si="10"/>
        <v>0</v>
      </c>
      <c r="AM7" s="83">
        <f t="shared" si="11"/>
        <v>30</v>
      </c>
      <c r="AO7" s="39">
        <v>5</v>
      </c>
      <c r="AP7" s="40">
        <v>46176</v>
      </c>
      <c r="AQ7" s="41" t="s">
        <v>97</v>
      </c>
      <c r="AR7" s="42" t="str">
        <f>IFERROR(VLOOKUP(AU7,[2]SUMMARY!$A$3:$B$7,2,FALSE),"")</f>
        <v>MC-SAGARANTEN</v>
      </c>
      <c r="AS7" s="31">
        <v>17187147</v>
      </c>
      <c r="AT7" s="31" t="str">
        <f>VLOOKUP(AS7,[2]OUTLET!$B:$C,2,0)</f>
        <v>Nazila cell</v>
      </c>
      <c r="AU7" s="43" t="s">
        <v>41</v>
      </c>
      <c r="AV7" s="6">
        <v>1</v>
      </c>
      <c r="AW7" s="44">
        <f>IFERROR(VLOOKUP(AQ7,'[2]Harga &amp; Nama CSO'!$A$116:$L$136,2,FALSE),0)*AV7</f>
        <v>0</v>
      </c>
      <c r="AX7" s="44">
        <f>IFERROR(VLOOKUP(AQ7,'[2]Harga &amp; Nama CSO'!$A$116:$L$136,3,FALSE),0)*AV7</f>
        <v>0</v>
      </c>
      <c r="AY7" s="44">
        <f>IFERROR(VLOOKUP(AQ7,'[2]Harga &amp; Nama CSO'!$A$116:$L$136,4,FALSE),0)*AV7</f>
        <v>3</v>
      </c>
      <c r="AZ7" s="44">
        <f>IFERROR(VLOOKUP(AQ7,'[2]Harga &amp; Nama CSO'!$A$116:$L$136,5,FALSE),0)*AV7</f>
        <v>0</v>
      </c>
      <c r="BA7" s="44">
        <f>IFERROR(VLOOKUP(AQ7,'[2]Harga &amp; Nama CSO'!$A$116:$L$136,6,FALSE),0)*AV7</f>
        <v>0</v>
      </c>
      <c r="BB7" s="44">
        <f>IFERROR(VLOOKUP(AQ7,'[2]Harga &amp; Nama CSO'!$A$116:$L$136,7,FALSE),0)*AV7</f>
        <v>0</v>
      </c>
      <c r="BC7" s="44">
        <f>IFERROR(VLOOKUP(AQ7,'[2]Harga &amp; Nama CSO'!$A$116:$L$136,8,FALSE),0)*AV7</f>
        <v>0</v>
      </c>
      <c r="BD7" s="44">
        <f>IFERROR(VLOOKUP(AQ7,'[2]Harga &amp; Nama CSO'!$A$116:$L$136,9,FALSE),0)*AV7</f>
        <v>0</v>
      </c>
      <c r="BE7" s="44">
        <f>IFERROR(VLOOKUP(AQ7,'[2]Harga &amp; Nama CSO'!$A$116:$L$136,10,FALSE),0)*AV7</f>
        <v>3</v>
      </c>
      <c r="BF7" s="44">
        <f>IFERROR(VLOOKUP(AQ7,'[2]Harga &amp; Nama CSO'!$A$116:$L$136,11,FALSE),0)*AV7</f>
        <v>0</v>
      </c>
      <c r="BG7" s="44">
        <f>IFERROR(VLOOKUP(AQ7,'[2]Harga &amp; Nama CSO'!$A$116:$L$136,12,FALSE),0)*AV7</f>
        <v>0</v>
      </c>
      <c r="BH7" s="44">
        <f>IFERROR(VLOOKUP(AQ7,'[2]Harga &amp; Nama CSO'!$A$116:$R$136,13,FALSE),0)*AV7</f>
        <v>0</v>
      </c>
      <c r="BI7" s="44">
        <f>IFERROR(VLOOKUP(AQ7,'[2]Harga &amp; Nama CSO'!$A$116:$R$136,14,FALSE),0)*AV7</f>
        <v>3</v>
      </c>
      <c r="BJ7" s="44">
        <f>IFERROR(VLOOKUP(AQ7,'[2]Harga &amp; Nama CSO'!$A$116:$R$136,15,FALSE),0)*AV7</f>
        <v>0</v>
      </c>
      <c r="BK7" s="44">
        <f>IFERROR(VLOOKUP(AQ7,'[2]Harga &amp; Nama CSO'!$A$116:$R$136,16,FALSE),0)*AV7</f>
        <v>0</v>
      </c>
      <c r="BL7" s="44">
        <f>IFERROR(VLOOKUP(AQ7,'[2]Harga &amp; Nama CSO'!$A$116:$R$136,17,FALSE),0)*AV7</f>
        <v>0</v>
      </c>
      <c r="BM7" s="44">
        <f>IFERROR(VLOOKUP(AQ7,'[2]Harga &amp; Nama CSO'!$A$116:$R$136,18,FALSE),0)*AV7</f>
        <v>0</v>
      </c>
      <c r="BN7" s="44">
        <f>IFERROR(VLOOKUP(AQ7,'[2]Harga &amp; Nama CSO'!$A$116:$S$136,19,FALSE),0)*AV7</f>
        <v>0</v>
      </c>
      <c r="BO7" s="55">
        <f>IFERROR(VLOOKUP(AQ7,'[2]Harga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VLOOKUP(AQ7,'[1]Harga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500</v>
      </c>
      <c r="C8" s="14">
        <v>163</v>
      </c>
      <c r="D8" s="13">
        <f t="shared" si="1"/>
        <v>663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20</v>
      </c>
      <c r="Q8" s="20" t="s">
        <v>205</v>
      </c>
      <c r="R8" s="68">
        <f t="shared" si="13"/>
        <v>0</v>
      </c>
      <c r="S8" s="69">
        <f t="shared" si="14"/>
        <v>0</v>
      </c>
      <c r="T8" s="69">
        <f t="shared" si="15"/>
        <v>0</v>
      </c>
      <c r="U8" s="27">
        <f t="shared" si="16"/>
        <v>0</v>
      </c>
      <c r="V8" s="69">
        <f t="shared" si="17"/>
        <v>0</v>
      </c>
      <c r="W8" s="27">
        <f t="shared" si="18"/>
        <v>0</v>
      </c>
      <c r="X8" s="27">
        <f t="shared" si="19"/>
        <v>0</v>
      </c>
      <c r="Y8" s="27">
        <f t="shared" si="20"/>
        <v>0</v>
      </c>
      <c r="Z8" s="27">
        <f t="shared" si="2"/>
        <v>0</v>
      </c>
      <c r="AA8" s="69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IFERROR(VLOOKUP(AU8,[2]SUMMARY!$A$3:$B$7,2,FALSE),"")</f>
        <v>MC-SAGARANTEN</v>
      </c>
      <c r="AS8" s="31">
        <v>17798355</v>
      </c>
      <c r="AT8" s="31" t="str">
        <f>VLOOKUP(AS8,[2]OUTLET!$B:$C,2,0)</f>
        <v>Yasmin Cell</v>
      </c>
      <c r="AU8" s="43" t="s">
        <v>41</v>
      </c>
      <c r="AV8" s="6">
        <v>1</v>
      </c>
      <c r="AW8" s="44">
        <f>IFERROR(VLOOKUP(AQ8,'[2]Harga &amp; Nama CSO'!$A$116:$L$136,2,FALSE),0)*AV8</f>
        <v>0</v>
      </c>
      <c r="AX8" s="44">
        <f>IFERROR(VLOOKUP(AQ8,'[2]Harga &amp; Nama CSO'!$A$116:$L$136,3,FALSE),0)*AV8</f>
        <v>0</v>
      </c>
      <c r="AY8" s="44">
        <f>IFERROR(VLOOKUP(AQ8,'[2]Harga &amp; Nama CSO'!$A$116:$L$136,4,FALSE),0)*AV8</f>
        <v>3</v>
      </c>
      <c r="AZ8" s="44">
        <f>IFERROR(VLOOKUP(AQ8,'[2]Harga &amp; Nama CSO'!$A$116:$L$136,5,FALSE),0)*AV8</f>
        <v>0</v>
      </c>
      <c r="BA8" s="44">
        <f>IFERROR(VLOOKUP(AQ8,'[2]Harga &amp; Nama CSO'!$A$116:$L$136,6,FALSE),0)*AV8</f>
        <v>0</v>
      </c>
      <c r="BB8" s="44">
        <f>IFERROR(VLOOKUP(AQ8,'[2]Harga &amp; Nama CSO'!$A$116:$L$136,7,FALSE),0)*AV8</f>
        <v>0</v>
      </c>
      <c r="BC8" s="44">
        <f>IFERROR(VLOOKUP(AQ8,'[2]Harga &amp; Nama CSO'!$A$116:$L$136,8,FALSE),0)*AV8</f>
        <v>0</v>
      </c>
      <c r="BD8" s="44">
        <f>IFERROR(VLOOKUP(AQ8,'[2]Harga &amp; Nama CSO'!$A$116:$L$136,9,FALSE),0)*AV8</f>
        <v>0</v>
      </c>
      <c r="BE8" s="44">
        <f>IFERROR(VLOOKUP(AQ8,'[2]Harga &amp; Nama CSO'!$A$116:$L$136,10,FALSE),0)*AV8</f>
        <v>3</v>
      </c>
      <c r="BF8" s="44">
        <f>IFERROR(VLOOKUP(AQ8,'[2]Harga &amp; Nama CSO'!$A$116:$L$136,11,FALSE),0)*AV8</f>
        <v>0</v>
      </c>
      <c r="BG8" s="44">
        <f>IFERROR(VLOOKUP(AQ8,'[2]Harga &amp; Nama CSO'!$A$116:$L$136,12,FALSE),0)*AV8</f>
        <v>0</v>
      </c>
      <c r="BH8" s="44">
        <f>IFERROR(VLOOKUP(AQ8,'[2]Harga &amp; Nama CSO'!$A$116:$R$136,13,FALSE),0)*AV8</f>
        <v>0</v>
      </c>
      <c r="BI8" s="44">
        <f>IFERROR(VLOOKUP(AQ8,'[2]Harga &amp; Nama CSO'!$A$116:$R$136,14,FALSE),0)*AV8</f>
        <v>3</v>
      </c>
      <c r="BJ8" s="44">
        <f>IFERROR(VLOOKUP(AQ8,'[2]Harga &amp; Nama CSO'!$A$116:$R$136,15,FALSE),0)*AV8</f>
        <v>0</v>
      </c>
      <c r="BK8" s="44">
        <f>IFERROR(VLOOKUP(AQ8,'[2]Harga &amp; Nama CSO'!$A$116:$R$136,16,FALSE),0)*AV8</f>
        <v>0</v>
      </c>
      <c r="BL8" s="44">
        <f>IFERROR(VLOOKUP(AQ8,'[2]Harga &amp; Nama CSO'!$A$116:$R$136,17,FALSE),0)*AV8</f>
        <v>0</v>
      </c>
      <c r="BM8" s="44">
        <f>IFERROR(VLOOKUP(AQ8,'[2]Harga &amp; Nama CSO'!$A$116:$R$136,18,FALSE),0)*AV8</f>
        <v>0</v>
      </c>
      <c r="BN8" s="44">
        <f>IFERROR(VLOOKUP(AQ8,'[2]Harga &amp; Nama CSO'!$A$116:$S$136,19,FALSE),0)*AV8</f>
        <v>0</v>
      </c>
      <c r="BO8" s="55">
        <f>IFERROR(VLOOKUP(AQ8,'[2]Harga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VLOOKUP(AQ8,'[1]Harga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10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2650000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IFERROR(VLOOKUP(AU9,[2]SUMMARY!$A$3:$B$7,2,FALSE),"")</f>
        <v>MC-SAGARANTEN</v>
      </c>
      <c r="AS9" s="31">
        <v>572672</v>
      </c>
      <c r="AT9" s="31" t="str">
        <f>VLOOKUP(AS9,[2]OUTLET!$B:$C,2,0)</f>
        <v>Bahagia cell</v>
      </c>
      <c r="AU9" s="43" t="s">
        <v>42</v>
      </c>
      <c r="AV9" s="6">
        <v>1</v>
      </c>
      <c r="AW9" s="44">
        <f>IFERROR(VLOOKUP(AQ9,'[2]Harga &amp; Nama CSO'!$A$116:$L$136,2,FALSE),0)*AV9</f>
        <v>0</v>
      </c>
      <c r="AX9" s="44">
        <f>IFERROR(VLOOKUP(AQ9,'[2]Harga &amp; Nama CSO'!$A$116:$L$136,3,FALSE),0)*AV9</f>
        <v>0</v>
      </c>
      <c r="AY9" s="44">
        <f>IFERROR(VLOOKUP(AQ9,'[2]Harga &amp; Nama CSO'!$A$116:$L$136,4,FALSE),0)*AV9</f>
        <v>3</v>
      </c>
      <c r="AZ9" s="44">
        <f>IFERROR(VLOOKUP(AQ9,'[2]Harga &amp; Nama CSO'!$A$116:$L$136,5,FALSE),0)*AV9</f>
        <v>0</v>
      </c>
      <c r="BA9" s="44">
        <f>IFERROR(VLOOKUP(AQ9,'[2]Harga &amp; Nama CSO'!$A$116:$L$136,6,FALSE),0)*AV9</f>
        <v>0</v>
      </c>
      <c r="BB9" s="44">
        <f>IFERROR(VLOOKUP(AQ9,'[2]Harga &amp; Nama CSO'!$A$116:$L$136,7,FALSE),0)*AV9</f>
        <v>0</v>
      </c>
      <c r="BC9" s="44">
        <f>IFERROR(VLOOKUP(AQ9,'[2]Harga &amp; Nama CSO'!$A$116:$L$136,8,FALSE),0)*AV9</f>
        <v>3</v>
      </c>
      <c r="BD9" s="44">
        <f>IFERROR(VLOOKUP(AQ9,'[2]Harga &amp; Nama CSO'!$A$116:$L$136,9,FALSE),0)*AV9</f>
        <v>0</v>
      </c>
      <c r="BE9" s="44">
        <f>IFERROR(VLOOKUP(AQ9,'[2]Harga &amp; Nama CSO'!$A$116:$L$136,10,FALSE),0)*AV9</f>
        <v>0</v>
      </c>
      <c r="BF9" s="44">
        <f>IFERROR(VLOOKUP(AQ9,'[2]Harga &amp; Nama CSO'!$A$116:$L$136,11,FALSE),0)*AV9</f>
        <v>0</v>
      </c>
      <c r="BG9" s="44">
        <f>IFERROR(VLOOKUP(AQ9,'[2]Harga &amp; Nama CSO'!$A$116:$L$136,12,FALSE),0)*AV9</f>
        <v>0</v>
      </c>
      <c r="BH9" s="44">
        <f>IFERROR(VLOOKUP(AQ9,'[2]Harga &amp; Nama CSO'!$A$116:$R$136,13,FALSE),0)*AV9</f>
        <v>0</v>
      </c>
      <c r="BI9" s="44">
        <f>IFERROR(VLOOKUP(AQ9,'[2]Harga &amp; Nama CSO'!$A$116:$R$136,14,FALSE),0)*AV9</f>
        <v>3</v>
      </c>
      <c r="BJ9" s="44">
        <f>IFERROR(VLOOKUP(AQ9,'[2]Harga &amp; Nama CSO'!$A$116:$R$136,15,FALSE),0)*AV9</f>
        <v>0</v>
      </c>
      <c r="BK9" s="44">
        <f>IFERROR(VLOOKUP(AQ9,'[2]Harga &amp; Nama CSO'!$A$116:$R$136,16,FALSE),0)*AV9</f>
        <v>0</v>
      </c>
      <c r="BL9" s="44">
        <f>IFERROR(VLOOKUP(AQ9,'[2]Harga &amp; Nama CSO'!$A$116:$R$136,17,FALSE),0)*AV9</f>
        <v>0</v>
      </c>
      <c r="BM9" s="44">
        <f>IFERROR(VLOOKUP(AQ9,'[2]Harga &amp; Nama CSO'!$A$116:$R$136,18,FALSE),0)*AV9</f>
        <v>0</v>
      </c>
      <c r="BN9" s="44">
        <f>IFERROR(VLOOKUP(AQ9,'[2]Harga &amp; Nama CSO'!$A$116:$S$136,19,FALSE),0)*AV9</f>
        <v>0</v>
      </c>
      <c r="BO9" s="55">
        <f>IFERROR(VLOOKUP(AQ9,'[2]Harga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VLOOKUP(AQ9,'[1]Harga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DA9">
        <v>0</v>
      </c>
      <c r="DB9">
        <v>0</v>
      </c>
      <c r="DD9">
        <v>0</v>
      </c>
      <c r="DF9" t="s">
        <v>206</v>
      </c>
      <c r="DG9">
        <v>67</v>
      </c>
      <c r="DH9">
        <v>71</v>
      </c>
      <c r="DI9">
        <v>49</v>
      </c>
      <c r="DJ9">
        <v>20</v>
      </c>
      <c r="DK9">
        <v>207</v>
      </c>
      <c r="DL9">
        <v>19</v>
      </c>
      <c r="DM9">
        <v>10</v>
      </c>
      <c r="DN9">
        <v>85</v>
      </c>
      <c r="DO9">
        <v>45</v>
      </c>
      <c r="DP9">
        <v>159</v>
      </c>
      <c r="DQ9">
        <v>50</v>
      </c>
      <c r="DR9">
        <v>10</v>
      </c>
      <c r="DS9">
        <v>85</v>
      </c>
      <c r="DT9">
        <v>0</v>
      </c>
      <c r="DU9">
        <v>145</v>
      </c>
      <c r="DV9">
        <v>40</v>
      </c>
      <c r="DW9">
        <v>23</v>
      </c>
      <c r="DX9">
        <v>112</v>
      </c>
      <c r="DY9">
        <v>45</v>
      </c>
      <c r="DZ9">
        <v>220</v>
      </c>
      <c r="EA9">
        <v>721</v>
      </c>
      <c r="EC9">
        <v>17339000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2"/>
        <v>0</v>
      </c>
      <c r="O10">
        <v>7500000</v>
      </c>
      <c r="Q10" s="20" t="s">
        <v>8</v>
      </c>
      <c r="R10" s="68">
        <f t="shared" si="13"/>
        <v>0</v>
      </c>
      <c r="S10" s="69">
        <f t="shared" si="14"/>
        <v>105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0</v>
      </c>
      <c r="Y10" s="27">
        <f t="shared" si="20"/>
        <v>0</v>
      </c>
      <c r="Z10" s="27">
        <f t="shared" si="2"/>
        <v>0</v>
      </c>
      <c r="AA10" s="69">
        <f t="shared" si="3"/>
        <v>105</v>
      </c>
      <c r="AB10" s="4">
        <v>600</v>
      </c>
      <c r="AC10" s="27">
        <f t="shared" si="4"/>
        <v>63000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IFERROR(VLOOKUP(AU10,[2]SUMMARY!$A$3:$B$7,2,FALSE),"")</f>
        <v>MC-SAGARANTEN</v>
      </c>
      <c r="AS10" s="31">
        <v>17472706</v>
      </c>
      <c r="AT10" s="31" t="str">
        <f>VLOOKUP(AS10,[2]OUTLET!$B:$C,2,0)</f>
        <v>Vita cell</v>
      </c>
      <c r="AU10" s="43" t="s">
        <v>53</v>
      </c>
      <c r="AV10" s="6">
        <v>1</v>
      </c>
      <c r="AW10" s="44">
        <f>IFERROR(VLOOKUP(AQ10,'[2]Harga &amp; Nama CSO'!$A$116:$L$136,2,FALSE),0)*AV10</f>
        <v>0</v>
      </c>
      <c r="AX10" s="44">
        <f>IFERROR(VLOOKUP(AQ10,'[2]Harga &amp; Nama CSO'!$A$116:$L$136,3,FALSE),0)*AV10</f>
        <v>0</v>
      </c>
      <c r="AY10" s="44">
        <f>IFERROR(VLOOKUP(AQ10,'[2]Harga &amp; Nama CSO'!$A$116:$L$136,4,FALSE),0)*AV10</f>
        <v>3</v>
      </c>
      <c r="AZ10" s="44">
        <f>IFERROR(VLOOKUP(AQ10,'[2]Harga &amp; Nama CSO'!$A$116:$L$136,5,FALSE),0)*AV10</f>
        <v>0</v>
      </c>
      <c r="BA10" s="44">
        <f>IFERROR(VLOOKUP(AQ10,'[2]Harga &amp; Nama CSO'!$A$116:$L$136,6,FALSE),0)*AV10</f>
        <v>0</v>
      </c>
      <c r="BB10" s="44">
        <f>IFERROR(VLOOKUP(AQ10,'[2]Harga &amp; Nama CSO'!$A$116:$L$136,7,FALSE),0)*AV10</f>
        <v>0</v>
      </c>
      <c r="BC10" s="44">
        <f>IFERROR(VLOOKUP(AQ10,'[2]Harga &amp; Nama CSO'!$A$116:$L$136,8,FALSE),0)*AV10</f>
        <v>3</v>
      </c>
      <c r="BD10" s="44">
        <f>IFERROR(VLOOKUP(AQ10,'[2]Harga &amp; Nama CSO'!$A$116:$L$136,9,FALSE),0)*AV10</f>
        <v>0</v>
      </c>
      <c r="BE10" s="44">
        <f>IFERROR(VLOOKUP(AQ10,'[2]Harga &amp; Nama CSO'!$A$116:$L$136,10,FALSE),0)*AV10</f>
        <v>0</v>
      </c>
      <c r="BF10" s="44">
        <f>IFERROR(VLOOKUP(AQ10,'[2]Harga &amp; Nama CSO'!$A$116:$L$136,11,FALSE),0)*AV10</f>
        <v>0</v>
      </c>
      <c r="BG10" s="44">
        <f>IFERROR(VLOOKUP(AQ10,'[2]Harga &amp; Nama CSO'!$A$116:$L$136,12,FALSE),0)*AV10</f>
        <v>0</v>
      </c>
      <c r="BH10" s="44">
        <f>IFERROR(VLOOKUP(AQ10,'[2]Harga &amp; Nama CSO'!$A$116:$R$136,13,FALSE),0)*AV10</f>
        <v>0</v>
      </c>
      <c r="BI10" s="44">
        <f>IFERROR(VLOOKUP(AQ10,'[2]Harga &amp; Nama CSO'!$A$116:$R$136,14,FALSE),0)*AV10</f>
        <v>3</v>
      </c>
      <c r="BJ10" s="44">
        <f>IFERROR(VLOOKUP(AQ10,'[2]Harga &amp; Nama CSO'!$A$116:$R$136,15,FALSE),0)*AV10</f>
        <v>0</v>
      </c>
      <c r="BK10" s="44">
        <f>IFERROR(VLOOKUP(AQ10,'[2]Harga &amp; Nama CSO'!$A$116:$R$136,16,FALSE),0)*AV10</f>
        <v>0</v>
      </c>
      <c r="BL10" s="44">
        <f>IFERROR(VLOOKUP(AQ10,'[2]Harga &amp; Nama CSO'!$A$116:$R$136,17,FALSE),0)*AV10</f>
        <v>0</v>
      </c>
      <c r="BM10" s="44">
        <f>IFERROR(VLOOKUP(AQ10,'[2]Harga &amp; Nama CSO'!$A$116:$R$136,18,FALSE),0)*AV10</f>
        <v>0</v>
      </c>
      <c r="BN10" s="44">
        <f>IFERROR(VLOOKUP(AQ10,'[2]Harga &amp; Nama CSO'!$A$116:$S$136,19,FALSE),0)*AV10</f>
        <v>0</v>
      </c>
      <c r="BO10" s="55">
        <f>IFERROR(VLOOKUP(AQ10,'[2]Harga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VLOOKUP(AQ10,'[1]Harga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Q10" t="s">
        <v>28</v>
      </c>
      <c r="CR10" t="s">
        <v>28</v>
      </c>
      <c r="CT10" t="s">
        <v>28</v>
      </c>
      <c r="CV10" t="s">
        <v>8</v>
      </c>
      <c r="CW10">
        <v>105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C10">
        <v>0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12"/>
        <v>927</v>
      </c>
      <c r="O11">
        <v>4650000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IFERROR(VLOOKUP(AU11,[2]SUMMARY!$A$3:$B$7,2,FALSE),"")</f>
        <v>MC-SAGARANTEN</v>
      </c>
      <c r="AS11" s="31">
        <v>17677158</v>
      </c>
      <c r="AT11" s="31" t="str">
        <f>VLOOKUP(AS11,[2]OUTLET!$B:$C,2,0)</f>
        <v>WP - Atharrizmi</v>
      </c>
      <c r="AU11" s="43" t="s">
        <v>53</v>
      </c>
      <c r="AV11" s="6">
        <v>1</v>
      </c>
      <c r="AW11" s="44">
        <f>IFERROR(VLOOKUP(AQ11,'[2]Harga &amp; Nama CSO'!$A$116:$L$136,2,FALSE),0)*AV11</f>
        <v>0</v>
      </c>
      <c r="AX11" s="44">
        <f>IFERROR(VLOOKUP(AQ11,'[2]Harga &amp; Nama CSO'!$A$116:$L$136,3,FALSE),0)*AV11</f>
        <v>0</v>
      </c>
      <c r="AY11" s="44">
        <f>IFERROR(VLOOKUP(AQ11,'[2]Harga &amp; Nama CSO'!$A$116:$L$136,4,FALSE),0)*AV11</f>
        <v>3</v>
      </c>
      <c r="AZ11" s="44">
        <f>IFERROR(VLOOKUP(AQ11,'[2]Harga &amp; Nama CSO'!$A$116:$L$136,5,FALSE),0)*AV11</f>
        <v>0</v>
      </c>
      <c r="BA11" s="44">
        <f>IFERROR(VLOOKUP(AQ11,'[2]Harga &amp; Nama CSO'!$A$116:$L$136,6,FALSE),0)*AV11</f>
        <v>0</v>
      </c>
      <c r="BB11" s="44">
        <f>IFERROR(VLOOKUP(AQ11,'[2]Harga &amp; Nama CSO'!$A$116:$L$136,7,FALSE),0)*AV11</f>
        <v>0</v>
      </c>
      <c r="BC11" s="44">
        <f>IFERROR(VLOOKUP(AQ11,'[2]Harga &amp; Nama CSO'!$A$116:$L$136,8,FALSE),0)*AV11</f>
        <v>0</v>
      </c>
      <c r="BD11" s="44">
        <f>IFERROR(VLOOKUP(AQ11,'[2]Harga &amp; Nama CSO'!$A$116:$L$136,9,FALSE),0)*AV11</f>
        <v>0</v>
      </c>
      <c r="BE11" s="44">
        <f>IFERROR(VLOOKUP(AQ11,'[2]Harga &amp; Nama CSO'!$A$116:$L$136,10,FALSE),0)*AV11</f>
        <v>3</v>
      </c>
      <c r="BF11" s="44">
        <f>IFERROR(VLOOKUP(AQ11,'[2]Harga &amp; Nama CSO'!$A$116:$L$136,11,FALSE),0)*AV11</f>
        <v>0</v>
      </c>
      <c r="BG11" s="44">
        <f>IFERROR(VLOOKUP(AQ11,'[2]Harga &amp; Nama CSO'!$A$116:$L$136,12,FALSE),0)*AV11</f>
        <v>0</v>
      </c>
      <c r="BH11" s="44">
        <f>IFERROR(VLOOKUP(AQ11,'[2]Harga &amp; Nama CSO'!$A$116:$R$136,13,FALSE),0)*AV11</f>
        <v>0</v>
      </c>
      <c r="BI11" s="44">
        <f>IFERROR(VLOOKUP(AQ11,'[2]Harga &amp; Nama CSO'!$A$116:$R$136,14,FALSE),0)*AV11</f>
        <v>3</v>
      </c>
      <c r="BJ11" s="44">
        <f>IFERROR(VLOOKUP(AQ11,'[2]Harga &amp; Nama CSO'!$A$116:$R$136,15,FALSE),0)*AV11</f>
        <v>0</v>
      </c>
      <c r="BK11" s="44">
        <f>IFERROR(VLOOKUP(AQ11,'[2]Harga &amp; Nama CSO'!$A$116:$R$136,16,FALSE),0)*AV11</f>
        <v>0</v>
      </c>
      <c r="BL11" s="44">
        <f>IFERROR(VLOOKUP(AQ11,'[2]Harga &amp; Nama CSO'!$A$116:$R$136,17,FALSE),0)*AV11</f>
        <v>0</v>
      </c>
      <c r="BM11" s="44">
        <f>IFERROR(VLOOKUP(AQ11,'[2]Harga &amp; Nama CSO'!$A$116:$R$136,18,FALSE),0)*AV11</f>
        <v>0</v>
      </c>
      <c r="BN11" s="44">
        <f>IFERROR(VLOOKUP(AQ11,'[2]Harga &amp; Nama CSO'!$A$116:$S$136,19,FALSE),0)*AV11</f>
        <v>0</v>
      </c>
      <c r="BO11" s="55">
        <f>IFERROR(VLOOKUP(AQ11,'[2]Harga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VLOOKUP(AQ11,'[1]Harga &amp; Nama CSO'!$A$28:$D$31,4,0)*BQ11</f>
        <v>3</v>
      </c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13</v>
      </c>
      <c r="O12">
        <v>5950000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0</v>
      </c>
      <c r="U12" s="27">
        <f>CX12+AI4</f>
        <v>279</v>
      </c>
      <c r="V12" s="69">
        <f>CO14+AI21</f>
        <v>0</v>
      </c>
      <c r="W12" s="27">
        <f>CY12+AI6</f>
        <v>76</v>
      </c>
      <c r="X12" s="69">
        <f>CP14+AI22</f>
        <v>12</v>
      </c>
      <c r="Y12" s="27">
        <f>CZ12+AI7</f>
        <v>47</v>
      </c>
      <c r="Z12" s="27">
        <f t="shared" si="2"/>
        <v>12</v>
      </c>
      <c r="AA12" s="69">
        <f t="shared" si="3"/>
        <v>494</v>
      </c>
      <c r="AB12" s="4">
        <v>13500</v>
      </c>
      <c r="AC12" s="27">
        <f t="shared" si="4"/>
        <v>6669000</v>
      </c>
      <c r="AE12" t="s">
        <v>58</v>
      </c>
      <c r="AF12" t="s">
        <v>53</v>
      </c>
      <c r="AG12">
        <v>100</v>
      </c>
      <c r="AH12">
        <f>15000*AG12</f>
        <v>1500000</v>
      </c>
      <c r="AI12">
        <f>AF4*15000</f>
        <v>1740000</v>
      </c>
      <c r="AJ12">
        <f>GETPIVOTDATA("Sum of Qty2",$R$36,"Nama CSO","Muhamad Parhan")</f>
        <v>50</v>
      </c>
      <c r="AK12">
        <f>AG12-AJ12</f>
        <v>50</v>
      </c>
      <c r="AL12">
        <f>AJ12+AK12</f>
        <v>100</v>
      </c>
      <c r="AO12" s="39">
        <v>10</v>
      </c>
      <c r="AP12" s="40">
        <v>46177</v>
      </c>
      <c r="AQ12" s="41" t="s">
        <v>96</v>
      </c>
      <c r="AR12" s="42" t="str">
        <f>IFERROR(VLOOKUP(AU12,[2]SUMMARY!$A$3:$B$7,2,FALSE),"")</f>
        <v>MC-SAGARANTEN</v>
      </c>
      <c r="AS12" s="31">
        <v>17677552</v>
      </c>
      <c r="AT12" s="31" t="str">
        <f>VLOOKUP(AS12,[2]OUTLET!$B:$C,2,0)</f>
        <v>GILANG CELL 4</v>
      </c>
      <c r="AU12" s="43" t="s">
        <v>54</v>
      </c>
      <c r="AV12" s="6">
        <v>1</v>
      </c>
      <c r="AW12" s="44">
        <f>IFERROR(VLOOKUP(AQ12,'[2]Harga &amp; Nama CSO'!$A$116:$L$136,2,FALSE),0)*AV12</f>
        <v>0</v>
      </c>
      <c r="AX12" s="44">
        <f>IFERROR(VLOOKUP(AQ12,'[2]Harga &amp; Nama CSO'!$A$116:$L$136,3,FALSE),0)*AV12</f>
        <v>0</v>
      </c>
      <c r="AY12" s="44">
        <f>IFERROR(VLOOKUP(AQ12,'[2]Harga &amp; Nama CSO'!$A$116:$L$136,4,FALSE),0)*AV12</f>
        <v>3</v>
      </c>
      <c r="AZ12" s="44">
        <f>IFERROR(VLOOKUP(AQ12,'[2]Harga &amp; Nama CSO'!$A$116:$L$136,5,FALSE),0)*AV12</f>
        <v>0</v>
      </c>
      <c r="BA12" s="44">
        <f>IFERROR(VLOOKUP(AQ12,'[2]Harga &amp; Nama CSO'!$A$116:$L$136,6,FALSE),0)*AV12</f>
        <v>0</v>
      </c>
      <c r="BB12" s="44">
        <f>IFERROR(VLOOKUP(AQ12,'[2]Harga &amp; Nama CSO'!$A$116:$L$136,7,FALSE),0)*AV12</f>
        <v>0</v>
      </c>
      <c r="BC12" s="44">
        <f>IFERROR(VLOOKUP(AQ12,'[2]Harga &amp; Nama CSO'!$A$116:$L$136,8,FALSE),0)*AV12</f>
        <v>3</v>
      </c>
      <c r="BD12" s="44">
        <f>IFERROR(VLOOKUP(AQ12,'[2]Harga &amp; Nama CSO'!$A$116:$L$136,9,FALSE),0)*AV12</f>
        <v>0</v>
      </c>
      <c r="BE12" s="44">
        <f>IFERROR(VLOOKUP(AQ12,'[2]Harga &amp; Nama CSO'!$A$116:$L$136,10,FALSE),0)*AV12</f>
        <v>0</v>
      </c>
      <c r="BF12" s="44">
        <f>IFERROR(VLOOKUP(AQ12,'[2]Harga &amp; Nama CSO'!$A$116:$L$136,11,FALSE),0)*AV12</f>
        <v>0</v>
      </c>
      <c r="BG12" s="44">
        <f>IFERROR(VLOOKUP(AQ12,'[2]Harga &amp; Nama CSO'!$A$116:$L$136,12,FALSE),0)*AV12</f>
        <v>0</v>
      </c>
      <c r="BH12" s="44">
        <f>IFERROR(VLOOKUP(AQ12,'[2]Harga &amp; Nama CSO'!$A$116:$R$136,13,FALSE),0)*AV12</f>
        <v>0</v>
      </c>
      <c r="BI12" s="44">
        <f>IFERROR(VLOOKUP(AQ12,'[2]Harga &amp; Nama CSO'!$A$116:$R$136,14,FALSE),0)*AV12</f>
        <v>3</v>
      </c>
      <c r="BJ12" s="44">
        <f>IFERROR(VLOOKUP(AQ12,'[2]Harga &amp; Nama CSO'!$A$116:$R$136,15,FALSE),0)*AV12</f>
        <v>0</v>
      </c>
      <c r="BK12" s="44">
        <f>IFERROR(VLOOKUP(AQ12,'[2]Harga &amp; Nama CSO'!$A$116:$R$136,16,FALSE),0)*AV12</f>
        <v>0</v>
      </c>
      <c r="BL12" s="44">
        <f>IFERROR(VLOOKUP(AQ12,'[2]Harga &amp; Nama CSO'!$A$116:$R$136,17,FALSE),0)*AV12</f>
        <v>0</v>
      </c>
      <c r="BM12" s="44">
        <f>IFERROR(VLOOKUP(AQ12,'[2]Harga &amp; Nama CSO'!$A$116:$R$136,18,FALSE),0)*AV12</f>
        <v>0</v>
      </c>
      <c r="BN12" s="44">
        <f>IFERROR(VLOOKUP(AQ12,'[2]Harga &amp; Nama CSO'!$A$116:$S$136,19,FALSE),0)*AV12</f>
        <v>0</v>
      </c>
      <c r="BO12" s="55">
        <f>IFERROR(VLOOKUP(AQ12,'[2]Harga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VLOOKUP(AQ12,'[1]Harga &amp; Nama CSO'!$A$28:$D$31,4,0)*BQ12</f>
        <v>3</v>
      </c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/>
      <c r="CF12" s="9"/>
      <c r="CG12" s="5"/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150</v>
      </c>
      <c r="CY12">
        <v>31</v>
      </c>
      <c r="CZ12">
        <v>35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20</v>
      </c>
      <c r="DH12">
        <v>50</v>
      </c>
      <c r="DI12">
        <v>25</v>
      </c>
      <c r="DJ12">
        <v>10</v>
      </c>
      <c r="DK12">
        <v>105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86</v>
      </c>
      <c r="I13" s="21">
        <v>114</v>
      </c>
      <c r="J13" s="21">
        <v>232</v>
      </c>
      <c r="K13" s="21">
        <v>18</v>
      </c>
      <c r="L13" s="22">
        <f t="shared" si="12"/>
        <v>595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v>100</v>
      </c>
      <c r="AH13">
        <f t="shared" ref="AH13:AH15" si="21">15000*AG13</f>
        <v>1500000</v>
      </c>
      <c r="AI13">
        <f t="shared" ref="AI13:AI15" si="22">AF5*15000</f>
        <v>2400000</v>
      </c>
      <c r="AJ13">
        <f>GETPIVOTDATA("Sum of Qty2",$R$36,"Nama CSO","Andi Sutiawan")</f>
        <v>100</v>
      </c>
      <c r="AK13">
        <f t="shared" ref="AK13:AK15" si="23">AG13-AJ13</f>
        <v>0</v>
      </c>
      <c r="AL13">
        <f t="shared" ref="AL13:AL15" si="24">AJ13+AK13</f>
        <v>100</v>
      </c>
      <c r="AO13" s="39">
        <v>11</v>
      </c>
      <c r="AP13" s="40">
        <v>46177</v>
      </c>
      <c r="AQ13" s="41" t="s">
        <v>96</v>
      </c>
      <c r="AR13" s="42" t="str">
        <f>IFERROR(VLOOKUP(AU13,[2]SUMMARY!$A$3:$B$7,2,FALSE),"")</f>
        <v>MC-SAGARANTEN</v>
      </c>
      <c r="AS13" s="31">
        <v>17044133</v>
      </c>
      <c r="AT13" s="31" t="str">
        <f>VLOOKUP(AS13,[2]OUTLET!$B:$C,2,0)</f>
        <v>QUEENY CELL</v>
      </c>
      <c r="AU13" s="43" t="s">
        <v>54</v>
      </c>
      <c r="AV13" s="6">
        <v>1</v>
      </c>
      <c r="AW13" s="44">
        <f>IFERROR(VLOOKUP(AQ13,'[2]Harga &amp; Nama CSO'!$A$116:$L$136,2,FALSE),0)*AV13</f>
        <v>0</v>
      </c>
      <c r="AX13" s="44">
        <f>IFERROR(VLOOKUP(AQ13,'[2]Harga &amp; Nama CSO'!$A$116:$L$136,3,FALSE),0)*AV13</f>
        <v>0</v>
      </c>
      <c r="AY13" s="44">
        <f>IFERROR(VLOOKUP(AQ13,'[2]Harga &amp; Nama CSO'!$A$116:$L$136,4,FALSE),0)*AV13</f>
        <v>3</v>
      </c>
      <c r="AZ13" s="44">
        <f>IFERROR(VLOOKUP(AQ13,'[2]Harga &amp; Nama CSO'!$A$116:$L$136,5,FALSE),0)*AV13</f>
        <v>0</v>
      </c>
      <c r="BA13" s="44">
        <f>IFERROR(VLOOKUP(AQ13,'[2]Harga &amp; Nama CSO'!$A$116:$L$136,6,FALSE),0)*AV13</f>
        <v>0</v>
      </c>
      <c r="BB13" s="44">
        <f>IFERROR(VLOOKUP(AQ13,'[2]Harga &amp; Nama CSO'!$A$116:$L$136,7,FALSE),0)*AV13</f>
        <v>0</v>
      </c>
      <c r="BC13" s="44">
        <f>IFERROR(VLOOKUP(AQ13,'[2]Harga &amp; Nama CSO'!$A$116:$L$136,8,FALSE),0)*AV13</f>
        <v>3</v>
      </c>
      <c r="BD13" s="44">
        <f>IFERROR(VLOOKUP(AQ13,'[2]Harga &amp; Nama CSO'!$A$116:$L$136,9,FALSE),0)*AV13</f>
        <v>0</v>
      </c>
      <c r="BE13" s="44">
        <f>IFERROR(VLOOKUP(AQ13,'[2]Harga &amp; Nama CSO'!$A$116:$L$136,10,FALSE),0)*AV13</f>
        <v>0</v>
      </c>
      <c r="BF13" s="44">
        <f>IFERROR(VLOOKUP(AQ13,'[2]Harga &amp; Nama CSO'!$A$116:$L$136,11,FALSE),0)*AV13</f>
        <v>0</v>
      </c>
      <c r="BG13" s="44">
        <f>IFERROR(VLOOKUP(AQ13,'[2]Harga &amp; Nama CSO'!$A$116:$L$136,12,FALSE),0)*AV13</f>
        <v>0</v>
      </c>
      <c r="BH13" s="44">
        <f>IFERROR(VLOOKUP(AQ13,'[2]Harga &amp; Nama CSO'!$A$116:$R$136,13,FALSE),0)*AV13</f>
        <v>0</v>
      </c>
      <c r="BI13" s="44">
        <f>IFERROR(VLOOKUP(AQ13,'[2]Harga &amp; Nama CSO'!$A$116:$R$136,14,FALSE),0)*AV13</f>
        <v>3</v>
      </c>
      <c r="BJ13" s="44">
        <f>IFERROR(VLOOKUP(AQ13,'[2]Harga &amp; Nama CSO'!$A$116:$R$136,15,FALSE),0)*AV13</f>
        <v>0</v>
      </c>
      <c r="BK13" s="44">
        <f>IFERROR(VLOOKUP(AQ13,'[2]Harga &amp; Nama CSO'!$A$116:$R$136,16,FALSE),0)*AV13</f>
        <v>0</v>
      </c>
      <c r="BL13" s="44">
        <f>IFERROR(VLOOKUP(AQ13,'[2]Harga &amp; Nama CSO'!$A$116:$R$136,17,FALSE),0)*AV13</f>
        <v>0</v>
      </c>
      <c r="BM13" s="44">
        <f>IFERROR(VLOOKUP(AQ13,'[2]Harga &amp; Nama CSO'!$A$116:$R$136,18,FALSE),0)*AV13</f>
        <v>0</v>
      </c>
      <c r="BN13" s="44">
        <f>IFERROR(VLOOKUP(AQ13,'[2]Harga &amp; Nama CSO'!$A$116:$S$136,19,FALSE),0)*AV13</f>
        <v>0</v>
      </c>
      <c r="BO13" s="55">
        <f>IFERROR(VLOOKUP(AQ13,'[2]Harga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VLOOKUP(AQ13,'[1]Harga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53</v>
      </c>
      <c r="V14" s="69">
        <f>CO16+AJ21</f>
        <v>0</v>
      </c>
      <c r="W14" s="27">
        <f>CY14+AJ6</f>
        <v>88</v>
      </c>
      <c r="X14" s="69">
        <f>CP16+AJ22</f>
        <v>0</v>
      </c>
      <c r="Y14" s="27">
        <f>CZ14+AJ7</f>
        <v>66</v>
      </c>
      <c r="Z14" s="27">
        <f t="shared" si="2"/>
        <v>0</v>
      </c>
      <c r="AA14" s="69">
        <f t="shared" si="3"/>
        <v>234</v>
      </c>
      <c r="AB14" s="4">
        <v>15400</v>
      </c>
      <c r="AC14" s="27">
        <f t="shared" si="4"/>
        <v>3603600</v>
      </c>
      <c r="AE14" t="s">
        <v>60</v>
      </c>
      <c r="AF14" t="s">
        <v>41</v>
      </c>
      <c r="AG14">
        <v>100</v>
      </c>
      <c r="AH14">
        <f t="shared" si="21"/>
        <v>1500000</v>
      </c>
      <c r="AI14">
        <v>1500000</v>
      </c>
      <c r="AJ14">
        <f>GETPIVOTDATA("Sum of Qty2",$R$36,"Nama CSO","M. Enden Abdul Latif")</f>
        <v>100</v>
      </c>
      <c r="AK14">
        <f t="shared" si="23"/>
        <v>0</v>
      </c>
      <c r="AL14">
        <f t="shared" si="24"/>
        <v>100</v>
      </c>
      <c r="AO14" s="39">
        <v>12</v>
      </c>
      <c r="AP14" s="40">
        <v>46177</v>
      </c>
      <c r="AQ14" s="41" t="s">
        <v>110</v>
      </c>
      <c r="AR14" s="42" t="str">
        <f>IFERROR(VLOOKUP(AU14,[2]SUMMARY!$A$3:$B$7,2,FALSE),"")</f>
        <v>MC-SAGARANTEN</v>
      </c>
      <c r="AS14" s="31">
        <v>17754807</v>
      </c>
      <c r="AT14" s="31" t="str">
        <f>VLOOKUP(AS14,[2]OUTLET!$B:$C,2,0)</f>
        <v>Sulam Ratu Store</v>
      </c>
      <c r="AU14" s="43" t="s">
        <v>41</v>
      </c>
      <c r="AV14" s="6">
        <v>1</v>
      </c>
      <c r="AW14" s="44">
        <f>IFERROR(VLOOKUP(AQ14,'[2]Harga &amp; Nama CSO'!$A$116:$L$136,2,FALSE),0)*AV14</f>
        <v>0</v>
      </c>
      <c r="AX14" s="44">
        <f>IFERROR(VLOOKUP(AQ14,'[2]Harga &amp; Nama CSO'!$A$116:$L$136,3,FALSE),0)*AV14</f>
        <v>0</v>
      </c>
      <c r="AY14" s="44">
        <f>IFERROR(VLOOKUP(AQ14,'[2]Harga &amp; Nama CSO'!$A$116:$L$136,4,FALSE),0)*AV14</f>
        <v>3</v>
      </c>
      <c r="AZ14" s="44">
        <f>IFERROR(VLOOKUP(AQ14,'[2]Harga &amp; Nama CSO'!$A$116:$L$136,5,FALSE),0)*AV14</f>
        <v>0</v>
      </c>
      <c r="BA14" s="44">
        <f>IFERROR(VLOOKUP(AQ14,'[2]Harga &amp; Nama CSO'!$A$116:$L$136,6,FALSE),0)*AV14</f>
        <v>0</v>
      </c>
      <c r="BB14" s="44">
        <f>IFERROR(VLOOKUP(AQ14,'[2]Harga &amp; Nama CSO'!$A$116:$L$136,7,FALSE),0)*AV14</f>
        <v>3</v>
      </c>
      <c r="BC14" s="44">
        <f>IFERROR(VLOOKUP(AQ14,'[2]Harga &amp; Nama CSO'!$A$116:$L$136,8,FALSE),0)*AV14</f>
        <v>3</v>
      </c>
      <c r="BD14" s="44">
        <f>IFERROR(VLOOKUP(AQ14,'[2]Harga &amp; Nama CSO'!$A$116:$L$136,9,FALSE),0)*AV14</f>
        <v>0</v>
      </c>
      <c r="BE14" s="44">
        <f>IFERROR(VLOOKUP(AQ14,'[2]Harga &amp; Nama CSO'!$A$116:$L$136,10,FALSE),0)*AV14</f>
        <v>0</v>
      </c>
      <c r="BF14" s="44">
        <f>IFERROR(VLOOKUP(AQ14,'[2]Harga &amp; Nama CSO'!$A$116:$L$136,11,FALSE),0)*AV14</f>
        <v>0</v>
      </c>
      <c r="BG14" s="44">
        <f>IFERROR(VLOOKUP(AQ14,'[2]Harga &amp; Nama CSO'!$A$116:$L$136,12,FALSE),0)*AV14</f>
        <v>0</v>
      </c>
      <c r="BH14" s="44">
        <f>IFERROR(VLOOKUP(AQ14,'[2]Harga &amp; Nama CSO'!$A$116:$R$136,13,FALSE),0)*AV14</f>
        <v>0</v>
      </c>
      <c r="BI14" s="44">
        <f>IFERROR(VLOOKUP(AQ14,'[2]Harga &amp; Nama CSO'!$A$116:$R$136,14,FALSE),0)*AV14</f>
        <v>0</v>
      </c>
      <c r="BJ14" s="44">
        <f>IFERROR(VLOOKUP(AQ14,'[2]Harga &amp; Nama CSO'!$A$116:$R$136,15,FALSE),0)*AV14</f>
        <v>0</v>
      </c>
      <c r="BK14" s="44">
        <f>IFERROR(VLOOKUP(AQ14,'[2]Harga &amp; Nama CSO'!$A$116:$R$136,16,FALSE),0)*AV14</f>
        <v>0</v>
      </c>
      <c r="BL14" s="44">
        <f>IFERROR(VLOOKUP(AQ14,'[2]Harga &amp; Nama CSO'!$A$116:$R$136,17,FALSE),0)*AV14</f>
        <v>0</v>
      </c>
      <c r="BM14" s="44">
        <f>IFERROR(VLOOKUP(AQ14,'[2]Harga &amp; Nama CSO'!$A$116:$R$136,18,FALSE),0)*AV14</f>
        <v>0</v>
      </c>
      <c r="BN14" s="44">
        <f>IFERROR(VLOOKUP(AQ14,'[2]Harga &amp; Nama CSO'!$A$116:$S$136,19,FALSE),0)*AV14</f>
        <v>0</v>
      </c>
      <c r="BO14" s="55">
        <f>IFERROR(VLOOKUP(AQ14,'[2]Harga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VLOOKUP(AQ14,'[1]Harga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0</v>
      </c>
      <c r="CP14" s="70">
        <v>12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20</v>
      </c>
      <c r="CY14">
        <v>7</v>
      </c>
      <c r="CZ14">
        <v>15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5</v>
      </c>
      <c r="DH14">
        <v>0</v>
      </c>
      <c r="DI14">
        <v>0</v>
      </c>
      <c r="DJ14">
        <v>0</v>
      </c>
      <c r="DK14">
        <v>5</v>
      </c>
      <c r="DL14">
        <v>30</v>
      </c>
      <c r="DM14">
        <v>70</v>
      </c>
      <c r="DN14">
        <v>10</v>
      </c>
      <c r="DO14">
        <v>40</v>
      </c>
      <c r="DP14">
        <v>150</v>
      </c>
      <c r="DQ14">
        <v>0</v>
      </c>
      <c r="DR14">
        <v>70</v>
      </c>
      <c r="DS14">
        <v>10</v>
      </c>
      <c r="DT14">
        <v>24</v>
      </c>
      <c r="DU14">
        <v>104</v>
      </c>
      <c r="DV14">
        <v>20</v>
      </c>
      <c r="DW14">
        <v>0</v>
      </c>
      <c r="DX14">
        <v>3</v>
      </c>
      <c r="DY14">
        <v>40</v>
      </c>
      <c r="DZ14">
        <v>63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17</v>
      </c>
      <c r="H15" s="21">
        <v>19</v>
      </c>
      <c r="I15" s="21">
        <v>41</v>
      </c>
      <c r="J15" s="21">
        <v>71</v>
      </c>
      <c r="K15" s="21">
        <v>0</v>
      </c>
      <c r="L15" s="22">
        <f t="shared" si="12"/>
        <v>148</v>
      </c>
      <c r="Q15" s="20" t="s">
        <v>35</v>
      </c>
      <c r="R15" s="68">
        <f t="shared" si="13"/>
        <v>0</v>
      </c>
      <c r="S15" s="69">
        <f t="shared" si="14"/>
        <v>54</v>
      </c>
      <c r="T15" s="69">
        <f t="shared" si="15"/>
        <v>10</v>
      </c>
      <c r="U15" s="27">
        <f t="shared" si="16"/>
        <v>220</v>
      </c>
      <c r="V15" s="69">
        <f t="shared" si="17"/>
        <v>6</v>
      </c>
      <c r="W15" s="27">
        <f t="shared" si="18"/>
        <v>167</v>
      </c>
      <c r="X15" s="27">
        <f t="shared" si="19"/>
        <v>0</v>
      </c>
      <c r="Y15" s="27">
        <f t="shared" si="20"/>
        <v>71</v>
      </c>
      <c r="Z15" s="27">
        <f t="shared" si="2"/>
        <v>16</v>
      </c>
      <c r="AA15" s="69">
        <f t="shared" si="3"/>
        <v>512</v>
      </c>
      <c r="AB15" s="4">
        <v>17250</v>
      </c>
      <c r="AC15" s="27">
        <f t="shared" si="4"/>
        <v>8832000</v>
      </c>
      <c r="AE15" t="s">
        <v>61</v>
      </c>
      <c r="AF15" t="s">
        <v>42</v>
      </c>
      <c r="AG15">
        <v>100</v>
      </c>
      <c r="AH15">
        <f t="shared" si="21"/>
        <v>1500000</v>
      </c>
      <c r="AI15">
        <f t="shared" si="22"/>
        <v>2475000</v>
      </c>
      <c r="AJ15">
        <f>GETPIVOTDATA("Sum of Qty2",$R$36,"Nama CSO","Pebrian Sahri Ramdani")</f>
        <v>75</v>
      </c>
      <c r="AK15">
        <f t="shared" si="23"/>
        <v>25</v>
      </c>
      <c r="AL15">
        <f t="shared" si="24"/>
        <v>100</v>
      </c>
      <c r="AO15" s="39">
        <v>13</v>
      </c>
      <c r="AP15" s="40">
        <v>46177</v>
      </c>
      <c r="AQ15" s="41" t="s">
        <v>110</v>
      </c>
      <c r="AR15" s="42" t="str">
        <f>IFERROR(VLOOKUP(AU15,[2]SUMMARY!$A$3:$B$7,2,FALSE),"")</f>
        <v>MC-SAGARANTEN</v>
      </c>
      <c r="AS15" s="31">
        <v>663219</v>
      </c>
      <c r="AT15" s="31" t="str">
        <f>VLOOKUP(AS15,[2]OUTLET!$B:$C,2,0)</f>
        <v>SAND S CELL</v>
      </c>
      <c r="AU15" s="43" t="s">
        <v>41</v>
      </c>
      <c r="AV15" s="6">
        <v>1</v>
      </c>
      <c r="AW15" s="44">
        <f>IFERROR(VLOOKUP(AQ15,'[2]Harga &amp; Nama CSO'!$A$116:$L$136,2,FALSE),0)*AV15</f>
        <v>0</v>
      </c>
      <c r="AX15" s="44">
        <f>IFERROR(VLOOKUP(AQ15,'[2]Harga &amp; Nama CSO'!$A$116:$L$136,3,FALSE),0)*AV15</f>
        <v>0</v>
      </c>
      <c r="AY15" s="44">
        <f>IFERROR(VLOOKUP(AQ15,'[2]Harga &amp; Nama CSO'!$A$116:$L$136,4,FALSE),0)*AV15</f>
        <v>3</v>
      </c>
      <c r="AZ15" s="44">
        <f>IFERROR(VLOOKUP(AQ15,'[2]Harga &amp; Nama CSO'!$A$116:$L$136,5,FALSE),0)*AV15</f>
        <v>0</v>
      </c>
      <c r="BA15" s="44">
        <f>IFERROR(VLOOKUP(AQ15,'[2]Harga &amp; Nama CSO'!$A$116:$L$136,6,FALSE),0)*AV15</f>
        <v>0</v>
      </c>
      <c r="BB15" s="44">
        <f>IFERROR(VLOOKUP(AQ15,'[2]Harga &amp; Nama CSO'!$A$116:$L$136,7,FALSE),0)*AV15</f>
        <v>3</v>
      </c>
      <c r="BC15" s="44">
        <f>IFERROR(VLOOKUP(AQ15,'[2]Harga &amp; Nama CSO'!$A$116:$L$136,8,FALSE),0)*AV15</f>
        <v>3</v>
      </c>
      <c r="BD15" s="44">
        <f>IFERROR(VLOOKUP(AQ15,'[2]Harga &amp; Nama CSO'!$A$116:$L$136,9,FALSE),0)*AV15</f>
        <v>0</v>
      </c>
      <c r="BE15" s="44">
        <f>IFERROR(VLOOKUP(AQ15,'[2]Harga &amp; Nama CSO'!$A$116:$L$136,10,FALSE),0)*AV15</f>
        <v>0</v>
      </c>
      <c r="BF15" s="44">
        <f>IFERROR(VLOOKUP(AQ15,'[2]Harga &amp; Nama CSO'!$A$116:$L$136,11,FALSE),0)*AV15</f>
        <v>0</v>
      </c>
      <c r="BG15" s="44">
        <f>IFERROR(VLOOKUP(AQ15,'[2]Harga &amp; Nama CSO'!$A$116:$L$136,12,FALSE),0)*AV15</f>
        <v>0</v>
      </c>
      <c r="BH15" s="44">
        <f>IFERROR(VLOOKUP(AQ15,'[2]Harga &amp; Nama CSO'!$A$116:$R$136,13,FALSE),0)*AV15</f>
        <v>0</v>
      </c>
      <c r="BI15" s="44">
        <f>IFERROR(VLOOKUP(AQ15,'[2]Harga &amp; Nama CSO'!$A$116:$R$136,14,FALSE),0)*AV15</f>
        <v>0</v>
      </c>
      <c r="BJ15" s="44">
        <f>IFERROR(VLOOKUP(AQ15,'[2]Harga &amp; Nama CSO'!$A$116:$R$136,15,FALSE),0)*AV15</f>
        <v>0</v>
      </c>
      <c r="BK15" s="44">
        <f>IFERROR(VLOOKUP(AQ15,'[2]Harga &amp; Nama CSO'!$A$116:$R$136,16,FALSE),0)*AV15</f>
        <v>0</v>
      </c>
      <c r="BL15" s="44">
        <f>IFERROR(VLOOKUP(AQ15,'[2]Harga &amp; Nama CSO'!$A$116:$R$136,17,FALSE),0)*AV15</f>
        <v>0</v>
      </c>
      <c r="BM15" s="44">
        <f>IFERROR(VLOOKUP(AQ15,'[2]Harga &amp; Nama CSO'!$A$116:$R$136,18,FALSE),0)*AV15</f>
        <v>0</v>
      </c>
      <c r="BN15" s="44">
        <f>IFERROR(VLOOKUP(AQ15,'[2]Harga &amp; Nama CSO'!$A$116:$S$136,19,FALSE),0)*AV15</f>
        <v>0</v>
      </c>
      <c r="BO15" s="55">
        <f>IFERROR(VLOOKUP(AQ15,'[2]Harga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VLOOKUP(AQ15,'[1]Harga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54</v>
      </c>
      <c r="CX15">
        <v>220</v>
      </c>
      <c r="CY15">
        <v>167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80</v>
      </c>
      <c r="I16" s="21">
        <v>44</v>
      </c>
      <c r="J16" s="21">
        <v>45</v>
      </c>
      <c r="K16" s="21">
        <v>18</v>
      </c>
      <c r="L16" s="22">
        <f t="shared" si="12"/>
        <v>247</v>
      </c>
      <c r="Q16" s="20" t="s">
        <v>36</v>
      </c>
      <c r="R16" s="68">
        <f t="shared" si="13"/>
        <v>0</v>
      </c>
      <c r="S16" s="69">
        <f t="shared" si="14"/>
        <v>31</v>
      </c>
      <c r="T16" s="69">
        <f t="shared" si="15"/>
        <v>0</v>
      </c>
      <c r="U16" s="27">
        <f t="shared" si="16"/>
        <v>49</v>
      </c>
      <c r="V16" s="69">
        <f t="shared" si="17"/>
        <v>0</v>
      </c>
      <c r="W16" s="27">
        <f t="shared" si="18"/>
        <v>3</v>
      </c>
      <c r="X16" s="27">
        <f t="shared" si="19"/>
        <v>0</v>
      </c>
      <c r="Y16" s="27">
        <f t="shared" si="20"/>
        <v>18</v>
      </c>
      <c r="Z16" s="27">
        <f t="shared" si="2"/>
        <v>0</v>
      </c>
      <c r="AA16" s="69">
        <f t="shared" si="3"/>
        <v>101</v>
      </c>
      <c r="AB16" s="4">
        <v>23800</v>
      </c>
      <c r="AC16" s="27">
        <f t="shared" si="4"/>
        <v>2403800</v>
      </c>
      <c r="AG16">
        <f>SUM(AG12:AG15)</f>
        <v>400</v>
      </c>
      <c r="AH16">
        <f t="shared" ref="AH16:AL16" si="25">SUM(AH12:AH15)</f>
        <v>6000000</v>
      </c>
      <c r="AI16">
        <f t="shared" si="25"/>
        <v>8115000</v>
      </c>
      <c r="AJ16">
        <f t="shared" si="25"/>
        <v>325</v>
      </c>
      <c r="AK16">
        <f t="shared" si="25"/>
        <v>75</v>
      </c>
      <c r="AL16">
        <f t="shared" si="25"/>
        <v>400</v>
      </c>
      <c r="AO16" s="39">
        <v>14</v>
      </c>
      <c r="AP16" s="40">
        <v>46177</v>
      </c>
      <c r="AQ16" s="41" t="s">
        <v>110</v>
      </c>
      <c r="AR16" s="42" t="str">
        <f>IFERROR(VLOOKUP(AU16,[2]SUMMARY!$A$3:$B$7,2,FALSE),"")</f>
        <v>MC-SAGARANTEN</v>
      </c>
      <c r="AS16" s="31">
        <v>17635767</v>
      </c>
      <c r="AT16" s="31" t="str">
        <f>VLOOKUP(AS16,[2]OUTLET!$B:$C,2,0)</f>
        <v>Betun cell</v>
      </c>
      <c r="AU16" s="43" t="s">
        <v>41</v>
      </c>
      <c r="AV16" s="6">
        <v>1</v>
      </c>
      <c r="AW16" s="44">
        <f>IFERROR(VLOOKUP(AQ16,'[2]Harga &amp; Nama CSO'!$A$116:$L$136,2,FALSE),0)*AV16</f>
        <v>0</v>
      </c>
      <c r="AX16" s="44">
        <f>IFERROR(VLOOKUP(AQ16,'[2]Harga &amp; Nama CSO'!$A$116:$L$136,3,FALSE),0)*AV16</f>
        <v>0</v>
      </c>
      <c r="AY16" s="44">
        <f>IFERROR(VLOOKUP(AQ16,'[2]Harga &amp; Nama CSO'!$A$116:$L$136,4,FALSE),0)*AV16</f>
        <v>3</v>
      </c>
      <c r="AZ16" s="44">
        <f>IFERROR(VLOOKUP(AQ16,'[2]Harga &amp; Nama CSO'!$A$116:$L$136,5,FALSE),0)*AV16</f>
        <v>0</v>
      </c>
      <c r="BA16" s="44">
        <f>IFERROR(VLOOKUP(AQ16,'[2]Harga &amp; Nama CSO'!$A$116:$L$136,6,FALSE),0)*AV16</f>
        <v>0</v>
      </c>
      <c r="BB16" s="44">
        <f>IFERROR(VLOOKUP(AQ16,'[2]Harga &amp; Nama CSO'!$A$116:$L$136,7,FALSE),0)*AV16</f>
        <v>3</v>
      </c>
      <c r="BC16" s="44">
        <f>IFERROR(VLOOKUP(AQ16,'[2]Harga &amp; Nama CSO'!$A$116:$L$136,8,FALSE),0)*AV16</f>
        <v>3</v>
      </c>
      <c r="BD16" s="44">
        <f>IFERROR(VLOOKUP(AQ16,'[2]Harga &amp; Nama CSO'!$A$116:$L$136,9,FALSE),0)*AV16</f>
        <v>0</v>
      </c>
      <c r="BE16" s="44">
        <f>IFERROR(VLOOKUP(AQ16,'[2]Harga &amp; Nama CSO'!$A$116:$L$136,10,FALSE),0)*AV16</f>
        <v>0</v>
      </c>
      <c r="BF16" s="44">
        <f>IFERROR(VLOOKUP(AQ16,'[2]Harga &amp; Nama CSO'!$A$116:$L$136,11,FALSE),0)*AV16</f>
        <v>0</v>
      </c>
      <c r="BG16" s="44">
        <f>IFERROR(VLOOKUP(AQ16,'[2]Harga &amp; Nama CSO'!$A$116:$L$136,12,FALSE),0)*AV16</f>
        <v>0</v>
      </c>
      <c r="BH16" s="44">
        <f>IFERROR(VLOOKUP(AQ16,'[2]Harga &amp; Nama CSO'!$A$116:$R$136,13,FALSE),0)*AV16</f>
        <v>0</v>
      </c>
      <c r="BI16" s="44">
        <f>IFERROR(VLOOKUP(AQ16,'[2]Harga &amp; Nama CSO'!$A$116:$R$136,14,FALSE),0)*AV16</f>
        <v>0</v>
      </c>
      <c r="BJ16" s="44">
        <f>IFERROR(VLOOKUP(AQ16,'[2]Harga &amp; Nama CSO'!$A$116:$R$136,15,FALSE),0)*AV16</f>
        <v>0</v>
      </c>
      <c r="BK16" s="44">
        <f>IFERROR(VLOOKUP(AQ16,'[2]Harga &amp; Nama CSO'!$A$116:$R$136,16,FALSE),0)*AV16</f>
        <v>0</v>
      </c>
      <c r="BL16" s="44">
        <f>IFERROR(VLOOKUP(AQ16,'[2]Harga &amp; Nama CSO'!$A$116:$R$136,17,FALSE),0)*AV16</f>
        <v>0</v>
      </c>
      <c r="BM16" s="44">
        <f>IFERROR(VLOOKUP(AQ16,'[2]Harga &amp; Nama CSO'!$A$116:$R$136,18,FALSE),0)*AV16</f>
        <v>0</v>
      </c>
      <c r="BN16" s="44">
        <f>IFERROR(VLOOKUP(AQ16,'[2]Harga &amp; Nama CSO'!$A$116:$S$136,19,FALSE),0)*AV16</f>
        <v>0</v>
      </c>
      <c r="BO16" s="55">
        <f>IFERROR(VLOOKUP(AQ16,'[2]Harga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VLOOKUP(AQ16,'[1]Harga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31</v>
      </c>
      <c r="CX16">
        <v>49</v>
      </c>
      <c r="CY16">
        <v>3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20</v>
      </c>
      <c r="DO16">
        <v>0</v>
      </c>
      <c r="DP16">
        <v>20</v>
      </c>
      <c r="DQ16">
        <v>6</v>
      </c>
      <c r="DR16">
        <v>0</v>
      </c>
      <c r="DS16">
        <v>20</v>
      </c>
      <c r="DT16">
        <v>0</v>
      </c>
      <c r="DU16">
        <v>26</v>
      </c>
      <c r="DV16">
        <v>10</v>
      </c>
      <c r="DW16">
        <v>5</v>
      </c>
      <c r="DX16">
        <v>0</v>
      </c>
      <c r="DY16">
        <v>0</v>
      </c>
      <c r="DZ16">
        <v>15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45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12"/>
        <v>194</v>
      </c>
      <c r="Q17" s="20" t="s">
        <v>15</v>
      </c>
      <c r="R17" s="68">
        <f t="shared" si="13"/>
        <v>0</v>
      </c>
      <c r="S17" s="69">
        <f t="shared" si="14"/>
        <v>6</v>
      </c>
      <c r="T17" s="69">
        <f t="shared" si="15"/>
        <v>0</v>
      </c>
      <c r="U17" s="27">
        <f t="shared" si="16"/>
        <v>19</v>
      </c>
      <c r="V17" s="69">
        <f t="shared" si="17"/>
        <v>0</v>
      </c>
      <c r="W17" s="27">
        <f t="shared" si="18"/>
        <v>12</v>
      </c>
      <c r="X17" s="27">
        <f t="shared" si="19"/>
        <v>0</v>
      </c>
      <c r="Y17" s="27">
        <f t="shared" si="20"/>
        <v>0</v>
      </c>
      <c r="Z17" s="27">
        <f t="shared" si="2"/>
        <v>0</v>
      </c>
      <c r="AA17" s="69">
        <f t="shared" si="3"/>
        <v>37</v>
      </c>
      <c r="AB17" s="4">
        <v>30000</v>
      </c>
      <c r="AC17" s="27">
        <f t="shared" si="4"/>
        <v>1110000</v>
      </c>
      <c r="AO17" s="39">
        <v>15</v>
      </c>
      <c r="AP17" s="40">
        <v>46177</v>
      </c>
      <c r="AQ17" s="41" t="s">
        <v>110</v>
      </c>
      <c r="AR17" s="42" t="str">
        <f>IFERROR(VLOOKUP(AU17,[2]SUMMARY!$A$3:$B$7,2,FALSE),"")</f>
        <v>MC-SAGARANTEN</v>
      </c>
      <c r="AS17" s="31">
        <v>1368488</v>
      </c>
      <c r="AT17" s="31" t="str">
        <f>VLOOKUP(AS17,[2]OUTLET!$B:$C,2,0)</f>
        <v>TUWU CELL</v>
      </c>
      <c r="AU17" s="43" t="s">
        <v>41</v>
      </c>
      <c r="AV17" s="6">
        <v>1</v>
      </c>
      <c r="AW17" s="44">
        <f>IFERROR(VLOOKUP(AQ17,'[2]Harga &amp; Nama CSO'!$A$116:$L$136,2,FALSE),0)*AV17</f>
        <v>0</v>
      </c>
      <c r="AX17" s="44">
        <f>IFERROR(VLOOKUP(AQ17,'[2]Harga &amp; Nama CSO'!$A$116:$L$136,3,FALSE),0)*AV17</f>
        <v>0</v>
      </c>
      <c r="AY17" s="44">
        <f>IFERROR(VLOOKUP(AQ17,'[2]Harga &amp; Nama CSO'!$A$116:$L$136,4,FALSE),0)*AV17</f>
        <v>3</v>
      </c>
      <c r="AZ17" s="44">
        <f>IFERROR(VLOOKUP(AQ17,'[2]Harga &amp; Nama CSO'!$A$116:$L$136,5,FALSE),0)*AV17</f>
        <v>0</v>
      </c>
      <c r="BA17" s="44">
        <f>IFERROR(VLOOKUP(AQ17,'[2]Harga &amp; Nama CSO'!$A$116:$L$136,6,FALSE),0)*AV17</f>
        <v>0</v>
      </c>
      <c r="BB17" s="44">
        <f>IFERROR(VLOOKUP(AQ17,'[2]Harga &amp; Nama CSO'!$A$116:$L$136,7,FALSE),0)*AV17</f>
        <v>3</v>
      </c>
      <c r="BC17" s="44">
        <f>IFERROR(VLOOKUP(AQ17,'[2]Harga &amp; Nama CSO'!$A$116:$L$136,8,FALSE),0)*AV17</f>
        <v>3</v>
      </c>
      <c r="BD17" s="44">
        <f>IFERROR(VLOOKUP(AQ17,'[2]Harga &amp; Nama CSO'!$A$116:$L$136,9,FALSE),0)*AV17</f>
        <v>0</v>
      </c>
      <c r="BE17" s="44">
        <f>IFERROR(VLOOKUP(AQ17,'[2]Harga &amp; Nama CSO'!$A$116:$L$136,10,FALSE),0)*AV17</f>
        <v>0</v>
      </c>
      <c r="BF17" s="44">
        <f>IFERROR(VLOOKUP(AQ17,'[2]Harga &amp; Nama CSO'!$A$116:$L$136,11,FALSE),0)*AV17</f>
        <v>0</v>
      </c>
      <c r="BG17" s="44">
        <f>IFERROR(VLOOKUP(AQ17,'[2]Harga &amp; Nama CSO'!$A$116:$L$136,12,FALSE),0)*AV17</f>
        <v>0</v>
      </c>
      <c r="BH17" s="44">
        <f>IFERROR(VLOOKUP(AQ17,'[2]Harga &amp; Nama CSO'!$A$116:$R$136,13,FALSE),0)*AV17</f>
        <v>0</v>
      </c>
      <c r="BI17" s="44">
        <f>IFERROR(VLOOKUP(AQ17,'[2]Harga &amp; Nama CSO'!$A$116:$R$136,14,FALSE),0)*AV17</f>
        <v>0</v>
      </c>
      <c r="BJ17" s="44">
        <f>IFERROR(VLOOKUP(AQ17,'[2]Harga &amp; Nama CSO'!$A$116:$R$136,15,FALSE),0)*AV17</f>
        <v>0</v>
      </c>
      <c r="BK17" s="44">
        <f>IFERROR(VLOOKUP(AQ17,'[2]Harga &amp; Nama CSO'!$A$116:$R$136,16,FALSE),0)*AV17</f>
        <v>0</v>
      </c>
      <c r="BL17" s="44">
        <f>IFERROR(VLOOKUP(AQ17,'[2]Harga &amp; Nama CSO'!$A$116:$R$136,17,FALSE),0)*AV17</f>
        <v>0</v>
      </c>
      <c r="BM17" s="44">
        <f>IFERROR(VLOOKUP(AQ17,'[2]Harga &amp; Nama CSO'!$A$116:$R$136,18,FALSE),0)*AV17</f>
        <v>0</v>
      </c>
      <c r="BN17" s="44">
        <f>IFERROR(VLOOKUP(AQ17,'[2]Harga &amp; Nama CSO'!$A$116:$S$136,19,FALSE),0)*AV17</f>
        <v>0</v>
      </c>
      <c r="BO17" s="55">
        <f>IFERROR(VLOOKUP(AQ17,'[2]Harga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VLOOKUP(AQ17,'[1]Harga &amp; Nama CSO'!$A$28:$D$31,4,0)*BQ17</f>
        <v>3</v>
      </c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10</v>
      </c>
      <c r="CO17" s="70">
        <v>6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6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10</v>
      </c>
      <c r="DH17">
        <v>20</v>
      </c>
      <c r="DI17">
        <v>14</v>
      </c>
      <c r="DJ17">
        <v>10</v>
      </c>
      <c r="DK17">
        <v>54</v>
      </c>
      <c r="DL17">
        <v>15</v>
      </c>
      <c r="DM17">
        <v>70</v>
      </c>
      <c r="DN17">
        <v>85</v>
      </c>
      <c r="DO17">
        <v>50</v>
      </c>
      <c r="DP17">
        <v>220</v>
      </c>
      <c r="DQ17">
        <v>27</v>
      </c>
      <c r="DR17">
        <v>70</v>
      </c>
      <c r="DS17">
        <v>85</v>
      </c>
      <c r="DT17">
        <v>52</v>
      </c>
      <c r="DU17">
        <v>234</v>
      </c>
      <c r="DV17">
        <v>0</v>
      </c>
      <c r="DW17">
        <v>26</v>
      </c>
      <c r="DX17">
        <v>35</v>
      </c>
      <c r="DY17">
        <v>50</v>
      </c>
      <c r="DZ17">
        <v>111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39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81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IFERROR(VLOOKUP(AU18,[2]SUMMARY!$A$3:$B$7,2,FALSE),"")</f>
        <v>MC-SAGARANTEN</v>
      </c>
      <c r="AS18" s="31">
        <v>1295672</v>
      </c>
      <c r="AT18" s="31" t="str">
        <f>VLOOKUP(AS18,[2]OUTLET!$B:$C,2,0)</f>
        <v>RAYHAN CELL</v>
      </c>
      <c r="AU18" s="43" t="s">
        <v>41</v>
      </c>
      <c r="AV18" s="6">
        <v>1</v>
      </c>
      <c r="AW18" s="44">
        <f>IFERROR(VLOOKUP(AQ18,'[2]Harga &amp; Nama CSO'!$A$116:$L$136,2,FALSE),0)*AV18</f>
        <v>0</v>
      </c>
      <c r="AX18" s="44">
        <f>IFERROR(VLOOKUP(AQ18,'[2]Harga &amp; Nama CSO'!$A$116:$L$136,3,FALSE),0)*AV18</f>
        <v>0</v>
      </c>
      <c r="AY18" s="44">
        <f>IFERROR(VLOOKUP(AQ18,'[2]Harga &amp; Nama CSO'!$A$116:$L$136,4,FALSE),0)*AV18</f>
        <v>3</v>
      </c>
      <c r="AZ18" s="44">
        <f>IFERROR(VLOOKUP(AQ18,'[2]Harga &amp; Nama CSO'!$A$116:$L$136,5,FALSE),0)*AV18</f>
        <v>0</v>
      </c>
      <c r="BA18" s="44">
        <f>IFERROR(VLOOKUP(AQ18,'[2]Harga &amp; Nama CSO'!$A$116:$L$136,6,FALSE),0)*AV18</f>
        <v>0</v>
      </c>
      <c r="BB18" s="44">
        <f>IFERROR(VLOOKUP(AQ18,'[2]Harga &amp; Nama CSO'!$A$116:$L$136,7,FALSE),0)*AV18</f>
        <v>3</v>
      </c>
      <c r="BC18" s="44">
        <f>IFERROR(VLOOKUP(AQ18,'[2]Harga &amp; Nama CSO'!$A$116:$L$136,8,FALSE),0)*AV18</f>
        <v>3</v>
      </c>
      <c r="BD18" s="44">
        <f>IFERROR(VLOOKUP(AQ18,'[2]Harga &amp; Nama CSO'!$A$116:$L$136,9,FALSE),0)*AV18</f>
        <v>0</v>
      </c>
      <c r="BE18" s="44">
        <f>IFERROR(VLOOKUP(AQ18,'[2]Harga &amp; Nama CSO'!$A$116:$L$136,10,FALSE),0)*AV18</f>
        <v>0</v>
      </c>
      <c r="BF18" s="44">
        <f>IFERROR(VLOOKUP(AQ18,'[2]Harga &amp; Nama CSO'!$A$116:$L$136,11,FALSE),0)*AV18</f>
        <v>0</v>
      </c>
      <c r="BG18" s="44">
        <f>IFERROR(VLOOKUP(AQ18,'[2]Harga &amp; Nama CSO'!$A$116:$L$136,12,FALSE),0)*AV18</f>
        <v>0</v>
      </c>
      <c r="BH18" s="44">
        <f>IFERROR(VLOOKUP(AQ18,'[2]Harga &amp; Nama CSO'!$A$116:$R$136,13,FALSE),0)*AV18</f>
        <v>0</v>
      </c>
      <c r="BI18" s="44">
        <f>IFERROR(VLOOKUP(AQ18,'[2]Harga &amp; Nama CSO'!$A$116:$R$136,14,FALSE),0)*AV18</f>
        <v>0</v>
      </c>
      <c r="BJ18" s="44">
        <f>IFERROR(VLOOKUP(AQ18,'[2]Harga &amp; Nama CSO'!$A$116:$R$136,15,FALSE),0)*AV18</f>
        <v>0</v>
      </c>
      <c r="BK18" s="44">
        <f>IFERROR(VLOOKUP(AQ18,'[2]Harga &amp; Nama CSO'!$A$116:$R$136,16,FALSE),0)*AV18</f>
        <v>0</v>
      </c>
      <c r="BL18" s="44">
        <f>IFERROR(VLOOKUP(AQ18,'[2]Harga &amp; Nama CSO'!$A$116:$R$136,17,FALSE),0)*AV18</f>
        <v>0</v>
      </c>
      <c r="BM18" s="44">
        <f>IFERROR(VLOOKUP(AQ18,'[2]Harga &amp; Nama CSO'!$A$116:$R$136,18,FALSE),0)*AV18</f>
        <v>0</v>
      </c>
      <c r="BN18" s="44">
        <f>IFERROR(VLOOKUP(AQ18,'[2]Harga &amp; Nama CSO'!$A$116:$S$136,19,FALSE),0)*AV18</f>
        <v>0</v>
      </c>
      <c r="BO18" s="55">
        <f>IFERROR(VLOOKUP(AQ18,'[2]Harga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VLOOKUP(AQ18,'[1]Harga &amp; Nama CSO'!$A$28:$D$31,4,0)*BQ18</f>
        <v>3</v>
      </c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15</v>
      </c>
      <c r="DI18">
        <v>10</v>
      </c>
      <c r="DJ18">
        <v>6</v>
      </c>
      <c r="DK18">
        <v>31</v>
      </c>
      <c r="DL18">
        <v>7</v>
      </c>
      <c r="DM18">
        <v>20</v>
      </c>
      <c r="DN18">
        <v>22</v>
      </c>
      <c r="DO18">
        <v>0</v>
      </c>
      <c r="DP18">
        <v>49</v>
      </c>
      <c r="DQ18">
        <v>0</v>
      </c>
      <c r="DR18">
        <v>20</v>
      </c>
      <c r="DS18">
        <v>22</v>
      </c>
      <c r="DT18">
        <v>0</v>
      </c>
      <c r="DU18">
        <v>42</v>
      </c>
      <c r="DV18">
        <v>2</v>
      </c>
      <c r="DW18">
        <v>16</v>
      </c>
      <c r="DX18">
        <v>0</v>
      </c>
      <c r="DY18">
        <v>0</v>
      </c>
      <c r="DZ18">
        <v>18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Q19" s="20" t="s">
        <v>17</v>
      </c>
      <c r="R19" s="68">
        <f t="shared" si="13"/>
        <v>0</v>
      </c>
      <c r="S19" s="69">
        <f t="shared" si="14"/>
        <v>1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IFERROR(VLOOKUP(AU19,[2]SUMMARY!$A$3:$B$7,2,FALSE),"")</f>
        <v>MC-SAGARANTEN</v>
      </c>
      <c r="AS19" s="31">
        <v>17231464</v>
      </c>
      <c r="AT19" s="31" t="str">
        <f>VLOOKUP(AS19,[2]OUTLET!$B:$C,2,0)</f>
        <v>RINA CELL.</v>
      </c>
      <c r="AU19" s="43" t="s">
        <v>42</v>
      </c>
      <c r="AV19" s="6">
        <v>1</v>
      </c>
      <c r="AW19" s="44">
        <f>IFERROR(VLOOKUP(AQ19,'[2]Harga &amp; Nama CSO'!$A$116:$L$136,2,FALSE),0)*AV19</f>
        <v>0</v>
      </c>
      <c r="AX19" s="44">
        <f>IFERROR(VLOOKUP(AQ19,'[2]Harga &amp; Nama CSO'!$A$116:$L$136,3,FALSE),0)*AV19</f>
        <v>0</v>
      </c>
      <c r="AY19" s="44">
        <f>IFERROR(VLOOKUP(AQ19,'[2]Harga &amp; Nama CSO'!$A$116:$L$136,4,FALSE),0)*AV19</f>
        <v>3</v>
      </c>
      <c r="AZ19" s="44">
        <f>IFERROR(VLOOKUP(AQ19,'[2]Harga &amp; Nama CSO'!$A$116:$L$136,5,FALSE),0)*AV19</f>
        <v>0</v>
      </c>
      <c r="BA19" s="44">
        <f>IFERROR(VLOOKUP(AQ19,'[2]Harga &amp; Nama CSO'!$A$116:$L$136,6,FALSE),0)*AV19</f>
        <v>0</v>
      </c>
      <c r="BB19" s="44">
        <f>IFERROR(VLOOKUP(AQ19,'[2]Harga &amp; Nama CSO'!$A$116:$L$136,7,FALSE),0)*AV19</f>
        <v>0</v>
      </c>
      <c r="BC19" s="44">
        <f>IFERROR(VLOOKUP(AQ19,'[2]Harga &amp; Nama CSO'!$A$116:$L$136,8,FALSE),0)*AV19</f>
        <v>3</v>
      </c>
      <c r="BD19" s="44">
        <f>IFERROR(VLOOKUP(AQ19,'[2]Harga &amp; Nama CSO'!$A$116:$L$136,9,FALSE),0)*AV19</f>
        <v>0</v>
      </c>
      <c r="BE19" s="44">
        <f>IFERROR(VLOOKUP(AQ19,'[2]Harga &amp; Nama CSO'!$A$116:$L$136,10,FALSE),0)*AV19</f>
        <v>0</v>
      </c>
      <c r="BF19" s="44">
        <f>IFERROR(VLOOKUP(AQ19,'[2]Harga &amp; Nama CSO'!$A$116:$L$136,11,FALSE),0)*AV19</f>
        <v>0</v>
      </c>
      <c r="BG19" s="44">
        <f>IFERROR(VLOOKUP(AQ19,'[2]Harga &amp; Nama CSO'!$A$116:$L$136,12,FALSE),0)*AV19</f>
        <v>0</v>
      </c>
      <c r="BH19" s="44">
        <f>IFERROR(VLOOKUP(AQ19,'[2]Harga &amp; Nama CSO'!$A$116:$R$136,13,FALSE),0)*AV19</f>
        <v>0</v>
      </c>
      <c r="BI19" s="44">
        <f>IFERROR(VLOOKUP(AQ19,'[2]Harga &amp; Nama CSO'!$A$116:$R$136,14,FALSE),0)*AV19</f>
        <v>3</v>
      </c>
      <c r="BJ19" s="44">
        <f>IFERROR(VLOOKUP(AQ19,'[2]Harga &amp; Nama CSO'!$A$116:$R$136,15,FALSE),0)*AV19</f>
        <v>0</v>
      </c>
      <c r="BK19" s="44">
        <f>IFERROR(VLOOKUP(AQ19,'[2]Harga &amp; Nama CSO'!$A$116:$R$136,16,FALSE),0)*AV19</f>
        <v>0</v>
      </c>
      <c r="BL19" s="44">
        <f>IFERROR(VLOOKUP(AQ19,'[2]Harga &amp; Nama CSO'!$A$116:$R$136,17,FALSE),0)*AV19</f>
        <v>0</v>
      </c>
      <c r="BM19" s="44">
        <f>IFERROR(VLOOKUP(AQ19,'[2]Harga &amp; Nama CSO'!$A$116:$R$136,18,FALSE),0)*AV19</f>
        <v>0</v>
      </c>
      <c r="BN19" s="44">
        <f>IFERROR(VLOOKUP(AQ19,'[2]Harga &amp; Nama CSO'!$A$116:$S$136,19,FALSE),0)*AV19</f>
        <v>0</v>
      </c>
      <c r="BO19" s="55">
        <f>IFERROR(VLOOKUP(AQ19,'[2]Harga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VLOOKUP(AQ19,'[1]Harga &amp; Nama CSO'!$A$28:$D$31,4,0)*BQ19</f>
        <v>3</v>
      </c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6</v>
      </c>
      <c r="DK19">
        <v>6</v>
      </c>
      <c r="DL19">
        <v>3</v>
      </c>
      <c r="DM19">
        <v>16</v>
      </c>
      <c r="DN19">
        <v>0</v>
      </c>
      <c r="DO19">
        <v>0</v>
      </c>
      <c r="DP19">
        <v>19</v>
      </c>
      <c r="DQ19">
        <v>0</v>
      </c>
      <c r="DR19">
        <v>16</v>
      </c>
      <c r="DS19">
        <v>0</v>
      </c>
      <c r="DT19">
        <v>0</v>
      </c>
      <c r="DU19">
        <v>16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25</v>
      </c>
      <c r="V20" s="27">
        <f t="shared" si="26"/>
        <v>0</v>
      </c>
      <c r="W20" s="27">
        <f t="shared" si="18"/>
        <v>6</v>
      </c>
      <c r="X20" s="27">
        <f t="shared" si="19"/>
        <v>0</v>
      </c>
      <c r="Y20" s="27">
        <f t="shared" si="20"/>
        <v>6</v>
      </c>
      <c r="Z20" s="27">
        <f t="shared" si="2"/>
        <v>0</v>
      </c>
      <c r="AA20" s="69">
        <f t="shared" si="3"/>
        <v>37</v>
      </c>
      <c r="AB20" s="4">
        <v>12000</v>
      </c>
      <c r="AC20" s="27">
        <f t="shared" si="4"/>
        <v>444000</v>
      </c>
      <c r="AE20" t="s">
        <v>54</v>
      </c>
      <c r="AH20" s="28"/>
      <c r="AJ20" s="63"/>
      <c r="AL20" s="63"/>
      <c r="AO20" s="39">
        <v>18</v>
      </c>
      <c r="AP20" s="40">
        <v>46178</v>
      </c>
      <c r="AQ20" s="41" t="s">
        <v>96</v>
      </c>
      <c r="AR20" s="42" t="str">
        <f>IFERROR(VLOOKUP(AU20,[2]SUMMARY!$A$3:$B$7,2,FALSE),"")</f>
        <v>MC-SAGARANTEN</v>
      </c>
      <c r="AS20" s="31">
        <v>17729987</v>
      </c>
      <c r="AT20" s="31" t="str">
        <f>VLOOKUP(AS20,[2]OUTLET!$B:$C,2,0)</f>
        <v>RE phonestore</v>
      </c>
      <c r="AU20" s="43" t="s">
        <v>53</v>
      </c>
      <c r="AV20" s="6">
        <v>1</v>
      </c>
      <c r="AW20" s="44">
        <f>IFERROR(VLOOKUP(AQ20,'[2]Harga &amp; Nama CSO'!$A$116:$L$136,2,FALSE),0)*AV20</f>
        <v>0</v>
      </c>
      <c r="AX20" s="44">
        <f>IFERROR(VLOOKUP(AQ20,'[2]Harga &amp; Nama CSO'!$A$116:$L$136,3,FALSE),0)*AV20</f>
        <v>0</v>
      </c>
      <c r="AY20" s="44">
        <f>IFERROR(VLOOKUP(AQ20,'[2]Harga &amp; Nama CSO'!$A$116:$L$136,4,FALSE),0)*AV20</f>
        <v>3</v>
      </c>
      <c r="AZ20" s="44">
        <f>IFERROR(VLOOKUP(AQ20,'[2]Harga &amp; Nama CSO'!$A$116:$L$136,5,FALSE),0)*AV20</f>
        <v>0</v>
      </c>
      <c r="BA20" s="44">
        <f>IFERROR(VLOOKUP(AQ20,'[2]Harga &amp; Nama CSO'!$A$116:$L$136,6,FALSE),0)*AV20</f>
        <v>0</v>
      </c>
      <c r="BB20" s="44">
        <f>IFERROR(VLOOKUP(AQ20,'[2]Harga &amp; Nama CSO'!$A$116:$L$136,7,FALSE),0)*AV20</f>
        <v>0</v>
      </c>
      <c r="BC20" s="44">
        <f>IFERROR(VLOOKUP(AQ20,'[2]Harga &amp; Nama CSO'!$A$116:$L$136,8,FALSE),0)*AV20</f>
        <v>3</v>
      </c>
      <c r="BD20" s="44">
        <f>IFERROR(VLOOKUP(AQ20,'[2]Harga &amp; Nama CSO'!$A$116:$L$136,9,FALSE),0)*AV20</f>
        <v>0</v>
      </c>
      <c r="BE20" s="44">
        <f>IFERROR(VLOOKUP(AQ20,'[2]Harga &amp; Nama CSO'!$A$116:$L$136,10,FALSE),0)*AV20</f>
        <v>0</v>
      </c>
      <c r="BF20" s="44">
        <f>IFERROR(VLOOKUP(AQ20,'[2]Harga &amp; Nama CSO'!$A$116:$L$136,11,FALSE),0)*AV20</f>
        <v>0</v>
      </c>
      <c r="BG20" s="44">
        <f>IFERROR(VLOOKUP(AQ20,'[2]Harga &amp; Nama CSO'!$A$116:$L$136,12,FALSE),0)*AV20</f>
        <v>0</v>
      </c>
      <c r="BH20" s="44">
        <f>IFERROR(VLOOKUP(AQ20,'[2]Harga &amp; Nama CSO'!$A$116:$R$136,13,FALSE),0)*AV20</f>
        <v>0</v>
      </c>
      <c r="BI20" s="44">
        <f>IFERROR(VLOOKUP(AQ20,'[2]Harga &amp; Nama CSO'!$A$116:$R$136,14,FALSE),0)*AV20</f>
        <v>3</v>
      </c>
      <c r="BJ20" s="44">
        <f>IFERROR(VLOOKUP(AQ20,'[2]Harga &amp; Nama CSO'!$A$116:$R$136,15,FALSE),0)*AV20</f>
        <v>0</v>
      </c>
      <c r="BK20" s="44">
        <f>IFERROR(VLOOKUP(AQ20,'[2]Harga &amp; Nama CSO'!$A$116:$R$136,16,FALSE),0)*AV20</f>
        <v>0</v>
      </c>
      <c r="BL20" s="44">
        <f>IFERROR(VLOOKUP(AQ20,'[2]Harga &amp; Nama CSO'!$A$116:$R$136,17,FALSE),0)*AV20</f>
        <v>0</v>
      </c>
      <c r="BM20" s="44">
        <f>IFERROR(VLOOKUP(AQ20,'[2]Harga &amp; Nama CSO'!$A$116:$R$136,18,FALSE),0)*AV20</f>
        <v>0</v>
      </c>
      <c r="BN20" s="44">
        <f>IFERROR(VLOOKUP(AQ20,'[2]Harga &amp; Nama CSO'!$A$116:$S$136,19,FALSE),0)*AV20</f>
        <v>0</v>
      </c>
      <c r="BO20" s="55">
        <f>IFERROR(VLOOKUP(AQ20,'[2]Harga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VLOOKUP(AQ20,'[1]Harga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25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885</v>
      </c>
      <c r="D21" s="13">
        <f t="shared" si="1"/>
        <v>885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Q21" s="20" t="s">
        <v>19</v>
      </c>
      <c r="R21" s="68">
        <f t="shared" si="13"/>
        <v>20</v>
      </c>
      <c r="S21" s="69">
        <f t="shared" si="14"/>
        <v>152</v>
      </c>
      <c r="T21" s="69">
        <f t="shared" si="15"/>
        <v>15</v>
      </c>
      <c r="U21" s="27">
        <f t="shared" si="16"/>
        <v>177</v>
      </c>
      <c r="V21" s="27">
        <f t="shared" si="26"/>
        <v>21</v>
      </c>
      <c r="W21" s="27">
        <f t="shared" si="18"/>
        <v>108</v>
      </c>
      <c r="X21" s="27">
        <f t="shared" si="19"/>
        <v>0</v>
      </c>
      <c r="Y21" s="27">
        <f t="shared" si="20"/>
        <v>76</v>
      </c>
      <c r="Z21" s="27">
        <f t="shared" si="2"/>
        <v>56</v>
      </c>
      <c r="AA21" s="69">
        <f t="shared" si="3"/>
        <v>513</v>
      </c>
      <c r="AB21" s="4">
        <v>9600</v>
      </c>
      <c r="AC21" s="27">
        <f t="shared" si="4"/>
        <v>4924800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46181</v>
      </c>
      <c r="AQ21" s="41" t="s">
        <v>96</v>
      </c>
      <c r="AR21" s="42" t="str">
        <f>IFERROR(VLOOKUP(AU21,[2]SUMMARY!$A$3:$B$7,2,FALSE),"")</f>
        <v>MC-SAGARANTEN</v>
      </c>
      <c r="AS21" s="31">
        <v>1287334</v>
      </c>
      <c r="AT21" s="31" t="str">
        <f>VLOOKUP(AS21,[2]OUTLET!$B:$C,2,0)</f>
        <v>RAMDANY</v>
      </c>
      <c r="AU21" s="43" t="s">
        <v>53</v>
      </c>
      <c r="AV21" s="6">
        <v>1</v>
      </c>
      <c r="AW21" s="44">
        <f>IFERROR(VLOOKUP(AQ21,'[2]Harga &amp; Nama CSO'!$A$116:$L$136,2,FALSE),0)*AV21</f>
        <v>0</v>
      </c>
      <c r="AX21" s="44">
        <f>IFERROR(VLOOKUP(AQ21,'[2]Harga &amp; Nama CSO'!$A$116:$L$136,3,FALSE),0)*AV21</f>
        <v>0</v>
      </c>
      <c r="AY21" s="44">
        <f>IFERROR(VLOOKUP(AQ21,'[2]Harga &amp; Nama CSO'!$A$116:$L$136,4,FALSE),0)*AV21</f>
        <v>3</v>
      </c>
      <c r="AZ21" s="44">
        <f>IFERROR(VLOOKUP(AQ21,'[2]Harga &amp; Nama CSO'!$A$116:$L$136,5,FALSE),0)*AV21</f>
        <v>0</v>
      </c>
      <c r="BA21" s="44">
        <f>IFERROR(VLOOKUP(AQ21,'[2]Harga &amp; Nama CSO'!$A$116:$L$136,6,FALSE),0)*AV21</f>
        <v>0</v>
      </c>
      <c r="BB21" s="44">
        <f>IFERROR(VLOOKUP(AQ21,'[2]Harga &amp; Nama CSO'!$A$116:$L$136,7,FALSE),0)*AV21</f>
        <v>0</v>
      </c>
      <c r="BC21" s="44">
        <f>IFERROR(VLOOKUP(AQ21,'[2]Harga &amp; Nama CSO'!$A$116:$L$136,8,FALSE),0)*AV21</f>
        <v>3</v>
      </c>
      <c r="BD21" s="44">
        <f>IFERROR(VLOOKUP(AQ21,'[2]Harga &amp; Nama CSO'!$A$116:$L$136,9,FALSE),0)*AV21</f>
        <v>0</v>
      </c>
      <c r="BE21" s="44">
        <f>IFERROR(VLOOKUP(AQ21,'[2]Harga &amp; Nama CSO'!$A$116:$L$136,10,FALSE),0)*AV21</f>
        <v>0</v>
      </c>
      <c r="BF21" s="44">
        <f>IFERROR(VLOOKUP(AQ21,'[2]Harga &amp; Nama CSO'!$A$116:$L$136,11,FALSE),0)*AV21</f>
        <v>0</v>
      </c>
      <c r="BG21" s="44">
        <f>IFERROR(VLOOKUP(AQ21,'[2]Harga &amp; Nama CSO'!$A$116:$L$136,12,FALSE),0)*AV21</f>
        <v>0</v>
      </c>
      <c r="BH21" s="44">
        <f>IFERROR(VLOOKUP(AQ21,'[2]Harga &amp; Nama CSO'!$A$116:$R$136,13,FALSE),0)*AV21</f>
        <v>0</v>
      </c>
      <c r="BI21" s="44">
        <f>IFERROR(VLOOKUP(AQ21,'[2]Harga &amp; Nama CSO'!$A$116:$R$136,14,FALSE),0)*AV21</f>
        <v>3</v>
      </c>
      <c r="BJ21" s="44">
        <f>IFERROR(VLOOKUP(AQ21,'[2]Harga &amp; Nama CSO'!$A$116:$R$136,15,FALSE),0)*AV21</f>
        <v>0</v>
      </c>
      <c r="BK21" s="44">
        <f>IFERROR(VLOOKUP(AQ21,'[2]Harga &amp; Nama CSO'!$A$116:$R$136,16,FALSE),0)*AV21</f>
        <v>0</v>
      </c>
      <c r="BL21" s="44">
        <f>IFERROR(VLOOKUP(AQ21,'[2]Harga &amp; Nama CSO'!$A$116:$R$136,17,FALSE),0)*AV21</f>
        <v>0</v>
      </c>
      <c r="BM21" s="44">
        <f>IFERROR(VLOOKUP(AQ21,'[2]Harga &amp; Nama CSO'!$A$116:$R$136,18,FALSE),0)*AV21</f>
        <v>0</v>
      </c>
      <c r="BN21" s="44">
        <f>IFERROR(VLOOKUP(AQ21,'[2]Harga &amp; Nama CSO'!$A$116:$S$136,19,FALSE),0)*AV21</f>
        <v>0</v>
      </c>
      <c r="BO21" s="55">
        <f>IFERROR(VLOOKUP(AQ21,'[2]Harga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VLOOKUP(AQ21,'[1]Harga &amp; Nama CSO'!$A$28:$D$31,4,0)*BQ21</f>
        <v>3</v>
      </c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152</v>
      </c>
      <c r="CX21">
        <v>177</v>
      </c>
      <c r="CY21">
        <v>108</v>
      </c>
      <c r="CZ21">
        <v>76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1</v>
      </c>
      <c r="DK21">
        <v>1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189</v>
      </c>
      <c r="H22" s="21">
        <v>28</v>
      </c>
      <c r="I22" s="21">
        <v>77</v>
      </c>
      <c r="J22" s="21">
        <v>85</v>
      </c>
      <c r="K22" s="21">
        <v>12</v>
      </c>
      <c r="L22" s="22">
        <f t="shared" si="12"/>
        <v>391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IFERROR(VLOOKUP(AU22,[2]SUMMARY!$A$3:$B$7,2,FALSE),"")</f>
        <v>MC-SAGARANTEN</v>
      </c>
      <c r="AS22" s="31">
        <v>17779453</v>
      </c>
      <c r="AT22" s="31" t="str">
        <f>VLOOKUP(AS22,[2]OUTLET!$B:$C,2,0)</f>
        <v>ABAY CELL</v>
      </c>
      <c r="AU22" s="43" t="s">
        <v>53</v>
      </c>
      <c r="AV22" s="6">
        <v>1</v>
      </c>
      <c r="AW22" s="44">
        <f>IFERROR(VLOOKUP(AQ22,'[2]Harga &amp; Nama CSO'!$A$116:$L$136,2,FALSE),0)*AV22</f>
        <v>0</v>
      </c>
      <c r="AX22" s="44">
        <f>IFERROR(VLOOKUP(AQ22,'[2]Harga &amp; Nama CSO'!$A$116:$L$136,3,FALSE),0)*AV22</f>
        <v>0</v>
      </c>
      <c r="AY22" s="44">
        <f>IFERROR(VLOOKUP(AQ22,'[2]Harga &amp; Nama CSO'!$A$116:$L$136,4,FALSE),0)*AV22</f>
        <v>3</v>
      </c>
      <c r="AZ22" s="44">
        <f>IFERROR(VLOOKUP(AQ22,'[2]Harga &amp; Nama CSO'!$A$116:$L$136,5,FALSE),0)*AV22</f>
        <v>0</v>
      </c>
      <c r="BA22" s="44">
        <f>IFERROR(VLOOKUP(AQ22,'[2]Harga &amp; Nama CSO'!$A$116:$L$136,6,FALSE),0)*AV22</f>
        <v>0</v>
      </c>
      <c r="BB22" s="44">
        <f>IFERROR(VLOOKUP(AQ22,'[2]Harga &amp; Nama CSO'!$A$116:$L$136,7,FALSE),0)*AV22</f>
        <v>0</v>
      </c>
      <c r="BC22" s="44">
        <f>IFERROR(VLOOKUP(AQ22,'[2]Harga &amp; Nama CSO'!$A$116:$L$136,8,FALSE),0)*AV22</f>
        <v>3</v>
      </c>
      <c r="BD22" s="44">
        <f>IFERROR(VLOOKUP(AQ22,'[2]Harga &amp; Nama CSO'!$A$116:$L$136,9,FALSE),0)*AV22</f>
        <v>0</v>
      </c>
      <c r="BE22" s="44">
        <f>IFERROR(VLOOKUP(AQ22,'[2]Harga &amp; Nama CSO'!$A$116:$L$136,10,FALSE),0)*AV22</f>
        <v>0</v>
      </c>
      <c r="BF22" s="44">
        <f>IFERROR(VLOOKUP(AQ22,'[2]Harga &amp; Nama CSO'!$A$116:$L$136,11,FALSE),0)*AV22</f>
        <v>0</v>
      </c>
      <c r="BG22" s="44">
        <f>IFERROR(VLOOKUP(AQ22,'[2]Harga &amp; Nama CSO'!$A$116:$L$136,12,FALSE),0)*AV22</f>
        <v>0</v>
      </c>
      <c r="BH22" s="44">
        <f>IFERROR(VLOOKUP(AQ22,'[2]Harga &amp; Nama CSO'!$A$116:$R$136,13,FALSE),0)*AV22</f>
        <v>0</v>
      </c>
      <c r="BI22" s="44">
        <f>IFERROR(VLOOKUP(AQ22,'[2]Harga &amp; Nama CSO'!$A$116:$R$136,14,FALSE),0)*AV22</f>
        <v>3</v>
      </c>
      <c r="BJ22" s="44">
        <f>IFERROR(VLOOKUP(AQ22,'[2]Harga &amp; Nama CSO'!$A$116:$R$136,15,FALSE),0)*AV22</f>
        <v>0</v>
      </c>
      <c r="BK22" s="44">
        <f>IFERROR(VLOOKUP(AQ22,'[2]Harga &amp; Nama CSO'!$A$116:$R$136,16,FALSE),0)*AV22</f>
        <v>0</v>
      </c>
      <c r="BL22" s="44">
        <f>IFERROR(VLOOKUP(AQ22,'[2]Harga &amp; Nama CSO'!$A$116:$R$136,17,FALSE),0)*AV22</f>
        <v>0</v>
      </c>
      <c r="BM22" s="44">
        <f>IFERROR(VLOOKUP(AQ22,'[2]Harga &amp; Nama CSO'!$A$116:$R$136,18,FALSE),0)*AV22</f>
        <v>0</v>
      </c>
      <c r="BN22" s="44">
        <f>IFERROR(VLOOKUP(AQ22,'[2]Harga &amp; Nama CSO'!$A$116:$S$136,19,FALSE),0)*AV22</f>
        <v>0</v>
      </c>
      <c r="BO22" s="55">
        <f>IFERROR(VLOOKUP(AQ22,'[2]Harga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VLOOKUP(AQ22,'[1]Harga &amp; Nama CSO'!$A$28:$D$31,4,0)*BQ22</f>
        <v>3</v>
      </c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25</v>
      </c>
      <c r="DP22">
        <v>25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6</v>
      </c>
      <c r="DX22">
        <v>0</v>
      </c>
      <c r="DY22">
        <v>25</v>
      </c>
      <c r="DZ22">
        <v>31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81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IFERROR(VLOOKUP(AU23,[2]SUMMARY!$A$3:$B$7,2,FALSE),"")</f>
        <v>MC-SAGARANTEN</v>
      </c>
      <c r="AS23" s="31">
        <v>17690107</v>
      </c>
      <c r="AT23" s="31" t="str">
        <f>VLOOKUP(AS23,[2]OUTLET!$B:$C,2,0)</f>
        <v>Notary Luthvi</v>
      </c>
      <c r="AU23" s="43" t="s">
        <v>53</v>
      </c>
      <c r="AV23" s="6">
        <v>1</v>
      </c>
      <c r="AW23" s="44">
        <f>IFERROR(VLOOKUP(AQ23,'[2]Harga &amp; Nama CSO'!$A$116:$L$136,2,FALSE),0)*AV23</f>
        <v>0</v>
      </c>
      <c r="AX23" s="44">
        <f>IFERROR(VLOOKUP(AQ23,'[2]Harga &amp; Nama CSO'!$A$116:$L$136,3,FALSE),0)*AV23</f>
        <v>0</v>
      </c>
      <c r="AY23" s="44">
        <f>IFERROR(VLOOKUP(AQ23,'[2]Harga &amp; Nama CSO'!$A$116:$L$136,4,FALSE),0)*AV23</f>
        <v>3</v>
      </c>
      <c r="AZ23" s="44">
        <f>IFERROR(VLOOKUP(AQ23,'[2]Harga &amp; Nama CSO'!$A$116:$L$136,5,FALSE),0)*AV23</f>
        <v>0</v>
      </c>
      <c r="BA23" s="44">
        <f>IFERROR(VLOOKUP(AQ23,'[2]Harga &amp; Nama CSO'!$A$116:$L$136,6,FALSE),0)*AV23</f>
        <v>0</v>
      </c>
      <c r="BB23" s="44">
        <f>IFERROR(VLOOKUP(AQ23,'[2]Harga &amp; Nama CSO'!$A$116:$L$136,7,FALSE),0)*AV23</f>
        <v>0</v>
      </c>
      <c r="BC23" s="44">
        <f>IFERROR(VLOOKUP(AQ23,'[2]Harga &amp; Nama CSO'!$A$116:$L$136,8,FALSE),0)*AV23</f>
        <v>3</v>
      </c>
      <c r="BD23" s="44">
        <f>IFERROR(VLOOKUP(AQ23,'[2]Harga &amp; Nama CSO'!$A$116:$L$136,9,FALSE),0)*AV23</f>
        <v>0</v>
      </c>
      <c r="BE23" s="44">
        <f>IFERROR(VLOOKUP(AQ23,'[2]Harga &amp; Nama CSO'!$A$116:$L$136,10,FALSE),0)*AV23</f>
        <v>0</v>
      </c>
      <c r="BF23" s="44">
        <f>IFERROR(VLOOKUP(AQ23,'[2]Harga &amp; Nama CSO'!$A$116:$L$136,11,FALSE),0)*AV23</f>
        <v>0</v>
      </c>
      <c r="BG23" s="44">
        <f>IFERROR(VLOOKUP(AQ23,'[2]Harga &amp; Nama CSO'!$A$116:$L$136,12,FALSE),0)*AV23</f>
        <v>0</v>
      </c>
      <c r="BH23" s="44">
        <f>IFERROR(VLOOKUP(AQ23,'[2]Harga &amp; Nama CSO'!$A$116:$R$136,13,FALSE),0)*AV23</f>
        <v>0</v>
      </c>
      <c r="BI23" s="44">
        <f>IFERROR(VLOOKUP(AQ23,'[2]Harga &amp; Nama CSO'!$A$116:$R$136,14,FALSE),0)*AV23</f>
        <v>3</v>
      </c>
      <c r="BJ23" s="44">
        <f>IFERROR(VLOOKUP(AQ23,'[2]Harga &amp; Nama CSO'!$A$116:$R$136,15,FALSE),0)*AV23</f>
        <v>0</v>
      </c>
      <c r="BK23" s="44">
        <f>IFERROR(VLOOKUP(AQ23,'[2]Harga &amp; Nama CSO'!$A$116:$R$136,16,FALSE),0)*AV23</f>
        <v>0</v>
      </c>
      <c r="BL23" s="44">
        <f>IFERROR(VLOOKUP(AQ23,'[2]Harga &amp; Nama CSO'!$A$116:$R$136,17,FALSE),0)*AV23</f>
        <v>0</v>
      </c>
      <c r="BM23" s="44">
        <f>IFERROR(VLOOKUP(AQ23,'[2]Harga &amp; Nama CSO'!$A$116:$R$136,18,FALSE),0)*AV23</f>
        <v>0</v>
      </c>
      <c r="BN23" s="44">
        <f>IFERROR(VLOOKUP(AQ23,'[2]Harga &amp; Nama CSO'!$A$116:$S$136,19,FALSE),0)*AV23</f>
        <v>0</v>
      </c>
      <c r="BO23" s="55">
        <f>IFERROR(VLOOKUP(AQ23,'[2]Harga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VLOOKUP(AQ23,'[1]Harga &amp; Nama CSO'!$A$28:$D$31,4,0)*BQ23</f>
        <v>3</v>
      </c>
      <c r="CL23" t="s">
        <v>19</v>
      </c>
      <c r="CM23" s="70">
        <v>20</v>
      </c>
      <c r="CN23" s="70">
        <v>15</v>
      </c>
      <c r="CO23" s="70">
        <v>21</v>
      </c>
      <c r="CP23" s="70">
        <v>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6</v>
      </c>
      <c r="DI23">
        <v>26</v>
      </c>
      <c r="DJ23">
        <v>90</v>
      </c>
      <c r="DK23">
        <v>152</v>
      </c>
      <c r="DL23">
        <v>75</v>
      </c>
      <c r="DM23">
        <v>5</v>
      </c>
      <c r="DN23">
        <v>49</v>
      </c>
      <c r="DO23">
        <v>48</v>
      </c>
      <c r="DP23">
        <v>177</v>
      </c>
      <c r="DQ23">
        <v>12</v>
      </c>
      <c r="DR23">
        <v>5</v>
      </c>
      <c r="DS23">
        <v>49</v>
      </c>
      <c r="DT23">
        <v>36</v>
      </c>
      <c r="DU23">
        <v>102</v>
      </c>
      <c r="DV23">
        <v>8</v>
      </c>
      <c r="DW23">
        <v>12</v>
      </c>
      <c r="DX23">
        <v>6</v>
      </c>
      <c r="DY23">
        <v>48</v>
      </c>
      <c r="DZ23">
        <v>74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IFERROR(VLOOKUP(AU24,[2]SUMMARY!$A$3:$B$7,2,FALSE),"")</f>
        <v>MC-SAGARANTEN</v>
      </c>
      <c r="AS24" s="31">
        <v>1305544</v>
      </c>
      <c r="AT24" s="31" t="str">
        <f>VLOOKUP(AS24,[2]OUTLET!$B:$C,2,0)</f>
        <v>KIKI CELL</v>
      </c>
      <c r="AU24" s="43" t="s">
        <v>53</v>
      </c>
      <c r="AV24" s="6">
        <v>1</v>
      </c>
      <c r="AW24" s="44">
        <f>IFERROR(VLOOKUP(AQ24,'[2]Harga &amp; Nama CSO'!$A$116:$L$136,2,FALSE),0)*AV24</f>
        <v>0</v>
      </c>
      <c r="AX24" s="44">
        <f>IFERROR(VLOOKUP(AQ24,'[2]Harga &amp; Nama CSO'!$A$116:$L$136,3,FALSE),0)*AV24</f>
        <v>0</v>
      </c>
      <c r="AY24" s="44">
        <f>IFERROR(VLOOKUP(AQ24,'[2]Harga &amp; Nama CSO'!$A$116:$L$136,4,FALSE),0)*AV24</f>
        <v>3</v>
      </c>
      <c r="AZ24" s="44">
        <f>IFERROR(VLOOKUP(AQ24,'[2]Harga &amp; Nama CSO'!$A$116:$L$136,5,FALSE),0)*AV24</f>
        <v>0</v>
      </c>
      <c r="BA24" s="44">
        <f>IFERROR(VLOOKUP(AQ24,'[2]Harga &amp; Nama CSO'!$A$116:$L$136,6,FALSE),0)*AV24</f>
        <v>0</v>
      </c>
      <c r="BB24" s="44">
        <f>IFERROR(VLOOKUP(AQ24,'[2]Harga &amp; Nama CSO'!$A$116:$L$136,7,FALSE),0)*AV24</f>
        <v>0</v>
      </c>
      <c r="BC24" s="44">
        <f>IFERROR(VLOOKUP(AQ24,'[2]Harga &amp; Nama CSO'!$A$116:$L$136,8,FALSE),0)*AV24</f>
        <v>3</v>
      </c>
      <c r="BD24" s="44">
        <f>IFERROR(VLOOKUP(AQ24,'[2]Harga &amp; Nama CSO'!$A$116:$L$136,9,FALSE),0)*AV24</f>
        <v>0</v>
      </c>
      <c r="BE24" s="44">
        <f>IFERROR(VLOOKUP(AQ24,'[2]Harga &amp; Nama CSO'!$A$116:$L$136,10,FALSE),0)*AV24</f>
        <v>0</v>
      </c>
      <c r="BF24" s="44">
        <f>IFERROR(VLOOKUP(AQ24,'[2]Harga &amp; Nama CSO'!$A$116:$L$136,11,FALSE),0)*AV24</f>
        <v>0</v>
      </c>
      <c r="BG24" s="44">
        <f>IFERROR(VLOOKUP(AQ24,'[2]Harga &amp; Nama CSO'!$A$116:$L$136,12,FALSE),0)*AV24</f>
        <v>0</v>
      </c>
      <c r="BH24" s="44">
        <f>IFERROR(VLOOKUP(AQ24,'[2]Harga &amp; Nama CSO'!$A$116:$R$136,13,FALSE),0)*AV24</f>
        <v>0</v>
      </c>
      <c r="BI24" s="44">
        <f>IFERROR(VLOOKUP(AQ24,'[2]Harga &amp; Nama CSO'!$A$116:$R$136,14,FALSE),0)*AV24</f>
        <v>3</v>
      </c>
      <c r="BJ24" s="44">
        <f>IFERROR(VLOOKUP(AQ24,'[2]Harga &amp; Nama CSO'!$A$116:$R$136,15,FALSE),0)*AV24</f>
        <v>0</v>
      </c>
      <c r="BK24" s="44">
        <f>IFERROR(VLOOKUP(AQ24,'[2]Harga &amp; Nama CSO'!$A$116:$R$136,16,FALSE),0)*AV24</f>
        <v>0</v>
      </c>
      <c r="BL24" s="44">
        <f>IFERROR(VLOOKUP(AQ24,'[2]Harga &amp; Nama CSO'!$A$116:$R$136,17,FALSE),0)*AV24</f>
        <v>0</v>
      </c>
      <c r="BM24" s="44">
        <f>IFERROR(VLOOKUP(AQ24,'[2]Harga &amp; Nama CSO'!$A$116:$R$136,18,FALSE),0)*AV24</f>
        <v>0</v>
      </c>
      <c r="BN24" s="44">
        <f>IFERROR(VLOOKUP(AQ24,'[2]Harga &amp; Nama CSO'!$A$116:$S$136,19,FALSE),0)*AV24</f>
        <v>0</v>
      </c>
      <c r="BO24" s="55">
        <f>IFERROR(VLOOKUP(AQ24,'[2]Harga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VLOOKUP(AQ24,'[1]Harga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1038</v>
      </c>
      <c r="T25" s="19"/>
      <c r="U25" s="19">
        <f t="shared" ref="U25:AC25" si="27">SUM(U4:U24)</f>
        <v>1396</v>
      </c>
      <c r="V25" s="19"/>
      <c r="W25" s="19">
        <f t="shared" si="27"/>
        <v>1126</v>
      </c>
      <c r="X25" s="19"/>
      <c r="Y25" s="19">
        <f t="shared" si="27"/>
        <v>760</v>
      </c>
      <c r="Z25" s="19">
        <f>SUM(Z4:Z24)</f>
        <v>94</v>
      </c>
      <c r="AA25" s="19">
        <f t="shared" si="27"/>
        <v>4320</v>
      </c>
      <c r="AB25" s="19"/>
      <c r="AC25" s="19">
        <f t="shared" si="27"/>
        <v>79606700</v>
      </c>
      <c r="AO25" s="39">
        <v>23</v>
      </c>
      <c r="AP25" s="40">
        <v>46181</v>
      </c>
      <c r="AQ25" s="41" t="s">
        <v>97</v>
      </c>
      <c r="AR25" s="42" t="str">
        <f>IFERROR(VLOOKUP(AU25,[2]SUMMARY!$A$3:$B$7,2,FALSE),"")</f>
        <v>MC-SAGARANTEN</v>
      </c>
      <c r="AS25" s="31">
        <v>17031672</v>
      </c>
      <c r="AT25" s="31" t="str">
        <f>VLOOKUP(AS25,[2]OUTLET!$B:$C,2,0)</f>
        <v>ZM CELLULER</v>
      </c>
      <c r="AU25" s="43" t="s">
        <v>53</v>
      </c>
      <c r="AV25" s="6">
        <v>1</v>
      </c>
      <c r="AW25" s="44">
        <f>IFERROR(VLOOKUP(AQ25,'[2]Harga &amp; Nama CSO'!$A$116:$L$136,2,FALSE),0)*AV25</f>
        <v>0</v>
      </c>
      <c r="AX25" s="44">
        <f>IFERROR(VLOOKUP(AQ25,'[2]Harga &amp; Nama CSO'!$A$116:$L$136,3,FALSE),0)*AV25</f>
        <v>0</v>
      </c>
      <c r="AY25" s="44">
        <f>IFERROR(VLOOKUP(AQ25,'[2]Harga &amp; Nama CSO'!$A$116:$L$136,4,FALSE),0)*AV25</f>
        <v>3</v>
      </c>
      <c r="AZ25" s="44">
        <f>IFERROR(VLOOKUP(AQ25,'[2]Harga &amp; Nama CSO'!$A$116:$L$136,5,FALSE),0)*AV25</f>
        <v>0</v>
      </c>
      <c r="BA25" s="44">
        <f>IFERROR(VLOOKUP(AQ25,'[2]Harga &amp; Nama CSO'!$A$116:$L$136,6,FALSE),0)*AV25</f>
        <v>0</v>
      </c>
      <c r="BB25" s="44">
        <f>IFERROR(VLOOKUP(AQ25,'[2]Harga &amp; Nama CSO'!$A$116:$L$136,7,FALSE),0)*AV25</f>
        <v>0</v>
      </c>
      <c r="BC25" s="44">
        <f>IFERROR(VLOOKUP(AQ25,'[2]Harga &amp; Nama CSO'!$A$116:$L$136,8,FALSE),0)*AV25</f>
        <v>0</v>
      </c>
      <c r="BD25" s="44">
        <f>IFERROR(VLOOKUP(AQ25,'[2]Harga &amp; Nama CSO'!$A$116:$L$136,9,FALSE),0)*AV25</f>
        <v>0</v>
      </c>
      <c r="BE25" s="44">
        <f>IFERROR(VLOOKUP(AQ25,'[2]Harga &amp; Nama CSO'!$A$116:$L$136,10,FALSE),0)*AV25</f>
        <v>3</v>
      </c>
      <c r="BF25" s="44">
        <f>IFERROR(VLOOKUP(AQ25,'[2]Harga &amp; Nama CSO'!$A$116:$L$136,11,FALSE),0)*AV25</f>
        <v>0</v>
      </c>
      <c r="BG25" s="44">
        <f>IFERROR(VLOOKUP(AQ25,'[2]Harga &amp; Nama CSO'!$A$116:$L$136,12,FALSE),0)*AV25</f>
        <v>0</v>
      </c>
      <c r="BH25" s="44">
        <f>IFERROR(VLOOKUP(AQ25,'[2]Harga &amp; Nama CSO'!$A$116:$R$136,13,FALSE),0)*AV25</f>
        <v>0</v>
      </c>
      <c r="BI25" s="44">
        <f>IFERROR(VLOOKUP(AQ25,'[2]Harga &amp; Nama CSO'!$A$116:$R$136,14,FALSE),0)*AV25</f>
        <v>3</v>
      </c>
      <c r="BJ25" s="44">
        <f>IFERROR(VLOOKUP(AQ25,'[2]Harga &amp; Nama CSO'!$A$116:$R$136,15,FALSE),0)*AV25</f>
        <v>0</v>
      </c>
      <c r="BK25" s="44">
        <f>IFERROR(VLOOKUP(AQ25,'[2]Harga &amp; Nama CSO'!$A$116:$R$136,16,FALSE),0)*AV25</f>
        <v>0</v>
      </c>
      <c r="BL25" s="44">
        <f>IFERROR(VLOOKUP(AQ25,'[2]Harga &amp; Nama CSO'!$A$116:$R$136,17,FALSE),0)*AV25</f>
        <v>0</v>
      </c>
      <c r="BM25" s="44">
        <f>IFERROR(VLOOKUP(AQ25,'[2]Harga &amp; Nama CSO'!$A$116:$R$136,18,FALSE),0)*AV25</f>
        <v>0</v>
      </c>
      <c r="BN25" s="44">
        <f>IFERROR(VLOOKUP(AQ25,'[2]Harga &amp; Nama CSO'!$A$116:$S$136,19,FALSE),0)*AV25</f>
        <v>0</v>
      </c>
      <c r="BO25" s="55">
        <f>IFERROR(VLOOKUP(AQ25,'[2]Harga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VLOOKUP(AQ25,'[1]Harga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724</v>
      </c>
      <c r="H26" s="24">
        <f t="shared" si="28"/>
        <v>825</v>
      </c>
      <c r="I26" s="24">
        <f t="shared" si="28"/>
        <v>513</v>
      </c>
      <c r="J26" s="24">
        <f t="shared" si="28"/>
        <v>1075</v>
      </c>
      <c r="K26" s="24">
        <f t="shared" si="28"/>
        <v>105</v>
      </c>
      <c r="L26" s="24">
        <f>SUM(L5:L25)</f>
        <v>3242</v>
      </c>
      <c r="AO26" s="39">
        <v>24</v>
      </c>
      <c r="AP26" s="40">
        <v>46181</v>
      </c>
      <c r="AQ26" s="41" t="s">
        <v>96</v>
      </c>
      <c r="AR26" s="42" t="str">
        <f>IFERROR(VLOOKUP(AU26,[2]SUMMARY!$A$3:$B$7,2,FALSE),"")</f>
        <v>MC-SAGARANTEN</v>
      </c>
      <c r="AS26" s="31">
        <v>17702472</v>
      </c>
      <c r="AT26" s="31" t="str">
        <f>VLOOKUP(AS26,[2]OUTLET!$B:$C,2,0)</f>
        <v>Andin Cell</v>
      </c>
      <c r="AU26" s="43" t="s">
        <v>54</v>
      </c>
      <c r="AV26" s="6">
        <v>1</v>
      </c>
      <c r="AW26" s="44">
        <f>IFERROR(VLOOKUP(AQ26,'[2]Harga &amp; Nama CSO'!$A$116:$L$136,2,FALSE),0)*AV26</f>
        <v>0</v>
      </c>
      <c r="AX26" s="44">
        <f>IFERROR(VLOOKUP(AQ26,'[2]Harga &amp; Nama CSO'!$A$116:$L$136,3,FALSE),0)*AV26</f>
        <v>0</v>
      </c>
      <c r="AY26" s="44">
        <f>IFERROR(VLOOKUP(AQ26,'[2]Harga &amp; Nama CSO'!$A$116:$L$136,4,FALSE),0)*AV26</f>
        <v>3</v>
      </c>
      <c r="AZ26" s="44">
        <f>IFERROR(VLOOKUP(AQ26,'[2]Harga &amp; Nama CSO'!$A$116:$L$136,5,FALSE),0)*AV26</f>
        <v>0</v>
      </c>
      <c r="BA26" s="44">
        <f>IFERROR(VLOOKUP(AQ26,'[2]Harga &amp; Nama CSO'!$A$116:$L$136,6,FALSE),0)*AV26</f>
        <v>0</v>
      </c>
      <c r="BB26" s="44">
        <f>IFERROR(VLOOKUP(AQ26,'[2]Harga &amp; Nama CSO'!$A$116:$L$136,7,FALSE),0)*AV26</f>
        <v>0</v>
      </c>
      <c r="BC26" s="44">
        <f>IFERROR(VLOOKUP(AQ26,'[2]Harga &amp; Nama CSO'!$A$116:$L$136,8,FALSE),0)*AV26</f>
        <v>3</v>
      </c>
      <c r="BD26" s="44">
        <f>IFERROR(VLOOKUP(AQ26,'[2]Harga &amp; Nama CSO'!$A$116:$L$136,9,FALSE),0)*AV26</f>
        <v>0</v>
      </c>
      <c r="BE26" s="44">
        <f>IFERROR(VLOOKUP(AQ26,'[2]Harga &amp; Nama CSO'!$A$116:$L$136,10,FALSE),0)*AV26</f>
        <v>0</v>
      </c>
      <c r="BF26" s="44">
        <f>IFERROR(VLOOKUP(AQ26,'[2]Harga &amp; Nama CSO'!$A$116:$L$136,11,FALSE),0)*AV26</f>
        <v>0</v>
      </c>
      <c r="BG26" s="44">
        <f>IFERROR(VLOOKUP(AQ26,'[2]Harga &amp; Nama CSO'!$A$116:$L$136,12,FALSE),0)*AV26</f>
        <v>0</v>
      </c>
      <c r="BH26" s="44">
        <f>IFERROR(VLOOKUP(AQ26,'[2]Harga &amp; Nama CSO'!$A$116:$R$136,13,FALSE),0)*AV26</f>
        <v>0</v>
      </c>
      <c r="BI26" s="44">
        <f>IFERROR(VLOOKUP(AQ26,'[2]Harga &amp; Nama CSO'!$A$116:$R$136,14,FALSE),0)*AV26</f>
        <v>3</v>
      </c>
      <c r="BJ26" s="44">
        <f>IFERROR(VLOOKUP(AQ26,'[2]Harga &amp; Nama CSO'!$A$116:$R$136,15,FALSE),0)*AV26</f>
        <v>0</v>
      </c>
      <c r="BK26" s="44">
        <f>IFERROR(VLOOKUP(AQ26,'[2]Harga &amp; Nama CSO'!$A$116:$R$136,16,FALSE),0)*AV26</f>
        <v>0</v>
      </c>
      <c r="BL26" s="44">
        <f>IFERROR(VLOOKUP(AQ26,'[2]Harga &amp; Nama CSO'!$A$116:$R$136,17,FALSE),0)*AV26</f>
        <v>0</v>
      </c>
      <c r="BM26" s="44">
        <f>IFERROR(VLOOKUP(AQ26,'[2]Harga &amp; Nama CSO'!$A$116:$R$136,18,FALSE),0)*AV26</f>
        <v>0</v>
      </c>
      <c r="BN26" s="44">
        <f>IFERROR(VLOOKUP(AQ26,'[2]Harga &amp; Nama CSO'!$A$116:$S$136,19,FALSE),0)*AV26</f>
        <v>0</v>
      </c>
      <c r="BO26" s="55">
        <f>IFERROR(VLOOKUP(AQ26,'[2]Harga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VLOOKUP(AQ26,'[1]Harga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46181</v>
      </c>
      <c r="AQ27" s="41" t="s">
        <v>96</v>
      </c>
      <c r="AR27" s="42" t="str">
        <f>IFERROR(VLOOKUP(AU27,[2]SUMMARY!$A$3:$B$7,2,FALSE),"")</f>
        <v>MC-SAGARANTEN</v>
      </c>
      <c r="AS27" s="31">
        <v>17769860</v>
      </c>
      <c r="AT27" s="31" t="str">
        <f>VLOOKUP(AS27,[2]OUTLET!$B:$C,2,0)</f>
        <v>GIBRAN CELL</v>
      </c>
      <c r="AU27" s="43" t="s">
        <v>54</v>
      </c>
      <c r="AV27" s="6">
        <v>1</v>
      </c>
      <c r="AW27" s="44">
        <f>IFERROR(VLOOKUP(AQ27,'[2]Harga &amp; Nama CSO'!$A$116:$L$136,2,FALSE),0)*AV27</f>
        <v>0</v>
      </c>
      <c r="AX27" s="44">
        <f>IFERROR(VLOOKUP(AQ27,'[2]Harga &amp; Nama CSO'!$A$116:$L$136,3,FALSE),0)*AV27</f>
        <v>0</v>
      </c>
      <c r="AY27" s="44">
        <f>IFERROR(VLOOKUP(AQ27,'[2]Harga &amp; Nama CSO'!$A$116:$L$136,4,FALSE),0)*AV27</f>
        <v>3</v>
      </c>
      <c r="AZ27" s="44">
        <f>IFERROR(VLOOKUP(AQ27,'[2]Harga &amp; Nama CSO'!$A$116:$L$136,5,FALSE),0)*AV27</f>
        <v>0</v>
      </c>
      <c r="BA27" s="44">
        <f>IFERROR(VLOOKUP(AQ27,'[2]Harga &amp; Nama CSO'!$A$116:$L$136,6,FALSE),0)*AV27</f>
        <v>0</v>
      </c>
      <c r="BB27" s="44">
        <f>IFERROR(VLOOKUP(AQ27,'[2]Harga &amp; Nama CSO'!$A$116:$L$136,7,FALSE),0)*AV27</f>
        <v>0</v>
      </c>
      <c r="BC27" s="44">
        <f>IFERROR(VLOOKUP(AQ27,'[2]Harga &amp; Nama CSO'!$A$116:$L$136,8,FALSE),0)*AV27</f>
        <v>3</v>
      </c>
      <c r="BD27" s="44">
        <f>IFERROR(VLOOKUP(AQ27,'[2]Harga &amp; Nama CSO'!$A$116:$L$136,9,FALSE),0)*AV27</f>
        <v>0</v>
      </c>
      <c r="BE27" s="44">
        <f>IFERROR(VLOOKUP(AQ27,'[2]Harga &amp; Nama CSO'!$A$116:$L$136,10,FALSE),0)*AV27</f>
        <v>0</v>
      </c>
      <c r="BF27" s="44">
        <f>IFERROR(VLOOKUP(AQ27,'[2]Harga &amp; Nama CSO'!$A$116:$L$136,11,FALSE),0)*AV27</f>
        <v>0</v>
      </c>
      <c r="BG27" s="44">
        <f>IFERROR(VLOOKUP(AQ27,'[2]Harga &amp; Nama CSO'!$A$116:$L$136,12,FALSE),0)*AV27</f>
        <v>0</v>
      </c>
      <c r="BH27" s="44">
        <f>IFERROR(VLOOKUP(AQ27,'[2]Harga &amp; Nama CSO'!$A$116:$R$136,13,FALSE),0)*AV27</f>
        <v>0</v>
      </c>
      <c r="BI27" s="44">
        <f>IFERROR(VLOOKUP(AQ27,'[2]Harga &amp; Nama CSO'!$A$116:$R$136,14,FALSE),0)*AV27</f>
        <v>3</v>
      </c>
      <c r="BJ27" s="44">
        <f>IFERROR(VLOOKUP(AQ27,'[2]Harga &amp; Nama CSO'!$A$116:$R$136,15,FALSE),0)*AV27</f>
        <v>0</v>
      </c>
      <c r="BK27" s="44">
        <f>IFERROR(VLOOKUP(AQ27,'[2]Harga &amp; Nama CSO'!$A$116:$R$136,16,FALSE),0)*AV27</f>
        <v>0</v>
      </c>
      <c r="BL27" s="44">
        <f>IFERROR(VLOOKUP(AQ27,'[2]Harga &amp; Nama CSO'!$A$116:$R$136,17,FALSE),0)*AV27</f>
        <v>0</v>
      </c>
      <c r="BM27" s="44">
        <f>IFERROR(VLOOKUP(AQ27,'[2]Harga &amp; Nama CSO'!$A$116:$R$136,18,FALSE),0)*AV27</f>
        <v>0</v>
      </c>
      <c r="BN27" s="44">
        <f>IFERROR(VLOOKUP(AQ27,'[2]Harga &amp; Nama CSO'!$A$116:$S$136,19,FALSE),0)*AV27</f>
        <v>0</v>
      </c>
      <c r="BO27" s="55">
        <f>IFERROR(VLOOKUP(AQ27,'[2]Harga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VLOOKUP(AQ27,'[1]Harga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46181</v>
      </c>
      <c r="AQ28" s="41" t="s">
        <v>97</v>
      </c>
      <c r="AR28" s="42" t="str">
        <f>IFERROR(VLOOKUP(AU28,[2]SUMMARY!$A$3:$B$7,2,FALSE),"")</f>
        <v>MC-SAGARANTEN</v>
      </c>
      <c r="AS28" s="31">
        <v>17264973</v>
      </c>
      <c r="AT28" s="31" t="str">
        <f>VLOOKUP(AS28,[2]OUTLET!$B:$C,2,0)</f>
        <v>NRGK CELL</v>
      </c>
      <c r="AU28" s="43" t="s">
        <v>54</v>
      </c>
      <c r="AV28" s="6">
        <v>1</v>
      </c>
      <c r="AW28" s="44">
        <f>IFERROR(VLOOKUP(AQ28,'[2]Harga &amp; Nama CSO'!$A$116:$L$136,2,FALSE),0)*AV28</f>
        <v>0</v>
      </c>
      <c r="AX28" s="44">
        <f>IFERROR(VLOOKUP(AQ28,'[2]Harga &amp; Nama CSO'!$A$116:$L$136,3,FALSE),0)*AV28</f>
        <v>0</v>
      </c>
      <c r="AY28" s="44">
        <f>IFERROR(VLOOKUP(AQ28,'[2]Harga &amp; Nama CSO'!$A$116:$L$136,4,FALSE),0)*AV28</f>
        <v>3</v>
      </c>
      <c r="AZ28" s="44">
        <f>IFERROR(VLOOKUP(AQ28,'[2]Harga &amp; Nama CSO'!$A$116:$L$136,5,FALSE),0)*AV28</f>
        <v>0</v>
      </c>
      <c r="BA28" s="44">
        <f>IFERROR(VLOOKUP(AQ28,'[2]Harga &amp; Nama CSO'!$A$116:$L$136,6,FALSE),0)*AV28</f>
        <v>0</v>
      </c>
      <c r="BB28" s="44">
        <f>IFERROR(VLOOKUP(AQ28,'[2]Harga &amp; Nama CSO'!$A$116:$L$136,7,FALSE),0)*AV28</f>
        <v>0</v>
      </c>
      <c r="BC28" s="44">
        <f>IFERROR(VLOOKUP(AQ28,'[2]Harga &amp; Nama CSO'!$A$116:$L$136,8,FALSE),0)*AV28</f>
        <v>0</v>
      </c>
      <c r="BD28" s="44">
        <f>IFERROR(VLOOKUP(AQ28,'[2]Harga &amp; Nama CSO'!$A$116:$L$136,9,FALSE),0)*AV28</f>
        <v>0</v>
      </c>
      <c r="BE28" s="44">
        <f>IFERROR(VLOOKUP(AQ28,'[2]Harga &amp; Nama CSO'!$A$116:$L$136,10,FALSE),0)*AV28</f>
        <v>3</v>
      </c>
      <c r="BF28" s="44">
        <f>IFERROR(VLOOKUP(AQ28,'[2]Harga &amp; Nama CSO'!$A$116:$L$136,11,FALSE),0)*AV28</f>
        <v>0</v>
      </c>
      <c r="BG28" s="44">
        <f>IFERROR(VLOOKUP(AQ28,'[2]Harga &amp; Nama CSO'!$A$116:$L$136,12,FALSE),0)*AV28</f>
        <v>0</v>
      </c>
      <c r="BH28" s="44">
        <f>IFERROR(VLOOKUP(AQ28,'[2]Harga &amp; Nama CSO'!$A$116:$R$136,13,FALSE),0)*AV28</f>
        <v>0</v>
      </c>
      <c r="BI28" s="44">
        <f>IFERROR(VLOOKUP(AQ28,'[2]Harga &amp; Nama CSO'!$A$116:$R$136,14,FALSE),0)*AV28</f>
        <v>3</v>
      </c>
      <c r="BJ28" s="44">
        <f>IFERROR(VLOOKUP(AQ28,'[2]Harga &amp; Nama CSO'!$A$116:$R$136,15,FALSE),0)*AV28</f>
        <v>0</v>
      </c>
      <c r="BK28" s="44">
        <f>IFERROR(VLOOKUP(AQ28,'[2]Harga &amp; Nama CSO'!$A$116:$R$136,16,FALSE),0)*AV28</f>
        <v>0</v>
      </c>
      <c r="BL28" s="44">
        <f>IFERROR(VLOOKUP(AQ28,'[2]Harga &amp; Nama CSO'!$A$116:$R$136,17,FALSE),0)*AV28</f>
        <v>0</v>
      </c>
      <c r="BM28" s="44">
        <f>IFERROR(VLOOKUP(AQ28,'[2]Harga &amp; Nama CSO'!$A$116:$R$136,18,FALSE),0)*AV28</f>
        <v>0</v>
      </c>
      <c r="BN28" s="44">
        <f>IFERROR(VLOOKUP(AQ28,'[2]Harga &amp; Nama CSO'!$A$116:$S$136,19,FALSE),0)*AV28</f>
        <v>0</v>
      </c>
      <c r="BO28" s="55">
        <f>IFERROR(VLOOKUP(AQ28,'[2]Harga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VLOOKUP(AQ28,'[1]Harga &amp; Nama CSO'!$A$28:$D$31,4,0)*BQ28</f>
        <v>3</v>
      </c>
    </row>
    <row r="29" spans="1:133" x14ac:dyDescent="0.35">
      <c r="A29" s="88" t="s">
        <v>51</v>
      </c>
      <c r="B29" s="89" t="s">
        <v>214</v>
      </c>
      <c r="C29" s="90" t="s">
        <v>215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73"/>
      <c r="U29" s="91" t="s">
        <v>216</v>
      </c>
      <c r="V29" s="91"/>
      <c r="W29" s="91"/>
      <c r="X29" s="91" t="s">
        <v>217</v>
      </c>
      <c r="Y29" s="91"/>
      <c r="Z29" s="91"/>
      <c r="AA29" s="91"/>
      <c r="AB29" s="91"/>
      <c r="AC29" s="91"/>
      <c r="AD29" s="91"/>
      <c r="AE29" s="91"/>
      <c r="AF29" s="91"/>
      <c r="AG29" s="87" t="s">
        <v>218</v>
      </c>
      <c r="AO29" s="39">
        <v>27</v>
      </c>
      <c r="AP29" s="40">
        <v>46181</v>
      </c>
      <c r="AQ29" s="41" t="s">
        <v>97</v>
      </c>
      <c r="AR29" s="42" t="str">
        <f>IFERROR(VLOOKUP(AU29,[2]SUMMARY!$A$3:$B$7,2,FALSE),"")</f>
        <v>MC-SAGARANTEN</v>
      </c>
      <c r="AS29" s="31">
        <v>1553873</v>
      </c>
      <c r="AT29" s="31" t="str">
        <f>VLOOKUP(AS29,[2]OUTLET!$B:$C,2,0)</f>
        <v>FANS CELL</v>
      </c>
      <c r="AU29" s="43" t="s">
        <v>54</v>
      </c>
      <c r="AV29" s="6">
        <v>1</v>
      </c>
      <c r="AW29" s="44">
        <f>IFERROR(VLOOKUP(AQ29,'[2]Harga &amp; Nama CSO'!$A$116:$L$136,2,FALSE),0)*AV29</f>
        <v>0</v>
      </c>
      <c r="AX29" s="44">
        <f>IFERROR(VLOOKUP(AQ29,'[2]Harga &amp; Nama CSO'!$A$116:$L$136,3,FALSE),0)*AV29</f>
        <v>0</v>
      </c>
      <c r="AY29" s="44">
        <f>IFERROR(VLOOKUP(AQ29,'[2]Harga &amp; Nama CSO'!$A$116:$L$136,4,FALSE),0)*AV29</f>
        <v>3</v>
      </c>
      <c r="AZ29" s="44">
        <f>IFERROR(VLOOKUP(AQ29,'[2]Harga &amp; Nama CSO'!$A$116:$L$136,5,FALSE),0)*AV29</f>
        <v>0</v>
      </c>
      <c r="BA29" s="44">
        <f>IFERROR(VLOOKUP(AQ29,'[2]Harga &amp; Nama CSO'!$A$116:$L$136,6,FALSE),0)*AV29</f>
        <v>0</v>
      </c>
      <c r="BB29" s="44">
        <f>IFERROR(VLOOKUP(AQ29,'[2]Harga &amp; Nama CSO'!$A$116:$L$136,7,FALSE),0)*AV29</f>
        <v>0</v>
      </c>
      <c r="BC29" s="44">
        <f>IFERROR(VLOOKUP(AQ29,'[2]Harga &amp; Nama CSO'!$A$116:$L$136,8,FALSE),0)*AV29</f>
        <v>0</v>
      </c>
      <c r="BD29" s="44">
        <f>IFERROR(VLOOKUP(AQ29,'[2]Harga &amp; Nama CSO'!$A$116:$L$136,9,FALSE),0)*AV29</f>
        <v>0</v>
      </c>
      <c r="BE29" s="44">
        <f>IFERROR(VLOOKUP(AQ29,'[2]Harga &amp; Nama CSO'!$A$116:$L$136,10,FALSE),0)*AV29</f>
        <v>3</v>
      </c>
      <c r="BF29" s="44">
        <f>IFERROR(VLOOKUP(AQ29,'[2]Harga &amp; Nama CSO'!$A$116:$L$136,11,FALSE),0)*AV29</f>
        <v>0</v>
      </c>
      <c r="BG29" s="44">
        <f>IFERROR(VLOOKUP(AQ29,'[2]Harga &amp; Nama CSO'!$A$116:$L$136,12,FALSE),0)*AV29</f>
        <v>0</v>
      </c>
      <c r="BH29" s="44">
        <f>IFERROR(VLOOKUP(AQ29,'[2]Harga &amp; Nama CSO'!$A$116:$R$136,13,FALSE),0)*AV29</f>
        <v>0</v>
      </c>
      <c r="BI29" s="44">
        <f>IFERROR(VLOOKUP(AQ29,'[2]Harga &amp; Nama CSO'!$A$116:$R$136,14,FALSE),0)*AV29</f>
        <v>3</v>
      </c>
      <c r="BJ29" s="44">
        <f>IFERROR(VLOOKUP(AQ29,'[2]Harga &amp; Nama CSO'!$A$116:$R$136,15,FALSE),0)*AV29</f>
        <v>0</v>
      </c>
      <c r="BK29" s="44">
        <f>IFERROR(VLOOKUP(AQ29,'[2]Harga &amp; Nama CSO'!$A$116:$R$136,16,FALSE),0)*AV29</f>
        <v>0</v>
      </c>
      <c r="BL29" s="44">
        <f>IFERROR(VLOOKUP(AQ29,'[2]Harga &amp; Nama CSO'!$A$116:$R$136,17,FALSE),0)*AV29</f>
        <v>0</v>
      </c>
      <c r="BM29" s="44">
        <f>IFERROR(VLOOKUP(AQ29,'[2]Harga &amp; Nama CSO'!$A$116:$R$136,18,FALSE),0)*AV29</f>
        <v>0</v>
      </c>
      <c r="BN29" s="44">
        <f>IFERROR(VLOOKUP(AQ29,'[2]Harga &amp; Nama CSO'!$A$116:$S$136,19,FALSE),0)*AV29</f>
        <v>0</v>
      </c>
      <c r="BO29" s="55">
        <f>IFERROR(VLOOKUP(AQ29,'[2]Harga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VLOOKUP(AQ29,'[1]Harga &amp; Nama CSO'!$A$28:$D$31,4,0)*BQ29</f>
        <v>3</v>
      </c>
    </row>
    <row r="30" spans="1:133" x14ac:dyDescent="0.35">
      <c r="A30" s="88"/>
      <c r="B30" s="89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87"/>
      <c r="AO30" s="39">
        <v>28</v>
      </c>
      <c r="AP30" s="40">
        <v>46181</v>
      </c>
      <c r="AQ30" s="41" t="s">
        <v>97</v>
      </c>
      <c r="AR30" s="42" t="str">
        <f>IFERROR(VLOOKUP(AU30,[2]SUMMARY!$A$3:$B$7,2,FALSE),"")</f>
        <v>MC-SAGARANTEN</v>
      </c>
      <c r="AS30" s="31">
        <v>17734002</v>
      </c>
      <c r="AT30" s="31" t="str">
        <f>VLOOKUP(AS30,[2]OUTLET!$B:$C,2,0)</f>
        <v>EBEH CELL</v>
      </c>
      <c r="AU30" s="31" t="s">
        <v>41</v>
      </c>
      <c r="AV30" s="6">
        <v>1</v>
      </c>
      <c r="AW30" s="44">
        <f>IFERROR(VLOOKUP(AQ30,'[2]Harga &amp; Nama CSO'!$A$116:$L$136,2,FALSE),0)*AV30</f>
        <v>0</v>
      </c>
      <c r="AX30" s="44">
        <f>IFERROR(VLOOKUP(AQ30,'[2]Harga &amp; Nama CSO'!$A$116:$L$136,3,FALSE),0)*AV30</f>
        <v>0</v>
      </c>
      <c r="AY30" s="44">
        <f>IFERROR(VLOOKUP(AQ30,'[2]Harga &amp; Nama CSO'!$A$116:$L$136,4,FALSE),0)*AV30</f>
        <v>3</v>
      </c>
      <c r="AZ30" s="44">
        <f>IFERROR(VLOOKUP(AQ30,'[2]Harga &amp; Nama CSO'!$A$116:$L$136,5,FALSE),0)*AV30</f>
        <v>0</v>
      </c>
      <c r="BA30" s="44">
        <f>IFERROR(VLOOKUP(AQ30,'[2]Harga &amp; Nama CSO'!$A$116:$L$136,6,FALSE),0)*AV30</f>
        <v>0</v>
      </c>
      <c r="BB30" s="44">
        <f>IFERROR(VLOOKUP(AQ30,'[2]Harga &amp; Nama CSO'!$A$116:$L$136,7,FALSE),0)*AV30</f>
        <v>0</v>
      </c>
      <c r="BC30" s="44">
        <f>IFERROR(VLOOKUP(AQ30,'[2]Harga &amp; Nama CSO'!$A$116:$L$136,8,FALSE),0)*AV30</f>
        <v>0</v>
      </c>
      <c r="BD30" s="44">
        <f>IFERROR(VLOOKUP(AQ30,'[2]Harga &amp; Nama CSO'!$A$116:$L$136,9,FALSE),0)*AV30</f>
        <v>0</v>
      </c>
      <c r="BE30" s="44">
        <f>IFERROR(VLOOKUP(AQ30,'[2]Harga &amp; Nama CSO'!$A$116:$L$136,10,FALSE),0)*AV30</f>
        <v>3</v>
      </c>
      <c r="BF30" s="44">
        <f>IFERROR(VLOOKUP(AQ30,'[2]Harga &amp; Nama CSO'!$A$116:$L$136,11,FALSE),0)*AV30</f>
        <v>0</v>
      </c>
      <c r="BG30" s="44">
        <f>IFERROR(VLOOKUP(AQ30,'[2]Harga &amp; Nama CSO'!$A$116:$L$136,12,FALSE),0)*AV30</f>
        <v>0</v>
      </c>
      <c r="BH30" s="44">
        <f>IFERROR(VLOOKUP(AQ30,'[2]Harga &amp; Nama CSO'!$A$116:$R$136,13,FALSE),0)*AV30</f>
        <v>0</v>
      </c>
      <c r="BI30" s="44">
        <f>IFERROR(VLOOKUP(AQ30,'[2]Harga &amp; Nama CSO'!$A$116:$R$136,14,FALSE),0)*AV30</f>
        <v>3</v>
      </c>
      <c r="BJ30" s="44">
        <f>IFERROR(VLOOKUP(AQ30,'[2]Harga &amp; Nama CSO'!$A$116:$R$136,15,FALSE),0)*AV30</f>
        <v>0</v>
      </c>
      <c r="BK30" s="44">
        <f>IFERROR(VLOOKUP(AQ30,'[2]Harga &amp; Nama CSO'!$A$116:$R$136,16,FALSE),0)*AV30</f>
        <v>0</v>
      </c>
      <c r="BL30" s="44">
        <f>IFERROR(VLOOKUP(AQ30,'[2]Harga &amp; Nama CSO'!$A$116:$R$136,17,FALSE),0)*AV30</f>
        <v>0</v>
      </c>
      <c r="BM30" s="44">
        <f>IFERROR(VLOOKUP(AQ30,'[2]Harga &amp; Nama CSO'!$A$116:$R$136,18,FALSE),0)*AV30</f>
        <v>0</v>
      </c>
      <c r="BN30" s="44">
        <f>IFERROR(VLOOKUP(AQ30,'[2]Harga &amp; Nama CSO'!$A$116:$S$136,19,FALSE),0)*AV30</f>
        <v>0</v>
      </c>
      <c r="BO30" s="55">
        <f>IFERROR(VLOOKUP(AQ30,'[2]Harga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VLOOKUP(AQ30,'[1]Harga &amp; Nama CSO'!$A$28:$D$31,4,0)*BQ30</f>
        <v>3</v>
      </c>
    </row>
    <row r="31" spans="1:133" x14ac:dyDescent="0.35">
      <c r="A31" s="43" t="s">
        <v>53</v>
      </c>
      <c r="B31" s="4" t="s">
        <v>184</v>
      </c>
      <c r="C31" s="78">
        <f t="array" ref="C31:C34">SUMIF([2]SGR!$G$3:$G$1803,[2]SUMMARY!$A$3:$A$7,[2]SGR!$I$3:$I$1803)</f>
        <v>0</v>
      </c>
      <c r="D31" s="78">
        <v>166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22</v>
      </c>
      <c r="U31" s="78">
        <v>9850800</v>
      </c>
      <c r="V31" s="78">
        <v>8700800</v>
      </c>
      <c r="W31" s="79">
        <v>1150000</v>
      </c>
      <c r="X31" s="80">
        <v>34</v>
      </c>
      <c r="Y31" s="80">
        <v>0</v>
      </c>
      <c r="Z31" s="80">
        <v>9</v>
      </c>
      <c r="AA31" s="80">
        <v>11</v>
      </c>
      <c r="AB31" s="80">
        <v>100</v>
      </c>
      <c r="AC31" s="81">
        <v>22</v>
      </c>
      <c r="AD31" s="81">
        <v>0</v>
      </c>
      <c r="AE31" s="81">
        <v>0</v>
      </c>
      <c r="AF31" s="81">
        <v>176</v>
      </c>
      <c r="AG31" s="81">
        <f t="shared" ref="AG31:AG34" si="29">W31/25000</f>
        <v>46</v>
      </c>
      <c r="AO31" s="39">
        <v>29</v>
      </c>
      <c r="AP31" s="40">
        <v>46181</v>
      </c>
      <c r="AQ31" s="41" t="s">
        <v>97</v>
      </c>
      <c r="AR31" s="42" t="str">
        <f>IFERROR(VLOOKUP(AU31,[2]SUMMARY!$A$3:$B$7,2,FALSE),"")</f>
        <v>MC-SAGARANTEN</v>
      </c>
      <c r="AS31" s="31">
        <v>17232348</v>
      </c>
      <c r="AT31" s="31" t="str">
        <f>VLOOKUP(AS31,[2]OUTLET!$B:$C,2,0)</f>
        <v>Wida cell</v>
      </c>
      <c r="AU31" s="31" t="s">
        <v>41</v>
      </c>
      <c r="AV31" s="6">
        <v>1</v>
      </c>
      <c r="AW31" s="44">
        <f>IFERROR(VLOOKUP(AQ31,'[2]Harga &amp; Nama CSO'!$A$116:$L$136,2,FALSE),0)*AV31</f>
        <v>0</v>
      </c>
      <c r="AX31" s="44">
        <f>IFERROR(VLOOKUP(AQ31,'[2]Harga &amp; Nama CSO'!$A$116:$L$136,3,FALSE),0)*AV31</f>
        <v>0</v>
      </c>
      <c r="AY31" s="44">
        <f>IFERROR(VLOOKUP(AQ31,'[2]Harga &amp; Nama CSO'!$A$116:$L$136,4,FALSE),0)*AV31</f>
        <v>3</v>
      </c>
      <c r="AZ31" s="44">
        <f>IFERROR(VLOOKUP(AQ31,'[2]Harga &amp; Nama CSO'!$A$116:$L$136,5,FALSE),0)*AV31</f>
        <v>0</v>
      </c>
      <c r="BA31" s="44">
        <f>IFERROR(VLOOKUP(AQ31,'[2]Harga &amp; Nama CSO'!$A$116:$L$136,6,FALSE),0)*AV31</f>
        <v>0</v>
      </c>
      <c r="BB31" s="44">
        <f>IFERROR(VLOOKUP(AQ31,'[2]Harga &amp; Nama CSO'!$A$116:$L$136,7,FALSE),0)*AV31</f>
        <v>0</v>
      </c>
      <c r="BC31" s="44">
        <f>IFERROR(VLOOKUP(AQ31,'[2]Harga &amp; Nama CSO'!$A$116:$L$136,8,FALSE),0)*AV31</f>
        <v>0</v>
      </c>
      <c r="BD31" s="44">
        <f>IFERROR(VLOOKUP(AQ31,'[2]Harga &amp; Nama CSO'!$A$116:$L$136,9,FALSE),0)*AV31</f>
        <v>0</v>
      </c>
      <c r="BE31" s="44">
        <f>IFERROR(VLOOKUP(AQ31,'[2]Harga &amp; Nama CSO'!$A$116:$L$136,10,FALSE),0)*AV31</f>
        <v>3</v>
      </c>
      <c r="BF31" s="44">
        <f>IFERROR(VLOOKUP(AQ31,'[2]Harga &amp; Nama CSO'!$A$116:$L$136,11,FALSE),0)*AV31</f>
        <v>0</v>
      </c>
      <c r="BG31" s="44">
        <f>IFERROR(VLOOKUP(AQ31,'[2]Harga &amp; Nama CSO'!$A$116:$L$136,12,FALSE),0)*AV31</f>
        <v>0</v>
      </c>
      <c r="BH31" s="44">
        <f>IFERROR(VLOOKUP(AQ31,'[2]Harga &amp; Nama CSO'!$A$116:$R$136,13,FALSE),0)*AV31</f>
        <v>0</v>
      </c>
      <c r="BI31" s="44">
        <f>IFERROR(VLOOKUP(AQ31,'[2]Harga &amp; Nama CSO'!$A$116:$R$136,14,FALSE),0)*AV31</f>
        <v>3</v>
      </c>
      <c r="BJ31" s="44">
        <f>IFERROR(VLOOKUP(AQ31,'[2]Harga &amp; Nama CSO'!$A$116:$R$136,15,FALSE),0)*AV31</f>
        <v>0</v>
      </c>
      <c r="BK31" s="44">
        <f>IFERROR(VLOOKUP(AQ31,'[2]Harga &amp; Nama CSO'!$A$116:$R$136,16,FALSE),0)*AV31</f>
        <v>0</v>
      </c>
      <c r="BL31" s="44">
        <f>IFERROR(VLOOKUP(AQ31,'[2]Harga &amp; Nama CSO'!$A$116:$R$136,17,FALSE),0)*AV31</f>
        <v>0</v>
      </c>
      <c r="BM31" s="44">
        <f>IFERROR(VLOOKUP(AQ31,'[2]Harga &amp; Nama CSO'!$A$116:$R$136,18,FALSE),0)*AV31</f>
        <v>0</v>
      </c>
      <c r="BN31" s="44">
        <f>IFERROR(VLOOKUP(AQ31,'[2]Harga &amp; Nama CSO'!$A$116:$S$136,19,FALSE),0)*AV31</f>
        <v>0</v>
      </c>
      <c r="BO31" s="55">
        <f>IFERROR(VLOOKUP(AQ31,'[2]Harga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VLOOKUP(AQ31,'[1]Harga &amp; Nama CSO'!$A$28:$D$31,4,0)*BQ31</f>
        <v>3</v>
      </c>
    </row>
    <row r="32" spans="1:133" x14ac:dyDescent="0.35">
      <c r="A32" s="43" t="s">
        <v>54</v>
      </c>
      <c r="B32" s="4" t="s">
        <v>184</v>
      </c>
      <c r="C32" s="78">
        <v>0</v>
      </c>
      <c r="D32" s="78">
        <v>160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20</v>
      </c>
      <c r="U32" s="78">
        <v>7422000</v>
      </c>
      <c r="V32" s="78">
        <v>6521800</v>
      </c>
      <c r="W32" s="79">
        <v>900200</v>
      </c>
      <c r="X32" s="80">
        <v>29</v>
      </c>
      <c r="Y32" s="80">
        <v>0</v>
      </c>
      <c r="Z32" s="80">
        <v>0</v>
      </c>
      <c r="AA32" s="80">
        <v>9</v>
      </c>
      <c r="AB32" s="80">
        <v>100</v>
      </c>
      <c r="AC32" s="81">
        <v>20</v>
      </c>
      <c r="AD32" s="81">
        <v>0</v>
      </c>
      <c r="AE32" s="81">
        <v>0</v>
      </c>
      <c r="AF32" s="81">
        <v>158</v>
      </c>
      <c r="AG32" s="81">
        <f t="shared" si="29"/>
        <v>36.008000000000003</v>
      </c>
      <c r="AO32" s="39">
        <v>30</v>
      </c>
      <c r="AP32" s="40">
        <v>46181</v>
      </c>
      <c r="AQ32" s="41" t="s">
        <v>97</v>
      </c>
      <c r="AR32" s="42" t="str">
        <f>IFERROR(VLOOKUP(AU32,[2]SUMMARY!$A$3:$B$7,2,FALSE),"")</f>
        <v>MC-SAGARANTEN</v>
      </c>
      <c r="AS32" s="31">
        <v>17139607</v>
      </c>
      <c r="AT32" s="31" t="str">
        <f>VLOOKUP(AS32,[2]OUTLET!$B:$C,2,0)</f>
        <v>TZA CELL</v>
      </c>
      <c r="AU32" s="31" t="s">
        <v>41</v>
      </c>
      <c r="AV32" s="6">
        <v>1</v>
      </c>
      <c r="AW32" s="44">
        <f>IFERROR(VLOOKUP(AQ32,'[2]Harga &amp; Nama CSO'!$A$116:$L$136,2,FALSE),0)*AV32</f>
        <v>0</v>
      </c>
      <c r="AX32" s="44">
        <f>IFERROR(VLOOKUP(AQ32,'[2]Harga &amp; Nama CSO'!$A$116:$L$136,3,FALSE),0)*AV32</f>
        <v>0</v>
      </c>
      <c r="AY32" s="44">
        <f>IFERROR(VLOOKUP(AQ32,'[2]Harga &amp; Nama CSO'!$A$116:$L$136,4,FALSE),0)*AV32</f>
        <v>3</v>
      </c>
      <c r="AZ32" s="44">
        <f>IFERROR(VLOOKUP(AQ32,'[2]Harga &amp; Nama CSO'!$A$116:$L$136,5,FALSE),0)*AV32</f>
        <v>0</v>
      </c>
      <c r="BA32" s="44">
        <f>IFERROR(VLOOKUP(AQ32,'[2]Harga &amp; Nama CSO'!$A$116:$L$136,6,FALSE),0)*AV32</f>
        <v>0</v>
      </c>
      <c r="BB32" s="44">
        <f>IFERROR(VLOOKUP(AQ32,'[2]Harga &amp; Nama CSO'!$A$116:$L$136,7,FALSE),0)*AV32</f>
        <v>0</v>
      </c>
      <c r="BC32" s="44">
        <f>IFERROR(VLOOKUP(AQ32,'[2]Harga &amp; Nama CSO'!$A$116:$L$136,8,FALSE),0)*AV32</f>
        <v>0</v>
      </c>
      <c r="BD32" s="44">
        <f>IFERROR(VLOOKUP(AQ32,'[2]Harga &amp; Nama CSO'!$A$116:$L$136,9,FALSE),0)*AV32</f>
        <v>0</v>
      </c>
      <c r="BE32" s="44">
        <f>IFERROR(VLOOKUP(AQ32,'[2]Harga &amp; Nama CSO'!$A$116:$L$136,10,FALSE),0)*AV32</f>
        <v>3</v>
      </c>
      <c r="BF32" s="44">
        <f>IFERROR(VLOOKUP(AQ32,'[2]Harga &amp; Nama CSO'!$A$116:$L$136,11,FALSE),0)*AV32</f>
        <v>0</v>
      </c>
      <c r="BG32" s="44">
        <f>IFERROR(VLOOKUP(AQ32,'[2]Harga &amp; Nama CSO'!$A$116:$L$136,12,FALSE),0)*AV32</f>
        <v>0</v>
      </c>
      <c r="BH32" s="44">
        <f>IFERROR(VLOOKUP(AQ32,'[2]Harga &amp; Nama CSO'!$A$116:$R$136,13,FALSE),0)*AV32</f>
        <v>0</v>
      </c>
      <c r="BI32" s="44">
        <f>IFERROR(VLOOKUP(AQ32,'[2]Harga &amp; Nama CSO'!$A$116:$R$136,14,FALSE),0)*AV32</f>
        <v>3</v>
      </c>
      <c r="BJ32" s="44">
        <f>IFERROR(VLOOKUP(AQ32,'[2]Harga &amp; Nama CSO'!$A$116:$R$136,15,FALSE),0)*AV32</f>
        <v>0</v>
      </c>
      <c r="BK32" s="44">
        <f>IFERROR(VLOOKUP(AQ32,'[2]Harga &amp; Nama CSO'!$A$116:$R$136,16,FALSE),0)*AV32</f>
        <v>0</v>
      </c>
      <c r="BL32" s="44">
        <f>IFERROR(VLOOKUP(AQ32,'[2]Harga &amp; Nama CSO'!$A$116:$R$136,17,FALSE),0)*AV32</f>
        <v>0</v>
      </c>
      <c r="BM32" s="44">
        <f>IFERROR(VLOOKUP(AQ32,'[2]Harga &amp; Nama CSO'!$A$116:$R$136,18,FALSE),0)*AV32</f>
        <v>0</v>
      </c>
      <c r="BN32" s="44">
        <f>IFERROR(VLOOKUP(AQ32,'[2]Harga &amp; Nama CSO'!$A$116:$S$136,19,FALSE),0)*AV32</f>
        <v>0</v>
      </c>
      <c r="BO32" s="55">
        <f>IFERROR(VLOOKUP(AQ32,'[2]Harga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VLOOKUP(AQ32,'[1]Harga &amp; Nama CSO'!$A$28:$D$31,4,0)*BQ32</f>
        <v>3</v>
      </c>
    </row>
    <row r="33" spans="1:75" x14ac:dyDescent="0.35">
      <c r="A33" s="43" t="s">
        <v>41</v>
      </c>
      <c r="B33" s="4" t="s">
        <v>184</v>
      </c>
      <c r="C33" s="78">
        <v>0</v>
      </c>
      <c r="D33" s="78">
        <v>187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29</v>
      </c>
      <c r="U33" s="78">
        <v>8931000</v>
      </c>
      <c r="V33" s="78">
        <v>8931400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100</v>
      </c>
      <c r="AC33" s="81">
        <v>29</v>
      </c>
      <c r="AD33" s="81">
        <v>0</v>
      </c>
      <c r="AE33" s="81">
        <v>0</v>
      </c>
      <c r="AF33" s="81">
        <v>171</v>
      </c>
      <c r="AG33" s="81">
        <f t="shared" si="29"/>
        <v>-1.6E-2</v>
      </c>
      <c r="AO33" s="39">
        <v>31</v>
      </c>
      <c r="AP33" s="40">
        <v>46181</v>
      </c>
      <c r="AQ33" s="41" t="s">
        <v>97</v>
      </c>
      <c r="AR33" s="42" t="str">
        <f>IFERROR(VLOOKUP(AU33,[2]SUMMARY!$A$3:$B$7,2,FALSE),"")</f>
        <v>MC-SAGARANTEN</v>
      </c>
      <c r="AS33" s="31">
        <v>17737459</v>
      </c>
      <c r="AT33" s="31" t="str">
        <f>VLOOKUP(AS33,[2]OUTLET!$B:$C,2,0)</f>
        <v>WP - CACA CICI</v>
      </c>
      <c r="AU33" s="31" t="s">
        <v>41</v>
      </c>
      <c r="AV33" s="6">
        <v>1</v>
      </c>
      <c r="AW33" s="44">
        <f>IFERROR(VLOOKUP(AQ33,'[2]Harga &amp; Nama CSO'!$A$116:$L$136,2,FALSE),0)*AV33</f>
        <v>0</v>
      </c>
      <c r="AX33" s="44">
        <f>IFERROR(VLOOKUP(AQ33,'[2]Harga &amp; Nama CSO'!$A$116:$L$136,3,FALSE),0)*AV33</f>
        <v>0</v>
      </c>
      <c r="AY33" s="44">
        <f>IFERROR(VLOOKUP(AQ33,'[2]Harga &amp; Nama CSO'!$A$116:$L$136,4,FALSE),0)*AV33</f>
        <v>3</v>
      </c>
      <c r="AZ33" s="44">
        <f>IFERROR(VLOOKUP(AQ33,'[2]Harga &amp; Nama CSO'!$A$116:$L$136,5,FALSE),0)*AV33</f>
        <v>0</v>
      </c>
      <c r="BA33" s="44">
        <f>IFERROR(VLOOKUP(AQ33,'[2]Harga &amp; Nama CSO'!$A$116:$L$136,6,FALSE),0)*AV33</f>
        <v>0</v>
      </c>
      <c r="BB33" s="44">
        <f>IFERROR(VLOOKUP(AQ33,'[2]Harga &amp; Nama CSO'!$A$116:$L$136,7,FALSE),0)*AV33</f>
        <v>0</v>
      </c>
      <c r="BC33" s="44">
        <f>IFERROR(VLOOKUP(AQ33,'[2]Harga &amp; Nama CSO'!$A$116:$L$136,8,FALSE),0)*AV33</f>
        <v>0</v>
      </c>
      <c r="BD33" s="44">
        <f>IFERROR(VLOOKUP(AQ33,'[2]Harga &amp; Nama CSO'!$A$116:$L$136,9,FALSE),0)*AV33</f>
        <v>0</v>
      </c>
      <c r="BE33" s="44">
        <f>IFERROR(VLOOKUP(AQ33,'[2]Harga &amp; Nama CSO'!$A$116:$L$136,10,FALSE),0)*AV33</f>
        <v>3</v>
      </c>
      <c r="BF33" s="44">
        <f>IFERROR(VLOOKUP(AQ33,'[2]Harga &amp; Nama CSO'!$A$116:$L$136,11,FALSE),0)*AV33</f>
        <v>0</v>
      </c>
      <c r="BG33" s="44">
        <f>IFERROR(VLOOKUP(AQ33,'[2]Harga &amp; Nama CSO'!$A$116:$L$136,12,FALSE),0)*AV33</f>
        <v>0</v>
      </c>
      <c r="BH33" s="44">
        <f>IFERROR(VLOOKUP(AQ33,'[2]Harga &amp; Nama CSO'!$A$116:$R$136,13,FALSE),0)*AV33</f>
        <v>0</v>
      </c>
      <c r="BI33" s="44">
        <f>IFERROR(VLOOKUP(AQ33,'[2]Harga &amp; Nama CSO'!$A$116:$R$136,14,FALSE),0)*AV33</f>
        <v>3</v>
      </c>
      <c r="BJ33" s="44">
        <f>IFERROR(VLOOKUP(AQ33,'[2]Harga &amp; Nama CSO'!$A$116:$R$136,15,FALSE),0)*AV33</f>
        <v>0</v>
      </c>
      <c r="BK33" s="44">
        <f>IFERROR(VLOOKUP(AQ33,'[2]Harga &amp; Nama CSO'!$A$116:$R$136,16,FALSE),0)*AV33</f>
        <v>0</v>
      </c>
      <c r="BL33" s="44">
        <f>IFERROR(VLOOKUP(AQ33,'[2]Harga &amp; Nama CSO'!$A$116:$R$136,17,FALSE),0)*AV33</f>
        <v>0</v>
      </c>
      <c r="BM33" s="44">
        <f>IFERROR(VLOOKUP(AQ33,'[2]Harga &amp; Nama CSO'!$A$116:$R$136,18,FALSE),0)*AV33</f>
        <v>0</v>
      </c>
      <c r="BN33" s="44">
        <f>IFERROR(VLOOKUP(AQ33,'[2]Harga &amp; Nama CSO'!$A$116:$S$136,19,FALSE),0)*AV33</f>
        <v>0</v>
      </c>
      <c r="BO33" s="55">
        <f>IFERROR(VLOOKUP(AQ33,'[2]Harga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VLOOKUP(AQ33,'[1]Harga &amp; Nama CSO'!$A$28:$D$31,4,0)*BQ33</f>
        <v>3</v>
      </c>
    </row>
    <row r="34" spans="1:75" x14ac:dyDescent="0.35">
      <c r="A34" s="43" t="s">
        <v>42</v>
      </c>
      <c r="B34" s="4" t="s">
        <v>184</v>
      </c>
      <c r="C34" s="78">
        <v>0</v>
      </c>
      <c r="D34" s="78">
        <v>190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30</v>
      </c>
      <c r="U34" s="78">
        <v>6222600</v>
      </c>
      <c r="V34" s="78">
        <v>5097900</v>
      </c>
      <c r="W34" s="79">
        <v>1124700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30</v>
      </c>
      <c r="AD34" s="81">
        <v>0</v>
      </c>
      <c r="AE34" s="81">
        <v>0</v>
      </c>
      <c r="AF34" s="81">
        <v>151</v>
      </c>
      <c r="AG34" s="81">
        <f t="shared" si="29"/>
        <v>44.988</v>
      </c>
      <c r="AO34" s="39">
        <v>32</v>
      </c>
      <c r="AP34" s="40">
        <v>46181</v>
      </c>
      <c r="AQ34" s="41" t="s">
        <v>97</v>
      </c>
      <c r="AR34" s="42" t="str">
        <f>IFERROR(VLOOKUP(AU34,[2]SUMMARY!$A$3:$B$7,2,FALSE),"")</f>
        <v>MC-SAGARANTEN</v>
      </c>
      <c r="AS34" s="31">
        <v>17199166</v>
      </c>
      <c r="AT34" s="31" t="str">
        <f>VLOOKUP(AS34,[2]OUTLET!$B:$C,2,0)</f>
        <v>Kaysa cell</v>
      </c>
      <c r="AU34" s="31" t="s">
        <v>41</v>
      </c>
      <c r="AV34" s="6">
        <v>1</v>
      </c>
      <c r="AW34" s="44">
        <f>IFERROR(VLOOKUP(AQ34,'[2]Harga &amp; Nama CSO'!$A$116:$L$136,2,FALSE),0)*AV34</f>
        <v>0</v>
      </c>
      <c r="AX34" s="44">
        <f>IFERROR(VLOOKUP(AQ34,'[2]Harga &amp; Nama CSO'!$A$116:$L$136,3,FALSE),0)*AV34</f>
        <v>0</v>
      </c>
      <c r="AY34" s="44">
        <f>IFERROR(VLOOKUP(AQ34,'[2]Harga &amp; Nama CSO'!$A$116:$L$136,4,FALSE),0)*AV34</f>
        <v>3</v>
      </c>
      <c r="AZ34" s="44">
        <f>IFERROR(VLOOKUP(AQ34,'[2]Harga &amp; Nama CSO'!$A$116:$L$136,5,FALSE),0)*AV34</f>
        <v>0</v>
      </c>
      <c r="BA34" s="44">
        <f>IFERROR(VLOOKUP(AQ34,'[2]Harga &amp; Nama CSO'!$A$116:$L$136,6,FALSE),0)*AV34</f>
        <v>0</v>
      </c>
      <c r="BB34" s="44">
        <f>IFERROR(VLOOKUP(AQ34,'[2]Harga &amp; Nama CSO'!$A$116:$L$136,7,FALSE),0)*AV34</f>
        <v>0</v>
      </c>
      <c r="BC34" s="44">
        <f>IFERROR(VLOOKUP(AQ34,'[2]Harga &amp; Nama CSO'!$A$116:$L$136,8,FALSE),0)*AV34</f>
        <v>0</v>
      </c>
      <c r="BD34" s="44">
        <f>IFERROR(VLOOKUP(AQ34,'[2]Harga &amp; Nama CSO'!$A$116:$L$136,9,FALSE),0)*AV34</f>
        <v>0</v>
      </c>
      <c r="BE34" s="44">
        <f>IFERROR(VLOOKUP(AQ34,'[2]Harga &amp; Nama CSO'!$A$116:$L$136,10,FALSE),0)*AV34</f>
        <v>3</v>
      </c>
      <c r="BF34" s="44">
        <f>IFERROR(VLOOKUP(AQ34,'[2]Harga &amp; Nama CSO'!$A$116:$L$136,11,FALSE),0)*AV34</f>
        <v>0</v>
      </c>
      <c r="BG34" s="44">
        <f>IFERROR(VLOOKUP(AQ34,'[2]Harga &amp; Nama CSO'!$A$116:$L$136,12,FALSE),0)*AV34</f>
        <v>0</v>
      </c>
      <c r="BH34" s="44">
        <f>IFERROR(VLOOKUP(AQ34,'[2]Harga &amp; Nama CSO'!$A$116:$R$136,13,FALSE),0)*AV34</f>
        <v>0</v>
      </c>
      <c r="BI34" s="44">
        <f>IFERROR(VLOOKUP(AQ34,'[2]Harga &amp; Nama CSO'!$A$116:$R$136,14,FALSE),0)*AV34</f>
        <v>3</v>
      </c>
      <c r="BJ34" s="44">
        <f>IFERROR(VLOOKUP(AQ34,'[2]Harga &amp; Nama CSO'!$A$116:$R$136,15,FALSE),0)*AV34</f>
        <v>0</v>
      </c>
      <c r="BK34" s="44">
        <f>IFERROR(VLOOKUP(AQ34,'[2]Harga &amp; Nama CSO'!$A$116:$R$136,16,FALSE),0)*AV34</f>
        <v>0</v>
      </c>
      <c r="BL34" s="44">
        <f>IFERROR(VLOOKUP(AQ34,'[2]Harga &amp; Nama CSO'!$A$116:$R$136,17,FALSE),0)*AV34</f>
        <v>0</v>
      </c>
      <c r="BM34" s="44">
        <f>IFERROR(VLOOKUP(AQ34,'[2]Harga &amp; Nama CSO'!$A$116:$R$136,18,FALSE),0)*AV34</f>
        <v>0</v>
      </c>
      <c r="BN34" s="44">
        <f>IFERROR(VLOOKUP(AQ34,'[2]Harga &amp; Nama CSO'!$A$116:$S$136,19,FALSE),0)*AV34</f>
        <v>0</v>
      </c>
      <c r="BO34" s="55">
        <f>IFERROR(VLOOKUP(AQ34,'[2]Harga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VLOOKUP(AQ34,'[1]Harga &amp; Nama CSO'!$A$28:$D$31,4,0)*BQ34</f>
        <v>3</v>
      </c>
    </row>
    <row r="35" spans="1:75" x14ac:dyDescent="0.35">
      <c r="AO35" s="39">
        <v>33</v>
      </c>
      <c r="AP35" s="40">
        <v>46182</v>
      </c>
      <c r="AQ35" s="41" t="s">
        <v>110</v>
      </c>
      <c r="AR35" s="42" t="str">
        <f>IFERROR(VLOOKUP(AU35,[2]SUMMARY!$A$3:$B$7,2,FALSE),"")</f>
        <v>MC-SAGARANTEN</v>
      </c>
      <c r="AS35" s="31">
        <v>17472759</v>
      </c>
      <c r="AT35" s="31" t="str">
        <f>VLOOKUP(AS35,[2]OUTLET!$B:$C,2,0)</f>
        <v>Davina cell</v>
      </c>
      <c r="AU35" s="31" t="s">
        <v>53</v>
      </c>
      <c r="AV35" s="6">
        <v>1</v>
      </c>
      <c r="AW35" s="44">
        <f>IFERROR(VLOOKUP(AQ35,'[2]Harga &amp; Nama CSO'!$A$116:$L$136,2,FALSE),0)*AV35</f>
        <v>0</v>
      </c>
      <c r="AX35" s="44">
        <f>IFERROR(VLOOKUP(AQ35,'[2]Harga &amp; Nama CSO'!$A$116:$L$136,3,FALSE),0)*AV35</f>
        <v>0</v>
      </c>
      <c r="AY35" s="44">
        <f>IFERROR(VLOOKUP(AQ35,'[2]Harga &amp; Nama CSO'!$A$116:$L$136,4,FALSE),0)*AV35</f>
        <v>3</v>
      </c>
      <c r="AZ35" s="44">
        <f>IFERROR(VLOOKUP(AQ35,'[2]Harga &amp; Nama CSO'!$A$116:$L$136,5,FALSE),0)*AV35</f>
        <v>0</v>
      </c>
      <c r="BA35" s="44">
        <f>IFERROR(VLOOKUP(AQ35,'[2]Harga &amp; Nama CSO'!$A$116:$L$136,6,FALSE),0)*AV35</f>
        <v>0</v>
      </c>
      <c r="BB35" s="44">
        <f>IFERROR(VLOOKUP(AQ35,'[2]Harga &amp; Nama CSO'!$A$116:$L$136,7,FALSE),0)*AV35</f>
        <v>3</v>
      </c>
      <c r="BC35" s="44">
        <f>IFERROR(VLOOKUP(AQ35,'[2]Harga &amp; Nama CSO'!$A$116:$L$136,8,FALSE),0)*AV35</f>
        <v>3</v>
      </c>
      <c r="BD35" s="44">
        <f>IFERROR(VLOOKUP(AQ35,'[2]Harga &amp; Nama CSO'!$A$116:$L$136,9,FALSE),0)*AV35</f>
        <v>0</v>
      </c>
      <c r="BE35" s="44">
        <f>IFERROR(VLOOKUP(AQ35,'[2]Harga &amp; Nama CSO'!$A$116:$L$136,10,FALSE),0)*AV35</f>
        <v>0</v>
      </c>
      <c r="BF35" s="44">
        <f>IFERROR(VLOOKUP(AQ35,'[2]Harga &amp; Nama CSO'!$A$116:$L$136,11,FALSE),0)*AV35</f>
        <v>0</v>
      </c>
      <c r="BG35" s="44">
        <f>IFERROR(VLOOKUP(AQ35,'[2]Harga &amp; Nama CSO'!$A$116:$L$136,12,FALSE),0)*AV35</f>
        <v>0</v>
      </c>
      <c r="BH35" s="44">
        <f>IFERROR(VLOOKUP(AQ35,'[2]Harga &amp; Nama CSO'!$A$116:$R$136,13,FALSE),0)*AV35</f>
        <v>0</v>
      </c>
      <c r="BI35" s="44">
        <f>IFERROR(VLOOKUP(AQ35,'[2]Harga &amp; Nama CSO'!$A$116:$R$136,14,FALSE),0)*AV35</f>
        <v>0</v>
      </c>
      <c r="BJ35" s="44">
        <f>IFERROR(VLOOKUP(AQ35,'[2]Harga &amp; Nama CSO'!$A$116:$R$136,15,FALSE),0)*AV35</f>
        <v>0</v>
      </c>
      <c r="BK35" s="44">
        <f>IFERROR(VLOOKUP(AQ35,'[2]Harga &amp; Nama CSO'!$A$116:$R$136,16,FALSE),0)*AV35</f>
        <v>0</v>
      </c>
      <c r="BL35" s="44">
        <f>IFERROR(VLOOKUP(AQ35,'[2]Harga &amp; Nama CSO'!$A$116:$R$136,17,FALSE),0)*AV35</f>
        <v>0</v>
      </c>
      <c r="BM35" s="44">
        <f>IFERROR(VLOOKUP(AQ35,'[2]Harga &amp; Nama CSO'!$A$116:$R$136,18,FALSE),0)*AV35</f>
        <v>0</v>
      </c>
      <c r="BN35" s="44">
        <f>IFERROR(VLOOKUP(AQ35,'[2]Harga &amp; Nama CSO'!$A$116:$S$136,19,FALSE),0)*AV35</f>
        <v>0</v>
      </c>
      <c r="BO35" s="55">
        <f>IFERROR(VLOOKUP(AQ35,'[2]Harga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VLOOKUP(AQ35,'[1]Harga &amp; Nama CSO'!$A$28:$D$31,4,0)*BQ35</f>
        <v>3</v>
      </c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46182</v>
      </c>
      <c r="AQ36" s="41" t="s">
        <v>110</v>
      </c>
      <c r="AR36" s="42" t="str">
        <f>IFERROR(VLOOKUP(AU36,[2]SUMMARY!$A$3:$B$7,2,FALSE),"")</f>
        <v>MC-SAGARANTEN</v>
      </c>
      <c r="AS36" s="31">
        <v>1559327</v>
      </c>
      <c r="AT36" s="31" t="str">
        <f>VLOOKUP(AS36,[2]OUTLET!$B:$C,2,0)</f>
        <v>dzaki cell</v>
      </c>
      <c r="AU36" s="31" t="s">
        <v>53</v>
      </c>
      <c r="AV36" s="6">
        <v>1</v>
      </c>
      <c r="AW36" s="44">
        <f>IFERROR(VLOOKUP(AQ36,'[2]Harga &amp; Nama CSO'!$A$116:$L$136,2,FALSE),0)*AV36</f>
        <v>0</v>
      </c>
      <c r="AX36" s="44">
        <f>IFERROR(VLOOKUP(AQ36,'[2]Harga &amp; Nama CSO'!$A$116:$L$136,3,FALSE),0)*AV36</f>
        <v>0</v>
      </c>
      <c r="AY36" s="44">
        <f>IFERROR(VLOOKUP(AQ36,'[2]Harga &amp; Nama CSO'!$A$116:$L$136,4,FALSE),0)*AV36</f>
        <v>3</v>
      </c>
      <c r="AZ36" s="44">
        <f>IFERROR(VLOOKUP(AQ36,'[2]Harga &amp; Nama CSO'!$A$116:$L$136,5,FALSE),0)*AV36</f>
        <v>0</v>
      </c>
      <c r="BA36" s="44">
        <f>IFERROR(VLOOKUP(AQ36,'[2]Harga &amp; Nama CSO'!$A$116:$L$136,6,FALSE),0)*AV36</f>
        <v>0</v>
      </c>
      <c r="BB36" s="44">
        <f>IFERROR(VLOOKUP(AQ36,'[2]Harga &amp; Nama CSO'!$A$116:$L$136,7,FALSE),0)*AV36</f>
        <v>3</v>
      </c>
      <c r="BC36" s="44">
        <f>IFERROR(VLOOKUP(AQ36,'[2]Harga &amp; Nama CSO'!$A$116:$L$136,8,FALSE),0)*AV36</f>
        <v>3</v>
      </c>
      <c r="BD36" s="44">
        <f>IFERROR(VLOOKUP(AQ36,'[2]Harga &amp; Nama CSO'!$A$116:$L$136,9,FALSE),0)*AV36</f>
        <v>0</v>
      </c>
      <c r="BE36" s="44">
        <f>IFERROR(VLOOKUP(AQ36,'[2]Harga &amp; Nama CSO'!$A$116:$L$136,10,FALSE),0)*AV36</f>
        <v>0</v>
      </c>
      <c r="BF36" s="44">
        <f>IFERROR(VLOOKUP(AQ36,'[2]Harga &amp; Nama CSO'!$A$116:$L$136,11,FALSE),0)*AV36</f>
        <v>0</v>
      </c>
      <c r="BG36" s="44">
        <f>IFERROR(VLOOKUP(AQ36,'[2]Harga &amp; Nama CSO'!$A$116:$L$136,12,FALSE),0)*AV36</f>
        <v>0</v>
      </c>
      <c r="BH36" s="44">
        <f>IFERROR(VLOOKUP(AQ36,'[2]Harga &amp; Nama CSO'!$A$116:$R$136,13,FALSE),0)*AV36</f>
        <v>0</v>
      </c>
      <c r="BI36" s="44">
        <f>IFERROR(VLOOKUP(AQ36,'[2]Harga &amp; Nama CSO'!$A$116:$R$136,14,FALSE),0)*AV36</f>
        <v>0</v>
      </c>
      <c r="BJ36" s="44">
        <f>IFERROR(VLOOKUP(AQ36,'[2]Harga &amp; Nama CSO'!$A$116:$R$136,15,FALSE),0)*AV36</f>
        <v>0</v>
      </c>
      <c r="BK36" s="44">
        <f>IFERROR(VLOOKUP(AQ36,'[2]Harga &amp; Nama CSO'!$A$116:$R$136,16,FALSE),0)*AV36</f>
        <v>0</v>
      </c>
      <c r="BL36" s="44">
        <f>IFERROR(VLOOKUP(AQ36,'[2]Harga &amp; Nama CSO'!$A$116:$R$136,17,FALSE),0)*AV36</f>
        <v>0</v>
      </c>
      <c r="BM36" s="44">
        <f>IFERROR(VLOOKUP(AQ36,'[2]Harga &amp; Nama CSO'!$A$116:$R$136,18,FALSE),0)*AV36</f>
        <v>0</v>
      </c>
      <c r="BN36" s="44">
        <f>IFERROR(VLOOKUP(AQ36,'[2]Harga &amp; Nama CSO'!$A$116:$S$136,19,FALSE),0)*AV36</f>
        <v>0</v>
      </c>
      <c r="BO36" s="55">
        <f>IFERROR(VLOOKUP(AQ36,'[2]Harga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VLOOKUP(AQ36,'[1]Harga &amp; Nama CSO'!$A$28:$D$31,4,0)*BQ36</f>
        <v>3</v>
      </c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333</v>
      </c>
      <c r="T37" s="28">
        <v>100</v>
      </c>
      <c r="AO37" s="39">
        <v>35</v>
      </c>
      <c r="AP37" s="40">
        <v>46182</v>
      </c>
      <c r="AQ37" s="41" t="s">
        <v>97</v>
      </c>
      <c r="AR37" s="42" t="str">
        <f>IFERROR(VLOOKUP(AU37,[2]SUMMARY!$A$3:$B$7,2,FALSE),"")</f>
        <v>MC-SAGARANTEN</v>
      </c>
      <c r="AS37" s="31">
        <v>17249792</v>
      </c>
      <c r="AT37" s="31" t="str">
        <f>VLOOKUP(AS37,[2]OUTLET!$B:$C,2,0)</f>
        <v>LESTARI CELL</v>
      </c>
      <c r="AU37" s="31" t="s">
        <v>54</v>
      </c>
      <c r="AV37" s="6">
        <v>1</v>
      </c>
      <c r="AW37" s="44">
        <f>IFERROR(VLOOKUP(AQ37,'[2]Harga &amp; Nama CSO'!$A$116:$L$136,2,FALSE),0)*AV37</f>
        <v>0</v>
      </c>
      <c r="AX37" s="44">
        <f>IFERROR(VLOOKUP(AQ37,'[2]Harga &amp; Nama CSO'!$A$116:$L$136,3,FALSE),0)*AV37</f>
        <v>0</v>
      </c>
      <c r="AY37" s="44">
        <f>IFERROR(VLOOKUP(AQ37,'[2]Harga &amp; Nama CSO'!$A$116:$L$136,4,FALSE),0)*AV37</f>
        <v>3</v>
      </c>
      <c r="AZ37" s="44">
        <f>IFERROR(VLOOKUP(AQ37,'[2]Harga &amp; Nama CSO'!$A$116:$L$136,5,FALSE),0)*AV37</f>
        <v>0</v>
      </c>
      <c r="BA37" s="44">
        <f>IFERROR(VLOOKUP(AQ37,'[2]Harga &amp; Nama CSO'!$A$116:$L$136,6,FALSE),0)*AV37</f>
        <v>0</v>
      </c>
      <c r="BB37" s="44">
        <f>IFERROR(VLOOKUP(AQ37,'[2]Harga &amp; Nama CSO'!$A$116:$L$136,7,FALSE),0)*AV37</f>
        <v>0</v>
      </c>
      <c r="BC37" s="44">
        <f>IFERROR(VLOOKUP(AQ37,'[2]Harga &amp; Nama CSO'!$A$116:$L$136,8,FALSE),0)*AV37</f>
        <v>0</v>
      </c>
      <c r="BD37" s="44">
        <f>IFERROR(VLOOKUP(AQ37,'[2]Harga &amp; Nama CSO'!$A$116:$L$136,9,FALSE),0)*AV37</f>
        <v>0</v>
      </c>
      <c r="BE37" s="44">
        <f>IFERROR(VLOOKUP(AQ37,'[2]Harga &amp; Nama CSO'!$A$116:$L$136,10,FALSE),0)*AV37</f>
        <v>3</v>
      </c>
      <c r="BF37" s="44">
        <f>IFERROR(VLOOKUP(AQ37,'[2]Harga &amp; Nama CSO'!$A$116:$L$136,11,FALSE),0)*AV37</f>
        <v>0</v>
      </c>
      <c r="BG37" s="44">
        <f>IFERROR(VLOOKUP(AQ37,'[2]Harga &amp; Nama CSO'!$A$116:$L$136,12,FALSE),0)*AV37</f>
        <v>0</v>
      </c>
      <c r="BH37" s="44">
        <f>IFERROR(VLOOKUP(AQ37,'[2]Harga &amp; Nama CSO'!$A$116:$R$136,13,FALSE),0)*AV37</f>
        <v>0</v>
      </c>
      <c r="BI37" s="44">
        <f>IFERROR(VLOOKUP(AQ37,'[2]Harga &amp; Nama CSO'!$A$116:$R$136,14,FALSE),0)*AV37</f>
        <v>3</v>
      </c>
      <c r="BJ37" s="44">
        <f>IFERROR(VLOOKUP(AQ37,'[2]Harga &amp; Nama CSO'!$A$116:$R$136,15,FALSE),0)*AV37</f>
        <v>0</v>
      </c>
      <c r="BK37" s="44">
        <f>IFERROR(VLOOKUP(AQ37,'[2]Harga &amp; Nama CSO'!$A$116:$R$136,16,FALSE),0)*AV37</f>
        <v>0</v>
      </c>
      <c r="BL37" s="44">
        <f>IFERROR(VLOOKUP(AQ37,'[2]Harga &amp; Nama CSO'!$A$116:$R$136,17,FALSE),0)*AV37</f>
        <v>0</v>
      </c>
      <c r="BM37" s="44">
        <f>IFERROR(VLOOKUP(AQ37,'[2]Harga &amp; Nama CSO'!$A$116:$R$136,18,FALSE),0)*AV37</f>
        <v>0</v>
      </c>
      <c r="BN37" s="44">
        <f>IFERROR(VLOOKUP(AQ37,'[2]Harga &amp; Nama CSO'!$A$116:$S$136,19,FALSE),0)*AV37</f>
        <v>0</v>
      </c>
      <c r="BO37" s="55">
        <f>IFERROR(VLOOKUP(AQ37,'[2]Harga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VLOOKUP(AQ37,'[1]Harga &amp; Nama CSO'!$A$28:$D$31,4,0)*BQ37</f>
        <v>3</v>
      </c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246</v>
      </c>
      <c r="T38" s="28">
        <v>100</v>
      </c>
      <c r="AO38" s="39">
        <v>36</v>
      </c>
      <c r="AP38" s="40">
        <v>46182</v>
      </c>
      <c r="AQ38" s="41" t="s">
        <v>97</v>
      </c>
      <c r="AR38" s="42" t="str">
        <f>IFERROR(VLOOKUP(AU38,[2]SUMMARY!$A$3:$B$7,2,FALSE),"")</f>
        <v>MC-SAGARANTEN</v>
      </c>
      <c r="AS38" s="31">
        <v>17276084</v>
      </c>
      <c r="AT38" s="31" t="str">
        <f>VLOOKUP(AS38,[2]OUTLET!$B:$C,2,0)</f>
        <v>SHALMA CELL</v>
      </c>
      <c r="AU38" s="31" t="s">
        <v>54</v>
      </c>
      <c r="AV38" s="6">
        <v>1</v>
      </c>
      <c r="AW38" s="44">
        <f>IFERROR(VLOOKUP(AQ38,'[2]Harga &amp; Nama CSO'!$A$116:$L$136,2,FALSE),0)*AV38</f>
        <v>0</v>
      </c>
      <c r="AX38" s="44">
        <f>IFERROR(VLOOKUP(AQ38,'[2]Harga &amp; Nama CSO'!$A$116:$L$136,3,FALSE),0)*AV38</f>
        <v>0</v>
      </c>
      <c r="AY38" s="44">
        <f>IFERROR(VLOOKUP(AQ38,'[2]Harga &amp; Nama CSO'!$A$116:$L$136,4,FALSE),0)*AV38</f>
        <v>3</v>
      </c>
      <c r="AZ38" s="44">
        <f>IFERROR(VLOOKUP(AQ38,'[2]Harga &amp; Nama CSO'!$A$116:$L$136,5,FALSE),0)*AV38</f>
        <v>0</v>
      </c>
      <c r="BA38" s="44">
        <f>IFERROR(VLOOKUP(AQ38,'[2]Harga &amp; Nama CSO'!$A$116:$L$136,6,FALSE),0)*AV38</f>
        <v>0</v>
      </c>
      <c r="BB38" s="44">
        <f>IFERROR(VLOOKUP(AQ38,'[2]Harga &amp; Nama CSO'!$A$116:$L$136,7,FALSE),0)*AV38</f>
        <v>0</v>
      </c>
      <c r="BC38" s="44">
        <f>IFERROR(VLOOKUP(AQ38,'[2]Harga &amp; Nama CSO'!$A$116:$L$136,8,FALSE),0)*AV38</f>
        <v>0</v>
      </c>
      <c r="BD38" s="44">
        <f>IFERROR(VLOOKUP(AQ38,'[2]Harga &amp; Nama CSO'!$A$116:$L$136,9,FALSE),0)*AV38</f>
        <v>0</v>
      </c>
      <c r="BE38" s="44">
        <f>IFERROR(VLOOKUP(AQ38,'[2]Harga &amp; Nama CSO'!$A$116:$L$136,10,FALSE),0)*AV38</f>
        <v>3</v>
      </c>
      <c r="BF38" s="44">
        <f>IFERROR(VLOOKUP(AQ38,'[2]Harga &amp; Nama CSO'!$A$116:$L$136,11,FALSE),0)*AV38</f>
        <v>0</v>
      </c>
      <c r="BG38" s="44">
        <f>IFERROR(VLOOKUP(AQ38,'[2]Harga &amp; Nama CSO'!$A$116:$L$136,12,FALSE),0)*AV38</f>
        <v>0</v>
      </c>
      <c r="BH38" s="44">
        <f>IFERROR(VLOOKUP(AQ38,'[2]Harga &amp; Nama CSO'!$A$116:$R$136,13,FALSE),0)*AV38</f>
        <v>0</v>
      </c>
      <c r="BI38" s="44">
        <f>IFERROR(VLOOKUP(AQ38,'[2]Harga &amp; Nama CSO'!$A$116:$R$136,14,FALSE),0)*AV38</f>
        <v>3</v>
      </c>
      <c r="BJ38" s="44">
        <f>IFERROR(VLOOKUP(AQ38,'[2]Harga &amp; Nama CSO'!$A$116:$R$136,15,FALSE),0)*AV38</f>
        <v>0</v>
      </c>
      <c r="BK38" s="44">
        <f>IFERROR(VLOOKUP(AQ38,'[2]Harga &amp; Nama CSO'!$A$116:$R$136,16,FALSE),0)*AV38</f>
        <v>0</v>
      </c>
      <c r="BL38" s="44">
        <f>IFERROR(VLOOKUP(AQ38,'[2]Harga &amp; Nama CSO'!$A$116:$R$136,17,FALSE),0)*AV38</f>
        <v>0</v>
      </c>
      <c r="BM38" s="44">
        <f>IFERROR(VLOOKUP(AQ38,'[2]Harga &amp; Nama CSO'!$A$116:$R$136,18,FALSE),0)*AV38</f>
        <v>0</v>
      </c>
      <c r="BN38" s="44">
        <f>IFERROR(VLOOKUP(AQ38,'[2]Harga &amp; Nama CSO'!$A$116:$S$136,19,FALSE),0)*AV38</f>
        <v>0</v>
      </c>
      <c r="BO38" s="55">
        <f>IFERROR(VLOOKUP(AQ38,'[2]Harga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VLOOKUP(AQ38,'[1]Harga &amp; Nama CSO'!$A$28:$D$31,4,0)*BQ38</f>
        <v>3</v>
      </c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330</v>
      </c>
      <c r="T39" s="28">
        <v>50</v>
      </c>
      <c r="AO39" s="39">
        <v>37</v>
      </c>
      <c r="AP39" s="40">
        <v>46182</v>
      </c>
      <c r="AQ39" s="41" t="s">
        <v>97</v>
      </c>
      <c r="AR39" s="42" t="str">
        <f>IFERROR(VLOOKUP(AU39,[2]SUMMARY!$A$3:$B$7,2,FALSE),"")</f>
        <v>MC-SAGARANTEN</v>
      </c>
      <c r="AS39" s="31">
        <v>1558179</v>
      </c>
      <c r="AT39" s="31" t="str">
        <f>VLOOKUP(AS39,[2]OUTLET!$B:$C,2,0)</f>
        <v>ZR STORE</v>
      </c>
      <c r="AU39" s="31" t="s">
        <v>54</v>
      </c>
      <c r="AV39" s="6">
        <v>1</v>
      </c>
      <c r="AW39" s="44">
        <f>IFERROR(VLOOKUP(AQ39,'[2]Harga &amp; Nama CSO'!$A$116:$L$136,2,FALSE),0)*AV39</f>
        <v>0</v>
      </c>
      <c r="AX39" s="44">
        <f>IFERROR(VLOOKUP(AQ39,'[2]Harga &amp; Nama CSO'!$A$116:$L$136,3,FALSE),0)*AV39</f>
        <v>0</v>
      </c>
      <c r="AY39" s="44">
        <f>IFERROR(VLOOKUP(AQ39,'[2]Harga &amp; Nama CSO'!$A$116:$L$136,4,FALSE),0)*AV39</f>
        <v>3</v>
      </c>
      <c r="AZ39" s="44">
        <f>IFERROR(VLOOKUP(AQ39,'[2]Harga &amp; Nama CSO'!$A$116:$L$136,5,FALSE),0)*AV39</f>
        <v>0</v>
      </c>
      <c r="BA39" s="44">
        <f>IFERROR(VLOOKUP(AQ39,'[2]Harga &amp; Nama CSO'!$A$116:$L$136,6,FALSE),0)*AV39</f>
        <v>0</v>
      </c>
      <c r="BB39" s="44">
        <f>IFERROR(VLOOKUP(AQ39,'[2]Harga &amp; Nama CSO'!$A$116:$L$136,7,FALSE),0)*AV39</f>
        <v>0</v>
      </c>
      <c r="BC39" s="44">
        <f>IFERROR(VLOOKUP(AQ39,'[2]Harga &amp; Nama CSO'!$A$116:$L$136,8,FALSE),0)*AV39</f>
        <v>0</v>
      </c>
      <c r="BD39" s="44">
        <f>IFERROR(VLOOKUP(AQ39,'[2]Harga &amp; Nama CSO'!$A$116:$L$136,9,FALSE),0)*AV39</f>
        <v>0</v>
      </c>
      <c r="BE39" s="44">
        <f>IFERROR(VLOOKUP(AQ39,'[2]Harga &amp; Nama CSO'!$A$116:$L$136,10,FALSE),0)*AV39</f>
        <v>3</v>
      </c>
      <c r="BF39" s="44">
        <f>IFERROR(VLOOKUP(AQ39,'[2]Harga &amp; Nama CSO'!$A$116:$L$136,11,FALSE),0)*AV39</f>
        <v>0</v>
      </c>
      <c r="BG39" s="44">
        <f>IFERROR(VLOOKUP(AQ39,'[2]Harga &amp; Nama CSO'!$A$116:$L$136,12,FALSE),0)*AV39</f>
        <v>0</v>
      </c>
      <c r="BH39" s="44">
        <f>IFERROR(VLOOKUP(AQ39,'[2]Harga &amp; Nama CSO'!$A$116:$R$136,13,FALSE),0)*AV39</f>
        <v>0</v>
      </c>
      <c r="BI39" s="44">
        <f>IFERROR(VLOOKUP(AQ39,'[2]Harga &amp; Nama CSO'!$A$116:$R$136,14,FALSE),0)*AV39</f>
        <v>3</v>
      </c>
      <c r="BJ39" s="44">
        <f>IFERROR(VLOOKUP(AQ39,'[2]Harga &amp; Nama CSO'!$A$116:$R$136,15,FALSE),0)*AV39</f>
        <v>0</v>
      </c>
      <c r="BK39" s="44">
        <f>IFERROR(VLOOKUP(AQ39,'[2]Harga &amp; Nama CSO'!$A$116:$R$136,16,FALSE),0)*AV39</f>
        <v>0</v>
      </c>
      <c r="BL39" s="44">
        <f>IFERROR(VLOOKUP(AQ39,'[2]Harga &amp; Nama CSO'!$A$116:$R$136,17,FALSE),0)*AV39</f>
        <v>0</v>
      </c>
      <c r="BM39" s="44">
        <f>IFERROR(VLOOKUP(AQ39,'[2]Harga &amp; Nama CSO'!$A$116:$R$136,18,FALSE),0)*AV39</f>
        <v>0</v>
      </c>
      <c r="BN39" s="44">
        <f>IFERROR(VLOOKUP(AQ39,'[2]Harga &amp; Nama CSO'!$A$116:$S$136,19,FALSE),0)*AV39</f>
        <v>0</v>
      </c>
      <c r="BO39" s="55">
        <f>IFERROR(VLOOKUP(AQ39,'[2]Harga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VLOOKUP(AQ39,'[1]Harga &amp; Nama CSO'!$A$28:$D$31,4,0)*BQ39</f>
        <v>3</v>
      </c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300</v>
      </c>
      <c r="T40" s="28">
        <v>75</v>
      </c>
      <c r="AO40" s="39">
        <v>38</v>
      </c>
      <c r="AP40" s="40">
        <v>46182</v>
      </c>
      <c r="AQ40" s="41" t="s">
        <v>96</v>
      </c>
      <c r="AR40" s="42" t="str">
        <f>IFERROR(VLOOKUP(AU40,[2]SUMMARY!$A$3:$B$7,2,FALSE),"")</f>
        <v>MC-SAGARANTEN</v>
      </c>
      <c r="AS40" s="31">
        <v>17749333</v>
      </c>
      <c r="AT40" s="31" t="str">
        <f>VLOOKUP(AS40,[2]OUTLET!$B:$C,2,0)</f>
        <v>WP Toko Ai Tatang</v>
      </c>
      <c r="AU40" s="31" t="s">
        <v>41</v>
      </c>
      <c r="AV40" s="6">
        <v>1</v>
      </c>
      <c r="AW40" s="44">
        <f>IFERROR(VLOOKUP(AQ40,'[2]Harga &amp; Nama CSO'!$A$116:$L$136,2,FALSE),0)*AV40</f>
        <v>0</v>
      </c>
      <c r="AX40" s="44">
        <f>IFERROR(VLOOKUP(AQ40,'[2]Harga &amp; Nama CSO'!$A$116:$L$136,3,FALSE),0)*AV40</f>
        <v>0</v>
      </c>
      <c r="AY40" s="44">
        <f>IFERROR(VLOOKUP(AQ40,'[2]Harga &amp; Nama CSO'!$A$116:$L$136,4,FALSE),0)*AV40</f>
        <v>3</v>
      </c>
      <c r="AZ40" s="44">
        <f>IFERROR(VLOOKUP(AQ40,'[2]Harga &amp; Nama CSO'!$A$116:$L$136,5,FALSE),0)*AV40</f>
        <v>0</v>
      </c>
      <c r="BA40" s="44">
        <f>IFERROR(VLOOKUP(AQ40,'[2]Harga &amp; Nama CSO'!$A$116:$L$136,6,FALSE),0)*AV40</f>
        <v>0</v>
      </c>
      <c r="BB40" s="44">
        <f>IFERROR(VLOOKUP(AQ40,'[2]Harga &amp; Nama CSO'!$A$116:$L$136,7,FALSE),0)*AV40</f>
        <v>0</v>
      </c>
      <c r="BC40" s="44">
        <f>IFERROR(VLOOKUP(AQ40,'[2]Harga &amp; Nama CSO'!$A$116:$L$136,8,FALSE),0)*AV40</f>
        <v>3</v>
      </c>
      <c r="BD40" s="44">
        <f>IFERROR(VLOOKUP(AQ40,'[2]Harga &amp; Nama CSO'!$A$116:$L$136,9,FALSE),0)*AV40</f>
        <v>0</v>
      </c>
      <c r="BE40" s="44">
        <f>IFERROR(VLOOKUP(AQ40,'[2]Harga &amp; Nama CSO'!$A$116:$L$136,10,FALSE),0)*AV40</f>
        <v>0</v>
      </c>
      <c r="BF40" s="44">
        <f>IFERROR(VLOOKUP(AQ40,'[2]Harga &amp; Nama CSO'!$A$116:$L$136,11,FALSE),0)*AV40</f>
        <v>0</v>
      </c>
      <c r="BG40" s="44">
        <f>IFERROR(VLOOKUP(AQ40,'[2]Harga &amp; Nama CSO'!$A$116:$L$136,12,FALSE),0)*AV40</f>
        <v>0</v>
      </c>
      <c r="BH40" s="44">
        <f>IFERROR(VLOOKUP(AQ40,'[2]Harga &amp; Nama CSO'!$A$116:$R$136,13,FALSE),0)*AV40</f>
        <v>0</v>
      </c>
      <c r="BI40" s="44">
        <f>IFERROR(VLOOKUP(AQ40,'[2]Harga &amp; Nama CSO'!$A$116:$R$136,14,FALSE),0)*AV40</f>
        <v>3</v>
      </c>
      <c r="BJ40" s="44">
        <f>IFERROR(VLOOKUP(AQ40,'[2]Harga &amp; Nama CSO'!$A$116:$R$136,15,FALSE),0)*AV40</f>
        <v>0</v>
      </c>
      <c r="BK40" s="44">
        <f>IFERROR(VLOOKUP(AQ40,'[2]Harga &amp; Nama CSO'!$A$116:$R$136,16,FALSE),0)*AV40</f>
        <v>0</v>
      </c>
      <c r="BL40" s="44">
        <f>IFERROR(VLOOKUP(AQ40,'[2]Harga &amp; Nama CSO'!$A$116:$R$136,17,FALSE),0)*AV40</f>
        <v>0</v>
      </c>
      <c r="BM40" s="44">
        <f>IFERROR(VLOOKUP(AQ40,'[2]Harga &amp; Nama CSO'!$A$116:$R$136,18,FALSE),0)*AV40</f>
        <v>0</v>
      </c>
      <c r="BN40" s="44">
        <f>IFERROR(VLOOKUP(AQ40,'[2]Harga &amp; Nama CSO'!$A$116:$S$136,19,FALSE),0)*AV40</f>
        <v>0</v>
      </c>
      <c r="BO40" s="55">
        <f>IFERROR(VLOOKUP(AQ40,'[2]Harga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VLOOKUP(AQ40,'[1]Harga &amp; Nama CSO'!$A$28:$D$31,4,0)*BQ40</f>
        <v>3</v>
      </c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/>
      <c r="P41">
        <v>0</v>
      </c>
      <c r="R41" s="85" t="s">
        <v>43</v>
      </c>
      <c r="S41" s="28">
        <v>1209</v>
      </c>
      <c r="T41" s="28">
        <v>325</v>
      </c>
      <c r="AO41" s="39">
        <v>39</v>
      </c>
      <c r="AP41" s="40">
        <v>46182</v>
      </c>
      <c r="AQ41" s="41" t="s">
        <v>96</v>
      </c>
      <c r="AR41" s="42" t="str">
        <f>IFERROR(VLOOKUP(AU41,[2]SUMMARY!$A$3:$B$7,2,FALSE),"")</f>
        <v>MC-SAGARANTEN</v>
      </c>
      <c r="AS41" s="31">
        <v>702377</v>
      </c>
      <c r="AT41" s="31" t="str">
        <f>VLOOKUP(AS41,[2]OUTLET!$B:$C,2,0)</f>
        <v>CITRA CELL</v>
      </c>
      <c r="AU41" s="31" t="s">
        <v>41</v>
      </c>
      <c r="AV41" s="6">
        <v>1</v>
      </c>
      <c r="AW41" s="44">
        <f>IFERROR(VLOOKUP(AQ41,'[2]Harga &amp; Nama CSO'!$A$116:$L$136,2,FALSE),0)*AV41</f>
        <v>0</v>
      </c>
      <c r="AX41" s="44">
        <f>IFERROR(VLOOKUP(AQ41,'[2]Harga &amp; Nama CSO'!$A$116:$L$136,3,FALSE),0)*AV41</f>
        <v>0</v>
      </c>
      <c r="AY41" s="44">
        <f>IFERROR(VLOOKUP(AQ41,'[2]Harga &amp; Nama CSO'!$A$116:$L$136,4,FALSE),0)*AV41</f>
        <v>3</v>
      </c>
      <c r="AZ41" s="44">
        <f>IFERROR(VLOOKUP(AQ41,'[2]Harga &amp; Nama CSO'!$A$116:$L$136,5,FALSE),0)*AV41</f>
        <v>0</v>
      </c>
      <c r="BA41" s="44">
        <f>IFERROR(VLOOKUP(AQ41,'[2]Harga &amp; Nama CSO'!$A$116:$L$136,6,FALSE),0)*AV41</f>
        <v>0</v>
      </c>
      <c r="BB41" s="44">
        <f>IFERROR(VLOOKUP(AQ41,'[2]Harga &amp; Nama CSO'!$A$116:$L$136,7,FALSE),0)*AV41</f>
        <v>0</v>
      </c>
      <c r="BC41" s="44">
        <f>IFERROR(VLOOKUP(AQ41,'[2]Harga &amp; Nama CSO'!$A$116:$L$136,8,FALSE),0)*AV41</f>
        <v>3</v>
      </c>
      <c r="BD41" s="44">
        <f>IFERROR(VLOOKUP(AQ41,'[2]Harga &amp; Nama CSO'!$A$116:$L$136,9,FALSE),0)*AV41</f>
        <v>0</v>
      </c>
      <c r="BE41" s="44">
        <f>IFERROR(VLOOKUP(AQ41,'[2]Harga &amp; Nama CSO'!$A$116:$L$136,10,FALSE),0)*AV41</f>
        <v>0</v>
      </c>
      <c r="BF41" s="44">
        <f>IFERROR(VLOOKUP(AQ41,'[2]Harga &amp; Nama CSO'!$A$116:$L$136,11,FALSE),0)*AV41</f>
        <v>0</v>
      </c>
      <c r="BG41" s="44">
        <f>IFERROR(VLOOKUP(AQ41,'[2]Harga &amp; Nama CSO'!$A$116:$L$136,12,FALSE),0)*AV41</f>
        <v>0</v>
      </c>
      <c r="BH41" s="44">
        <f>IFERROR(VLOOKUP(AQ41,'[2]Harga &amp; Nama CSO'!$A$116:$R$136,13,FALSE),0)*AV41</f>
        <v>0</v>
      </c>
      <c r="BI41" s="44">
        <f>IFERROR(VLOOKUP(AQ41,'[2]Harga &amp; Nama CSO'!$A$116:$R$136,14,FALSE),0)*AV41</f>
        <v>3</v>
      </c>
      <c r="BJ41" s="44">
        <f>IFERROR(VLOOKUP(AQ41,'[2]Harga &amp; Nama CSO'!$A$116:$R$136,15,FALSE),0)*AV41</f>
        <v>0</v>
      </c>
      <c r="BK41" s="44">
        <f>IFERROR(VLOOKUP(AQ41,'[2]Harga &amp; Nama CSO'!$A$116:$R$136,16,FALSE),0)*AV41</f>
        <v>0</v>
      </c>
      <c r="BL41" s="44">
        <f>IFERROR(VLOOKUP(AQ41,'[2]Harga &amp; Nama CSO'!$A$116:$R$136,17,FALSE),0)*AV41</f>
        <v>0</v>
      </c>
      <c r="BM41" s="44">
        <f>IFERROR(VLOOKUP(AQ41,'[2]Harga &amp; Nama CSO'!$A$116:$R$136,18,FALSE),0)*AV41</f>
        <v>0</v>
      </c>
      <c r="BN41" s="44">
        <f>IFERROR(VLOOKUP(AQ41,'[2]Harga &amp; Nama CSO'!$A$116:$S$136,19,FALSE),0)*AV41</f>
        <v>0</v>
      </c>
      <c r="BO41" s="55">
        <f>IFERROR(VLOOKUP(AQ41,'[2]Harga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VLOOKUP(AQ41,'[1]Harga &amp; Nama CSO'!$A$28:$D$31,4,0)*BQ41</f>
        <v>3</v>
      </c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>
        <v>46182</v>
      </c>
      <c r="AQ42" s="41" t="s">
        <v>96</v>
      </c>
      <c r="AR42" s="42" t="str">
        <f>IFERROR(VLOOKUP(AU42,[2]SUMMARY!$A$3:$B$7,2,FALSE),"")</f>
        <v>MC-SAGARANTEN</v>
      </c>
      <c r="AS42" s="42">
        <v>1318884</v>
      </c>
      <c r="AT42" s="31" t="str">
        <f>VLOOKUP(AS42,[2]OUTLET!$B:$C,2,0)</f>
        <v>BETI CELL</v>
      </c>
      <c r="AU42" s="31" t="s">
        <v>41</v>
      </c>
      <c r="AV42" s="6">
        <v>1</v>
      </c>
      <c r="AW42" s="44">
        <f>IFERROR(VLOOKUP(AQ42,'[2]Harga &amp; Nama CSO'!$A$116:$L$136,2,FALSE),0)*AV42</f>
        <v>0</v>
      </c>
      <c r="AX42" s="44">
        <f>IFERROR(VLOOKUP(AQ42,'[2]Harga &amp; Nama CSO'!$A$116:$L$136,3,FALSE),0)*AV42</f>
        <v>0</v>
      </c>
      <c r="AY42" s="44">
        <f>IFERROR(VLOOKUP(AQ42,'[2]Harga &amp; Nama CSO'!$A$116:$L$136,4,FALSE),0)*AV42</f>
        <v>3</v>
      </c>
      <c r="AZ42" s="44">
        <f>IFERROR(VLOOKUP(AQ42,'[2]Harga &amp; Nama CSO'!$A$116:$L$136,5,FALSE),0)*AV42</f>
        <v>0</v>
      </c>
      <c r="BA42" s="44">
        <f>IFERROR(VLOOKUP(AQ42,'[2]Harga &amp; Nama CSO'!$A$116:$L$136,6,FALSE),0)*AV42</f>
        <v>0</v>
      </c>
      <c r="BB42" s="44">
        <f>IFERROR(VLOOKUP(AQ42,'[2]Harga &amp; Nama CSO'!$A$116:$L$136,7,FALSE),0)*AV42</f>
        <v>0</v>
      </c>
      <c r="BC42" s="44">
        <f>IFERROR(VLOOKUP(AQ42,'[2]Harga &amp; Nama CSO'!$A$116:$L$136,8,FALSE),0)*AV42</f>
        <v>3</v>
      </c>
      <c r="BD42" s="44">
        <f>IFERROR(VLOOKUP(AQ42,'[2]Harga &amp; Nama CSO'!$A$116:$L$136,9,FALSE),0)*AV42</f>
        <v>0</v>
      </c>
      <c r="BE42" s="44">
        <f>IFERROR(VLOOKUP(AQ42,'[2]Harga &amp; Nama CSO'!$A$116:$L$136,10,FALSE),0)*AV42</f>
        <v>0</v>
      </c>
      <c r="BF42" s="44">
        <f>IFERROR(VLOOKUP(AQ42,'[2]Harga &amp; Nama CSO'!$A$116:$L$136,11,FALSE),0)*AV42</f>
        <v>0</v>
      </c>
      <c r="BG42" s="44">
        <f>IFERROR(VLOOKUP(AQ42,'[2]Harga &amp; Nama CSO'!$A$116:$L$136,12,FALSE),0)*AV42</f>
        <v>0</v>
      </c>
      <c r="BH42" s="44">
        <f>IFERROR(VLOOKUP(AQ42,'[2]Harga &amp; Nama CSO'!$A$116:$R$136,13,FALSE),0)*AV42</f>
        <v>0</v>
      </c>
      <c r="BI42" s="44">
        <f>IFERROR(VLOOKUP(AQ42,'[2]Harga &amp; Nama CSO'!$A$116:$R$136,14,FALSE),0)*AV42</f>
        <v>3</v>
      </c>
      <c r="BJ42" s="44">
        <f>IFERROR(VLOOKUP(AQ42,'[2]Harga &amp; Nama CSO'!$A$116:$R$136,15,FALSE),0)*AV42</f>
        <v>0</v>
      </c>
      <c r="BK42" s="44">
        <f>IFERROR(VLOOKUP(AQ42,'[2]Harga &amp; Nama CSO'!$A$116:$R$136,16,FALSE),0)*AV42</f>
        <v>0</v>
      </c>
      <c r="BL42" s="44">
        <f>IFERROR(VLOOKUP(AQ42,'[2]Harga &amp; Nama CSO'!$A$116:$R$136,17,FALSE),0)*AV42</f>
        <v>0</v>
      </c>
      <c r="BM42" s="44">
        <f>IFERROR(VLOOKUP(AQ42,'[2]Harga &amp; Nama CSO'!$A$116:$R$136,18,FALSE),0)*AV42</f>
        <v>0</v>
      </c>
      <c r="BN42" s="44">
        <f>IFERROR(VLOOKUP(AQ42,'[2]Harga &amp; Nama CSO'!$A$116:$S$136,19,FALSE),0)*AV42</f>
        <v>0</v>
      </c>
      <c r="BO42" s="55">
        <f>IFERROR(VLOOKUP(AQ42,'[2]Harga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VLOOKUP(AQ42,'[1]Harga &amp; Nama CSO'!$A$28:$D$31,4,0)*BQ42</f>
        <v>3</v>
      </c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>
        <v>46182</v>
      </c>
      <c r="AQ43" s="41" t="s">
        <v>96</v>
      </c>
      <c r="AR43" s="42" t="str">
        <f>IFERROR(VLOOKUP(AU43,[2]SUMMARY!$A$3:$B$7,2,FALSE),"")</f>
        <v>MC-SAGARANTEN</v>
      </c>
      <c r="AS43" s="42">
        <v>17674552</v>
      </c>
      <c r="AT43" s="31" t="str">
        <f>VLOOKUP(AS43,[2]OUTLET!$B:$C,2,0)</f>
        <v>Doa Umi</v>
      </c>
      <c r="AU43" s="31" t="s">
        <v>41</v>
      </c>
      <c r="AV43" s="6">
        <v>1</v>
      </c>
      <c r="AW43" s="44">
        <f>IFERROR(VLOOKUP(AQ43,'[2]Harga &amp; Nama CSO'!$A$116:$L$136,2,FALSE),0)*AV43</f>
        <v>0</v>
      </c>
      <c r="AX43" s="44">
        <f>IFERROR(VLOOKUP(AQ43,'[2]Harga &amp; Nama CSO'!$A$116:$L$136,3,FALSE),0)*AV43</f>
        <v>0</v>
      </c>
      <c r="AY43" s="44">
        <f>IFERROR(VLOOKUP(AQ43,'[2]Harga &amp; Nama CSO'!$A$116:$L$136,4,FALSE),0)*AV43</f>
        <v>3</v>
      </c>
      <c r="AZ43" s="44">
        <f>IFERROR(VLOOKUP(AQ43,'[2]Harga &amp; Nama CSO'!$A$116:$L$136,5,FALSE),0)*AV43</f>
        <v>0</v>
      </c>
      <c r="BA43" s="44">
        <f>IFERROR(VLOOKUP(AQ43,'[2]Harga &amp; Nama CSO'!$A$116:$L$136,6,FALSE),0)*AV43</f>
        <v>0</v>
      </c>
      <c r="BB43" s="44">
        <f>IFERROR(VLOOKUP(AQ43,'[2]Harga &amp; Nama CSO'!$A$116:$L$136,7,FALSE),0)*AV43</f>
        <v>0</v>
      </c>
      <c r="BC43" s="44">
        <f>IFERROR(VLOOKUP(AQ43,'[2]Harga &amp; Nama CSO'!$A$116:$L$136,8,FALSE),0)*AV43</f>
        <v>3</v>
      </c>
      <c r="BD43" s="44">
        <f>IFERROR(VLOOKUP(AQ43,'[2]Harga &amp; Nama CSO'!$A$116:$L$136,9,FALSE),0)*AV43</f>
        <v>0</v>
      </c>
      <c r="BE43" s="44">
        <f>IFERROR(VLOOKUP(AQ43,'[2]Harga &amp; Nama CSO'!$A$116:$L$136,10,FALSE),0)*AV43</f>
        <v>0</v>
      </c>
      <c r="BF43" s="44">
        <f>IFERROR(VLOOKUP(AQ43,'[2]Harga &amp; Nama CSO'!$A$116:$L$136,11,FALSE),0)*AV43</f>
        <v>0</v>
      </c>
      <c r="BG43" s="44">
        <f>IFERROR(VLOOKUP(AQ43,'[2]Harga &amp; Nama CSO'!$A$116:$L$136,12,FALSE),0)*AV43</f>
        <v>0</v>
      </c>
      <c r="BH43" s="44">
        <f>IFERROR(VLOOKUP(AQ43,'[2]Harga &amp; Nama CSO'!$A$116:$R$136,13,FALSE),0)*AV43</f>
        <v>0</v>
      </c>
      <c r="BI43" s="44">
        <f>IFERROR(VLOOKUP(AQ43,'[2]Harga &amp; Nama CSO'!$A$116:$R$136,14,FALSE),0)*AV43</f>
        <v>3</v>
      </c>
      <c r="BJ43" s="44">
        <f>IFERROR(VLOOKUP(AQ43,'[2]Harga &amp; Nama CSO'!$A$116:$R$136,15,FALSE),0)*AV43</f>
        <v>0</v>
      </c>
      <c r="BK43" s="44">
        <f>IFERROR(VLOOKUP(AQ43,'[2]Harga &amp; Nama CSO'!$A$116:$R$136,16,FALSE),0)*AV43</f>
        <v>0</v>
      </c>
      <c r="BL43" s="44">
        <f>IFERROR(VLOOKUP(AQ43,'[2]Harga &amp; Nama CSO'!$A$116:$R$136,17,FALSE),0)*AV43</f>
        <v>0</v>
      </c>
      <c r="BM43" s="44">
        <f>IFERROR(VLOOKUP(AQ43,'[2]Harga &amp; Nama CSO'!$A$116:$R$136,18,FALSE),0)*AV43</f>
        <v>0</v>
      </c>
      <c r="BN43" s="44">
        <f>IFERROR(VLOOKUP(AQ43,'[2]Harga &amp; Nama CSO'!$A$116:$S$136,19,FALSE),0)*AV43</f>
        <v>0</v>
      </c>
      <c r="BO43" s="55">
        <f>IFERROR(VLOOKUP(AQ43,'[2]Harga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VLOOKUP(AQ43,'[1]Harga &amp; Nama CSO'!$A$28:$D$31,4,0)*BQ43</f>
        <v>3</v>
      </c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>
        <v>46182</v>
      </c>
      <c r="AQ44" s="41" t="s">
        <v>96</v>
      </c>
      <c r="AR44" s="42" t="str">
        <f>IFERROR(VLOOKUP(AU44,[2]SUMMARY!$A$3:$B$7,2,FALSE),"")</f>
        <v>MC-SAGARANTEN</v>
      </c>
      <c r="AS44" s="42">
        <v>17458119</v>
      </c>
      <c r="AT44" s="31" t="str">
        <f>VLOOKUP(AS44,[2]OUTLET!$B:$C,2,0)</f>
        <v>Rizqo cell</v>
      </c>
      <c r="AU44" s="31" t="s">
        <v>41</v>
      </c>
      <c r="AV44" s="6">
        <v>1</v>
      </c>
      <c r="AW44" s="44">
        <f>IFERROR(VLOOKUP(AQ44,'[2]Harga &amp; Nama CSO'!$A$116:$L$136,2,FALSE),0)*AV44</f>
        <v>0</v>
      </c>
      <c r="AX44" s="44">
        <f>IFERROR(VLOOKUP(AQ44,'[2]Harga &amp; Nama CSO'!$A$116:$L$136,3,FALSE),0)*AV44</f>
        <v>0</v>
      </c>
      <c r="AY44" s="44">
        <f>IFERROR(VLOOKUP(AQ44,'[2]Harga &amp; Nama CSO'!$A$116:$L$136,4,FALSE),0)*AV44</f>
        <v>3</v>
      </c>
      <c r="AZ44" s="44">
        <f>IFERROR(VLOOKUP(AQ44,'[2]Harga &amp; Nama CSO'!$A$116:$L$136,5,FALSE),0)*AV44</f>
        <v>0</v>
      </c>
      <c r="BA44" s="44">
        <f>IFERROR(VLOOKUP(AQ44,'[2]Harga &amp; Nama CSO'!$A$116:$L$136,6,FALSE),0)*AV44</f>
        <v>0</v>
      </c>
      <c r="BB44" s="44">
        <f>IFERROR(VLOOKUP(AQ44,'[2]Harga &amp; Nama CSO'!$A$116:$L$136,7,FALSE),0)*AV44</f>
        <v>0</v>
      </c>
      <c r="BC44" s="44">
        <f>IFERROR(VLOOKUP(AQ44,'[2]Harga &amp; Nama CSO'!$A$116:$L$136,8,FALSE),0)*AV44</f>
        <v>3</v>
      </c>
      <c r="BD44" s="44">
        <f>IFERROR(VLOOKUP(AQ44,'[2]Harga &amp; Nama CSO'!$A$116:$L$136,9,FALSE),0)*AV44</f>
        <v>0</v>
      </c>
      <c r="BE44" s="44">
        <f>IFERROR(VLOOKUP(AQ44,'[2]Harga &amp; Nama CSO'!$A$116:$L$136,10,FALSE),0)*AV44</f>
        <v>0</v>
      </c>
      <c r="BF44" s="44">
        <f>IFERROR(VLOOKUP(AQ44,'[2]Harga &amp; Nama CSO'!$A$116:$L$136,11,FALSE),0)*AV44</f>
        <v>0</v>
      </c>
      <c r="BG44" s="44">
        <f>IFERROR(VLOOKUP(AQ44,'[2]Harga &amp; Nama CSO'!$A$116:$L$136,12,FALSE),0)*AV44</f>
        <v>0</v>
      </c>
      <c r="BH44" s="44">
        <f>IFERROR(VLOOKUP(AQ44,'[2]Harga &amp; Nama CSO'!$A$116:$R$136,13,FALSE),0)*AV44</f>
        <v>0</v>
      </c>
      <c r="BI44" s="44">
        <f>IFERROR(VLOOKUP(AQ44,'[2]Harga &amp; Nama CSO'!$A$116:$R$136,14,FALSE),0)*AV44</f>
        <v>3</v>
      </c>
      <c r="BJ44" s="44">
        <f>IFERROR(VLOOKUP(AQ44,'[2]Harga &amp; Nama CSO'!$A$116:$R$136,15,FALSE),0)*AV44</f>
        <v>0</v>
      </c>
      <c r="BK44" s="44">
        <f>IFERROR(VLOOKUP(AQ44,'[2]Harga &amp; Nama CSO'!$A$116:$R$136,16,FALSE),0)*AV44</f>
        <v>0</v>
      </c>
      <c r="BL44" s="44">
        <f>IFERROR(VLOOKUP(AQ44,'[2]Harga &amp; Nama CSO'!$A$116:$R$136,17,FALSE),0)*AV44</f>
        <v>0</v>
      </c>
      <c r="BM44" s="44">
        <f>IFERROR(VLOOKUP(AQ44,'[2]Harga &amp; Nama CSO'!$A$116:$R$136,18,FALSE),0)*AV44</f>
        <v>0</v>
      </c>
      <c r="BN44" s="44">
        <f>IFERROR(VLOOKUP(AQ44,'[2]Harga &amp; Nama CSO'!$A$116:$S$136,19,FALSE),0)*AV44</f>
        <v>0</v>
      </c>
      <c r="BO44" s="55">
        <f>IFERROR(VLOOKUP(AQ44,'[2]Harga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VLOOKUP(AQ44,'[1]Harga &amp; Nama CSO'!$A$28:$D$31,4,0)*BQ44</f>
        <v>3</v>
      </c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>
        <v>46182</v>
      </c>
      <c r="AQ45" s="41" t="s">
        <v>97</v>
      </c>
      <c r="AR45" s="42" t="str">
        <f>IFERROR(VLOOKUP(AU45,[2]SUMMARY!$A$3:$B$7,2,FALSE),"")</f>
        <v>MC-SAGARANTEN</v>
      </c>
      <c r="AS45" s="42">
        <v>17138377</v>
      </c>
      <c r="AT45" s="31" t="str">
        <f>VLOOKUP(AS45,[2]OUTLET!$B:$C,2,0)</f>
        <v>EMYRATE CELL</v>
      </c>
      <c r="AU45" s="43" t="s">
        <v>42</v>
      </c>
      <c r="AV45" s="6">
        <v>1</v>
      </c>
      <c r="AW45" s="44">
        <f>IFERROR(VLOOKUP(AQ45,'[2]Harga &amp; Nama CSO'!$A$116:$L$136,2,FALSE),0)*AV45</f>
        <v>0</v>
      </c>
      <c r="AX45" s="44">
        <f>IFERROR(VLOOKUP(AQ45,'[2]Harga &amp; Nama CSO'!$A$116:$L$136,3,FALSE),0)*AV45</f>
        <v>0</v>
      </c>
      <c r="AY45" s="44">
        <f>IFERROR(VLOOKUP(AQ45,'[2]Harga &amp; Nama CSO'!$A$116:$L$136,4,FALSE),0)*AV45</f>
        <v>3</v>
      </c>
      <c r="AZ45" s="44">
        <f>IFERROR(VLOOKUP(AQ45,'[2]Harga &amp; Nama CSO'!$A$116:$L$136,5,FALSE),0)*AV45</f>
        <v>0</v>
      </c>
      <c r="BA45" s="44">
        <f>IFERROR(VLOOKUP(AQ45,'[2]Harga &amp; Nama CSO'!$A$116:$L$136,6,FALSE),0)*AV45</f>
        <v>0</v>
      </c>
      <c r="BB45" s="44">
        <f>IFERROR(VLOOKUP(AQ45,'[2]Harga &amp; Nama CSO'!$A$116:$L$136,7,FALSE),0)*AV45</f>
        <v>0</v>
      </c>
      <c r="BC45" s="44">
        <f>IFERROR(VLOOKUP(AQ45,'[2]Harga &amp; Nama CSO'!$A$116:$L$136,8,FALSE),0)*AV45</f>
        <v>0</v>
      </c>
      <c r="BD45" s="44">
        <f>IFERROR(VLOOKUP(AQ45,'[2]Harga &amp; Nama CSO'!$A$116:$L$136,9,FALSE),0)*AV45</f>
        <v>0</v>
      </c>
      <c r="BE45" s="44">
        <f>IFERROR(VLOOKUP(AQ45,'[2]Harga &amp; Nama CSO'!$A$116:$L$136,10,FALSE),0)*AV45</f>
        <v>3</v>
      </c>
      <c r="BF45" s="44">
        <f>IFERROR(VLOOKUP(AQ45,'[2]Harga &amp; Nama CSO'!$A$116:$L$136,11,FALSE),0)*AV45</f>
        <v>0</v>
      </c>
      <c r="BG45" s="44">
        <f>IFERROR(VLOOKUP(AQ45,'[2]Harga &amp; Nama CSO'!$A$116:$L$136,12,FALSE),0)*AV45</f>
        <v>0</v>
      </c>
      <c r="BH45" s="44">
        <f>IFERROR(VLOOKUP(AQ45,'[2]Harga &amp; Nama CSO'!$A$116:$R$136,13,FALSE),0)*AV45</f>
        <v>0</v>
      </c>
      <c r="BI45" s="44">
        <f>IFERROR(VLOOKUP(AQ45,'[2]Harga &amp; Nama CSO'!$A$116:$R$136,14,FALSE),0)*AV45</f>
        <v>3</v>
      </c>
      <c r="BJ45" s="44">
        <f>IFERROR(VLOOKUP(AQ45,'[2]Harga &amp; Nama CSO'!$A$116:$R$136,15,FALSE),0)*AV45</f>
        <v>0</v>
      </c>
      <c r="BK45" s="44">
        <f>IFERROR(VLOOKUP(AQ45,'[2]Harga &amp; Nama CSO'!$A$116:$R$136,16,FALSE),0)*AV45</f>
        <v>0</v>
      </c>
      <c r="BL45" s="44">
        <f>IFERROR(VLOOKUP(AQ45,'[2]Harga &amp; Nama CSO'!$A$116:$R$136,17,FALSE),0)*AV45</f>
        <v>0</v>
      </c>
      <c r="BM45" s="44">
        <f>IFERROR(VLOOKUP(AQ45,'[2]Harga &amp; Nama CSO'!$A$116:$R$136,18,FALSE),0)*AV45</f>
        <v>0</v>
      </c>
      <c r="BN45" s="44">
        <f>IFERROR(VLOOKUP(AQ45,'[2]Harga &amp; Nama CSO'!$A$116:$S$136,19,FALSE),0)*AV45</f>
        <v>0</v>
      </c>
      <c r="BO45" s="55">
        <f>IFERROR(VLOOKUP(AQ45,'[2]Harga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VLOOKUP(AQ45,'[1]Harga &amp; Nama CSO'!$A$28:$D$31,4,0)*BQ45</f>
        <v>3</v>
      </c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/>
      <c r="N46">
        <v>750000</v>
      </c>
      <c r="O46" s="11"/>
      <c r="P46">
        <v>0</v>
      </c>
      <c r="AO46" s="39">
        <v>44</v>
      </c>
      <c r="AP46" s="40">
        <v>46182</v>
      </c>
      <c r="AQ46" s="41" t="s">
        <v>97</v>
      </c>
      <c r="AR46" s="42" t="str">
        <f>IFERROR(VLOOKUP(AU46,[2]SUMMARY!$A$3:$B$7,2,FALSE),"")</f>
        <v>MC-SAGARANTEN</v>
      </c>
      <c r="AS46" s="42">
        <v>17769389</v>
      </c>
      <c r="AT46" s="31" t="str">
        <f>VLOOKUP(AS46,[2]OUTLET!$B:$C,2,0)</f>
        <v>HASANAH STORE</v>
      </c>
      <c r="AU46" s="43" t="s">
        <v>42</v>
      </c>
      <c r="AV46" s="6">
        <v>1</v>
      </c>
      <c r="AW46" s="44">
        <f>IFERROR(VLOOKUP(AQ46,'[2]Harga &amp; Nama CSO'!$A$116:$L$136,2,FALSE),0)*AV46</f>
        <v>0</v>
      </c>
      <c r="AX46" s="44">
        <f>IFERROR(VLOOKUP(AQ46,'[2]Harga &amp; Nama CSO'!$A$116:$L$136,3,FALSE),0)*AV46</f>
        <v>0</v>
      </c>
      <c r="AY46" s="44">
        <f>IFERROR(VLOOKUP(AQ46,'[2]Harga &amp; Nama CSO'!$A$116:$L$136,4,FALSE),0)*AV46</f>
        <v>3</v>
      </c>
      <c r="AZ46" s="44">
        <f>IFERROR(VLOOKUP(AQ46,'[2]Harga &amp; Nama CSO'!$A$116:$L$136,5,FALSE),0)*AV46</f>
        <v>0</v>
      </c>
      <c r="BA46" s="44">
        <f>IFERROR(VLOOKUP(AQ46,'[2]Harga &amp; Nama CSO'!$A$116:$L$136,6,FALSE),0)*AV46</f>
        <v>0</v>
      </c>
      <c r="BB46" s="44">
        <f>IFERROR(VLOOKUP(AQ46,'[2]Harga &amp; Nama CSO'!$A$116:$L$136,7,FALSE),0)*AV46</f>
        <v>0</v>
      </c>
      <c r="BC46" s="44">
        <f>IFERROR(VLOOKUP(AQ46,'[2]Harga &amp; Nama CSO'!$A$116:$L$136,8,FALSE),0)*AV46</f>
        <v>0</v>
      </c>
      <c r="BD46" s="44">
        <f>IFERROR(VLOOKUP(AQ46,'[2]Harga &amp; Nama CSO'!$A$116:$L$136,9,FALSE),0)*AV46</f>
        <v>0</v>
      </c>
      <c r="BE46" s="44">
        <f>IFERROR(VLOOKUP(AQ46,'[2]Harga &amp; Nama CSO'!$A$116:$L$136,10,FALSE),0)*AV46</f>
        <v>3</v>
      </c>
      <c r="BF46" s="44">
        <f>IFERROR(VLOOKUP(AQ46,'[2]Harga &amp; Nama CSO'!$A$116:$L$136,11,FALSE),0)*AV46</f>
        <v>0</v>
      </c>
      <c r="BG46" s="44">
        <f>IFERROR(VLOOKUP(AQ46,'[2]Harga &amp; Nama CSO'!$A$116:$L$136,12,FALSE),0)*AV46</f>
        <v>0</v>
      </c>
      <c r="BH46" s="44">
        <f>IFERROR(VLOOKUP(AQ46,'[2]Harga &amp; Nama CSO'!$A$116:$R$136,13,FALSE),0)*AV46</f>
        <v>0</v>
      </c>
      <c r="BI46" s="44">
        <f>IFERROR(VLOOKUP(AQ46,'[2]Harga &amp; Nama CSO'!$A$116:$R$136,14,FALSE),0)*AV46</f>
        <v>3</v>
      </c>
      <c r="BJ46" s="44">
        <f>IFERROR(VLOOKUP(AQ46,'[2]Harga &amp; Nama CSO'!$A$116:$R$136,15,FALSE),0)*AV46</f>
        <v>0</v>
      </c>
      <c r="BK46" s="44">
        <f>IFERROR(VLOOKUP(AQ46,'[2]Harga &amp; Nama CSO'!$A$116:$R$136,16,FALSE),0)*AV46</f>
        <v>0</v>
      </c>
      <c r="BL46" s="44">
        <f>IFERROR(VLOOKUP(AQ46,'[2]Harga &amp; Nama CSO'!$A$116:$R$136,17,FALSE),0)*AV46</f>
        <v>0</v>
      </c>
      <c r="BM46" s="44">
        <f>IFERROR(VLOOKUP(AQ46,'[2]Harga &amp; Nama CSO'!$A$116:$R$136,18,FALSE),0)*AV46</f>
        <v>0</v>
      </c>
      <c r="BN46" s="44">
        <f>IFERROR(VLOOKUP(AQ46,'[2]Harga &amp; Nama CSO'!$A$116:$S$136,19,FALSE),0)*AV46</f>
        <v>0</v>
      </c>
      <c r="BO46" s="55">
        <f>IFERROR(VLOOKUP(AQ46,'[2]Harga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VLOOKUP(AQ46,'[1]Harga &amp; Nama CSO'!$A$28:$D$31,4,0)*BQ46</f>
        <v>3</v>
      </c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>
        <v>46182</v>
      </c>
      <c r="AQ47" s="41" t="s">
        <v>97</v>
      </c>
      <c r="AR47" s="42" t="str">
        <f>IFERROR(VLOOKUP(AU47,[2]SUMMARY!$A$3:$B$7,2,FALSE),"")</f>
        <v>MC-SAGARANTEN</v>
      </c>
      <c r="AS47" s="42">
        <v>1554354</v>
      </c>
      <c r="AT47" s="31" t="str">
        <f>VLOOKUP(AS47,[2]OUTLET!$B:$C,2,0)</f>
        <v>ALIYA CELL</v>
      </c>
      <c r="AU47" s="43" t="s">
        <v>42</v>
      </c>
      <c r="AV47" s="6">
        <v>1</v>
      </c>
      <c r="AW47" s="44">
        <f>IFERROR(VLOOKUP(AQ47,'[2]Harga &amp; Nama CSO'!$A$116:$L$136,2,FALSE),0)*AV47</f>
        <v>0</v>
      </c>
      <c r="AX47" s="44">
        <f>IFERROR(VLOOKUP(AQ47,'[2]Harga &amp; Nama CSO'!$A$116:$L$136,3,FALSE),0)*AV47</f>
        <v>0</v>
      </c>
      <c r="AY47" s="44">
        <f>IFERROR(VLOOKUP(AQ47,'[2]Harga &amp; Nama CSO'!$A$116:$L$136,4,FALSE),0)*AV47</f>
        <v>3</v>
      </c>
      <c r="AZ47" s="44">
        <f>IFERROR(VLOOKUP(AQ47,'[2]Harga &amp; Nama CSO'!$A$116:$L$136,5,FALSE),0)*AV47</f>
        <v>0</v>
      </c>
      <c r="BA47" s="44">
        <f>IFERROR(VLOOKUP(AQ47,'[2]Harga &amp; Nama CSO'!$A$116:$L$136,6,FALSE),0)*AV47</f>
        <v>0</v>
      </c>
      <c r="BB47" s="44">
        <f>IFERROR(VLOOKUP(AQ47,'[2]Harga &amp; Nama CSO'!$A$116:$L$136,7,FALSE),0)*AV47</f>
        <v>0</v>
      </c>
      <c r="BC47" s="44">
        <f>IFERROR(VLOOKUP(AQ47,'[2]Harga &amp; Nama CSO'!$A$116:$L$136,8,FALSE),0)*AV47</f>
        <v>0</v>
      </c>
      <c r="BD47" s="44">
        <f>IFERROR(VLOOKUP(AQ47,'[2]Harga &amp; Nama CSO'!$A$116:$L$136,9,FALSE),0)*AV47</f>
        <v>0</v>
      </c>
      <c r="BE47" s="44">
        <f>IFERROR(VLOOKUP(AQ47,'[2]Harga &amp; Nama CSO'!$A$116:$L$136,10,FALSE),0)*AV47</f>
        <v>3</v>
      </c>
      <c r="BF47" s="44">
        <f>IFERROR(VLOOKUP(AQ47,'[2]Harga &amp; Nama CSO'!$A$116:$L$136,11,FALSE),0)*AV47</f>
        <v>0</v>
      </c>
      <c r="BG47" s="44">
        <f>IFERROR(VLOOKUP(AQ47,'[2]Harga &amp; Nama CSO'!$A$116:$L$136,12,FALSE),0)*AV47</f>
        <v>0</v>
      </c>
      <c r="BH47" s="44">
        <f>IFERROR(VLOOKUP(AQ47,'[2]Harga &amp; Nama CSO'!$A$116:$R$136,13,FALSE),0)*AV47</f>
        <v>0</v>
      </c>
      <c r="BI47" s="44">
        <f>IFERROR(VLOOKUP(AQ47,'[2]Harga &amp; Nama CSO'!$A$116:$R$136,14,FALSE),0)*AV47</f>
        <v>3</v>
      </c>
      <c r="BJ47" s="44">
        <f>IFERROR(VLOOKUP(AQ47,'[2]Harga &amp; Nama CSO'!$A$116:$R$136,15,FALSE),0)*AV47</f>
        <v>0</v>
      </c>
      <c r="BK47" s="44">
        <f>IFERROR(VLOOKUP(AQ47,'[2]Harga &amp; Nama CSO'!$A$116:$R$136,16,FALSE),0)*AV47</f>
        <v>0</v>
      </c>
      <c r="BL47" s="44">
        <f>IFERROR(VLOOKUP(AQ47,'[2]Harga &amp; Nama CSO'!$A$116:$R$136,17,FALSE),0)*AV47</f>
        <v>0</v>
      </c>
      <c r="BM47" s="44">
        <f>IFERROR(VLOOKUP(AQ47,'[2]Harga &amp; Nama CSO'!$A$116:$R$136,18,FALSE),0)*AV47</f>
        <v>0</v>
      </c>
      <c r="BN47" s="44">
        <f>IFERROR(VLOOKUP(AQ47,'[2]Harga &amp; Nama CSO'!$A$116:$S$136,19,FALSE),0)*AV47</f>
        <v>0</v>
      </c>
      <c r="BO47" s="55">
        <f>IFERROR(VLOOKUP(AQ47,'[2]Harga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VLOOKUP(AQ47,'[1]Harga &amp; Nama CSO'!$A$28:$D$31,4,0)*BQ47</f>
        <v>3</v>
      </c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>
        <v>46183</v>
      </c>
      <c r="AQ48" s="41" t="s">
        <v>96</v>
      </c>
      <c r="AR48" s="42" t="str">
        <f>IFERROR(VLOOKUP(AU48,[2]SUMMARY!$A$3:$B$7,2,FALSE),"")</f>
        <v>MC-SAGARANTEN</v>
      </c>
      <c r="AS48" s="42">
        <v>17729830</v>
      </c>
      <c r="AT48" s="31" t="str">
        <f>VLOOKUP(AS48,[2]OUTLET!$B:$C,2,0)</f>
        <v>Ryan store</v>
      </c>
      <c r="AU48" s="43" t="s">
        <v>53</v>
      </c>
      <c r="AV48" s="6">
        <v>1</v>
      </c>
      <c r="AW48" s="44">
        <f>IFERROR(VLOOKUP(AQ48,'[2]Harga &amp; Nama CSO'!$A$116:$L$136,2,FALSE),0)*AV48</f>
        <v>0</v>
      </c>
      <c r="AX48" s="44">
        <f>IFERROR(VLOOKUP(AQ48,'[2]Harga &amp; Nama CSO'!$A$116:$L$136,3,FALSE),0)*AV48</f>
        <v>0</v>
      </c>
      <c r="AY48" s="44">
        <f>IFERROR(VLOOKUP(AQ48,'[2]Harga &amp; Nama CSO'!$A$116:$L$136,4,FALSE),0)*AV48</f>
        <v>3</v>
      </c>
      <c r="AZ48" s="44">
        <f>IFERROR(VLOOKUP(AQ48,'[2]Harga &amp; Nama CSO'!$A$116:$L$136,5,FALSE),0)*AV48</f>
        <v>0</v>
      </c>
      <c r="BA48" s="44">
        <f>IFERROR(VLOOKUP(AQ48,'[2]Harga &amp; Nama CSO'!$A$116:$L$136,6,FALSE),0)*AV48</f>
        <v>0</v>
      </c>
      <c r="BB48" s="44">
        <f>IFERROR(VLOOKUP(AQ48,'[2]Harga &amp; Nama CSO'!$A$116:$L$136,7,FALSE),0)*AV48</f>
        <v>0</v>
      </c>
      <c r="BC48" s="44">
        <f>IFERROR(VLOOKUP(AQ48,'[2]Harga &amp; Nama CSO'!$A$116:$L$136,8,FALSE),0)*AV48</f>
        <v>3</v>
      </c>
      <c r="BD48" s="44">
        <f>IFERROR(VLOOKUP(AQ48,'[2]Harga &amp; Nama CSO'!$A$116:$L$136,9,FALSE),0)*AV48</f>
        <v>0</v>
      </c>
      <c r="BE48" s="44">
        <f>IFERROR(VLOOKUP(AQ48,'[2]Harga &amp; Nama CSO'!$A$116:$L$136,10,FALSE),0)*AV48</f>
        <v>0</v>
      </c>
      <c r="BF48" s="44">
        <f>IFERROR(VLOOKUP(AQ48,'[2]Harga &amp; Nama CSO'!$A$116:$L$136,11,FALSE),0)*AV48</f>
        <v>0</v>
      </c>
      <c r="BG48" s="44">
        <f>IFERROR(VLOOKUP(AQ48,'[2]Harga &amp; Nama CSO'!$A$116:$L$136,12,FALSE),0)*AV48</f>
        <v>0</v>
      </c>
      <c r="BH48" s="44">
        <f>IFERROR(VLOOKUP(AQ48,'[2]Harga &amp; Nama CSO'!$A$116:$R$136,13,FALSE),0)*AV48</f>
        <v>0</v>
      </c>
      <c r="BI48" s="44">
        <f>IFERROR(VLOOKUP(AQ48,'[2]Harga &amp; Nama CSO'!$A$116:$R$136,14,FALSE),0)*AV48</f>
        <v>3</v>
      </c>
      <c r="BJ48" s="44">
        <f>IFERROR(VLOOKUP(AQ48,'[2]Harga &amp; Nama CSO'!$A$116:$R$136,15,FALSE),0)*AV48</f>
        <v>0</v>
      </c>
      <c r="BK48" s="44">
        <f>IFERROR(VLOOKUP(AQ48,'[2]Harga &amp; Nama CSO'!$A$116:$R$136,16,FALSE),0)*AV48</f>
        <v>0</v>
      </c>
      <c r="BL48" s="44">
        <f>IFERROR(VLOOKUP(AQ48,'[2]Harga &amp; Nama CSO'!$A$116:$R$136,17,FALSE),0)*AV48</f>
        <v>0</v>
      </c>
      <c r="BM48" s="44">
        <f>IFERROR(VLOOKUP(AQ48,'[2]Harga &amp; Nama CSO'!$A$116:$R$136,18,FALSE),0)*AV48</f>
        <v>0</v>
      </c>
      <c r="BN48" s="44">
        <f>IFERROR(VLOOKUP(AQ48,'[2]Harga &amp; Nama CSO'!$A$116:$S$136,19,FALSE),0)*AV48</f>
        <v>0</v>
      </c>
      <c r="BO48" s="55">
        <f>IFERROR(VLOOKUP(AQ48,'[2]Harga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VLOOKUP(AQ48,'[1]Harga &amp; Nama CSO'!$A$28:$D$31,4,0)*BQ48</f>
        <v>3</v>
      </c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>
        <v>46183</v>
      </c>
      <c r="AQ49" s="41" t="s">
        <v>110</v>
      </c>
      <c r="AR49" s="42" t="str">
        <f>IFERROR(VLOOKUP(AU49,[2]SUMMARY!$A$3:$B$7,2,FALSE),"")</f>
        <v>MC-SAGARANTEN</v>
      </c>
      <c r="AS49" s="42">
        <v>17769744</v>
      </c>
      <c r="AT49" s="31" t="str">
        <f>VLOOKUP(AS49,[2]OUTLET!$B:$C,2,0)</f>
        <v>RJ cell</v>
      </c>
      <c r="AU49" s="43" t="s">
        <v>53</v>
      </c>
      <c r="AV49" s="6">
        <v>1</v>
      </c>
      <c r="AW49" s="44">
        <f>IFERROR(VLOOKUP(AQ49,'[2]Harga &amp; Nama CSO'!$A$116:$L$136,2,FALSE),0)*AV49</f>
        <v>0</v>
      </c>
      <c r="AX49" s="44">
        <f>IFERROR(VLOOKUP(AQ49,'[2]Harga &amp; Nama CSO'!$A$116:$L$136,3,FALSE),0)*AV49</f>
        <v>0</v>
      </c>
      <c r="AY49" s="44">
        <f>IFERROR(VLOOKUP(AQ49,'[2]Harga &amp; Nama CSO'!$A$116:$L$136,4,FALSE),0)*AV49</f>
        <v>3</v>
      </c>
      <c r="AZ49" s="44">
        <f>IFERROR(VLOOKUP(AQ49,'[2]Harga &amp; Nama CSO'!$A$116:$L$136,5,FALSE),0)*AV49</f>
        <v>0</v>
      </c>
      <c r="BA49" s="44">
        <f>IFERROR(VLOOKUP(AQ49,'[2]Harga &amp; Nama CSO'!$A$116:$L$136,6,FALSE),0)*AV49</f>
        <v>0</v>
      </c>
      <c r="BB49" s="44">
        <f>IFERROR(VLOOKUP(AQ49,'[2]Harga &amp; Nama CSO'!$A$116:$L$136,7,FALSE),0)*AV49</f>
        <v>3</v>
      </c>
      <c r="BC49" s="44">
        <f>IFERROR(VLOOKUP(AQ49,'[2]Harga &amp; Nama CSO'!$A$116:$L$136,8,FALSE),0)*AV49</f>
        <v>3</v>
      </c>
      <c r="BD49" s="44">
        <f>IFERROR(VLOOKUP(AQ49,'[2]Harga &amp; Nama CSO'!$A$116:$L$136,9,FALSE),0)*AV49</f>
        <v>0</v>
      </c>
      <c r="BE49" s="44">
        <f>IFERROR(VLOOKUP(AQ49,'[2]Harga &amp; Nama CSO'!$A$116:$L$136,10,FALSE),0)*AV49</f>
        <v>0</v>
      </c>
      <c r="BF49" s="44">
        <f>IFERROR(VLOOKUP(AQ49,'[2]Harga &amp; Nama CSO'!$A$116:$L$136,11,FALSE),0)*AV49</f>
        <v>0</v>
      </c>
      <c r="BG49" s="44">
        <f>IFERROR(VLOOKUP(AQ49,'[2]Harga &amp; Nama CSO'!$A$116:$L$136,12,FALSE),0)*AV49</f>
        <v>0</v>
      </c>
      <c r="BH49" s="44">
        <f>IFERROR(VLOOKUP(AQ49,'[2]Harga &amp; Nama CSO'!$A$116:$R$136,13,FALSE),0)*AV49</f>
        <v>0</v>
      </c>
      <c r="BI49" s="44">
        <f>IFERROR(VLOOKUP(AQ49,'[2]Harga &amp; Nama CSO'!$A$116:$R$136,14,FALSE),0)*AV49</f>
        <v>0</v>
      </c>
      <c r="BJ49" s="44">
        <f>IFERROR(VLOOKUP(AQ49,'[2]Harga &amp; Nama CSO'!$A$116:$R$136,15,FALSE),0)*AV49</f>
        <v>0</v>
      </c>
      <c r="BK49" s="44">
        <f>IFERROR(VLOOKUP(AQ49,'[2]Harga &amp; Nama CSO'!$A$116:$R$136,16,FALSE),0)*AV49</f>
        <v>0</v>
      </c>
      <c r="BL49" s="44">
        <f>IFERROR(VLOOKUP(AQ49,'[2]Harga &amp; Nama CSO'!$A$116:$R$136,17,FALSE),0)*AV49</f>
        <v>0</v>
      </c>
      <c r="BM49" s="44">
        <f>IFERROR(VLOOKUP(AQ49,'[2]Harga &amp; Nama CSO'!$A$116:$R$136,18,FALSE),0)*AV49</f>
        <v>0</v>
      </c>
      <c r="BN49" s="44">
        <f>IFERROR(VLOOKUP(AQ49,'[2]Harga &amp; Nama CSO'!$A$116:$S$136,19,FALSE),0)*AV49</f>
        <v>0</v>
      </c>
      <c r="BO49" s="55">
        <f>IFERROR(VLOOKUP(AQ49,'[2]Harga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VLOOKUP(AQ49,'[1]Harga &amp; Nama CSO'!$A$28:$D$31,4,0)*BQ49</f>
        <v>3</v>
      </c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>
        <v>46183</v>
      </c>
      <c r="AQ50" s="41" t="s">
        <v>110</v>
      </c>
      <c r="AR50" s="42" t="str">
        <f>IFERROR(VLOOKUP(AU50,[2]SUMMARY!$A$3:$B$7,2,FALSE),"")</f>
        <v>MC-SAGARANTEN</v>
      </c>
      <c r="AS50" s="42">
        <v>17431650</v>
      </c>
      <c r="AT50" s="31" t="str">
        <f>VLOOKUP(AS50,[2]OUTLET!$B:$C,2,0)</f>
        <v>ZFN CELL</v>
      </c>
      <c r="AU50" s="43" t="s">
        <v>53</v>
      </c>
      <c r="AV50" s="6">
        <v>1</v>
      </c>
      <c r="AW50" s="44">
        <f>IFERROR(VLOOKUP(AQ50,'[2]Harga &amp; Nama CSO'!$A$116:$L$136,2,FALSE),0)*AV50</f>
        <v>0</v>
      </c>
      <c r="AX50" s="44">
        <f>IFERROR(VLOOKUP(AQ50,'[2]Harga &amp; Nama CSO'!$A$116:$L$136,3,FALSE),0)*AV50</f>
        <v>0</v>
      </c>
      <c r="AY50" s="44">
        <f>IFERROR(VLOOKUP(AQ50,'[2]Harga &amp; Nama CSO'!$A$116:$L$136,4,FALSE),0)*AV50</f>
        <v>3</v>
      </c>
      <c r="AZ50" s="44">
        <f>IFERROR(VLOOKUP(AQ50,'[2]Harga &amp; Nama CSO'!$A$116:$L$136,5,FALSE),0)*AV50</f>
        <v>0</v>
      </c>
      <c r="BA50" s="44">
        <f>IFERROR(VLOOKUP(AQ50,'[2]Harga &amp; Nama CSO'!$A$116:$L$136,6,FALSE),0)*AV50</f>
        <v>0</v>
      </c>
      <c r="BB50" s="44">
        <f>IFERROR(VLOOKUP(AQ50,'[2]Harga &amp; Nama CSO'!$A$116:$L$136,7,FALSE),0)*AV50</f>
        <v>3</v>
      </c>
      <c r="BC50" s="44">
        <f>IFERROR(VLOOKUP(AQ50,'[2]Harga &amp; Nama CSO'!$A$116:$L$136,8,FALSE),0)*AV50</f>
        <v>3</v>
      </c>
      <c r="BD50" s="44">
        <f>IFERROR(VLOOKUP(AQ50,'[2]Harga &amp; Nama CSO'!$A$116:$L$136,9,FALSE),0)*AV50</f>
        <v>0</v>
      </c>
      <c r="BE50" s="44">
        <f>IFERROR(VLOOKUP(AQ50,'[2]Harga &amp; Nama CSO'!$A$116:$L$136,10,FALSE),0)*AV50</f>
        <v>0</v>
      </c>
      <c r="BF50" s="44">
        <f>IFERROR(VLOOKUP(AQ50,'[2]Harga &amp; Nama CSO'!$A$116:$L$136,11,FALSE),0)*AV50</f>
        <v>0</v>
      </c>
      <c r="BG50" s="44">
        <f>IFERROR(VLOOKUP(AQ50,'[2]Harga &amp; Nama CSO'!$A$116:$L$136,12,FALSE),0)*AV50</f>
        <v>0</v>
      </c>
      <c r="BH50" s="44">
        <f>IFERROR(VLOOKUP(AQ50,'[2]Harga &amp; Nama CSO'!$A$116:$R$136,13,FALSE),0)*AV50</f>
        <v>0</v>
      </c>
      <c r="BI50" s="44">
        <f>IFERROR(VLOOKUP(AQ50,'[2]Harga &amp; Nama CSO'!$A$116:$R$136,14,FALSE),0)*AV50</f>
        <v>0</v>
      </c>
      <c r="BJ50" s="44">
        <f>IFERROR(VLOOKUP(AQ50,'[2]Harga &amp; Nama CSO'!$A$116:$R$136,15,FALSE),0)*AV50</f>
        <v>0</v>
      </c>
      <c r="BK50" s="44">
        <f>IFERROR(VLOOKUP(AQ50,'[2]Harga &amp; Nama CSO'!$A$116:$R$136,16,FALSE),0)*AV50</f>
        <v>0</v>
      </c>
      <c r="BL50" s="44">
        <f>IFERROR(VLOOKUP(AQ50,'[2]Harga &amp; Nama CSO'!$A$116:$R$136,17,FALSE),0)*AV50</f>
        <v>0</v>
      </c>
      <c r="BM50" s="44">
        <f>IFERROR(VLOOKUP(AQ50,'[2]Harga &amp; Nama CSO'!$A$116:$R$136,18,FALSE),0)*AV50</f>
        <v>0</v>
      </c>
      <c r="BN50" s="44">
        <f>IFERROR(VLOOKUP(AQ50,'[2]Harga &amp; Nama CSO'!$A$116:$S$136,19,FALSE),0)*AV50</f>
        <v>0</v>
      </c>
      <c r="BO50" s="55">
        <f>IFERROR(VLOOKUP(AQ50,'[2]Harga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VLOOKUP(AQ50,'[1]Harga &amp; Nama CSO'!$A$28:$D$31,4,0)*BQ50</f>
        <v>3</v>
      </c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>
        <v>46183</v>
      </c>
      <c r="AQ51" s="41" t="s">
        <v>97</v>
      </c>
      <c r="AR51" s="42" t="str">
        <f>IFERROR(VLOOKUP(AU51,[2]SUMMARY!$A$3:$B$7,2,FALSE),"")</f>
        <v>MC-SAGARANTEN</v>
      </c>
      <c r="AS51" s="42">
        <v>17729845</v>
      </c>
      <c r="AT51" s="31" t="str">
        <f>VLOOKUP(AS51,[2]OUTLET!$B:$C,2,0)</f>
        <v>Lisna cell</v>
      </c>
      <c r="AU51" s="43" t="s">
        <v>53</v>
      </c>
      <c r="AV51" s="6">
        <v>1</v>
      </c>
      <c r="AW51" s="44">
        <f>IFERROR(VLOOKUP(AQ51,'[2]Harga &amp; Nama CSO'!$A$116:$L$136,2,FALSE),0)*AV51</f>
        <v>0</v>
      </c>
      <c r="AX51" s="44">
        <f>IFERROR(VLOOKUP(AQ51,'[2]Harga &amp; Nama CSO'!$A$116:$L$136,3,FALSE),0)*AV51</f>
        <v>0</v>
      </c>
      <c r="AY51" s="44">
        <f>IFERROR(VLOOKUP(AQ51,'[2]Harga &amp; Nama CSO'!$A$116:$L$136,4,FALSE),0)*AV51</f>
        <v>3</v>
      </c>
      <c r="AZ51" s="44">
        <f>IFERROR(VLOOKUP(AQ51,'[2]Harga &amp; Nama CSO'!$A$116:$L$136,5,FALSE),0)*AV51</f>
        <v>0</v>
      </c>
      <c r="BA51" s="44">
        <f>IFERROR(VLOOKUP(AQ51,'[2]Harga &amp; Nama CSO'!$A$116:$L$136,6,FALSE),0)*AV51</f>
        <v>0</v>
      </c>
      <c r="BB51" s="44">
        <f>IFERROR(VLOOKUP(AQ51,'[2]Harga &amp; Nama CSO'!$A$116:$L$136,7,FALSE),0)*AV51</f>
        <v>0</v>
      </c>
      <c r="BC51" s="44">
        <f>IFERROR(VLOOKUP(AQ51,'[2]Harga &amp; Nama CSO'!$A$116:$L$136,8,FALSE),0)*AV51</f>
        <v>0</v>
      </c>
      <c r="BD51" s="44">
        <f>IFERROR(VLOOKUP(AQ51,'[2]Harga &amp; Nama CSO'!$A$116:$L$136,9,FALSE),0)*AV51</f>
        <v>0</v>
      </c>
      <c r="BE51" s="44">
        <f>IFERROR(VLOOKUP(AQ51,'[2]Harga &amp; Nama CSO'!$A$116:$L$136,10,FALSE),0)*AV51</f>
        <v>3</v>
      </c>
      <c r="BF51" s="44">
        <f>IFERROR(VLOOKUP(AQ51,'[2]Harga &amp; Nama CSO'!$A$116:$L$136,11,FALSE),0)*AV51</f>
        <v>0</v>
      </c>
      <c r="BG51" s="44">
        <f>IFERROR(VLOOKUP(AQ51,'[2]Harga &amp; Nama CSO'!$A$116:$L$136,12,FALSE),0)*AV51</f>
        <v>0</v>
      </c>
      <c r="BH51" s="44">
        <f>IFERROR(VLOOKUP(AQ51,'[2]Harga &amp; Nama CSO'!$A$116:$R$136,13,FALSE),0)*AV51</f>
        <v>0</v>
      </c>
      <c r="BI51" s="44">
        <f>IFERROR(VLOOKUP(AQ51,'[2]Harga &amp; Nama CSO'!$A$116:$R$136,14,FALSE),0)*AV51</f>
        <v>3</v>
      </c>
      <c r="BJ51" s="44">
        <f>IFERROR(VLOOKUP(AQ51,'[2]Harga &amp; Nama CSO'!$A$116:$R$136,15,FALSE),0)*AV51</f>
        <v>0</v>
      </c>
      <c r="BK51" s="44">
        <f>IFERROR(VLOOKUP(AQ51,'[2]Harga &amp; Nama CSO'!$A$116:$R$136,16,FALSE),0)*AV51</f>
        <v>0</v>
      </c>
      <c r="BL51" s="44">
        <f>IFERROR(VLOOKUP(AQ51,'[2]Harga &amp; Nama CSO'!$A$116:$R$136,17,FALSE),0)*AV51</f>
        <v>0</v>
      </c>
      <c r="BM51" s="44">
        <f>IFERROR(VLOOKUP(AQ51,'[2]Harga &amp; Nama CSO'!$A$116:$R$136,18,FALSE),0)*AV51</f>
        <v>0</v>
      </c>
      <c r="BN51" s="44">
        <f>IFERROR(VLOOKUP(AQ51,'[2]Harga &amp; Nama CSO'!$A$116:$S$136,19,FALSE),0)*AV51</f>
        <v>0</v>
      </c>
      <c r="BO51" s="55">
        <f>IFERROR(VLOOKUP(AQ51,'[2]Harga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VLOOKUP(AQ51,'[1]Harga &amp; Nama CSO'!$A$28:$D$31,4,0)*BQ51</f>
        <v>3</v>
      </c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/>
      <c r="P52">
        <v>0</v>
      </c>
      <c r="AO52" s="39">
        <v>50</v>
      </c>
      <c r="AP52" s="40">
        <v>46183</v>
      </c>
      <c r="AQ52" s="41" t="s">
        <v>97</v>
      </c>
      <c r="AR52" s="42" t="str">
        <f>IFERROR(VLOOKUP(AU52,[2]SUMMARY!$A$3:$B$7,2,FALSE),"")</f>
        <v>MC-SAGARANTEN</v>
      </c>
      <c r="AS52" s="42">
        <v>17434826</v>
      </c>
      <c r="AT52" s="31" t="str">
        <f>VLOOKUP(AS52,[2]OUTLET!$B:$C,2,0)</f>
        <v>Gilang Cell 3</v>
      </c>
      <c r="AU52" s="43" t="s">
        <v>53</v>
      </c>
      <c r="AV52" s="6">
        <v>1</v>
      </c>
      <c r="AW52" s="44">
        <f>IFERROR(VLOOKUP(AQ52,'[2]Harga &amp; Nama CSO'!$A$116:$L$136,2,FALSE),0)*AV52</f>
        <v>0</v>
      </c>
      <c r="AX52" s="44">
        <f>IFERROR(VLOOKUP(AQ52,'[2]Harga &amp; Nama CSO'!$A$116:$L$136,3,FALSE),0)*AV52</f>
        <v>0</v>
      </c>
      <c r="AY52" s="44">
        <f>IFERROR(VLOOKUP(AQ52,'[2]Harga &amp; Nama CSO'!$A$116:$L$136,4,FALSE),0)*AV52</f>
        <v>3</v>
      </c>
      <c r="AZ52" s="44">
        <f>IFERROR(VLOOKUP(AQ52,'[2]Harga &amp; Nama CSO'!$A$116:$L$136,5,FALSE),0)*AV52</f>
        <v>0</v>
      </c>
      <c r="BA52" s="44">
        <f>IFERROR(VLOOKUP(AQ52,'[2]Harga &amp; Nama CSO'!$A$116:$L$136,6,FALSE),0)*AV52</f>
        <v>0</v>
      </c>
      <c r="BB52" s="44">
        <f>IFERROR(VLOOKUP(AQ52,'[2]Harga &amp; Nama CSO'!$A$116:$L$136,7,FALSE),0)*AV52</f>
        <v>0</v>
      </c>
      <c r="BC52" s="44">
        <f>IFERROR(VLOOKUP(AQ52,'[2]Harga &amp; Nama CSO'!$A$116:$L$136,8,FALSE),0)*AV52</f>
        <v>0</v>
      </c>
      <c r="BD52" s="44">
        <f>IFERROR(VLOOKUP(AQ52,'[2]Harga &amp; Nama CSO'!$A$116:$L$136,9,FALSE),0)*AV52</f>
        <v>0</v>
      </c>
      <c r="BE52" s="44">
        <f>IFERROR(VLOOKUP(AQ52,'[2]Harga &amp; Nama CSO'!$A$116:$L$136,10,FALSE),0)*AV52</f>
        <v>3</v>
      </c>
      <c r="BF52" s="44">
        <f>IFERROR(VLOOKUP(AQ52,'[2]Harga &amp; Nama CSO'!$A$116:$L$136,11,FALSE),0)*AV52</f>
        <v>0</v>
      </c>
      <c r="BG52" s="44">
        <f>IFERROR(VLOOKUP(AQ52,'[2]Harga &amp; Nama CSO'!$A$116:$L$136,12,FALSE),0)*AV52</f>
        <v>0</v>
      </c>
      <c r="BH52" s="44">
        <f>IFERROR(VLOOKUP(AQ52,'[2]Harga &amp; Nama CSO'!$A$116:$R$136,13,FALSE),0)*AV52</f>
        <v>0</v>
      </c>
      <c r="BI52" s="44">
        <f>IFERROR(VLOOKUP(AQ52,'[2]Harga &amp; Nama CSO'!$A$116:$R$136,14,FALSE),0)*AV52</f>
        <v>3</v>
      </c>
      <c r="BJ52" s="44">
        <f>IFERROR(VLOOKUP(AQ52,'[2]Harga &amp; Nama CSO'!$A$116:$R$136,15,FALSE),0)*AV52</f>
        <v>0</v>
      </c>
      <c r="BK52" s="44">
        <f>IFERROR(VLOOKUP(AQ52,'[2]Harga &amp; Nama CSO'!$A$116:$R$136,16,FALSE),0)*AV52</f>
        <v>0</v>
      </c>
      <c r="BL52" s="44">
        <f>IFERROR(VLOOKUP(AQ52,'[2]Harga &amp; Nama CSO'!$A$116:$R$136,17,FALSE),0)*AV52</f>
        <v>0</v>
      </c>
      <c r="BM52" s="44">
        <f>IFERROR(VLOOKUP(AQ52,'[2]Harga &amp; Nama CSO'!$A$116:$R$136,18,FALSE),0)*AV52</f>
        <v>0</v>
      </c>
      <c r="BN52" s="44">
        <f>IFERROR(VLOOKUP(AQ52,'[2]Harga &amp; Nama CSO'!$A$116:$S$136,19,FALSE),0)*AV52</f>
        <v>0</v>
      </c>
      <c r="BO52" s="55">
        <f>IFERROR(VLOOKUP(AQ52,'[2]Harga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VLOOKUP(AQ52,'[1]Harga &amp; Nama CSO'!$A$28:$D$31,4,0)*BQ52</f>
        <v>3</v>
      </c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230</v>
      </c>
      <c r="I53">
        <v>3450000</v>
      </c>
      <c r="N53">
        <v>3450000</v>
      </c>
      <c r="O53" s="11"/>
      <c r="P53">
        <v>0</v>
      </c>
      <c r="AO53" s="39">
        <v>51</v>
      </c>
      <c r="AP53" s="40">
        <v>46183</v>
      </c>
      <c r="AQ53" s="41" t="s">
        <v>96</v>
      </c>
      <c r="AR53" s="42" t="str">
        <f>IFERROR(VLOOKUP(AU53,[2]SUMMARY!$A$3:$B$7,2,FALSE),"")</f>
        <v>MC-SAGARANTEN</v>
      </c>
      <c r="AS53" s="42">
        <v>17695551</v>
      </c>
      <c r="AT53" s="31" t="str">
        <f>VLOOKUP(AS53,[2]OUTLET!$B:$C,2,0)</f>
        <v>Andri Store</v>
      </c>
      <c r="AU53" s="43" t="s">
        <v>54</v>
      </c>
      <c r="AV53" s="6">
        <v>1</v>
      </c>
      <c r="AW53" s="44">
        <f>IFERROR(VLOOKUP(AQ53,'[2]Harga &amp; Nama CSO'!$A$116:$L$136,2,FALSE),0)*AV53</f>
        <v>0</v>
      </c>
      <c r="AX53" s="44">
        <f>IFERROR(VLOOKUP(AQ53,'[2]Harga &amp; Nama CSO'!$A$116:$L$136,3,FALSE),0)*AV53</f>
        <v>0</v>
      </c>
      <c r="AY53" s="44">
        <f>IFERROR(VLOOKUP(AQ53,'[2]Harga &amp; Nama CSO'!$A$116:$L$136,4,FALSE),0)*AV53</f>
        <v>3</v>
      </c>
      <c r="AZ53" s="44">
        <f>IFERROR(VLOOKUP(AQ53,'[2]Harga &amp; Nama CSO'!$A$116:$L$136,5,FALSE),0)*AV53</f>
        <v>0</v>
      </c>
      <c r="BA53" s="44">
        <f>IFERROR(VLOOKUP(AQ53,'[2]Harga &amp; Nama CSO'!$A$116:$L$136,6,FALSE),0)*AV53</f>
        <v>0</v>
      </c>
      <c r="BB53" s="44">
        <f>IFERROR(VLOOKUP(AQ53,'[2]Harga &amp; Nama CSO'!$A$116:$L$136,7,FALSE),0)*AV53</f>
        <v>0</v>
      </c>
      <c r="BC53" s="44">
        <f>IFERROR(VLOOKUP(AQ53,'[2]Harga &amp; Nama CSO'!$A$116:$L$136,8,FALSE),0)*AV53</f>
        <v>3</v>
      </c>
      <c r="BD53" s="44">
        <f>IFERROR(VLOOKUP(AQ53,'[2]Harga &amp; Nama CSO'!$A$116:$L$136,9,FALSE),0)*AV53</f>
        <v>0</v>
      </c>
      <c r="BE53" s="44">
        <f>IFERROR(VLOOKUP(AQ53,'[2]Harga &amp; Nama CSO'!$A$116:$L$136,10,FALSE),0)*AV53</f>
        <v>0</v>
      </c>
      <c r="BF53" s="44">
        <f>IFERROR(VLOOKUP(AQ53,'[2]Harga &amp; Nama CSO'!$A$116:$L$136,11,FALSE),0)*AV53</f>
        <v>0</v>
      </c>
      <c r="BG53" s="44">
        <f>IFERROR(VLOOKUP(AQ53,'[2]Harga &amp; Nama CSO'!$A$116:$L$136,12,FALSE),0)*AV53</f>
        <v>0</v>
      </c>
      <c r="BH53" s="44">
        <f>IFERROR(VLOOKUP(AQ53,'[2]Harga &amp; Nama CSO'!$A$116:$R$136,13,FALSE),0)*AV53</f>
        <v>0</v>
      </c>
      <c r="BI53" s="44">
        <f>IFERROR(VLOOKUP(AQ53,'[2]Harga &amp; Nama CSO'!$A$116:$R$136,14,FALSE),0)*AV53</f>
        <v>3</v>
      </c>
      <c r="BJ53" s="44">
        <f>IFERROR(VLOOKUP(AQ53,'[2]Harga &amp; Nama CSO'!$A$116:$R$136,15,FALSE),0)*AV53</f>
        <v>0</v>
      </c>
      <c r="BK53" s="44">
        <f>IFERROR(VLOOKUP(AQ53,'[2]Harga &amp; Nama CSO'!$A$116:$R$136,16,FALSE),0)*AV53</f>
        <v>0</v>
      </c>
      <c r="BL53" s="44">
        <f>IFERROR(VLOOKUP(AQ53,'[2]Harga &amp; Nama CSO'!$A$116:$R$136,17,FALSE),0)*AV53</f>
        <v>0</v>
      </c>
      <c r="BM53" s="44">
        <f>IFERROR(VLOOKUP(AQ53,'[2]Harga &amp; Nama CSO'!$A$116:$R$136,18,FALSE),0)*AV53</f>
        <v>0</v>
      </c>
      <c r="BN53" s="44">
        <f>IFERROR(VLOOKUP(AQ53,'[2]Harga &amp; Nama CSO'!$A$116:$S$136,19,FALSE),0)*AV53</f>
        <v>0</v>
      </c>
      <c r="BO53" s="55">
        <f>IFERROR(VLOOKUP(AQ53,'[2]Harga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VLOOKUP(AQ53,'[1]Harga &amp; Nama CSO'!$A$28:$D$31,4,0)*BQ53</f>
        <v>3</v>
      </c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233</v>
      </c>
      <c r="I54">
        <v>3495000</v>
      </c>
      <c r="N54">
        <v>3495000</v>
      </c>
      <c r="O54" s="11"/>
      <c r="P54">
        <v>0</v>
      </c>
      <c r="AO54" s="39">
        <v>52</v>
      </c>
      <c r="AP54" s="40">
        <v>46183</v>
      </c>
      <c r="AQ54" s="41" t="s">
        <v>96</v>
      </c>
      <c r="AR54" s="42" t="str">
        <f>IFERROR(VLOOKUP(AU54,[2]SUMMARY!$A$3:$B$7,2,FALSE),"")</f>
        <v>MC-SAGARANTEN</v>
      </c>
      <c r="AS54" s="42">
        <v>1287331</v>
      </c>
      <c r="AT54" s="31" t="str">
        <f>VLOOKUP(AS54,[2]OUTLET!$B:$C,2,0)</f>
        <v>AKEW CEL</v>
      </c>
      <c r="AU54" s="43" t="s">
        <v>54</v>
      </c>
      <c r="AV54" s="6">
        <v>1</v>
      </c>
      <c r="AW54" s="44">
        <f>IFERROR(VLOOKUP(AQ54,'[2]Harga &amp; Nama CSO'!$A$116:$L$136,2,FALSE),0)*AV54</f>
        <v>0</v>
      </c>
      <c r="AX54" s="44">
        <f>IFERROR(VLOOKUP(AQ54,'[2]Harga &amp; Nama CSO'!$A$116:$L$136,3,FALSE),0)*AV54</f>
        <v>0</v>
      </c>
      <c r="AY54" s="44">
        <f>IFERROR(VLOOKUP(AQ54,'[2]Harga &amp; Nama CSO'!$A$116:$L$136,4,FALSE),0)*AV54</f>
        <v>3</v>
      </c>
      <c r="AZ54" s="44">
        <f>IFERROR(VLOOKUP(AQ54,'[2]Harga &amp; Nama CSO'!$A$116:$L$136,5,FALSE),0)*AV54</f>
        <v>0</v>
      </c>
      <c r="BA54" s="44">
        <f>IFERROR(VLOOKUP(AQ54,'[2]Harga &amp; Nama CSO'!$A$116:$L$136,6,FALSE),0)*AV54</f>
        <v>0</v>
      </c>
      <c r="BB54" s="44">
        <f>IFERROR(VLOOKUP(AQ54,'[2]Harga &amp; Nama CSO'!$A$116:$L$136,7,FALSE),0)*AV54</f>
        <v>0</v>
      </c>
      <c r="BC54" s="44">
        <f>IFERROR(VLOOKUP(AQ54,'[2]Harga &amp; Nama CSO'!$A$116:$L$136,8,FALSE),0)*AV54</f>
        <v>3</v>
      </c>
      <c r="BD54" s="44">
        <f>IFERROR(VLOOKUP(AQ54,'[2]Harga &amp; Nama CSO'!$A$116:$L$136,9,FALSE),0)*AV54</f>
        <v>0</v>
      </c>
      <c r="BE54" s="44">
        <f>IFERROR(VLOOKUP(AQ54,'[2]Harga &amp; Nama CSO'!$A$116:$L$136,10,FALSE),0)*AV54</f>
        <v>0</v>
      </c>
      <c r="BF54" s="44">
        <f>IFERROR(VLOOKUP(AQ54,'[2]Harga &amp; Nama CSO'!$A$116:$L$136,11,FALSE),0)*AV54</f>
        <v>0</v>
      </c>
      <c r="BG54" s="44">
        <f>IFERROR(VLOOKUP(AQ54,'[2]Harga &amp; Nama CSO'!$A$116:$L$136,12,FALSE),0)*AV54</f>
        <v>0</v>
      </c>
      <c r="BH54" s="44">
        <f>IFERROR(VLOOKUP(AQ54,'[2]Harga &amp; Nama CSO'!$A$116:$R$136,13,FALSE),0)*AV54</f>
        <v>0</v>
      </c>
      <c r="BI54" s="44">
        <f>IFERROR(VLOOKUP(AQ54,'[2]Harga &amp; Nama CSO'!$A$116:$R$136,14,FALSE),0)*AV54</f>
        <v>3</v>
      </c>
      <c r="BJ54" s="44">
        <f>IFERROR(VLOOKUP(AQ54,'[2]Harga &amp; Nama CSO'!$A$116:$R$136,15,FALSE),0)*AV54</f>
        <v>0</v>
      </c>
      <c r="BK54" s="44">
        <f>IFERROR(VLOOKUP(AQ54,'[2]Harga &amp; Nama CSO'!$A$116:$R$136,16,FALSE),0)*AV54</f>
        <v>0</v>
      </c>
      <c r="BL54" s="44">
        <f>IFERROR(VLOOKUP(AQ54,'[2]Harga &amp; Nama CSO'!$A$116:$R$136,17,FALSE),0)*AV54</f>
        <v>0</v>
      </c>
      <c r="BM54" s="44">
        <f>IFERROR(VLOOKUP(AQ54,'[2]Harga &amp; Nama CSO'!$A$116:$R$136,18,FALSE),0)*AV54</f>
        <v>0</v>
      </c>
      <c r="BN54" s="44">
        <f>IFERROR(VLOOKUP(AQ54,'[2]Harga &amp; Nama CSO'!$A$116:$S$136,19,FALSE),0)*AV54</f>
        <v>0</v>
      </c>
      <c r="BO54" s="55">
        <f>IFERROR(VLOOKUP(AQ54,'[2]Harga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VLOOKUP(AQ54,'[1]Harga &amp; Nama CSO'!$A$28:$D$31,4,0)*BQ54</f>
        <v>3</v>
      </c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146</v>
      </c>
      <c r="I55">
        <v>2190000</v>
      </c>
      <c r="N55">
        <v>2190000</v>
      </c>
      <c r="O55" s="11"/>
      <c r="P55">
        <v>0</v>
      </c>
      <c r="AO55" s="39">
        <v>53</v>
      </c>
      <c r="AP55" s="40">
        <v>46183</v>
      </c>
      <c r="AQ55" s="41" t="s">
        <v>96</v>
      </c>
      <c r="AR55" s="42" t="str">
        <f>IFERROR(VLOOKUP(AU55,[2]SUMMARY!$A$3:$B$7,2,FALSE),"")</f>
        <v>MC-SAGARANTEN</v>
      </c>
      <c r="AS55" s="42">
        <v>17264618</v>
      </c>
      <c r="AT55" s="31" t="str">
        <f>VLOOKUP(AS55,[2]OUTLET!$B:$C,2,0)</f>
        <v>HD CELLULAR</v>
      </c>
      <c r="AU55" s="43" t="s">
        <v>54</v>
      </c>
      <c r="AV55" s="6">
        <v>1</v>
      </c>
      <c r="AW55" s="44">
        <f>IFERROR(VLOOKUP(AQ55,'[2]Harga &amp; Nama CSO'!$A$116:$L$136,2,FALSE),0)*AV55</f>
        <v>0</v>
      </c>
      <c r="AX55" s="44">
        <f>IFERROR(VLOOKUP(AQ55,'[2]Harga &amp; Nama CSO'!$A$116:$L$136,3,FALSE),0)*AV55</f>
        <v>0</v>
      </c>
      <c r="AY55" s="44">
        <f>IFERROR(VLOOKUP(AQ55,'[2]Harga &amp; Nama CSO'!$A$116:$L$136,4,FALSE),0)*AV55</f>
        <v>3</v>
      </c>
      <c r="AZ55" s="44">
        <f>IFERROR(VLOOKUP(AQ55,'[2]Harga &amp; Nama CSO'!$A$116:$L$136,5,FALSE),0)*AV55</f>
        <v>0</v>
      </c>
      <c r="BA55" s="44">
        <f>IFERROR(VLOOKUP(AQ55,'[2]Harga &amp; Nama CSO'!$A$116:$L$136,6,FALSE),0)*AV55</f>
        <v>0</v>
      </c>
      <c r="BB55" s="44">
        <f>IFERROR(VLOOKUP(AQ55,'[2]Harga &amp; Nama CSO'!$A$116:$L$136,7,FALSE),0)*AV55</f>
        <v>0</v>
      </c>
      <c r="BC55" s="44">
        <f>IFERROR(VLOOKUP(AQ55,'[2]Harga &amp; Nama CSO'!$A$116:$L$136,8,FALSE),0)*AV55</f>
        <v>3</v>
      </c>
      <c r="BD55" s="44">
        <f>IFERROR(VLOOKUP(AQ55,'[2]Harga &amp; Nama CSO'!$A$116:$L$136,9,FALSE),0)*AV55</f>
        <v>0</v>
      </c>
      <c r="BE55" s="44">
        <f>IFERROR(VLOOKUP(AQ55,'[2]Harga &amp; Nama CSO'!$A$116:$L$136,10,FALSE),0)*AV55</f>
        <v>0</v>
      </c>
      <c r="BF55" s="44">
        <f>IFERROR(VLOOKUP(AQ55,'[2]Harga &amp; Nama CSO'!$A$116:$L$136,11,FALSE),0)*AV55</f>
        <v>0</v>
      </c>
      <c r="BG55" s="44">
        <f>IFERROR(VLOOKUP(AQ55,'[2]Harga &amp; Nama CSO'!$A$116:$L$136,12,FALSE),0)*AV55</f>
        <v>0</v>
      </c>
      <c r="BH55" s="44">
        <f>IFERROR(VLOOKUP(AQ55,'[2]Harga &amp; Nama CSO'!$A$116:$R$136,13,FALSE),0)*AV55</f>
        <v>0</v>
      </c>
      <c r="BI55" s="44">
        <f>IFERROR(VLOOKUP(AQ55,'[2]Harga &amp; Nama CSO'!$A$116:$R$136,14,FALSE),0)*AV55</f>
        <v>3</v>
      </c>
      <c r="BJ55" s="44">
        <f>IFERROR(VLOOKUP(AQ55,'[2]Harga &amp; Nama CSO'!$A$116:$R$136,15,FALSE),0)*AV55</f>
        <v>0</v>
      </c>
      <c r="BK55" s="44">
        <f>IFERROR(VLOOKUP(AQ55,'[2]Harga &amp; Nama CSO'!$A$116:$R$136,16,FALSE),0)*AV55</f>
        <v>0</v>
      </c>
      <c r="BL55" s="44">
        <f>IFERROR(VLOOKUP(AQ55,'[2]Harga &amp; Nama CSO'!$A$116:$R$136,17,FALSE),0)*AV55</f>
        <v>0</v>
      </c>
      <c r="BM55" s="44">
        <f>IFERROR(VLOOKUP(AQ55,'[2]Harga &amp; Nama CSO'!$A$116:$R$136,18,FALSE),0)*AV55</f>
        <v>0</v>
      </c>
      <c r="BN55" s="44">
        <f>IFERROR(VLOOKUP(AQ55,'[2]Harga &amp; Nama CSO'!$A$116:$S$136,19,FALSE),0)*AV55</f>
        <v>0</v>
      </c>
      <c r="BO55" s="55">
        <f>IFERROR(VLOOKUP(AQ55,'[2]Harga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VLOOKUP(AQ55,'[1]Harga &amp; Nama CSO'!$A$28:$D$31,4,0)*BQ55</f>
        <v>3</v>
      </c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H56">
        <v>200</v>
      </c>
      <c r="I56">
        <v>3000000</v>
      </c>
      <c r="N56">
        <v>3000000</v>
      </c>
      <c r="O56" s="11"/>
      <c r="P56">
        <v>0</v>
      </c>
      <c r="AO56" s="39">
        <v>54</v>
      </c>
      <c r="AP56" s="40">
        <v>46183</v>
      </c>
      <c r="AQ56" s="41" t="s">
        <v>96</v>
      </c>
      <c r="AR56" s="42" t="str">
        <f>IFERROR(VLOOKUP(AU56,[2]SUMMARY!$A$3:$B$7,2,FALSE),"")</f>
        <v>MC-SAGARANTEN</v>
      </c>
      <c r="AS56" s="42">
        <v>17256507</v>
      </c>
      <c r="AT56" s="31" t="str">
        <f>VLOOKUP(AS56,[2]OUTLET!$B:$C,2,0)</f>
        <v>REGYA CELL</v>
      </c>
      <c r="AU56" s="43" t="s">
        <v>54</v>
      </c>
      <c r="AV56" s="6">
        <v>1</v>
      </c>
      <c r="AW56" s="44">
        <f>IFERROR(VLOOKUP(AQ56,'[2]Harga &amp; Nama CSO'!$A$116:$L$136,2,FALSE),0)*AV56</f>
        <v>0</v>
      </c>
      <c r="AX56" s="44">
        <f>IFERROR(VLOOKUP(AQ56,'[2]Harga &amp; Nama CSO'!$A$116:$L$136,3,FALSE),0)*AV56</f>
        <v>0</v>
      </c>
      <c r="AY56" s="44">
        <f>IFERROR(VLOOKUP(AQ56,'[2]Harga &amp; Nama CSO'!$A$116:$L$136,4,FALSE),0)*AV56</f>
        <v>3</v>
      </c>
      <c r="AZ56" s="44">
        <f>IFERROR(VLOOKUP(AQ56,'[2]Harga &amp; Nama CSO'!$A$116:$L$136,5,FALSE),0)*AV56</f>
        <v>0</v>
      </c>
      <c r="BA56" s="44">
        <f>IFERROR(VLOOKUP(AQ56,'[2]Harga &amp; Nama CSO'!$A$116:$L$136,6,FALSE),0)*AV56</f>
        <v>0</v>
      </c>
      <c r="BB56" s="44">
        <f>IFERROR(VLOOKUP(AQ56,'[2]Harga &amp; Nama CSO'!$A$116:$L$136,7,FALSE),0)*AV56</f>
        <v>0</v>
      </c>
      <c r="BC56" s="44">
        <f>IFERROR(VLOOKUP(AQ56,'[2]Harga &amp; Nama CSO'!$A$116:$L$136,8,FALSE),0)*AV56</f>
        <v>3</v>
      </c>
      <c r="BD56" s="44">
        <f>IFERROR(VLOOKUP(AQ56,'[2]Harga &amp; Nama CSO'!$A$116:$L$136,9,FALSE),0)*AV56</f>
        <v>0</v>
      </c>
      <c r="BE56" s="44">
        <f>IFERROR(VLOOKUP(AQ56,'[2]Harga &amp; Nama CSO'!$A$116:$L$136,10,FALSE),0)*AV56</f>
        <v>0</v>
      </c>
      <c r="BF56" s="44">
        <f>IFERROR(VLOOKUP(AQ56,'[2]Harga &amp; Nama CSO'!$A$116:$L$136,11,FALSE),0)*AV56</f>
        <v>0</v>
      </c>
      <c r="BG56" s="44">
        <f>IFERROR(VLOOKUP(AQ56,'[2]Harga &amp; Nama CSO'!$A$116:$L$136,12,FALSE),0)*AV56</f>
        <v>0</v>
      </c>
      <c r="BH56" s="44">
        <f>IFERROR(VLOOKUP(AQ56,'[2]Harga &amp; Nama CSO'!$A$116:$R$136,13,FALSE),0)*AV56</f>
        <v>0</v>
      </c>
      <c r="BI56" s="44">
        <f>IFERROR(VLOOKUP(AQ56,'[2]Harga &amp; Nama CSO'!$A$116:$R$136,14,FALSE),0)*AV56</f>
        <v>3</v>
      </c>
      <c r="BJ56" s="44">
        <f>IFERROR(VLOOKUP(AQ56,'[2]Harga &amp; Nama CSO'!$A$116:$R$136,15,FALSE),0)*AV56</f>
        <v>0</v>
      </c>
      <c r="BK56" s="44">
        <f>IFERROR(VLOOKUP(AQ56,'[2]Harga &amp; Nama CSO'!$A$116:$R$136,16,FALSE),0)*AV56</f>
        <v>0</v>
      </c>
      <c r="BL56" s="44">
        <f>IFERROR(VLOOKUP(AQ56,'[2]Harga &amp; Nama CSO'!$A$116:$R$136,17,FALSE),0)*AV56</f>
        <v>0</v>
      </c>
      <c r="BM56" s="44">
        <f>IFERROR(VLOOKUP(AQ56,'[2]Harga &amp; Nama CSO'!$A$116:$R$136,18,FALSE),0)*AV56</f>
        <v>0</v>
      </c>
      <c r="BN56" s="44">
        <f>IFERROR(VLOOKUP(AQ56,'[2]Harga &amp; Nama CSO'!$A$116:$S$136,19,FALSE),0)*AV56</f>
        <v>0</v>
      </c>
      <c r="BO56" s="55">
        <f>IFERROR(VLOOKUP(AQ56,'[2]Harga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VLOOKUP(AQ56,'[1]Harga &amp; Nama CSO'!$A$28:$D$31,4,0)*BQ56</f>
        <v>3</v>
      </c>
    </row>
    <row r="57" spans="1:75" x14ac:dyDescent="0.35">
      <c r="AO57" s="39">
        <v>55</v>
      </c>
      <c r="AP57" s="40">
        <v>46183</v>
      </c>
      <c r="AQ57" s="41" t="s">
        <v>96</v>
      </c>
      <c r="AR57" s="42" t="str">
        <f>IFERROR(VLOOKUP(AU57,[2]SUMMARY!$A$3:$B$7,2,FALSE),"")</f>
        <v>MC-SAGARANTEN</v>
      </c>
      <c r="AS57" s="31">
        <v>17750160</v>
      </c>
      <c r="AT57" s="31" t="str">
        <f>VLOOKUP(AS57,[2]OUTLET!$B:$C,2,0)</f>
        <v>ICA CELL</v>
      </c>
      <c r="AU57" s="43" t="s">
        <v>54</v>
      </c>
      <c r="AV57" s="6">
        <v>1</v>
      </c>
      <c r="AW57" s="44">
        <f>IFERROR(VLOOKUP(AQ57,'[2]Harga &amp; Nama CSO'!$A$116:$L$136,2,FALSE),0)*AV57</f>
        <v>0</v>
      </c>
      <c r="AX57" s="44">
        <f>IFERROR(VLOOKUP(AQ57,'[2]Harga &amp; Nama CSO'!$A$116:$L$136,3,FALSE),0)*AV57</f>
        <v>0</v>
      </c>
      <c r="AY57" s="44">
        <f>IFERROR(VLOOKUP(AQ57,'[2]Harga &amp; Nama CSO'!$A$116:$L$136,4,FALSE),0)*AV57</f>
        <v>3</v>
      </c>
      <c r="AZ57" s="44">
        <f>IFERROR(VLOOKUP(AQ57,'[2]Harga &amp; Nama CSO'!$A$116:$L$136,5,FALSE),0)*AV57</f>
        <v>0</v>
      </c>
      <c r="BA57" s="44">
        <f>IFERROR(VLOOKUP(AQ57,'[2]Harga &amp; Nama CSO'!$A$116:$L$136,6,FALSE),0)*AV57</f>
        <v>0</v>
      </c>
      <c r="BB57" s="44">
        <f>IFERROR(VLOOKUP(AQ57,'[2]Harga &amp; Nama CSO'!$A$116:$L$136,7,FALSE),0)*AV57</f>
        <v>0</v>
      </c>
      <c r="BC57" s="44">
        <f>IFERROR(VLOOKUP(AQ57,'[2]Harga &amp; Nama CSO'!$A$116:$L$136,8,FALSE),0)*AV57</f>
        <v>3</v>
      </c>
      <c r="BD57" s="44">
        <f>IFERROR(VLOOKUP(AQ57,'[2]Harga &amp; Nama CSO'!$A$116:$L$136,9,FALSE),0)*AV57</f>
        <v>0</v>
      </c>
      <c r="BE57" s="44">
        <f>IFERROR(VLOOKUP(AQ57,'[2]Harga &amp; Nama CSO'!$A$116:$L$136,10,FALSE),0)*AV57</f>
        <v>0</v>
      </c>
      <c r="BF57" s="44">
        <f>IFERROR(VLOOKUP(AQ57,'[2]Harga &amp; Nama CSO'!$A$116:$L$136,11,FALSE),0)*AV57</f>
        <v>0</v>
      </c>
      <c r="BG57" s="44">
        <f>IFERROR(VLOOKUP(AQ57,'[2]Harga &amp; Nama CSO'!$A$116:$L$136,12,FALSE),0)*AV57</f>
        <v>0</v>
      </c>
      <c r="BH57" s="44">
        <f>IFERROR(VLOOKUP(AQ57,'[2]Harga &amp; Nama CSO'!$A$116:$R$136,13,FALSE),0)*AV57</f>
        <v>0</v>
      </c>
      <c r="BI57" s="44">
        <f>IFERROR(VLOOKUP(AQ57,'[2]Harga &amp; Nama CSO'!$A$116:$R$136,14,FALSE),0)*AV57</f>
        <v>3</v>
      </c>
      <c r="BJ57" s="44">
        <f>IFERROR(VLOOKUP(AQ57,'[2]Harga &amp; Nama CSO'!$A$116:$R$136,15,FALSE),0)*AV57</f>
        <v>0</v>
      </c>
      <c r="BK57" s="44">
        <f>IFERROR(VLOOKUP(AQ57,'[2]Harga &amp; Nama CSO'!$A$116:$R$136,16,FALSE),0)*AV57</f>
        <v>0</v>
      </c>
      <c r="BL57" s="44">
        <f>IFERROR(VLOOKUP(AQ57,'[2]Harga &amp; Nama CSO'!$A$116:$R$136,17,FALSE),0)*AV57</f>
        <v>0</v>
      </c>
      <c r="BM57" s="44">
        <f>IFERROR(VLOOKUP(AQ57,'[2]Harga &amp; Nama CSO'!$A$116:$R$136,18,FALSE),0)*AV57</f>
        <v>0</v>
      </c>
      <c r="BN57" s="44">
        <f>IFERROR(VLOOKUP(AQ57,'[2]Harga &amp; Nama CSO'!$A$116:$S$136,19,FALSE),0)*AV57</f>
        <v>0</v>
      </c>
      <c r="BO57" s="55">
        <f>IFERROR(VLOOKUP(AQ57,'[2]Harga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VLOOKUP(AQ57,'[1]Harga &amp; Nama CSO'!$A$28:$D$31,4,0)*BQ57</f>
        <v>3</v>
      </c>
    </row>
    <row r="58" spans="1:75" x14ac:dyDescent="0.35">
      <c r="AO58" s="39">
        <v>56</v>
      </c>
      <c r="AP58" s="40">
        <v>46183</v>
      </c>
      <c r="AQ58" s="41" t="s">
        <v>96</v>
      </c>
      <c r="AR58" s="42" t="str">
        <f>IFERROR(VLOOKUP(AU58,[2]SUMMARY!$A$3:$B$7,2,FALSE),"")</f>
        <v>MC-SAGARANTEN</v>
      </c>
      <c r="AS58" s="31">
        <v>17457844</v>
      </c>
      <c r="AT58" s="31" t="str">
        <f>VLOOKUP(AS58,[2]OUTLET!$B:$C,2,0)</f>
        <v>BAROKAH CELL</v>
      </c>
      <c r="AU58" s="43" t="s">
        <v>54</v>
      </c>
      <c r="AV58" s="6">
        <v>1</v>
      </c>
      <c r="AW58" s="44">
        <f>IFERROR(VLOOKUP(AQ58,'[2]Harga &amp; Nama CSO'!$A$116:$L$136,2,FALSE),0)*AV58</f>
        <v>0</v>
      </c>
      <c r="AX58" s="44">
        <f>IFERROR(VLOOKUP(AQ58,'[2]Harga &amp; Nama CSO'!$A$116:$L$136,3,FALSE),0)*AV58</f>
        <v>0</v>
      </c>
      <c r="AY58" s="44">
        <f>IFERROR(VLOOKUP(AQ58,'[2]Harga &amp; Nama CSO'!$A$116:$L$136,4,FALSE),0)*AV58</f>
        <v>3</v>
      </c>
      <c r="AZ58" s="44">
        <f>IFERROR(VLOOKUP(AQ58,'[2]Harga &amp; Nama CSO'!$A$116:$L$136,5,FALSE),0)*AV58</f>
        <v>0</v>
      </c>
      <c r="BA58" s="44">
        <f>IFERROR(VLOOKUP(AQ58,'[2]Harga &amp; Nama CSO'!$A$116:$L$136,6,FALSE),0)*AV58</f>
        <v>0</v>
      </c>
      <c r="BB58" s="44">
        <f>IFERROR(VLOOKUP(AQ58,'[2]Harga &amp; Nama CSO'!$A$116:$L$136,7,FALSE),0)*AV58</f>
        <v>0</v>
      </c>
      <c r="BC58" s="44">
        <f>IFERROR(VLOOKUP(AQ58,'[2]Harga &amp; Nama CSO'!$A$116:$L$136,8,FALSE),0)*AV58</f>
        <v>3</v>
      </c>
      <c r="BD58" s="44">
        <f>IFERROR(VLOOKUP(AQ58,'[2]Harga &amp; Nama CSO'!$A$116:$L$136,9,FALSE),0)*AV58</f>
        <v>0</v>
      </c>
      <c r="BE58" s="44">
        <f>IFERROR(VLOOKUP(AQ58,'[2]Harga &amp; Nama CSO'!$A$116:$L$136,10,FALSE),0)*AV58</f>
        <v>0</v>
      </c>
      <c r="BF58" s="44">
        <f>IFERROR(VLOOKUP(AQ58,'[2]Harga &amp; Nama CSO'!$A$116:$L$136,11,FALSE),0)*AV58</f>
        <v>0</v>
      </c>
      <c r="BG58" s="44">
        <f>IFERROR(VLOOKUP(AQ58,'[2]Harga &amp; Nama CSO'!$A$116:$L$136,12,FALSE),0)*AV58</f>
        <v>0</v>
      </c>
      <c r="BH58" s="44">
        <f>IFERROR(VLOOKUP(AQ58,'[2]Harga &amp; Nama CSO'!$A$116:$R$136,13,FALSE),0)*AV58</f>
        <v>0</v>
      </c>
      <c r="BI58" s="44">
        <f>IFERROR(VLOOKUP(AQ58,'[2]Harga &amp; Nama CSO'!$A$116:$R$136,14,FALSE),0)*AV58</f>
        <v>3</v>
      </c>
      <c r="BJ58" s="44">
        <f>IFERROR(VLOOKUP(AQ58,'[2]Harga &amp; Nama CSO'!$A$116:$R$136,15,FALSE),0)*AV58</f>
        <v>0</v>
      </c>
      <c r="BK58" s="44">
        <f>IFERROR(VLOOKUP(AQ58,'[2]Harga &amp; Nama CSO'!$A$116:$R$136,16,FALSE),0)*AV58</f>
        <v>0</v>
      </c>
      <c r="BL58" s="44">
        <f>IFERROR(VLOOKUP(AQ58,'[2]Harga &amp; Nama CSO'!$A$116:$R$136,17,FALSE),0)*AV58</f>
        <v>0</v>
      </c>
      <c r="BM58" s="44">
        <f>IFERROR(VLOOKUP(AQ58,'[2]Harga &amp; Nama CSO'!$A$116:$R$136,18,FALSE),0)*AV58</f>
        <v>0</v>
      </c>
      <c r="BN58" s="44">
        <f>IFERROR(VLOOKUP(AQ58,'[2]Harga &amp; Nama CSO'!$A$116:$S$136,19,FALSE),0)*AV58</f>
        <v>0</v>
      </c>
      <c r="BO58" s="55">
        <f>IFERROR(VLOOKUP(AQ58,'[2]Harga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VLOOKUP(AQ58,'[1]Harga &amp; Nama CSO'!$A$28:$D$31,4,0)*BQ58</f>
        <v>3</v>
      </c>
    </row>
    <row r="59" spans="1:75" x14ac:dyDescent="0.35">
      <c r="AO59" s="39">
        <v>57</v>
      </c>
      <c r="AP59" s="40">
        <v>46183</v>
      </c>
      <c r="AQ59" s="41" t="s">
        <v>96</v>
      </c>
      <c r="AR59" s="42" t="str">
        <f>IFERROR(VLOOKUP(AU59,[2]SUMMARY!$A$3:$B$7,2,FALSE),"")</f>
        <v>MC-SAGARANTEN</v>
      </c>
      <c r="AS59" s="31">
        <v>17757938</v>
      </c>
      <c r="AT59" s="31" t="str">
        <f>VLOOKUP(AS59,[2]OUTLET!$B:$C,2,0)</f>
        <v>Helmi Olshop</v>
      </c>
      <c r="AU59" s="43" t="s">
        <v>54</v>
      </c>
      <c r="AV59" s="6">
        <v>1</v>
      </c>
      <c r="AW59" s="44">
        <f>IFERROR(VLOOKUP(AQ59,'[2]Harga &amp; Nama CSO'!$A$116:$L$136,2,FALSE),0)*AV59</f>
        <v>0</v>
      </c>
      <c r="AX59" s="44">
        <f>IFERROR(VLOOKUP(AQ59,'[2]Harga &amp; Nama CSO'!$A$116:$L$136,3,FALSE),0)*AV59</f>
        <v>0</v>
      </c>
      <c r="AY59" s="44">
        <f>IFERROR(VLOOKUP(AQ59,'[2]Harga &amp; Nama CSO'!$A$116:$L$136,4,FALSE),0)*AV59</f>
        <v>3</v>
      </c>
      <c r="AZ59" s="44">
        <f>IFERROR(VLOOKUP(AQ59,'[2]Harga &amp; Nama CSO'!$A$116:$L$136,5,FALSE),0)*AV59</f>
        <v>0</v>
      </c>
      <c r="BA59" s="44">
        <f>IFERROR(VLOOKUP(AQ59,'[2]Harga &amp; Nama CSO'!$A$116:$L$136,6,FALSE),0)*AV59</f>
        <v>0</v>
      </c>
      <c r="BB59" s="44">
        <f>IFERROR(VLOOKUP(AQ59,'[2]Harga &amp; Nama CSO'!$A$116:$L$136,7,FALSE),0)*AV59</f>
        <v>0</v>
      </c>
      <c r="BC59" s="44">
        <f>IFERROR(VLOOKUP(AQ59,'[2]Harga &amp; Nama CSO'!$A$116:$L$136,8,FALSE),0)*AV59</f>
        <v>3</v>
      </c>
      <c r="BD59" s="44">
        <f>IFERROR(VLOOKUP(AQ59,'[2]Harga &amp; Nama CSO'!$A$116:$L$136,9,FALSE),0)*AV59</f>
        <v>0</v>
      </c>
      <c r="BE59" s="44">
        <f>IFERROR(VLOOKUP(AQ59,'[2]Harga &amp; Nama CSO'!$A$116:$L$136,10,FALSE),0)*AV59</f>
        <v>0</v>
      </c>
      <c r="BF59" s="44">
        <f>IFERROR(VLOOKUP(AQ59,'[2]Harga &amp; Nama CSO'!$A$116:$L$136,11,FALSE),0)*AV59</f>
        <v>0</v>
      </c>
      <c r="BG59" s="44">
        <f>IFERROR(VLOOKUP(AQ59,'[2]Harga &amp; Nama CSO'!$A$116:$L$136,12,FALSE),0)*AV59</f>
        <v>0</v>
      </c>
      <c r="BH59" s="44">
        <f>IFERROR(VLOOKUP(AQ59,'[2]Harga &amp; Nama CSO'!$A$116:$R$136,13,FALSE),0)*AV59</f>
        <v>0</v>
      </c>
      <c r="BI59" s="44">
        <f>IFERROR(VLOOKUP(AQ59,'[2]Harga &amp; Nama CSO'!$A$116:$R$136,14,FALSE),0)*AV59</f>
        <v>3</v>
      </c>
      <c r="BJ59" s="44">
        <f>IFERROR(VLOOKUP(AQ59,'[2]Harga &amp; Nama CSO'!$A$116:$R$136,15,FALSE),0)*AV59</f>
        <v>0</v>
      </c>
      <c r="BK59" s="44">
        <f>IFERROR(VLOOKUP(AQ59,'[2]Harga &amp; Nama CSO'!$A$116:$R$136,16,FALSE),0)*AV59</f>
        <v>0</v>
      </c>
      <c r="BL59" s="44">
        <f>IFERROR(VLOOKUP(AQ59,'[2]Harga &amp; Nama CSO'!$A$116:$R$136,17,FALSE),0)*AV59</f>
        <v>0</v>
      </c>
      <c r="BM59" s="44">
        <f>IFERROR(VLOOKUP(AQ59,'[2]Harga &amp; Nama CSO'!$A$116:$R$136,18,FALSE),0)*AV59</f>
        <v>0</v>
      </c>
      <c r="BN59" s="44">
        <f>IFERROR(VLOOKUP(AQ59,'[2]Harga &amp; Nama CSO'!$A$116:$S$136,19,FALSE),0)*AV59</f>
        <v>0</v>
      </c>
      <c r="BO59" s="55">
        <f>IFERROR(VLOOKUP(AQ59,'[2]Harga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VLOOKUP(AQ59,'[1]Harga &amp; Nama CSO'!$A$28:$D$31,4,0)*BQ59</f>
        <v>3</v>
      </c>
    </row>
    <row r="60" spans="1:75" x14ac:dyDescent="0.35">
      <c r="A60" t="s">
        <v>85</v>
      </c>
      <c r="B60" t="s">
        <v>86</v>
      </c>
      <c r="C60" t="s">
        <v>87</v>
      </c>
      <c r="D60" t="s">
        <v>88</v>
      </c>
      <c r="E60" t="s">
        <v>89</v>
      </c>
      <c r="F60" t="s">
        <v>90</v>
      </c>
      <c r="G60" t="s">
        <v>51</v>
      </c>
      <c r="H60" t="s">
        <v>91</v>
      </c>
      <c r="I60" t="s">
        <v>4</v>
      </c>
      <c r="J60" t="s">
        <v>52</v>
      </c>
      <c r="K60" t="s">
        <v>99</v>
      </c>
      <c r="L60" t="s">
        <v>7</v>
      </c>
      <c r="M60" t="s">
        <v>8</v>
      </c>
      <c r="N60" t="s">
        <v>111</v>
      </c>
      <c r="O60" t="s">
        <v>100</v>
      </c>
      <c r="P60" t="s">
        <v>101</v>
      </c>
      <c r="Q60" t="s">
        <v>102</v>
      </c>
      <c r="R60" t="s">
        <v>112</v>
      </c>
      <c r="S60" t="s">
        <v>113</v>
      </c>
      <c r="T60" t="s">
        <v>114</v>
      </c>
      <c r="U60" t="s">
        <v>103</v>
      </c>
      <c r="V60" t="s">
        <v>115</v>
      </c>
      <c r="W60" t="s">
        <v>116</v>
      </c>
      <c r="X60" t="s">
        <v>117</v>
      </c>
      <c r="Y60" t="s">
        <v>104</v>
      </c>
      <c r="Z60" t="s">
        <v>205</v>
      </c>
      <c r="AA60" t="s">
        <v>92</v>
      </c>
      <c r="AB60" t="s">
        <v>105</v>
      </c>
      <c r="AC60" t="s">
        <v>106</v>
      </c>
      <c r="AD60" t="s">
        <v>93</v>
      </c>
      <c r="AE60" t="s">
        <v>118</v>
      </c>
      <c r="AF60" t="s">
        <v>94</v>
      </c>
      <c r="AG60" t="s">
        <v>95</v>
      </c>
      <c r="AI60" s="84" t="s">
        <v>227</v>
      </c>
      <c r="AJ60" t="s">
        <v>257</v>
      </c>
      <c r="AO60" s="39">
        <v>58</v>
      </c>
      <c r="AP60" s="40">
        <v>46183</v>
      </c>
      <c r="AQ60" s="41" t="s">
        <v>96</v>
      </c>
      <c r="AR60" s="42" t="str">
        <f>IFERROR(VLOOKUP(AU60,[2]SUMMARY!$A$3:$B$7,2,FALSE),"")</f>
        <v>MC-SAGARANTEN</v>
      </c>
      <c r="AS60" s="31">
        <v>17187866</v>
      </c>
      <c r="AT60" s="31" t="str">
        <f>VLOOKUP(AS60,[2]OUTLET!$B:$C,2,0)</f>
        <v>Wijar cell</v>
      </c>
      <c r="AU60" s="43" t="s">
        <v>54</v>
      </c>
      <c r="AV60" s="6">
        <v>1</v>
      </c>
      <c r="AW60" s="44">
        <f>IFERROR(VLOOKUP(AQ60,'[2]Harga &amp; Nama CSO'!$A$116:$L$136,2,FALSE),0)*AV60</f>
        <v>0</v>
      </c>
      <c r="AX60" s="44">
        <f>IFERROR(VLOOKUP(AQ60,'[2]Harga &amp; Nama CSO'!$A$116:$L$136,3,FALSE),0)*AV60</f>
        <v>0</v>
      </c>
      <c r="AY60" s="44">
        <f>IFERROR(VLOOKUP(AQ60,'[2]Harga &amp; Nama CSO'!$A$116:$L$136,4,FALSE),0)*AV60</f>
        <v>3</v>
      </c>
      <c r="AZ60" s="44">
        <f>IFERROR(VLOOKUP(AQ60,'[2]Harga &amp; Nama CSO'!$A$116:$L$136,5,FALSE),0)*AV60</f>
        <v>0</v>
      </c>
      <c r="BA60" s="44">
        <f>IFERROR(VLOOKUP(AQ60,'[2]Harga &amp; Nama CSO'!$A$116:$L$136,6,FALSE),0)*AV60</f>
        <v>0</v>
      </c>
      <c r="BB60" s="44">
        <f>IFERROR(VLOOKUP(AQ60,'[2]Harga &amp; Nama CSO'!$A$116:$L$136,7,FALSE),0)*AV60</f>
        <v>0</v>
      </c>
      <c r="BC60" s="44">
        <f>IFERROR(VLOOKUP(AQ60,'[2]Harga &amp; Nama CSO'!$A$116:$L$136,8,FALSE),0)*AV60</f>
        <v>3</v>
      </c>
      <c r="BD60" s="44">
        <f>IFERROR(VLOOKUP(AQ60,'[2]Harga &amp; Nama CSO'!$A$116:$L$136,9,FALSE),0)*AV60</f>
        <v>0</v>
      </c>
      <c r="BE60" s="44">
        <f>IFERROR(VLOOKUP(AQ60,'[2]Harga &amp; Nama CSO'!$A$116:$L$136,10,FALSE),0)*AV60</f>
        <v>0</v>
      </c>
      <c r="BF60" s="44">
        <f>IFERROR(VLOOKUP(AQ60,'[2]Harga &amp; Nama CSO'!$A$116:$L$136,11,FALSE),0)*AV60</f>
        <v>0</v>
      </c>
      <c r="BG60" s="44">
        <f>IFERROR(VLOOKUP(AQ60,'[2]Harga &amp; Nama CSO'!$A$116:$L$136,12,FALSE),0)*AV60</f>
        <v>0</v>
      </c>
      <c r="BH60" s="44">
        <f>IFERROR(VLOOKUP(AQ60,'[2]Harga &amp; Nama CSO'!$A$116:$R$136,13,FALSE),0)*AV60</f>
        <v>0</v>
      </c>
      <c r="BI60" s="44">
        <f>IFERROR(VLOOKUP(AQ60,'[2]Harga &amp; Nama CSO'!$A$116:$R$136,14,FALSE),0)*AV60</f>
        <v>3</v>
      </c>
      <c r="BJ60" s="44">
        <f>IFERROR(VLOOKUP(AQ60,'[2]Harga &amp; Nama CSO'!$A$116:$R$136,15,FALSE),0)*AV60</f>
        <v>0</v>
      </c>
      <c r="BK60" s="44">
        <f>IFERROR(VLOOKUP(AQ60,'[2]Harga &amp; Nama CSO'!$A$116:$R$136,16,FALSE),0)*AV60</f>
        <v>0</v>
      </c>
      <c r="BL60" s="44">
        <f>IFERROR(VLOOKUP(AQ60,'[2]Harga &amp; Nama CSO'!$A$116:$R$136,17,FALSE),0)*AV60</f>
        <v>0</v>
      </c>
      <c r="BM60" s="44">
        <f>IFERROR(VLOOKUP(AQ60,'[2]Harga &amp; Nama CSO'!$A$116:$R$136,18,FALSE),0)*AV60</f>
        <v>0</v>
      </c>
      <c r="BN60" s="44">
        <f>IFERROR(VLOOKUP(AQ60,'[2]Harga &amp; Nama CSO'!$A$116:$S$136,19,FALSE),0)*AV60</f>
        <v>0</v>
      </c>
      <c r="BO60" s="55">
        <f>IFERROR(VLOOKUP(AQ60,'[2]Harga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VLOOKUP(AQ60,'[1]Harga &amp; Nama CSO'!$A$28:$D$31,4,0)*BQ60</f>
        <v>3</v>
      </c>
    </row>
    <row r="61" spans="1:75" x14ac:dyDescent="0.35">
      <c r="A61">
        <v>166</v>
      </c>
      <c r="B61" s="11">
        <v>46197</v>
      </c>
      <c r="C61" t="s">
        <v>204</v>
      </c>
      <c r="D61" t="s">
        <v>184</v>
      </c>
      <c r="E61">
        <v>17734713</v>
      </c>
      <c r="F61" t="s">
        <v>230</v>
      </c>
      <c r="G61" t="s">
        <v>53</v>
      </c>
      <c r="H61">
        <v>1</v>
      </c>
      <c r="I61">
        <v>0</v>
      </c>
      <c r="J61">
        <v>3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75000</v>
      </c>
      <c r="AB61" s="11">
        <v>46197</v>
      </c>
      <c r="AC61">
        <v>1</v>
      </c>
      <c r="AD61">
        <v>75000</v>
      </c>
      <c r="AE61" t="s">
        <v>109</v>
      </c>
      <c r="AF61">
        <v>0</v>
      </c>
      <c r="AG61">
        <v>46198</v>
      </c>
      <c r="AI61" s="85" t="s">
        <v>54</v>
      </c>
      <c r="AJ61" s="28">
        <v>60</v>
      </c>
      <c r="AO61" s="39">
        <v>59</v>
      </c>
      <c r="AP61" s="40">
        <v>46183</v>
      </c>
      <c r="AQ61" s="41" t="s">
        <v>96</v>
      </c>
      <c r="AR61" s="42" t="str">
        <f>IFERROR(VLOOKUP(AU61,[2]SUMMARY!$A$3:$B$7,2,FALSE),"")</f>
        <v>MC-SAGARANTEN</v>
      </c>
      <c r="AS61" s="31">
        <v>17473280</v>
      </c>
      <c r="AT61" s="31" t="str">
        <f>VLOOKUP(AS61,[2]OUTLET!$B:$C,2,0)</f>
        <v>Src</v>
      </c>
      <c r="AU61" s="43" t="s">
        <v>54</v>
      </c>
      <c r="AV61" s="6">
        <v>1</v>
      </c>
      <c r="AW61" s="44">
        <f>IFERROR(VLOOKUP(AQ61,'[2]Harga &amp; Nama CSO'!$A$116:$L$136,2,FALSE),0)*AV61</f>
        <v>0</v>
      </c>
      <c r="AX61" s="44">
        <f>IFERROR(VLOOKUP(AQ61,'[2]Harga &amp; Nama CSO'!$A$116:$L$136,3,FALSE),0)*AV61</f>
        <v>0</v>
      </c>
      <c r="AY61" s="44">
        <f>IFERROR(VLOOKUP(AQ61,'[2]Harga &amp; Nama CSO'!$A$116:$L$136,4,FALSE),0)*AV61</f>
        <v>3</v>
      </c>
      <c r="AZ61" s="44">
        <f>IFERROR(VLOOKUP(AQ61,'[2]Harga &amp; Nama CSO'!$A$116:$L$136,5,FALSE),0)*AV61</f>
        <v>0</v>
      </c>
      <c r="BA61" s="44">
        <f>IFERROR(VLOOKUP(AQ61,'[2]Harga &amp; Nama CSO'!$A$116:$L$136,6,FALSE),0)*AV61</f>
        <v>0</v>
      </c>
      <c r="BB61" s="44">
        <f>IFERROR(VLOOKUP(AQ61,'[2]Harga &amp; Nama CSO'!$A$116:$L$136,7,FALSE),0)*AV61</f>
        <v>0</v>
      </c>
      <c r="BC61" s="44">
        <f>IFERROR(VLOOKUP(AQ61,'[2]Harga &amp; Nama CSO'!$A$116:$L$136,8,FALSE),0)*AV61</f>
        <v>3</v>
      </c>
      <c r="BD61" s="44">
        <f>IFERROR(VLOOKUP(AQ61,'[2]Harga &amp; Nama CSO'!$A$116:$L$136,9,FALSE),0)*AV61</f>
        <v>0</v>
      </c>
      <c r="BE61" s="44">
        <f>IFERROR(VLOOKUP(AQ61,'[2]Harga &amp; Nama CSO'!$A$116:$L$136,10,FALSE),0)*AV61</f>
        <v>0</v>
      </c>
      <c r="BF61" s="44">
        <f>IFERROR(VLOOKUP(AQ61,'[2]Harga &amp; Nama CSO'!$A$116:$L$136,11,FALSE),0)*AV61</f>
        <v>0</v>
      </c>
      <c r="BG61" s="44">
        <f>IFERROR(VLOOKUP(AQ61,'[2]Harga &amp; Nama CSO'!$A$116:$L$136,12,FALSE),0)*AV61</f>
        <v>0</v>
      </c>
      <c r="BH61" s="44">
        <f>IFERROR(VLOOKUP(AQ61,'[2]Harga &amp; Nama CSO'!$A$116:$R$136,13,FALSE),0)*AV61</f>
        <v>0</v>
      </c>
      <c r="BI61" s="44">
        <f>IFERROR(VLOOKUP(AQ61,'[2]Harga &amp; Nama CSO'!$A$116:$R$136,14,FALSE),0)*AV61</f>
        <v>3</v>
      </c>
      <c r="BJ61" s="44">
        <f>IFERROR(VLOOKUP(AQ61,'[2]Harga &amp; Nama CSO'!$A$116:$R$136,15,FALSE),0)*AV61</f>
        <v>0</v>
      </c>
      <c r="BK61" s="44">
        <f>IFERROR(VLOOKUP(AQ61,'[2]Harga &amp; Nama CSO'!$A$116:$R$136,16,FALSE),0)*AV61</f>
        <v>0</v>
      </c>
      <c r="BL61" s="44">
        <f>IFERROR(VLOOKUP(AQ61,'[2]Harga &amp; Nama CSO'!$A$116:$R$136,17,FALSE),0)*AV61</f>
        <v>0</v>
      </c>
      <c r="BM61" s="44">
        <f>IFERROR(VLOOKUP(AQ61,'[2]Harga &amp; Nama CSO'!$A$116:$R$136,18,FALSE),0)*AV61</f>
        <v>0</v>
      </c>
      <c r="BN61" s="44">
        <f>IFERROR(VLOOKUP(AQ61,'[2]Harga &amp; Nama CSO'!$A$116:$S$136,19,FALSE),0)*AV61</f>
        <v>0</v>
      </c>
      <c r="BO61" s="55">
        <f>IFERROR(VLOOKUP(AQ61,'[2]Harga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VLOOKUP(AQ61,'[1]Harga &amp; Nama CSO'!$A$28:$D$31,4,0)*BQ61</f>
        <v>3</v>
      </c>
    </row>
    <row r="62" spans="1:75" x14ac:dyDescent="0.35">
      <c r="A62">
        <v>167</v>
      </c>
      <c r="B62" s="11">
        <v>46197</v>
      </c>
      <c r="C62" t="s">
        <v>204</v>
      </c>
      <c r="D62" t="s">
        <v>184</v>
      </c>
      <c r="E62">
        <v>17787825</v>
      </c>
      <c r="F62" t="s">
        <v>231</v>
      </c>
      <c r="G62" t="s">
        <v>53</v>
      </c>
      <c r="H62">
        <v>1</v>
      </c>
      <c r="I62">
        <v>0</v>
      </c>
      <c r="J62">
        <v>3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75000</v>
      </c>
      <c r="AB62" s="11">
        <v>46197</v>
      </c>
      <c r="AC62">
        <v>1</v>
      </c>
      <c r="AD62">
        <v>75000</v>
      </c>
      <c r="AE62" t="s">
        <v>109</v>
      </c>
      <c r="AF62">
        <v>0</v>
      </c>
      <c r="AG62">
        <v>46198</v>
      </c>
      <c r="AI62" s="85" t="s">
        <v>41</v>
      </c>
      <c r="AJ62" s="28">
        <v>87</v>
      </c>
      <c r="AO62" s="39">
        <v>60</v>
      </c>
      <c r="AP62" s="40">
        <v>46183</v>
      </c>
      <c r="AQ62" s="41" t="s">
        <v>96</v>
      </c>
      <c r="AR62" s="42" t="str">
        <f>IFERROR(VLOOKUP(AU62,[2]SUMMARY!$A$3:$B$7,2,FALSE),"")</f>
        <v>MC-SAGARANTEN</v>
      </c>
      <c r="AS62" s="31">
        <v>17253568</v>
      </c>
      <c r="AT62" s="31" t="str">
        <f>VLOOKUP(AS62,[2]OUTLET!$B:$C,2,0)</f>
        <v>AHZACELL</v>
      </c>
      <c r="AU62" s="43" t="s">
        <v>54</v>
      </c>
      <c r="AV62" s="6">
        <v>1</v>
      </c>
      <c r="AW62" s="44">
        <f>IFERROR(VLOOKUP(AQ62,'[2]Harga &amp; Nama CSO'!$A$116:$L$136,2,FALSE),0)*AV62</f>
        <v>0</v>
      </c>
      <c r="AX62" s="44">
        <f>IFERROR(VLOOKUP(AQ62,'[2]Harga &amp; Nama CSO'!$A$116:$L$136,3,FALSE),0)*AV62</f>
        <v>0</v>
      </c>
      <c r="AY62" s="44">
        <f>IFERROR(VLOOKUP(AQ62,'[2]Harga &amp; Nama CSO'!$A$116:$L$136,4,FALSE),0)*AV62</f>
        <v>3</v>
      </c>
      <c r="AZ62" s="44">
        <f>IFERROR(VLOOKUP(AQ62,'[2]Harga &amp; Nama CSO'!$A$116:$L$136,5,FALSE),0)*AV62</f>
        <v>0</v>
      </c>
      <c r="BA62" s="44">
        <f>IFERROR(VLOOKUP(AQ62,'[2]Harga &amp; Nama CSO'!$A$116:$L$136,6,FALSE),0)*AV62</f>
        <v>0</v>
      </c>
      <c r="BB62" s="44">
        <f>IFERROR(VLOOKUP(AQ62,'[2]Harga &amp; Nama CSO'!$A$116:$L$136,7,FALSE),0)*AV62</f>
        <v>0</v>
      </c>
      <c r="BC62" s="44">
        <f>IFERROR(VLOOKUP(AQ62,'[2]Harga &amp; Nama CSO'!$A$116:$L$136,8,FALSE),0)*AV62</f>
        <v>3</v>
      </c>
      <c r="BD62" s="44">
        <f>IFERROR(VLOOKUP(AQ62,'[2]Harga &amp; Nama CSO'!$A$116:$L$136,9,FALSE),0)*AV62</f>
        <v>0</v>
      </c>
      <c r="BE62" s="44">
        <f>IFERROR(VLOOKUP(AQ62,'[2]Harga &amp; Nama CSO'!$A$116:$L$136,10,FALSE),0)*AV62</f>
        <v>0</v>
      </c>
      <c r="BF62" s="44">
        <f>IFERROR(VLOOKUP(AQ62,'[2]Harga &amp; Nama CSO'!$A$116:$L$136,11,FALSE),0)*AV62</f>
        <v>0</v>
      </c>
      <c r="BG62" s="44">
        <f>IFERROR(VLOOKUP(AQ62,'[2]Harga &amp; Nama CSO'!$A$116:$L$136,12,FALSE),0)*AV62</f>
        <v>0</v>
      </c>
      <c r="BH62" s="44">
        <f>IFERROR(VLOOKUP(AQ62,'[2]Harga &amp; Nama CSO'!$A$116:$R$136,13,FALSE),0)*AV62</f>
        <v>0</v>
      </c>
      <c r="BI62" s="44">
        <f>IFERROR(VLOOKUP(AQ62,'[2]Harga &amp; Nama CSO'!$A$116:$R$136,14,FALSE),0)*AV62</f>
        <v>3</v>
      </c>
      <c r="BJ62" s="44">
        <f>IFERROR(VLOOKUP(AQ62,'[2]Harga &amp; Nama CSO'!$A$116:$R$136,15,FALSE),0)*AV62</f>
        <v>0</v>
      </c>
      <c r="BK62" s="44">
        <f>IFERROR(VLOOKUP(AQ62,'[2]Harga &amp; Nama CSO'!$A$116:$R$136,16,FALSE),0)*AV62</f>
        <v>0</v>
      </c>
      <c r="BL62" s="44">
        <f>IFERROR(VLOOKUP(AQ62,'[2]Harga &amp; Nama CSO'!$A$116:$R$136,17,FALSE),0)*AV62</f>
        <v>0</v>
      </c>
      <c r="BM62" s="44">
        <f>IFERROR(VLOOKUP(AQ62,'[2]Harga &amp; Nama CSO'!$A$116:$R$136,18,FALSE),0)*AV62</f>
        <v>0</v>
      </c>
      <c r="BN62" s="44">
        <f>IFERROR(VLOOKUP(AQ62,'[2]Harga &amp; Nama CSO'!$A$116:$S$136,19,FALSE),0)*AV62</f>
        <v>0</v>
      </c>
      <c r="BO62" s="55">
        <f>IFERROR(VLOOKUP(AQ62,'[2]Harga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VLOOKUP(AQ62,'[1]Harga &amp; Nama CSO'!$A$28:$D$31,4,0)*BQ62</f>
        <v>3</v>
      </c>
    </row>
    <row r="63" spans="1:75" x14ac:dyDescent="0.35">
      <c r="A63">
        <v>168</v>
      </c>
      <c r="B63" s="11">
        <v>46197</v>
      </c>
      <c r="C63" t="s">
        <v>204</v>
      </c>
      <c r="D63" t="s">
        <v>184</v>
      </c>
      <c r="E63">
        <v>17732567</v>
      </c>
      <c r="F63" t="s">
        <v>232</v>
      </c>
      <c r="G63" t="s">
        <v>53</v>
      </c>
      <c r="H63">
        <v>1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75000</v>
      </c>
      <c r="AB63" s="11">
        <v>46197</v>
      </c>
      <c r="AC63">
        <v>1</v>
      </c>
      <c r="AD63">
        <v>75000</v>
      </c>
      <c r="AE63" t="s">
        <v>109</v>
      </c>
      <c r="AF63">
        <v>0</v>
      </c>
      <c r="AG63">
        <v>46198</v>
      </c>
      <c r="AI63" s="85" t="s">
        <v>53</v>
      </c>
      <c r="AJ63" s="28">
        <v>66</v>
      </c>
      <c r="AO63" s="39">
        <v>61</v>
      </c>
      <c r="AP63" s="40">
        <v>46183</v>
      </c>
      <c r="AQ63" s="41" t="s">
        <v>97</v>
      </c>
      <c r="AR63" s="42" t="str">
        <f>IFERROR(VLOOKUP(AU63,[2]SUMMARY!$A$3:$B$7,2,FALSE),"")</f>
        <v>MC-SAGARANTEN</v>
      </c>
      <c r="AS63" s="31">
        <v>17632992</v>
      </c>
      <c r="AT63" s="31" t="str">
        <f>VLOOKUP(AS63,[2]OUTLET!$B:$C,2,0)</f>
        <v>EZ Cell</v>
      </c>
      <c r="AU63" s="31" t="s">
        <v>41</v>
      </c>
      <c r="AV63" s="6">
        <v>1</v>
      </c>
      <c r="AW63" s="44">
        <f>IFERROR(VLOOKUP(AQ63,'[2]Harga &amp; Nama CSO'!$A$116:$L$136,2,FALSE),0)*AV63</f>
        <v>0</v>
      </c>
      <c r="AX63" s="44">
        <f>IFERROR(VLOOKUP(AQ63,'[2]Harga &amp; Nama CSO'!$A$116:$L$136,3,FALSE),0)*AV63</f>
        <v>0</v>
      </c>
      <c r="AY63" s="44">
        <f>IFERROR(VLOOKUP(AQ63,'[2]Harga &amp; Nama CSO'!$A$116:$L$136,4,FALSE),0)*AV63</f>
        <v>3</v>
      </c>
      <c r="AZ63" s="44">
        <f>IFERROR(VLOOKUP(AQ63,'[2]Harga &amp; Nama CSO'!$A$116:$L$136,5,FALSE),0)*AV63</f>
        <v>0</v>
      </c>
      <c r="BA63" s="44">
        <f>IFERROR(VLOOKUP(AQ63,'[2]Harga &amp; Nama CSO'!$A$116:$L$136,6,FALSE),0)*AV63</f>
        <v>0</v>
      </c>
      <c r="BB63" s="44">
        <f>IFERROR(VLOOKUP(AQ63,'[2]Harga &amp; Nama CSO'!$A$116:$L$136,7,FALSE),0)*AV63</f>
        <v>0</v>
      </c>
      <c r="BC63" s="44">
        <f>IFERROR(VLOOKUP(AQ63,'[2]Harga &amp; Nama CSO'!$A$116:$L$136,8,FALSE),0)*AV63</f>
        <v>0</v>
      </c>
      <c r="BD63" s="44">
        <f>IFERROR(VLOOKUP(AQ63,'[2]Harga &amp; Nama CSO'!$A$116:$L$136,9,FALSE),0)*AV63</f>
        <v>0</v>
      </c>
      <c r="BE63" s="44">
        <f>IFERROR(VLOOKUP(AQ63,'[2]Harga &amp; Nama CSO'!$A$116:$L$136,10,FALSE),0)*AV63</f>
        <v>3</v>
      </c>
      <c r="BF63" s="44">
        <f>IFERROR(VLOOKUP(AQ63,'[2]Harga &amp; Nama CSO'!$A$116:$L$136,11,FALSE),0)*AV63</f>
        <v>0</v>
      </c>
      <c r="BG63" s="44">
        <f>IFERROR(VLOOKUP(AQ63,'[2]Harga &amp; Nama CSO'!$A$116:$L$136,12,FALSE),0)*AV63</f>
        <v>0</v>
      </c>
      <c r="BH63" s="44">
        <f>IFERROR(VLOOKUP(AQ63,'[2]Harga &amp; Nama CSO'!$A$116:$R$136,13,FALSE),0)*AV63</f>
        <v>0</v>
      </c>
      <c r="BI63" s="44">
        <f>IFERROR(VLOOKUP(AQ63,'[2]Harga &amp; Nama CSO'!$A$116:$R$136,14,FALSE),0)*AV63</f>
        <v>3</v>
      </c>
      <c r="BJ63" s="44">
        <f>IFERROR(VLOOKUP(AQ63,'[2]Harga &amp; Nama CSO'!$A$116:$R$136,15,FALSE),0)*AV63</f>
        <v>0</v>
      </c>
      <c r="BK63" s="44">
        <f>IFERROR(VLOOKUP(AQ63,'[2]Harga &amp; Nama CSO'!$A$116:$R$136,16,FALSE),0)*AV63</f>
        <v>0</v>
      </c>
      <c r="BL63" s="44">
        <f>IFERROR(VLOOKUP(AQ63,'[2]Harga &amp; Nama CSO'!$A$116:$R$136,17,FALSE),0)*AV63</f>
        <v>0</v>
      </c>
      <c r="BM63" s="44">
        <f>IFERROR(VLOOKUP(AQ63,'[2]Harga &amp; Nama CSO'!$A$116:$R$136,18,FALSE),0)*AV63</f>
        <v>0</v>
      </c>
      <c r="BN63" s="44">
        <f>IFERROR(VLOOKUP(AQ63,'[2]Harga &amp; Nama CSO'!$A$116:$S$136,19,FALSE),0)*AV63</f>
        <v>0</v>
      </c>
      <c r="BO63" s="55">
        <f>IFERROR(VLOOKUP(AQ63,'[2]Harga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VLOOKUP(AQ63,'[1]Harga &amp; Nama CSO'!$A$28:$D$31,4,0)*BQ63</f>
        <v>3</v>
      </c>
    </row>
    <row r="64" spans="1:75" x14ac:dyDescent="0.35">
      <c r="A64">
        <v>169</v>
      </c>
      <c r="B64" s="11">
        <v>46197</v>
      </c>
      <c r="C64" t="s">
        <v>204</v>
      </c>
      <c r="D64" t="s">
        <v>184</v>
      </c>
      <c r="E64">
        <v>17197757</v>
      </c>
      <c r="F64" t="s">
        <v>233</v>
      </c>
      <c r="G64" t="s">
        <v>53</v>
      </c>
      <c r="H64">
        <v>1</v>
      </c>
      <c r="I64">
        <v>0</v>
      </c>
      <c r="J64">
        <v>3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75000</v>
      </c>
      <c r="AB64" s="11">
        <v>46197</v>
      </c>
      <c r="AC64">
        <v>1</v>
      </c>
      <c r="AD64">
        <v>75000</v>
      </c>
      <c r="AE64" t="s">
        <v>109</v>
      </c>
      <c r="AF64">
        <v>0</v>
      </c>
      <c r="AG64">
        <v>46198</v>
      </c>
      <c r="AI64" s="85" t="s">
        <v>42</v>
      </c>
      <c r="AJ64" s="28">
        <v>90</v>
      </c>
      <c r="AO64" s="39">
        <v>62</v>
      </c>
      <c r="AP64" s="40">
        <v>46183</v>
      </c>
      <c r="AQ64" s="41" t="s">
        <v>97</v>
      </c>
      <c r="AR64" s="42" t="str">
        <f>IFERROR(VLOOKUP(AU64,[2]SUMMARY!$A$3:$B$7,2,FALSE),"")</f>
        <v>MC-SAGARANTEN</v>
      </c>
      <c r="AS64" s="31">
        <v>17708933</v>
      </c>
      <c r="AT64" s="31" t="str">
        <f>VLOOKUP(AS64,[2]OUTLET!$B:$C,2,0)</f>
        <v>EL CELL</v>
      </c>
      <c r="AU64" s="31" t="s">
        <v>41</v>
      </c>
      <c r="AV64" s="6">
        <v>1</v>
      </c>
      <c r="AW64" s="44">
        <f>IFERROR(VLOOKUP(AQ64,'[2]Harga &amp; Nama CSO'!$A$116:$L$136,2,FALSE),0)*AV64</f>
        <v>0</v>
      </c>
      <c r="AX64" s="44">
        <f>IFERROR(VLOOKUP(AQ64,'[2]Harga &amp; Nama CSO'!$A$116:$L$136,3,FALSE),0)*AV64</f>
        <v>0</v>
      </c>
      <c r="AY64" s="44">
        <f>IFERROR(VLOOKUP(AQ64,'[2]Harga &amp; Nama CSO'!$A$116:$L$136,4,FALSE),0)*AV64</f>
        <v>3</v>
      </c>
      <c r="AZ64" s="44">
        <f>IFERROR(VLOOKUP(AQ64,'[2]Harga &amp; Nama CSO'!$A$116:$L$136,5,FALSE),0)*AV64</f>
        <v>0</v>
      </c>
      <c r="BA64" s="44">
        <f>IFERROR(VLOOKUP(AQ64,'[2]Harga &amp; Nama CSO'!$A$116:$L$136,6,FALSE),0)*AV64</f>
        <v>0</v>
      </c>
      <c r="BB64" s="44">
        <f>IFERROR(VLOOKUP(AQ64,'[2]Harga &amp; Nama CSO'!$A$116:$L$136,7,FALSE),0)*AV64</f>
        <v>0</v>
      </c>
      <c r="BC64" s="44">
        <f>IFERROR(VLOOKUP(AQ64,'[2]Harga &amp; Nama CSO'!$A$116:$L$136,8,FALSE),0)*AV64</f>
        <v>0</v>
      </c>
      <c r="BD64" s="44">
        <f>IFERROR(VLOOKUP(AQ64,'[2]Harga &amp; Nama CSO'!$A$116:$L$136,9,FALSE),0)*AV64</f>
        <v>0</v>
      </c>
      <c r="BE64" s="44">
        <f>IFERROR(VLOOKUP(AQ64,'[2]Harga &amp; Nama CSO'!$A$116:$L$136,10,FALSE),0)*AV64</f>
        <v>3</v>
      </c>
      <c r="BF64" s="44">
        <f>IFERROR(VLOOKUP(AQ64,'[2]Harga &amp; Nama CSO'!$A$116:$L$136,11,FALSE),0)*AV64</f>
        <v>0</v>
      </c>
      <c r="BG64" s="44">
        <f>IFERROR(VLOOKUP(AQ64,'[2]Harga &amp; Nama CSO'!$A$116:$L$136,12,FALSE),0)*AV64</f>
        <v>0</v>
      </c>
      <c r="BH64" s="44">
        <f>IFERROR(VLOOKUP(AQ64,'[2]Harga &amp; Nama CSO'!$A$116:$R$136,13,FALSE),0)*AV64</f>
        <v>0</v>
      </c>
      <c r="BI64" s="44">
        <f>IFERROR(VLOOKUP(AQ64,'[2]Harga &amp; Nama CSO'!$A$116:$R$136,14,FALSE),0)*AV64</f>
        <v>3</v>
      </c>
      <c r="BJ64" s="44">
        <f>IFERROR(VLOOKUP(AQ64,'[2]Harga &amp; Nama CSO'!$A$116:$R$136,15,FALSE),0)*AV64</f>
        <v>0</v>
      </c>
      <c r="BK64" s="44">
        <f>IFERROR(VLOOKUP(AQ64,'[2]Harga &amp; Nama CSO'!$A$116:$R$136,16,FALSE),0)*AV64</f>
        <v>0</v>
      </c>
      <c r="BL64" s="44">
        <f>IFERROR(VLOOKUP(AQ64,'[2]Harga &amp; Nama CSO'!$A$116:$R$136,17,FALSE),0)*AV64</f>
        <v>0</v>
      </c>
      <c r="BM64" s="44">
        <f>IFERROR(VLOOKUP(AQ64,'[2]Harga &amp; Nama CSO'!$A$116:$R$136,18,FALSE),0)*AV64</f>
        <v>0</v>
      </c>
      <c r="BN64" s="44">
        <f>IFERROR(VLOOKUP(AQ64,'[2]Harga &amp; Nama CSO'!$A$116:$S$136,19,FALSE),0)*AV64</f>
        <v>0</v>
      </c>
      <c r="BO64" s="55">
        <f>IFERROR(VLOOKUP(AQ64,'[2]Harga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VLOOKUP(AQ64,'[1]Harga &amp; Nama CSO'!$A$28:$D$31,4,0)*BQ64</f>
        <v>3</v>
      </c>
    </row>
    <row r="65" spans="1:75" x14ac:dyDescent="0.35">
      <c r="A65">
        <v>170</v>
      </c>
      <c r="B65" s="11">
        <v>46197</v>
      </c>
      <c r="C65" t="s">
        <v>204</v>
      </c>
      <c r="D65" t="s">
        <v>184</v>
      </c>
      <c r="E65">
        <v>1306929</v>
      </c>
      <c r="F65" t="s">
        <v>234</v>
      </c>
      <c r="G65" t="s">
        <v>53</v>
      </c>
      <c r="H65">
        <v>1</v>
      </c>
      <c r="I65">
        <v>0</v>
      </c>
      <c r="J65">
        <v>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75000</v>
      </c>
      <c r="AB65" s="11">
        <v>46197</v>
      </c>
      <c r="AC65">
        <v>1</v>
      </c>
      <c r="AD65">
        <v>75000</v>
      </c>
      <c r="AE65" t="s">
        <v>109</v>
      </c>
      <c r="AF65">
        <v>0</v>
      </c>
      <c r="AG65">
        <v>46198</v>
      </c>
      <c r="AI65" s="85" t="s">
        <v>43</v>
      </c>
      <c r="AJ65" s="28">
        <v>303</v>
      </c>
      <c r="AO65" s="39">
        <v>63</v>
      </c>
      <c r="AP65" s="40">
        <v>46183</v>
      </c>
      <c r="AQ65" s="41" t="s">
        <v>97</v>
      </c>
      <c r="AR65" s="42" t="str">
        <f>IFERROR(VLOOKUP(AU65,[2]SUMMARY!$A$3:$B$7,2,FALSE),"")</f>
        <v>MC-SAGARANTEN</v>
      </c>
      <c r="AS65" s="31">
        <v>17733268</v>
      </c>
      <c r="AT65" s="31" t="str">
        <f>VLOOKUP(AS65,[2]OUTLET!$B:$C,2,0)</f>
        <v>Setia Cell</v>
      </c>
      <c r="AU65" s="31" t="s">
        <v>41</v>
      </c>
      <c r="AV65" s="6">
        <v>1</v>
      </c>
      <c r="AW65" s="44">
        <f>IFERROR(VLOOKUP(AQ65,'[2]Harga &amp; Nama CSO'!$A$116:$L$136,2,FALSE),0)*AV65</f>
        <v>0</v>
      </c>
      <c r="AX65" s="44">
        <f>IFERROR(VLOOKUP(AQ65,'[2]Harga &amp; Nama CSO'!$A$116:$L$136,3,FALSE),0)*AV65</f>
        <v>0</v>
      </c>
      <c r="AY65" s="44">
        <f>IFERROR(VLOOKUP(AQ65,'[2]Harga &amp; Nama CSO'!$A$116:$L$136,4,FALSE),0)*AV65</f>
        <v>3</v>
      </c>
      <c r="AZ65" s="44">
        <f>IFERROR(VLOOKUP(AQ65,'[2]Harga &amp; Nama CSO'!$A$116:$L$136,5,FALSE),0)*AV65</f>
        <v>0</v>
      </c>
      <c r="BA65" s="44">
        <f>IFERROR(VLOOKUP(AQ65,'[2]Harga &amp; Nama CSO'!$A$116:$L$136,6,FALSE),0)*AV65</f>
        <v>0</v>
      </c>
      <c r="BB65" s="44">
        <f>IFERROR(VLOOKUP(AQ65,'[2]Harga &amp; Nama CSO'!$A$116:$L$136,7,FALSE),0)*AV65</f>
        <v>0</v>
      </c>
      <c r="BC65" s="44">
        <f>IFERROR(VLOOKUP(AQ65,'[2]Harga &amp; Nama CSO'!$A$116:$L$136,8,FALSE),0)*AV65</f>
        <v>0</v>
      </c>
      <c r="BD65" s="44">
        <f>IFERROR(VLOOKUP(AQ65,'[2]Harga &amp; Nama CSO'!$A$116:$L$136,9,FALSE),0)*AV65</f>
        <v>0</v>
      </c>
      <c r="BE65" s="44">
        <f>IFERROR(VLOOKUP(AQ65,'[2]Harga &amp; Nama CSO'!$A$116:$L$136,10,FALSE),0)*AV65</f>
        <v>3</v>
      </c>
      <c r="BF65" s="44">
        <f>IFERROR(VLOOKUP(AQ65,'[2]Harga &amp; Nama CSO'!$A$116:$L$136,11,FALSE),0)*AV65</f>
        <v>0</v>
      </c>
      <c r="BG65" s="44">
        <f>IFERROR(VLOOKUP(AQ65,'[2]Harga &amp; Nama CSO'!$A$116:$L$136,12,FALSE),0)*AV65</f>
        <v>0</v>
      </c>
      <c r="BH65" s="44">
        <f>IFERROR(VLOOKUP(AQ65,'[2]Harga &amp; Nama CSO'!$A$116:$R$136,13,FALSE),0)*AV65</f>
        <v>0</v>
      </c>
      <c r="BI65" s="44">
        <f>IFERROR(VLOOKUP(AQ65,'[2]Harga &amp; Nama CSO'!$A$116:$R$136,14,FALSE),0)*AV65</f>
        <v>3</v>
      </c>
      <c r="BJ65" s="44">
        <f>IFERROR(VLOOKUP(AQ65,'[2]Harga &amp; Nama CSO'!$A$116:$R$136,15,FALSE),0)*AV65</f>
        <v>0</v>
      </c>
      <c r="BK65" s="44">
        <f>IFERROR(VLOOKUP(AQ65,'[2]Harga &amp; Nama CSO'!$A$116:$R$136,16,FALSE),0)*AV65</f>
        <v>0</v>
      </c>
      <c r="BL65" s="44">
        <f>IFERROR(VLOOKUP(AQ65,'[2]Harga &amp; Nama CSO'!$A$116:$R$136,17,FALSE),0)*AV65</f>
        <v>0</v>
      </c>
      <c r="BM65" s="44">
        <f>IFERROR(VLOOKUP(AQ65,'[2]Harga &amp; Nama CSO'!$A$116:$R$136,18,FALSE),0)*AV65</f>
        <v>0</v>
      </c>
      <c r="BN65" s="44">
        <f>IFERROR(VLOOKUP(AQ65,'[2]Harga &amp; Nama CSO'!$A$116:$S$136,19,FALSE),0)*AV65</f>
        <v>0</v>
      </c>
      <c r="BO65" s="55">
        <f>IFERROR(VLOOKUP(AQ65,'[2]Harga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VLOOKUP(AQ65,'[1]Harga &amp; Nama CSO'!$A$28:$D$31,4,0)*BQ65</f>
        <v>3</v>
      </c>
    </row>
    <row r="66" spans="1:75" x14ac:dyDescent="0.35">
      <c r="A66">
        <v>171</v>
      </c>
      <c r="B66" s="11">
        <v>46197</v>
      </c>
      <c r="C66" t="s">
        <v>204</v>
      </c>
      <c r="D66" t="s">
        <v>184</v>
      </c>
      <c r="E66">
        <v>17234805</v>
      </c>
      <c r="F66" t="s">
        <v>235</v>
      </c>
      <c r="G66" t="s">
        <v>53</v>
      </c>
      <c r="H66">
        <v>1</v>
      </c>
      <c r="I66">
        <v>0</v>
      </c>
      <c r="J66">
        <v>3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75000</v>
      </c>
      <c r="AB66" s="11">
        <v>46197</v>
      </c>
      <c r="AC66">
        <v>1</v>
      </c>
      <c r="AD66">
        <v>75000</v>
      </c>
      <c r="AE66" t="s">
        <v>109</v>
      </c>
      <c r="AF66">
        <v>0</v>
      </c>
      <c r="AG66">
        <v>46198</v>
      </c>
      <c r="AO66" s="39">
        <v>64</v>
      </c>
      <c r="AP66" s="40">
        <v>46183</v>
      </c>
      <c r="AQ66" s="41" t="s">
        <v>97</v>
      </c>
      <c r="AR66" s="42" t="str">
        <f>IFERROR(VLOOKUP(AU66,[2]SUMMARY!$A$3:$B$7,2,FALSE),"")</f>
        <v>MC-SAGARANTEN</v>
      </c>
      <c r="AS66" s="31">
        <v>17449694</v>
      </c>
      <c r="AT66" s="31" t="str">
        <f>VLOOKUP(AS66,[2]OUTLET!$B:$C,2,0)</f>
        <v>CENTRAL PHONE ACC</v>
      </c>
      <c r="AU66" s="31" t="s">
        <v>42</v>
      </c>
      <c r="AV66" s="6">
        <v>1</v>
      </c>
      <c r="AW66" s="44">
        <f>IFERROR(VLOOKUP(AQ66,'[2]Harga &amp; Nama CSO'!$A$116:$L$136,2,FALSE),0)*AV66</f>
        <v>0</v>
      </c>
      <c r="AX66" s="44">
        <f>IFERROR(VLOOKUP(AQ66,'[2]Harga &amp; Nama CSO'!$A$116:$L$136,3,FALSE),0)*AV66</f>
        <v>0</v>
      </c>
      <c r="AY66" s="44">
        <f>IFERROR(VLOOKUP(AQ66,'[2]Harga &amp; Nama CSO'!$A$116:$L$136,4,FALSE),0)*AV66</f>
        <v>3</v>
      </c>
      <c r="AZ66" s="44">
        <f>IFERROR(VLOOKUP(AQ66,'[2]Harga &amp; Nama CSO'!$A$116:$L$136,5,FALSE),0)*AV66</f>
        <v>0</v>
      </c>
      <c r="BA66" s="44">
        <f>IFERROR(VLOOKUP(AQ66,'[2]Harga &amp; Nama CSO'!$A$116:$L$136,6,FALSE),0)*AV66</f>
        <v>0</v>
      </c>
      <c r="BB66" s="44">
        <f>IFERROR(VLOOKUP(AQ66,'[2]Harga &amp; Nama CSO'!$A$116:$L$136,7,FALSE),0)*AV66</f>
        <v>0</v>
      </c>
      <c r="BC66" s="44">
        <f>IFERROR(VLOOKUP(AQ66,'[2]Harga &amp; Nama CSO'!$A$116:$L$136,8,FALSE),0)*AV66</f>
        <v>0</v>
      </c>
      <c r="BD66" s="44">
        <f>IFERROR(VLOOKUP(AQ66,'[2]Harga &amp; Nama CSO'!$A$116:$L$136,9,FALSE),0)*AV66</f>
        <v>0</v>
      </c>
      <c r="BE66" s="44">
        <f>IFERROR(VLOOKUP(AQ66,'[2]Harga &amp; Nama CSO'!$A$116:$L$136,10,FALSE),0)*AV66</f>
        <v>3</v>
      </c>
      <c r="BF66" s="44">
        <f>IFERROR(VLOOKUP(AQ66,'[2]Harga &amp; Nama CSO'!$A$116:$L$136,11,FALSE),0)*AV66</f>
        <v>0</v>
      </c>
      <c r="BG66" s="44">
        <f>IFERROR(VLOOKUP(AQ66,'[2]Harga &amp; Nama CSO'!$A$116:$L$136,12,FALSE),0)*AV66</f>
        <v>0</v>
      </c>
      <c r="BH66" s="44">
        <f>IFERROR(VLOOKUP(AQ66,'[2]Harga &amp; Nama CSO'!$A$116:$R$136,13,FALSE),0)*AV66</f>
        <v>0</v>
      </c>
      <c r="BI66" s="44">
        <f>IFERROR(VLOOKUP(AQ66,'[2]Harga &amp; Nama CSO'!$A$116:$R$136,14,FALSE),0)*AV66</f>
        <v>3</v>
      </c>
      <c r="BJ66" s="44">
        <f>IFERROR(VLOOKUP(AQ66,'[2]Harga &amp; Nama CSO'!$A$116:$R$136,15,FALSE),0)*AV66</f>
        <v>0</v>
      </c>
      <c r="BK66" s="44">
        <f>IFERROR(VLOOKUP(AQ66,'[2]Harga &amp; Nama CSO'!$A$116:$R$136,16,FALSE),0)*AV66</f>
        <v>0</v>
      </c>
      <c r="BL66" s="44">
        <f>IFERROR(VLOOKUP(AQ66,'[2]Harga &amp; Nama CSO'!$A$116:$R$136,17,FALSE),0)*AV66</f>
        <v>0</v>
      </c>
      <c r="BM66" s="44">
        <f>IFERROR(VLOOKUP(AQ66,'[2]Harga &amp; Nama CSO'!$A$116:$R$136,18,FALSE),0)*AV66</f>
        <v>0</v>
      </c>
      <c r="BN66" s="44">
        <f>IFERROR(VLOOKUP(AQ66,'[2]Harga &amp; Nama CSO'!$A$116:$S$136,19,FALSE),0)*AV66</f>
        <v>0</v>
      </c>
      <c r="BO66" s="55">
        <f>IFERROR(VLOOKUP(AQ66,'[2]Harga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VLOOKUP(AQ66,'[1]Harga &amp; Nama CSO'!$A$28:$D$31,4,0)*BQ66</f>
        <v>3</v>
      </c>
    </row>
    <row r="67" spans="1:75" x14ac:dyDescent="0.35">
      <c r="A67">
        <v>172</v>
      </c>
      <c r="B67" s="11">
        <v>46197</v>
      </c>
      <c r="C67" t="s">
        <v>204</v>
      </c>
      <c r="D67" t="s">
        <v>184</v>
      </c>
      <c r="E67">
        <v>1559327</v>
      </c>
      <c r="F67" t="s">
        <v>236</v>
      </c>
      <c r="G67" t="s">
        <v>53</v>
      </c>
      <c r="H67">
        <v>1</v>
      </c>
      <c r="I67">
        <v>0</v>
      </c>
      <c r="J67">
        <v>3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75000</v>
      </c>
      <c r="AB67" s="11">
        <v>46197</v>
      </c>
      <c r="AC67">
        <v>1</v>
      </c>
      <c r="AD67">
        <v>75000</v>
      </c>
      <c r="AE67" t="s">
        <v>109</v>
      </c>
      <c r="AF67">
        <v>0</v>
      </c>
      <c r="AG67">
        <v>46198</v>
      </c>
      <c r="AO67" s="39">
        <v>65</v>
      </c>
      <c r="AP67" s="40">
        <v>46183</v>
      </c>
      <c r="AQ67" s="41" t="s">
        <v>97</v>
      </c>
      <c r="AR67" s="42" t="str">
        <f>IFERROR(VLOOKUP(AU67,[2]SUMMARY!$A$3:$B$7,2,FALSE),"")</f>
        <v>MC-SAGARANTEN</v>
      </c>
      <c r="AS67" s="31">
        <v>1554006</v>
      </c>
      <c r="AT67" s="31" t="str">
        <f>VLOOKUP(AS67,[2]OUTLET!$B:$C,2,0)</f>
        <v>ABUELA CELL</v>
      </c>
      <c r="AU67" s="31" t="s">
        <v>42</v>
      </c>
      <c r="AV67" s="6">
        <v>1</v>
      </c>
      <c r="AW67" s="44">
        <f>IFERROR(VLOOKUP(AQ67,'[2]Harga &amp; Nama CSO'!$A$116:$L$136,2,FALSE),0)*AV67</f>
        <v>0</v>
      </c>
      <c r="AX67" s="44">
        <f>IFERROR(VLOOKUP(AQ67,'[2]Harga &amp; Nama CSO'!$A$116:$L$136,3,FALSE),0)*AV67</f>
        <v>0</v>
      </c>
      <c r="AY67" s="44">
        <f>IFERROR(VLOOKUP(AQ67,'[2]Harga &amp; Nama CSO'!$A$116:$L$136,4,FALSE),0)*AV67</f>
        <v>3</v>
      </c>
      <c r="AZ67" s="44">
        <f>IFERROR(VLOOKUP(AQ67,'[2]Harga &amp; Nama CSO'!$A$116:$L$136,5,FALSE),0)*AV67</f>
        <v>0</v>
      </c>
      <c r="BA67" s="44">
        <f>IFERROR(VLOOKUP(AQ67,'[2]Harga &amp; Nama CSO'!$A$116:$L$136,6,FALSE),0)*AV67</f>
        <v>0</v>
      </c>
      <c r="BB67" s="44">
        <f>IFERROR(VLOOKUP(AQ67,'[2]Harga &amp; Nama CSO'!$A$116:$L$136,7,FALSE),0)*AV67</f>
        <v>0</v>
      </c>
      <c r="BC67" s="44">
        <f>IFERROR(VLOOKUP(AQ67,'[2]Harga &amp; Nama CSO'!$A$116:$L$136,8,FALSE),0)*AV67</f>
        <v>0</v>
      </c>
      <c r="BD67" s="44">
        <f>IFERROR(VLOOKUP(AQ67,'[2]Harga &amp; Nama CSO'!$A$116:$L$136,9,FALSE),0)*AV67</f>
        <v>0</v>
      </c>
      <c r="BE67" s="44">
        <f>IFERROR(VLOOKUP(AQ67,'[2]Harga &amp; Nama CSO'!$A$116:$L$136,10,FALSE),0)*AV67</f>
        <v>3</v>
      </c>
      <c r="BF67" s="44">
        <f>IFERROR(VLOOKUP(AQ67,'[2]Harga &amp; Nama CSO'!$A$116:$L$136,11,FALSE),0)*AV67</f>
        <v>0</v>
      </c>
      <c r="BG67" s="44">
        <f>IFERROR(VLOOKUP(AQ67,'[2]Harga &amp; Nama CSO'!$A$116:$L$136,12,FALSE),0)*AV67</f>
        <v>0</v>
      </c>
      <c r="BH67" s="44">
        <f>IFERROR(VLOOKUP(AQ67,'[2]Harga &amp; Nama CSO'!$A$116:$R$136,13,FALSE),0)*AV67</f>
        <v>0</v>
      </c>
      <c r="BI67" s="44">
        <f>IFERROR(VLOOKUP(AQ67,'[2]Harga &amp; Nama CSO'!$A$116:$R$136,14,FALSE),0)*AV67</f>
        <v>3</v>
      </c>
      <c r="BJ67" s="44">
        <f>IFERROR(VLOOKUP(AQ67,'[2]Harga &amp; Nama CSO'!$A$116:$R$136,15,FALSE),0)*AV67</f>
        <v>0</v>
      </c>
      <c r="BK67" s="44">
        <f>IFERROR(VLOOKUP(AQ67,'[2]Harga &amp; Nama CSO'!$A$116:$R$136,16,FALSE),0)*AV67</f>
        <v>0</v>
      </c>
      <c r="BL67" s="44">
        <f>IFERROR(VLOOKUP(AQ67,'[2]Harga &amp; Nama CSO'!$A$116:$R$136,17,FALSE),0)*AV67</f>
        <v>0</v>
      </c>
      <c r="BM67" s="44">
        <f>IFERROR(VLOOKUP(AQ67,'[2]Harga &amp; Nama CSO'!$A$116:$R$136,18,FALSE),0)*AV67</f>
        <v>0</v>
      </c>
      <c r="BN67" s="44">
        <f>IFERROR(VLOOKUP(AQ67,'[2]Harga &amp; Nama CSO'!$A$116:$S$136,19,FALSE),0)*AV67</f>
        <v>0</v>
      </c>
      <c r="BO67" s="55">
        <f>IFERROR(VLOOKUP(AQ67,'[2]Harga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130" si="30">BO67-BR67</f>
        <v>0</v>
      </c>
      <c r="BU67" s="40">
        <v>46184</v>
      </c>
      <c r="BV67" s="8" t="e">
        <v>#VALUE!</v>
      </c>
      <c r="BW67" s="58">
        <f>VLOOKUP(AQ67,'[1]Harga &amp; Nama CSO'!$A$28:$D$31,4,0)*BQ67</f>
        <v>3</v>
      </c>
    </row>
    <row r="68" spans="1:75" x14ac:dyDescent="0.35">
      <c r="A68">
        <v>173</v>
      </c>
      <c r="B68" s="11">
        <v>46197</v>
      </c>
      <c r="C68" t="s">
        <v>204</v>
      </c>
      <c r="D68" t="s">
        <v>184</v>
      </c>
      <c r="E68">
        <v>17670175</v>
      </c>
      <c r="F68" t="s">
        <v>237</v>
      </c>
      <c r="G68" t="s">
        <v>54</v>
      </c>
      <c r="H68">
        <v>1</v>
      </c>
      <c r="I68">
        <v>0</v>
      </c>
      <c r="J68">
        <v>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75000</v>
      </c>
      <c r="AB68" s="11"/>
      <c r="AF68">
        <v>75000</v>
      </c>
      <c r="AO68" s="39">
        <v>66</v>
      </c>
      <c r="AP68" s="40">
        <v>46184</v>
      </c>
      <c r="AQ68" s="41" t="s">
        <v>96</v>
      </c>
      <c r="AR68" s="42" t="str">
        <f>IFERROR(VLOOKUP(AU68,[2]SUMMARY!$A$3:$B$7,2,FALSE),"")</f>
        <v>MC-SAGARANTEN</v>
      </c>
      <c r="AS68" s="31">
        <v>1287335</v>
      </c>
      <c r="AT68" s="31" t="str">
        <f>VLOOKUP(AS68,[2]OUTLET!$B:$C,2,0)</f>
        <v>HILMAN CEL</v>
      </c>
      <c r="AU68" s="31" t="s">
        <v>54</v>
      </c>
      <c r="AV68" s="6">
        <v>1</v>
      </c>
      <c r="AW68" s="44">
        <f>IFERROR(VLOOKUP(AQ68,'[2]Harga &amp; Nama CSO'!$A$116:$L$136,2,FALSE),0)*AV68</f>
        <v>0</v>
      </c>
      <c r="AX68" s="44">
        <f>IFERROR(VLOOKUP(AQ68,'[2]Harga &amp; Nama CSO'!$A$116:$L$136,3,FALSE),0)*AV68</f>
        <v>0</v>
      </c>
      <c r="AY68" s="44">
        <f>IFERROR(VLOOKUP(AQ68,'[2]Harga &amp; Nama CSO'!$A$116:$L$136,4,FALSE),0)*AV68</f>
        <v>3</v>
      </c>
      <c r="AZ68" s="44">
        <f>IFERROR(VLOOKUP(AQ68,'[2]Harga &amp; Nama CSO'!$A$116:$L$136,5,FALSE),0)*AV68</f>
        <v>0</v>
      </c>
      <c r="BA68" s="44">
        <f>IFERROR(VLOOKUP(AQ68,'[2]Harga &amp; Nama CSO'!$A$116:$L$136,6,FALSE),0)*AV68</f>
        <v>0</v>
      </c>
      <c r="BB68" s="44">
        <f>IFERROR(VLOOKUP(AQ68,'[2]Harga &amp; Nama CSO'!$A$116:$L$136,7,FALSE),0)*AV68</f>
        <v>0</v>
      </c>
      <c r="BC68" s="44">
        <f>IFERROR(VLOOKUP(AQ68,'[2]Harga &amp; Nama CSO'!$A$116:$L$136,8,FALSE),0)*AV68</f>
        <v>3</v>
      </c>
      <c r="BD68" s="44">
        <f>IFERROR(VLOOKUP(AQ68,'[2]Harga &amp; Nama CSO'!$A$116:$L$136,9,FALSE),0)*AV68</f>
        <v>0</v>
      </c>
      <c r="BE68" s="44">
        <f>IFERROR(VLOOKUP(AQ68,'[2]Harga &amp; Nama CSO'!$A$116:$L$136,10,FALSE),0)*AV68</f>
        <v>0</v>
      </c>
      <c r="BF68" s="44">
        <f>IFERROR(VLOOKUP(AQ68,'[2]Harga &amp; Nama CSO'!$A$116:$L$136,11,FALSE),0)*AV68</f>
        <v>0</v>
      </c>
      <c r="BG68" s="44">
        <f>IFERROR(VLOOKUP(AQ68,'[2]Harga &amp; Nama CSO'!$A$116:$L$136,12,FALSE),0)*AV68</f>
        <v>0</v>
      </c>
      <c r="BH68" s="44">
        <f>IFERROR(VLOOKUP(AQ68,'[2]Harga &amp; Nama CSO'!$A$116:$R$136,13,FALSE),0)*AV68</f>
        <v>0</v>
      </c>
      <c r="BI68" s="44">
        <f>IFERROR(VLOOKUP(AQ68,'[2]Harga &amp; Nama CSO'!$A$116:$R$136,14,FALSE),0)*AV68</f>
        <v>3</v>
      </c>
      <c r="BJ68" s="44">
        <f>IFERROR(VLOOKUP(AQ68,'[2]Harga &amp; Nama CSO'!$A$116:$R$136,15,FALSE),0)*AV68</f>
        <v>0</v>
      </c>
      <c r="BK68" s="44">
        <f>IFERROR(VLOOKUP(AQ68,'[2]Harga &amp; Nama CSO'!$A$116:$R$136,16,FALSE),0)*AV68</f>
        <v>0</v>
      </c>
      <c r="BL68" s="44">
        <f>IFERROR(VLOOKUP(AQ68,'[2]Harga &amp; Nama CSO'!$A$116:$R$136,17,FALSE),0)*AV68</f>
        <v>0</v>
      </c>
      <c r="BM68" s="44">
        <f>IFERROR(VLOOKUP(AQ68,'[2]Harga &amp; Nama CSO'!$A$116:$R$136,18,FALSE),0)*AV68</f>
        <v>0</v>
      </c>
      <c r="BN68" s="44">
        <f>IFERROR(VLOOKUP(AQ68,'[2]Harga &amp; Nama CSO'!$A$116:$S$136,19,FALSE),0)*AV68</f>
        <v>0</v>
      </c>
      <c r="BO68" s="55">
        <f>IFERROR(VLOOKUP(AQ68,'[2]Harga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30"/>
        <v>0</v>
      </c>
      <c r="BU68" s="40">
        <v>46185</v>
      </c>
      <c r="BV68" s="8" t="e">
        <v>#VALUE!</v>
      </c>
      <c r="BW68" s="58">
        <f>VLOOKUP(AQ68,'[1]Harga &amp; Nama CSO'!$A$28:$D$31,4,0)*BQ68</f>
        <v>3</v>
      </c>
    </row>
    <row r="69" spans="1:75" x14ac:dyDescent="0.35">
      <c r="A69">
        <v>174</v>
      </c>
      <c r="B69" s="11">
        <v>46197</v>
      </c>
      <c r="C69" t="s">
        <v>204</v>
      </c>
      <c r="D69" t="s">
        <v>184</v>
      </c>
      <c r="E69">
        <v>17650729</v>
      </c>
      <c r="F69" t="s">
        <v>238</v>
      </c>
      <c r="G69" t="s">
        <v>54</v>
      </c>
      <c r="H69">
        <v>1</v>
      </c>
      <c r="I69">
        <v>0</v>
      </c>
      <c r="J69">
        <v>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75000</v>
      </c>
      <c r="AB69" s="11"/>
      <c r="AF69">
        <v>75000</v>
      </c>
      <c r="AO69" s="39">
        <v>67</v>
      </c>
      <c r="AP69" s="40">
        <v>46184</v>
      </c>
      <c r="AQ69" s="41" t="s">
        <v>96</v>
      </c>
      <c r="AR69" s="42" t="str">
        <f>IFERROR(VLOOKUP(AU69,[2]SUMMARY!$A$3:$B$7,2,FALSE),"")</f>
        <v>MC-SAGARANTEN</v>
      </c>
      <c r="AS69" s="31">
        <v>17459602</v>
      </c>
      <c r="AT69" s="31" t="str">
        <f>VLOOKUP(AS69,[2]OUTLET!$B:$C,2,0)</f>
        <v>DEWALA CELL</v>
      </c>
      <c r="AU69" s="31" t="s">
        <v>54</v>
      </c>
      <c r="AV69" s="6">
        <v>1</v>
      </c>
      <c r="AW69" s="44">
        <f>IFERROR(VLOOKUP(AQ69,'[2]Harga &amp; Nama CSO'!$A$116:$L$136,2,FALSE),0)*AV69</f>
        <v>0</v>
      </c>
      <c r="AX69" s="44">
        <f>IFERROR(VLOOKUP(AQ69,'[2]Harga &amp; Nama CSO'!$A$116:$L$136,3,FALSE),0)*AV69</f>
        <v>0</v>
      </c>
      <c r="AY69" s="44">
        <f>IFERROR(VLOOKUP(AQ69,'[2]Harga &amp; Nama CSO'!$A$116:$L$136,4,FALSE),0)*AV69</f>
        <v>3</v>
      </c>
      <c r="AZ69" s="44">
        <f>IFERROR(VLOOKUP(AQ69,'[2]Harga &amp; Nama CSO'!$A$116:$L$136,5,FALSE),0)*AV69</f>
        <v>0</v>
      </c>
      <c r="BA69" s="44">
        <f>IFERROR(VLOOKUP(AQ69,'[2]Harga &amp; Nama CSO'!$A$116:$L$136,6,FALSE),0)*AV69</f>
        <v>0</v>
      </c>
      <c r="BB69" s="44">
        <f>IFERROR(VLOOKUP(AQ69,'[2]Harga &amp; Nama CSO'!$A$116:$L$136,7,FALSE),0)*AV69</f>
        <v>0</v>
      </c>
      <c r="BC69" s="44">
        <f>IFERROR(VLOOKUP(AQ69,'[2]Harga &amp; Nama CSO'!$A$116:$L$136,8,FALSE),0)*AV69</f>
        <v>3</v>
      </c>
      <c r="BD69" s="44">
        <f>IFERROR(VLOOKUP(AQ69,'[2]Harga &amp; Nama CSO'!$A$116:$L$136,9,FALSE),0)*AV69</f>
        <v>0</v>
      </c>
      <c r="BE69" s="44">
        <f>IFERROR(VLOOKUP(AQ69,'[2]Harga &amp; Nama CSO'!$A$116:$L$136,10,FALSE),0)*AV69</f>
        <v>0</v>
      </c>
      <c r="BF69" s="44">
        <f>IFERROR(VLOOKUP(AQ69,'[2]Harga &amp; Nama CSO'!$A$116:$L$136,11,FALSE),0)*AV69</f>
        <v>0</v>
      </c>
      <c r="BG69" s="44">
        <f>IFERROR(VLOOKUP(AQ69,'[2]Harga &amp; Nama CSO'!$A$116:$L$136,12,FALSE),0)*AV69</f>
        <v>0</v>
      </c>
      <c r="BH69" s="44">
        <f>IFERROR(VLOOKUP(AQ69,'[2]Harga &amp; Nama CSO'!$A$116:$R$136,13,FALSE),0)*AV69</f>
        <v>0</v>
      </c>
      <c r="BI69" s="44">
        <f>IFERROR(VLOOKUP(AQ69,'[2]Harga &amp; Nama CSO'!$A$116:$R$136,14,FALSE),0)*AV69</f>
        <v>3</v>
      </c>
      <c r="BJ69" s="44">
        <f>IFERROR(VLOOKUP(AQ69,'[2]Harga &amp; Nama CSO'!$A$116:$R$136,15,FALSE),0)*AV69</f>
        <v>0</v>
      </c>
      <c r="BK69" s="44">
        <f>IFERROR(VLOOKUP(AQ69,'[2]Harga &amp; Nama CSO'!$A$116:$R$136,16,FALSE),0)*AV69</f>
        <v>0</v>
      </c>
      <c r="BL69" s="44">
        <f>IFERROR(VLOOKUP(AQ69,'[2]Harga &amp; Nama CSO'!$A$116:$R$136,17,FALSE),0)*AV69</f>
        <v>0</v>
      </c>
      <c r="BM69" s="44">
        <f>IFERROR(VLOOKUP(AQ69,'[2]Harga &amp; Nama CSO'!$A$116:$R$136,18,FALSE),0)*AV69</f>
        <v>0</v>
      </c>
      <c r="BN69" s="44">
        <f>IFERROR(VLOOKUP(AQ69,'[2]Harga &amp; Nama CSO'!$A$116:$S$136,19,FALSE),0)*AV69</f>
        <v>0</v>
      </c>
      <c r="BO69" s="55">
        <f>IFERROR(VLOOKUP(AQ69,'[2]Harga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30"/>
        <v>0</v>
      </c>
      <c r="BU69" s="40">
        <v>46185</v>
      </c>
      <c r="BV69" s="8" t="e">
        <v>#VALUE!</v>
      </c>
      <c r="BW69" s="58">
        <f>VLOOKUP(AQ69,'[1]Harga &amp; Nama CSO'!$A$28:$D$31,4,0)*BQ69</f>
        <v>3</v>
      </c>
    </row>
    <row r="70" spans="1:75" x14ac:dyDescent="0.35">
      <c r="A70">
        <v>175</v>
      </c>
      <c r="B70" s="11">
        <v>46197</v>
      </c>
      <c r="C70" t="s">
        <v>204</v>
      </c>
      <c r="D70" t="s">
        <v>184</v>
      </c>
      <c r="E70">
        <v>17645922</v>
      </c>
      <c r="F70" t="s">
        <v>239</v>
      </c>
      <c r="G70" t="s">
        <v>54</v>
      </c>
      <c r="H70">
        <v>1</v>
      </c>
      <c r="I70">
        <v>0</v>
      </c>
      <c r="J70">
        <v>3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75000</v>
      </c>
      <c r="AB70" s="11"/>
      <c r="AF70">
        <v>75000</v>
      </c>
      <c r="AO70" s="39">
        <v>68</v>
      </c>
      <c r="AP70" s="40">
        <v>46184</v>
      </c>
      <c r="AQ70" s="41" t="s">
        <v>96</v>
      </c>
      <c r="AR70" s="42" t="str">
        <f>IFERROR(VLOOKUP(AU70,[2]SUMMARY!$A$3:$B$7,2,FALSE),"")</f>
        <v>MC-SAGARANTEN</v>
      </c>
      <c r="AS70" s="31">
        <v>17261466</v>
      </c>
      <c r="AT70" s="31" t="str">
        <f>VLOOKUP(AS70,[2]OUTLET!$B:$C,2,0)</f>
        <v>BINTANG CELL</v>
      </c>
      <c r="AU70" s="31" t="s">
        <v>54</v>
      </c>
      <c r="AV70" s="6">
        <v>1</v>
      </c>
      <c r="AW70" s="44">
        <f>IFERROR(VLOOKUP(AQ70,'[2]Harga &amp; Nama CSO'!$A$116:$L$136,2,FALSE),0)*AV70</f>
        <v>0</v>
      </c>
      <c r="AX70" s="44">
        <f>IFERROR(VLOOKUP(AQ70,'[2]Harga &amp; Nama CSO'!$A$116:$L$136,3,FALSE),0)*AV70</f>
        <v>0</v>
      </c>
      <c r="AY70" s="44">
        <f>IFERROR(VLOOKUP(AQ70,'[2]Harga &amp; Nama CSO'!$A$116:$L$136,4,FALSE),0)*AV70</f>
        <v>3</v>
      </c>
      <c r="AZ70" s="44">
        <f>IFERROR(VLOOKUP(AQ70,'[2]Harga &amp; Nama CSO'!$A$116:$L$136,5,FALSE),0)*AV70</f>
        <v>0</v>
      </c>
      <c r="BA70" s="44">
        <f>IFERROR(VLOOKUP(AQ70,'[2]Harga &amp; Nama CSO'!$A$116:$L$136,6,FALSE),0)*AV70</f>
        <v>0</v>
      </c>
      <c r="BB70" s="44">
        <f>IFERROR(VLOOKUP(AQ70,'[2]Harga &amp; Nama CSO'!$A$116:$L$136,7,FALSE),0)*AV70</f>
        <v>0</v>
      </c>
      <c r="BC70" s="44">
        <f>IFERROR(VLOOKUP(AQ70,'[2]Harga &amp; Nama CSO'!$A$116:$L$136,8,FALSE),0)*AV70</f>
        <v>3</v>
      </c>
      <c r="BD70" s="44">
        <f>IFERROR(VLOOKUP(AQ70,'[2]Harga &amp; Nama CSO'!$A$116:$L$136,9,FALSE),0)*AV70</f>
        <v>0</v>
      </c>
      <c r="BE70" s="44">
        <f>IFERROR(VLOOKUP(AQ70,'[2]Harga &amp; Nama CSO'!$A$116:$L$136,10,FALSE),0)*AV70</f>
        <v>0</v>
      </c>
      <c r="BF70" s="44">
        <f>IFERROR(VLOOKUP(AQ70,'[2]Harga &amp; Nama CSO'!$A$116:$L$136,11,FALSE),0)*AV70</f>
        <v>0</v>
      </c>
      <c r="BG70" s="44">
        <f>IFERROR(VLOOKUP(AQ70,'[2]Harga &amp; Nama CSO'!$A$116:$L$136,12,FALSE),0)*AV70</f>
        <v>0</v>
      </c>
      <c r="BH70" s="44">
        <f>IFERROR(VLOOKUP(AQ70,'[2]Harga &amp; Nama CSO'!$A$116:$R$136,13,FALSE),0)*AV70</f>
        <v>0</v>
      </c>
      <c r="BI70" s="44">
        <f>IFERROR(VLOOKUP(AQ70,'[2]Harga &amp; Nama CSO'!$A$116:$R$136,14,FALSE),0)*AV70</f>
        <v>3</v>
      </c>
      <c r="BJ70" s="44">
        <f>IFERROR(VLOOKUP(AQ70,'[2]Harga &amp; Nama CSO'!$A$116:$R$136,15,FALSE),0)*AV70</f>
        <v>0</v>
      </c>
      <c r="BK70" s="44">
        <f>IFERROR(VLOOKUP(AQ70,'[2]Harga &amp; Nama CSO'!$A$116:$R$136,16,FALSE),0)*AV70</f>
        <v>0</v>
      </c>
      <c r="BL70" s="44">
        <f>IFERROR(VLOOKUP(AQ70,'[2]Harga &amp; Nama CSO'!$A$116:$R$136,17,FALSE),0)*AV70</f>
        <v>0</v>
      </c>
      <c r="BM70" s="44">
        <f>IFERROR(VLOOKUP(AQ70,'[2]Harga &amp; Nama CSO'!$A$116:$R$136,18,FALSE),0)*AV70</f>
        <v>0</v>
      </c>
      <c r="BN70" s="44">
        <f>IFERROR(VLOOKUP(AQ70,'[2]Harga &amp; Nama CSO'!$A$116:$S$136,19,FALSE),0)*AV70</f>
        <v>0</v>
      </c>
      <c r="BO70" s="55">
        <f>IFERROR(VLOOKUP(AQ70,'[2]Harga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30"/>
        <v>0</v>
      </c>
      <c r="BU70" s="40">
        <v>46185</v>
      </c>
      <c r="BV70" s="8" t="e">
        <v>#VALUE!</v>
      </c>
      <c r="BW70" s="58">
        <f>VLOOKUP(AQ70,'[1]Harga &amp; Nama CSO'!$A$28:$D$31,4,0)*BQ70</f>
        <v>3</v>
      </c>
    </row>
    <row r="71" spans="1:75" x14ac:dyDescent="0.35">
      <c r="A71">
        <v>176</v>
      </c>
      <c r="B71" s="11">
        <v>46197</v>
      </c>
      <c r="C71" t="s">
        <v>204</v>
      </c>
      <c r="D71" t="s">
        <v>184</v>
      </c>
      <c r="E71">
        <v>17695551</v>
      </c>
      <c r="F71" t="s">
        <v>240</v>
      </c>
      <c r="G71" t="s">
        <v>54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/>
      <c r="AF71">
        <v>75000</v>
      </c>
      <c r="AO71" s="39">
        <v>69</v>
      </c>
      <c r="AP71" s="40">
        <v>46184</v>
      </c>
      <c r="AQ71" s="41" t="s">
        <v>97</v>
      </c>
      <c r="AR71" s="42" t="str">
        <f>IFERROR(VLOOKUP(AU71,[2]SUMMARY!$A$3:$B$7,2,FALSE),"")</f>
        <v>MC-SAGARANTEN</v>
      </c>
      <c r="AS71" s="31">
        <v>17513411</v>
      </c>
      <c r="AT71" s="31" t="str">
        <f>VLOOKUP(AS71,[2]OUTLET!$B:$C,2,0)</f>
        <v>Albar cell</v>
      </c>
      <c r="AU71" s="31" t="s">
        <v>53</v>
      </c>
      <c r="AV71" s="6">
        <v>1</v>
      </c>
      <c r="AW71" s="44">
        <f>IFERROR(VLOOKUP(AQ71,'[2]Harga &amp; Nama CSO'!$A$116:$L$136,2,FALSE),0)*AV71</f>
        <v>0</v>
      </c>
      <c r="AX71" s="44">
        <f>IFERROR(VLOOKUP(AQ71,'[2]Harga &amp; Nama CSO'!$A$116:$L$136,3,FALSE),0)*AV71</f>
        <v>0</v>
      </c>
      <c r="AY71" s="44">
        <f>IFERROR(VLOOKUP(AQ71,'[2]Harga &amp; Nama CSO'!$A$116:$L$136,4,FALSE),0)*AV71</f>
        <v>3</v>
      </c>
      <c r="AZ71" s="44">
        <f>IFERROR(VLOOKUP(AQ71,'[2]Harga &amp; Nama CSO'!$A$116:$L$136,5,FALSE),0)*AV71</f>
        <v>0</v>
      </c>
      <c r="BA71" s="44">
        <f>IFERROR(VLOOKUP(AQ71,'[2]Harga &amp; Nama CSO'!$A$116:$L$136,6,FALSE),0)*AV71</f>
        <v>0</v>
      </c>
      <c r="BB71" s="44">
        <f>IFERROR(VLOOKUP(AQ71,'[2]Harga &amp; Nama CSO'!$A$116:$L$136,7,FALSE),0)*AV71</f>
        <v>0</v>
      </c>
      <c r="BC71" s="44">
        <f>IFERROR(VLOOKUP(AQ71,'[2]Harga &amp; Nama CSO'!$A$116:$L$136,8,FALSE),0)*AV71</f>
        <v>0</v>
      </c>
      <c r="BD71" s="44">
        <f>IFERROR(VLOOKUP(AQ71,'[2]Harga &amp; Nama CSO'!$A$116:$L$136,9,FALSE),0)*AV71</f>
        <v>0</v>
      </c>
      <c r="BE71" s="44">
        <f>IFERROR(VLOOKUP(AQ71,'[2]Harga &amp; Nama CSO'!$A$116:$L$136,10,FALSE),0)*AV71</f>
        <v>3</v>
      </c>
      <c r="BF71" s="44">
        <f>IFERROR(VLOOKUP(AQ71,'[2]Harga &amp; Nama CSO'!$A$116:$L$136,11,FALSE),0)*AV71</f>
        <v>0</v>
      </c>
      <c r="BG71" s="44">
        <f>IFERROR(VLOOKUP(AQ71,'[2]Harga &amp; Nama CSO'!$A$116:$L$136,12,FALSE),0)*AV71</f>
        <v>0</v>
      </c>
      <c r="BH71" s="44">
        <f>IFERROR(VLOOKUP(AQ71,'[2]Harga &amp; Nama CSO'!$A$116:$R$136,13,FALSE),0)*AV71</f>
        <v>0</v>
      </c>
      <c r="BI71" s="44">
        <f>IFERROR(VLOOKUP(AQ71,'[2]Harga &amp; Nama CSO'!$A$116:$R$136,14,FALSE),0)*AV71</f>
        <v>3</v>
      </c>
      <c r="BJ71" s="44">
        <f>IFERROR(VLOOKUP(AQ71,'[2]Harga &amp; Nama CSO'!$A$116:$R$136,15,FALSE),0)*AV71</f>
        <v>0</v>
      </c>
      <c r="BK71" s="44">
        <f>IFERROR(VLOOKUP(AQ71,'[2]Harga &amp; Nama CSO'!$A$116:$R$136,16,FALSE),0)*AV71</f>
        <v>0</v>
      </c>
      <c r="BL71" s="44">
        <f>IFERROR(VLOOKUP(AQ71,'[2]Harga &amp; Nama CSO'!$A$116:$R$136,17,FALSE),0)*AV71</f>
        <v>0</v>
      </c>
      <c r="BM71" s="44">
        <f>IFERROR(VLOOKUP(AQ71,'[2]Harga &amp; Nama CSO'!$A$116:$R$136,18,FALSE),0)*AV71</f>
        <v>0</v>
      </c>
      <c r="BN71" s="44">
        <f>IFERROR(VLOOKUP(AQ71,'[2]Harga &amp; Nama CSO'!$A$116:$S$136,19,FALSE),0)*AV71</f>
        <v>0</v>
      </c>
      <c r="BO71" s="55">
        <f>IFERROR(VLOOKUP(AQ71,'[2]Harga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30"/>
        <v>0</v>
      </c>
      <c r="BU71" s="40">
        <v>46185</v>
      </c>
      <c r="BV71" s="8" t="e">
        <v>#VALUE!</v>
      </c>
      <c r="BW71" s="58">
        <f>VLOOKUP(AQ71,'[1]Harga &amp; Nama CSO'!$A$28:$D$31,4,0)*BQ71</f>
        <v>3</v>
      </c>
    </row>
    <row r="72" spans="1:75" x14ac:dyDescent="0.35">
      <c r="A72">
        <v>177</v>
      </c>
      <c r="B72" s="11">
        <v>46197</v>
      </c>
      <c r="C72" t="s">
        <v>204</v>
      </c>
      <c r="D72" t="s">
        <v>184</v>
      </c>
      <c r="E72">
        <v>17139621</v>
      </c>
      <c r="F72" t="s">
        <v>241</v>
      </c>
      <c r="G72" t="s">
        <v>54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/>
      <c r="AF72">
        <v>75000</v>
      </c>
      <c r="AO72" s="39">
        <v>70</v>
      </c>
      <c r="AP72" s="40">
        <v>46184</v>
      </c>
      <c r="AQ72" s="41" t="s">
        <v>97</v>
      </c>
      <c r="AR72" s="42" t="str">
        <f>IFERROR(VLOOKUP(AU72,[2]SUMMARY!$A$3:$B$7,2,FALSE),"")</f>
        <v>MC-SAGARANTEN</v>
      </c>
      <c r="AS72" s="31">
        <v>17740226</v>
      </c>
      <c r="AT72" s="31" t="str">
        <f>VLOOKUP(AS72,[2]OUTLET!$B:$C,2,0)</f>
        <v>Kayla cell</v>
      </c>
      <c r="AU72" s="31" t="s">
        <v>53</v>
      </c>
      <c r="AV72" s="6">
        <v>1</v>
      </c>
      <c r="AW72" s="44">
        <f>IFERROR(VLOOKUP(AQ72,'[2]Harga &amp; Nama CSO'!$A$116:$L$136,2,FALSE),0)*AV72</f>
        <v>0</v>
      </c>
      <c r="AX72" s="44">
        <f>IFERROR(VLOOKUP(AQ72,'[2]Harga &amp; Nama CSO'!$A$116:$L$136,3,FALSE),0)*AV72</f>
        <v>0</v>
      </c>
      <c r="AY72" s="44">
        <f>IFERROR(VLOOKUP(AQ72,'[2]Harga &amp; Nama CSO'!$A$116:$L$136,4,FALSE),0)*AV72</f>
        <v>3</v>
      </c>
      <c r="AZ72" s="44">
        <f>IFERROR(VLOOKUP(AQ72,'[2]Harga &amp; Nama CSO'!$A$116:$L$136,5,FALSE),0)*AV72</f>
        <v>0</v>
      </c>
      <c r="BA72" s="44">
        <f>IFERROR(VLOOKUP(AQ72,'[2]Harga &amp; Nama CSO'!$A$116:$L$136,6,FALSE),0)*AV72</f>
        <v>0</v>
      </c>
      <c r="BB72" s="44">
        <f>IFERROR(VLOOKUP(AQ72,'[2]Harga &amp; Nama CSO'!$A$116:$L$136,7,FALSE),0)*AV72</f>
        <v>0</v>
      </c>
      <c r="BC72" s="44">
        <f>IFERROR(VLOOKUP(AQ72,'[2]Harga &amp; Nama CSO'!$A$116:$L$136,8,FALSE),0)*AV72</f>
        <v>0</v>
      </c>
      <c r="BD72" s="44">
        <f>IFERROR(VLOOKUP(AQ72,'[2]Harga &amp; Nama CSO'!$A$116:$L$136,9,FALSE),0)*AV72</f>
        <v>0</v>
      </c>
      <c r="BE72" s="44">
        <f>IFERROR(VLOOKUP(AQ72,'[2]Harga &amp; Nama CSO'!$A$116:$L$136,10,FALSE),0)*AV72</f>
        <v>3</v>
      </c>
      <c r="BF72" s="44">
        <f>IFERROR(VLOOKUP(AQ72,'[2]Harga &amp; Nama CSO'!$A$116:$L$136,11,FALSE),0)*AV72</f>
        <v>0</v>
      </c>
      <c r="BG72" s="44">
        <f>IFERROR(VLOOKUP(AQ72,'[2]Harga &amp; Nama CSO'!$A$116:$L$136,12,FALSE),0)*AV72</f>
        <v>0</v>
      </c>
      <c r="BH72" s="44">
        <f>IFERROR(VLOOKUP(AQ72,'[2]Harga &amp; Nama CSO'!$A$116:$R$136,13,FALSE),0)*AV72</f>
        <v>0</v>
      </c>
      <c r="BI72" s="44">
        <f>IFERROR(VLOOKUP(AQ72,'[2]Harga &amp; Nama CSO'!$A$116:$R$136,14,FALSE),0)*AV72</f>
        <v>3</v>
      </c>
      <c r="BJ72" s="44">
        <f>IFERROR(VLOOKUP(AQ72,'[2]Harga &amp; Nama CSO'!$A$116:$R$136,15,FALSE),0)*AV72</f>
        <v>0</v>
      </c>
      <c r="BK72" s="44">
        <f>IFERROR(VLOOKUP(AQ72,'[2]Harga &amp; Nama CSO'!$A$116:$R$136,16,FALSE),0)*AV72</f>
        <v>0</v>
      </c>
      <c r="BL72" s="44">
        <f>IFERROR(VLOOKUP(AQ72,'[2]Harga &amp; Nama CSO'!$A$116:$R$136,17,FALSE),0)*AV72</f>
        <v>0</v>
      </c>
      <c r="BM72" s="44">
        <f>IFERROR(VLOOKUP(AQ72,'[2]Harga &amp; Nama CSO'!$A$116:$R$136,18,FALSE),0)*AV72</f>
        <v>0</v>
      </c>
      <c r="BN72" s="44">
        <f>IFERROR(VLOOKUP(AQ72,'[2]Harga &amp; Nama CSO'!$A$116:$S$136,19,FALSE),0)*AV72</f>
        <v>0</v>
      </c>
      <c r="BO72" s="55">
        <f>IFERROR(VLOOKUP(AQ72,'[2]Harga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30"/>
        <v>0</v>
      </c>
      <c r="BU72" s="40">
        <v>46185</v>
      </c>
      <c r="BV72" s="8" t="e">
        <v>#VALUE!</v>
      </c>
      <c r="BW72" s="58">
        <f>VLOOKUP(AQ72,'[1]Harga &amp; Nama CSO'!$A$28:$D$31,4,0)*BQ72</f>
        <v>3</v>
      </c>
    </row>
    <row r="73" spans="1:75" x14ac:dyDescent="0.35">
      <c r="A73">
        <v>178</v>
      </c>
      <c r="B73" s="11">
        <v>46197</v>
      </c>
      <c r="C73" t="s">
        <v>204</v>
      </c>
      <c r="D73" t="s">
        <v>184</v>
      </c>
      <c r="E73">
        <v>17681962</v>
      </c>
      <c r="F73" t="s">
        <v>242</v>
      </c>
      <c r="G73" t="s">
        <v>54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/>
      <c r="AF73">
        <v>75000</v>
      </c>
      <c r="AO73" s="39">
        <v>71</v>
      </c>
      <c r="AP73" s="40">
        <v>46184</v>
      </c>
      <c r="AQ73" s="41" t="s">
        <v>97</v>
      </c>
      <c r="AR73" s="42" t="str">
        <f>IFERROR(VLOOKUP(AU73,[2]SUMMARY!$A$3:$B$7,2,FALSE),"")</f>
        <v>MC-SAGARANTEN</v>
      </c>
      <c r="AS73" s="31">
        <v>1555658</v>
      </c>
      <c r="AT73" s="31" t="str">
        <f>VLOOKUP(AS73,[2]OUTLET!$B:$C,2,0)</f>
        <v>PONK CELL</v>
      </c>
      <c r="AU73" s="31" t="s">
        <v>53</v>
      </c>
      <c r="AV73" s="6">
        <v>1</v>
      </c>
      <c r="AW73" s="44">
        <f>IFERROR(VLOOKUP(AQ73,'[2]Harga &amp; Nama CSO'!$A$116:$L$136,2,FALSE),0)*AV73</f>
        <v>0</v>
      </c>
      <c r="AX73" s="44">
        <f>IFERROR(VLOOKUP(AQ73,'[2]Harga &amp; Nama CSO'!$A$116:$L$136,3,FALSE),0)*AV73</f>
        <v>0</v>
      </c>
      <c r="AY73" s="44">
        <f>IFERROR(VLOOKUP(AQ73,'[2]Harga &amp; Nama CSO'!$A$116:$L$136,4,FALSE),0)*AV73</f>
        <v>3</v>
      </c>
      <c r="AZ73" s="44">
        <f>IFERROR(VLOOKUP(AQ73,'[2]Harga &amp; Nama CSO'!$A$116:$L$136,5,FALSE),0)*AV73</f>
        <v>0</v>
      </c>
      <c r="BA73" s="44">
        <f>IFERROR(VLOOKUP(AQ73,'[2]Harga &amp; Nama CSO'!$A$116:$L$136,6,FALSE),0)*AV73</f>
        <v>0</v>
      </c>
      <c r="BB73" s="44">
        <f>IFERROR(VLOOKUP(AQ73,'[2]Harga &amp; Nama CSO'!$A$116:$L$136,7,FALSE),0)*AV73</f>
        <v>0</v>
      </c>
      <c r="BC73" s="44">
        <f>IFERROR(VLOOKUP(AQ73,'[2]Harga &amp; Nama CSO'!$A$116:$L$136,8,FALSE),0)*AV73</f>
        <v>0</v>
      </c>
      <c r="BD73" s="44">
        <f>IFERROR(VLOOKUP(AQ73,'[2]Harga &amp; Nama CSO'!$A$116:$L$136,9,FALSE),0)*AV73</f>
        <v>0</v>
      </c>
      <c r="BE73" s="44">
        <f>IFERROR(VLOOKUP(AQ73,'[2]Harga &amp; Nama CSO'!$A$116:$L$136,10,FALSE),0)*AV73</f>
        <v>3</v>
      </c>
      <c r="BF73" s="44">
        <f>IFERROR(VLOOKUP(AQ73,'[2]Harga &amp; Nama CSO'!$A$116:$L$136,11,FALSE),0)*AV73</f>
        <v>0</v>
      </c>
      <c r="BG73" s="44">
        <f>IFERROR(VLOOKUP(AQ73,'[2]Harga &amp; Nama CSO'!$A$116:$L$136,12,FALSE),0)*AV73</f>
        <v>0</v>
      </c>
      <c r="BH73" s="44">
        <f>IFERROR(VLOOKUP(AQ73,'[2]Harga &amp; Nama CSO'!$A$116:$R$136,13,FALSE),0)*AV73</f>
        <v>0</v>
      </c>
      <c r="BI73" s="44">
        <f>IFERROR(VLOOKUP(AQ73,'[2]Harga &amp; Nama CSO'!$A$116:$R$136,14,FALSE),0)*AV73</f>
        <v>3</v>
      </c>
      <c r="BJ73" s="44">
        <f>IFERROR(VLOOKUP(AQ73,'[2]Harga &amp; Nama CSO'!$A$116:$R$136,15,FALSE),0)*AV73</f>
        <v>0</v>
      </c>
      <c r="BK73" s="44">
        <f>IFERROR(VLOOKUP(AQ73,'[2]Harga &amp; Nama CSO'!$A$116:$R$136,16,FALSE),0)*AV73</f>
        <v>0</v>
      </c>
      <c r="BL73" s="44">
        <f>IFERROR(VLOOKUP(AQ73,'[2]Harga &amp; Nama CSO'!$A$116:$R$136,17,FALSE),0)*AV73</f>
        <v>0</v>
      </c>
      <c r="BM73" s="44">
        <f>IFERROR(VLOOKUP(AQ73,'[2]Harga &amp; Nama CSO'!$A$116:$R$136,18,FALSE),0)*AV73</f>
        <v>0</v>
      </c>
      <c r="BN73" s="44">
        <f>IFERROR(VLOOKUP(AQ73,'[2]Harga &amp; Nama CSO'!$A$116:$S$136,19,FALSE),0)*AV73</f>
        <v>0</v>
      </c>
      <c r="BO73" s="55">
        <f>IFERROR(VLOOKUP(AQ73,'[2]Harga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30"/>
        <v>0</v>
      </c>
      <c r="BU73" s="40">
        <v>46185</v>
      </c>
      <c r="BV73" s="8" t="e">
        <v>#VALUE!</v>
      </c>
      <c r="BW73" s="58">
        <f>VLOOKUP(AQ73,'[1]Harga &amp; Nama CSO'!$A$28:$D$31,4,0)*BQ73</f>
        <v>3</v>
      </c>
    </row>
    <row r="74" spans="1:75" x14ac:dyDescent="0.35">
      <c r="A74">
        <v>179</v>
      </c>
      <c r="B74" s="11">
        <v>46197</v>
      </c>
      <c r="C74" t="s">
        <v>204</v>
      </c>
      <c r="D74" t="s">
        <v>184</v>
      </c>
      <c r="E74">
        <v>17381211</v>
      </c>
      <c r="F74" t="s">
        <v>243</v>
      </c>
      <c r="G74" t="s">
        <v>54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/>
      <c r="AF74">
        <v>75000</v>
      </c>
      <c r="AO74" s="39">
        <v>72</v>
      </c>
      <c r="AP74" s="40">
        <v>46184</v>
      </c>
      <c r="AQ74" s="41" t="s">
        <v>97</v>
      </c>
      <c r="AR74" s="42" t="str">
        <f>IFERROR(VLOOKUP(AU74,[2]SUMMARY!$A$3:$B$7,2,FALSE),"")</f>
        <v>MC-SAGARANTEN</v>
      </c>
      <c r="AS74" s="31">
        <v>17678324</v>
      </c>
      <c r="AT74" s="31" t="str">
        <f>VLOOKUP(AS74,[2]OUTLET!$B:$C,2,0)</f>
        <v>OJH Celluar</v>
      </c>
      <c r="AU74" s="31" t="s">
        <v>53</v>
      </c>
      <c r="AV74" s="6">
        <v>1</v>
      </c>
      <c r="AW74" s="44">
        <f>IFERROR(VLOOKUP(AQ74,'[2]Harga &amp; Nama CSO'!$A$116:$L$136,2,FALSE),0)*AV74</f>
        <v>0</v>
      </c>
      <c r="AX74" s="44">
        <f>IFERROR(VLOOKUP(AQ74,'[2]Harga &amp; Nama CSO'!$A$116:$L$136,3,FALSE),0)*AV74</f>
        <v>0</v>
      </c>
      <c r="AY74" s="44">
        <f>IFERROR(VLOOKUP(AQ74,'[2]Harga &amp; Nama CSO'!$A$116:$L$136,4,FALSE),0)*AV74</f>
        <v>3</v>
      </c>
      <c r="AZ74" s="44">
        <f>IFERROR(VLOOKUP(AQ74,'[2]Harga &amp; Nama CSO'!$A$116:$L$136,5,FALSE),0)*AV74</f>
        <v>0</v>
      </c>
      <c r="BA74" s="44">
        <f>IFERROR(VLOOKUP(AQ74,'[2]Harga &amp; Nama CSO'!$A$116:$L$136,6,FALSE),0)*AV74</f>
        <v>0</v>
      </c>
      <c r="BB74" s="44">
        <f>IFERROR(VLOOKUP(AQ74,'[2]Harga &amp; Nama CSO'!$A$116:$L$136,7,FALSE),0)*AV74</f>
        <v>0</v>
      </c>
      <c r="BC74" s="44">
        <f>IFERROR(VLOOKUP(AQ74,'[2]Harga &amp; Nama CSO'!$A$116:$L$136,8,FALSE),0)*AV74</f>
        <v>0</v>
      </c>
      <c r="BD74" s="44">
        <f>IFERROR(VLOOKUP(AQ74,'[2]Harga &amp; Nama CSO'!$A$116:$L$136,9,FALSE),0)*AV74</f>
        <v>0</v>
      </c>
      <c r="BE74" s="44">
        <f>IFERROR(VLOOKUP(AQ74,'[2]Harga &amp; Nama CSO'!$A$116:$L$136,10,FALSE),0)*AV74</f>
        <v>3</v>
      </c>
      <c r="BF74" s="44">
        <f>IFERROR(VLOOKUP(AQ74,'[2]Harga &amp; Nama CSO'!$A$116:$L$136,11,FALSE),0)*AV74</f>
        <v>0</v>
      </c>
      <c r="BG74" s="44">
        <f>IFERROR(VLOOKUP(AQ74,'[2]Harga &amp; Nama CSO'!$A$116:$L$136,12,FALSE),0)*AV74</f>
        <v>0</v>
      </c>
      <c r="BH74" s="44">
        <f>IFERROR(VLOOKUP(AQ74,'[2]Harga &amp; Nama CSO'!$A$116:$R$136,13,FALSE),0)*AV74</f>
        <v>0</v>
      </c>
      <c r="BI74" s="44">
        <f>IFERROR(VLOOKUP(AQ74,'[2]Harga &amp; Nama CSO'!$A$116:$R$136,14,FALSE),0)*AV74</f>
        <v>3</v>
      </c>
      <c r="BJ74" s="44">
        <f>IFERROR(VLOOKUP(AQ74,'[2]Harga &amp; Nama CSO'!$A$116:$R$136,15,FALSE),0)*AV74</f>
        <v>0</v>
      </c>
      <c r="BK74" s="44">
        <f>IFERROR(VLOOKUP(AQ74,'[2]Harga &amp; Nama CSO'!$A$116:$R$136,16,FALSE),0)*AV74</f>
        <v>0</v>
      </c>
      <c r="BL74" s="44">
        <f>IFERROR(VLOOKUP(AQ74,'[2]Harga &amp; Nama CSO'!$A$116:$R$136,17,FALSE),0)*AV74</f>
        <v>0</v>
      </c>
      <c r="BM74" s="44">
        <f>IFERROR(VLOOKUP(AQ74,'[2]Harga &amp; Nama CSO'!$A$116:$R$136,18,FALSE),0)*AV74</f>
        <v>0</v>
      </c>
      <c r="BN74" s="44">
        <f>IFERROR(VLOOKUP(AQ74,'[2]Harga &amp; Nama CSO'!$A$116:$S$136,19,FALSE),0)*AV74</f>
        <v>0</v>
      </c>
      <c r="BO74" s="55">
        <f>IFERROR(VLOOKUP(AQ74,'[2]Harga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30"/>
        <v>0</v>
      </c>
      <c r="BU74" s="40">
        <v>46185</v>
      </c>
      <c r="BV74" s="8" t="e">
        <v>#VALUE!</v>
      </c>
      <c r="BW74" s="58">
        <f>VLOOKUP(AQ74,'[1]Harga &amp; Nama CSO'!$A$28:$D$31,4,0)*BQ74</f>
        <v>3</v>
      </c>
    </row>
    <row r="75" spans="1:75" x14ac:dyDescent="0.35">
      <c r="A75">
        <v>180</v>
      </c>
      <c r="B75" s="11">
        <v>46197</v>
      </c>
      <c r="C75" t="s">
        <v>204</v>
      </c>
      <c r="D75" t="s">
        <v>184</v>
      </c>
      <c r="E75">
        <v>17255674</v>
      </c>
      <c r="F75" t="s">
        <v>186</v>
      </c>
      <c r="G75" t="s">
        <v>54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/>
      <c r="AF75">
        <v>75000</v>
      </c>
      <c r="AO75" s="39">
        <v>73</v>
      </c>
      <c r="AP75" s="40">
        <v>46184</v>
      </c>
      <c r="AQ75" s="41" t="s">
        <v>97</v>
      </c>
      <c r="AR75" s="42" t="str">
        <f>IFERROR(VLOOKUP(AU75,[2]SUMMARY!$A$3:$B$7,2,FALSE),"")</f>
        <v>MC-SAGARANTEN</v>
      </c>
      <c r="AS75" s="31">
        <v>17541871</v>
      </c>
      <c r="AT75" s="31" t="str">
        <f>VLOOKUP(AS75,[2]OUTLET!$B:$C,2,0)</f>
        <v>AF CELL</v>
      </c>
      <c r="AU75" s="31" t="s">
        <v>53</v>
      </c>
      <c r="AV75" s="6">
        <v>1</v>
      </c>
      <c r="AW75" s="44">
        <f>IFERROR(VLOOKUP(AQ75,'[2]Harga &amp; Nama CSO'!$A$116:$L$136,2,FALSE),0)*AV75</f>
        <v>0</v>
      </c>
      <c r="AX75" s="44">
        <f>IFERROR(VLOOKUP(AQ75,'[2]Harga &amp; Nama CSO'!$A$116:$L$136,3,FALSE),0)*AV75</f>
        <v>0</v>
      </c>
      <c r="AY75" s="44">
        <f>IFERROR(VLOOKUP(AQ75,'[2]Harga &amp; Nama CSO'!$A$116:$L$136,4,FALSE),0)*AV75</f>
        <v>3</v>
      </c>
      <c r="AZ75" s="44">
        <f>IFERROR(VLOOKUP(AQ75,'[2]Harga &amp; Nama CSO'!$A$116:$L$136,5,FALSE),0)*AV75</f>
        <v>0</v>
      </c>
      <c r="BA75" s="44">
        <f>IFERROR(VLOOKUP(AQ75,'[2]Harga &amp; Nama CSO'!$A$116:$L$136,6,FALSE),0)*AV75</f>
        <v>0</v>
      </c>
      <c r="BB75" s="44">
        <f>IFERROR(VLOOKUP(AQ75,'[2]Harga &amp; Nama CSO'!$A$116:$L$136,7,FALSE),0)*AV75</f>
        <v>0</v>
      </c>
      <c r="BC75" s="44">
        <f>IFERROR(VLOOKUP(AQ75,'[2]Harga &amp; Nama CSO'!$A$116:$L$136,8,FALSE),0)*AV75</f>
        <v>0</v>
      </c>
      <c r="BD75" s="44">
        <f>IFERROR(VLOOKUP(AQ75,'[2]Harga &amp; Nama CSO'!$A$116:$L$136,9,FALSE),0)*AV75</f>
        <v>0</v>
      </c>
      <c r="BE75" s="44">
        <f>IFERROR(VLOOKUP(AQ75,'[2]Harga &amp; Nama CSO'!$A$116:$L$136,10,FALSE),0)*AV75</f>
        <v>3</v>
      </c>
      <c r="BF75" s="44">
        <f>IFERROR(VLOOKUP(AQ75,'[2]Harga &amp; Nama CSO'!$A$116:$L$136,11,FALSE),0)*AV75</f>
        <v>0</v>
      </c>
      <c r="BG75" s="44">
        <f>IFERROR(VLOOKUP(AQ75,'[2]Harga &amp; Nama CSO'!$A$116:$L$136,12,FALSE),0)*AV75</f>
        <v>0</v>
      </c>
      <c r="BH75" s="44">
        <f>IFERROR(VLOOKUP(AQ75,'[2]Harga &amp; Nama CSO'!$A$116:$R$136,13,FALSE),0)*AV75</f>
        <v>0</v>
      </c>
      <c r="BI75" s="44">
        <f>IFERROR(VLOOKUP(AQ75,'[2]Harga &amp; Nama CSO'!$A$116:$R$136,14,FALSE),0)*AV75</f>
        <v>3</v>
      </c>
      <c r="BJ75" s="44">
        <f>IFERROR(VLOOKUP(AQ75,'[2]Harga &amp; Nama CSO'!$A$116:$R$136,15,FALSE),0)*AV75</f>
        <v>0</v>
      </c>
      <c r="BK75" s="44">
        <f>IFERROR(VLOOKUP(AQ75,'[2]Harga &amp; Nama CSO'!$A$116:$R$136,16,FALSE),0)*AV75</f>
        <v>0</v>
      </c>
      <c r="BL75" s="44">
        <f>IFERROR(VLOOKUP(AQ75,'[2]Harga &amp; Nama CSO'!$A$116:$R$136,17,FALSE),0)*AV75</f>
        <v>0</v>
      </c>
      <c r="BM75" s="44">
        <f>IFERROR(VLOOKUP(AQ75,'[2]Harga &amp; Nama CSO'!$A$116:$R$136,18,FALSE),0)*AV75</f>
        <v>0</v>
      </c>
      <c r="BN75" s="44">
        <f>IFERROR(VLOOKUP(AQ75,'[2]Harga &amp; Nama CSO'!$A$116:$S$136,19,FALSE),0)*AV75</f>
        <v>0</v>
      </c>
      <c r="BO75" s="55">
        <f>IFERROR(VLOOKUP(AQ75,'[2]Harga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30"/>
        <v>0</v>
      </c>
      <c r="BU75" s="40">
        <v>46185</v>
      </c>
      <c r="BV75" s="8" t="e">
        <v>#VALUE!</v>
      </c>
      <c r="BW75" s="58">
        <f>VLOOKUP(AQ75,'[1]Harga &amp; Nama CSO'!$A$28:$D$31,4,0)*BQ75</f>
        <v>3</v>
      </c>
    </row>
    <row r="76" spans="1:75" x14ac:dyDescent="0.35">
      <c r="A76">
        <v>181</v>
      </c>
      <c r="B76" s="11">
        <v>46197</v>
      </c>
      <c r="C76" t="s">
        <v>204</v>
      </c>
      <c r="D76" t="s">
        <v>184</v>
      </c>
      <c r="E76">
        <v>17459602</v>
      </c>
      <c r="F76" t="s">
        <v>244</v>
      </c>
      <c r="G76" t="s">
        <v>54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/>
      <c r="AF76">
        <v>75000</v>
      </c>
      <c r="AO76" s="39">
        <v>74</v>
      </c>
      <c r="AP76" s="40">
        <v>46184</v>
      </c>
      <c r="AQ76" s="41" t="s">
        <v>110</v>
      </c>
      <c r="AR76" s="42" t="str">
        <f>IFERROR(VLOOKUP(AU76,[2]SUMMARY!$A$3:$B$7,2,FALSE),"")</f>
        <v>MC-SAGARANTEN</v>
      </c>
      <c r="AS76" s="31">
        <v>774331</v>
      </c>
      <c r="AT76" s="31" t="str">
        <f>VLOOKUP(AS76,[2]OUTLET!$B:$C,2,0)</f>
        <v>MARDENA CELL</v>
      </c>
      <c r="AU76" s="31" t="s">
        <v>41</v>
      </c>
      <c r="AV76" s="6">
        <v>1</v>
      </c>
      <c r="AW76" s="44">
        <f>IFERROR(VLOOKUP(AQ76,'[2]Harga &amp; Nama CSO'!$A$116:$L$136,2,FALSE),0)*AV76</f>
        <v>0</v>
      </c>
      <c r="AX76" s="44">
        <f>IFERROR(VLOOKUP(AQ76,'[2]Harga &amp; Nama CSO'!$A$116:$L$136,3,FALSE),0)*AV76</f>
        <v>0</v>
      </c>
      <c r="AY76" s="44">
        <f>IFERROR(VLOOKUP(AQ76,'[2]Harga &amp; Nama CSO'!$A$116:$L$136,4,FALSE),0)*AV76</f>
        <v>3</v>
      </c>
      <c r="AZ76" s="44">
        <f>IFERROR(VLOOKUP(AQ76,'[2]Harga &amp; Nama CSO'!$A$116:$L$136,5,FALSE),0)*AV76</f>
        <v>0</v>
      </c>
      <c r="BA76" s="44">
        <f>IFERROR(VLOOKUP(AQ76,'[2]Harga &amp; Nama CSO'!$A$116:$L$136,6,FALSE),0)*AV76</f>
        <v>0</v>
      </c>
      <c r="BB76" s="44">
        <f>IFERROR(VLOOKUP(AQ76,'[2]Harga &amp; Nama CSO'!$A$116:$L$136,7,FALSE),0)*AV76</f>
        <v>3</v>
      </c>
      <c r="BC76" s="44">
        <f>IFERROR(VLOOKUP(AQ76,'[2]Harga &amp; Nama CSO'!$A$116:$L$136,8,FALSE),0)*AV76</f>
        <v>3</v>
      </c>
      <c r="BD76" s="44">
        <f>IFERROR(VLOOKUP(AQ76,'[2]Harga &amp; Nama CSO'!$A$116:$L$136,9,FALSE),0)*AV76</f>
        <v>0</v>
      </c>
      <c r="BE76" s="44">
        <f>IFERROR(VLOOKUP(AQ76,'[2]Harga &amp; Nama CSO'!$A$116:$L$136,10,FALSE),0)*AV76</f>
        <v>0</v>
      </c>
      <c r="BF76" s="44">
        <f>IFERROR(VLOOKUP(AQ76,'[2]Harga &amp; Nama CSO'!$A$116:$L$136,11,FALSE),0)*AV76</f>
        <v>0</v>
      </c>
      <c r="BG76" s="44">
        <f>IFERROR(VLOOKUP(AQ76,'[2]Harga &amp; Nama CSO'!$A$116:$L$136,12,FALSE),0)*AV76</f>
        <v>0</v>
      </c>
      <c r="BH76" s="44">
        <f>IFERROR(VLOOKUP(AQ76,'[2]Harga &amp; Nama CSO'!$A$116:$R$136,13,FALSE),0)*AV76</f>
        <v>0</v>
      </c>
      <c r="BI76" s="44">
        <f>IFERROR(VLOOKUP(AQ76,'[2]Harga &amp; Nama CSO'!$A$116:$R$136,14,FALSE),0)*AV76</f>
        <v>0</v>
      </c>
      <c r="BJ76" s="44">
        <f>IFERROR(VLOOKUP(AQ76,'[2]Harga &amp; Nama CSO'!$A$116:$R$136,15,FALSE),0)*AV76</f>
        <v>0</v>
      </c>
      <c r="BK76" s="44">
        <f>IFERROR(VLOOKUP(AQ76,'[2]Harga &amp; Nama CSO'!$A$116:$R$136,16,FALSE),0)*AV76</f>
        <v>0</v>
      </c>
      <c r="BL76" s="44">
        <f>IFERROR(VLOOKUP(AQ76,'[2]Harga &amp; Nama CSO'!$A$116:$R$136,17,FALSE),0)*AV76</f>
        <v>0</v>
      </c>
      <c r="BM76" s="44">
        <f>IFERROR(VLOOKUP(AQ76,'[2]Harga &amp; Nama CSO'!$A$116:$R$136,18,FALSE),0)*AV76</f>
        <v>0</v>
      </c>
      <c r="BN76" s="44">
        <f>IFERROR(VLOOKUP(AQ76,'[2]Harga &amp; Nama CSO'!$A$116:$S$136,19,FALSE),0)*AV76</f>
        <v>0</v>
      </c>
      <c r="BO76" s="55">
        <f>IFERROR(VLOOKUP(AQ76,'[2]Harga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30"/>
        <v>0</v>
      </c>
      <c r="BU76" s="40">
        <v>46185</v>
      </c>
      <c r="BV76" s="8" t="e">
        <v>#VALUE!</v>
      </c>
      <c r="BW76" s="58">
        <f>VLOOKUP(AQ76,'[1]Harga &amp; Nama CSO'!$A$28:$D$31,4,0)*BQ76</f>
        <v>3</v>
      </c>
    </row>
    <row r="77" spans="1:75" x14ac:dyDescent="0.35">
      <c r="A77">
        <v>182</v>
      </c>
      <c r="B77" s="11">
        <v>46197</v>
      </c>
      <c r="C77" t="s">
        <v>204</v>
      </c>
      <c r="D77" t="s">
        <v>184</v>
      </c>
      <c r="E77">
        <v>17187866</v>
      </c>
      <c r="F77" t="s">
        <v>245</v>
      </c>
      <c r="G77" t="s">
        <v>54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/>
      <c r="AF77">
        <v>75000</v>
      </c>
      <c r="AO77" s="39">
        <v>75</v>
      </c>
      <c r="AP77" s="40">
        <v>46184</v>
      </c>
      <c r="AQ77" s="41" t="s">
        <v>110</v>
      </c>
      <c r="AR77" s="42" t="str">
        <f>IFERROR(VLOOKUP(AU77,[2]SUMMARY!$A$3:$B$7,2,FALSE),"")</f>
        <v>MC-SAGARANTEN</v>
      </c>
      <c r="AS77" s="31">
        <v>17328908</v>
      </c>
      <c r="AT77" s="31" t="str">
        <f>VLOOKUP(AS77,[2]OUTLET!$B:$C,2,0)</f>
        <v>Sand 2 Cell</v>
      </c>
      <c r="AU77" s="31" t="s">
        <v>41</v>
      </c>
      <c r="AV77" s="6">
        <v>1</v>
      </c>
      <c r="AW77" s="44">
        <f>IFERROR(VLOOKUP(AQ77,'[2]Harga &amp; Nama CSO'!$A$116:$L$136,2,FALSE),0)*AV77</f>
        <v>0</v>
      </c>
      <c r="AX77" s="44">
        <f>IFERROR(VLOOKUP(AQ77,'[2]Harga &amp; Nama CSO'!$A$116:$L$136,3,FALSE),0)*AV77</f>
        <v>0</v>
      </c>
      <c r="AY77" s="44">
        <f>IFERROR(VLOOKUP(AQ77,'[2]Harga &amp; Nama CSO'!$A$116:$L$136,4,FALSE),0)*AV77</f>
        <v>3</v>
      </c>
      <c r="AZ77" s="44">
        <f>IFERROR(VLOOKUP(AQ77,'[2]Harga &amp; Nama CSO'!$A$116:$L$136,5,FALSE),0)*AV77</f>
        <v>0</v>
      </c>
      <c r="BA77" s="44">
        <f>IFERROR(VLOOKUP(AQ77,'[2]Harga &amp; Nama CSO'!$A$116:$L$136,6,FALSE),0)*AV77</f>
        <v>0</v>
      </c>
      <c r="BB77" s="44">
        <f>IFERROR(VLOOKUP(AQ77,'[2]Harga &amp; Nama CSO'!$A$116:$L$136,7,FALSE),0)*AV77</f>
        <v>3</v>
      </c>
      <c r="BC77" s="44">
        <f>IFERROR(VLOOKUP(AQ77,'[2]Harga &amp; Nama CSO'!$A$116:$L$136,8,FALSE),0)*AV77</f>
        <v>3</v>
      </c>
      <c r="BD77" s="44">
        <f>IFERROR(VLOOKUP(AQ77,'[2]Harga &amp; Nama CSO'!$A$116:$L$136,9,FALSE),0)*AV77</f>
        <v>0</v>
      </c>
      <c r="BE77" s="44">
        <f>IFERROR(VLOOKUP(AQ77,'[2]Harga &amp; Nama CSO'!$A$116:$L$136,10,FALSE),0)*AV77</f>
        <v>0</v>
      </c>
      <c r="BF77" s="44">
        <f>IFERROR(VLOOKUP(AQ77,'[2]Harga &amp; Nama CSO'!$A$116:$L$136,11,FALSE),0)*AV77</f>
        <v>0</v>
      </c>
      <c r="BG77" s="44">
        <f>IFERROR(VLOOKUP(AQ77,'[2]Harga &amp; Nama CSO'!$A$116:$L$136,12,FALSE),0)*AV77</f>
        <v>0</v>
      </c>
      <c r="BH77" s="44">
        <f>IFERROR(VLOOKUP(AQ77,'[2]Harga &amp; Nama CSO'!$A$116:$R$136,13,FALSE),0)*AV77</f>
        <v>0</v>
      </c>
      <c r="BI77" s="44">
        <f>IFERROR(VLOOKUP(AQ77,'[2]Harga &amp; Nama CSO'!$A$116:$R$136,14,FALSE),0)*AV77</f>
        <v>0</v>
      </c>
      <c r="BJ77" s="44">
        <f>IFERROR(VLOOKUP(AQ77,'[2]Harga &amp; Nama CSO'!$A$116:$R$136,15,FALSE),0)*AV77</f>
        <v>0</v>
      </c>
      <c r="BK77" s="44">
        <f>IFERROR(VLOOKUP(AQ77,'[2]Harga &amp; Nama CSO'!$A$116:$R$136,16,FALSE),0)*AV77</f>
        <v>0</v>
      </c>
      <c r="BL77" s="44">
        <f>IFERROR(VLOOKUP(AQ77,'[2]Harga &amp; Nama CSO'!$A$116:$R$136,17,FALSE),0)*AV77</f>
        <v>0</v>
      </c>
      <c r="BM77" s="44">
        <f>IFERROR(VLOOKUP(AQ77,'[2]Harga &amp; Nama CSO'!$A$116:$R$136,18,FALSE),0)*AV77</f>
        <v>0</v>
      </c>
      <c r="BN77" s="44">
        <f>IFERROR(VLOOKUP(AQ77,'[2]Harga &amp; Nama CSO'!$A$116:$S$136,19,FALSE),0)*AV77</f>
        <v>0</v>
      </c>
      <c r="BO77" s="55">
        <f>IFERROR(VLOOKUP(AQ77,'[2]Harga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30"/>
        <v>0</v>
      </c>
      <c r="BU77" s="40">
        <v>46185</v>
      </c>
      <c r="BV77" s="8" t="e">
        <v>#VALUE!</v>
      </c>
      <c r="BW77" s="58">
        <f>VLOOKUP(AQ77,'[1]Harga &amp; Nama CSO'!$A$28:$D$31,4,0)*BQ77</f>
        <v>3</v>
      </c>
    </row>
    <row r="78" spans="1:75" x14ac:dyDescent="0.35">
      <c r="A78">
        <v>183</v>
      </c>
      <c r="B78" s="11">
        <v>46197</v>
      </c>
      <c r="C78" t="s">
        <v>204</v>
      </c>
      <c r="D78" t="s">
        <v>184</v>
      </c>
      <c r="E78">
        <v>17588132</v>
      </c>
      <c r="F78" t="s">
        <v>246</v>
      </c>
      <c r="G78" t="s">
        <v>41</v>
      </c>
      <c r="H78">
        <v>5</v>
      </c>
      <c r="I78">
        <v>0</v>
      </c>
      <c r="J78">
        <v>15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5</v>
      </c>
      <c r="AA78">
        <v>375000</v>
      </c>
      <c r="AB78" s="11">
        <v>46197</v>
      </c>
      <c r="AC78">
        <v>5</v>
      </c>
      <c r="AD78">
        <v>375000</v>
      </c>
      <c r="AE78" t="s">
        <v>109</v>
      </c>
      <c r="AF78">
        <v>0</v>
      </c>
      <c r="AG78">
        <v>46198</v>
      </c>
      <c r="AO78" s="39">
        <v>76</v>
      </c>
      <c r="AP78" s="40">
        <v>46184</v>
      </c>
      <c r="AQ78" s="41" t="s">
        <v>97</v>
      </c>
      <c r="AR78" s="42" t="str">
        <f>IFERROR(VLOOKUP(AU78,[2]SUMMARY!$A$3:$B$7,2,FALSE),"")</f>
        <v>MC-SAGARANTEN</v>
      </c>
      <c r="AS78" s="31">
        <v>17728380</v>
      </c>
      <c r="AT78" s="31" t="str">
        <f>VLOOKUP(AS78,[2]OUTLET!$B:$C,2,0)</f>
        <v>AGEN TERMINAL SAGARANTEN</v>
      </c>
      <c r="AU78" s="31" t="s">
        <v>42</v>
      </c>
      <c r="AV78" s="6">
        <v>1</v>
      </c>
      <c r="AW78" s="44">
        <f>IFERROR(VLOOKUP(AQ78,'[2]Harga &amp; Nama CSO'!$A$116:$L$136,2,FALSE),0)*AV78</f>
        <v>0</v>
      </c>
      <c r="AX78" s="44">
        <f>IFERROR(VLOOKUP(AQ78,'[2]Harga &amp; Nama CSO'!$A$116:$L$136,3,FALSE),0)*AV78</f>
        <v>0</v>
      </c>
      <c r="AY78" s="44">
        <f>IFERROR(VLOOKUP(AQ78,'[2]Harga &amp; Nama CSO'!$A$116:$L$136,4,FALSE),0)*AV78</f>
        <v>3</v>
      </c>
      <c r="AZ78" s="44">
        <f>IFERROR(VLOOKUP(AQ78,'[2]Harga &amp; Nama CSO'!$A$116:$L$136,5,FALSE),0)*AV78</f>
        <v>0</v>
      </c>
      <c r="BA78" s="44">
        <f>IFERROR(VLOOKUP(AQ78,'[2]Harga &amp; Nama CSO'!$A$116:$L$136,6,FALSE),0)*AV78</f>
        <v>0</v>
      </c>
      <c r="BB78" s="44">
        <f>IFERROR(VLOOKUP(AQ78,'[2]Harga &amp; Nama CSO'!$A$116:$L$136,7,FALSE),0)*AV78</f>
        <v>0</v>
      </c>
      <c r="BC78" s="44">
        <f>IFERROR(VLOOKUP(AQ78,'[2]Harga &amp; Nama CSO'!$A$116:$L$136,8,FALSE),0)*AV78</f>
        <v>0</v>
      </c>
      <c r="BD78" s="44">
        <f>IFERROR(VLOOKUP(AQ78,'[2]Harga &amp; Nama CSO'!$A$116:$L$136,9,FALSE),0)*AV78</f>
        <v>0</v>
      </c>
      <c r="BE78" s="44">
        <f>IFERROR(VLOOKUP(AQ78,'[2]Harga &amp; Nama CSO'!$A$116:$L$136,10,FALSE),0)*AV78</f>
        <v>3</v>
      </c>
      <c r="BF78" s="44">
        <f>IFERROR(VLOOKUP(AQ78,'[2]Harga &amp; Nama CSO'!$A$116:$L$136,11,FALSE),0)*AV78</f>
        <v>0</v>
      </c>
      <c r="BG78" s="44">
        <f>IFERROR(VLOOKUP(AQ78,'[2]Harga &amp; Nama CSO'!$A$116:$L$136,12,FALSE),0)*AV78</f>
        <v>0</v>
      </c>
      <c r="BH78" s="44">
        <f>IFERROR(VLOOKUP(AQ78,'[2]Harga &amp; Nama CSO'!$A$116:$R$136,13,FALSE),0)*AV78</f>
        <v>0</v>
      </c>
      <c r="BI78" s="44">
        <f>IFERROR(VLOOKUP(AQ78,'[2]Harga &amp; Nama CSO'!$A$116:$R$136,14,FALSE),0)*AV78</f>
        <v>3</v>
      </c>
      <c r="BJ78" s="44">
        <f>IFERROR(VLOOKUP(AQ78,'[2]Harga &amp; Nama CSO'!$A$116:$R$136,15,FALSE),0)*AV78</f>
        <v>0</v>
      </c>
      <c r="BK78" s="44">
        <f>IFERROR(VLOOKUP(AQ78,'[2]Harga &amp; Nama CSO'!$A$116:$R$136,16,FALSE),0)*AV78</f>
        <v>0</v>
      </c>
      <c r="BL78" s="44">
        <f>IFERROR(VLOOKUP(AQ78,'[2]Harga &amp; Nama CSO'!$A$116:$R$136,17,FALSE),0)*AV78</f>
        <v>0</v>
      </c>
      <c r="BM78" s="44">
        <f>IFERROR(VLOOKUP(AQ78,'[2]Harga &amp; Nama CSO'!$A$116:$R$136,18,FALSE),0)*AV78</f>
        <v>0</v>
      </c>
      <c r="BN78" s="44">
        <f>IFERROR(VLOOKUP(AQ78,'[2]Harga &amp; Nama CSO'!$A$116:$S$136,19,FALSE),0)*AV78</f>
        <v>0</v>
      </c>
      <c r="BO78" s="55">
        <f>IFERROR(VLOOKUP(AQ78,'[2]Harga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VLOOKUP(AQ78,'[1]Harga &amp; Nama CSO'!$A$28:$D$31,4,0)*BQ78</f>
        <v>3</v>
      </c>
    </row>
    <row r="79" spans="1:75" x14ac:dyDescent="0.35">
      <c r="A79">
        <v>184</v>
      </c>
      <c r="B79" s="11">
        <v>46197</v>
      </c>
      <c r="C79" t="s">
        <v>204</v>
      </c>
      <c r="D79" t="s">
        <v>184</v>
      </c>
      <c r="E79">
        <v>1368488</v>
      </c>
      <c r="F79" t="s">
        <v>247</v>
      </c>
      <c r="G79" t="s">
        <v>41</v>
      </c>
      <c r="H79">
        <v>5</v>
      </c>
      <c r="I79">
        <v>0</v>
      </c>
      <c r="J79">
        <v>15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5</v>
      </c>
      <c r="AA79">
        <v>375000</v>
      </c>
      <c r="AB79" s="11">
        <v>46197</v>
      </c>
      <c r="AC79">
        <v>5</v>
      </c>
      <c r="AD79">
        <v>375000</v>
      </c>
      <c r="AE79" t="s">
        <v>109</v>
      </c>
      <c r="AF79">
        <v>0</v>
      </c>
      <c r="AG79">
        <v>46198</v>
      </c>
      <c r="AO79" s="39">
        <v>77</v>
      </c>
      <c r="AP79" s="40">
        <v>46184</v>
      </c>
      <c r="AQ79" s="41" t="s">
        <v>97</v>
      </c>
      <c r="AR79" s="42" t="str">
        <f>IFERROR(VLOOKUP(AU79,[2]SUMMARY!$A$3:$B$7,2,FALSE),"")</f>
        <v>MC-SAGARANTEN</v>
      </c>
      <c r="AS79" s="31">
        <v>17792292</v>
      </c>
      <c r="AT79" s="31" t="str">
        <f>VLOOKUP(AS79,[2]OUTLET!$B:$C,2,0)</f>
        <v>Gilang cell 6</v>
      </c>
      <c r="AU79" s="31" t="s">
        <v>42</v>
      </c>
      <c r="AV79" s="6">
        <v>1</v>
      </c>
      <c r="AW79" s="44">
        <f>IFERROR(VLOOKUP(AQ79,'[2]Harga &amp; Nama CSO'!$A$116:$L$136,2,FALSE),0)*AV79</f>
        <v>0</v>
      </c>
      <c r="AX79" s="44">
        <f>IFERROR(VLOOKUP(AQ79,'[2]Harga &amp; Nama CSO'!$A$116:$L$136,3,FALSE),0)*AV79</f>
        <v>0</v>
      </c>
      <c r="AY79" s="44">
        <f>IFERROR(VLOOKUP(AQ79,'[2]Harga &amp; Nama CSO'!$A$116:$L$136,4,FALSE),0)*AV79</f>
        <v>3</v>
      </c>
      <c r="AZ79" s="44">
        <f>IFERROR(VLOOKUP(AQ79,'[2]Harga &amp; Nama CSO'!$A$116:$L$136,5,FALSE),0)*AV79</f>
        <v>0</v>
      </c>
      <c r="BA79" s="44">
        <f>IFERROR(VLOOKUP(AQ79,'[2]Harga &amp; Nama CSO'!$A$116:$L$136,6,FALSE),0)*AV79</f>
        <v>0</v>
      </c>
      <c r="BB79" s="44">
        <f>IFERROR(VLOOKUP(AQ79,'[2]Harga &amp; Nama CSO'!$A$116:$L$136,7,FALSE),0)*AV79</f>
        <v>0</v>
      </c>
      <c r="BC79" s="44">
        <f>IFERROR(VLOOKUP(AQ79,'[2]Harga &amp; Nama CSO'!$A$116:$L$136,8,FALSE),0)*AV79</f>
        <v>0</v>
      </c>
      <c r="BD79" s="44">
        <f>IFERROR(VLOOKUP(AQ79,'[2]Harga &amp; Nama CSO'!$A$116:$L$136,9,FALSE),0)*AV79</f>
        <v>0</v>
      </c>
      <c r="BE79" s="44">
        <f>IFERROR(VLOOKUP(AQ79,'[2]Harga &amp; Nama CSO'!$A$116:$L$136,10,FALSE),0)*AV79</f>
        <v>3</v>
      </c>
      <c r="BF79" s="44">
        <f>IFERROR(VLOOKUP(AQ79,'[2]Harga &amp; Nama CSO'!$A$116:$L$136,11,FALSE),0)*AV79</f>
        <v>0</v>
      </c>
      <c r="BG79" s="44">
        <f>IFERROR(VLOOKUP(AQ79,'[2]Harga &amp; Nama CSO'!$A$116:$L$136,12,FALSE),0)*AV79</f>
        <v>0</v>
      </c>
      <c r="BH79" s="44">
        <f>IFERROR(VLOOKUP(AQ79,'[2]Harga &amp; Nama CSO'!$A$116:$R$136,13,FALSE),0)*AV79</f>
        <v>0</v>
      </c>
      <c r="BI79" s="44">
        <f>IFERROR(VLOOKUP(AQ79,'[2]Harga &amp; Nama CSO'!$A$116:$R$136,14,FALSE),0)*AV79</f>
        <v>3</v>
      </c>
      <c r="BJ79" s="44">
        <f>IFERROR(VLOOKUP(AQ79,'[2]Harga &amp; Nama CSO'!$A$116:$R$136,15,FALSE),0)*AV79</f>
        <v>0</v>
      </c>
      <c r="BK79" s="44">
        <f>IFERROR(VLOOKUP(AQ79,'[2]Harga &amp; Nama CSO'!$A$116:$R$136,16,FALSE),0)*AV79</f>
        <v>0</v>
      </c>
      <c r="BL79" s="44">
        <f>IFERROR(VLOOKUP(AQ79,'[2]Harga &amp; Nama CSO'!$A$116:$R$136,17,FALSE),0)*AV79</f>
        <v>0</v>
      </c>
      <c r="BM79" s="44">
        <f>IFERROR(VLOOKUP(AQ79,'[2]Harga &amp; Nama CSO'!$A$116:$R$136,18,FALSE),0)*AV79</f>
        <v>0</v>
      </c>
      <c r="BN79" s="44">
        <f>IFERROR(VLOOKUP(AQ79,'[2]Harga &amp; Nama CSO'!$A$116:$S$136,19,FALSE),0)*AV79</f>
        <v>0</v>
      </c>
      <c r="BO79" s="55">
        <f>IFERROR(VLOOKUP(AQ79,'[2]Harga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ref="BT79:BT142" si="31">BO79-BR79</f>
        <v>0</v>
      </c>
      <c r="BU79" s="40">
        <v>46185</v>
      </c>
      <c r="BV79" s="8" t="e">
        <v>#VALUE!</v>
      </c>
      <c r="BW79" s="58">
        <f>VLOOKUP(AQ79,'[1]Harga &amp; Nama CSO'!$A$28:$D$31,4,0)*BQ79</f>
        <v>3</v>
      </c>
    </row>
    <row r="80" spans="1:75" x14ac:dyDescent="0.35">
      <c r="A80">
        <v>185</v>
      </c>
      <c r="B80" s="11">
        <v>46197</v>
      </c>
      <c r="C80" t="s">
        <v>204</v>
      </c>
      <c r="D80" t="s">
        <v>184</v>
      </c>
      <c r="E80">
        <v>17139607</v>
      </c>
      <c r="F80" t="s">
        <v>248</v>
      </c>
      <c r="G80" t="s">
        <v>41</v>
      </c>
      <c r="H80">
        <v>2</v>
      </c>
      <c r="I80">
        <v>0</v>
      </c>
      <c r="J80">
        <v>6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2</v>
      </c>
      <c r="AA80">
        <v>150000</v>
      </c>
      <c r="AB80" s="11">
        <v>46197</v>
      </c>
      <c r="AC80">
        <v>2</v>
      </c>
      <c r="AD80">
        <v>150000</v>
      </c>
      <c r="AE80" t="s">
        <v>109</v>
      </c>
      <c r="AF80">
        <v>0</v>
      </c>
      <c r="AG80">
        <v>46198</v>
      </c>
      <c r="AO80" s="39">
        <v>78</v>
      </c>
      <c r="AP80" s="40">
        <v>46185</v>
      </c>
      <c r="AQ80" s="41" t="s">
        <v>96</v>
      </c>
      <c r="AR80" s="42" t="str">
        <f>IFERROR(VLOOKUP(AU80,[2]SUMMARY!$A$3:$B$7,2,FALSE),"")</f>
        <v>MC-SAGARANTEN</v>
      </c>
      <c r="AS80" s="31">
        <v>17787825</v>
      </c>
      <c r="AT80" s="31" t="str">
        <f>VLOOKUP(AS80,[2]OUTLET!$B:$C,2,0)</f>
        <v>Abjad Ce</v>
      </c>
      <c r="AU80" s="31" t="s">
        <v>53</v>
      </c>
      <c r="AV80" s="6">
        <v>1</v>
      </c>
      <c r="AW80" s="44">
        <f>IFERROR(VLOOKUP(AQ80,'[2]Harga &amp; Nama CSO'!$A$116:$L$136,2,FALSE),0)*AV80</f>
        <v>0</v>
      </c>
      <c r="AX80" s="44">
        <f>IFERROR(VLOOKUP(AQ80,'[2]Harga &amp; Nama CSO'!$A$116:$L$136,3,FALSE),0)*AV80</f>
        <v>0</v>
      </c>
      <c r="AY80" s="44">
        <f>IFERROR(VLOOKUP(AQ80,'[2]Harga &amp; Nama CSO'!$A$116:$L$136,4,FALSE),0)*AV80</f>
        <v>3</v>
      </c>
      <c r="AZ80" s="44">
        <f>IFERROR(VLOOKUP(AQ80,'[2]Harga &amp; Nama CSO'!$A$116:$L$136,5,FALSE),0)*AV80</f>
        <v>0</v>
      </c>
      <c r="BA80" s="44">
        <f>IFERROR(VLOOKUP(AQ80,'[2]Harga &amp; Nama CSO'!$A$116:$L$136,6,FALSE),0)*AV80</f>
        <v>0</v>
      </c>
      <c r="BB80" s="44">
        <f>IFERROR(VLOOKUP(AQ80,'[2]Harga &amp; Nama CSO'!$A$116:$L$136,7,FALSE),0)*AV80</f>
        <v>0</v>
      </c>
      <c r="BC80" s="44">
        <f>IFERROR(VLOOKUP(AQ80,'[2]Harga &amp; Nama CSO'!$A$116:$L$136,8,FALSE),0)*AV80</f>
        <v>3</v>
      </c>
      <c r="BD80" s="44">
        <f>IFERROR(VLOOKUP(AQ80,'[2]Harga &amp; Nama CSO'!$A$116:$L$136,9,FALSE),0)*AV80</f>
        <v>0</v>
      </c>
      <c r="BE80" s="44">
        <f>IFERROR(VLOOKUP(AQ80,'[2]Harga &amp; Nama CSO'!$A$116:$L$136,10,FALSE),0)*AV80</f>
        <v>0</v>
      </c>
      <c r="BF80" s="44">
        <f>IFERROR(VLOOKUP(AQ80,'[2]Harga &amp; Nama CSO'!$A$116:$L$136,11,FALSE),0)*AV80</f>
        <v>0</v>
      </c>
      <c r="BG80" s="44">
        <f>IFERROR(VLOOKUP(AQ80,'[2]Harga &amp; Nama CSO'!$A$116:$L$136,12,FALSE),0)*AV80</f>
        <v>0</v>
      </c>
      <c r="BH80" s="44">
        <f>IFERROR(VLOOKUP(AQ80,'[2]Harga &amp; Nama CSO'!$A$116:$R$136,13,FALSE),0)*AV80</f>
        <v>0</v>
      </c>
      <c r="BI80" s="44">
        <f>IFERROR(VLOOKUP(AQ80,'[2]Harga &amp; Nama CSO'!$A$116:$R$136,14,FALSE),0)*AV80</f>
        <v>3</v>
      </c>
      <c r="BJ80" s="44">
        <f>IFERROR(VLOOKUP(AQ80,'[2]Harga &amp; Nama CSO'!$A$116:$R$136,15,FALSE),0)*AV80</f>
        <v>0</v>
      </c>
      <c r="BK80" s="44">
        <f>IFERROR(VLOOKUP(AQ80,'[2]Harga &amp; Nama CSO'!$A$116:$R$136,16,FALSE),0)*AV80</f>
        <v>0</v>
      </c>
      <c r="BL80" s="44">
        <f>IFERROR(VLOOKUP(AQ80,'[2]Harga &amp; Nama CSO'!$A$116:$R$136,17,FALSE),0)*AV80</f>
        <v>0</v>
      </c>
      <c r="BM80" s="44">
        <f>IFERROR(VLOOKUP(AQ80,'[2]Harga &amp; Nama CSO'!$A$116:$R$136,18,FALSE),0)*AV80</f>
        <v>0</v>
      </c>
      <c r="BN80" s="44">
        <f>IFERROR(VLOOKUP(AQ80,'[2]Harga &amp; Nama CSO'!$A$116:$S$136,19,FALSE),0)*AV80</f>
        <v>0</v>
      </c>
      <c r="BO80" s="55">
        <f>IFERROR(VLOOKUP(AQ80,'[2]Harga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31"/>
        <v>0</v>
      </c>
      <c r="BU80" s="40">
        <v>46188</v>
      </c>
      <c r="BV80" s="8" t="e">
        <v>#VALUE!</v>
      </c>
      <c r="BW80" s="58">
        <f>VLOOKUP(AQ80,'[1]Harga &amp; Nama CSO'!$A$28:$D$31,4,0)*BQ80</f>
        <v>3</v>
      </c>
    </row>
    <row r="81" spans="1:75" x14ac:dyDescent="0.35">
      <c r="A81">
        <v>186</v>
      </c>
      <c r="B81" s="11">
        <v>46197</v>
      </c>
      <c r="C81" t="s">
        <v>204</v>
      </c>
      <c r="D81" t="s">
        <v>184</v>
      </c>
      <c r="E81">
        <v>17234958</v>
      </c>
      <c r="F81" t="s">
        <v>249</v>
      </c>
      <c r="G81" t="s">
        <v>41</v>
      </c>
      <c r="H81">
        <v>2</v>
      </c>
      <c r="I81">
        <v>0</v>
      </c>
      <c r="J81">
        <v>6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2</v>
      </c>
      <c r="AA81">
        <v>150000</v>
      </c>
      <c r="AB81" s="11">
        <v>46197</v>
      </c>
      <c r="AC81">
        <v>2</v>
      </c>
      <c r="AD81">
        <v>150000</v>
      </c>
      <c r="AE81" t="s">
        <v>109</v>
      </c>
      <c r="AF81">
        <v>0</v>
      </c>
      <c r="AG81">
        <v>46198</v>
      </c>
      <c r="AO81" s="39">
        <v>79</v>
      </c>
      <c r="AP81" s="40">
        <v>46185</v>
      </c>
      <c r="AQ81" s="41" t="s">
        <v>96</v>
      </c>
      <c r="AR81" s="42" t="str">
        <f>IFERROR(VLOOKUP(AU81,[2]SUMMARY!$A$3:$B$7,2,FALSE),"")</f>
        <v>MC-SAGARANTEN</v>
      </c>
      <c r="AS81" s="31">
        <v>17234805</v>
      </c>
      <c r="AT81" s="31" t="str">
        <f>VLOOKUP(AS81,[2]OUTLET!$B:$C,2,0)</f>
        <v>MHIKA CELL</v>
      </c>
      <c r="AU81" s="31" t="s">
        <v>53</v>
      </c>
      <c r="AV81" s="6">
        <v>1</v>
      </c>
      <c r="AW81" s="44">
        <f>IFERROR(VLOOKUP(AQ81,'[2]Harga &amp; Nama CSO'!$A$116:$L$136,2,FALSE),0)*AV81</f>
        <v>0</v>
      </c>
      <c r="AX81" s="44">
        <f>IFERROR(VLOOKUP(AQ81,'[2]Harga &amp; Nama CSO'!$A$116:$L$136,3,FALSE),0)*AV81</f>
        <v>0</v>
      </c>
      <c r="AY81" s="44">
        <f>IFERROR(VLOOKUP(AQ81,'[2]Harga &amp; Nama CSO'!$A$116:$L$136,4,FALSE),0)*AV81</f>
        <v>3</v>
      </c>
      <c r="AZ81" s="44">
        <f>IFERROR(VLOOKUP(AQ81,'[2]Harga &amp; Nama CSO'!$A$116:$L$136,5,FALSE),0)*AV81</f>
        <v>0</v>
      </c>
      <c r="BA81" s="44">
        <f>IFERROR(VLOOKUP(AQ81,'[2]Harga &amp; Nama CSO'!$A$116:$L$136,6,FALSE),0)*AV81</f>
        <v>0</v>
      </c>
      <c r="BB81" s="44">
        <f>IFERROR(VLOOKUP(AQ81,'[2]Harga &amp; Nama CSO'!$A$116:$L$136,7,FALSE),0)*AV81</f>
        <v>0</v>
      </c>
      <c r="BC81" s="44">
        <f>IFERROR(VLOOKUP(AQ81,'[2]Harga &amp; Nama CSO'!$A$116:$L$136,8,FALSE),0)*AV81</f>
        <v>3</v>
      </c>
      <c r="BD81" s="44">
        <f>IFERROR(VLOOKUP(AQ81,'[2]Harga &amp; Nama CSO'!$A$116:$L$136,9,FALSE),0)*AV81</f>
        <v>0</v>
      </c>
      <c r="BE81" s="44">
        <f>IFERROR(VLOOKUP(AQ81,'[2]Harga &amp; Nama CSO'!$A$116:$L$136,10,FALSE),0)*AV81</f>
        <v>0</v>
      </c>
      <c r="BF81" s="44">
        <f>IFERROR(VLOOKUP(AQ81,'[2]Harga &amp; Nama CSO'!$A$116:$L$136,11,FALSE),0)*AV81</f>
        <v>0</v>
      </c>
      <c r="BG81" s="44">
        <f>IFERROR(VLOOKUP(AQ81,'[2]Harga &amp; Nama CSO'!$A$116:$L$136,12,FALSE),0)*AV81</f>
        <v>0</v>
      </c>
      <c r="BH81" s="44">
        <f>IFERROR(VLOOKUP(AQ81,'[2]Harga &amp; Nama CSO'!$A$116:$R$136,13,FALSE),0)*AV81</f>
        <v>0</v>
      </c>
      <c r="BI81" s="44">
        <f>IFERROR(VLOOKUP(AQ81,'[2]Harga &amp; Nama CSO'!$A$116:$R$136,14,FALSE),0)*AV81</f>
        <v>3</v>
      </c>
      <c r="BJ81" s="44">
        <f>IFERROR(VLOOKUP(AQ81,'[2]Harga &amp; Nama CSO'!$A$116:$R$136,15,FALSE),0)*AV81</f>
        <v>0</v>
      </c>
      <c r="BK81" s="44">
        <f>IFERROR(VLOOKUP(AQ81,'[2]Harga &amp; Nama CSO'!$A$116:$R$136,16,FALSE),0)*AV81</f>
        <v>0</v>
      </c>
      <c r="BL81" s="44">
        <f>IFERROR(VLOOKUP(AQ81,'[2]Harga &amp; Nama CSO'!$A$116:$R$136,17,FALSE),0)*AV81</f>
        <v>0</v>
      </c>
      <c r="BM81" s="44">
        <f>IFERROR(VLOOKUP(AQ81,'[2]Harga &amp; Nama CSO'!$A$116:$R$136,18,FALSE),0)*AV81</f>
        <v>0</v>
      </c>
      <c r="BN81" s="44">
        <f>IFERROR(VLOOKUP(AQ81,'[2]Harga &amp; Nama CSO'!$A$116:$S$136,19,FALSE),0)*AV81</f>
        <v>0</v>
      </c>
      <c r="BO81" s="55">
        <f>IFERROR(VLOOKUP(AQ81,'[2]Harga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31"/>
        <v>0</v>
      </c>
      <c r="BU81" s="40">
        <v>46188</v>
      </c>
      <c r="BV81" s="8" t="e">
        <v>#VALUE!</v>
      </c>
      <c r="BW81" s="58">
        <f>VLOOKUP(AQ81,'[1]Harga &amp; Nama CSO'!$A$28:$D$31,4,0)*BQ81</f>
        <v>3</v>
      </c>
    </row>
    <row r="82" spans="1:75" x14ac:dyDescent="0.35">
      <c r="A82">
        <v>187</v>
      </c>
      <c r="B82" s="11">
        <v>46197</v>
      </c>
      <c r="C82" t="s">
        <v>204</v>
      </c>
      <c r="D82" t="s">
        <v>184</v>
      </c>
      <c r="E82">
        <v>17449694</v>
      </c>
      <c r="F82" t="s">
        <v>250</v>
      </c>
      <c r="G82" t="s">
        <v>42</v>
      </c>
      <c r="H82">
        <v>2</v>
      </c>
      <c r="I82">
        <v>0</v>
      </c>
      <c r="J82">
        <v>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2</v>
      </c>
      <c r="AA82">
        <v>150000</v>
      </c>
      <c r="AB82" s="11">
        <v>46198</v>
      </c>
      <c r="AC82">
        <v>2</v>
      </c>
      <c r="AD82">
        <v>150000</v>
      </c>
      <c r="AE82" t="s">
        <v>109</v>
      </c>
      <c r="AF82">
        <v>0</v>
      </c>
      <c r="AG82">
        <v>46199</v>
      </c>
      <c r="AO82" s="39">
        <v>80</v>
      </c>
      <c r="AP82" s="40">
        <v>46185</v>
      </c>
      <c r="AQ82" s="41" t="s">
        <v>96</v>
      </c>
      <c r="AR82" s="42" t="str">
        <f>IFERROR(VLOOKUP(AU82,[2]SUMMARY!$A$3:$B$7,2,FALSE),"")</f>
        <v>MC-SAGARANTEN</v>
      </c>
      <c r="AS82" s="31">
        <v>1306929</v>
      </c>
      <c r="AT82" s="31" t="str">
        <f>VLOOKUP(AS82,[2]OUTLET!$B:$C,2,0)</f>
        <v>SM 3 CELL</v>
      </c>
      <c r="AU82" s="31" t="s">
        <v>53</v>
      </c>
      <c r="AV82" s="6">
        <v>1</v>
      </c>
      <c r="AW82" s="44">
        <f>IFERROR(VLOOKUP(AQ82,'[2]Harga &amp; Nama CSO'!$A$116:$L$136,2,FALSE),0)*AV82</f>
        <v>0</v>
      </c>
      <c r="AX82" s="44">
        <f>IFERROR(VLOOKUP(AQ82,'[2]Harga &amp; Nama CSO'!$A$116:$L$136,3,FALSE),0)*AV82</f>
        <v>0</v>
      </c>
      <c r="AY82" s="44">
        <f>IFERROR(VLOOKUP(AQ82,'[2]Harga &amp; Nama CSO'!$A$116:$L$136,4,FALSE),0)*AV82</f>
        <v>3</v>
      </c>
      <c r="AZ82" s="44">
        <f>IFERROR(VLOOKUP(AQ82,'[2]Harga &amp; Nama CSO'!$A$116:$L$136,5,FALSE),0)*AV82</f>
        <v>0</v>
      </c>
      <c r="BA82" s="44">
        <f>IFERROR(VLOOKUP(AQ82,'[2]Harga &amp; Nama CSO'!$A$116:$L$136,6,FALSE),0)*AV82</f>
        <v>0</v>
      </c>
      <c r="BB82" s="44">
        <f>IFERROR(VLOOKUP(AQ82,'[2]Harga &amp; Nama CSO'!$A$116:$L$136,7,FALSE),0)*AV82</f>
        <v>0</v>
      </c>
      <c r="BC82" s="44">
        <f>IFERROR(VLOOKUP(AQ82,'[2]Harga &amp; Nama CSO'!$A$116:$L$136,8,FALSE),0)*AV82</f>
        <v>3</v>
      </c>
      <c r="BD82" s="44">
        <f>IFERROR(VLOOKUP(AQ82,'[2]Harga &amp; Nama CSO'!$A$116:$L$136,9,FALSE),0)*AV82</f>
        <v>0</v>
      </c>
      <c r="BE82" s="44">
        <f>IFERROR(VLOOKUP(AQ82,'[2]Harga &amp; Nama CSO'!$A$116:$L$136,10,FALSE),0)*AV82</f>
        <v>0</v>
      </c>
      <c r="BF82" s="44">
        <f>IFERROR(VLOOKUP(AQ82,'[2]Harga &amp; Nama CSO'!$A$116:$L$136,11,FALSE),0)*AV82</f>
        <v>0</v>
      </c>
      <c r="BG82" s="44">
        <f>IFERROR(VLOOKUP(AQ82,'[2]Harga &amp; Nama CSO'!$A$116:$L$136,12,FALSE),0)*AV82</f>
        <v>0</v>
      </c>
      <c r="BH82" s="44">
        <f>IFERROR(VLOOKUP(AQ82,'[2]Harga &amp; Nama CSO'!$A$116:$R$136,13,FALSE),0)*AV82</f>
        <v>0</v>
      </c>
      <c r="BI82" s="44">
        <f>IFERROR(VLOOKUP(AQ82,'[2]Harga &amp; Nama CSO'!$A$116:$R$136,14,FALSE),0)*AV82</f>
        <v>3</v>
      </c>
      <c r="BJ82" s="44">
        <f>IFERROR(VLOOKUP(AQ82,'[2]Harga &amp; Nama CSO'!$A$116:$R$136,15,FALSE),0)*AV82</f>
        <v>0</v>
      </c>
      <c r="BK82" s="44">
        <f>IFERROR(VLOOKUP(AQ82,'[2]Harga &amp; Nama CSO'!$A$116:$R$136,16,FALSE),0)*AV82</f>
        <v>0</v>
      </c>
      <c r="BL82" s="44">
        <f>IFERROR(VLOOKUP(AQ82,'[2]Harga &amp; Nama CSO'!$A$116:$R$136,17,FALSE),0)*AV82</f>
        <v>0</v>
      </c>
      <c r="BM82" s="44">
        <f>IFERROR(VLOOKUP(AQ82,'[2]Harga &amp; Nama CSO'!$A$116:$R$136,18,FALSE),0)*AV82</f>
        <v>0</v>
      </c>
      <c r="BN82" s="44">
        <f>IFERROR(VLOOKUP(AQ82,'[2]Harga &amp; Nama CSO'!$A$116:$S$136,19,FALSE),0)*AV82</f>
        <v>0</v>
      </c>
      <c r="BO82" s="55">
        <f>IFERROR(VLOOKUP(AQ82,'[2]Harga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31"/>
        <v>0</v>
      </c>
      <c r="BU82" s="40">
        <v>46188</v>
      </c>
      <c r="BV82" s="8" t="e">
        <v>#VALUE!</v>
      </c>
      <c r="BW82" s="58">
        <f>VLOOKUP(AQ82,'[1]Harga &amp; Nama CSO'!$A$28:$D$31,4,0)*BQ82</f>
        <v>3</v>
      </c>
    </row>
    <row r="83" spans="1:75" x14ac:dyDescent="0.35">
      <c r="A83">
        <v>188</v>
      </c>
      <c r="B83" s="11">
        <v>46197</v>
      </c>
      <c r="C83" t="s">
        <v>204</v>
      </c>
      <c r="D83" t="s">
        <v>184</v>
      </c>
      <c r="E83">
        <v>1554006</v>
      </c>
      <c r="F83" t="s">
        <v>251</v>
      </c>
      <c r="G83" t="s">
        <v>42</v>
      </c>
      <c r="H83">
        <v>5</v>
      </c>
      <c r="I83">
        <v>0</v>
      </c>
      <c r="J83">
        <v>15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5</v>
      </c>
      <c r="AA83">
        <v>375000</v>
      </c>
      <c r="AB83" s="11">
        <v>46198</v>
      </c>
      <c r="AC83">
        <v>5</v>
      </c>
      <c r="AD83">
        <v>375000</v>
      </c>
      <c r="AE83" t="s">
        <v>109</v>
      </c>
      <c r="AF83">
        <v>0</v>
      </c>
      <c r="AG83">
        <v>46199</v>
      </c>
      <c r="AO83" s="39">
        <v>81</v>
      </c>
      <c r="AP83" s="40">
        <v>46185</v>
      </c>
      <c r="AQ83" s="41" t="s">
        <v>96</v>
      </c>
      <c r="AR83" s="42" t="str">
        <f>IFERROR(VLOOKUP(AU83,[2]SUMMARY!$A$3:$B$7,2,FALSE),"")</f>
        <v>MC-SAGARANTEN</v>
      </c>
      <c r="AS83" s="31">
        <v>17289540</v>
      </c>
      <c r="AT83" s="31" t="str">
        <f>VLOOKUP(AS83,[2]OUTLET!$B:$C,2,0)</f>
        <v>Dila cell</v>
      </c>
      <c r="AU83" s="31" t="s">
        <v>53</v>
      </c>
      <c r="AV83" s="6">
        <v>1</v>
      </c>
      <c r="AW83" s="44">
        <f>IFERROR(VLOOKUP(AQ83,'[2]Harga &amp; Nama CSO'!$A$116:$L$136,2,FALSE),0)*AV83</f>
        <v>0</v>
      </c>
      <c r="AX83" s="44">
        <f>IFERROR(VLOOKUP(AQ83,'[2]Harga &amp; Nama CSO'!$A$116:$L$136,3,FALSE),0)*AV83</f>
        <v>0</v>
      </c>
      <c r="AY83" s="44">
        <f>IFERROR(VLOOKUP(AQ83,'[2]Harga &amp; Nama CSO'!$A$116:$L$136,4,FALSE),0)*AV83</f>
        <v>3</v>
      </c>
      <c r="AZ83" s="44">
        <f>IFERROR(VLOOKUP(AQ83,'[2]Harga &amp; Nama CSO'!$A$116:$L$136,5,FALSE),0)*AV83</f>
        <v>0</v>
      </c>
      <c r="BA83" s="44">
        <f>IFERROR(VLOOKUP(AQ83,'[2]Harga &amp; Nama CSO'!$A$116:$L$136,6,FALSE),0)*AV83</f>
        <v>0</v>
      </c>
      <c r="BB83" s="44">
        <f>IFERROR(VLOOKUP(AQ83,'[2]Harga &amp; Nama CSO'!$A$116:$L$136,7,FALSE),0)*AV83</f>
        <v>0</v>
      </c>
      <c r="BC83" s="44">
        <f>IFERROR(VLOOKUP(AQ83,'[2]Harga &amp; Nama CSO'!$A$116:$L$136,8,FALSE),0)*AV83</f>
        <v>3</v>
      </c>
      <c r="BD83" s="44">
        <f>IFERROR(VLOOKUP(AQ83,'[2]Harga &amp; Nama CSO'!$A$116:$L$136,9,FALSE),0)*AV83</f>
        <v>0</v>
      </c>
      <c r="BE83" s="44">
        <f>IFERROR(VLOOKUP(AQ83,'[2]Harga &amp; Nama CSO'!$A$116:$L$136,10,FALSE),0)*AV83</f>
        <v>0</v>
      </c>
      <c r="BF83" s="44">
        <f>IFERROR(VLOOKUP(AQ83,'[2]Harga &amp; Nama CSO'!$A$116:$L$136,11,FALSE),0)*AV83</f>
        <v>0</v>
      </c>
      <c r="BG83" s="44">
        <f>IFERROR(VLOOKUP(AQ83,'[2]Harga &amp; Nama CSO'!$A$116:$L$136,12,FALSE),0)*AV83</f>
        <v>0</v>
      </c>
      <c r="BH83" s="44">
        <f>IFERROR(VLOOKUP(AQ83,'[2]Harga &amp; Nama CSO'!$A$116:$R$136,13,FALSE),0)*AV83</f>
        <v>0</v>
      </c>
      <c r="BI83" s="44">
        <f>IFERROR(VLOOKUP(AQ83,'[2]Harga &amp; Nama CSO'!$A$116:$R$136,14,FALSE),0)*AV83</f>
        <v>3</v>
      </c>
      <c r="BJ83" s="44">
        <f>IFERROR(VLOOKUP(AQ83,'[2]Harga &amp; Nama CSO'!$A$116:$R$136,15,FALSE),0)*AV83</f>
        <v>0</v>
      </c>
      <c r="BK83" s="44">
        <f>IFERROR(VLOOKUP(AQ83,'[2]Harga &amp; Nama CSO'!$A$116:$R$136,16,FALSE),0)*AV83</f>
        <v>0</v>
      </c>
      <c r="BL83" s="44">
        <f>IFERROR(VLOOKUP(AQ83,'[2]Harga &amp; Nama CSO'!$A$116:$R$136,17,FALSE),0)*AV83</f>
        <v>0</v>
      </c>
      <c r="BM83" s="44">
        <f>IFERROR(VLOOKUP(AQ83,'[2]Harga &amp; Nama CSO'!$A$116:$R$136,18,FALSE),0)*AV83</f>
        <v>0</v>
      </c>
      <c r="BN83" s="44">
        <f>IFERROR(VLOOKUP(AQ83,'[2]Harga &amp; Nama CSO'!$A$116:$S$136,19,FALSE),0)*AV83</f>
        <v>0</v>
      </c>
      <c r="BO83" s="55">
        <f>IFERROR(VLOOKUP(AQ83,'[2]Harga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31"/>
        <v>0</v>
      </c>
      <c r="BU83" s="40">
        <v>46188</v>
      </c>
      <c r="BV83" s="8" t="e">
        <v>#VALUE!</v>
      </c>
      <c r="BW83" s="58">
        <f>VLOOKUP(AQ83,'[1]Harga &amp; Nama CSO'!$A$28:$D$31,4,0)*BQ83</f>
        <v>3</v>
      </c>
    </row>
    <row r="84" spans="1:75" x14ac:dyDescent="0.35">
      <c r="A84">
        <v>189</v>
      </c>
      <c r="B84" s="11">
        <v>46197</v>
      </c>
      <c r="C84" t="s">
        <v>204</v>
      </c>
      <c r="D84" t="s">
        <v>184</v>
      </c>
      <c r="E84">
        <v>1555825</v>
      </c>
      <c r="F84" t="s">
        <v>252</v>
      </c>
      <c r="G84" t="s">
        <v>42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46198</v>
      </c>
      <c r="AC84">
        <v>1</v>
      </c>
      <c r="AD84">
        <v>75000</v>
      </c>
      <c r="AE84" t="s">
        <v>109</v>
      </c>
      <c r="AF84">
        <v>0</v>
      </c>
      <c r="AG84">
        <v>46199</v>
      </c>
      <c r="AO84" s="39">
        <v>82</v>
      </c>
      <c r="AP84" s="40">
        <v>46185</v>
      </c>
      <c r="AQ84" s="41" t="s">
        <v>96</v>
      </c>
      <c r="AR84" s="42" t="str">
        <f>IFERROR(VLOOKUP(AU84,[2]SUMMARY!$A$3:$B$7,2,FALSE),"")</f>
        <v>MC-SAGARANTEN</v>
      </c>
      <c r="AS84" s="31">
        <v>17203837</v>
      </c>
      <c r="AT84" s="31" t="str">
        <f>VLOOKUP(AS84,[2]OUTLET!$B:$C,2,0)</f>
        <v>IDOLA CELL</v>
      </c>
      <c r="AU84" s="31" t="s">
        <v>53</v>
      </c>
      <c r="AV84" s="6">
        <v>1</v>
      </c>
      <c r="AW84" s="44">
        <f>IFERROR(VLOOKUP(AQ84,'[2]Harga &amp; Nama CSO'!$A$116:$L$136,2,FALSE),0)*AV84</f>
        <v>0</v>
      </c>
      <c r="AX84" s="44">
        <f>IFERROR(VLOOKUP(AQ84,'[2]Harga &amp; Nama CSO'!$A$116:$L$136,3,FALSE),0)*AV84</f>
        <v>0</v>
      </c>
      <c r="AY84" s="44">
        <f>IFERROR(VLOOKUP(AQ84,'[2]Harga &amp; Nama CSO'!$A$116:$L$136,4,FALSE),0)*AV84</f>
        <v>3</v>
      </c>
      <c r="AZ84" s="44">
        <f>IFERROR(VLOOKUP(AQ84,'[2]Harga &amp; Nama CSO'!$A$116:$L$136,5,FALSE),0)*AV84</f>
        <v>0</v>
      </c>
      <c r="BA84" s="44">
        <f>IFERROR(VLOOKUP(AQ84,'[2]Harga &amp; Nama CSO'!$A$116:$L$136,6,FALSE),0)*AV84</f>
        <v>0</v>
      </c>
      <c r="BB84" s="44">
        <f>IFERROR(VLOOKUP(AQ84,'[2]Harga &amp; Nama CSO'!$A$116:$L$136,7,FALSE),0)*AV84</f>
        <v>0</v>
      </c>
      <c r="BC84" s="44">
        <f>IFERROR(VLOOKUP(AQ84,'[2]Harga &amp; Nama CSO'!$A$116:$L$136,8,FALSE),0)*AV84</f>
        <v>3</v>
      </c>
      <c r="BD84" s="44">
        <f>IFERROR(VLOOKUP(AQ84,'[2]Harga &amp; Nama CSO'!$A$116:$L$136,9,FALSE),0)*AV84</f>
        <v>0</v>
      </c>
      <c r="BE84" s="44">
        <f>IFERROR(VLOOKUP(AQ84,'[2]Harga &amp; Nama CSO'!$A$116:$L$136,10,FALSE),0)*AV84</f>
        <v>0</v>
      </c>
      <c r="BF84" s="44">
        <f>IFERROR(VLOOKUP(AQ84,'[2]Harga &amp; Nama CSO'!$A$116:$L$136,11,FALSE),0)*AV84</f>
        <v>0</v>
      </c>
      <c r="BG84" s="44">
        <f>IFERROR(VLOOKUP(AQ84,'[2]Harga &amp; Nama CSO'!$A$116:$L$136,12,FALSE),0)*AV84</f>
        <v>0</v>
      </c>
      <c r="BH84" s="44">
        <f>IFERROR(VLOOKUP(AQ84,'[2]Harga &amp; Nama CSO'!$A$116:$R$136,13,FALSE),0)*AV84</f>
        <v>0</v>
      </c>
      <c r="BI84" s="44">
        <f>IFERROR(VLOOKUP(AQ84,'[2]Harga &amp; Nama CSO'!$A$116:$R$136,14,FALSE),0)*AV84</f>
        <v>3</v>
      </c>
      <c r="BJ84" s="44">
        <f>IFERROR(VLOOKUP(AQ84,'[2]Harga &amp; Nama CSO'!$A$116:$R$136,15,FALSE),0)*AV84</f>
        <v>0</v>
      </c>
      <c r="BK84" s="44">
        <f>IFERROR(VLOOKUP(AQ84,'[2]Harga &amp; Nama CSO'!$A$116:$R$136,16,FALSE),0)*AV84</f>
        <v>0</v>
      </c>
      <c r="BL84" s="44">
        <f>IFERROR(VLOOKUP(AQ84,'[2]Harga &amp; Nama CSO'!$A$116:$R$136,17,FALSE),0)*AV84</f>
        <v>0</v>
      </c>
      <c r="BM84" s="44">
        <f>IFERROR(VLOOKUP(AQ84,'[2]Harga &amp; Nama CSO'!$A$116:$R$136,18,FALSE),0)*AV84</f>
        <v>0</v>
      </c>
      <c r="BN84" s="44">
        <f>IFERROR(VLOOKUP(AQ84,'[2]Harga &amp; Nama CSO'!$A$116:$S$136,19,FALSE),0)*AV84</f>
        <v>0</v>
      </c>
      <c r="BO84" s="55">
        <f>IFERROR(VLOOKUP(AQ84,'[2]Harga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31"/>
        <v>0</v>
      </c>
      <c r="BU84" s="40">
        <v>46188</v>
      </c>
      <c r="BV84" s="8" t="e">
        <v>#VALUE!</v>
      </c>
      <c r="BW84" s="58">
        <f>VLOOKUP(AQ84,'[1]Harga &amp; Nama CSO'!$A$28:$D$31,4,0)*BQ84</f>
        <v>3</v>
      </c>
    </row>
    <row r="85" spans="1:75" x14ac:dyDescent="0.35">
      <c r="A85">
        <v>190</v>
      </c>
      <c r="B85" s="11">
        <v>46197</v>
      </c>
      <c r="C85" t="s">
        <v>204</v>
      </c>
      <c r="D85" t="s">
        <v>184</v>
      </c>
      <c r="E85">
        <v>17138377</v>
      </c>
      <c r="F85" t="s">
        <v>253</v>
      </c>
      <c r="G85" t="s">
        <v>42</v>
      </c>
      <c r="H85">
        <v>2</v>
      </c>
      <c r="I85">
        <v>0</v>
      </c>
      <c r="J85">
        <v>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2</v>
      </c>
      <c r="AA85">
        <v>150000</v>
      </c>
      <c r="AB85" s="11">
        <v>46198</v>
      </c>
      <c r="AC85">
        <v>2</v>
      </c>
      <c r="AD85">
        <v>150000</v>
      </c>
      <c r="AE85" t="s">
        <v>109</v>
      </c>
      <c r="AF85">
        <v>0</v>
      </c>
      <c r="AG85">
        <v>46199</v>
      </c>
      <c r="AO85" s="39">
        <v>83</v>
      </c>
      <c r="AP85" s="40">
        <v>46185</v>
      </c>
      <c r="AQ85" s="41" t="s">
        <v>96</v>
      </c>
      <c r="AR85" s="42" t="str">
        <f>IFERROR(VLOOKUP(AU85,[2]SUMMARY!$A$3:$B$7,2,FALSE),"")</f>
        <v>MC-SAGARANTEN</v>
      </c>
      <c r="AS85" s="31">
        <v>17437773</v>
      </c>
      <c r="AT85" s="31" t="str">
        <f>VLOOKUP(AS85,[2]OUTLET!$B:$C,2,0)</f>
        <v>Kimo stor</v>
      </c>
      <c r="AU85" s="31" t="s">
        <v>53</v>
      </c>
      <c r="AV85" s="6">
        <v>1</v>
      </c>
      <c r="AW85" s="44">
        <f>IFERROR(VLOOKUP(AQ85,'[2]Harga &amp; Nama CSO'!$A$116:$L$136,2,FALSE),0)*AV85</f>
        <v>0</v>
      </c>
      <c r="AX85" s="44">
        <f>IFERROR(VLOOKUP(AQ85,'[2]Harga &amp; Nama CSO'!$A$116:$L$136,3,FALSE),0)*AV85</f>
        <v>0</v>
      </c>
      <c r="AY85" s="44">
        <f>IFERROR(VLOOKUP(AQ85,'[2]Harga &amp; Nama CSO'!$A$116:$L$136,4,FALSE),0)*AV85</f>
        <v>3</v>
      </c>
      <c r="AZ85" s="44">
        <f>IFERROR(VLOOKUP(AQ85,'[2]Harga &amp; Nama CSO'!$A$116:$L$136,5,FALSE),0)*AV85</f>
        <v>0</v>
      </c>
      <c r="BA85" s="44">
        <f>IFERROR(VLOOKUP(AQ85,'[2]Harga &amp; Nama CSO'!$A$116:$L$136,6,FALSE),0)*AV85</f>
        <v>0</v>
      </c>
      <c r="BB85" s="44">
        <f>IFERROR(VLOOKUP(AQ85,'[2]Harga &amp; Nama CSO'!$A$116:$L$136,7,FALSE),0)*AV85</f>
        <v>0</v>
      </c>
      <c r="BC85" s="44">
        <f>IFERROR(VLOOKUP(AQ85,'[2]Harga &amp; Nama CSO'!$A$116:$L$136,8,FALSE),0)*AV85</f>
        <v>3</v>
      </c>
      <c r="BD85" s="44">
        <f>IFERROR(VLOOKUP(AQ85,'[2]Harga &amp; Nama CSO'!$A$116:$L$136,9,FALSE),0)*AV85</f>
        <v>0</v>
      </c>
      <c r="BE85" s="44">
        <f>IFERROR(VLOOKUP(AQ85,'[2]Harga &amp; Nama CSO'!$A$116:$L$136,10,FALSE),0)*AV85</f>
        <v>0</v>
      </c>
      <c r="BF85" s="44">
        <f>IFERROR(VLOOKUP(AQ85,'[2]Harga &amp; Nama CSO'!$A$116:$L$136,11,FALSE),0)*AV85</f>
        <v>0</v>
      </c>
      <c r="BG85" s="44">
        <f>IFERROR(VLOOKUP(AQ85,'[2]Harga &amp; Nama CSO'!$A$116:$L$136,12,FALSE),0)*AV85</f>
        <v>0</v>
      </c>
      <c r="BH85" s="44">
        <f>IFERROR(VLOOKUP(AQ85,'[2]Harga &amp; Nama CSO'!$A$116:$R$136,13,FALSE),0)*AV85</f>
        <v>0</v>
      </c>
      <c r="BI85" s="44">
        <f>IFERROR(VLOOKUP(AQ85,'[2]Harga &amp; Nama CSO'!$A$116:$R$136,14,FALSE),0)*AV85</f>
        <v>3</v>
      </c>
      <c r="BJ85" s="44">
        <f>IFERROR(VLOOKUP(AQ85,'[2]Harga &amp; Nama CSO'!$A$116:$R$136,15,FALSE),0)*AV85</f>
        <v>0</v>
      </c>
      <c r="BK85" s="44">
        <f>IFERROR(VLOOKUP(AQ85,'[2]Harga &amp; Nama CSO'!$A$116:$R$136,16,FALSE),0)*AV85</f>
        <v>0</v>
      </c>
      <c r="BL85" s="44">
        <f>IFERROR(VLOOKUP(AQ85,'[2]Harga &amp; Nama CSO'!$A$116:$R$136,17,FALSE),0)*AV85</f>
        <v>0</v>
      </c>
      <c r="BM85" s="44">
        <f>IFERROR(VLOOKUP(AQ85,'[2]Harga &amp; Nama CSO'!$A$116:$R$136,18,FALSE),0)*AV85</f>
        <v>0</v>
      </c>
      <c r="BN85" s="44">
        <f>IFERROR(VLOOKUP(AQ85,'[2]Harga &amp; Nama CSO'!$A$116:$S$136,19,FALSE),0)*AV85</f>
        <v>0</v>
      </c>
      <c r="BO85" s="55">
        <f>IFERROR(VLOOKUP(AQ85,'[2]Harga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31"/>
        <v>0</v>
      </c>
      <c r="BU85" s="40">
        <v>46188</v>
      </c>
      <c r="BV85" s="8" t="e">
        <v>#VALUE!</v>
      </c>
      <c r="BW85" s="58">
        <f>VLOOKUP(AQ85,'[1]Harga &amp; Nama CSO'!$A$28:$D$31,4,0)*BQ85</f>
        <v>3</v>
      </c>
    </row>
    <row r="86" spans="1:75" x14ac:dyDescent="0.35">
      <c r="A86">
        <v>192</v>
      </c>
      <c r="B86" s="11">
        <v>46198</v>
      </c>
      <c r="C86" t="s">
        <v>204</v>
      </c>
      <c r="D86" t="s">
        <v>184</v>
      </c>
      <c r="E86">
        <v>17399911</v>
      </c>
      <c r="F86" t="s">
        <v>254</v>
      </c>
      <c r="G86" t="s">
        <v>54</v>
      </c>
      <c r="H86">
        <v>10</v>
      </c>
      <c r="I86">
        <v>0</v>
      </c>
      <c r="J86">
        <v>30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10</v>
      </c>
      <c r="AA86">
        <v>750000</v>
      </c>
      <c r="AB86" s="11"/>
      <c r="AF86">
        <v>750000</v>
      </c>
      <c r="AO86" s="39">
        <v>84</v>
      </c>
      <c r="AP86" s="40">
        <v>46185</v>
      </c>
      <c r="AQ86" s="41" t="s">
        <v>96</v>
      </c>
      <c r="AR86" s="42" t="str">
        <f>IFERROR(VLOOKUP(AU86,[2]SUMMARY!$A$3:$B$7,2,FALSE),"")</f>
        <v>MC-SAGARANTEN</v>
      </c>
      <c r="AS86" s="31">
        <v>17218897</v>
      </c>
      <c r="AT86" s="31" t="str">
        <f>VLOOKUP(AS86,[2]OUTLET!$B:$C,2,0)</f>
        <v>SOFYAN CELL</v>
      </c>
      <c r="AU86" s="31" t="s">
        <v>53</v>
      </c>
      <c r="AV86" s="6">
        <v>1</v>
      </c>
      <c r="AW86" s="44">
        <f>IFERROR(VLOOKUP(AQ86,'[2]Harga &amp; Nama CSO'!$A$116:$L$136,2,FALSE),0)*AV86</f>
        <v>0</v>
      </c>
      <c r="AX86" s="44">
        <f>IFERROR(VLOOKUP(AQ86,'[2]Harga &amp; Nama CSO'!$A$116:$L$136,3,FALSE),0)*AV86</f>
        <v>0</v>
      </c>
      <c r="AY86" s="44">
        <f>IFERROR(VLOOKUP(AQ86,'[2]Harga &amp; Nama CSO'!$A$116:$L$136,4,FALSE),0)*AV86</f>
        <v>3</v>
      </c>
      <c r="AZ86" s="44">
        <f>IFERROR(VLOOKUP(AQ86,'[2]Harga &amp; Nama CSO'!$A$116:$L$136,5,FALSE),0)*AV86</f>
        <v>0</v>
      </c>
      <c r="BA86" s="44">
        <f>IFERROR(VLOOKUP(AQ86,'[2]Harga &amp; Nama CSO'!$A$116:$L$136,6,FALSE),0)*AV86</f>
        <v>0</v>
      </c>
      <c r="BB86" s="44">
        <f>IFERROR(VLOOKUP(AQ86,'[2]Harga &amp; Nama CSO'!$A$116:$L$136,7,FALSE),0)*AV86</f>
        <v>0</v>
      </c>
      <c r="BC86" s="44">
        <f>IFERROR(VLOOKUP(AQ86,'[2]Harga &amp; Nama CSO'!$A$116:$L$136,8,FALSE),0)*AV86</f>
        <v>3</v>
      </c>
      <c r="BD86" s="44">
        <f>IFERROR(VLOOKUP(AQ86,'[2]Harga &amp; Nama CSO'!$A$116:$L$136,9,FALSE),0)*AV86</f>
        <v>0</v>
      </c>
      <c r="BE86" s="44">
        <f>IFERROR(VLOOKUP(AQ86,'[2]Harga &amp; Nama CSO'!$A$116:$L$136,10,FALSE),0)*AV86</f>
        <v>0</v>
      </c>
      <c r="BF86" s="44">
        <f>IFERROR(VLOOKUP(AQ86,'[2]Harga &amp; Nama CSO'!$A$116:$L$136,11,FALSE),0)*AV86</f>
        <v>0</v>
      </c>
      <c r="BG86" s="44">
        <f>IFERROR(VLOOKUP(AQ86,'[2]Harga &amp; Nama CSO'!$A$116:$L$136,12,FALSE),0)*AV86</f>
        <v>0</v>
      </c>
      <c r="BH86" s="44">
        <f>IFERROR(VLOOKUP(AQ86,'[2]Harga &amp; Nama CSO'!$A$116:$R$136,13,FALSE),0)*AV86</f>
        <v>0</v>
      </c>
      <c r="BI86" s="44">
        <f>IFERROR(VLOOKUP(AQ86,'[2]Harga &amp; Nama CSO'!$A$116:$R$136,14,FALSE),0)*AV86</f>
        <v>3</v>
      </c>
      <c r="BJ86" s="44">
        <f>IFERROR(VLOOKUP(AQ86,'[2]Harga &amp; Nama CSO'!$A$116:$R$136,15,FALSE),0)*AV86</f>
        <v>0</v>
      </c>
      <c r="BK86" s="44">
        <f>IFERROR(VLOOKUP(AQ86,'[2]Harga &amp; Nama CSO'!$A$116:$R$136,16,FALSE),0)*AV86</f>
        <v>0</v>
      </c>
      <c r="BL86" s="44">
        <f>IFERROR(VLOOKUP(AQ86,'[2]Harga &amp; Nama CSO'!$A$116:$R$136,17,FALSE),0)*AV86</f>
        <v>0</v>
      </c>
      <c r="BM86" s="44">
        <f>IFERROR(VLOOKUP(AQ86,'[2]Harga &amp; Nama CSO'!$A$116:$R$136,18,FALSE),0)*AV86</f>
        <v>0</v>
      </c>
      <c r="BN86" s="44">
        <f>IFERROR(VLOOKUP(AQ86,'[2]Harga &amp; Nama CSO'!$A$116:$S$136,19,FALSE),0)*AV86</f>
        <v>0</v>
      </c>
      <c r="BO86" s="55">
        <f>IFERROR(VLOOKUP(AQ86,'[2]Harga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31"/>
        <v>0</v>
      </c>
      <c r="BU86" s="40">
        <v>46188</v>
      </c>
      <c r="BV86" s="8" t="e">
        <v>#VALUE!</v>
      </c>
      <c r="BW86" s="58">
        <f>VLOOKUP(AQ86,'[1]Harga &amp; Nama CSO'!$A$28:$D$31,4,0)*BQ86</f>
        <v>3</v>
      </c>
    </row>
    <row r="87" spans="1:75" x14ac:dyDescent="0.35">
      <c r="A87">
        <v>193</v>
      </c>
      <c r="B87" s="11">
        <v>46198</v>
      </c>
      <c r="C87" t="s">
        <v>204</v>
      </c>
      <c r="D87" t="s">
        <v>184</v>
      </c>
      <c r="E87">
        <v>17190542</v>
      </c>
      <c r="F87" t="s">
        <v>255</v>
      </c>
      <c r="G87" t="s">
        <v>53</v>
      </c>
      <c r="H87">
        <v>6</v>
      </c>
      <c r="I87">
        <v>0</v>
      </c>
      <c r="J87">
        <v>18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6</v>
      </c>
      <c r="AA87">
        <v>450000</v>
      </c>
      <c r="AB87" s="11">
        <v>46198</v>
      </c>
      <c r="AC87">
        <v>6</v>
      </c>
      <c r="AD87">
        <v>425000</v>
      </c>
      <c r="AE87" t="s">
        <v>109</v>
      </c>
      <c r="AF87">
        <v>25000</v>
      </c>
      <c r="AG87">
        <v>46199</v>
      </c>
      <c r="AO87" s="39">
        <v>85</v>
      </c>
      <c r="AP87" s="40">
        <v>46185</v>
      </c>
      <c r="AQ87" s="41" t="s">
        <v>96</v>
      </c>
      <c r="AR87" s="42" t="str">
        <f>IFERROR(VLOOKUP(AU87,[2]SUMMARY!$A$3:$B$7,2,FALSE),"")</f>
        <v>MC-SAGARANTEN</v>
      </c>
      <c r="AS87" s="31">
        <v>17473105</v>
      </c>
      <c r="AT87" s="31" t="str">
        <f>VLOOKUP(AS87,[2]OUTLET!$B:$C,2,0)</f>
        <v>Nabil cell</v>
      </c>
      <c r="AU87" s="31" t="s">
        <v>53</v>
      </c>
      <c r="AV87" s="6">
        <v>1</v>
      </c>
      <c r="AW87" s="44">
        <f>IFERROR(VLOOKUP(AQ87,'[2]Harga &amp; Nama CSO'!$A$116:$L$136,2,FALSE),0)*AV87</f>
        <v>0</v>
      </c>
      <c r="AX87" s="44">
        <f>IFERROR(VLOOKUP(AQ87,'[2]Harga &amp; Nama CSO'!$A$116:$L$136,3,FALSE),0)*AV87</f>
        <v>0</v>
      </c>
      <c r="AY87" s="44">
        <f>IFERROR(VLOOKUP(AQ87,'[2]Harga &amp; Nama CSO'!$A$116:$L$136,4,FALSE),0)*AV87</f>
        <v>3</v>
      </c>
      <c r="AZ87" s="44">
        <f>IFERROR(VLOOKUP(AQ87,'[2]Harga &amp; Nama CSO'!$A$116:$L$136,5,FALSE),0)*AV87</f>
        <v>0</v>
      </c>
      <c r="BA87" s="44">
        <f>IFERROR(VLOOKUP(AQ87,'[2]Harga &amp; Nama CSO'!$A$116:$L$136,6,FALSE),0)*AV87</f>
        <v>0</v>
      </c>
      <c r="BB87" s="44">
        <f>IFERROR(VLOOKUP(AQ87,'[2]Harga &amp; Nama CSO'!$A$116:$L$136,7,FALSE),0)*AV87</f>
        <v>0</v>
      </c>
      <c r="BC87" s="44">
        <f>IFERROR(VLOOKUP(AQ87,'[2]Harga &amp; Nama CSO'!$A$116:$L$136,8,FALSE),0)*AV87</f>
        <v>3</v>
      </c>
      <c r="BD87" s="44">
        <f>IFERROR(VLOOKUP(AQ87,'[2]Harga &amp; Nama CSO'!$A$116:$L$136,9,FALSE),0)*AV87</f>
        <v>0</v>
      </c>
      <c r="BE87" s="44">
        <f>IFERROR(VLOOKUP(AQ87,'[2]Harga &amp; Nama CSO'!$A$116:$L$136,10,FALSE),0)*AV87</f>
        <v>0</v>
      </c>
      <c r="BF87" s="44">
        <f>IFERROR(VLOOKUP(AQ87,'[2]Harga &amp; Nama CSO'!$A$116:$L$136,11,FALSE),0)*AV87</f>
        <v>0</v>
      </c>
      <c r="BG87" s="44">
        <f>IFERROR(VLOOKUP(AQ87,'[2]Harga &amp; Nama CSO'!$A$116:$L$136,12,FALSE),0)*AV87</f>
        <v>0</v>
      </c>
      <c r="BH87" s="44">
        <f>IFERROR(VLOOKUP(AQ87,'[2]Harga &amp; Nama CSO'!$A$116:$R$136,13,FALSE),0)*AV87</f>
        <v>0</v>
      </c>
      <c r="BI87" s="44">
        <f>IFERROR(VLOOKUP(AQ87,'[2]Harga &amp; Nama CSO'!$A$116:$R$136,14,FALSE),0)*AV87</f>
        <v>3</v>
      </c>
      <c r="BJ87" s="44">
        <f>IFERROR(VLOOKUP(AQ87,'[2]Harga &amp; Nama CSO'!$A$116:$R$136,15,FALSE),0)*AV87</f>
        <v>0</v>
      </c>
      <c r="BK87" s="44">
        <f>IFERROR(VLOOKUP(AQ87,'[2]Harga &amp; Nama CSO'!$A$116:$R$136,16,FALSE),0)*AV87</f>
        <v>0</v>
      </c>
      <c r="BL87" s="44">
        <f>IFERROR(VLOOKUP(AQ87,'[2]Harga &amp; Nama CSO'!$A$116:$R$136,17,FALSE),0)*AV87</f>
        <v>0</v>
      </c>
      <c r="BM87" s="44">
        <f>IFERROR(VLOOKUP(AQ87,'[2]Harga &amp; Nama CSO'!$A$116:$R$136,18,FALSE),0)*AV87</f>
        <v>0</v>
      </c>
      <c r="BN87" s="44">
        <f>IFERROR(VLOOKUP(AQ87,'[2]Harga &amp; Nama CSO'!$A$116:$S$136,19,FALSE),0)*AV87</f>
        <v>0</v>
      </c>
      <c r="BO87" s="55">
        <f>IFERROR(VLOOKUP(AQ87,'[2]Harga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31"/>
        <v>0</v>
      </c>
      <c r="BU87" s="40">
        <v>46188</v>
      </c>
      <c r="BV87" s="8" t="e">
        <v>#VALUE!</v>
      </c>
      <c r="BW87" s="58">
        <f>VLOOKUP(AQ87,'[1]Harga &amp; Nama CSO'!$A$28:$D$31,4,0)*BQ87</f>
        <v>3</v>
      </c>
    </row>
    <row r="88" spans="1:75" x14ac:dyDescent="0.35">
      <c r="A88">
        <v>194</v>
      </c>
      <c r="B88" s="11">
        <v>46198</v>
      </c>
      <c r="C88" t="s">
        <v>204</v>
      </c>
      <c r="D88" t="s">
        <v>184</v>
      </c>
      <c r="E88">
        <v>17179164</v>
      </c>
      <c r="F88" t="s">
        <v>256</v>
      </c>
      <c r="G88" t="s">
        <v>41</v>
      </c>
      <c r="H88">
        <v>10</v>
      </c>
      <c r="I88">
        <v>0</v>
      </c>
      <c r="J88">
        <v>30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10</v>
      </c>
      <c r="AA88">
        <v>750000</v>
      </c>
      <c r="AB88" s="11">
        <v>46198</v>
      </c>
      <c r="AC88">
        <v>10</v>
      </c>
      <c r="AD88">
        <v>750000</v>
      </c>
      <c r="AE88" t="s">
        <v>109</v>
      </c>
      <c r="AF88">
        <v>0</v>
      </c>
      <c r="AG88">
        <v>46199</v>
      </c>
      <c r="AO88" s="39">
        <v>86</v>
      </c>
      <c r="AP88" s="60">
        <v>46186</v>
      </c>
      <c r="AQ88" s="41" t="s">
        <v>96</v>
      </c>
      <c r="AR88" s="42" t="str">
        <f>IFERROR(VLOOKUP(AU88,[2]SUMMARY!$A$3:$B$7,2,FALSE),"")</f>
        <v>MC-SAGARANTEN</v>
      </c>
      <c r="AS88" s="31">
        <v>17762144</v>
      </c>
      <c r="AT88" s="31" t="str">
        <f>VLOOKUP(AS88,[2]OUTLET!$B:$C,2,0)</f>
        <v>Chica Cell</v>
      </c>
      <c r="AU88" s="31" t="s">
        <v>41</v>
      </c>
      <c r="AV88" s="6">
        <v>1</v>
      </c>
      <c r="AW88" s="44">
        <f>IFERROR(VLOOKUP(AQ88,'[2]Harga &amp; Nama CSO'!$A$116:$L$136,2,FALSE),0)*AV88</f>
        <v>0</v>
      </c>
      <c r="AX88" s="44">
        <f>IFERROR(VLOOKUP(AQ88,'[2]Harga &amp; Nama CSO'!$A$116:$L$136,3,FALSE),0)*AV88</f>
        <v>0</v>
      </c>
      <c r="AY88" s="44">
        <f>IFERROR(VLOOKUP(AQ88,'[2]Harga &amp; Nama CSO'!$A$116:$L$136,4,FALSE),0)*AV88</f>
        <v>3</v>
      </c>
      <c r="AZ88" s="44">
        <f>IFERROR(VLOOKUP(AQ88,'[2]Harga &amp; Nama CSO'!$A$116:$L$136,5,FALSE),0)*AV88</f>
        <v>0</v>
      </c>
      <c r="BA88" s="44">
        <f>IFERROR(VLOOKUP(AQ88,'[2]Harga &amp; Nama CSO'!$A$116:$L$136,6,FALSE),0)*AV88</f>
        <v>0</v>
      </c>
      <c r="BB88" s="44">
        <f>IFERROR(VLOOKUP(AQ88,'[2]Harga &amp; Nama CSO'!$A$116:$L$136,7,FALSE),0)*AV88</f>
        <v>0</v>
      </c>
      <c r="BC88" s="44">
        <f>IFERROR(VLOOKUP(AQ88,'[2]Harga &amp; Nama CSO'!$A$116:$L$136,8,FALSE),0)*AV88</f>
        <v>3</v>
      </c>
      <c r="BD88" s="44">
        <f>IFERROR(VLOOKUP(AQ88,'[2]Harga &amp; Nama CSO'!$A$116:$L$136,9,FALSE),0)*AV88</f>
        <v>0</v>
      </c>
      <c r="BE88" s="44">
        <f>IFERROR(VLOOKUP(AQ88,'[2]Harga &amp; Nama CSO'!$A$116:$L$136,10,FALSE),0)*AV88</f>
        <v>0</v>
      </c>
      <c r="BF88" s="44">
        <f>IFERROR(VLOOKUP(AQ88,'[2]Harga &amp; Nama CSO'!$A$116:$L$136,11,FALSE),0)*AV88</f>
        <v>0</v>
      </c>
      <c r="BG88" s="44">
        <f>IFERROR(VLOOKUP(AQ88,'[2]Harga &amp; Nama CSO'!$A$116:$L$136,12,FALSE),0)*AV88</f>
        <v>0</v>
      </c>
      <c r="BH88" s="44">
        <f>IFERROR(VLOOKUP(AQ88,'[2]Harga &amp; Nama CSO'!$A$116:$R$136,13,FALSE),0)*AV88</f>
        <v>0</v>
      </c>
      <c r="BI88" s="44">
        <f>IFERROR(VLOOKUP(AQ88,'[2]Harga &amp; Nama CSO'!$A$116:$R$136,14,FALSE),0)*AV88</f>
        <v>3</v>
      </c>
      <c r="BJ88" s="44">
        <f>IFERROR(VLOOKUP(AQ88,'[2]Harga &amp; Nama CSO'!$A$116:$R$136,15,FALSE),0)*AV88</f>
        <v>0</v>
      </c>
      <c r="BK88" s="44">
        <f>IFERROR(VLOOKUP(AQ88,'[2]Harga &amp; Nama CSO'!$A$116:$R$136,16,FALSE),0)*AV88</f>
        <v>0</v>
      </c>
      <c r="BL88" s="44">
        <f>IFERROR(VLOOKUP(AQ88,'[2]Harga &amp; Nama CSO'!$A$116:$R$136,17,FALSE),0)*AV88</f>
        <v>0</v>
      </c>
      <c r="BM88" s="44">
        <f>IFERROR(VLOOKUP(AQ88,'[2]Harga &amp; Nama CSO'!$A$116:$R$136,18,FALSE),0)*AV88</f>
        <v>0</v>
      </c>
      <c r="BN88" s="44">
        <f>IFERROR(VLOOKUP(AQ88,'[2]Harga &amp; Nama CSO'!$A$116:$S$136,19,FALSE),0)*AV88</f>
        <v>0</v>
      </c>
      <c r="BO88" s="55">
        <f>IFERROR(VLOOKUP(AQ88,'[2]Harga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31"/>
        <v>0</v>
      </c>
      <c r="BU88" s="40">
        <v>46188</v>
      </c>
      <c r="BV88" s="8" t="e">
        <v>#VALUE!</v>
      </c>
      <c r="BW88" s="58">
        <f>VLOOKUP(AQ88,'[1]Harga &amp; Nama CSO'!$A$28:$D$31,4,0)*BQ88</f>
        <v>3</v>
      </c>
    </row>
    <row r="89" spans="1:75" x14ac:dyDescent="0.35">
      <c r="A89">
        <v>195</v>
      </c>
      <c r="B89" s="11">
        <v>46198</v>
      </c>
      <c r="C89" t="s">
        <v>204</v>
      </c>
      <c r="D89" t="s">
        <v>184</v>
      </c>
      <c r="E89">
        <v>1287387</v>
      </c>
      <c r="F89" t="s">
        <v>185</v>
      </c>
      <c r="G89" t="s">
        <v>42</v>
      </c>
      <c r="H89">
        <v>10</v>
      </c>
      <c r="I89">
        <v>0</v>
      </c>
      <c r="J89">
        <v>30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10</v>
      </c>
      <c r="AA89">
        <v>750000</v>
      </c>
      <c r="AB89" s="11"/>
      <c r="AF89">
        <v>750000</v>
      </c>
      <c r="AO89" s="39">
        <v>87</v>
      </c>
      <c r="AP89" s="60">
        <v>46186</v>
      </c>
      <c r="AQ89" s="41" t="s">
        <v>96</v>
      </c>
      <c r="AR89" s="42" t="str">
        <f>IFERROR(VLOOKUP(AU89,[2]SUMMARY!$A$3:$B$7,2,FALSE),"")</f>
        <v>MC-SAGARANTEN</v>
      </c>
      <c r="AS89" s="31">
        <v>1287411</v>
      </c>
      <c r="AT89" s="31" t="str">
        <f>VLOOKUP(AS89,[2]OUTLET!$B:$C,2,0)</f>
        <v>SCREEN CELL</v>
      </c>
      <c r="AU89" s="31" t="s">
        <v>53</v>
      </c>
      <c r="AV89" s="6">
        <v>1</v>
      </c>
      <c r="AW89" s="44">
        <f>IFERROR(VLOOKUP(AQ89,'[2]Harga &amp; Nama CSO'!$A$116:$L$136,2,FALSE),0)*AV89</f>
        <v>0</v>
      </c>
      <c r="AX89" s="44">
        <f>IFERROR(VLOOKUP(AQ89,'[2]Harga &amp; Nama CSO'!$A$116:$L$136,3,FALSE),0)*AV89</f>
        <v>0</v>
      </c>
      <c r="AY89" s="44">
        <f>IFERROR(VLOOKUP(AQ89,'[2]Harga &amp; Nama CSO'!$A$116:$L$136,4,FALSE),0)*AV89</f>
        <v>3</v>
      </c>
      <c r="AZ89" s="44">
        <f>IFERROR(VLOOKUP(AQ89,'[2]Harga &amp; Nama CSO'!$A$116:$L$136,5,FALSE),0)*AV89</f>
        <v>0</v>
      </c>
      <c r="BA89" s="44">
        <f>IFERROR(VLOOKUP(AQ89,'[2]Harga &amp; Nama CSO'!$A$116:$L$136,6,FALSE),0)*AV89</f>
        <v>0</v>
      </c>
      <c r="BB89" s="44">
        <f>IFERROR(VLOOKUP(AQ89,'[2]Harga &amp; Nama CSO'!$A$116:$L$136,7,FALSE),0)*AV89</f>
        <v>0</v>
      </c>
      <c r="BC89" s="44">
        <f>IFERROR(VLOOKUP(AQ89,'[2]Harga &amp; Nama CSO'!$A$116:$L$136,8,FALSE),0)*AV89</f>
        <v>3</v>
      </c>
      <c r="BD89" s="44">
        <f>IFERROR(VLOOKUP(AQ89,'[2]Harga &amp; Nama CSO'!$A$116:$L$136,9,FALSE),0)*AV89</f>
        <v>0</v>
      </c>
      <c r="BE89" s="44">
        <f>IFERROR(VLOOKUP(AQ89,'[2]Harga &amp; Nama CSO'!$A$116:$L$136,10,FALSE),0)*AV89</f>
        <v>0</v>
      </c>
      <c r="BF89" s="44">
        <f>IFERROR(VLOOKUP(AQ89,'[2]Harga &amp; Nama CSO'!$A$116:$L$136,11,FALSE),0)*AV89</f>
        <v>0</v>
      </c>
      <c r="BG89" s="44">
        <f>IFERROR(VLOOKUP(AQ89,'[2]Harga &amp; Nama CSO'!$A$116:$L$136,12,FALSE),0)*AV89</f>
        <v>0</v>
      </c>
      <c r="BH89" s="44">
        <f>IFERROR(VLOOKUP(AQ89,'[2]Harga &amp; Nama CSO'!$A$116:$R$136,13,FALSE),0)*AV89</f>
        <v>0</v>
      </c>
      <c r="BI89" s="44">
        <f>IFERROR(VLOOKUP(AQ89,'[2]Harga &amp; Nama CSO'!$A$116:$R$136,14,FALSE),0)*AV89</f>
        <v>3</v>
      </c>
      <c r="BJ89" s="44">
        <f>IFERROR(VLOOKUP(AQ89,'[2]Harga &amp; Nama CSO'!$A$116:$R$136,15,FALSE),0)*AV89</f>
        <v>0</v>
      </c>
      <c r="BK89" s="44">
        <f>IFERROR(VLOOKUP(AQ89,'[2]Harga &amp; Nama CSO'!$A$116:$R$136,16,FALSE),0)*AV89</f>
        <v>0</v>
      </c>
      <c r="BL89" s="44">
        <f>IFERROR(VLOOKUP(AQ89,'[2]Harga &amp; Nama CSO'!$A$116:$R$136,17,FALSE),0)*AV89</f>
        <v>0</v>
      </c>
      <c r="BM89" s="44">
        <f>IFERROR(VLOOKUP(AQ89,'[2]Harga &amp; Nama CSO'!$A$116:$R$136,18,FALSE),0)*AV89</f>
        <v>0</v>
      </c>
      <c r="BN89" s="44">
        <f>IFERROR(VLOOKUP(AQ89,'[2]Harga &amp; Nama CSO'!$A$116:$S$136,19,FALSE),0)*AV89</f>
        <v>0</v>
      </c>
      <c r="BO89" s="55">
        <f>IFERROR(VLOOKUP(AQ89,'[2]Harga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31"/>
        <v>0</v>
      </c>
      <c r="BU89" s="40">
        <v>46188</v>
      </c>
      <c r="BV89" s="8" t="e">
        <v>#VALUE!</v>
      </c>
      <c r="BW89" s="58">
        <f>VLOOKUP(AQ89,'[1]Harga &amp; Nama CSO'!$A$28:$D$31,4,0)*BQ89</f>
        <v>3</v>
      </c>
    </row>
    <row r="90" spans="1:75" x14ac:dyDescent="0.35">
      <c r="A90">
        <v>196</v>
      </c>
      <c r="B90" s="11">
        <v>46199</v>
      </c>
      <c r="C90" t="s">
        <v>204</v>
      </c>
      <c r="D90" t="s">
        <v>184</v>
      </c>
      <c r="E90">
        <v>17737026</v>
      </c>
      <c r="F90" t="s">
        <v>258</v>
      </c>
      <c r="G90" t="s">
        <v>53</v>
      </c>
      <c r="H90">
        <v>9</v>
      </c>
      <c r="I90">
        <v>0</v>
      </c>
      <c r="J90">
        <v>27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9</v>
      </c>
      <c r="AA90">
        <v>675000</v>
      </c>
      <c r="AB90">
        <v>46199</v>
      </c>
      <c r="AC90">
        <v>9</v>
      </c>
      <c r="AD90">
        <v>675000</v>
      </c>
      <c r="AE90" t="s">
        <v>109</v>
      </c>
      <c r="AF90">
        <v>0</v>
      </c>
      <c r="AO90" s="39">
        <v>88</v>
      </c>
      <c r="AP90" s="60">
        <v>46186</v>
      </c>
      <c r="AQ90" s="41" t="s">
        <v>96</v>
      </c>
      <c r="AR90" s="42" t="str">
        <f>IFERROR(VLOOKUP(AU90,[2]SUMMARY!$A$3:$B$7,2,FALSE),"")</f>
        <v>MC-SAGARANTEN</v>
      </c>
      <c r="AS90" s="31">
        <v>17448324</v>
      </c>
      <c r="AT90" s="31" t="str">
        <f>VLOOKUP(AS90,[2]OUTLET!$B:$C,2,0)</f>
        <v>Dian barito cell</v>
      </c>
      <c r="AU90" s="31" t="s">
        <v>53</v>
      </c>
      <c r="AV90" s="6">
        <v>1</v>
      </c>
      <c r="AW90" s="44">
        <f>IFERROR(VLOOKUP(AQ90,'[2]Harga &amp; Nama CSO'!$A$116:$L$136,2,FALSE),0)*AV90</f>
        <v>0</v>
      </c>
      <c r="AX90" s="44">
        <f>IFERROR(VLOOKUP(AQ90,'[2]Harga &amp; Nama CSO'!$A$116:$L$136,3,FALSE),0)*AV90</f>
        <v>0</v>
      </c>
      <c r="AY90" s="44">
        <f>IFERROR(VLOOKUP(AQ90,'[2]Harga &amp; Nama CSO'!$A$116:$L$136,4,FALSE),0)*AV90</f>
        <v>3</v>
      </c>
      <c r="AZ90" s="44">
        <f>IFERROR(VLOOKUP(AQ90,'[2]Harga &amp; Nama CSO'!$A$116:$L$136,5,FALSE),0)*AV90</f>
        <v>0</v>
      </c>
      <c r="BA90" s="44">
        <f>IFERROR(VLOOKUP(AQ90,'[2]Harga &amp; Nama CSO'!$A$116:$L$136,6,FALSE),0)*AV90</f>
        <v>0</v>
      </c>
      <c r="BB90" s="44">
        <f>IFERROR(VLOOKUP(AQ90,'[2]Harga &amp; Nama CSO'!$A$116:$L$136,7,FALSE),0)*AV90</f>
        <v>0</v>
      </c>
      <c r="BC90" s="44">
        <f>IFERROR(VLOOKUP(AQ90,'[2]Harga &amp; Nama CSO'!$A$116:$L$136,8,FALSE),0)*AV90</f>
        <v>3</v>
      </c>
      <c r="BD90" s="44">
        <f>IFERROR(VLOOKUP(AQ90,'[2]Harga &amp; Nama CSO'!$A$116:$L$136,9,FALSE),0)*AV90</f>
        <v>0</v>
      </c>
      <c r="BE90" s="44">
        <f>IFERROR(VLOOKUP(AQ90,'[2]Harga &amp; Nama CSO'!$A$116:$L$136,10,FALSE),0)*AV90</f>
        <v>0</v>
      </c>
      <c r="BF90" s="44">
        <f>IFERROR(VLOOKUP(AQ90,'[2]Harga &amp; Nama CSO'!$A$116:$L$136,11,FALSE),0)*AV90</f>
        <v>0</v>
      </c>
      <c r="BG90" s="44">
        <f>IFERROR(VLOOKUP(AQ90,'[2]Harga &amp; Nama CSO'!$A$116:$L$136,12,FALSE),0)*AV90</f>
        <v>0</v>
      </c>
      <c r="BH90" s="44">
        <f>IFERROR(VLOOKUP(AQ90,'[2]Harga &amp; Nama CSO'!$A$116:$R$136,13,FALSE),0)*AV90</f>
        <v>0</v>
      </c>
      <c r="BI90" s="44">
        <f>IFERROR(VLOOKUP(AQ90,'[2]Harga &amp; Nama CSO'!$A$116:$R$136,14,FALSE),0)*AV90</f>
        <v>3</v>
      </c>
      <c r="BJ90" s="44">
        <f>IFERROR(VLOOKUP(AQ90,'[2]Harga &amp; Nama CSO'!$A$116:$R$136,15,FALSE),0)*AV90</f>
        <v>0</v>
      </c>
      <c r="BK90" s="44">
        <f>IFERROR(VLOOKUP(AQ90,'[2]Harga &amp; Nama CSO'!$A$116:$R$136,16,FALSE),0)*AV90</f>
        <v>0</v>
      </c>
      <c r="BL90" s="44">
        <f>IFERROR(VLOOKUP(AQ90,'[2]Harga &amp; Nama CSO'!$A$116:$R$136,17,FALSE),0)*AV90</f>
        <v>0</v>
      </c>
      <c r="BM90" s="44">
        <f>IFERROR(VLOOKUP(AQ90,'[2]Harga &amp; Nama CSO'!$A$116:$R$136,18,FALSE),0)*AV90</f>
        <v>0</v>
      </c>
      <c r="BN90" s="44">
        <f>IFERROR(VLOOKUP(AQ90,'[2]Harga &amp; Nama CSO'!$A$116:$S$136,19,FALSE),0)*AV90</f>
        <v>0</v>
      </c>
      <c r="BO90" s="55">
        <f>IFERROR(VLOOKUP(AQ90,'[2]Harga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31"/>
        <v>0</v>
      </c>
      <c r="BU90" s="40">
        <v>46188</v>
      </c>
      <c r="BV90" s="8" t="e">
        <v>#VALUE!</v>
      </c>
      <c r="BW90" s="58">
        <f>VLOOKUP(AQ90,'[1]Harga &amp; Nama CSO'!$A$28:$D$31,4,0)*BQ90</f>
        <v>3</v>
      </c>
    </row>
    <row r="91" spans="1:75" x14ac:dyDescent="0.35">
      <c r="A91">
        <v>197</v>
      </c>
      <c r="B91" s="11">
        <v>46199</v>
      </c>
      <c r="C91" t="s">
        <v>204</v>
      </c>
      <c r="D91" t="s">
        <v>184</v>
      </c>
      <c r="E91">
        <v>17288556</v>
      </c>
      <c r="F91" t="s">
        <v>259</v>
      </c>
      <c r="G91" t="s">
        <v>41</v>
      </c>
      <c r="H91">
        <v>5</v>
      </c>
      <c r="I91">
        <v>0</v>
      </c>
      <c r="J91">
        <v>15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5</v>
      </c>
      <c r="AA91">
        <v>375000</v>
      </c>
      <c r="AB91">
        <v>46199</v>
      </c>
      <c r="AC91">
        <v>5</v>
      </c>
      <c r="AD91">
        <v>375000</v>
      </c>
      <c r="AE91" t="s">
        <v>109</v>
      </c>
      <c r="AF91">
        <v>0</v>
      </c>
      <c r="AO91" s="39">
        <v>89</v>
      </c>
      <c r="AP91" s="60">
        <v>46186</v>
      </c>
      <c r="AQ91" s="41" t="s">
        <v>96</v>
      </c>
      <c r="AR91" s="42" t="str">
        <f>IFERROR(VLOOKUP(AU91,[2]SUMMARY!$A$3:$B$7,2,FALSE),"")</f>
        <v>MC-SAGARANTEN</v>
      </c>
      <c r="AS91" s="31">
        <v>17769751</v>
      </c>
      <c r="AT91" s="31" t="str">
        <f>VLOOKUP(AS91,[2]OUTLET!$B:$C,2,0)</f>
        <v>Nabila cell</v>
      </c>
      <c r="AU91" s="31" t="s">
        <v>53</v>
      </c>
      <c r="AV91" s="6">
        <v>1</v>
      </c>
      <c r="AW91" s="44">
        <f>IFERROR(VLOOKUP(AQ91,'[2]Harga &amp; Nama CSO'!$A$116:$L$136,2,FALSE),0)*AV91</f>
        <v>0</v>
      </c>
      <c r="AX91" s="44">
        <f>IFERROR(VLOOKUP(AQ91,'[2]Harga &amp; Nama CSO'!$A$116:$L$136,3,FALSE),0)*AV91</f>
        <v>0</v>
      </c>
      <c r="AY91" s="44">
        <f>IFERROR(VLOOKUP(AQ91,'[2]Harga &amp; Nama CSO'!$A$116:$L$136,4,FALSE),0)*AV91</f>
        <v>3</v>
      </c>
      <c r="AZ91" s="44">
        <f>IFERROR(VLOOKUP(AQ91,'[2]Harga &amp; Nama CSO'!$A$116:$L$136,5,FALSE),0)*AV91</f>
        <v>0</v>
      </c>
      <c r="BA91" s="44">
        <f>IFERROR(VLOOKUP(AQ91,'[2]Harga &amp; Nama CSO'!$A$116:$L$136,6,FALSE),0)*AV91</f>
        <v>0</v>
      </c>
      <c r="BB91" s="44">
        <f>IFERROR(VLOOKUP(AQ91,'[2]Harga &amp; Nama CSO'!$A$116:$L$136,7,FALSE),0)*AV91</f>
        <v>0</v>
      </c>
      <c r="BC91" s="44">
        <f>IFERROR(VLOOKUP(AQ91,'[2]Harga &amp; Nama CSO'!$A$116:$L$136,8,FALSE),0)*AV91</f>
        <v>3</v>
      </c>
      <c r="BD91" s="44">
        <f>IFERROR(VLOOKUP(AQ91,'[2]Harga &amp; Nama CSO'!$A$116:$L$136,9,FALSE),0)*AV91</f>
        <v>0</v>
      </c>
      <c r="BE91" s="44">
        <f>IFERROR(VLOOKUP(AQ91,'[2]Harga &amp; Nama CSO'!$A$116:$L$136,10,FALSE),0)*AV91</f>
        <v>0</v>
      </c>
      <c r="BF91" s="44">
        <f>IFERROR(VLOOKUP(AQ91,'[2]Harga &amp; Nama CSO'!$A$116:$L$136,11,FALSE),0)*AV91</f>
        <v>0</v>
      </c>
      <c r="BG91" s="44">
        <f>IFERROR(VLOOKUP(AQ91,'[2]Harga &amp; Nama CSO'!$A$116:$L$136,12,FALSE),0)*AV91</f>
        <v>0</v>
      </c>
      <c r="BH91" s="44">
        <f>IFERROR(VLOOKUP(AQ91,'[2]Harga &amp; Nama CSO'!$A$116:$R$136,13,FALSE),0)*AV91</f>
        <v>0</v>
      </c>
      <c r="BI91" s="44">
        <f>IFERROR(VLOOKUP(AQ91,'[2]Harga &amp; Nama CSO'!$A$116:$R$136,14,FALSE),0)*AV91</f>
        <v>3</v>
      </c>
      <c r="BJ91" s="44">
        <f>IFERROR(VLOOKUP(AQ91,'[2]Harga &amp; Nama CSO'!$A$116:$R$136,15,FALSE),0)*AV91</f>
        <v>0</v>
      </c>
      <c r="BK91" s="44">
        <f>IFERROR(VLOOKUP(AQ91,'[2]Harga &amp; Nama CSO'!$A$116:$R$136,16,FALSE),0)*AV91</f>
        <v>0</v>
      </c>
      <c r="BL91" s="44">
        <f>IFERROR(VLOOKUP(AQ91,'[2]Harga &amp; Nama CSO'!$A$116:$R$136,17,FALSE),0)*AV91</f>
        <v>0</v>
      </c>
      <c r="BM91" s="44">
        <f>IFERROR(VLOOKUP(AQ91,'[2]Harga &amp; Nama CSO'!$A$116:$R$136,18,FALSE),0)*AV91</f>
        <v>0</v>
      </c>
      <c r="BN91" s="44">
        <f>IFERROR(VLOOKUP(AQ91,'[2]Harga &amp; Nama CSO'!$A$116:$S$136,19,FALSE),0)*AV91</f>
        <v>0</v>
      </c>
      <c r="BO91" s="55">
        <f>IFERROR(VLOOKUP(AQ91,'[2]Harga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31"/>
        <v>0</v>
      </c>
      <c r="BU91" s="40">
        <v>46188</v>
      </c>
      <c r="BV91" s="8" t="e">
        <v>#VALUE!</v>
      </c>
      <c r="BW91" s="58">
        <f>VLOOKUP(AQ91,'[1]Harga &amp; Nama CSO'!$A$28:$D$31,4,0)*BQ91</f>
        <v>3</v>
      </c>
    </row>
    <row r="92" spans="1:75" x14ac:dyDescent="0.35">
      <c r="A92">
        <v>198</v>
      </c>
      <c r="B92" s="11">
        <v>46199</v>
      </c>
      <c r="C92" t="s">
        <v>204</v>
      </c>
      <c r="D92" t="s">
        <v>184</v>
      </c>
      <c r="E92">
        <v>17695935</v>
      </c>
      <c r="F92" t="s">
        <v>260</v>
      </c>
      <c r="G92" t="s">
        <v>42</v>
      </c>
      <c r="H92">
        <v>7</v>
      </c>
      <c r="I92">
        <v>0</v>
      </c>
      <c r="J92">
        <v>21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7</v>
      </c>
      <c r="AA92">
        <v>525000</v>
      </c>
      <c r="AF92">
        <v>525000</v>
      </c>
      <c r="AO92" s="39">
        <v>90</v>
      </c>
      <c r="AP92" s="60">
        <v>46186</v>
      </c>
      <c r="AQ92" s="41" t="s">
        <v>96</v>
      </c>
      <c r="AR92" s="42" t="str">
        <f>IFERROR(VLOOKUP(AU92,[2]SUMMARY!$A$3:$B$7,2,FALSE),"")</f>
        <v>MC-SAGARANTEN</v>
      </c>
      <c r="AS92" s="31">
        <v>17747923</v>
      </c>
      <c r="AT92" s="31" t="str">
        <f>VLOOKUP(AS92,[2]OUTLET!$B:$C,2,0)</f>
        <v>Hasan cell</v>
      </c>
      <c r="AU92" s="31" t="s">
        <v>53</v>
      </c>
      <c r="AV92" s="6">
        <v>1</v>
      </c>
      <c r="AW92" s="44">
        <f>IFERROR(VLOOKUP(AQ92,'[2]Harga &amp; Nama CSO'!$A$116:$L$136,2,FALSE),0)*AV92</f>
        <v>0</v>
      </c>
      <c r="AX92" s="44">
        <f>IFERROR(VLOOKUP(AQ92,'[2]Harga &amp; Nama CSO'!$A$116:$L$136,3,FALSE),0)*AV92</f>
        <v>0</v>
      </c>
      <c r="AY92" s="44">
        <f>IFERROR(VLOOKUP(AQ92,'[2]Harga &amp; Nama CSO'!$A$116:$L$136,4,FALSE),0)*AV92</f>
        <v>3</v>
      </c>
      <c r="AZ92" s="44">
        <f>IFERROR(VLOOKUP(AQ92,'[2]Harga &amp; Nama CSO'!$A$116:$L$136,5,FALSE),0)*AV92</f>
        <v>0</v>
      </c>
      <c r="BA92" s="44">
        <f>IFERROR(VLOOKUP(AQ92,'[2]Harga &amp; Nama CSO'!$A$116:$L$136,6,FALSE),0)*AV92</f>
        <v>0</v>
      </c>
      <c r="BB92" s="44">
        <f>IFERROR(VLOOKUP(AQ92,'[2]Harga &amp; Nama CSO'!$A$116:$L$136,7,FALSE),0)*AV92</f>
        <v>0</v>
      </c>
      <c r="BC92" s="44">
        <f>IFERROR(VLOOKUP(AQ92,'[2]Harga &amp; Nama CSO'!$A$116:$L$136,8,FALSE),0)*AV92</f>
        <v>3</v>
      </c>
      <c r="BD92" s="44">
        <f>IFERROR(VLOOKUP(AQ92,'[2]Harga &amp; Nama CSO'!$A$116:$L$136,9,FALSE),0)*AV92</f>
        <v>0</v>
      </c>
      <c r="BE92" s="44">
        <f>IFERROR(VLOOKUP(AQ92,'[2]Harga &amp; Nama CSO'!$A$116:$L$136,10,FALSE),0)*AV92</f>
        <v>0</v>
      </c>
      <c r="BF92" s="44">
        <f>IFERROR(VLOOKUP(AQ92,'[2]Harga &amp; Nama CSO'!$A$116:$L$136,11,FALSE),0)*AV92</f>
        <v>0</v>
      </c>
      <c r="BG92" s="44">
        <f>IFERROR(VLOOKUP(AQ92,'[2]Harga &amp; Nama CSO'!$A$116:$L$136,12,FALSE),0)*AV92</f>
        <v>0</v>
      </c>
      <c r="BH92" s="44">
        <f>IFERROR(VLOOKUP(AQ92,'[2]Harga &amp; Nama CSO'!$A$116:$R$136,13,FALSE),0)*AV92</f>
        <v>0</v>
      </c>
      <c r="BI92" s="44">
        <f>IFERROR(VLOOKUP(AQ92,'[2]Harga &amp; Nama CSO'!$A$116:$R$136,14,FALSE),0)*AV92</f>
        <v>3</v>
      </c>
      <c r="BJ92" s="44">
        <f>IFERROR(VLOOKUP(AQ92,'[2]Harga &amp; Nama CSO'!$A$116:$R$136,15,FALSE),0)*AV92</f>
        <v>0</v>
      </c>
      <c r="BK92" s="44">
        <f>IFERROR(VLOOKUP(AQ92,'[2]Harga &amp; Nama CSO'!$A$116:$R$136,16,FALSE),0)*AV92</f>
        <v>0</v>
      </c>
      <c r="BL92" s="44">
        <f>IFERROR(VLOOKUP(AQ92,'[2]Harga &amp; Nama CSO'!$A$116:$R$136,17,FALSE),0)*AV92</f>
        <v>0</v>
      </c>
      <c r="BM92" s="44">
        <f>IFERROR(VLOOKUP(AQ92,'[2]Harga &amp; Nama CSO'!$A$116:$R$136,18,FALSE),0)*AV92</f>
        <v>0</v>
      </c>
      <c r="BN92" s="44">
        <f>IFERROR(VLOOKUP(AQ92,'[2]Harga &amp; Nama CSO'!$A$116:$S$136,19,FALSE),0)*AV92</f>
        <v>0</v>
      </c>
      <c r="BO92" s="55">
        <f>IFERROR(VLOOKUP(AQ92,'[2]Harga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31"/>
        <v>0</v>
      </c>
      <c r="BU92" s="40">
        <v>46188</v>
      </c>
      <c r="BV92" s="8" t="e">
        <v>#VALUE!</v>
      </c>
      <c r="BW92" s="58">
        <f>VLOOKUP(AQ92,'[1]Harga &amp; Nama CSO'!$A$28:$D$31,4,0)*BQ92</f>
        <v>3</v>
      </c>
    </row>
    <row r="93" spans="1:75" x14ac:dyDescent="0.35">
      <c r="A93">
        <v>199</v>
      </c>
      <c r="B93" s="11">
        <v>46199</v>
      </c>
      <c r="C93" t="s">
        <v>204</v>
      </c>
      <c r="D93" t="s">
        <v>184</v>
      </c>
      <c r="E93">
        <v>17437435</v>
      </c>
      <c r="F93" t="s">
        <v>261</v>
      </c>
      <c r="G93" t="s">
        <v>42</v>
      </c>
      <c r="H93">
        <v>3</v>
      </c>
      <c r="I93">
        <v>0</v>
      </c>
      <c r="J93">
        <v>9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3</v>
      </c>
      <c r="AA93">
        <v>225000</v>
      </c>
      <c r="AF93">
        <v>225000</v>
      </c>
      <c r="AO93" s="39">
        <v>91</v>
      </c>
      <c r="AP93" s="60">
        <v>46188</v>
      </c>
      <c r="AQ93" s="41" t="s">
        <v>96</v>
      </c>
      <c r="AR93" s="42" t="str">
        <f>IFERROR(VLOOKUP(AU93,[2]SUMMARY!$A$3:$B$7,2,FALSE),"")</f>
        <v>MC-SAGARANTEN</v>
      </c>
      <c r="AS93" s="31">
        <v>17234958</v>
      </c>
      <c r="AT93" s="31" t="str">
        <f>VLOOKUP(AS93,[2]OUTLET!$B:$C,2,0)</f>
        <v>Mega Citra Cell</v>
      </c>
      <c r="AU93" s="31" t="s">
        <v>53</v>
      </c>
      <c r="AV93" s="6">
        <v>1</v>
      </c>
      <c r="AW93" s="44">
        <f>IFERROR(VLOOKUP(AQ93,'[2]Harga &amp; Nama CSO'!$A$116:$L$136,2,FALSE),0)*AV93</f>
        <v>0</v>
      </c>
      <c r="AX93" s="44">
        <f>IFERROR(VLOOKUP(AQ93,'[2]Harga &amp; Nama CSO'!$A$116:$L$136,3,FALSE),0)*AV93</f>
        <v>0</v>
      </c>
      <c r="AY93" s="44">
        <f>IFERROR(VLOOKUP(AQ93,'[2]Harga &amp; Nama CSO'!$A$116:$L$136,4,FALSE),0)*AV93</f>
        <v>3</v>
      </c>
      <c r="AZ93" s="44">
        <f>IFERROR(VLOOKUP(AQ93,'[2]Harga &amp; Nama CSO'!$A$116:$L$136,5,FALSE),0)*AV93</f>
        <v>0</v>
      </c>
      <c r="BA93" s="44">
        <f>IFERROR(VLOOKUP(AQ93,'[2]Harga &amp; Nama CSO'!$A$116:$L$136,6,FALSE),0)*AV93</f>
        <v>0</v>
      </c>
      <c r="BB93" s="44">
        <f>IFERROR(VLOOKUP(AQ93,'[2]Harga &amp; Nama CSO'!$A$116:$L$136,7,FALSE),0)*AV93</f>
        <v>0</v>
      </c>
      <c r="BC93" s="44">
        <f>IFERROR(VLOOKUP(AQ93,'[2]Harga &amp; Nama CSO'!$A$116:$L$136,8,FALSE),0)*AV93</f>
        <v>3</v>
      </c>
      <c r="BD93" s="44">
        <f>IFERROR(VLOOKUP(AQ93,'[2]Harga &amp; Nama CSO'!$A$116:$L$136,9,FALSE),0)*AV93</f>
        <v>0</v>
      </c>
      <c r="BE93" s="44">
        <f>IFERROR(VLOOKUP(AQ93,'[2]Harga &amp; Nama CSO'!$A$116:$L$136,10,FALSE),0)*AV93</f>
        <v>0</v>
      </c>
      <c r="BF93" s="44">
        <f>IFERROR(VLOOKUP(AQ93,'[2]Harga &amp; Nama CSO'!$A$116:$L$136,11,FALSE),0)*AV93</f>
        <v>0</v>
      </c>
      <c r="BG93" s="44">
        <f>IFERROR(VLOOKUP(AQ93,'[2]Harga &amp; Nama CSO'!$A$116:$L$136,12,FALSE),0)*AV93</f>
        <v>0</v>
      </c>
      <c r="BH93" s="44">
        <f>IFERROR(VLOOKUP(AQ93,'[2]Harga &amp; Nama CSO'!$A$116:$R$136,13,FALSE),0)*AV93</f>
        <v>0</v>
      </c>
      <c r="BI93" s="44">
        <f>IFERROR(VLOOKUP(AQ93,'[2]Harga &amp; Nama CSO'!$A$116:$R$136,14,FALSE),0)*AV93</f>
        <v>3</v>
      </c>
      <c r="BJ93" s="44">
        <f>IFERROR(VLOOKUP(AQ93,'[2]Harga &amp; Nama CSO'!$A$116:$R$136,15,FALSE),0)*AV93</f>
        <v>0</v>
      </c>
      <c r="BK93" s="44">
        <f>IFERROR(VLOOKUP(AQ93,'[2]Harga &amp; Nama CSO'!$A$116:$R$136,16,FALSE),0)*AV93</f>
        <v>0</v>
      </c>
      <c r="BL93" s="44">
        <f>IFERROR(VLOOKUP(AQ93,'[2]Harga &amp; Nama CSO'!$A$116:$R$136,17,FALSE),0)*AV93</f>
        <v>0</v>
      </c>
      <c r="BM93" s="44">
        <f>IFERROR(VLOOKUP(AQ93,'[2]Harga &amp; Nama CSO'!$A$116:$R$136,18,FALSE),0)*AV93</f>
        <v>0</v>
      </c>
      <c r="BN93" s="44">
        <f>IFERROR(VLOOKUP(AQ93,'[2]Harga &amp; Nama CSO'!$A$116:$S$136,19,FALSE),0)*AV93</f>
        <v>0</v>
      </c>
      <c r="BO93" s="55">
        <f>IFERROR(VLOOKUP(AQ93,'[2]Harga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31"/>
        <v>0</v>
      </c>
      <c r="BU93" s="40">
        <v>46190</v>
      </c>
      <c r="BV93" s="8" t="e">
        <v>#VALUE!</v>
      </c>
      <c r="BW93" s="58">
        <f>VLOOKUP(AQ93,'[1]Harga &amp; Nama CSO'!$A$28:$D$31,4,0)*BQ93</f>
        <v>3</v>
      </c>
    </row>
    <row r="94" spans="1:75" x14ac:dyDescent="0.35">
      <c r="AO94" s="39">
        <v>92</v>
      </c>
      <c r="AP94" s="60">
        <v>46188</v>
      </c>
      <c r="AQ94" s="41" t="s">
        <v>96</v>
      </c>
      <c r="AR94" s="42" t="str">
        <f>IFERROR(VLOOKUP(AU94,[2]SUMMARY!$A$3:$B$7,2,FALSE),"")</f>
        <v>MC-SAGARANTEN</v>
      </c>
      <c r="AS94" s="31">
        <v>17692934</v>
      </c>
      <c r="AT94" s="31" t="str">
        <f>VLOOKUP(AS94,[2]OUTLET!$B:$C,2,0)</f>
        <v>Lina Cell</v>
      </c>
      <c r="AU94" s="31" t="s">
        <v>53</v>
      </c>
      <c r="AV94" s="6">
        <v>1</v>
      </c>
      <c r="AW94" s="44">
        <f>IFERROR(VLOOKUP(AQ94,'[2]Harga &amp; Nama CSO'!$A$116:$L$136,2,FALSE),0)*AV94</f>
        <v>0</v>
      </c>
      <c r="AX94" s="44">
        <f>IFERROR(VLOOKUP(AQ94,'[2]Harga &amp; Nama CSO'!$A$116:$L$136,3,FALSE),0)*AV94</f>
        <v>0</v>
      </c>
      <c r="AY94" s="44">
        <f>IFERROR(VLOOKUP(AQ94,'[2]Harga &amp; Nama CSO'!$A$116:$L$136,4,FALSE),0)*AV94</f>
        <v>3</v>
      </c>
      <c r="AZ94" s="44">
        <f>IFERROR(VLOOKUP(AQ94,'[2]Harga &amp; Nama CSO'!$A$116:$L$136,5,FALSE),0)*AV94</f>
        <v>0</v>
      </c>
      <c r="BA94" s="44">
        <f>IFERROR(VLOOKUP(AQ94,'[2]Harga &amp; Nama CSO'!$A$116:$L$136,6,FALSE),0)*AV94</f>
        <v>0</v>
      </c>
      <c r="BB94" s="44">
        <f>IFERROR(VLOOKUP(AQ94,'[2]Harga &amp; Nama CSO'!$A$116:$L$136,7,FALSE),0)*AV94</f>
        <v>0</v>
      </c>
      <c r="BC94" s="44">
        <f>IFERROR(VLOOKUP(AQ94,'[2]Harga &amp; Nama CSO'!$A$116:$L$136,8,FALSE),0)*AV94</f>
        <v>3</v>
      </c>
      <c r="BD94" s="44">
        <f>IFERROR(VLOOKUP(AQ94,'[2]Harga &amp; Nama CSO'!$A$116:$L$136,9,FALSE),0)*AV94</f>
        <v>0</v>
      </c>
      <c r="BE94" s="44">
        <f>IFERROR(VLOOKUP(AQ94,'[2]Harga &amp; Nama CSO'!$A$116:$L$136,10,FALSE),0)*AV94</f>
        <v>0</v>
      </c>
      <c r="BF94" s="44">
        <f>IFERROR(VLOOKUP(AQ94,'[2]Harga &amp; Nama CSO'!$A$116:$L$136,11,FALSE),0)*AV94</f>
        <v>0</v>
      </c>
      <c r="BG94" s="44">
        <f>IFERROR(VLOOKUP(AQ94,'[2]Harga &amp; Nama CSO'!$A$116:$L$136,12,FALSE),0)*AV94</f>
        <v>0</v>
      </c>
      <c r="BH94" s="44">
        <f>IFERROR(VLOOKUP(AQ94,'[2]Harga &amp; Nama CSO'!$A$116:$R$136,13,FALSE),0)*AV94</f>
        <v>0</v>
      </c>
      <c r="BI94" s="44">
        <f>IFERROR(VLOOKUP(AQ94,'[2]Harga &amp; Nama CSO'!$A$116:$R$136,14,FALSE),0)*AV94</f>
        <v>3</v>
      </c>
      <c r="BJ94" s="44">
        <f>IFERROR(VLOOKUP(AQ94,'[2]Harga &amp; Nama CSO'!$A$116:$R$136,15,FALSE),0)*AV94</f>
        <v>0</v>
      </c>
      <c r="BK94" s="44">
        <f>IFERROR(VLOOKUP(AQ94,'[2]Harga &amp; Nama CSO'!$A$116:$R$136,16,FALSE),0)*AV94</f>
        <v>0</v>
      </c>
      <c r="BL94" s="44">
        <f>IFERROR(VLOOKUP(AQ94,'[2]Harga &amp; Nama CSO'!$A$116:$R$136,17,FALSE),0)*AV94</f>
        <v>0</v>
      </c>
      <c r="BM94" s="44">
        <f>IFERROR(VLOOKUP(AQ94,'[2]Harga &amp; Nama CSO'!$A$116:$R$136,18,FALSE),0)*AV94</f>
        <v>0</v>
      </c>
      <c r="BN94" s="44">
        <f>IFERROR(VLOOKUP(AQ94,'[2]Harga &amp; Nama CSO'!$A$116:$S$136,19,FALSE),0)*AV94</f>
        <v>0</v>
      </c>
      <c r="BO94" s="55">
        <f>IFERROR(VLOOKUP(AQ94,'[2]Harga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31"/>
        <v>0</v>
      </c>
      <c r="BU94" s="40">
        <v>46190</v>
      </c>
      <c r="BV94" s="8" t="e">
        <v>#VALUE!</v>
      </c>
      <c r="BW94" s="58">
        <f>VLOOKUP(AQ94,'[1]Harga &amp; Nama CSO'!$A$28:$D$31,4,0)*BQ94</f>
        <v>3</v>
      </c>
    </row>
    <row r="95" spans="1:75" x14ac:dyDescent="0.35">
      <c r="AO95" s="39">
        <v>93</v>
      </c>
      <c r="AP95" s="60">
        <v>46188</v>
      </c>
      <c r="AQ95" s="41" t="s">
        <v>96</v>
      </c>
      <c r="AR95" s="42" t="str">
        <f>IFERROR(VLOOKUP(AU95,[2]SUMMARY!$A$3:$B$7,2,FALSE),"")</f>
        <v>MC-SAGARANTEN</v>
      </c>
      <c r="AS95" s="31">
        <v>17681962</v>
      </c>
      <c r="AT95" s="31" t="str">
        <f>VLOOKUP(AS95,[2]OUTLET!$B:$C,2,0)</f>
        <v>WP-Nay Cell</v>
      </c>
      <c r="AU95" s="31" t="s">
        <v>54</v>
      </c>
      <c r="AV95" s="6">
        <v>1</v>
      </c>
      <c r="AW95" s="44">
        <f>IFERROR(VLOOKUP(AQ95,'[2]Harga &amp; Nama CSO'!$A$116:$L$136,2,FALSE),0)*AV95</f>
        <v>0</v>
      </c>
      <c r="AX95" s="44">
        <f>IFERROR(VLOOKUP(AQ95,'[2]Harga &amp; Nama CSO'!$A$116:$L$136,3,FALSE),0)*AV95</f>
        <v>0</v>
      </c>
      <c r="AY95" s="44">
        <f>IFERROR(VLOOKUP(AQ95,'[2]Harga &amp; Nama CSO'!$A$116:$L$136,4,FALSE),0)*AV95</f>
        <v>3</v>
      </c>
      <c r="AZ95" s="44">
        <f>IFERROR(VLOOKUP(AQ95,'[2]Harga &amp; Nama CSO'!$A$116:$L$136,5,FALSE),0)*AV95</f>
        <v>0</v>
      </c>
      <c r="BA95" s="44">
        <f>IFERROR(VLOOKUP(AQ95,'[2]Harga &amp; Nama CSO'!$A$116:$L$136,6,FALSE),0)*AV95</f>
        <v>0</v>
      </c>
      <c r="BB95" s="44">
        <f>IFERROR(VLOOKUP(AQ95,'[2]Harga &amp; Nama CSO'!$A$116:$L$136,7,FALSE),0)*AV95</f>
        <v>0</v>
      </c>
      <c r="BC95" s="44">
        <f>IFERROR(VLOOKUP(AQ95,'[2]Harga &amp; Nama CSO'!$A$116:$L$136,8,FALSE),0)*AV95</f>
        <v>3</v>
      </c>
      <c r="BD95" s="44">
        <f>IFERROR(VLOOKUP(AQ95,'[2]Harga &amp; Nama CSO'!$A$116:$L$136,9,FALSE),0)*AV95</f>
        <v>0</v>
      </c>
      <c r="BE95" s="44">
        <f>IFERROR(VLOOKUP(AQ95,'[2]Harga &amp; Nama CSO'!$A$116:$L$136,10,FALSE),0)*AV95</f>
        <v>0</v>
      </c>
      <c r="BF95" s="44">
        <f>IFERROR(VLOOKUP(AQ95,'[2]Harga &amp; Nama CSO'!$A$116:$L$136,11,FALSE),0)*AV95</f>
        <v>0</v>
      </c>
      <c r="BG95" s="44">
        <f>IFERROR(VLOOKUP(AQ95,'[2]Harga &amp; Nama CSO'!$A$116:$L$136,12,FALSE),0)*AV95</f>
        <v>0</v>
      </c>
      <c r="BH95" s="44">
        <f>IFERROR(VLOOKUP(AQ95,'[2]Harga &amp; Nama CSO'!$A$116:$R$136,13,FALSE),0)*AV95</f>
        <v>0</v>
      </c>
      <c r="BI95" s="44">
        <f>IFERROR(VLOOKUP(AQ95,'[2]Harga &amp; Nama CSO'!$A$116:$R$136,14,FALSE),0)*AV95</f>
        <v>3</v>
      </c>
      <c r="BJ95" s="44">
        <f>IFERROR(VLOOKUP(AQ95,'[2]Harga &amp; Nama CSO'!$A$116:$R$136,15,FALSE),0)*AV95</f>
        <v>0</v>
      </c>
      <c r="BK95" s="44">
        <f>IFERROR(VLOOKUP(AQ95,'[2]Harga &amp; Nama CSO'!$A$116:$R$136,16,FALSE),0)*AV95</f>
        <v>0</v>
      </c>
      <c r="BL95" s="44">
        <f>IFERROR(VLOOKUP(AQ95,'[2]Harga &amp; Nama CSO'!$A$116:$R$136,17,FALSE),0)*AV95</f>
        <v>0</v>
      </c>
      <c r="BM95" s="44">
        <f>IFERROR(VLOOKUP(AQ95,'[2]Harga &amp; Nama CSO'!$A$116:$R$136,18,FALSE),0)*AV95</f>
        <v>0</v>
      </c>
      <c r="BN95" s="44">
        <f>IFERROR(VLOOKUP(AQ95,'[2]Harga &amp; Nama CSO'!$A$116:$S$136,19,FALSE),0)*AV95</f>
        <v>0</v>
      </c>
      <c r="BO95" s="55">
        <f>IFERROR(VLOOKUP(AQ95,'[2]Harga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31"/>
        <v>-200</v>
      </c>
      <c r="BU95" s="40">
        <v>46190</v>
      </c>
      <c r="BV95" s="8" t="e">
        <v>#VALUE!</v>
      </c>
      <c r="BW95" s="58">
        <f>VLOOKUP(AQ95,'[1]Harga &amp; Nama CSO'!$A$28:$D$31,4,0)*BQ95</f>
        <v>3</v>
      </c>
    </row>
    <row r="96" spans="1:75" x14ac:dyDescent="0.35">
      <c r="AO96" s="39">
        <v>94</v>
      </c>
      <c r="AP96" s="60">
        <v>46188</v>
      </c>
      <c r="AQ96" s="41" t="s">
        <v>96</v>
      </c>
      <c r="AR96" s="42" t="str">
        <f>IFERROR(VLOOKUP(AU96,[2]SUMMARY!$A$3:$B$7,2,FALSE),"")</f>
        <v>MC-SAGARANTEN</v>
      </c>
      <c r="AS96" s="31">
        <v>17589115</v>
      </c>
      <c r="AT96" s="31" t="str">
        <f>VLOOKUP(AS96,[2]OUTLET!$B:$C,2,0)</f>
        <v>GI CELL</v>
      </c>
      <c r="AU96" s="31" t="s">
        <v>54</v>
      </c>
      <c r="AV96" s="6">
        <v>1</v>
      </c>
      <c r="AW96" s="44">
        <f>IFERROR(VLOOKUP(AQ96,'[2]Harga &amp; Nama CSO'!$A$116:$L$136,2,FALSE),0)*AV96</f>
        <v>0</v>
      </c>
      <c r="AX96" s="44">
        <f>IFERROR(VLOOKUP(AQ96,'[2]Harga &amp; Nama CSO'!$A$116:$L$136,3,FALSE),0)*AV96</f>
        <v>0</v>
      </c>
      <c r="AY96" s="44">
        <f>IFERROR(VLOOKUP(AQ96,'[2]Harga &amp; Nama CSO'!$A$116:$L$136,4,FALSE),0)*AV96</f>
        <v>3</v>
      </c>
      <c r="AZ96" s="44">
        <f>IFERROR(VLOOKUP(AQ96,'[2]Harga &amp; Nama CSO'!$A$116:$L$136,5,FALSE),0)*AV96</f>
        <v>0</v>
      </c>
      <c r="BA96" s="44">
        <f>IFERROR(VLOOKUP(AQ96,'[2]Harga &amp; Nama CSO'!$A$116:$L$136,6,FALSE),0)*AV96</f>
        <v>0</v>
      </c>
      <c r="BB96" s="44">
        <f>IFERROR(VLOOKUP(AQ96,'[2]Harga &amp; Nama CSO'!$A$116:$L$136,7,FALSE),0)*AV96</f>
        <v>0</v>
      </c>
      <c r="BC96" s="44">
        <f>IFERROR(VLOOKUP(AQ96,'[2]Harga &amp; Nama CSO'!$A$116:$L$136,8,FALSE),0)*AV96</f>
        <v>3</v>
      </c>
      <c r="BD96" s="44">
        <f>IFERROR(VLOOKUP(AQ96,'[2]Harga &amp; Nama CSO'!$A$116:$L$136,9,FALSE),0)*AV96</f>
        <v>0</v>
      </c>
      <c r="BE96" s="44">
        <f>IFERROR(VLOOKUP(AQ96,'[2]Harga &amp; Nama CSO'!$A$116:$L$136,10,FALSE),0)*AV96</f>
        <v>0</v>
      </c>
      <c r="BF96" s="44">
        <f>IFERROR(VLOOKUP(AQ96,'[2]Harga &amp; Nama CSO'!$A$116:$L$136,11,FALSE),0)*AV96</f>
        <v>0</v>
      </c>
      <c r="BG96" s="44">
        <f>IFERROR(VLOOKUP(AQ96,'[2]Harga &amp; Nama CSO'!$A$116:$L$136,12,FALSE),0)*AV96</f>
        <v>0</v>
      </c>
      <c r="BH96" s="44">
        <f>IFERROR(VLOOKUP(AQ96,'[2]Harga &amp; Nama CSO'!$A$116:$R$136,13,FALSE),0)*AV96</f>
        <v>0</v>
      </c>
      <c r="BI96" s="44">
        <f>IFERROR(VLOOKUP(AQ96,'[2]Harga &amp; Nama CSO'!$A$116:$R$136,14,FALSE),0)*AV96</f>
        <v>3</v>
      </c>
      <c r="BJ96" s="44">
        <f>IFERROR(VLOOKUP(AQ96,'[2]Harga &amp; Nama CSO'!$A$116:$R$136,15,FALSE),0)*AV96</f>
        <v>0</v>
      </c>
      <c r="BK96" s="44">
        <f>IFERROR(VLOOKUP(AQ96,'[2]Harga &amp; Nama CSO'!$A$116:$R$136,16,FALSE),0)*AV96</f>
        <v>0</v>
      </c>
      <c r="BL96" s="44">
        <f>IFERROR(VLOOKUP(AQ96,'[2]Harga &amp; Nama CSO'!$A$116:$R$136,17,FALSE),0)*AV96</f>
        <v>0</v>
      </c>
      <c r="BM96" s="44">
        <f>IFERROR(VLOOKUP(AQ96,'[2]Harga &amp; Nama CSO'!$A$116:$R$136,18,FALSE),0)*AV96</f>
        <v>0</v>
      </c>
      <c r="BN96" s="44">
        <f>IFERROR(VLOOKUP(AQ96,'[2]Harga &amp; Nama CSO'!$A$116:$S$136,19,FALSE),0)*AV96</f>
        <v>0</v>
      </c>
      <c r="BO96" s="55">
        <f>IFERROR(VLOOKUP(AQ96,'[2]Harga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31"/>
        <v>0</v>
      </c>
      <c r="BU96" s="40">
        <v>46190</v>
      </c>
      <c r="BV96" s="8" t="e">
        <v>#VALUE!</v>
      </c>
      <c r="BW96" s="58">
        <f>VLOOKUP(AQ96,'[1]Harga &amp; Nama CSO'!$A$28:$D$31,4,0)*BQ96</f>
        <v>3</v>
      </c>
    </row>
    <row r="97" spans="41:75" x14ac:dyDescent="0.35">
      <c r="AO97" s="39">
        <v>95</v>
      </c>
      <c r="AP97" s="60">
        <v>46188</v>
      </c>
      <c r="AQ97" s="41" t="s">
        <v>97</v>
      </c>
      <c r="AR97" s="42" t="str">
        <f>IFERROR(VLOOKUP(AU97,[2]SUMMARY!$A$3:$B$7,2,FALSE),"")</f>
        <v>MC-SAGARANTEN</v>
      </c>
      <c r="AS97" s="31">
        <v>17739291</v>
      </c>
      <c r="AT97" s="31" t="str">
        <f>VLOOKUP(AS97,[2]OUTLET!$B:$C,2,0)</f>
        <v>Alfian Cell</v>
      </c>
      <c r="AU97" s="31" t="s">
        <v>41</v>
      </c>
      <c r="AV97" s="6">
        <v>1</v>
      </c>
      <c r="AW97" s="44">
        <f>IFERROR(VLOOKUP(AQ97,'[2]Harga &amp; Nama CSO'!$A$116:$L$136,2,FALSE),0)*AV97</f>
        <v>0</v>
      </c>
      <c r="AX97" s="44">
        <f>IFERROR(VLOOKUP(AQ97,'[2]Harga &amp; Nama CSO'!$A$116:$L$136,3,FALSE),0)*AV97</f>
        <v>0</v>
      </c>
      <c r="AY97" s="44">
        <f>IFERROR(VLOOKUP(AQ97,'[2]Harga &amp; Nama CSO'!$A$116:$L$136,4,FALSE),0)*AV97</f>
        <v>3</v>
      </c>
      <c r="AZ97" s="44">
        <f>IFERROR(VLOOKUP(AQ97,'[2]Harga &amp; Nama CSO'!$A$116:$L$136,5,FALSE),0)*AV97</f>
        <v>0</v>
      </c>
      <c r="BA97" s="44">
        <f>IFERROR(VLOOKUP(AQ97,'[2]Harga &amp; Nama CSO'!$A$116:$L$136,6,FALSE),0)*AV97</f>
        <v>0</v>
      </c>
      <c r="BB97" s="44">
        <f>IFERROR(VLOOKUP(AQ97,'[2]Harga &amp; Nama CSO'!$A$116:$L$136,7,FALSE),0)*AV97</f>
        <v>0</v>
      </c>
      <c r="BC97" s="44">
        <f>IFERROR(VLOOKUP(AQ97,'[2]Harga &amp; Nama CSO'!$A$116:$L$136,8,FALSE),0)*AV97</f>
        <v>0</v>
      </c>
      <c r="BD97" s="44">
        <f>IFERROR(VLOOKUP(AQ97,'[2]Harga &amp; Nama CSO'!$A$116:$L$136,9,FALSE),0)*AV97</f>
        <v>0</v>
      </c>
      <c r="BE97" s="44">
        <f>IFERROR(VLOOKUP(AQ97,'[2]Harga &amp; Nama CSO'!$A$116:$L$136,10,FALSE),0)*AV97</f>
        <v>3</v>
      </c>
      <c r="BF97" s="44">
        <f>IFERROR(VLOOKUP(AQ97,'[2]Harga &amp; Nama CSO'!$A$116:$L$136,11,FALSE),0)*AV97</f>
        <v>0</v>
      </c>
      <c r="BG97" s="44">
        <f>IFERROR(VLOOKUP(AQ97,'[2]Harga &amp; Nama CSO'!$A$116:$L$136,12,FALSE),0)*AV97</f>
        <v>0</v>
      </c>
      <c r="BH97" s="44">
        <f>IFERROR(VLOOKUP(AQ97,'[2]Harga &amp; Nama CSO'!$A$116:$R$136,13,FALSE),0)*AV97</f>
        <v>0</v>
      </c>
      <c r="BI97" s="44">
        <f>IFERROR(VLOOKUP(AQ97,'[2]Harga &amp; Nama CSO'!$A$116:$R$136,14,FALSE),0)*AV97</f>
        <v>3</v>
      </c>
      <c r="BJ97" s="44">
        <f>IFERROR(VLOOKUP(AQ97,'[2]Harga &amp; Nama CSO'!$A$116:$R$136,15,FALSE),0)*AV97</f>
        <v>0</v>
      </c>
      <c r="BK97" s="44">
        <f>IFERROR(VLOOKUP(AQ97,'[2]Harga &amp; Nama CSO'!$A$116:$R$136,16,FALSE),0)*AV97</f>
        <v>0</v>
      </c>
      <c r="BL97" s="44">
        <f>IFERROR(VLOOKUP(AQ97,'[2]Harga &amp; Nama CSO'!$A$116:$R$136,17,FALSE),0)*AV97</f>
        <v>0</v>
      </c>
      <c r="BM97" s="44">
        <f>IFERROR(VLOOKUP(AQ97,'[2]Harga &amp; Nama CSO'!$A$116:$R$136,18,FALSE),0)*AV97</f>
        <v>0</v>
      </c>
      <c r="BN97" s="44">
        <f>IFERROR(VLOOKUP(AQ97,'[2]Harga &amp; Nama CSO'!$A$116:$S$136,19,FALSE),0)*AV97</f>
        <v>0</v>
      </c>
      <c r="BO97" s="55">
        <f>IFERROR(VLOOKUP(AQ97,'[2]Harga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31"/>
        <v>-100</v>
      </c>
      <c r="BU97" s="40">
        <v>46190</v>
      </c>
      <c r="BV97" s="8" t="e">
        <v>#VALUE!</v>
      </c>
      <c r="BW97" s="58">
        <f>VLOOKUP(AQ97,'[1]Harga &amp; Nama CSO'!$A$28:$D$31,4,0)*BQ97</f>
        <v>3</v>
      </c>
    </row>
    <row r="98" spans="41:75" x14ac:dyDescent="0.35">
      <c r="AO98" s="39">
        <v>96</v>
      </c>
      <c r="AP98" s="60">
        <v>46188</v>
      </c>
      <c r="AQ98" s="41" t="s">
        <v>97</v>
      </c>
      <c r="AR98" s="42" t="str">
        <f>IFERROR(VLOOKUP(AU98,[2]SUMMARY!$A$3:$B$7,2,FALSE),"")</f>
        <v>MC-SAGARANTEN</v>
      </c>
      <c r="AS98" s="31">
        <v>1387852</v>
      </c>
      <c r="AT98" s="31" t="str">
        <f>VLOOKUP(AS98,[2]OUTLET!$B:$C,2,0)</f>
        <v>NAIL CELL</v>
      </c>
      <c r="AU98" s="31" t="s">
        <v>41</v>
      </c>
      <c r="AV98" s="6">
        <v>1</v>
      </c>
      <c r="AW98" s="44">
        <f>IFERROR(VLOOKUP(AQ98,'[2]Harga &amp; Nama CSO'!$A$116:$L$136,2,FALSE),0)*AV98</f>
        <v>0</v>
      </c>
      <c r="AX98" s="44">
        <f>IFERROR(VLOOKUP(AQ98,'[2]Harga &amp; Nama CSO'!$A$116:$L$136,3,FALSE),0)*AV98</f>
        <v>0</v>
      </c>
      <c r="AY98" s="44">
        <f>IFERROR(VLOOKUP(AQ98,'[2]Harga &amp; Nama CSO'!$A$116:$L$136,4,FALSE),0)*AV98</f>
        <v>3</v>
      </c>
      <c r="AZ98" s="44">
        <f>IFERROR(VLOOKUP(AQ98,'[2]Harga &amp; Nama CSO'!$A$116:$L$136,5,FALSE),0)*AV98</f>
        <v>0</v>
      </c>
      <c r="BA98" s="44">
        <f>IFERROR(VLOOKUP(AQ98,'[2]Harga &amp; Nama CSO'!$A$116:$L$136,6,FALSE),0)*AV98</f>
        <v>0</v>
      </c>
      <c r="BB98" s="44">
        <f>IFERROR(VLOOKUP(AQ98,'[2]Harga &amp; Nama CSO'!$A$116:$L$136,7,FALSE),0)*AV98</f>
        <v>0</v>
      </c>
      <c r="BC98" s="44">
        <f>IFERROR(VLOOKUP(AQ98,'[2]Harga &amp; Nama CSO'!$A$116:$L$136,8,FALSE),0)*AV98</f>
        <v>0</v>
      </c>
      <c r="BD98" s="44">
        <f>IFERROR(VLOOKUP(AQ98,'[2]Harga &amp; Nama CSO'!$A$116:$L$136,9,FALSE),0)*AV98</f>
        <v>0</v>
      </c>
      <c r="BE98" s="44">
        <f>IFERROR(VLOOKUP(AQ98,'[2]Harga &amp; Nama CSO'!$A$116:$L$136,10,FALSE),0)*AV98</f>
        <v>3</v>
      </c>
      <c r="BF98" s="44">
        <f>IFERROR(VLOOKUP(AQ98,'[2]Harga &amp; Nama CSO'!$A$116:$L$136,11,FALSE),0)*AV98</f>
        <v>0</v>
      </c>
      <c r="BG98" s="44">
        <f>IFERROR(VLOOKUP(AQ98,'[2]Harga &amp; Nama CSO'!$A$116:$L$136,12,FALSE),0)*AV98</f>
        <v>0</v>
      </c>
      <c r="BH98" s="44">
        <f>IFERROR(VLOOKUP(AQ98,'[2]Harga &amp; Nama CSO'!$A$116:$R$136,13,FALSE),0)*AV98</f>
        <v>0</v>
      </c>
      <c r="BI98" s="44">
        <f>IFERROR(VLOOKUP(AQ98,'[2]Harga &amp; Nama CSO'!$A$116:$R$136,14,FALSE),0)*AV98</f>
        <v>3</v>
      </c>
      <c r="BJ98" s="44">
        <f>IFERROR(VLOOKUP(AQ98,'[2]Harga &amp; Nama CSO'!$A$116:$R$136,15,FALSE),0)*AV98</f>
        <v>0</v>
      </c>
      <c r="BK98" s="44">
        <f>IFERROR(VLOOKUP(AQ98,'[2]Harga &amp; Nama CSO'!$A$116:$R$136,16,FALSE),0)*AV98</f>
        <v>0</v>
      </c>
      <c r="BL98" s="44">
        <f>IFERROR(VLOOKUP(AQ98,'[2]Harga &amp; Nama CSO'!$A$116:$R$136,17,FALSE),0)*AV98</f>
        <v>0</v>
      </c>
      <c r="BM98" s="44">
        <f>IFERROR(VLOOKUP(AQ98,'[2]Harga &amp; Nama CSO'!$A$116:$R$136,18,FALSE),0)*AV98</f>
        <v>0</v>
      </c>
      <c r="BN98" s="44">
        <f>IFERROR(VLOOKUP(AQ98,'[2]Harga &amp; Nama CSO'!$A$116:$S$136,19,FALSE),0)*AV98</f>
        <v>0</v>
      </c>
      <c r="BO98" s="55">
        <f>IFERROR(VLOOKUP(AQ98,'[2]Harga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31"/>
        <v>0</v>
      </c>
      <c r="BU98" s="40">
        <v>46190</v>
      </c>
      <c r="BV98" s="8" t="e">
        <v>#VALUE!</v>
      </c>
      <c r="BW98" s="58">
        <f>VLOOKUP(AQ98,'[1]Harga &amp; Nama CSO'!$A$28:$D$31,4,0)*BQ98</f>
        <v>3</v>
      </c>
    </row>
    <row r="99" spans="41:75" x14ac:dyDescent="0.35">
      <c r="AO99" s="39">
        <v>97</v>
      </c>
      <c r="AP99" s="60">
        <v>46188</v>
      </c>
      <c r="AQ99" s="41" t="s">
        <v>97</v>
      </c>
      <c r="AR99" s="42" t="str">
        <f>IFERROR(VLOOKUP(AU99,[2]SUMMARY!$A$3:$B$7,2,FALSE),"")</f>
        <v>MC-SAGARANTEN</v>
      </c>
      <c r="AS99" s="31">
        <v>17738322</v>
      </c>
      <c r="AT99" s="31" t="str">
        <f>VLOOKUP(AS99,[2]OUTLET!$B:$C,2,0)</f>
        <v>Azzura Cell</v>
      </c>
      <c r="AU99" s="31" t="s">
        <v>41</v>
      </c>
      <c r="AV99" s="6">
        <v>1</v>
      </c>
      <c r="AW99" s="44">
        <f>IFERROR(VLOOKUP(AQ99,'[2]Harga &amp; Nama CSO'!$A$116:$L$136,2,FALSE),0)*AV99</f>
        <v>0</v>
      </c>
      <c r="AX99" s="44">
        <f>IFERROR(VLOOKUP(AQ99,'[2]Harga &amp; Nama CSO'!$A$116:$L$136,3,FALSE),0)*AV99</f>
        <v>0</v>
      </c>
      <c r="AY99" s="44">
        <f>IFERROR(VLOOKUP(AQ99,'[2]Harga &amp; Nama CSO'!$A$116:$L$136,4,FALSE),0)*AV99</f>
        <v>3</v>
      </c>
      <c r="AZ99" s="44">
        <f>IFERROR(VLOOKUP(AQ99,'[2]Harga &amp; Nama CSO'!$A$116:$L$136,5,FALSE),0)*AV99</f>
        <v>0</v>
      </c>
      <c r="BA99" s="44">
        <f>IFERROR(VLOOKUP(AQ99,'[2]Harga &amp; Nama CSO'!$A$116:$L$136,6,FALSE),0)*AV99</f>
        <v>0</v>
      </c>
      <c r="BB99" s="44">
        <f>IFERROR(VLOOKUP(AQ99,'[2]Harga &amp; Nama CSO'!$A$116:$L$136,7,FALSE),0)*AV99</f>
        <v>0</v>
      </c>
      <c r="BC99" s="44">
        <f>IFERROR(VLOOKUP(AQ99,'[2]Harga &amp; Nama CSO'!$A$116:$L$136,8,FALSE),0)*AV99</f>
        <v>0</v>
      </c>
      <c r="BD99" s="44">
        <f>IFERROR(VLOOKUP(AQ99,'[2]Harga &amp; Nama CSO'!$A$116:$L$136,9,FALSE),0)*AV99</f>
        <v>0</v>
      </c>
      <c r="BE99" s="44">
        <f>IFERROR(VLOOKUP(AQ99,'[2]Harga &amp; Nama CSO'!$A$116:$L$136,10,FALSE),0)*AV99</f>
        <v>3</v>
      </c>
      <c r="BF99" s="44">
        <f>IFERROR(VLOOKUP(AQ99,'[2]Harga &amp; Nama CSO'!$A$116:$L$136,11,FALSE),0)*AV99</f>
        <v>0</v>
      </c>
      <c r="BG99" s="44">
        <f>IFERROR(VLOOKUP(AQ99,'[2]Harga &amp; Nama CSO'!$A$116:$L$136,12,FALSE),0)*AV99</f>
        <v>0</v>
      </c>
      <c r="BH99" s="44">
        <f>IFERROR(VLOOKUP(AQ99,'[2]Harga &amp; Nama CSO'!$A$116:$R$136,13,FALSE),0)*AV99</f>
        <v>0</v>
      </c>
      <c r="BI99" s="44">
        <f>IFERROR(VLOOKUP(AQ99,'[2]Harga &amp; Nama CSO'!$A$116:$R$136,14,FALSE),0)*AV99</f>
        <v>3</v>
      </c>
      <c r="BJ99" s="44">
        <f>IFERROR(VLOOKUP(AQ99,'[2]Harga &amp; Nama CSO'!$A$116:$R$136,15,FALSE),0)*AV99</f>
        <v>0</v>
      </c>
      <c r="BK99" s="44">
        <f>IFERROR(VLOOKUP(AQ99,'[2]Harga &amp; Nama CSO'!$A$116:$R$136,16,FALSE),0)*AV99</f>
        <v>0</v>
      </c>
      <c r="BL99" s="44">
        <f>IFERROR(VLOOKUP(AQ99,'[2]Harga &amp; Nama CSO'!$A$116:$R$136,17,FALSE),0)*AV99</f>
        <v>0</v>
      </c>
      <c r="BM99" s="44">
        <f>IFERROR(VLOOKUP(AQ99,'[2]Harga &amp; Nama CSO'!$A$116:$R$136,18,FALSE),0)*AV99</f>
        <v>0</v>
      </c>
      <c r="BN99" s="44">
        <f>IFERROR(VLOOKUP(AQ99,'[2]Harga &amp; Nama CSO'!$A$116:$S$136,19,FALSE),0)*AV99</f>
        <v>0</v>
      </c>
      <c r="BO99" s="55">
        <f>IFERROR(VLOOKUP(AQ99,'[2]Harga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31"/>
        <v>0</v>
      </c>
      <c r="BU99" s="40">
        <v>46190</v>
      </c>
      <c r="BV99" s="8" t="e">
        <v>#VALUE!</v>
      </c>
      <c r="BW99" s="58">
        <f>VLOOKUP(AQ99,'[1]Harga &amp; Nama CSO'!$A$28:$D$31,4,0)*BQ99</f>
        <v>3</v>
      </c>
    </row>
    <row r="100" spans="41:75" x14ac:dyDescent="0.35">
      <c r="AO100" s="39">
        <v>98</v>
      </c>
      <c r="AP100" s="60">
        <v>46188</v>
      </c>
      <c r="AQ100" s="41" t="s">
        <v>97</v>
      </c>
      <c r="AR100" s="42" t="str">
        <f>IFERROR(VLOOKUP(AU100,[2]SUMMARY!$A$3:$B$7,2,FALSE),"")</f>
        <v>MC-SAGARANTEN</v>
      </c>
      <c r="AS100" s="31">
        <v>17776796</v>
      </c>
      <c r="AT100" s="31" t="str">
        <f>VLOOKUP(AS100,[2]OUTLET!$B:$C,2,0)</f>
        <v>Hafiza cell 2</v>
      </c>
      <c r="AU100" s="31" t="s">
        <v>41</v>
      </c>
      <c r="AV100" s="6">
        <v>1</v>
      </c>
      <c r="AW100" s="44">
        <f>IFERROR(VLOOKUP(AQ100,'[2]Harga &amp; Nama CSO'!$A$116:$L$136,2,FALSE),0)*AV100</f>
        <v>0</v>
      </c>
      <c r="AX100" s="44">
        <f>IFERROR(VLOOKUP(AQ100,'[2]Harga &amp; Nama CSO'!$A$116:$L$136,3,FALSE),0)*AV100</f>
        <v>0</v>
      </c>
      <c r="AY100" s="44">
        <f>IFERROR(VLOOKUP(AQ100,'[2]Harga &amp; Nama CSO'!$A$116:$L$136,4,FALSE),0)*AV100</f>
        <v>3</v>
      </c>
      <c r="AZ100" s="44">
        <f>IFERROR(VLOOKUP(AQ100,'[2]Harga &amp; Nama CSO'!$A$116:$L$136,5,FALSE),0)*AV100</f>
        <v>0</v>
      </c>
      <c r="BA100" s="44">
        <f>IFERROR(VLOOKUP(AQ100,'[2]Harga &amp; Nama CSO'!$A$116:$L$136,6,FALSE),0)*AV100</f>
        <v>0</v>
      </c>
      <c r="BB100" s="44">
        <f>IFERROR(VLOOKUP(AQ100,'[2]Harga &amp; Nama CSO'!$A$116:$L$136,7,FALSE),0)*AV100</f>
        <v>0</v>
      </c>
      <c r="BC100" s="44">
        <f>IFERROR(VLOOKUP(AQ100,'[2]Harga &amp; Nama CSO'!$A$116:$L$136,8,FALSE),0)*AV100</f>
        <v>0</v>
      </c>
      <c r="BD100" s="44">
        <f>IFERROR(VLOOKUP(AQ100,'[2]Harga &amp; Nama CSO'!$A$116:$L$136,9,FALSE),0)*AV100</f>
        <v>0</v>
      </c>
      <c r="BE100" s="44">
        <f>IFERROR(VLOOKUP(AQ100,'[2]Harga &amp; Nama CSO'!$A$116:$L$136,10,FALSE),0)*AV100</f>
        <v>3</v>
      </c>
      <c r="BF100" s="44">
        <f>IFERROR(VLOOKUP(AQ100,'[2]Harga &amp; Nama CSO'!$A$116:$L$136,11,FALSE),0)*AV100</f>
        <v>0</v>
      </c>
      <c r="BG100" s="44">
        <f>IFERROR(VLOOKUP(AQ100,'[2]Harga &amp; Nama CSO'!$A$116:$L$136,12,FALSE),0)*AV100</f>
        <v>0</v>
      </c>
      <c r="BH100" s="44">
        <f>IFERROR(VLOOKUP(AQ100,'[2]Harga &amp; Nama CSO'!$A$116:$R$136,13,FALSE),0)*AV100</f>
        <v>0</v>
      </c>
      <c r="BI100" s="44">
        <f>IFERROR(VLOOKUP(AQ100,'[2]Harga &amp; Nama CSO'!$A$116:$R$136,14,FALSE),0)*AV100</f>
        <v>3</v>
      </c>
      <c r="BJ100" s="44">
        <f>IFERROR(VLOOKUP(AQ100,'[2]Harga &amp; Nama CSO'!$A$116:$R$136,15,FALSE),0)*AV100</f>
        <v>0</v>
      </c>
      <c r="BK100" s="44">
        <f>IFERROR(VLOOKUP(AQ100,'[2]Harga &amp; Nama CSO'!$A$116:$R$136,16,FALSE),0)*AV100</f>
        <v>0</v>
      </c>
      <c r="BL100" s="44">
        <f>IFERROR(VLOOKUP(AQ100,'[2]Harga &amp; Nama CSO'!$A$116:$R$136,17,FALSE),0)*AV100</f>
        <v>0</v>
      </c>
      <c r="BM100" s="44">
        <f>IFERROR(VLOOKUP(AQ100,'[2]Harga &amp; Nama CSO'!$A$116:$R$136,18,FALSE),0)*AV100</f>
        <v>0</v>
      </c>
      <c r="BN100" s="44">
        <f>IFERROR(VLOOKUP(AQ100,'[2]Harga &amp; Nama CSO'!$A$116:$S$136,19,FALSE),0)*AV100</f>
        <v>0</v>
      </c>
      <c r="BO100" s="55">
        <f>IFERROR(VLOOKUP(AQ100,'[2]Harga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31"/>
        <v>0</v>
      </c>
      <c r="BU100" s="40">
        <v>46190</v>
      </c>
      <c r="BV100" s="8" t="e">
        <v>#VALUE!</v>
      </c>
      <c r="BW100" s="58">
        <f>VLOOKUP(AQ100,'[1]Harga &amp; Nama CSO'!$A$28:$D$31,4,0)*BQ100</f>
        <v>3</v>
      </c>
    </row>
    <row r="101" spans="41:75" x14ac:dyDescent="0.35">
      <c r="AO101" s="39">
        <v>99</v>
      </c>
      <c r="AP101" s="60">
        <v>46188</v>
      </c>
      <c r="AQ101" s="41" t="s">
        <v>96</v>
      </c>
      <c r="AR101" s="42" t="str">
        <f>IFERROR(VLOOKUP(AU101,[2]SUMMARY!$A$3:$B$7,2,FALSE),"")</f>
        <v>MC-SAGARANTEN</v>
      </c>
      <c r="AS101" s="31">
        <v>17241854</v>
      </c>
      <c r="AT101" s="31" t="str">
        <f>VLOOKUP(AS101,[2]OUTLET!$B:$C,2,0)</f>
        <v>CHA CHA CELL 2</v>
      </c>
      <c r="AU101" s="31" t="s">
        <v>42</v>
      </c>
      <c r="AV101" s="6">
        <v>1</v>
      </c>
      <c r="AW101" s="44">
        <f>IFERROR(VLOOKUP(AQ101,'[2]Harga &amp; Nama CSO'!$A$116:$L$136,2,FALSE),0)*AV101</f>
        <v>0</v>
      </c>
      <c r="AX101" s="44">
        <f>IFERROR(VLOOKUP(AQ101,'[2]Harga &amp; Nama CSO'!$A$116:$L$136,3,FALSE),0)*AV101</f>
        <v>0</v>
      </c>
      <c r="AY101" s="44">
        <f>IFERROR(VLOOKUP(AQ101,'[2]Harga &amp; Nama CSO'!$A$116:$L$136,4,FALSE),0)*AV101</f>
        <v>3</v>
      </c>
      <c r="AZ101" s="44">
        <f>IFERROR(VLOOKUP(AQ101,'[2]Harga &amp; Nama CSO'!$A$116:$L$136,5,FALSE),0)*AV101</f>
        <v>0</v>
      </c>
      <c r="BA101" s="44">
        <f>IFERROR(VLOOKUP(AQ101,'[2]Harga &amp; Nama CSO'!$A$116:$L$136,6,FALSE),0)*AV101</f>
        <v>0</v>
      </c>
      <c r="BB101" s="44">
        <f>IFERROR(VLOOKUP(AQ101,'[2]Harga &amp; Nama CSO'!$A$116:$L$136,7,FALSE),0)*AV101</f>
        <v>0</v>
      </c>
      <c r="BC101" s="44">
        <f>IFERROR(VLOOKUP(AQ101,'[2]Harga &amp; Nama CSO'!$A$116:$L$136,8,FALSE),0)*AV101</f>
        <v>3</v>
      </c>
      <c r="BD101" s="44">
        <f>IFERROR(VLOOKUP(AQ101,'[2]Harga &amp; Nama CSO'!$A$116:$L$136,9,FALSE),0)*AV101</f>
        <v>0</v>
      </c>
      <c r="BE101" s="44">
        <f>IFERROR(VLOOKUP(AQ101,'[2]Harga &amp; Nama CSO'!$A$116:$L$136,10,FALSE),0)*AV101</f>
        <v>0</v>
      </c>
      <c r="BF101" s="44">
        <f>IFERROR(VLOOKUP(AQ101,'[2]Harga &amp; Nama CSO'!$A$116:$L$136,11,FALSE),0)*AV101</f>
        <v>0</v>
      </c>
      <c r="BG101" s="44">
        <f>IFERROR(VLOOKUP(AQ101,'[2]Harga &amp; Nama CSO'!$A$116:$L$136,12,FALSE),0)*AV101</f>
        <v>0</v>
      </c>
      <c r="BH101" s="44">
        <f>IFERROR(VLOOKUP(AQ101,'[2]Harga &amp; Nama CSO'!$A$116:$R$136,13,FALSE),0)*AV101</f>
        <v>0</v>
      </c>
      <c r="BI101" s="44">
        <f>IFERROR(VLOOKUP(AQ101,'[2]Harga &amp; Nama CSO'!$A$116:$R$136,14,FALSE),0)*AV101</f>
        <v>3</v>
      </c>
      <c r="BJ101" s="44">
        <f>IFERROR(VLOOKUP(AQ101,'[2]Harga &amp; Nama CSO'!$A$116:$R$136,15,FALSE),0)*AV101</f>
        <v>0</v>
      </c>
      <c r="BK101" s="44">
        <f>IFERROR(VLOOKUP(AQ101,'[2]Harga &amp; Nama CSO'!$A$116:$R$136,16,FALSE),0)*AV101</f>
        <v>0</v>
      </c>
      <c r="BL101" s="44">
        <f>IFERROR(VLOOKUP(AQ101,'[2]Harga &amp; Nama CSO'!$A$116:$R$136,17,FALSE),0)*AV101</f>
        <v>0</v>
      </c>
      <c r="BM101" s="44">
        <f>IFERROR(VLOOKUP(AQ101,'[2]Harga &amp; Nama CSO'!$A$116:$R$136,18,FALSE),0)*AV101</f>
        <v>0</v>
      </c>
      <c r="BN101" s="44">
        <f>IFERROR(VLOOKUP(AQ101,'[2]Harga &amp; Nama CSO'!$A$116:$S$136,19,FALSE),0)*AV101</f>
        <v>0</v>
      </c>
      <c r="BO101" s="55">
        <f>IFERROR(VLOOKUP(AQ101,'[2]Harga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31"/>
        <v>0</v>
      </c>
      <c r="BU101" s="40">
        <v>46190</v>
      </c>
      <c r="BV101" s="8" t="e">
        <v>#VALUE!</v>
      </c>
      <c r="BW101" s="58">
        <f>VLOOKUP(AQ101,'[1]Harga &amp; Nama CSO'!$A$28:$D$31,4,0)*BQ101</f>
        <v>3</v>
      </c>
    </row>
    <row r="102" spans="41:75" x14ac:dyDescent="0.35">
      <c r="AO102" s="39">
        <v>100</v>
      </c>
      <c r="AP102" s="60">
        <v>46189</v>
      </c>
      <c r="AQ102" s="41" t="s">
        <v>96</v>
      </c>
      <c r="AR102" s="42" t="str">
        <f>IFERROR(VLOOKUP(AU102,[2]SUMMARY!$A$3:$B$7,2,FALSE),"")</f>
        <v>MC-SAGARANTEN</v>
      </c>
      <c r="AS102" s="31">
        <v>17435959</v>
      </c>
      <c r="AT102" s="31" t="str">
        <f>VLOOKUP(AS102,[2]OUTLET!$B:$C,2,0)</f>
        <v>RAHAGKA CELL</v>
      </c>
      <c r="AU102" s="31" t="s">
        <v>53</v>
      </c>
      <c r="AV102" s="6">
        <v>1</v>
      </c>
      <c r="AW102" s="44">
        <f>IFERROR(VLOOKUP(AQ102,'[2]Harga &amp; Nama CSO'!$A$116:$L$136,2,FALSE),0)*AV102</f>
        <v>0</v>
      </c>
      <c r="AX102" s="44">
        <f>IFERROR(VLOOKUP(AQ102,'[2]Harga &amp; Nama CSO'!$A$116:$L$136,3,FALSE),0)*AV102</f>
        <v>0</v>
      </c>
      <c r="AY102" s="44">
        <f>IFERROR(VLOOKUP(AQ102,'[2]Harga &amp; Nama CSO'!$A$116:$L$136,4,FALSE),0)*AV102</f>
        <v>3</v>
      </c>
      <c r="AZ102" s="44">
        <f>IFERROR(VLOOKUP(AQ102,'[2]Harga &amp; Nama CSO'!$A$116:$L$136,5,FALSE),0)*AV102</f>
        <v>0</v>
      </c>
      <c r="BA102" s="44">
        <f>IFERROR(VLOOKUP(AQ102,'[2]Harga &amp; Nama CSO'!$A$116:$L$136,6,FALSE),0)*AV102</f>
        <v>0</v>
      </c>
      <c r="BB102" s="44">
        <f>IFERROR(VLOOKUP(AQ102,'[2]Harga &amp; Nama CSO'!$A$116:$L$136,7,FALSE),0)*AV102</f>
        <v>0</v>
      </c>
      <c r="BC102" s="44">
        <f>IFERROR(VLOOKUP(AQ102,'[2]Harga &amp; Nama CSO'!$A$116:$L$136,8,FALSE),0)*AV102</f>
        <v>3</v>
      </c>
      <c r="BD102" s="44">
        <f>IFERROR(VLOOKUP(AQ102,'[2]Harga &amp; Nama CSO'!$A$116:$L$136,9,FALSE),0)*AV102</f>
        <v>0</v>
      </c>
      <c r="BE102" s="44">
        <f>IFERROR(VLOOKUP(AQ102,'[2]Harga &amp; Nama CSO'!$A$116:$L$136,10,FALSE),0)*AV102</f>
        <v>0</v>
      </c>
      <c r="BF102" s="44">
        <f>IFERROR(VLOOKUP(AQ102,'[2]Harga &amp; Nama CSO'!$A$116:$L$136,11,FALSE),0)*AV102</f>
        <v>0</v>
      </c>
      <c r="BG102" s="44">
        <f>IFERROR(VLOOKUP(AQ102,'[2]Harga &amp; Nama CSO'!$A$116:$L$136,12,FALSE),0)*AV102</f>
        <v>0</v>
      </c>
      <c r="BH102" s="44">
        <f>IFERROR(VLOOKUP(AQ102,'[2]Harga &amp; Nama CSO'!$A$116:$R$136,13,FALSE),0)*AV102</f>
        <v>0</v>
      </c>
      <c r="BI102" s="44">
        <f>IFERROR(VLOOKUP(AQ102,'[2]Harga &amp; Nama CSO'!$A$116:$R$136,14,FALSE),0)*AV102</f>
        <v>3</v>
      </c>
      <c r="BJ102" s="44">
        <f>IFERROR(VLOOKUP(AQ102,'[2]Harga &amp; Nama CSO'!$A$116:$R$136,15,FALSE),0)*AV102</f>
        <v>0</v>
      </c>
      <c r="BK102" s="44">
        <f>IFERROR(VLOOKUP(AQ102,'[2]Harga &amp; Nama CSO'!$A$116:$R$136,16,FALSE),0)*AV102</f>
        <v>0</v>
      </c>
      <c r="BL102" s="44">
        <f>IFERROR(VLOOKUP(AQ102,'[2]Harga &amp; Nama CSO'!$A$116:$R$136,17,FALSE),0)*AV102</f>
        <v>0</v>
      </c>
      <c r="BM102" s="44">
        <f>IFERROR(VLOOKUP(AQ102,'[2]Harga &amp; Nama CSO'!$A$116:$R$136,18,FALSE),0)*AV102</f>
        <v>0</v>
      </c>
      <c r="BN102" s="44">
        <f>IFERROR(VLOOKUP(AQ102,'[2]Harga &amp; Nama CSO'!$A$116:$S$136,19,FALSE),0)*AV102</f>
        <v>0</v>
      </c>
      <c r="BO102" s="55">
        <f>IFERROR(VLOOKUP(AQ102,'[2]Harga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31"/>
        <v>0</v>
      </c>
      <c r="BU102" s="40">
        <v>46190</v>
      </c>
      <c r="BV102" s="8" t="e">
        <v>#VALUE!</v>
      </c>
      <c r="BW102" s="58">
        <f>VLOOKUP(AQ102,'[1]Harga &amp; Nama CSO'!$A$28:$D$31,4,0)*BQ102</f>
        <v>3</v>
      </c>
    </row>
    <row r="103" spans="41:75" x14ac:dyDescent="0.35">
      <c r="AO103" s="39">
        <v>101</v>
      </c>
      <c r="AP103" s="60">
        <v>46189</v>
      </c>
      <c r="AQ103" s="41" t="s">
        <v>96</v>
      </c>
      <c r="AR103" s="42" t="str">
        <f>IFERROR(VLOOKUP(AU103,[2]SUMMARY!$A$3:$B$7,2,FALSE),"")</f>
        <v>MC-SAGARANTEN</v>
      </c>
      <c r="AS103" s="31">
        <v>17401318</v>
      </c>
      <c r="AT103" s="31" t="str">
        <f>VLOOKUP(AS103,[2]OUTLET!$B:$C,2,0)</f>
        <v>Rafli 2cell</v>
      </c>
      <c r="AU103" s="31" t="s">
        <v>53</v>
      </c>
      <c r="AV103" s="6">
        <v>1</v>
      </c>
      <c r="AW103" s="44">
        <f>IFERROR(VLOOKUP(AQ103,'[2]Harga &amp; Nama CSO'!$A$116:$L$136,2,FALSE),0)*AV103</f>
        <v>0</v>
      </c>
      <c r="AX103" s="44">
        <f>IFERROR(VLOOKUP(AQ103,'[2]Harga &amp; Nama CSO'!$A$116:$L$136,3,FALSE),0)*AV103</f>
        <v>0</v>
      </c>
      <c r="AY103" s="44">
        <f>IFERROR(VLOOKUP(AQ103,'[2]Harga &amp; Nama CSO'!$A$116:$L$136,4,FALSE),0)*AV103</f>
        <v>3</v>
      </c>
      <c r="AZ103" s="44">
        <f>IFERROR(VLOOKUP(AQ103,'[2]Harga &amp; Nama CSO'!$A$116:$L$136,5,FALSE),0)*AV103</f>
        <v>0</v>
      </c>
      <c r="BA103" s="44">
        <f>IFERROR(VLOOKUP(AQ103,'[2]Harga &amp; Nama CSO'!$A$116:$L$136,6,FALSE),0)*AV103</f>
        <v>0</v>
      </c>
      <c r="BB103" s="44">
        <f>IFERROR(VLOOKUP(AQ103,'[2]Harga &amp; Nama CSO'!$A$116:$L$136,7,FALSE),0)*AV103</f>
        <v>0</v>
      </c>
      <c r="BC103" s="44">
        <f>IFERROR(VLOOKUP(AQ103,'[2]Harga &amp; Nama CSO'!$A$116:$L$136,8,FALSE),0)*AV103</f>
        <v>3</v>
      </c>
      <c r="BD103" s="44">
        <f>IFERROR(VLOOKUP(AQ103,'[2]Harga &amp; Nama CSO'!$A$116:$L$136,9,FALSE),0)*AV103</f>
        <v>0</v>
      </c>
      <c r="BE103" s="44">
        <f>IFERROR(VLOOKUP(AQ103,'[2]Harga &amp; Nama CSO'!$A$116:$L$136,10,FALSE),0)*AV103</f>
        <v>0</v>
      </c>
      <c r="BF103" s="44">
        <f>IFERROR(VLOOKUP(AQ103,'[2]Harga &amp; Nama CSO'!$A$116:$L$136,11,FALSE),0)*AV103</f>
        <v>0</v>
      </c>
      <c r="BG103" s="44">
        <f>IFERROR(VLOOKUP(AQ103,'[2]Harga &amp; Nama CSO'!$A$116:$L$136,12,FALSE),0)*AV103</f>
        <v>0</v>
      </c>
      <c r="BH103" s="44">
        <f>IFERROR(VLOOKUP(AQ103,'[2]Harga &amp; Nama CSO'!$A$116:$R$136,13,FALSE),0)*AV103</f>
        <v>0</v>
      </c>
      <c r="BI103" s="44">
        <f>IFERROR(VLOOKUP(AQ103,'[2]Harga &amp; Nama CSO'!$A$116:$R$136,14,FALSE),0)*AV103</f>
        <v>3</v>
      </c>
      <c r="BJ103" s="44">
        <f>IFERROR(VLOOKUP(AQ103,'[2]Harga &amp; Nama CSO'!$A$116:$R$136,15,FALSE),0)*AV103</f>
        <v>0</v>
      </c>
      <c r="BK103" s="44">
        <f>IFERROR(VLOOKUP(AQ103,'[2]Harga &amp; Nama CSO'!$A$116:$R$136,16,FALSE),0)*AV103</f>
        <v>0</v>
      </c>
      <c r="BL103" s="44">
        <f>IFERROR(VLOOKUP(AQ103,'[2]Harga &amp; Nama CSO'!$A$116:$R$136,17,FALSE),0)*AV103</f>
        <v>0</v>
      </c>
      <c r="BM103" s="44">
        <f>IFERROR(VLOOKUP(AQ103,'[2]Harga &amp; Nama CSO'!$A$116:$R$136,18,FALSE),0)*AV103</f>
        <v>0</v>
      </c>
      <c r="BN103" s="44">
        <f>IFERROR(VLOOKUP(AQ103,'[2]Harga &amp; Nama CSO'!$A$116:$S$136,19,FALSE),0)*AV103</f>
        <v>0</v>
      </c>
      <c r="BO103" s="55">
        <f>IFERROR(VLOOKUP(AQ103,'[2]Harga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31"/>
        <v>0</v>
      </c>
      <c r="BU103" s="40">
        <v>46190</v>
      </c>
      <c r="BV103" s="8" t="e">
        <v>#VALUE!</v>
      </c>
      <c r="BW103" s="58">
        <f>VLOOKUP(AQ103,'[1]Harga &amp; Nama CSO'!$A$28:$D$31,4,0)*BQ103</f>
        <v>3</v>
      </c>
    </row>
    <row r="104" spans="41:75" x14ac:dyDescent="0.35">
      <c r="AO104" s="39">
        <v>102</v>
      </c>
      <c r="AP104" s="60">
        <v>46190</v>
      </c>
      <c r="AQ104" s="41" t="s">
        <v>110</v>
      </c>
      <c r="AR104" s="42" t="str">
        <f>IFERROR(VLOOKUP(AU104,[2]SUMMARY!$A$3:$B$7,2,FALSE),"")</f>
        <v>MC-SAGARANTEN</v>
      </c>
      <c r="AS104" s="31">
        <v>17769760</v>
      </c>
      <c r="AT104" s="31" t="str">
        <f>VLOOKUP(AS104,[2]OUTLET!$B:$C,2,0)</f>
        <v>Wakiah cell</v>
      </c>
      <c r="AU104" s="31" t="s">
        <v>53</v>
      </c>
      <c r="AV104" s="6">
        <v>1</v>
      </c>
      <c r="AW104" s="44">
        <f>IFERROR(VLOOKUP(AQ104,'[2]Harga &amp; Nama CSO'!$A$116:$L$136,2,FALSE),0)*AV104</f>
        <v>0</v>
      </c>
      <c r="AX104" s="44">
        <f>IFERROR(VLOOKUP(AQ104,'[2]Harga &amp; Nama CSO'!$A$116:$L$136,3,FALSE),0)*AV104</f>
        <v>0</v>
      </c>
      <c r="AY104" s="44">
        <f>IFERROR(VLOOKUP(AQ104,'[2]Harga &amp; Nama CSO'!$A$116:$L$136,4,FALSE),0)*AV104</f>
        <v>3</v>
      </c>
      <c r="AZ104" s="44">
        <f>IFERROR(VLOOKUP(AQ104,'[2]Harga &amp; Nama CSO'!$A$116:$L$136,5,FALSE),0)*AV104</f>
        <v>0</v>
      </c>
      <c r="BA104" s="44">
        <f>IFERROR(VLOOKUP(AQ104,'[2]Harga &amp; Nama CSO'!$A$116:$L$136,6,FALSE),0)*AV104</f>
        <v>0</v>
      </c>
      <c r="BB104" s="44">
        <f>IFERROR(VLOOKUP(AQ104,'[2]Harga &amp; Nama CSO'!$A$116:$L$136,7,FALSE),0)*AV104</f>
        <v>3</v>
      </c>
      <c r="BC104" s="44">
        <f>IFERROR(VLOOKUP(AQ104,'[2]Harga &amp; Nama CSO'!$A$116:$L$136,8,FALSE),0)*AV104</f>
        <v>3</v>
      </c>
      <c r="BD104" s="44">
        <f>IFERROR(VLOOKUP(AQ104,'[2]Harga &amp; Nama CSO'!$A$116:$L$136,9,FALSE),0)*AV104</f>
        <v>0</v>
      </c>
      <c r="BE104" s="44">
        <f>IFERROR(VLOOKUP(AQ104,'[2]Harga &amp; Nama CSO'!$A$116:$L$136,10,FALSE),0)*AV104</f>
        <v>0</v>
      </c>
      <c r="BF104" s="44">
        <f>IFERROR(VLOOKUP(AQ104,'[2]Harga &amp; Nama CSO'!$A$116:$L$136,11,FALSE),0)*AV104</f>
        <v>0</v>
      </c>
      <c r="BG104" s="44">
        <f>IFERROR(VLOOKUP(AQ104,'[2]Harga &amp; Nama CSO'!$A$116:$L$136,12,FALSE),0)*AV104</f>
        <v>0</v>
      </c>
      <c r="BH104" s="44">
        <f>IFERROR(VLOOKUP(AQ104,'[2]Harga &amp; Nama CSO'!$A$116:$R$136,13,FALSE),0)*AV104</f>
        <v>0</v>
      </c>
      <c r="BI104" s="44">
        <f>IFERROR(VLOOKUP(AQ104,'[2]Harga &amp; Nama CSO'!$A$116:$R$136,14,FALSE),0)*AV104</f>
        <v>0</v>
      </c>
      <c r="BJ104" s="44">
        <f>IFERROR(VLOOKUP(AQ104,'[2]Harga &amp; Nama CSO'!$A$116:$R$136,15,FALSE),0)*AV104</f>
        <v>0</v>
      </c>
      <c r="BK104" s="44">
        <f>IFERROR(VLOOKUP(AQ104,'[2]Harga &amp; Nama CSO'!$A$116:$R$136,16,FALSE),0)*AV104</f>
        <v>0</v>
      </c>
      <c r="BL104" s="44">
        <f>IFERROR(VLOOKUP(AQ104,'[2]Harga &amp; Nama CSO'!$A$116:$R$136,17,FALSE),0)*AV104</f>
        <v>0</v>
      </c>
      <c r="BM104" s="44">
        <f>IFERROR(VLOOKUP(AQ104,'[2]Harga &amp; Nama CSO'!$A$116:$R$136,18,FALSE),0)*AV104</f>
        <v>0</v>
      </c>
      <c r="BN104" s="44">
        <f>IFERROR(VLOOKUP(AQ104,'[2]Harga &amp; Nama CSO'!$A$116:$S$136,19,FALSE),0)*AV104</f>
        <v>0</v>
      </c>
      <c r="BO104" s="55">
        <f>IFERROR(VLOOKUP(AQ104,'[2]Harga &amp; Nama CSO'!$H$2:$N$22,2,FALSE),"")*AV104</f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f t="shared" si="31"/>
        <v>0</v>
      </c>
      <c r="BU104" s="40">
        <v>46191</v>
      </c>
      <c r="BV104" s="8" t="e">
        <v>#VALUE!</v>
      </c>
      <c r="BW104" s="58">
        <f>VLOOKUP(AQ104,'[1]Harga &amp; Nama CSO'!$A$28:$D$31,4,0)*BQ104</f>
        <v>3</v>
      </c>
    </row>
    <row r="105" spans="41:75" x14ac:dyDescent="0.35">
      <c r="AO105" s="39">
        <v>103</v>
      </c>
      <c r="AP105" s="60">
        <v>46190</v>
      </c>
      <c r="AQ105" s="41" t="s">
        <v>110</v>
      </c>
      <c r="AR105" s="42" t="str">
        <f>IFERROR(VLOOKUP(AU105,[2]SUMMARY!$A$3:$B$7,2,FALSE),"")</f>
        <v>MC-SAGARANTEN</v>
      </c>
      <c r="AS105" s="31">
        <v>17228538</v>
      </c>
      <c r="AT105" s="31" t="str">
        <f>VLOOKUP(AS105,[2]OUTLET!$B:$C,2,0)</f>
        <v>ADLI CELL</v>
      </c>
      <c r="AU105" s="31" t="s">
        <v>53</v>
      </c>
      <c r="AV105" s="6">
        <v>1</v>
      </c>
      <c r="AW105" s="44">
        <f>IFERROR(VLOOKUP(AQ105,'[2]Harga &amp; Nama CSO'!$A$116:$L$136,2,FALSE),0)*AV105</f>
        <v>0</v>
      </c>
      <c r="AX105" s="44">
        <f>IFERROR(VLOOKUP(AQ105,'[2]Harga &amp; Nama CSO'!$A$116:$L$136,3,FALSE),0)*AV105</f>
        <v>0</v>
      </c>
      <c r="AY105" s="44">
        <f>IFERROR(VLOOKUP(AQ105,'[2]Harga &amp; Nama CSO'!$A$116:$L$136,4,FALSE),0)*AV105</f>
        <v>3</v>
      </c>
      <c r="AZ105" s="44">
        <f>IFERROR(VLOOKUP(AQ105,'[2]Harga &amp; Nama CSO'!$A$116:$L$136,5,FALSE),0)*AV105</f>
        <v>0</v>
      </c>
      <c r="BA105" s="44">
        <f>IFERROR(VLOOKUP(AQ105,'[2]Harga &amp; Nama CSO'!$A$116:$L$136,6,FALSE),0)*AV105</f>
        <v>0</v>
      </c>
      <c r="BB105" s="44">
        <f>IFERROR(VLOOKUP(AQ105,'[2]Harga &amp; Nama CSO'!$A$116:$L$136,7,FALSE),0)*AV105</f>
        <v>3</v>
      </c>
      <c r="BC105" s="44">
        <f>IFERROR(VLOOKUP(AQ105,'[2]Harga &amp; Nama CSO'!$A$116:$L$136,8,FALSE),0)*AV105</f>
        <v>3</v>
      </c>
      <c r="BD105" s="44">
        <f>IFERROR(VLOOKUP(AQ105,'[2]Harga &amp; Nama CSO'!$A$116:$L$136,9,FALSE),0)*AV105</f>
        <v>0</v>
      </c>
      <c r="BE105" s="44">
        <f>IFERROR(VLOOKUP(AQ105,'[2]Harga &amp; Nama CSO'!$A$116:$L$136,10,FALSE),0)*AV105</f>
        <v>0</v>
      </c>
      <c r="BF105" s="44">
        <f>IFERROR(VLOOKUP(AQ105,'[2]Harga &amp; Nama CSO'!$A$116:$L$136,11,FALSE),0)*AV105</f>
        <v>0</v>
      </c>
      <c r="BG105" s="44">
        <f>IFERROR(VLOOKUP(AQ105,'[2]Harga &amp; Nama CSO'!$A$116:$L$136,12,FALSE),0)*AV105</f>
        <v>0</v>
      </c>
      <c r="BH105" s="44">
        <f>IFERROR(VLOOKUP(AQ105,'[2]Harga &amp; Nama CSO'!$A$116:$R$136,13,FALSE),0)*AV105</f>
        <v>0</v>
      </c>
      <c r="BI105" s="44">
        <f>IFERROR(VLOOKUP(AQ105,'[2]Harga &amp; Nama CSO'!$A$116:$R$136,14,FALSE),0)*AV105</f>
        <v>0</v>
      </c>
      <c r="BJ105" s="44">
        <f>IFERROR(VLOOKUP(AQ105,'[2]Harga &amp; Nama CSO'!$A$116:$R$136,15,FALSE),0)*AV105</f>
        <v>0</v>
      </c>
      <c r="BK105" s="44">
        <f>IFERROR(VLOOKUP(AQ105,'[2]Harga &amp; Nama CSO'!$A$116:$R$136,16,FALSE),0)*AV105</f>
        <v>0</v>
      </c>
      <c r="BL105" s="44">
        <f>IFERROR(VLOOKUP(AQ105,'[2]Harga &amp; Nama CSO'!$A$116:$R$136,17,FALSE),0)*AV105</f>
        <v>0</v>
      </c>
      <c r="BM105" s="44">
        <f>IFERROR(VLOOKUP(AQ105,'[2]Harga &amp; Nama CSO'!$A$116:$R$136,18,FALSE),0)*AV105</f>
        <v>0</v>
      </c>
      <c r="BN105" s="44">
        <f>IFERROR(VLOOKUP(AQ105,'[2]Harga &amp; Nama CSO'!$A$116:$S$136,19,FALSE),0)*AV105</f>
        <v>0</v>
      </c>
      <c r="BO105" s="55">
        <f>IFERROR(VLOOKUP(AQ105,'[2]Harga &amp; Nama CSO'!$H$2:$N$22,2,FALSE),"")*AV105</f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f t="shared" si="31"/>
        <v>0</v>
      </c>
      <c r="BU105" s="40">
        <v>46191</v>
      </c>
      <c r="BV105" s="8" t="e">
        <v>#VALUE!</v>
      </c>
      <c r="BW105" s="58">
        <f>VLOOKUP(AQ105,'[1]Harga &amp; Nama CSO'!$A$28:$D$31,4,0)*BQ105</f>
        <v>3</v>
      </c>
    </row>
    <row r="106" spans="41:75" x14ac:dyDescent="0.35">
      <c r="AO106" s="39">
        <v>104</v>
      </c>
      <c r="AP106" s="60">
        <v>46190</v>
      </c>
      <c r="AQ106" s="41" t="s">
        <v>110</v>
      </c>
      <c r="AR106" s="42" t="str">
        <f>IFERROR(VLOOKUP(AU106,[2]SUMMARY!$A$3:$B$7,2,FALSE),"")</f>
        <v>MC-SAGARANTEN</v>
      </c>
      <c r="AS106" s="31">
        <v>17253618</v>
      </c>
      <c r="AT106" s="31" t="str">
        <f>VLOOKUP(AS106,[2]OUTLET!$B:$C,2,0)</f>
        <v>Fania cell</v>
      </c>
      <c r="AU106" s="31" t="s">
        <v>53</v>
      </c>
      <c r="AV106" s="6">
        <v>1</v>
      </c>
      <c r="AW106" s="44">
        <f>IFERROR(VLOOKUP(AQ106,'[2]Harga &amp; Nama CSO'!$A$116:$L$136,2,FALSE),0)*AV106</f>
        <v>0</v>
      </c>
      <c r="AX106" s="44">
        <f>IFERROR(VLOOKUP(AQ106,'[2]Harga &amp; Nama CSO'!$A$116:$L$136,3,FALSE),0)*AV106</f>
        <v>0</v>
      </c>
      <c r="AY106" s="44">
        <f>IFERROR(VLOOKUP(AQ106,'[2]Harga &amp; Nama CSO'!$A$116:$L$136,4,FALSE),0)*AV106</f>
        <v>3</v>
      </c>
      <c r="AZ106" s="44">
        <f>IFERROR(VLOOKUP(AQ106,'[2]Harga &amp; Nama CSO'!$A$116:$L$136,5,FALSE),0)*AV106</f>
        <v>0</v>
      </c>
      <c r="BA106" s="44">
        <f>IFERROR(VLOOKUP(AQ106,'[2]Harga &amp; Nama CSO'!$A$116:$L$136,6,FALSE),0)*AV106</f>
        <v>0</v>
      </c>
      <c r="BB106" s="44">
        <f>IFERROR(VLOOKUP(AQ106,'[2]Harga &amp; Nama CSO'!$A$116:$L$136,7,FALSE),0)*AV106</f>
        <v>3</v>
      </c>
      <c r="BC106" s="44">
        <f>IFERROR(VLOOKUP(AQ106,'[2]Harga &amp; Nama CSO'!$A$116:$L$136,8,FALSE),0)*AV106</f>
        <v>3</v>
      </c>
      <c r="BD106" s="44">
        <f>IFERROR(VLOOKUP(AQ106,'[2]Harga &amp; Nama CSO'!$A$116:$L$136,9,FALSE),0)*AV106</f>
        <v>0</v>
      </c>
      <c r="BE106" s="44">
        <f>IFERROR(VLOOKUP(AQ106,'[2]Harga &amp; Nama CSO'!$A$116:$L$136,10,FALSE),0)*AV106</f>
        <v>0</v>
      </c>
      <c r="BF106" s="44">
        <f>IFERROR(VLOOKUP(AQ106,'[2]Harga &amp; Nama CSO'!$A$116:$L$136,11,FALSE),0)*AV106</f>
        <v>0</v>
      </c>
      <c r="BG106" s="44">
        <f>IFERROR(VLOOKUP(AQ106,'[2]Harga &amp; Nama CSO'!$A$116:$L$136,12,FALSE),0)*AV106</f>
        <v>0</v>
      </c>
      <c r="BH106" s="44">
        <f>IFERROR(VLOOKUP(AQ106,'[2]Harga &amp; Nama CSO'!$A$116:$R$136,13,FALSE),0)*AV106</f>
        <v>0</v>
      </c>
      <c r="BI106" s="44">
        <f>IFERROR(VLOOKUP(AQ106,'[2]Harga &amp; Nama CSO'!$A$116:$R$136,14,FALSE),0)*AV106</f>
        <v>0</v>
      </c>
      <c r="BJ106" s="44">
        <f>IFERROR(VLOOKUP(AQ106,'[2]Harga &amp; Nama CSO'!$A$116:$R$136,15,FALSE),0)*AV106</f>
        <v>0</v>
      </c>
      <c r="BK106" s="44">
        <f>IFERROR(VLOOKUP(AQ106,'[2]Harga &amp; Nama CSO'!$A$116:$R$136,16,FALSE),0)*AV106</f>
        <v>0</v>
      </c>
      <c r="BL106" s="44">
        <f>IFERROR(VLOOKUP(AQ106,'[2]Harga &amp; Nama CSO'!$A$116:$R$136,17,FALSE),0)*AV106</f>
        <v>0</v>
      </c>
      <c r="BM106" s="44">
        <f>IFERROR(VLOOKUP(AQ106,'[2]Harga &amp; Nama CSO'!$A$116:$R$136,18,FALSE),0)*AV106</f>
        <v>0</v>
      </c>
      <c r="BN106" s="44">
        <f>IFERROR(VLOOKUP(AQ106,'[2]Harga &amp; Nama CSO'!$A$116:$S$136,19,FALSE),0)*AV106</f>
        <v>0</v>
      </c>
      <c r="BO106" s="55">
        <f>IFERROR(VLOOKUP(AQ106,'[2]Harga &amp; Nama CSO'!$H$2:$N$22,2,FALSE),"")*AV106</f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f t="shared" si="31"/>
        <v>0</v>
      </c>
      <c r="BU106" s="40">
        <v>46191</v>
      </c>
      <c r="BV106" s="8" t="e">
        <v>#VALUE!</v>
      </c>
      <c r="BW106" s="58">
        <f>VLOOKUP(AQ106,'[1]Harga &amp; Nama CSO'!$A$28:$D$31,4,0)*BQ106</f>
        <v>3</v>
      </c>
    </row>
    <row r="107" spans="41:75" x14ac:dyDescent="0.35">
      <c r="AO107" s="39">
        <v>105</v>
      </c>
      <c r="AP107" s="60">
        <v>46190</v>
      </c>
      <c r="AQ107" s="41" t="s">
        <v>110</v>
      </c>
      <c r="AR107" s="42" t="str">
        <f>IFERROR(VLOOKUP(AU107,[2]SUMMARY!$A$3:$B$7,2,FALSE),"")</f>
        <v>MC-SAGARANTEN</v>
      </c>
      <c r="AS107" s="31">
        <v>1339357</v>
      </c>
      <c r="AT107" s="31" t="str">
        <f>VLOOKUP(AS107,[2]OUTLET!$B:$C,2,0)</f>
        <v>LENI 2 CELL</v>
      </c>
      <c r="AU107" s="31" t="s">
        <v>53</v>
      </c>
      <c r="AV107" s="6">
        <v>1</v>
      </c>
      <c r="AW107" s="44">
        <f>IFERROR(VLOOKUP(AQ107,'[2]Harga &amp; Nama CSO'!$A$116:$L$136,2,FALSE),0)*AV107</f>
        <v>0</v>
      </c>
      <c r="AX107" s="44">
        <f>IFERROR(VLOOKUP(AQ107,'[2]Harga &amp; Nama CSO'!$A$116:$L$136,3,FALSE),0)*AV107</f>
        <v>0</v>
      </c>
      <c r="AY107" s="44">
        <f>IFERROR(VLOOKUP(AQ107,'[2]Harga &amp; Nama CSO'!$A$116:$L$136,4,FALSE),0)*AV107</f>
        <v>3</v>
      </c>
      <c r="AZ107" s="44">
        <f>IFERROR(VLOOKUP(AQ107,'[2]Harga &amp; Nama CSO'!$A$116:$L$136,5,FALSE),0)*AV107</f>
        <v>0</v>
      </c>
      <c r="BA107" s="44">
        <f>IFERROR(VLOOKUP(AQ107,'[2]Harga &amp; Nama CSO'!$A$116:$L$136,6,FALSE),0)*AV107</f>
        <v>0</v>
      </c>
      <c r="BB107" s="44">
        <f>IFERROR(VLOOKUP(AQ107,'[2]Harga &amp; Nama CSO'!$A$116:$L$136,7,FALSE),0)*AV107</f>
        <v>3</v>
      </c>
      <c r="BC107" s="44">
        <f>IFERROR(VLOOKUP(AQ107,'[2]Harga &amp; Nama CSO'!$A$116:$L$136,8,FALSE),0)*AV107</f>
        <v>3</v>
      </c>
      <c r="BD107" s="44">
        <f>IFERROR(VLOOKUP(AQ107,'[2]Harga &amp; Nama CSO'!$A$116:$L$136,9,FALSE),0)*AV107</f>
        <v>0</v>
      </c>
      <c r="BE107" s="44">
        <f>IFERROR(VLOOKUP(AQ107,'[2]Harga &amp; Nama CSO'!$A$116:$L$136,10,FALSE),0)*AV107</f>
        <v>0</v>
      </c>
      <c r="BF107" s="44">
        <f>IFERROR(VLOOKUP(AQ107,'[2]Harga &amp; Nama CSO'!$A$116:$L$136,11,FALSE),0)*AV107</f>
        <v>0</v>
      </c>
      <c r="BG107" s="44">
        <f>IFERROR(VLOOKUP(AQ107,'[2]Harga &amp; Nama CSO'!$A$116:$L$136,12,FALSE),0)*AV107</f>
        <v>0</v>
      </c>
      <c r="BH107" s="44">
        <f>IFERROR(VLOOKUP(AQ107,'[2]Harga &amp; Nama CSO'!$A$116:$R$136,13,FALSE),0)*AV107</f>
        <v>0</v>
      </c>
      <c r="BI107" s="44">
        <f>IFERROR(VLOOKUP(AQ107,'[2]Harga &amp; Nama CSO'!$A$116:$R$136,14,FALSE),0)*AV107</f>
        <v>0</v>
      </c>
      <c r="BJ107" s="44">
        <f>IFERROR(VLOOKUP(AQ107,'[2]Harga &amp; Nama CSO'!$A$116:$R$136,15,FALSE),0)*AV107</f>
        <v>0</v>
      </c>
      <c r="BK107" s="44">
        <f>IFERROR(VLOOKUP(AQ107,'[2]Harga &amp; Nama CSO'!$A$116:$R$136,16,FALSE),0)*AV107</f>
        <v>0</v>
      </c>
      <c r="BL107" s="44">
        <f>IFERROR(VLOOKUP(AQ107,'[2]Harga &amp; Nama CSO'!$A$116:$R$136,17,FALSE),0)*AV107</f>
        <v>0</v>
      </c>
      <c r="BM107" s="44">
        <f>IFERROR(VLOOKUP(AQ107,'[2]Harga &amp; Nama CSO'!$A$116:$R$136,18,FALSE),0)*AV107</f>
        <v>0</v>
      </c>
      <c r="BN107" s="44">
        <f>IFERROR(VLOOKUP(AQ107,'[2]Harga &amp; Nama CSO'!$A$116:$S$136,19,FALSE),0)*AV107</f>
        <v>0</v>
      </c>
      <c r="BO107" s="55">
        <f>IFERROR(VLOOKUP(AQ107,'[2]Harga &amp; Nama CSO'!$H$2:$N$22,2,FALSE),"")*AV107</f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f t="shared" si="31"/>
        <v>0</v>
      </c>
      <c r="BU107" s="40">
        <v>46191</v>
      </c>
      <c r="BV107" s="8" t="e">
        <v>#VALUE!</v>
      </c>
      <c r="BW107" s="58">
        <f>VLOOKUP(AQ107,'[1]Harga &amp; Nama CSO'!$A$28:$D$31,4,0)*BQ107</f>
        <v>3</v>
      </c>
    </row>
    <row r="108" spans="41:75" x14ac:dyDescent="0.35">
      <c r="AO108" s="39">
        <v>106</v>
      </c>
      <c r="AP108" s="60">
        <v>46190</v>
      </c>
      <c r="AQ108" s="41" t="s">
        <v>110</v>
      </c>
      <c r="AR108" s="42" t="str">
        <f>IFERROR(VLOOKUP(AU108,[2]SUMMARY!$A$3:$B$7,2,FALSE),"")</f>
        <v>MC-SAGARANTEN</v>
      </c>
      <c r="AS108" s="31">
        <v>1555650</v>
      </c>
      <c r="AT108" s="31" t="str">
        <f>VLOOKUP(AS108,[2]OUTLET!$B:$C,2,0)</f>
        <v>RENDI CELL</v>
      </c>
      <c r="AU108" s="31" t="s">
        <v>53</v>
      </c>
      <c r="AV108" s="6">
        <v>1</v>
      </c>
      <c r="AW108" s="44">
        <f>IFERROR(VLOOKUP(AQ108,'[2]Harga &amp; Nama CSO'!$A$116:$L$136,2,FALSE),0)*AV108</f>
        <v>0</v>
      </c>
      <c r="AX108" s="44">
        <f>IFERROR(VLOOKUP(AQ108,'[2]Harga &amp; Nama CSO'!$A$116:$L$136,3,FALSE),0)*AV108</f>
        <v>0</v>
      </c>
      <c r="AY108" s="44">
        <f>IFERROR(VLOOKUP(AQ108,'[2]Harga &amp; Nama CSO'!$A$116:$L$136,4,FALSE),0)*AV108</f>
        <v>3</v>
      </c>
      <c r="AZ108" s="44">
        <f>IFERROR(VLOOKUP(AQ108,'[2]Harga &amp; Nama CSO'!$A$116:$L$136,5,FALSE),0)*AV108</f>
        <v>0</v>
      </c>
      <c r="BA108" s="44">
        <f>IFERROR(VLOOKUP(AQ108,'[2]Harga &amp; Nama CSO'!$A$116:$L$136,6,FALSE),0)*AV108</f>
        <v>0</v>
      </c>
      <c r="BB108" s="44">
        <f>IFERROR(VLOOKUP(AQ108,'[2]Harga &amp; Nama CSO'!$A$116:$L$136,7,FALSE),0)*AV108</f>
        <v>3</v>
      </c>
      <c r="BC108" s="44">
        <f>IFERROR(VLOOKUP(AQ108,'[2]Harga &amp; Nama CSO'!$A$116:$L$136,8,FALSE),0)*AV108</f>
        <v>3</v>
      </c>
      <c r="BD108" s="44">
        <f>IFERROR(VLOOKUP(AQ108,'[2]Harga &amp; Nama CSO'!$A$116:$L$136,9,FALSE),0)*AV108</f>
        <v>0</v>
      </c>
      <c r="BE108" s="44">
        <f>IFERROR(VLOOKUP(AQ108,'[2]Harga &amp; Nama CSO'!$A$116:$L$136,10,FALSE),0)*AV108</f>
        <v>0</v>
      </c>
      <c r="BF108" s="44">
        <f>IFERROR(VLOOKUP(AQ108,'[2]Harga &amp; Nama CSO'!$A$116:$L$136,11,FALSE),0)*AV108</f>
        <v>0</v>
      </c>
      <c r="BG108" s="44">
        <f>IFERROR(VLOOKUP(AQ108,'[2]Harga &amp; Nama CSO'!$A$116:$L$136,12,FALSE),0)*AV108</f>
        <v>0</v>
      </c>
      <c r="BH108" s="44">
        <f>IFERROR(VLOOKUP(AQ108,'[2]Harga &amp; Nama CSO'!$A$116:$R$136,13,FALSE),0)*AV108</f>
        <v>0</v>
      </c>
      <c r="BI108" s="44">
        <f>IFERROR(VLOOKUP(AQ108,'[2]Harga &amp; Nama CSO'!$A$116:$R$136,14,FALSE),0)*AV108</f>
        <v>0</v>
      </c>
      <c r="BJ108" s="44">
        <f>IFERROR(VLOOKUP(AQ108,'[2]Harga &amp; Nama CSO'!$A$116:$R$136,15,FALSE),0)*AV108</f>
        <v>0</v>
      </c>
      <c r="BK108" s="44">
        <f>IFERROR(VLOOKUP(AQ108,'[2]Harga &amp; Nama CSO'!$A$116:$R$136,16,FALSE),0)*AV108</f>
        <v>0</v>
      </c>
      <c r="BL108" s="44">
        <f>IFERROR(VLOOKUP(AQ108,'[2]Harga &amp; Nama CSO'!$A$116:$R$136,17,FALSE),0)*AV108</f>
        <v>0</v>
      </c>
      <c r="BM108" s="44">
        <f>IFERROR(VLOOKUP(AQ108,'[2]Harga &amp; Nama CSO'!$A$116:$R$136,18,FALSE),0)*AV108</f>
        <v>0</v>
      </c>
      <c r="BN108" s="44">
        <f>IFERROR(VLOOKUP(AQ108,'[2]Harga &amp; Nama CSO'!$A$116:$S$136,19,FALSE),0)*AV108</f>
        <v>0</v>
      </c>
      <c r="BO108" s="55">
        <f>IFERROR(VLOOKUP(AQ108,'[2]Harga &amp; Nama CSO'!$H$2:$N$22,2,FALSE),"")*AV108</f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f t="shared" si="31"/>
        <v>0</v>
      </c>
      <c r="BU108" s="40">
        <v>46191</v>
      </c>
      <c r="BV108" s="8" t="e">
        <v>#VALUE!</v>
      </c>
      <c r="BW108" s="58">
        <f>VLOOKUP(AQ108,'[1]Harga &amp; Nama CSO'!$A$28:$D$31,4,0)*BQ108</f>
        <v>3</v>
      </c>
    </row>
    <row r="109" spans="41:75" x14ac:dyDescent="0.35">
      <c r="AO109" s="39">
        <v>107</v>
      </c>
      <c r="AP109" s="60">
        <v>46190</v>
      </c>
      <c r="AQ109" s="41" t="s">
        <v>97</v>
      </c>
      <c r="AR109" s="42" t="str">
        <f>IFERROR(VLOOKUP(AU109,[2]SUMMARY!$A$3:$B$7,2,FALSE),"")</f>
        <v>MC-SAGARANTEN</v>
      </c>
      <c r="AS109" s="31">
        <v>17680707</v>
      </c>
      <c r="AT109" s="31" t="str">
        <f>VLOOKUP(AS109,[2]OUTLET!$B:$C,2,0)</f>
        <v>Naura Cell</v>
      </c>
      <c r="AU109" s="31" t="s">
        <v>41</v>
      </c>
      <c r="AV109" s="6">
        <v>1</v>
      </c>
      <c r="AW109" s="44">
        <f>IFERROR(VLOOKUP(AQ109,'[2]Harga &amp; Nama CSO'!$A$116:$L$136,2,FALSE),0)*AV109</f>
        <v>0</v>
      </c>
      <c r="AX109" s="44">
        <f>IFERROR(VLOOKUP(AQ109,'[2]Harga &amp; Nama CSO'!$A$116:$L$136,3,FALSE),0)*AV109</f>
        <v>0</v>
      </c>
      <c r="AY109" s="44">
        <f>IFERROR(VLOOKUP(AQ109,'[2]Harga &amp; Nama CSO'!$A$116:$L$136,4,FALSE),0)*AV109</f>
        <v>3</v>
      </c>
      <c r="AZ109" s="44">
        <f>IFERROR(VLOOKUP(AQ109,'[2]Harga &amp; Nama CSO'!$A$116:$L$136,5,FALSE),0)*AV109</f>
        <v>0</v>
      </c>
      <c r="BA109" s="44">
        <f>IFERROR(VLOOKUP(AQ109,'[2]Harga &amp; Nama CSO'!$A$116:$L$136,6,FALSE),0)*AV109</f>
        <v>0</v>
      </c>
      <c r="BB109" s="44">
        <f>IFERROR(VLOOKUP(AQ109,'[2]Harga &amp; Nama CSO'!$A$116:$L$136,7,FALSE),0)*AV109</f>
        <v>0</v>
      </c>
      <c r="BC109" s="44">
        <f>IFERROR(VLOOKUP(AQ109,'[2]Harga &amp; Nama CSO'!$A$116:$L$136,8,FALSE),0)*AV109</f>
        <v>0</v>
      </c>
      <c r="BD109" s="44">
        <f>IFERROR(VLOOKUP(AQ109,'[2]Harga &amp; Nama CSO'!$A$116:$L$136,9,FALSE),0)*AV109</f>
        <v>0</v>
      </c>
      <c r="BE109" s="44">
        <f>IFERROR(VLOOKUP(AQ109,'[2]Harga &amp; Nama CSO'!$A$116:$L$136,10,FALSE),0)*AV109</f>
        <v>3</v>
      </c>
      <c r="BF109" s="44">
        <f>IFERROR(VLOOKUP(AQ109,'[2]Harga &amp; Nama CSO'!$A$116:$L$136,11,FALSE),0)*AV109</f>
        <v>0</v>
      </c>
      <c r="BG109" s="44">
        <f>IFERROR(VLOOKUP(AQ109,'[2]Harga &amp; Nama CSO'!$A$116:$L$136,12,FALSE),0)*AV109</f>
        <v>0</v>
      </c>
      <c r="BH109" s="44">
        <f>IFERROR(VLOOKUP(AQ109,'[2]Harga &amp; Nama CSO'!$A$116:$R$136,13,FALSE),0)*AV109</f>
        <v>0</v>
      </c>
      <c r="BI109" s="44">
        <f>IFERROR(VLOOKUP(AQ109,'[2]Harga &amp; Nama CSO'!$A$116:$R$136,14,FALSE),0)*AV109</f>
        <v>3</v>
      </c>
      <c r="BJ109" s="44">
        <f>IFERROR(VLOOKUP(AQ109,'[2]Harga &amp; Nama CSO'!$A$116:$R$136,15,FALSE),0)*AV109</f>
        <v>0</v>
      </c>
      <c r="BK109" s="44">
        <f>IFERROR(VLOOKUP(AQ109,'[2]Harga &amp; Nama CSO'!$A$116:$R$136,16,FALSE),0)*AV109</f>
        <v>0</v>
      </c>
      <c r="BL109" s="44">
        <f>IFERROR(VLOOKUP(AQ109,'[2]Harga &amp; Nama CSO'!$A$116:$R$136,17,FALSE),0)*AV109</f>
        <v>0</v>
      </c>
      <c r="BM109" s="44">
        <f>IFERROR(VLOOKUP(AQ109,'[2]Harga &amp; Nama CSO'!$A$116:$R$136,18,FALSE),0)*AV109</f>
        <v>0</v>
      </c>
      <c r="BN109" s="44">
        <f>IFERROR(VLOOKUP(AQ109,'[2]Harga &amp; Nama CSO'!$A$116:$S$136,19,FALSE),0)*AV109</f>
        <v>0</v>
      </c>
      <c r="BO109" s="55">
        <f>IFERROR(VLOOKUP(AQ109,'[2]Harga &amp; Nama CSO'!$H$2:$N$22,2,FALSE),"")*AV109</f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f t="shared" si="31"/>
        <v>0</v>
      </c>
      <c r="BU109" s="40">
        <v>46191</v>
      </c>
      <c r="BV109" s="8" t="e">
        <v>#VALUE!</v>
      </c>
      <c r="BW109" s="58">
        <f>VLOOKUP(AQ109,'[1]Harga &amp; Nama CSO'!$A$28:$D$31,4,0)*BQ109</f>
        <v>3</v>
      </c>
    </row>
    <row r="110" spans="41:75" x14ac:dyDescent="0.35">
      <c r="AO110" s="39">
        <v>108</v>
      </c>
      <c r="AP110" s="60">
        <v>46190</v>
      </c>
      <c r="AQ110" s="41" t="s">
        <v>96</v>
      </c>
      <c r="AR110" s="42" t="str">
        <f>IFERROR(VLOOKUP(AU110,[2]SUMMARY!$A$3:$B$7,2,FALSE),"")</f>
        <v>MC-SAGARANTEN</v>
      </c>
      <c r="AS110" s="31">
        <v>1287387</v>
      </c>
      <c r="AT110" s="31" t="str">
        <f>VLOOKUP(AS110,[2]OUTLET!$B:$C,2,0)</f>
        <v>DEAN CLL</v>
      </c>
      <c r="AU110" s="31" t="s">
        <v>42</v>
      </c>
      <c r="AV110" s="6">
        <v>1</v>
      </c>
      <c r="AW110" s="44">
        <f>IFERROR(VLOOKUP(AQ110,'[2]Harga &amp; Nama CSO'!$A$116:$L$136,2,FALSE),0)*AV110</f>
        <v>0</v>
      </c>
      <c r="AX110" s="44">
        <f>IFERROR(VLOOKUP(AQ110,'[2]Harga &amp; Nama CSO'!$A$116:$L$136,3,FALSE),0)*AV110</f>
        <v>0</v>
      </c>
      <c r="AY110" s="44">
        <f>IFERROR(VLOOKUP(AQ110,'[2]Harga &amp; Nama CSO'!$A$116:$L$136,4,FALSE),0)*AV110</f>
        <v>3</v>
      </c>
      <c r="AZ110" s="44">
        <f>IFERROR(VLOOKUP(AQ110,'[2]Harga &amp; Nama CSO'!$A$116:$L$136,5,FALSE),0)*AV110</f>
        <v>0</v>
      </c>
      <c r="BA110" s="44">
        <f>IFERROR(VLOOKUP(AQ110,'[2]Harga &amp; Nama CSO'!$A$116:$L$136,6,FALSE),0)*AV110</f>
        <v>0</v>
      </c>
      <c r="BB110" s="44">
        <f>IFERROR(VLOOKUP(AQ110,'[2]Harga &amp; Nama CSO'!$A$116:$L$136,7,FALSE),0)*AV110</f>
        <v>0</v>
      </c>
      <c r="BC110" s="44">
        <f>IFERROR(VLOOKUP(AQ110,'[2]Harga &amp; Nama CSO'!$A$116:$L$136,8,FALSE),0)*AV110</f>
        <v>3</v>
      </c>
      <c r="BD110" s="44">
        <f>IFERROR(VLOOKUP(AQ110,'[2]Harga &amp; Nama CSO'!$A$116:$L$136,9,FALSE),0)*AV110</f>
        <v>0</v>
      </c>
      <c r="BE110" s="44">
        <f>IFERROR(VLOOKUP(AQ110,'[2]Harga &amp; Nama CSO'!$A$116:$L$136,10,FALSE),0)*AV110</f>
        <v>0</v>
      </c>
      <c r="BF110" s="44">
        <f>IFERROR(VLOOKUP(AQ110,'[2]Harga &amp; Nama CSO'!$A$116:$L$136,11,FALSE),0)*AV110</f>
        <v>0</v>
      </c>
      <c r="BG110" s="44">
        <f>IFERROR(VLOOKUP(AQ110,'[2]Harga &amp; Nama CSO'!$A$116:$L$136,12,FALSE),0)*AV110</f>
        <v>0</v>
      </c>
      <c r="BH110" s="44">
        <f>IFERROR(VLOOKUP(AQ110,'[2]Harga &amp; Nama CSO'!$A$116:$R$136,13,FALSE),0)*AV110</f>
        <v>0</v>
      </c>
      <c r="BI110" s="44">
        <f>IFERROR(VLOOKUP(AQ110,'[2]Harga &amp; Nama CSO'!$A$116:$R$136,14,FALSE),0)*AV110</f>
        <v>3</v>
      </c>
      <c r="BJ110" s="44">
        <f>IFERROR(VLOOKUP(AQ110,'[2]Harga &amp; Nama CSO'!$A$116:$R$136,15,FALSE),0)*AV110</f>
        <v>0</v>
      </c>
      <c r="BK110" s="44">
        <f>IFERROR(VLOOKUP(AQ110,'[2]Harga &amp; Nama CSO'!$A$116:$R$136,16,FALSE),0)*AV110</f>
        <v>0</v>
      </c>
      <c r="BL110" s="44">
        <f>IFERROR(VLOOKUP(AQ110,'[2]Harga &amp; Nama CSO'!$A$116:$R$136,17,FALSE),0)*AV110</f>
        <v>0</v>
      </c>
      <c r="BM110" s="44">
        <f>IFERROR(VLOOKUP(AQ110,'[2]Harga &amp; Nama CSO'!$A$116:$R$136,18,FALSE),0)*AV110</f>
        <v>0</v>
      </c>
      <c r="BN110" s="44">
        <f>IFERROR(VLOOKUP(AQ110,'[2]Harga &amp; Nama CSO'!$A$116:$S$136,19,FALSE),0)*AV110</f>
        <v>0</v>
      </c>
      <c r="BO110" s="55">
        <f>IFERROR(VLOOKUP(AQ110,'[2]Harga &amp; Nama CSO'!$H$2:$N$22,2,FALSE),"")*AV110</f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f t="shared" si="31"/>
        <v>0</v>
      </c>
      <c r="BU110" s="40">
        <v>46191</v>
      </c>
      <c r="BV110" s="8" t="e">
        <v>#VALUE!</v>
      </c>
      <c r="BW110" s="58">
        <f>VLOOKUP(AQ110,'[1]Harga &amp; Nama CSO'!$A$28:$D$31,4,0)*BQ110</f>
        <v>3</v>
      </c>
    </row>
    <row r="111" spans="41:75" x14ac:dyDescent="0.35">
      <c r="AO111" s="39">
        <v>109</v>
      </c>
      <c r="AP111" s="60">
        <v>46191</v>
      </c>
      <c r="AQ111" s="41" t="s">
        <v>96</v>
      </c>
      <c r="AR111" s="42" t="str">
        <f>IFERROR(VLOOKUP(AU111,[2]SUMMARY!$A$3:$B$7,2,FALSE),"")</f>
        <v>MC-SAGARANTEN</v>
      </c>
      <c r="AS111" s="31">
        <v>17704547</v>
      </c>
      <c r="AT111" s="31" t="str">
        <f>VLOOKUP(AS111,[2]OUTLET!$B:$C,2,0)</f>
        <v>MOBILE STORE</v>
      </c>
      <c r="AU111" s="31" t="s">
        <v>53</v>
      </c>
      <c r="AV111" s="6">
        <v>1</v>
      </c>
      <c r="AW111" s="44">
        <f>IFERROR(VLOOKUP(AQ111,'[2]Harga &amp; Nama CSO'!$A$116:$L$136,2,FALSE),0)*AV111</f>
        <v>0</v>
      </c>
      <c r="AX111" s="44">
        <f>IFERROR(VLOOKUP(AQ111,'[2]Harga &amp; Nama CSO'!$A$116:$L$136,3,FALSE),0)*AV111</f>
        <v>0</v>
      </c>
      <c r="AY111" s="44">
        <f>IFERROR(VLOOKUP(AQ111,'[2]Harga &amp; Nama CSO'!$A$116:$L$136,4,FALSE),0)*AV111</f>
        <v>3</v>
      </c>
      <c r="AZ111" s="44">
        <f>IFERROR(VLOOKUP(AQ111,'[2]Harga &amp; Nama CSO'!$A$116:$L$136,5,FALSE),0)*AV111</f>
        <v>0</v>
      </c>
      <c r="BA111" s="44">
        <f>IFERROR(VLOOKUP(AQ111,'[2]Harga &amp; Nama CSO'!$A$116:$L$136,6,FALSE),0)*AV111</f>
        <v>0</v>
      </c>
      <c r="BB111" s="44">
        <f>IFERROR(VLOOKUP(AQ111,'[2]Harga &amp; Nama CSO'!$A$116:$L$136,7,FALSE),0)*AV111</f>
        <v>0</v>
      </c>
      <c r="BC111" s="44">
        <f>IFERROR(VLOOKUP(AQ111,'[2]Harga &amp; Nama CSO'!$A$116:$L$136,8,FALSE),0)*AV111</f>
        <v>3</v>
      </c>
      <c r="BD111" s="44">
        <f>IFERROR(VLOOKUP(AQ111,'[2]Harga &amp; Nama CSO'!$A$116:$L$136,9,FALSE),0)*AV111</f>
        <v>0</v>
      </c>
      <c r="BE111" s="44">
        <f>IFERROR(VLOOKUP(AQ111,'[2]Harga &amp; Nama CSO'!$A$116:$L$136,10,FALSE),0)*AV111</f>
        <v>0</v>
      </c>
      <c r="BF111" s="44">
        <f>IFERROR(VLOOKUP(AQ111,'[2]Harga &amp; Nama CSO'!$A$116:$L$136,11,FALSE),0)*AV111</f>
        <v>0</v>
      </c>
      <c r="BG111" s="44">
        <f>IFERROR(VLOOKUP(AQ111,'[2]Harga &amp; Nama CSO'!$A$116:$L$136,12,FALSE),0)*AV111</f>
        <v>0</v>
      </c>
      <c r="BH111" s="44">
        <f>IFERROR(VLOOKUP(AQ111,'[2]Harga &amp; Nama CSO'!$A$116:$R$136,13,FALSE),0)*AV111</f>
        <v>0</v>
      </c>
      <c r="BI111" s="44">
        <f>IFERROR(VLOOKUP(AQ111,'[2]Harga &amp; Nama CSO'!$A$116:$R$136,14,FALSE),0)*AV111</f>
        <v>3</v>
      </c>
      <c r="BJ111" s="44">
        <f>IFERROR(VLOOKUP(AQ111,'[2]Harga &amp; Nama CSO'!$A$116:$R$136,15,FALSE),0)*AV111</f>
        <v>0</v>
      </c>
      <c r="BK111" s="44">
        <f>IFERROR(VLOOKUP(AQ111,'[2]Harga &amp; Nama CSO'!$A$116:$R$136,16,FALSE),0)*AV111</f>
        <v>0</v>
      </c>
      <c r="BL111" s="44">
        <f>IFERROR(VLOOKUP(AQ111,'[2]Harga &amp; Nama CSO'!$A$116:$R$136,17,FALSE),0)*AV111</f>
        <v>0</v>
      </c>
      <c r="BM111" s="44">
        <f>IFERROR(VLOOKUP(AQ111,'[2]Harga &amp; Nama CSO'!$A$116:$R$136,18,FALSE),0)*AV111</f>
        <v>0</v>
      </c>
      <c r="BN111" s="44">
        <f>IFERROR(VLOOKUP(AQ111,'[2]Harga &amp; Nama CSO'!$A$116:$S$136,19,FALSE),0)*AV111</f>
        <v>0</v>
      </c>
      <c r="BO111" s="55">
        <f>IFERROR(VLOOKUP(AQ111,'[2]Harga &amp; Nama CSO'!$H$2:$N$22,2,FALSE),"")*AV111</f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f t="shared" si="31"/>
        <v>0</v>
      </c>
      <c r="BU111" s="40">
        <v>46192</v>
      </c>
      <c r="BV111" s="8" t="e">
        <v>#VALUE!</v>
      </c>
      <c r="BW111" s="58">
        <f>VLOOKUP(AQ111,'[1]Harga &amp; Nama CSO'!$A$28:$D$31,4,0)*BQ111</f>
        <v>3</v>
      </c>
    </row>
    <row r="112" spans="41:75" x14ac:dyDescent="0.35">
      <c r="AO112" s="39">
        <v>110</v>
      </c>
      <c r="AP112" s="60">
        <v>46191</v>
      </c>
      <c r="AQ112" s="41" t="s">
        <v>96</v>
      </c>
      <c r="AR112" s="42" t="str">
        <f>IFERROR(VLOOKUP(AU112,[2]SUMMARY!$A$3:$B$7,2,FALSE),"")</f>
        <v>MC-SAGARANTEN</v>
      </c>
      <c r="AS112" s="31">
        <v>17730702</v>
      </c>
      <c r="AT112" s="31" t="str">
        <f>VLOOKUP(AS112,[2]OUTLET!$B:$C,2,0)</f>
        <v>Om Den cell</v>
      </c>
      <c r="AU112" s="31" t="s">
        <v>53</v>
      </c>
      <c r="AV112" s="6">
        <v>1</v>
      </c>
      <c r="AW112" s="44">
        <f>IFERROR(VLOOKUP(AQ112,'[2]Harga &amp; Nama CSO'!$A$116:$L$136,2,FALSE),0)*AV112</f>
        <v>0</v>
      </c>
      <c r="AX112" s="44">
        <f>IFERROR(VLOOKUP(AQ112,'[2]Harga &amp; Nama CSO'!$A$116:$L$136,3,FALSE),0)*AV112</f>
        <v>0</v>
      </c>
      <c r="AY112" s="44">
        <f>IFERROR(VLOOKUP(AQ112,'[2]Harga &amp; Nama CSO'!$A$116:$L$136,4,FALSE),0)*AV112</f>
        <v>3</v>
      </c>
      <c r="AZ112" s="44">
        <f>IFERROR(VLOOKUP(AQ112,'[2]Harga &amp; Nama CSO'!$A$116:$L$136,5,FALSE),0)*AV112</f>
        <v>0</v>
      </c>
      <c r="BA112" s="44">
        <f>IFERROR(VLOOKUP(AQ112,'[2]Harga &amp; Nama CSO'!$A$116:$L$136,6,FALSE),0)*AV112</f>
        <v>0</v>
      </c>
      <c r="BB112" s="44">
        <f>IFERROR(VLOOKUP(AQ112,'[2]Harga &amp; Nama CSO'!$A$116:$L$136,7,FALSE),0)*AV112</f>
        <v>0</v>
      </c>
      <c r="BC112" s="44">
        <f>IFERROR(VLOOKUP(AQ112,'[2]Harga &amp; Nama CSO'!$A$116:$L$136,8,FALSE),0)*AV112</f>
        <v>3</v>
      </c>
      <c r="BD112" s="44">
        <f>IFERROR(VLOOKUP(AQ112,'[2]Harga &amp; Nama CSO'!$A$116:$L$136,9,FALSE),0)*AV112</f>
        <v>0</v>
      </c>
      <c r="BE112" s="44">
        <f>IFERROR(VLOOKUP(AQ112,'[2]Harga &amp; Nama CSO'!$A$116:$L$136,10,FALSE),0)*AV112</f>
        <v>0</v>
      </c>
      <c r="BF112" s="44">
        <f>IFERROR(VLOOKUP(AQ112,'[2]Harga &amp; Nama CSO'!$A$116:$L$136,11,FALSE),0)*AV112</f>
        <v>0</v>
      </c>
      <c r="BG112" s="44">
        <f>IFERROR(VLOOKUP(AQ112,'[2]Harga &amp; Nama CSO'!$A$116:$L$136,12,FALSE),0)*AV112</f>
        <v>0</v>
      </c>
      <c r="BH112" s="44">
        <f>IFERROR(VLOOKUP(AQ112,'[2]Harga &amp; Nama CSO'!$A$116:$R$136,13,FALSE),0)*AV112</f>
        <v>0</v>
      </c>
      <c r="BI112" s="44">
        <f>IFERROR(VLOOKUP(AQ112,'[2]Harga &amp; Nama CSO'!$A$116:$R$136,14,FALSE),0)*AV112</f>
        <v>3</v>
      </c>
      <c r="BJ112" s="44">
        <f>IFERROR(VLOOKUP(AQ112,'[2]Harga &amp; Nama CSO'!$A$116:$R$136,15,FALSE),0)*AV112</f>
        <v>0</v>
      </c>
      <c r="BK112" s="44">
        <f>IFERROR(VLOOKUP(AQ112,'[2]Harga &amp; Nama CSO'!$A$116:$R$136,16,FALSE),0)*AV112</f>
        <v>0</v>
      </c>
      <c r="BL112" s="44">
        <f>IFERROR(VLOOKUP(AQ112,'[2]Harga &amp; Nama CSO'!$A$116:$R$136,17,FALSE),0)*AV112</f>
        <v>0</v>
      </c>
      <c r="BM112" s="44">
        <f>IFERROR(VLOOKUP(AQ112,'[2]Harga &amp; Nama CSO'!$A$116:$R$136,18,FALSE),0)*AV112</f>
        <v>0</v>
      </c>
      <c r="BN112" s="44">
        <f>IFERROR(VLOOKUP(AQ112,'[2]Harga &amp; Nama CSO'!$A$116:$S$136,19,FALSE),0)*AV112</f>
        <v>0</v>
      </c>
      <c r="BO112" s="55">
        <f>IFERROR(VLOOKUP(AQ112,'[2]Harga &amp; Nama CSO'!$H$2:$N$22,2,FALSE),"")*AV112</f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f t="shared" si="31"/>
        <v>0</v>
      </c>
      <c r="BU112" s="40">
        <v>46192</v>
      </c>
      <c r="BV112" s="8" t="e">
        <v>#VALUE!</v>
      </c>
      <c r="BW112" s="58">
        <f>VLOOKUP(AQ112,'[1]Harga &amp; Nama CSO'!$A$28:$D$31,4,0)*BQ112</f>
        <v>3</v>
      </c>
    </row>
    <row r="113" spans="41:75" x14ac:dyDescent="0.35">
      <c r="AO113" s="39">
        <v>111</v>
      </c>
      <c r="AP113" s="60">
        <v>46191</v>
      </c>
      <c r="AQ113" s="41" t="s">
        <v>96</v>
      </c>
      <c r="AR113" s="42" t="str">
        <f>IFERROR(VLOOKUP(AU113,[2]SUMMARY!$A$3:$B$7,2,FALSE),"")</f>
        <v>MC-SAGARANTEN</v>
      </c>
      <c r="AS113" s="31">
        <v>17255674</v>
      </c>
      <c r="AT113" s="31" t="str">
        <f>VLOOKUP(AS113,[2]OUTLET!$B:$C,2,0)</f>
        <v>ARVAN CELL</v>
      </c>
      <c r="AU113" s="31" t="s">
        <v>54</v>
      </c>
      <c r="AV113" s="6">
        <v>1</v>
      </c>
      <c r="AW113" s="44">
        <f>IFERROR(VLOOKUP(AQ113,'[2]Harga &amp; Nama CSO'!$A$116:$L$136,2,FALSE),0)*AV113</f>
        <v>0</v>
      </c>
      <c r="AX113" s="44">
        <f>IFERROR(VLOOKUP(AQ113,'[2]Harga &amp; Nama CSO'!$A$116:$L$136,3,FALSE),0)*AV113</f>
        <v>0</v>
      </c>
      <c r="AY113" s="44">
        <f>IFERROR(VLOOKUP(AQ113,'[2]Harga &amp; Nama CSO'!$A$116:$L$136,4,FALSE),0)*AV113</f>
        <v>3</v>
      </c>
      <c r="AZ113" s="44">
        <f>IFERROR(VLOOKUP(AQ113,'[2]Harga &amp; Nama CSO'!$A$116:$L$136,5,FALSE),0)*AV113</f>
        <v>0</v>
      </c>
      <c r="BA113" s="44">
        <f>IFERROR(VLOOKUP(AQ113,'[2]Harga &amp; Nama CSO'!$A$116:$L$136,6,FALSE),0)*AV113</f>
        <v>0</v>
      </c>
      <c r="BB113" s="44">
        <f>IFERROR(VLOOKUP(AQ113,'[2]Harga &amp; Nama CSO'!$A$116:$L$136,7,FALSE),0)*AV113</f>
        <v>0</v>
      </c>
      <c r="BC113" s="44">
        <f>IFERROR(VLOOKUP(AQ113,'[2]Harga &amp; Nama CSO'!$A$116:$L$136,8,FALSE),0)*AV113</f>
        <v>3</v>
      </c>
      <c r="BD113" s="44">
        <f>IFERROR(VLOOKUP(AQ113,'[2]Harga &amp; Nama CSO'!$A$116:$L$136,9,FALSE),0)*AV113</f>
        <v>0</v>
      </c>
      <c r="BE113" s="44">
        <f>IFERROR(VLOOKUP(AQ113,'[2]Harga &amp; Nama CSO'!$A$116:$L$136,10,FALSE),0)*AV113</f>
        <v>0</v>
      </c>
      <c r="BF113" s="44">
        <f>IFERROR(VLOOKUP(AQ113,'[2]Harga &amp; Nama CSO'!$A$116:$L$136,11,FALSE),0)*AV113</f>
        <v>0</v>
      </c>
      <c r="BG113" s="44">
        <f>IFERROR(VLOOKUP(AQ113,'[2]Harga &amp; Nama CSO'!$A$116:$L$136,12,FALSE),0)*AV113</f>
        <v>0</v>
      </c>
      <c r="BH113" s="44">
        <f>IFERROR(VLOOKUP(AQ113,'[2]Harga &amp; Nama CSO'!$A$116:$R$136,13,FALSE),0)*AV113</f>
        <v>0</v>
      </c>
      <c r="BI113" s="44">
        <f>IFERROR(VLOOKUP(AQ113,'[2]Harga &amp; Nama CSO'!$A$116:$R$136,14,FALSE),0)*AV113</f>
        <v>3</v>
      </c>
      <c r="BJ113" s="44">
        <f>IFERROR(VLOOKUP(AQ113,'[2]Harga &amp; Nama CSO'!$A$116:$R$136,15,FALSE),0)*AV113</f>
        <v>0</v>
      </c>
      <c r="BK113" s="44">
        <f>IFERROR(VLOOKUP(AQ113,'[2]Harga &amp; Nama CSO'!$A$116:$R$136,16,FALSE),0)*AV113</f>
        <v>0</v>
      </c>
      <c r="BL113" s="44">
        <f>IFERROR(VLOOKUP(AQ113,'[2]Harga &amp; Nama CSO'!$A$116:$R$136,17,FALSE),0)*AV113</f>
        <v>0</v>
      </c>
      <c r="BM113" s="44">
        <f>IFERROR(VLOOKUP(AQ113,'[2]Harga &amp; Nama CSO'!$A$116:$R$136,18,FALSE),0)*AV113</f>
        <v>0</v>
      </c>
      <c r="BN113" s="44">
        <f>IFERROR(VLOOKUP(AQ113,'[2]Harga &amp; Nama CSO'!$A$116:$S$136,19,FALSE),0)*AV113</f>
        <v>0</v>
      </c>
      <c r="BO113" s="55">
        <f>IFERROR(VLOOKUP(AQ113,'[2]Harga &amp; Nama CSO'!$H$2:$N$22,2,FALSE),"")*AV113</f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f t="shared" si="31"/>
        <v>0</v>
      </c>
      <c r="BU113" s="40">
        <v>46192</v>
      </c>
      <c r="BV113" s="8" t="e">
        <v>#VALUE!</v>
      </c>
      <c r="BW113" s="58">
        <f>VLOOKUP(AQ113,'[1]Harga &amp; Nama CSO'!$A$28:$D$31,4,0)*BQ113</f>
        <v>3</v>
      </c>
    </row>
    <row r="114" spans="41:75" x14ac:dyDescent="0.35">
      <c r="AO114" s="39">
        <v>112</v>
      </c>
      <c r="AP114" s="60">
        <v>46191</v>
      </c>
      <c r="AQ114" s="41" t="s">
        <v>97</v>
      </c>
      <c r="AR114" s="42" t="str">
        <f>IFERROR(VLOOKUP(AU114,[2]SUMMARY!$A$3:$B$7,2,FALSE),"")</f>
        <v>MC-SAGARANTEN</v>
      </c>
      <c r="AS114" s="31">
        <v>17260963</v>
      </c>
      <c r="AT114" s="31" t="str">
        <f>VLOOKUP(AS114,[2]OUTLET!$B:$C,2,0)</f>
        <v>DIKI CELL</v>
      </c>
      <c r="AU114" s="31" t="s">
        <v>42</v>
      </c>
      <c r="AV114" s="6">
        <v>1</v>
      </c>
      <c r="AW114" s="44">
        <f>IFERROR(VLOOKUP(AQ114,'[2]Harga &amp; Nama CSO'!$A$116:$L$136,2,FALSE),0)*AV114</f>
        <v>0</v>
      </c>
      <c r="AX114" s="44">
        <f>IFERROR(VLOOKUP(AQ114,'[2]Harga &amp; Nama CSO'!$A$116:$L$136,3,FALSE),0)*AV114</f>
        <v>0</v>
      </c>
      <c r="AY114" s="44">
        <f>IFERROR(VLOOKUP(AQ114,'[2]Harga &amp; Nama CSO'!$A$116:$L$136,4,FALSE),0)*AV114</f>
        <v>3</v>
      </c>
      <c r="AZ114" s="44">
        <f>IFERROR(VLOOKUP(AQ114,'[2]Harga &amp; Nama CSO'!$A$116:$L$136,5,FALSE),0)*AV114</f>
        <v>0</v>
      </c>
      <c r="BA114" s="44">
        <f>IFERROR(VLOOKUP(AQ114,'[2]Harga &amp; Nama CSO'!$A$116:$L$136,6,FALSE),0)*AV114</f>
        <v>0</v>
      </c>
      <c r="BB114" s="44">
        <f>IFERROR(VLOOKUP(AQ114,'[2]Harga &amp; Nama CSO'!$A$116:$L$136,7,FALSE),0)*AV114</f>
        <v>0</v>
      </c>
      <c r="BC114" s="44">
        <f>IFERROR(VLOOKUP(AQ114,'[2]Harga &amp; Nama CSO'!$A$116:$L$136,8,FALSE),0)*AV114</f>
        <v>0</v>
      </c>
      <c r="BD114" s="44">
        <f>IFERROR(VLOOKUP(AQ114,'[2]Harga &amp; Nama CSO'!$A$116:$L$136,9,FALSE),0)*AV114</f>
        <v>0</v>
      </c>
      <c r="BE114" s="44">
        <f>IFERROR(VLOOKUP(AQ114,'[2]Harga &amp; Nama CSO'!$A$116:$L$136,10,FALSE),0)*AV114</f>
        <v>3</v>
      </c>
      <c r="BF114" s="44">
        <f>IFERROR(VLOOKUP(AQ114,'[2]Harga &amp; Nama CSO'!$A$116:$L$136,11,FALSE),0)*AV114</f>
        <v>0</v>
      </c>
      <c r="BG114" s="44">
        <f>IFERROR(VLOOKUP(AQ114,'[2]Harga &amp; Nama CSO'!$A$116:$L$136,12,FALSE),0)*AV114</f>
        <v>0</v>
      </c>
      <c r="BH114" s="44">
        <f>IFERROR(VLOOKUP(AQ114,'[2]Harga &amp; Nama CSO'!$A$116:$R$136,13,FALSE),0)*AV114</f>
        <v>0</v>
      </c>
      <c r="BI114" s="44">
        <f>IFERROR(VLOOKUP(AQ114,'[2]Harga &amp; Nama CSO'!$A$116:$R$136,14,FALSE),0)*AV114</f>
        <v>3</v>
      </c>
      <c r="BJ114" s="44">
        <f>IFERROR(VLOOKUP(AQ114,'[2]Harga &amp; Nama CSO'!$A$116:$R$136,15,FALSE),0)*AV114</f>
        <v>0</v>
      </c>
      <c r="BK114" s="44">
        <f>IFERROR(VLOOKUP(AQ114,'[2]Harga &amp; Nama CSO'!$A$116:$R$136,16,FALSE),0)*AV114</f>
        <v>0</v>
      </c>
      <c r="BL114" s="44">
        <f>IFERROR(VLOOKUP(AQ114,'[2]Harga &amp; Nama CSO'!$A$116:$R$136,17,FALSE),0)*AV114</f>
        <v>0</v>
      </c>
      <c r="BM114" s="44">
        <f>IFERROR(VLOOKUP(AQ114,'[2]Harga &amp; Nama CSO'!$A$116:$R$136,18,FALSE),0)*AV114</f>
        <v>0</v>
      </c>
      <c r="BN114" s="44">
        <f>IFERROR(VLOOKUP(AQ114,'[2]Harga &amp; Nama CSO'!$A$116:$S$136,19,FALSE),0)*AV114</f>
        <v>0</v>
      </c>
      <c r="BO114" s="55">
        <f>IFERROR(VLOOKUP(AQ114,'[2]Harga &amp; Nama CSO'!$H$2:$N$22,2,FALSE),"")*AV114</f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f t="shared" si="31"/>
        <v>0</v>
      </c>
      <c r="BU114" s="40">
        <v>46192</v>
      </c>
      <c r="BV114" s="8" t="e">
        <v>#VALUE!</v>
      </c>
      <c r="BW114" s="58">
        <f>VLOOKUP(AQ114,'[1]Harga &amp; Nama CSO'!$A$28:$D$31,4,0)*BQ114</f>
        <v>3</v>
      </c>
    </row>
    <row r="115" spans="41:75" x14ac:dyDescent="0.35">
      <c r="AO115" s="39">
        <v>113</v>
      </c>
      <c r="AP115" s="60">
        <v>46191</v>
      </c>
      <c r="AQ115" s="41" t="s">
        <v>97</v>
      </c>
      <c r="AR115" s="42" t="str">
        <f>IFERROR(VLOOKUP(AU115,[2]SUMMARY!$A$3:$B$7,2,FALSE),"")</f>
        <v>MC-SAGARANTEN</v>
      </c>
      <c r="AS115" s="42">
        <v>17650936</v>
      </c>
      <c r="AT115" s="31" t="str">
        <f>VLOOKUP(AS115,[2]OUTLET!$B:$C,2,0)</f>
        <v>PC CIAWI CELL</v>
      </c>
      <c r="AU115" s="31" t="s">
        <v>42</v>
      </c>
      <c r="AV115" s="6">
        <v>1</v>
      </c>
      <c r="AW115" s="44">
        <f>IFERROR(VLOOKUP(AQ115,'[2]Harga &amp; Nama CSO'!$A$116:$L$136,2,FALSE),0)*AV115</f>
        <v>0</v>
      </c>
      <c r="AX115" s="44">
        <f>IFERROR(VLOOKUP(AQ115,'[2]Harga &amp; Nama CSO'!$A$116:$L$136,3,FALSE),0)*AV115</f>
        <v>0</v>
      </c>
      <c r="AY115" s="44">
        <f>IFERROR(VLOOKUP(AQ115,'[2]Harga &amp; Nama CSO'!$A$116:$L$136,4,FALSE),0)*AV115</f>
        <v>3</v>
      </c>
      <c r="AZ115" s="44">
        <f>IFERROR(VLOOKUP(AQ115,'[2]Harga &amp; Nama CSO'!$A$116:$L$136,5,FALSE),0)*AV115</f>
        <v>0</v>
      </c>
      <c r="BA115" s="44">
        <f>IFERROR(VLOOKUP(AQ115,'[2]Harga &amp; Nama CSO'!$A$116:$L$136,6,FALSE),0)*AV115</f>
        <v>0</v>
      </c>
      <c r="BB115" s="44">
        <f>IFERROR(VLOOKUP(AQ115,'[2]Harga &amp; Nama CSO'!$A$116:$L$136,7,FALSE),0)*AV115</f>
        <v>0</v>
      </c>
      <c r="BC115" s="44">
        <f>IFERROR(VLOOKUP(AQ115,'[2]Harga &amp; Nama CSO'!$A$116:$L$136,8,FALSE),0)*AV115</f>
        <v>0</v>
      </c>
      <c r="BD115" s="44">
        <f>IFERROR(VLOOKUP(AQ115,'[2]Harga &amp; Nama CSO'!$A$116:$L$136,9,FALSE),0)*AV115</f>
        <v>0</v>
      </c>
      <c r="BE115" s="44">
        <f>IFERROR(VLOOKUP(AQ115,'[2]Harga &amp; Nama CSO'!$A$116:$L$136,10,FALSE),0)*AV115</f>
        <v>3</v>
      </c>
      <c r="BF115" s="44">
        <f>IFERROR(VLOOKUP(AQ115,'[2]Harga &amp; Nama CSO'!$A$116:$L$136,11,FALSE),0)*AV115</f>
        <v>0</v>
      </c>
      <c r="BG115" s="44">
        <f>IFERROR(VLOOKUP(AQ115,'[2]Harga &amp; Nama CSO'!$A$116:$L$136,12,FALSE),0)*AV115</f>
        <v>0</v>
      </c>
      <c r="BH115" s="44">
        <f>IFERROR(VLOOKUP(AQ115,'[2]Harga &amp; Nama CSO'!$A$116:$R$136,13,FALSE),0)*AV115</f>
        <v>0</v>
      </c>
      <c r="BI115" s="44">
        <f>IFERROR(VLOOKUP(AQ115,'[2]Harga &amp; Nama CSO'!$A$116:$R$136,14,FALSE),0)*AV115</f>
        <v>3</v>
      </c>
      <c r="BJ115" s="44">
        <f>IFERROR(VLOOKUP(AQ115,'[2]Harga &amp; Nama CSO'!$A$116:$R$136,15,FALSE),0)*AV115</f>
        <v>0</v>
      </c>
      <c r="BK115" s="44">
        <f>IFERROR(VLOOKUP(AQ115,'[2]Harga &amp; Nama CSO'!$A$116:$R$136,16,FALSE),0)*AV115</f>
        <v>0</v>
      </c>
      <c r="BL115" s="44">
        <f>IFERROR(VLOOKUP(AQ115,'[2]Harga &amp; Nama CSO'!$A$116:$R$136,17,FALSE),0)*AV115</f>
        <v>0</v>
      </c>
      <c r="BM115" s="44">
        <f>IFERROR(VLOOKUP(AQ115,'[2]Harga &amp; Nama CSO'!$A$116:$R$136,18,FALSE),0)*AV115</f>
        <v>0</v>
      </c>
      <c r="BN115" s="44">
        <f>IFERROR(VLOOKUP(AQ115,'[2]Harga &amp; Nama CSO'!$A$116:$S$136,19,FALSE),0)*AV115</f>
        <v>0</v>
      </c>
      <c r="BO115" s="55">
        <f>IFERROR(VLOOKUP(AQ115,'[2]Harga &amp; Nama CSO'!$H$2:$N$22,2,FALSE),"")*AV115</f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f t="shared" si="31"/>
        <v>0</v>
      </c>
      <c r="BU115" s="40">
        <v>46192</v>
      </c>
      <c r="BV115" s="8" t="e">
        <v>#VALUE!</v>
      </c>
      <c r="BW115" s="58">
        <f>VLOOKUP(AQ115,'[1]Harga &amp; Nama CSO'!$A$28:$D$31,4,0)*BQ115</f>
        <v>3</v>
      </c>
    </row>
    <row r="116" spans="41:75" x14ac:dyDescent="0.35">
      <c r="AO116" s="39">
        <v>114</v>
      </c>
      <c r="AP116" s="60">
        <v>46191</v>
      </c>
      <c r="AQ116" s="41" t="s">
        <v>97</v>
      </c>
      <c r="AR116" s="42" t="str">
        <f>IFERROR(VLOOKUP(AU116,[2]SUMMARY!$A$3:$B$7,2,FALSE),"")</f>
        <v>MC-SAGARANTEN</v>
      </c>
      <c r="AS116" s="42">
        <v>17782547</v>
      </c>
      <c r="AT116" s="31" t="str">
        <f>VLOOKUP(AS116,[2]OUTLET!$B:$C,2,0)</f>
        <v>Alya Cell</v>
      </c>
      <c r="AU116" s="31" t="s">
        <v>42</v>
      </c>
      <c r="AV116" s="6">
        <v>1</v>
      </c>
      <c r="AW116" s="44">
        <f>IFERROR(VLOOKUP(AQ116,'[2]Harga &amp; Nama CSO'!$A$116:$L$136,2,FALSE),0)*AV116</f>
        <v>0</v>
      </c>
      <c r="AX116" s="44">
        <f>IFERROR(VLOOKUP(AQ116,'[2]Harga &amp; Nama CSO'!$A$116:$L$136,3,FALSE),0)*AV116</f>
        <v>0</v>
      </c>
      <c r="AY116" s="44">
        <f>IFERROR(VLOOKUP(AQ116,'[2]Harga &amp; Nama CSO'!$A$116:$L$136,4,FALSE),0)*AV116</f>
        <v>3</v>
      </c>
      <c r="AZ116" s="44">
        <f>IFERROR(VLOOKUP(AQ116,'[2]Harga &amp; Nama CSO'!$A$116:$L$136,5,FALSE),0)*AV116</f>
        <v>0</v>
      </c>
      <c r="BA116" s="44">
        <f>IFERROR(VLOOKUP(AQ116,'[2]Harga &amp; Nama CSO'!$A$116:$L$136,6,FALSE),0)*AV116</f>
        <v>0</v>
      </c>
      <c r="BB116" s="44">
        <f>IFERROR(VLOOKUP(AQ116,'[2]Harga &amp; Nama CSO'!$A$116:$L$136,7,FALSE),0)*AV116</f>
        <v>0</v>
      </c>
      <c r="BC116" s="44">
        <f>IFERROR(VLOOKUP(AQ116,'[2]Harga &amp; Nama CSO'!$A$116:$L$136,8,FALSE),0)*AV116</f>
        <v>0</v>
      </c>
      <c r="BD116" s="44">
        <f>IFERROR(VLOOKUP(AQ116,'[2]Harga &amp; Nama CSO'!$A$116:$L$136,9,FALSE),0)*AV116</f>
        <v>0</v>
      </c>
      <c r="BE116" s="44">
        <f>IFERROR(VLOOKUP(AQ116,'[2]Harga &amp; Nama CSO'!$A$116:$L$136,10,FALSE),0)*AV116</f>
        <v>3</v>
      </c>
      <c r="BF116" s="44">
        <f>IFERROR(VLOOKUP(AQ116,'[2]Harga &amp; Nama CSO'!$A$116:$L$136,11,FALSE),0)*AV116</f>
        <v>0</v>
      </c>
      <c r="BG116" s="44">
        <f>IFERROR(VLOOKUP(AQ116,'[2]Harga &amp; Nama CSO'!$A$116:$L$136,12,FALSE),0)*AV116</f>
        <v>0</v>
      </c>
      <c r="BH116" s="44">
        <f>IFERROR(VLOOKUP(AQ116,'[2]Harga &amp; Nama CSO'!$A$116:$R$136,13,FALSE),0)*AV116</f>
        <v>0</v>
      </c>
      <c r="BI116" s="44">
        <f>IFERROR(VLOOKUP(AQ116,'[2]Harga &amp; Nama CSO'!$A$116:$R$136,14,FALSE),0)*AV116</f>
        <v>3</v>
      </c>
      <c r="BJ116" s="44">
        <f>IFERROR(VLOOKUP(AQ116,'[2]Harga &amp; Nama CSO'!$A$116:$R$136,15,FALSE),0)*AV116</f>
        <v>0</v>
      </c>
      <c r="BK116" s="44">
        <f>IFERROR(VLOOKUP(AQ116,'[2]Harga &amp; Nama CSO'!$A$116:$R$136,16,FALSE),0)*AV116</f>
        <v>0</v>
      </c>
      <c r="BL116" s="44">
        <f>IFERROR(VLOOKUP(AQ116,'[2]Harga &amp; Nama CSO'!$A$116:$R$136,17,FALSE),0)*AV116</f>
        <v>0</v>
      </c>
      <c r="BM116" s="44">
        <f>IFERROR(VLOOKUP(AQ116,'[2]Harga &amp; Nama CSO'!$A$116:$R$136,18,FALSE),0)*AV116</f>
        <v>0</v>
      </c>
      <c r="BN116" s="44">
        <f>IFERROR(VLOOKUP(AQ116,'[2]Harga &amp; Nama CSO'!$A$116:$S$136,19,FALSE),0)*AV116</f>
        <v>0</v>
      </c>
      <c r="BO116" s="55">
        <f>IFERROR(VLOOKUP(AQ116,'[2]Harga &amp; Nama CSO'!$H$2:$N$22,2,FALSE),"")*AV116</f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f t="shared" si="31"/>
        <v>0</v>
      </c>
      <c r="BU116" s="40">
        <v>46192</v>
      </c>
      <c r="BV116" s="8" t="e">
        <v>#VALUE!</v>
      </c>
      <c r="BW116" s="58">
        <f>VLOOKUP(AQ116,'[1]Harga &amp; Nama CSO'!$A$28:$D$31,4,0)*BQ116</f>
        <v>3</v>
      </c>
    </row>
    <row r="117" spans="41:75" x14ac:dyDescent="0.35">
      <c r="AO117" s="39">
        <v>115</v>
      </c>
      <c r="AP117" s="60">
        <v>46191</v>
      </c>
      <c r="AQ117" s="41" t="s">
        <v>97</v>
      </c>
      <c r="AR117" s="42" t="str">
        <f>IFERROR(VLOOKUP(AU117,[2]SUMMARY!$A$3:$B$7,2,FALSE),"")</f>
        <v>MC-SAGARANTEN</v>
      </c>
      <c r="AS117" s="42">
        <v>17740819</v>
      </c>
      <c r="AT117" s="31" t="str">
        <f>VLOOKUP(AS117,[2]OUTLET!$B:$C,2,0)</f>
        <v>Toko Paisal</v>
      </c>
      <c r="AU117" s="31" t="s">
        <v>42</v>
      </c>
      <c r="AV117" s="6">
        <v>1</v>
      </c>
      <c r="AW117" s="44">
        <f>IFERROR(VLOOKUP(AQ117,'[2]Harga &amp; Nama CSO'!$A$116:$L$136,2,FALSE),0)*AV117</f>
        <v>0</v>
      </c>
      <c r="AX117" s="44">
        <f>IFERROR(VLOOKUP(AQ117,'[2]Harga &amp; Nama CSO'!$A$116:$L$136,3,FALSE),0)*AV117</f>
        <v>0</v>
      </c>
      <c r="AY117" s="44">
        <f>IFERROR(VLOOKUP(AQ117,'[2]Harga &amp; Nama CSO'!$A$116:$L$136,4,FALSE),0)*AV117</f>
        <v>3</v>
      </c>
      <c r="AZ117" s="44">
        <f>IFERROR(VLOOKUP(AQ117,'[2]Harga &amp; Nama CSO'!$A$116:$L$136,5,FALSE),0)*AV117</f>
        <v>0</v>
      </c>
      <c r="BA117" s="44">
        <f>IFERROR(VLOOKUP(AQ117,'[2]Harga &amp; Nama CSO'!$A$116:$L$136,6,FALSE),0)*AV117</f>
        <v>0</v>
      </c>
      <c r="BB117" s="44">
        <f>IFERROR(VLOOKUP(AQ117,'[2]Harga &amp; Nama CSO'!$A$116:$L$136,7,FALSE),0)*AV117</f>
        <v>0</v>
      </c>
      <c r="BC117" s="44">
        <f>IFERROR(VLOOKUP(AQ117,'[2]Harga &amp; Nama CSO'!$A$116:$L$136,8,FALSE),0)*AV117</f>
        <v>0</v>
      </c>
      <c r="BD117" s="44">
        <f>IFERROR(VLOOKUP(AQ117,'[2]Harga &amp; Nama CSO'!$A$116:$L$136,9,FALSE),0)*AV117</f>
        <v>0</v>
      </c>
      <c r="BE117" s="44">
        <f>IFERROR(VLOOKUP(AQ117,'[2]Harga &amp; Nama CSO'!$A$116:$L$136,10,FALSE),0)*AV117</f>
        <v>3</v>
      </c>
      <c r="BF117" s="44">
        <f>IFERROR(VLOOKUP(AQ117,'[2]Harga &amp; Nama CSO'!$A$116:$L$136,11,FALSE),0)*AV117</f>
        <v>0</v>
      </c>
      <c r="BG117" s="44">
        <f>IFERROR(VLOOKUP(AQ117,'[2]Harga &amp; Nama CSO'!$A$116:$L$136,12,FALSE),0)*AV117</f>
        <v>0</v>
      </c>
      <c r="BH117" s="44">
        <f>IFERROR(VLOOKUP(AQ117,'[2]Harga &amp; Nama CSO'!$A$116:$R$136,13,FALSE),0)*AV117</f>
        <v>0</v>
      </c>
      <c r="BI117" s="44">
        <f>IFERROR(VLOOKUP(AQ117,'[2]Harga &amp; Nama CSO'!$A$116:$R$136,14,FALSE),0)*AV117</f>
        <v>3</v>
      </c>
      <c r="BJ117" s="44">
        <f>IFERROR(VLOOKUP(AQ117,'[2]Harga &amp; Nama CSO'!$A$116:$R$136,15,FALSE),0)*AV117</f>
        <v>0</v>
      </c>
      <c r="BK117" s="44">
        <f>IFERROR(VLOOKUP(AQ117,'[2]Harga &amp; Nama CSO'!$A$116:$R$136,16,FALSE),0)*AV117</f>
        <v>0</v>
      </c>
      <c r="BL117" s="44">
        <f>IFERROR(VLOOKUP(AQ117,'[2]Harga &amp; Nama CSO'!$A$116:$R$136,17,FALSE),0)*AV117</f>
        <v>0</v>
      </c>
      <c r="BM117" s="44">
        <f>IFERROR(VLOOKUP(AQ117,'[2]Harga &amp; Nama CSO'!$A$116:$R$136,18,FALSE),0)*AV117</f>
        <v>0</v>
      </c>
      <c r="BN117" s="44">
        <f>IFERROR(VLOOKUP(AQ117,'[2]Harga &amp; Nama CSO'!$A$116:$S$136,19,FALSE),0)*AV117</f>
        <v>0</v>
      </c>
      <c r="BO117" s="55">
        <f>IFERROR(VLOOKUP(AQ117,'[2]Harga &amp; Nama CSO'!$H$2:$N$22,2,FALSE),"")*AV117</f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f t="shared" si="31"/>
        <v>0</v>
      </c>
      <c r="BU117" s="40">
        <v>46192</v>
      </c>
      <c r="BV117" s="8" t="e">
        <v>#VALUE!</v>
      </c>
      <c r="BW117" s="58">
        <f>VLOOKUP(AQ117,'[1]Harga &amp; Nama CSO'!$A$28:$D$31,4,0)*BQ117</f>
        <v>3</v>
      </c>
    </row>
    <row r="118" spans="41:75" x14ac:dyDescent="0.35">
      <c r="AO118" s="39">
        <v>116</v>
      </c>
      <c r="AP118" s="60">
        <v>46191</v>
      </c>
      <c r="AQ118" s="41" t="s">
        <v>97</v>
      </c>
      <c r="AR118" s="42" t="str">
        <f>IFERROR(VLOOKUP(AU118,[2]SUMMARY!$A$3:$B$7,2,FALSE),"")</f>
        <v>MC-SAGARANTEN</v>
      </c>
      <c r="AS118" s="42">
        <v>17787814</v>
      </c>
      <c r="AT118" s="31" t="str">
        <f>VLOOKUP(AS118,[2]OUTLET!$B:$C,2,0)</f>
        <v>ICA CELL</v>
      </c>
      <c r="AU118" s="31" t="s">
        <v>42</v>
      </c>
      <c r="AV118" s="6">
        <v>1</v>
      </c>
      <c r="AW118" s="44">
        <f>IFERROR(VLOOKUP(AQ118,'[2]Harga &amp; Nama CSO'!$A$116:$L$136,2,FALSE),0)*AV118</f>
        <v>0</v>
      </c>
      <c r="AX118" s="44">
        <f>IFERROR(VLOOKUP(AQ118,'[2]Harga &amp; Nama CSO'!$A$116:$L$136,3,FALSE),0)*AV118</f>
        <v>0</v>
      </c>
      <c r="AY118" s="44">
        <f>IFERROR(VLOOKUP(AQ118,'[2]Harga &amp; Nama CSO'!$A$116:$L$136,4,FALSE),0)*AV118</f>
        <v>3</v>
      </c>
      <c r="AZ118" s="44">
        <f>IFERROR(VLOOKUP(AQ118,'[2]Harga &amp; Nama CSO'!$A$116:$L$136,5,FALSE),0)*AV118</f>
        <v>0</v>
      </c>
      <c r="BA118" s="44">
        <f>IFERROR(VLOOKUP(AQ118,'[2]Harga &amp; Nama CSO'!$A$116:$L$136,6,FALSE),0)*AV118</f>
        <v>0</v>
      </c>
      <c r="BB118" s="44">
        <f>IFERROR(VLOOKUP(AQ118,'[2]Harga &amp; Nama CSO'!$A$116:$L$136,7,FALSE),0)*AV118</f>
        <v>0</v>
      </c>
      <c r="BC118" s="44">
        <f>IFERROR(VLOOKUP(AQ118,'[2]Harga &amp; Nama CSO'!$A$116:$L$136,8,FALSE),0)*AV118</f>
        <v>0</v>
      </c>
      <c r="BD118" s="44">
        <f>IFERROR(VLOOKUP(AQ118,'[2]Harga &amp; Nama CSO'!$A$116:$L$136,9,FALSE),0)*AV118</f>
        <v>0</v>
      </c>
      <c r="BE118" s="44">
        <f>IFERROR(VLOOKUP(AQ118,'[2]Harga &amp; Nama CSO'!$A$116:$L$136,10,FALSE),0)*AV118</f>
        <v>3</v>
      </c>
      <c r="BF118" s="44">
        <f>IFERROR(VLOOKUP(AQ118,'[2]Harga &amp; Nama CSO'!$A$116:$L$136,11,FALSE),0)*AV118</f>
        <v>0</v>
      </c>
      <c r="BG118" s="44">
        <f>IFERROR(VLOOKUP(AQ118,'[2]Harga &amp; Nama CSO'!$A$116:$L$136,12,FALSE),0)*AV118</f>
        <v>0</v>
      </c>
      <c r="BH118" s="44">
        <f>IFERROR(VLOOKUP(AQ118,'[2]Harga &amp; Nama CSO'!$A$116:$R$136,13,FALSE),0)*AV118</f>
        <v>0</v>
      </c>
      <c r="BI118" s="44">
        <f>IFERROR(VLOOKUP(AQ118,'[2]Harga &amp; Nama CSO'!$A$116:$R$136,14,FALSE),0)*AV118</f>
        <v>3</v>
      </c>
      <c r="BJ118" s="44">
        <f>IFERROR(VLOOKUP(AQ118,'[2]Harga &amp; Nama CSO'!$A$116:$R$136,15,FALSE),0)*AV118</f>
        <v>0</v>
      </c>
      <c r="BK118" s="44">
        <f>IFERROR(VLOOKUP(AQ118,'[2]Harga &amp; Nama CSO'!$A$116:$R$136,16,FALSE),0)*AV118</f>
        <v>0</v>
      </c>
      <c r="BL118" s="44">
        <f>IFERROR(VLOOKUP(AQ118,'[2]Harga &amp; Nama CSO'!$A$116:$R$136,17,FALSE),0)*AV118</f>
        <v>0</v>
      </c>
      <c r="BM118" s="44">
        <f>IFERROR(VLOOKUP(AQ118,'[2]Harga &amp; Nama CSO'!$A$116:$R$136,18,FALSE),0)*AV118</f>
        <v>0</v>
      </c>
      <c r="BN118" s="44">
        <f>IFERROR(VLOOKUP(AQ118,'[2]Harga &amp; Nama CSO'!$A$116:$S$136,19,FALSE),0)*AV118</f>
        <v>0</v>
      </c>
      <c r="BO118" s="55">
        <f>IFERROR(VLOOKUP(AQ118,'[2]Harga &amp; Nama CSO'!$H$2:$N$22,2,FALSE),"")*AV118</f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f t="shared" si="31"/>
        <v>-100</v>
      </c>
      <c r="BU118" s="40">
        <v>46192</v>
      </c>
      <c r="BV118" s="8" t="e">
        <v>#VALUE!</v>
      </c>
      <c r="BW118" s="58">
        <f>VLOOKUP(AQ118,'[1]Harga &amp; Nama CSO'!$A$28:$D$31,4,0)*BQ118</f>
        <v>3</v>
      </c>
    </row>
    <row r="119" spans="41:75" x14ac:dyDescent="0.35">
      <c r="AO119" s="39">
        <v>117</v>
      </c>
      <c r="AP119" s="60">
        <v>46192</v>
      </c>
      <c r="AQ119" s="41" t="s">
        <v>96</v>
      </c>
      <c r="AR119" s="42" t="str">
        <f>IFERROR(VLOOKUP(AU119,[2]SUMMARY!$A$3:$B$7,2,FALSE),"")</f>
        <v>MC-SAGARANTEN</v>
      </c>
      <c r="AS119" s="42">
        <v>17753565</v>
      </c>
      <c r="AT119" s="31" t="str">
        <f>VLOOKUP(AS119,[2]OUTLET!$B:$C,2,0)</f>
        <v>Japra cell</v>
      </c>
      <c r="AU119" s="42" t="s">
        <v>53</v>
      </c>
      <c r="AV119" s="6">
        <v>1</v>
      </c>
      <c r="AW119" s="44">
        <f>IFERROR(VLOOKUP(AQ119,'[2]Harga &amp; Nama CSO'!$A$116:$L$136,2,FALSE),0)*AV119</f>
        <v>0</v>
      </c>
      <c r="AX119" s="44">
        <f>IFERROR(VLOOKUP(AQ119,'[2]Harga &amp; Nama CSO'!$A$116:$L$136,3,FALSE),0)*AV119</f>
        <v>0</v>
      </c>
      <c r="AY119" s="44">
        <f>IFERROR(VLOOKUP(AQ119,'[2]Harga &amp; Nama CSO'!$A$116:$L$136,4,FALSE),0)*AV119</f>
        <v>3</v>
      </c>
      <c r="AZ119" s="44">
        <f>IFERROR(VLOOKUP(AQ119,'[2]Harga &amp; Nama CSO'!$A$116:$L$136,5,FALSE),0)*AV119</f>
        <v>0</v>
      </c>
      <c r="BA119" s="44">
        <f>IFERROR(VLOOKUP(AQ119,'[2]Harga &amp; Nama CSO'!$A$116:$L$136,6,FALSE),0)*AV119</f>
        <v>0</v>
      </c>
      <c r="BB119" s="44">
        <f>IFERROR(VLOOKUP(AQ119,'[2]Harga &amp; Nama CSO'!$A$116:$L$136,7,FALSE),0)*AV119</f>
        <v>0</v>
      </c>
      <c r="BC119" s="44">
        <f>IFERROR(VLOOKUP(AQ119,'[2]Harga &amp; Nama CSO'!$A$116:$L$136,8,FALSE),0)*AV119</f>
        <v>3</v>
      </c>
      <c r="BD119" s="44">
        <f>IFERROR(VLOOKUP(AQ119,'[2]Harga &amp; Nama CSO'!$A$116:$L$136,9,FALSE),0)*AV119</f>
        <v>0</v>
      </c>
      <c r="BE119" s="44">
        <f>IFERROR(VLOOKUP(AQ119,'[2]Harga &amp; Nama CSO'!$A$116:$L$136,10,FALSE),0)*AV119</f>
        <v>0</v>
      </c>
      <c r="BF119" s="44">
        <f>IFERROR(VLOOKUP(AQ119,'[2]Harga &amp; Nama CSO'!$A$116:$L$136,11,FALSE),0)*AV119</f>
        <v>0</v>
      </c>
      <c r="BG119" s="44">
        <f>IFERROR(VLOOKUP(AQ119,'[2]Harga &amp; Nama CSO'!$A$116:$L$136,12,FALSE),0)*AV119</f>
        <v>0</v>
      </c>
      <c r="BH119" s="44">
        <f>IFERROR(VLOOKUP(AQ119,'[2]Harga &amp; Nama CSO'!$A$116:$R$136,13,FALSE),0)*AV119</f>
        <v>0</v>
      </c>
      <c r="BI119" s="44">
        <f>IFERROR(VLOOKUP(AQ119,'[2]Harga &amp; Nama CSO'!$A$116:$R$136,14,FALSE),0)*AV119</f>
        <v>3</v>
      </c>
      <c r="BJ119" s="44">
        <f>IFERROR(VLOOKUP(AQ119,'[2]Harga &amp; Nama CSO'!$A$116:$R$136,15,FALSE),0)*AV119</f>
        <v>0</v>
      </c>
      <c r="BK119" s="44">
        <f>IFERROR(VLOOKUP(AQ119,'[2]Harga &amp; Nama CSO'!$A$116:$R$136,16,FALSE),0)*AV119</f>
        <v>0</v>
      </c>
      <c r="BL119" s="44">
        <f>IFERROR(VLOOKUP(AQ119,'[2]Harga &amp; Nama CSO'!$A$116:$R$136,17,FALSE),0)*AV119</f>
        <v>0</v>
      </c>
      <c r="BM119" s="44">
        <f>IFERROR(VLOOKUP(AQ119,'[2]Harga &amp; Nama CSO'!$A$116:$R$136,18,FALSE),0)*AV119</f>
        <v>0</v>
      </c>
      <c r="BN119" s="44">
        <f>IFERROR(VLOOKUP(AQ119,'[2]Harga &amp; Nama CSO'!$A$116:$S$136,19,FALSE),0)*AV119</f>
        <v>0</v>
      </c>
      <c r="BO119" s="55">
        <f>IFERROR(VLOOKUP(AQ119,'[2]Harga &amp; Nama CSO'!$H$2:$N$22,2,FALSE),"")*AV119</f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f t="shared" si="31"/>
        <v>0</v>
      </c>
      <c r="BU119" s="40">
        <v>46195</v>
      </c>
      <c r="BV119" s="8" t="e">
        <v>#VALUE!</v>
      </c>
      <c r="BW119" s="58">
        <f>VLOOKUP(AQ119,'[1]Harga &amp; Nama CSO'!$A$28:$D$31,4,0)*BQ119</f>
        <v>3</v>
      </c>
    </row>
    <row r="120" spans="41:75" x14ac:dyDescent="0.35">
      <c r="AO120" s="39">
        <v>118</v>
      </c>
      <c r="AP120" s="60">
        <v>46192</v>
      </c>
      <c r="AQ120" s="41" t="s">
        <v>96</v>
      </c>
      <c r="AR120" s="42" t="str">
        <f>IFERROR(VLOOKUP(AU120,[2]SUMMARY!$A$3:$B$7,2,FALSE),"")</f>
        <v>MC-SAGARANTEN</v>
      </c>
      <c r="AS120" s="42">
        <v>17778250</v>
      </c>
      <c r="AT120" s="31" t="str">
        <f>VLOOKUP(AS120,[2]OUTLET!$B:$C,2,0)</f>
        <v>Siti Nuraeni</v>
      </c>
      <c r="AU120" s="42" t="s">
        <v>53</v>
      </c>
      <c r="AV120" s="6">
        <v>1</v>
      </c>
      <c r="AW120" s="44">
        <f>IFERROR(VLOOKUP(AQ120,'[2]Harga &amp; Nama CSO'!$A$116:$L$136,2,FALSE),0)*AV120</f>
        <v>0</v>
      </c>
      <c r="AX120" s="44">
        <f>IFERROR(VLOOKUP(AQ120,'[2]Harga &amp; Nama CSO'!$A$116:$L$136,3,FALSE),0)*AV120</f>
        <v>0</v>
      </c>
      <c r="AY120" s="44">
        <f>IFERROR(VLOOKUP(AQ120,'[2]Harga &amp; Nama CSO'!$A$116:$L$136,4,FALSE),0)*AV120</f>
        <v>3</v>
      </c>
      <c r="AZ120" s="44">
        <f>IFERROR(VLOOKUP(AQ120,'[2]Harga &amp; Nama CSO'!$A$116:$L$136,5,FALSE),0)*AV120</f>
        <v>0</v>
      </c>
      <c r="BA120" s="44">
        <f>IFERROR(VLOOKUP(AQ120,'[2]Harga &amp; Nama CSO'!$A$116:$L$136,6,FALSE),0)*AV120</f>
        <v>0</v>
      </c>
      <c r="BB120" s="44">
        <f>IFERROR(VLOOKUP(AQ120,'[2]Harga &amp; Nama CSO'!$A$116:$L$136,7,FALSE),0)*AV120</f>
        <v>0</v>
      </c>
      <c r="BC120" s="44">
        <f>IFERROR(VLOOKUP(AQ120,'[2]Harga &amp; Nama CSO'!$A$116:$L$136,8,FALSE),0)*AV120</f>
        <v>3</v>
      </c>
      <c r="BD120" s="44">
        <f>IFERROR(VLOOKUP(AQ120,'[2]Harga &amp; Nama CSO'!$A$116:$L$136,9,FALSE),0)*AV120</f>
        <v>0</v>
      </c>
      <c r="BE120" s="44">
        <f>IFERROR(VLOOKUP(AQ120,'[2]Harga &amp; Nama CSO'!$A$116:$L$136,10,FALSE),0)*AV120</f>
        <v>0</v>
      </c>
      <c r="BF120" s="44">
        <f>IFERROR(VLOOKUP(AQ120,'[2]Harga &amp; Nama CSO'!$A$116:$L$136,11,FALSE),0)*AV120</f>
        <v>0</v>
      </c>
      <c r="BG120" s="44">
        <f>IFERROR(VLOOKUP(AQ120,'[2]Harga &amp; Nama CSO'!$A$116:$L$136,12,FALSE),0)*AV120</f>
        <v>0</v>
      </c>
      <c r="BH120" s="44">
        <f>IFERROR(VLOOKUP(AQ120,'[2]Harga &amp; Nama CSO'!$A$116:$R$136,13,FALSE),0)*AV120</f>
        <v>0</v>
      </c>
      <c r="BI120" s="44">
        <f>IFERROR(VLOOKUP(AQ120,'[2]Harga &amp; Nama CSO'!$A$116:$R$136,14,FALSE),0)*AV120</f>
        <v>3</v>
      </c>
      <c r="BJ120" s="44">
        <f>IFERROR(VLOOKUP(AQ120,'[2]Harga &amp; Nama CSO'!$A$116:$R$136,15,FALSE),0)*AV120</f>
        <v>0</v>
      </c>
      <c r="BK120" s="44">
        <f>IFERROR(VLOOKUP(AQ120,'[2]Harga &amp; Nama CSO'!$A$116:$R$136,16,FALSE),0)*AV120</f>
        <v>0</v>
      </c>
      <c r="BL120" s="44">
        <f>IFERROR(VLOOKUP(AQ120,'[2]Harga &amp; Nama CSO'!$A$116:$R$136,17,FALSE),0)*AV120</f>
        <v>0</v>
      </c>
      <c r="BM120" s="44">
        <f>IFERROR(VLOOKUP(AQ120,'[2]Harga &amp; Nama CSO'!$A$116:$R$136,18,FALSE),0)*AV120</f>
        <v>0</v>
      </c>
      <c r="BN120" s="44">
        <f>IFERROR(VLOOKUP(AQ120,'[2]Harga &amp; Nama CSO'!$A$116:$S$136,19,FALSE),0)*AV120</f>
        <v>0</v>
      </c>
      <c r="BO120" s="55">
        <f>IFERROR(VLOOKUP(AQ120,'[2]Harga &amp; Nama CSO'!$H$2:$N$22,2,FALSE),"")*AV120</f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f t="shared" si="31"/>
        <v>0</v>
      </c>
      <c r="BU120" s="40">
        <v>46195</v>
      </c>
      <c r="BV120" s="8" t="e">
        <v>#VALUE!</v>
      </c>
      <c r="BW120" s="58">
        <f>VLOOKUP(AQ120,'[1]Harga &amp; Nama CSO'!$A$28:$D$31,4,0)*BQ120</f>
        <v>3</v>
      </c>
    </row>
    <row r="121" spans="41:75" x14ac:dyDescent="0.35">
      <c r="AO121" s="39">
        <v>119</v>
      </c>
      <c r="AP121" s="60">
        <v>46192</v>
      </c>
      <c r="AQ121" s="41" t="s">
        <v>96</v>
      </c>
      <c r="AR121" s="42" t="str">
        <f>IFERROR(VLOOKUP(AU121,[2]SUMMARY!$A$3:$B$7,2,FALSE),"")</f>
        <v>MC-SAGARANTEN</v>
      </c>
      <c r="AS121" s="42">
        <v>17472458</v>
      </c>
      <c r="AT121" s="31" t="str">
        <f>VLOOKUP(AS121,[2]OUTLET!$B:$C,2,0)</f>
        <v>Jaya Phone</v>
      </c>
      <c r="AU121" s="42" t="s">
        <v>41</v>
      </c>
      <c r="AV121" s="6">
        <v>1</v>
      </c>
      <c r="AW121" s="44">
        <f>IFERROR(VLOOKUP(AQ121,'[2]Harga &amp; Nama CSO'!$A$116:$L$136,2,FALSE),0)*AV121</f>
        <v>0</v>
      </c>
      <c r="AX121" s="44">
        <f>IFERROR(VLOOKUP(AQ121,'[2]Harga &amp; Nama CSO'!$A$116:$L$136,3,FALSE),0)*AV121</f>
        <v>0</v>
      </c>
      <c r="AY121" s="44">
        <f>IFERROR(VLOOKUP(AQ121,'[2]Harga &amp; Nama CSO'!$A$116:$L$136,4,FALSE),0)*AV121</f>
        <v>3</v>
      </c>
      <c r="AZ121" s="44">
        <f>IFERROR(VLOOKUP(AQ121,'[2]Harga &amp; Nama CSO'!$A$116:$L$136,5,FALSE),0)*AV121</f>
        <v>0</v>
      </c>
      <c r="BA121" s="44">
        <f>IFERROR(VLOOKUP(AQ121,'[2]Harga &amp; Nama CSO'!$A$116:$L$136,6,FALSE),0)*AV121</f>
        <v>0</v>
      </c>
      <c r="BB121" s="44">
        <f>IFERROR(VLOOKUP(AQ121,'[2]Harga &amp; Nama CSO'!$A$116:$L$136,7,FALSE),0)*AV121</f>
        <v>0</v>
      </c>
      <c r="BC121" s="44">
        <f>IFERROR(VLOOKUP(AQ121,'[2]Harga &amp; Nama CSO'!$A$116:$L$136,8,FALSE),0)*AV121</f>
        <v>3</v>
      </c>
      <c r="BD121" s="44">
        <f>IFERROR(VLOOKUP(AQ121,'[2]Harga &amp; Nama CSO'!$A$116:$L$136,9,FALSE),0)*AV121</f>
        <v>0</v>
      </c>
      <c r="BE121" s="44">
        <f>IFERROR(VLOOKUP(AQ121,'[2]Harga &amp; Nama CSO'!$A$116:$L$136,10,FALSE),0)*AV121</f>
        <v>0</v>
      </c>
      <c r="BF121" s="44">
        <f>IFERROR(VLOOKUP(AQ121,'[2]Harga &amp; Nama CSO'!$A$116:$L$136,11,FALSE),0)*AV121</f>
        <v>0</v>
      </c>
      <c r="BG121" s="44">
        <f>IFERROR(VLOOKUP(AQ121,'[2]Harga &amp; Nama CSO'!$A$116:$L$136,12,FALSE),0)*AV121</f>
        <v>0</v>
      </c>
      <c r="BH121" s="44">
        <f>IFERROR(VLOOKUP(AQ121,'[2]Harga &amp; Nama CSO'!$A$116:$R$136,13,FALSE),0)*AV121</f>
        <v>0</v>
      </c>
      <c r="BI121" s="44">
        <f>IFERROR(VLOOKUP(AQ121,'[2]Harga &amp; Nama CSO'!$A$116:$R$136,14,FALSE),0)*AV121</f>
        <v>3</v>
      </c>
      <c r="BJ121" s="44">
        <f>IFERROR(VLOOKUP(AQ121,'[2]Harga &amp; Nama CSO'!$A$116:$R$136,15,FALSE),0)*AV121</f>
        <v>0</v>
      </c>
      <c r="BK121" s="44">
        <f>IFERROR(VLOOKUP(AQ121,'[2]Harga &amp; Nama CSO'!$A$116:$R$136,16,FALSE),0)*AV121</f>
        <v>0</v>
      </c>
      <c r="BL121" s="44">
        <f>IFERROR(VLOOKUP(AQ121,'[2]Harga &amp; Nama CSO'!$A$116:$R$136,17,FALSE),0)*AV121</f>
        <v>0</v>
      </c>
      <c r="BM121" s="44">
        <f>IFERROR(VLOOKUP(AQ121,'[2]Harga &amp; Nama CSO'!$A$116:$R$136,18,FALSE),0)*AV121</f>
        <v>0</v>
      </c>
      <c r="BN121" s="44">
        <f>IFERROR(VLOOKUP(AQ121,'[2]Harga &amp; Nama CSO'!$A$116:$S$136,19,FALSE),0)*AV121</f>
        <v>0</v>
      </c>
      <c r="BO121" s="55">
        <f>IFERROR(VLOOKUP(AQ121,'[2]Harga &amp; Nama CSO'!$H$2:$N$22,2,FALSE),"")*AV121</f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f t="shared" si="31"/>
        <v>0</v>
      </c>
      <c r="BU121" s="40">
        <v>46195</v>
      </c>
      <c r="BV121" s="8" t="e">
        <v>#VALUE!</v>
      </c>
      <c r="BW121" s="58">
        <f>VLOOKUP(AQ121,'[1]Harga &amp; Nama CSO'!$A$28:$D$31,4,0)*BQ121</f>
        <v>3</v>
      </c>
    </row>
    <row r="122" spans="41:75" x14ac:dyDescent="0.35">
      <c r="AO122" s="39">
        <v>120</v>
      </c>
      <c r="AP122" s="60">
        <v>46192</v>
      </c>
      <c r="AQ122" s="41" t="s">
        <v>96</v>
      </c>
      <c r="AR122" s="42" t="str">
        <f>IFERROR(VLOOKUP(AU122,[2]SUMMARY!$A$3:$B$7,2,FALSE),"")</f>
        <v>MC-SAGARANTEN</v>
      </c>
      <c r="AS122" s="42">
        <v>17690910</v>
      </c>
      <c r="AT122" s="31" t="str">
        <f>VLOOKUP(AS122,[2]OUTLET!$B:$C,2,0)</f>
        <v>WP - Irzia Cell</v>
      </c>
      <c r="AU122" s="42" t="s">
        <v>41</v>
      </c>
      <c r="AV122" s="6">
        <v>1</v>
      </c>
      <c r="AW122" s="44">
        <f>IFERROR(VLOOKUP(AQ122,'[2]Harga &amp; Nama CSO'!$A$116:$L$136,2,FALSE),0)*AV122</f>
        <v>0</v>
      </c>
      <c r="AX122" s="44">
        <f>IFERROR(VLOOKUP(AQ122,'[2]Harga &amp; Nama CSO'!$A$116:$L$136,3,FALSE),0)*AV122</f>
        <v>0</v>
      </c>
      <c r="AY122" s="44">
        <f>IFERROR(VLOOKUP(AQ122,'[2]Harga &amp; Nama CSO'!$A$116:$L$136,4,FALSE),0)*AV122</f>
        <v>3</v>
      </c>
      <c r="AZ122" s="44">
        <f>IFERROR(VLOOKUP(AQ122,'[2]Harga &amp; Nama CSO'!$A$116:$L$136,5,FALSE),0)*AV122</f>
        <v>0</v>
      </c>
      <c r="BA122" s="44">
        <f>IFERROR(VLOOKUP(AQ122,'[2]Harga &amp; Nama CSO'!$A$116:$L$136,6,FALSE),0)*AV122</f>
        <v>0</v>
      </c>
      <c r="BB122" s="44">
        <f>IFERROR(VLOOKUP(AQ122,'[2]Harga &amp; Nama CSO'!$A$116:$L$136,7,FALSE),0)*AV122</f>
        <v>0</v>
      </c>
      <c r="BC122" s="44">
        <f>IFERROR(VLOOKUP(AQ122,'[2]Harga &amp; Nama CSO'!$A$116:$L$136,8,FALSE),0)*AV122</f>
        <v>3</v>
      </c>
      <c r="BD122" s="44">
        <f>IFERROR(VLOOKUP(AQ122,'[2]Harga &amp; Nama CSO'!$A$116:$L$136,9,FALSE),0)*AV122</f>
        <v>0</v>
      </c>
      <c r="BE122" s="44">
        <f>IFERROR(VLOOKUP(AQ122,'[2]Harga &amp; Nama CSO'!$A$116:$L$136,10,FALSE),0)*AV122</f>
        <v>0</v>
      </c>
      <c r="BF122" s="44">
        <f>IFERROR(VLOOKUP(AQ122,'[2]Harga &amp; Nama CSO'!$A$116:$L$136,11,FALSE),0)*AV122</f>
        <v>0</v>
      </c>
      <c r="BG122" s="44">
        <f>IFERROR(VLOOKUP(AQ122,'[2]Harga &amp; Nama CSO'!$A$116:$L$136,12,FALSE),0)*AV122</f>
        <v>0</v>
      </c>
      <c r="BH122" s="44">
        <f>IFERROR(VLOOKUP(AQ122,'[2]Harga &amp; Nama CSO'!$A$116:$R$136,13,FALSE),0)*AV122</f>
        <v>0</v>
      </c>
      <c r="BI122" s="44">
        <f>IFERROR(VLOOKUP(AQ122,'[2]Harga &amp; Nama CSO'!$A$116:$R$136,14,FALSE),0)*AV122</f>
        <v>3</v>
      </c>
      <c r="BJ122" s="44">
        <f>IFERROR(VLOOKUP(AQ122,'[2]Harga &amp; Nama CSO'!$A$116:$R$136,15,FALSE),0)*AV122</f>
        <v>0</v>
      </c>
      <c r="BK122" s="44">
        <f>IFERROR(VLOOKUP(AQ122,'[2]Harga &amp; Nama CSO'!$A$116:$R$136,16,FALSE),0)*AV122</f>
        <v>0</v>
      </c>
      <c r="BL122" s="44">
        <f>IFERROR(VLOOKUP(AQ122,'[2]Harga &amp; Nama CSO'!$A$116:$R$136,17,FALSE),0)*AV122</f>
        <v>0</v>
      </c>
      <c r="BM122" s="44">
        <f>IFERROR(VLOOKUP(AQ122,'[2]Harga &amp; Nama CSO'!$A$116:$R$136,18,FALSE),0)*AV122</f>
        <v>0</v>
      </c>
      <c r="BN122" s="44">
        <f>IFERROR(VLOOKUP(AQ122,'[2]Harga &amp; Nama CSO'!$A$116:$S$136,19,FALSE),0)*AV122</f>
        <v>0</v>
      </c>
      <c r="BO122" s="55">
        <f>IFERROR(VLOOKUP(AQ122,'[2]Harga &amp; Nama CSO'!$H$2:$N$22,2,FALSE),"")*AV122</f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f t="shared" si="31"/>
        <v>0</v>
      </c>
      <c r="BU122" s="40">
        <v>46195</v>
      </c>
      <c r="BV122" s="8" t="e">
        <v>#VALUE!</v>
      </c>
      <c r="BW122" s="58">
        <f>VLOOKUP(AQ122,'[1]Harga &amp; Nama CSO'!$A$28:$D$31,4,0)*BQ122</f>
        <v>3</v>
      </c>
    </row>
    <row r="123" spans="41:75" x14ac:dyDescent="0.35">
      <c r="AO123" s="39">
        <v>121</v>
      </c>
      <c r="AP123" s="60">
        <v>46192</v>
      </c>
      <c r="AQ123" s="41" t="s">
        <v>97</v>
      </c>
      <c r="AR123" s="42" t="str">
        <f>IFERROR(VLOOKUP(AU123,[2]SUMMARY!$A$3:$B$7,2,FALSE),"")</f>
        <v>MC-SAGARANTEN</v>
      </c>
      <c r="AS123" s="42">
        <v>17203857</v>
      </c>
      <c r="AT123" s="31" t="str">
        <f>VLOOKUP(AS123,[2]OUTLET!$B:$C,2,0)</f>
        <v>DIKA CELL</v>
      </c>
      <c r="AU123" s="42" t="s">
        <v>42</v>
      </c>
      <c r="AV123" s="6">
        <v>1</v>
      </c>
      <c r="AW123" s="44">
        <f>IFERROR(VLOOKUP(AQ123,'[2]Harga &amp; Nama CSO'!$A$116:$L$136,2,FALSE),0)*AV123</f>
        <v>0</v>
      </c>
      <c r="AX123" s="44">
        <f>IFERROR(VLOOKUP(AQ123,'[2]Harga &amp; Nama CSO'!$A$116:$L$136,3,FALSE),0)*AV123</f>
        <v>0</v>
      </c>
      <c r="AY123" s="44">
        <f>IFERROR(VLOOKUP(AQ123,'[2]Harga &amp; Nama CSO'!$A$116:$L$136,4,FALSE),0)*AV123</f>
        <v>3</v>
      </c>
      <c r="AZ123" s="44">
        <f>IFERROR(VLOOKUP(AQ123,'[2]Harga &amp; Nama CSO'!$A$116:$L$136,5,FALSE),0)*AV123</f>
        <v>0</v>
      </c>
      <c r="BA123" s="44">
        <f>IFERROR(VLOOKUP(AQ123,'[2]Harga &amp; Nama CSO'!$A$116:$L$136,6,FALSE),0)*AV123</f>
        <v>0</v>
      </c>
      <c r="BB123" s="44">
        <f>IFERROR(VLOOKUP(AQ123,'[2]Harga &amp; Nama CSO'!$A$116:$L$136,7,FALSE),0)*AV123</f>
        <v>0</v>
      </c>
      <c r="BC123" s="44">
        <f>IFERROR(VLOOKUP(AQ123,'[2]Harga &amp; Nama CSO'!$A$116:$L$136,8,FALSE),0)*AV123</f>
        <v>0</v>
      </c>
      <c r="BD123" s="44">
        <f>IFERROR(VLOOKUP(AQ123,'[2]Harga &amp; Nama CSO'!$A$116:$L$136,9,FALSE),0)*AV123</f>
        <v>0</v>
      </c>
      <c r="BE123" s="44">
        <f>IFERROR(VLOOKUP(AQ123,'[2]Harga &amp; Nama CSO'!$A$116:$L$136,10,FALSE),0)*AV123</f>
        <v>3</v>
      </c>
      <c r="BF123" s="44">
        <f>IFERROR(VLOOKUP(AQ123,'[2]Harga &amp; Nama CSO'!$A$116:$L$136,11,FALSE),0)*AV123</f>
        <v>0</v>
      </c>
      <c r="BG123" s="44">
        <f>IFERROR(VLOOKUP(AQ123,'[2]Harga &amp; Nama CSO'!$A$116:$L$136,12,FALSE),0)*AV123</f>
        <v>0</v>
      </c>
      <c r="BH123" s="44">
        <f>IFERROR(VLOOKUP(AQ123,'[2]Harga &amp; Nama CSO'!$A$116:$R$136,13,FALSE),0)*AV123</f>
        <v>0</v>
      </c>
      <c r="BI123" s="44">
        <f>IFERROR(VLOOKUP(AQ123,'[2]Harga &amp; Nama CSO'!$A$116:$R$136,14,FALSE),0)*AV123</f>
        <v>3</v>
      </c>
      <c r="BJ123" s="44">
        <f>IFERROR(VLOOKUP(AQ123,'[2]Harga &amp; Nama CSO'!$A$116:$R$136,15,FALSE),0)*AV123</f>
        <v>0</v>
      </c>
      <c r="BK123" s="44">
        <f>IFERROR(VLOOKUP(AQ123,'[2]Harga &amp; Nama CSO'!$A$116:$R$136,16,FALSE),0)*AV123</f>
        <v>0</v>
      </c>
      <c r="BL123" s="44">
        <f>IFERROR(VLOOKUP(AQ123,'[2]Harga &amp; Nama CSO'!$A$116:$R$136,17,FALSE),0)*AV123</f>
        <v>0</v>
      </c>
      <c r="BM123" s="44">
        <f>IFERROR(VLOOKUP(AQ123,'[2]Harga &amp; Nama CSO'!$A$116:$R$136,18,FALSE),0)*AV123</f>
        <v>0</v>
      </c>
      <c r="BN123" s="44">
        <f>IFERROR(VLOOKUP(AQ123,'[2]Harga &amp; Nama CSO'!$A$116:$S$136,19,FALSE),0)*AV123</f>
        <v>0</v>
      </c>
      <c r="BO123" s="55">
        <f>IFERROR(VLOOKUP(AQ123,'[2]Harga &amp; Nama CSO'!$H$2:$N$22,2,FALSE),"")*AV123</f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f t="shared" si="31"/>
        <v>0</v>
      </c>
      <c r="BU123" s="40">
        <v>46195</v>
      </c>
      <c r="BV123" s="8" t="e">
        <v>#VALUE!</v>
      </c>
      <c r="BW123" s="58">
        <f>VLOOKUP(AQ123,'[1]Harga &amp; Nama CSO'!$A$28:$D$31,4,0)*BQ123</f>
        <v>3</v>
      </c>
    </row>
    <row r="124" spans="41:75" x14ac:dyDescent="0.35">
      <c r="AO124" s="39">
        <v>122</v>
      </c>
      <c r="AP124" s="60">
        <v>46192</v>
      </c>
      <c r="AQ124" s="41" t="s">
        <v>97</v>
      </c>
      <c r="AR124" s="42" t="str">
        <f>IFERROR(VLOOKUP(AU124,[2]SUMMARY!$A$3:$B$7,2,FALSE),"")</f>
        <v>MC-SAGARANTEN</v>
      </c>
      <c r="AS124" s="42">
        <v>17031830</v>
      </c>
      <c r="AT124" s="31" t="str">
        <f>VLOOKUP(AS124,[2]OUTLET!$B:$C,2,0)</f>
        <v>M2R CELL</v>
      </c>
      <c r="AU124" s="42" t="s">
        <v>42</v>
      </c>
      <c r="AV124" s="6">
        <v>1</v>
      </c>
      <c r="AW124" s="44">
        <f>IFERROR(VLOOKUP(AQ124,'[2]Harga &amp; Nama CSO'!$A$116:$L$136,2,FALSE),0)*AV124</f>
        <v>0</v>
      </c>
      <c r="AX124" s="44">
        <f>IFERROR(VLOOKUP(AQ124,'[2]Harga &amp; Nama CSO'!$A$116:$L$136,3,FALSE),0)*AV124</f>
        <v>0</v>
      </c>
      <c r="AY124" s="44">
        <f>IFERROR(VLOOKUP(AQ124,'[2]Harga &amp; Nama CSO'!$A$116:$L$136,4,FALSE),0)*AV124</f>
        <v>3</v>
      </c>
      <c r="AZ124" s="44">
        <f>IFERROR(VLOOKUP(AQ124,'[2]Harga &amp; Nama CSO'!$A$116:$L$136,5,FALSE),0)*AV124</f>
        <v>0</v>
      </c>
      <c r="BA124" s="44">
        <f>IFERROR(VLOOKUP(AQ124,'[2]Harga &amp; Nama CSO'!$A$116:$L$136,6,FALSE),0)*AV124</f>
        <v>0</v>
      </c>
      <c r="BB124" s="44">
        <f>IFERROR(VLOOKUP(AQ124,'[2]Harga &amp; Nama CSO'!$A$116:$L$136,7,FALSE),0)*AV124</f>
        <v>0</v>
      </c>
      <c r="BC124" s="44">
        <f>IFERROR(VLOOKUP(AQ124,'[2]Harga &amp; Nama CSO'!$A$116:$L$136,8,FALSE),0)*AV124</f>
        <v>0</v>
      </c>
      <c r="BD124" s="44">
        <f>IFERROR(VLOOKUP(AQ124,'[2]Harga &amp; Nama CSO'!$A$116:$L$136,9,FALSE),0)*AV124</f>
        <v>0</v>
      </c>
      <c r="BE124" s="44">
        <f>IFERROR(VLOOKUP(AQ124,'[2]Harga &amp; Nama CSO'!$A$116:$L$136,10,FALSE),0)*AV124</f>
        <v>3</v>
      </c>
      <c r="BF124" s="44">
        <f>IFERROR(VLOOKUP(AQ124,'[2]Harga &amp; Nama CSO'!$A$116:$L$136,11,FALSE),0)*AV124</f>
        <v>0</v>
      </c>
      <c r="BG124" s="44">
        <f>IFERROR(VLOOKUP(AQ124,'[2]Harga &amp; Nama CSO'!$A$116:$L$136,12,FALSE),0)*AV124</f>
        <v>0</v>
      </c>
      <c r="BH124" s="44">
        <f>IFERROR(VLOOKUP(AQ124,'[2]Harga &amp; Nama CSO'!$A$116:$R$136,13,FALSE),0)*AV124</f>
        <v>0</v>
      </c>
      <c r="BI124" s="44">
        <f>IFERROR(VLOOKUP(AQ124,'[2]Harga &amp; Nama CSO'!$A$116:$R$136,14,FALSE),0)*AV124</f>
        <v>3</v>
      </c>
      <c r="BJ124" s="44">
        <f>IFERROR(VLOOKUP(AQ124,'[2]Harga &amp; Nama CSO'!$A$116:$R$136,15,FALSE),0)*AV124</f>
        <v>0</v>
      </c>
      <c r="BK124" s="44">
        <f>IFERROR(VLOOKUP(AQ124,'[2]Harga &amp; Nama CSO'!$A$116:$R$136,16,FALSE),0)*AV124</f>
        <v>0</v>
      </c>
      <c r="BL124" s="44">
        <f>IFERROR(VLOOKUP(AQ124,'[2]Harga &amp; Nama CSO'!$A$116:$R$136,17,FALSE),0)*AV124</f>
        <v>0</v>
      </c>
      <c r="BM124" s="44">
        <f>IFERROR(VLOOKUP(AQ124,'[2]Harga &amp; Nama CSO'!$A$116:$R$136,18,FALSE),0)*AV124</f>
        <v>0</v>
      </c>
      <c r="BN124" s="44">
        <f>IFERROR(VLOOKUP(AQ124,'[2]Harga &amp; Nama CSO'!$A$116:$S$136,19,FALSE),0)*AV124</f>
        <v>0</v>
      </c>
      <c r="BO124" s="55">
        <f>IFERROR(VLOOKUP(AQ124,'[2]Harga &amp; Nama CSO'!$H$2:$N$22,2,FALSE),"")*AV124</f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f t="shared" si="31"/>
        <v>0</v>
      </c>
      <c r="BU124" s="40">
        <v>46195</v>
      </c>
      <c r="BV124" s="8" t="e">
        <v>#VALUE!</v>
      </c>
      <c r="BW124" s="58">
        <f>VLOOKUP(AQ124,'[1]Harga &amp; Nama CSO'!$A$28:$D$31,4,0)*BQ124</f>
        <v>3</v>
      </c>
    </row>
    <row r="125" spans="41:75" x14ac:dyDescent="0.35">
      <c r="AO125" s="39">
        <v>123</v>
      </c>
      <c r="AP125" s="60">
        <v>46192</v>
      </c>
      <c r="AQ125" s="41" t="s">
        <v>97</v>
      </c>
      <c r="AR125" s="42" t="str">
        <f>IFERROR(VLOOKUP(AU125,[2]SUMMARY!$A$3:$B$7,2,FALSE),"")</f>
        <v>MC-SAGARANTEN</v>
      </c>
      <c r="AS125" s="42">
        <v>17651007</v>
      </c>
      <c r="AT125" s="31" t="str">
        <f>VLOOKUP(AS125,[2]OUTLET!$B:$C,2,0)</f>
        <v>Jemih Wijaya Cell</v>
      </c>
      <c r="AU125" s="42" t="s">
        <v>42</v>
      </c>
      <c r="AV125" s="6">
        <v>1</v>
      </c>
      <c r="AW125" s="44">
        <f>IFERROR(VLOOKUP(AQ125,'[2]Harga &amp; Nama CSO'!$A$116:$L$136,2,FALSE),0)*AV125</f>
        <v>0</v>
      </c>
      <c r="AX125" s="44">
        <f>IFERROR(VLOOKUP(AQ125,'[2]Harga &amp; Nama CSO'!$A$116:$L$136,3,FALSE),0)*AV125</f>
        <v>0</v>
      </c>
      <c r="AY125" s="44">
        <f>IFERROR(VLOOKUP(AQ125,'[2]Harga &amp; Nama CSO'!$A$116:$L$136,4,FALSE),0)*AV125</f>
        <v>3</v>
      </c>
      <c r="AZ125" s="44">
        <f>IFERROR(VLOOKUP(AQ125,'[2]Harga &amp; Nama CSO'!$A$116:$L$136,5,FALSE),0)*AV125</f>
        <v>0</v>
      </c>
      <c r="BA125" s="44">
        <f>IFERROR(VLOOKUP(AQ125,'[2]Harga &amp; Nama CSO'!$A$116:$L$136,6,FALSE),0)*AV125</f>
        <v>0</v>
      </c>
      <c r="BB125" s="44">
        <f>IFERROR(VLOOKUP(AQ125,'[2]Harga &amp; Nama CSO'!$A$116:$L$136,7,FALSE),0)*AV125</f>
        <v>0</v>
      </c>
      <c r="BC125" s="44">
        <f>IFERROR(VLOOKUP(AQ125,'[2]Harga &amp; Nama CSO'!$A$116:$L$136,8,FALSE),0)*AV125</f>
        <v>0</v>
      </c>
      <c r="BD125" s="44">
        <f>IFERROR(VLOOKUP(AQ125,'[2]Harga &amp; Nama CSO'!$A$116:$L$136,9,FALSE),0)*AV125</f>
        <v>0</v>
      </c>
      <c r="BE125" s="44">
        <f>IFERROR(VLOOKUP(AQ125,'[2]Harga &amp; Nama CSO'!$A$116:$L$136,10,FALSE),0)*AV125</f>
        <v>3</v>
      </c>
      <c r="BF125" s="44">
        <f>IFERROR(VLOOKUP(AQ125,'[2]Harga &amp; Nama CSO'!$A$116:$L$136,11,FALSE),0)*AV125</f>
        <v>0</v>
      </c>
      <c r="BG125" s="44">
        <f>IFERROR(VLOOKUP(AQ125,'[2]Harga &amp; Nama CSO'!$A$116:$L$136,12,FALSE),0)*AV125</f>
        <v>0</v>
      </c>
      <c r="BH125" s="44">
        <f>IFERROR(VLOOKUP(AQ125,'[2]Harga &amp; Nama CSO'!$A$116:$R$136,13,FALSE),0)*AV125</f>
        <v>0</v>
      </c>
      <c r="BI125" s="44">
        <f>IFERROR(VLOOKUP(AQ125,'[2]Harga &amp; Nama CSO'!$A$116:$R$136,14,FALSE),0)*AV125</f>
        <v>3</v>
      </c>
      <c r="BJ125" s="44">
        <f>IFERROR(VLOOKUP(AQ125,'[2]Harga &amp; Nama CSO'!$A$116:$R$136,15,FALSE),0)*AV125</f>
        <v>0</v>
      </c>
      <c r="BK125" s="44">
        <f>IFERROR(VLOOKUP(AQ125,'[2]Harga &amp; Nama CSO'!$A$116:$R$136,16,FALSE),0)*AV125</f>
        <v>0</v>
      </c>
      <c r="BL125" s="44">
        <f>IFERROR(VLOOKUP(AQ125,'[2]Harga &amp; Nama CSO'!$A$116:$R$136,17,FALSE),0)*AV125</f>
        <v>0</v>
      </c>
      <c r="BM125" s="44">
        <f>IFERROR(VLOOKUP(AQ125,'[2]Harga &amp; Nama CSO'!$A$116:$R$136,18,FALSE),0)*AV125</f>
        <v>0</v>
      </c>
      <c r="BN125" s="44">
        <f>IFERROR(VLOOKUP(AQ125,'[2]Harga &amp; Nama CSO'!$A$116:$S$136,19,FALSE),0)*AV125</f>
        <v>0</v>
      </c>
      <c r="BO125" s="55">
        <f>IFERROR(VLOOKUP(AQ125,'[2]Harga &amp; Nama CSO'!$H$2:$N$22,2,FALSE),"")*AV125</f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f t="shared" si="31"/>
        <v>0</v>
      </c>
      <c r="BU125" s="40">
        <v>46195</v>
      </c>
      <c r="BV125" s="8" t="e">
        <v>#VALUE!</v>
      </c>
      <c r="BW125" s="58">
        <f>VLOOKUP(AQ125,'[1]Harga &amp; Nama CSO'!$A$28:$D$31,4,0)*BQ125</f>
        <v>3</v>
      </c>
    </row>
    <row r="126" spans="41:75" x14ac:dyDescent="0.35">
      <c r="AO126" s="39">
        <v>124</v>
      </c>
      <c r="AP126" s="60">
        <v>46192</v>
      </c>
      <c r="AQ126" s="41" t="s">
        <v>97</v>
      </c>
      <c r="AR126" s="42" t="str">
        <f>IFERROR(VLOOKUP(AU126,[2]SUMMARY!$A$3:$B$7,2,FALSE),"")</f>
        <v>MC-SAGARANTEN</v>
      </c>
      <c r="AS126" s="42">
        <v>1554005</v>
      </c>
      <c r="AT126" s="31" t="str">
        <f>VLOOKUP(AS126,[2]OUTLET!$B:$C,2,0)</f>
        <v>BARITO CELL</v>
      </c>
      <c r="AU126" s="42" t="s">
        <v>42</v>
      </c>
      <c r="AV126" s="6">
        <v>1</v>
      </c>
      <c r="AW126" s="44">
        <f>IFERROR(VLOOKUP(AQ126,'[2]Harga &amp; Nama CSO'!$A$116:$L$136,2,FALSE),0)*AV126</f>
        <v>0</v>
      </c>
      <c r="AX126" s="44">
        <f>IFERROR(VLOOKUP(AQ126,'[2]Harga &amp; Nama CSO'!$A$116:$L$136,3,FALSE),0)*AV126</f>
        <v>0</v>
      </c>
      <c r="AY126" s="44">
        <f>IFERROR(VLOOKUP(AQ126,'[2]Harga &amp; Nama CSO'!$A$116:$L$136,4,FALSE),0)*AV126</f>
        <v>3</v>
      </c>
      <c r="AZ126" s="44">
        <f>IFERROR(VLOOKUP(AQ126,'[2]Harga &amp; Nama CSO'!$A$116:$L$136,5,FALSE),0)*AV126</f>
        <v>0</v>
      </c>
      <c r="BA126" s="44">
        <f>IFERROR(VLOOKUP(AQ126,'[2]Harga &amp; Nama CSO'!$A$116:$L$136,6,FALSE),0)*AV126</f>
        <v>0</v>
      </c>
      <c r="BB126" s="44">
        <f>IFERROR(VLOOKUP(AQ126,'[2]Harga &amp; Nama CSO'!$A$116:$L$136,7,FALSE),0)*AV126</f>
        <v>0</v>
      </c>
      <c r="BC126" s="44">
        <f>IFERROR(VLOOKUP(AQ126,'[2]Harga &amp; Nama CSO'!$A$116:$L$136,8,FALSE),0)*AV126</f>
        <v>0</v>
      </c>
      <c r="BD126" s="44">
        <f>IFERROR(VLOOKUP(AQ126,'[2]Harga &amp; Nama CSO'!$A$116:$L$136,9,FALSE),0)*AV126</f>
        <v>0</v>
      </c>
      <c r="BE126" s="44">
        <f>IFERROR(VLOOKUP(AQ126,'[2]Harga &amp; Nama CSO'!$A$116:$L$136,10,FALSE),0)*AV126</f>
        <v>3</v>
      </c>
      <c r="BF126" s="44">
        <f>IFERROR(VLOOKUP(AQ126,'[2]Harga &amp; Nama CSO'!$A$116:$L$136,11,FALSE),0)*AV126</f>
        <v>0</v>
      </c>
      <c r="BG126" s="44">
        <f>IFERROR(VLOOKUP(AQ126,'[2]Harga &amp; Nama CSO'!$A$116:$L$136,12,FALSE),0)*AV126</f>
        <v>0</v>
      </c>
      <c r="BH126" s="44">
        <f>IFERROR(VLOOKUP(AQ126,'[2]Harga &amp; Nama CSO'!$A$116:$R$136,13,FALSE),0)*AV126</f>
        <v>0</v>
      </c>
      <c r="BI126" s="44">
        <f>IFERROR(VLOOKUP(AQ126,'[2]Harga &amp; Nama CSO'!$A$116:$R$136,14,FALSE),0)*AV126</f>
        <v>3</v>
      </c>
      <c r="BJ126" s="44">
        <f>IFERROR(VLOOKUP(AQ126,'[2]Harga &amp; Nama CSO'!$A$116:$R$136,15,FALSE),0)*AV126</f>
        <v>0</v>
      </c>
      <c r="BK126" s="44">
        <f>IFERROR(VLOOKUP(AQ126,'[2]Harga &amp; Nama CSO'!$A$116:$R$136,16,FALSE),0)*AV126</f>
        <v>0</v>
      </c>
      <c r="BL126" s="44">
        <f>IFERROR(VLOOKUP(AQ126,'[2]Harga &amp; Nama CSO'!$A$116:$R$136,17,FALSE),0)*AV126</f>
        <v>0</v>
      </c>
      <c r="BM126" s="44">
        <f>IFERROR(VLOOKUP(AQ126,'[2]Harga &amp; Nama CSO'!$A$116:$R$136,18,FALSE),0)*AV126</f>
        <v>0</v>
      </c>
      <c r="BN126" s="44">
        <f>IFERROR(VLOOKUP(AQ126,'[2]Harga &amp; Nama CSO'!$A$116:$S$136,19,FALSE),0)*AV126</f>
        <v>0</v>
      </c>
      <c r="BO126" s="55">
        <f>IFERROR(VLOOKUP(AQ126,'[2]Harga &amp; Nama CSO'!$H$2:$N$22,2,FALSE),"")*AV126</f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f t="shared" si="31"/>
        <v>0</v>
      </c>
      <c r="BU126" s="40">
        <v>46195</v>
      </c>
      <c r="BV126" s="8" t="e">
        <v>#VALUE!</v>
      </c>
      <c r="BW126" s="58">
        <f>VLOOKUP(AQ126,'[1]Harga &amp; Nama CSO'!$A$28:$D$31,4,0)*BQ126</f>
        <v>3</v>
      </c>
    </row>
    <row r="127" spans="41:75" x14ac:dyDescent="0.35">
      <c r="AO127" s="39">
        <v>125</v>
      </c>
      <c r="AP127" s="60">
        <v>46192</v>
      </c>
      <c r="AQ127" s="41" t="s">
        <v>97</v>
      </c>
      <c r="AR127" s="42" t="str">
        <f>IFERROR(VLOOKUP(AU127,[2]SUMMARY!$A$3:$B$7,2,FALSE),"")</f>
        <v>MC-SAGARANTEN</v>
      </c>
      <c r="AS127" s="42">
        <v>17659685</v>
      </c>
      <c r="AT127" s="31" t="str">
        <f>VLOOKUP(AS127,[2]OUTLET!$B:$C,2,0)</f>
        <v>Jemih cell 2</v>
      </c>
      <c r="AU127" s="42" t="s">
        <v>42</v>
      </c>
      <c r="AV127" s="6">
        <v>1</v>
      </c>
      <c r="AW127" s="44">
        <f>IFERROR(VLOOKUP(AQ127,'[2]Harga &amp; Nama CSO'!$A$116:$L$136,2,FALSE),0)*AV127</f>
        <v>0</v>
      </c>
      <c r="AX127" s="44">
        <f>IFERROR(VLOOKUP(AQ127,'[2]Harga &amp; Nama CSO'!$A$116:$L$136,3,FALSE),0)*AV127</f>
        <v>0</v>
      </c>
      <c r="AY127" s="44">
        <f>IFERROR(VLOOKUP(AQ127,'[2]Harga &amp; Nama CSO'!$A$116:$L$136,4,FALSE),0)*AV127</f>
        <v>3</v>
      </c>
      <c r="AZ127" s="44">
        <f>IFERROR(VLOOKUP(AQ127,'[2]Harga &amp; Nama CSO'!$A$116:$L$136,5,FALSE),0)*AV127</f>
        <v>0</v>
      </c>
      <c r="BA127" s="44">
        <f>IFERROR(VLOOKUP(AQ127,'[2]Harga &amp; Nama CSO'!$A$116:$L$136,6,FALSE),0)*AV127</f>
        <v>0</v>
      </c>
      <c r="BB127" s="44">
        <f>IFERROR(VLOOKUP(AQ127,'[2]Harga &amp; Nama CSO'!$A$116:$L$136,7,FALSE),0)*AV127</f>
        <v>0</v>
      </c>
      <c r="BC127" s="44">
        <f>IFERROR(VLOOKUP(AQ127,'[2]Harga &amp; Nama CSO'!$A$116:$L$136,8,FALSE),0)*AV127</f>
        <v>0</v>
      </c>
      <c r="BD127" s="44">
        <f>IFERROR(VLOOKUP(AQ127,'[2]Harga &amp; Nama CSO'!$A$116:$L$136,9,FALSE),0)*AV127</f>
        <v>0</v>
      </c>
      <c r="BE127" s="44">
        <f>IFERROR(VLOOKUP(AQ127,'[2]Harga &amp; Nama CSO'!$A$116:$L$136,10,FALSE),0)*AV127</f>
        <v>3</v>
      </c>
      <c r="BF127" s="44">
        <f>IFERROR(VLOOKUP(AQ127,'[2]Harga &amp; Nama CSO'!$A$116:$L$136,11,FALSE),0)*AV127</f>
        <v>0</v>
      </c>
      <c r="BG127" s="44">
        <f>IFERROR(VLOOKUP(AQ127,'[2]Harga &amp; Nama CSO'!$A$116:$L$136,12,FALSE),0)*AV127</f>
        <v>0</v>
      </c>
      <c r="BH127" s="44">
        <f>IFERROR(VLOOKUP(AQ127,'[2]Harga &amp; Nama CSO'!$A$116:$R$136,13,FALSE),0)*AV127</f>
        <v>0</v>
      </c>
      <c r="BI127" s="44">
        <f>IFERROR(VLOOKUP(AQ127,'[2]Harga &amp; Nama CSO'!$A$116:$R$136,14,FALSE),0)*AV127</f>
        <v>3</v>
      </c>
      <c r="BJ127" s="44">
        <f>IFERROR(VLOOKUP(AQ127,'[2]Harga &amp; Nama CSO'!$A$116:$R$136,15,FALSE),0)*AV127</f>
        <v>0</v>
      </c>
      <c r="BK127" s="44">
        <f>IFERROR(VLOOKUP(AQ127,'[2]Harga &amp; Nama CSO'!$A$116:$R$136,16,FALSE),0)*AV127</f>
        <v>0</v>
      </c>
      <c r="BL127" s="44">
        <f>IFERROR(VLOOKUP(AQ127,'[2]Harga &amp; Nama CSO'!$A$116:$R$136,17,FALSE),0)*AV127</f>
        <v>0</v>
      </c>
      <c r="BM127" s="44">
        <f>IFERROR(VLOOKUP(AQ127,'[2]Harga &amp; Nama CSO'!$A$116:$R$136,18,FALSE),0)*AV127</f>
        <v>0</v>
      </c>
      <c r="BN127" s="44">
        <f>IFERROR(VLOOKUP(AQ127,'[2]Harga &amp; Nama CSO'!$A$116:$S$136,19,FALSE),0)*AV127</f>
        <v>0</v>
      </c>
      <c r="BO127" s="55">
        <f>IFERROR(VLOOKUP(AQ127,'[2]Harga &amp; Nama CSO'!$H$2:$N$22,2,FALSE),"")*AV127</f>
        <v>118200</v>
      </c>
      <c r="BP127" s="40">
        <v>46192</v>
      </c>
      <c r="BQ127" s="39">
        <v>1</v>
      </c>
      <c r="BR127" s="59">
        <v>118300</v>
      </c>
      <c r="BS127" s="39" t="s">
        <v>109</v>
      </c>
      <c r="BT127" s="57">
        <f t="shared" si="31"/>
        <v>-100</v>
      </c>
      <c r="BU127" s="40">
        <v>46195</v>
      </c>
      <c r="BV127" s="8" t="e">
        <v>#VALUE!</v>
      </c>
      <c r="BW127" s="58">
        <f>VLOOKUP(AQ127,'[1]Harga &amp; Nama CSO'!$A$28:$D$31,4,0)*BQ127</f>
        <v>3</v>
      </c>
    </row>
    <row r="128" spans="41:75" x14ac:dyDescent="0.35">
      <c r="AO128" s="39">
        <v>126</v>
      </c>
      <c r="AP128" s="60">
        <v>46193</v>
      </c>
      <c r="AQ128" s="41" t="s">
        <v>96</v>
      </c>
      <c r="AR128" s="42" t="str">
        <f>IFERROR(VLOOKUP(AU128,[2]SUMMARY!$A$3:$B$7,2,FALSE),"")</f>
        <v>MC-SAGARANTEN</v>
      </c>
      <c r="AS128" s="42">
        <v>17732567</v>
      </c>
      <c r="AT128" s="31" t="str">
        <f>VLOOKUP(AS128,[2]OUTLET!$B:$C,2,0)</f>
        <v>Raffanza cell</v>
      </c>
      <c r="AU128" s="42" t="s">
        <v>53</v>
      </c>
      <c r="AV128" s="39">
        <v>1</v>
      </c>
      <c r="AW128" s="44">
        <f>IFERROR(VLOOKUP(AQ128,'[2]Harga &amp; Nama CSO'!$A$116:$L$136,2,FALSE),0)*AV128</f>
        <v>0</v>
      </c>
      <c r="AX128" s="44">
        <f>IFERROR(VLOOKUP(AQ128,'[2]Harga &amp; Nama CSO'!$A$116:$L$136,3,FALSE),0)*AV128</f>
        <v>0</v>
      </c>
      <c r="AY128" s="44">
        <f>IFERROR(VLOOKUP(AQ128,'[2]Harga &amp; Nama CSO'!$A$116:$L$136,4,FALSE),0)*AV128</f>
        <v>3</v>
      </c>
      <c r="AZ128" s="44">
        <f>IFERROR(VLOOKUP(AQ128,'[2]Harga &amp; Nama CSO'!$A$116:$L$136,5,FALSE),0)*AV128</f>
        <v>0</v>
      </c>
      <c r="BA128" s="44">
        <f>IFERROR(VLOOKUP(AQ128,'[2]Harga &amp; Nama CSO'!$A$116:$L$136,6,FALSE),0)*AV128</f>
        <v>0</v>
      </c>
      <c r="BB128" s="44">
        <f>IFERROR(VLOOKUP(AQ128,'[2]Harga &amp; Nama CSO'!$A$116:$L$136,7,FALSE),0)*AV128</f>
        <v>0</v>
      </c>
      <c r="BC128" s="44">
        <f>IFERROR(VLOOKUP(AQ128,'[2]Harga &amp; Nama CSO'!$A$116:$L$136,8,FALSE),0)*AV128</f>
        <v>3</v>
      </c>
      <c r="BD128" s="44">
        <f>IFERROR(VLOOKUP(AQ128,'[2]Harga &amp; Nama CSO'!$A$116:$L$136,9,FALSE),0)*AV128</f>
        <v>0</v>
      </c>
      <c r="BE128" s="44">
        <f>IFERROR(VLOOKUP(AQ128,'[2]Harga &amp; Nama CSO'!$A$116:$L$136,10,FALSE),0)*AV128</f>
        <v>0</v>
      </c>
      <c r="BF128" s="44">
        <f>IFERROR(VLOOKUP(AQ128,'[2]Harga &amp; Nama CSO'!$A$116:$L$136,11,FALSE),0)*AV128</f>
        <v>0</v>
      </c>
      <c r="BG128" s="44">
        <f>IFERROR(VLOOKUP(AQ128,'[2]Harga &amp; Nama CSO'!$A$116:$L$136,12,FALSE),0)*AV128</f>
        <v>0</v>
      </c>
      <c r="BH128" s="44">
        <f>IFERROR(VLOOKUP(AQ128,'[2]Harga &amp; Nama CSO'!$A$116:$R$136,13,FALSE),0)*AV128</f>
        <v>0</v>
      </c>
      <c r="BI128" s="44">
        <f>IFERROR(VLOOKUP(AQ128,'[2]Harga &amp; Nama CSO'!$A$116:$R$136,14,FALSE),0)*AV128</f>
        <v>3</v>
      </c>
      <c r="BJ128" s="44">
        <f>IFERROR(VLOOKUP(AQ128,'[2]Harga &amp; Nama CSO'!$A$116:$R$136,15,FALSE),0)*AV128</f>
        <v>0</v>
      </c>
      <c r="BK128" s="44">
        <f>IFERROR(VLOOKUP(AQ128,'[2]Harga &amp; Nama CSO'!$A$116:$R$136,16,FALSE),0)*AV128</f>
        <v>0</v>
      </c>
      <c r="BL128" s="44">
        <f>IFERROR(VLOOKUP(AQ128,'[2]Harga &amp; Nama CSO'!$A$116:$R$136,17,FALSE),0)*AV128</f>
        <v>0</v>
      </c>
      <c r="BM128" s="44">
        <f>IFERROR(VLOOKUP(AQ128,'[2]Harga &amp; Nama CSO'!$A$116:$R$136,18,FALSE),0)*AV128</f>
        <v>0</v>
      </c>
      <c r="BN128" s="44">
        <f>IFERROR(VLOOKUP(AQ128,'[2]Harga &amp; Nama CSO'!$A$116:$S$136,19,FALSE),0)*AV128</f>
        <v>0</v>
      </c>
      <c r="BO128" s="55">
        <f>IFERROR(VLOOKUP(AQ128,'[2]Harga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91" si="32">BO128-BR128</f>
        <v>0</v>
      </c>
      <c r="BU128" s="40">
        <v>46195</v>
      </c>
      <c r="BV128" s="8" t="e">
        <v>#VALUE!</v>
      </c>
      <c r="BW128" s="58">
        <f>VLOOKUP(AQ128,'[1]Harga &amp; Nama CSO'!$A$28:$D$31,4,0)*BQ128</f>
        <v>3</v>
      </c>
    </row>
    <row r="129" spans="41:75" x14ac:dyDescent="0.35">
      <c r="AO129" s="39">
        <v>127</v>
      </c>
      <c r="AP129" s="60">
        <v>46193</v>
      </c>
      <c r="AQ129" s="41" t="s">
        <v>97</v>
      </c>
      <c r="AR129" s="42" t="str">
        <f>IFERROR(VLOOKUP(AU129,[2]SUMMARY!$A$3:$B$7,2,FALSE),"")</f>
        <v>MC-SAGARANTEN</v>
      </c>
      <c r="AS129" s="42">
        <v>17459384</v>
      </c>
      <c r="AT129" s="31" t="str">
        <f>VLOOKUP(AS129,[2]OUTLET!$B:$C,2,0)</f>
        <v>Mama cell</v>
      </c>
      <c r="AU129" s="42" t="s">
        <v>41</v>
      </c>
      <c r="AV129" s="39">
        <v>1</v>
      </c>
      <c r="AW129" s="44">
        <f>IFERROR(VLOOKUP(AQ129,'[2]Harga &amp; Nama CSO'!$A$116:$L$136,2,FALSE),0)*AV129</f>
        <v>0</v>
      </c>
      <c r="AX129" s="44">
        <f>IFERROR(VLOOKUP(AQ129,'[2]Harga &amp; Nama CSO'!$A$116:$L$136,3,FALSE),0)*AV129</f>
        <v>0</v>
      </c>
      <c r="AY129" s="44">
        <f>IFERROR(VLOOKUP(AQ129,'[2]Harga &amp; Nama CSO'!$A$116:$L$136,4,FALSE),0)*AV129</f>
        <v>3</v>
      </c>
      <c r="AZ129" s="44">
        <f>IFERROR(VLOOKUP(AQ129,'[2]Harga &amp; Nama CSO'!$A$116:$L$136,5,FALSE),0)*AV129</f>
        <v>0</v>
      </c>
      <c r="BA129" s="44">
        <f>IFERROR(VLOOKUP(AQ129,'[2]Harga &amp; Nama CSO'!$A$116:$L$136,6,FALSE),0)*AV129</f>
        <v>0</v>
      </c>
      <c r="BB129" s="44">
        <f>IFERROR(VLOOKUP(AQ129,'[2]Harga &amp; Nama CSO'!$A$116:$L$136,7,FALSE),0)*AV129</f>
        <v>0</v>
      </c>
      <c r="BC129" s="44">
        <f>IFERROR(VLOOKUP(AQ129,'[2]Harga &amp; Nama CSO'!$A$116:$L$136,8,FALSE),0)*AV129</f>
        <v>0</v>
      </c>
      <c r="BD129" s="44">
        <f>IFERROR(VLOOKUP(AQ129,'[2]Harga &amp; Nama CSO'!$A$116:$L$136,9,FALSE),0)*AV129</f>
        <v>0</v>
      </c>
      <c r="BE129" s="44">
        <f>IFERROR(VLOOKUP(AQ129,'[2]Harga &amp; Nama CSO'!$A$116:$L$136,10,FALSE),0)*AV129</f>
        <v>3</v>
      </c>
      <c r="BF129" s="44">
        <f>IFERROR(VLOOKUP(AQ129,'[2]Harga &amp; Nama CSO'!$A$116:$L$136,11,FALSE),0)*AV129</f>
        <v>0</v>
      </c>
      <c r="BG129" s="44">
        <f>IFERROR(VLOOKUP(AQ129,'[2]Harga &amp; Nama CSO'!$A$116:$L$136,12,FALSE),0)*AV129</f>
        <v>0</v>
      </c>
      <c r="BH129" s="44">
        <f>IFERROR(VLOOKUP(AQ129,'[2]Harga &amp; Nama CSO'!$A$116:$R$136,13,FALSE),0)*AV129</f>
        <v>0</v>
      </c>
      <c r="BI129" s="44">
        <f>IFERROR(VLOOKUP(AQ129,'[2]Harga &amp; Nama CSO'!$A$116:$R$136,14,FALSE),0)*AV129</f>
        <v>3</v>
      </c>
      <c r="BJ129" s="44">
        <f>IFERROR(VLOOKUP(AQ129,'[2]Harga &amp; Nama CSO'!$A$116:$R$136,15,FALSE),0)*AV129</f>
        <v>0</v>
      </c>
      <c r="BK129" s="44">
        <f>IFERROR(VLOOKUP(AQ129,'[2]Harga &amp; Nama CSO'!$A$116:$R$136,16,FALSE),0)*AV129</f>
        <v>0</v>
      </c>
      <c r="BL129" s="44">
        <f>IFERROR(VLOOKUP(AQ129,'[2]Harga &amp; Nama CSO'!$A$116:$R$136,17,FALSE),0)*AV129</f>
        <v>0</v>
      </c>
      <c r="BM129" s="44">
        <f>IFERROR(VLOOKUP(AQ129,'[2]Harga &amp; Nama CSO'!$A$116:$R$136,18,FALSE),0)*AV129</f>
        <v>0</v>
      </c>
      <c r="BN129" s="44">
        <f>IFERROR(VLOOKUP(AQ129,'[2]Harga &amp; Nama CSO'!$A$116:$S$136,19,FALSE),0)*AV129</f>
        <v>0</v>
      </c>
      <c r="BO129" s="55">
        <f>IFERROR(VLOOKUP(AQ129,'[2]Harga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32"/>
        <v>-100</v>
      </c>
      <c r="BU129" s="40">
        <v>46195</v>
      </c>
      <c r="BV129" s="8" t="e">
        <v>#VALUE!</v>
      </c>
      <c r="BW129" s="58">
        <f>VLOOKUP(AQ129,'[1]Harga &amp; Nama CSO'!$A$28:$D$31,4,0)*BQ129</f>
        <v>3</v>
      </c>
    </row>
    <row r="130" spans="41:75" x14ac:dyDescent="0.35">
      <c r="AO130" s="39">
        <v>128</v>
      </c>
      <c r="AP130" s="60">
        <v>46193</v>
      </c>
      <c r="AQ130" s="41" t="s">
        <v>97</v>
      </c>
      <c r="AR130" s="42" t="str">
        <f>IFERROR(VLOOKUP(AU130,[2]SUMMARY!$A$3:$B$7,2,FALSE),"")</f>
        <v>MC-SAGARANTEN</v>
      </c>
      <c r="AS130" s="42">
        <v>17222900</v>
      </c>
      <c r="AT130" s="31" t="str">
        <f>VLOOKUP(AS130,[2]OUTLET!$B:$C,2,0)</f>
        <v>AZZAM CELL</v>
      </c>
      <c r="AU130" s="42" t="s">
        <v>41</v>
      </c>
      <c r="AV130" s="39">
        <v>1</v>
      </c>
      <c r="AW130" s="44">
        <f>IFERROR(VLOOKUP(AQ130,'[2]Harga &amp; Nama CSO'!$A$116:$L$136,2,FALSE),0)*AV130</f>
        <v>0</v>
      </c>
      <c r="AX130" s="44">
        <f>IFERROR(VLOOKUP(AQ130,'[2]Harga &amp; Nama CSO'!$A$116:$L$136,3,FALSE),0)*AV130</f>
        <v>0</v>
      </c>
      <c r="AY130" s="44">
        <f>IFERROR(VLOOKUP(AQ130,'[2]Harga &amp; Nama CSO'!$A$116:$L$136,4,FALSE),0)*AV130</f>
        <v>3</v>
      </c>
      <c r="AZ130" s="44">
        <f>IFERROR(VLOOKUP(AQ130,'[2]Harga &amp; Nama CSO'!$A$116:$L$136,5,FALSE),0)*AV130</f>
        <v>0</v>
      </c>
      <c r="BA130" s="44">
        <f>IFERROR(VLOOKUP(AQ130,'[2]Harga &amp; Nama CSO'!$A$116:$L$136,6,FALSE),0)*AV130</f>
        <v>0</v>
      </c>
      <c r="BB130" s="44">
        <f>IFERROR(VLOOKUP(AQ130,'[2]Harga &amp; Nama CSO'!$A$116:$L$136,7,FALSE),0)*AV130</f>
        <v>0</v>
      </c>
      <c r="BC130" s="44">
        <f>IFERROR(VLOOKUP(AQ130,'[2]Harga &amp; Nama CSO'!$A$116:$L$136,8,FALSE),0)*AV130</f>
        <v>0</v>
      </c>
      <c r="BD130" s="44">
        <f>IFERROR(VLOOKUP(AQ130,'[2]Harga &amp; Nama CSO'!$A$116:$L$136,9,FALSE),0)*AV130</f>
        <v>0</v>
      </c>
      <c r="BE130" s="44">
        <f>IFERROR(VLOOKUP(AQ130,'[2]Harga &amp; Nama CSO'!$A$116:$L$136,10,FALSE),0)*AV130</f>
        <v>3</v>
      </c>
      <c r="BF130" s="44">
        <f>IFERROR(VLOOKUP(AQ130,'[2]Harga &amp; Nama CSO'!$A$116:$L$136,11,FALSE),0)*AV130</f>
        <v>0</v>
      </c>
      <c r="BG130" s="44">
        <f>IFERROR(VLOOKUP(AQ130,'[2]Harga &amp; Nama CSO'!$A$116:$L$136,12,FALSE),0)*AV130</f>
        <v>0</v>
      </c>
      <c r="BH130" s="44">
        <f>IFERROR(VLOOKUP(AQ130,'[2]Harga &amp; Nama CSO'!$A$116:$R$136,13,FALSE),0)*AV130</f>
        <v>0</v>
      </c>
      <c r="BI130" s="44">
        <f>IFERROR(VLOOKUP(AQ130,'[2]Harga &amp; Nama CSO'!$A$116:$R$136,14,FALSE),0)*AV130</f>
        <v>3</v>
      </c>
      <c r="BJ130" s="44">
        <f>IFERROR(VLOOKUP(AQ130,'[2]Harga &amp; Nama CSO'!$A$116:$R$136,15,FALSE),0)*AV130</f>
        <v>0</v>
      </c>
      <c r="BK130" s="44">
        <f>IFERROR(VLOOKUP(AQ130,'[2]Harga &amp; Nama CSO'!$A$116:$R$136,16,FALSE),0)*AV130</f>
        <v>0</v>
      </c>
      <c r="BL130" s="44">
        <f>IFERROR(VLOOKUP(AQ130,'[2]Harga &amp; Nama CSO'!$A$116:$R$136,17,FALSE),0)*AV130</f>
        <v>0</v>
      </c>
      <c r="BM130" s="44">
        <f>IFERROR(VLOOKUP(AQ130,'[2]Harga &amp; Nama CSO'!$A$116:$R$136,18,FALSE),0)*AV130</f>
        <v>0</v>
      </c>
      <c r="BN130" s="44">
        <f>IFERROR(VLOOKUP(AQ130,'[2]Harga &amp; Nama CSO'!$A$116:$S$136,19,FALSE),0)*AV130</f>
        <v>0</v>
      </c>
      <c r="BO130" s="55">
        <f>IFERROR(VLOOKUP(AQ130,'[2]Harga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32"/>
        <v>-100</v>
      </c>
      <c r="BU130" s="40">
        <v>46195</v>
      </c>
      <c r="BV130" s="8" t="e">
        <v>#VALUE!</v>
      </c>
      <c r="BW130" s="58">
        <f>VLOOKUP(AQ130,'[1]Harga &amp; Nama CSO'!$A$28:$D$31,4,0)*BQ130</f>
        <v>3</v>
      </c>
    </row>
    <row r="131" spans="41:75" x14ac:dyDescent="0.35">
      <c r="AO131" s="39">
        <v>129</v>
      </c>
      <c r="AP131" s="60">
        <v>46195</v>
      </c>
      <c r="AQ131" s="41" t="s">
        <v>96</v>
      </c>
      <c r="AR131" s="42" t="str">
        <f>IFERROR(VLOOKUP(AU131,[2]SUMMARY!$A$3:$B$7,2,FALSE),"")</f>
        <v>MC-SAGARANTEN</v>
      </c>
      <c r="AS131" s="42">
        <v>718879</v>
      </c>
      <c r="AT131" s="31" t="str">
        <f>VLOOKUP(AS131,[2]OUTLET!$B:$C,2,0)</f>
        <v>GAYUNG CELL</v>
      </c>
      <c r="AU131" s="42" t="s">
        <v>54</v>
      </c>
      <c r="AV131" s="39">
        <v>1</v>
      </c>
      <c r="AW131" s="44">
        <f>IFERROR(VLOOKUP(AQ131,'[2]Harga &amp; Nama CSO'!$A$116:$L$136,2,FALSE),0)*AV131</f>
        <v>0</v>
      </c>
      <c r="AX131" s="44">
        <f>IFERROR(VLOOKUP(AQ131,'[2]Harga &amp; Nama CSO'!$A$116:$L$136,3,FALSE),0)*AV131</f>
        <v>0</v>
      </c>
      <c r="AY131" s="44">
        <f>IFERROR(VLOOKUP(AQ131,'[2]Harga &amp; Nama CSO'!$A$116:$L$136,4,FALSE),0)*AV131</f>
        <v>3</v>
      </c>
      <c r="AZ131" s="44">
        <f>IFERROR(VLOOKUP(AQ131,'[2]Harga &amp; Nama CSO'!$A$116:$L$136,5,FALSE),0)*AV131</f>
        <v>0</v>
      </c>
      <c r="BA131" s="44">
        <f>IFERROR(VLOOKUP(AQ131,'[2]Harga &amp; Nama CSO'!$A$116:$L$136,6,FALSE),0)*AV131</f>
        <v>0</v>
      </c>
      <c r="BB131" s="44">
        <f>IFERROR(VLOOKUP(AQ131,'[2]Harga &amp; Nama CSO'!$A$116:$L$136,7,FALSE),0)*AV131</f>
        <v>0</v>
      </c>
      <c r="BC131" s="44">
        <f>IFERROR(VLOOKUP(AQ131,'[2]Harga &amp; Nama CSO'!$A$116:$L$136,8,FALSE),0)*AV131</f>
        <v>3</v>
      </c>
      <c r="BD131" s="44">
        <f>IFERROR(VLOOKUP(AQ131,'[2]Harga &amp; Nama CSO'!$A$116:$L$136,9,FALSE),0)*AV131</f>
        <v>0</v>
      </c>
      <c r="BE131" s="44">
        <f>IFERROR(VLOOKUP(AQ131,'[2]Harga &amp; Nama CSO'!$A$116:$L$136,10,FALSE),0)*AV131</f>
        <v>0</v>
      </c>
      <c r="BF131" s="44">
        <f>IFERROR(VLOOKUP(AQ131,'[2]Harga &amp; Nama CSO'!$A$116:$L$136,11,FALSE),0)*AV131</f>
        <v>0</v>
      </c>
      <c r="BG131" s="44">
        <f>IFERROR(VLOOKUP(AQ131,'[2]Harga &amp; Nama CSO'!$A$116:$L$136,12,FALSE),0)*AV131</f>
        <v>0</v>
      </c>
      <c r="BH131" s="44">
        <f>IFERROR(VLOOKUP(AQ131,'[2]Harga &amp; Nama CSO'!$A$116:$R$136,13,FALSE),0)*AV131</f>
        <v>0</v>
      </c>
      <c r="BI131" s="44">
        <f>IFERROR(VLOOKUP(AQ131,'[2]Harga &amp; Nama CSO'!$A$116:$R$136,14,FALSE),0)*AV131</f>
        <v>3</v>
      </c>
      <c r="BJ131" s="44">
        <f>IFERROR(VLOOKUP(AQ131,'[2]Harga &amp; Nama CSO'!$A$116:$R$136,15,FALSE),0)*AV131</f>
        <v>0</v>
      </c>
      <c r="BK131" s="44">
        <f>IFERROR(VLOOKUP(AQ131,'[2]Harga &amp; Nama CSO'!$A$116:$R$136,16,FALSE),0)*AV131</f>
        <v>0</v>
      </c>
      <c r="BL131" s="44">
        <f>IFERROR(VLOOKUP(AQ131,'[2]Harga &amp; Nama CSO'!$A$116:$R$136,17,FALSE),0)*AV131</f>
        <v>0</v>
      </c>
      <c r="BM131" s="44">
        <f>IFERROR(VLOOKUP(AQ131,'[2]Harga &amp; Nama CSO'!$A$116:$R$136,18,FALSE),0)*AV131</f>
        <v>0</v>
      </c>
      <c r="BN131" s="44">
        <f>IFERROR(VLOOKUP(AQ131,'[2]Harga &amp; Nama CSO'!$A$116:$S$136,19,FALSE),0)*AV131</f>
        <v>0</v>
      </c>
      <c r="BO131" s="55">
        <f>IFERROR(VLOOKUP(AQ131,'[2]Harga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32"/>
        <v>0</v>
      </c>
      <c r="BU131" s="60">
        <v>46196</v>
      </c>
      <c r="BV131" s="8" t="e">
        <v>#VALUE!</v>
      </c>
      <c r="BW131" s="58">
        <f>VLOOKUP(AQ131,'[1]Harga &amp; Nama CSO'!$A$28:$D$31,4,0)*BQ131</f>
        <v>3</v>
      </c>
    </row>
    <row r="132" spans="41:75" x14ac:dyDescent="0.35">
      <c r="AO132" s="39">
        <v>130</v>
      </c>
      <c r="AP132" s="60">
        <v>46195</v>
      </c>
      <c r="AQ132" s="41" t="s">
        <v>96</v>
      </c>
      <c r="AR132" s="42" t="str">
        <f>IFERROR(VLOOKUP(AU132,[2]SUMMARY!$A$3:$B$7,2,FALSE),"")</f>
        <v>MC-SAGARANTEN</v>
      </c>
      <c r="AS132" s="42">
        <v>17746540</v>
      </c>
      <c r="AT132" s="31" t="str">
        <f>VLOOKUP(AS132,[2]OUTLET!$B:$C,2,0)</f>
        <v>JELEGONG CELL</v>
      </c>
      <c r="AU132" s="42" t="s">
        <v>54</v>
      </c>
      <c r="AV132" s="39">
        <v>1</v>
      </c>
      <c r="AW132" s="44">
        <f>IFERROR(VLOOKUP(AQ132,'[2]Harga &amp; Nama CSO'!$A$116:$L$136,2,FALSE),0)*AV132</f>
        <v>0</v>
      </c>
      <c r="AX132" s="44">
        <f>IFERROR(VLOOKUP(AQ132,'[2]Harga &amp; Nama CSO'!$A$116:$L$136,3,FALSE),0)*AV132</f>
        <v>0</v>
      </c>
      <c r="AY132" s="44">
        <f>IFERROR(VLOOKUP(AQ132,'[2]Harga &amp; Nama CSO'!$A$116:$L$136,4,FALSE),0)*AV132</f>
        <v>3</v>
      </c>
      <c r="AZ132" s="44">
        <f>IFERROR(VLOOKUP(AQ132,'[2]Harga &amp; Nama CSO'!$A$116:$L$136,5,FALSE),0)*AV132</f>
        <v>0</v>
      </c>
      <c r="BA132" s="44">
        <f>IFERROR(VLOOKUP(AQ132,'[2]Harga &amp; Nama CSO'!$A$116:$L$136,6,FALSE),0)*AV132</f>
        <v>0</v>
      </c>
      <c r="BB132" s="44">
        <f>IFERROR(VLOOKUP(AQ132,'[2]Harga &amp; Nama CSO'!$A$116:$L$136,7,FALSE),0)*AV132</f>
        <v>0</v>
      </c>
      <c r="BC132" s="44">
        <f>IFERROR(VLOOKUP(AQ132,'[2]Harga &amp; Nama CSO'!$A$116:$L$136,8,FALSE),0)*AV132</f>
        <v>3</v>
      </c>
      <c r="BD132" s="44">
        <f>IFERROR(VLOOKUP(AQ132,'[2]Harga &amp; Nama CSO'!$A$116:$L$136,9,FALSE),0)*AV132</f>
        <v>0</v>
      </c>
      <c r="BE132" s="44">
        <f>IFERROR(VLOOKUP(AQ132,'[2]Harga &amp; Nama CSO'!$A$116:$L$136,10,FALSE),0)*AV132</f>
        <v>0</v>
      </c>
      <c r="BF132" s="44">
        <f>IFERROR(VLOOKUP(AQ132,'[2]Harga &amp; Nama CSO'!$A$116:$L$136,11,FALSE),0)*AV132</f>
        <v>0</v>
      </c>
      <c r="BG132" s="44">
        <f>IFERROR(VLOOKUP(AQ132,'[2]Harga &amp; Nama CSO'!$A$116:$L$136,12,FALSE),0)*AV132</f>
        <v>0</v>
      </c>
      <c r="BH132" s="44">
        <f>IFERROR(VLOOKUP(AQ132,'[2]Harga &amp; Nama CSO'!$A$116:$R$136,13,FALSE),0)*AV132</f>
        <v>0</v>
      </c>
      <c r="BI132" s="44">
        <f>IFERROR(VLOOKUP(AQ132,'[2]Harga &amp; Nama CSO'!$A$116:$R$136,14,FALSE),0)*AV132</f>
        <v>3</v>
      </c>
      <c r="BJ132" s="44">
        <f>IFERROR(VLOOKUP(AQ132,'[2]Harga &amp; Nama CSO'!$A$116:$R$136,15,FALSE),0)*AV132</f>
        <v>0</v>
      </c>
      <c r="BK132" s="44">
        <f>IFERROR(VLOOKUP(AQ132,'[2]Harga &amp; Nama CSO'!$A$116:$R$136,16,FALSE),0)*AV132</f>
        <v>0</v>
      </c>
      <c r="BL132" s="44">
        <f>IFERROR(VLOOKUP(AQ132,'[2]Harga &amp; Nama CSO'!$A$116:$R$136,17,FALSE),0)*AV132</f>
        <v>0</v>
      </c>
      <c r="BM132" s="44">
        <f>IFERROR(VLOOKUP(AQ132,'[2]Harga &amp; Nama CSO'!$A$116:$R$136,18,FALSE),0)*AV132</f>
        <v>0</v>
      </c>
      <c r="BN132" s="44">
        <f>IFERROR(VLOOKUP(AQ132,'[2]Harga &amp; Nama CSO'!$A$116:$S$136,19,FALSE),0)*AV132</f>
        <v>0</v>
      </c>
      <c r="BO132" s="55">
        <f>IFERROR(VLOOKUP(AQ132,'[2]Harga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32"/>
        <v>0</v>
      </c>
      <c r="BU132" s="60">
        <v>46196</v>
      </c>
      <c r="BV132" s="8" t="e">
        <v>#VALUE!</v>
      </c>
      <c r="BW132" s="58">
        <f>VLOOKUP(AQ132,'[1]Harga &amp; Nama CSO'!$A$28:$D$31,4,0)*BQ132</f>
        <v>3</v>
      </c>
    </row>
    <row r="133" spans="41:75" x14ac:dyDescent="0.35">
      <c r="AO133" s="39">
        <v>131</v>
      </c>
      <c r="AP133" s="60">
        <v>46195</v>
      </c>
      <c r="AQ133" s="41" t="s">
        <v>96</v>
      </c>
      <c r="AR133" s="42" t="str">
        <f>IFERROR(VLOOKUP(AU133,[2]SUMMARY!$A$3:$B$7,2,FALSE),"")</f>
        <v>MC-SAGARANTEN</v>
      </c>
      <c r="AS133" s="42">
        <v>17781760</v>
      </c>
      <c r="AT133" s="31" t="str">
        <f>VLOOKUP(AS133,[2]OUTLET!$B:$C,2,0)</f>
        <v>NASIR CELL</v>
      </c>
      <c r="AU133" s="42" t="s">
        <v>54</v>
      </c>
      <c r="AV133" s="39">
        <v>1</v>
      </c>
      <c r="AW133" s="44">
        <f>IFERROR(VLOOKUP(AQ133,'[2]Harga &amp; Nama CSO'!$A$116:$L$136,2,FALSE),0)*AV133</f>
        <v>0</v>
      </c>
      <c r="AX133" s="44">
        <f>IFERROR(VLOOKUP(AQ133,'[2]Harga &amp; Nama CSO'!$A$116:$L$136,3,FALSE),0)*AV133</f>
        <v>0</v>
      </c>
      <c r="AY133" s="44">
        <f>IFERROR(VLOOKUP(AQ133,'[2]Harga &amp; Nama CSO'!$A$116:$L$136,4,FALSE),0)*AV133</f>
        <v>3</v>
      </c>
      <c r="AZ133" s="44">
        <f>IFERROR(VLOOKUP(AQ133,'[2]Harga &amp; Nama CSO'!$A$116:$L$136,5,FALSE),0)*AV133</f>
        <v>0</v>
      </c>
      <c r="BA133" s="44">
        <f>IFERROR(VLOOKUP(AQ133,'[2]Harga &amp; Nama CSO'!$A$116:$L$136,6,FALSE),0)*AV133</f>
        <v>0</v>
      </c>
      <c r="BB133" s="44">
        <f>IFERROR(VLOOKUP(AQ133,'[2]Harga &amp; Nama CSO'!$A$116:$L$136,7,FALSE),0)*AV133</f>
        <v>0</v>
      </c>
      <c r="BC133" s="44">
        <f>IFERROR(VLOOKUP(AQ133,'[2]Harga &amp; Nama CSO'!$A$116:$L$136,8,FALSE),0)*AV133</f>
        <v>3</v>
      </c>
      <c r="BD133" s="44">
        <f>IFERROR(VLOOKUP(AQ133,'[2]Harga &amp; Nama CSO'!$A$116:$L$136,9,FALSE),0)*AV133</f>
        <v>0</v>
      </c>
      <c r="BE133" s="44">
        <f>IFERROR(VLOOKUP(AQ133,'[2]Harga &amp; Nama CSO'!$A$116:$L$136,10,FALSE),0)*AV133</f>
        <v>0</v>
      </c>
      <c r="BF133" s="44">
        <f>IFERROR(VLOOKUP(AQ133,'[2]Harga &amp; Nama CSO'!$A$116:$L$136,11,FALSE),0)*AV133</f>
        <v>0</v>
      </c>
      <c r="BG133" s="44">
        <f>IFERROR(VLOOKUP(AQ133,'[2]Harga &amp; Nama CSO'!$A$116:$L$136,12,FALSE),0)*AV133</f>
        <v>0</v>
      </c>
      <c r="BH133" s="44">
        <f>IFERROR(VLOOKUP(AQ133,'[2]Harga &amp; Nama CSO'!$A$116:$R$136,13,FALSE),0)*AV133</f>
        <v>0</v>
      </c>
      <c r="BI133" s="44">
        <f>IFERROR(VLOOKUP(AQ133,'[2]Harga &amp; Nama CSO'!$A$116:$R$136,14,FALSE),0)*AV133</f>
        <v>3</v>
      </c>
      <c r="BJ133" s="44">
        <f>IFERROR(VLOOKUP(AQ133,'[2]Harga &amp; Nama CSO'!$A$116:$R$136,15,FALSE),0)*AV133</f>
        <v>0</v>
      </c>
      <c r="BK133" s="44">
        <f>IFERROR(VLOOKUP(AQ133,'[2]Harga &amp; Nama CSO'!$A$116:$R$136,16,FALSE),0)*AV133</f>
        <v>0</v>
      </c>
      <c r="BL133" s="44">
        <f>IFERROR(VLOOKUP(AQ133,'[2]Harga &amp; Nama CSO'!$A$116:$R$136,17,FALSE),0)*AV133</f>
        <v>0</v>
      </c>
      <c r="BM133" s="44">
        <f>IFERROR(VLOOKUP(AQ133,'[2]Harga &amp; Nama CSO'!$A$116:$R$136,18,FALSE),0)*AV133</f>
        <v>0</v>
      </c>
      <c r="BN133" s="44">
        <f>IFERROR(VLOOKUP(AQ133,'[2]Harga &amp; Nama CSO'!$A$116:$S$136,19,FALSE),0)*AV133</f>
        <v>0</v>
      </c>
      <c r="BO133" s="55">
        <f>IFERROR(VLOOKUP(AQ133,'[2]Harga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32"/>
        <v>0</v>
      </c>
      <c r="BU133" s="60">
        <v>46196</v>
      </c>
      <c r="BV133" s="8" t="e">
        <v>#VALUE!</v>
      </c>
      <c r="BW133" s="58">
        <f>VLOOKUP(AQ133,'[1]Harga &amp; Nama CSO'!$A$28:$D$31,4,0)*BQ133</f>
        <v>3</v>
      </c>
    </row>
    <row r="134" spans="41:75" x14ac:dyDescent="0.35">
      <c r="AO134" s="39">
        <v>132</v>
      </c>
      <c r="AP134" s="60">
        <v>46195</v>
      </c>
      <c r="AQ134" s="41" t="s">
        <v>96</v>
      </c>
      <c r="AR134" s="42" t="str">
        <f>IFERROR(VLOOKUP(AU134,[2]SUMMARY!$A$3:$B$7,2,FALSE),"")</f>
        <v>MC-SAGARANTEN</v>
      </c>
      <c r="AS134" s="42">
        <v>17729700</v>
      </c>
      <c r="AT134" s="31" t="str">
        <f>VLOOKUP(AS134,[2]OUTLET!$B:$C,2,0)</f>
        <v>Zarfan Cell</v>
      </c>
      <c r="AU134" s="42" t="s">
        <v>54</v>
      </c>
      <c r="AV134" s="39">
        <v>1</v>
      </c>
      <c r="AW134" s="44">
        <f>IFERROR(VLOOKUP(AQ134,'[2]Harga &amp; Nama CSO'!$A$116:$L$136,2,FALSE),0)*AV134</f>
        <v>0</v>
      </c>
      <c r="AX134" s="44">
        <f>IFERROR(VLOOKUP(AQ134,'[2]Harga &amp; Nama CSO'!$A$116:$L$136,3,FALSE),0)*AV134</f>
        <v>0</v>
      </c>
      <c r="AY134" s="44">
        <f>IFERROR(VLOOKUP(AQ134,'[2]Harga &amp; Nama CSO'!$A$116:$L$136,4,FALSE),0)*AV134</f>
        <v>3</v>
      </c>
      <c r="AZ134" s="44">
        <f>IFERROR(VLOOKUP(AQ134,'[2]Harga &amp; Nama CSO'!$A$116:$L$136,5,FALSE),0)*AV134</f>
        <v>0</v>
      </c>
      <c r="BA134" s="44">
        <f>IFERROR(VLOOKUP(AQ134,'[2]Harga &amp; Nama CSO'!$A$116:$L$136,6,FALSE),0)*AV134</f>
        <v>0</v>
      </c>
      <c r="BB134" s="44">
        <f>IFERROR(VLOOKUP(AQ134,'[2]Harga &amp; Nama CSO'!$A$116:$L$136,7,FALSE),0)*AV134</f>
        <v>0</v>
      </c>
      <c r="BC134" s="44">
        <f>IFERROR(VLOOKUP(AQ134,'[2]Harga &amp; Nama CSO'!$A$116:$L$136,8,FALSE),0)*AV134</f>
        <v>3</v>
      </c>
      <c r="BD134" s="44">
        <f>IFERROR(VLOOKUP(AQ134,'[2]Harga &amp; Nama CSO'!$A$116:$L$136,9,FALSE),0)*AV134</f>
        <v>0</v>
      </c>
      <c r="BE134" s="44">
        <f>IFERROR(VLOOKUP(AQ134,'[2]Harga &amp; Nama CSO'!$A$116:$L$136,10,FALSE),0)*AV134</f>
        <v>0</v>
      </c>
      <c r="BF134" s="44">
        <f>IFERROR(VLOOKUP(AQ134,'[2]Harga &amp; Nama CSO'!$A$116:$L$136,11,FALSE),0)*AV134</f>
        <v>0</v>
      </c>
      <c r="BG134" s="44">
        <f>IFERROR(VLOOKUP(AQ134,'[2]Harga &amp; Nama CSO'!$A$116:$L$136,12,FALSE),0)*AV134</f>
        <v>0</v>
      </c>
      <c r="BH134" s="44">
        <f>IFERROR(VLOOKUP(AQ134,'[2]Harga &amp; Nama CSO'!$A$116:$R$136,13,FALSE),0)*AV134</f>
        <v>0</v>
      </c>
      <c r="BI134" s="44">
        <f>IFERROR(VLOOKUP(AQ134,'[2]Harga &amp; Nama CSO'!$A$116:$R$136,14,FALSE),0)*AV134</f>
        <v>3</v>
      </c>
      <c r="BJ134" s="44">
        <f>IFERROR(VLOOKUP(AQ134,'[2]Harga &amp; Nama CSO'!$A$116:$R$136,15,FALSE),0)*AV134</f>
        <v>0</v>
      </c>
      <c r="BK134" s="44">
        <f>IFERROR(VLOOKUP(AQ134,'[2]Harga &amp; Nama CSO'!$A$116:$R$136,16,FALSE),0)*AV134</f>
        <v>0</v>
      </c>
      <c r="BL134" s="44">
        <f>IFERROR(VLOOKUP(AQ134,'[2]Harga &amp; Nama CSO'!$A$116:$R$136,17,FALSE),0)*AV134</f>
        <v>0</v>
      </c>
      <c r="BM134" s="44">
        <f>IFERROR(VLOOKUP(AQ134,'[2]Harga &amp; Nama CSO'!$A$116:$R$136,18,FALSE),0)*AV134</f>
        <v>0</v>
      </c>
      <c r="BN134" s="44">
        <f>IFERROR(VLOOKUP(AQ134,'[2]Harga &amp; Nama CSO'!$A$116:$S$136,19,FALSE),0)*AV134</f>
        <v>0</v>
      </c>
      <c r="BO134" s="55">
        <f>IFERROR(VLOOKUP(AQ134,'[2]Harga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32"/>
        <v>100</v>
      </c>
      <c r="BU134" s="60">
        <v>46196</v>
      </c>
      <c r="BV134" s="8" t="e">
        <v>#VALUE!</v>
      </c>
      <c r="BW134" s="58">
        <f>VLOOKUP(AQ134,'[1]Harga &amp; Nama CSO'!$A$28:$D$31,4,0)*BQ134</f>
        <v>3</v>
      </c>
    </row>
    <row r="135" spans="41:75" x14ac:dyDescent="0.35">
      <c r="AO135" s="39">
        <v>133</v>
      </c>
      <c r="AP135" s="60">
        <v>46195</v>
      </c>
      <c r="AQ135" s="41" t="s">
        <v>96</v>
      </c>
      <c r="AR135" s="42" t="str">
        <f>IFERROR(VLOOKUP(AU135,[2]SUMMARY!$A$3:$B$7,2,FALSE),"")</f>
        <v>MC-SAGARANTEN</v>
      </c>
      <c r="AS135" s="42">
        <v>17793232</v>
      </c>
      <c r="AT135" s="31" t="str">
        <f>VLOOKUP(AS135,[2]OUTLET!$B:$C,2,0)</f>
        <v>Vit Cell</v>
      </c>
      <c r="AU135" s="42" t="s">
        <v>53</v>
      </c>
      <c r="AV135" s="39">
        <v>1</v>
      </c>
      <c r="AW135" s="44">
        <f>IFERROR(VLOOKUP(AQ135,'[2]Harga &amp; Nama CSO'!$A$116:$L$136,2,FALSE),0)*AV135</f>
        <v>0</v>
      </c>
      <c r="AX135" s="44">
        <f>IFERROR(VLOOKUP(AQ135,'[2]Harga &amp; Nama CSO'!$A$116:$L$136,3,FALSE),0)*AV135</f>
        <v>0</v>
      </c>
      <c r="AY135" s="44">
        <f>IFERROR(VLOOKUP(AQ135,'[2]Harga &amp; Nama CSO'!$A$116:$L$136,4,FALSE),0)*AV135</f>
        <v>3</v>
      </c>
      <c r="AZ135" s="44">
        <f>IFERROR(VLOOKUP(AQ135,'[2]Harga &amp; Nama CSO'!$A$116:$L$136,5,FALSE),0)*AV135</f>
        <v>0</v>
      </c>
      <c r="BA135" s="44">
        <f>IFERROR(VLOOKUP(AQ135,'[2]Harga &amp; Nama CSO'!$A$116:$L$136,6,FALSE),0)*AV135</f>
        <v>0</v>
      </c>
      <c r="BB135" s="44">
        <f>IFERROR(VLOOKUP(AQ135,'[2]Harga &amp; Nama CSO'!$A$116:$L$136,7,FALSE),0)*AV135</f>
        <v>0</v>
      </c>
      <c r="BC135" s="44">
        <f>IFERROR(VLOOKUP(AQ135,'[2]Harga &amp; Nama CSO'!$A$116:$L$136,8,FALSE),0)*AV135</f>
        <v>3</v>
      </c>
      <c r="BD135" s="44">
        <f>IFERROR(VLOOKUP(AQ135,'[2]Harga &amp; Nama CSO'!$A$116:$L$136,9,FALSE),0)*AV135</f>
        <v>0</v>
      </c>
      <c r="BE135" s="44">
        <f>IFERROR(VLOOKUP(AQ135,'[2]Harga &amp; Nama CSO'!$A$116:$L$136,10,FALSE),0)*AV135</f>
        <v>0</v>
      </c>
      <c r="BF135" s="44">
        <f>IFERROR(VLOOKUP(AQ135,'[2]Harga &amp; Nama CSO'!$A$116:$L$136,11,FALSE),0)*AV135</f>
        <v>0</v>
      </c>
      <c r="BG135" s="44">
        <f>IFERROR(VLOOKUP(AQ135,'[2]Harga &amp; Nama CSO'!$A$116:$L$136,12,FALSE),0)*AV135</f>
        <v>0</v>
      </c>
      <c r="BH135" s="44">
        <f>IFERROR(VLOOKUP(AQ135,'[2]Harga &amp; Nama CSO'!$A$116:$R$136,13,FALSE),0)*AV135</f>
        <v>0</v>
      </c>
      <c r="BI135" s="44">
        <f>IFERROR(VLOOKUP(AQ135,'[2]Harga &amp; Nama CSO'!$A$116:$R$136,14,FALSE),0)*AV135</f>
        <v>3</v>
      </c>
      <c r="BJ135" s="44">
        <f>IFERROR(VLOOKUP(AQ135,'[2]Harga &amp; Nama CSO'!$A$116:$R$136,15,FALSE),0)*AV135</f>
        <v>0</v>
      </c>
      <c r="BK135" s="44">
        <f>IFERROR(VLOOKUP(AQ135,'[2]Harga &amp; Nama CSO'!$A$116:$R$136,16,FALSE),0)*AV135</f>
        <v>0</v>
      </c>
      <c r="BL135" s="44">
        <f>IFERROR(VLOOKUP(AQ135,'[2]Harga &amp; Nama CSO'!$A$116:$R$136,17,FALSE),0)*AV135</f>
        <v>0</v>
      </c>
      <c r="BM135" s="44">
        <f>IFERROR(VLOOKUP(AQ135,'[2]Harga &amp; Nama CSO'!$A$116:$R$136,18,FALSE),0)*AV135</f>
        <v>0</v>
      </c>
      <c r="BN135" s="44">
        <f>IFERROR(VLOOKUP(AQ135,'[2]Harga &amp; Nama CSO'!$A$116:$S$136,19,FALSE),0)*AV135</f>
        <v>0</v>
      </c>
      <c r="BO135" s="55">
        <f>IFERROR(VLOOKUP(AQ135,'[2]Harga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32"/>
        <v>0</v>
      </c>
      <c r="BU135" s="60">
        <v>46196</v>
      </c>
      <c r="BV135" s="8" t="e">
        <v>#VALUE!</v>
      </c>
      <c r="BW135" s="58">
        <f>VLOOKUP(AQ135,'[1]Harga &amp; Nama CSO'!$A$28:$D$31,4,0)*BQ135</f>
        <v>3</v>
      </c>
    </row>
    <row r="136" spans="41:75" x14ac:dyDescent="0.35">
      <c r="AO136" s="39">
        <v>134</v>
      </c>
      <c r="AP136" s="60">
        <v>46195</v>
      </c>
      <c r="AQ136" s="41" t="s">
        <v>96</v>
      </c>
      <c r="AR136" s="42" t="str">
        <f>IFERROR(VLOOKUP(AU136,[2]SUMMARY!$A$3:$B$7,2,FALSE),"")</f>
        <v>MC-SAGARANTEN</v>
      </c>
      <c r="AS136" s="42">
        <v>17733853</v>
      </c>
      <c r="AT136" s="31" t="str">
        <f>VLOOKUP(AS136,[2]OUTLET!$B:$C,2,0)</f>
        <v>Alifa cell</v>
      </c>
      <c r="AU136" s="42" t="s">
        <v>53</v>
      </c>
      <c r="AV136" s="39">
        <v>1</v>
      </c>
      <c r="AW136" s="44">
        <f>IFERROR(VLOOKUP(AQ136,'[2]Harga &amp; Nama CSO'!$A$116:$L$136,2,FALSE),0)*AV136</f>
        <v>0</v>
      </c>
      <c r="AX136" s="44">
        <f>IFERROR(VLOOKUP(AQ136,'[2]Harga &amp; Nama CSO'!$A$116:$L$136,3,FALSE),0)*AV136</f>
        <v>0</v>
      </c>
      <c r="AY136" s="44">
        <f>IFERROR(VLOOKUP(AQ136,'[2]Harga &amp; Nama CSO'!$A$116:$L$136,4,FALSE),0)*AV136</f>
        <v>3</v>
      </c>
      <c r="AZ136" s="44">
        <f>IFERROR(VLOOKUP(AQ136,'[2]Harga &amp; Nama CSO'!$A$116:$L$136,5,FALSE),0)*AV136</f>
        <v>0</v>
      </c>
      <c r="BA136" s="44">
        <f>IFERROR(VLOOKUP(AQ136,'[2]Harga &amp; Nama CSO'!$A$116:$L$136,6,FALSE),0)*AV136</f>
        <v>0</v>
      </c>
      <c r="BB136" s="44">
        <f>IFERROR(VLOOKUP(AQ136,'[2]Harga &amp; Nama CSO'!$A$116:$L$136,7,FALSE),0)*AV136</f>
        <v>0</v>
      </c>
      <c r="BC136" s="44">
        <f>IFERROR(VLOOKUP(AQ136,'[2]Harga &amp; Nama CSO'!$A$116:$L$136,8,FALSE),0)*AV136</f>
        <v>3</v>
      </c>
      <c r="BD136" s="44">
        <f>IFERROR(VLOOKUP(AQ136,'[2]Harga &amp; Nama CSO'!$A$116:$L$136,9,FALSE),0)*AV136</f>
        <v>0</v>
      </c>
      <c r="BE136" s="44">
        <f>IFERROR(VLOOKUP(AQ136,'[2]Harga &amp; Nama CSO'!$A$116:$L$136,10,FALSE),0)*AV136</f>
        <v>0</v>
      </c>
      <c r="BF136" s="44">
        <f>IFERROR(VLOOKUP(AQ136,'[2]Harga &amp; Nama CSO'!$A$116:$L$136,11,FALSE),0)*AV136</f>
        <v>0</v>
      </c>
      <c r="BG136" s="44">
        <f>IFERROR(VLOOKUP(AQ136,'[2]Harga &amp; Nama CSO'!$A$116:$L$136,12,FALSE),0)*AV136</f>
        <v>0</v>
      </c>
      <c r="BH136" s="44">
        <f>IFERROR(VLOOKUP(AQ136,'[2]Harga &amp; Nama CSO'!$A$116:$R$136,13,FALSE),0)*AV136</f>
        <v>0</v>
      </c>
      <c r="BI136" s="44">
        <f>IFERROR(VLOOKUP(AQ136,'[2]Harga &amp; Nama CSO'!$A$116:$R$136,14,FALSE),0)*AV136</f>
        <v>3</v>
      </c>
      <c r="BJ136" s="44">
        <f>IFERROR(VLOOKUP(AQ136,'[2]Harga &amp; Nama CSO'!$A$116:$R$136,15,FALSE),0)*AV136</f>
        <v>0</v>
      </c>
      <c r="BK136" s="44">
        <f>IFERROR(VLOOKUP(AQ136,'[2]Harga &amp; Nama CSO'!$A$116:$R$136,16,FALSE),0)*AV136</f>
        <v>0</v>
      </c>
      <c r="BL136" s="44">
        <f>IFERROR(VLOOKUP(AQ136,'[2]Harga &amp; Nama CSO'!$A$116:$R$136,17,FALSE),0)*AV136</f>
        <v>0</v>
      </c>
      <c r="BM136" s="44">
        <f>IFERROR(VLOOKUP(AQ136,'[2]Harga &amp; Nama CSO'!$A$116:$R$136,18,FALSE),0)*AV136</f>
        <v>0</v>
      </c>
      <c r="BN136" s="44">
        <f>IFERROR(VLOOKUP(AQ136,'[2]Harga &amp; Nama CSO'!$A$116:$S$136,19,FALSE),0)*AV136</f>
        <v>0</v>
      </c>
      <c r="BO136" s="55">
        <f>IFERROR(VLOOKUP(AQ136,'[2]Harga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32"/>
        <v>0</v>
      </c>
      <c r="BU136" s="60">
        <v>46196</v>
      </c>
      <c r="BV136" s="8" t="e">
        <v>#VALUE!</v>
      </c>
      <c r="BW136" s="58">
        <f>VLOOKUP(AQ136,'[1]Harga &amp; Nama CSO'!$A$28:$D$31,4,0)*BQ136</f>
        <v>3</v>
      </c>
    </row>
    <row r="137" spans="41:75" x14ac:dyDescent="0.35">
      <c r="AO137" s="39">
        <v>135</v>
      </c>
      <c r="AP137" s="60">
        <v>46195</v>
      </c>
      <c r="AQ137" s="41" t="s">
        <v>96</v>
      </c>
      <c r="AR137" s="42" t="str">
        <f>IFERROR(VLOOKUP(AU137,[2]SUMMARY!$A$3:$B$7,2,FALSE),"")</f>
        <v>MC-SAGARANTEN</v>
      </c>
      <c r="AS137" s="42">
        <v>17763475</v>
      </c>
      <c r="AT137" s="31" t="str">
        <f>VLOOKUP(AS137,[2]OUTLET!$B:$C,2,0)</f>
        <v>Angga cell</v>
      </c>
      <c r="AU137" s="42" t="s">
        <v>53</v>
      </c>
      <c r="AV137" s="39">
        <v>1</v>
      </c>
      <c r="AW137" s="44">
        <f>IFERROR(VLOOKUP(AQ137,'[2]Harga &amp; Nama CSO'!$A$116:$L$136,2,FALSE),0)*AV137</f>
        <v>0</v>
      </c>
      <c r="AX137" s="44">
        <f>IFERROR(VLOOKUP(AQ137,'[2]Harga &amp; Nama CSO'!$A$116:$L$136,3,FALSE),0)*AV137</f>
        <v>0</v>
      </c>
      <c r="AY137" s="44">
        <f>IFERROR(VLOOKUP(AQ137,'[2]Harga &amp; Nama CSO'!$A$116:$L$136,4,FALSE),0)*AV137</f>
        <v>3</v>
      </c>
      <c r="AZ137" s="44">
        <f>IFERROR(VLOOKUP(AQ137,'[2]Harga &amp; Nama CSO'!$A$116:$L$136,5,FALSE),0)*AV137</f>
        <v>0</v>
      </c>
      <c r="BA137" s="44">
        <f>IFERROR(VLOOKUP(AQ137,'[2]Harga &amp; Nama CSO'!$A$116:$L$136,6,FALSE),0)*AV137</f>
        <v>0</v>
      </c>
      <c r="BB137" s="44">
        <f>IFERROR(VLOOKUP(AQ137,'[2]Harga &amp; Nama CSO'!$A$116:$L$136,7,FALSE),0)*AV137</f>
        <v>0</v>
      </c>
      <c r="BC137" s="44">
        <f>IFERROR(VLOOKUP(AQ137,'[2]Harga &amp; Nama CSO'!$A$116:$L$136,8,FALSE),0)*AV137</f>
        <v>3</v>
      </c>
      <c r="BD137" s="44">
        <f>IFERROR(VLOOKUP(AQ137,'[2]Harga &amp; Nama CSO'!$A$116:$L$136,9,FALSE),0)*AV137</f>
        <v>0</v>
      </c>
      <c r="BE137" s="44">
        <f>IFERROR(VLOOKUP(AQ137,'[2]Harga &amp; Nama CSO'!$A$116:$L$136,10,FALSE),0)*AV137</f>
        <v>0</v>
      </c>
      <c r="BF137" s="44">
        <f>IFERROR(VLOOKUP(AQ137,'[2]Harga &amp; Nama CSO'!$A$116:$L$136,11,FALSE),0)*AV137</f>
        <v>0</v>
      </c>
      <c r="BG137" s="44">
        <f>IFERROR(VLOOKUP(AQ137,'[2]Harga &amp; Nama CSO'!$A$116:$L$136,12,FALSE),0)*AV137</f>
        <v>0</v>
      </c>
      <c r="BH137" s="44">
        <f>IFERROR(VLOOKUP(AQ137,'[2]Harga &amp; Nama CSO'!$A$116:$R$136,13,FALSE),0)*AV137</f>
        <v>0</v>
      </c>
      <c r="BI137" s="44">
        <f>IFERROR(VLOOKUP(AQ137,'[2]Harga &amp; Nama CSO'!$A$116:$R$136,14,FALSE),0)*AV137</f>
        <v>3</v>
      </c>
      <c r="BJ137" s="44">
        <f>IFERROR(VLOOKUP(AQ137,'[2]Harga &amp; Nama CSO'!$A$116:$R$136,15,FALSE),0)*AV137</f>
        <v>0</v>
      </c>
      <c r="BK137" s="44">
        <f>IFERROR(VLOOKUP(AQ137,'[2]Harga &amp; Nama CSO'!$A$116:$R$136,16,FALSE),0)*AV137</f>
        <v>0</v>
      </c>
      <c r="BL137" s="44">
        <f>IFERROR(VLOOKUP(AQ137,'[2]Harga &amp; Nama CSO'!$A$116:$R$136,17,FALSE),0)*AV137</f>
        <v>0</v>
      </c>
      <c r="BM137" s="44">
        <f>IFERROR(VLOOKUP(AQ137,'[2]Harga &amp; Nama CSO'!$A$116:$R$136,18,FALSE),0)*AV137</f>
        <v>0</v>
      </c>
      <c r="BN137" s="44">
        <f>IFERROR(VLOOKUP(AQ137,'[2]Harga &amp; Nama CSO'!$A$116:$S$136,19,FALSE),0)*AV137</f>
        <v>0</v>
      </c>
      <c r="BO137" s="55">
        <f>IFERROR(VLOOKUP(AQ137,'[2]Harga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32"/>
        <v>0</v>
      </c>
      <c r="BU137" s="60">
        <v>46196</v>
      </c>
      <c r="BV137" s="8" t="e">
        <v>#VALUE!</v>
      </c>
      <c r="BW137" s="58">
        <f>VLOOKUP(AQ137,'[1]Harga &amp; Nama CSO'!$A$28:$D$31,4,0)*BQ137</f>
        <v>3</v>
      </c>
    </row>
    <row r="138" spans="41:75" x14ac:dyDescent="0.35">
      <c r="AO138" s="39">
        <v>136</v>
      </c>
      <c r="AP138" s="60">
        <v>46196</v>
      </c>
      <c r="AQ138" s="41" t="s">
        <v>96</v>
      </c>
      <c r="AR138" s="42" t="str">
        <f>IFERROR(VLOOKUP(AU138,[2]SUMMARY!$A$3:$B$7,2,FALSE),"")</f>
        <v>MC-SAGARANTEN</v>
      </c>
      <c r="AS138" s="31">
        <v>17737142</v>
      </c>
      <c r="AT138" s="31" t="str">
        <f>VLOOKUP(AS138,[2]OUTLET!$B:$C,2,0)</f>
        <v>Riefka cell</v>
      </c>
      <c r="AU138" s="42" t="s">
        <v>53</v>
      </c>
      <c r="AV138" s="39">
        <v>1</v>
      </c>
      <c r="AW138" s="44">
        <f>IFERROR(VLOOKUP(AQ138,'[2]Harga &amp; Nama CSO'!$A$116:$L$136,2,FALSE),0)*AV138</f>
        <v>0</v>
      </c>
      <c r="AX138" s="44">
        <f>IFERROR(VLOOKUP(AQ138,'[2]Harga &amp; Nama CSO'!$A$116:$L$136,3,FALSE),0)*AV138</f>
        <v>0</v>
      </c>
      <c r="AY138" s="44">
        <f>IFERROR(VLOOKUP(AQ138,'[2]Harga &amp; Nama CSO'!$A$116:$L$136,4,FALSE),0)*AV138</f>
        <v>3</v>
      </c>
      <c r="AZ138" s="44">
        <f>IFERROR(VLOOKUP(AQ138,'[2]Harga &amp; Nama CSO'!$A$116:$L$136,5,FALSE),0)*AV138</f>
        <v>0</v>
      </c>
      <c r="BA138" s="44">
        <f>IFERROR(VLOOKUP(AQ138,'[2]Harga &amp; Nama CSO'!$A$116:$L$136,6,FALSE),0)*AV138</f>
        <v>0</v>
      </c>
      <c r="BB138" s="44">
        <f>IFERROR(VLOOKUP(AQ138,'[2]Harga &amp; Nama CSO'!$A$116:$L$136,7,FALSE),0)*AV138</f>
        <v>0</v>
      </c>
      <c r="BC138" s="44">
        <f>IFERROR(VLOOKUP(AQ138,'[2]Harga &amp; Nama CSO'!$A$116:$L$136,8,FALSE),0)*AV138</f>
        <v>3</v>
      </c>
      <c r="BD138" s="44">
        <f>IFERROR(VLOOKUP(AQ138,'[2]Harga &amp; Nama CSO'!$A$116:$L$136,9,FALSE),0)*AV138</f>
        <v>0</v>
      </c>
      <c r="BE138" s="44">
        <f>IFERROR(VLOOKUP(AQ138,'[2]Harga &amp; Nama CSO'!$A$116:$L$136,10,FALSE),0)*AV138</f>
        <v>0</v>
      </c>
      <c r="BF138" s="44">
        <f>IFERROR(VLOOKUP(AQ138,'[2]Harga &amp; Nama CSO'!$A$116:$L$136,11,FALSE),0)*AV138</f>
        <v>0</v>
      </c>
      <c r="BG138" s="44">
        <f>IFERROR(VLOOKUP(AQ138,'[2]Harga &amp; Nama CSO'!$A$116:$L$136,12,FALSE),0)*AV138</f>
        <v>0</v>
      </c>
      <c r="BH138" s="44">
        <f>IFERROR(VLOOKUP(AQ138,'[2]Harga &amp; Nama CSO'!$A$116:$R$136,13,FALSE),0)*AV138</f>
        <v>0</v>
      </c>
      <c r="BI138" s="44">
        <f>IFERROR(VLOOKUP(AQ138,'[2]Harga &amp; Nama CSO'!$A$116:$R$136,14,FALSE),0)*AV138</f>
        <v>3</v>
      </c>
      <c r="BJ138" s="44">
        <f>IFERROR(VLOOKUP(AQ138,'[2]Harga &amp; Nama CSO'!$A$116:$R$136,15,FALSE),0)*AV138</f>
        <v>0</v>
      </c>
      <c r="BK138" s="44">
        <f>IFERROR(VLOOKUP(AQ138,'[2]Harga &amp; Nama CSO'!$A$116:$R$136,16,FALSE),0)*AV138</f>
        <v>0</v>
      </c>
      <c r="BL138" s="44">
        <f>IFERROR(VLOOKUP(AQ138,'[2]Harga &amp; Nama CSO'!$A$116:$R$136,17,FALSE),0)*AV138</f>
        <v>0</v>
      </c>
      <c r="BM138" s="44">
        <f>IFERROR(VLOOKUP(AQ138,'[2]Harga &amp; Nama CSO'!$A$116:$R$136,18,FALSE),0)*AV138</f>
        <v>0</v>
      </c>
      <c r="BN138" s="44">
        <f>IFERROR(VLOOKUP(AQ138,'[2]Harga &amp; Nama CSO'!$A$116:$S$136,19,FALSE),0)*AV138</f>
        <v>0</v>
      </c>
      <c r="BO138" s="55">
        <f>IFERROR(VLOOKUP(AQ138,'[2]Harga &amp; Nama CSO'!$H$2:$N$22,2,FALSE),"")*AV138</f>
        <v>115800</v>
      </c>
      <c r="BP138" s="60">
        <v>46196</v>
      </c>
      <c r="BQ138" s="39">
        <v>1</v>
      </c>
      <c r="BR138" s="59">
        <v>115800</v>
      </c>
      <c r="BS138" s="39" t="s">
        <v>109</v>
      </c>
      <c r="BT138" s="57">
        <f t="shared" si="32"/>
        <v>0</v>
      </c>
      <c r="BU138" s="60">
        <v>46197</v>
      </c>
      <c r="BV138" s="8" t="e">
        <v>#VALUE!</v>
      </c>
      <c r="BW138" s="58">
        <f>VLOOKUP(AQ138,'[1]Harga &amp; Nama CSO'!$A$28:$D$31,4,0)*BQ138</f>
        <v>3</v>
      </c>
    </row>
    <row r="139" spans="41:75" x14ac:dyDescent="0.35">
      <c r="AO139" s="39">
        <v>137</v>
      </c>
      <c r="AP139" s="60">
        <v>46196</v>
      </c>
      <c r="AQ139" s="41" t="s">
        <v>96</v>
      </c>
      <c r="AR139" s="42" t="str">
        <f>IFERROR(VLOOKUP(AU139,[2]SUMMARY!$A$3:$B$7,2,FALSE),"")</f>
        <v>MC-SAGARANTEN</v>
      </c>
      <c r="AS139" s="31">
        <v>17769354</v>
      </c>
      <c r="AT139" s="31" t="str">
        <f>VLOOKUP(AS139,[2]OUTLET!$B:$C,2,0)</f>
        <v>MIDINOS Store</v>
      </c>
      <c r="AU139" s="42" t="s">
        <v>53</v>
      </c>
      <c r="AV139" s="39">
        <v>1</v>
      </c>
      <c r="AW139" s="44">
        <f>IFERROR(VLOOKUP(AQ139,'[2]Harga &amp; Nama CSO'!$A$116:$L$136,2,FALSE),0)*AV139</f>
        <v>0</v>
      </c>
      <c r="AX139" s="44">
        <f>IFERROR(VLOOKUP(AQ139,'[2]Harga &amp; Nama CSO'!$A$116:$L$136,3,FALSE),0)*AV139</f>
        <v>0</v>
      </c>
      <c r="AY139" s="44">
        <f>IFERROR(VLOOKUP(AQ139,'[2]Harga &amp; Nama CSO'!$A$116:$L$136,4,FALSE),0)*AV139</f>
        <v>3</v>
      </c>
      <c r="AZ139" s="44">
        <f>IFERROR(VLOOKUP(AQ139,'[2]Harga &amp; Nama CSO'!$A$116:$L$136,5,FALSE),0)*AV139</f>
        <v>0</v>
      </c>
      <c r="BA139" s="44">
        <f>IFERROR(VLOOKUP(AQ139,'[2]Harga &amp; Nama CSO'!$A$116:$L$136,6,FALSE),0)*AV139</f>
        <v>0</v>
      </c>
      <c r="BB139" s="44">
        <f>IFERROR(VLOOKUP(AQ139,'[2]Harga &amp; Nama CSO'!$A$116:$L$136,7,FALSE),0)*AV139</f>
        <v>0</v>
      </c>
      <c r="BC139" s="44">
        <f>IFERROR(VLOOKUP(AQ139,'[2]Harga &amp; Nama CSO'!$A$116:$L$136,8,FALSE),0)*AV139</f>
        <v>3</v>
      </c>
      <c r="BD139" s="44">
        <f>IFERROR(VLOOKUP(AQ139,'[2]Harga &amp; Nama CSO'!$A$116:$L$136,9,FALSE),0)*AV139</f>
        <v>0</v>
      </c>
      <c r="BE139" s="44">
        <f>IFERROR(VLOOKUP(AQ139,'[2]Harga &amp; Nama CSO'!$A$116:$L$136,10,FALSE),0)*AV139</f>
        <v>0</v>
      </c>
      <c r="BF139" s="44">
        <f>IFERROR(VLOOKUP(AQ139,'[2]Harga &amp; Nama CSO'!$A$116:$L$136,11,FALSE),0)*AV139</f>
        <v>0</v>
      </c>
      <c r="BG139" s="44">
        <f>IFERROR(VLOOKUP(AQ139,'[2]Harga &amp; Nama CSO'!$A$116:$L$136,12,FALSE),0)*AV139</f>
        <v>0</v>
      </c>
      <c r="BH139" s="44">
        <f>IFERROR(VLOOKUP(AQ139,'[2]Harga &amp; Nama CSO'!$A$116:$R$136,13,FALSE),0)*AV139</f>
        <v>0</v>
      </c>
      <c r="BI139" s="44">
        <f>IFERROR(VLOOKUP(AQ139,'[2]Harga &amp; Nama CSO'!$A$116:$R$136,14,FALSE),0)*AV139</f>
        <v>3</v>
      </c>
      <c r="BJ139" s="44">
        <f>IFERROR(VLOOKUP(AQ139,'[2]Harga &amp; Nama CSO'!$A$116:$R$136,15,FALSE),0)*AV139</f>
        <v>0</v>
      </c>
      <c r="BK139" s="44">
        <f>IFERROR(VLOOKUP(AQ139,'[2]Harga &amp; Nama CSO'!$A$116:$R$136,16,FALSE),0)*AV139</f>
        <v>0</v>
      </c>
      <c r="BL139" s="44">
        <f>IFERROR(VLOOKUP(AQ139,'[2]Harga &amp; Nama CSO'!$A$116:$R$136,17,FALSE),0)*AV139</f>
        <v>0</v>
      </c>
      <c r="BM139" s="44">
        <f>IFERROR(VLOOKUP(AQ139,'[2]Harga &amp; Nama CSO'!$A$116:$R$136,18,FALSE),0)*AV139</f>
        <v>0</v>
      </c>
      <c r="BN139" s="44">
        <f>IFERROR(VLOOKUP(AQ139,'[2]Harga &amp; Nama CSO'!$A$116:$S$136,19,FALSE),0)*AV139</f>
        <v>0</v>
      </c>
      <c r="BO139" s="55">
        <f>IFERROR(VLOOKUP(AQ139,'[2]Harga &amp; Nama CSO'!$H$2:$N$22,2,FALSE),"")*AV139</f>
        <v>115800</v>
      </c>
      <c r="BP139" s="60">
        <v>46196</v>
      </c>
      <c r="BQ139" s="39">
        <v>1</v>
      </c>
      <c r="BR139" s="59">
        <v>115800</v>
      </c>
      <c r="BS139" s="39" t="s">
        <v>109</v>
      </c>
      <c r="BT139" s="57">
        <f t="shared" si="32"/>
        <v>0</v>
      </c>
      <c r="BU139" s="60">
        <v>46197</v>
      </c>
      <c r="BV139" s="8" t="e">
        <v>#VALUE!</v>
      </c>
      <c r="BW139" s="58">
        <f>VLOOKUP(AQ139,'[1]Harga &amp; Nama CSO'!$A$28:$D$31,4,0)*BQ139</f>
        <v>3</v>
      </c>
    </row>
    <row r="140" spans="41:75" x14ac:dyDescent="0.35">
      <c r="AO140" s="39">
        <v>138</v>
      </c>
      <c r="AP140" s="60">
        <v>46196</v>
      </c>
      <c r="AQ140" s="41" t="s">
        <v>96</v>
      </c>
      <c r="AR140" s="42" t="str">
        <f>IFERROR(VLOOKUP(AU140,[2]SUMMARY!$A$3:$B$7,2,FALSE),"")</f>
        <v>MC-SAGARANTEN</v>
      </c>
      <c r="AS140" s="42">
        <v>17381211</v>
      </c>
      <c r="AT140" s="31" t="str">
        <f>VLOOKUP(AS140,[2]OUTLET!$B:$C,2,0)</f>
        <v>SABISANA CELL</v>
      </c>
      <c r="AU140" s="42" t="s">
        <v>54</v>
      </c>
      <c r="AV140" s="39">
        <v>1</v>
      </c>
      <c r="AW140" s="44">
        <f>IFERROR(VLOOKUP(AQ140,'[2]Harga &amp; Nama CSO'!$A$116:$L$136,2,FALSE),0)*AV140</f>
        <v>0</v>
      </c>
      <c r="AX140" s="44">
        <f>IFERROR(VLOOKUP(AQ140,'[2]Harga &amp; Nama CSO'!$A$116:$L$136,3,FALSE),0)*AV140</f>
        <v>0</v>
      </c>
      <c r="AY140" s="44">
        <f>IFERROR(VLOOKUP(AQ140,'[2]Harga &amp; Nama CSO'!$A$116:$L$136,4,FALSE),0)*AV140</f>
        <v>3</v>
      </c>
      <c r="AZ140" s="44">
        <f>IFERROR(VLOOKUP(AQ140,'[2]Harga &amp; Nama CSO'!$A$116:$L$136,5,FALSE),0)*AV140</f>
        <v>0</v>
      </c>
      <c r="BA140" s="44">
        <f>IFERROR(VLOOKUP(AQ140,'[2]Harga &amp; Nama CSO'!$A$116:$L$136,6,FALSE),0)*AV140</f>
        <v>0</v>
      </c>
      <c r="BB140" s="44">
        <f>IFERROR(VLOOKUP(AQ140,'[2]Harga &amp; Nama CSO'!$A$116:$L$136,7,FALSE),0)*AV140</f>
        <v>0</v>
      </c>
      <c r="BC140" s="44">
        <f>IFERROR(VLOOKUP(AQ140,'[2]Harga &amp; Nama CSO'!$A$116:$L$136,8,FALSE),0)*AV140</f>
        <v>3</v>
      </c>
      <c r="BD140" s="44">
        <f>IFERROR(VLOOKUP(AQ140,'[2]Harga &amp; Nama CSO'!$A$116:$L$136,9,FALSE),0)*AV140</f>
        <v>0</v>
      </c>
      <c r="BE140" s="44">
        <f>IFERROR(VLOOKUP(AQ140,'[2]Harga &amp; Nama CSO'!$A$116:$L$136,10,FALSE),0)*AV140</f>
        <v>0</v>
      </c>
      <c r="BF140" s="44">
        <f>IFERROR(VLOOKUP(AQ140,'[2]Harga &amp; Nama CSO'!$A$116:$L$136,11,FALSE),0)*AV140</f>
        <v>0</v>
      </c>
      <c r="BG140" s="44">
        <f>IFERROR(VLOOKUP(AQ140,'[2]Harga &amp; Nama CSO'!$A$116:$L$136,12,FALSE),0)*AV140</f>
        <v>0</v>
      </c>
      <c r="BH140" s="44">
        <f>IFERROR(VLOOKUP(AQ140,'[2]Harga &amp; Nama CSO'!$A$116:$R$136,13,FALSE),0)*AV140</f>
        <v>0</v>
      </c>
      <c r="BI140" s="44">
        <f>IFERROR(VLOOKUP(AQ140,'[2]Harga &amp; Nama CSO'!$A$116:$R$136,14,FALSE),0)*AV140</f>
        <v>3</v>
      </c>
      <c r="BJ140" s="44">
        <f>IFERROR(VLOOKUP(AQ140,'[2]Harga &amp; Nama CSO'!$A$116:$R$136,15,FALSE),0)*AV140</f>
        <v>0</v>
      </c>
      <c r="BK140" s="44">
        <f>IFERROR(VLOOKUP(AQ140,'[2]Harga &amp; Nama CSO'!$A$116:$R$136,16,FALSE),0)*AV140</f>
        <v>0</v>
      </c>
      <c r="BL140" s="44">
        <f>IFERROR(VLOOKUP(AQ140,'[2]Harga &amp; Nama CSO'!$A$116:$R$136,17,FALSE),0)*AV140</f>
        <v>0</v>
      </c>
      <c r="BM140" s="44">
        <f>IFERROR(VLOOKUP(AQ140,'[2]Harga &amp; Nama CSO'!$A$116:$R$136,18,FALSE),0)*AV140</f>
        <v>0</v>
      </c>
      <c r="BN140" s="44">
        <f>IFERROR(VLOOKUP(AQ140,'[2]Harga &amp; Nama CSO'!$A$116:$S$136,19,FALSE),0)*AV140</f>
        <v>0</v>
      </c>
      <c r="BO140" s="55">
        <f>IFERROR(VLOOKUP(AQ140,'[2]Harga &amp; Nama CSO'!$H$2:$N$22,2,FALSE),"")*AV140</f>
        <v>115800</v>
      </c>
      <c r="BP140" s="60">
        <v>46196</v>
      </c>
      <c r="BQ140" s="39">
        <v>1</v>
      </c>
      <c r="BR140" s="59">
        <v>115800</v>
      </c>
      <c r="BS140" s="39" t="s">
        <v>109</v>
      </c>
      <c r="BT140" s="57">
        <f t="shared" si="32"/>
        <v>0</v>
      </c>
      <c r="BU140" s="60">
        <v>46197</v>
      </c>
      <c r="BV140" s="8" t="e">
        <v>#VALUE!</v>
      </c>
      <c r="BW140" s="58">
        <f>VLOOKUP(AQ140,'[1]Harga &amp; Nama CSO'!$A$28:$D$31,4,0)*BQ140</f>
        <v>3</v>
      </c>
    </row>
    <row r="141" spans="41:75" x14ac:dyDescent="0.35">
      <c r="AO141" s="39">
        <v>139</v>
      </c>
      <c r="AP141" s="60">
        <v>46196</v>
      </c>
      <c r="AQ141" s="41" t="s">
        <v>96</v>
      </c>
      <c r="AR141" s="42" t="str">
        <f>IFERROR(VLOOKUP(AU141,[2]SUMMARY!$A$3:$B$7,2,FALSE),"")</f>
        <v>MC-SAGARANTEN</v>
      </c>
      <c r="AS141" s="42">
        <v>17050774</v>
      </c>
      <c r="AT141" s="31" t="str">
        <f>VLOOKUP(AS141,[2]OUTLET!$B:$C,2,0)</f>
        <v>HELGISTA CELL</v>
      </c>
      <c r="AU141" s="42" t="s">
        <v>54</v>
      </c>
      <c r="AV141" s="39">
        <v>1</v>
      </c>
      <c r="AW141" s="44">
        <f>IFERROR(VLOOKUP(AQ141,'[2]Harga &amp; Nama CSO'!$A$116:$L$136,2,FALSE),0)*AV141</f>
        <v>0</v>
      </c>
      <c r="AX141" s="44">
        <f>IFERROR(VLOOKUP(AQ141,'[2]Harga &amp; Nama CSO'!$A$116:$L$136,3,FALSE),0)*AV141</f>
        <v>0</v>
      </c>
      <c r="AY141" s="44">
        <f>IFERROR(VLOOKUP(AQ141,'[2]Harga &amp; Nama CSO'!$A$116:$L$136,4,FALSE),0)*AV141</f>
        <v>3</v>
      </c>
      <c r="AZ141" s="44">
        <f>IFERROR(VLOOKUP(AQ141,'[2]Harga &amp; Nama CSO'!$A$116:$L$136,5,FALSE),0)*AV141</f>
        <v>0</v>
      </c>
      <c r="BA141" s="44">
        <f>IFERROR(VLOOKUP(AQ141,'[2]Harga &amp; Nama CSO'!$A$116:$L$136,6,FALSE),0)*AV141</f>
        <v>0</v>
      </c>
      <c r="BB141" s="44">
        <f>IFERROR(VLOOKUP(AQ141,'[2]Harga &amp; Nama CSO'!$A$116:$L$136,7,FALSE),0)*AV141</f>
        <v>0</v>
      </c>
      <c r="BC141" s="44">
        <f>IFERROR(VLOOKUP(AQ141,'[2]Harga &amp; Nama CSO'!$A$116:$L$136,8,FALSE),0)*AV141</f>
        <v>3</v>
      </c>
      <c r="BD141" s="44">
        <f>IFERROR(VLOOKUP(AQ141,'[2]Harga &amp; Nama CSO'!$A$116:$L$136,9,FALSE),0)*AV141</f>
        <v>0</v>
      </c>
      <c r="BE141" s="44">
        <f>IFERROR(VLOOKUP(AQ141,'[2]Harga &amp; Nama CSO'!$A$116:$L$136,10,FALSE),0)*AV141</f>
        <v>0</v>
      </c>
      <c r="BF141" s="44">
        <f>IFERROR(VLOOKUP(AQ141,'[2]Harga &amp; Nama CSO'!$A$116:$L$136,11,FALSE),0)*AV141</f>
        <v>0</v>
      </c>
      <c r="BG141" s="44">
        <f>IFERROR(VLOOKUP(AQ141,'[2]Harga &amp; Nama CSO'!$A$116:$L$136,12,FALSE),0)*AV141</f>
        <v>0</v>
      </c>
      <c r="BH141" s="44">
        <f>IFERROR(VLOOKUP(AQ141,'[2]Harga &amp; Nama CSO'!$A$116:$R$136,13,FALSE),0)*AV141</f>
        <v>0</v>
      </c>
      <c r="BI141" s="44">
        <f>IFERROR(VLOOKUP(AQ141,'[2]Harga &amp; Nama CSO'!$A$116:$R$136,14,FALSE),0)*AV141</f>
        <v>3</v>
      </c>
      <c r="BJ141" s="44">
        <f>IFERROR(VLOOKUP(AQ141,'[2]Harga &amp; Nama CSO'!$A$116:$R$136,15,FALSE),0)*AV141</f>
        <v>0</v>
      </c>
      <c r="BK141" s="44">
        <f>IFERROR(VLOOKUP(AQ141,'[2]Harga &amp; Nama CSO'!$A$116:$R$136,16,FALSE),0)*AV141</f>
        <v>0</v>
      </c>
      <c r="BL141" s="44">
        <f>IFERROR(VLOOKUP(AQ141,'[2]Harga &amp; Nama CSO'!$A$116:$R$136,17,FALSE),0)*AV141</f>
        <v>0</v>
      </c>
      <c r="BM141" s="44">
        <f>IFERROR(VLOOKUP(AQ141,'[2]Harga &amp; Nama CSO'!$A$116:$R$136,18,FALSE),0)*AV141</f>
        <v>0</v>
      </c>
      <c r="BN141" s="44">
        <f>IFERROR(VLOOKUP(AQ141,'[2]Harga &amp; Nama CSO'!$A$116:$S$136,19,FALSE),0)*AV141</f>
        <v>0</v>
      </c>
      <c r="BO141" s="55">
        <f>IFERROR(VLOOKUP(AQ141,'[2]Harga &amp; Nama CSO'!$H$2:$N$22,2,FALSE),"")*AV141</f>
        <v>115800</v>
      </c>
      <c r="BP141" s="60">
        <v>46196</v>
      </c>
      <c r="BQ141" s="39">
        <v>1</v>
      </c>
      <c r="BR141" s="59">
        <v>115800</v>
      </c>
      <c r="BS141" s="39" t="s">
        <v>109</v>
      </c>
      <c r="BT141" s="57">
        <f t="shared" si="32"/>
        <v>0</v>
      </c>
      <c r="BU141" s="60">
        <v>46197</v>
      </c>
      <c r="BV141" s="8" t="e">
        <v>#VALUE!</v>
      </c>
      <c r="BW141" s="58">
        <f>VLOOKUP(AQ141,'[1]Harga &amp; Nama CSO'!$A$28:$D$31,4,0)*BQ141</f>
        <v>3</v>
      </c>
    </row>
    <row r="142" spans="41:75" x14ac:dyDescent="0.35">
      <c r="AO142" s="39">
        <v>140</v>
      </c>
      <c r="AP142" s="60">
        <v>46196</v>
      </c>
      <c r="AQ142" s="41" t="s">
        <v>96</v>
      </c>
      <c r="AR142" s="42" t="str">
        <f>IFERROR(VLOOKUP(AU142,[2]SUMMARY!$A$3:$B$7,2,FALSE),"")</f>
        <v>MC-SAGARANTEN</v>
      </c>
      <c r="AS142" s="42">
        <v>17223136</v>
      </c>
      <c r="AT142" s="31" t="str">
        <f>VLOOKUP(AS142,[2]OUTLET!$B:$C,2,0)</f>
        <v>Salman Cell</v>
      </c>
      <c r="AU142" s="42" t="s">
        <v>54</v>
      </c>
      <c r="AV142" s="39">
        <v>1</v>
      </c>
      <c r="AW142" s="44">
        <f>IFERROR(VLOOKUP(AQ142,'[2]Harga &amp; Nama CSO'!$A$116:$L$136,2,FALSE),0)*AV142</f>
        <v>0</v>
      </c>
      <c r="AX142" s="44">
        <f>IFERROR(VLOOKUP(AQ142,'[2]Harga &amp; Nama CSO'!$A$116:$L$136,3,FALSE),0)*AV142</f>
        <v>0</v>
      </c>
      <c r="AY142" s="44">
        <f>IFERROR(VLOOKUP(AQ142,'[2]Harga &amp; Nama CSO'!$A$116:$L$136,4,FALSE),0)*AV142</f>
        <v>3</v>
      </c>
      <c r="AZ142" s="44">
        <f>IFERROR(VLOOKUP(AQ142,'[2]Harga &amp; Nama CSO'!$A$116:$L$136,5,FALSE),0)*AV142</f>
        <v>0</v>
      </c>
      <c r="BA142" s="44">
        <f>IFERROR(VLOOKUP(AQ142,'[2]Harga &amp; Nama CSO'!$A$116:$L$136,6,FALSE),0)*AV142</f>
        <v>0</v>
      </c>
      <c r="BB142" s="44">
        <f>IFERROR(VLOOKUP(AQ142,'[2]Harga &amp; Nama CSO'!$A$116:$L$136,7,FALSE),0)*AV142</f>
        <v>0</v>
      </c>
      <c r="BC142" s="44">
        <f>IFERROR(VLOOKUP(AQ142,'[2]Harga &amp; Nama CSO'!$A$116:$L$136,8,FALSE),0)*AV142</f>
        <v>3</v>
      </c>
      <c r="BD142" s="44">
        <f>IFERROR(VLOOKUP(AQ142,'[2]Harga &amp; Nama CSO'!$A$116:$L$136,9,FALSE),0)*AV142</f>
        <v>0</v>
      </c>
      <c r="BE142" s="44">
        <f>IFERROR(VLOOKUP(AQ142,'[2]Harga &amp; Nama CSO'!$A$116:$L$136,10,FALSE),0)*AV142</f>
        <v>0</v>
      </c>
      <c r="BF142" s="44">
        <f>IFERROR(VLOOKUP(AQ142,'[2]Harga &amp; Nama CSO'!$A$116:$L$136,11,FALSE),0)*AV142</f>
        <v>0</v>
      </c>
      <c r="BG142" s="44">
        <f>IFERROR(VLOOKUP(AQ142,'[2]Harga &amp; Nama CSO'!$A$116:$L$136,12,FALSE),0)*AV142</f>
        <v>0</v>
      </c>
      <c r="BH142" s="44">
        <f>IFERROR(VLOOKUP(AQ142,'[2]Harga &amp; Nama CSO'!$A$116:$R$136,13,FALSE),0)*AV142</f>
        <v>0</v>
      </c>
      <c r="BI142" s="44">
        <f>IFERROR(VLOOKUP(AQ142,'[2]Harga &amp; Nama CSO'!$A$116:$R$136,14,FALSE),0)*AV142</f>
        <v>3</v>
      </c>
      <c r="BJ142" s="44">
        <f>IFERROR(VLOOKUP(AQ142,'[2]Harga &amp; Nama CSO'!$A$116:$R$136,15,FALSE),0)*AV142</f>
        <v>0</v>
      </c>
      <c r="BK142" s="44">
        <f>IFERROR(VLOOKUP(AQ142,'[2]Harga &amp; Nama CSO'!$A$116:$R$136,16,FALSE),0)*AV142</f>
        <v>0</v>
      </c>
      <c r="BL142" s="44">
        <f>IFERROR(VLOOKUP(AQ142,'[2]Harga &amp; Nama CSO'!$A$116:$R$136,17,FALSE),0)*AV142</f>
        <v>0</v>
      </c>
      <c r="BM142" s="44">
        <f>IFERROR(VLOOKUP(AQ142,'[2]Harga &amp; Nama CSO'!$A$116:$R$136,18,FALSE),0)*AV142</f>
        <v>0</v>
      </c>
      <c r="BN142" s="44">
        <f>IFERROR(VLOOKUP(AQ142,'[2]Harga &amp; Nama CSO'!$A$116:$S$136,19,FALSE),0)*AV142</f>
        <v>0</v>
      </c>
      <c r="BO142" s="55">
        <f>IFERROR(VLOOKUP(AQ142,'[2]Harga &amp; Nama CSO'!$H$2:$N$22,2,FALSE),"")*AV142</f>
        <v>115800</v>
      </c>
      <c r="BP142" s="60">
        <v>46196</v>
      </c>
      <c r="BQ142" s="39">
        <v>1</v>
      </c>
      <c r="BR142" s="59">
        <v>115700</v>
      </c>
      <c r="BS142" s="39" t="s">
        <v>109</v>
      </c>
      <c r="BT142" s="57">
        <f t="shared" si="32"/>
        <v>100</v>
      </c>
      <c r="BU142" s="60">
        <v>46197</v>
      </c>
      <c r="BV142" s="8" t="e">
        <v>#VALUE!</v>
      </c>
      <c r="BW142" s="58">
        <f>VLOOKUP(AQ142,'[1]Harga &amp; Nama CSO'!$A$28:$D$31,4,0)*BQ142</f>
        <v>3</v>
      </c>
    </row>
    <row r="143" spans="41:75" x14ac:dyDescent="0.35">
      <c r="AO143" s="39">
        <v>141</v>
      </c>
      <c r="AP143" s="60">
        <v>46196</v>
      </c>
      <c r="AQ143" s="41" t="s">
        <v>96</v>
      </c>
      <c r="AR143" s="42" t="str">
        <f>IFERROR(VLOOKUP(AU143,[2]SUMMARY!$A$3:$B$7,2,FALSE),"")</f>
        <v>MC-SAGARANTEN</v>
      </c>
      <c r="AS143" s="42">
        <v>17139621</v>
      </c>
      <c r="AT143" s="31" t="str">
        <f>VLOOKUP(AS143,[2]OUTLET!$B:$C,2,0)</f>
        <v>BRANDAL CINTA CELL</v>
      </c>
      <c r="AU143" s="42" t="s">
        <v>54</v>
      </c>
      <c r="AV143" s="39">
        <v>1</v>
      </c>
      <c r="AW143" s="44">
        <f>IFERROR(VLOOKUP(AQ143,'[2]Harga &amp; Nama CSO'!$A$116:$L$136,2,FALSE),0)*AV143</f>
        <v>0</v>
      </c>
      <c r="AX143" s="44">
        <f>IFERROR(VLOOKUP(AQ143,'[2]Harga &amp; Nama CSO'!$A$116:$L$136,3,FALSE),0)*AV143</f>
        <v>0</v>
      </c>
      <c r="AY143" s="44">
        <f>IFERROR(VLOOKUP(AQ143,'[2]Harga &amp; Nama CSO'!$A$116:$L$136,4,FALSE),0)*AV143</f>
        <v>3</v>
      </c>
      <c r="AZ143" s="44">
        <f>IFERROR(VLOOKUP(AQ143,'[2]Harga &amp; Nama CSO'!$A$116:$L$136,5,FALSE),0)*AV143</f>
        <v>0</v>
      </c>
      <c r="BA143" s="44">
        <f>IFERROR(VLOOKUP(AQ143,'[2]Harga &amp; Nama CSO'!$A$116:$L$136,6,FALSE),0)*AV143</f>
        <v>0</v>
      </c>
      <c r="BB143" s="44">
        <f>IFERROR(VLOOKUP(AQ143,'[2]Harga &amp; Nama CSO'!$A$116:$L$136,7,FALSE),0)*AV143</f>
        <v>0</v>
      </c>
      <c r="BC143" s="44">
        <f>IFERROR(VLOOKUP(AQ143,'[2]Harga &amp; Nama CSO'!$A$116:$L$136,8,FALSE),0)*AV143</f>
        <v>3</v>
      </c>
      <c r="BD143" s="44">
        <f>IFERROR(VLOOKUP(AQ143,'[2]Harga &amp; Nama CSO'!$A$116:$L$136,9,FALSE),0)*AV143</f>
        <v>0</v>
      </c>
      <c r="BE143" s="44">
        <f>IFERROR(VLOOKUP(AQ143,'[2]Harga &amp; Nama CSO'!$A$116:$L$136,10,FALSE),0)*AV143</f>
        <v>0</v>
      </c>
      <c r="BF143" s="44">
        <f>IFERROR(VLOOKUP(AQ143,'[2]Harga &amp; Nama CSO'!$A$116:$L$136,11,FALSE),0)*AV143</f>
        <v>0</v>
      </c>
      <c r="BG143" s="44">
        <f>IFERROR(VLOOKUP(AQ143,'[2]Harga &amp; Nama CSO'!$A$116:$L$136,12,FALSE),0)*AV143</f>
        <v>0</v>
      </c>
      <c r="BH143" s="44">
        <f>IFERROR(VLOOKUP(AQ143,'[2]Harga &amp; Nama CSO'!$A$116:$R$136,13,FALSE),0)*AV143</f>
        <v>0</v>
      </c>
      <c r="BI143" s="44">
        <f>IFERROR(VLOOKUP(AQ143,'[2]Harga &amp; Nama CSO'!$A$116:$R$136,14,FALSE),0)*AV143</f>
        <v>3</v>
      </c>
      <c r="BJ143" s="44">
        <f>IFERROR(VLOOKUP(AQ143,'[2]Harga &amp; Nama CSO'!$A$116:$R$136,15,FALSE),0)*AV143</f>
        <v>0</v>
      </c>
      <c r="BK143" s="44">
        <f>IFERROR(VLOOKUP(AQ143,'[2]Harga &amp; Nama CSO'!$A$116:$R$136,16,FALSE),0)*AV143</f>
        <v>0</v>
      </c>
      <c r="BL143" s="44">
        <f>IFERROR(VLOOKUP(AQ143,'[2]Harga &amp; Nama CSO'!$A$116:$R$136,17,FALSE),0)*AV143</f>
        <v>0</v>
      </c>
      <c r="BM143" s="44">
        <f>IFERROR(VLOOKUP(AQ143,'[2]Harga &amp; Nama CSO'!$A$116:$R$136,18,FALSE),0)*AV143</f>
        <v>0</v>
      </c>
      <c r="BN143" s="44">
        <f>IFERROR(VLOOKUP(AQ143,'[2]Harga &amp; Nama CSO'!$A$116:$S$136,19,FALSE),0)*AV143</f>
        <v>0</v>
      </c>
      <c r="BO143" s="55">
        <f>IFERROR(VLOOKUP(AQ143,'[2]Harga &amp; Nama CSO'!$H$2:$N$22,2,FALSE),"")*AV143</f>
        <v>115800</v>
      </c>
      <c r="BP143" s="60">
        <v>46196</v>
      </c>
      <c r="BQ143" s="39">
        <v>1</v>
      </c>
      <c r="BR143" s="59">
        <v>115600</v>
      </c>
      <c r="BS143" s="39" t="s">
        <v>109</v>
      </c>
      <c r="BT143" s="57">
        <f t="shared" si="32"/>
        <v>200</v>
      </c>
      <c r="BU143" s="60">
        <v>46197</v>
      </c>
      <c r="BV143" s="8" t="e">
        <v>#VALUE!</v>
      </c>
      <c r="BW143" s="58">
        <f>VLOOKUP(AQ143,'[1]Harga &amp; Nama CSO'!$A$28:$D$31,4,0)*BQ143</f>
        <v>3</v>
      </c>
    </row>
    <row r="144" spans="41:75" x14ac:dyDescent="0.35">
      <c r="AO144" s="39">
        <v>142</v>
      </c>
      <c r="AP144" s="60">
        <v>46197</v>
      </c>
      <c r="AQ144" s="41" t="s">
        <v>97</v>
      </c>
      <c r="AR144" s="42" t="str">
        <f>IFERROR(VLOOKUP(AU144,[2]SUMMARY!$A$3:$B$7,2,FALSE),"")</f>
        <v>MC-SAGARANTEN</v>
      </c>
      <c r="AS144" s="42">
        <v>17734002</v>
      </c>
      <c r="AT144" s="31" t="str">
        <f>VLOOKUP(AS144,[2]OUTLET!$B:$C,2,0)</f>
        <v>EBEH CELL</v>
      </c>
      <c r="AU144" s="42" t="s">
        <v>41</v>
      </c>
      <c r="AV144" s="39">
        <v>1</v>
      </c>
      <c r="AW144" s="44">
        <f>IFERROR(VLOOKUP(AQ144,'[2]Harga &amp; Nama CSO'!$A$116:$L$136,2,FALSE),0)*AV144</f>
        <v>0</v>
      </c>
      <c r="AX144" s="44">
        <f>IFERROR(VLOOKUP(AQ144,'[2]Harga &amp; Nama CSO'!$A$116:$L$136,3,FALSE),0)*AV144</f>
        <v>0</v>
      </c>
      <c r="AY144" s="44">
        <f>IFERROR(VLOOKUP(AQ144,'[2]Harga &amp; Nama CSO'!$A$116:$L$136,4,FALSE),0)*AV144</f>
        <v>3</v>
      </c>
      <c r="AZ144" s="44">
        <f>IFERROR(VLOOKUP(AQ144,'[2]Harga &amp; Nama CSO'!$A$116:$L$136,5,FALSE),0)*AV144</f>
        <v>0</v>
      </c>
      <c r="BA144" s="44">
        <f>IFERROR(VLOOKUP(AQ144,'[2]Harga &amp; Nama CSO'!$A$116:$L$136,6,FALSE),0)*AV144</f>
        <v>0</v>
      </c>
      <c r="BB144" s="44">
        <f>IFERROR(VLOOKUP(AQ144,'[2]Harga &amp; Nama CSO'!$A$116:$L$136,7,FALSE),0)*AV144</f>
        <v>0</v>
      </c>
      <c r="BC144" s="44">
        <f>IFERROR(VLOOKUP(AQ144,'[2]Harga &amp; Nama CSO'!$A$116:$L$136,8,FALSE),0)*AV144</f>
        <v>0</v>
      </c>
      <c r="BD144" s="44">
        <f>IFERROR(VLOOKUP(AQ144,'[2]Harga &amp; Nama CSO'!$A$116:$L$136,9,FALSE),0)*AV144</f>
        <v>0</v>
      </c>
      <c r="BE144" s="44">
        <f>IFERROR(VLOOKUP(AQ144,'[2]Harga &amp; Nama CSO'!$A$116:$L$136,10,FALSE),0)*AV144</f>
        <v>3</v>
      </c>
      <c r="BF144" s="44">
        <f>IFERROR(VLOOKUP(AQ144,'[2]Harga &amp; Nama CSO'!$A$116:$L$136,11,FALSE),0)*AV144</f>
        <v>0</v>
      </c>
      <c r="BG144" s="44">
        <f>IFERROR(VLOOKUP(AQ144,'[2]Harga &amp; Nama CSO'!$A$116:$L$136,12,FALSE),0)*AV144</f>
        <v>0</v>
      </c>
      <c r="BH144" s="44">
        <f>IFERROR(VLOOKUP(AQ144,'[2]Harga &amp; Nama CSO'!$A$116:$R$136,13,FALSE),0)*AV144</f>
        <v>0</v>
      </c>
      <c r="BI144" s="44">
        <f>IFERROR(VLOOKUP(AQ144,'[2]Harga &amp; Nama CSO'!$A$116:$R$136,14,FALSE),0)*AV144</f>
        <v>3</v>
      </c>
      <c r="BJ144" s="44">
        <f>IFERROR(VLOOKUP(AQ144,'[2]Harga &amp; Nama CSO'!$A$116:$R$136,15,FALSE),0)*AV144</f>
        <v>0</v>
      </c>
      <c r="BK144" s="44">
        <f>IFERROR(VLOOKUP(AQ144,'[2]Harga &amp; Nama CSO'!$A$116:$R$136,16,FALSE),0)*AV144</f>
        <v>0</v>
      </c>
      <c r="BL144" s="44">
        <f>IFERROR(VLOOKUP(AQ144,'[2]Harga &amp; Nama CSO'!$A$116:$R$136,17,FALSE),0)*AV144</f>
        <v>0</v>
      </c>
      <c r="BM144" s="44">
        <f>IFERROR(VLOOKUP(AQ144,'[2]Harga &amp; Nama CSO'!$A$116:$R$136,18,FALSE),0)*AV144</f>
        <v>0</v>
      </c>
      <c r="BN144" s="44">
        <f>IFERROR(VLOOKUP(AQ144,'[2]Harga &amp; Nama CSO'!$A$116:$S$136,19,FALSE),0)*AV144</f>
        <v>0</v>
      </c>
      <c r="BO144" s="55">
        <f>IFERROR(VLOOKUP(AQ144,'[2]Harga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ref="BT144:BT207" si="33">BO144-BR144</f>
        <v>0</v>
      </c>
      <c r="BU144" s="60">
        <v>46198</v>
      </c>
      <c r="BV144" s="8" t="e">
        <v>#VALUE!</v>
      </c>
      <c r="BW144" s="58">
        <f>VLOOKUP(AQ144,'[1]Harga &amp; Nama CSO'!$A$28:$D$31,4,0)*BQ144</f>
        <v>3</v>
      </c>
    </row>
    <row r="145" spans="41:75" x14ac:dyDescent="0.35">
      <c r="AO145" s="39">
        <v>143</v>
      </c>
      <c r="AP145" s="60">
        <v>46197</v>
      </c>
      <c r="AQ145" s="41" t="s">
        <v>97</v>
      </c>
      <c r="AR145" s="42" t="str">
        <f>IFERROR(VLOOKUP(AU145,[2]SUMMARY!$A$3:$B$7,2,FALSE),"")</f>
        <v>MC-SAGARANTEN</v>
      </c>
      <c r="AS145" s="42">
        <v>694114</v>
      </c>
      <c r="AT145" s="31" t="str">
        <f>VLOOKUP(AS145,[2]OUTLET!$B:$C,2,0)</f>
        <v>TIGA CELL</v>
      </c>
      <c r="AU145" s="42" t="s">
        <v>41</v>
      </c>
      <c r="AV145" s="39">
        <v>1</v>
      </c>
      <c r="AW145" s="44">
        <f>IFERROR(VLOOKUP(AQ145,'[2]Harga &amp; Nama CSO'!$A$116:$L$136,2,FALSE),0)*AV145</f>
        <v>0</v>
      </c>
      <c r="AX145" s="44">
        <f>IFERROR(VLOOKUP(AQ145,'[2]Harga &amp; Nama CSO'!$A$116:$L$136,3,FALSE),0)*AV145</f>
        <v>0</v>
      </c>
      <c r="AY145" s="44">
        <f>IFERROR(VLOOKUP(AQ145,'[2]Harga &amp; Nama CSO'!$A$116:$L$136,4,FALSE),0)*AV145</f>
        <v>3</v>
      </c>
      <c r="AZ145" s="44">
        <f>IFERROR(VLOOKUP(AQ145,'[2]Harga &amp; Nama CSO'!$A$116:$L$136,5,FALSE),0)*AV145</f>
        <v>0</v>
      </c>
      <c r="BA145" s="44">
        <f>IFERROR(VLOOKUP(AQ145,'[2]Harga &amp; Nama CSO'!$A$116:$L$136,6,FALSE),0)*AV145</f>
        <v>0</v>
      </c>
      <c r="BB145" s="44">
        <f>IFERROR(VLOOKUP(AQ145,'[2]Harga &amp; Nama CSO'!$A$116:$L$136,7,FALSE),0)*AV145</f>
        <v>0</v>
      </c>
      <c r="BC145" s="44">
        <f>IFERROR(VLOOKUP(AQ145,'[2]Harga &amp; Nama CSO'!$A$116:$L$136,8,FALSE),0)*AV145</f>
        <v>0</v>
      </c>
      <c r="BD145" s="44">
        <f>IFERROR(VLOOKUP(AQ145,'[2]Harga &amp; Nama CSO'!$A$116:$L$136,9,FALSE),0)*AV145</f>
        <v>0</v>
      </c>
      <c r="BE145" s="44">
        <f>IFERROR(VLOOKUP(AQ145,'[2]Harga &amp; Nama CSO'!$A$116:$L$136,10,FALSE),0)*AV145</f>
        <v>3</v>
      </c>
      <c r="BF145" s="44">
        <f>IFERROR(VLOOKUP(AQ145,'[2]Harga &amp; Nama CSO'!$A$116:$L$136,11,FALSE),0)*AV145</f>
        <v>0</v>
      </c>
      <c r="BG145" s="44">
        <f>IFERROR(VLOOKUP(AQ145,'[2]Harga &amp; Nama CSO'!$A$116:$L$136,12,FALSE),0)*AV145</f>
        <v>0</v>
      </c>
      <c r="BH145" s="44">
        <f>IFERROR(VLOOKUP(AQ145,'[2]Harga &amp; Nama CSO'!$A$116:$R$136,13,FALSE),0)*AV145</f>
        <v>0</v>
      </c>
      <c r="BI145" s="44">
        <f>IFERROR(VLOOKUP(AQ145,'[2]Harga &amp; Nama CSO'!$A$116:$R$136,14,FALSE),0)*AV145</f>
        <v>3</v>
      </c>
      <c r="BJ145" s="44">
        <f>IFERROR(VLOOKUP(AQ145,'[2]Harga &amp; Nama CSO'!$A$116:$R$136,15,FALSE),0)*AV145</f>
        <v>0</v>
      </c>
      <c r="BK145" s="44">
        <f>IFERROR(VLOOKUP(AQ145,'[2]Harga &amp; Nama CSO'!$A$116:$R$136,16,FALSE),0)*AV145</f>
        <v>0</v>
      </c>
      <c r="BL145" s="44">
        <f>IFERROR(VLOOKUP(AQ145,'[2]Harga &amp; Nama CSO'!$A$116:$R$136,17,FALSE),0)*AV145</f>
        <v>0</v>
      </c>
      <c r="BM145" s="44">
        <f>IFERROR(VLOOKUP(AQ145,'[2]Harga &amp; Nama CSO'!$A$116:$R$136,18,FALSE),0)*AV145</f>
        <v>0</v>
      </c>
      <c r="BN145" s="44">
        <f>IFERROR(VLOOKUP(AQ145,'[2]Harga &amp; Nama CSO'!$A$116:$S$136,19,FALSE),0)*AV145</f>
        <v>0</v>
      </c>
      <c r="BO145" s="55">
        <f>IFERROR(VLOOKUP(AQ145,'[2]Harga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33"/>
        <v>0</v>
      </c>
      <c r="BU145" s="60">
        <v>46198</v>
      </c>
      <c r="BV145" s="8" t="e">
        <v>#VALUE!</v>
      </c>
      <c r="BW145" s="58">
        <f>VLOOKUP(AQ145,'[1]Harga &amp; Nama CSO'!$A$28:$D$31,4,0)*BQ145</f>
        <v>3</v>
      </c>
    </row>
    <row r="146" spans="41:75" x14ac:dyDescent="0.35">
      <c r="AO146" s="39">
        <v>144</v>
      </c>
      <c r="AP146" s="60">
        <v>46197</v>
      </c>
      <c r="AQ146" s="41" t="s">
        <v>97</v>
      </c>
      <c r="AR146" s="42" t="str">
        <f>IFERROR(VLOOKUP(AU146,[2]SUMMARY!$A$3:$B$7,2,FALSE),"")</f>
        <v>MC-SAGARANTEN</v>
      </c>
      <c r="AS146" s="42">
        <v>17187147</v>
      </c>
      <c r="AT146" s="31" t="str">
        <f>VLOOKUP(AS146,[2]OUTLET!$B:$C,2,0)</f>
        <v>Nazila cell</v>
      </c>
      <c r="AU146" s="42" t="s">
        <v>41</v>
      </c>
      <c r="AV146" s="39">
        <v>1</v>
      </c>
      <c r="AW146" s="44">
        <f>IFERROR(VLOOKUP(AQ146,'[2]Harga &amp; Nama CSO'!$A$116:$L$136,2,FALSE),0)*AV146</f>
        <v>0</v>
      </c>
      <c r="AX146" s="44">
        <f>IFERROR(VLOOKUP(AQ146,'[2]Harga &amp; Nama CSO'!$A$116:$L$136,3,FALSE),0)*AV146</f>
        <v>0</v>
      </c>
      <c r="AY146" s="44">
        <f>IFERROR(VLOOKUP(AQ146,'[2]Harga &amp; Nama CSO'!$A$116:$L$136,4,FALSE),0)*AV146</f>
        <v>3</v>
      </c>
      <c r="AZ146" s="44">
        <f>IFERROR(VLOOKUP(AQ146,'[2]Harga &amp; Nama CSO'!$A$116:$L$136,5,FALSE),0)*AV146</f>
        <v>0</v>
      </c>
      <c r="BA146" s="44">
        <f>IFERROR(VLOOKUP(AQ146,'[2]Harga &amp; Nama CSO'!$A$116:$L$136,6,FALSE),0)*AV146</f>
        <v>0</v>
      </c>
      <c r="BB146" s="44">
        <f>IFERROR(VLOOKUP(AQ146,'[2]Harga &amp; Nama CSO'!$A$116:$L$136,7,FALSE),0)*AV146</f>
        <v>0</v>
      </c>
      <c r="BC146" s="44">
        <f>IFERROR(VLOOKUP(AQ146,'[2]Harga &amp; Nama CSO'!$A$116:$L$136,8,FALSE),0)*AV146</f>
        <v>0</v>
      </c>
      <c r="BD146" s="44">
        <f>IFERROR(VLOOKUP(AQ146,'[2]Harga &amp; Nama CSO'!$A$116:$L$136,9,FALSE),0)*AV146</f>
        <v>0</v>
      </c>
      <c r="BE146" s="44">
        <f>IFERROR(VLOOKUP(AQ146,'[2]Harga &amp; Nama CSO'!$A$116:$L$136,10,FALSE),0)*AV146</f>
        <v>3</v>
      </c>
      <c r="BF146" s="44">
        <f>IFERROR(VLOOKUP(AQ146,'[2]Harga &amp; Nama CSO'!$A$116:$L$136,11,FALSE),0)*AV146</f>
        <v>0</v>
      </c>
      <c r="BG146" s="44">
        <f>IFERROR(VLOOKUP(AQ146,'[2]Harga &amp; Nama CSO'!$A$116:$L$136,12,FALSE),0)*AV146</f>
        <v>0</v>
      </c>
      <c r="BH146" s="44">
        <f>IFERROR(VLOOKUP(AQ146,'[2]Harga &amp; Nama CSO'!$A$116:$R$136,13,FALSE),0)*AV146</f>
        <v>0</v>
      </c>
      <c r="BI146" s="44">
        <f>IFERROR(VLOOKUP(AQ146,'[2]Harga &amp; Nama CSO'!$A$116:$R$136,14,FALSE),0)*AV146</f>
        <v>3</v>
      </c>
      <c r="BJ146" s="44">
        <f>IFERROR(VLOOKUP(AQ146,'[2]Harga &amp; Nama CSO'!$A$116:$R$136,15,FALSE),0)*AV146</f>
        <v>0</v>
      </c>
      <c r="BK146" s="44">
        <f>IFERROR(VLOOKUP(AQ146,'[2]Harga &amp; Nama CSO'!$A$116:$R$136,16,FALSE),0)*AV146</f>
        <v>0</v>
      </c>
      <c r="BL146" s="44">
        <f>IFERROR(VLOOKUP(AQ146,'[2]Harga &amp; Nama CSO'!$A$116:$R$136,17,FALSE),0)*AV146</f>
        <v>0</v>
      </c>
      <c r="BM146" s="44">
        <f>IFERROR(VLOOKUP(AQ146,'[2]Harga &amp; Nama CSO'!$A$116:$R$136,18,FALSE),0)*AV146</f>
        <v>0</v>
      </c>
      <c r="BN146" s="44">
        <f>IFERROR(VLOOKUP(AQ146,'[2]Harga &amp; Nama CSO'!$A$116:$S$136,19,FALSE),0)*AV146</f>
        <v>0</v>
      </c>
      <c r="BO146" s="55">
        <f>IFERROR(VLOOKUP(AQ146,'[2]Harga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33"/>
        <v>0</v>
      </c>
      <c r="BU146" s="60">
        <v>46198</v>
      </c>
      <c r="BV146" s="8" t="e">
        <v>#VALUE!</v>
      </c>
      <c r="BW146" s="58">
        <f>VLOOKUP(AQ146,'[1]Harga &amp; Nama CSO'!$A$28:$D$31,4,0)*BQ146</f>
        <v>3</v>
      </c>
    </row>
    <row r="147" spans="41:75" x14ac:dyDescent="0.35">
      <c r="AO147" s="39">
        <v>145</v>
      </c>
      <c r="AP147" s="60">
        <v>46197</v>
      </c>
      <c r="AQ147" s="41" t="s">
        <v>97</v>
      </c>
      <c r="AR147" s="42" t="str">
        <f>IFERROR(VLOOKUP(AU147,[2]SUMMARY!$A$3:$B$7,2,FALSE),"")</f>
        <v>MC-SAGARANTEN</v>
      </c>
      <c r="AS147" s="42">
        <v>17588132</v>
      </c>
      <c r="AT147" s="31" t="str">
        <f>VLOOKUP(AS147,[2]OUTLET!$B:$C,2,0)</f>
        <v>LUTHVI STORE</v>
      </c>
      <c r="AU147" s="42" t="s">
        <v>41</v>
      </c>
      <c r="AV147" s="39">
        <v>1</v>
      </c>
      <c r="AW147" s="44">
        <f>IFERROR(VLOOKUP(AQ147,'[2]Harga &amp; Nama CSO'!$A$116:$L$136,2,FALSE),0)*AV147</f>
        <v>0</v>
      </c>
      <c r="AX147" s="44">
        <f>IFERROR(VLOOKUP(AQ147,'[2]Harga &amp; Nama CSO'!$A$116:$L$136,3,FALSE),0)*AV147</f>
        <v>0</v>
      </c>
      <c r="AY147" s="44">
        <f>IFERROR(VLOOKUP(AQ147,'[2]Harga &amp; Nama CSO'!$A$116:$L$136,4,FALSE),0)*AV147</f>
        <v>3</v>
      </c>
      <c r="AZ147" s="44">
        <f>IFERROR(VLOOKUP(AQ147,'[2]Harga &amp; Nama CSO'!$A$116:$L$136,5,FALSE),0)*AV147</f>
        <v>0</v>
      </c>
      <c r="BA147" s="44">
        <f>IFERROR(VLOOKUP(AQ147,'[2]Harga &amp; Nama CSO'!$A$116:$L$136,6,FALSE),0)*AV147</f>
        <v>0</v>
      </c>
      <c r="BB147" s="44">
        <f>IFERROR(VLOOKUP(AQ147,'[2]Harga &amp; Nama CSO'!$A$116:$L$136,7,FALSE),0)*AV147</f>
        <v>0</v>
      </c>
      <c r="BC147" s="44">
        <f>IFERROR(VLOOKUP(AQ147,'[2]Harga &amp; Nama CSO'!$A$116:$L$136,8,FALSE),0)*AV147</f>
        <v>0</v>
      </c>
      <c r="BD147" s="44">
        <f>IFERROR(VLOOKUP(AQ147,'[2]Harga &amp; Nama CSO'!$A$116:$L$136,9,FALSE),0)*AV147</f>
        <v>0</v>
      </c>
      <c r="BE147" s="44">
        <f>IFERROR(VLOOKUP(AQ147,'[2]Harga &amp; Nama CSO'!$A$116:$L$136,10,FALSE),0)*AV147</f>
        <v>3</v>
      </c>
      <c r="BF147" s="44">
        <f>IFERROR(VLOOKUP(AQ147,'[2]Harga &amp; Nama CSO'!$A$116:$L$136,11,FALSE),0)*AV147</f>
        <v>0</v>
      </c>
      <c r="BG147" s="44">
        <f>IFERROR(VLOOKUP(AQ147,'[2]Harga &amp; Nama CSO'!$A$116:$L$136,12,FALSE),0)*AV147</f>
        <v>0</v>
      </c>
      <c r="BH147" s="44">
        <f>IFERROR(VLOOKUP(AQ147,'[2]Harga &amp; Nama CSO'!$A$116:$R$136,13,FALSE),0)*AV147</f>
        <v>0</v>
      </c>
      <c r="BI147" s="44">
        <f>IFERROR(VLOOKUP(AQ147,'[2]Harga &amp; Nama CSO'!$A$116:$R$136,14,FALSE),0)*AV147</f>
        <v>3</v>
      </c>
      <c r="BJ147" s="44">
        <f>IFERROR(VLOOKUP(AQ147,'[2]Harga &amp; Nama CSO'!$A$116:$R$136,15,FALSE),0)*AV147</f>
        <v>0</v>
      </c>
      <c r="BK147" s="44">
        <f>IFERROR(VLOOKUP(AQ147,'[2]Harga &amp; Nama CSO'!$A$116:$R$136,16,FALSE),0)*AV147</f>
        <v>0</v>
      </c>
      <c r="BL147" s="44">
        <f>IFERROR(VLOOKUP(AQ147,'[2]Harga &amp; Nama CSO'!$A$116:$R$136,17,FALSE),0)*AV147</f>
        <v>0</v>
      </c>
      <c r="BM147" s="44">
        <f>IFERROR(VLOOKUP(AQ147,'[2]Harga &amp; Nama CSO'!$A$116:$R$136,18,FALSE),0)*AV147</f>
        <v>0</v>
      </c>
      <c r="BN147" s="44">
        <f>IFERROR(VLOOKUP(AQ147,'[2]Harga &amp; Nama CSO'!$A$116:$S$136,19,FALSE),0)*AV147</f>
        <v>0</v>
      </c>
      <c r="BO147" s="55">
        <f>IFERROR(VLOOKUP(AQ147,'[2]Harga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33"/>
        <v>0</v>
      </c>
      <c r="BU147" s="60">
        <v>46198</v>
      </c>
      <c r="BV147" s="8" t="e">
        <v>#VALUE!</v>
      </c>
      <c r="BW147" s="58">
        <f>VLOOKUP(AQ147,'[1]Harga &amp; Nama CSO'!$A$28:$D$31,4,0)*BQ147</f>
        <v>3</v>
      </c>
    </row>
    <row r="148" spans="41:75" x14ac:dyDescent="0.35">
      <c r="AO148" s="39">
        <v>146</v>
      </c>
      <c r="AP148" s="60">
        <v>46197</v>
      </c>
      <c r="AQ148" s="41" t="s">
        <v>97</v>
      </c>
      <c r="AR148" s="42" t="str">
        <f>IFERROR(VLOOKUP(AU148,[2]SUMMARY!$A$3:$B$7,2,FALSE),"")</f>
        <v>MC-SAGARANTEN</v>
      </c>
      <c r="AS148" s="42">
        <v>17708933</v>
      </c>
      <c r="AT148" s="31" t="str">
        <f>VLOOKUP(AS148,[2]OUTLET!$B:$C,2,0)</f>
        <v>EL CELL</v>
      </c>
      <c r="AU148" s="42" t="s">
        <v>41</v>
      </c>
      <c r="AV148" s="39">
        <v>1</v>
      </c>
      <c r="AW148" s="44">
        <f>IFERROR(VLOOKUP(AQ148,'[2]Harga &amp; Nama CSO'!$A$116:$L$136,2,FALSE),0)*AV148</f>
        <v>0</v>
      </c>
      <c r="AX148" s="44">
        <f>IFERROR(VLOOKUP(AQ148,'[2]Harga &amp; Nama CSO'!$A$116:$L$136,3,FALSE),0)*AV148</f>
        <v>0</v>
      </c>
      <c r="AY148" s="44">
        <f>IFERROR(VLOOKUP(AQ148,'[2]Harga &amp; Nama CSO'!$A$116:$L$136,4,FALSE),0)*AV148</f>
        <v>3</v>
      </c>
      <c r="AZ148" s="44">
        <f>IFERROR(VLOOKUP(AQ148,'[2]Harga &amp; Nama CSO'!$A$116:$L$136,5,FALSE),0)*AV148</f>
        <v>0</v>
      </c>
      <c r="BA148" s="44">
        <f>IFERROR(VLOOKUP(AQ148,'[2]Harga &amp; Nama CSO'!$A$116:$L$136,6,FALSE),0)*AV148</f>
        <v>0</v>
      </c>
      <c r="BB148" s="44">
        <f>IFERROR(VLOOKUP(AQ148,'[2]Harga &amp; Nama CSO'!$A$116:$L$136,7,FALSE),0)*AV148</f>
        <v>0</v>
      </c>
      <c r="BC148" s="44">
        <f>IFERROR(VLOOKUP(AQ148,'[2]Harga &amp; Nama CSO'!$A$116:$L$136,8,FALSE),0)*AV148</f>
        <v>0</v>
      </c>
      <c r="BD148" s="44">
        <f>IFERROR(VLOOKUP(AQ148,'[2]Harga &amp; Nama CSO'!$A$116:$L$136,9,FALSE),0)*AV148</f>
        <v>0</v>
      </c>
      <c r="BE148" s="44">
        <f>IFERROR(VLOOKUP(AQ148,'[2]Harga &amp; Nama CSO'!$A$116:$L$136,10,FALSE),0)*AV148</f>
        <v>3</v>
      </c>
      <c r="BF148" s="44">
        <f>IFERROR(VLOOKUP(AQ148,'[2]Harga &amp; Nama CSO'!$A$116:$L$136,11,FALSE),0)*AV148</f>
        <v>0</v>
      </c>
      <c r="BG148" s="44">
        <f>IFERROR(VLOOKUP(AQ148,'[2]Harga &amp; Nama CSO'!$A$116:$L$136,12,FALSE),0)*AV148</f>
        <v>0</v>
      </c>
      <c r="BH148" s="44">
        <f>IFERROR(VLOOKUP(AQ148,'[2]Harga &amp; Nama CSO'!$A$116:$R$136,13,FALSE),0)*AV148</f>
        <v>0</v>
      </c>
      <c r="BI148" s="44">
        <f>IFERROR(VLOOKUP(AQ148,'[2]Harga &amp; Nama CSO'!$A$116:$R$136,14,FALSE),0)*AV148</f>
        <v>3</v>
      </c>
      <c r="BJ148" s="44">
        <f>IFERROR(VLOOKUP(AQ148,'[2]Harga &amp; Nama CSO'!$A$116:$R$136,15,FALSE),0)*AV148</f>
        <v>0</v>
      </c>
      <c r="BK148" s="44">
        <f>IFERROR(VLOOKUP(AQ148,'[2]Harga &amp; Nama CSO'!$A$116:$R$136,16,FALSE),0)*AV148</f>
        <v>0</v>
      </c>
      <c r="BL148" s="44">
        <f>IFERROR(VLOOKUP(AQ148,'[2]Harga &amp; Nama CSO'!$A$116:$R$136,17,FALSE),0)*AV148</f>
        <v>0</v>
      </c>
      <c r="BM148" s="44">
        <f>IFERROR(VLOOKUP(AQ148,'[2]Harga &amp; Nama CSO'!$A$116:$R$136,18,FALSE),0)*AV148</f>
        <v>0</v>
      </c>
      <c r="BN148" s="44">
        <f>IFERROR(VLOOKUP(AQ148,'[2]Harga &amp; Nama CSO'!$A$116:$S$136,19,FALSE),0)*AV148</f>
        <v>0</v>
      </c>
      <c r="BO148" s="55">
        <f>IFERROR(VLOOKUP(AQ148,'[2]Harga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33"/>
        <v>0</v>
      </c>
      <c r="BU148" s="60">
        <v>46198</v>
      </c>
      <c r="BV148" s="8" t="e">
        <v>#VALUE!</v>
      </c>
      <c r="BW148" s="58">
        <f>VLOOKUP(AQ148,'[1]Harga &amp; Nama CSO'!$A$28:$D$31,4,0)*BQ148</f>
        <v>3</v>
      </c>
    </row>
    <row r="149" spans="41:75" x14ac:dyDescent="0.35">
      <c r="AO149" s="39">
        <v>147</v>
      </c>
      <c r="AP149" s="60">
        <v>46197</v>
      </c>
      <c r="AQ149" s="41" t="s">
        <v>97</v>
      </c>
      <c r="AR149" s="42" t="str">
        <f>IFERROR(VLOOKUP(AU149,[2]SUMMARY!$A$3:$B$7,2,FALSE),"")</f>
        <v>MC-SAGARANTEN</v>
      </c>
      <c r="AS149" s="42">
        <v>17438554</v>
      </c>
      <c r="AT149" s="31" t="str">
        <f>VLOOKUP(AS149,[2]OUTLET!$B:$C,2,0)</f>
        <v>Dian cell</v>
      </c>
      <c r="AU149" s="42" t="s">
        <v>41</v>
      </c>
      <c r="AV149" s="39">
        <v>1</v>
      </c>
      <c r="AW149" s="44">
        <f>IFERROR(VLOOKUP(AQ149,'[2]Harga &amp; Nama CSO'!$A$116:$L$136,2,FALSE),0)*AV149</f>
        <v>0</v>
      </c>
      <c r="AX149" s="44">
        <f>IFERROR(VLOOKUP(AQ149,'[2]Harga &amp; Nama CSO'!$A$116:$L$136,3,FALSE),0)*AV149</f>
        <v>0</v>
      </c>
      <c r="AY149" s="44">
        <f>IFERROR(VLOOKUP(AQ149,'[2]Harga &amp; Nama CSO'!$A$116:$L$136,4,FALSE),0)*AV149</f>
        <v>3</v>
      </c>
      <c r="AZ149" s="44">
        <f>IFERROR(VLOOKUP(AQ149,'[2]Harga &amp; Nama CSO'!$A$116:$L$136,5,FALSE),0)*AV149</f>
        <v>0</v>
      </c>
      <c r="BA149" s="44">
        <f>IFERROR(VLOOKUP(AQ149,'[2]Harga &amp; Nama CSO'!$A$116:$L$136,6,FALSE),0)*AV149</f>
        <v>0</v>
      </c>
      <c r="BB149" s="44">
        <f>IFERROR(VLOOKUP(AQ149,'[2]Harga &amp; Nama CSO'!$A$116:$L$136,7,FALSE),0)*AV149</f>
        <v>0</v>
      </c>
      <c r="BC149" s="44">
        <f>IFERROR(VLOOKUP(AQ149,'[2]Harga &amp; Nama CSO'!$A$116:$L$136,8,FALSE),0)*AV149</f>
        <v>0</v>
      </c>
      <c r="BD149" s="44">
        <f>IFERROR(VLOOKUP(AQ149,'[2]Harga &amp; Nama CSO'!$A$116:$L$136,9,FALSE),0)*AV149</f>
        <v>0</v>
      </c>
      <c r="BE149" s="44">
        <f>IFERROR(VLOOKUP(AQ149,'[2]Harga &amp; Nama CSO'!$A$116:$L$136,10,FALSE),0)*AV149</f>
        <v>3</v>
      </c>
      <c r="BF149" s="44">
        <f>IFERROR(VLOOKUP(AQ149,'[2]Harga &amp; Nama CSO'!$A$116:$L$136,11,FALSE),0)*AV149</f>
        <v>0</v>
      </c>
      <c r="BG149" s="44">
        <f>IFERROR(VLOOKUP(AQ149,'[2]Harga &amp; Nama CSO'!$A$116:$L$136,12,FALSE),0)*AV149</f>
        <v>0</v>
      </c>
      <c r="BH149" s="44">
        <f>IFERROR(VLOOKUP(AQ149,'[2]Harga &amp; Nama CSO'!$A$116:$R$136,13,FALSE),0)*AV149</f>
        <v>0</v>
      </c>
      <c r="BI149" s="44">
        <f>IFERROR(VLOOKUP(AQ149,'[2]Harga &amp; Nama CSO'!$A$116:$R$136,14,FALSE),0)*AV149</f>
        <v>3</v>
      </c>
      <c r="BJ149" s="44">
        <f>IFERROR(VLOOKUP(AQ149,'[2]Harga &amp; Nama CSO'!$A$116:$R$136,15,FALSE),0)*AV149</f>
        <v>0</v>
      </c>
      <c r="BK149" s="44">
        <f>IFERROR(VLOOKUP(AQ149,'[2]Harga &amp; Nama CSO'!$A$116:$R$136,16,FALSE),0)*AV149</f>
        <v>0</v>
      </c>
      <c r="BL149" s="44">
        <f>IFERROR(VLOOKUP(AQ149,'[2]Harga &amp; Nama CSO'!$A$116:$R$136,17,FALSE),0)*AV149</f>
        <v>0</v>
      </c>
      <c r="BM149" s="44">
        <f>IFERROR(VLOOKUP(AQ149,'[2]Harga &amp; Nama CSO'!$A$116:$R$136,18,FALSE),0)*AV149</f>
        <v>0</v>
      </c>
      <c r="BN149" s="44">
        <f>IFERROR(VLOOKUP(AQ149,'[2]Harga &amp; Nama CSO'!$A$116:$S$136,19,FALSE),0)*AV149</f>
        <v>0</v>
      </c>
      <c r="BO149" s="55">
        <f>IFERROR(VLOOKUP(AQ149,'[2]Harga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33"/>
        <v>0</v>
      </c>
      <c r="BU149" s="60">
        <v>46198</v>
      </c>
      <c r="BV149" s="8" t="e">
        <v>#VALUE!</v>
      </c>
      <c r="BW149" s="58">
        <f>VLOOKUP(AQ149,'[1]Harga &amp; Nama CSO'!$A$28:$D$31,4,0)*BQ149</f>
        <v>3</v>
      </c>
    </row>
    <row r="150" spans="41:75" x14ac:dyDescent="0.35">
      <c r="AO150" s="39">
        <v>148</v>
      </c>
      <c r="AP150" s="60">
        <v>46197</v>
      </c>
      <c r="AQ150" s="41" t="s">
        <v>97</v>
      </c>
      <c r="AR150" s="42" t="str">
        <f>IFERROR(VLOOKUP(AU150,[2]SUMMARY!$A$3:$B$7,2,FALSE),"")</f>
        <v>MC-SAGARANTEN</v>
      </c>
      <c r="AS150" s="42">
        <v>17438554</v>
      </c>
      <c r="AT150" s="31" t="str">
        <f>VLOOKUP(AS150,[2]OUTLET!$B:$C,2,0)</f>
        <v>Dian cell</v>
      </c>
      <c r="AU150" s="42" t="s">
        <v>41</v>
      </c>
      <c r="AV150" s="39">
        <v>1</v>
      </c>
      <c r="AW150" s="44">
        <f>IFERROR(VLOOKUP(AQ150,'[2]Harga &amp; Nama CSO'!$A$116:$L$136,2,FALSE),0)*AV150</f>
        <v>0</v>
      </c>
      <c r="AX150" s="44">
        <f>IFERROR(VLOOKUP(AQ150,'[2]Harga &amp; Nama CSO'!$A$116:$L$136,3,FALSE),0)*AV150</f>
        <v>0</v>
      </c>
      <c r="AY150" s="44">
        <f>IFERROR(VLOOKUP(AQ150,'[2]Harga &amp; Nama CSO'!$A$116:$L$136,4,FALSE),0)*AV150</f>
        <v>3</v>
      </c>
      <c r="AZ150" s="44">
        <f>IFERROR(VLOOKUP(AQ150,'[2]Harga &amp; Nama CSO'!$A$116:$L$136,5,FALSE),0)*AV150</f>
        <v>0</v>
      </c>
      <c r="BA150" s="44">
        <f>IFERROR(VLOOKUP(AQ150,'[2]Harga &amp; Nama CSO'!$A$116:$L$136,6,FALSE),0)*AV150</f>
        <v>0</v>
      </c>
      <c r="BB150" s="44">
        <f>IFERROR(VLOOKUP(AQ150,'[2]Harga &amp; Nama CSO'!$A$116:$L$136,7,FALSE),0)*AV150</f>
        <v>0</v>
      </c>
      <c r="BC150" s="44">
        <f>IFERROR(VLOOKUP(AQ150,'[2]Harga &amp; Nama CSO'!$A$116:$L$136,8,FALSE),0)*AV150</f>
        <v>0</v>
      </c>
      <c r="BD150" s="44">
        <f>IFERROR(VLOOKUP(AQ150,'[2]Harga &amp; Nama CSO'!$A$116:$L$136,9,FALSE),0)*AV150</f>
        <v>0</v>
      </c>
      <c r="BE150" s="44">
        <f>IFERROR(VLOOKUP(AQ150,'[2]Harga &amp; Nama CSO'!$A$116:$L$136,10,FALSE),0)*AV150</f>
        <v>3</v>
      </c>
      <c r="BF150" s="44">
        <f>IFERROR(VLOOKUP(AQ150,'[2]Harga &amp; Nama CSO'!$A$116:$L$136,11,FALSE),0)*AV150</f>
        <v>0</v>
      </c>
      <c r="BG150" s="44">
        <f>IFERROR(VLOOKUP(AQ150,'[2]Harga &amp; Nama CSO'!$A$116:$L$136,12,FALSE),0)*AV150</f>
        <v>0</v>
      </c>
      <c r="BH150" s="44">
        <f>IFERROR(VLOOKUP(AQ150,'[2]Harga &amp; Nama CSO'!$A$116:$R$136,13,FALSE),0)*AV150</f>
        <v>0</v>
      </c>
      <c r="BI150" s="44">
        <f>IFERROR(VLOOKUP(AQ150,'[2]Harga &amp; Nama CSO'!$A$116:$R$136,14,FALSE),0)*AV150</f>
        <v>3</v>
      </c>
      <c r="BJ150" s="44">
        <f>IFERROR(VLOOKUP(AQ150,'[2]Harga &amp; Nama CSO'!$A$116:$R$136,15,FALSE),0)*AV150</f>
        <v>0</v>
      </c>
      <c r="BK150" s="44">
        <f>IFERROR(VLOOKUP(AQ150,'[2]Harga &amp; Nama CSO'!$A$116:$R$136,16,FALSE),0)*AV150</f>
        <v>0</v>
      </c>
      <c r="BL150" s="44">
        <f>IFERROR(VLOOKUP(AQ150,'[2]Harga &amp; Nama CSO'!$A$116:$R$136,17,FALSE),0)*AV150</f>
        <v>0</v>
      </c>
      <c r="BM150" s="44">
        <f>IFERROR(VLOOKUP(AQ150,'[2]Harga &amp; Nama CSO'!$A$116:$R$136,18,FALSE),0)*AV150</f>
        <v>0</v>
      </c>
      <c r="BN150" s="44">
        <f>IFERROR(VLOOKUP(AQ150,'[2]Harga &amp; Nama CSO'!$A$116:$S$136,19,FALSE),0)*AV150</f>
        <v>0</v>
      </c>
      <c r="BO150" s="55">
        <f>IFERROR(VLOOKUP(AQ150,'[2]Harga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33"/>
        <v>0</v>
      </c>
      <c r="BU150" s="60">
        <v>46198</v>
      </c>
      <c r="BV150" s="8" t="e">
        <v>#VALUE!</v>
      </c>
      <c r="BW150" s="58">
        <f>VLOOKUP(AQ150,'[1]Harga &amp; Nama CSO'!$A$28:$D$31,4,0)*BQ150</f>
        <v>3</v>
      </c>
    </row>
    <row r="151" spans="41:75" x14ac:dyDescent="0.35">
      <c r="AO151" s="39">
        <v>149</v>
      </c>
      <c r="AP151" s="60">
        <v>46197</v>
      </c>
      <c r="AQ151" s="41" t="s">
        <v>97</v>
      </c>
      <c r="AR151" s="42" t="str">
        <f>IFERROR(VLOOKUP(AU151,[2]SUMMARY!$A$3:$B$7,2,FALSE),"")</f>
        <v>MC-SAGARANTEN</v>
      </c>
      <c r="AS151" s="42">
        <v>17670650</v>
      </c>
      <c r="AT151" s="31" t="str">
        <f>VLOOKUP(AS151,[2]OUTLET!$B:$C,2,0)</f>
        <v>AR Store</v>
      </c>
      <c r="AU151" s="42" t="s">
        <v>41</v>
      </c>
      <c r="AV151" s="39">
        <v>1</v>
      </c>
      <c r="AW151" s="44">
        <f>IFERROR(VLOOKUP(AQ151,'[2]Harga &amp; Nama CSO'!$A$116:$L$136,2,FALSE),0)*AV151</f>
        <v>0</v>
      </c>
      <c r="AX151" s="44">
        <f>IFERROR(VLOOKUP(AQ151,'[2]Harga &amp; Nama CSO'!$A$116:$L$136,3,FALSE),0)*AV151</f>
        <v>0</v>
      </c>
      <c r="AY151" s="44">
        <f>IFERROR(VLOOKUP(AQ151,'[2]Harga &amp; Nama CSO'!$A$116:$L$136,4,FALSE),0)*AV151</f>
        <v>3</v>
      </c>
      <c r="AZ151" s="44">
        <f>IFERROR(VLOOKUP(AQ151,'[2]Harga &amp; Nama CSO'!$A$116:$L$136,5,FALSE),0)*AV151</f>
        <v>0</v>
      </c>
      <c r="BA151" s="44">
        <f>IFERROR(VLOOKUP(AQ151,'[2]Harga &amp; Nama CSO'!$A$116:$L$136,6,FALSE),0)*AV151</f>
        <v>0</v>
      </c>
      <c r="BB151" s="44">
        <f>IFERROR(VLOOKUP(AQ151,'[2]Harga &amp; Nama CSO'!$A$116:$L$136,7,FALSE),0)*AV151</f>
        <v>0</v>
      </c>
      <c r="BC151" s="44">
        <f>IFERROR(VLOOKUP(AQ151,'[2]Harga &amp; Nama CSO'!$A$116:$L$136,8,FALSE),0)*AV151</f>
        <v>0</v>
      </c>
      <c r="BD151" s="44">
        <f>IFERROR(VLOOKUP(AQ151,'[2]Harga &amp; Nama CSO'!$A$116:$L$136,9,FALSE),0)*AV151</f>
        <v>0</v>
      </c>
      <c r="BE151" s="44">
        <f>IFERROR(VLOOKUP(AQ151,'[2]Harga &amp; Nama CSO'!$A$116:$L$136,10,FALSE),0)*AV151</f>
        <v>3</v>
      </c>
      <c r="BF151" s="44">
        <f>IFERROR(VLOOKUP(AQ151,'[2]Harga &amp; Nama CSO'!$A$116:$L$136,11,FALSE),0)*AV151</f>
        <v>0</v>
      </c>
      <c r="BG151" s="44">
        <f>IFERROR(VLOOKUP(AQ151,'[2]Harga &amp; Nama CSO'!$A$116:$L$136,12,FALSE),0)*AV151</f>
        <v>0</v>
      </c>
      <c r="BH151" s="44">
        <f>IFERROR(VLOOKUP(AQ151,'[2]Harga &amp; Nama CSO'!$A$116:$R$136,13,FALSE),0)*AV151</f>
        <v>0</v>
      </c>
      <c r="BI151" s="44">
        <f>IFERROR(VLOOKUP(AQ151,'[2]Harga &amp; Nama CSO'!$A$116:$R$136,14,FALSE),0)*AV151</f>
        <v>3</v>
      </c>
      <c r="BJ151" s="44">
        <f>IFERROR(VLOOKUP(AQ151,'[2]Harga &amp; Nama CSO'!$A$116:$R$136,15,FALSE),0)*AV151</f>
        <v>0</v>
      </c>
      <c r="BK151" s="44">
        <f>IFERROR(VLOOKUP(AQ151,'[2]Harga &amp; Nama CSO'!$A$116:$R$136,16,FALSE),0)*AV151</f>
        <v>0</v>
      </c>
      <c r="BL151" s="44">
        <f>IFERROR(VLOOKUP(AQ151,'[2]Harga &amp; Nama CSO'!$A$116:$R$136,17,FALSE),0)*AV151</f>
        <v>0</v>
      </c>
      <c r="BM151" s="44">
        <f>IFERROR(VLOOKUP(AQ151,'[2]Harga &amp; Nama CSO'!$A$116:$R$136,18,FALSE),0)*AV151</f>
        <v>0</v>
      </c>
      <c r="BN151" s="44">
        <f>IFERROR(VLOOKUP(AQ151,'[2]Harga &amp; Nama CSO'!$A$116:$S$136,19,FALSE),0)*AV151</f>
        <v>0</v>
      </c>
      <c r="BO151" s="55">
        <f>IFERROR(VLOOKUP(AQ151,'[2]Harga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33"/>
        <v>0</v>
      </c>
      <c r="BU151" s="60">
        <v>46198</v>
      </c>
      <c r="BV151" s="8" t="e">
        <v>#VALUE!</v>
      </c>
      <c r="BW151" s="58">
        <f>VLOOKUP(AQ151,'[1]Harga &amp; Nama CSO'!$A$28:$D$31,4,0)*BQ151</f>
        <v>3</v>
      </c>
    </row>
    <row r="152" spans="41:75" x14ac:dyDescent="0.35">
      <c r="AO152" s="39">
        <v>150</v>
      </c>
      <c r="AP152" s="60">
        <v>46197</v>
      </c>
      <c r="AQ152" s="41" t="s">
        <v>97</v>
      </c>
      <c r="AR152" s="42" t="str">
        <f>IFERROR(VLOOKUP(AU152,[2]SUMMARY!$A$3:$B$7,2,FALSE),"")</f>
        <v>MC-SAGARANTEN</v>
      </c>
      <c r="AS152" s="42">
        <v>17018791</v>
      </c>
      <c r="AT152" s="31" t="str">
        <f>VLOOKUP(AS152,[2]OUTLET!$B:$C,2,0)</f>
        <v>DILAN CELL</v>
      </c>
      <c r="AU152" s="42" t="s">
        <v>41</v>
      </c>
      <c r="AV152" s="39">
        <v>1</v>
      </c>
      <c r="AW152" s="44">
        <f>IFERROR(VLOOKUP(AQ152,'[2]Harga &amp; Nama CSO'!$A$116:$L$136,2,FALSE),0)*AV152</f>
        <v>0</v>
      </c>
      <c r="AX152" s="44">
        <f>IFERROR(VLOOKUP(AQ152,'[2]Harga &amp; Nama CSO'!$A$116:$L$136,3,FALSE),0)*AV152</f>
        <v>0</v>
      </c>
      <c r="AY152" s="44">
        <f>IFERROR(VLOOKUP(AQ152,'[2]Harga &amp; Nama CSO'!$A$116:$L$136,4,FALSE),0)*AV152</f>
        <v>3</v>
      </c>
      <c r="AZ152" s="44">
        <f>IFERROR(VLOOKUP(AQ152,'[2]Harga &amp; Nama CSO'!$A$116:$L$136,5,FALSE),0)*AV152</f>
        <v>0</v>
      </c>
      <c r="BA152" s="44">
        <f>IFERROR(VLOOKUP(AQ152,'[2]Harga &amp; Nama CSO'!$A$116:$L$136,6,FALSE),0)*AV152</f>
        <v>0</v>
      </c>
      <c r="BB152" s="44">
        <f>IFERROR(VLOOKUP(AQ152,'[2]Harga &amp; Nama CSO'!$A$116:$L$136,7,FALSE),0)*AV152</f>
        <v>0</v>
      </c>
      <c r="BC152" s="44">
        <f>IFERROR(VLOOKUP(AQ152,'[2]Harga &amp; Nama CSO'!$A$116:$L$136,8,FALSE),0)*AV152</f>
        <v>0</v>
      </c>
      <c r="BD152" s="44">
        <f>IFERROR(VLOOKUP(AQ152,'[2]Harga &amp; Nama CSO'!$A$116:$L$136,9,FALSE),0)*AV152</f>
        <v>0</v>
      </c>
      <c r="BE152" s="44">
        <f>IFERROR(VLOOKUP(AQ152,'[2]Harga &amp; Nama CSO'!$A$116:$L$136,10,FALSE),0)*AV152</f>
        <v>3</v>
      </c>
      <c r="BF152" s="44">
        <f>IFERROR(VLOOKUP(AQ152,'[2]Harga &amp; Nama CSO'!$A$116:$L$136,11,FALSE),0)*AV152</f>
        <v>0</v>
      </c>
      <c r="BG152" s="44">
        <f>IFERROR(VLOOKUP(AQ152,'[2]Harga &amp; Nama CSO'!$A$116:$L$136,12,FALSE),0)*AV152</f>
        <v>0</v>
      </c>
      <c r="BH152" s="44">
        <f>IFERROR(VLOOKUP(AQ152,'[2]Harga &amp; Nama CSO'!$A$116:$R$136,13,FALSE),0)*AV152</f>
        <v>0</v>
      </c>
      <c r="BI152" s="44">
        <f>IFERROR(VLOOKUP(AQ152,'[2]Harga &amp; Nama CSO'!$A$116:$R$136,14,FALSE),0)*AV152</f>
        <v>3</v>
      </c>
      <c r="BJ152" s="44">
        <f>IFERROR(VLOOKUP(AQ152,'[2]Harga &amp; Nama CSO'!$A$116:$R$136,15,FALSE),0)*AV152</f>
        <v>0</v>
      </c>
      <c r="BK152" s="44">
        <f>IFERROR(VLOOKUP(AQ152,'[2]Harga &amp; Nama CSO'!$A$116:$R$136,16,FALSE),0)*AV152</f>
        <v>0</v>
      </c>
      <c r="BL152" s="44">
        <f>IFERROR(VLOOKUP(AQ152,'[2]Harga &amp; Nama CSO'!$A$116:$R$136,17,FALSE),0)*AV152</f>
        <v>0</v>
      </c>
      <c r="BM152" s="44">
        <f>IFERROR(VLOOKUP(AQ152,'[2]Harga &amp; Nama CSO'!$A$116:$R$136,18,FALSE),0)*AV152</f>
        <v>0</v>
      </c>
      <c r="BN152" s="44">
        <f>IFERROR(VLOOKUP(AQ152,'[2]Harga &amp; Nama CSO'!$A$116:$S$136,19,FALSE),0)*AV152</f>
        <v>0</v>
      </c>
      <c r="BO152" s="55">
        <f>IFERROR(VLOOKUP(AQ152,'[2]Harga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33"/>
        <v>0</v>
      </c>
      <c r="BU152" s="60">
        <v>46198</v>
      </c>
      <c r="BV152" s="8" t="e">
        <v>#VALUE!</v>
      </c>
      <c r="BW152" s="58">
        <f>VLOOKUP(AQ152,'[1]Harga &amp; Nama CSO'!$A$28:$D$31,4,0)*BQ152</f>
        <v>3</v>
      </c>
    </row>
    <row r="153" spans="41:75" x14ac:dyDescent="0.35">
      <c r="AO153" s="39">
        <v>151</v>
      </c>
      <c r="AP153" s="60">
        <v>46197</v>
      </c>
      <c r="AQ153" s="41" t="s">
        <v>97</v>
      </c>
      <c r="AR153" s="42" t="str">
        <f>IFERROR(VLOOKUP(AU153,[2]SUMMARY!$A$3:$B$7,2,FALSE),"")</f>
        <v>MC-SAGARANTEN</v>
      </c>
      <c r="AS153" s="42">
        <v>17675348</v>
      </c>
      <c r="AT153" s="31" t="str">
        <f>VLOOKUP(AS153,[2]OUTLET!$B:$C,2,0)</f>
        <v>AF Cell 2</v>
      </c>
      <c r="AU153" s="42" t="s">
        <v>41</v>
      </c>
      <c r="AV153" s="39">
        <v>1</v>
      </c>
      <c r="AW153" s="44">
        <f>IFERROR(VLOOKUP(AQ153,'[2]Harga &amp; Nama CSO'!$A$116:$L$136,2,FALSE),0)*AV153</f>
        <v>0</v>
      </c>
      <c r="AX153" s="44">
        <f>IFERROR(VLOOKUP(AQ153,'[2]Harga &amp; Nama CSO'!$A$116:$L$136,3,FALSE),0)*AV153</f>
        <v>0</v>
      </c>
      <c r="AY153" s="44">
        <f>IFERROR(VLOOKUP(AQ153,'[2]Harga &amp; Nama CSO'!$A$116:$L$136,4,FALSE),0)*AV153</f>
        <v>3</v>
      </c>
      <c r="AZ153" s="44">
        <f>IFERROR(VLOOKUP(AQ153,'[2]Harga &amp; Nama CSO'!$A$116:$L$136,5,FALSE),0)*AV153</f>
        <v>0</v>
      </c>
      <c r="BA153" s="44">
        <f>IFERROR(VLOOKUP(AQ153,'[2]Harga &amp; Nama CSO'!$A$116:$L$136,6,FALSE),0)*AV153</f>
        <v>0</v>
      </c>
      <c r="BB153" s="44">
        <f>IFERROR(VLOOKUP(AQ153,'[2]Harga &amp; Nama CSO'!$A$116:$L$136,7,FALSE),0)*AV153</f>
        <v>0</v>
      </c>
      <c r="BC153" s="44">
        <f>IFERROR(VLOOKUP(AQ153,'[2]Harga &amp; Nama CSO'!$A$116:$L$136,8,FALSE),0)*AV153</f>
        <v>0</v>
      </c>
      <c r="BD153" s="44">
        <f>IFERROR(VLOOKUP(AQ153,'[2]Harga &amp; Nama CSO'!$A$116:$L$136,9,FALSE),0)*AV153</f>
        <v>0</v>
      </c>
      <c r="BE153" s="44">
        <f>IFERROR(VLOOKUP(AQ153,'[2]Harga &amp; Nama CSO'!$A$116:$L$136,10,FALSE),0)*AV153</f>
        <v>3</v>
      </c>
      <c r="BF153" s="44">
        <f>IFERROR(VLOOKUP(AQ153,'[2]Harga &amp; Nama CSO'!$A$116:$L$136,11,FALSE),0)*AV153</f>
        <v>0</v>
      </c>
      <c r="BG153" s="44">
        <f>IFERROR(VLOOKUP(AQ153,'[2]Harga &amp; Nama CSO'!$A$116:$L$136,12,FALSE),0)*AV153</f>
        <v>0</v>
      </c>
      <c r="BH153" s="44">
        <f>IFERROR(VLOOKUP(AQ153,'[2]Harga &amp; Nama CSO'!$A$116:$R$136,13,FALSE),0)*AV153</f>
        <v>0</v>
      </c>
      <c r="BI153" s="44">
        <f>IFERROR(VLOOKUP(AQ153,'[2]Harga &amp; Nama CSO'!$A$116:$R$136,14,FALSE),0)*AV153</f>
        <v>3</v>
      </c>
      <c r="BJ153" s="44">
        <f>IFERROR(VLOOKUP(AQ153,'[2]Harga &amp; Nama CSO'!$A$116:$R$136,15,FALSE),0)*AV153</f>
        <v>0</v>
      </c>
      <c r="BK153" s="44">
        <f>IFERROR(VLOOKUP(AQ153,'[2]Harga &amp; Nama CSO'!$A$116:$R$136,16,FALSE),0)*AV153</f>
        <v>0</v>
      </c>
      <c r="BL153" s="44">
        <f>IFERROR(VLOOKUP(AQ153,'[2]Harga &amp; Nama CSO'!$A$116:$R$136,17,FALSE),0)*AV153</f>
        <v>0</v>
      </c>
      <c r="BM153" s="44">
        <f>IFERROR(VLOOKUP(AQ153,'[2]Harga &amp; Nama CSO'!$A$116:$R$136,18,FALSE),0)*AV153</f>
        <v>0</v>
      </c>
      <c r="BN153" s="44">
        <f>IFERROR(VLOOKUP(AQ153,'[2]Harga &amp; Nama CSO'!$A$116:$S$136,19,FALSE),0)*AV153</f>
        <v>0</v>
      </c>
      <c r="BO153" s="55">
        <f>IFERROR(VLOOKUP(AQ153,'[2]Harga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33"/>
        <v>0</v>
      </c>
      <c r="BU153" s="60">
        <v>46198</v>
      </c>
      <c r="BV153" s="8" t="e">
        <v>#VALUE!</v>
      </c>
      <c r="BW153" s="58">
        <f>VLOOKUP(AQ153,'[1]Harga &amp; Nama CSO'!$A$28:$D$31,4,0)*BQ153</f>
        <v>3</v>
      </c>
    </row>
    <row r="154" spans="41:75" x14ac:dyDescent="0.35">
      <c r="AO154" s="39">
        <v>152</v>
      </c>
      <c r="AP154" s="60">
        <v>46197</v>
      </c>
      <c r="AQ154" s="41" t="s">
        <v>204</v>
      </c>
      <c r="AR154" s="42" t="str">
        <f>IFERROR(VLOOKUP(AU154,[2]SUMMARY!$A$3:$B$7,2,FALSE),"")</f>
        <v>MC-SAGARANTEN</v>
      </c>
      <c r="AS154" s="42">
        <v>17734713</v>
      </c>
      <c r="AT154" s="31" t="str">
        <f>VLOOKUP(AS154,[2]OUTLET!$B:$C,2,0)</f>
        <v>Aurora cell</v>
      </c>
      <c r="AU154" s="42" t="s">
        <v>53</v>
      </c>
      <c r="AV154" s="39">
        <v>1</v>
      </c>
      <c r="AW154" s="44">
        <f>IFERROR(VLOOKUP(AQ154,'[2]Harga &amp; Nama CSO'!$A$116:$L$136,2,FALSE),0)*AV154</f>
        <v>0</v>
      </c>
      <c r="AX154" s="44">
        <f>IFERROR(VLOOKUP(AQ154,'[2]Harga &amp; Nama CSO'!$A$116:$L$136,3,FALSE),0)*AV154</f>
        <v>3</v>
      </c>
      <c r="AY154" s="44">
        <f>IFERROR(VLOOKUP(AQ154,'[2]Harga &amp; Nama CSO'!$A$116:$L$136,4,FALSE),0)*AV154</f>
        <v>0</v>
      </c>
      <c r="AZ154" s="44">
        <f>IFERROR(VLOOKUP(AQ154,'[2]Harga &amp; Nama CSO'!$A$116:$L$136,5,FALSE),0)*AV154</f>
        <v>0</v>
      </c>
      <c r="BA154" s="44">
        <f>IFERROR(VLOOKUP(AQ154,'[2]Harga &amp; Nama CSO'!$A$116:$L$136,6,FALSE),0)*AV154</f>
        <v>0</v>
      </c>
      <c r="BB154" s="44">
        <f>IFERROR(VLOOKUP(AQ154,'[2]Harga &amp; Nama CSO'!$A$116:$L$136,7,FALSE),0)*AV154</f>
        <v>0</v>
      </c>
      <c r="BC154" s="44">
        <f>IFERROR(VLOOKUP(AQ154,'[2]Harga &amp; Nama CSO'!$A$116:$L$136,8,FALSE),0)*AV154</f>
        <v>0</v>
      </c>
      <c r="BD154" s="44">
        <f>IFERROR(VLOOKUP(AQ154,'[2]Harga &amp; Nama CSO'!$A$116:$L$136,9,FALSE),0)*AV154</f>
        <v>0</v>
      </c>
      <c r="BE154" s="44">
        <f>IFERROR(VLOOKUP(AQ154,'[2]Harga &amp; Nama CSO'!$A$116:$L$136,10,FALSE),0)*AV154</f>
        <v>0</v>
      </c>
      <c r="BF154" s="44">
        <f>IFERROR(VLOOKUP(AQ154,'[2]Harga &amp; Nama CSO'!$A$116:$L$136,11,FALSE),0)*AV154</f>
        <v>0</v>
      </c>
      <c r="BG154" s="44">
        <f>IFERROR(VLOOKUP(AQ154,'[2]Harga &amp; Nama CSO'!$A$116:$L$136,12,FALSE),0)*AV154</f>
        <v>0</v>
      </c>
      <c r="BH154" s="44">
        <f>IFERROR(VLOOKUP(AQ154,'[2]Harga &amp; Nama CSO'!$A$116:$R$136,13,FALSE),0)*AV154</f>
        <v>0</v>
      </c>
      <c r="BI154" s="44">
        <f>IFERROR(VLOOKUP(AQ154,'[2]Harga &amp; Nama CSO'!$A$116:$R$136,14,FALSE),0)*AV154</f>
        <v>0</v>
      </c>
      <c r="BJ154" s="44">
        <f>IFERROR(VLOOKUP(AQ154,'[2]Harga &amp; Nama CSO'!$A$116:$R$136,15,FALSE),0)*AV154</f>
        <v>0</v>
      </c>
      <c r="BK154" s="44">
        <f>IFERROR(VLOOKUP(AQ154,'[2]Harga &amp; Nama CSO'!$A$116:$R$136,16,FALSE),0)*AV154</f>
        <v>0</v>
      </c>
      <c r="BL154" s="44">
        <f>IFERROR(VLOOKUP(AQ154,'[2]Harga &amp; Nama CSO'!$A$116:$R$136,17,FALSE),0)*AV154</f>
        <v>0</v>
      </c>
      <c r="BM154" s="44">
        <f>IFERROR(VLOOKUP(AQ154,'[2]Harga &amp; Nama CSO'!$A$116:$R$136,18,FALSE),0)*AV154</f>
        <v>0</v>
      </c>
      <c r="BN154" s="44">
        <f>IFERROR(VLOOKUP(AQ154,'[2]Harga &amp; Nama CSO'!$A$116:$S$136,19,FALSE),0)*AV154</f>
        <v>1</v>
      </c>
      <c r="BO154" s="55">
        <f>IFERROR(VLOOKUP(AQ154,'[2]Harga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33"/>
        <v>0</v>
      </c>
      <c r="BU154" s="60">
        <v>46198</v>
      </c>
      <c r="BV154" s="8" t="e">
        <v>#VALUE!</v>
      </c>
      <c r="BW154" s="58" t="e">
        <f>VLOOKUP(AQ154,'[1]Harga &amp; Nama CSO'!$A$28:$D$31,4,0)*BQ154</f>
        <v>#N/A</v>
      </c>
    </row>
    <row r="155" spans="41:75" x14ac:dyDescent="0.35">
      <c r="AO155" s="39">
        <v>153</v>
      </c>
      <c r="AP155" s="60">
        <v>46197</v>
      </c>
      <c r="AQ155" s="41" t="s">
        <v>204</v>
      </c>
      <c r="AR155" s="42" t="str">
        <f>IFERROR(VLOOKUP(AU155,[2]SUMMARY!$A$3:$B$7,2,FALSE),"")</f>
        <v>MC-SAGARANTEN</v>
      </c>
      <c r="AS155" s="42">
        <v>17787825</v>
      </c>
      <c r="AT155" s="31" t="str">
        <f>VLOOKUP(AS155,[2]OUTLET!$B:$C,2,0)</f>
        <v>Abjad Ce</v>
      </c>
      <c r="AU155" s="42" t="s">
        <v>53</v>
      </c>
      <c r="AV155" s="39">
        <v>1</v>
      </c>
      <c r="AW155" s="44">
        <f>IFERROR(VLOOKUP(AQ155,'[2]Harga &amp; Nama CSO'!$A$116:$L$136,2,FALSE),0)*AV155</f>
        <v>0</v>
      </c>
      <c r="AX155" s="44">
        <f>IFERROR(VLOOKUP(AQ155,'[2]Harga &amp; Nama CSO'!$A$116:$L$136,3,FALSE),0)*AV155</f>
        <v>3</v>
      </c>
      <c r="AY155" s="44">
        <f>IFERROR(VLOOKUP(AQ155,'[2]Harga &amp; Nama CSO'!$A$116:$L$136,4,FALSE),0)*AV155</f>
        <v>0</v>
      </c>
      <c r="AZ155" s="44">
        <f>IFERROR(VLOOKUP(AQ155,'[2]Harga &amp; Nama CSO'!$A$116:$L$136,5,FALSE),0)*AV155</f>
        <v>0</v>
      </c>
      <c r="BA155" s="44">
        <f>IFERROR(VLOOKUP(AQ155,'[2]Harga &amp; Nama CSO'!$A$116:$L$136,6,FALSE),0)*AV155</f>
        <v>0</v>
      </c>
      <c r="BB155" s="44">
        <f>IFERROR(VLOOKUP(AQ155,'[2]Harga &amp; Nama CSO'!$A$116:$L$136,7,FALSE),0)*AV155</f>
        <v>0</v>
      </c>
      <c r="BC155" s="44">
        <f>IFERROR(VLOOKUP(AQ155,'[2]Harga &amp; Nama CSO'!$A$116:$L$136,8,FALSE),0)*AV155</f>
        <v>0</v>
      </c>
      <c r="BD155" s="44">
        <f>IFERROR(VLOOKUP(AQ155,'[2]Harga &amp; Nama CSO'!$A$116:$L$136,9,FALSE),0)*AV155</f>
        <v>0</v>
      </c>
      <c r="BE155" s="44">
        <f>IFERROR(VLOOKUP(AQ155,'[2]Harga &amp; Nama CSO'!$A$116:$L$136,10,FALSE),0)*AV155</f>
        <v>0</v>
      </c>
      <c r="BF155" s="44">
        <f>IFERROR(VLOOKUP(AQ155,'[2]Harga &amp; Nama CSO'!$A$116:$L$136,11,FALSE),0)*AV155</f>
        <v>0</v>
      </c>
      <c r="BG155" s="44">
        <f>IFERROR(VLOOKUP(AQ155,'[2]Harga &amp; Nama CSO'!$A$116:$L$136,12,FALSE),0)*AV155</f>
        <v>0</v>
      </c>
      <c r="BH155" s="44">
        <f>IFERROR(VLOOKUP(AQ155,'[2]Harga &amp; Nama CSO'!$A$116:$R$136,13,FALSE),0)*AV155</f>
        <v>0</v>
      </c>
      <c r="BI155" s="44">
        <f>IFERROR(VLOOKUP(AQ155,'[2]Harga &amp; Nama CSO'!$A$116:$R$136,14,FALSE),0)*AV155</f>
        <v>0</v>
      </c>
      <c r="BJ155" s="44">
        <f>IFERROR(VLOOKUP(AQ155,'[2]Harga &amp; Nama CSO'!$A$116:$R$136,15,FALSE),0)*AV155</f>
        <v>0</v>
      </c>
      <c r="BK155" s="44">
        <f>IFERROR(VLOOKUP(AQ155,'[2]Harga &amp; Nama CSO'!$A$116:$R$136,16,FALSE),0)*AV155</f>
        <v>0</v>
      </c>
      <c r="BL155" s="44">
        <f>IFERROR(VLOOKUP(AQ155,'[2]Harga &amp; Nama CSO'!$A$116:$R$136,17,FALSE),0)*AV155</f>
        <v>0</v>
      </c>
      <c r="BM155" s="44">
        <f>IFERROR(VLOOKUP(AQ155,'[2]Harga &amp; Nama CSO'!$A$116:$R$136,18,FALSE),0)*AV155</f>
        <v>0</v>
      </c>
      <c r="BN155" s="44">
        <f>IFERROR(VLOOKUP(AQ155,'[2]Harga &amp; Nama CSO'!$A$116:$S$136,19,FALSE),0)*AV155</f>
        <v>1</v>
      </c>
      <c r="BO155" s="55">
        <f>IFERROR(VLOOKUP(AQ155,'[2]Harga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33"/>
        <v>0</v>
      </c>
      <c r="BU155" s="60">
        <v>46198</v>
      </c>
      <c r="BV155" s="8" t="e">
        <v>#VALUE!</v>
      </c>
      <c r="BW155" s="58" t="e">
        <f>VLOOKUP(AQ155,'[1]Harga &amp; Nama CSO'!$A$28:$D$31,4,0)*BQ155</f>
        <v>#N/A</v>
      </c>
    </row>
    <row r="156" spans="41:75" x14ac:dyDescent="0.35">
      <c r="AO156" s="39">
        <v>154</v>
      </c>
      <c r="AP156" s="60">
        <v>46197</v>
      </c>
      <c r="AQ156" s="41" t="s">
        <v>204</v>
      </c>
      <c r="AR156" s="42" t="str">
        <f>IFERROR(VLOOKUP(AU156,[2]SUMMARY!$A$3:$B$7,2,FALSE),"")</f>
        <v>MC-SAGARANTEN</v>
      </c>
      <c r="AS156" s="42">
        <v>17732567</v>
      </c>
      <c r="AT156" s="31" t="str">
        <f>VLOOKUP(AS156,[2]OUTLET!$B:$C,2,0)</f>
        <v>Raffanza cell</v>
      </c>
      <c r="AU156" s="42" t="s">
        <v>53</v>
      </c>
      <c r="AV156" s="39">
        <v>1</v>
      </c>
      <c r="AW156" s="44">
        <f>IFERROR(VLOOKUP(AQ156,'[2]Harga &amp; Nama CSO'!$A$116:$L$136,2,FALSE),0)*AV156</f>
        <v>0</v>
      </c>
      <c r="AX156" s="44">
        <f>IFERROR(VLOOKUP(AQ156,'[2]Harga &amp; Nama CSO'!$A$116:$L$136,3,FALSE),0)*AV156</f>
        <v>3</v>
      </c>
      <c r="AY156" s="44">
        <f>IFERROR(VLOOKUP(AQ156,'[2]Harga &amp; Nama CSO'!$A$116:$L$136,4,FALSE),0)*AV156</f>
        <v>0</v>
      </c>
      <c r="AZ156" s="44">
        <f>IFERROR(VLOOKUP(AQ156,'[2]Harga &amp; Nama CSO'!$A$116:$L$136,5,FALSE),0)*AV156</f>
        <v>0</v>
      </c>
      <c r="BA156" s="44">
        <f>IFERROR(VLOOKUP(AQ156,'[2]Harga &amp; Nama CSO'!$A$116:$L$136,6,FALSE),0)*AV156</f>
        <v>0</v>
      </c>
      <c r="BB156" s="44">
        <f>IFERROR(VLOOKUP(AQ156,'[2]Harga &amp; Nama CSO'!$A$116:$L$136,7,FALSE),0)*AV156</f>
        <v>0</v>
      </c>
      <c r="BC156" s="44">
        <f>IFERROR(VLOOKUP(AQ156,'[2]Harga &amp; Nama CSO'!$A$116:$L$136,8,FALSE),0)*AV156</f>
        <v>0</v>
      </c>
      <c r="BD156" s="44">
        <f>IFERROR(VLOOKUP(AQ156,'[2]Harga &amp; Nama CSO'!$A$116:$L$136,9,FALSE),0)*AV156</f>
        <v>0</v>
      </c>
      <c r="BE156" s="44">
        <f>IFERROR(VLOOKUP(AQ156,'[2]Harga &amp; Nama CSO'!$A$116:$L$136,10,FALSE),0)*AV156</f>
        <v>0</v>
      </c>
      <c r="BF156" s="44">
        <f>IFERROR(VLOOKUP(AQ156,'[2]Harga &amp; Nama CSO'!$A$116:$L$136,11,FALSE),0)*AV156</f>
        <v>0</v>
      </c>
      <c r="BG156" s="44">
        <f>IFERROR(VLOOKUP(AQ156,'[2]Harga &amp; Nama CSO'!$A$116:$L$136,12,FALSE),0)*AV156</f>
        <v>0</v>
      </c>
      <c r="BH156" s="44">
        <f>IFERROR(VLOOKUP(AQ156,'[2]Harga &amp; Nama CSO'!$A$116:$R$136,13,FALSE),0)*AV156</f>
        <v>0</v>
      </c>
      <c r="BI156" s="44">
        <f>IFERROR(VLOOKUP(AQ156,'[2]Harga &amp; Nama CSO'!$A$116:$R$136,14,FALSE),0)*AV156</f>
        <v>0</v>
      </c>
      <c r="BJ156" s="44">
        <f>IFERROR(VLOOKUP(AQ156,'[2]Harga &amp; Nama CSO'!$A$116:$R$136,15,FALSE),0)*AV156</f>
        <v>0</v>
      </c>
      <c r="BK156" s="44">
        <f>IFERROR(VLOOKUP(AQ156,'[2]Harga &amp; Nama CSO'!$A$116:$R$136,16,FALSE),0)*AV156</f>
        <v>0</v>
      </c>
      <c r="BL156" s="44">
        <f>IFERROR(VLOOKUP(AQ156,'[2]Harga &amp; Nama CSO'!$A$116:$R$136,17,FALSE),0)*AV156</f>
        <v>0</v>
      </c>
      <c r="BM156" s="44">
        <f>IFERROR(VLOOKUP(AQ156,'[2]Harga &amp; Nama CSO'!$A$116:$R$136,18,FALSE),0)*AV156</f>
        <v>0</v>
      </c>
      <c r="BN156" s="44">
        <f>IFERROR(VLOOKUP(AQ156,'[2]Harga &amp; Nama CSO'!$A$116:$S$136,19,FALSE),0)*AV156</f>
        <v>1</v>
      </c>
      <c r="BO156" s="55">
        <f>IFERROR(VLOOKUP(AQ156,'[2]Harga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33"/>
        <v>0</v>
      </c>
      <c r="BU156" s="60">
        <v>46198</v>
      </c>
      <c r="BV156" s="8" t="e">
        <v>#VALUE!</v>
      </c>
      <c r="BW156" s="58" t="e">
        <f>VLOOKUP(AQ156,'[1]Harga &amp; Nama CSO'!$A$28:$D$31,4,0)*BQ156</f>
        <v>#N/A</v>
      </c>
    </row>
    <row r="157" spans="41:75" x14ac:dyDescent="0.35">
      <c r="AO157" s="39">
        <v>155</v>
      </c>
      <c r="AP157" s="60">
        <v>46197</v>
      </c>
      <c r="AQ157" s="41" t="s">
        <v>204</v>
      </c>
      <c r="AR157" s="42" t="str">
        <f>IFERROR(VLOOKUP(AU157,[2]SUMMARY!$A$3:$B$7,2,FALSE),"")</f>
        <v>MC-SAGARANTEN</v>
      </c>
      <c r="AS157" s="42">
        <v>17197757</v>
      </c>
      <c r="AT157" s="31" t="str">
        <f>VLOOKUP(AS157,[2]OUTLET!$B:$C,2,0)</f>
        <v>GIAN ABDULLAH CELL</v>
      </c>
      <c r="AU157" s="42" t="s">
        <v>53</v>
      </c>
      <c r="AV157" s="39">
        <v>1</v>
      </c>
      <c r="AW157" s="44">
        <f>IFERROR(VLOOKUP(AQ157,'[2]Harga &amp; Nama CSO'!$A$116:$L$136,2,FALSE),0)*AV157</f>
        <v>0</v>
      </c>
      <c r="AX157" s="44">
        <f>IFERROR(VLOOKUP(AQ157,'[2]Harga &amp; Nama CSO'!$A$116:$L$136,3,FALSE),0)*AV157</f>
        <v>3</v>
      </c>
      <c r="AY157" s="44">
        <f>IFERROR(VLOOKUP(AQ157,'[2]Harga &amp; Nama CSO'!$A$116:$L$136,4,FALSE),0)*AV157</f>
        <v>0</v>
      </c>
      <c r="AZ157" s="44">
        <f>IFERROR(VLOOKUP(AQ157,'[2]Harga &amp; Nama CSO'!$A$116:$L$136,5,FALSE),0)*AV157</f>
        <v>0</v>
      </c>
      <c r="BA157" s="44">
        <f>IFERROR(VLOOKUP(AQ157,'[2]Harga &amp; Nama CSO'!$A$116:$L$136,6,FALSE),0)*AV157</f>
        <v>0</v>
      </c>
      <c r="BB157" s="44">
        <f>IFERROR(VLOOKUP(AQ157,'[2]Harga &amp; Nama CSO'!$A$116:$L$136,7,FALSE),0)*AV157</f>
        <v>0</v>
      </c>
      <c r="BC157" s="44">
        <f>IFERROR(VLOOKUP(AQ157,'[2]Harga &amp; Nama CSO'!$A$116:$L$136,8,FALSE),0)*AV157</f>
        <v>0</v>
      </c>
      <c r="BD157" s="44">
        <f>IFERROR(VLOOKUP(AQ157,'[2]Harga &amp; Nama CSO'!$A$116:$L$136,9,FALSE),0)*AV157</f>
        <v>0</v>
      </c>
      <c r="BE157" s="44">
        <f>IFERROR(VLOOKUP(AQ157,'[2]Harga &amp; Nama CSO'!$A$116:$L$136,10,FALSE),0)*AV157</f>
        <v>0</v>
      </c>
      <c r="BF157" s="44">
        <f>IFERROR(VLOOKUP(AQ157,'[2]Harga &amp; Nama CSO'!$A$116:$L$136,11,FALSE),0)*AV157</f>
        <v>0</v>
      </c>
      <c r="BG157" s="44">
        <f>IFERROR(VLOOKUP(AQ157,'[2]Harga &amp; Nama CSO'!$A$116:$L$136,12,FALSE),0)*AV157</f>
        <v>0</v>
      </c>
      <c r="BH157" s="44">
        <f>IFERROR(VLOOKUP(AQ157,'[2]Harga &amp; Nama CSO'!$A$116:$R$136,13,FALSE),0)*AV157</f>
        <v>0</v>
      </c>
      <c r="BI157" s="44">
        <f>IFERROR(VLOOKUP(AQ157,'[2]Harga &amp; Nama CSO'!$A$116:$R$136,14,FALSE),0)*AV157</f>
        <v>0</v>
      </c>
      <c r="BJ157" s="44">
        <f>IFERROR(VLOOKUP(AQ157,'[2]Harga &amp; Nama CSO'!$A$116:$R$136,15,FALSE),0)*AV157</f>
        <v>0</v>
      </c>
      <c r="BK157" s="44">
        <f>IFERROR(VLOOKUP(AQ157,'[2]Harga &amp; Nama CSO'!$A$116:$R$136,16,FALSE),0)*AV157</f>
        <v>0</v>
      </c>
      <c r="BL157" s="44">
        <f>IFERROR(VLOOKUP(AQ157,'[2]Harga &amp; Nama CSO'!$A$116:$R$136,17,FALSE),0)*AV157</f>
        <v>0</v>
      </c>
      <c r="BM157" s="44">
        <f>IFERROR(VLOOKUP(AQ157,'[2]Harga &amp; Nama CSO'!$A$116:$R$136,18,FALSE),0)*AV157</f>
        <v>0</v>
      </c>
      <c r="BN157" s="44">
        <f>IFERROR(VLOOKUP(AQ157,'[2]Harga &amp; Nama CSO'!$A$116:$S$136,19,FALSE),0)*AV157</f>
        <v>1</v>
      </c>
      <c r="BO157" s="55">
        <f>IFERROR(VLOOKUP(AQ157,'[2]Harga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33"/>
        <v>0</v>
      </c>
      <c r="BU157" s="60">
        <v>46198</v>
      </c>
      <c r="BV157" s="8" t="e">
        <v>#VALUE!</v>
      </c>
      <c r="BW157" s="58" t="e">
        <f>VLOOKUP(AQ157,'[1]Harga &amp; Nama CSO'!$A$28:$D$31,4,0)*BQ157</f>
        <v>#N/A</v>
      </c>
    </row>
    <row r="158" spans="41:75" x14ac:dyDescent="0.35">
      <c r="AO158" s="39">
        <v>156</v>
      </c>
      <c r="AP158" s="60">
        <v>46197</v>
      </c>
      <c r="AQ158" s="41" t="s">
        <v>204</v>
      </c>
      <c r="AR158" s="42" t="str">
        <f>IFERROR(VLOOKUP(AU158,[2]SUMMARY!$A$3:$B$7,2,FALSE),"")</f>
        <v>MC-SAGARANTEN</v>
      </c>
      <c r="AS158" s="42">
        <v>1306929</v>
      </c>
      <c r="AT158" s="31" t="str">
        <f>VLOOKUP(AS158,[2]OUTLET!$B:$C,2,0)</f>
        <v>SM 3 CELL</v>
      </c>
      <c r="AU158" s="42" t="s">
        <v>53</v>
      </c>
      <c r="AV158" s="39">
        <v>1</v>
      </c>
      <c r="AW158" s="44">
        <f>IFERROR(VLOOKUP(AQ158,'[2]Harga &amp; Nama CSO'!$A$116:$L$136,2,FALSE),0)*AV158</f>
        <v>0</v>
      </c>
      <c r="AX158" s="44">
        <f>IFERROR(VLOOKUP(AQ158,'[2]Harga &amp; Nama CSO'!$A$116:$L$136,3,FALSE),0)*AV158</f>
        <v>3</v>
      </c>
      <c r="AY158" s="44">
        <f>IFERROR(VLOOKUP(AQ158,'[2]Harga &amp; Nama CSO'!$A$116:$L$136,4,FALSE),0)*AV158</f>
        <v>0</v>
      </c>
      <c r="AZ158" s="44">
        <f>IFERROR(VLOOKUP(AQ158,'[2]Harga &amp; Nama CSO'!$A$116:$L$136,5,FALSE),0)*AV158</f>
        <v>0</v>
      </c>
      <c r="BA158" s="44">
        <f>IFERROR(VLOOKUP(AQ158,'[2]Harga &amp; Nama CSO'!$A$116:$L$136,6,FALSE),0)*AV158</f>
        <v>0</v>
      </c>
      <c r="BB158" s="44">
        <f>IFERROR(VLOOKUP(AQ158,'[2]Harga &amp; Nama CSO'!$A$116:$L$136,7,FALSE),0)*AV158</f>
        <v>0</v>
      </c>
      <c r="BC158" s="44">
        <f>IFERROR(VLOOKUP(AQ158,'[2]Harga &amp; Nama CSO'!$A$116:$L$136,8,FALSE),0)*AV158</f>
        <v>0</v>
      </c>
      <c r="BD158" s="44">
        <f>IFERROR(VLOOKUP(AQ158,'[2]Harga &amp; Nama CSO'!$A$116:$L$136,9,FALSE),0)*AV158</f>
        <v>0</v>
      </c>
      <c r="BE158" s="44">
        <f>IFERROR(VLOOKUP(AQ158,'[2]Harga &amp; Nama CSO'!$A$116:$L$136,10,FALSE),0)*AV158</f>
        <v>0</v>
      </c>
      <c r="BF158" s="44">
        <f>IFERROR(VLOOKUP(AQ158,'[2]Harga &amp; Nama CSO'!$A$116:$L$136,11,FALSE),0)*AV158</f>
        <v>0</v>
      </c>
      <c r="BG158" s="44">
        <f>IFERROR(VLOOKUP(AQ158,'[2]Harga &amp; Nama CSO'!$A$116:$L$136,12,FALSE),0)*AV158</f>
        <v>0</v>
      </c>
      <c r="BH158" s="44">
        <f>IFERROR(VLOOKUP(AQ158,'[2]Harga &amp; Nama CSO'!$A$116:$R$136,13,FALSE),0)*AV158</f>
        <v>0</v>
      </c>
      <c r="BI158" s="44">
        <f>IFERROR(VLOOKUP(AQ158,'[2]Harga &amp; Nama CSO'!$A$116:$R$136,14,FALSE),0)*AV158</f>
        <v>0</v>
      </c>
      <c r="BJ158" s="44">
        <f>IFERROR(VLOOKUP(AQ158,'[2]Harga &amp; Nama CSO'!$A$116:$R$136,15,FALSE),0)*AV158</f>
        <v>0</v>
      </c>
      <c r="BK158" s="44">
        <f>IFERROR(VLOOKUP(AQ158,'[2]Harga &amp; Nama CSO'!$A$116:$R$136,16,FALSE),0)*AV158</f>
        <v>0</v>
      </c>
      <c r="BL158" s="44">
        <f>IFERROR(VLOOKUP(AQ158,'[2]Harga &amp; Nama CSO'!$A$116:$R$136,17,FALSE),0)*AV158</f>
        <v>0</v>
      </c>
      <c r="BM158" s="44">
        <f>IFERROR(VLOOKUP(AQ158,'[2]Harga &amp; Nama CSO'!$A$116:$R$136,18,FALSE),0)*AV158</f>
        <v>0</v>
      </c>
      <c r="BN158" s="44">
        <f>IFERROR(VLOOKUP(AQ158,'[2]Harga &amp; Nama CSO'!$A$116:$S$136,19,FALSE),0)*AV158</f>
        <v>1</v>
      </c>
      <c r="BO158" s="55">
        <f>IFERROR(VLOOKUP(AQ158,'[2]Harga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33"/>
        <v>0</v>
      </c>
      <c r="BU158" s="60">
        <v>46198</v>
      </c>
      <c r="BV158" s="8" t="e">
        <v>#VALUE!</v>
      </c>
      <c r="BW158" s="58" t="e">
        <f>VLOOKUP(AQ158,'[1]Harga &amp; Nama CSO'!$A$28:$D$31,4,0)*BQ158</f>
        <v>#N/A</v>
      </c>
    </row>
    <row r="159" spans="41:75" x14ac:dyDescent="0.35">
      <c r="AO159" s="39">
        <v>157</v>
      </c>
      <c r="AP159" s="60">
        <v>46197</v>
      </c>
      <c r="AQ159" s="41" t="s">
        <v>204</v>
      </c>
      <c r="AR159" s="42" t="str">
        <f>IFERROR(VLOOKUP(AU159,[2]SUMMARY!$A$3:$B$7,2,FALSE),"")</f>
        <v>MC-SAGARANTEN</v>
      </c>
      <c r="AS159" s="42">
        <v>17234805</v>
      </c>
      <c r="AT159" s="31" t="str">
        <f>VLOOKUP(AS159,[2]OUTLET!$B:$C,2,0)</f>
        <v>MHIKA CELL</v>
      </c>
      <c r="AU159" s="42" t="s">
        <v>53</v>
      </c>
      <c r="AV159" s="39">
        <v>1</v>
      </c>
      <c r="AW159" s="44">
        <f>IFERROR(VLOOKUP(AQ159,'[2]Harga &amp; Nama CSO'!$A$116:$L$136,2,FALSE),0)*AV159</f>
        <v>0</v>
      </c>
      <c r="AX159" s="44">
        <f>IFERROR(VLOOKUP(AQ159,'[2]Harga &amp; Nama CSO'!$A$116:$L$136,3,FALSE),0)*AV159</f>
        <v>3</v>
      </c>
      <c r="AY159" s="44">
        <f>IFERROR(VLOOKUP(AQ159,'[2]Harga &amp; Nama CSO'!$A$116:$L$136,4,FALSE),0)*AV159</f>
        <v>0</v>
      </c>
      <c r="AZ159" s="44">
        <f>IFERROR(VLOOKUP(AQ159,'[2]Harga &amp; Nama CSO'!$A$116:$L$136,5,FALSE),0)*AV159</f>
        <v>0</v>
      </c>
      <c r="BA159" s="44">
        <f>IFERROR(VLOOKUP(AQ159,'[2]Harga &amp; Nama CSO'!$A$116:$L$136,6,FALSE),0)*AV159</f>
        <v>0</v>
      </c>
      <c r="BB159" s="44">
        <f>IFERROR(VLOOKUP(AQ159,'[2]Harga &amp; Nama CSO'!$A$116:$L$136,7,FALSE),0)*AV159</f>
        <v>0</v>
      </c>
      <c r="BC159" s="44">
        <f>IFERROR(VLOOKUP(AQ159,'[2]Harga &amp; Nama CSO'!$A$116:$L$136,8,FALSE),0)*AV159</f>
        <v>0</v>
      </c>
      <c r="BD159" s="44">
        <f>IFERROR(VLOOKUP(AQ159,'[2]Harga &amp; Nama CSO'!$A$116:$L$136,9,FALSE),0)*AV159</f>
        <v>0</v>
      </c>
      <c r="BE159" s="44">
        <f>IFERROR(VLOOKUP(AQ159,'[2]Harga &amp; Nama CSO'!$A$116:$L$136,10,FALSE),0)*AV159</f>
        <v>0</v>
      </c>
      <c r="BF159" s="44">
        <f>IFERROR(VLOOKUP(AQ159,'[2]Harga &amp; Nama CSO'!$A$116:$L$136,11,FALSE),0)*AV159</f>
        <v>0</v>
      </c>
      <c r="BG159" s="44">
        <f>IFERROR(VLOOKUP(AQ159,'[2]Harga &amp; Nama CSO'!$A$116:$L$136,12,FALSE),0)*AV159</f>
        <v>0</v>
      </c>
      <c r="BH159" s="44">
        <f>IFERROR(VLOOKUP(AQ159,'[2]Harga &amp; Nama CSO'!$A$116:$R$136,13,FALSE),0)*AV159</f>
        <v>0</v>
      </c>
      <c r="BI159" s="44">
        <f>IFERROR(VLOOKUP(AQ159,'[2]Harga &amp; Nama CSO'!$A$116:$R$136,14,FALSE),0)*AV159</f>
        <v>0</v>
      </c>
      <c r="BJ159" s="44">
        <f>IFERROR(VLOOKUP(AQ159,'[2]Harga &amp; Nama CSO'!$A$116:$R$136,15,FALSE),0)*AV159</f>
        <v>0</v>
      </c>
      <c r="BK159" s="44">
        <f>IFERROR(VLOOKUP(AQ159,'[2]Harga &amp; Nama CSO'!$A$116:$R$136,16,FALSE),0)*AV159</f>
        <v>0</v>
      </c>
      <c r="BL159" s="44">
        <f>IFERROR(VLOOKUP(AQ159,'[2]Harga &amp; Nama CSO'!$A$116:$R$136,17,FALSE),0)*AV159</f>
        <v>0</v>
      </c>
      <c r="BM159" s="44">
        <f>IFERROR(VLOOKUP(AQ159,'[2]Harga &amp; Nama CSO'!$A$116:$R$136,18,FALSE),0)*AV159</f>
        <v>0</v>
      </c>
      <c r="BN159" s="44">
        <f>IFERROR(VLOOKUP(AQ159,'[2]Harga &amp; Nama CSO'!$A$116:$S$136,19,FALSE),0)*AV159</f>
        <v>1</v>
      </c>
      <c r="BO159" s="55">
        <f>IFERROR(VLOOKUP(AQ159,'[2]Harga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33"/>
        <v>0</v>
      </c>
      <c r="BU159" s="60">
        <v>46198</v>
      </c>
      <c r="BV159" s="8" t="e">
        <v>#VALUE!</v>
      </c>
      <c r="BW159" s="58" t="e">
        <f>VLOOKUP(AQ159,'[1]Harga &amp; Nama CSO'!$A$28:$D$31,4,0)*BQ159</f>
        <v>#N/A</v>
      </c>
    </row>
    <row r="160" spans="41:75" x14ac:dyDescent="0.35">
      <c r="AO160" s="39">
        <v>158</v>
      </c>
      <c r="AP160" s="60">
        <v>46197</v>
      </c>
      <c r="AQ160" s="41" t="s">
        <v>204</v>
      </c>
      <c r="AR160" s="42" t="str">
        <f>IFERROR(VLOOKUP(AU160,[2]SUMMARY!$A$3:$B$7,2,FALSE),"")</f>
        <v>MC-SAGARANTEN</v>
      </c>
      <c r="AS160" s="42">
        <v>1559327</v>
      </c>
      <c r="AT160" s="31" t="str">
        <f>VLOOKUP(AS160,[2]OUTLET!$B:$C,2,0)</f>
        <v>dzaki cell</v>
      </c>
      <c r="AU160" s="42" t="s">
        <v>53</v>
      </c>
      <c r="AV160" s="39">
        <v>1</v>
      </c>
      <c r="AW160" s="44">
        <f>IFERROR(VLOOKUP(AQ160,'[2]Harga &amp; Nama CSO'!$A$116:$L$136,2,FALSE),0)*AV160</f>
        <v>0</v>
      </c>
      <c r="AX160" s="44">
        <f>IFERROR(VLOOKUP(AQ160,'[2]Harga &amp; Nama CSO'!$A$116:$L$136,3,FALSE),0)*AV160</f>
        <v>3</v>
      </c>
      <c r="AY160" s="44">
        <f>IFERROR(VLOOKUP(AQ160,'[2]Harga &amp; Nama CSO'!$A$116:$L$136,4,FALSE),0)*AV160</f>
        <v>0</v>
      </c>
      <c r="AZ160" s="44">
        <f>IFERROR(VLOOKUP(AQ160,'[2]Harga &amp; Nama CSO'!$A$116:$L$136,5,FALSE),0)*AV160</f>
        <v>0</v>
      </c>
      <c r="BA160" s="44">
        <f>IFERROR(VLOOKUP(AQ160,'[2]Harga &amp; Nama CSO'!$A$116:$L$136,6,FALSE),0)*AV160</f>
        <v>0</v>
      </c>
      <c r="BB160" s="44">
        <f>IFERROR(VLOOKUP(AQ160,'[2]Harga &amp; Nama CSO'!$A$116:$L$136,7,FALSE),0)*AV160</f>
        <v>0</v>
      </c>
      <c r="BC160" s="44">
        <f>IFERROR(VLOOKUP(AQ160,'[2]Harga &amp; Nama CSO'!$A$116:$L$136,8,FALSE),0)*AV160</f>
        <v>0</v>
      </c>
      <c r="BD160" s="44">
        <f>IFERROR(VLOOKUP(AQ160,'[2]Harga &amp; Nama CSO'!$A$116:$L$136,9,FALSE),0)*AV160</f>
        <v>0</v>
      </c>
      <c r="BE160" s="44">
        <f>IFERROR(VLOOKUP(AQ160,'[2]Harga &amp; Nama CSO'!$A$116:$L$136,10,FALSE),0)*AV160</f>
        <v>0</v>
      </c>
      <c r="BF160" s="44">
        <f>IFERROR(VLOOKUP(AQ160,'[2]Harga &amp; Nama CSO'!$A$116:$L$136,11,FALSE),0)*AV160</f>
        <v>0</v>
      </c>
      <c r="BG160" s="44">
        <f>IFERROR(VLOOKUP(AQ160,'[2]Harga &amp; Nama CSO'!$A$116:$L$136,12,FALSE),0)*AV160</f>
        <v>0</v>
      </c>
      <c r="BH160" s="44">
        <f>IFERROR(VLOOKUP(AQ160,'[2]Harga &amp; Nama CSO'!$A$116:$R$136,13,FALSE),0)*AV160</f>
        <v>0</v>
      </c>
      <c r="BI160" s="44">
        <f>IFERROR(VLOOKUP(AQ160,'[2]Harga &amp; Nama CSO'!$A$116:$R$136,14,FALSE),0)*AV160</f>
        <v>0</v>
      </c>
      <c r="BJ160" s="44">
        <f>IFERROR(VLOOKUP(AQ160,'[2]Harga &amp; Nama CSO'!$A$116:$R$136,15,FALSE),0)*AV160</f>
        <v>0</v>
      </c>
      <c r="BK160" s="44">
        <f>IFERROR(VLOOKUP(AQ160,'[2]Harga &amp; Nama CSO'!$A$116:$R$136,16,FALSE),0)*AV160</f>
        <v>0</v>
      </c>
      <c r="BL160" s="44">
        <f>IFERROR(VLOOKUP(AQ160,'[2]Harga &amp; Nama CSO'!$A$116:$R$136,17,FALSE),0)*AV160</f>
        <v>0</v>
      </c>
      <c r="BM160" s="44">
        <f>IFERROR(VLOOKUP(AQ160,'[2]Harga &amp; Nama CSO'!$A$116:$R$136,18,FALSE),0)*AV160</f>
        <v>0</v>
      </c>
      <c r="BN160" s="44">
        <f>IFERROR(VLOOKUP(AQ160,'[2]Harga &amp; Nama CSO'!$A$116:$S$136,19,FALSE),0)*AV160</f>
        <v>1</v>
      </c>
      <c r="BO160" s="55">
        <f>IFERROR(VLOOKUP(AQ160,'[2]Harga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33"/>
        <v>0</v>
      </c>
      <c r="BU160" s="60">
        <v>46198</v>
      </c>
      <c r="BV160" s="8" t="e">
        <v>#VALUE!</v>
      </c>
      <c r="BW160" s="58" t="e">
        <f>VLOOKUP(AQ160,'[1]Harga &amp; Nama CSO'!$A$28:$D$31,4,0)*BQ160</f>
        <v>#N/A</v>
      </c>
    </row>
    <row r="161" spans="41:75" x14ac:dyDescent="0.35">
      <c r="AO161" s="39">
        <v>159</v>
      </c>
      <c r="AP161" s="60">
        <v>46197</v>
      </c>
      <c r="AQ161" s="41" t="s">
        <v>204</v>
      </c>
      <c r="AR161" s="42" t="str">
        <f>IFERROR(VLOOKUP(AU161,[2]SUMMARY!$A$3:$B$7,2,FALSE),"")</f>
        <v>MC-SAGARANTEN</v>
      </c>
      <c r="AS161" s="42">
        <v>17670175</v>
      </c>
      <c r="AT161" s="31" t="str">
        <f>VLOOKUP(AS161,[2]OUTLET!$B:$C,2,0)</f>
        <v>WARJO CELL</v>
      </c>
      <c r="AU161" s="42" t="s">
        <v>54</v>
      </c>
      <c r="AV161" s="39">
        <v>1</v>
      </c>
      <c r="AW161" s="44">
        <f>IFERROR(VLOOKUP(AQ161,'[2]Harga &amp; Nama CSO'!$A$116:$L$136,2,FALSE),0)*AV161</f>
        <v>0</v>
      </c>
      <c r="AX161" s="44">
        <f>IFERROR(VLOOKUP(AQ161,'[2]Harga &amp; Nama CSO'!$A$116:$L$136,3,FALSE),0)*AV161</f>
        <v>3</v>
      </c>
      <c r="AY161" s="44">
        <f>IFERROR(VLOOKUP(AQ161,'[2]Harga &amp; Nama CSO'!$A$116:$L$136,4,FALSE),0)*AV161</f>
        <v>0</v>
      </c>
      <c r="AZ161" s="44">
        <f>IFERROR(VLOOKUP(AQ161,'[2]Harga &amp; Nama CSO'!$A$116:$L$136,5,FALSE),0)*AV161</f>
        <v>0</v>
      </c>
      <c r="BA161" s="44">
        <f>IFERROR(VLOOKUP(AQ161,'[2]Harga &amp; Nama CSO'!$A$116:$L$136,6,FALSE),0)*AV161</f>
        <v>0</v>
      </c>
      <c r="BB161" s="44">
        <f>IFERROR(VLOOKUP(AQ161,'[2]Harga &amp; Nama CSO'!$A$116:$L$136,7,FALSE),0)*AV161</f>
        <v>0</v>
      </c>
      <c r="BC161" s="44">
        <f>IFERROR(VLOOKUP(AQ161,'[2]Harga &amp; Nama CSO'!$A$116:$L$136,8,FALSE),0)*AV161</f>
        <v>0</v>
      </c>
      <c r="BD161" s="44">
        <f>IFERROR(VLOOKUP(AQ161,'[2]Harga &amp; Nama CSO'!$A$116:$L$136,9,FALSE),0)*AV161</f>
        <v>0</v>
      </c>
      <c r="BE161" s="44">
        <f>IFERROR(VLOOKUP(AQ161,'[2]Harga &amp; Nama CSO'!$A$116:$L$136,10,FALSE),0)*AV161</f>
        <v>0</v>
      </c>
      <c r="BF161" s="44">
        <f>IFERROR(VLOOKUP(AQ161,'[2]Harga &amp; Nama CSO'!$A$116:$L$136,11,FALSE),0)*AV161</f>
        <v>0</v>
      </c>
      <c r="BG161" s="44">
        <f>IFERROR(VLOOKUP(AQ161,'[2]Harga &amp; Nama CSO'!$A$116:$L$136,12,FALSE),0)*AV161</f>
        <v>0</v>
      </c>
      <c r="BH161" s="44">
        <f>IFERROR(VLOOKUP(AQ161,'[2]Harga &amp; Nama CSO'!$A$116:$R$136,13,FALSE),0)*AV161</f>
        <v>0</v>
      </c>
      <c r="BI161" s="44">
        <f>IFERROR(VLOOKUP(AQ161,'[2]Harga &amp; Nama CSO'!$A$116:$R$136,14,FALSE),0)*AV161</f>
        <v>0</v>
      </c>
      <c r="BJ161" s="44">
        <f>IFERROR(VLOOKUP(AQ161,'[2]Harga &amp; Nama CSO'!$A$116:$R$136,15,FALSE),0)*AV161</f>
        <v>0</v>
      </c>
      <c r="BK161" s="44">
        <f>IFERROR(VLOOKUP(AQ161,'[2]Harga &amp; Nama CSO'!$A$116:$R$136,16,FALSE),0)*AV161</f>
        <v>0</v>
      </c>
      <c r="BL161" s="44">
        <f>IFERROR(VLOOKUP(AQ161,'[2]Harga &amp; Nama CSO'!$A$116:$R$136,17,FALSE),0)*AV161</f>
        <v>0</v>
      </c>
      <c r="BM161" s="44">
        <f>IFERROR(VLOOKUP(AQ161,'[2]Harga &amp; Nama CSO'!$A$116:$R$136,18,FALSE),0)*AV161</f>
        <v>0</v>
      </c>
      <c r="BN161" s="44">
        <f>IFERROR(VLOOKUP(AQ161,'[2]Harga &amp; Nama CSO'!$A$116:$S$136,19,FALSE),0)*AV161</f>
        <v>1</v>
      </c>
      <c r="BO161" s="55">
        <f>IFERROR(VLOOKUP(AQ161,'[2]Harga &amp; Nama CSO'!$H$2:$N$22,2,FALSE),"")*AV161</f>
        <v>75000</v>
      </c>
      <c r="BP161" s="40">
        <v>46199</v>
      </c>
      <c r="BQ161" s="39">
        <v>1</v>
      </c>
      <c r="BR161" s="59">
        <v>75000</v>
      </c>
      <c r="BS161" s="39" t="s">
        <v>109</v>
      </c>
      <c r="BT161" s="57">
        <f t="shared" si="33"/>
        <v>0</v>
      </c>
      <c r="BU161" s="60">
        <v>46202</v>
      </c>
      <c r="BV161" s="8" t="e">
        <v>#VALUE!</v>
      </c>
      <c r="BW161" s="58" t="e">
        <f>VLOOKUP(AQ161,'[1]Harga &amp; Nama CSO'!$A$28:$D$31,4,0)*BQ161</f>
        <v>#N/A</v>
      </c>
    </row>
    <row r="162" spans="41:75" x14ac:dyDescent="0.35">
      <c r="AO162" s="39">
        <v>160</v>
      </c>
      <c r="AP162" s="60">
        <v>46197</v>
      </c>
      <c r="AQ162" s="41" t="s">
        <v>204</v>
      </c>
      <c r="AR162" s="42" t="str">
        <f>IFERROR(VLOOKUP(AU162,[2]SUMMARY!$A$3:$B$7,2,FALSE),"")</f>
        <v>MC-SAGARANTEN</v>
      </c>
      <c r="AS162" s="42">
        <v>17650729</v>
      </c>
      <c r="AT162" s="31" t="str">
        <f>VLOOKUP(AS162,[2]OUTLET!$B:$C,2,0)</f>
        <v>Zaidan cell</v>
      </c>
      <c r="AU162" s="42" t="s">
        <v>54</v>
      </c>
      <c r="AV162" s="39">
        <v>1</v>
      </c>
      <c r="AW162" s="44">
        <f>IFERROR(VLOOKUP(AQ162,'[2]Harga &amp; Nama CSO'!$A$116:$L$136,2,FALSE),0)*AV162</f>
        <v>0</v>
      </c>
      <c r="AX162" s="44">
        <f>IFERROR(VLOOKUP(AQ162,'[2]Harga &amp; Nama CSO'!$A$116:$L$136,3,FALSE),0)*AV162</f>
        <v>3</v>
      </c>
      <c r="AY162" s="44">
        <f>IFERROR(VLOOKUP(AQ162,'[2]Harga &amp; Nama CSO'!$A$116:$L$136,4,FALSE),0)*AV162</f>
        <v>0</v>
      </c>
      <c r="AZ162" s="44">
        <f>IFERROR(VLOOKUP(AQ162,'[2]Harga &amp; Nama CSO'!$A$116:$L$136,5,FALSE),0)*AV162</f>
        <v>0</v>
      </c>
      <c r="BA162" s="44">
        <f>IFERROR(VLOOKUP(AQ162,'[2]Harga &amp; Nama CSO'!$A$116:$L$136,6,FALSE),0)*AV162</f>
        <v>0</v>
      </c>
      <c r="BB162" s="44">
        <f>IFERROR(VLOOKUP(AQ162,'[2]Harga &amp; Nama CSO'!$A$116:$L$136,7,FALSE),0)*AV162</f>
        <v>0</v>
      </c>
      <c r="BC162" s="44">
        <f>IFERROR(VLOOKUP(AQ162,'[2]Harga &amp; Nama CSO'!$A$116:$L$136,8,FALSE),0)*AV162</f>
        <v>0</v>
      </c>
      <c r="BD162" s="44">
        <f>IFERROR(VLOOKUP(AQ162,'[2]Harga &amp; Nama CSO'!$A$116:$L$136,9,FALSE),0)*AV162</f>
        <v>0</v>
      </c>
      <c r="BE162" s="44">
        <f>IFERROR(VLOOKUP(AQ162,'[2]Harga &amp; Nama CSO'!$A$116:$L$136,10,FALSE),0)*AV162</f>
        <v>0</v>
      </c>
      <c r="BF162" s="44">
        <f>IFERROR(VLOOKUP(AQ162,'[2]Harga &amp; Nama CSO'!$A$116:$L$136,11,FALSE),0)*AV162</f>
        <v>0</v>
      </c>
      <c r="BG162" s="44">
        <f>IFERROR(VLOOKUP(AQ162,'[2]Harga &amp; Nama CSO'!$A$116:$L$136,12,FALSE),0)*AV162</f>
        <v>0</v>
      </c>
      <c r="BH162" s="44">
        <f>IFERROR(VLOOKUP(AQ162,'[2]Harga &amp; Nama CSO'!$A$116:$R$136,13,FALSE),0)*AV162</f>
        <v>0</v>
      </c>
      <c r="BI162" s="44">
        <f>IFERROR(VLOOKUP(AQ162,'[2]Harga &amp; Nama CSO'!$A$116:$R$136,14,FALSE),0)*AV162</f>
        <v>0</v>
      </c>
      <c r="BJ162" s="44">
        <f>IFERROR(VLOOKUP(AQ162,'[2]Harga &amp; Nama CSO'!$A$116:$R$136,15,FALSE),0)*AV162</f>
        <v>0</v>
      </c>
      <c r="BK162" s="44">
        <f>IFERROR(VLOOKUP(AQ162,'[2]Harga &amp; Nama CSO'!$A$116:$R$136,16,FALSE),0)*AV162</f>
        <v>0</v>
      </c>
      <c r="BL162" s="44">
        <f>IFERROR(VLOOKUP(AQ162,'[2]Harga &amp; Nama CSO'!$A$116:$R$136,17,FALSE),0)*AV162</f>
        <v>0</v>
      </c>
      <c r="BM162" s="44">
        <f>IFERROR(VLOOKUP(AQ162,'[2]Harga &amp; Nama CSO'!$A$116:$R$136,18,FALSE),0)*AV162</f>
        <v>0</v>
      </c>
      <c r="BN162" s="44">
        <f>IFERROR(VLOOKUP(AQ162,'[2]Harga &amp; Nama CSO'!$A$116:$S$136,19,FALSE),0)*AV162</f>
        <v>1</v>
      </c>
      <c r="BO162" s="55">
        <f>IFERROR(VLOOKUP(AQ162,'[2]Harga &amp; Nama CSO'!$H$2:$N$22,2,FALSE),"")*AV162</f>
        <v>75000</v>
      </c>
      <c r="BP162" s="40">
        <v>46199</v>
      </c>
      <c r="BQ162" s="39">
        <v>1</v>
      </c>
      <c r="BR162" s="59">
        <v>75000</v>
      </c>
      <c r="BS162" s="39" t="s">
        <v>109</v>
      </c>
      <c r="BT162" s="57">
        <f t="shared" si="33"/>
        <v>0</v>
      </c>
      <c r="BU162" s="60">
        <v>46202</v>
      </c>
      <c r="BV162" s="8" t="e">
        <v>#VALUE!</v>
      </c>
      <c r="BW162" s="58" t="e">
        <f>VLOOKUP(AQ162,'[1]Harga &amp; Nama CSO'!$A$28:$D$31,4,0)*BQ162</f>
        <v>#N/A</v>
      </c>
    </row>
    <row r="163" spans="41:75" x14ac:dyDescent="0.35">
      <c r="AO163" s="39">
        <v>161</v>
      </c>
      <c r="AP163" s="60">
        <v>46197</v>
      </c>
      <c r="AQ163" s="41" t="s">
        <v>204</v>
      </c>
      <c r="AR163" s="42" t="str">
        <f>IFERROR(VLOOKUP(AU163,[2]SUMMARY!$A$3:$B$7,2,FALSE),"")</f>
        <v>MC-SAGARANTEN</v>
      </c>
      <c r="AS163" s="42">
        <v>17645922</v>
      </c>
      <c r="AT163" s="31" t="str">
        <f>VLOOKUP(AS163,[2]OUTLET!$B:$C,2,0)</f>
        <v>Toko BJM</v>
      </c>
      <c r="AU163" s="42" t="s">
        <v>54</v>
      </c>
      <c r="AV163" s="39">
        <v>1</v>
      </c>
      <c r="AW163" s="44">
        <f>IFERROR(VLOOKUP(AQ163,'[2]Harga &amp; Nama CSO'!$A$116:$L$136,2,FALSE),0)*AV163</f>
        <v>0</v>
      </c>
      <c r="AX163" s="44">
        <f>IFERROR(VLOOKUP(AQ163,'[2]Harga &amp; Nama CSO'!$A$116:$L$136,3,FALSE),0)*AV163</f>
        <v>3</v>
      </c>
      <c r="AY163" s="44">
        <f>IFERROR(VLOOKUP(AQ163,'[2]Harga &amp; Nama CSO'!$A$116:$L$136,4,FALSE),0)*AV163</f>
        <v>0</v>
      </c>
      <c r="AZ163" s="44">
        <f>IFERROR(VLOOKUP(AQ163,'[2]Harga &amp; Nama CSO'!$A$116:$L$136,5,FALSE),0)*AV163</f>
        <v>0</v>
      </c>
      <c r="BA163" s="44">
        <f>IFERROR(VLOOKUP(AQ163,'[2]Harga &amp; Nama CSO'!$A$116:$L$136,6,FALSE),0)*AV163</f>
        <v>0</v>
      </c>
      <c r="BB163" s="44">
        <f>IFERROR(VLOOKUP(AQ163,'[2]Harga &amp; Nama CSO'!$A$116:$L$136,7,FALSE),0)*AV163</f>
        <v>0</v>
      </c>
      <c r="BC163" s="44">
        <f>IFERROR(VLOOKUP(AQ163,'[2]Harga &amp; Nama CSO'!$A$116:$L$136,8,FALSE),0)*AV163</f>
        <v>0</v>
      </c>
      <c r="BD163" s="44">
        <f>IFERROR(VLOOKUP(AQ163,'[2]Harga &amp; Nama CSO'!$A$116:$L$136,9,FALSE),0)*AV163</f>
        <v>0</v>
      </c>
      <c r="BE163" s="44">
        <f>IFERROR(VLOOKUP(AQ163,'[2]Harga &amp; Nama CSO'!$A$116:$L$136,10,FALSE),0)*AV163</f>
        <v>0</v>
      </c>
      <c r="BF163" s="44">
        <f>IFERROR(VLOOKUP(AQ163,'[2]Harga &amp; Nama CSO'!$A$116:$L$136,11,FALSE),0)*AV163</f>
        <v>0</v>
      </c>
      <c r="BG163" s="44">
        <f>IFERROR(VLOOKUP(AQ163,'[2]Harga &amp; Nama CSO'!$A$116:$L$136,12,FALSE),0)*AV163</f>
        <v>0</v>
      </c>
      <c r="BH163" s="44">
        <f>IFERROR(VLOOKUP(AQ163,'[2]Harga &amp; Nama CSO'!$A$116:$R$136,13,FALSE),0)*AV163</f>
        <v>0</v>
      </c>
      <c r="BI163" s="44">
        <f>IFERROR(VLOOKUP(AQ163,'[2]Harga &amp; Nama CSO'!$A$116:$R$136,14,FALSE),0)*AV163</f>
        <v>0</v>
      </c>
      <c r="BJ163" s="44">
        <f>IFERROR(VLOOKUP(AQ163,'[2]Harga &amp; Nama CSO'!$A$116:$R$136,15,FALSE),0)*AV163</f>
        <v>0</v>
      </c>
      <c r="BK163" s="44">
        <f>IFERROR(VLOOKUP(AQ163,'[2]Harga &amp; Nama CSO'!$A$116:$R$136,16,FALSE),0)*AV163</f>
        <v>0</v>
      </c>
      <c r="BL163" s="44">
        <f>IFERROR(VLOOKUP(AQ163,'[2]Harga &amp; Nama CSO'!$A$116:$R$136,17,FALSE),0)*AV163</f>
        <v>0</v>
      </c>
      <c r="BM163" s="44">
        <f>IFERROR(VLOOKUP(AQ163,'[2]Harga &amp; Nama CSO'!$A$116:$R$136,18,FALSE),0)*AV163</f>
        <v>0</v>
      </c>
      <c r="BN163" s="44">
        <f>IFERROR(VLOOKUP(AQ163,'[2]Harga &amp; Nama CSO'!$A$116:$S$136,19,FALSE),0)*AV163</f>
        <v>1</v>
      </c>
      <c r="BO163" s="55">
        <f>IFERROR(VLOOKUP(AQ163,'[2]Harga &amp; Nama CSO'!$H$2:$N$22,2,FALSE),"")*AV163</f>
        <v>75000</v>
      </c>
      <c r="BP163" s="40">
        <v>46199</v>
      </c>
      <c r="BQ163" s="39">
        <v>1</v>
      </c>
      <c r="BR163" s="59">
        <v>75000</v>
      </c>
      <c r="BS163" s="39" t="s">
        <v>109</v>
      </c>
      <c r="BT163" s="57">
        <f t="shared" si="33"/>
        <v>0</v>
      </c>
      <c r="BU163" s="60">
        <v>46202</v>
      </c>
      <c r="BV163" s="8" t="e">
        <v>#VALUE!</v>
      </c>
      <c r="BW163" s="58" t="e">
        <f>VLOOKUP(AQ163,'[1]Harga &amp; Nama CSO'!$A$28:$D$31,4,0)*BQ163</f>
        <v>#N/A</v>
      </c>
    </row>
    <row r="164" spans="41:75" x14ac:dyDescent="0.35">
      <c r="AO164" s="39">
        <v>162</v>
      </c>
      <c r="AP164" s="60">
        <v>46197</v>
      </c>
      <c r="AQ164" s="41" t="s">
        <v>204</v>
      </c>
      <c r="AR164" s="42" t="str">
        <f>IFERROR(VLOOKUP(AU164,[2]SUMMARY!$A$3:$B$7,2,FALSE),"")</f>
        <v>MC-SAGARANTEN</v>
      </c>
      <c r="AS164" s="42">
        <v>17695551</v>
      </c>
      <c r="AT164" s="31" t="str">
        <f>VLOOKUP(AS164,[2]OUTLET!$B:$C,2,0)</f>
        <v>Andri Store</v>
      </c>
      <c r="AU164" s="42" t="s">
        <v>54</v>
      </c>
      <c r="AV164" s="39">
        <v>1</v>
      </c>
      <c r="AW164" s="44">
        <f>IFERROR(VLOOKUP(AQ164,'[2]Harga &amp; Nama CSO'!$A$116:$L$136,2,FALSE),0)*AV164</f>
        <v>0</v>
      </c>
      <c r="AX164" s="44">
        <f>IFERROR(VLOOKUP(AQ164,'[2]Harga &amp; Nama CSO'!$A$116:$L$136,3,FALSE),0)*AV164</f>
        <v>3</v>
      </c>
      <c r="AY164" s="44">
        <f>IFERROR(VLOOKUP(AQ164,'[2]Harga &amp; Nama CSO'!$A$116:$L$136,4,FALSE),0)*AV164</f>
        <v>0</v>
      </c>
      <c r="AZ164" s="44">
        <f>IFERROR(VLOOKUP(AQ164,'[2]Harga &amp; Nama CSO'!$A$116:$L$136,5,FALSE),0)*AV164</f>
        <v>0</v>
      </c>
      <c r="BA164" s="44">
        <f>IFERROR(VLOOKUP(AQ164,'[2]Harga &amp; Nama CSO'!$A$116:$L$136,6,FALSE),0)*AV164</f>
        <v>0</v>
      </c>
      <c r="BB164" s="44">
        <f>IFERROR(VLOOKUP(AQ164,'[2]Harga &amp; Nama CSO'!$A$116:$L$136,7,FALSE),0)*AV164</f>
        <v>0</v>
      </c>
      <c r="BC164" s="44">
        <f>IFERROR(VLOOKUP(AQ164,'[2]Harga &amp; Nama CSO'!$A$116:$L$136,8,FALSE),0)*AV164</f>
        <v>0</v>
      </c>
      <c r="BD164" s="44">
        <f>IFERROR(VLOOKUP(AQ164,'[2]Harga &amp; Nama CSO'!$A$116:$L$136,9,FALSE),0)*AV164</f>
        <v>0</v>
      </c>
      <c r="BE164" s="44">
        <f>IFERROR(VLOOKUP(AQ164,'[2]Harga &amp; Nama CSO'!$A$116:$L$136,10,FALSE),0)*AV164</f>
        <v>0</v>
      </c>
      <c r="BF164" s="44">
        <f>IFERROR(VLOOKUP(AQ164,'[2]Harga &amp; Nama CSO'!$A$116:$L$136,11,FALSE),0)*AV164</f>
        <v>0</v>
      </c>
      <c r="BG164" s="44">
        <f>IFERROR(VLOOKUP(AQ164,'[2]Harga &amp; Nama CSO'!$A$116:$L$136,12,FALSE),0)*AV164</f>
        <v>0</v>
      </c>
      <c r="BH164" s="44">
        <f>IFERROR(VLOOKUP(AQ164,'[2]Harga &amp; Nama CSO'!$A$116:$R$136,13,FALSE),0)*AV164</f>
        <v>0</v>
      </c>
      <c r="BI164" s="44">
        <f>IFERROR(VLOOKUP(AQ164,'[2]Harga &amp; Nama CSO'!$A$116:$R$136,14,FALSE),0)*AV164</f>
        <v>0</v>
      </c>
      <c r="BJ164" s="44">
        <f>IFERROR(VLOOKUP(AQ164,'[2]Harga &amp; Nama CSO'!$A$116:$R$136,15,FALSE),0)*AV164</f>
        <v>0</v>
      </c>
      <c r="BK164" s="44">
        <f>IFERROR(VLOOKUP(AQ164,'[2]Harga &amp; Nama CSO'!$A$116:$R$136,16,FALSE),0)*AV164</f>
        <v>0</v>
      </c>
      <c r="BL164" s="44">
        <f>IFERROR(VLOOKUP(AQ164,'[2]Harga &amp; Nama CSO'!$A$116:$R$136,17,FALSE),0)*AV164</f>
        <v>0</v>
      </c>
      <c r="BM164" s="44">
        <f>IFERROR(VLOOKUP(AQ164,'[2]Harga &amp; Nama CSO'!$A$116:$R$136,18,FALSE),0)*AV164</f>
        <v>0</v>
      </c>
      <c r="BN164" s="44">
        <f>IFERROR(VLOOKUP(AQ164,'[2]Harga &amp; Nama CSO'!$A$116:$S$136,19,FALSE),0)*AV164</f>
        <v>1</v>
      </c>
      <c r="BO164" s="55">
        <f>IFERROR(VLOOKUP(AQ164,'[2]Harga &amp; Nama CSO'!$H$2:$N$22,2,FALSE),"")*AV164</f>
        <v>75000</v>
      </c>
      <c r="BP164" s="40">
        <v>46199</v>
      </c>
      <c r="BQ164" s="39">
        <v>1</v>
      </c>
      <c r="BR164" s="59">
        <v>75000</v>
      </c>
      <c r="BS164" s="39" t="s">
        <v>109</v>
      </c>
      <c r="BT164" s="57">
        <f t="shared" si="33"/>
        <v>0</v>
      </c>
      <c r="BU164" s="60">
        <v>46202</v>
      </c>
      <c r="BV164" s="8" t="e">
        <v>#VALUE!</v>
      </c>
      <c r="BW164" s="58" t="e">
        <f>VLOOKUP(AQ164,'[1]Harga &amp; Nama CSO'!$A$28:$D$31,4,0)*BQ164</f>
        <v>#N/A</v>
      </c>
    </row>
    <row r="165" spans="41:75" x14ac:dyDescent="0.35">
      <c r="AO165" s="39">
        <v>163</v>
      </c>
      <c r="AP165" s="60">
        <v>46197</v>
      </c>
      <c r="AQ165" s="41" t="s">
        <v>204</v>
      </c>
      <c r="AR165" s="42" t="str">
        <f>IFERROR(VLOOKUP(AU165,[2]SUMMARY!$A$3:$B$7,2,FALSE),"")</f>
        <v>MC-SAGARANTEN</v>
      </c>
      <c r="AS165" s="42">
        <v>17139621</v>
      </c>
      <c r="AT165" s="31" t="str">
        <f>VLOOKUP(AS165,[2]OUTLET!$B:$C,2,0)</f>
        <v>BRANDAL CINTA CELL</v>
      </c>
      <c r="AU165" s="42" t="s">
        <v>54</v>
      </c>
      <c r="AV165" s="39">
        <v>1</v>
      </c>
      <c r="AW165" s="44">
        <f>IFERROR(VLOOKUP(AQ165,'[2]Harga &amp; Nama CSO'!$A$116:$L$136,2,FALSE),0)*AV165</f>
        <v>0</v>
      </c>
      <c r="AX165" s="44">
        <f>IFERROR(VLOOKUP(AQ165,'[2]Harga &amp; Nama CSO'!$A$116:$L$136,3,FALSE),0)*AV165</f>
        <v>3</v>
      </c>
      <c r="AY165" s="44">
        <f>IFERROR(VLOOKUP(AQ165,'[2]Harga &amp; Nama CSO'!$A$116:$L$136,4,FALSE),0)*AV165</f>
        <v>0</v>
      </c>
      <c r="AZ165" s="44">
        <f>IFERROR(VLOOKUP(AQ165,'[2]Harga &amp; Nama CSO'!$A$116:$L$136,5,FALSE),0)*AV165</f>
        <v>0</v>
      </c>
      <c r="BA165" s="44">
        <f>IFERROR(VLOOKUP(AQ165,'[2]Harga &amp; Nama CSO'!$A$116:$L$136,6,FALSE),0)*AV165</f>
        <v>0</v>
      </c>
      <c r="BB165" s="44">
        <f>IFERROR(VLOOKUP(AQ165,'[2]Harga &amp; Nama CSO'!$A$116:$L$136,7,FALSE),0)*AV165</f>
        <v>0</v>
      </c>
      <c r="BC165" s="44">
        <f>IFERROR(VLOOKUP(AQ165,'[2]Harga &amp; Nama CSO'!$A$116:$L$136,8,FALSE),0)*AV165</f>
        <v>0</v>
      </c>
      <c r="BD165" s="44">
        <f>IFERROR(VLOOKUP(AQ165,'[2]Harga &amp; Nama CSO'!$A$116:$L$136,9,FALSE),0)*AV165</f>
        <v>0</v>
      </c>
      <c r="BE165" s="44">
        <f>IFERROR(VLOOKUP(AQ165,'[2]Harga &amp; Nama CSO'!$A$116:$L$136,10,FALSE),0)*AV165</f>
        <v>0</v>
      </c>
      <c r="BF165" s="44">
        <f>IFERROR(VLOOKUP(AQ165,'[2]Harga &amp; Nama CSO'!$A$116:$L$136,11,FALSE),0)*AV165</f>
        <v>0</v>
      </c>
      <c r="BG165" s="44">
        <f>IFERROR(VLOOKUP(AQ165,'[2]Harga &amp; Nama CSO'!$A$116:$L$136,12,FALSE),0)*AV165</f>
        <v>0</v>
      </c>
      <c r="BH165" s="44">
        <f>IFERROR(VLOOKUP(AQ165,'[2]Harga &amp; Nama CSO'!$A$116:$R$136,13,FALSE),0)*AV165</f>
        <v>0</v>
      </c>
      <c r="BI165" s="44">
        <f>IFERROR(VLOOKUP(AQ165,'[2]Harga &amp; Nama CSO'!$A$116:$R$136,14,FALSE),0)*AV165</f>
        <v>0</v>
      </c>
      <c r="BJ165" s="44">
        <f>IFERROR(VLOOKUP(AQ165,'[2]Harga &amp; Nama CSO'!$A$116:$R$136,15,FALSE),0)*AV165</f>
        <v>0</v>
      </c>
      <c r="BK165" s="44">
        <f>IFERROR(VLOOKUP(AQ165,'[2]Harga &amp; Nama CSO'!$A$116:$R$136,16,FALSE),0)*AV165</f>
        <v>0</v>
      </c>
      <c r="BL165" s="44">
        <f>IFERROR(VLOOKUP(AQ165,'[2]Harga &amp; Nama CSO'!$A$116:$R$136,17,FALSE),0)*AV165</f>
        <v>0</v>
      </c>
      <c r="BM165" s="44">
        <f>IFERROR(VLOOKUP(AQ165,'[2]Harga &amp; Nama CSO'!$A$116:$R$136,18,FALSE),0)*AV165</f>
        <v>0</v>
      </c>
      <c r="BN165" s="44">
        <f>IFERROR(VLOOKUP(AQ165,'[2]Harga &amp; Nama CSO'!$A$116:$S$136,19,FALSE),0)*AV165</f>
        <v>1</v>
      </c>
      <c r="BO165" s="55">
        <f>IFERROR(VLOOKUP(AQ165,'[2]Harga &amp; Nama CSO'!$H$2:$N$22,2,FALSE),"")*AV165</f>
        <v>75000</v>
      </c>
      <c r="BP165" s="40">
        <v>46199</v>
      </c>
      <c r="BQ165" s="39">
        <v>1</v>
      </c>
      <c r="BR165" s="59">
        <v>75000</v>
      </c>
      <c r="BS165" s="39" t="s">
        <v>109</v>
      </c>
      <c r="BT165" s="57">
        <f t="shared" si="33"/>
        <v>0</v>
      </c>
      <c r="BU165" s="60">
        <v>46202</v>
      </c>
      <c r="BV165" s="8" t="e">
        <v>#VALUE!</v>
      </c>
      <c r="BW165" s="58" t="e">
        <f>VLOOKUP(AQ165,'[1]Harga &amp; Nama CSO'!$A$28:$D$31,4,0)*BQ165</f>
        <v>#N/A</v>
      </c>
    </row>
    <row r="166" spans="41:75" x14ac:dyDescent="0.35">
      <c r="AO166" s="39">
        <v>164</v>
      </c>
      <c r="AP166" s="60">
        <v>46197</v>
      </c>
      <c r="AQ166" s="41" t="s">
        <v>204</v>
      </c>
      <c r="AR166" s="42" t="str">
        <f>IFERROR(VLOOKUP(AU166,[2]SUMMARY!$A$3:$B$7,2,FALSE),"")</f>
        <v>MC-SAGARANTEN</v>
      </c>
      <c r="AS166" s="42">
        <v>17681962</v>
      </c>
      <c r="AT166" s="31" t="str">
        <f>VLOOKUP(AS166,[2]OUTLET!$B:$C,2,0)</f>
        <v>WP-Nay Cell</v>
      </c>
      <c r="AU166" s="42" t="s">
        <v>54</v>
      </c>
      <c r="AV166" s="39">
        <v>1</v>
      </c>
      <c r="AW166" s="44">
        <f>IFERROR(VLOOKUP(AQ166,'[2]Harga &amp; Nama CSO'!$A$116:$L$136,2,FALSE),0)*AV166</f>
        <v>0</v>
      </c>
      <c r="AX166" s="44">
        <f>IFERROR(VLOOKUP(AQ166,'[2]Harga &amp; Nama CSO'!$A$116:$L$136,3,FALSE),0)*AV166</f>
        <v>3</v>
      </c>
      <c r="AY166" s="44">
        <f>IFERROR(VLOOKUP(AQ166,'[2]Harga &amp; Nama CSO'!$A$116:$L$136,4,FALSE),0)*AV166</f>
        <v>0</v>
      </c>
      <c r="AZ166" s="44">
        <f>IFERROR(VLOOKUP(AQ166,'[2]Harga &amp; Nama CSO'!$A$116:$L$136,5,FALSE),0)*AV166</f>
        <v>0</v>
      </c>
      <c r="BA166" s="44">
        <f>IFERROR(VLOOKUP(AQ166,'[2]Harga &amp; Nama CSO'!$A$116:$L$136,6,FALSE),0)*AV166</f>
        <v>0</v>
      </c>
      <c r="BB166" s="44">
        <f>IFERROR(VLOOKUP(AQ166,'[2]Harga &amp; Nama CSO'!$A$116:$L$136,7,FALSE),0)*AV166</f>
        <v>0</v>
      </c>
      <c r="BC166" s="44">
        <f>IFERROR(VLOOKUP(AQ166,'[2]Harga &amp; Nama CSO'!$A$116:$L$136,8,FALSE),0)*AV166</f>
        <v>0</v>
      </c>
      <c r="BD166" s="44">
        <f>IFERROR(VLOOKUP(AQ166,'[2]Harga &amp; Nama CSO'!$A$116:$L$136,9,FALSE),0)*AV166</f>
        <v>0</v>
      </c>
      <c r="BE166" s="44">
        <f>IFERROR(VLOOKUP(AQ166,'[2]Harga &amp; Nama CSO'!$A$116:$L$136,10,FALSE),0)*AV166</f>
        <v>0</v>
      </c>
      <c r="BF166" s="44">
        <f>IFERROR(VLOOKUP(AQ166,'[2]Harga &amp; Nama CSO'!$A$116:$L$136,11,FALSE),0)*AV166</f>
        <v>0</v>
      </c>
      <c r="BG166" s="44">
        <f>IFERROR(VLOOKUP(AQ166,'[2]Harga &amp; Nama CSO'!$A$116:$L$136,12,FALSE),0)*AV166</f>
        <v>0</v>
      </c>
      <c r="BH166" s="44">
        <f>IFERROR(VLOOKUP(AQ166,'[2]Harga &amp; Nama CSO'!$A$116:$R$136,13,FALSE),0)*AV166</f>
        <v>0</v>
      </c>
      <c r="BI166" s="44">
        <f>IFERROR(VLOOKUP(AQ166,'[2]Harga &amp; Nama CSO'!$A$116:$R$136,14,FALSE),0)*AV166</f>
        <v>0</v>
      </c>
      <c r="BJ166" s="44">
        <f>IFERROR(VLOOKUP(AQ166,'[2]Harga &amp; Nama CSO'!$A$116:$R$136,15,FALSE),0)*AV166</f>
        <v>0</v>
      </c>
      <c r="BK166" s="44">
        <f>IFERROR(VLOOKUP(AQ166,'[2]Harga &amp; Nama CSO'!$A$116:$R$136,16,FALSE),0)*AV166</f>
        <v>0</v>
      </c>
      <c r="BL166" s="44">
        <f>IFERROR(VLOOKUP(AQ166,'[2]Harga &amp; Nama CSO'!$A$116:$R$136,17,FALSE),0)*AV166</f>
        <v>0</v>
      </c>
      <c r="BM166" s="44">
        <f>IFERROR(VLOOKUP(AQ166,'[2]Harga &amp; Nama CSO'!$A$116:$R$136,18,FALSE),0)*AV166</f>
        <v>0</v>
      </c>
      <c r="BN166" s="44">
        <f>IFERROR(VLOOKUP(AQ166,'[2]Harga &amp; Nama CSO'!$A$116:$S$136,19,FALSE),0)*AV166</f>
        <v>1</v>
      </c>
      <c r="BO166" s="55">
        <f>IFERROR(VLOOKUP(AQ166,'[2]Harga &amp; Nama CSO'!$H$2:$N$22,2,FALSE),"")*AV166</f>
        <v>75000</v>
      </c>
      <c r="BP166" s="40">
        <v>46199</v>
      </c>
      <c r="BQ166" s="39">
        <v>1</v>
      </c>
      <c r="BR166" s="59">
        <v>75000</v>
      </c>
      <c r="BS166" s="39" t="s">
        <v>109</v>
      </c>
      <c r="BT166" s="57">
        <f t="shared" si="33"/>
        <v>0</v>
      </c>
      <c r="BU166" s="60">
        <v>46202</v>
      </c>
      <c r="BV166" s="8" t="e">
        <v>#VALUE!</v>
      </c>
      <c r="BW166" s="58" t="e">
        <f>VLOOKUP(AQ166,'[1]Harga &amp; Nama CSO'!$A$28:$D$31,4,0)*BQ166</f>
        <v>#N/A</v>
      </c>
    </row>
    <row r="167" spans="41:75" x14ac:dyDescent="0.35">
      <c r="AO167" s="39">
        <v>165</v>
      </c>
      <c r="AP167" s="60">
        <v>46197</v>
      </c>
      <c r="AQ167" s="41" t="s">
        <v>204</v>
      </c>
      <c r="AR167" s="42" t="str">
        <f>IFERROR(VLOOKUP(AU167,[2]SUMMARY!$A$3:$B$7,2,FALSE),"")</f>
        <v>MC-SAGARANTEN</v>
      </c>
      <c r="AS167" s="42">
        <v>17381211</v>
      </c>
      <c r="AT167" s="31" t="str">
        <f>VLOOKUP(AS167,[2]OUTLET!$B:$C,2,0)</f>
        <v>SABISANA CELL</v>
      </c>
      <c r="AU167" s="42" t="s">
        <v>54</v>
      </c>
      <c r="AV167" s="39">
        <v>1</v>
      </c>
      <c r="AW167" s="44">
        <f>IFERROR(VLOOKUP(AQ167,'[2]Harga &amp; Nama CSO'!$A$116:$L$136,2,FALSE),0)*AV167</f>
        <v>0</v>
      </c>
      <c r="AX167" s="44">
        <f>IFERROR(VLOOKUP(AQ167,'[2]Harga &amp; Nama CSO'!$A$116:$L$136,3,FALSE),0)*AV167</f>
        <v>3</v>
      </c>
      <c r="AY167" s="44">
        <f>IFERROR(VLOOKUP(AQ167,'[2]Harga &amp; Nama CSO'!$A$116:$L$136,4,FALSE),0)*AV167</f>
        <v>0</v>
      </c>
      <c r="AZ167" s="44">
        <f>IFERROR(VLOOKUP(AQ167,'[2]Harga &amp; Nama CSO'!$A$116:$L$136,5,FALSE),0)*AV167</f>
        <v>0</v>
      </c>
      <c r="BA167" s="44">
        <f>IFERROR(VLOOKUP(AQ167,'[2]Harga &amp; Nama CSO'!$A$116:$L$136,6,FALSE),0)*AV167</f>
        <v>0</v>
      </c>
      <c r="BB167" s="44">
        <f>IFERROR(VLOOKUP(AQ167,'[2]Harga &amp; Nama CSO'!$A$116:$L$136,7,FALSE),0)*AV167</f>
        <v>0</v>
      </c>
      <c r="BC167" s="44">
        <f>IFERROR(VLOOKUP(AQ167,'[2]Harga &amp; Nama CSO'!$A$116:$L$136,8,FALSE),0)*AV167</f>
        <v>0</v>
      </c>
      <c r="BD167" s="44">
        <f>IFERROR(VLOOKUP(AQ167,'[2]Harga &amp; Nama CSO'!$A$116:$L$136,9,FALSE),0)*AV167</f>
        <v>0</v>
      </c>
      <c r="BE167" s="44">
        <f>IFERROR(VLOOKUP(AQ167,'[2]Harga &amp; Nama CSO'!$A$116:$L$136,10,FALSE),0)*AV167</f>
        <v>0</v>
      </c>
      <c r="BF167" s="44">
        <f>IFERROR(VLOOKUP(AQ167,'[2]Harga &amp; Nama CSO'!$A$116:$L$136,11,FALSE),0)*AV167</f>
        <v>0</v>
      </c>
      <c r="BG167" s="44">
        <f>IFERROR(VLOOKUP(AQ167,'[2]Harga &amp; Nama CSO'!$A$116:$L$136,12,FALSE),0)*AV167</f>
        <v>0</v>
      </c>
      <c r="BH167" s="44">
        <f>IFERROR(VLOOKUP(AQ167,'[2]Harga &amp; Nama CSO'!$A$116:$R$136,13,FALSE),0)*AV167</f>
        <v>0</v>
      </c>
      <c r="BI167" s="44">
        <f>IFERROR(VLOOKUP(AQ167,'[2]Harga &amp; Nama CSO'!$A$116:$R$136,14,FALSE),0)*AV167</f>
        <v>0</v>
      </c>
      <c r="BJ167" s="44">
        <f>IFERROR(VLOOKUP(AQ167,'[2]Harga &amp; Nama CSO'!$A$116:$R$136,15,FALSE),0)*AV167</f>
        <v>0</v>
      </c>
      <c r="BK167" s="44">
        <f>IFERROR(VLOOKUP(AQ167,'[2]Harga &amp; Nama CSO'!$A$116:$R$136,16,FALSE),0)*AV167</f>
        <v>0</v>
      </c>
      <c r="BL167" s="44">
        <f>IFERROR(VLOOKUP(AQ167,'[2]Harga &amp; Nama CSO'!$A$116:$R$136,17,FALSE),0)*AV167</f>
        <v>0</v>
      </c>
      <c r="BM167" s="44">
        <f>IFERROR(VLOOKUP(AQ167,'[2]Harga &amp; Nama CSO'!$A$116:$R$136,18,FALSE),0)*AV167</f>
        <v>0</v>
      </c>
      <c r="BN167" s="44">
        <f>IFERROR(VLOOKUP(AQ167,'[2]Harga &amp; Nama CSO'!$A$116:$S$136,19,FALSE),0)*AV167</f>
        <v>1</v>
      </c>
      <c r="BO167" s="55">
        <f>IFERROR(VLOOKUP(AQ167,'[2]Harga &amp; Nama CSO'!$H$2:$N$22,2,FALSE),"")*AV167</f>
        <v>75000</v>
      </c>
      <c r="BP167" s="40">
        <v>46199</v>
      </c>
      <c r="BQ167" s="39">
        <v>1</v>
      </c>
      <c r="BR167" s="59">
        <v>75000</v>
      </c>
      <c r="BS167" s="39" t="s">
        <v>109</v>
      </c>
      <c r="BT167" s="57">
        <f t="shared" si="33"/>
        <v>0</v>
      </c>
      <c r="BU167" s="60">
        <v>46202</v>
      </c>
      <c r="BV167" s="8" t="e">
        <v>#VALUE!</v>
      </c>
      <c r="BW167" s="58" t="e">
        <f>VLOOKUP(AQ167,'[1]Harga &amp; Nama CSO'!$A$28:$D$31,4,0)*BQ167</f>
        <v>#N/A</v>
      </c>
    </row>
    <row r="168" spans="41:75" x14ac:dyDescent="0.35">
      <c r="AO168" s="39">
        <v>166</v>
      </c>
      <c r="AP168" s="60">
        <v>46197</v>
      </c>
      <c r="AQ168" s="41" t="s">
        <v>204</v>
      </c>
      <c r="AR168" s="42" t="str">
        <f>IFERROR(VLOOKUP(AU168,[2]SUMMARY!$A$3:$B$7,2,FALSE),"")</f>
        <v>MC-SAGARANTEN</v>
      </c>
      <c r="AS168" s="42">
        <v>17255674</v>
      </c>
      <c r="AT168" s="31" t="str">
        <f>VLOOKUP(AS168,[2]OUTLET!$B:$C,2,0)</f>
        <v>ARVAN CELL</v>
      </c>
      <c r="AU168" s="42" t="s">
        <v>54</v>
      </c>
      <c r="AV168" s="39">
        <v>1</v>
      </c>
      <c r="AW168" s="44">
        <f>IFERROR(VLOOKUP(AQ168,'[2]Harga &amp; Nama CSO'!$A$116:$L$136,2,FALSE),0)*AV168</f>
        <v>0</v>
      </c>
      <c r="AX168" s="44">
        <f>IFERROR(VLOOKUP(AQ168,'[2]Harga &amp; Nama CSO'!$A$116:$L$136,3,FALSE),0)*AV168</f>
        <v>3</v>
      </c>
      <c r="AY168" s="44">
        <f>IFERROR(VLOOKUP(AQ168,'[2]Harga &amp; Nama CSO'!$A$116:$L$136,4,FALSE),0)*AV168</f>
        <v>0</v>
      </c>
      <c r="AZ168" s="44">
        <f>IFERROR(VLOOKUP(AQ168,'[2]Harga &amp; Nama CSO'!$A$116:$L$136,5,FALSE),0)*AV168</f>
        <v>0</v>
      </c>
      <c r="BA168" s="44">
        <f>IFERROR(VLOOKUP(AQ168,'[2]Harga &amp; Nama CSO'!$A$116:$L$136,6,FALSE),0)*AV168</f>
        <v>0</v>
      </c>
      <c r="BB168" s="44">
        <f>IFERROR(VLOOKUP(AQ168,'[2]Harga &amp; Nama CSO'!$A$116:$L$136,7,FALSE),0)*AV168</f>
        <v>0</v>
      </c>
      <c r="BC168" s="44">
        <f>IFERROR(VLOOKUP(AQ168,'[2]Harga &amp; Nama CSO'!$A$116:$L$136,8,FALSE),0)*AV168</f>
        <v>0</v>
      </c>
      <c r="BD168" s="44">
        <f>IFERROR(VLOOKUP(AQ168,'[2]Harga &amp; Nama CSO'!$A$116:$L$136,9,FALSE),0)*AV168</f>
        <v>0</v>
      </c>
      <c r="BE168" s="44">
        <f>IFERROR(VLOOKUP(AQ168,'[2]Harga &amp; Nama CSO'!$A$116:$L$136,10,FALSE),0)*AV168</f>
        <v>0</v>
      </c>
      <c r="BF168" s="44">
        <f>IFERROR(VLOOKUP(AQ168,'[2]Harga &amp; Nama CSO'!$A$116:$L$136,11,FALSE),0)*AV168</f>
        <v>0</v>
      </c>
      <c r="BG168" s="44">
        <f>IFERROR(VLOOKUP(AQ168,'[2]Harga &amp; Nama CSO'!$A$116:$L$136,12,FALSE),0)*AV168</f>
        <v>0</v>
      </c>
      <c r="BH168" s="44">
        <f>IFERROR(VLOOKUP(AQ168,'[2]Harga &amp; Nama CSO'!$A$116:$R$136,13,FALSE),0)*AV168</f>
        <v>0</v>
      </c>
      <c r="BI168" s="44">
        <f>IFERROR(VLOOKUP(AQ168,'[2]Harga &amp; Nama CSO'!$A$116:$R$136,14,FALSE),0)*AV168</f>
        <v>0</v>
      </c>
      <c r="BJ168" s="44">
        <f>IFERROR(VLOOKUP(AQ168,'[2]Harga &amp; Nama CSO'!$A$116:$R$136,15,FALSE),0)*AV168</f>
        <v>0</v>
      </c>
      <c r="BK168" s="44">
        <f>IFERROR(VLOOKUP(AQ168,'[2]Harga &amp; Nama CSO'!$A$116:$R$136,16,FALSE),0)*AV168</f>
        <v>0</v>
      </c>
      <c r="BL168" s="44">
        <f>IFERROR(VLOOKUP(AQ168,'[2]Harga &amp; Nama CSO'!$A$116:$R$136,17,FALSE),0)*AV168</f>
        <v>0</v>
      </c>
      <c r="BM168" s="44">
        <f>IFERROR(VLOOKUP(AQ168,'[2]Harga &amp; Nama CSO'!$A$116:$R$136,18,FALSE),0)*AV168</f>
        <v>0</v>
      </c>
      <c r="BN168" s="44">
        <f>IFERROR(VLOOKUP(AQ168,'[2]Harga &amp; Nama CSO'!$A$116:$S$136,19,FALSE),0)*AV168</f>
        <v>1</v>
      </c>
      <c r="BO168" s="55">
        <f>IFERROR(VLOOKUP(AQ168,'[2]Harga &amp; Nama CSO'!$H$2:$N$22,2,FALSE),"")*AV168</f>
        <v>75000</v>
      </c>
      <c r="BP168" s="40">
        <v>46199</v>
      </c>
      <c r="BQ168" s="39">
        <v>1</v>
      </c>
      <c r="BR168" s="59">
        <v>75000</v>
      </c>
      <c r="BS168" s="39" t="s">
        <v>109</v>
      </c>
      <c r="BT168" s="57">
        <f t="shared" si="33"/>
        <v>0</v>
      </c>
      <c r="BU168" s="60">
        <v>46202</v>
      </c>
      <c r="BV168" s="8" t="e">
        <v>#VALUE!</v>
      </c>
      <c r="BW168" s="58" t="e">
        <f>VLOOKUP(AQ168,'[1]Harga &amp; Nama CSO'!$A$28:$D$31,4,0)*BQ168</f>
        <v>#N/A</v>
      </c>
    </row>
    <row r="169" spans="41:75" x14ac:dyDescent="0.35">
      <c r="AO169" s="39">
        <v>167</v>
      </c>
      <c r="AP169" s="60">
        <v>46197</v>
      </c>
      <c r="AQ169" s="41" t="s">
        <v>204</v>
      </c>
      <c r="AR169" s="42" t="str">
        <f>IFERROR(VLOOKUP(AU169,[2]SUMMARY!$A$3:$B$7,2,FALSE),"")</f>
        <v>MC-SAGARANTEN</v>
      </c>
      <c r="AS169" s="42">
        <v>17459602</v>
      </c>
      <c r="AT169" s="31" t="str">
        <f>VLOOKUP(AS169,[2]OUTLET!$B:$C,2,0)</f>
        <v>DEWALA CELL</v>
      </c>
      <c r="AU169" s="42" t="s">
        <v>54</v>
      </c>
      <c r="AV169" s="39">
        <v>1</v>
      </c>
      <c r="AW169" s="44">
        <f>IFERROR(VLOOKUP(AQ169,'[2]Harga &amp; Nama CSO'!$A$116:$L$136,2,FALSE),0)*AV169</f>
        <v>0</v>
      </c>
      <c r="AX169" s="44">
        <f>IFERROR(VLOOKUP(AQ169,'[2]Harga &amp; Nama CSO'!$A$116:$L$136,3,FALSE),0)*AV169</f>
        <v>3</v>
      </c>
      <c r="AY169" s="44">
        <f>IFERROR(VLOOKUP(AQ169,'[2]Harga &amp; Nama CSO'!$A$116:$L$136,4,FALSE),0)*AV169</f>
        <v>0</v>
      </c>
      <c r="AZ169" s="44">
        <f>IFERROR(VLOOKUP(AQ169,'[2]Harga &amp; Nama CSO'!$A$116:$L$136,5,FALSE),0)*AV169</f>
        <v>0</v>
      </c>
      <c r="BA169" s="44">
        <f>IFERROR(VLOOKUP(AQ169,'[2]Harga &amp; Nama CSO'!$A$116:$L$136,6,FALSE),0)*AV169</f>
        <v>0</v>
      </c>
      <c r="BB169" s="44">
        <f>IFERROR(VLOOKUP(AQ169,'[2]Harga &amp; Nama CSO'!$A$116:$L$136,7,FALSE),0)*AV169</f>
        <v>0</v>
      </c>
      <c r="BC169" s="44">
        <f>IFERROR(VLOOKUP(AQ169,'[2]Harga &amp; Nama CSO'!$A$116:$L$136,8,FALSE),0)*AV169</f>
        <v>0</v>
      </c>
      <c r="BD169" s="44">
        <f>IFERROR(VLOOKUP(AQ169,'[2]Harga &amp; Nama CSO'!$A$116:$L$136,9,FALSE),0)*AV169</f>
        <v>0</v>
      </c>
      <c r="BE169" s="44">
        <f>IFERROR(VLOOKUP(AQ169,'[2]Harga &amp; Nama CSO'!$A$116:$L$136,10,FALSE),0)*AV169</f>
        <v>0</v>
      </c>
      <c r="BF169" s="44">
        <f>IFERROR(VLOOKUP(AQ169,'[2]Harga &amp; Nama CSO'!$A$116:$L$136,11,FALSE),0)*AV169</f>
        <v>0</v>
      </c>
      <c r="BG169" s="44">
        <f>IFERROR(VLOOKUP(AQ169,'[2]Harga &amp; Nama CSO'!$A$116:$L$136,12,FALSE),0)*AV169</f>
        <v>0</v>
      </c>
      <c r="BH169" s="44">
        <f>IFERROR(VLOOKUP(AQ169,'[2]Harga &amp; Nama CSO'!$A$116:$R$136,13,FALSE),0)*AV169</f>
        <v>0</v>
      </c>
      <c r="BI169" s="44">
        <f>IFERROR(VLOOKUP(AQ169,'[2]Harga &amp; Nama CSO'!$A$116:$R$136,14,FALSE),0)*AV169</f>
        <v>0</v>
      </c>
      <c r="BJ169" s="44">
        <f>IFERROR(VLOOKUP(AQ169,'[2]Harga &amp; Nama CSO'!$A$116:$R$136,15,FALSE),0)*AV169</f>
        <v>0</v>
      </c>
      <c r="BK169" s="44">
        <f>IFERROR(VLOOKUP(AQ169,'[2]Harga &amp; Nama CSO'!$A$116:$R$136,16,FALSE),0)*AV169</f>
        <v>0</v>
      </c>
      <c r="BL169" s="44">
        <f>IFERROR(VLOOKUP(AQ169,'[2]Harga &amp; Nama CSO'!$A$116:$R$136,17,FALSE),0)*AV169</f>
        <v>0</v>
      </c>
      <c r="BM169" s="44">
        <f>IFERROR(VLOOKUP(AQ169,'[2]Harga &amp; Nama CSO'!$A$116:$R$136,18,FALSE),0)*AV169</f>
        <v>0</v>
      </c>
      <c r="BN169" s="44">
        <f>IFERROR(VLOOKUP(AQ169,'[2]Harga &amp; Nama CSO'!$A$116:$S$136,19,FALSE),0)*AV169</f>
        <v>1</v>
      </c>
      <c r="BO169" s="55">
        <f>IFERROR(VLOOKUP(AQ169,'[2]Harga &amp; Nama CSO'!$H$2:$N$22,2,FALSE),"")*AV169</f>
        <v>75000</v>
      </c>
      <c r="BP169" s="40">
        <v>46199</v>
      </c>
      <c r="BQ169" s="39">
        <v>1</v>
      </c>
      <c r="BR169" s="59">
        <v>75000</v>
      </c>
      <c r="BS169" s="39" t="s">
        <v>109</v>
      </c>
      <c r="BT169" s="57">
        <f t="shared" si="33"/>
        <v>0</v>
      </c>
      <c r="BU169" s="60">
        <v>46202</v>
      </c>
      <c r="BV169" s="8" t="e">
        <v>#VALUE!</v>
      </c>
      <c r="BW169" s="58" t="e">
        <f>VLOOKUP(AQ169,'[1]Harga &amp; Nama CSO'!$A$28:$D$31,4,0)*BQ169</f>
        <v>#N/A</v>
      </c>
    </row>
    <row r="170" spans="41:75" x14ac:dyDescent="0.35">
      <c r="AO170" s="39">
        <v>168</v>
      </c>
      <c r="AP170" s="60">
        <v>46197</v>
      </c>
      <c r="AQ170" s="41" t="s">
        <v>204</v>
      </c>
      <c r="AR170" s="42" t="str">
        <f>IFERROR(VLOOKUP(AU170,[2]SUMMARY!$A$3:$B$7,2,FALSE),"")</f>
        <v>MC-SAGARANTEN</v>
      </c>
      <c r="AS170" s="42">
        <v>17187866</v>
      </c>
      <c r="AT170" s="31" t="str">
        <f>VLOOKUP(AS170,[2]OUTLET!$B:$C,2,0)</f>
        <v>Wijar cell</v>
      </c>
      <c r="AU170" s="42" t="s">
        <v>54</v>
      </c>
      <c r="AV170" s="39">
        <v>1</v>
      </c>
      <c r="AW170" s="44">
        <f>IFERROR(VLOOKUP(AQ170,'[2]Harga &amp; Nama CSO'!$A$116:$L$136,2,FALSE),0)*AV170</f>
        <v>0</v>
      </c>
      <c r="AX170" s="44">
        <f>IFERROR(VLOOKUP(AQ170,'[2]Harga &amp; Nama CSO'!$A$116:$L$136,3,FALSE),0)*AV170</f>
        <v>3</v>
      </c>
      <c r="AY170" s="44">
        <f>IFERROR(VLOOKUP(AQ170,'[2]Harga &amp; Nama CSO'!$A$116:$L$136,4,FALSE),0)*AV170</f>
        <v>0</v>
      </c>
      <c r="AZ170" s="44">
        <f>IFERROR(VLOOKUP(AQ170,'[2]Harga &amp; Nama CSO'!$A$116:$L$136,5,FALSE),0)*AV170</f>
        <v>0</v>
      </c>
      <c r="BA170" s="44">
        <f>IFERROR(VLOOKUP(AQ170,'[2]Harga &amp; Nama CSO'!$A$116:$L$136,6,FALSE),0)*AV170</f>
        <v>0</v>
      </c>
      <c r="BB170" s="44">
        <f>IFERROR(VLOOKUP(AQ170,'[2]Harga &amp; Nama CSO'!$A$116:$L$136,7,FALSE),0)*AV170</f>
        <v>0</v>
      </c>
      <c r="BC170" s="44">
        <f>IFERROR(VLOOKUP(AQ170,'[2]Harga &amp; Nama CSO'!$A$116:$L$136,8,FALSE),0)*AV170</f>
        <v>0</v>
      </c>
      <c r="BD170" s="44">
        <f>IFERROR(VLOOKUP(AQ170,'[2]Harga &amp; Nama CSO'!$A$116:$L$136,9,FALSE),0)*AV170</f>
        <v>0</v>
      </c>
      <c r="BE170" s="44">
        <f>IFERROR(VLOOKUP(AQ170,'[2]Harga &amp; Nama CSO'!$A$116:$L$136,10,FALSE),0)*AV170</f>
        <v>0</v>
      </c>
      <c r="BF170" s="44">
        <f>IFERROR(VLOOKUP(AQ170,'[2]Harga &amp; Nama CSO'!$A$116:$L$136,11,FALSE),0)*AV170</f>
        <v>0</v>
      </c>
      <c r="BG170" s="44">
        <f>IFERROR(VLOOKUP(AQ170,'[2]Harga &amp; Nama CSO'!$A$116:$L$136,12,FALSE),0)*AV170</f>
        <v>0</v>
      </c>
      <c r="BH170" s="44">
        <f>IFERROR(VLOOKUP(AQ170,'[2]Harga &amp; Nama CSO'!$A$116:$R$136,13,FALSE),0)*AV170</f>
        <v>0</v>
      </c>
      <c r="BI170" s="44">
        <f>IFERROR(VLOOKUP(AQ170,'[2]Harga &amp; Nama CSO'!$A$116:$R$136,14,FALSE),0)*AV170</f>
        <v>0</v>
      </c>
      <c r="BJ170" s="44">
        <f>IFERROR(VLOOKUP(AQ170,'[2]Harga &amp; Nama CSO'!$A$116:$R$136,15,FALSE),0)*AV170</f>
        <v>0</v>
      </c>
      <c r="BK170" s="44">
        <f>IFERROR(VLOOKUP(AQ170,'[2]Harga &amp; Nama CSO'!$A$116:$R$136,16,FALSE),0)*AV170</f>
        <v>0</v>
      </c>
      <c r="BL170" s="44">
        <f>IFERROR(VLOOKUP(AQ170,'[2]Harga &amp; Nama CSO'!$A$116:$R$136,17,FALSE),0)*AV170</f>
        <v>0</v>
      </c>
      <c r="BM170" s="44">
        <f>IFERROR(VLOOKUP(AQ170,'[2]Harga &amp; Nama CSO'!$A$116:$R$136,18,FALSE),0)*AV170</f>
        <v>0</v>
      </c>
      <c r="BN170" s="44">
        <f>IFERROR(VLOOKUP(AQ170,'[2]Harga &amp; Nama CSO'!$A$116:$S$136,19,FALSE),0)*AV170</f>
        <v>1</v>
      </c>
      <c r="BO170" s="55">
        <f>IFERROR(VLOOKUP(AQ170,'[2]Harga &amp; Nama CSO'!$H$2:$N$22,2,FALSE),"")*AV170</f>
        <v>75000</v>
      </c>
      <c r="BP170" s="40">
        <v>46199</v>
      </c>
      <c r="BQ170" s="39">
        <v>1</v>
      </c>
      <c r="BR170" s="59">
        <v>75000</v>
      </c>
      <c r="BS170" s="39" t="s">
        <v>109</v>
      </c>
      <c r="BT170" s="57">
        <f t="shared" si="33"/>
        <v>0</v>
      </c>
      <c r="BU170" s="60">
        <v>46202</v>
      </c>
      <c r="BV170" s="8" t="e">
        <v>#VALUE!</v>
      </c>
      <c r="BW170" s="58" t="e">
        <f>VLOOKUP(AQ170,'[1]Harga &amp; Nama CSO'!$A$28:$D$31,4,0)*BQ170</f>
        <v>#N/A</v>
      </c>
    </row>
    <row r="171" spans="41:75" x14ac:dyDescent="0.35">
      <c r="AO171" s="39">
        <v>169</v>
      </c>
      <c r="AP171" s="60">
        <v>46197</v>
      </c>
      <c r="AQ171" s="41" t="s">
        <v>204</v>
      </c>
      <c r="AR171" s="42" t="str">
        <f>IFERROR(VLOOKUP(AU171,[2]SUMMARY!$A$3:$B$7,2,FALSE),"")</f>
        <v>MC-SAGARANTEN</v>
      </c>
      <c r="AS171" s="42">
        <v>17588132</v>
      </c>
      <c r="AT171" s="31" t="str">
        <f>VLOOKUP(AS171,[2]OUTLET!$B:$C,2,0)</f>
        <v>LUTHVI STORE</v>
      </c>
      <c r="AU171" s="42" t="s">
        <v>41</v>
      </c>
      <c r="AV171" s="39">
        <v>5</v>
      </c>
      <c r="AW171" s="44">
        <f>IFERROR(VLOOKUP(AQ171,'[2]Harga &amp; Nama CSO'!$A$116:$L$136,2,FALSE),0)*AV171</f>
        <v>0</v>
      </c>
      <c r="AX171" s="44">
        <f>IFERROR(VLOOKUP(AQ171,'[2]Harga &amp; Nama CSO'!$A$116:$L$136,3,FALSE),0)*AV171</f>
        <v>15</v>
      </c>
      <c r="AY171" s="44">
        <f>IFERROR(VLOOKUP(AQ171,'[2]Harga &amp; Nama CSO'!$A$116:$L$136,4,FALSE),0)*AV171</f>
        <v>0</v>
      </c>
      <c r="AZ171" s="44">
        <f>IFERROR(VLOOKUP(AQ171,'[2]Harga &amp; Nama CSO'!$A$116:$L$136,5,FALSE),0)*AV171</f>
        <v>0</v>
      </c>
      <c r="BA171" s="44">
        <f>IFERROR(VLOOKUP(AQ171,'[2]Harga &amp; Nama CSO'!$A$116:$L$136,6,FALSE),0)*AV171</f>
        <v>0</v>
      </c>
      <c r="BB171" s="44">
        <f>IFERROR(VLOOKUP(AQ171,'[2]Harga &amp; Nama CSO'!$A$116:$L$136,7,FALSE),0)*AV171</f>
        <v>0</v>
      </c>
      <c r="BC171" s="44">
        <f>IFERROR(VLOOKUP(AQ171,'[2]Harga &amp; Nama CSO'!$A$116:$L$136,8,FALSE),0)*AV171</f>
        <v>0</v>
      </c>
      <c r="BD171" s="44">
        <f>IFERROR(VLOOKUP(AQ171,'[2]Harga &amp; Nama CSO'!$A$116:$L$136,9,FALSE),0)*AV171</f>
        <v>0</v>
      </c>
      <c r="BE171" s="44">
        <f>IFERROR(VLOOKUP(AQ171,'[2]Harga &amp; Nama CSO'!$A$116:$L$136,10,FALSE),0)*AV171</f>
        <v>0</v>
      </c>
      <c r="BF171" s="44">
        <f>IFERROR(VLOOKUP(AQ171,'[2]Harga &amp; Nama CSO'!$A$116:$L$136,11,FALSE),0)*AV171</f>
        <v>0</v>
      </c>
      <c r="BG171" s="44">
        <f>IFERROR(VLOOKUP(AQ171,'[2]Harga &amp; Nama CSO'!$A$116:$L$136,12,FALSE),0)*AV171</f>
        <v>0</v>
      </c>
      <c r="BH171" s="44">
        <f>IFERROR(VLOOKUP(AQ171,'[2]Harga &amp; Nama CSO'!$A$116:$R$136,13,FALSE),0)*AV171</f>
        <v>0</v>
      </c>
      <c r="BI171" s="44">
        <f>IFERROR(VLOOKUP(AQ171,'[2]Harga &amp; Nama CSO'!$A$116:$R$136,14,FALSE),0)*AV171</f>
        <v>0</v>
      </c>
      <c r="BJ171" s="44">
        <f>IFERROR(VLOOKUP(AQ171,'[2]Harga &amp; Nama CSO'!$A$116:$R$136,15,FALSE),0)*AV171</f>
        <v>0</v>
      </c>
      <c r="BK171" s="44">
        <f>IFERROR(VLOOKUP(AQ171,'[2]Harga &amp; Nama CSO'!$A$116:$R$136,16,FALSE),0)*AV171</f>
        <v>0</v>
      </c>
      <c r="BL171" s="44">
        <f>IFERROR(VLOOKUP(AQ171,'[2]Harga &amp; Nama CSO'!$A$116:$R$136,17,FALSE),0)*AV171</f>
        <v>0</v>
      </c>
      <c r="BM171" s="44">
        <f>IFERROR(VLOOKUP(AQ171,'[2]Harga &amp; Nama CSO'!$A$116:$R$136,18,FALSE),0)*AV171</f>
        <v>0</v>
      </c>
      <c r="BN171" s="44">
        <f>IFERROR(VLOOKUP(AQ171,'[2]Harga &amp; Nama CSO'!$A$116:$S$136,19,FALSE),0)*AV171</f>
        <v>5</v>
      </c>
      <c r="BO171" s="55">
        <f>IFERROR(VLOOKUP(AQ171,'[2]Harga &amp; Nama CSO'!$H$2:$N$22,2,FALSE),"")*AV171</f>
        <v>375000</v>
      </c>
      <c r="BP171" s="40">
        <v>46197</v>
      </c>
      <c r="BQ171" s="39">
        <v>5</v>
      </c>
      <c r="BR171" s="59">
        <v>375000</v>
      </c>
      <c r="BS171" s="39" t="s">
        <v>109</v>
      </c>
      <c r="BT171" s="57">
        <f t="shared" si="33"/>
        <v>0</v>
      </c>
      <c r="BU171" s="60">
        <v>46198</v>
      </c>
      <c r="BV171" s="8" t="e">
        <v>#VALUE!</v>
      </c>
      <c r="BW171" s="58" t="e">
        <f>VLOOKUP(AQ171,'[1]Harga &amp; Nama CSO'!$A$28:$D$31,4,0)*BQ171</f>
        <v>#N/A</v>
      </c>
    </row>
    <row r="172" spans="41:75" x14ac:dyDescent="0.35">
      <c r="AO172" s="39">
        <v>170</v>
      </c>
      <c r="AP172" s="60">
        <v>46197</v>
      </c>
      <c r="AQ172" s="41" t="s">
        <v>204</v>
      </c>
      <c r="AR172" s="42" t="str">
        <f>IFERROR(VLOOKUP(AU172,[2]SUMMARY!$A$3:$B$7,2,FALSE),"")</f>
        <v>MC-SAGARANTEN</v>
      </c>
      <c r="AS172" s="42">
        <v>1368488</v>
      </c>
      <c r="AT172" s="31" t="str">
        <f>VLOOKUP(AS172,[2]OUTLET!$B:$C,2,0)</f>
        <v>TUWU CELL</v>
      </c>
      <c r="AU172" s="42" t="s">
        <v>41</v>
      </c>
      <c r="AV172" s="39">
        <v>5</v>
      </c>
      <c r="AW172" s="44">
        <f>IFERROR(VLOOKUP(AQ172,'[2]Harga &amp; Nama CSO'!$A$116:$L$136,2,FALSE),0)*AV172</f>
        <v>0</v>
      </c>
      <c r="AX172" s="44">
        <f>IFERROR(VLOOKUP(AQ172,'[2]Harga &amp; Nama CSO'!$A$116:$L$136,3,FALSE),0)*AV172</f>
        <v>15</v>
      </c>
      <c r="AY172" s="44">
        <f>IFERROR(VLOOKUP(AQ172,'[2]Harga &amp; Nama CSO'!$A$116:$L$136,4,FALSE),0)*AV172</f>
        <v>0</v>
      </c>
      <c r="AZ172" s="44">
        <f>IFERROR(VLOOKUP(AQ172,'[2]Harga &amp; Nama CSO'!$A$116:$L$136,5,FALSE),0)*AV172</f>
        <v>0</v>
      </c>
      <c r="BA172" s="44">
        <f>IFERROR(VLOOKUP(AQ172,'[2]Harga &amp; Nama CSO'!$A$116:$L$136,6,FALSE),0)*AV172</f>
        <v>0</v>
      </c>
      <c r="BB172" s="44">
        <f>IFERROR(VLOOKUP(AQ172,'[2]Harga &amp; Nama CSO'!$A$116:$L$136,7,FALSE),0)*AV172</f>
        <v>0</v>
      </c>
      <c r="BC172" s="44">
        <f>IFERROR(VLOOKUP(AQ172,'[2]Harga &amp; Nama CSO'!$A$116:$L$136,8,FALSE),0)*AV172</f>
        <v>0</v>
      </c>
      <c r="BD172" s="44">
        <f>IFERROR(VLOOKUP(AQ172,'[2]Harga &amp; Nama CSO'!$A$116:$L$136,9,FALSE),0)*AV172</f>
        <v>0</v>
      </c>
      <c r="BE172" s="44">
        <f>IFERROR(VLOOKUP(AQ172,'[2]Harga &amp; Nama CSO'!$A$116:$L$136,10,FALSE),0)*AV172</f>
        <v>0</v>
      </c>
      <c r="BF172" s="44">
        <f>IFERROR(VLOOKUP(AQ172,'[2]Harga &amp; Nama CSO'!$A$116:$L$136,11,FALSE),0)*AV172</f>
        <v>0</v>
      </c>
      <c r="BG172" s="44">
        <f>IFERROR(VLOOKUP(AQ172,'[2]Harga &amp; Nama CSO'!$A$116:$L$136,12,FALSE),0)*AV172</f>
        <v>0</v>
      </c>
      <c r="BH172" s="44">
        <f>IFERROR(VLOOKUP(AQ172,'[2]Harga &amp; Nama CSO'!$A$116:$R$136,13,FALSE),0)*AV172</f>
        <v>0</v>
      </c>
      <c r="BI172" s="44">
        <f>IFERROR(VLOOKUP(AQ172,'[2]Harga &amp; Nama CSO'!$A$116:$R$136,14,FALSE),0)*AV172</f>
        <v>0</v>
      </c>
      <c r="BJ172" s="44">
        <f>IFERROR(VLOOKUP(AQ172,'[2]Harga &amp; Nama CSO'!$A$116:$R$136,15,FALSE),0)*AV172</f>
        <v>0</v>
      </c>
      <c r="BK172" s="44">
        <f>IFERROR(VLOOKUP(AQ172,'[2]Harga &amp; Nama CSO'!$A$116:$R$136,16,FALSE),0)*AV172</f>
        <v>0</v>
      </c>
      <c r="BL172" s="44">
        <f>IFERROR(VLOOKUP(AQ172,'[2]Harga &amp; Nama CSO'!$A$116:$R$136,17,FALSE),0)*AV172</f>
        <v>0</v>
      </c>
      <c r="BM172" s="44">
        <f>IFERROR(VLOOKUP(AQ172,'[2]Harga &amp; Nama CSO'!$A$116:$R$136,18,FALSE),0)*AV172</f>
        <v>0</v>
      </c>
      <c r="BN172" s="44">
        <f>IFERROR(VLOOKUP(AQ172,'[2]Harga &amp; Nama CSO'!$A$116:$S$136,19,FALSE),0)*AV172</f>
        <v>5</v>
      </c>
      <c r="BO172" s="55">
        <f>IFERROR(VLOOKUP(AQ172,'[2]Harga &amp; Nama CSO'!$H$2:$N$22,2,FALSE),"")*AV172</f>
        <v>375000</v>
      </c>
      <c r="BP172" s="40">
        <v>46197</v>
      </c>
      <c r="BQ172" s="39">
        <v>5</v>
      </c>
      <c r="BR172" s="59">
        <v>375000</v>
      </c>
      <c r="BS172" s="39" t="s">
        <v>109</v>
      </c>
      <c r="BT172" s="57">
        <f t="shared" si="33"/>
        <v>0</v>
      </c>
      <c r="BU172" s="60">
        <v>46198</v>
      </c>
      <c r="BV172" s="8" t="e">
        <v>#VALUE!</v>
      </c>
      <c r="BW172" s="58" t="e">
        <f>VLOOKUP(AQ172,'[1]Harga &amp; Nama CSO'!$A$28:$D$31,4,0)*BQ172</f>
        <v>#N/A</v>
      </c>
    </row>
    <row r="173" spans="41:75" x14ac:dyDescent="0.35">
      <c r="AO173" s="39">
        <v>171</v>
      </c>
      <c r="AP173" s="60">
        <v>46197</v>
      </c>
      <c r="AQ173" s="41" t="s">
        <v>204</v>
      </c>
      <c r="AR173" s="42" t="str">
        <f>IFERROR(VLOOKUP(AU173,[2]SUMMARY!$A$3:$B$7,2,FALSE),"")</f>
        <v>MC-SAGARANTEN</v>
      </c>
      <c r="AS173" s="42">
        <v>17139607</v>
      </c>
      <c r="AT173" s="31" t="str">
        <f>VLOOKUP(AS173,[2]OUTLET!$B:$C,2,0)</f>
        <v>TZA CELL</v>
      </c>
      <c r="AU173" s="42" t="s">
        <v>41</v>
      </c>
      <c r="AV173" s="39">
        <v>2</v>
      </c>
      <c r="AW173" s="44">
        <f>IFERROR(VLOOKUP(AQ173,'[2]Harga &amp; Nama CSO'!$A$116:$L$136,2,FALSE),0)*AV173</f>
        <v>0</v>
      </c>
      <c r="AX173" s="44">
        <f>IFERROR(VLOOKUP(AQ173,'[2]Harga &amp; Nama CSO'!$A$116:$L$136,3,FALSE),0)*AV173</f>
        <v>6</v>
      </c>
      <c r="AY173" s="44">
        <f>IFERROR(VLOOKUP(AQ173,'[2]Harga &amp; Nama CSO'!$A$116:$L$136,4,FALSE),0)*AV173</f>
        <v>0</v>
      </c>
      <c r="AZ173" s="44">
        <f>IFERROR(VLOOKUP(AQ173,'[2]Harga &amp; Nama CSO'!$A$116:$L$136,5,FALSE),0)*AV173</f>
        <v>0</v>
      </c>
      <c r="BA173" s="44">
        <f>IFERROR(VLOOKUP(AQ173,'[2]Harga &amp; Nama CSO'!$A$116:$L$136,6,FALSE),0)*AV173</f>
        <v>0</v>
      </c>
      <c r="BB173" s="44">
        <f>IFERROR(VLOOKUP(AQ173,'[2]Harga &amp; Nama CSO'!$A$116:$L$136,7,FALSE),0)*AV173</f>
        <v>0</v>
      </c>
      <c r="BC173" s="44">
        <f>IFERROR(VLOOKUP(AQ173,'[2]Harga &amp; Nama CSO'!$A$116:$L$136,8,FALSE),0)*AV173</f>
        <v>0</v>
      </c>
      <c r="BD173" s="44">
        <f>IFERROR(VLOOKUP(AQ173,'[2]Harga &amp; Nama CSO'!$A$116:$L$136,9,FALSE),0)*AV173</f>
        <v>0</v>
      </c>
      <c r="BE173" s="44">
        <f>IFERROR(VLOOKUP(AQ173,'[2]Harga &amp; Nama CSO'!$A$116:$L$136,10,FALSE),0)*AV173</f>
        <v>0</v>
      </c>
      <c r="BF173" s="44">
        <f>IFERROR(VLOOKUP(AQ173,'[2]Harga &amp; Nama CSO'!$A$116:$L$136,11,FALSE),0)*AV173</f>
        <v>0</v>
      </c>
      <c r="BG173" s="44">
        <f>IFERROR(VLOOKUP(AQ173,'[2]Harga &amp; Nama CSO'!$A$116:$L$136,12,FALSE),0)*AV173</f>
        <v>0</v>
      </c>
      <c r="BH173" s="44">
        <f>IFERROR(VLOOKUP(AQ173,'[2]Harga &amp; Nama CSO'!$A$116:$R$136,13,FALSE),0)*AV173</f>
        <v>0</v>
      </c>
      <c r="BI173" s="44">
        <f>IFERROR(VLOOKUP(AQ173,'[2]Harga &amp; Nama CSO'!$A$116:$R$136,14,FALSE),0)*AV173</f>
        <v>0</v>
      </c>
      <c r="BJ173" s="44">
        <f>IFERROR(VLOOKUP(AQ173,'[2]Harga &amp; Nama CSO'!$A$116:$R$136,15,FALSE),0)*AV173</f>
        <v>0</v>
      </c>
      <c r="BK173" s="44">
        <f>IFERROR(VLOOKUP(AQ173,'[2]Harga &amp; Nama CSO'!$A$116:$R$136,16,FALSE),0)*AV173</f>
        <v>0</v>
      </c>
      <c r="BL173" s="44">
        <f>IFERROR(VLOOKUP(AQ173,'[2]Harga &amp; Nama CSO'!$A$116:$R$136,17,FALSE),0)*AV173</f>
        <v>0</v>
      </c>
      <c r="BM173" s="44">
        <f>IFERROR(VLOOKUP(AQ173,'[2]Harga &amp; Nama CSO'!$A$116:$R$136,18,FALSE),0)*AV173</f>
        <v>0</v>
      </c>
      <c r="BN173" s="44">
        <f>IFERROR(VLOOKUP(AQ173,'[2]Harga &amp; Nama CSO'!$A$116:$S$136,19,FALSE),0)*AV173</f>
        <v>2</v>
      </c>
      <c r="BO173" s="55">
        <f>IFERROR(VLOOKUP(AQ173,'[2]Harga &amp; Nama CSO'!$H$2:$N$22,2,FALSE),"")*AV173</f>
        <v>150000</v>
      </c>
      <c r="BP173" s="40">
        <v>46197</v>
      </c>
      <c r="BQ173" s="39">
        <v>2</v>
      </c>
      <c r="BR173" s="59">
        <v>150000</v>
      </c>
      <c r="BS173" s="39" t="s">
        <v>109</v>
      </c>
      <c r="BT173" s="57">
        <f t="shared" si="33"/>
        <v>0</v>
      </c>
      <c r="BU173" s="60">
        <v>46198</v>
      </c>
      <c r="BV173" s="8" t="e">
        <v>#VALUE!</v>
      </c>
      <c r="BW173" s="58" t="e">
        <f>VLOOKUP(AQ173,'[1]Harga &amp; Nama CSO'!$A$28:$D$31,4,0)*BQ173</f>
        <v>#N/A</v>
      </c>
    </row>
    <row r="174" spans="41:75" x14ac:dyDescent="0.35">
      <c r="AO174" s="39">
        <v>172</v>
      </c>
      <c r="AP174" s="60">
        <v>46197</v>
      </c>
      <c r="AQ174" s="41" t="s">
        <v>204</v>
      </c>
      <c r="AR174" s="42" t="str">
        <f>IFERROR(VLOOKUP(AU174,[2]SUMMARY!$A$3:$B$7,2,FALSE),"")</f>
        <v>MC-SAGARANTEN</v>
      </c>
      <c r="AS174" s="42">
        <v>17234958</v>
      </c>
      <c r="AT174" s="31" t="str">
        <f>VLOOKUP(AS174,[2]OUTLET!$B:$C,2,0)</f>
        <v>Mega Citra Cell</v>
      </c>
      <c r="AU174" s="42" t="s">
        <v>41</v>
      </c>
      <c r="AV174" s="39">
        <v>2</v>
      </c>
      <c r="AW174" s="44">
        <f>IFERROR(VLOOKUP(AQ174,'[2]Harga &amp; Nama CSO'!$A$116:$L$136,2,FALSE),0)*AV174</f>
        <v>0</v>
      </c>
      <c r="AX174" s="44">
        <f>IFERROR(VLOOKUP(AQ174,'[2]Harga &amp; Nama CSO'!$A$116:$L$136,3,FALSE),0)*AV174</f>
        <v>6</v>
      </c>
      <c r="AY174" s="44">
        <f>IFERROR(VLOOKUP(AQ174,'[2]Harga &amp; Nama CSO'!$A$116:$L$136,4,FALSE),0)*AV174</f>
        <v>0</v>
      </c>
      <c r="AZ174" s="44">
        <f>IFERROR(VLOOKUP(AQ174,'[2]Harga &amp; Nama CSO'!$A$116:$L$136,5,FALSE),0)*AV174</f>
        <v>0</v>
      </c>
      <c r="BA174" s="44">
        <f>IFERROR(VLOOKUP(AQ174,'[2]Harga &amp; Nama CSO'!$A$116:$L$136,6,FALSE),0)*AV174</f>
        <v>0</v>
      </c>
      <c r="BB174" s="44">
        <f>IFERROR(VLOOKUP(AQ174,'[2]Harga &amp; Nama CSO'!$A$116:$L$136,7,FALSE),0)*AV174</f>
        <v>0</v>
      </c>
      <c r="BC174" s="44">
        <f>IFERROR(VLOOKUP(AQ174,'[2]Harga &amp; Nama CSO'!$A$116:$L$136,8,FALSE),0)*AV174</f>
        <v>0</v>
      </c>
      <c r="BD174" s="44">
        <f>IFERROR(VLOOKUP(AQ174,'[2]Harga &amp; Nama CSO'!$A$116:$L$136,9,FALSE),0)*AV174</f>
        <v>0</v>
      </c>
      <c r="BE174" s="44">
        <f>IFERROR(VLOOKUP(AQ174,'[2]Harga &amp; Nama CSO'!$A$116:$L$136,10,FALSE),0)*AV174</f>
        <v>0</v>
      </c>
      <c r="BF174" s="44">
        <f>IFERROR(VLOOKUP(AQ174,'[2]Harga &amp; Nama CSO'!$A$116:$L$136,11,FALSE),0)*AV174</f>
        <v>0</v>
      </c>
      <c r="BG174" s="44">
        <f>IFERROR(VLOOKUP(AQ174,'[2]Harga &amp; Nama CSO'!$A$116:$L$136,12,FALSE),0)*AV174</f>
        <v>0</v>
      </c>
      <c r="BH174" s="44">
        <f>IFERROR(VLOOKUP(AQ174,'[2]Harga &amp; Nama CSO'!$A$116:$R$136,13,FALSE),0)*AV174</f>
        <v>0</v>
      </c>
      <c r="BI174" s="44">
        <f>IFERROR(VLOOKUP(AQ174,'[2]Harga &amp; Nama CSO'!$A$116:$R$136,14,FALSE),0)*AV174</f>
        <v>0</v>
      </c>
      <c r="BJ174" s="44">
        <f>IFERROR(VLOOKUP(AQ174,'[2]Harga &amp; Nama CSO'!$A$116:$R$136,15,FALSE),0)*AV174</f>
        <v>0</v>
      </c>
      <c r="BK174" s="44">
        <f>IFERROR(VLOOKUP(AQ174,'[2]Harga &amp; Nama CSO'!$A$116:$R$136,16,FALSE),0)*AV174</f>
        <v>0</v>
      </c>
      <c r="BL174" s="44">
        <f>IFERROR(VLOOKUP(AQ174,'[2]Harga &amp; Nama CSO'!$A$116:$R$136,17,FALSE),0)*AV174</f>
        <v>0</v>
      </c>
      <c r="BM174" s="44">
        <f>IFERROR(VLOOKUP(AQ174,'[2]Harga &amp; Nama CSO'!$A$116:$R$136,18,FALSE),0)*AV174</f>
        <v>0</v>
      </c>
      <c r="BN174" s="44">
        <f>IFERROR(VLOOKUP(AQ174,'[2]Harga &amp; Nama CSO'!$A$116:$S$136,19,FALSE),0)*AV174</f>
        <v>2</v>
      </c>
      <c r="BO174" s="55">
        <f>IFERROR(VLOOKUP(AQ174,'[2]Harga &amp; Nama CSO'!$H$2:$N$22,2,FALSE),"")*AV174</f>
        <v>150000</v>
      </c>
      <c r="BP174" s="40">
        <v>46197</v>
      </c>
      <c r="BQ174" s="39">
        <v>2</v>
      </c>
      <c r="BR174" s="59">
        <v>150000</v>
      </c>
      <c r="BS174" s="39" t="s">
        <v>109</v>
      </c>
      <c r="BT174" s="57">
        <f t="shared" si="33"/>
        <v>0</v>
      </c>
      <c r="BU174" s="60">
        <v>46198</v>
      </c>
      <c r="BV174" s="8" t="e">
        <v>#VALUE!</v>
      </c>
      <c r="BW174" s="58" t="e">
        <f>VLOOKUP(AQ174,'[1]Harga &amp; Nama CSO'!$A$28:$D$31,4,0)*BQ174</f>
        <v>#N/A</v>
      </c>
    </row>
    <row r="175" spans="41:75" x14ac:dyDescent="0.35">
      <c r="AO175" s="39">
        <v>173</v>
      </c>
      <c r="AP175" s="60">
        <v>46197</v>
      </c>
      <c r="AQ175" s="41" t="s">
        <v>204</v>
      </c>
      <c r="AR175" s="42" t="str">
        <f>IFERROR(VLOOKUP(AU175,[2]SUMMARY!$A$3:$B$7,2,FALSE),"")</f>
        <v>MC-SAGARANTEN</v>
      </c>
      <c r="AS175" s="42">
        <v>17449694</v>
      </c>
      <c r="AT175" s="31" t="str">
        <f>VLOOKUP(AS175,[2]OUTLET!$B:$C,2,0)</f>
        <v>CENTRAL PHONE ACC</v>
      </c>
      <c r="AU175" s="42" t="s">
        <v>42</v>
      </c>
      <c r="AV175" s="39">
        <v>2</v>
      </c>
      <c r="AW175" s="44">
        <f>IFERROR(VLOOKUP(AQ175,'[2]Harga &amp; Nama CSO'!$A$116:$L$136,2,FALSE),0)*AV175</f>
        <v>0</v>
      </c>
      <c r="AX175" s="44">
        <f>IFERROR(VLOOKUP(AQ175,'[2]Harga &amp; Nama CSO'!$A$116:$L$136,3,FALSE),0)*AV175</f>
        <v>6</v>
      </c>
      <c r="AY175" s="44">
        <f>IFERROR(VLOOKUP(AQ175,'[2]Harga &amp; Nama CSO'!$A$116:$L$136,4,FALSE),0)*AV175</f>
        <v>0</v>
      </c>
      <c r="AZ175" s="44">
        <f>IFERROR(VLOOKUP(AQ175,'[2]Harga &amp; Nama CSO'!$A$116:$L$136,5,FALSE),0)*AV175</f>
        <v>0</v>
      </c>
      <c r="BA175" s="44">
        <f>IFERROR(VLOOKUP(AQ175,'[2]Harga &amp; Nama CSO'!$A$116:$L$136,6,FALSE),0)*AV175</f>
        <v>0</v>
      </c>
      <c r="BB175" s="44">
        <f>IFERROR(VLOOKUP(AQ175,'[2]Harga &amp; Nama CSO'!$A$116:$L$136,7,FALSE),0)*AV175</f>
        <v>0</v>
      </c>
      <c r="BC175" s="44">
        <f>IFERROR(VLOOKUP(AQ175,'[2]Harga &amp; Nama CSO'!$A$116:$L$136,8,FALSE),0)*AV175</f>
        <v>0</v>
      </c>
      <c r="BD175" s="44">
        <f>IFERROR(VLOOKUP(AQ175,'[2]Harga &amp; Nama CSO'!$A$116:$L$136,9,FALSE),0)*AV175</f>
        <v>0</v>
      </c>
      <c r="BE175" s="44">
        <f>IFERROR(VLOOKUP(AQ175,'[2]Harga &amp; Nama CSO'!$A$116:$L$136,10,FALSE),0)*AV175</f>
        <v>0</v>
      </c>
      <c r="BF175" s="44">
        <f>IFERROR(VLOOKUP(AQ175,'[2]Harga &amp; Nama CSO'!$A$116:$L$136,11,FALSE),0)*AV175</f>
        <v>0</v>
      </c>
      <c r="BG175" s="44">
        <f>IFERROR(VLOOKUP(AQ175,'[2]Harga &amp; Nama CSO'!$A$116:$L$136,12,FALSE),0)*AV175</f>
        <v>0</v>
      </c>
      <c r="BH175" s="44">
        <f>IFERROR(VLOOKUP(AQ175,'[2]Harga &amp; Nama CSO'!$A$116:$R$136,13,FALSE),0)*AV175</f>
        <v>0</v>
      </c>
      <c r="BI175" s="44">
        <f>IFERROR(VLOOKUP(AQ175,'[2]Harga &amp; Nama CSO'!$A$116:$R$136,14,FALSE),0)*AV175</f>
        <v>0</v>
      </c>
      <c r="BJ175" s="44">
        <f>IFERROR(VLOOKUP(AQ175,'[2]Harga &amp; Nama CSO'!$A$116:$R$136,15,FALSE),0)*AV175</f>
        <v>0</v>
      </c>
      <c r="BK175" s="44">
        <f>IFERROR(VLOOKUP(AQ175,'[2]Harga &amp; Nama CSO'!$A$116:$R$136,16,FALSE),0)*AV175</f>
        <v>0</v>
      </c>
      <c r="BL175" s="44">
        <f>IFERROR(VLOOKUP(AQ175,'[2]Harga &amp; Nama CSO'!$A$116:$R$136,17,FALSE),0)*AV175</f>
        <v>0</v>
      </c>
      <c r="BM175" s="44">
        <f>IFERROR(VLOOKUP(AQ175,'[2]Harga &amp; Nama CSO'!$A$116:$R$136,18,FALSE),0)*AV175</f>
        <v>0</v>
      </c>
      <c r="BN175" s="44">
        <f>IFERROR(VLOOKUP(AQ175,'[2]Harga &amp; Nama CSO'!$A$116:$S$136,19,FALSE),0)*AV175</f>
        <v>2</v>
      </c>
      <c r="BO175" s="55">
        <f>IFERROR(VLOOKUP(AQ175,'[2]Harga &amp; Nama CSO'!$H$2:$N$22,2,FALSE),"")*AV175</f>
        <v>150000</v>
      </c>
      <c r="BP175" s="40">
        <v>46198</v>
      </c>
      <c r="BQ175" s="39">
        <v>2</v>
      </c>
      <c r="BR175" s="59">
        <v>150000</v>
      </c>
      <c r="BS175" s="39" t="s">
        <v>109</v>
      </c>
      <c r="BT175" s="57">
        <f t="shared" si="33"/>
        <v>0</v>
      </c>
      <c r="BU175" s="60">
        <v>46199</v>
      </c>
      <c r="BV175" s="8" t="e">
        <v>#VALUE!</v>
      </c>
      <c r="BW175" s="58" t="e">
        <f>VLOOKUP(AQ175,'[1]Harga &amp; Nama CSO'!$A$28:$D$31,4,0)*BQ175</f>
        <v>#N/A</v>
      </c>
    </row>
    <row r="176" spans="41:75" x14ac:dyDescent="0.35">
      <c r="AO176" s="39">
        <v>174</v>
      </c>
      <c r="AP176" s="60">
        <v>46197</v>
      </c>
      <c r="AQ176" s="41" t="s">
        <v>204</v>
      </c>
      <c r="AR176" s="42" t="str">
        <f>IFERROR(VLOOKUP(AU176,[2]SUMMARY!$A$3:$B$7,2,FALSE),"")</f>
        <v>MC-SAGARANTEN</v>
      </c>
      <c r="AS176" s="42">
        <v>1554006</v>
      </c>
      <c r="AT176" s="31" t="str">
        <f>VLOOKUP(AS176,[2]OUTLET!$B:$C,2,0)</f>
        <v>ABUELA CELL</v>
      </c>
      <c r="AU176" s="42" t="s">
        <v>42</v>
      </c>
      <c r="AV176" s="39">
        <v>5</v>
      </c>
      <c r="AW176" s="44">
        <f>IFERROR(VLOOKUP(AQ176,'[2]Harga &amp; Nama CSO'!$A$116:$L$136,2,FALSE),0)*AV176</f>
        <v>0</v>
      </c>
      <c r="AX176" s="44">
        <f>IFERROR(VLOOKUP(AQ176,'[2]Harga &amp; Nama CSO'!$A$116:$L$136,3,FALSE),0)*AV176</f>
        <v>15</v>
      </c>
      <c r="AY176" s="44">
        <f>IFERROR(VLOOKUP(AQ176,'[2]Harga &amp; Nama CSO'!$A$116:$L$136,4,FALSE),0)*AV176</f>
        <v>0</v>
      </c>
      <c r="AZ176" s="44">
        <f>IFERROR(VLOOKUP(AQ176,'[2]Harga &amp; Nama CSO'!$A$116:$L$136,5,FALSE),0)*AV176</f>
        <v>0</v>
      </c>
      <c r="BA176" s="44">
        <f>IFERROR(VLOOKUP(AQ176,'[2]Harga &amp; Nama CSO'!$A$116:$L$136,6,FALSE),0)*AV176</f>
        <v>0</v>
      </c>
      <c r="BB176" s="44">
        <f>IFERROR(VLOOKUP(AQ176,'[2]Harga &amp; Nama CSO'!$A$116:$L$136,7,FALSE),0)*AV176</f>
        <v>0</v>
      </c>
      <c r="BC176" s="44">
        <f>IFERROR(VLOOKUP(AQ176,'[2]Harga &amp; Nama CSO'!$A$116:$L$136,8,FALSE),0)*AV176</f>
        <v>0</v>
      </c>
      <c r="BD176" s="44">
        <f>IFERROR(VLOOKUP(AQ176,'[2]Harga &amp; Nama CSO'!$A$116:$L$136,9,FALSE),0)*AV176</f>
        <v>0</v>
      </c>
      <c r="BE176" s="44">
        <f>IFERROR(VLOOKUP(AQ176,'[2]Harga &amp; Nama CSO'!$A$116:$L$136,10,FALSE),0)*AV176</f>
        <v>0</v>
      </c>
      <c r="BF176" s="44">
        <f>IFERROR(VLOOKUP(AQ176,'[2]Harga &amp; Nama CSO'!$A$116:$L$136,11,FALSE),0)*AV176</f>
        <v>0</v>
      </c>
      <c r="BG176" s="44">
        <f>IFERROR(VLOOKUP(AQ176,'[2]Harga &amp; Nama CSO'!$A$116:$L$136,12,FALSE),0)*AV176</f>
        <v>0</v>
      </c>
      <c r="BH176" s="44">
        <f>IFERROR(VLOOKUP(AQ176,'[2]Harga &amp; Nama CSO'!$A$116:$R$136,13,FALSE),0)*AV176</f>
        <v>0</v>
      </c>
      <c r="BI176" s="44">
        <f>IFERROR(VLOOKUP(AQ176,'[2]Harga &amp; Nama CSO'!$A$116:$R$136,14,FALSE),0)*AV176</f>
        <v>0</v>
      </c>
      <c r="BJ176" s="44">
        <f>IFERROR(VLOOKUP(AQ176,'[2]Harga &amp; Nama CSO'!$A$116:$R$136,15,FALSE),0)*AV176</f>
        <v>0</v>
      </c>
      <c r="BK176" s="44">
        <f>IFERROR(VLOOKUP(AQ176,'[2]Harga &amp; Nama CSO'!$A$116:$R$136,16,FALSE),0)*AV176</f>
        <v>0</v>
      </c>
      <c r="BL176" s="44">
        <f>IFERROR(VLOOKUP(AQ176,'[2]Harga &amp; Nama CSO'!$A$116:$R$136,17,FALSE),0)*AV176</f>
        <v>0</v>
      </c>
      <c r="BM176" s="44">
        <f>IFERROR(VLOOKUP(AQ176,'[2]Harga &amp; Nama CSO'!$A$116:$R$136,18,FALSE),0)*AV176</f>
        <v>0</v>
      </c>
      <c r="BN176" s="44">
        <f>IFERROR(VLOOKUP(AQ176,'[2]Harga &amp; Nama CSO'!$A$116:$S$136,19,FALSE),0)*AV176</f>
        <v>5</v>
      </c>
      <c r="BO176" s="55">
        <f>IFERROR(VLOOKUP(AQ176,'[2]Harga &amp; Nama CSO'!$H$2:$N$22,2,FALSE),"")*AV176</f>
        <v>375000</v>
      </c>
      <c r="BP176" s="40">
        <v>46198</v>
      </c>
      <c r="BQ176" s="39">
        <v>5</v>
      </c>
      <c r="BR176" s="59">
        <v>375000</v>
      </c>
      <c r="BS176" s="39" t="s">
        <v>109</v>
      </c>
      <c r="BT176" s="57">
        <f t="shared" si="33"/>
        <v>0</v>
      </c>
      <c r="BU176" s="60">
        <v>46199</v>
      </c>
      <c r="BV176" s="8" t="e">
        <v>#VALUE!</v>
      </c>
      <c r="BW176" s="58" t="e">
        <f>VLOOKUP(AQ176,'[1]Harga &amp; Nama CSO'!$A$28:$D$31,4,0)*BQ176</f>
        <v>#N/A</v>
      </c>
    </row>
    <row r="177" spans="41:75" x14ac:dyDescent="0.35">
      <c r="AO177" s="39">
        <v>175</v>
      </c>
      <c r="AP177" s="60">
        <v>46197</v>
      </c>
      <c r="AQ177" s="41" t="s">
        <v>204</v>
      </c>
      <c r="AR177" s="42" t="str">
        <f>IFERROR(VLOOKUP(AU177,[2]SUMMARY!$A$3:$B$7,2,FALSE),"")</f>
        <v>MC-SAGARANTEN</v>
      </c>
      <c r="AS177" s="42">
        <v>1555825</v>
      </c>
      <c r="AT177" s="31" t="str">
        <f>VLOOKUP(AS177,[2]OUTLET!$B:$C,2,0)</f>
        <v>SILVI CELL</v>
      </c>
      <c r="AU177" s="42" t="s">
        <v>42</v>
      </c>
      <c r="AV177" s="39">
        <v>1</v>
      </c>
      <c r="AW177" s="44">
        <f>IFERROR(VLOOKUP(AQ177,'[2]Harga &amp; Nama CSO'!$A$116:$L$136,2,FALSE),0)*AV177</f>
        <v>0</v>
      </c>
      <c r="AX177" s="44">
        <f>IFERROR(VLOOKUP(AQ177,'[2]Harga &amp; Nama CSO'!$A$116:$L$136,3,FALSE),0)*AV177</f>
        <v>3</v>
      </c>
      <c r="AY177" s="44">
        <f>IFERROR(VLOOKUP(AQ177,'[2]Harga &amp; Nama CSO'!$A$116:$L$136,4,FALSE),0)*AV177</f>
        <v>0</v>
      </c>
      <c r="AZ177" s="44">
        <f>IFERROR(VLOOKUP(AQ177,'[2]Harga &amp; Nama CSO'!$A$116:$L$136,5,FALSE),0)*AV177</f>
        <v>0</v>
      </c>
      <c r="BA177" s="44">
        <f>IFERROR(VLOOKUP(AQ177,'[2]Harga &amp; Nama CSO'!$A$116:$L$136,6,FALSE),0)*AV177</f>
        <v>0</v>
      </c>
      <c r="BB177" s="44">
        <f>IFERROR(VLOOKUP(AQ177,'[2]Harga &amp; Nama CSO'!$A$116:$L$136,7,FALSE),0)*AV177</f>
        <v>0</v>
      </c>
      <c r="BC177" s="44">
        <f>IFERROR(VLOOKUP(AQ177,'[2]Harga &amp; Nama CSO'!$A$116:$L$136,8,FALSE),0)*AV177</f>
        <v>0</v>
      </c>
      <c r="BD177" s="44">
        <f>IFERROR(VLOOKUP(AQ177,'[2]Harga &amp; Nama CSO'!$A$116:$L$136,9,FALSE),0)*AV177</f>
        <v>0</v>
      </c>
      <c r="BE177" s="44">
        <f>IFERROR(VLOOKUP(AQ177,'[2]Harga &amp; Nama CSO'!$A$116:$L$136,10,FALSE),0)*AV177</f>
        <v>0</v>
      </c>
      <c r="BF177" s="44">
        <f>IFERROR(VLOOKUP(AQ177,'[2]Harga &amp; Nama CSO'!$A$116:$L$136,11,FALSE),0)*AV177</f>
        <v>0</v>
      </c>
      <c r="BG177" s="44">
        <f>IFERROR(VLOOKUP(AQ177,'[2]Harga &amp; Nama CSO'!$A$116:$L$136,12,FALSE),0)*AV177</f>
        <v>0</v>
      </c>
      <c r="BH177" s="44">
        <f>IFERROR(VLOOKUP(AQ177,'[2]Harga &amp; Nama CSO'!$A$116:$R$136,13,FALSE),0)*AV177</f>
        <v>0</v>
      </c>
      <c r="BI177" s="44">
        <f>IFERROR(VLOOKUP(AQ177,'[2]Harga &amp; Nama CSO'!$A$116:$R$136,14,FALSE),0)*AV177</f>
        <v>0</v>
      </c>
      <c r="BJ177" s="44">
        <f>IFERROR(VLOOKUP(AQ177,'[2]Harga &amp; Nama CSO'!$A$116:$R$136,15,FALSE),0)*AV177</f>
        <v>0</v>
      </c>
      <c r="BK177" s="44">
        <f>IFERROR(VLOOKUP(AQ177,'[2]Harga &amp; Nama CSO'!$A$116:$R$136,16,FALSE),0)*AV177</f>
        <v>0</v>
      </c>
      <c r="BL177" s="44">
        <f>IFERROR(VLOOKUP(AQ177,'[2]Harga &amp; Nama CSO'!$A$116:$R$136,17,FALSE),0)*AV177</f>
        <v>0</v>
      </c>
      <c r="BM177" s="44">
        <f>IFERROR(VLOOKUP(AQ177,'[2]Harga &amp; Nama CSO'!$A$116:$R$136,18,FALSE),0)*AV177</f>
        <v>0</v>
      </c>
      <c r="BN177" s="44">
        <f>IFERROR(VLOOKUP(AQ177,'[2]Harga &amp; Nama CSO'!$A$116:$S$136,19,FALSE),0)*AV177</f>
        <v>1</v>
      </c>
      <c r="BO177" s="55">
        <f>IFERROR(VLOOKUP(AQ177,'[2]Harga &amp; Nama CSO'!$H$2:$N$22,2,FALSE),"")*AV177</f>
        <v>75000</v>
      </c>
      <c r="BP177" s="40">
        <v>46198</v>
      </c>
      <c r="BQ177" s="39">
        <v>1</v>
      </c>
      <c r="BR177" s="59">
        <v>75000</v>
      </c>
      <c r="BS177" s="39" t="s">
        <v>109</v>
      </c>
      <c r="BT177" s="57">
        <f t="shared" si="33"/>
        <v>0</v>
      </c>
      <c r="BU177" s="60">
        <v>46199</v>
      </c>
      <c r="BV177" s="8" t="e">
        <v>#VALUE!</v>
      </c>
      <c r="BW177" s="58" t="e">
        <f>VLOOKUP(AQ177,'[1]Harga &amp; Nama CSO'!$A$28:$D$31,4,0)*BQ177</f>
        <v>#N/A</v>
      </c>
    </row>
    <row r="178" spans="41:75" x14ac:dyDescent="0.35">
      <c r="AO178" s="39">
        <v>176</v>
      </c>
      <c r="AP178" s="60">
        <v>46197</v>
      </c>
      <c r="AQ178" s="41" t="s">
        <v>204</v>
      </c>
      <c r="AR178" s="42" t="str">
        <f>IFERROR(VLOOKUP(AU178,[2]SUMMARY!$A$3:$B$7,2,FALSE),"")</f>
        <v>MC-SAGARANTEN</v>
      </c>
      <c r="AS178" s="42">
        <v>17138377</v>
      </c>
      <c r="AT178" s="31" t="str">
        <f>VLOOKUP(AS178,[2]OUTLET!$B:$C,2,0)</f>
        <v>EMYRATE CELL</v>
      </c>
      <c r="AU178" s="42" t="s">
        <v>42</v>
      </c>
      <c r="AV178" s="39">
        <v>2</v>
      </c>
      <c r="AW178" s="44">
        <f>IFERROR(VLOOKUP(AQ178,'[2]Harga &amp; Nama CSO'!$A$116:$L$136,2,FALSE),0)*AV178</f>
        <v>0</v>
      </c>
      <c r="AX178" s="44">
        <f>IFERROR(VLOOKUP(AQ178,'[2]Harga &amp; Nama CSO'!$A$116:$L$136,3,FALSE),0)*AV178</f>
        <v>6</v>
      </c>
      <c r="AY178" s="44">
        <f>IFERROR(VLOOKUP(AQ178,'[2]Harga &amp; Nama CSO'!$A$116:$L$136,4,FALSE),0)*AV178</f>
        <v>0</v>
      </c>
      <c r="AZ178" s="44">
        <f>IFERROR(VLOOKUP(AQ178,'[2]Harga &amp; Nama CSO'!$A$116:$L$136,5,FALSE),0)*AV178</f>
        <v>0</v>
      </c>
      <c r="BA178" s="44">
        <f>IFERROR(VLOOKUP(AQ178,'[2]Harga &amp; Nama CSO'!$A$116:$L$136,6,FALSE),0)*AV178</f>
        <v>0</v>
      </c>
      <c r="BB178" s="44">
        <f>IFERROR(VLOOKUP(AQ178,'[2]Harga &amp; Nama CSO'!$A$116:$L$136,7,FALSE),0)*AV178</f>
        <v>0</v>
      </c>
      <c r="BC178" s="44">
        <f>IFERROR(VLOOKUP(AQ178,'[2]Harga &amp; Nama CSO'!$A$116:$L$136,8,FALSE),0)*AV178</f>
        <v>0</v>
      </c>
      <c r="BD178" s="44">
        <f>IFERROR(VLOOKUP(AQ178,'[2]Harga &amp; Nama CSO'!$A$116:$L$136,9,FALSE),0)*AV178</f>
        <v>0</v>
      </c>
      <c r="BE178" s="44">
        <f>IFERROR(VLOOKUP(AQ178,'[2]Harga &amp; Nama CSO'!$A$116:$L$136,10,FALSE),0)*AV178</f>
        <v>0</v>
      </c>
      <c r="BF178" s="44">
        <f>IFERROR(VLOOKUP(AQ178,'[2]Harga &amp; Nama CSO'!$A$116:$L$136,11,FALSE),0)*AV178</f>
        <v>0</v>
      </c>
      <c r="BG178" s="44">
        <f>IFERROR(VLOOKUP(AQ178,'[2]Harga &amp; Nama CSO'!$A$116:$L$136,12,FALSE),0)*AV178</f>
        <v>0</v>
      </c>
      <c r="BH178" s="44">
        <f>IFERROR(VLOOKUP(AQ178,'[2]Harga &amp; Nama CSO'!$A$116:$R$136,13,FALSE),0)*AV178</f>
        <v>0</v>
      </c>
      <c r="BI178" s="44">
        <f>IFERROR(VLOOKUP(AQ178,'[2]Harga &amp; Nama CSO'!$A$116:$R$136,14,FALSE),0)*AV178</f>
        <v>0</v>
      </c>
      <c r="BJ178" s="44">
        <f>IFERROR(VLOOKUP(AQ178,'[2]Harga &amp; Nama CSO'!$A$116:$R$136,15,FALSE),0)*AV178</f>
        <v>0</v>
      </c>
      <c r="BK178" s="44">
        <f>IFERROR(VLOOKUP(AQ178,'[2]Harga &amp; Nama CSO'!$A$116:$R$136,16,FALSE),0)*AV178</f>
        <v>0</v>
      </c>
      <c r="BL178" s="44">
        <f>IFERROR(VLOOKUP(AQ178,'[2]Harga &amp; Nama CSO'!$A$116:$R$136,17,FALSE),0)*AV178</f>
        <v>0</v>
      </c>
      <c r="BM178" s="44">
        <f>IFERROR(VLOOKUP(AQ178,'[2]Harga &amp; Nama CSO'!$A$116:$R$136,18,FALSE),0)*AV178</f>
        <v>0</v>
      </c>
      <c r="BN178" s="44">
        <f>IFERROR(VLOOKUP(AQ178,'[2]Harga &amp; Nama CSO'!$A$116:$S$136,19,FALSE),0)*AV178</f>
        <v>2</v>
      </c>
      <c r="BO178" s="55">
        <f>IFERROR(VLOOKUP(AQ178,'[2]Harga &amp; Nama CSO'!$H$2:$N$22,2,FALSE),"")*AV178</f>
        <v>150000</v>
      </c>
      <c r="BP178" s="40">
        <v>46198</v>
      </c>
      <c r="BQ178" s="39">
        <v>2</v>
      </c>
      <c r="BR178" s="59">
        <v>150000</v>
      </c>
      <c r="BS178" s="39" t="s">
        <v>109</v>
      </c>
      <c r="BT178" s="57">
        <f t="shared" si="33"/>
        <v>0</v>
      </c>
      <c r="BU178" s="60">
        <v>46199</v>
      </c>
      <c r="BV178" s="8" t="e">
        <v>#VALUE!</v>
      </c>
      <c r="BW178" s="58" t="e">
        <f>VLOOKUP(AQ178,'[1]Harga &amp; Nama CSO'!$A$28:$D$31,4,0)*BQ178</f>
        <v>#N/A</v>
      </c>
    </row>
    <row r="179" spans="41:75" x14ac:dyDescent="0.35">
      <c r="AO179" s="39">
        <v>177</v>
      </c>
      <c r="AP179" s="60">
        <v>46198</v>
      </c>
      <c r="AQ179" s="41" t="s">
        <v>97</v>
      </c>
      <c r="AR179" s="42" t="str">
        <f>IFERROR(VLOOKUP(AU179,[2]SUMMARY!$A$3:$B$7,2,FALSE),"")</f>
        <v>MC-SAGARANTEN</v>
      </c>
      <c r="AS179" s="42">
        <v>17711073</v>
      </c>
      <c r="AT179" s="31" t="str">
        <f>VLOOKUP(AS179,[2]OUTLET!$B:$C,2,0)</f>
        <v>GILANG CELL 3</v>
      </c>
      <c r="AU179" s="42" t="s">
        <v>54</v>
      </c>
      <c r="AV179" s="39">
        <v>4</v>
      </c>
      <c r="AW179" s="44">
        <f>IFERROR(VLOOKUP(AQ179,'[2]Harga &amp; Nama CSO'!$A$116:$L$136,2,FALSE),0)*AV179</f>
        <v>0</v>
      </c>
      <c r="AX179" s="44">
        <f>IFERROR(VLOOKUP(AQ179,'[2]Harga &amp; Nama CSO'!$A$116:$L$136,3,FALSE),0)*AV179</f>
        <v>0</v>
      </c>
      <c r="AY179" s="44">
        <f>IFERROR(VLOOKUP(AQ179,'[2]Harga &amp; Nama CSO'!$A$116:$L$136,4,FALSE),0)*AV179</f>
        <v>12</v>
      </c>
      <c r="AZ179" s="44">
        <f>IFERROR(VLOOKUP(AQ179,'[2]Harga &amp; Nama CSO'!$A$116:$L$136,5,FALSE),0)*AV179</f>
        <v>0</v>
      </c>
      <c r="BA179" s="44">
        <f>IFERROR(VLOOKUP(AQ179,'[2]Harga &amp; Nama CSO'!$A$116:$L$136,6,FALSE),0)*AV179</f>
        <v>0</v>
      </c>
      <c r="BB179" s="44">
        <f>IFERROR(VLOOKUP(AQ179,'[2]Harga &amp; Nama CSO'!$A$116:$L$136,7,FALSE),0)*AV179</f>
        <v>0</v>
      </c>
      <c r="BC179" s="44">
        <f>IFERROR(VLOOKUP(AQ179,'[2]Harga &amp; Nama CSO'!$A$116:$L$136,8,FALSE),0)*AV179</f>
        <v>0</v>
      </c>
      <c r="BD179" s="44">
        <f>IFERROR(VLOOKUP(AQ179,'[2]Harga &amp; Nama CSO'!$A$116:$L$136,9,FALSE),0)*AV179</f>
        <v>0</v>
      </c>
      <c r="BE179" s="44">
        <f>IFERROR(VLOOKUP(AQ179,'[2]Harga &amp; Nama CSO'!$A$116:$L$136,10,FALSE),0)*AV179</f>
        <v>12</v>
      </c>
      <c r="BF179" s="44">
        <f>IFERROR(VLOOKUP(AQ179,'[2]Harga &amp; Nama CSO'!$A$116:$L$136,11,FALSE),0)*AV179</f>
        <v>0</v>
      </c>
      <c r="BG179" s="44">
        <f>IFERROR(VLOOKUP(AQ179,'[2]Harga &amp; Nama CSO'!$A$116:$L$136,12,FALSE),0)*AV179</f>
        <v>0</v>
      </c>
      <c r="BH179" s="44">
        <f>IFERROR(VLOOKUP(AQ179,'[2]Harga &amp; Nama CSO'!$A$116:$R$136,13,FALSE),0)*AV179</f>
        <v>0</v>
      </c>
      <c r="BI179" s="44">
        <f>IFERROR(VLOOKUP(AQ179,'[2]Harga &amp; Nama CSO'!$A$116:$R$136,14,FALSE),0)*AV179</f>
        <v>12</v>
      </c>
      <c r="BJ179" s="44">
        <f>IFERROR(VLOOKUP(AQ179,'[2]Harga &amp; Nama CSO'!$A$116:$R$136,15,FALSE),0)*AV179</f>
        <v>0</v>
      </c>
      <c r="BK179" s="44">
        <f>IFERROR(VLOOKUP(AQ179,'[2]Harga &amp; Nama CSO'!$A$116:$R$136,16,FALSE),0)*AV179</f>
        <v>0</v>
      </c>
      <c r="BL179" s="44">
        <f>IFERROR(VLOOKUP(AQ179,'[2]Harga &amp; Nama CSO'!$A$116:$R$136,17,FALSE),0)*AV179</f>
        <v>0</v>
      </c>
      <c r="BM179" s="44">
        <f>IFERROR(VLOOKUP(AQ179,'[2]Harga &amp; Nama CSO'!$A$116:$R$136,18,FALSE),0)*AV179</f>
        <v>0</v>
      </c>
      <c r="BN179" s="44">
        <f>IFERROR(VLOOKUP(AQ179,'[2]Harga &amp; Nama CSO'!$A$116:$S$136,19,FALSE),0)*AV179</f>
        <v>0</v>
      </c>
      <c r="BO179" s="55">
        <f>IFERROR(VLOOKUP(AQ179,'[2]Harga &amp; Nama CSO'!$H$2:$N$22,2,FALSE),"")*AV179</f>
        <v>472800</v>
      </c>
      <c r="BP179" s="40">
        <v>46198</v>
      </c>
      <c r="BQ179" s="39">
        <v>4</v>
      </c>
      <c r="BR179" s="59">
        <v>472800</v>
      </c>
      <c r="BS179" s="39" t="s">
        <v>109</v>
      </c>
      <c r="BT179" s="57">
        <f t="shared" si="33"/>
        <v>0</v>
      </c>
      <c r="BU179" s="60">
        <v>46199</v>
      </c>
      <c r="BV179" s="8" t="e">
        <v>#VALUE!</v>
      </c>
      <c r="BW179" s="58">
        <f>VLOOKUP(AQ179,'[1]Harga &amp; Nama CSO'!$A$28:$D$31,4,0)*BQ179</f>
        <v>12</v>
      </c>
    </row>
    <row r="180" spans="41:75" x14ac:dyDescent="0.35">
      <c r="AO180" s="39">
        <v>178</v>
      </c>
      <c r="AP180" s="60">
        <v>46198</v>
      </c>
      <c r="AQ180" s="41" t="s">
        <v>204</v>
      </c>
      <c r="AR180" s="42" t="str">
        <f>IFERROR(VLOOKUP(AU180,[2]SUMMARY!$A$3:$B$7,2,FALSE),"")</f>
        <v>MC-SAGARANTEN</v>
      </c>
      <c r="AS180" s="42">
        <v>17399911</v>
      </c>
      <c r="AT180" s="31" t="str">
        <f>VLOOKUP(AS180,[2]OUTLET!$B:$C,2,0)</f>
        <v>HIKARU CELL 2</v>
      </c>
      <c r="AU180" s="42" t="s">
        <v>54</v>
      </c>
      <c r="AV180" s="39">
        <v>10</v>
      </c>
      <c r="AW180" s="44">
        <f>IFERROR(VLOOKUP(AQ180,'[2]Harga &amp; Nama CSO'!$A$116:$L$136,2,FALSE),0)*AV180</f>
        <v>0</v>
      </c>
      <c r="AX180" s="44">
        <f>IFERROR(VLOOKUP(AQ180,'[2]Harga &amp; Nama CSO'!$A$116:$L$136,3,FALSE),0)*AV180</f>
        <v>30</v>
      </c>
      <c r="AY180" s="44">
        <f>IFERROR(VLOOKUP(AQ180,'[2]Harga &amp; Nama CSO'!$A$116:$L$136,4,FALSE),0)*AV180</f>
        <v>0</v>
      </c>
      <c r="AZ180" s="44">
        <f>IFERROR(VLOOKUP(AQ180,'[2]Harga &amp; Nama CSO'!$A$116:$L$136,5,FALSE),0)*AV180</f>
        <v>0</v>
      </c>
      <c r="BA180" s="44">
        <f>IFERROR(VLOOKUP(AQ180,'[2]Harga &amp; Nama CSO'!$A$116:$L$136,6,FALSE),0)*AV180</f>
        <v>0</v>
      </c>
      <c r="BB180" s="44">
        <f>IFERROR(VLOOKUP(AQ180,'[2]Harga &amp; Nama CSO'!$A$116:$L$136,7,FALSE),0)*AV180</f>
        <v>0</v>
      </c>
      <c r="BC180" s="44">
        <f>IFERROR(VLOOKUP(AQ180,'[2]Harga &amp; Nama CSO'!$A$116:$L$136,8,FALSE),0)*AV180</f>
        <v>0</v>
      </c>
      <c r="BD180" s="44">
        <f>IFERROR(VLOOKUP(AQ180,'[2]Harga &amp; Nama CSO'!$A$116:$L$136,9,FALSE),0)*AV180</f>
        <v>0</v>
      </c>
      <c r="BE180" s="44">
        <f>IFERROR(VLOOKUP(AQ180,'[2]Harga &amp; Nama CSO'!$A$116:$L$136,10,FALSE),0)*AV180</f>
        <v>0</v>
      </c>
      <c r="BF180" s="44">
        <f>IFERROR(VLOOKUP(AQ180,'[2]Harga &amp; Nama CSO'!$A$116:$L$136,11,FALSE),0)*AV180</f>
        <v>0</v>
      </c>
      <c r="BG180" s="44">
        <f>IFERROR(VLOOKUP(AQ180,'[2]Harga &amp; Nama CSO'!$A$116:$L$136,12,FALSE),0)*AV180</f>
        <v>0</v>
      </c>
      <c r="BH180" s="44">
        <f>IFERROR(VLOOKUP(AQ180,'[2]Harga &amp; Nama CSO'!$A$116:$R$136,13,FALSE),0)*AV180</f>
        <v>0</v>
      </c>
      <c r="BI180" s="44">
        <f>IFERROR(VLOOKUP(AQ180,'[2]Harga &amp; Nama CSO'!$A$116:$R$136,14,FALSE),0)*AV180</f>
        <v>0</v>
      </c>
      <c r="BJ180" s="44">
        <f>IFERROR(VLOOKUP(AQ180,'[2]Harga &amp; Nama CSO'!$A$116:$R$136,15,FALSE),0)*AV180</f>
        <v>0</v>
      </c>
      <c r="BK180" s="44">
        <f>IFERROR(VLOOKUP(AQ180,'[2]Harga &amp; Nama CSO'!$A$116:$R$136,16,FALSE),0)*AV180</f>
        <v>0</v>
      </c>
      <c r="BL180" s="44">
        <f>IFERROR(VLOOKUP(AQ180,'[2]Harga &amp; Nama CSO'!$A$116:$R$136,17,FALSE),0)*AV180</f>
        <v>0</v>
      </c>
      <c r="BM180" s="44">
        <f>IFERROR(VLOOKUP(AQ180,'[2]Harga &amp; Nama CSO'!$A$116:$R$136,18,FALSE),0)*AV180</f>
        <v>0</v>
      </c>
      <c r="BN180" s="44">
        <f>IFERROR(VLOOKUP(AQ180,'[2]Harga &amp; Nama CSO'!$A$116:$S$136,19,FALSE),0)*AV180</f>
        <v>10</v>
      </c>
      <c r="BO180" s="55">
        <f>IFERROR(VLOOKUP(AQ180,'[2]Harga &amp; Nama CSO'!$H$2:$N$22,2,FALSE),"")*AV180</f>
        <v>750000</v>
      </c>
      <c r="BP180" s="60">
        <v>46200</v>
      </c>
      <c r="BQ180" s="39">
        <v>10</v>
      </c>
      <c r="BR180" s="59">
        <v>750000</v>
      </c>
      <c r="BS180" s="39" t="s">
        <v>109</v>
      </c>
      <c r="BT180" s="57">
        <f t="shared" si="33"/>
        <v>0</v>
      </c>
      <c r="BU180" s="60">
        <v>46202</v>
      </c>
      <c r="BV180" s="8" t="e">
        <v>#VALUE!</v>
      </c>
      <c r="BW180" s="58" t="e">
        <f>VLOOKUP(AQ180,'[1]Harga &amp; Nama CSO'!$A$28:$D$31,4,0)*BQ180</f>
        <v>#N/A</v>
      </c>
    </row>
    <row r="181" spans="41:75" x14ac:dyDescent="0.35">
      <c r="AO181" s="39">
        <v>179</v>
      </c>
      <c r="AP181" s="60">
        <v>46198</v>
      </c>
      <c r="AQ181" s="41" t="s">
        <v>204</v>
      </c>
      <c r="AR181" s="42" t="str">
        <f>IFERROR(VLOOKUP(AU181,[2]SUMMARY!$A$3:$B$7,2,FALSE),"")</f>
        <v>MC-SAGARANTEN</v>
      </c>
      <c r="AS181" s="42">
        <v>17190542</v>
      </c>
      <c r="AT181" s="31" t="str">
        <f>VLOOKUP(AS181,[2]OUTLET!$B:$C,2,0)</f>
        <v>BERKAH CELLULAR</v>
      </c>
      <c r="AU181" s="42" t="s">
        <v>53</v>
      </c>
      <c r="AV181" s="39">
        <v>6</v>
      </c>
      <c r="AW181" s="44">
        <f>IFERROR(VLOOKUP(AQ181,'[2]Harga &amp; Nama CSO'!$A$116:$L$136,2,FALSE),0)*AV181</f>
        <v>0</v>
      </c>
      <c r="AX181" s="44">
        <f>IFERROR(VLOOKUP(AQ181,'[2]Harga &amp; Nama CSO'!$A$116:$L$136,3,FALSE),0)*AV181</f>
        <v>18</v>
      </c>
      <c r="AY181" s="44">
        <f>IFERROR(VLOOKUP(AQ181,'[2]Harga &amp; Nama CSO'!$A$116:$L$136,4,FALSE),0)*AV181</f>
        <v>0</v>
      </c>
      <c r="AZ181" s="44">
        <f>IFERROR(VLOOKUP(AQ181,'[2]Harga &amp; Nama CSO'!$A$116:$L$136,5,FALSE),0)*AV181</f>
        <v>0</v>
      </c>
      <c r="BA181" s="44">
        <f>IFERROR(VLOOKUP(AQ181,'[2]Harga &amp; Nama CSO'!$A$116:$L$136,6,FALSE),0)*AV181</f>
        <v>0</v>
      </c>
      <c r="BB181" s="44">
        <f>IFERROR(VLOOKUP(AQ181,'[2]Harga &amp; Nama CSO'!$A$116:$L$136,7,FALSE),0)*AV181</f>
        <v>0</v>
      </c>
      <c r="BC181" s="44">
        <f>IFERROR(VLOOKUP(AQ181,'[2]Harga &amp; Nama CSO'!$A$116:$L$136,8,FALSE),0)*AV181</f>
        <v>0</v>
      </c>
      <c r="BD181" s="44">
        <f>IFERROR(VLOOKUP(AQ181,'[2]Harga &amp; Nama CSO'!$A$116:$L$136,9,FALSE),0)*AV181</f>
        <v>0</v>
      </c>
      <c r="BE181" s="44">
        <f>IFERROR(VLOOKUP(AQ181,'[2]Harga &amp; Nama CSO'!$A$116:$L$136,10,FALSE),0)*AV181</f>
        <v>0</v>
      </c>
      <c r="BF181" s="44">
        <f>IFERROR(VLOOKUP(AQ181,'[2]Harga &amp; Nama CSO'!$A$116:$L$136,11,FALSE),0)*AV181</f>
        <v>0</v>
      </c>
      <c r="BG181" s="44">
        <f>IFERROR(VLOOKUP(AQ181,'[2]Harga &amp; Nama CSO'!$A$116:$L$136,12,FALSE),0)*AV181</f>
        <v>0</v>
      </c>
      <c r="BH181" s="44">
        <f>IFERROR(VLOOKUP(AQ181,'[2]Harga &amp; Nama CSO'!$A$116:$R$136,13,FALSE),0)*AV181</f>
        <v>0</v>
      </c>
      <c r="BI181" s="44">
        <f>IFERROR(VLOOKUP(AQ181,'[2]Harga &amp; Nama CSO'!$A$116:$R$136,14,FALSE),0)*AV181</f>
        <v>0</v>
      </c>
      <c r="BJ181" s="44">
        <f>IFERROR(VLOOKUP(AQ181,'[2]Harga &amp; Nama CSO'!$A$116:$R$136,15,FALSE),0)*AV181</f>
        <v>0</v>
      </c>
      <c r="BK181" s="44">
        <f>IFERROR(VLOOKUP(AQ181,'[2]Harga &amp; Nama CSO'!$A$116:$R$136,16,FALSE),0)*AV181</f>
        <v>0</v>
      </c>
      <c r="BL181" s="44">
        <f>IFERROR(VLOOKUP(AQ181,'[2]Harga &amp; Nama CSO'!$A$116:$R$136,17,FALSE),0)*AV181</f>
        <v>0</v>
      </c>
      <c r="BM181" s="44">
        <f>IFERROR(VLOOKUP(AQ181,'[2]Harga &amp; Nama CSO'!$A$116:$R$136,18,FALSE),0)*AV181</f>
        <v>0</v>
      </c>
      <c r="BN181" s="44">
        <f>IFERROR(VLOOKUP(AQ181,'[2]Harga &amp; Nama CSO'!$A$116:$S$136,19,FALSE),0)*AV181</f>
        <v>6</v>
      </c>
      <c r="BO181" s="55">
        <f>IFERROR(VLOOKUP(AQ181,'[2]Harga &amp; Nama CSO'!$H$2:$N$22,2,FALSE),"")*AV181</f>
        <v>450000</v>
      </c>
      <c r="BP181" s="40">
        <v>46198</v>
      </c>
      <c r="BQ181" s="39">
        <v>6</v>
      </c>
      <c r="BR181" s="59">
        <v>425000</v>
      </c>
      <c r="BS181" s="39" t="s">
        <v>109</v>
      </c>
      <c r="BT181" s="57">
        <f t="shared" si="33"/>
        <v>25000</v>
      </c>
      <c r="BU181" s="60">
        <v>46199</v>
      </c>
      <c r="BV181" s="8" t="e">
        <v>#VALUE!</v>
      </c>
      <c r="BW181" s="58" t="e">
        <f>VLOOKUP(AQ181,'[1]Harga &amp; Nama CSO'!$A$28:$D$31,4,0)*BQ181</f>
        <v>#N/A</v>
      </c>
    </row>
    <row r="182" spans="41:75" x14ac:dyDescent="0.35">
      <c r="AO182" s="39">
        <v>180</v>
      </c>
      <c r="AP182" s="60">
        <v>46198</v>
      </c>
      <c r="AQ182" s="41" t="s">
        <v>204</v>
      </c>
      <c r="AR182" s="42" t="str">
        <f>IFERROR(VLOOKUP(AU182,[2]SUMMARY!$A$3:$B$7,2,FALSE),"")</f>
        <v>MC-SAGARANTEN</v>
      </c>
      <c r="AS182" s="42">
        <v>17179164</v>
      </c>
      <c r="AT182" s="31" t="str">
        <f>VLOOKUP(AS182,[2]OUTLET!$B:$C,2,0)</f>
        <v>JR STORE</v>
      </c>
      <c r="AU182" s="42" t="s">
        <v>41</v>
      </c>
      <c r="AV182" s="39">
        <v>10</v>
      </c>
      <c r="AW182" s="44">
        <f>IFERROR(VLOOKUP(AQ182,'[2]Harga &amp; Nama CSO'!$A$116:$L$136,2,FALSE),0)*AV182</f>
        <v>0</v>
      </c>
      <c r="AX182" s="44">
        <f>IFERROR(VLOOKUP(AQ182,'[2]Harga &amp; Nama CSO'!$A$116:$L$136,3,FALSE),0)*AV182</f>
        <v>30</v>
      </c>
      <c r="AY182" s="44">
        <f>IFERROR(VLOOKUP(AQ182,'[2]Harga &amp; Nama CSO'!$A$116:$L$136,4,FALSE),0)*AV182</f>
        <v>0</v>
      </c>
      <c r="AZ182" s="44">
        <f>IFERROR(VLOOKUP(AQ182,'[2]Harga &amp; Nama CSO'!$A$116:$L$136,5,FALSE),0)*AV182</f>
        <v>0</v>
      </c>
      <c r="BA182" s="44">
        <f>IFERROR(VLOOKUP(AQ182,'[2]Harga &amp; Nama CSO'!$A$116:$L$136,6,FALSE),0)*AV182</f>
        <v>0</v>
      </c>
      <c r="BB182" s="44">
        <f>IFERROR(VLOOKUP(AQ182,'[2]Harga &amp; Nama CSO'!$A$116:$L$136,7,FALSE),0)*AV182</f>
        <v>0</v>
      </c>
      <c r="BC182" s="44">
        <f>IFERROR(VLOOKUP(AQ182,'[2]Harga &amp; Nama CSO'!$A$116:$L$136,8,FALSE),0)*AV182</f>
        <v>0</v>
      </c>
      <c r="BD182" s="44">
        <f>IFERROR(VLOOKUP(AQ182,'[2]Harga &amp; Nama CSO'!$A$116:$L$136,9,FALSE),0)*AV182</f>
        <v>0</v>
      </c>
      <c r="BE182" s="44">
        <f>IFERROR(VLOOKUP(AQ182,'[2]Harga &amp; Nama CSO'!$A$116:$L$136,10,FALSE),0)*AV182</f>
        <v>0</v>
      </c>
      <c r="BF182" s="44">
        <f>IFERROR(VLOOKUP(AQ182,'[2]Harga &amp; Nama CSO'!$A$116:$L$136,11,FALSE),0)*AV182</f>
        <v>0</v>
      </c>
      <c r="BG182" s="44">
        <f>IFERROR(VLOOKUP(AQ182,'[2]Harga &amp; Nama CSO'!$A$116:$L$136,12,FALSE),0)*AV182</f>
        <v>0</v>
      </c>
      <c r="BH182" s="44">
        <f>IFERROR(VLOOKUP(AQ182,'[2]Harga &amp; Nama CSO'!$A$116:$R$136,13,FALSE),0)*AV182</f>
        <v>0</v>
      </c>
      <c r="BI182" s="44">
        <f>IFERROR(VLOOKUP(AQ182,'[2]Harga &amp; Nama CSO'!$A$116:$R$136,14,FALSE),0)*AV182</f>
        <v>0</v>
      </c>
      <c r="BJ182" s="44">
        <f>IFERROR(VLOOKUP(AQ182,'[2]Harga &amp; Nama CSO'!$A$116:$R$136,15,FALSE),0)*AV182</f>
        <v>0</v>
      </c>
      <c r="BK182" s="44">
        <f>IFERROR(VLOOKUP(AQ182,'[2]Harga &amp; Nama CSO'!$A$116:$R$136,16,FALSE),0)*AV182</f>
        <v>0</v>
      </c>
      <c r="BL182" s="44">
        <f>IFERROR(VLOOKUP(AQ182,'[2]Harga &amp; Nama CSO'!$A$116:$R$136,17,FALSE),0)*AV182</f>
        <v>0</v>
      </c>
      <c r="BM182" s="44">
        <f>IFERROR(VLOOKUP(AQ182,'[2]Harga &amp; Nama CSO'!$A$116:$R$136,18,FALSE),0)*AV182</f>
        <v>0</v>
      </c>
      <c r="BN182" s="44">
        <f>IFERROR(VLOOKUP(AQ182,'[2]Harga &amp; Nama CSO'!$A$116:$S$136,19,FALSE),0)*AV182</f>
        <v>10</v>
      </c>
      <c r="BO182" s="55">
        <f>IFERROR(VLOOKUP(AQ182,'[2]Harga &amp; Nama CSO'!$H$2:$N$22,2,FALSE),"")*AV182</f>
        <v>750000</v>
      </c>
      <c r="BP182" s="40">
        <v>46198</v>
      </c>
      <c r="BQ182" s="39">
        <v>10</v>
      </c>
      <c r="BR182" s="59">
        <v>750000</v>
      </c>
      <c r="BS182" s="39" t="s">
        <v>109</v>
      </c>
      <c r="BT182" s="57">
        <f t="shared" si="33"/>
        <v>0</v>
      </c>
      <c r="BU182" s="60">
        <v>46199</v>
      </c>
      <c r="BV182" s="8" t="e">
        <v>#VALUE!</v>
      </c>
      <c r="BW182" s="58" t="e">
        <f>VLOOKUP(AQ182,'[1]Harga &amp; Nama CSO'!$A$28:$D$31,4,0)*BQ182</f>
        <v>#N/A</v>
      </c>
    </row>
    <row r="183" spans="41:75" x14ac:dyDescent="0.35">
      <c r="AO183" s="39">
        <v>181</v>
      </c>
      <c r="AP183" s="60">
        <v>46198</v>
      </c>
      <c r="AQ183" s="41" t="s">
        <v>204</v>
      </c>
      <c r="AR183" s="42" t="str">
        <f>IFERROR(VLOOKUP(AU183,[2]SUMMARY!$A$3:$B$7,2,FALSE),"")</f>
        <v>MC-SAGARANTEN</v>
      </c>
      <c r="AS183" s="42">
        <v>1287387</v>
      </c>
      <c r="AT183" s="31" t="str">
        <f>VLOOKUP(AS183,[2]OUTLET!$B:$C,2,0)</f>
        <v>DEAN CLL</v>
      </c>
      <c r="AU183" s="42" t="s">
        <v>42</v>
      </c>
      <c r="AV183" s="39">
        <v>10</v>
      </c>
      <c r="AW183" s="44">
        <f>IFERROR(VLOOKUP(AQ183,'[2]Harga &amp; Nama CSO'!$A$116:$L$136,2,FALSE),0)*AV183</f>
        <v>0</v>
      </c>
      <c r="AX183" s="44">
        <f>IFERROR(VLOOKUP(AQ183,'[2]Harga &amp; Nama CSO'!$A$116:$L$136,3,FALSE),0)*AV183</f>
        <v>30</v>
      </c>
      <c r="AY183" s="44">
        <f>IFERROR(VLOOKUP(AQ183,'[2]Harga &amp; Nama CSO'!$A$116:$L$136,4,FALSE),0)*AV183</f>
        <v>0</v>
      </c>
      <c r="AZ183" s="44">
        <f>IFERROR(VLOOKUP(AQ183,'[2]Harga &amp; Nama CSO'!$A$116:$L$136,5,FALSE),0)*AV183</f>
        <v>0</v>
      </c>
      <c r="BA183" s="44">
        <f>IFERROR(VLOOKUP(AQ183,'[2]Harga &amp; Nama CSO'!$A$116:$L$136,6,FALSE),0)*AV183</f>
        <v>0</v>
      </c>
      <c r="BB183" s="44">
        <f>IFERROR(VLOOKUP(AQ183,'[2]Harga &amp; Nama CSO'!$A$116:$L$136,7,FALSE),0)*AV183</f>
        <v>0</v>
      </c>
      <c r="BC183" s="44">
        <f>IFERROR(VLOOKUP(AQ183,'[2]Harga &amp; Nama CSO'!$A$116:$L$136,8,FALSE),0)*AV183</f>
        <v>0</v>
      </c>
      <c r="BD183" s="44">
        <f>IFERROR(VLOOKUP(AQ183,'[2]Harga &amp; Nama CSO'!$A$116:$L$136,9,FALSE),0)*AV183</f>
        <v>0</v>
      </c>
      <c r="BE183" s="44">
        <f>IFERROR(VLOOKUP(AQ183,'[2]Harga &amp; Nama CSO'!$A$116:$L$136,10,FALSE),0)*AV183</f>
        <v>0</v>
      </c>
      <c r="BF183" s="44">
        <f>IFERROR(VLOOKUP(AQ183,'[2]Harga &amp; Nama CSO'!$A$116:$L$136,11,FALSE),0)*AV183</f>
        <v>0</v>
      </c>
      <c r="BG183" s="44">
        <f>IFERROR(VLOOKUP(AQ183,'[2]Harga &amp; Nama CSO'!$A$116:$L$136,12,FALSE),0)*AV183</f>
        <v>0</v>
      </c>
      <c r="BH183" s="44">
        <f>IFERROR(VLOOKUP(AQ183,'[2]Harga &amp; Nama CSO'!$A$116:$R$136,13,FALSE),0)*AV183</f>
        <v>0</v>
      </c>
      <c r="BI183" s="44">
        <f>IFERROR(VLOOKUP(AQ183,'[2]Harga &amp; Nama CSO'!$A$116:$R$136,14,FALSE),0)*AV183</f>
        <v>0</v>
      </c>
      <c r="BJ183" s="44">
        <f>IFERROR(VLOOKUP(AQ183,'[2]Harga &amp; Nama CSO'!$A$116:$R$136,15,FALSE),0)*AV183</f>
        <v>0</v>
      </c>
      <c r="BK183" s="44">
        <f>IFERROR(VLOOKUP(AQ183,'[2]Harga &amp; Nama CSO'!$A$116:$R$136,16,FALSE),0)*AV183</f>
        <v>0</v>
      </c>
      <c r="BL183" s="44">
        <f>IFERROR(VLOOKUP(AQ183,'[2]Harga &amp; Nama CSO'!$A$116:$R$136,17,FALSE),0)*AV183</f>
        <v>0</v>
      </c>
      <c r="BM183" s="44">
        <f>IFERROR(VLOOKUP(AQ183,'[2]Harga &amp; Nama CSO'!$A$116:$R$136,18,FALSE),0)*AV183</f>
        <v>0</v>
      </c>
      <c r="BN183" s="44">
        <f>IFERROR(VLOOKUP(AQ183,'[2]Harga &amp; Nama CSO'!$A$116:$S$136,19,FALSE),0)*AV183</f>
        <v>10</v>
      </c>
      <c r="BO183" s="55">
        <f>IFERROR(VLOOKUP(AQ183,'[2]Harga &amp; Nama CSO'!$H$2:$N$22,2,FALSE),"")*AV183</f>
        <v>750000</v>
      </c>
      <c r="BP183" s="40">
        <v>46199</v>
      </c>
      <c r="BQ183" s="39">
        <v>10</v>
      </c>
      <c r="BR183" s="59">
        <v>750000</v>
      </c>
      <c r="BS183" s="39" t="s">
        <v>109</v>
      </c>
      <c r="BT183" s="57">
        <f t="shared" si="33"/>
        <v>0</v>
      </c>
      <c r="BU183" s="60">
        <v>46202</v>
      </c>
      <c r="BV183" s="8" t="e">
        <v>#VALUE!</v>
      </c>
      <c r="BW183" s="58" t="e">
        <f>VLOOKUP(AQ183,'[1]Harga &amp; Nama CSO'!$A$28:$D$31,4,0)*BQ183</f>
        <v>#N/A</v>
      </c>
    </row>
    <row r="184" spans="41:75" x14ac:dyDescent="0.35">
      <c r="AO184" s="39">
        <v>182</v>
      </c>
      <c r="AP184" s="60">
        <v>46199</v>
      </c>
      <c r="AQ184" s="41" t="s">
        <v>204</v>
      </c>
      <c r="AR184" s="42" t="str">
        <f>IFERROR(VLOOKUP(AU184,[2]SUMMARY!$A$3:$B$7,2,FALSE),"")</f>
        <v>MC-SAGARANTEN</v>
      </c>
      <c r="AS184" s="42">
        <v>17737026</v>
      </c>
      <c r="AT184" s="31" t="str">
        <f>VLOOKUP(AS184,[2]OUTLET!$B:$C,2,0)</f>
        <v>Yan cell</v>
      </c>
      <c r="AU184" s="42" t="s">
        <v>53</v>
      </c>
      <c r="AV184" s="39">
        <v>9</v>
      </c>
      <c r="AW184" s="44">
        <f>IFERROR(VLOOKUP(AQ184,'[2]Harga &amp; Nama CSO'!$A$116:$L$136,2,FALSE),0)*AV184</f>
        <v>0</v>
      </c>
      <c r="AX184" s="44">
        <f>IFERROR(VLOOKUP(AQ184,'[2]Harga &amp; Nama CSO'!$A$116:$L$136,3,FALSE),0)*AV184</f>
        <v>27</v>
      </c>
      <c r="AY184" s="44">
        <f>IFERROR(VLOOKUP(AQ184,'[2]Harga &amp; Nama CSO'!$A$116:$L$136,4,FALSE),0)*AV184</f>
        <v>0</v>
      </c>
      <c r="AZ184" s="44">
        <f>IFERROR(VLOOKUP(AQ184,'[2]Harga &amp; Nama CSO'!$A$116:$L$136,5,FALSE),0)*AV184</f>
        <v>0</v>
      </c>
      <c r="BA184" s="44">
        <f>IFERROR(VLOOKUP(AQ184,'[2]Harga &amp; Nama CSO'!$A$116:$L$136,6,FALSE),0)*AV184</f>
        <v>0</v>
      </c>
      <c r="BB184" s="44">
        <f>IFERROR(VLOOKUP(AQ184,'[2]Harga &amp; Nama CSO'!$A$116:$L$136,7,FALSE),0)*AV184</f>
        <v>0</v>
      </c>
      <c r="BC184" s="44">
        <f>IFERROR(VLOOKUP(AQ184,'[2]Harga &amp; Nama CSO'!$A$116:$L$136,8,FALSE),0)*AV184</f>
        <v>0</v>
      </c>
      <c r="BD184" s="44">
        <f>IFERROR(VLOOKUP(AQ184,'[2]Harga &amp; Nama CSO'!$A$116:$L$136,9,FALSE),0)*AV184</f>
        <v>0</v>
      </c>
      <c r="BE184" s="44">
        <f>IFERROR(VLOOKUP(AQ184,'[2]Harga &amp; Nama CSO'!$A$116:$L$136,10,FALSE),0)*AV184</f>
        <v>0</v>
      </c>
      <c r="BF184" s="44">
        <f>IFERROR(VLOOKUP(AQ184,'[2]Harga &amp; Nama CSO'!$A$116:$L$136,11,FALSE),0)*AV184</f>
        <v>0</v>
      </c>
      <c r="BG184" s="44">
        <f>IFERROR(VLOOKUP(AQ184,'[2]Harga &amp; Nama CSO'!$A$116:$L$136,12,FALSE),0)*AV184</f>
        <v>0</v>
      </c>
      <c r="BH184" s="44">
        <f>IFERROR(VLOOKUP(AQ184,'[2]Harga &amp; Nama CSO'!$A$116:$R$136,13,FALSE),0)*AV184</f>
        <v>0</v>
      </c>
      <c r="BI184" s="44">
        <f>IFERROR(VLOOKUP(AQ184,'[2]Harga &amp; Nama CSO'!$A$116:$R$136,14,FALSE),0)*AV184</f>
        <v>0</v>
      </c>
      <c r="BJ184" s="44">
        <f>IFERROR(VLOOKUP(AQ184,'[2]Harga &amp; Nama CSO'!$A$116:$R$136,15,FALSE),0)*AV184</f>
        <v>0</v>
      </c>
      <c r="BK184" s="44">
        <f>IFERROR(VLOOKUP(AQ184,'[2]Harga &amp; Nama CSO'!$A$116:$R$136,16,FALSE),0)*AV184</f>
        <v>0</v>
      </c>
      <c r="BL184" s="44">
        <f>IFERROR(VLOOKUP(AQ184,'[2]Harga &amp; Nama CSO'!$A$116:$R$136,17,FALSE),0)*AV184</f>
        <v>0</v>
      </c>
      <c r="BM184" s="44">
        <f>IFERROR(VLOOKUP(AQ184,'[2]Harga &amp; Nama CSO'!$A$116:$R$136,18,FALSE),0)*AV184</f>
        <v>0</v>
      </c>
      <c r="BN184" s="44">
        <f>IFERROR(VLOOKUP(AQ184,'[2]Harga &amp; Nama CSO'!$A$116:$S$136,19,FALSE),0)*AV184</f>
        <v>9</v>
      </c>
      <c r="BO184" s="55">
        <f>IFERROR(VLOOKUP(AQ184,'[2]Harga &amp; Nama CSO'!$H$2:$N$22,2,FALSE),"")*AV184</f>
        <v>675000</v>
      </c>
      <c r="BP184" s="40">
        <v>46199</v>
      </c>
      <c r="BQ184" s="39">
        <v>9</v>
      </c>
      <c r="BR184" s="59">
        <v>675000</v>
      </c>
      <c r="BS184" s="39" t="s">
        <v>109</v>
      </c>
      <c r="BT184" s="57">
        <f t="shared" ref="BT184:BT212" si="34">BO184-BR184</f>
        <v>0</v>
      </c>
      <c r="BU184" s="60">
        <v>46202</v>
      </c>
      <c r="BV184" s="8" t="e">
        <v>#VALUE!</v>
      </c>
      <c r="BW184" s="58" t="e">
        <f>VLOOKUP(AQ184,'[1]Harga &amp; Nama CSO'!$A$28:$D$31,4,0)*BQ184</f>
        <v>#N/A</v>
      </c>
    </row>
    <row r="185" spans="41:75" x14ac:dyDescent="0.35">
      <c r="AO185" s="39">
        <v>183</v>
      </c>
      <c r="AP185" s="60">
        <v>46199</v>
      </c>
      <c r="AQ185" s="41" t="s">
        <v>204</v>
      </c>
      <c r="AR185" s="42" t="str">
        <f>IFERROR(VLOOKUP(AU185,[2]SUMMARY!$A$3:$B$7,2,FALSE),"")</f>
        <v>MC-SAGARANTEN</v>
      </c>
      <c r="AS185" s="42">
        <v>17288556</v>
      </c>
      <c r="AT185" s="31" t="str">
        <f>VLOOKUP(AS185,[2]OUTLET!$B:$C,2,0)</f>
        <v>M luthvi Qolbi</v>
      </c>
      <c r="AU185" s="42" t="s">
        <v>41</v>
      </c>
      <c r="AV185" s="39">
        <v>5</v>
      </c>
      <c r="AW185" s="44">
        <f>IFERROR(VLOOKUP(AQ185,'[2]Harga &amp; Nama CSO'!$A$116:$L$136,2,FALSE),0)*AV185</f>
        <v>0</v>
      </c>
      <c r="AX185" s="44">
        <f>IFERROR(VLOOKUP(AQ185,'[2]Harga &amp; Nama CSO'!$A$116:$L$136,3,FALSE),0)*AV185</f>
        <v>15</v>
      </c>
      <c r="AY185" s="44">
        <f>IFERROR(VLOOKUP(AQ185,'[2]Harga &amp; Nama CSO'!$A$116:$L$136,4,FALSE),0)*AV185</f>
        <v>0</v>
      </c>
      <c r="AZ185" s="44">
        <f>IFERROR(VLOOKUP(AQ185,'[2]Harga &amp; Nama CSO'!$A$116:$L$136,5,FALSE),0)*AV185</f>
        <v>0</v>
      </c>
      <c r="BA185" s="44">
        <f>IFERROR(VLOOKUP(AQ185,'[2]Harga &amp; Nama CSO'!$A$116:$L$136,6,FALSE),0)*AV185</f>
        <v>0</v>
      </c>
      <c r="BB185" s="44">
        <f>IFERROR(VLOOKUP(AQ185,'[2]Harga &amp; Nama CSO'!$A$116:$L$136,7,FALSE),0)*AV185</f>
        <v>0</v>
      </c>
      <c r="BC185" s="44">
        <f>IFERROR(VLOOKUP(AQ185,'[2]Harga &amp; Nama CSO'!$A$116:$L$136,8,FALSE),0)*AV185</f>
        <v>0</v>
      </c>
      <c r="BD185" s="44">
        <f>IFERROR(VLOOKUP(AQ185,'[2]Harga &amp; Nama CSO'!$A$116:$L$136,9,FALSE),0)*AV185</f>
        <v>0</v>
      </c>
      <c r="BE185" s="44">
        <f>IFERROR(VLOOKUP(AQ185,'[2]Harga &amp; Nama CSO'!$A$116:$L$136,10,FALSE),0)*AV185</f>
        <v>0</v>
      </c>
      <c r="BF185" s="44">
        <f>IFERROR(VLOOKUP(AQ185,'[2]Harga &amp; Nama CSO'!$A$116:$L$136,11,FALSE),0)*AV185</f>
        <v>0</v>
      </c>
      <c r="BG185" s="44">
        <f>IFERROR(VLOOKUP(AQ185,'[2]Harga &amp; Nama CSO'!$A$116:$L$136,12,FALSE),0)*AV185</f>
        <v>0</v>
      </c>
      <c r="BH185" s="44">
        <f>IFERROR(VLOOKUP(AQ185,'[2]Harga &amp; Nama CSO'!$A$116:$R$136,13,FALSE),0)*AV185</f>
        <v>0</v>
      </c>
      <c r="BI185" s="44">
        <f>IFERROR(VLOOKUP(AQ185,'[2]Harga &amp; Nama CSO'!$A$116:$R$136,14,FALSE),0)*AV185</f>
        <v>0</v>
      </c>
      <c r="BJ185" s="44">
        <f>IFERROR(VLOOKUP(AQ185,'[2]Harga &amp; Nama CSO'!$A$116:$R$136,15,FALSE),0)*AV185</f>
        <v>0</v>
      </c>
      <c r="BK185" s="44">
        <f>IFERROR(VLOOKUP(AQ185,'[2]Harga &amp; Nama CSO'!$A$116:$R$136,16,FALSE),0)*AV185</f>
        <v>0</v>
      </c>
      <c r="BL185" s="44">
        <f>IFERROR(VLOOKUP(AQ185,'[2]Harga &amp; Nama CSO'!$A$116:$R$136,17,FALSE),0)*AV185</f>
        <v>0</v>
      </c>
      <c r="BM185" s="44">
        <f>IFERROR(VLOOKUP(AQ185,'[2]Harga &amp; Nama CSO'!$A$116:$R$136,18,FALSE),0)*AV185</f>
        <v>0</v>
      </c>
      <c r="BN185" s="44">
        <f>IFERROR(VLOOKUP(AQ185,'[2]Harga &amp; Nama CSO'!$A$116:$S$136,19,FALSE),0)*AV185</f>
        <v>5</v>
      </c>
      <c r="BO185" s="55">
        <f>IFERROR(VLOOKUP(AQ185,'[2]Harga &amp; Nama CSO'!$H$2:$N$22,2,FALSE),"")*AV185</f>
        <v>375000</v>
      </c>
      <c r="BP185" s="40">
        <v>46199</v>
      </c>
      <c r="BQ185" s="39">
        <v>5</v>
      </c>
      <c r="BR185" s="59">
        <v>375000</v>
      </c>
      <c r="BS185" s="39" t="s">
        <v>109</v>
      </c>
      <c r="BT185" s="57">
        <f t="shared" si="34"/>
        <v>0</v>
      </c>
      <c r="BU185" s="60">
        <v>46202</v>
      </c>
      <c r="BV185" s="8" t="e">
        <v>#VALUE!</v>
      </c>
      <c r="BW185" s="58" t="e">
        <f>VLOOKUP(AQ185,'[1]Harga &amp; Nama CSO'!$A$28:$D$31,4,0)*BQ185</f>
        <v>#N/A</v>
      </c>
    </row>
    <row r="186" spans="41:75" x14ac:dyDescent="0.35">
      <c r="AO186" s="39">
        <v>184</v>
      </c>
      <c r="AP186" s="60">
        <v>46199</v>
      </c>
      <c r="AQ186" s="41" t="s">
        <v>204</v>
      </c>
      <c r="AR186" s="42" t="str">
        <f>IFERROR(VLOOKUP(AU186,[2]SUMMARY!$A$3:$B$7,2,FALSE),"")</f>
        <v>MC-SAGARANTEN</v>
      </c>
      <c r="AS186" s="42">
        <v>17695935</v>
      </c>
      <c r="AT186" s="31" t="str">
        <f>VLOOKUP(AS186,[2]OUTLET!$B:$C,2,0)</f>
        <v>Taufiq cell</v>
      </c>
      <c r="AU186" s="42" t="s">
        <v>42</v>
      </c>
      <c r="AV186" s="39">
        <v>7</v>
      </c>
      <c r="AW186" s="44">
        <f>IFERROR(VLOOKUP(AQ186,'[2]Harga &amp; Nama CSO'!$A$116:$L$136,2,FALSE),0)*AV186</f>
        <v>0</v>
      </c>
      <c r="AX186" s="44">
        <f>IFERROR(VLOOKUP(AQ186,'[2]Harga &amp; Nama CSO'!$A$116:$L$136,3,FALSE),0)*AV186</f>
        <v>21</v>
      </c>
      <c r="AY186" s="44">
        <f>IFERROR(VLOOKUP(AQ186,'[2]Harga &amp; Nama CSO'!$A$116:$L$136,4,FALSE),0)*AV186</f>
        <v>0</v>
      </c>
      <c r="AZ186" s="44">
        <f>IFERROR(VLOOKUP(AQ186,'[2]Harga &amp; Nama CSO'!$A$116:$L$136,5,FALSE),0)*AV186</f>
        <v>0</v>
      </c>
      <c r="BA186" s="44">
        <f>IFERROR(VLOOKUP(AQ186,'[2]Harga &amp; Nama CSO'!$A$116:$L$136,6,FALSE),0)*AV186</f>
        <v>0</v>
      </c>
      <c r="BB186" s="44">
        <f>IFERROR(VLOOKUP(AQ186,'[2]Harga &amp; Nama CSO'!$A$116:$L$136,7,FALSE),0)*AV186</f>
        <v>0</v>
      </c>
      <c r="BC186" s="44">
        <f>IFERROR(VLOOKUP(AQ186,'[2]Harga &amp; Nama CSO'!$A$116:$L$136,8,FALSE),0)*AV186</f>
        <v>0</v>
      </c>
      <c r="BD186" s="44">
        <f>IFERROR(VLOOKUP(AQ186,'[2]Harga &amp; Nama CSO'!$A$116:$L$136,9,FALSE),0)*AV186</f>
        <v>0</v>
      </c>
      <c r="BE186" s="44">
        <f>IFERROR(VLOOKUP(AQ186,'[2]Harga &amp; Nama CSO'!$A$116:$L$136,10,FALSE),0)*AV186</f>
        <v>0</v>
      </c>
      <c r="BF186" s="44">
        <f>IFERROR(VLOOKUP(AQ186,'[2]Harga &amp; Nama CSO'!$A$116:$L$136,11,FALSE),0)*AV186</f>
        <v>0</v>
      </c>
      <c r="BG186" s="44">
        <f>IFERROR(VLOOKUP(AQ186,'[2]Harga &amp; Nama CSO'!$A$116:$L$136,12,FALSE),0)*AV186</f>
        <v>0</v>
      </c>
      <c r="BH186" s="44">
        <f>IFERROR(VLOOKUP(AQ186,'[2]Harga &amp; Nama CSO'!$A$116:$R$136,13,FALSE),0)*AV186</f>
        <v>0</v>
      </c>
      <c r="BI186" s="44">
        <f>IFERROR(VLOOKUP(AQ186,'[2]Harga &amp; Nama CSO'!$A$116:$R$136,14,FALSE),0)*AV186</f>
        <v>0</v>
      </c>
      <c r="BJ186" s="44">
        <f>IFERROR(VLOOKUP(AQ186,'[2]Harga &amp; Nama CSO'!$A$116:$R$136,15,FALSE),0)*AV186</f>
        <v>0</v>
      </c>
      <c r="BK186" s="44">
        <f>IFERROR(VLOOKUP(AQ186,'[2]Harga &amp; Nama CSO'!$A$116:$R$136,16,FALSE),0)*AV186</f>
        <v>0</v>
      </c>
      <c r="BL186" s="44">
        <f>IFERROR(VLOOKUP(AQ186,'[2]Harga &amp; Nama CSO'!$A$116:$R$136,17,FALSE),0)*AV186</f>
        <v>0</v>
      </c>
      <c r="BM186" s="44">
        <f>IFERROR(VLOOKUP(AQ186,'[2]Harga &amp; Nama CSO'!$A$116:$R$136,18,FALSE),0)*AV186</f>
        <v>0</v>
      </c>
      <c r="BN186" s="44">
        <f>IFERROR(VLOOKUP(AQ186,'[2]Harga &amp; Nama CSO'!$A$116:$S$136,19,FALSE),0)*AV186</f>
        <v>7</v>
      </c>
      <c r="BO186" s="55">
        <f>IFERROR(VLOOKUP(AQ186,'[2]Harga &amp; Nama CSO'!$H$2:$N$22,2,FALSE),"")*AV186</f>
        <v>525000</v>
      </c>
      <c r="BP186" s="60">
        <v>46200</v>
      </c>
      <c r="BQ186" s="39">
        <v>7</v>
      </c>
      <c r="BR186" s="59">
        <v>525000</v>
      </c>
      <c r="BS186" s="39" t="s">
        <v>109</v>
      </c>
      <c r="BT186" s="57">
        <f t="shared" si="34"/>
        <v>0</v>
      </c>
      <c r="BU186" s="60">
        <v>46202</v>
      </c>
      <c r="BV186" s="8" t="e">
        <v>#VALUE!</v>
      </c>
      <c r="BW186" s="58" t="e">
        <f>VLOOKUP(AQ186,'[1]Harga &amp; Nama CSO'!$A$28:$D$31,4,0)*BQ186</f>
        <v>#N/A</v>
      </c>
    </row>
    <row r="187" spans="41:75" x14ac:dyDescent="0.35">
      <c r="AO187" s="39">
        <v>185</v>
      </c>
      <c r="AP187" s="60">
        <v>46199</v>
      </c>
      <c r="AQ187" s="41" t="s">
        <v>204</v>
      </c>
      <c r="AR187" s="42" t="str">
        <f>IFERROR(VLOOKUP(AU187,[2]SUMMARY!$A$3:$B$7,2,FALSE),"")</f>
        <v>MC-SAGARANTEN</v>
      </c>
      <c r="AS187" s="42">
        <v>17437435</v>
      </c>
      <c r="AT187" s="31" t="str">
        <f>VLOOKUP(AS187,[2]OUTLET!$B:$C,2,0)</f>
        <v>FIRMAN CELL</v>
      </c>
      <c r="AU187" s="42" t="s">
        <v>42</v>
      </c>
      <c r="AV187" s="39">
        <v>3</v>
      </c>
      <c r="AW187" s="44">
        <f>IFERROR(VLOOKUP(AQ187,'[2]Harga &amp; Nama CSO'!$A$116:$L$136,2,FALSE),0)*AV187</f>
        <v>0</v>
      </c>
      <c r="AX187" s="44">
        <f>IFERROR(VLOOKUP(AQ187,'[2]Harga &amp; Nama CSO'!$A$116:$L$136,3,FALSE),0)*AV187</f>
        <v>9</v>
      </c>
      <c r="AY187" s="44">
        <f>IFERROR(VLOOKUP(AQ187,'[2]Harga &amp; Nama CSO'!$A$116:$L$136,4,FALSE),0)*AV187</f>
        <v>0</v>
      </c>
      <c r="AZ187" s="44">
        <f>IFERROR(VLOOKUP(AQ187,'[2]Harga &amp; Nama CSO'!$A$116:$L$136,5,FALSE),0)*AV187</f>
        <v>0</v>
      </c>
      <c r="BA187" s="44">
        <f>IFERROR(VLOOKUP(AQ187,'[2]Harga &amp; Nama CSO'!$A$116:$L$136,6,FALSE),0)*AV187</f>
        <v>0</v>
      </c>
      <c r="BB187" s="44">
        <f>IFERROR(VLOOKUP(AQ187,'[2]Harga &amp; Nama CSO'!$A$116:$L$136,7,FALSE),0)*AV187</f>
        <v>0</v>
      </c>
      <c r="BC187" s="44">
        <f>IFERROR(VLOOKUP(AQ187,'[2]Harga &amp; Nama CSO'!$A$116:$L$136,8,FALSE),0)*AV187</f>
        <v>0</v>
      </c>
      <c r="BD187" s="44">
        <f>IFERROR(VLOOKUP(AQ187,'[2]Harga &amp; Nama CSO'!$A$116:$L$136,9,FALSE),0)*AV187</f>
        <v>0</v>
      </c>
      <c r="BE187" s="44">
        <f>IFERROR(VLOOKUP(AQ187,'[2]Harga &amp; Nama CSO'!$A$116:$L$136,10,FALSE),0)*AV187</f>
        <v>0</v>
      </c>
      <c r="BF187" s="44">
        <f>IFERROR(VLOOKUP(AQ187,'[2]Harga &amp; Nama CSO'!$A$116:$L$136,11,FALSE),0)*AV187</f>
        <v>0</v>
      </c>
      <c r="BG187" s="44">
        <f>IFERROR(VLOOKUP(AQ187,'[2]Harga &amp; Nama CSO'!$A$116:$L$136,12,FALSE),0)*AV187</f>
        <v>0</v>
      </c>
      <c r="BH187" s="44">
        <f>IFERROR(VLOOKUP(AQ187,'[2]Harga &amp; Nama CSO'!$A$116:$R$136,13,FALSE),0)*AV187</f>
        <v>0</v>
      </c>
      <c r="BI187" s="44">
        <f>IFERROR(VLOOKUP(AQ187,'[2]Harga &amp; Nama CSO'!$A$116:$R$136,14,FALSE),0)*AV187</f>
        <v>0</v>
      </c>
      <c r="BJ187" s="44">
        <f>IFERROR(VLOOKUP(AQ187,'[2]Harga &amp; Nama CSO'!$A$116:$R$136,15,FALSE),0)*AV187</f>
        <v>0</v>
      </c>
      <c r="BK187" s="44">
        <f>IFERROR(VLOOKUP(AQ187,'[2]Harga &amp; Nama CSO'!$A$116:$R$136,16,FALSE),0)*AV187</f>
        <v>0</v>
      </c>
      <c r="BL187" s="44">
        <f>IFERROR(VLOOKUP(AQ187,'[2]Harga &amp; Nama CSO'!$A$116:$R$136,17,FALSE),0)*AV187</f>
        <v>0</v>
      </c>
      <c r="BM187" s="44">
        <f>IFERROR(VLOOKUP(AQ187,'[2]Harga &amp; Nama CSO'!$A$116:$R$136,18,FALSE),0)*AV187</f>
        <v>0</v>
      </c>
      <c r="BN187" s="44">
        <f>IFERROR(VLOOKUP(AQ187,'[2]Harga &amp; Nama CSO'!$A$116:$S$136,19,FALSE),0)*AV187</f>
        <v>3</v>
      </c>
      <c r="BO187" s="55">
        <f>IFERROR(VLOOKUP(AQ187,'[2]Harga &amp; Nama CSO'!$H$2:$N$22,2,FALSE),"")*AV187</f>
        <v>225000</v>
      </c>
      <c r="BP187" s="60">
        <v>46200</v>
      </c>
      <c r="BQ187" s="39">
        <v>3</v>
      </c>
      <c r="BR187" s="59">
        <v>225000</v>
      </c>
      <c r="BS187" s="39" t="s">
        <v>109</v>
      </c>
      <c r="BT187" s="57">
        <f t="shared" si="34"/>
        <v>0</v>
      </c>
      <c r="BU187" s="60">
        <v>46202</v>
      </c>
      <c r="BV187" s="8" t="e">
        <v>#VALUE!</v>
      </c>
      <c r="BW187" s="58" t="e">
        <f>VLOOKUP(AQ187,'[1]Harga &amp; Nama CSO'!$A$28:$D$31,4,0)*BQ187</f>
        <v>#N/A</v>
      </c>
    </row>
    <row r="188" spans="41:75" x14ac:dyDescent="0.35">
      <c r="AO188" s="39">
        <v>186</v>
      </c>
      <c r="AP188" s="60">
        <v>46200</v>
      </c>
      <c r="AQ188" s="41" t="s">
        <v>204</v>
      </c>
      <c r="AR188" s="42" t="str">
        <f>IFERROR(VLOOKUP(AU188,[2]SUMMARY!$A$3:$B$7,2,FALSE),"")</f>
        <v>MC-SAGARANTEN</v>
      </c>
      <c r="AS188" s="42">
        <v>17031672</v>
      </c>
      <c r="AT188" s="31" t="str">
        <f>VLOOKUP(AS188,[2]OUTLET!$B:$C,2,0)</f>
        <v>ZM CELLULER</v>
      </c>
      <c r="AU188" s="42" t="s">
        <v>53</v>
      </c>
      <c r="AV188" s="39">
        <v>7</v>
      </c>
      <c r="AW188" s="44">
        <f>IFERROR(VLOOKUP(AQ188,'[2]Harga &amp; Nama CSO'!$A$116:$L$136,2,FALSE),0)*AV188</f>
        <v>0</v>
      </c>
      <c r="AX188" s="44">
        <f>IFERROR(VLOOKUP(AQ188,'[2]Harga &amp; Nama CSO'!$A$116:$L$136,3,FALSE),0)*AV188</f>
        <v>21</v>
      </c>
      <c r="AY188" s="44">
        <f>IFERROR(VLOOKUP(AQ188,'[2]Harga &amp; Nama CSO'!$A$116:$L$136,4,FALSE),0)*AV188</f>
        <v>0</v>
      </c>
      <c r="AZ188" s="44">
        <f>IFERROR(VLOOKUP(AQ188,'[2]Harga &amp; Nama CSO'!$A$116:$L$136,5,FALSE),0)*AV188</f>
        <v>0</v>
      </c>
      <c r="BA188" s="44">
        <f>IFERROR(VLOOKUP(AQ188,'[2]Harga &amp; Nama CSO'!$A$116:$L$136,6,FALSE),0)*AV188</f>
        <v>0</v>
      </c>
      <c r="BB188" s="44">
        <f>IFERROR(VLOOKUP(AQ188,'[2]Harga &amp; Nama CSO'!$A$116:$L$136,7,FALSE),0)*AV188</f>
        <v>0</v>
      </c>
      <c r="BC188" s="44">
        <f>IFERROR(VLOOKUP(AQ188,'[2]Harga &amp; Nama CSO'!$A$116:$L$136,8,FALSE),0)*AV188</f>
        <v>0</v>
      </c>
      <c r="BD188" s="44">
        <f>IFERROR(VLOOKUP(AQ188,'[2]Harga &amp; Nama CSO'!$A$116:$L$136,9,FALSE),0)*AV188</f>
        <v>0</v>
      </c>
      <c r="BE188" s="44">
        <f>IFERROR(VLOOKUP(AQ188,'[2]Harga &amp; Nama CSO'!$A$116:$L$136,10,FALSE),0)*AV188</f>
        <v>0</v>
      </c>
      <c r="BF188" s="44">
        <f>IFERROR(VLOOKUP(AQ188,'[2]Harga &amp; Nama CSO'!$A$116:$L$136,11,FALSE),0)*AV188</f>
        <v>0</v>
      </c>
      <c r="BG188" s="44">
        <f>IFERROR(VLOOKUP(AQ188,'[2]Harga &amp; Nama CSO'!$A$116:$L$136,12,FALSE),0)*AV188</f>
        <v>0</v>
      </c>
      <c r="BH188" s="44">
        <f>IFERROR(VLOOKUP(AQ188,'[2]Harga &amp; Nama CSO'!$A$116:$R$136,13,FALSE),0)*AV188</f>
        <v>0</v>
      </c>
      <c r="BI188" s="44">
        <f>IFERROR(VLOOKUP(AQ188,'[2]Harga &amp; Nama CSO'!$A$116:$R$136,14,FALSE),0)*AV188</f>
        <v>0</v>
      </c>
      <c r="BJ188" s="44">
        <f>IFERROR(VLOOKUP(AQ188,'[2]Harga &amp; Nama CSO'!$A$116:$R$136,15,FALSE),0)*AV188</f>
        <v>0</v>
      </c>
      <c r="BK188" s="44">
        <f>IFERROR(VLOOKUP(AQ188,'[2]Harga &amp; Nama CSO'!$A$116:$R$136,16,FALSE),0)*AV188</f>
        <v>0</v>
      </c>
      <c r="BL188" s="44">
        <f>IFERROR(VLOOKUP(AQ188,'[2]Harga &amp; Nama CSO'!$A$116:$R$136,17,FALSE),0)*AV188</f>
        <v>0</v>
      </c>
      <c r="BM188" s="44">
        <f>IFERROR(VLOOKUP(AQ188,'[2]Harga &amp; Nama CSO'!$A$116:$R$136,18,FALSE),0)*AV188</f>
        <v>0</v>
      </c>
      <c r="BN188" s="44">
        <f>IFERROR(VLOOKUP(AQ188,'[2]Harga &amp; Nama CSO'!$A$116:$S$136,19,FALSE),0)*AV188</f>
        <v>7</v>
      </c>
      <c r="BO188" s="55">
        <f>IFERROR(VLOOKUP(AQ188,'[2]Harga &amp; Nama CSO'!$H$2:$N$22,2,FALSE),"")*AV188</f>
        <v>525000</v>
      </c>
      <c r="BP188" s="60">
        <v>46200</v>
      </c>
      <c r="BQ188" s="39">
        <v>7</v>
      </c>
      <c r="BR188" s="59">
        <v>525000</v>
      </c>
      <c r="BS188" s="39" t="s">
        <v>109</v>
      </c>
      <c r="BT188" s="57">
        <f t="shared" si="34"/>
        <v>0</v>
      </c>
      <c r="BU188" s="60">
        <v>46202</v>
      </c>
      <c r="BV188" s="8" t="e">
        <v>#VALUE!</v>
      </c>
      <c r="BW188" s="58" t="e">
        <f>VLOOKUP(AQ188,'[1]Harga &amp; Nama CSO'!$A$28:$D$31,4,0)*BQ188</f>
        <v>#N/A</v>
      </c>
    </row>
    <row r="189" spans="41:75" x14ac:dyDescent="0.35">
      <c r="AO189" s="39">
        <v>187</v>
      </c>
      <c r="AP189" s="60">
        <v>46200</v>
      </c>
      <c r="AQ189" s="41" t="s">
        <v>204</v>
      </c>
      <c r="AR189" s="42" t="str">
        <f>IFERROR(VLOOKUP(AU189,[2]SUMMARY!$A$3:$B$7,2,FALSE),"")</f>
        <v>MC-SAGARANTEN</v>
      </c>
      <c r="AS189" s="42">
        <v>17268971</v>
      </c>
      <c r="AT189" s="31" t="str">
        <f>VLOOKUP(AS189,[2]OUTLET!$B:$C,2,0)</f>
        <v>AKBAR CELL</v>
      </c>
      <c r="AU189" s="42" t="s">
        <v>54</v>
      </c>
      <c r="AV189" s="39">
        <v>4</v>
      </c>
      <c r="AW189" s="44">
        <f>IFERROR(VLOOKUP(AQ189,'[2]Harga &amp; Nama CSO'!$A$116:$L$136,2,FALSE),0)*AV189</f>
        <v>0</v>
      </c>
      <c r="AX189" s="44">
        <f>IFERROR(VLOOKUP(AQ189,'[2]Harga &amp; Nama CSO'!$A$116:$L$136,3,FALSE),0)*AV189</f>
        <v>12</v>
      </c>
      <c r="AY189" s="44">
        <f>IFERROR(VLOOKUP(AQ189,'[2]Harga &amp; Nama CSO'!$A$116:$L$136,4,FALSE),0)*AV189</f>
        <v>0</v>
      </c>
      <c r="AZ189" s="44">
        <f>IFERROR(VLOOKUP(AQ189,'[2]Harga &amp; Nama CSO'!$A$116:$L$136,5,FALSE),0)*AV189</f>
        <v>0</v>
      </c>
      <c r="BA189" s="44">
        <f>IFERROR(VLOOKUP(AQ189,'[2]Harga &amp; Nama CSO'!$A$116:$L$136,6,FALSE),0)*AV189</f>
        <v>0</v>
      </c>
      <c r="BB189" s="44">
        <f>IFERROR(VLOOKUP(AQ189,'[2]Harga &amp; Nama CSO'!$A$116:$L$136,7,FALSE),0)*AV189</f>
        <v>0</v>
      </c>
      <c r="BC189" s="44">
        <f>IFERROR(VLOOKUP(AQ189,'[2]Harga &amp; Nama CSO'!$A$116:$L$136,8,FALSE),0)*AV189</f>
        <v>0</v>
      </c>
      <c r="BD189" s="44">
        <f>IFERROR(VLOOKUP(AQ189,'[2]Harga &amp; Nama CSO'!$A$116:$L$136,9,FALSE),0)*AV189</f>
        <v>0</v>
      </c>
      <c r="BE189" s="44">
        <f>IFERROR(VLOOKUP(AQ189,'[2]Harga &amp; Nama CSO'!$A$116:$L$136,10,FALSE),0)*AV189</f>
        <v>0</v>
      </c>
      <c r="BF189" s="44">
        <f>IFERROR(VLOOKUP(AQ189,'[2]Harga &amp; Nama CSO'!$A$116:$L$136,11,FALSE),0)*AV189</f>
        <v>0</v>
      </c>
      <c r="BG189" s="44">
        <f>IFERROR(VLOOKUP(AQ189,'[2]Harga &amp; Nama CSO'!$A$116:$L$136,12,FALSE),0)*AV189</f>
        <v>0</v>
      </c>
      <c r="BH189" s="44">
        <f>IFERROR(VLOOKUP(AQ189,'[2]Harga &amp; Nama CSO'!$A$116:$R$136,13,FALSE),0)*AV189</f>
        <v>0</v>
      </c>
      <c r="BI189" s="44">
        <f>IFERROR(VLOOKUP(AQ189,'[2]Harga &amp; Nama CSO'!$A$116:$R$136,14,FALSE),0)*AV189</f>
        <v>0</v>
      </c>
      <c r="BJ189" s="44">
        <f>IFERROR(VLOOKUP(AQ189,'[2]Harga &amp; Nama CSO'!$A$116:$R$136,15,FALSE),0)*AV189</f>
        <v>0</v>
      </c>
      <c r="BK189" s="44">
        <f>IFERROR(VLOOKUP(AQ189,'[2]Harga &amp; Nama CSO'!$A$116:$R$136,16,FALSE),0)*AV189</f>
        <v>0</v>
      </c>
      <c r="BL189" s="44">
        <f>IFERROR(VLOOKUP(AQ189,'[2]Harga &amp; Nama CSO'!$A$116:$R$136,17,FALSE),0)*AV189</f>
        <v>0</v>
      </c>
      <c r="BM189" s="44">
        <f>IFERROR(VLOOKUP(AQ189,'[2]Harga &amp; Nama CSO'!$A$116:$R$136,18,FALSE),0)*AV189</f>
        <v>0</v>
      </c>
      <c r="BN189" s="44">
        <f>IFERROR(VLOOKUP(AQ189,'[2]Harga &amp; Nama CSO'!$A$116:$S$136,19,FALSE),0)*AV189</f>
        <v>4</v>
      </c>
      <c r="BO189" s="55">
        <f>IFERROR(VLOOKUP(AQ189,'[2]Harga &amp; Nama CSO'!$H$2:$N$22,2,FALSE),"")*AV189</f>
        <v>300000</v>
      </c>
      <c r="BP189" s="86">
        <v>46202</v>
      </c>
      <c r="BQ189" s="39">
        <v>4</v>
      </c>
      <c r="BR189" s="59">
        <v>300000</v>
      </c>
      <c r="BS189" s="39" t="s">
        <v>109</v>
      </c>
      <c r="BT189" s="57">
        <f t="shared" si="34"/>
        <v>0</v>
      </c>
      <c r="BU189" s="60"/>
      <c r="BV189" s="8" t="e">
        <v>#VALUE!</v>
      </c>
      <c r="BW189" s="58" t="e">
        <f>VLOOKUP(AQ189,'[1]Harga &amp; Nama CSO'!$A$28:$D$31,4,0)*BQ189</f>
        <v>#N/A</v>
      </c>
    </row>
    <row r="190" spans="41:75" x14ac:dyDescent="0.35">
      <c r="AO190" s="39">
        <v>188</v>
      </c>
      <c r="AP190" s="60">
        <v>46200</v>
      </c>
      <c r="AQ190" s="41" t="s">
        <v>204</v>
      </c>
      <c r="AR190" s="42" t="str">
        <f>IFERROR(VLOOKUP(AU190,[2]SUMMARY!$A$3:$B$7,2,FALSE),"")</f>
        <v>MC-SAGARANTEN</v>
      </c>
      <c r="AS190" s="42">
        <v>17672233</v>
      </c>
      <c r="AT190" s="31" t="str">
        <f>VLOOKUP(AS190,[2]OUTLET!$B:$C,2,0)</f>
        <v>G-mart Cell</v>
      </c>
      <c r="AU190" s="42" t="s">
        <v>41</v>
      </c>
      <c r="AV190" s="39">
        <v>1</v>
      </c>
      <c r="AW190" s="44">
        <f>IFERROR(VLOOKUP(AQ190,'[2]Harga &amp; Nama CSO'!$A$116:$L$136,2,FALSE),0)*AV190</f>
        <v>0</v>
      </c>
      <c r="AX190" s="44">
        <f>IFERROR(VLOOKUP(AQ190,'[2]Harga &amp; Nama CSO'!$A$116:$L$136,3,FALSE),0)*AV190</f>
        <v>3</v>
      </c>
      <c r="AY190" s="44">
        <f>IFERROR(VLOOKUP(AQ190,'[2]Harga &amp; Nama CSO'!$A$116:$L$136,4,FALSE),0)*AV190</f>
        <v>0</v>
      </c>
      <c r="AZ190" s="44">
        <f>IFERROR(VLOOKUP(AQ190,'[2]Harga &amp; Nama CSO'!$A$116:$L$136,5,FALSE),0)*AV190</f>
        <v>0</v>
      </c>
      <c r="BA190" s="44">
        <f>IFERROR(VLOOKUP(AQ190,'[2]Harga &amp; Nama CSO'!$A$116:$L$136,6,FALSE),0)*AV190</f>
        <v>0</v>
      </c>
      <c r="BB190" s="44">
        <f>IFERROR(VLOOKUP(AQ190,'[2]Harga &amp; Nama CSO'!$A$116:$L$136,7,FALSE),0)*AV190</f>
        <v>0</v>
      </c>
      <c r="BC190" s="44">
        <f>IFERROR(VLOOKUP(AQ190,'[2]Harga &amp; Nama CSO'!$A$116:$L$136,8,FALSE),0)*AV190</f>
        <v>0</v>
      </c>
      <c r="BD190" s="44">
        <f>IFERROR(VLOOKUP(AQ190,'[2]Harga &amp; Nama CSO'!$A$116:$L$136,9,FALSE),0)*AV190</f>
        <v>0</v>
      </c>
      <c r="BE190" s="44">
        <f>IFERROR(VLOOKUP(AQ190,'[2]Harga &amp; Nama CSO'!$A$116:$L$136,10,FALSE),0)*AV190</f>
        <v>0</v>
      </c>
      <c r="BF190" s="44">
        <f>IFERROR(VLOOKUP(AQ190,'[2]Harga &amp; Nama CSO'!$A$116:$L$136,11,FALSE),0)*AV190</f>
        <v>0</v>
      </c>
      <c r="BG190" s="44">
        <f>IFERROR(VLOOKUP(AQ190,'[2]Harga &amp; Nama CSO'!$A$116:$L$136,12,FALSE),0)*AV190</f>
        <v>0</v>
      </c>
      <c r="BH190" s="44">
        <f>IFERROR(VLOOKUP(AQ190,'[2]Harga &amp; Nama CSO'!$A$116:$R$136,13,FALSE),0)*AV190</f>
        <v>0</v>
      </c>
      <c r="BI190" s="44">
        <f>IFERROR(VLOOKUP(AQ190,'[2]Harga &amp; Nama CSO'!$A$116:$R$136,14,FALSE),0)*AV190</f>
        <v>0</v>
      </c>
      <c r="BJ190" s="44">
        <f>IFERROR(VLOOKUP(AQ190,'[2]Harga &amp; Nama CSO'!$A$116:$R$136,15,FALSE),0)*AV190</f>
        <v>0</v>
      </c>
      <c r="BK190" s="44">
        <f>IFERROR(VLOOKUP(AQ190,'[2]Harga &amp; Nama CSO'!$A$116:$R$136,16,FALSE),0)*AV190</f>
        <v>0</v>
      </c>
      <c r="BL190" s="44">
        <f>IFERROR(VLOOKUP(AQ190,'[2]Harga &amp; Nama CSO'!$A$116:$R$136,17,FALSE),0)*AV190</f>
        <v>0</v>
      </c>
      <c r="BM190" s="44">
        <f>IFERROR(VLOOKUP(AQ190,'[2]Harga &amp; Nama CSO'!$A$116:$R$136,18,FALSE),0)*AV190</f>
        <v>0</v>
      </c>
      <c r="BN190" s="44">
        <f>IFERROR(VLOOKUP(AQ190,'[2]Harga &amp; Nama CSO'!$A$116:$S$136,19,FALSE),0)*AV190</f>
        <v>1</v>
      </c>
      <c r="BO190" s="55">
        <f>IFERROR(VLOOKUP(AQ190,'[2]Harga &amp; Nama CSO'!$H$2:$N$22,2,FALSE),"")*AV190</f>
        <v>75000</v>
      </c>
      <c r="BP190" s="60">
        <v>46200</v>
      </c>
      <c r="BQ190" s="39">
        <v>1</v>
      </c>
      <c r="BR190" s="59">
        <v>75000</v>
      </c>
      <c r="BS190" s="39" t="s">
        <v>109</v>
      </c>
      <c r="BT190" s="57">
        <f t="shared" si="34"/>
        <v>0</v>
      </c>
      <c r="BU190" s="60">
        <v>46202</v>
      </c>
      <c r="BV190" s="8" t="e">
        <v>#VALUE!</v>
      </c>
      <c r="BW190" s="58" t="e">
        <f>VLOOKUP(AQ190,'[1]Harga &amp; Nama CSO'!$A$28:$D$31,4,0)*BQ190</f>
        <v>#N/A</v>
      </c>
    </row>
    <row r="191" spans="41:75" x14ac:dyDescent="0.35">
      <c r="AO191" s="39">
        <v>189</v>
      </c>
      <c r="AP191" s="60">
        <v>46202</v>
      </c>
      <c r="AQ191" s="41" t="s">
        <v>204</v>
      </c>
      <c r="AR191" s="42" t="str">
        <f>IFERROR(VLOOKUP(AU191,[2]SUMMARY!$A$3:$B$7,2,FALSE),"")</f>
        <v>MC-SAGARANTEN</v>
      </c>
      <c r="AS191" s="42">
        <v>17437773</v>
      </c>
      <c r="AT191" s="31" t="str">
        <f>VLOOKUP(AS191,[2]OUTLET!$B:$C,2,0)</f>
        <v>Kimo stor</v>
      </c>
      <c r="AU191" s="42" t="s">
        <v>53</v>
      </c>
      <c r="AV191" s="39">
        <v>2</v>
      </c>
      <c r="AW191" s="44">
        <f>IFERROR(VLOOKUP(AQ191,'[2]Harga &amp; Nama CSO'!$A$116:$L$136,2,FALSE),0)*AV191</f>
        <v>0</v>
      </c>
      <c r="AX191" s="44">
        <f>IFERROR(VLOOKUP(AQ191,'[2]Harga &amp; Nama CSO'!$A$116:$L$136,3,FALSE),0)*AV191</f>
        <v>6</v>
      </c>
      <c r="AY191" s="44">
        <f>IFERROR(VLOOKUP(AQ191,'[2]Harga &amp; Nama CSO'!$A$116:$L$136,4,FALSE),0)*AV191</f>
        <v>0</v>
      </c>
      <c r="AZ191" s="44">
        <f>IFERROR(VLOOKUP(AQ191,'[2]Harga &amp; Nama CSO'!$A$116:$L$136,5,FALSE),0)*AV191</f>
        <v>0</v>
      </c>
      <c r="BA191" s="44">
        <f>IFERROR(VLOOKUP(AQ191,'[2]Harga &amp; Nama CSO'!$A$116:$L$136,6,FALSE),0)*AV191</f>
        <v>0</v>
      </c>
      <c r="BB191" s="44">
        <f>IFERROR(VLOOKUP(AQ191,'[2]Harga &amp; Nama CSO'!$A$116:$L$136,7,FALSE),0)*AV191</f>
        <v>0</v>
      </c>
      <c r="BC191" s="44">
        <f>IFERROR(VLOOKUP(AQ191,'[2]Harga &amp; Nama CSO'!$A$116:$L$136,8,FALSE),0)*AV191</f>
        <v>0</v>
      </c>
      <c r="BD191" s="44">
        <f>IFERROR(VLOOKUP(AQ191,'[2]Harga &amp; Nama CSO'!$A$116:$L$136,9,FALSE),0)*AV191</f>
        <v>0</v>
      </c>
      <c r="BE191" s="44">
        <f>IFERROR(VLOOKUP(AQ191,'[2]Harga &amp; Nama CSO'!$A$116:$L$136,10,FALSE),0)*AV191</f>
        <v>0</v>
      </c>
      <c r="BF191" s="44">
        <f>IFERROR(VLOOKUP(AQ191,'[2]Harga &amp; Nama CSO'!$A$116:$L$136,11,FALSE),0)*AV191</f>
        <v>0</v>
      </c>
      <c r="BG191" s="44">
        <f>IFERROR(VLOOKUP(AQ191,'[2]Harga &amp; Nama CSO'!$A$116:$L$136,12,FALSE),0)*AV191</f>
        <v>0</v>
      </c>
      <c r="BH191" s="44">
        <f>IFERROR(VLOOKUP(AQ191,'[2]Harga &amp; Nama CSO'!$A$116:$R$136,13,FALSE),0)*AV191</f>
        <v>0</v>
      </c>
      <c r="BI191" s="44">
        <f>IFERROR(VLOOKUP(AQ191,'[2]Harga &amp; Nama CSO'!$A$116:$R$136,14,FALSE),0)*AV191</f>
        <v>0</v>
      </c>
      <c r="BJ191" s="44">
        <f>IFERROR(VLOOKUP(AQ191,'[2]Harga &amp; Nama CSO'!$A$116:$R$136,15,FALSE),0)*AV191</f>
        <v>0</v>
      </c>
      <c r="BK191" s="44">
        <f>IFERROR(VLOOKUP(AQ191,'[2]Harga &amp; Nama CSO'!$A$116:$R$136,16,FALSE),0)*AV191</f>
        <v>0</v>
      </c>
      <c r="BL191" s="44">
        <f>IFERROR(VLOOKUP(AQ191,'[2]Harga &amp; Nama CSO'!$A$116:$R$136,17,FALSE),0)*AV191</f>
        <v>0</v>
      </c>
      <c r="BM191" s="44">
        <f>IFERROR(VLOOKUP(AQ191,'[2]Harga &amp; Nama CSO'!$A$116:$R$136,18,FALSE),0)*AV191</f>
        <v>0</v>
      </c>
      <c r="BN191" s="44">
        <f>IFERROR(VLOOKUP(AQ191,'[2]Harga &amp; Nama CSO'!$A$116:$S$136,19,FALSE),0)*AV191</f>
        <v>2</v>
      </c>
      <c r="BO191" s="55">
        <f>IFERROR(VLOOKUP(AQ191,'[2]Harga &amp; Nama CSO'!$H$2:$N$22,2,FALSE),"")*AV191</f>
        <v>150000</v>
      </c>
      <c r="BP191" s="86">
        <v>46202</v>
      </c>
      <c r="BQ191" s="39">
        <v>2</v>
      </c>
      <c r="BR191" s="59">
        <v>150000</v>
      </c>
      <c r="BS191" s="39" t="s">
        <v>109</v>
      </c>
      <c r="BT191" s="57">
        <f t="shared" si="34"/>
        <v>0</v>
      </c>
      <c r="BU191" s="60"/>
      <c r="BV191" s="8" t="e">
        <v>#VALUE!</v>
      </c>
      <c r="BW191" s="58" t="e">
        <f>VLOOKUP(AQ191,'[1]Harga &amp; Nama CSO'!$A$28:$D$31,4,0)*BQ191</f>
        <v>#N/A</v>
      </c>
    </row>
    <row r="192" spans="41:75" x14ac:dyDescent="0.35">
      <c r="AO192" s="39">
        <v>190</v>
      </c>
      <c r="AP192" s="60">
        <v>46202</v>
      </c>
      <c r="AQ192" s="41" t="s">
        <v>204</v>
      </c>
      <c r="AR192" s="42" t="str">
        <f>IFERROR(VLOOKUP(AU192,[2]SUMMARY!$A$3:$B$7,2,FALSE),"")</f>
        <v>MC-SAGARANTEN</v>
      </c>
      <c r="AS192" s="42">
        <v>1305465</v>
      </c>
      <c r="AT192" s="31" t="str">
        <f>VLOOKUP(AS192,[2]OUTLET!$B:$C,2,0)</f>
        <v>ADI CELL</v>
      </c>
      <c r="AU192" s="42" t="s">
        <v>41</v>
      </c>
      <c r="AV192" s="39">
        <v>3</v>
      </c>
      <c r="AW192" s="44">
        <f>IFERROR(VLOOKUP(AQ192,'[2]Harga &amp; Nama CSO'!$A$116:$L$136,2,FALSE),0)*AV192</f>
        <v>0</v>
      </c>
      <c r="AX192" s="44">
        <f>IFERROR(VLOOKUP(AQ192,'[2]Harga &amp; Nama CSO'!$A$116:$L$136,3,FALSE),0)*AV192</f>
        <v>9</v>
      </c>
      <c r="AY192" s="44">
        <f>IFERROR(VLOOKUP(AQ192,'[2]Harga &amp; Nama CSO'!$A$116:$L$136,4,FALSE),0)*AV192</f>
        <v>0</v>
      </c>
      <c r="AZ192" s="44">
        <f>IFERROR(VLOOKUP(AQ192,'[2]Harga &amp; Nama CSO'!$A$116:$L$136,5,FALSE),0)*AV192</f>
        <v>0</v>
      </c>
      <c r="BA192" s="44">
        <f>IFERROR(VLOOKUP(AQ192,'[2]Harga &amp; Nama CSO'!$A$116:$L$136,6,FALSE),0)*AV192</f>
        <v>0</v>
      </c>
      <c r="BB192" s="44">
        <f>IFERROR(VLOOKUP(AQ192,'[2]Harga &amp; Nama CSO'!$A$116:$L$136,7,FALSE),0)*AV192</f>
        <v>0</v>
      </c>
      <c r="BC192" s="44">
        <f>IFERROR(VLOOKUP(AQ192,'[2]Harga &amp; Nama CSO'!$A$116:$L$136,8,FALSE),0)*AV192</f>
        <v>0</v>
      </c>
      <c r="BD192" s="44">
        <f>IFERROR(VLOOKUP(AQ192,'[2]Harga &amp; Nama CSO'!$A$116:$L$136,9,FALSE),0)*AV192</f>
        <v>0</v>
      </c>
      <c r="BE192" s="44">
        <f>IFERROR(VLOOKUP(AQ192,'[2]Harga &amp; Nama CSO'!$A$116:$L$136,10,FALSE),0)*AV192</f>
        <v>0</v>
      </c>
      <c r="BF192" s="44">
        <f>IFERROR(VLOOKUP(AQ192,'[2]Harga &amp; Nama CSO'!$A$116:$L$136,11,FALSE),0)*AV192</f>
        <v>0</v>
      </c>
      <c r="BG192" s="44">
        <f>IFERROR(VLOOKUP(AQ192,'[2]Harga &amp; Nama CSO'!$A$116:$L$136,12,FALSE),0)*AV192</f>
        <v>0</v>
      </c>
      <c r="BH192" s="44">
        <f>IFERROR(VLOOKUP(AQ192,'[2]Harga &amp; Nama CSO'!$A$116:$R$136,13,FALSE),0)*AV192</f>
        <v>0</v>
      </c>
      <c r="BI192" s="44">
        <f>IFERROR(VLOOKUP(AQ192,'[2]Harga &amp; Nama CSO'!$A$116:$R$136,14,FALSE),0)*AV192</f>
        <v>0</v>
      </c>
      <c r="BJ192" s="44">
        <f>IFERROR(VLOOKUP(AQ192,'[2]Harga &amp; Nama CSO'!$A$116:$R$136,15,FALSE),0)*AV192</f>
        <v>0</v>
      </c>
      <c r="BK192" s="44">
        <f>IFERROR(VLOOKUP(AQ192,'[2]Harga &amp; Nama CSO'!$A$116:$R$136,16,FALSE),0)*AV192</f>
        <v>0</v>
      </c>
      <c r="BL192" s="44">
        <f>IFERROR(VLOOKUP(AQ192,'[2]Harga &amp; Nama CSO'!$A$116:$R$136,17,FALSE),0)*AV192</f>
        <v>0</v>
      </c>
      <c r="BM192" s="44">
        <f>IFERROR(VLOOKUP(AQ192,'[2]Harga &amp; Nama CSO'!$A$116:$R$136,18,FALSE),0)*AV192</f>
        <v>0</v>
      </c>
      <c r="BN192" s="44">
        <f>IFERROR(VLOOKUP(AQ192,'[2]Harga &amp; Nama CSO'!$A$116:$S$136,19,FALSE),0)*AV192</f>
        <v>3</v>
      </c>
      <c r="BO192" s="55">
        <f>IFERROR(VLOOKUP(AQ192,'[2]Harga &amp; Nama CSO'!$H$2:$N$22,2,FALSE),"")*AV192</f>
        <v>225000</v>
      </c>
      <c r="BP192" s="86">
        <v>46202</v>
      </c>
      <c r="BQ192" s="39">
        <v>3</v>
      </c>
      <c r="BR192" s="59">
        <v>225000</v>
      </c>
      <c r="BS192" s="39" t="s">
        <v>109</v>
      </c>
      <c r="BT192" s="57">
        <f t="shared" si="34"/>
        <v>0</v>
      </c>
      <c r="BU192" s="60"/>
      <c r="BV192" s="8" t="e">
        <v>#VALUE!</v>
      </c>
      <c r="BW192" s="58" t="e">
        <f>VLOOKUP(AQ192,'[1]Harga &amp; Nama CSO'!$A$28:$D$31,4,0)*BQ192</f>
        <v>#N/A</v>
      </c>
    </row>
    <row r="193" spans="41:75" x14ac:dyDescent="0.35">
      <c r="AO193" s="39">
        <v>191</v>
      </c>
      <c r="AP193" s="60">
        <v>46202</v>
      </c>
      <c r="AQ193" s="41" t="s">
        <v>204</v>
      </c>
      <c r="AR193" s="42" t="str">
        <f>IFERROR(VLOOKUP(AU193,[2]SUMMARY!$A$3:$B$7,2,FALSE),"")</f>
        <v>MC-SAGARANTEN</v>
      </c>
      <c r="AS193" s="42">
        <v>572677</v>
      </c>
      <c r="AT193" s="31" t="str">
        <f>VLOOKUP(AS193,[2]OUTLET!$B:$C,2,0)</f>
        <v>Fitri cell</v>
      </c>
      <c r="AU193" s="42" t="s">
        <v>42</v>
      </c>
      <c r="AV193" s="39">
        <v>19</v>
      </c>
      <c r="AW193" s="44">
        <f>IFERROR(VLOOKUP(AQ193,'[2]Harga &amp; Nama CSO'!$A$116:$L$136,2,FALSE),0)*AV193</f>
        <v>0</v>
      </c>
      <c r="AX193" s="44">
        <f>IFERROR(VLOOKUP(AQ193,'[2]Harga &amp; Nama CSO'!$A$116:$L$136,3,FALSE),0)*AV193</f>
        <v>57</v>
      </c>
      <c r="AY193" s="44">
        <f>IFERROR(VLOOKUP(AQ193,'[2]Harga &amp; Nama CSO'!$A$116:$L$136,4,FALSE),0)*AV193</f>
        <v>0</v>
      </c>
      <c r="AZ193" s="44">
        <f>IFERROR(VLOOKUP(AQ193,'[2]Harga &amp; Nama CSO'!$A$116:$L$136,5,FALSE),0)*AV193</f>
        <v>0</v>
      </c>
      <c r="BA193" s="44">
        <f>IFERROR(VLOOKUP(AQ193,'[2]Harga &amp; Nama CSO'!$A$116:$L$136,6,FALSE),0)*AV193</f>
        <v>0</v>
      </c>
      <c r="BB193" s="44">
        <f>IFERROR(VLOOKUP(AQ193,'[2]Harga &amp; Nama CSO'!$A$116:$L$136,7,FALSE),0)*AV193</f>
        <v>0</v>
      </c>
      <c r="BC193" s="44">
        <f>IFERROR(VLOOKUP(AQ193,'[2]Harga &amp; Nama CSO'!$A$116:$L$136,8,FALSE),0)*AV193</f>
        <v>0</v>
      </c>
      <c r="BD193" s="44">
        <f>IFERROR(VLOOKUP(AQ193,'[2]Harga &amp; Nama CSO'!$A$116:$L$136,9,FALSE),0)*AV193</f>
        <v>0</v>
      </c>
      <c r="BE193" s="44">
        <f>IFERROR(VLOOKUP(AQ193,'[2]Harga &amp; Nama CSO'!$A$116:$L$136,10,FALSE),0)*AV193</f>
        <v>0</v>
      </c>
      <c r="BF193" s="44">
        <f>IFERROR(VLOOKUP(AQ193,'[2]Harga &amp; Nama CSO'!$A$116:$L$136,11,FALSE),0)*AV193</f>
        <v>0</v>
      </c>
      <c r="BG193" s="44">
        <f>IFERROR(VLOOKUP(AQ193,'[2]Harga &amp; Nama CSO'!$A$116:$L$136,12,FALSE),0)*AV193</f>
        <v>0</v>
      </c>
      <c r="BH193" s="44">
        <f>IFERROR(VLOOKUP(AQ193,'[2]Harga &amp; Nama CSO'!$A$116:$R$136,13,FALSE),0)*AV193</f>
        <v>0</v>
      </c>
      <c r="BI193" s="44">
        <f>IFERROR(VLOOKUP(AQ193,'[2]Harga &amp; Nama CSO'!$A$116:$R$136,14,FALSE),0)*AV193</f>
        <v>0</v>
      </c>
      <c r="BJ193" s="44">
        <f>IFERROR(VLOOKUP(AQ193,'[2]Harga &amp; Nama CSO'!$A$116:$R$136,15,FALSE),0)*AV193</f>
        <v>0</v>
      </c>
      <c r="BK193" s="44">
        <f>IFERROR(VLOOKUP(AQ193,'[2]Harga &amp; Nama CSO'!$A$116:$R$136,16,FALSE),0)*AV193</f>
        <v>0</v>
      </c>
      <c r="BL193" s="44">
        <f>IFERROR(VLOOKUP(AQ193,'[2]Harga &amp; Nama CSO'!$A$116:$R$136,17,FALSE),0)*AV193</f>
        <v>0</v>
      </c>
      <c r="BM193" s="44">
        <f>IFERROR(VLOOKUP(AQ193,'[2]Harga &amp; Nama CSO'!$A$116:$R$136,18,FALSE),0)*AV193</f>
        <v>0</v>
      </c>
      <c r="BN193" s="44">
        <f>IFERROR(VLOOKUP(AQ193,'[2]Harga &amp; Nama CSO'!$A$116:$S$136,19,FALSE),0)*AV193</f>
        <v>19</v>
      </c>
      <c r="BO193" s="55">
        <f>IFERROR(VLOOKUP(AQ193,'[2]Harga &amp; Nama CSO'!$H$2:$N$22,2,FALSE),"")*AV193</f>
        <v>1425000</v>
      </c>
      <c r="BP193" s="86">
        <v>46202</v>
      </c>
      <c r="BQ193" s="39">
        <v>19</v>
      </c>
      <c r="BR193" s="59">
        <v>1425000</v>
      </c>
      <c r="BS193" s="39" t="s">
        <v>109</v>
      </c>
      <c r="BT193" s="57">
        <f t="shared" si="34"/>
        <v>0</v>
      </c>
      <c r="BU193" s="60"/>
      <c r="BV193" s="8" t="e">
        <v>#VALUE!</v>
      </c>
      <c r="BW193" s="58" t="e">
        <f>VLOOKUP(AQ193,'[1]Harga &amp; Nama CSO'!$A$28:$D$31,4,0)*BQ193</f>
        <v>#N/A</v>
      </c>
    </row>
    <row r="194" spans="41:75" x14ac:dyDescent="0.35">
      <c r="AO194" s="39">
        <v>192</v>
      </c>
      <c r="AP194" s="60">
        <v>46202</v>
      </c>
      <c r="AQ194" s="41" t="s">
        <v>204</v>
      </c>
      <c r="AR194" s="42" t="str">
        <f>IFERROR(VLOOKUP(AU194,[2]SUMMARY!$A$3:$B$7,2,FALSE),"")</f>
        <v>MC-SAGARANTEN</v>
      </c>
      <c r="AS194" s="42">
        <v>17437773</v>
      </c>
      <c r="AT194" s="31" t="str">
        <f>VLOOKUP(AS194,[2]OUTLET!$B:$C,2,0)</f>
        <v>Kimo stor</v>
      </c>
      <c r="AU194" s="42" t="s">
        <v>53</v>
      </c>
      <c r="AV194" s="39">
        <v>2</v>
      </c>
      <c r="AW194" s="44">
        <f>IFERROR(VLOOKUP(AQ194,'[2]Harga &amp; Nama CSO'!$A$116:$L$136,2,FALSE),0)*AV194</f>
        <v>0</v>
      </c>
      <c r="AX194" s="44">
        <f>IFERROR(VLOOKUP(AQ194,'[2]Harga &amp; Nama CSO'!$A$116:$L$136,3,FALSE),0)*AV194</f>
        <v>6</v>
      </c>
      <c r="AY194" s="44">
        <f>IFERROR(VLOOKUP(AQ194,'[2]Harga &amp; Nama CSO'!$A$116:$L$136,4,FALSE),0)*AV194</f>
        <v>0</v>
      </c>
      <c r="AZ194" s="44">
        <f>IFERROR(VLOOKUP(AQ194,'[2]Harga &amp; Nama CSO'!$A$116:$L$136,5,FALSE),0)*AV194</f>
        <v>0</v>
      </c>
      <c r="BA194" s="44">
        <f>IFERROR(VLOOKUP(AQ194,'[2]Harga &amp; Nama CSO'!$A$116:$L$136,6,FALSE),0)*AV194</f>
        <v>0</v>
      </c>
      <c r="BB194" s="44">
        <f>IFERROR(VLOOKUP(AQ194,'[2]Harga &amp; Nama CSO'!$A$116:$L$136,7,FALSE),0)*AV194</f>
        <v>0</v>
      </c>
      <c r="BC194" s="44">
        <f>IFERROR(VLOOKUP(AQ194,'[2]Harga &amp; Nama CSO'!$A$116:$L$136,8,FALSE),0)*AV194</f>
        <v>0</v>
      </c>
      <c r="BD194" s="44">
        <f>IFERROR(VLOOKUP(AQ194,'[2]Harga &amp; Nama CSO'!$A$116:$L$136,9,FALSE),0)*AV194</f>
        <v>0</v>
      </c>
      <c r="BE194" s="44">
        <f>IFERROR(VLOOKUP(AQ194,'[2]Harga &amp; Nama CSO'!$A$116:$L$136,10,FALSE),0)*AV194</f>
        <v>0</v>
      </c>
      <c r="BF194" s="44">
        <f>IFERROR(VLOOKUP(AQ194,'[2]Harga &amp; Nama CSO'!$A$116:$L$136,11,FALSE),0)*AV194</f>
        <v>0</v>
      </c>
      <c r="BG194" s="44">
        <f>IFERROR(VLOOKUP(AQ194,'[2]Harga &amp; Nama CSO'!$A$116:$L$136,12,FALSE),0)*AV194</f>
        <v>0</v>
      </c>
      <c r="BH194" s="44">
        <f>IFERROR(VLOOKUP(AQ194,'[2]Harga &amp; Nama CSO'!$A$116:$R$136,13,FALSE),0)*AV194</f>
        <v>0</v>
      </c>
      <c r="BI194" s="44">
        <f>IFERROR(VLOOKUP(AQ194,'[2]Harga &amp; Nama CSO'!$A$116:$R$136,14,FALSE),0)*AV194</f>
        <v>0</v>
      </c>
      <c r="BJ194" s="44">
        <f>IFERROR(VLOOKUP(AQ194,'[2]Harga &amp; Nama CSO'!$A$116:$R$136,15,FALSE),0)*AV194</f>
        <v>0</v>
      </c>
      <c r="BK194" s="44">
        <f>IFERROR(VLOOKUP(AQ194,'[2]Harga &amp; Nama CSO'!$A$116:$R$136,16,FALSE),0)*AV194</f>
        <v>0</v>
      </c>
      <c r="BL194" s="44">
        <f>IFERROR(VLOOKUP(AQ194,'[2]Harga &amp; Nama CSO'!$A$116:$R$136,17,FALSE),0)*AV194</f>
        <v>0</v>
      </c>
      <c r="BM194" s="44">
        <f>IFERROR(VLOOKUP(AQ194,'[2]Harga &amp; Nama CSO'!$A$116:$R$136,18,FALSE),0)*AV194</f>
        <v>0</v>
      </c>
      <c r="BN194" s="44">
        <f>IFERROR(VLOOKUP(AQ194,'[2]Harga &amp; Nama CSO'!$A$116:$S$136,19,FALSE),0)*AV194</f>
        <v>2</v>
      </c>
      <c r="BO194" s="55">
        <f>IFERROR(VLOOKUP(AQ194,'[2]Harga &amp; Nama CSO'!$H$2:$N$22,2,FALSE),"")*AV194</f>
        <v>150000</v>
      </c>
      <c r="BP194" s="86">
        <v>46202</v>
      </c>
      <c r="BQ194" s="39">
        <v>2</v>
      </c>
      <c r="BR194" s="59">
        <v>150000</v>
      </c>
      <c r="BS194" s="39" t="s">
        <v>109</v>
      </c>
      <c r="BT194" s="57">
        <f t="shared" ref="BT194:BT212" si="35">BO194-BR194</f>
        <v>0</v>
      </c>
      <c r="BU194" s="60"/>
      <c r="BV194" s="8" t="e">
        <v>#VALUE!</v>
      </c>
      <c r="BW194" s="58" t="e">
        <f>VLOOKUP(AQ194,'[1]Harga &amp; Nama CSO'!$A$28:$D$31,4,0)*BQ194</f>
        <v>#N/A</v>
      </c>
    </row>
    <row r="195" spans="41:75" x14ac:dyDescent="0.35">
      <c r="AO195" s="39">
        <v>193</v>
      </c>
      <c r="AP195" s="60">
        <v>46202</v>
      </c>
      <c r="AQ195" s="41" t="s">
        <v>204</v>
      </c>
      <c r="AR195" s="42" t="str">
        <f>IFERROR(VLOOKUP(AU195,[2]SUMMARY!$A$3:$B$7,2,FALSE),"")</f>
        <v>MC-SAGARANTEN</v>
      </c>
      <c r="AS195" s="42">
        <v>1305465</v>
      </c>
      <c r="AT195" s="31" t="str">
        <f>VLOOKUP(AS195,[2]OUTLET!$B:$C,2,0)</f>
        <v>ADI CELL</v>
      </c>
      <c r="AU195" s="42" t="s">
        <v>41</v>
      </c>
      <c r="AV195" s="39">
        <v>3</v>
      </c>
      <c r="AW195" s="44">
        <f>IFERROR(VLOOKUP(AQ195,'[2]Harga &amp; Nama CSO'!$A$116:$L$136,2,FALSE),0)*AV195</f>
        <v>0</v>
      </c>
      <c r="AX195" s="44">
        <f>IFERROR(VLOOKUP(AQ195,'[2]Harga &amp; Nama CSO'!$A$116:$L$136,3,FALSE),0)*AV195</f>
        <v>9</v>
      </c>
      <c r="AY195" s="44">
        <f>IFERROR(VLOOKUP(AQ195,'[2]Harga &amp; Nama CSO'!$A$116:$L$136,4,FALSE),0)*AV195</f>
        <v>0</v>
      </c>
      <c r="AZ195" s="44">
        <f>IFERROR(VLOOKUP(AQ195,'[2]Harga &amp; Nama CSO'!$A$116:$L$136,5,FALSE),0)*AV195</f>
        <v>0</v>
      </c>
      <c r="BA195" s="44">
        <f>IFERROR(VLOOKUP(AQ195,'[2]Harga &amp; Nama CSO'!$A$116:$L$136,6,FALSE),0)*AV195</f>
        <v>0</v>
      </c>
      <c r="BB195" s="44">
        <f>IFERROR(VLOOKUP(AQ195,'[2]Harga &amp; Nama CSO'!$A$116:$L$136,7,FALSE),0)*AV195</f>
        <v>0</v>
      </c>
      <c r="BC195" s="44">
        <f>IFERROR(VLOOKUP(AQ195,'[2]Harga &amp; Nama CSO'!$A$116:$L$136,8,FALSE),0)*AV195</f>
        <v>0</v>
      </c>
      <c r="BD195" s="44">
        <f>IFERROR(VLOOKUP(AQ195,'[2]Harga &amp; Nama CSO'!$A$116:$L$136,9,FALSE),0)*AV195</f>
        <v>0</v>
      </c>
      <c r="BE195" s="44">
        <f>IFERROR(VLOOKUP(AQ195,'[2]Harga &amp; Nama CSO'!$A$116:$L$136,10,FALSE),0)*AV195</f>
        <v>0</v>
      </c>
      <c r="BF195" s="44">
        <f>IFERROR(VLOOKUP(AQ195,'[2]Harga &amp; Nama CSO'!$A$116:$L$136,11,FALSE),0)*AV195</f>
        <v>0</v>
      </c>
      <c r="BG195" s="44">
        <f>IFERROR(VLOOKUP(AQ195,'[2]Harga &amp; Nama CSO'!$A$116:$L$136,12,FALSE),0)*AV195</f>
        <v>0</v>
      </c>
      <c r="BH195" s="44">
        <f>IFERROR(VLOOKUP(AQ195,'[2]Harga &amp; Nama CSO'!$A$116:$R$136,13,FALSE),0)*AV195</f>
        <v>0</v>
      </c>
      <c r="BI195" s="44">
        <f>IFERROR(VLOOKUP(AQ195,'[2]Harga &amp; Nama CSO'!$A$116:$R$136,14,FALSE),0)*AV195</f>
        <v>0</v>
      </c>
      <c r="BJ195" s="44">
        <f>IFERROR(VLOOKUP(AQ195,'[2]Harga &amp; Nama CSO'!$A$116:$R$136,15,FALSE),0)*AV195</f>
        <v>0</v>
      </c>
      <c r="BK195" s="44">
        <f>IFERROR(VLOOKUP(AQ195,'[2]Harga &amp; Nama CSO'!$A$116:$R$136,16,FALSE),0)*AV195</f>
        <v>0</v>
      </c>
      <c r="BL195" s="44">
        <f>IFERROR(VLOOKUP(AQ195,'[2]Harga &amp; Nama CSO'!$A$116:$R$136,17,FALSE),0)*AV195</f>
        <v>0</v>
      </c>
      <c r="BM195" s="44">
        <f>IFERROR(VLOOKUP(AQ195,'[2]Harga &amp; Nama CSO'!$A$116:$R$136,18,FALSE),0)*AV195</f>
        <v>0</v>
      </c>
      <c r="BN195" s="44">
        <f>IFERROR(VLOOKUP(AQ195,'[2]Harga &amp; Nama CSO'!$A$116:$S$136,19,FALSE),0)*AV195</f>
        <v>3</v>
      </c>
      <c r="BO195" s="55">
        <f>IFERROR(VLOOKUP(AQ195,'[2]Harga &amp; Nama CSO'!$H$2:$N$22,2,FALSE),"")*AV195</f>
        <v>225000</v>
      </c>
      <c r="BP195" s="86">
        <v>46202</v>
      </c>
      <c r="BQ195" s="39">
        <v>3</v>
      </c>
      <c r="BR195" s="59">
        <v>225000</v>
      </c>
      <c r="BS195" s="39" t="s">
        <v>109</v>
      </c>
      <c r="BT195" s="57">
        <f t="shared" si="35"/>
        <v>0</v>
      </c>
      <c r="BU195" s="60"/>
      <c r="BV195" s="8" t="e">
        <v>#VALUE!</v>
      </c>
      <c r="BW195" s="58" t="e">
        <f>VLOOKUP(AQ195,'[1]Harga &amp; Nama CSO'!$A$28:$D$31,4,0)*BQ195</f>
        <v>#N/A</v>
      </c>
    </row>
    <row r="196" spans="41:75" x14ac:dyDescent="0.35">
      <c r="AO196" s="39">
        <v>194</v>
      </c>
      <c r="AP196" s="60">
        <v>46202</v>
      </c>
      <c r="AQ196" s="41" t="s">
        <v>204</v>
      </c>
      <c r="AR196" s="42" t="str">
        <f>IFERROR(VLOOKUP(AU196,[2]SUMMARY!$A$3:$B$7,2,FALSE),"")</f>
        <v>MC-SAGARANTEN</v>
      </c>
      <c r="AS196" s="42">
        <v>572677</v>
      </c>
      <c r="AT196" s="31" t="str">
        <f>VLOOKUP(AS196,[2]OUTLET!$B:$C,2,0)</f>
        <v>Fitri cell</v>
      </c>
      <c r="AU196" s="42" t="s">
        <v>42</v>
      </c>
      <c r="AV196" s="39">
        <v>19</v>
      </c>
      <c r="AW196" s="44">
        <f>IFERROR(VLOOKUP(AQ196,'[2]Harga &amp; Nama CSO'!$A$116:$L$136,2,FALSE),0)*AV196</f>
        <v>0</v>
      </c>
      <c r="AX196" s="44">
        <f>IFERROR(VLOOKUP(AQ196,'[2]Harga &amp; Nama CSO'!$A$116:$L$136,3,FALSE),0)*AV196</f>
        <v>57</v>
      </c>
      <c r="AY196" s="44">
        <f>IFERROR(VLOOKUP(AQ196,'[2]Harga &amp; Nama CSO'!$A$116:$L$136,4,FALSE),0)*AV196</f>
        <v>0</v>
      </c>
      <c r="AZ196" s="44">
        <f>IFERROR(VLOOKUP(AQ196,'[2]Harga &amp; Nama CSO'!$A$116:$L$136,5,FALSE),0)*AV196</f>
        <v>0</v>
      </c>
      <c r="BA196" s="44">
        <f>IFERROR(VLOOKUP(AQ196,'[2]Harga &amp; Nama CSO'!$A$116:$L$136,6,FALSE),0)*AV196</f>
        <v>0</v>
      </c>
      <c r="BB196" s="44">
        <f>IFERROR(VLOOKUP(AQ196,'[2]Harga &amp; Nama CSO'!$A$116:$L$136,7,FALSE),0)*AV196</f>
        <v>0</v>
      </c>
      <c r="BC196" s="44">
        <f>IFERROR(VLOOKUP(AQ196,'[2]Harga &amp; Nama CSO'!$A$116:$L$136,8,FALSE),0)*AV196</f>
        <v>0</v>
      </c>
      <c r="BD196" s="44">
        <f>IFERROR(VLOOKUP(AQ196,'[2]Harga &amp; Nama CSO'!$A$116:$L$136,9,FALSE),0)*AV196</f>
        <v>0</v>
      </c>
      <c r="BE196" s="44">
        <f>IFERROR(VLOOKUP(AQ196,'[2]Harga &amp; Nama CSO'!$A$116:$L$136,10,FALSE),0)*AV196</f>
        <v>0</v>
      </c>
      <c r="BF196" s="44">
        <f>IFERROR(VLOOKUP(AQ196,'[2]Harga &amp; Nama CSO'!$A$116:$L$136,11,FALSE),0)*AV196</f>
        <v>0</v>
      </c>
      <c r="BG196" s="44">
        <f>IFERROR(VLOOKUP(AQ196,'[2]Harga &amp; Nama CSO'!$A$116:$L$136,12,FALSE),0)*AV196</f>
        <v>0</v>
      </c>
      <c r="BH196" s="44">
        <f>IFERROR(VLOOKUP(AQ196,'[2]Harga &amp; Nama CSO'!$A$116:$R$136,13,FALSE),0)*AV196</f>
        <v>0</v>
      </c>
      <c r="BI196" s="44">
        <f>IFERROR(VLOOKUP(AQ196,'[2]Harga &amp; Nama CSO'!$A$116:$R$136,14,FALSE),0)*AV196</f>
        <v>0</v>
      </c>
      <c r="BJ196" s="44">
        <f>IFERROR(VLOOKUP(AQ196,'[2]Harga &amp; Nama CSO'!$A$116:$R$136,15,FALSE),0)*AV196</f>
        <v>0</v>
      </c>
      <c r="BK196" s="44">
        <f>IFERROR(VLOOKUP(AQ196,'[2]Harga &amp; Nama CSO'!$A$116:$R$136,16,FALSE),0)*AV196</f>
        <v>0</v>
      </c>
      <c r="BL196" s="44">
        <f>IFERROR(VLOOKUP(AQ196,'[2]Harga &amp; Nama CSO'!$A$116:$R$136,17,FALSE),0)*AV196</f>
        <v>0</v>
      </c>
      <c r="BM196" s="44">
        <f>IFERROR(VLOOKUP(AQ196,'[2]Harga &amp; Nama CSO'!$A$116:$R$136,18,FALSE),0)*AV196</f>
        <v>0</v>
      </c>
      <c r="BN196" s="44">
        <f>IFERROR(VLOOKUP(AQ196,'[2]Harga &amp; Nama CSO'!$A$116:$S$136,19,FALSE),0)*AV196</f>
        <v>19</v>
      </c>
      <c r="BO196" s="55">
        <f>IFERROR(VLOOKUP(AQ196,'[2]Harga &amp; Nama CSO'!$H$2:$N$22,2,FALSE),"")*AV196</f>
        <v>1425000</v>
      </c>
      <c r="BP196" s="86">
        <v>46202</v>
      </c>
      <c r="BQ196" s="39">
        <v>19</v>
      </c>
      <c r="BR196" s="59">
        <v>1425000</v>
      </c>
      <c r="BS196" s="39" t="s">
        <v>109</v>
      </c>
      <c r="BT196" s="57">
        <f t="shared" si="35"/>
        <v>0</v>
      </c>
      <c r="BU196" s="60"/>
      <c r="BV196" s="8" t="e">
        <v>#VALUE!</v>
      </c>
      <c r="BW196" s="58" t="e">
        <f>VLOOKUP(AQ196,'[1]Harga &amp; Nama CSO'!$A$28:$D$31,4,0)*BQ196</f>
        <v>#N/A</v>
      </c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>
        <f>IFERROR(VLOOKUP(AQ197,'[2]Harga &amp; Nama CSO'!$A$116:$L$136,2,FALSE),0)*AV197</f>
        <v>0</v>
      </c>
      <c r="AX197" s="44">
        <f>IFERROR(VLOOKUP(AQ197,'[2]Harga &amp; Nama CSO'!$A$116:$L$136,3,FALSE),0)*AV197</f>
        <v>0</v>
      </c>
      <c r="AY197" s="44">
        <f>IFERROR(VLOOKUP(AQ197,'[2]Harga &amp; Nama CSO'!$A$116:$L$136,4,FALSE),0)*AV197</f>
        <v>0</v>
      </c>
      <c r="AZ197" s="44">
        <f>IFERROR(VLOOKUP(AQ197,'[2]Harga &amp; Nama CSO'!$A$116:$L$136,5,FALSE),0)*AV197</f>
        <v>0</v>
      </c>
      <c r="BA197" s="44">
        <f>IFERROR(VLOOKUP(AQ197,'[2]Harga &amp; Nama CSO'!$A$116:$L$136,6,FALSE),0)*AV197</f>
        <v>0</v>
      </c>
      <c r="BB197" s="44">
        <f>IFERROR(VLOOKUP(AQ197,'[2]Harga &amp; Nama CSO'!$A$116:$L$136,7,FALSE),0)*AV197</f>
        <v>0</v>
      </c>
      <c r="BC197" s="44">
        <f>IFERROR(VLOOKUP(AQ197,'[2]Harga &amp; Nama CSO'!$A$116:$L$136,8,FALSE),0)*AV197</f>
        <v>0</v>
      </c>
      <c r="BD197" s="44">
        <f>IFERROR(VLOOKUP(AQ197,'[2]Harga &amp; Nama CSO'!$A$116:$L$136,9,FALSE),0)*AV197</f>
        <v>0</v>
      </c>
      <c r="BE197" s="44">
        <f>IFERROR(VLOOKUP(AQ197,'[2]Harga &amp; Nama CSO'!$A$116:$L$136,10,FALSE),0)*AV197</f>
        <v>0</v>
      </c>
      <c r="BF197" s="44">
        <f>IFERROR(VLOOKUP(AQ197,'[2]Harga &amp; Nama CSO'!$A$116:$L$136,11,FALSE),0)*AV197</f>
        <v>0</v>
      </c>
      <c r="BG197" s="44">
        <f>IFERROR(VLOOKUP(AQ197,'[2]Harga &amp; Nama CSO'!$A$116:$L$136,12,FALSE),0)*AV197</f>
        <v>0</v>
      </c>
      <c r="BH197" s="44">
        <f>IFERROR(VLOOKUP(AQ197,'[2]Harga &amp; Nama CSO'!$A$116:$R$136,13,FALSE),0)*AV197</f>
        <v>0</v>
      </c>
      <c r="BI197" s="44">
        <f>IFERROR(VLOOKUP(AQ197,'[2]Harga &amp; Nama CSO'!$A$116:$R$136,14,FALSE),0)*AV197</f>
        <v>0</v>
      </c>
      <c r="BJ197" s="44">
        <f>IFERROR(VLOOKUP(AQ197,'[2]Harga &amp; Nama CSO'!$A$116:$R$136,15,FALSE),0)*AV197</f>
        <v>0</v>
      </c>
      <c r="BK197" s="44">
        <f>IFERROR(VLOOKUP(AQ197,'[2]Harga &amp; Nama CSO'!$A$116:$R$136,16,FALSE),0)*AV197</f>
        <v>0</v>
      </c>
      <c r="BL197" s="44">
        <f>IFERROR(VLOOKUP(AQ197,'[2]Harga &amp; Nama CSO'!$A$116:$R$136,17,FALSE),0)*AV197</f>
        <v>0</v>
      </c>
      <c r="BM197" s="44">
        <f>IFERROR(VLOOKUP(AQ197,'[2]Harga &amp; Nama CSO'!$A$116:$R$136,18,FALSE),0)*AV197</f>
        <v>0</v>
      </c>
      <c r="BN197" s="44">
        <f>IFERROR(VLOOKUP(AQ197,'[2]Harga &amp; Nama CSO'!$A$116:$S$136,19,FALSE),0)*AV197</f>
        <v>0</v>
      </c>
      <c r="BO197" s="55" t="e">
        <f>IFERROR(VLOOKUP(AQ197,'[2]Harga &amp; Nama CSO'!$H$2:$N$22,2,FALSE),"")*AV197</f>
        <v>#VALUE!</v>
      </c>
      <c r="BP197" s="86">
        <v>46202</v>
      </c>
      <c r="BQ197" s="39">
        <v>10</v>
      </c>
      <c r="BR197" s="59">
        <v>150000</v>
      </c>
      <c r="BS197" s="39" t="s">
        <v>109</v>
      </c>
      <c r="BT197" s="57" t="e">
        <f t="shared" si="35"/>
        <v>#VALUE!</v>
      </c>
      <c r="BU197" s="60"/>
      <c r="BV197" s="8" t="e">
        <v>#VALUE!</v>
      </c>
      <c r="BW197" s="58" t="e">
        <f>VLOOKUP(AQ197,'[1]Harga &amp; Nama CSO'!$A$28:$D$31,4,0)*BQ197</f>
        <v>#N/A</v>
      </c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>
        <f>IFERROR(VLOOKUP(AQ198,'[2]Harga &amp; Nama CSO'!$A$116:$L$136,2,FALSE),0)*AV198</f>
        <v>0</v>
      </c>
      <c r="AX198" s="44">
        <f>IFERROR(VLOOKUP(AQ198,'[2]Harga &amp; Nama CSO'!$A$116:$L$136,3,FALSE),0)*AV198</f>
        <v>0</v>
      </c>
      <c r="AY198" s="44">
        <f>IFERROR(VLOOKUP(AQ198,'[2]Harga &amp; Nama CSO'!$A$116:$L$136,4,FALSE),0)*AV198</f>
        <v>0</v>
      </c>
      <c r="AZ198" s="44">
        <f>IFERROR(VLOOKUP(AQ198,'[2]Harga &amp; Nama CSO'!$A$116:$L$136,5,FALSE),0)*AV198</f>
        <v>0</v>
      </c>
      <c r="BA198" s="44">
        <f>IFERROR(VLOOKUP(AQ198,'[2]Harga &amp; Nama CSO'!$A$116:$L$136,6,FALSE),0)*AV198</f>
        <v>0</v>
      </c>
      <c r="BB198" s="44">
        <f>IFERROR(VLOOKUP(AQ198,'[2]Harga &amp; Nama CSO'!$A$116:$L$136,7,FALSE),0)*AV198</f>
        <v>0</v>
      </c>
      <c r="BC198" s="44">
        <f>IFERROR(VLOOKUP(AQ198,'[2]Harga &amp; Nama CSO'!$A$116:$L$136,8,FALSE),0)*AV198</f>
        <v>0</v>
      </c>
      <c r="BD198" s="44">
        <f>IFERROR(VLOOKUP(AQ198,'[2]Harga &amp; Nama CSO'!$A$116:$L$136,9,FALSE),0)*AV198</f>
        <v>0</v>
      </c>
      <c r="BE198" s="44">
        <f>IFERROR(VLOOKUP(AQ198,'[2]Harga &amp; Nama CSO'!$A$116:$L$136,10,FALSE),0)*AV198</f>
        <v>0</v>
      </c>
      <c r="BF198" s="44">
        <f>IFERROR(VLOOKUP(AQ198,'[2]Harga &amp; Nama CSO'!$A$116:$L$136,11,FALSE),0)*AV198</f>
        <v>0</v>
      </c>
      <c r="BG198" s="44">
        <f>IFERROR(VLOOKUP(AQ198,'[2]Harga &amp; Nama CSO'!$A$116:$L$136,12,FALSE),0)*AV198</f>
        <v>0</v>
      </c>
      <c r="BH198" s="44">
        <f>IFERROR(VLOOKUP(AQ198,'[2]Harga &amp; Nama CSO'!$A$116:$R$136,13,FALSE),0)*AV198</f>
        <v>0</v>
      </c>
      <c r="BI198" s="44">
        <f>IFERROR(VLOOKUP(AQ198,'[2]Harga &amp; Nama CSO'!$A$116:$R$136,14,FALSE),0)*AV198</f>
        <v>0</v>
      </c>
      <c r="BJ198" s="44">
        <f>IFERROR(VLOOKUP(AQ198,'[2]Harga &amp; Nama CSO'!$A$116:$R$136,15,FALSE),0)*AV198</f>
        <v>0</v>
      </c>
      <c r="BK198" s="44">
        <f>IFERROR(VLOOKUP(AQ198,'[2]Harga &amp; Nama CSO'!$A$116:$R$136,16,FALSE),0)*AV198</f>
        <v>0</v>
      </c>
      <c r="BL198" s="44">
        <f>IFERROR(VLOOKUP(AQ198,'[2]Harga &amp; Nama CSO'!$A$116:$R$136,17,FALSE),0)*AV198</f>
        <v>0</v>
      </c>
      <c r="BM198" s="44">
        <f>IFERROR(VLOOKUP(AQ198,'[2]Harga &amp; Nama CSO'!$A$116:$R$136,18,FALSE),0)*AV198</f>
        <v>0</v>
      </c>
      <c r="BN198" s="44">
        <f>IFERROR(VLOOKUP(AQ198,'[2]Harga &amp; Nama CSO'!$A$116:$S$136,19,FALSE),0)*AV198</f>
        <v>0</v>
      </c>
      <c r="BO198" s="55" t="e">
        <f>IFERROR(VLOOKUP(AQ198,'[2]Harga &amp; Nama CSO'!$H$2:$N$22,2,FALSE),"")*AV198</f>
        <v>#VALUE!</v>
      </c>
      <c r="BP198" s="40"/>
      <c r="BQ198" s="39"/>
      <c r="BR198" s="59"/>
      <c r="BS198" s="39"/>
      <c r="BT198" s="57" t="e">
        <f t="shared" si="35"/>
        <v>#VALUE!</v>
      </c>
      <c r="BU198" s="60"/>
      <c r="BV198" s="8" t="e">
        <v>#VALUE!</v>
      </c>
      <c r="BW198" s="58" t="e">
        <f>VLOOKUP(AQ198,'[1]Harga &amp; Nama CSO'!$A$28:$D$31,4,0)*BQ198</f>
        <v>#N/A</v>
      </c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>
        <f>IFERROR(VLOOKUP(AQ199,'[2]Harga &amp; Nama CSO'!$A$116:$L$136,2,FALSE),0)*AV199</f>
        <v>0</v>
      </c>
      <c r="AX199" s="44">
        <f>IFERROR(VLOOKUP(AQ199,'[2]Harga &amp; Nama CSO'!$A$116:$L$136,3,FALSE),0)*AV199</f>
        <v>0</v>
      </c>
      <c r="AY199" s="44">
        <f>IFERROR(VLOOKUP(AQ199,'[2]Harga &amp; Nama CSO'!$A$116:$L$136,4,FALSE),0)*AV199</f>
        <v>0</v>
      </c>
      <c r="AZ199" s="44">
        <f>IFERROR(VLOOKUP(AQ199,'[2]Harga &amp; Nama CSO'!$A$116:$L$136,5,FALSE),0)*AV199</f>
        <v>0</v>
      </c>
      <c r="BA199" s="44">
        <f>IFERROR(VLOOKUP(AQ199,'[2]Harga &amp; Nama CSO'!$A$116:$L$136,6,FALSE),0)*AV199</f>
        <v>0</v>
      </c>
      <c r="BB199" s="44">
        <f>IFERROR(VLOOKUP(AQ199,'[2]Harga &amp; Nama CSO'!$A$116:$L$136,7,FALSE),0)*AV199</f>
        <v>0</v>
      </c>
      <c r="BC199" s="44">
        <f>IFERROR(VLOOKUP(AQ199,'[2]Harga &amp; Nama CSO'!$A$116:$L$136,8,FALSE),0)*AV199</f>
        <v>0</v>
      </c>
      <c r="BD199" s="44">
        <f>IFERROR(VLOOKUP(AQ199,'[2]Harga &amp; Nama CSO'!$A$116:$L$136,9,FALSE),0)*AV199</f>
        <v>0</v>
      </c>
      <c r="BE199" s="44">
        <f>IFERROR(VLOOKUP(AQ199,'[2]Harga &amp; Nama CSO'!$A$116:$L$136,10,FALSE),0)*AV199</f>
        <v>0</v>
      </c>
      <c r="BF199" s="44">
        <f>IFERROR(VLOOKUP(AQ199,'[2]Harga &amp; Nama CSO'!$A$116:$L$136,11,FALSE),0)*AV199</f>
        <v>0</v>
      </c>
      <c r="BG199" s="44">
        <f>IFERROR(VLOOKUP(AQ199,'[2]Harga &amp; Nama CSO'!$A$116:$L$136,12,FALSE),0)*AV199</f>
        <v>0</v>
      </c>
      <c r="BH199" s="44">
        <f>IFERROR(VLOOKUP(AQ199,'[2]Harga &amp; Nama CSO'!$A$116:$R$136,13,FALSE),0)*AV199</f>
        <v>0</v>
      </c>
      <c r="BI199" s="44">
        <f>IFERROR(VLOOKUP(AQ199,'[2]Harga &amp; Nama CSO'!$A$116:$R$136,14,FALSE),0)*AV199</f>
        <v>0</v>
      </c>
      <c r="BJ199" s="44">
        <f>IFERROR(VLOOKUP(AQ199,'[2]Harga &amp; Nama CSO'!$A$116:$R$136,15,FALSE),0)*AV199</f>
        <v>0</v>
      </c>
      <c r="BK199" s="44">
        <f>IFERROR(VLOOKUP(AQ199,'[2]Harga &amp; Nama CSO'!$A$116:$R$136,16,FALSE),0)*AV199</f>
        <v>0</v>
      </c>
      <c r="BL199" s="44">
        <f>IFERROR(VLOOKUP(AQ199,'[2]Harga &amp; Nama CSO'!$A$116:$R$136,17,FALSE),0)*AV199</f>
        <v>0</v>
      </c>
      <c r="BM199" s="44">
        <f>IFERROR(VLOOKUP(AQ199,'[2]Harga &amp; Nama CSO'!$A$116:$R$136,18,FALSE),0)*AV199</f>
        <v>0</v>
      </c>
      <c r="BN199" s="44">
        <f>IFERROR(VLOOKUP(AQ199,'[2]Harga &amp; Nama CSO'!$A$116:$S$136,19,FALSE),0)*AV199</f>
        <v>0</v>
      </c>
      <c r="BO199" s="55" t="e">
        <f>IFERROR(VLOOKUP(AQ199,'[2]Harga &amp; Nama CSO'!$H$2:$N$22,2,FALSE),"")*AV199</f>
        <v>#VALUE!</v>
      </c>
      <c r="BP199" s="40"/>
      <c r="BQ199" s="39"/>
      <c r="BR199" s="59"/>
      <c r="BS199" s="39"/>
      <c r="BT199" s="57" t="e">
        <f t="shared" si="35"/>
        <v>#VALUE!</v>
      </c>
      <c r="BU199" s="60"/>
      <c r="BV199" s="8" t="e">
        <v>#VALUE!</v>
      </c>
      <c r="BW199" s="58" t="e">
        <f>VLOOKUP(AQ199,'[1]Harga &amp; Nama CSO'!$A$28:$D$31,4,0)*BQ199</f>
        <v>#N/A</v>
      </c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>
        <f>IFERROR(VLOOKUP(AQ200,'[2]Harga &amp; Nama CSO'!$A$116:$L$136,2,FALSE),0)*AV200</f>
        <v>0</v>
      </c>
      <c r="AX200" s="44">
        <f>IFERROR(VLOOKUP(AQ200,'[2]Harga &amp; Nama CSO'!$A$116:$L$136,3,FALSE),0)*AV200</f>
        <v>0</v>
      </c>
      <c r="AY200" s="44">
        <f>IFERROR(VLOOKUP(AQ200,'[2]Harga &amp; Nama CSO'!$A$116:$L$136,4,FALSE),0)*AV200</f>
        <v>0</v>
      </c>
      <c r="AZ200" s="44">
        <f>IFERROR(VLOOKUP(AQ200,'[2]Harga &amp; Nama CSO'!$A$116:$L$136,5,FALSE),0)*AV200</f>
        <v>0</v>
      </c>
      <c r="BA200" s="44">
        <f>IFERROR(VLOOKUP(AQ200,'[2]Harga &amp; Nama CSO'!$A$116:$L$136,6,FALSE),0)*AV200</f>
        <v>0</v>
      </c>
      <c r="BB200" s="44">
        <f>IFERROR(VLOOKUP(AQ200,'[2]Harga &amp; Nama CSO'!$A$116:$L$136,7,FALSE),0)*AV200</f>
        <v>0</v>
      </c>
      <c r="BC200" s="44">
        <f>IFERROR(VLOOKUP(AQ200,'[2]Harga &amp; Nama CSO'!$A$116:$L$136,8,FALSE),0)*AV200</f>
        <v>0</v>
      </c>
      <c r="BD200" s="44">
        <f>IFERROR(VLOOKUP(AQ200,'[2]Harga &amp; Nama CSO'!$A$116:$L$136,9,FALSE),0)*AV200</f>
        <v>0</v>
      </c>
      <c r="BE200" s="44">
        <f>IFERROR(VLOOKUP(AQ200,'[2]Harga &amp; Nama CSO'!$A$116:$L$136,10,FALSE),0)*AV200</f>
        <v>0</v>
      </c>
      <c r="BF200" s="44">
        <f>IFERROR(VLOOKUP(AQ200,'[2]Harga &amp; Nama CSO'!$A$116:$L$136,11,FALSE),0)*AV200</f>
        <v>0</v>
      </c>
      <c r="BG200" s="44">
        <f>IFERROR(VLOOKUP(AQ200,'[2]Harga &amp; Nama CSO'!$A$116:$L$136,12,FALSE),0)*AV200</f>
        <v>0</v>
      </c>
      <c r="BH200" s="44">
        <f>IFERROR(VLOOKUP(AQ200,'[2]Harga &amp; Nama CSO'!$A$116:$R$136,13,FALSE),0)*AV200</f>
        <v>0</v>
      </c>
      <c r="BI200" s="44">
        <f>IFERROR(VLOOKUP(AQ200,'[2]Harga &amp; Nama CSO'!$A$116:$R$136,14,FALSE),0)*AV200</f>
        <v>0</v>
      </c>
      <c r="BJ200" s="44">
        <f>IFERROR(VLOOKUP(AQ200,'[2]Harga &amp; Nama CSO'!$A$116:$R$136,15,FALSE),0)*AV200</f>
        <v>0</v>
      </c>
      <c r="BK200" s="44">
        <f>IFERROR(VLOOKUP(AQ200,'[2]Harga &amp; Nama CSO'!$A$116:$R$136,16,FALSE),0)*AV200</f>
        <v>0</v>
      </c>
      <c r="BL200" s="44">
        <f>IFERROR(VLOOKUP(AQ200,'[2]Harga &amp; Nama CSO'!$A$116:$R$136,17,FALSE),0)*AV200</f>
        <v>0</v>
      </c>
      <c r="BM200" s="44">
        <f>IFERROR(VLOOKUP(AQ200,'[2]Harga &amp; Nama CSO'!$A$116:$R$136,18,FALSE),0)*AV200</f>
        <v>0</v>
      </c>
      <c r="BN200" s="44">
        <f>IFERROR(VLOOKUP(AQ200,'[2]Harga &amp; Nama CSO'!$A$116:$S$136,19,FALSE),0)*AV200</f>
        <v>0</v>
      </c>
      <c r="BO200" s="55" t="e">
        <f>IFERROR(VLOOKUP(AQ200,'[2]Harga &amp; Nama CSO'!$H$2:$N$22,2,FALSE),"")*AV200</f>
        <v>#VALUE!</v>
      </c>
      <c r="BP200" s="40"/>
      <c r="BQ200" s="39"/>
      <c r="BR200" s="59"/>
      <c r="BS200" s="39"/>
      <c r="BT200" s="57" t="e">
        <f t="shared" si="35"/>
        <v>#VALUE!</v>
      </c>
      <c r="BU200" s="60"/>
      <c r="BV200" s="8" t="e">
        <v>#VALUE!</v>
      </c>
      <c r="BW200" s="58" t="e">
        <f>VLOOKUP(AQ200,'[1]Harga &amp; Nama CSO'!$A$28:$D$31,4,0)*BQ200</f>
        <v>#N/A</v>
      </c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>
        <f>IFERROR(VLOOKUP(AQ201,'[2]Harga &amp; Nama CSO'!$A$116:$L$136,2,FALSE),0)*AV201</f>
        <v>0</v>
      </c>
      <c r="AX201" s="44">
        <f>IFERROR(VLOOKUP(AQ201,'[2]Harga &amp; Nama CSO'!$A$116:$L$136,3,FALSE),0)*AV201</f>
        <v>0</v>
      </c>
      <c r="AY201" s="44">
        <f>IFERROR(VLOOKUP(AQ201,'[2]Harga &amp; Nama CSO'!$A$116:$L$136,4,FALSE),0)*AV201</f>
        <v>0</v>
      </c>
      <c r="AZ201" s="44">
        <f>IFERROR(VLOOKUP(AQ201,'[2]Harga &amp; Nama CSO'!$A$116:$L$136,5,FALSE),0)*AV201</f>
        <v>0</v>
      </c>
      <c r="BA201" s="44">
        <f>IFERROR(VLOOKUP(AQ201,'[2]Harga &amp; Nama CSO'!$A$116:$L$136,6,FALSE),0)*AV201</f>
        <v>0</v>
      </c>
      <c r="BB201" s="44">
        <f>IFERROR(VLOOKUP(AQ201,'[2]Harga &amp; Nama CSO'!$A$116:$L$136,7,FALSE),0)*AV201</f>
        <v>0</v>
      </c>
      <c r="BC201" s="44">
        <f>IFERROR(VLOOKUP(AQ201,'[2]Harga &amp; Nama CSO'!$A$116:$L$136,8,FALSE),0)*AV201</f>
        <v>0</v>
      </c>
      <c r="BD201" s="44">
        <f>IFERROR(VLOOKUP(AQ201,'[2]Harga &amp; Nama CSO'!$A$116:$L$136,9,FALSE),0)*AV201</f>
        <v>0</v>
      </c>
      <c r="BE201" s="44">
        <f>IFERROR(VLOOKUP(AQ201,'[2]Harga &amp; Nama CSO'!$A$116:$L$136,10,FALSE),0)*AV201</f>
        <v>0</v>
      </c>
      <c r="BF201" s="44">
        <f>IFERROR(VLOOKUP(AQ201,'[2]Harga &amp; Nama CSO'!$A$116:$L$136,11,FALSE),0)*AV201</f>
        <v>0</v>
      </c>
      <c r="BG201" s="44">
        <f>IFERROR(VLOOKUP(AQ201,'[2]Harga &amp; Nama CSO'!$A$116:$L$136,12,FALSE),0)*AV201</f>
        <v>0</v>
      </c>
      <c r="BH201" s="44">
        <f>IFERROR(VLOOKUP(AQ201,'[2]Harga &amp; Nama CSO'!$A$116:$R$136,13,FALSE),0)*AV201</f>
        <v>0</v>
      </c>
      <c r="BI201" s="44">
        <f>IFERROR(VLOOKUP(AQ201,'[2]Harga &amp; Nama CSO'!$A$116:$R$136,14,FALSE),0)*AV201</f>
        <v>0</v>
      </c>
      <c r="BJ201" s="44">
        <f>IFERROR(VLOOKUP(AQ201,'[2]Harga &amp; Nama CSO'!$A$116:$R$136,15,FALSE),0)*AV201</f>
        <v>0</v>
      </c>
      <c r="BK201" s="44">
        <f>IFERROR(VLOOKUP(AQ201,'[2]Harga &amp; Nama CSO'!$A$116:$R$136,16,FALSE),0)*AV201</f>
        <v>0</v>
      </c>
      <c r="BL201" s="44">
        <f>IFERROR(VLOOKUP(AQ201,'[2]Harga &amp; Nama CSO'!$A$116:$R$136,17,FALSE),0)*AV201</f>
        <v>0</v>
      </c>
      <c r="BM201" s="44">
        <f>IFERROR(VLOOKUP(AQ201,'[2]Harga &amp; Nama CSO'!$A$116:$R$136,18,FALSE),0)*AV201</f>
        <v>0</v>
      </c>
      <c r="BN201" s="44">
        <f>IFERROR(VLOOKUP(AQ201,'[2]Harga &amp; Nama CSO'!$A$116:$S$136,19,FALSE),0)*AV201</f>
        <v>0</v>
      </c>
      <c r="BO201" s="55" t="e">
        <f>IFERROR(VLOOKUP(AQ201,'[2]Harga &amp; Nama CSO'!$H$2:$N$22,2,FALSE),"")*AV201</f>
        <v>#VALUE!</v>
      </c>
      <c r="BP201" s="40"/>
      <c r="BQ201" s="39"/>
      <c r="BR201" s="59"/>
      <c r="BS201" s="39"/>
      <c r="BT201" s="57" t="e">
        <f t="shared" si="35"/>
        <v>#VALUE!</v>
      </c>
      <c r="BU201" s="60"/>
      <c r="BV201" s="8" t="e">
        <v>#VALUE!</v>
      </c>
      <c r="BW201" s="58" t="e">
        <f>VLOOKUP(AQ201,'[1]Harga &amp; Nama CSO'!$A$28:$D$31,4,0)*BQ201</f>
        <v>#N/A</v>
      </c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>
        <f>IFERROR(VLOOKUP(AQ202,'[2]Harga &amp; Nama CSO'!$A$116:$L$136,2,FALSE),0)*AV202</f>
        <v>0</v>
      </c>
      <c r="AX202" s="44">
        <f>IFERROR(VLOOKUP(AQ202,'[2]Harga &amp; Nama CSO'!$A$116:$L$136,3,FALSE),0)*AV202</f>
        <v>0</v>
      </c>
      <c r="AY202" s="44">
        <f>IFERROR(VLOOKUP(AQ202,'[2]Harga &amp; Nama CSO'!$A$116:$L$136,4,FALSE),0)*AV202</f>
        <v>0</v>
      </c>
      <c r="AZ202" s="44">
        <f>IFERROR(VLOOKUP(AQ202,'[2]Harga &amp; Nama CSO'!$A$116:$L$136,5,FALSE),0)*AV202</f>
        <v>0</v>
      </c>
      <c r="BA202" s="44">
        <f>IFERROR(VLOOKUP(AQ202,'[2]Harga &amp; Nama CSO'!$A$116:$L$136,6,FALSE),0)*AV202</f>
        <v>0</v>
      </c>
      <c r="BB202" s="44">
        <f>IFERROR(VLOOKUP(AQ202,'[2]Harga &amp; Nama CSO'!$A$116:$L$136,7,FALSE),0)*AV202</f>
        <v>0</v>
      </c>
      <c r="BC202" s="44">
        <f>IFERROR(VLOOKUP(AQ202,'[2]Harga &amp; Nama CSO'!$A$116:$L$136,8,FALSE),0)*AV202</f>
        <v>0</v>
      </c>
      <c r="BD202" s="44">
        <f>IFERROR(VLOOKUP(AQ202,'[2]Harga &amp; Nama CSO'!$A$116:$L$136,9,FALSE),0)*AV202</f>
        <v>0</v>
      </c>
      <c r="BE202" s="44">
        <f>IFERROR(VLOOKUP(AQ202,'[2]Harga &amp; Nama CSO'!$A$116:$L$136,10,FALSE),0)*AV202</f>
        <v>0</v>
      </c>
      <c r="BF202" s="44">
        <f>IFERROR(VLOOKUP(AQ202,'[2]Harga &amp; Nama CSO'!$A$116:$L$136,11,FALSE),0)*AV202</f>
        <v>0</v>
      </c>
      <c r="BG202" s="44">
        <f>IFERROR(VLOOKUP(AQ202,'[2]Harga &amp; Nama CSO'!$A$116:$L$136,12,FALSE),0)*AV202</f>
        <v>0</v>
      </c>
      <c r="BH202" s="44">
        <f>IFERROR(VLOOKUP(AQ202,'[2]Harga &amp; Nama CSO'!$A$116:$R$136,13,FALSE),0)*AV202</f>
        <v>0</v>
      </c>
      <c r="BI202" s="44">
        <f>IFERROR(VLOOKUP(AQ202,'[2]Harga &amp; Nama CSO'!$A$116:$R$136,14,FALSE),0)*AV202</f>
        <v>0</v>
      </c>
      <c r="BJ202" s="44">
        <f>IFERROR(VLOOKUP(AQ202,'[2]Harga &amp; Nama CSO'!$A$116:$R$136,15,FALSE),0)*AV202</f>
        <v>0</v>
      </c>
      <c r="BK202" s="44">
        <f>IFERROR(VLOOKUP(AQ202,'[2]Harga &amp; Nama CSO'!$A$116:$R$136,16,FALSE),0)*AV202</f>
        <v>0</v>
      </c>
      <c r="BL202" s="44">
        <f>IFERROR(VLOOKUP(AQ202,'[2]Harga &amp; Nama CSO'!$A$116:$R$136,17,FALSE),0)*AV202</f>
        <v>0</v>
      </c>
      <c r="BM202" s="44">
        <f>IFERROR(VLOOKUP(AQ202,'[2]Harga &amp; Nama CSO'!$A$116:$R$136,18,FALSE),0)*AV202</f>
        <v>0</v>
      </c>
      <c r="BN202" s="44">
        <f>IFERROR(VLOOKUP(AQ202,'[2]Harga &amp; Nama CSO'!$A$116:$S$136,19,FALSE),0)*AV202</f>
        <v>0</v>
      </c>
      <c r="BO202" s="55" t="e">
        <f>IFERROR(VLOOKUP(AQ202,'[2]Harga &amp; Nama CSO'!$H$2:$N$22,2,FALSE),"")*AV202</f>
        <v>#VALUE!</v>
      </c>
      <c r="BP202" s="40"/>
      <c r="BQ202" s="39"/>
      <c r="BR202" s="59"/>
      <c r="BS202" s="39"/>
      <c r="BT202" s="57" t="e">
        <f t="shared" si="35"/>
        <v>#VALUE!</v>
      </c>
      <c r="BU202" s="60"/>
      <c r="BV202" s="8" t="e">
        <v>#VALUE!</v>
      </c>
      <c r="BW202" s="58" t="e">
        <f>VLOOKUP(AQ202,'[1]Harga &amp; Nama CSO'!$A$28:$D$31,4,0)*BQ202</f>
        <v>#N/A</v>
      </c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>
        <f>IFERROR(VLOOKUP(AQ203,'[2]Harga &amp; Nama CSO'!$A$116:$L$136,2,FALSE),0)*AV203</f>
        <v>0</v>
      </c>
      <c r="AX203" s="44">
        <f>IFERROR(VLOOKUP(AQ203,'[2]Harga &amp; Nama CSO'!$A$116:$L$136,3,FALSE),0)*AV203</f>
        <v>0</v>
      </c>
      <c r="AY203" s="44">
        <f>IFERROR(VLOOKUP(AQ203,'[2]Harga &amp; Nama CSO'!$A$116:$L$136,4,FALSE),0)*AV203</f>
        <v>0</v>
      </c>
      <c r="AZ203" s="44">
        <f>IFERROR(VLOOKUP(AQ203,'[2]Harga &amp; Nama CSO'!$A$116:$L$136,5,FALSE),0)*AV203</f>
        <v>0</v>
      </c>
      <c r="BA203" s="44">
        <f>IFERROR(VLOOKUP(AQ203,'[2]Harga &amp; Nama CSO'!$A$116:$L$136,6,FALSE),0)*AV203</f>
        <v>0</v>
      </c>
      <c r="BB203" s="44">
        <f>IFERROR(VLOOKUP(AQ203,'[2]Harga &amp; Nama CSO'!$A$116:$L$136,7,FALSE),0)*AV203</f>
        <v>0</v>
      </c>
      <c r="BC203" s="44">
        <f>IFERROR(VLOOKUP(AQ203,'[2]Harga &amp; Nama CSO'!$A$116:$L$136,8,FALSE),0)*AV203</f>
        <v>0</v>
      </c>
      <c r="BD203" s="44">
        <f>IFERROR(VLOOKUP(AQ203,'[2]Harga &amp; Nama CSO'!$A$116:$L$136,9,FALSE),0)*AV203</f>
        <v>0</v>
      </c>
      <c r="BE203" s="44">
        <f>IFERROR(VLOOKUP(AQ203,'[2]Harga &amp; Nama CSO'!$A$116:$L$136,10,FALSE),0)*AV203</f>
        <v>0</v>
      </c>
      <c r="BF203" s="44">
        <f>IFERROR(VLOOKUP(AQ203,'[2]Harga &amp; Nama CSO'!$A$116:$L$136,11,FALSE),0)*AV203</f>
        <v>0</v>
      </c>
      <c r="BG203" s="44">
        <f>IFERROR(VLOOKUP(AQ203,'[2]Harga &amp; Nama CSO'!$A$116:$L$136,12,FALSE),0)*AV203</f>
        <v>0</v>
      </c>
      <c r="BH203" s="44">
        <f>IFERROR(VLOOKUP(AQ203,'[2]Harga &amp; Nama CSO'!$A$116:$R$136,13,FALSE),0)*AV203</f>
        <v>0</v>
      </c>
      <c r="BI203" s="44">
        <f>IFERROR(VLOOKUP(AQ203,'[2]Harga &amp; Nama CSO'!$A$116:$R$136,14,FALSE),0)*AV203</f>
        <v>0</v>
      </c>
      <c r="BJ203" s="44">
        <f>IFERROR(VLOOKUP(AQ203,'[2]Harga &amp; Nama CSO'!$A$116:$R$136,15,FALSE),0)*AV203</f>
        <v>0</v>
      </c>
      <c r="BK203" s="44">
        <f>IFERROR(VLOOKUP(AQ203,'[2]Harga &amp; Nama CSO'!$A$116:$R$136,16,FALSE),0)*AV203</f>
        <v>0</v>
      </c>
      <c r="BL203" s="44">
        <f>IFERROR(VLOOKUP(AQ203,'[2]Harga &amp; Nama CSO'!$A$116:$R$136,17,FALSE),0)*AV203</f>
        <v>0</v>
      </c>
      <c r="BM203" s="44">
        <f>IFERROR(VLOOKUP(AQ203,'[2]Harga &amp; Nama CSO'!$A$116:$R$136,18,FALSE),0)*AV203</f>
        <v>0</v>
      </c>
      <c r="BN203" s="44">
        <f>IFERROR(VLOOKUP(AQ203,'[2]Harga &amp; Nama CSO'!$A$116:$S$136,19,FALSE),0)*AV203</f>
        <v>0</v>
      </c>
      <c r="BO203" s="55" t="e">
        <f>IFERROR(VLOOKUP(AQ203,'[2]Harga &amp; Nama CSO'!$H$2:$N$22,2,FALSE),"")*AV203</f>
        <v>#VALUE!</v>
      </c>
      <c r="BP203" s="40"/>
      <c r="BQ203" s="39"/>
      <c r="BR203" s="59"/>
      <c r="BS203" s="39"/>
      <c r="BT203" s="57" t="e">
        <f t="shared" si="35"/>
        <v>#VALUE!</v>
      </c>
      <c r="BU203" s="60"/>
      <c r="BV203" s="8" t="e">
        <v>#VALUE!</v>
      </c>
      <c r="BW203" s="58" t="e">
        <f>VLOOKUP(AQ203,'[1]Harga &amp; Nama CSO'!$A$28:$D$31,4,0)*BQ203</f>
        <v>#N/A</v>
      </c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>
        <f>IFERROR(VLOOKUP(AQ204,'[2]Harga &amp; Nama CSO'!$A$116:$L$136,2,FALSE),0)*AV204</f>
        <v>0</v>
      </c>
      <c r="AX204" s="44">
        <f>IFERROR(VLOOKUP(AQ204,'[2]Harga &amp; Nama CSO'!$A$116:$L$136,3,FALSE),0)*AV204</f>
        <v>0</v>
      </c>
      <c r="AY204" s="44">
        <f>IFERROR(VLOOKUP(AQ204,'[2]Harga &amp; Nama CSO'!$A$116:$L$136,4,FALSE),0)*AV204</f>
        <v>0</v>
      </c>
      <c r="AZ204" s="44">
        <f>IFERROR(VLOOKUP(AQ204,'[2]Harga &amp; Nama CSO'!$A$116:$L$136,5,FALSE),0)*AV204</f>
        <v>0</v>
      </c>
      <c r="BA204" s="44">
        <f>IFERROR(VLOOKUP(AQ204,'[2]Harga &amp; Nama CSO'!$A$116:$L$136,6,FALSE),0)*AV204</f>
        <v>0</v>
      </c>
      <c r="BB204" s="44">
        <f>IFERROR(VLOOKUP(AQ204,'[2]Harga &amp; Nama CSO'!$A$116:$L$136,7,FALSE),0)*AV204</f>
        <v>0</v>
      </c>
      <c r="BC204" s="44">
        <f>IFERROR(VLOOKUP(AQ204,'[2]Harga &amp; Nama CSO'!$A$116:$L$136,8,FALSE),0)*AV204</f>
        <v>0</v>
      </c>
      <c r="BD204" s="44">
        <f>IFERROR(VLOOKUP(AQ204,'[2]Harga &amp; Nama CSO'!$A$116:$L$136,9,FALSE),0)*AV204</f>
        <v>0</v>
      </c>
      <c r="BE204" s="44">
        <f>IFERROR(VLOOKUP(AQ204,'[2]Harga &amp; Nama CSO'!$A$116:$L$136,10,FALSE),0)*AV204</f>
        <v>0</v>
      </c>
      <c r="BF204" s="44">
        <f>IFERROR(VLOOKUP(AQ204,'[2]Harga &amp; Nama CSO'!$A$116:$L$136,11,FALSE),0)*AV204</f>
        <v>0</v>
      </c>
      <c r="BG204" s="44">
        <f>IFERROR(VLOOKUP(AQ204,'[2]Harga &amp; Nama CSO'!$A$116:$L$136,12,FALSE),0)*AV204</f>
        <v>0</v>
      </c>
      <c r="BH204" s="44">
        <f>IFERROR(VLOOKUP(AQ204,'[2]Harga &amp; Nama CSO'!$A$116:$R$136,13,FALSE),0)*AV204</f>
        <v>0</v>
      </c>
      <c r="BI204" s="44">
        <f>IFERROR(VLOOKUP(AQ204,'[2]Harga &amp; Nama CSO'!$A$116:$R$136,14,FALSE),0)*AV204</f>
        <v>0</v>
      </c>
      <c r="BJ204" s="44">
        <f>IFERROR(VLOOKUP(AQ204,'[2]Harga &amp; Nama CSO'!$A$116:$R$136,15,FALSE),0)*AV204</f>
        <v>0</v>
      </c>
      <c r="BK204" s="44">
        <f>IFERROR(VLOOKUP(AQ204,'[2]Harga &amp; Nama CSO'!$A$116:$R$136,16,FALSE),0)*AV204</f>
        <v>0</v>
      </c>
      <c r="BL204" s="44">
        <f>IFERROR(VLOOKUP(AQ204,'[2]Harga &amp; Nama CSO'!$A$116:$R$136,17,FALSE),0)*AV204</f>
        <v>0</v>
      </c>
      <c r="BM204" s="44">
        <f>IFERROR(VLOOKUP(AQ204,'[2]Harga &amp; Nama CSO'!$A$116:$R$136,18,FALSE),0)*AV204</f>
        <v>0</v>
      </c>
      <c r="BN204" s="44">
        <f>IFERROR(VLOOKUP(AQ204,'[2]Harga &amp; Nama CSO'!$A$116:$S$136,19,FALSE),0)*AV204</f>
        <v>0</v>
      </c>
      <c r="BO204" s="55" t="e">
        <f>IFERROR(VLOOKUP(AQ204,'[2]Harga &amp; Nama CSO'!$H$2:$N$22,2,FALSE),"")*AV204</f>
        <v>#VALUE!</v>
      </c>
      <c r="BP204" s="40"/>
      <c r="BQ204" s="39"/>
      <c r="BR204" s="59"/>
      <c r="BS204" s="39"/>
      <c r="BT204" s="57" t="e">
        <f t="shared" si="35"/>
        <v>#VALUE!</v>
      </c>
      <c r="BU204" s="60"/>
      <c r="BV204" s="8" t="e">
        <v>#VALUE!</v>
      </c>
      <c r="BW204" s="58" t="e">
        <f>VLOOKUP(AQ204,'[1]Harga &amp; Nama CSO'!$A$28:$D$31,4,0)*BQ204</f>
        <v>#N/A</v>
      </c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>
        <f>IFERROR(VLOOKUP(AQ205,'[2]Harga &amp; Nama CSO'!$A$116:$L$136,2,FALSE),0)*AV205</f>
        <v>0</v>
      </c>
      <c r="AX205" s="44">
        <f>IFERROR(VLOOKUP(AQ205,'[2]Harga &amp; Nama CSO'!$A$116:$L$136,3,FALSE),0)*AV205</f>
        <v>0</v>
      </c>
      <c r="AY205" s="44">
        <f>IFERROR(VLOOKUP(AQ205,'[2]Harga &amp; Nama CSO'!$A$116:$L$136,4,FALSE),0)*AV205</f>
        <v>0</v>
      </c>
      <c r="AZ205" s="44">
        <f>IFERROR(VLOOKUP(AQ205,'[2]Harga &amp; Nama CSO'!$A$116:$L$136,5,FALSE),0)*AV205</f>
        <v>0</v>
      </c>
      <c r="BA205" s="44">
        <f>IFERROR(VLOOKUP(AQ205,'[2]Harga &amp; Nama CSO'!$A$116:$L$136,6,FALSE),0)*AV205</f>
        <v>0</v>
      </c>
      <c r="BB205" s="44">
        <f>IFERROR(VLOOKUP(AQ205,'[2]Harga &amp; Nama CSO'!$A$116:$L$136,7,FALSE),0)*AV205</f>
        <v>0</v>
      </c>
      <c r="BC205" s="44">
        <f>IFERROR(VLOOKUP(AQ205,'[2]Harga &amp; Nama CSO'!$A$116:$L$136,8,FALSE),0)*AV205</f>
        <v>0</v>
      </c>
      <c r="BD205" s="44">
        <f>IFERROR(VLOOKUP(AQ205,'[2]Harga &amp; Nama CSO'!$A$116:$L$136,9,FALSE),0)*AV205</f>
        <v>0</v>
      </c>
      <c r="BE205" s="44">
        <f>IFERROR(VLOOKUP(AQ205,'[2]Harga &amp; Nama CSO'!$A$116:$L$136,10,FALSE),0)*AV205</f>
        <v>0</v>
      </c>
      <c r="BF205" s="44">
        <f>IFERROR(VLOOKUP(AQ205,'[2]Harga &amp; Nama CSO'!$A$116:$L$136,11,FALSE),0)*AV205</f>
        <v>0</v>
      </c>
      <c r="BG205" s="44">
        <f>IFERROR(VLOOKUP(AQ205,'[2]Harga &amp; Nama CSO'!$A$116:$L$136,12,FALSE),0)*AV205</f>
        <v>0</v>
      </c>
      <c r="BH205" s="44">
        <f>IFERROR(VLOOKUP(AQ205,'[2]Harga &amp; Nama CSO'!$A$116:$R$136,13,FALSE),0)*AV205</f>
        <v>0</v>
      </c>
      <c r="BI205" s="44">
        <f>IFERROR(VLOOKUP(AQ205,'[2]Harga &amp; Nama CSO'!$A$116:$R$136,14,FALSE),0)*AV205</f>
        <v>0</v>
      </c>
      <c r="BJ205" s="44">
        <f>IFERROR(VLOOKUP(AQ205,'[2]Harga &amp; Nama CSO'!$A$116:$R$136,15,FALSE),0)*AV205</f>
        <v>0</v>
      </c>
      <c r="BK205" s="44">
        <f>IFERROR(VLOOKUP(AQ205,'[2]Harga &amp; Nama CSO'!$A$116:$R$136,16,FALSE),0)*AV205</f>
        <v>0</v>
      </c>
      <c r="BL205" s="44">
        <f>IFERROR(VLOOKUP(AQ205,'[2]Harga &amp; Nama CSO'!$A$116:$R$136,17,FALSE),0)*AV205</f>
        <v>0</v>
      </c>
      <c r="BM205" s="44">
        <f>IFERROR(VLOOKUP(AQ205,'[2]Harga &amp; Nama CSO'!$A$116:$R$136,18,FALSE),0)*AV205</f>
        <v>0</v>
      </c>
      <c r="BN205" s="44">
        <f>IFERROR(VLOOKUP(AQ205,'[2]Harga &amp; Nama CSO'!$A$116:$S$136,19,FALSE),0)*AV205</f>
        <v>0</v>
      </c>
      <c r="BO205" s="55" t="e">
        <f>IFERROR(VLOOKUP(AQ205,'[2]Harga &amp; Nama CSO'!$H$2:$N$22,2,FALSE),"")*AV205</f>
        <v>#VALUE!</v>
      </c>
      <c r="BP205" s="40"/>
      <c r="BQ205" s="39"/>
      <c r="BR205" s="59"/>
      <c r="BS205" s="39"/>
      <c r="BT205" s="57" t="e">
        <f t="shared" si="35"/>
        <v>#VALUE!</v>
      </c>
      <c r="BU205" s="60"/>
      <c r="BV205" s="8" t="e">
        <v>#VALUE!</v>
      </c>
      <c r="BW205" s="58" t="e">
        <f>VLOOKUP(AQ205,'[1]Harga &amp; Nama CSO'!$A$28:$D$31,4,0)*BQ205</f>
        <v>#N/A</v>
      </c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>
        <f>IFERROR(VLOOKUP(AQ206,'[2]Harga &amp; Nama CSO'!$A$116:$L$136,2,FALSE),0)*AV206</f>
        <v>0</v>
      </c>
      <c r="AX206" s="44">
        <f>IFERROR(VLOOKUP(AQ206,'[2]Harga &amp; Nama CSO'!$A$116:$L$136,3,FALSE),0)*AV206</f>
        <v>0</v>
      </c>
      <c r="AY206" s="44">
        <f>IFERROR(VLOOKUP(AQ206,'[2]Harga &amp; Nama CSO'!$A$116:$L$136,4,FALSE),0)*AV206</f>
        <v>0</v>
      </c>
      <c r="AZ206" s="44">
        <f>IFERROR(VLOOKUP(AQ206,'[2]Harga &amp; Nama CSO'!$A$116:$L$136,5,FALSE),0)*AV206</f>
        <v>0</v>
      </c>
      <c r="BA206" s="44">
        <f>IFERROR(VLOOKUP(AQ206,'[2]Harga &amp; Nama CSO'!$A$116:$L$136,6,FALSE),0)*AV206</f>
        <v>0</v>
      </c>
      <c r="BB206" s="44">
        <f>IFERROR(VLOOKUP(AQ206,'[2]Harga &amp; Nama CSO'!$A$116:$L$136,7,FALSE),0)*AV206</f>
        <v>0</v>
      </c>
      <c r="BC206" s="44">
        <f>IFERROR(VLOOKUP(AQ206,'[2]Harga &amp; Nama CSO'!$A$116:$L$136,8,FALSE),0)*AV206</f>
        <v>0</v>
      </c>
      <c r="BD206" s="44">
        <f>IFERROR(VLOOKUP(AQ206,'[2]Harga &amp; Nama CSO'!$A$116:$L$136,9,FALSE),0)*AV206</f>
        <v>0</v>
      </c>
      <c r="BE206" s="44">
        <f>IFERROR(VLOOKUP(AQ206,'[2]Harga &amp; Nama CSO'!$A$116:$L$136,10,FALSE),0)*AV206</f>
        <v>0</v>
      </c>
      <c r="BF206" s="44">
        <f>IFERROR(VLOOKUP(AQ206,'[2]Harga &amp; Nama CSO'!$A$116:$L$136,11,FALSE),0)*AV206</f>
        <v>0</v>
      </c>
      <c r="BG206" s="44">
        <f>IFERROR(VLOOKUP(AQ206,'[2]Harga &amp; Nama CSO'!$A$116:$L$136,12,FALSE),0)*AV206</f>
        <v>0</v>
      </c>
      <c r="BH206" s="44">
        <f>IFERROR(VLOOKUP(AQ206,'[2]Harga &amp; Nama CSO'!$A$116:$R$136,13,FALSE),0)*AV206</f>
        <v>0</v>
      </c>
      <c r="BI206" s="44">
        <f>IFERROR(VLOOKUP(AQ206,'[2]Harga &amp; Nama CSO'!$A$116:$R$136,14,FALSE),0)*AV206</f>
        <v>0</v>
      </c>
      <c r="BJ206" s="44">
        <f>IFERROR(VLOOKUP(AQ206,'[2]Harga &amp; Nama CSO'!$A$116:$R$136,15,FALSE),0)*AV206</f>
        <v>0</v>
      </c>
      <c r="BK206" s="44">
        <f>IFERROR(VLOOKUP(AQ206,'[2]Harga &amp; Nama CSO'!$A$116:$R$136,16,FALSE),0)*AV206</f>
        <v>0</v>
      </c>
      <c r="BL206" s="44">
        <f>IFERROR(VLOOKUP(AQ206,'[2]Harga &amp; Nama CSO'!$A$116:$R$136,17,FALSE),0)*AV206</f>
        <v>0</v>
      </c>
      <c r="BM206" s="44">
        <f>IFERROR(VLOOKUP(AQ206,'[2]Harga &amp; Nama CSO'!$A$116:$R$136,18,FALSE),0)*AV206</f>
        <v>0</v>
      </c>
      <c r="BN206" s="44">
        <f>IFERROR(VLOOKUP(AQ206,'[2]Harga &amp; Nama CSO'!$A$116:$S$136,19,FALSE),0)*AV206</f>
        <v>0</v>
      </c>
      <c r="BO206" s="55" t="e">
        <f>IFERROR(VLOOKUP(AQ206,'[2]Harga &amp; Nama CSO'!$H$2:$N$22,2,FALSE),"")*AV206</f>
        <v>#VALUE!</v>
      </c>
      <c r="BP206" s="40"/>
      <c r="BQ206" s="39"/>
      <c r="BR206" s="59"/>
      <c r="BS206" s="39"/>
      <c r="BT206" s="57" t="e">
        <f t="shared" si="35"/>
        <v>#VALUE!</v>
      </c>
      <c r="BU206" s="60"/>
      <c r="BV206" s="8" t="e">
        <v>#VALUE!</v>
      </c>
      <c r="BW206" s="58" t="e">
        <f>VLOOKUP(AQ206,'[1]Harga &amp; Nama CSO'!$A$28:$D$31,4,0)*BQ206</f>
        <v>#N/A</v>
      </c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>
        <f>IFERROR(VLOOKUP(AQ207,'[2]Harga &amp; Nama CSO'!$A$116:$L$136,2,FALSE),0)*AV207</f>
        <v>0</v>
      </c>
      <c r="AX207" s="44">
        <f>IFERROR(VLOOKUP(AQ207,'[2]Harga &amp; Nama CSO'!$A$116:$L$136,3,FALSE),0)*AV207</f>
        <v>0</v>
      </c>
      <c r="AY207" s="44">
        <f>IFERROR(VLOOKUP(AQ207,'[2]Harga &amp; Nama CSO'!$A$116:$L$136,4,FALSE),0)*AV207</f>
        <v>0</v>
      </c>
      <c r="AZ207" s="44">
        <f>IFERROR(VLOOKUP(AQ207,'[2]Harga &amp; Nama CSO'!$A$116:$L$136,5,FALSE),0)*AV207</f>
        <v>0</v>
      </c>
      <c r="BA207" s="44">
        <f>IFERROR(VLOOKUP(AQ207,'[2]Harga &amp; Nama CSO'!$A$116:$L$136,6,FALSE),0)*AV207</f>
        <v>0</v>
      </c>
      <c r="BB207" s="44">
        <f>IFERROR(VLOOKUP(AQ207,'[2]Harga &amp; Nama CSO'!$A$116:$L$136,7,FALSE),0)*AV207</f>
        <v>0</v>
      </c>
      <c r="BC207" s="44">
        <f>IFERROR(VLOOKUP(AQ207,'[2]Harga &amp; Nama CSO'!$A$116:$L$136,8,FALSE),0)*AV207</f>
        <v>0</v>
      </c>
      <c r="BD207" s="44">
        <f>IFERROR(VLOOKUP(AQ207,'[2]Harga &amp; Nama CSO'!$A$116:$L$136,9,FALSE),0)*AV207</f>
        <v>0</v>
      </c>
      <c r="BE207" s="44">
        <f>IFERROR(VLOOKUP(AQ207,'[2]Harga &amp; Nama CSO'!$A$116:$L$136,10,FALSE),0)*AV207</f>
        <v>0</v>
      </c>
      <c r="BF207" s="44">
        <f>IFERROR(VLOOKUP(AQ207,'[2]Harga &amp; Nama CSO'!$A$116:$L$136,11,FALSE),0)*AV207</f>
        <v>0</v>
      </c>
      <c r="BG207" s="44">
        <f>IFERROR(VLOOKUP(AQ207,'[2]Harga &amp; Nama CSO'!$A$116:$L$136,12,FALSE),0)*AV207</f>
        <v>0</v>
      </c>
      <c r="BH207" s="44">
        <f>IFERROR(VLOOKUP(AQ207,'[2]Harga &amp; Nama CSO'!$A$116:$R$136,13,FALSE),0)*AV207</f>
        <v>0</v>
      </c>
      <c r="BI207" s="44">
        <f>IFERROR(VLOOKUP(AQ207,'[2]Harga &amp; Nama CSO'!$A$116:$R$136,14,FALSE),0)*AV207</f>
        <v>0</v>
      </c>
      <c r="BJ207" s="44">
        <f>IFERROR(VLOOKUP(AQ207,'[2]Harga &amp; Nama CSO'!$A$116:$R$136,15,FALSE),0)*AV207</f>
        <v>0</v>
      </c>
      <c r="BK207" s="44">
        <f>IFERROR(VLOOKUP(AQ207,'[2]Harga &amp; Nama CSO'!$A$116:$R$136,16,FALSE),0)*AV207</f>
        <v>0</v>
      </c>
      <c r="BL207" s="44">
        <f>IFERROR(VLOOKUP(AQ207,'[2]Harga &amp; Nama CSO'!$A$116:$R$136,17,FALSE),0)*AV207</f>
        <v>0</v>
      </c>
      <c r="BM207" s="44">
        <f>IFERROR(VLOOKUP(AQ207,'[2]Harga &amp; Nama CSO'!$A$116:$R$136,18,FALSE),0)*AV207</f>
        <v>0</v>
      </c>
      <c r="BN207" s="44">
        <f>IFERROR(VLOOKUP(AQ207,'[2]Harga &amp; Nama CSO'!$A$116:$S$136,19,FALSE),0)*AV207</f>
        <v>0</v>
      </c>
      <c r="BO207" s="55" t="e">
        <f>IFERROR(VLOOKUP(AQ207,'[2]Harga &amp; Nama CSO'!$H$2:$N$22,2,FALSE),"")*AV207</f>
        <v>#VALUE!</v>
      </c>
      <c r="BP207" s="40"/>
      <c r="BQ207" s="39"/>
      <c r="BR207" s="59"/>
      <c r="BS207" s="39"/>
      <c r="BT207" s="57" t="e">
        <f t="shared" si="35"/>
        <v>#VALUE!</v>
      </c>
      <c r="BU207" s="60"/>
      <c r="BV207" s="8" t="e">
        <v>#VALUE!</v>
      </c>
      <c r="BW207" s="58" t="e">
        <f>VLOOKUP(AQ207,'[1]Harga &amp; Nama CSO'!$A$28:$D$31,4,0)*BQ207</f>
        <v>#N/A</v>
      </c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>
        <f>IFERROR(VLOOKUP(AQ208,'[2]Harga &amp; Nama CSO'!$A$116:$L$136,2,FALSE),0)*AV208</f>
        <v>0</v>
      </c>
      <c r="AX208" s="44">
        <f>IFERROR(VLOOKUP(AQ208,'[2]Harga &amp; Nama CSO'!$A$116:$L$136,3,FALSE),0)*AV208</f>
        <v>0</v>
      </c>
      <c r="AY208" s="44">
        <f>IFERROR(VLOOKUP(AQ208,'[2]Harga &amp; Nama CSO'!$A$116:$L$136,4,FALSE),0)*AV208</f>
        <v>0</v>
      </c>
      <c r="AZ208" s="44">
        <f>IFERROR(VLOOKUP(AQ208,'[2]Harga &amp; Nama CSO'!$A$116:$L$136,5,FALSE),0)*AV208</f>
        <v>0</v>
      </c>
      <c r="BA208" s="44">
        <f>IFERROR(VLOOKUP(AQ208,'[2]Harga &amp; Nama CSO'!$A$116:$L$136,6,FALSE),0)*AV208</f>
        <v>0</v>
      </c>
      <c r="BB208" s="44">
        <f>IFERROR(VLOOKUP(AQ208,'[2]Harga &amp; Nama CSO'!$A$116:$L$136,7,FALSE),0)*AV208</f>
        <v>0</v>
      </c>
      <c r="BC208" s="44">
        <f>IFERROR(VLOOKUP(AQ208,'[2]Harga &amp; Nama CSO'!$A$116:$L$136,8,FALSE),0)*AV208</f>
        <v>0</v>
      </c>
      <c r="BD208" s="44">
        <f>IFERROR(VLOOKUP(AQ208,'[2]Harga &amp; Nama CSO'!$A$116:$L$136,9,FALSE),0)*AV208</f>
        <v>0</v>
      </c>
      <c r="BE208" s="44">
        <f>IFERROR(VLOOKUP(AQ208,'[2]Harga &amp; Nama CSO'!$A$116:$L$136,10,FALSE),0)*AV208</f>
        <v>0</v>
      </c>
      <c r="BF208" s="44">
        <f>IFERROR(VLOOKUP(AQ208,'[2]Harga &amp; Nama CSO'!$A$116:$L$136,11,FALSE),0)*AV208</f>
        <v>0</v>
      </c>
      <c r="BG208" s="44">
        <f>IFERROR(VLOOKUP(AQ208,'[2]Harga &amp; Nama CSO'!$A$116:$L$136,12,FALSE),0)*AV208</f>
        <v>0</v>
      </c>
      <c r="BH208" s="44">
        <f>IFERROR(VLOOKUP(AQ208,'[2]Harga &amp; Nama CSO'!$A$116:$R$136,13,FALSE),0)*AV208</f>
        <v>0</v>
      </c>
      <c r="BI208" s="44">
        <f>IFERROR(VLOOKUP(AQ208,'[2]Harga &amp; Nama CSO'!$A$116:$R$136,14,FALSE),0)*AV208</f>
        <v>0</v>
      </c>
      <c r="BJ208" s="44">
        <f>IFERROR(VLOOKUP(AQ208,'[2]Harga &amp; Nama CSO'!$A$116:$R$136,15,FALSE),0)*AV208</f>
        <v>0</v>
      </c>
      <c r="BK208" s="44">
        <f>IFERROR(VLOOKUP(AQ208,'[2]Harga &amp; Nama CSO'!$A$116:$R$136,16,FALSE),0)*AV208</f>
        <v>0</v>
      </c>
      <c r="BL208" s="44">
        <f>IFERROR(VLOOKUP(AQ208,'[2]Harga &amp; Nama CSO'!$A$116:$R$136,17,FALSE),0)*AV208</f>
        <v>0</v>
      </c>
      <c r="BM208" s="44">
        <f>IFERROR(VLOOKUP(AQ208,'[2]Harga &amp; Nama CSO'!$A$116:$R$136,18,FALSE),0)*AV208</f>
        <v>0</v>
      </c>
      <c r="BN208" s="44">
        <f>IFERROR(VLOOKUP(AQ208,'[2]Harga &amp; Nama CSO'!$A$116:$S$136,19,FALSE),0)*AV208</f>
        <v>0</v>
      </c>
      <c r="BO208" s="55" t="e">
        <f>IFERROR(VLOOKUP(AQ208,'[2]Harga &amp; Nama CSO'!$H$2:$N$22,2,FALSE),"")*AV208</f>
        <v>#VALUE!</v>
      </c>
      <c r="BP208" s="40"/>
      <c r="BQ208" s="39"/>
      <c r="BR208" s="59"/>
      <c r="BS208" s="39"/>
      <c r="BT208" s="57" t="e">
        <f t="shared" si="35"/>
        <v>#VALUE!</v>
      </c>
      <c r="BU208" s="60"/>
      <c r="BV208" s="8" t="e">
        <v>#VALUE!</v>
      </c>
      <c r="BW208" s="58" t="e">
        <f>VLOOKUP(AQ208,'[1]Harga &amp; Nama CSO'!$A$28:$D$31,4,0)*BQ208</f>
        <v>#N/A</v>
      </c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>
        <f>IFERROR(VLOOKUP(AQ209,'[2]Harga &amp; Nama CSO'!$A$116:$L$136,2,FALSE),0)*AV209</f>
        <v>0</v>
      </c>
      <c r="AX209" s="44">
        <f>IFERROR(VLOOKUP(AQ209,'[2]Harga &amp; Nama CSO'!$A$116:$L$136,3,FALSE),0)*AV209</f>
        <v>0</v>
      </c>
      <c r="AY209" s="44">
        <f>IFERROR(VLOOKUP(AQ209,'[2]Harga &amp; Nama CSO'!$A$116:$L$136,4,FALSE),0)*AV209</f>
        <v>0</v>
      </c>
      <c r="AZ209" s="44">
        <f>IFERROR(VLOOKUP(AQ209,'[2]Harga &amp; Nama CSO'!$A$116:$L$136,5,FALSE),0)*AV209</f>
        <v>0</v>
      </c>
      <c r="BA209" s="44">
        <f>IFERROR(VLOOKUP(AQ209,'[2]Harga &amp; Nama CSO'!$A$116:$L$136,6,FALSE),0)*AV209</f>
        <v>0</v>
      </c>
      <c r="BB209" s="44">
        <f>IFERROR(VLOOKUP(AQ209,'[2]Harga &amp; Nama CSO'!$A$116:$L$136,7,FALSE),0)*AV209</f>
        <v>0</v>
      </c>
      <c r="BC209" s="44">
        <f>IFERROR(VLOOKUP(AQ209,'[2]Harga &amp; Nama CSO'!$A$116:$L$136,8,FALSE),0)*AV209</f>
        <v>0</v>
      </c>
      <c r="BD209" s="44">
        <f>IFERROR(VLOOKUP(AQ209,'[2]Harga &amp; Nama CSO'!$A$116:$L$136,9,FALSE),0)*AV209</f>
        <v>0</v>
      </c>
      <c r="BE209" s="44">
        <f>IFERROR(VLOOKUP(AQ209,'[2]Harga &amp; Nama CSO'!$A$116:$L$136,10,FALSE),0)*AV209</f>
        <v>0</v>
      </c>
      <c r="BF209" s="44">
        <f>IFERROR(VLOOKUP(AQ209,'[2]Harga &amp; Nama CSO'!$A$116:$L$136,11,FALSE),0)*AV209</f>
        <v>0</v>
      </c>
      <c r="BG209" s="44">
        <f>IFERROR(VLOOKUP(AQ209,'[2]Harga &amp; Nama CSO'!$A$116:$L$136,12,FALSE),0)*AV209</f>
        <v>0</v>
      </c>
      <c r="BH209" s="44">
        <f>IFERROR(VLOOKUP(AQ209,'[2]Harga &amp; Nama CSO'!$A$116:$R$136,13,FALSE),0)*AV209</f>
        <v>0</v>
      </c>
      <c r="BI209" s="44">
        <f>IFERROR(VLOOKUP(AQ209,'[2]Harga &amp; Nama CSO'!$A$116:$R$136,14,FALSE),0)*AV209</f>
        <v>0</v>
      </c>
      <c r="BJ209" s="44">
        <f>IFERROR(VLOOKUP(AQ209,'[2]Harga &amp; Nama CSO'!$A$116:$R$136,15,FALSE),0)*AV209</f>
        <v>0</v>
      </c>
      <c r="BK209" s="44">
        <f>IFERROR(VLOOKUP(AQ209,'[2]Harga &amp; Nama CSO'!$A$116:$R$136,16,FALSE),0)*AV209</f>
        <v>0</v>
      </c>
      <c r="BL209" s="44">
        <f>IFERROR(VLOOKUP(AQ209,'[2]Harga &amp; Nama CSO'!$A$116:$R$136,17,FALSE),0)*AV209</f>
        <v>0</v>
      </c>
      <c r="BM209" s="44">
        <f>IFERROR(VLOOKUP(AQ209,'[2]Harga &amp; Nama CSO'!$A$116:$R$136,18,FALSE),0)*AV209</f>
        <v>0</v>
      </c>
      <c r="BN209" s="44">
        <f>IFERROR(VLOOKUP(AQ209,'[2]Harga &amp; Nama CSO'!$A$116:$S$136,19,FALSE),0)*AV209</f>
        <v>0</v>
      </c>
      <c r="BO209" s="55" t="e">
        <f>IFERROR(VLOOKUP(AQ209,'[2]Harga &amp; Nama CSO'!$H$2:$N$22,2,FALSE),"")*AV209</f>
        <v>#VALUE!</v>
      </c>
      <c r="BP209" s="40"/>
      <c r="BQ209" s="39"/>
      <c r="BR209" s="59"/>
      <c r="BS209" s="39"/>
      <c r="BT209" s="57" t="e">
        <f t="shared" si="35"/>
        <v>#VALUE!</v>
      </c>
      <c r="BU209" s="60"/>
      <c r="BV209" s="8" t="e">
        <v>#VALUE!</v>
      </c>
      <c r="BW209" s="58" t="e">
        <f>VLOOKUP(AQ209,'[1]Harga &amp; Nama CSO'!$A$28:$D$31,4,0)*BQ209</f>
        <v>#N/A</v>
      </c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>
        <f>IFERROR(VLOOKUP(AQ210,'[2]Harga &amp; Nama CSO'!$A$116:$L$136,2,FALSE),0)*AV210</f>
        <v>0</v>
      </c>
      <c r="AX210" s="44">
        <f>IFERROR(VLOOKUP(AQ210,'[2]Harga &amp; Nama CSO'!$A$116:$L$136,3,FALSE),0)*AV210</f>
        <v>0</v>
      </c>
      <c r="AY210" s="44">
        <f>IFERROR(VLOOKUP(AQ210,'[2]Harga &amp; Nama CSO'!$A$116:$L$136,4,FALSE),0)*AV210</f>
        <v>0</v>
      </c>
      <c r="AZ210" s="44">
        <f>IFERROR(VLOOKUP(AQ210,'[2]Harga &amp; Nama CSO'!$A$116:$L$136,5,FALSE),0)*AV210</f>
        <v>0</v>
      </c>
      <c r="BA210" s="44">
        <f>IFERROR(VLOOKUP(AQ210,'[2]Harga &amp; Nama CSO'!$A$116:$L$136,6,FALSE),0)*AV210</f>
        <v>0</v>
      </c>
      <c r="BB210" s="44">
        <f>IFERROR(VLOOKUP(AQ210,'[2]Harga &amp; Nama CSO'!$A$116:$L$136,7,FALSE),0)*AV210</f>
        <v>0</v>
      </c>
      <c r="BC210" s="44">
        <f>IFERROR(VLOOKUP(AQ210,'[2]Harga &amp; Nama CSO'!$A$116:$L$136,8,FALSE),0)*AV210</f>
        <v>0</v>
      </c>
      <c r="BD210" s="44">
        <f>IFERROR(VLOOKUP(AQ210,'[2]Harga &amp; Nama CSO'!$A$116:$L$136,9,FALSE),0)*AV210</f>
        <v>0</v>
      </c>
      <c r="BE210" s="44">
        <f>IFERROR(VLOOKUP(AQ210,'[2]Harga &amp; Nama CSO'!$A$116:$L$136,10,FALSE),0)*AV210</f>
        <v>0</v>
      </c>
      <c r="BF210" s="44">
        <f>IFERROR(VLOOKUP(AQ210,'[2]Harga &amp; Nama CSO'!$A$116:$L$136,11,FALSE),0)*AV210</f>
        <v>0</v>
      </c>
      <c r="BG210" s="44">
        <f>IFERROR(VLOOKUP(AQ210,'[2]Harga &amp; Nama CSO'!$A$116:$L$136,12,FALSE),0)*AV210</f>
        <v>0</v>
      </c>
      <c r="BH210" s="44">
        <f>IFERROR(VLOOKUP(AQ210,'[2]Harga &amp; Nama CSO'!$A$116:$R$136,13,FALSE),0)*AV210</f>
        <v>0</v>
      </c>
      <c r="BI210" s="44">
        <f>IFERROR(VLOOKUP(AQ210,'[2]Harga &amp; Nama CSO'!$A$116:$R$136,14,FALSE),0)*AV210</f>
        <v>0</v>
      </c>
      <c r="BJ210" s="44">
        <f>IFERROR(VLOOKUP(AQ210,'[2]Harga &amp; Nama CSO'!$A$116:$R$136,15,FALSE),0)*AV210</f>
        <v>0</v>
      </c>
      <c r="BK210" s="44">
        <f>IFERROR(VLOOKUP(AQ210,'[2]Harga &amp; Nama CSO'!$A$116:$R$136,16,FALSE),0)*AV210</f>
        <v>0</v>
      </c>
      <c r="BL210" s="44">
        <f>IFERROR(VLOOKUP(AQ210,'[2]Harga &amp; Nama CSO'!$A$116:$R$136,17,FALSE),0)*AV210</f>
        <v>0</v>
      </c>
      <c r="BM210" s="44">
        <f>IFERROR(VLOOKUP(AQ210,'[2]Harga &amp; Nama CSO'!$A$116:$R$136,18,FALSE),0)*AV210</f>
        <v>0</v>
      </c>
      <c r="BN210" s="44">
        <f>IFERROR(VLOOKUP(AQ210,'[2]Harga &amp; Nama CSO'!$A$116:$S$136,19,FALSE),0)*AV210</f>
        <v>0</v>
      </c>
      <c r="BO210" s="55" t="e">
        <f>IFERROR(VLOOKUP(AQ210,'[2]Harga &amp; Nama CSO'!$H$2:$N$22,2,FALSE),"")*AV210</f>
        <v>#VALUE!</v>
      </c>
      <c r="BP210" s="40"/>
      <c r="BQ210" s="39"/>
      <c r="BR210" s="59"/>
      <c r="BS210" s="39"/>
      <c r="BT210" s="57" t="e">
        <f t="shared" si="35"/>
        <v>#VALUE!</v>
      </c>
      <c r="BU210" s="60"/>
      <c r="BV210" s="8" t="e">
        <v>#VALUE!</v>
      </c>
      <c r="BW210" s="58" t="e">
        <f>VLOOKUP(AQ210,'[1]Harga &amp; Nama CSO'!$A$28:$D$31,4,0)*BQ210</f>
        <v>#N/A</v>
      </c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>
        <f>IFERROR(VLOOKUP(AQ211,'[2]Harga &amp; Nama CSO'!$A$116:$L$136,2,FALSE),0)*AV211</f>
        <v>0</v>
      </c>
      <c r="AX211" s="44">
        <f>IFERROR(VLOOKUP(AQ211,'[2]Harga &amp; Nama CSO'!$A$116:$L$136,3,FALSE),0)*AV211</f>
        <v>0</v>
      </c>
      <c r="AY211" s="44">
        <f>IFERROR(VLOOKUP(AQ211,'[2]Harga &amp; Nama CSO'!$A$116:$L$136,4,FALSE),0)*AV211</f>
        <v>0</v>
      </c>
      <c r="AZ211" s="44">
        <f>IFERROR(VLOOKUP(AQ211,'[2]Harga &amp; Nama CSO'!$A$116:$L$136,5,FALSE),0)*AV211</f>
        <v>0</v>
      </c>
      <c r="BA211" s="44">
        <f>IFERROR(VLOOKUP(AQ211,'[2]Harga &amp; Nama CSO'!$A$116:$L$136,6,FALSE),0)*AV211</f>
        <v>0</v>
      </c>
      <c r="BB211" s="44">
        <f>IFERROR(VLOOKUP(AQ211,'[2]Harga &amp; Nama CSO'!$A$116:$L$136,7,FALSE),0)*AV211</f>
        <v>0</v>
      </c>
      <c r="BC211" s="44">
        <f>IFERROR(VLOOKUP(AQ211,'[2]Harga &amp; Nama CSO'!$A$116:$L$136,8,FALSE),0)*AV211</f>
        <v>0</v>
      </c>
      <c r="BD211" s="44">
        <f>IFERROR(VLOOKUP(AQ211,'[2]Harga &amp; Nama CSO'!$A$116:$L$136,9,FALSE),0)*AV211</f>
        <v>0</v>
      </c>
      <c r="BE211" s="44">
        <f>IFERROR(VLOOKUP(AQ211,'[2]Harga &amp; Nama CSO'!$A$116:$L$136,10,FALSE),0)*AV211</f>
        <v>0</v>
      </c>
      <c r="BF211" s="44">
        <f>IFERROR(VLOOKUP(AQ211,'[2]Harga &amp; Nama CSO'!$A$116:$L$136,11,FALSE),0)*AV211</f>
        <v>0</v>
      </c>
      <c r="BG211" s="44">
        <f>IFERROR(VLOOKUP(AQ211,'[2]Harga &amp; Nama CSO'!$A$116:$L$136,12,FALSE),0)*AV211</f>
        <v>0</v>
      </c>
      <c r="BH211" s="44">
        <f>IFERROR(VLOOKUP(AQ211,'[2]Harga &amp; Nama CSO'!$A$116:$R$136,13,FALSE),0)*AV211</f>
        <v>0</v>
      </c>
      <c r="BI211" s="44">
        <f>IFERROR(VLOOKUP(AQ211,'[2]Harga &amp; Nama CSO'!$A$116:$R$136,14,FALSE),0)*AV211</f>
        <v>0</v>
      </c>
      <c r="BJ211" s="44">
        <f>IFERROR(VLOOKUP(AQ211,'[2]Harga &amp; Nama CSO'!$A$116:$R$136,15,FALSE),0)*AV211</f>
        <v>0</v>
      </c>
      <c r="BK211" s="44">
        <f>IFERROR(VLOOKUP(AQ211,'[2]Harga &amp; Nama CSO'!$A$116:$R$136,16,FALSE),0)*AV211</f>
        <v>0</v>
      </c>
      <c r="BL211" s="44">
        <f>IFERROR(VLOOKUP(AQ211,'[2]Harga &amp; Nama CSO'!$A$116:$R$136,17,FALSE),0)*AV211</f>
        <v>0</v>
      </c>
      <c r="BM211" s="44">
        <f>IFERROR(VLOOKUP(AQ211,'[2]Harga &amp; Nama CSO'!$A$116:$R$136,18,FALSE),0)*AV211</f>
        <v>0</v>
      </c>
      <c r="BN211" s="44">
        <f>IFERROR(VLOOKUP(AQ211,'[2]Harga &amp; Nama CSO'!$A$116:$S$136,19,FALSE),0)*AV211</f>
        <v>0</v>
      </c>
      <c r="BO211" s="55" t="e">
        <f>IFERROR(VLOOKUP(AQ211,'[2]Harga &amp; Nama CSO'!$H$2:$N$22,2,FALSE),"")*AV211</f>
        <v>#VALUE!</v>
      </c>
      <c r="BP211" s="40"/>
      <c r="BQ211" s="39"/>
      <c r="BR211" s="59"/>
      <c r="BS211" s="39"/>
      <c r="BT211" s="57" t="e">
        <f t="shared" si="35"/>
        <v>#VALUE!</v>
      </c>
      <c r="BU211" s="60"/>
      <c r="BV211" s="8" t="e">
        <v>#VALUE!</v>
      </c>
      <c r="BW211" s="58" t="e">
        <f>VLOOKUP(AQ211,'[1]Harga &amp; Nama CSO'!$A$28:$D$31,4,0)*BQ211</f>
        <v>#N/A</v>
      </c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>
        <f>IFERROR(VLOOKUP(AQ212,'[2]Harga &amp; Nama CSO'!$A$116:$L$136,2,FALSE),0)*AV212</f>
        <v>0</v>
      </c>
      <c r="AX212" s="44">
        <f>IFERROR(VLOOKUP(AQ212,'[2]Harga &amp; Nama CSO'!$A$116:$L$136,3,FALSE),0)*AV212</f>
        <v>0</v>
      </c>
      <c r="AY212" s="44">
        <f>IFERROR(VLOOKUP(AQ212,'[2]Harga &amp; Nama CSO'!$A$116:$L$136,4,FALSE),0)*AV212</f>
        <v>0</v>
      </c>
      <c r="AZ212" s="44">
        <f>IFERROR(VLOOKUP(AQ212,'[2]Harga &amp; Nama CSO'!$A$116:$L$136,5,FALSE),0)*AV212</f>
        <v>0</v>
      </c>
      <c r="BA212" s="44">
        <f>IFERROR(VLOOKUP(AQ212,'[2]Harga &amp; Nama CSO'!$A$116:$L$136,6,FALSE),0)*AV212</f>
        <v>0</v>
      </c>
      <c r="BB212" s="44">
        <f>IFERROR(VLOOKUP(AQ212,'[2]Harga &amp; Nama CSO'!$A$116:$L$136,7,FALSE),0)*AV212</f>
        <v>0</v>
      </c>
      <c r="BC212" s="44">
        <f>IFERROR(VLOOKUP(AQ212,'[2]Harga &amp; Nama CSO'!$A$116:$L$136,8,FALSE),0)*AV212</f>
        <v>0</v>
      </c>
      <c r="BD212" s="44">
        <f>IFERROR(VLOOKUP(AQ212,'[2]Harga &amp; Nama CSO'!$A$116:$L$136,9,FALSE),0)*AV212</f>
        <v>0</v>
      </c>
      <c r="BE212" s="44">
        <f>IFERROR(VLOOKUP(AQ212,'[2]Harga &amp; Nama CSO'!$A$116:$L$136,10,FALSE),0)*AV212</f>
        <v>0</v>
      </c>
      <c r="BF212" s="44">
        <f>IFERROR(VLOOKUP(AQ212,'[2]Harga &amp; Nama CSO'!$A$116:$L$136,11,FALSE),0)*AV212</f>
        <v>0</v>
      </c>
      <c r="BG212" s="44">
        <f>IFERROR(VLOOKUP(AQ212,'[2]Harga &amp; Nama CSO'!$A$116:$L$136,12,FALSE),0)*AV212</f>
        <v>0</v>
      </c>
      <c r="BH212" s="44">
        <f>IFERROR(VLOOKUP(AQ212,'[2]Harga &amp; Nama CSO'!$A$116:$R$136,13,FALSE),0)*AV212</f>
        <v>0</v>
      </c>
      <c r="BI212" s="44">
        <f>IFERROR(VLOOKUP(AQ212,'[2]Harga &amp; Nama CSO'!$A$116:$R$136,14,FALSE),0)*AV212</f>
        <v>0</v>
      </c>
      <c r="BJ212" s="44">
        <f>IFERROR(VLOOKUP(AQ212,'[2]Harga &amp; Nama CSO'!$A$116:$R$136,15,FALSE),0)*AV212</f>
        <v>0</v>
      </c>
      <c r="BK212" s="44">
        <f>IFERROR(VLOOKUP(AQ212,'[2]Harga &amp; Nama CSO'!$A$116:$R$136,16,FALSE),0)*AV212</f>
        <v>0</v>
      </c>
      <c r="BL212" s="44">
        <f>IFERROR(VLOOKUP(AQ212,'[2]Harga &amp; Nama CSO'!$A$116:$R$136,17,FALSE),0)*AV212</f>
        <v>0</v>
      </c>
      <c r="BM212" s="44">
        <f>IFERROR(VLOOKUP(AQ212,'[2]Harga &amp; Nama CSO'!$A$116:$R$136,18,FALSE),0)*AV212</f>
        <v>0</v>
      </c>
      <c r="BN212" s="44">
        <f>IFERROR(VLOOKUP(AQ212,'[2]Harga &amp; Nama CSO'!$A$116:$S$136,19,FALSE),0)*AV212</f>
        <v>0</v>
      </c>
      <c r="BO212" s="55" t="e">
        <f>IFERROR(VLOOKUP(AQ212,'[2]Harga &amp; Nama CSO'!$H$2:$N$22,2,FALSE),"")*AV212</f>
        <v>#VALUE!</v>
      </c>
      <c r="BP212" s="40"/>
      <c r="BQ212" s="39"/>
      <c r="BR212" s="59"/>
      <c r="BS212" s="39"/>
      <c r="BT212" s="57" t="e">
        <f t="shared" si="35"/>
        <v>#VALUE!</v>
      </c>
      <c r="BU212" s="60"/>
      <c r="BV212" s="8" t="e">
        <v>#VALUE!</v>
      </c>
      <c r="BW212" s="58" t="e">
        <f>VLOOKUP(AQ212,'[1]Harga &amp; Nama CSO'!$A$28:$D$31,4,0)*BQ212</f>
        <v>#N/A</v>
      </c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>
        <f>IFERROR(VLOOKUP(AQ213,'[2]Harga &amp; Nama CSO'!$A$116:$L$136,2,FALSE),0)*AV213</f>
        <v>0</v>
      </c>
      <c r="AX213" s="44">
        <f>IFERROR(VLOOKUP(AQ213,'[2]Harga &amp; Nama CSO'!$A$116:$L$136,3,FALSE),0)*AV213</f>
        <v>0</v>
      </c>
      <c r="AY213" s="44">
        <f>IFERROR(VLOOKUP(AQ213,'[2]Harga &amp; Nama CSO'!$A$116:$L$136,4,FALSE),0)*AV213</f>
        <v>0</v>
      </c>
      <c r="AZ213" s="44">
        <f>IFERROR(VLOOKUP(AQ213,'[2]Harga &amp; Nama CSO'!$A$116:$L$136,5,FALSE),0)*AV213</f>
        <v>0</v>
      </c>
      <c r="BA213" s="44">
        <f>IFERROR(VLOOKUP(AQ213,'[2]Harga &amp; Nama CSO'!$A$116:$L$136,6,FALSE),0)*AV213</f>
        <v>0</v>
      </c>
      <c r="BB213" s="44">
        <f>IFERROR(VLOOKUP(AQ213,'[2]Harga &amp; Nama CSO'!$A$116:$L$136,7,FALSE),0)*AV213</f>
        <v>0</v>
      </c>
      <c r="BC213" s="44">
        <f>IFERROR(VLOOKUP(AQ213,'[2]Harga &amp; Nama CSO'!$A$116:$L$136,8,FALSE),0)*AV213</f>
        <v>0</v>
      </c>
      <c r="BD213" s="44">
        <f>IFERROR(VLOOKUP(AQ213,'[2]Harga &amp; Nama CSO'!$A$116:$L$136,9,FALSE),0)*AV213</f>
        <v>0</v>
      </c>
      <c r="BE213" s="44">
        <f>IFERROR(VLOOKUP(AQ213,'[2]Harga &amp; Nama CSO'!$A$116:$L$136,10,FALSE),0)*AV213</f>
        <v>0</v>
      </c>
      <c r="BF213" s="44">
        <f>IFERROR(VLOOKUP(AQ213,'[2]Harga &amp; Nama CSO'!$A$116:$L$136,11,FALSE),0)*AV213</f>
        <v>0</v>
      </c>
      <c r="BG213" s="44">
        <f>IFERROR(VLOOKUP(AQ213,'[2]Harga &amp; Nama CSO'!$A$116:$L$136,12,FALSE),0)*AV213</f>
        <v>0</v>
      </c>
      <c r="BH213" s="44">
        <f>IFERROR(VLOOKUP(AQ213,'[2]Harga &amp; Nama CSO'!$A$116:$R$136,13,FALSE),0)*AV213</f>
        <v>0</v>
      </c>
      <c r="BI213" s="44">
        <f>IFERROR(VLOOKUP(AQ213,'[2]Harga &amp; Nama CSO'!$A$116:$R$136,14,FALSE),0)*AV213</f>
        <v>0</v>
      </c>
      <c r="BJ213" s="44">
        <f>IFERROR(VLOOKUP(AQ213,'[2]Harga &amp; Nama CSO'!$A$116:$R$136,15,FALSE),0)*AV213</f>
        <v>0</v>
      </c>
      <c r="BK213" s="44">
        <f>IFERROR(VLOOKUP(AQ213,'[2]Harga &amp; Nama CSO'!$A$116:$R$136,16,FALSE),0)*AV213</f>
        <v>0</v>
      </c>
      <c r="BL213" s="44">
        <f>IFERROR(VLOOKUP(AQ213,'[2]Harga &amp; Nama CSO'!$A$116:$R$136,17,FALSE),0)*AV213</f>
        <v>0</v>
      </c>
      <c r="BM213" s="44">
        <f>IFERROR(VLOOKUP(AQ213,'[2]Harga &amp; Nama CSO'!$A$116:$R$136,18,FALSE),0)*AV213</f>
        <v>0</v>
      </c>
      <c r="BN213" s="44">
        <f>IFERROR(VLOOKUP(AQ213,'[2]Harga &amp; Nama CSO'!$A$116:$S$136,19,FALSE),0)*AV213</f>
        <v>0</v>
      </c>
      <c r="BO213" s="55" t="e">
        <f>IFERROR(VLOOKUP(AQ213,'[2]Harga &amp; Nama CSO'!$H$2:$N$22,2,FALSE),"")*AV213</f>
        <v>#VALUE!</v>
      </c>
      <c r="BP213" s="40"/>
      <c r="BQ213" s="39"/>
      <c r="BR213" s="59"/>
      <c r="BS213" s="39"/>
      <c r="BT213" s="57" t="e">
        <f t="shared" ref="BT195:BT213" si="36">BO213-BR213</f>
        <v>#VALUE!</v>
      </c>
      <c r="BU213" s="60"/>
      <c r="BV213" s="8" t="e">
        <v>#VALUE!</v>
      </c>
      <c r="BW213" s="58" t="e">
        <f>VLOOKUP(AQ213,'[1]Harga &amp; Nama CSO'!$A$28:$D$31,4,0)*BQ213</f>
        <v>#N/A</v>
      </c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44">
        <f>IFERROR(VLOOKUP(AQ215,'[2]Harga &amp; Nama CSO'!$A$116:$S$136,19,FALSE),0)*AV215</f>
        <v>0</v>
      </c>
      <c r="BO214" s="55" t="e">
        <f>IFERROR(VLOOKUP(AQ214,'[1]Harga &amp; Nama CSO'!$H$2:$N$22,2,FALSE),"")*AV214</f>
        <v>#VALUE!</v>
      </c>
      <c r="BP214" s="40"/>
      <c r="BQ214" s="39"/>
      <c r="BR214" s="59"/>
      <c r="BS214" s="39"/>
      <c r="BT214" s="57" t="e">
        <f t="shared" ref="BT195:BT258" si="37">BO214-BR214</f>
        <v>#VALUE!</v>
      </c>
      <c r="BU214" s="60"/>
      <c r="BV214" s="8" t="e">
        <v>#VALUE!</v>
      </c>
      <c r="BW214" s="58" t="e">
        <f>VLOOKUP(AQ214,'[1]Harga &amp; Nama CSO'!$A$28:$D$31,4,0)*BQ214</f>
        <v>#N/A</v>
      </c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44">
        <f>IFERROR(VLOOKUP(AQ216,'[2]Harga &amp; Nama CSO'!$A$116:$S$136,19,FALSE),0)*AV216</f>
        <v>0</v>
      </c>
      <c r="BO215" s="55" t="e">
        <f>IFERROR(VLOOKUP(AQ215,'[1]Harga &amp; Nama CSO'!$H$2:$N$22,2,FALSE),"")*AV215</f>
        <v>#VALUE!</v>
      </c>
      <c r="BP215" s="40"/>
      <c r="BQ215" s="39"/>
      <c r="BR215" s="59"/>
      <c r="BS215" s="39"/>
      <c r="BT215" s="57" t="e">
        <f t="shared" si="37"/>
        <v>#VALUE!</v>
      </c>
      <c r="BU215" s="60"/>
      <c r="BV215" s="8" t="e">
        <v>#VALUE!</v>
      </c>
      <c r="BW215" s="58" t="e">
        <f>VLOOKUP(AQ215,'[1]Harga &amp; Nama CSO'!$A$28:$D$31,4,0)*BQ215</f>
        <v>#N/A</v>
      </c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44">
        <f>IFERROR(VLOOKUP(AQ217,'[2]Harga &amp; Nama CSO'!$A$116:$S$136,19,FALSE),0)*AV217</f>
        <v>0</v>
      </c>
      <c r="BO216" s="55" t="e">
        <f>IFERROR(VLOOKUP(AQ216,'[1]Harga &amp; Nama CSO'!$H$2:$N$22,2,FALSE),"")*AV216</f>
        <v>#VALUE!</v>
      </c>
      <c r="BP216" s="40"/>
      <c r="BQ216" s="39"/>
      <c r="BR216" s="59"/>
      <c r="BS216" s="39"/>
      <c r="BT216" s="57" t="e">
        <f t="shared" si="37"/>
        <v>#VALUE!</v>
      </c>
      <c r="BU216" s="60"/>
      <c r="BV216" s="8" t="e">
        <v>#VALUE!</v>
      </c>
      <c r="BW216" s="58" t="e">
        <f>VLOOKUP(AQ216,'[1]Harga &amp; Nama CSO'!$A$28:$D$31,4,0)*BQ216</f>
        <v>#N/A</v>
      </c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44">
        <f>IFERROR(VLOOKUP(AQ218,'[2]Harga &amp; Nama CSO'!$A$116:$S$136,19,FALSE),0)*AV218</f>
        <v>0</v>
      </c>
      <c r="BO217" s="55" t="e">
        <f>IFERROR(VLOOKUP(AQ217,'[1]Harga &amp; Nama CSO'!$H$2:$N$22,2,FALSE),"")*AV217</f>
        <v>#VALUE!</v>
      </c>
      <c r="BP217" s="40"/>
      <c r="BQ217" s="39"/>
      <c r="BR217" s="59"/>
      <c r="BS217" s="39"/>
      <c r="BT217" s="57" t="e">
        <f t="shared" si="37"/>
        <v>#VALUE!</v>
      </c>
      <c r="BU217" s="60"/>
      <c r="BV217" s="8" t="e">
        <v>#VALUE!</v>
      </c>
      <c r="BW217" s="58" t="e">
        <f>VLOOKUP(AQ217,'[1]Harga &amp; Nama CSO'!$A$28:$D$31,4,0)*BQ217</f>
        <v>#N/A</v>
      </c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44">
        <f>IFERROR(VLOOKUP(AQ219,'[2]Harga &amp; Nama CSO'!$A$116:$S$136,19,FALSE),0)*AV219</f>
        <v>0</v>
      </c>
      <c r="BO218" s="55" t="e">
        <f>IFERROR(VLOOKUP(AQ218,'[1]Harga &amp; Nama CSO'!$H$2:$N$22,2,FALSE),"")*AV218</f>
        <v>#VALUE!</v>
      </c>
      <c r="BP218" s="40"/>
      <c r="BQ218" s="39"/>
      <c r="BR218" s="59"/>
      <c r="BS218" s="39"/>
      <c r="BT218" s="57" t="e">
        <f t="shared" si="37"/>
        <v>#VALUE!</v>
      </c>
      <c r="BU218" s="60"/>
      <c r="BV218" s="8" t="e">
        <v>#VALUE!</v>
      </c>
      <c r="BW218" s="58" t="e">
        <f>VLOOKUP(AQ218,'[1]Harga &amp; Nama CSO'!$A$28:$D$31,4,0)*BQ218</f>
        <v>#N/A</v>
      </c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44">
        <f>IFERROR(VLOOKUP(AQ220,'[2]Harga &amp; Nama CSO'!$A$116:$S$136,19,FALSE),0)*AV220</f>
        <v>0</v>
      </c>
      <c r="BO219" s="55" t="e">
        <f>IFERROR(VLOOKUP(AQ219,'[1]Harga &amp; Nama CSO'!$H$2:$N$22,2,FALSE),"")*AV219</f>
        <v>#VALUE!</v>
      </c>
      <c r="BP219" s="40"/>
      <c r="BQ219" s="39"/>
      <c r="BR219" s="59"/>
      <c r="BS219" s="39"/>
      <c r="BT219" s="57" t="e">
        <f t="shared" si="37"/>
        <v>#VALUE!</v>
      </c>
      <c r="BU219" s="60"/>
      <c r="BV219" s="8" t="e">
        <v>#VALUE!</v>
      </c>
      <c r="BW219" s="58" t="e">
        <f>VLOOKUP(AQ219,'[1]Harga &amp; Nama CSO'!$A$28:$D$31,4,0)*BQ219</f>
        <v>#N/A</v>
      </c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44">
        <f>IFERROR(VLOOKUP(AQ221,'[2]Harga &amp; Nama CSO'!$A$116:$S$136,19,FALSE),0)*AV221</f>
        <v>0</v>
      </c>
      <c r="BO220" s="55" t="e">
        <f>IFERROR(VLOOKUP(AQ220,'[1]Harga &amp; Nama CSO'!$H$2:$N$22,2,FALSE),"")*AV220</f>
        <v>#VALUE!</v>
      </c>
      <c r="BP220" s="40"/>
      <c r="BQ220" s="39"/>
      <c r="BR220" s="59"/>
      <c r="BS220" s="39"/>
      <c r="BT220" s="57" t="e">
        <f t="shared" si="37"/>
        <v>#VALUE!</v>
      </c>
      <c r="BU220" s="60"/>
      <c r="BV220" s="8" t="e">
        <v>#VALUE!</v>
      </c>
      <c r="BW220" s="58" t="e">
        <f>VLOOKUP(AQ220,'[1]Harga &amp; Nama CSO'!$A$28:$D$31,4,0)*BQ220</f>
        <v>#N/A</v>
      </c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44">
        <f>IFERROR(VLOOKUP(AQ222,'[2]Harga &amp; Nama CSO'!$A$116:$S$136,19,FALSE),0)*AV222</f>
        <v>0</v>
      </c>
      <c r="BO221" s="55" t="e">
        <f>IFERROR(VLOOKUP(AQ221,'[1]Harga &amp; Nama CSO'!$H$2:$N$22,2,FALSE),"")*AV221</f>
        <v>#VALUE!</v>
      </c>
      <c r="BP221" s="40"/>
      <c r="BQ221" s="39"/>
      <c r="BR221" s="59"/>
      <c r="BS221" s="39"/>
      <c r="BT221" s="57" t="e">
        <f t="shared" si="37"/>
        <v>#VALUE!</v>
      </c>
      <c r="BU221" s="60"/>
      <c r="BV221" s="8" t="e">
        <v>#VALUE!</v>
      </c>
      <c r="BW221" s="58" t="e">
        <f>VLOOKUP(AQ221,'[1]Harga &amp; Nama CSO'!$A$28:$D$31,4,0)*BQ221</f>
        <v>#N/A</v>
      </c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44">
        <f>IFERROR(VLOOKUP(AQ223,'[2]Harga &amp; Nama CSO'!$A$116:$S$136,19,FALSE),0)*AV223</f>
        <v>0</v>
      </c>
      <c r="BO222" s="55" t="e">
        <f>IFERROR(VLOOKUP(AQ222,'[1]Harga &amp; Nama CSO'!$H$2:$N$22,2,FALSE),"")*AV222</f>
        <v>#VALUE!</v>
      </c>
      <c r="BP222" s="40"/>
      <c r="BQ222" s="39"/>
      <c r="BR222" s="59"/>
      <c r="BS222" s="39"/>
      <c r="BT222" s="57" t="e">
        <f t="shared" si="37"/>
        <v>#VALUE!</v>
      </c>
      <c r="BU222" s="60"/>
      <c r="BV222" s="8" t="e">
        <v>#VALUE!</v>
      </c>
      <c r="BW222" s="58" t="e">
        <f>VLOOKUP(AQ222,'[1]Harga &amp; Nama CSO'!$A$28:$D$31,4,0)*BQ222</f>
        <v>#N/A</v>
      </c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44">
        <f>IFERROR(VLOOKUP(AQ224,'[2]Harga &amp; Nama CSO'!$A$116:$S$136,19,FALSE),0)*AV224</f>
        <v>0</v>
      </c>
      <c r="BO223" s="55" t="e">
        <f>IFERROR(VLOOKUP(AQ223,'[1]Harga &amp; Nama CSO'!$H$2:$N$22,2,FALSE),"")*AV223</f>
        <v>#VALUE!</v>
      </c>
      <c r="BP223" s="40"/>
      <c r="BQ223" s="39"/>
      <c r="BR223" s="59"/>
      <c r="BS223" s="39"/>
      <c r="BT223" s="57" t="e">
        <f t="shared" si="37"/>
        <v>#VALUE!</v>
      </c>
      <c r="BU223" s="60"/>
      <c r="BV223" s="8" t="e">
        <v>#VALUE!</v>
      </c>
      <c r="BW223" s="58" t="e">
        <f>VLOOKUP(AQ223,'[1]Harga &amp; Nama CSO'!$A$28:$D$31,4,0)*BQ223</f>
        <v>#N/A</v>
      </c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44">
        <f>IFERROR(VLOOKUP(AQ225,'[2]Harga &amp; Nama CSO'!$A$116:$S$136,19,FALSE),0)*AV225</f>
        <v>0</v>
      </c>
      <c r="BO224" s="55" t="e">
        <f>IFERROR(VLOOKUP(AQ224,'[1]Harga &amp; Nama CSO'!$H$2:$N$22,2,FALSE),"")*AV224</f>
        <v>#VALUE!</v>
      </c>
      <c r="BP224" s="40"/>
      <c r="BQ224" s="39"/>
      <c r="BR224" s="59"/>
      <c r="BS224" s="39"/>
      <c r="BT224" s="57" t="e">
        <f t="shared" si="37"/>
        <v>#VALUE!</v>
      </c>
      <c r="BU224" s="60"/>
      <c r="BV224" s="8" t="e">
        <v>#VALUE!</v>
      </c>
      <c r="BW224" s="58" t="e">
        <f>VLOOKUP(AQ224,'[1]Harga &amp; Nama CSO'!$A$28:$D$31,4,0)*BQ224</f>
        <v>#N/A</v>
      </c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44">
        <f>IFERROR(VLOOKUP(AQ226,'[2]Harga &amp; Nama CSO'!$A$116:$S$136,19,FALSE),0)*AV226</f>
        <v>0</v>
      </c>
      <c r="BO225" s="55" t="e">
        <f>IFERROR(VLOOKUP(AQ225,'[1]Harga &amp; Nama CSO'!$H$2:$N$22,2,FALSE),"")*AV225</f>
        <v>#VALUE!</v>
      </c>
      <c r="BP225" s="40"/>
      <c r="BQ225" s="39"/>
      <c r="BR225" s="59"/>
      <c r="BS225" s="39"/>
      <c r="BT225" s="57" t="e">
        <f t="shared" si="37"/>
        <v>#VALUE!</v>
      </c>
      <c r="BU225" s="60"/>
      <c r="BV225" s="8" t="e">
        <v>#VALUE!</v>
      </c>
      <c r="BW225" s="58" t="e">
        <f>VLOOKUP(AQ225,'[1]Harga &amp; Nama CSO'!$A$28:$D$31,4,0)*BQ225</f>
        <v>#N/A</v>
      </c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44">
        <f>IFERROR(VLOOKUP(AQ227,'[2]Harga &amp; Nama CSO'!$A$116:$S$136,19,FALSE),0)*AV227</f>
        <v>0</v>
      </c>
      <c r="BO226" s="55" t="e">
        <f>IFERROR(VLOOKUP(AQ226,'[1]Harga &amp; Nama CSO'!$H$2:$N$22,2,FALSE),"")*AV226</f>
        <v>#VALUE!</v>
      </c>
      <c r="BP226" s="40"/>
      <c r="BQ226" s="39"/>
      <c r="BR226" s="59"/>
      <c r="BS226" s="39"/>
      <c r="BT226" s="57" t="e">
        <f t="shared" si="37"/>
        <v>#VALUE!</v>
      </c>
      <c r="BU226" s="60"/>
      <c r="BV226" s="8" t="e">
        <v>#VALUE!</v>
      </c>
      <c r="BW226" s="58" t="e">
        <f>VLOOKUP(AQ226,'[1]Harga &amp; Nama CSO'!$A$28:$D$31,4,0)*BQ226</f>
        <v>#N/A</v>
      </c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44">
        <f>IFERROR(VLOOKUP(AQ228,'[2]Harga &amp; Nama CSO'!$A$116:$S$136,19,FALSE),0)*AV228</f>
        <v>0</v>
      </c>
      <c r="BO227" s="55" t="e">
        <f>IFERROR(VLOOKUP(AQ227,'[1]Harga &amp; Nama CSO'!$H$2:$N$22,2,FALSE),"")*AV227</f>
        <v>#VALUE!</v>
      </c>
      <c r="BP227" s="40"/>
      <c r="BQ227" s="39"/>
      <c r="BR227" s="59"/>
      <c r="BS227" s="39"/>
      <c r="BT227" s="57" t="e">
        <f t="shared" si="37"/>
        <v>#VALUE!</v>
      </c>
      <c r="BU227" s="60"/>
      <c r="BV227" s="8" t="e">
        <v>#VALUE!</v>
      </c>
      <c r="BW227" s="58" t="e">
        <f>VLOOKUP(AQ227,'[1]Harga &amp; Nama CSO'!$A$28:$D$31,4,0)*BQ227</f>
        <v>#N/A</v>
      </c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44">
        <f>IFERROR(VLOOKUP(AQ229,'[2]Harga &amp; Nama CSO'!$A$116:$S$136,19,FALSE),0)*AV229</f>
        <v>0</v>
      </c>
      <c r="BO228" s="55" t="e">
        <f>IFERROR(VLOOKUP(AQ228,'[1]Harga &amp; Nama CSO'!$H$2:$N$22,2,FALSE),"")*AV228</f>
        <v>#VALUE!</v>
      </c>
      <c r="BP228" s="40"/>
      <c r="BQ228" s="39"/>
      <c r="BR228" s="59"/>
      <c r="BS228" s="39"/>
      <c r="BT228" s="57" t="e">
        <f t="shared" si="37"/>
        <v>#VALUE!</v>
      </c>
      <c r="BU228" s="60"/>
      <c r="BV228" s="8" t="e">
        <v>#VALUE!</v>
      </c>
      <c r="BW228" s="58" t="e">
        <f>VLOOKUP(AQ228,'[1]Harga &amp; Nama CSO'!$A$28:$D$31,4,0)*BQ228</f>
        <v>#N/A</v>
      </c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44">
        <f>IFERROR(VLOOKUP(AQ230,'[2]Harga &amp; Nama CSO'!$A$116:$S$136,19,FALSE),0)*AV230</f>
        <v>0</v>
      </c>
      <c r="BO229" s="55" t="e">
        <f>IFERROR(VLOOKUP(AQ229,'[1]Harga &amp; Nama CSO'!$H$2:$N$22,2,FALSE),"")*AV229</f>
        <v>#VALUE!</v>
      </c>
      <c r="BP229" s="40"/>
      <c r="BQ229" s="39"/>
      <c r="BR229" s="59"/>
      <c r="BS229" s="39"/>
      <c r="BT229" s="57" t="e">
        <f t="shared" si="37"/>
        <v>#VALUE!</v>
      </c>
      <c r="BU229" s="60"/>
      <c r="BV229" s="8" t="e">
        <v>#VALUE!</v>
      </c>
      <c r="BW229" s="58" t="e">
        <f>VLOOKUP(AQ229,'[1]Harga &amp; Nama CSO'!$A$28:$D$31,4,0)*BQ229</f>
        <v>#N/A</v>
      </c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44">
        <f>IFERROR(VLOOKUP(AQ231,'[2]Harga &amp; Nama CSO'!$A$116:$S$136,19,FALSE),0)*AV231</f>
        <v>0</v>
      </c>
      <c r="BO230" s="55" t="e">
        <f>IFERROR(VLOOKUP(AQ230,'[1]Harga &amp; Nama CSO'!$H$2:$N$22,2,FALSE),"")*AV230</f>
        <v>#VALUE!</v>
      </c>
      <c r="BP230" s="40"/>
      <c r="BQ230" s="39"/>
      <c r="BR230" s="59"/>
      <c r="BS230" s="39"/>
      <c r="BT230" s="57" t="e">
        <f t="shared" si="37"/>
        <v>#VALUE!</v>
      </c>
      <c r="BU230" s="60"/>
      <c r="BV230" s="8" t="e">
        <v>#VALUE!</v>
      </c>
      <c r="BW230" s="58" t="e">
        <f>VLOOKUP(AQ230,'[1]Harga &amp; Nama CSO'!$A$28:$D$31,4,0)*BQ230</f>
        <v>#N/A</v>
      </c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44">
        <f>IFERROR(VLOOKUP(AQ232,'[2]Harga &amp; Nama CSO'!$A$116:$S$136,19,FALSE),0)*AV232</f>
        <v>0</v>
      </c>
      <c r="BO231" s="55" t="e">
        <f>IFERROR(VLOOKUP(AQ231,'[1]Harga &amp; Nama CSO'!$H$2:$N$22,2,FALSE),"")*AV231</f>
        <v>#VALUE!</v>
      </c>
      <c r="BP231" s="40"/>
      <c r="BQ231" s="39"/>
      <c r="BR231" s="59"/>
      <c r="BS231" s="39"/>
      <c r="BT231" s="57" t="e">
        <f t="shared" si="37"/>
        <v>#VALUE!</v>
      </c>
      <c r="BU231" s="60"/>
      <c r="BV231" s="8" t="e">
        <v>#VALUE!</v>
      </c>
      <c r="BW231" s="58" t="e">
        <f>VLOOKUP(AQ231,'[1]Harga &amp; Nama CSO'!$A$28:$D$31,4,0)*BQ231</f>
        <v>#N/A</v>
      </c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44">
        <f>IFERROR(VLOOKUP(AQ233,'[2]Harga &amp; Nama CSO'!$A$116:$S$136,19,FALSE),0)*AV233</f>
        <v>0</v>
      </c>
      <c r="BO232" s="55" t="e">
        <f>IFERROR(VLOOKUP(AQ232,'[1]Harga &amp; Nama CSO'!$H$2:$N$22,2,FALSE),"")*AV232</f>
        <v>#VALUE!</v>
      </c>
      <c r="BP232" s="40"/>
      <c r="BQ232" s="39"/>
      <c r="BR232" s="59"/>
      <c r="BS232" s="39"/>
      <c r="BT232" s="57" t="e">
        <f t="shared" si="37"/>
        <v>#VALUE!</v>
      </c>
      <c r="BU232" s="60"/>
      <c r="BV232" s="8" t="e">
        <v>#VALUE!</v>
      </c>
      <c r="BW232" s="58" t="e">
        <f>VLOOKUP(AQ232,'[1]Harga &amp; Nama CSO'!$A$28:$D$31,4,0)*BQ232</f>
        <v>#N/A</v>
      </c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44">
        <f>IFERROR(VLOOKUP(AQ234,'[2]Harga &amp; Nama CSO'!$A$116:$S$136,19,FALSE),0)*AV234</f>
        <v>0</v>
      </c>
      <c r="BO233" s="55" t="e">
        <f>IFERROR(VLOOKUP(AQ233,'[1]Harga &amp; Nama CSO'!$H$2:$N$22,2,FALSE),"")*AV233</f>
        <v>#VALUE!</v>
      </c>
      <c r="BP233" s="40"/>
      <c r="BQ233" s="39"/>
      <c r="BR233" s="59"/>
      <c r="BS233" s="39"/>
      <c r="BT233" s="57" t="e">
        <f t="shared" si="37"/>
        <v>#VALUE!</v>
      </c>
      <c r="BU233" s="60"/>
      <c r="BV233" s="8" t="e">
        <v>#VALUE!</v>
      </c>
      <c r="BW233" s="58" t="e">
        <f>VLOOKUP(AQ233,'[1]Harga &amp; Nama CSO'!$A$28:$D$31,4,0)*BQ233</f>
        <v>#N/A</v>
      </c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44">
        <f>IFERROR(VLOOKUP(AQ235,'[2]Harga &amp; Nama CSO'!$A$116:$S$136,19,FALSE),0)*AV235</f>
        <v>0</v>
      </c>
      <c r="BO234" s="55" t="e">
        <f>IFERROR(VLOOKUP(AQ234,'[1]Harga &amp; Nama CSO'!$H$2:$N$22,2,FALSE),"")*AV234</f>
        <v>#VALUE!</v>
      </c>
      <c r="BP234" s="40"/>
      <c r="BQ234" s="39"/>
      <c r="BR234" s="59"/>
      <c r="BS234" s="39"/>
      <c r="BT234" s="57" t="e">
        <f t="shared" si="37"/>
        <v>#VALUE!</v>
      </c>
      <c r="BU234" s="60"/>
      <c r="BV234" s="8" t="e">
        <v>#VALUE!</v>
      </c>
      <c r="BW234" s="58" t="e">
        <f>VLOOKUP(AQ234,'[1]Harga &amp; Nama CSO'!$A$28:$D$31,4,0)*BQ234</f>
        <v>#N/A</v>
      </c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44">
        <f>IFERROR(VLOOKUP(AQ236,'[2]Harga &amp; Nama CSO'!$A$116:$S$136,19,FALSE),0)*AV236</f>
        <v>0</v>
      </c>
      <c r="BO235" s="55" t="e">
        <f>IFERROR(VLOOKUP(AQ235,'[1]Harga &amp; Nama CSO'!$H$2:$N$22,2,FALSE),"")*AV235</f>
        <v>#VALUE!</v>
      </c>
      <c r="BP235" s="40"/>
      <c r="BQ235" s="39"/>
      <c r="BR235" s="59"/>
      <c r="BS235" s="39"/>
      <c r="BT235" s="57" t="e">
        <f t="shared" si="37"/>
        <v>#VALUE!</v>
      </c>
      <c r="BU235" s="60"/>
      <c r="BV235" s="8" t="e">
        <v>#VALUE!</v>
      </c>
      <c r="BW235" s="58" t="e">
        <f>VLOOKUP(AQ235,'[1]Harga &amp; Nama CSO'!$A$28:$D$31,4,0)*BQ235</f>
        <v>#N/A</v>
      </c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44">
        <f>IFERROR(VLOOKUP(AQ237,'[2]Harga &amp; Nama CSO'!$A$116:$S$136,19,FALSE),0)*AV237</f>
        <v>0</v>
      </c>
      <c r="BO236" s="55" t="e">
        <f>IFERROR(VLOOKUP(AQ236,'[1]Harga &amp; Nama CSO'!$H$2:$N$22,2,FALSE),"")*AV236</f>
        <v>#VALUE!</v>
      </c>
      <c r="BP236" s="40"/>
      <c r="BQ236" s="39"/>
      <c r="BR236" s="59"/>
      <c r="BS236" s="39"/>
      <c r="BT236" s="57" t="e">
        <f t="shared" si="37"/>
        <v>#VALUE!</v>
      </c>
      <c r="BU236" s="60"/>
      <c r="BV236" s="8" t="e">
        <v>#VALUE!</v>
      </c>
      <c r="BW236" s="58" t="e">
        <f>VLOOKUP(AQ236,'[1]Harga &amp; Nama CSO'!$A$28:$D$31,4,0)*BQ236</f>
        <v>#N/A</v>
      </c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44">
        <f>IFERROR(VLOOKUP(AQ238,'[2]Harga &amp; Nama CSO'!$A$116:$S$136,19,FALSE),0)*AV238</f>
        <v>0</v>
      </c>
      <c r="BO237" s="55" t="e">
        <f>IFERROR(VLOOKUP(AQ237,'[1]Harga &amp; Nama CSO'!$H$2:$N$22,2,FALSE),"")*AV237</f>
        <v>#VALUE!</v>
      </c>
      <c r="BP237" s="40"/>
      <c r="BQ237" s="39"/>
      <c r="BR237" s="59"/>
      <c r="BS237" s="39"/>
      <c r="BT237" s="57" t="e">
        <f t="shared" si="37"/>
        <v>#VALUE!</v>
      </c>
      <c r="BU237" s="60"/>
      <c r="BV237" s="8" t="e">
        <v>#VALUE!</v>
      </c>
      <c r="BW237" s="58" t="e">
        <f>VLOOKUP(AQ237,'[1]Harga &amp; Nama CSO'!$A$28:$D$31,4,0)*BQ237</f>
        <v>#N/A</v>
      </c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44">
        <f>IFERROR(VLOOKUP(AQ239,'[2]Harga &amp; Nama CSO'!$A$116:$S$136,19,FALSE),0)*AV239</f>
        <v>0</v>
      </c>
      <c r="BO238" s="55" t="e">
        <f>IFERROR(VLOOKUP(AQ238,'[1]Harga &amp; Nama CSO'!$H$2:$N$22,2,FALSE),"")*AV238</f>
        <v>#VALUE!</v>
      </c>
      <c r="BP238" s="40"/>
      <c r="BQ238" s="39"/>
      <c r="BR238" s="59"/>
      <c r="BS238" s="39"/>
      <c r="BT238" s="57" t="e">
        <f t="shared" si="37"/>
        <v>#VALUE!</v>
      </c>
      <c r="BU238" s="60"/>
      <c r="BV238" s="8" t="e">
        <v>#VALUE!</v>
      </c>
      <c r="BW238" s="58" t="e">
        <f>VLOOKUP(AQ238,'[1]Harga &amp; Nama CSO'!$A$28:$D$31,4,0)*BQ238</f>
        <v>#N/A</v>
      </c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44">
        <f>IFERROR(VLOOKUP(AQ240,'[2]Harga &amp; Nama CSO'!$A$116:$S$136,19,FALSE),0)*AV240</f>
        <v>0</v>
      </c>
      <c r="BO239" s="55" t="e">
        <f>IFERROR(VLOOKUP(AQ239,'[1]Harga &amp; Nama CSO'!$H$2:$N$22,2,FALSE),"")*AV239</f>
        <v>#VALUE!</v>
      </c>
      <c r="BP239" s="40"/>
      <c r="BQ239" s="39"/>
      <c r="BR239" s="59"/>
      <c r="BS239" s="39"/>
      <c r="BT239" s="57" t="e">
        <f t="shared" si="37"/>
        <v>#VALUE!</v>
      </c>
      <c r="BU239" s="60"/>
      <c r="BV239" s="8" t="e">
        <v>#VALUE!</v>
      </c>
      <c r="BW239" s="58" t="e">
        <f>VLOOKUP(AQ239,'[1]Harga &amp; Nama CSO'!$A$28:$D$31,4,0)*BQ239</f>
        <v>#N/A</v>
      </c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44">
        <f>IFERROR(VLOOKUP(AQ241,'[2]Harga &amp; Nama CSO'!$A$116:$S$136,19,FALSE),0)*AV241</f>
        <v>0</v>
      </c>
      <c r="BO240" s="55" t="e">
        <f>IFERROR(VLOOKUP(AQ240,'[1]Harga &amp; Nama CSO'!$H$2:$N$22,2,FALSE),"")*AV240</f>
        <v>#VALUE!</v>
      </c>
      <c r="BP240" s="40"/>
      <c r="BQ240" s="39"/>
      <c r="BR240" s="59"/>
      <c r="BS240" s="39"/>
      <c r="BT240" s="57" t="e">
        <f t="shared" si="37"/>
        <v>#VALUE!</v>
      </c>
      <c r="BU240" s="60"/>
      <c r="BV240" s="8" t="e">
        <v>#VALUE!</v>
      </c>
      <c r="BW240" s="58" t="e">
        <f>VLOOKUP(AQ240,'[1]Harga &amp; Nama CSO'!$A$28:$D$31,4,0)*BQ240</f>
        <v>#N/A</v>
      </c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44">
        <f>IFERROR(VLOOKUP(AQ242,'[2]Harga &amp; Nama CSO'!$A$116:$S$136,19,FALSE),0)*AV242</f>
        <v>0</v>
      </c>
      <c r="BO241" s="55" t="e">
        <f>IFERROR(VLOOKUP(AQ241,'[1]Harga &amp; Nama CSO'!$H$2:$N$22,2,FALSE),"")*AV241</f>
        <v>#VALUE!</v>
      </c>
      <c r="BP241" s="40"/>
      <c r="BQ241" s="39"/>
      <c r="BR241" s="59"/>
      <c r="BS241" s="39"/>
      <c r="BT241" s="57" t="e">
        <f t="shared" si="37"/>
        <v>#VALUE!</v>
      </c>
      <c r="BU241" s="60"/>
      <c r="BV241" s="8" t="e">
        <v>#VALUE!</v>
      </c>
      <c r="BW241" s="58" t="e">
        <f>VLOOKUP(AQ241,'[1]Harga &amp; Nama CSO'!$A$28:$D$31,4,0)*BQ241</f>
        <v>#N/A</v>
      </c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44">
        <f>IFERROR(VLOOKUP(AQ243,'[2]Harga &amp; Nama CSO'!$A$116:$S$136,19,FALSE),0)*AV243</f>
        <v>0</v>
      </c>
      <c r="BO242" s="55" t="e">
        <f>IFERROR(VLOOKUP(AQ242,'[1]Harga &amp; Nama CSO'!$H$2:$N$22,2,FALSE),"")*AV242</f>
        <v>#VALUE!</v>
      </c>
      <c r="BP242" s="40"/>
      <c r="BQ242" s="39"/>
      <c r="BR242" s="59"/>
      <c r="BS242" s="39"/>
      <c r="BT242" s="57" t="e">
        <f t="shared" si="37"/>
        <v>#VALUE!</v>
      </c>
      <c r="BU242" s="60"/>
      <c r="BV242" s="8" t="e">
        <v>#VALUE!</v>
      </c>
      <c r="BW242" s="58" t="e">
        <f>VLOOKUP(AQ242,'[1]Harga &amp; Nama CSO'!$A$28:$D$31,4,0)*BQ242</f>
        <v>#N/A</v>
      </c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44">
        <f>IFERROR(VLOOKUP(AQ244,'[2]Harga &amp; Nama CSO'!$A$116:$S$136,19,FALSE),0)*AV244</f>
        <v>0</v>
      </c>
      <c r="BO243" s="55" t="e">
        <f>IFERROR(VLOOKUP(AQ243,'[1]Harga &amp; Nama CSO'!$H$2:$N$22,2,FALSE),"")*AV243</f>
        <v>#VALUE!</v>
      </c>
      <c r="BP243" s="40"/>
      <c r="BQ243" s="39"/>
      <c r="BR243" s="59"/>
      <c r="BS243" s="39"/>
      <c r="BT243" s="57" t="e">
        <f t="shared" si="37"/>
        <v>#VALUE!</v>
      </c>
      <c r="BU243" s="60"/>
      <c r="BV243" s="8" t="e">
        <v>#VALUE!</v>
      </c>
      <c r="BW243" s="58" t="e">
        <f>VLOOKUP(AQ243,'[1]Harga &amp; Nama CSO'!$A$28:$D$31,4,0)*BQ243</f>
        <v>#N/A</v>
      </c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44">
        <f>IFERROR(VLOOKUP(AQ245,'[2]Harga &amp; Nama CSO'!$A$116:$S$136,19,FALSE),0)*AV245</f>
        <v>0</v>
      </c>
      <c r="BO244" s="55" t="e">
        <f>IFERROR(VLOOKUP(AQ244,'[1]Harga &amp; Nama CSO'!$H$2:$N$22,2,FALSE),"")*AV244</f>
        <v>#VALUE!</v>
      </c>
      <c r="BP244" s="40"/>
      <c r="BQ244" s="39"/>
      <c r="BR244" s="59"/>
      <c r="BS244" s="39"/>
      <c r="BT244" s="57" t="e">
        <f t="shared" si="37"/>
        <v>#VALUE!</v>
      </c>
      <c r="BU244" s="60"/>
      <c r="BV244" s="8" t="e">
        <v>#VALUE!</v>
      </c>
      <c r="BW244" s="58" t="e">
        <f>VLOOKUP(AQ244,'[1]Harga &amp; Nama CSO'!$A$28:$D$31,4,0)*BQ244</f>
        <v>#N/A</v>
      </c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44">
        <f>IFERROR(VLOOKUP(AQ246,'[2]Harga &amp; Nama CSO'!$A$116:$S$136,19,FALSE),0)*AV246</f>
        <v>0</v>
      </c>
      <c r="BO245" s="55" t="e">
        <f>IFERROR(VLOOKUP(AQ245,'[1]Harga &amp; Nama CSO'!$H$2:$N$22,2,FALSE),"")*AV245</f>
        <v>#VALUE!</v>
      </c>
      <c r="BP245" s="40"/>
      <c r="BQ245" s="39"/>
      <c r="BR245" s="59"/>
      <c r="BS245" s="39"/>
      <c r="BT245" s="57" t="e">
        <f t="shared" si="37"/>
        <v>#VALUE!</v>
      </c>
      <c r="BU245" s="60"/>
      <c r="BV245" s="8" t="e">
        <v>#VALUE!</v>
      </c>
      <c r="BW245" s="58" t="e">
        <f>VLOOKUP(AQ245,'[1]Harga &amp; Nama CSO'!$A$28:$D$31,4,0)*BQ245</f>
        <v>#N/A</v>
      </c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44">
        <f>IFERROR(VLOOKUP(AQ247,'[2]Harga &amp; Nama CSO'!$A$116:$S$136,19,FALSE),0)*AV247</f>
        <v>0</v>
      </c>
      <c r="BO246" s="55" t="e">
        <f>IFERROR(VLOOKUP(AQ246,'[1]Harga &amp; Nama CSO'!$H$2:$N$22,2,FALSE),"")*AV246</f>
        <v>#VALUE!</v>
      </c>
      <c r="BP246" s="40"/>
      <c r="BQ246" s="39"/>
      <c r="BR246" s="59"/>
      <c r="BS246" s="39"/>
      <c r="BT246" s="57" t="e">
        <f t="shared" si="37"/>
        <v>#VALUE!</v>
      </c>
      <c r="BU246" s="60"/>
      <c r="BV246" s="8" t="e">
        <v>#VALUE!</v>
      </c>
      <c r="BW246" s="58" t="e">
        <f>VLOOKUP(AQ246,'[1]Harga &amp; Nama CSO'!$A$28:$D$31,4,0)*BQ246</f>
        <v>#N/A</v>
      </c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44">
        <f>IFERROR(VLOOKUP(AQ248,'[2]Harga &amp; Nama CSO'!$A$116:$S$136,19,FALSE),0)*AV248</f>
        <v>0</v>
      </c>
      <c r="BO247" s="55" t="e">
        <f>IFERROR(VLOOKUP(AQ247,'[1]Harga &amp; Nama CSO'!$H$2:$N$22,2,FALSE),"")*AV247</f>
        <v>#VALUE!</v>
      </c>
      <c r="BP247" s="40"/>
      <c r="BQ247" s="39"/>
      <c r="BR247" s="59"/>
      <c r="BS247" s="39"/>
      <c r="BT247" s="57" t="e">
        <f t="shared" si="37"/>
        <v>#VALUE!</v>
      </c>
      <c r="BU247" s="60"/>
      <c r="BV247" s="8" t="e">
        <v>#VALUE!</v>
      </c>
      <c r="BW247" s="58" t="e">
        <f>VLOOKUP(AQ247,'[1]Harga &amp; Nama CSO'!$A$28:$D$31,4,0)*BQ247</f>
        <v>#N/A</v>
      </c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44">
        <f>IFERROR(VLOOKUP(AQ249,'[2]Harga &amp; Nama CSO'!$A$116:$S$136,19,FALSE),0)*AV249</f>
        <v>0</v>
      </c>
      <c r="BO248" s="55" t="e">
        <f>IFERROR(VLOOKUP(AQ248,'[1]Harga &amp; Nama CSO'!$H$2:$N$22,2,FALSE),"")*AV248</f>
        <v>#VALUE!</v>
      </c>
      <c r="BP248" s="40"/>
      <c r="BQ248" s="39"/>
      <c r="BR248" s="59"/>
      <c r="BS248" s="39"/>
      <c r="BT248" s="57" t="e">
        <f t="shared" si="37"/>
        <v>#VALUE!</v>
      </c>
      <c r="BU248" s="60"/>
      <c r="BV248" s="8" t="e">
        <v>#VALUE!</v>
      </c>
      <c r="BW248" s="58" t="e">
        <f>VLOOKUP(AQ248,'[1]Harga &amp; Nama CSO'!$A$28:$D$31,4,0)*BQ248</f>
        <v>#N/A</v>
      </c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44">
        <f>IFERROR(VLOOKUP(AQ250,'[2]Harga &amp; Nama CSO'!$A$116:$S$136,19,FALSE),0)*AV250</f>
        <v>0</v>
      </c>
      <c r="BO249" s="55" t="e">
        <f>IFERROR(VLOOKUP(AQ249,'[1]Harga &amp; Nama CSO'!$H$2:$N$22,2,FALSE),"")*AV249</f>
        <v>#VALUE!</v>
      </c>
      <c r="BP249" s="40"/>
      <c r="BQ249" s="39"/>
      <c r="BR249" s="59"/>
      <c r="BS249" s="39"/>
      <c r="BT249" s="57" t="e">
        <f t="shared" si="37"/>
        <v>#VALUE!</v>
      </c>
      <c r="BU249" s="60"/>
      <c r="BV249" s="8" t="e">
        <v>#VALUE!</v>
      </c>
      <c r="BW249" s="58" t="e">
        <f>VLOOKUP(AQ249,'[1]Harga &amp; Nama CSO'!$A$28:$D$31,4,0)*BQ249</f>
        <v>#N/A</v>
      </c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44">
        <f>IFERROR(VLOOKUP(AQ251,'[2]Harga &amp; Nama CSO'!$A$116:$S$136,19,FALSE),0)*AV251</f>
        <v>0</v>
      </c>
      <c r="BO250" s="55" t="e">
        <f>IFERROR(VLOOKUP(AQ250,'[1]Harga &amp; Nama CSO'!$H$2:$N$22,2,FALSE),"")*AV250</f>
        <v>#VALUE!</v>
      </c>
      <c r="BP250" s="40"/>
      <c r="BQ250" s="39"/>
      <c r="BR250" s="59"/>
      <c r="BS250" s="39"/>
      <c r="BT250" s="57" t="e">
        <f t="shared" si="37"/>
        <v>#VALUE!</v>
      </c>
      <c r="BU250" s="60"/>
      <c r="BV250" s="8" t="e">
        <v>#VALUE!</v>
      </c>
      <c r="BW250" s="58" t="e">
        <f>VLOOKUP(AQ250,'[1]Harga &amp; Nama CSO'!$A$28:$D$31,4,0)*BQ250</f>
        <v>#N/A</v>
      </c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44">
        <f>IFERROR(VLOOKUP(AQ252,'[2]Harga &amp; Nama CSO'!$A$116:$S$136,19,FALSE),0)*AV252</f>
        <v>0</v>
      </c>
      <c r="BO251" s="55" t="e">
        <f>IFERROR(VLOOKUP(AQ251,'[1]Harga &amp; Nama CSO'!$H$2:$N$22,2,FALSE),"")*AV251</f>
        <v>#VALUE!</v>
      </c>
      <c r="BP251" s="40"/>
      <c r="BQ251" s="39"/>
      <c r="BR251" s="59"/>
      <c r="BS251" s="39"/>
      <c r="BT251" s="57" t="e">
        <f t="shared" si="37"/>
        <v>#VALUE!</v>
      </c>
      <c r="BU251" s="60"/>
      <c r="BV251" s="8" t="e">
        <v>#VALUE!</v>
      </c>
      <c r="BW251" s="58" t="e">
        <f>VLOOKUP(AQ251,'[1]Harga &amp; Nama CSO'!$A$28:$D$31,4,0)*BQ251</f>
        <v>#N/A</v>
      </c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44">
        <f>IFERROR(VLOOKUP(AQ253,'[2]Harga &amp; Nama CSO'!$A$116:$S$136,19,FALSE),0)*AV253</f>
        <v>0</v>
      </c>
      <c r="BO252" s="55" t="e">
        <f>IFERROR(VLOOKUP(AQ252,'[1]Harga &amp; Nama CSO'!$H$2:$N$22,2,FALSE),"")*AV252</f>
        <v>#VALUE!</v>
      </c>
      <c r="BP252" s="40"/>
      <c r="BQ252" s="39"/>
      <c r="BR252" s="59"/>
      <c r="BS252" s="39"/>
      <c r="BT252" s="57" t="e">
        <f t="shared" si="37"/>
        <v>#VALUE!</v>
      </c>
      <c r="BU252" s="60"/>
      <c r="BV252" s="8" t="e">
        <v>#VALUE!</v>
      </c>
      <c r="BW252" s="58" t="e">
        <f>VLOOKUP(AQ252,'[1]Harga &amp; Nama CSO'!$A$28:$D$31,4,0)*BQ252</f>
        <v>#N/A</v>
      </c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44">
        <f>IFERROR(VLOOKUP(AQ254,'[2]Harga &amp; Nama CSO'!$A$116:$S$136,19,FALSE),0)*AV254</f>
        <v>0</v>
      </c>
      <c r="BO253" s="55" t="e">
        <f>IFERROR(VLOOKUP(AQ253,'[1]Harga &amp; Nama CSO'!$H$2:$N$22,2,FALSE),"")*AV253</f>
        <v>#VALUE!</v>
      </c>
      <c r="BP253" s="40"/>
      <c r="BQ253" s="39"/>
      <c r="BR253" s="59"/>
      <c r="BS253" s="39"/>
      <c r="BT253" s="57" t="e">
        <f t="shared" si="37"/>
        <v>#VALUE!</v>
      </c>
      <c r="BU253" s="60"/>
      <c r="BV253" s="8" t="e">
        <v>#VALUE!</v>
      </c>
      <c r="BW253" s="58" t="e">
        <f>VLOOKUP(AQ253,'[1]Harga &amp; Nama CSO'!$A$28:$D$31,4,0)*BQ253</f>
        <v>#N/A</v>
      </c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44">
        <f>IFERROR(VLOOKUP(AQ255,'[2]Harga &amp; Nama CSO'!$A$116:$S$136,19,FALSE),0)*AV255</f>
        <v>0</v>
      </c>
      <c r="BO254" s="55" t="e">
        <f>IFERROR(VLOOKUP(AQ254,'[1]Harga &amp; Nama CSO'!$H$2:$N$22,2,FALSE),"")*AV254</f>
        <v>#VALUE!</v>
      </c>
      <c r="BP254" s="40"/>
      <c r="BQ254" s="39"/>
      <c r="BR254" s="59"/>
      <c r="BS254" s="39"/>
      <c r="BT254" s="57" t="e">
        <f t="shared" si="37"/>
        <v>#VALUE!</v>
      </c>
      <c r="BU254" s="60"/>
      <c r="BV254" s="8" t="e">
        <v>#VALUE!</v>
      </c>
      <c r="BW254" s="58" t="e">
        <f>VLOOKUP(AQ254,'[1]Harga &amp; Nama CSO'!$A$28:$D$31,4,0)*BQ254</f>
        <v>#N/A</v>
      </c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44">
        <f>IFERROR(VLOOKUP(AQ256,'[2]Harga &amp; Nama CSO'!$A$116:$S$136,19,FALSE),0)*AV256</f>
        <v>0</v>
      </c>
      <c r="BO255" s="55" t="e">
        <f>IFERROR(VLOOKUP(AQ255,'[1]Harga &amp; Nama CSO'!$H$2:$N$22,2,FALSE),"")*AV255</f>
        <v>#VALUE!</v>
      </c>
      <c r="BP255" s="40"/>
      <c r="BQ255" s="39"/>
      <c r="BR255" s="59"/>
      <c r="BS255" s="39"/>
      <c r="BT255" s="57" t="e">
        <f t="shared" si="37"/>
        <v>#VALUE!</v>
      </c>
      <c r="BU255" s="60"/>
      <c r="BV255" s="8" t="e">
        <v>#VALUE!</v>
      </c>
      <c r="BW255" s="58" t="e">
        <f>VLOOKUP(AQ255,'[1]Harga &amp; Nama CSO'!$A$28:$D$31,4,0)*BQ255</f>
        <v>#N/A</v>
      </c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44">
        <f>IFERROR(VLOOKUP(AQ257,'[2]Harga &amp; Nama CSO'!$A$116:$S$136,19,FALSE),0)*AV257</f>
        <v>0</v>
      </c>
      <c r="BO256" s="55" t="e">
        <f>IFERROR(VLOOKUP(AQ256,'[1]Harga &amp; Nama CSO'!$H$2:$N$22,2,FALSE),"")*AV256</f>
        <v>#VALUE!</v>
      </c>
      <c r="BP256" s="40"/>
      <c r="BQ256" s="39"/>
      <c r="BR256" s="59"/>
      <c r="BS256" s="39"/>
      <c r="BT256" s="57" t="e">
        <f t="shared" si="37"/>
        <v>#VALUE!</v>
      </c>
      <c r="BU256" s="60"/>
      <c r="BV256" s="8" t="e">
        <v>#VALUE!</v>
      </c>
      <c r="BW256" s="58" t="e">
        <f>VLOOKUP(AQ256,'[1]Harga &amp; Nama CSO'!$A$28:$D$31,4,0)*BQ256</f>
        <v>#N/A</v>
      </c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44">
        <f>IFERROR(VLOOKUP(AQ258,'[2]Harga &amp; Nama CSO'!$A$116:$S$136,19,FALSE),0)*AV258</f>
        <v>0</v>
      </c>
      <c r="BO257" s="55" t="e">
        <f>IFERROR(VLOOKUP(AQ257,'[1]Harga &amp; Nama CSO'!$H$2:$N$22,2,FALSE),"")*AV257</f>
        <v>#VALUE!</v>
      </c>
      <c r="BP257" s="40"/>
      <c r="BQ257" s="39"/>
      <c r="BR257" s="59"/>
      <c r="BS257" s="39"/>
      <c r="BT257" s="57" t="e">
        <f t="shared" si="37"/>
        <v>#VALUE!</v>
      </c>
      <c r="BU257" s="60"/>
      <c r="BV257" s="8" t="e">
        <v>#VALUE!</v>
      </c>
      <c r="BW257" s="58" t="e">
        <f>VLOOKUP(AQ257,'[1]Harga &amp; Nama CSO'!$A$28:$D$31,4,0)*BQ257</f>
        <v>#N/A</v>
      </c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44">
        <f>IFERROR(VLOOKUP(AQ259,'[2]Harga &amp; Nama CSO'!$A$116:$S$136,19,FALSE),0)*AV259</f>
        <v>0</v>
      </c>
      <c r="BO258" s="55" t="e">
        <f>IFERROR(VLOOKUP(AQ258,'[1]Harga &amp; Nama CSO'!$H$2:$N$22,2,FALSE),"")*AV258</f>
        <v>#VALUE!</v>
      </c>
      <c r="BP258" s="40"/>
      <c r="BQ258" s="39"/>
      <c r="BR258" s="59"/>
      <c r="BS258" s="39"/>
      <c r="BT258" s="57" t="e">
        <f t="shared" si="37"/>
        <v>#VALUE!</v>
      </c>
      <c r="BU258" s="60"/>
      <c r="BV258" s="8" t="e">
        <v>#VALUE!</v>
      </c>
      <c r="BW258" s="58" t="e">
        <f>VLOOKUP(AQ258,'[1]Harga &amp; Nama CSO'!$A$28:$D$31,4,0)*BQ258</f>
        <v>#N/A</v>
      </c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44">
        <f>IFERROR(VLOOKUP(AQ260,'[2]Harga &amp; Nama CSO'!$A$116:$S$136,19,FALSE),0)*AV260</f>
        <v>0</v>
      </c>
      <c r="BO259" s="55" t="e">
        <f>IFERROR(VLOOKUP(AQ259,'[1]Harga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38">BO259-BR259</f>
        <v>#VALUE!</v>
      </c>
      <c r="BU259" s="60"/>
      <c r="BV259" s="8" t="e">
        <v>#VALUE!</v>
      </c>
      <c r="BW259" s="58" t="e">
        <f>VLOOKUP(AQ259,'[1]Harga &amp; Nama CSO'!$A$28:$D$31,4,0)*BQ259</f>
        <v>#N/A</v>
      </c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44">
        <f>IFERROR(VLOOKUP(AQ261,'[2]Harga &amp; Nama CSO'!$A$116:$S$136,19,FALSE),0)*AV261</f>
        <v>0</v>
      </c>
      <c r="BO260" s="55" t="e">
        <f>IFERROR(VLOOKUP(AQ260,'[1]Harga &amp; Nama CSO'!$H$2:$N$22,2,FALSE),"")*AV260</f>
        <v>#VALUE!</v>
      </c>
      <c r="BP260" s="40"/>
      <c r="BQ260" s="39"/>
      <c r="BR260" s="59"/>
      <c r="BS260" s="39"/>
      <c r="BT260" s="57" t="e">
        <f t="shared" si="38"/>
        <v>#VALUE!</v>
      </c>
      <c r="BU260" s="60"/>
      <c r="BV260" s="8" t="e">
        <v>#VALUE!</v>
      </c>
      <c r="BW260" s="58" t="e">
        <f>VLOOKUP(AQ260,'[1]Harga &amp; Nama CSO'!$A$28:$D$31,4,0)*BQ260</f>
        <v>#N/A</v>
      </c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44">
        <f>IFERROR(VLOOKUP(AQ262,'[2]Harga &amp; Nama CSO'!$A$116:$S$136,19,FALSE),0)*AV262</f>
        <v>0</v>
      </c>
      <c r="BO261" s="55" t="e">
        <f>IFERROR(VLOOKUP(AQ261,'[1]Harga &amp; Nama CSO'!$H$2:$N$22,2,FALSE),"")*AV261</f>
        <v>#VALUE!</v>
      </c>
      <c r="BP261" s="40"/>
      <c r="BQ261" s="39"/>
      <c r="BR261" s="59"/>
      <c r="BS261" s="39"/>
      <c r="BT261" s="57" t="e">
        <f t="shared" si="38"/>
        <v>#VALUE!</v>
      </c>
      <c r="BU261" s="60"/>
      <c r="BV261" s="8" t="e">
        <v>#VALUE!</v>
      </c>
      <c r="BW261" s="58" t="e">
        <f>VLOOKUP(AQ261,'[1]Harga &amp; Nama CSO'!$A$28:$D$31,4,0)*BQ261</f>
        <v>#N/A</v>
      </c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44">
        <f>IFERROR(VLOOKUP(AQ263,'[2]Harga &amp; Nama CSO'!$A$116:$S$136,19,FALSE),0)*AV263</f>
        <v>0</v>
      </c>
      <c r="BO262" s="55" t="e">
        <f>IFERROR(VLOOKUP(AQ262,'[1]Harga &amp; Nama CSO'!$H$2:$N$22,2,FALSE),"")*AV262</f>
        <v>#VALUE!</v>
      </c>
      <c r="BP262" s="40"/>
      <c r="BQ262" s="39"/>
      <c r="BR262" s="59"/>
      <c r="BS262" s="39"/>
      <c r="BT262" s="57" t="e">
        <f t="shared" si="38"/>
        <v>#VALUE!</v>
      </c>
      <c r="BU262" s="60"/>
      <c r="BV262" s="8" t="e">
        <v>#VALUE!</v>
      </c>
      <c r="BW262" s="58" t="e">
        <f>VLOOKUP(AQ262,'[1]Harga &amp; Nama CSO'!$A$28:$D$31,4,0)*BQ262</f>
        <v>#N/A</v>
      </c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44">
        <f>IFERROR(VLOOKUP(AQ264,'[2]Harga &amp; Nama CSO'!$A$116:$S$136,19,FALSE),0)*AV264</f>
        <v>0</v>
      </c>
      <c r="BO263" s="55" t="e">
        <f>IFERROR(VLOOKUP(AQ263,'[1]Harga &amp; Nama CSO'!$H$2:$N$22,2,FALSE),"")*AV263</f>
        <v>#VALUE!</v>
      </c>
      <c r="BP263" s="40"/>
      <c r="BQ263" s="39"/>
      <c r="BR263" s="59"/>
      <c r="BS263" s="39"/>
      <c r="BT263" s="57" t="e">
        <f t="shared" si="38"/>
        <v>#VALUE!</v>
      </c>
      <c r="BU263" s="60"/>
      <c r="BV263" s="8" t="e">
        <v>#VALUE!</v>
      </c>
      <c r="BW263" s="58" t="e">
        <f>VLOOKUP(AQ263,'[1]Harga &amp; Nama CSO'!$A$28:$D$31,4,0)*BQ263</f>
        <v>#N/A</v>
      </c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44">
        <f>IFERROR(VLOOKUP(AQ265,'[2]Harga &amp; Nama CSO'!$A$116:$S$136,19,FALSE),0)*AV265</f>
        <v>0</v>
      </c>
      <c r="BO264" s="55" t="e">
        <f>IFERROR(VLOOKUP(AQ264,'[1]Harga &amp; Nama CSO'!$H$2:$N$22,2,FALSE),"")*AV264</f>
        <v>#VALUE!</v>
      </c>
      <c r="BP264" s="40"/>
      <c r="BQ264" s="39"/>
      <c r="BR264" s="59"/>
      <c r="BS264" s="39"/>
      <c r="BT264" s="57" t="e">
        <f t="shared" si="38"/>
        <v>#VALUE!</v>
      </c>
      <c r="BU264" s="60"/>
      <c r="BV264" s="8" t="e">
        <v>#VALUE!</v>
      </c>
      <c r="BW264" s="58" t="e">
        <f>VLOOKUP(AQ264,'[1]Harga &amp; Nama CSO'!$A$28:$D$31,4,0)*BQ264</f>
        <v>#N/A</v>
      </c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44">
        <f>IFERROR(VLOOKUP(AQ266,'[2]Harga &amp; Nama CSO'!$A$116:$S$136,19,FALSE),0)*AV266</f>
        <v>0</v>
      </c>
      <c r="BO265" s="55" t="e">
        <f>IFERROR(VLOOKUP(AQ265,'[1]Harga &amp; Nama CSO'!$H$2:$N$22,2,FALSE),"")*AV265</f>
        <v>#VALUE!</v>
      </c>
      <c r="BP265" s="40"/>
      <c r="BQ265" s="39"/>
      <c r="BR265" s="59"/>
      <c r="BS265" s="39"/>
      <c r="BT265" s="57" t="e">
        <f t="shared" si="38"/>
        <v>#VALUE!</v>
      </c>
      <c r="BU265" s="60"/>
      <c r="BV265" s="8" t="e">
        <v>#VALUE!</v>
      </c>
      <c r="BW265" s="58" t="e">
        <f>VLOOKUP(AQ265,'[1]Harga &amp; Nama CSO'!$A$28:$D$31,4,0)*BQ265</f>
        <v>#N/A</v>
      </c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44">
        <f>IFERROR(VLOOKUP(AQ267,'[2]Harga &amp; Nama CSO'!$A$116:$S$136,19,FALSE),0)*AV267</f>
        <v>0</v>
      </c>
      <c r="BO266" s="55" t="e">
        <f>IFERROR(VLOOKUP(AQ266,'[1]Harga &amp; Nama CSO'!$H$2:$N$22,2,FALSE),"")*AV266</f>
        <v>#VALUE!</v>
      </c>
      <c r="BP266" s="40"/>
      <c r="BQ266" s="39"/>
      <c r="BR266" s="59"/>
      <c r="BS266" s="39"/>
      <c r="BT266" s="57" t="e">
        <f t="shared" si="38"/>
        <v>#VALUE!</v>
      </c>
      <c r="BU266" s="60"/>
      <c r="BV266" s="8" t="e">
        <v>#VALUE!</v>
      </c>
      <c r="BW266" s="58" t="e">
        <f>VLOOKUP(AQ266,'[1]Harga &amp; Nama CSO'!$A$28:$D$31,4,0)*BQ266</f>
        <v>#N/A</v>
      </c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44">
        <f>IFERROR(VLOOKUP(AQ268,'[2]Harga &amp; Nama CSO'!$A$116:$S$136,19,FALSE),0)*AV268</f>
        <v>0</v>
      </c>
      <c r="BO267" s="55" t="e">
        <f>IFERROR(VLOOKUP(AQ267,'[1]Harga &amp; Nama CSO'!$H$2:$N$22,2,FALSE),"")*AV267</f>
        <v>#VALUE!</v>
      </c>
      <c r="BP267" s="40"/>
      <c r="BQ267" s="39"/>
      <c r="BR267" s="59"/>
      <c r="BS267" s="39"/>
      <c r="BT267" s="57" t="e">
        <f t="shared" si="38"/>
        <v>#VALUE!</v>
      </c>
      <c r="BU267" s="60"/>
      <c r="BV267" s="8" t="e">
        <v>#VALUE!</v>
      </c>
      <c r="BW267" s="58" t="e">
        <f>VLOOKUP(AQ267,'[1]Harga &amp; Nama CSO'!$A$28:$D$31,4,0)*BQ267</f>
        <v>#N/A</v>
      </c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44">
        <f>IFERROR(VLOOKUP(AQ269,'[2]Harga &amp; Nama CSO'!$A$116:$S$136,19,FALSE),0)*AV269</f>
        <v>0</v>
      </c>
      <c r="BO268" s="55" t="e">
        <f>IFERROR(VLOOKUP(AQ268,'[1]Harga &amp; Nama CSO'!$H$2:$N$22,2,FALSE),"")*AV268</f>
        <v>#VALUE!</v>
      </c>
      <c r="BP268" s="40"/>
      <c r="BQ268" s="39"/>
      <c r="BR268" s="59"/>
      <c r="BS268" s="39"/>
      <c r="BT268" s="57" t="e">
        <f t="shared" si="38"/>
        <v>#VALUE!</v>
      </c>
      <c r="BU268" s="60"/>
      <c r="BV268" s="8" t="e">
        <v>#VALUE!</v>
      </c>
      <c r="BW268" s="58" t="e">
        <f>VLOOKUP(AQ268,'[1]Harga &amp; Nama CSO'!$A$28:$D$31,4,0)*BQ268</f>
        <v>#N/A</v>
      </c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44">
        <f>IFERROR(VLOOKUP(AQ270,'[2]Harga &amp; Nama CSO'!$A$116:$S$136,19,FALSE),0)*AV270</f>
        <v>0</v>
      </c>
      <c r="BO269" s="55" t="e">
        <f>IFERROR(VLOOKUP(AQ269,'[1]Harga &amp; Nama CSO'!$H$2:$N$22,2,FALSE),"")*AV269</f>
        <v>#VALUE!</v>
      </c>
      <c r="BP269" s="40"/>
      <c r="BQ269" s="39"/>
      <c r="BR269" s="59"/>
      <c r="BS269" s="39"/>
      <c r="BT269" s="57" t="e">
        <f t="shared" si="38"/>
        <v>#VALUE!</v>
      </c>
      <c r="BU269" s="60"/>
      <c r="BV269" s="8" t="e">
        <v>#VALUE!</v>
      </c>
      <c r="BW269" s="58" t="e">
        <f>VLOOKUP(AQ269,'[1]Harga &amp; Nama CSO'!$A$28:$D$31,4,0)*BQ269</f>
        <v>#N/A</v>
      </c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44">
        <f>IFERROR(VLOOKUP(AQ271,'[2]Harga &amp; Nama CSO'!$A$116:$S$136,19,FALSE),0)*AV271</f>
        <v>0</v>
      </c>
      <c r="BO270" s="55" t="e">
        <f>IFERROR(VLOOKUP(AQ270,'[1]Harga &amp; Nama CSO'!$H$2:$N$22,2,FALSE),"")*AV270</f>
        <v>#VALUE!</v>
      </c>
      <c r="BP270" s="40"/>
      <c r="BQ270" s="39"/>
      <c r="BR270" s="59"/>
      <c r="BS270" s="39"/>
      <c r="BT270" s="57" t="e">
        <f t="shared" si="38"/>
        <v>#VALUE!</v>
      </c>
      <c r="BU270" s="60"/>
      <c r="BV270" s="8" t="e">
        <v>#VALUE!</v>
      </c>
      <c r="BW270" s="58" t="e">
        <f>VLOOKUP(AQ270,'[1]Harga &amp; Nama CSO'!$A$28:$D$31,4,0)*BQ270</f>
        <v>#N/A</v>
      </c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44">
        <f>IFERROR(VLOOKUP(AQ272,'[2]Harga &amp; Nama CSO'!$A$116:$S$136,19,FALSE),0)*AV272</f>
        <v>0</v>
      </c>
      <c r="BO271" s="55" t="e">
        <f>IFERROR(VLOOKUP(AQ271,'[1]Harga &amp; Nama CSO'!$H$2:$N$22,2,FALSE),"")*AV271</f>
        <v>#VALUE!</v>
      </c>
      <c r="BP271" s="40"/>
      <c r="BQ271" s="39"/>
      <c r="BR271" s="59"/>
      <c r="BS271" s="39"/>
      <c r="BT271" s="57" t="e">
        <f t="shared" si="38"/>
        <v>#VALUE!</v>
      </c>
      <c r="BU271" s="60"/>
      <c r="BV271" s="8" t="e">
        <v>#VALUE!</v>
      </c>
      <c r="BW271" s="58" t="e">
        <f>VLOOKUP(AQ271,'[1]Harga &amp; Nama CSO'!$A$28:$D$31,4,0)*BQ271</f>
        <v>#N/A</v>
      </c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44">
        <f>IFERROR(VLOOKUP(AQ273,'[2]Harga &amp; Nama CSO'!$A$116:$S$136,19,FALSE),0)*AV273</f>
        <v>0</v>
      </c>
      <c r="BO272" s="55" t="e">
        <f>IFERROR(VLOOKUP(AQ272,'[1]Harga &amp; Nama CSO'!$H$2:$N$22,2,FALSE),"")*AV272</f>
        <v>#VALUE!</v>
      </c>
      <c r="BP272" s="40"/>
      <c r="BQ272" s="39"/>
      <c r="BR272" s="59"/>
      <c r="BS272" s="39"/>
      <c r="BT272" s="57" t="e">
        <f t="shared" si="38"/>
        <v>#VALUE!</v>
      </c>
      <c r="BU272" s="60"/>
      <c r="BV272" s="8" t="e">
        <v>#VALUE!</v>
      </c>
      <c r="BW272" s="58" t="e">
        <f>VLOOKUP(AQ272,'[1]Harga &amp; Nama CSO'!$A$28:$D$31,4,0)*BQ272</f>
        <v>#N/A</v>
      </c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44">
        <f>IFERROR(VLOOKUP(AQ274,'[2]Harga &amp; Nama CSO'!$A$116:$S$136,19,FALSE),0)*AV274</f>
        <v>0</v>
      </c>
      <c r="BO273" s="55" t="e">
        <f>IFERROR(VLOOKUP(AQ273,'[1]Harga &amp; Nama CSO'!$H$2:$N$22,2,FALSE),"")*AV273</f>
        <v>#VALUE!</v>
      </c>
      <c r="BP273" s="40"/>
      <c r="BQ273" s="39"/>
      <c r="BR273" s="59"/>
      <c r="BS273" s="39"/>
      <c r="BT273" s="57" t="e">
        <f t="shared" si="38"/>
        <v>#VALUE!</v>
      </c>
      <c r="BU273" s="60"/>
      <c r="BV273" s="8" t="e">
        <v>#VALUE!</v>
      </c>
      <c r="BW273" s="58" t="e">
        <f>VLOOKUP(AQ273,'[1]Harga &amp; Nama CSO'!$A$28:$D$31,4,0)*BQ273</f>
        <v>#N/A</v>
      </c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44">
        <f>IFERROR(VLOOKUP(AQ275,'[2]Harga &amp; Nama CSO'!$A$116:$S$136,19,FALSE),0)*AV275</f>
        <v>0</v>
      </c>
      <c r="BO274" s="55" t="e">
        <f>IFERROR(VLOOKUP(AQ274,'[1]Harga &amp; Nama CSO'!$H$2:$N$22,2,FALSE),"")*AV274</f>
        <v>#VALUE!</v>
      </c>
      <c r="BP274" s="40"/>
      <c r="BQ274" s="39"/>
      <c r="BR274" s="59"/>
      <c r="BS274" s="39"/>
      <c r="BT274" s="57" t="e">
        <f t="shared" si="38"/>
        <v>#VALUE!</v>
      </c>
      <c r="BU274" s="60"/>
      <c r="BV274" s="8" t="e">
        <v>#VALUE!</v>
      </c>
      <c r="BW274" s="58" t="e">
        <f>VLOOKUP(AQ274,'[1]Harga &amp; Nama CSO'!$A$28:$D$31,4,0)*BQ274</f>
        <v>#N/A</v>
      </c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44">
        <f>IFERROR(VLOOKUP(AQ276,'[2]Harga &amp; Nama CSO'!$A$116:$S$136,19,FALSE),0)*AV276</f>
        <v>0</v>
      </c>
      <c r="BO275" s="55" t="e">
        <f>IFERROR(VLOOKUP(AQ275,'[1]Harga &amp; Nama CSO'!$H$2:$N$22,2,FALSE),"")*AV275</f>
        <v>#VALUE!</v>
      </c>
      <c r="BP275" s="40"/>
      <c r="BQ275" s="39"/>
      <c r="BR275" s="59"/>
      <c r="BS275" s="39"/>
      <c r="BT275" s="57" t="e">
        <f t="shared" si="38"/>
        <v>#VALUE!</v>
      </c>
      <c r="BU275" s="60"/>
      <c r="BV275" s="8" t="e">
        <v>#VALUE!</v>
      </c>
      <c r="BW275" s="58" t="e">
        <f>VLOOKUP(AQ275,'[1]Harga &amp; Nama CSO'!$A$28:$D$31,4,0)*BQ275</f>
        <v>#N/A</v>
      </c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44">
        <f>IFERROR(VLOOKUP(AQ277,'[2]Harga &amp; Nama CSO'!$A$116:$S$136,19,FALSE),0)*AV277</f>
        <v>0</v>
      </c>
      <c r="BO276" s="55" t="e">
        <f>IFERROR(VLOOKUP(AQ276,'[1]Harga &amp; Nama CSO'!$H$2:$N$22,2,FALSE),"")*AV276</f>
        <v>#VALUE!</v>
      </c>
      <c r="BP276" s="40"/>
      <c r="BQ276" s="39"/>
      <c r="BR276" s="59"/>
      <c r="BS276" s="39"/>
      <c r="BT276" s="57" t="e">
        <f t="shared" si="38"/>
        <v>#VALUE!</v>
      </c>
      <c r="BU276" s="60"/>
      <c r="BV276" s="8" t="e">
        <v>#VALUE!</v>
      </c>
      <c r="BW276" s="58" t="e">
        <f>VLOOKUP(AQ276,'[1]Harga &amp; Nama CSO'!$A$28:$D$31,4,0)*BQ276</f>
        <v>#N/A</v>
      </c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44">
        <f>IFERROR(VLOOKUP(AQ278,'[2]Harga &amp; Nama CSO'!$A$116:$S$136,19,FALSE),0)*AV278</f>
        <v>0</v>
      </c>
      <c r="BO277" s="55" t="e">
        <f>IFERROR(VLOOKUP(AQ277,'[1]Harga &amp; Nama CSO'!$H$2:$N$22,2,FALSE),"")*AV277</f>
        <v>#VALUE!</v>
      </c>
      <c r="BP277" s="40"/>
      <c r="BQ277" s="39"/>
      <c r="BR277" s="59"/>
      <c r="BS277" s="39"/>
      <c r="BT277" s="57" t="e">
        <f t="shared" si="38"/>
        <v>#VALUE!</v>
      </c>
      <c r="BU277" s="60"/>
      <c r="BV277" s="8" t="e">
        <v>#VALUE!</v>
      </c>
      <c r="BW277" s="58" t="e">
        <f>VLOOKUP(AQ277,'[1]Harga &amp; Nama CSO'!$A$28:$D$31,4,0)*BQ277</f>
        <v>#N/A</v>
      </c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44">
        <f>IFERROR(VLOOKUP(AQ279,'[2]Harga &amp; Nama CSO'!$A$116:$S$136,19,FALSE),0)*AV279</f>
        <v>0</v>
      </c>
      <c r="BO278" s="55" t="e">
        <f>IFERROR(VLOOKUP(AQ278,'[1]Harga &amp; Nama CSO'!$H$2:$N$22,2,FALSE),"")*AV278</f>
        <v>#VALUE!</v>
      </c>
      <c r="BP278" s="40"/>
      <c r="BQ278" s="39"/>
      <c r="BR278" s="59"/>
      <c r="BS278" s="39"/>
      <c r="BT278" s="57" t="e">
        <f t="shared" si="38"/>
        <v>#VALUE!</v>
      </c>
      <c r="BU278" s="60"/>
      <c r="BV278" s="8" t="e">
        <v>#VALUE!</v>
      </c>
      <c r="BW278" s="58" t="e">
        <f>VLOOKUP(AQ278,'[1]Harga &amp; Nama CSO'!$A$28:$D$31,4,0)*BQ278</f>
        <v>#N/A</v>
      </c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44">
        <f>IFERROR(VLOOKUP(AQ280,'[2]Harga &amp; Nama CSO'!$A$116:$S$136,19,FALSE),0)*AV280</f>
        <v>0</v>
      </c>
      <c r="BO279" s="55" t="e">
        <f>IFERROR(VLOOKUP(AQ279,'[1]Harga &amp; Nama CSO'!$H$2:$N$22,2,FALSE),"")*AV279</f>
        <v>#VALUE!</v>
      </c>
      <c r="BP279" s="40"/>
      <c r="BQ279" s="39"/>
      <c r="BR279" s="59"/>
      <c r="BS279" s="39"/>
      <c r="BT279" s="57" t="e">
        <f t="shared" si="38"/>
        <v>#VALUE!</v>
      </c>
      <c r="BU279" s="60"/>
      <c r="BV279" s="8" t="e">
        <v>#VALUE!</v>
      </c>
      <c r="BW279" s="58" t="e">
        <f>VLOOKUP(AQ279,'[1]Harga &amp; Nama CSO'!$A$28:$D$31,4,0)*BQ279</f>
        <v>#N/A</v>
      </c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44">
        <f>IFERROR(VLOOKUP(AQ281,'[2]Harga &amp; Nama CSO'!$A$116:$S$136,19,FALSE),0)*AV281</f>
        <v>0</v>
      </c>
      <c r="BO280" s="55" t="e">
        <f>IFERROR(VLOOKUP(AQ280,'[1]Harga &amp; Nama CSO'!$H$2:$N$22,2,FALSE),"")*AV280</f>
        <v>#VALUE!</v>
      </c>
      <c r="BP280" s="40"/>
      <c r="BQ280" s="39"/>
      <c r="BR280" s="59"/>
      <c r="BS280" s="39"/>
      <c r="BT280" s="57" t="e">
        <f t="shared" si="38"/>
        <v>#VALUE!</v>
      </c>
      <c r="BU280" s="60"/>
      <c r="BV280" s="8" t="e">
        <v>#VALUE!</v>
      </c>
      <c r="BW280" s="58" t="e">
        <f>VLOOKUP(AQ280,'[1]Harga &amp; Nama CSO'!$A$28:$D$31,4,0)*BQ280</f>
        <v>#N/A</v>
      </c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44">
        <f>IFERROR(VLOOKUP(AQ282,'[2]Harga &amp; Nama CSO'!$A$116:$S$136,19,FALSE),0)*AV282</f>
        <v>0</v>
      </c>
      <c r="BO281" s="55" t="e">
        <f>IFERROR(VLOOKUP(AQ281,'[1]Harga &amp; Nama CSO'!$H$2:$N$22,2,FALSE),"")*AV281</f>
        <v>#VALUE!</v>
      </c>
      <c r="BP281" s="40"/>
      <c r="BQ281" s="39"/>
      <c r="BR281" s="59"/>
      <c r="BS281" s="39"/>
      <c r="BT281" s="57" t="e">
        <f t="shared" si="38"/>
        <v>#VALUE!</v>
      </c>
      <c r="BU281" s="60"/>
      <c r="BV281" s="8" t="e">
        <v>#VALUE!</v>
      </c>
      <c r="BW281" s="58" t="e">
        <f>VLOOKUP(AQ281,'[1]Harga &amp; Nama CSO'!$A$28:$D$31,4,0)*BQ281</f>
        <v>#N/A</v>
      </c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44">
        <f>IFERROR(VLOOKUP(AQ283,'[2]Harga &amp; Nama CSO'!$A$116:$S$136,19,FALSE),0)*AV283</f>
        <v>0</v>
      </c>
      <c r="BO282" s="55" t="e">
        <f>IFERROR(VLOOKUP(AQ282,'[1]Harga &amp; Nama CSO'!$H$2:$N$22,2,FALSE),"")*AV282</f>
        <v>#VALUE!</v>
      </c>
      <c r="BP282" s="40"/>
      <c r="BQ282" s="39"/>
      <c r="BR282" s="59"/>
      <c r="BS282" s="39"/>
      <c r="BT282" s="57" t="e">
        <f t="shared" si="38"/>
        <v>#VALUE!</v>
      </c>
      <c r="BU282" s="60"/>
      <c r="BV282" s="8" t="e">
        <v>#VALUE!</v>
      </c>
      <c r="BW282" s="58" t="e">
        <f>VLOOKUP(AQ282,'[1]Harga &amp; Nama CSO'!$A$28:$D$31,4,0)*BQ282</f>
        <v>#N/A</v>
      </c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44">
        <f>IFERROR(VLOOKUP(AQ284,'[2]Harga &amp; Nama CSO'!$A$116:$S$136,19,FALSE),0)*AV284</f>
        <v>0</v>
      </c>
      <c r="BO283" s="55" t="e">
        <f>IFERROR(VLOOKUP(AQ283,'[1]Harga &amp; Nama CSO'!$H$2:$N$22,2,FALSE),"")*AV283</f>
        <v>#VALUE!</v>
      </c>
      <c r="BP283" s="40"/>
      <c r="BQ283" s="39"/>
      <c r="BR283" s="59"/>
      <c r="BS283" s="39"/>
      <c r="BT283" s="57" t="e">
        <f t="shared" si="38"/>
        <v>#VALUE!</v>
      </c>
      <c r="BU283" s="60"/>
      <c r="BV283" s="8" t="e">
        <v>#VALUE!</v>
      </c>
      <c r="BW283" s="58" t="e">
        <f>VLOOKUP(AQ283,'[1]Harga &amp; Nama CSO'!$A$28:$D$31,4,0)*BQ283</f>
        <v>#N/A</v>
      </c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44">
        <f>IFERROR(VLOOKUP(AQ285,'[2]Harga &amp; Nama CSO'!$A$116:$S$136,19,FALSE),0)*AV285</f>
        <v>0</v>
      </c>
      <c r="BO284" s="55" t="e">
        <f>IFERROR(VLOOKUP(AQ284,'[1]Harga &amp; Nama CSO'!$H$2:$N$22,2,FALSE),"")*AV284</f>
        <v>#VALUE!</v>
      </c>
      <c r="BP284" s="40"/>
      <c r="BQ284" s="39"/>
      <c r="BR284" s="59"/>
      <c r="BS284" s="39"/>
      <c r="BT284" s="57" t="e">
        <f t="shared" si="38"/>
        <v>#VALUE!</v>
      </c>
      <c r="BU284" s="60"/>
      <c r="BV284" s="8" t="e">
        <v>#VALUE!</v>
      </c>
      <c r="BW284" s="58" t="e">
        <f>VLOOKUP(AQ284,'[1]Harga &amp; Nama CSO'!$A$28:$D$31,4,0)*BQ284</f>
        <v>#N/A</v>
      </c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44">
        <f>IFERROR(VLOOKUP(AQ286,'[2]Harga &amp; Nama CSO'!$A$116:$S$136,19,FALSE),0)*AV286</f>
        <v>0</v>
      </c>
      <c r="BO285" s="55" t="e">
        <f>IFERROR(VLOOKUP(AQ285,'[1]Harga &amp; Nama CSO'!$H$2:$N$22,2,FALSE),"")*AV285</f>
        <v>#VALUE!</v>
      </c>
      <c r="BP285" s="40"/>
      <c r="BQ285" s="39"/>
      <c r="BR285" s="59"/>
      <c r="BS285" s="39"/>
      <c r="BT285" s="57" t="e">
        <f t="shared" si="38"/>
        <v>#VALUE!</v>
      </c>
      <c r="BU285" s="60"/>
      <c r="BV285" s="8" t="e">
        <v>#VALUE!</v>
      </c>
      <c r="BW285" s="58" t="e">
        <f>VLOOKUP(AQ285,'[1]Harga &amp; Nama CSO'!$A$28:$D$31,4,0)*BQ285</f>
        <v>#N/A</v>
      </c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44">
        <f>IFERROR(VLOOKUP(AQ287,'[2]Harga &amp; Nama CSO'!$A$116:$S$136,19,FALSE),0)*AV287</f>
        <v>0</v>
      </c>
      <c r="BO286" s="55" t="e">
        <f>IFERROR(VLOOKUP(AQ286,'[1]Harga &amp; Nama CSO'!$H$2:$N$22,2,FALSE),"")*AV286</f>
        <v>#VALUE!</v>
      </c>
      <c r="BP286" s="40"/>
      <c r="BQ286" s="39"/>
      <c r="BR286" s="59"/>
      <c r="BS286" s="39"/>
      <c r="BT286" s="57" t="e">
        <f t="shared" si="38"/>
        <v>#VALUE!</v>
      </c>
      <c r="BU286" s="60"/>
      <c r="BV286" s="8" t="e">
        <v>#VALUE!</v>
      </c>
      <c r="BW286" s="58" t="e">
        <f>VLOOKUP(AQ286,'[1]Harga &amp; Nama CSO'!$A$28:$D$31,4,0)*BQ286</f>
        <v>#N/A</v>
      </c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44">
        <f>IFERROR(VLOOKUP(AQ288,'[2]Harga &amp; Nama CSO'!$A$116:$S$136,19,FALSE),0)*AV288</f>
        <v>0</v>
      </c>
      <c r="BO287" s="55" t="e">
        <f>IFERROR(VLOOKUP(AQ287,'[1]Harga &amp; Nama CSO'!$H$2:$N$22,2,FALSE),"")*AV287</f>
        <v>#VALUE!</v>
      </c>
      <c r="BP287" s="40"/>
      <c r="BQ287" s="39"/>
      <c r="BR287" s="59"/>
      <c r="BS287" s="39"/>
      <c r="BT287" s="57" t="e">
        <f t="shared" si="38"/>
        <v>#VALUE!</v>
      </c>
      <c r="BU287" s="60"/>
      <c r="BV287" s="8" t="e">
        <v>#VALUE!</v>
      </c>
      <c r="BW287" s="58" t="e">
        <f>VLOOKUP(AQ287,'[1]Harga &amp; Nama CSO'!$A$28:$D$31,4,0)*BQ287</f>
        <v>#N/A</v>
      </c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44">
        <f>IFERROR(VLOOKUP(AQ289,'[2]Harga &amp; Nama CSO'!$A$116:$S$136,19,FALSE),0)*AV289</f>
        <v>0</v>
      </c>
      <c r="BO288" s="55" t="e">
        <f>IFERROR(VLOOKUP(AQ288,'[1]Harga &amp; Nama CSO'!$H$2:$N$22,2,FALSE),"")*AV288</f>
        <v>#VALUE!</v>
      </c>
      <c r="BP288" s="40"/>
      <c r="BQ288" s="39"/>
      <c r="BR288" s="59"/>
      <c r="BS288" s="39"/>
      <c r="BT288" s="57" t="e">
        <f t="shared" si="38"/>
        <v>#VALUE!</v>
      </c>
      <c r="BU288" s="60"/>
      <c r="BV288" s="8" t="e">
        <v>#VALUE!</v>
      </c>
      <c r="BW288" s="58" t="e">
        <f>VLOOKUP(AQ288,'[1]Harga &amp; Nama CSO'!$A$28:$D$31,4,0)*BQ288</f>
        <v>#N/A</v>
      </c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44">
        <f>IFERROR(VLOOKUP(AQ290,'[2]Harga &amp; Nama CSO'!$A$116:$S$136,19,FALSE),0)*AV290</f>
        <v>0</v>
      </c>
      <c r="BO289" s="55" t="e">
        <f>IFERROR(VLOOKUP(AQ289,'[1]Harga &amp; Nama CSO'!$H$2:$N$22,2,FALSE),"")*AV289</f>
        <v>#VALUE!</v>
      </c>
      <c r="BP289" s="40"/>
      <c r="BQ289" s="39"/>
      <c r="BR289" s="59"/>
      <c r="BS289" s="39"/>
      <c r="BT289" s="57" t="e">
        <f t="shared" si="38"/>
        <v>#VALUE!</v>
      </c>
      <c r="BU289" s="60"/>
      <c r="BV289" s="8" t="e">
        <v>#VALUE!</v>
      </c>
      <c r="BW289" s="58" t="e">
        <f>VLOOKUP(AQ289,'[1]Harga &amp; Nama CSO'!$A$28:$D$31,4,0)*BQ289</f>
        <v>#N/A</v>
      </c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44">
        <f>IFERROR(VLOOKUP(AQ291,'[2]Harga &amp; Nama CSO'!$A$116:$S$136,19,FALSE),0)*AV291</f>
        <v>0</v>
      </c>
      <c r="BO290" s="55" t="e">
        <f>IFERROR(VLOOKUP(AQ290,'[1]Harga &amp; Nama CSO'!$H$2:$N$22,2,FALSE),"")*AV290</f>
        <v>#VALUE!</v>
      </c>
      <c r="BP290" s="40"/>
      <c r="BQ290" s="39"/>
      <c r="BR290" s="59"/>
      <c r="BS290" s="39"/>
      <c r="BT290" s="57" t="e">
        <f t="shared" si="38"/>
        <v>#VALUE!</v>
      </c>
      <c r="BU290" s="60"/>
      <c r="BV290" s="8" t="e">
        <v>#VALUE!</v>
      </c>
      <c r="BW290" s="58" t="e">
        <f>VLOOKUP(AQ290,'[1]Harga &amp; Nama CSO'!$A$28:$D$31,4,0)*BQ290</f>
        <v>#N/A</v>
      </c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44">
        <f>IFERROR(VLOOKUP(AQ292,'[2]Harga &amp; Nama CSO'!$A$116:$S$136,19,FALSE),0)*AV292</f>
        <v>0</v>
      </c>
      <c r="BO291" s="55" t="e">
        <f>IFERROR(VLOOKUP(AQ291,'[1]Harga &amp; Nama CSO'!$H$2:$N$22,2,FALSE),"")*AV291</f>
        <v>#VALUE!</v>
      </c>
      <c r="BP291" s="40"/>
      <c r="BQ291" s="39"/>
      <c r="BR291" s="59"/>
      <c r="BS291" s="39"/>
      <c r="BT291" s="57" t="e">
        <f t="shared" si="38"/>
        <v>#VALUE!</v>
      </c>
      <c r="BU291" s="60"/>
      <c r="BV291" s="8" t="e">
        <v>#VALUE!</v>
      </c>
      <c r="BW291" s="58" t="e">
        <f>VLOOKUP(AQ291,'[1]Harga &amp; Nama CSO'!$A$28:$D$31,4,0)*BQ291</f>
        <v>#N/A</v>
      </c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44">
        <f>IFERROR(VLOOKUP(AQ293,'[2]Harga &amp; Nama CSO'!$A$116:$S$136,19,FALSE),0)*AV293</f>
        <v>0</v>
      </c>
      <c r="BO292" s="55" t="e">
        <f>IFERROR(VLOOKUP(AQ292,'[1]Harga &amp; Nama CSO'!$H$2:$N$22,2,FALSE),"")*AV292</f>
        <v>#VALUE!</v>
      </c>
      <c r="BP292" s="40"/>
      <c r="BQ292" s="39"/>
      <c r="BR292" s="59"/>
      <c r="BS292" s="39"/>
      <c r="BT292" s="57" t="e">
        <f t="shared" si="38"/>
        <v>#VALUE!</v>
      </c>
      <c r="BU292" s="60"/>
      <c r="BV292" s="8" t="e">
        <v>#VALUE!</v>
      </c>
      <c r="BW292" s="58" t="e">
        <f>VLOOKUP(AQ292,'[1]Harga &amp; Nama CSO'!$A$28:$D$31,4,0)*BQ292</f>
        <v>#N/A</v>
      </c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44">
        <f>IFERROR(VLOOKUP(AQ294,'[2]Harga &amp; Nama CSO'!$A$116:$S$136,19,FALSE),0)*AV294</f>
        <v>0</v>
      </c>
      <c r="BO293" s="55" t="e">
        <f>IFERROR(VLOOKUP(AQ293,'[1]Harga &amp; Nama CSO'!$H$2:$N$22,2,FALSE),"")*AV293</f>
        <v>#VALUE!</v>
      </c>
      <c r="BP293" s="40"/>
      <c r="BQ293" s="39"/>
      <c r="BR293" s="59"/>
      <c r="BS293" s="39"/>
      <c r="BT293" s="57" t="e">
        <f t="shared" si="38"/>
        <v>#VALUE!</v>
      </c>
      <c r="BU293" s="60"/>
      <c r="BV293" s="8" t="e">
        <v>#VALUE!</v>
      </c>
      <c r="BW293" s="58" t="e">
        <f>VLOOKUP(AQ293,'[1]Harga &amp; Nama CSO'!$A$28:$D$31,4,0)*BQ293</f>
        <v>#N/A</v>
      </c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44">
        <f>IFERROR(VLOOKUP(AQ295,'[2]Harga &amp; Nama CSO'!$A$116:$S$136,19,FALSE),0)*AV295</f>
        <v>0</v>
      </c>
      <c r="BO294" s="55" t="e">
        <f>IFERROR(VLOOKUP(AQ294,'[1]Harga &amp; Nama CSO'!$H$2:$N$22,2,FALSE),"")*AV294</f>
        <v>#VALUE!</v>
      </c>
      <c r="BP294" s="40"/>
      <c r="BQ294" s="39"/>
      <c r="BR294" s="59"/>
      <c r="BS294" s="39"/>
      <c r="BT294" s="57" t="e">
        <f t="shared" si="38"/>
        <v>#VALUE!</v>
      </c>
      <c r="BU294" s="60"/>
      <c r="BV294" s="8" t="e">
        <v>#VALUE!</v>
      </c>
      <c r="BW294" s="58" t="e">
        <f>VLOOKUP(AQ294,'[1]Harga &amp; Nama CSO'!$A$28:$D$31,4,0)*BQ294</f>
        <v>#N/A</v>
      </c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44">
        <f>IFERROR(VLOOKUP(AQ296,'[2]Harga &amp; Nama CSO'!$A$116:$S$136,19,FALSE),0)*AV296</f>
        <v>0</v>
      </c>
      <c r="BO295" s="55" t="e">
        <f>IFERROR(VLOOKUP(AQ295,'[1]Harga &amp; Nama CSO'!$H$2:$N$22,2,FALSE),"")*AV295</f>
        <v>#VALUE!</v>
      </c>
      <c r="BP295" s="40"/>
      <c r="BQ295" s="39"/>
      <c r="BR295" s="59"/>
      <c r="BS295" s="39"/>
      <c r="BT295" s="57" t="e">
        <f t="shared" si="38"/>
        <v>#VALUE!</v>
      </c>
      <c r="BU295" s="60"/>
      <c r="BV295" s="8" t="e">
        <v>#VALUE!</v>
      </c>
      <c r="BW295" s="58" t="e">
        <f>VLOOKUP(AQ295,'[1]Harga &amp; Nama CSO'!$A$28:$D$31,4,0)*BQ295</f>
        <v>#N/A</v>
      </c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44">
        <f>IFERROR(VLOOKUP(AQ297,'[2]Harga &amp; Nama CSO'!$A$116:$S$136,19,FALSE),0)*AV297</f>
        <v>0</v>
      </c>
      <c r="BO296" s="55" t="e">
        <f>IFERROR(VLOOKUP(AQ296,'[1]Harga &amp; Nama CSO'!$H$2:$N$22,2,FALSE),"")*AV296</f>
        <v>#VALUE!</v>
      </c>
      <c r="BP296" s="40"/>
      <c r="BQ296" s="39"/>
      <c r="BR296" s="59"/>
      <c r="BS296" s="39"/>
      <c r="BT296" s="57" t="e">
        <f t="shared" si="38"/>
        <v>#VALUE!</v>
      </c>
      <c r="BU296" s="60"/>
      <c r="BV296" s="8" t="e">
        <v>#VALUE!</v>
      </c>
      <c r="BW296" s="58" t="e">
        <f>VLOOKUP(AQ296,'[1]Harga &amp; Nama CSO'!$A$28:$D$31,4,0)*BQ296</f>
        <v>#N/A</v>
      </c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44">
        <f>IFERROR(VLOOKUP(AQ298,'[2]Harga &amp; Nama CSO'!$A$116:$S$136,19,FALSE),0)*AV298</f>
        <v>0</v>
      </c>
      <c r="BO297" s="55" t="e">
        <f>IFERROR(VLOOKUP(AQ297,'[1]Harga &amp; Nama CSO'!$H$2:$N$22,2,FALSE),"")*AV297</f>
        <v>#VALUE!</v>
      </c>
      <c r="BP297" s="40"/>
      <c r="BQ297" s="39"/>
      <c r="BR297" s="59"/>
      <c r="BS297" s="39"/>
      <c r="BT297" s="57" t="e">
        <f t="shared" si="38"/>
        <v>#VALUE!</v>
      </c>
      <c r="BU297" s="60"/>
      <c r="BV297" s="8" t="e">
        <v>#VALUE!</v>
      </c>
      <c r="BW297" s="58" t="e">
        <f>VLOOKUP(AQ297,'[1]Harga &amp; Nama CSO'!$A$28:$D$31,4,0)*BQ297</f>
        <v>#N/A</v>
      </c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44">
        <f>IFERROR(VLOOKUP(AQ299,'[2]Harga &amp; Nama CSO'!$A$116:$S$136,19,FALSE),0)*AV299</f>
        <v>0</v>
      </c>
      <c r="BO298" s="55" t="e">
        <f>IFERROR(VLOOKUP(AQ298,'[1]Harga &amp; Nama CSO'!$H$2:$N$22,2,FALSE),"")*AV298</f>
        <v>#VALUE!</v>
      </c>
      <c r="BP298" s="40"/>
      <c r="BQ298" s="39"/>
      <c r="BR298" s="59"/>
      <c r="BS298" s="39"/>
      <c r="BT298" s="57" t="e">
        <f t="shared" si="38"/>
        <v>#VALUE!</v>
      </c>
      <c r="BU298" s="60"/>
      <c r="BV298" s="8" t="e">
        <v>#VALUE!</v>
      </c>
      <c r="BW298" s="58" t="e">
        <f>VLOOKUP(AQ298,'[1]Harga &amp; Nama CSO'!$A$28:$D$31,4,0)*BQ298</f>
        <v>#N/A</v>
      </c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44">
        <f>IFERROR(VLOOKUP(AQ300,'[2]Harga &amp; Nama CSO'!$A$116:$S$136,19,FALSE),0)*AV300</f>
        <v>0</v>
      </c>
      <c r="BO299" s="55" t="e">
        <f>IFERROR(VLOOKUP(AQ299,'[1]Harga &amp; Nama CSO'!$H$2:$N$22,2,FALSE),"")*AV299</f>
        <v>#VALUE!</v>
      </c>
      <c r="BP299" s="40"/>
      <c r="BQ299" s="39"/>
      <c r="BR299" s="59"/>
      <c r="BS299" s="39"/>
      <c r="BT299" s="57" t="e">
        <f t="shared" si="38"/>
        <v>#VALUE!</v>
      </c>
      <c r="BU299" s="60"/>
      <c r="BV299" s="8" t="e">
        <v>#VALUE!</v>
      </c>
      <c r="BW299" s="58" t="e">
        <f>VLOOKUP(AQ299,'[1]Harga &amp; Nama CSO'!$A$28:$D$31,4,0)*BQ299</f>
        <v>#N/A</v>
      </c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44">
        <f>IFERROR(VLOOKUP(AQ301,'[2]Harga &amp; Nama CSO'!$A$116:$S$136,19,FALSE),0)*AV301</f>
        <v>0</v>
      </c>
      <c r="BO300" s="55" t="e">
        <f>IFERROR(VLOOKUP(AQ300,'[1]Harga &amp; Nama CSO'!$H$2:$N$22,2,FALSE),"")*AV300</f>
        <v>#VALUE!</v>
      </c>
      <c r="BP300" s="40"/>
      <c r="BQ300" s="39"/>
      <c r="BR300" s="59"/>
      <c r="BS300" s="39"/>
      <c r="BT300" s="57" t="e">
        <f t="shared" si="38"/>
        <v>#VALUE!</v>
      </c>
      <c r="BU300" s="60"/>
      <c r="BV300" s="8" t="e">
        <v>#VALUE!</v>
      </c>
      <c r="BW300" s="58" t="e">
        <f>VLOOKUP(AQ300,'[1]Harga &amp; Nama CSO'!$A$28:$D$31,4,0)*BQ300</f>
        <v>#N/A</v>
      </c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44">
        <f>IFERROR(VLOOKUP(AQ302,'[2]Harga &amp; Nama CSO'!$A$116:$S$136,19,FALSE),0)*AV302</f>
        <v>0</v>
      </c>
      <c r="BO301" s="55" t="e">
        <f>IFERROR(VLOOKUP(AQ301,'[1]Harga &amp; Nama CSO'!$H$2:$N$22,2,FALSE),"")*AV301</f>
        <v>#VALUE!</v>
      </c>
      <c r="BP301" s="40"/>
      <c r="BQ301" s="39"/>
      <c r="BR301" s="59"/>
      <c r="BS301" s="39"/>
      <c r="BT301" s="57" t="e">
        <f t="shared" si="38"/>
        <v>#VALUE!</v>
      </c>
      <c r="BU301" s="60"/>
      <c r="BV301" s="8" t="e">
        <v>#VALUE!</v>
      </c>
      <c r="BW301" s="58" t="e">
        <f>VLOOKUP(AQ301,'[1]Harga &amp; Nama CSO'!$A$28:$D$31,4,0)*BQ301</f>
        <v>#N/A</v>
      </c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44">
        <f>IFERROR(VLOOKUP(AQ303,'[2]Harga &amp; Nama CSO'!$A$116:$S$136,19,FALSE),0)*AV303</f>
        <v>0</v>
      </c>
      <c r="BO302" s="55" t="e">
        <f>IFERROR(VLOOKUP(AQ302,'[1]Harga &amp; Nama CSO'!$H$2:$N$22,2,FALSE),"")*AV302</f>
        <v>#VALUE!</v>
      </c>
      <c r="BP302" s="40"/>
      <c r="BQ302" s="39"/>
      <c r="BR302" s="59"/>
      <c r="BS302" s="39"/>
      <c r="BT302" s="57" t="e">
        <f t="shared" si="38"/>
        <v>#VALUE!</v>
      </c>
      <c r="BU302" s="60"/>
      <c r="BV302" s="8" t="e">
        <v>#VALUE!</v>
      </c>
      <c r="BW302" s="58" t="e">
        <f>VLOOKUP(AQ302,'[1]Harga &amp; Nama CSO'!$A$28:$D$31,4,0)*BQ302</f>
        <v>#N/A</v>
      </c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44">
        <f>IFERROR(VLOOKUP(AQ304,'[2]Harga &amp; Nama CSO'!$A$116:$S$136,19,FALSE),0)*AV304</f>
        <v>0</v>
      </c>
      <c r="BO303" s="55" t="e">
        <f>IFERROR(VLOOKUP(AQ303,'[1]Harga &amp; Nama CSO'!$H$2:$N$22,2,FALSE),"")*AV303</f>
        <v>#VALUE!</v>
      </c>
      <c r="BP303" s="40"/>
      <c r="BQ303" s="39"/>
      <c r="BR303" s="59"/>
      <c r="BS303" s="39"/>
      <c r="BT303" s="57" t="e">
        <f t="shared" si="38"/>
        <v>#VALUE!</v>
      </c>
      <c r="BU303" s="60"/>
      <c r="BV303" s="8" t="e">
        <v>#VALUE!</v>
      </c>
      <c r="BW303" s="58" t="e">
        <f>VLOOKUP(AQ303,'[1]Harga &amp; Nama CSO'!$A$28:$D$31,4,0)*BQ303</f>
        <v>#N/A</v>
      </c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44">
        <f>IFERROR(VLOOKUP(AQ305,'[2]Harga &amp; Nama CSO'!$A$116:$S$136,19,FALSE),0)*AV305</f>
        <v>0</v>
      </c>
      <c r="BO304" s="55" t="e">
        <f>IFERROR(VLOOKUP(AQ304,'[1]Harga &amp; Nama CSO'!$H$2:$N$22,2,FALSE),"")*AV304</f>
        <v>#VALUE!</v>
      </c>
      <c r="BP304" s="40"/>
      <c r="BQ304" s="39"/>
      <c r="BR304" s="59"/>
      <c r="BS304" s="39"/>
      <c r="BT304" s="57" t="e">
        <f t="shared" si="38"/>
        <v>#VALUE!</v>
      </c>
      <c r="BU304" s="60"/>
      <c r="BV304" s="8" t="e">
        <v>#VALUE!</v>
      </c>
      <c r="BW304" s="58" t="e">
        <f>VLOOKUP(AQ304,'[1]Harga &amp; Nama CSO'!$A$28:$D$31,4,0)*BQ304</f>
        <v>#N/A</v>
      </c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44">
        <f>IFERROR(VLOOKUP(AQ306,'[2]Harga &amp; Nama CSO'!$A$116:$S$136,19,FALSE),0)*AV306</f>
        <v>0</v>
      </c>
      <c r="BO305" s="55" t="e">
        <f>IFERROR(VLOOKUP(AQ305,'[1]Harga &amp; Nama CSO'!$H$2:$N$22,2,FALSE),"")*AV305</f>
        <v>#VALUE!</v>
      </c>
      <c r="BP305" s="40"/>
      <c r="BQ305" s="39"/>
      <c r="BR305" s="59"/>
      <c r="BS305" s="39"/>
      <c r="BT305" s="57" t="e">
        <f t="shared" si="38"/>
        <v>#VALUE!</v>
      </c>
      <c r="BU305" s="60"/>
      <c r="BV305" s="8" t="e">
        <v>#VALUE!</v>
      </c>
      <c r="BW305" s="58" t="e">
        <f>VLOOKUP(AQ305,'[1]Harga &amp; Nama CSO'!$A$28:$D$31,4,0)*BQ305</f>
        <v>#N/A</v>
      </c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44">
        <f>IFERROR(VLOOKUP(AQ307,'[2]Harga &amp; Nama CSO'!$A$116:$S$136,19,FALSE),0)*AV307</f>
        <v>0</v>
      </c>
      <c r="BO306" s="55" t="e">
        <f>IFERROR(VLOOKUP(AQ306,'[1]Harga &amp; Nama CSO'!$H$2:$N$22,2,FALSE),"")*AV306</f>
        <v>#VALUE!</v>
      </c>
      <c r="BP306" s="40"/>
      <c r="BQ306" s="39"/>
      <c r="BR306" s="59"/>
      <c r="BS306" s="39"/>
      <c r="BT306" s="57" t="e">
        <f t="shared" si="38"/>
        <v>#VALUE!</v>
      </c>
      <c r="BU306" s="60"/>
      <c r="BV306" s="8" t="e">
        <v>#VALUE!</v>
      </c>
      <c r="BW306" s="58" t="e">
        <f>VLOOKUP(AQ306,'[1]Harga &amp; Nama CSO'!$A$28:$D$31,4,0)*BQ306</f>
        <v>#N/A</v>
      </c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44">
        <f>IFERROR(VLOOKUP(AQ308,'[2]Harga &amp; Nama CSO'!$A$116:$S$136,19,FALSE),0)*AV308</f>
        <v>0</v>
      </c>
      <c r="BO307" s="55" t="e">
        <f>IFERROR(VLOOKUP(AQ307,'[1]Harga &amp; Nama CSO'!$H$2:$N$22,2,FALSE),"")*AV307</f>
        <v>#VALUE!</v>
      </c>
      <c r="BP307" s="40"/>
      <c r="BQ307" s="39"/>
      <c r="BR307" s="59"/>
      <c r="BS307" s="39"/>
      <c r="BT307" s="57" t="e">
        <f t="shared" si="38"/>
        <v>#VALUE!</v>
      </c>
      <c r="BU307" s="60"/>
      <c r="BV307" s="8" t="e">
        <v>#VALUE!</v>
      </c>
      <c r="BW307" s="58" t="e">
        <f>VLOOKUP(AQ307,'[1]Harga &amp; Nama CSO'!$A$28:$D$31,4,0)*BQ307</f>
        <v>#N/A</v>
      </c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44">
        <f>IFERROR(VLOOKUP(AQ309,'[2]Harga &amp; Nama CSO'!$A$116:$S$136,19,FALSE),0)*AV309</f>
        <v>0</v>
      </c>
      <c r="BO308" s="55" t="e">
        <f>IFERROR(VLOOKUP(AQ308,'[1]Harga &amp; Nama CSO'!$H$2:$N$22,2,FALSE),"")*AV308</f>
        <v>#VALUE!</v>
      </c>
      <c r="BP308" s="40"/>
      <c r="BQ308" s="39"/>
      <c r="BR308" s="59"/>
      <c r="BS308" s="39"/>
      <c r="BT308" s="57" t="e">
        <f t="shared" si="38"/>
        <v>#VALUE!</v>
      </c>
      <c r="BU308" s="60"/>
      <c r="BV308" s="8" t="e">
        <v>#VALUE!</v>
      </c>
      <c r="BW308" s="58" t="e">
        <f>VLOOKUP(AQ308,'[1]Harga &amp; Nama CSO'!$A$28:$D$31,4,0)*BQ308</f>
        <v>#N/A</v>
      </c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44">
        <f>IFERROR(VLOOKUP(AQ310,'[2]Harga &amp; Nama CSO'!$A$116:$S$136,19,FALSE),0)*AV310</f>
        <v>0</v>
      </c>
      <c r="BO309" s="55" t="e">
        <f>IFERROR(VLOOKUP(AQ309,'[1]Harga &amp; Nama CSO'!$H$2:$N$22,2,FALSE),"")*AV309</f>
        <v>#VALUE!</v>
      </c>
      <c r="BP309" s="40"/>
      <c r="BQ309" s="39"/>
      <c r="BR309" s="59"/>
      <c r="BS309" s="39"/>
      <c r="BT309" s="57" t="e">
        <f t="shared" si="38"/>
        <v>#VALUE!</v>
      </c>
      <c r="BU309" s="60"/>
      <c r="BV309" s="8" t="e">
        <v>#VALUE!</v>
      </c>
      <c r="BW309" s="58" t="e">
        <f>VLOOKUP(AQ309,'[1]Harga &amp; Nama CSO'!$A$28:$D$31,4,0)*BQ309</f>
        <v>#N/A</v>
      </c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44">
        <f>IFERROR(VLOOKUP(AQ311,'[2]Harga &amp; Nama CSO'!$A$116:$S$136,19,FALSE),0)*AV311</f>
        <v>0</v>
      </c>
      <c r="BO310" s="55" t="e">
        <f>IFERROR(VLOOKUP(AQ310,'[1]Harga &amp; Nama CSO'!$H$2:$N$22,2,FALSE),"")*AV310</f>
        <v>#VALUE!</v>
      </c>
      <c r="BP310" s="40"/>
      <c r="BQ310" s="39"/>
      <c r="BR310" s="59"/>
      <c r="BS310" s="39"/>
      <c r="BT310" s="57" t="e">
        <f t="shared" si="38"/>
        <v>#VALUE!</v>
      </c>
      <c r="BU310" s="60"/>
      <c r="BV310" s="8" t="e">
        <v>#VALUE!</v>
      </c>
      <c r="BW310" s="58" t="e">
        <f>VLOOKUP(AQ310,'[1]Harga &amp; Nama CSO'!$A$28:$D$31,4,0)*BQ310</f>
        <v>#N/A</v>
      </c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44">
        <f>IFERROR(VLOOKUP(AQ312,'[2]Harga &amp; Nama CSO'!$A$116:$S$136,19,FALSE),0)*AV312</f>
        <v>0</v>
      </c>
      <c r="BO311" s="55" t="e">
        <f>IFERROR(VLOOKUP(AQ311,'[1]Harga &amp; Nama CSO'!$H$2:$N$22,2,FALSE),"")*AV311</f>
        <v>#VALUE!</v>
      </c>
      <c r="BP311" s="40"/>
      <c r="BQ311" s="39"/>
      <c r="BR311" s="59"/>
      <c r="BS311" s="39"/>
      <c r="BT311" s="57" t="e">
        <f t="shared" si="38"/>
        <v>#VALUE!</v>
      </c>
      <c r="BU311" s="60"/>
      <c r="BV311" s="8" t="e">
        <v>#VALUE!</v>
      </c>
      <c r="BW311" s="58" t="e">
        <f>VLOOKUP(AQ311,'[1]Harga &amp; Nama CSO'!$A$28:$D$31,4,0)*BQ311</f>
        <v>#N/A</v>
      </c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44">
        <f>IFERROR(VLOOKUP(AQ313,'[2]Harga &amp; Nama CSO'!$A$116:$S$136,19,FALSE),0)*AV313</f>
        <v>0</v>
      </c>
      <c r="BO312" s="55" t="e">
        <f>IFERROR(VLOOKUP(AQ312,'[1]Harga &amp; Nama CSO'!$H$2:$N$22,2,FALSE),"")*AV312</f>
        <v>#VALUE!</v>
      </c>
      <c r="BP312" s="40"/>
      <c r="BQ312" s="39"/>
      <c r="BR312" s="59"/>
      <c r="BS312" s="39"/>
      <c r="BT312" s="57" t="e">
        <f t="shared" si="38"/>
        <v>#VALUE!</v>
      </c>
      <c r="BU312" s="60"/>
      <c r="BV312" s="8" t="e">
        <v>#VALUE!</v>
      </c>
      <c r="BW312" s="58" t="e">
        <f>VLOOKUP(AQ312,'[1]Harga &amp; Nama CSO'!$A$28:$D$31,4,0)*BQ312</f>
        <v>#N/A</v>
      </c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44">
        <f>IFERROR(VLOOKUP(AQ314,'[2]Harga &amp; Nama CSO'!$A$116:$S$136,19,FALSE),0)*AV314</f>
        <v>0</v>
      </c>
      <c r="BO313" s="55" t="e">
        <f>IFERROR(VLOOKUP(AQ313,'[1]Harga &amp; Nama CSO'!$H$2:$N$22,2,FALSE),"")*AV313</f>
        <v>#VALUE!</v>
      </c>
      <c r="BP313" s="40"/>
      <c r="BQ313" s="39"/>
      <c r="BR313" s="59"/>
      <c r="BS313" s="39"/>
      <c r="BT313" s="57" t="e">
        <f t="shared" si="38"/>
        <v>#VALUE!</v>
      </c>
      <c r="BU313" s="60"/>
      <c r="BV313" s="8" t="e">
        <v>#VALUE!</v>
      </c>
      <c r="BW313" s="58" t="e">
        <f>VLOOKUP(AQ313,'[1]Harga &amp; Nama CSO'!$A$28:$D$31,4,0)*BQ313</f>
        <v>#N/A</v>
      </c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44">
        <f>IFERROR(VLOOKUP(AQ315,'[2]Harga &amp; Nama CSO'!$A$116:$S$136,19,FALSE),0)*AV315</f>
        <v>0</v>
      </c>
      <c r="BO314" s="55" t="e">
        <f>IFERROR(VLOOKUP(AQ314,'[1]Harga &amp; Nama CSO'!$H$2:$N$22,2,FALSE),"")*AV314</f>
        <v>#VALUE!</v>
      </c>
      <c r="BP314" s="40"/>
      <c r="BQ314" s="39"/>
      <c r="BR314" s="59"/>
      <c r="BS314" s="39"/>
      <c r="BT314" s="57" t="e">
        <f t="shared" si="38"/>
        <v>#VALUE!</v>
      </c>
      <c r="BU314" s="60"/>
      <c r="BV314" s="8" t="e">
        <v>#VALUE!</v>
      </c>
      <c r="BW314" s="58" t="e">
        <f>VLOOKUP(AQ314,'[1]Harga &amp; Nama CSO'!$A$28:$D$31,4,0)*BQ314</f>
        <v>#N/A</v>
      </c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44">
        <f>IFERROR(VLOOKUP(AQ316,'[2]Harga &amp; Nama CSO'!$A$116:$S$136,19,FALSE),0)*AV316</f>
        <v>0</v>
      </c>
      <c r="BO315" s="55" t="e">
        <f>IFERROR(VLOOKUP(AQ315,'[1]Harga &amp; Nama CSO'!$H$2:$N$22,2,FALSE),"")*AV315</f>
        <v>#VALUE!</v>
      </c>
      <c r="BP315" s="40"/>
      <c r="BQ315" s="39"/>
      <c r="BR315" s="59"/>
      <c r="BS315" s="39"/>
      <c r="BT315" s="57" t="e">
        <f t="shared" si="38"/>
        <v>#VALUE!</v>
      </c>
      <c r="BU315" s="60"/>
      <c r="BV315" s="8" t="e">
        <v>#VALUE!</v>
      </c>
      <c r="BW315" s="58" t="e">
        <f>VLOOKUP(AQ315,'[1]Harga &amp; Nama CSO'!$A$28:$D$31,4,0)*BQ315</f>
        <v>#N/A</v>
      </c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44">
        <f>IFERROR(VLOOKUP(AQ317,'[2]Harga &amp; Nama CSO'!$A$116:$S$136,19,FALSE),0)*AV317</f>
        <v>0</v>
      </c>
      <c r="BO316" s="55" t="e">
        <f>IFERROR(VLOOKUP(AQ316,'[1]Harga &amp; Nama CSO'!$H$2:$N$22,2,FALSE),"")*AV316</f>
        <v>#VALUE!</v>
      </c>
      <c r="BP316" s="40"/>
      <c r="BQ316" s="39"/>
      <c r="BR316" s="59"/>
      <c r="BS316" s="39"/>
      <c r="BT316" s="57" t="e">
        <f t="shared" si="38"/>
        <v>#VALUE!</v>
      </c>
      <c r="BU316" s="60"/>
      <c r="BV316" s="8" t="e">
        <v>#VALUE!</v>
      </c>
      <c r="BW316" s="58" t="e">
        <f>VLOOKUP(AQ316,'[1]Harga &amp; Nama CSO'!$A$28:$D$31,4,0)*BQ316</f>
        <v>#N/A</v>
      </c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44">
        <f>IFERROR(VLOOKUP(AQ318,'[2]Harga &amp; Nama CSO'!$A$116:$S$136,19,FALSE),0)*AV318</f>
        <v>0</v>
      </c>
      <c r="BO317" s="55" t="e">
        <f>IFERROR(VLOOKUP(AQ317,'[1]Harga &amp; Nama CSO'!$H$2:$N$22,2,FALSE),"")*AV317</f>
        <v>#VALUE!</v>
      </c>
      <c r="BP317" s="40"/>
      <c r="BQ317" s="39"/>
      <c r="BR317" s="59"/>
      <c r="BS317" s="39"/>
      <c r="BT317" s="57" t="e">
        <f t="shared" si="38"/>
        <v>#VALUE!</v>
      </c>
      <c r="BU317" s="60"/>
      <c r="BV317" s="8" t="e">
        <v>#VALUE!</v>
      </c>
      <c r="BW317" s="58" t="e">
        <f>VLOOKUP(AQ317,'[1]Harga &amp; Nama CSO'!$A$28:$D$31,4,0)*BQ317</f>
        <v>#N/A</v>
      </c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44">
        <f>IFERROR(VLOOKUP(AQ319,'[2]Harga &amp; Nama CSO'!$A$116:$S$136,19,FALSE),0)*AV319</f>
        <v>0</v>
      </c>
      <c r="BO318" s="55" t="e">
        <f>IFERROR(VLOOKUP(AQ318,'[1]Harga &amp; Nama CSO'!$H$2:$N$22,2,FALSE),"")*AV318</f>
        <v>#VALUE!</v>
      </c>
      <c r="BP318" s="40"/>
      <c r="BQ318" s="39"/>
      <c r="BR318" s="59"/>
      <c r="BS318" s="39"/>
      <c r="BT318" s="57" t="e">
        <f t="shared" si="38"/>
        <v>#VALUE!</v>
      </c>
      <c r="BU318" s="60"/>
      <c r="BV318" s="8" t="e">
        <v>#VALUE!</v>
      </c>
      <c r="BW318" s="58" t="e">
        <f>VLOOKUP(AQ318,'[1]Harga &amp; Nama CSO'!$A$28:$D$31,4,0)*BQ318</f>
        <v>#N/A</v>
      </c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44">
        <f>IFERROR(VLOOKUP(AQ320,'[2]Harga &amp; Nama CSO'!$A$116:$S$136,19,FALSE),0)*AV320</f>
        <v>0</v>
      </c>
      <c r="BO319" s="55" t="e">
        <f>IFERROR(VLOOKUP(AQ319,'[1]Harga &amp; Nama CSO'!$H$2:$N$22,2,FALSE),"")*AV319</f>
        <v>#VALUE!</v>
      </c>
      <c r="BP319" s="40"/>
      <c r="BQ319" s="39"/>
      <c r="BR319" s="59"/>
      <c r="BS319" s="39"/>
      <c r="BT319" s="57" t="e">
        <f t="shared" si="38"/>
        <v>#VALUE!</v>
      </c>
      <c r="BU319" s="60"/>
      <c r="BV319" s="8" t="e">
        <v>#VALUE!</v>
      </c>
      <c r="BW319" s="58" t="e">
        <f>VLOOKUP(AQ319,'[1]Harga &amp; Nama CSO'!$A$28:$D$31,4,0)*BQ319</f>
        <v>#N/A</v>
      </c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44">
        <f>IFERROR(VLOOKUP(AQ321,'[2]Harga &amp; Nama CSO'!$A$116:$S$136,19,FALSE),0)*AV321</f>
        <v>0</v>
      </c>
      <c r="BO320" s="55" t="e">
        <f>IFERROR(VLOOKUP(AQ320,'[1]Harga &amp; Nama CSO'!$H$2:$N$22,2,FALSE),"")*AV320</f>
        <v>#VALUE!</v>
      </c>
      <c r="BP320" s="40"/>
      <c r="BQ320" s="39"/>
      <c r="BR320" s="59"/>
      <c r="BS320" s="39"/>
      <c r="BT320" s="57" t="e">
        <f t="shared" si="38"/>
        <v>#VALUE!</v>
      </c>
      <c r="BU320" s="60"/>
      <c r="BV320" s="8" t="e">
        <v>#VALUE!</v>
      </c>
      <c r="BW320" s="58" t="e">
        <f>VLOOKUP(AQ320,'[1]Harga &amp; Nama CSO'!$A$28:$D$31,4,0)*BQ320</f>
        <v>#N/A</v>
      </c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44">
        <f>IFERROR(VLOOKUP(AQ322,'[2]Harga &amp; Nama CSO'!$A$116:$S$136,19,FALSE),0)*AV322</f>
        <v>0</v>
      </c>
      <c r="BO321" s="55" t="e">
        <f>IFERROR(VLOOKUP(AQ321,'[1]Harga &amp; Nama CSO'!$H$2:$N$22,2,FALSE),"")*AV321</f>
        <v>#VALUE!</v>
      </c>
      <c r="BP321" s="40"/>
      <c r="BQ321" s="39"/>
      <c r="BR321" s="59"/>
      <c r="BS321" s="39"/>
      <c r="BT321" s="57" t="e">
        <f t="shared" si="38"/>
        <v>#VALUE!</v>
      </c>
      <c r="BU321" s="60"/>
      <c r="BV321" s="8" t="e">
        <v>#VALUE!</v>
      </c>
      <c r="BW321" s="58" t="e">
        <f>VLOOKUP(AQ321,'[1]Harga &amp; Nama CSO'!$A$28:$D$31,4,0)*BQ321</f>
        <v>#N/A</v>
      </c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44">
        <f>IFERROR(VLOOKUP(AQ323,'[2]Harga &amp; Nama CSO'!$A$116:$S$136,19,FALSE),0)*AV323</f>
        <v>0</v>
      </c>
      <c r="BO322" s="55" t="e">
        <f>IFERROR(VLOOKUP(AQ322,'[1]Harga &amp; Nama CSO'!$H$2:$N$22,2,FALSE),"")*AV322</f>
        <v>#VALUE!</v>
      </c>
      <c r="BP322" s="40"/>
      <c r="BQ322" s="39"/>
      <c r="BR322" s="59"/>
      <c r="BS322" s="39"/>
      <c r="BT322" s="57" t="e">
        <f t="shared" si="38"/>
        <v>#VALUE!</v>
      </c>
      <c r="BU322" s="60"/>
      <c r="BV322" s="8" t="e">
        <v>#VALUE!</v>
      </c>
      <c r="BW322" s="58" t="e">
        <f>VLOOKUP(AQ322,'[1]Harga &amp; Nama CSO'!$A$28:$D$31,4,0)*BQ322</f>
        <v>#N/A</v>
      </c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44">
        <f>IFERROR(VLOOKUP(AQ324,'[2]Harga &amp; Nama CSO'!$A$116:$S$136,19,FALSE),0)*AV324</f>
        <v>0</v>
      </c>
      <c r="BO323" s="55" t="e">
        <f>IFERROR(VLOOKUP(AQ323,'[1]Harga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39">BO323-BR323</f>
        <v>#VALUE!</v>
      </c>
      <c r="BU323" s="60"/>
      <c r="BV323" s="8" t="e">
        <v>#VALUE!</v>
      </c>
      <c r="BW323" s="58" t="e">
        <f>VLOOKUP(AQ323,'[1]Harga &amp; Nama CSO'!$A$28:$D$31,4,0)*BQ323</f>
        <v>#N/A</v>
      </c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44">
        <f>IFERROR(VLOOKUP(AQ325,'[2]Harga &amp; Nama CSO'!$A$116:$S$136,19,FALSE),0)*AV325</f>
        <v>0</v>
      </c>
      <c r="BO324" s="55" t="e">
        <f>IFERROR(VLOOKUP(AQ324,'[1]Harga &amp; Nama CSO'!$H$2:$N$22,2,FALSE),"")*AV324</f>
        <v>#VALUE!</v>
      </c>
      <c r="BP324" s="40"/>
      <c r="BQ324" s="39"/>
      <c r="BR324" s="59"/>
      <c r="BS324" s="39"/>
      <c r="BT324" s="57" t="e">
        <f t="shared" si="39"/>
        <v>#VALUE!</v>
      </c>
      <c r="BU324" s="60"/>
      <c r="BV324" s="8" t="e">
        <v>#VALUE!</v>
      </c>
      <c r="BW324" s="58" t="e">
        <f>VLOOKUP(AQ324,'[1]Harga &amp; Nama CSO'!$A$28:$D$31,4,0)*BQ324</f>
        <v>#N/A</v>
      </c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44">
        <f>IFERROR(VLOOKUP(AQ326,'[2]Harga &amp; Nama CSO'!$A$116:$S$136,19,FALSE),0)*AV326</f>
        <v>0</v>
      </c>
      <c r="BO325" s="55" t="e">
        <f>IFERROR(VLOOKUP(AQ325,'[1]Harga &amp; Nama CSO'!$H$2:$N$22,2,FALSE),"")*AV325</f>
        <v>#VALUE!</v>
      </c>
      <c r="BP325" s="40"/>
      <c r="BQ325" s="39"/>
      <c r="BR325" s="59"/>
      <c r="BS325" s="39"/>
      <c r="BT325" s="57" t="e">
        <f t="shared" si="39"/>
        <v>#VALUE!</v>
      </c>
      <c r="BU325" s="60"/>
      <c r="BV325" s="8" t="e">
        <v>#VALUE!</v>
      </c>
      <c r="BW325" s="58" t="e">
        <f>VLOOKUP(AQ325,'[1]Harga &amp; Nama CSO'!$A$28:$D$31,4,0)*BQ325</f>
        <v>#N/A</v>
      </c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44">
        <f>IFERROR(VLOOKUP(AQ327,'[2]Harga &amp; Nama CSO'!$A$116:$S$136,19,FALSE),0)*AV327</f>
        <v>0</v>
      </c>
      <c r="BO326" s="55" t="e">
        <f>IFERROR(VLOOKUP(AQ326,'[1]Harga &amp; Nama CSO'!$H$2:$N$22,2,FALSE),"")*AV326</f>
        <v>#VALUE!</v>
      </c>
      <c r="BP326" s="40"/>
      <c r="BQ326" s="39"/>
      <c r="BR326" s="59"/>
      <c r="BS326" s="39"/>
      <c r="BT326" s="57" t="e">
        <f t="shared" si="39"/>
        <v>#VALUE!</v>
      </c>
      <c r="BU326" s="60"/>
      <c r="BV326" s="8" t="e">
        <v>#VALUE!</v>
      </c>
      <c r="BW326" s="58" t="e">
        <f>VLOOKUP(AQ326,'[1]Harga &amp; Nama CSO'!$A$28:$D$31,4,0)*BQ326</f>
        <v>#N/A</v>
      </c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44">
        <f>IFERROR(VLOOKUP(AQ328,'[2]Harga &amp; Nama CSO'!$A$116:$S$136,19,FALSE),0)*AV328</f>
        <v>0</v>
      </c>
      <c r="BO327" s="55" t="e">
        <f>IFERROR(VLOOKUP(AQ327,'[1]Harga &amp; Nama CSO'!$H$2:$N$22,2,FALSE),"")*AV327</f>
        <v>#VALUE!</v>
      </c>
      <c r="BP327" s="40"/>
      <c r="BQ327" s="39"/>
      <c r="BR327" s="59"/>
      <c r="BS327" s="39"/>
      <c r="BT327" s="57" t="e">
        <f t="shared" si="39"/>
        <v>#VALUE!</v>
      </c>
      <c r="BU327" s="60"/>
      <c r="BV327" s="8" t="e">
        <v>#VALUE!</v>
      </c>
      <c r="BW327" s="58" t="e">
        <f>VLOOKUP(AQ327,'[1]Harga &amp; Nama CSO'!$A$28:$D$31,4,0)*BQ327</f>
        <v>#N/A</v>
      </c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44">
        <f>IFERROR(VLOOKUP(AQ329,'[2]Harga &amp; Nama CSO'!$A$116:$S$136,19,FALSE),0)*AV329</f>
        <v>0</v>
      </c>
      <c r="BO328" s="55" t="e">
        <f>IFERROR(VLOOKUP(AQ328,'[1]Harga &amp; Nama CSO'!$H$2:$N$22,2,FALSE),"")*AV328</f>
        <v>#VALUE!</v>
      </c>
      <c r="BP328" s="40"/>
      <c r="BQ328" s="39"/>
      <c r="BR328" s="59"/>
      <c r="BS328" s="39"/>
      <c r="BT328" s="57" t="e">
        <f t="shared" si="39"/>
        <v>#VALUE!</v>
      </c>
      <c r="BU328" s="60"/>
      <c r="BV328" s="8" t="e">
        <v>#VALUE!</v>
      </c>
      <c r="BW328" s="58" t="e">
        <f>VLOOKUP(AQ328,'[1]Harga &amp; Nama CSO'!$A$28:$D$31,4,0)*BQ328</f>
        <v>#N/A</v>
      </c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44">
        <f>IFERROR(VLOOKUP(AQ330,'[2]Harga &amp; Nama CSO'!$A$116:$S$136,19,FALSE),0)*AV330</f>
        <v>0</v>
      </c>
      <c r="BO329" s="55" t="e">
        <f>IFERROR(VLOOKUP(AQ329,'[1]Harga &amp; Nama CSO'!$H$2:$N$22,2,FALSE),"")*AV329</f>
        <v>#VALUE!</v>
      </c>
      <c r="BP329" s="40"/>
      <c r="BQ329" s="39"/>
      <c r="BR329" s="59"/>
      <c r="BS329" s="39"/>
      <c r="BT329" s="57" t="e">
        <f t="shared" si="39"/>
        <v>#VALUE!</v>
      </c>
      <c r="BU329" s="60"/>
      <c r="BV329" s="8" t="e">
        <v>#VALUE!</v>
      </c>
      <c r="BW329" s="58" t="e">
        <f>VLOOKUP(AQ329,'[1]Harga &amp; Nama CSO'!$A$28:$D$31,4,0)*BQ329</f>
        <v>#N/A</v>
      </c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44">
        <f>IFERROR(VLOOKUP(AQ331,'[2]Harga &amp; Nama CSO'!$A$116:$S$136,19,FALSE),0)*AV331</f>
        <v>0</v>
      </c>
      <c r="BO330" s="55" t="e">
        <f>IFERROR(VLOOKUP(AQ330,'[1]Harga &amp; Nama CSO'!$H$2:$N$22,2,FALSE),"")*AV330</f>
        <v>#VALUE!</v>
      </c>
      <c r="BP330" s="40"/>
      <c r="BQ330" s="39"/>
      <c r="BR330" s="59"/>
      <c r="BS330" s="39"/>
      <c r="BT330" s="57" t="e">
        <f t="shared" si="39"/>
        <v>#VALUE!</v>
      </c>
      <c r="BU330" s="60"/>
      <c r="BV330" s="8" t="e">
        <v>#VALUE!</v>
      </c>
      <c r="BW330" s="58" t="e">
        <f>VLOOKUP(AQ330,'[1]Harga &amp; Nama CSO'!$A$28:$D$31,4,0)*BQ330</f>
        <v>#N/A</v>
      </c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44">
        <f>IFERROR(VLOOKUP(AQ332,'[2]Harga &amp; Nama CSO'!$A$116:$S$136,19,FALSE),0)*AV332</f>
        <v>0</v>
      </c>
      <c r="BO331" s="55" t="e">
        <f>IFERROR(VLOOKUP(AQ331,'[1]Harga &amp; Nama CSO'!$H$2:$N$22,2,FALSE),"")*AV331</f>
        <v>#VALUE!</v>
      </c>
      <c r="BP331" s="40"/>
      <c r="BQ331" s="39"/>
      <c r="BR331" s="59"/>
      <c r="BS331" s="39"/>
      <c r="BT331" s="57" t="e">
        <f t="shared" si="39"/>
        <v>#VALUE!</v>
      </c>
      <c r="BU331" s="60"/>
      <c r="BV331" s="8" t="e">
        <v>#VALUE!</v>
      </c>
      <c r="BW331" s="58" t="e">
        <f>VLOOKUP(AQ331,'[1]Harga &amp; Nama CSO'!$A$28:$D$31,4,0)*BQ331</f>
        <v>#N/A</v>
      </c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44">
        <f>IFERROR(VLOOKUP(AQ333,'[2]Harga &amp; Nama CSO'!$A$116:$S$136,19,FALSE),0)*AV333</f>
        <v>0</v>
      </c>
      <c r="BO332" s="55" t="e">
        <f>IFERROR(VLOOKUP(AQ332,'[1]Harga &amp; Nama CSO'!$H$2:$N$22,2,FALSE),"")*AV332</f>
        <v>#VALUE!</v>
      </c>
      <c r="BP332" s="40"/>
      <c r="BQ332" s="39"/>
      <c r="BR332" s="59"/>
      <c r="BS332" s="39"/>
      <c r="BT332" s="57" t="e">
        <f t="shared" si="39"/>
        <v>#VALUE!</v>
      </c>
      <c r="BU332" s="60"/>
      <c r="BV332" s="8" t="e">
        <v>#VALUE!</v>
      </c>
      <c r="BW332" s="58" t="e">
        <f>VLOOKUP(AQ332,'[1]Harga &amp; Nama CSO'!$A$28:$D$31,4,0)*BQ332</f>
        <v>#N/A</v>
      </c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44">
        <f>IFERROR(VLOOKUP(AQ334,'[2]Harga &amp; Nama CSO'!$A$116:$S$136,19,FALSE),0)*AV334</f>
        <v>0</v>
      </c>
      <c r="BO333" s="55" t="e">
        <f>IFERROR(VLOOKUP(AQ333,'[1]Harga &amp; Nama CSO'!$H$2:$N$22,2,FALSE),"")*AV333</f>
        <v>#VALUE!</v>
      </c>
      <c r="BP333" s="40"/>
      <c r="BQ333" s="39"/>
      <c r="BR333" s="59"/>
      <c r="BS333" s="39"/>
      <c r="BT333" s="57" t="e">
        <f t="shared" si="39"/>
        <v>#VALUE!</v>
      </c>
      <c r="BU333" s="60"/>
      <c r="BV333" s="8" t="e">
        <v>#VALUE!</v>
      </c>
      <c r="BW333" s="58" t="e">
        <f>VLOOKUP(AQ333,'[1]Harga &amp; Nama CSO'!$A$28:$D$31,4,0)*BQ333</f>
        <v>#N/A</v>
      </c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44">
        <f>IFERROR(VLOOKUP(AQ335,'[2]Harga &amp; Nama CSO'!$A$116:$S$136,19,FALSE),0)*AV335</f>
        <v>0</v>
      </c>
      <c r="BO334" s="55" t="e">
        <f>IFERROR(VLOOKUP(AQ334,'[1]Harga &amp; Nama CSO'!$H$2:$N$22,2,FALSE),"")*AV334</f>
        <v>#VALUE!</v>
      </c>
      <c r="BP334" s="40"/>
      <c r="BQ334" s="39"/>
      <c r="BR334" s="59"/>
      <c r="BS334" s="39"/>
      <c r="BT334" s="57" t="e">
        <f t="shared" si="39"/>
        <v>#VALUE!</v>
      </c>
      <c r="BU334" s="60"/>
      <c r="BV334" s="8" t="e">
        <v>#VALUE!</v>
      </c>
      <c r="BW334" s="58" t="e">
        <f>VLOOKUP(AQ334,'[1]Harga &amp; Nama CSO'!$A$28:$D$31,4,0)*BQ334</f>
        <v>#N/A</v>
      </c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44">
        <f>IFERROR(VLOOKUP(AQ336,'[2]Harga &amp; Nama CSO'!$A$116:$S$136,19,FALSE),0)*AV336</f>
        <v>0</v>
      </c>
      <c r="BO335" s="55" t="e">
        <f>IFERROR(VLOOKUP(AQ335,'[1]Harga &amp; Nama CSO'!$H$2:$N$22,2,FALSE),"")*AV335</f>
        <v>#VALUE!</v>
      </c>
      <c r="BP335" s="40"/>
      <c r="BQ335" s="39"/>
      <c r="BR335" s="59"/>
      <c r="BS335" s="39"/>
      <c r="BT335" s="57" t="e">
        <f t="shared" si="39"/>
        <v>#VALUE!</v>
      </c>
      <c r="BU335" s="60"/>
      <c r="BV335" s="8" t="e">
        <v>#VALUE!</v>
      </c>
      <c r="BW335" s="58" t="e">
        <f>VLOOKUP(AQ335,'[1]Harga &amp; Nama CSO'!$A$28:$D$31,4,0)*BQ335</f>
        <v>#N/A</v>
      </c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44">
        <f>IFERROR(VLOOKUP(AQ337,'[2]Harga &amp; Nama CSO'!$A$116:$S$136,19,FALSE),0)*AV337</f>
        <v>0</v>
      </c>
      <c r="BO336" s="55" t="e">
        <f>IFERROR(VLOOKUP(AQ336,'[1]Harga &amp; Nama CSO'!$H$2:$N$22,2,FALSE),"")*AV336</f>
        <v>#VALUE!</v>
      </c>
      <c r="BP336" s="40"/>
      <c r="BQ336" s="39"/>
      <c r="BR336" s="59"/>
      <c r="BS336" s="39"/>
      <c r="BT336" s="57" t="e">
        <f t="shared" si="39"/>
        <v>#VALUE!</v>
      </c>
      <c r="BU336" s="60"/>
      <c r="BV336" s="8" t="e">
        <v>#VALUE!</v>
      </c>
      <c r="BW336" s="58" t="e">
        <f>VLOOKUP(AQ336,'[1]Harga &amp; Nama CSO'!$A$28:$D$31,4,0)*BQ336</f>
        <v>#N/A</v>
      </c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44">
        <f>IFERROR(VLOOKUP(AQ338,'[2]Harga &amp; Nama CSO'!$A$116:$S$136,19,FALSE),0)*AV338</f>
        <v>0</v>
      </c>
      <c r="BO337" s="55" t="e">
        <f>IFERROR(VLOOKUP(AQ337,'[1]Harga &amp; Nama CSO'!$H$2:$N$22,2,FALSE),"")*AV337</f>
        <v>#VALUE!</v>
      </c>
      <c r="BP337" s="40"/>
      <c r="BQ337" s="39"/>
      <c r="BR337" s="59"/>
      <c r="BS337" s="39"/>
      <c r="BT337" s="57" t="e">
        <f t="shared" si="39"/>
        <v>#VALUE!</v>
      </c>
      <c r="BU337" s="60"/>
      <c r="BV337" s="8" t="e">
        <v>#VALUE!</v>
      </c>
      <c r="BW337" s="58" t="e">
        <f>VLOOKUP(AQ337,'[1]Harga &amp; Nama CSO'!$A$28:$D$31,4,0)*BQ337</f>
        <v>#N/A</v>
      </c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44">
        <f>IFERROR(VLOOKUP(AQ339,'[2]Harga &amp; Nama CSO'!$A$116:$S$136,19,FALSE),0)*AV339</f>
        <v>0</v>
      </c>
      <c r="BO338" s="55" t="e">
        <f>IFERROR(VLOOKUP(AQ338,'[1]Harga &amp; Nama CSO'!$H$2:$N$22,2,FALSE),"")*AV338</f>
        <v>#VALUE!</v>
      </c>
      <c r="BP338" s="40"/>
      <c r="BQ338" s="39"/>
      <c r="BR338" s="59"/>
      <c r="BS338" s="39"/>
      <c r="BT338" s="57" t="e">
        <f t="shared" si="39"/>
        <v>#VALUE!</v>
      </c>
      <c r="BU338" s="60"/>
      <c r="BV338" s="8" t="e">
        <v>#VALUE!</v>
      </c>
      <c r="BW338" s="58" t="e">
        <f>VLOOKUP(AQ338,'[1]Harga &amp; Nama CSO'!$A$28:$D$31,4,0)*BQ338</f>
        <v>#N/A</v>
      </c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44">
        <f>IFERROR(VLOOKUP(AQ340,'[2]Harga &amp; Nama CSO'!$A$116:$S$136,19,FALSE),0)*AV340</f>
        <v>0</v>
      </c>
      <c r="BO339" s="55" t="e">
        <f>IFERROR(VLOOKUP(AQ339,'[1]Harga &amp; Nama CSO'!$H$2:$N$22,2,FALSE),"")*AV339</f>
        <v>#VALUE!</v>
      </c>
      <c r="BP339" s="40"/>
      <c r="BQ339" s="39"/>
      <c r="BR339" s="59"/>
      <c r="BS339" s="39"/>
      <c r="BT339" s="57" t="e">
        <f t="shared" si="39"/>
        <v>#VALUE!</v>
      </c>
      <c r="BU339" s="60"/>
      <c r="BV339" s="8" t="e">
        <v>#VALUE!</v>
      </c>
      <c r="BW339" s="58" t="e">
        <f>VLOOKUP(AQ339,'[1]Harga &amp; Nama CSO'!$A$28:$D$31,4,0)*BQ339</f>
        <v>#N/A</v>
      </c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44">
        <f>IFERROR(VLOOKUP(AQ341,'[2]Harga &amp; Nama CSO'!$A$116:$S$136,19,FALSE),0)*AV341</f>
        <v>0</v>
      </c>
      <c r="BO340" s="55" t="e">
        <f>IFERROR(VLOOKUP(AQ340,'[1]Harga &amp; Nama CSO'!$H$2:$N$22,2,FALSE),"")*AV340</f>
        <v>#VALUE!</v>
      </c>
      <c r="BP340" s="40"/>
      <c r="BQ340" s="39"/>
      <c r="BR340" s="59"/>
      <c r="BS340" s="39"/>
      <c r="BT340" s="57" t="e">
        <f t="shared" si="39"/>
        <v>#VALUE!</v>
      </c>
      <c r="BU340" s="60"/>
      <c r="BV340" s="8" t="e">
        <v>#VALUE!</v>
      </c>
      <c r="BW340" s="58" t="e">
        <f>VLOOKUP(AQ340,'[1]Harga &amp; Nama CSO'!$A$28:$D$31,4,0)*BQ340</f>
        <v>#N/A</v>
      </c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44">
        <f>IFERROR(VLOOKUP(AQ342,'[2]Harga &amp; Nama CSO'!$A$116:$S$136,19,FALSE),0)*AV342</f>
        <v>0</v>
      </c>
      <c r="BO341" s="55" t="e">
        <f>IFERROR(VLOOKUP(AQ341,'[1]Harga &amp; Nama CSO'!$H$2:$N$22,2,FALSE),"")*AV341</f>
        <v>#VALUE!</v>
      </c>
      <c r="BP341" s="40"/>
      <c r="BQ341" s="39"/>
      <c r="BR341" s="59"/>
      <c r="BS341" s="39"/>
      <c r="BT341" s="57" t="e">
        <f t="shared" si="39"/>
        <v>#VALUE!</v>
      </c>
      <c r="BU341" s="60"/>
      <c r="BV341" s="8" t="e">
        <v>#VALUE!</v>
      </c>
      <c r="BW341" s="58" t="e">
        <f>VLOOKUP(AQ341,'[1]Harga &amp; Nama CSO'!$A$28:$D$31,4,0)*BQ341</f>
        <v>#N/A</v>
      </c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44">
        <f>IFERROR(VLOOKUP(AQ343,'[2]Harga &amp; Nama CSO'!$A$116:$S$136,19,FALSE),0)*AV343</f>
        <v>0</v>
      </c>
      <c r="BO342" s="55" t="e">
        <f>IFERROR(VLOOKUP(AQ342,'[1]Harga &amp; Nama CSO'!$H$2:$N$22,2,FALSE),"")*AV342</f>
        <v>#VALUE!</v>
      </c>
      <c r="BP342" s="40"/>
      <c r="BQ342" s="39"/>
      <c r="BR342" s="59"/>
      <c r="BS342" s="39"/>
      <c r="BT342" s="57" t="e">
        <f t="shared" si="39"/>
        <v>#VALUE!</v>
      </c>
      <c r="BU342" s="60"/>
      <c r="BV342" s="8" t="e">
        <v>#VALUE!</v>
      </c>
      <c r="BW342" s="58" t="e">
        <f>VLOOKUP(AQ342,'[1]Harga &amp; Nama CSO'!$A$28:$D$31,4,0)*BQ342</f>
        <v>#N/A</v>
      </c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44">
        <f>IFERROR(VLOOKUP(AQ344,'[2]Harga &amp; Nama CSO'!$A$116:$S$136,19,FALSE),0)*AV344</f>
        <v>0</v>
      </c>
      <c r="BO343" s="55" t="e">
        <f>IFERROR(VLOOKUP(AQ343,'[1]Harga &amp; Nama CSO'!$H$2:$N$22,2,FALSE),"")*AV343</f>
        <v>#VALUE!</v>
      </c>
      <c r="BP343" s="40"/>
      <c r="BQ343" s="39"/>
      <c r="BR343" s="59"/>
      <c r="BS343" s="39"/>
      <c r="BT343" s="57" t="e">
        <f t="shared" si="39"/>
        <v>#VALUE!</v>
      </c>
      <c r="BU343" s="60"/>
      <c r="BV343" s="8" t="e">
        <v>#VALUE!</v>
      </c>
      <c r="BW343" s="58" t="e">
        <f>VLOOKUP(AQ343,'[1]Harga &amp; Nama CSO'!$A$28:$D$31,4,0)*BQ343</f>
        <v>#N/A</v>
      </c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44">
        <f>IFERROR(VLOOKUP(AQ345,'[2]Harga &amp; Nama CSO'!$A$116:$S$136,19,FALSE),0)*AV345</f>
        <v>0</v>
      </c>
      <c r="BO344" s="55" t="e">
        <f>IFERROR(VLOOKUP(AQ344,'[1]Harga &amp; Nama CSO'!$H$2:$N$22,2,FALSE),"")*AV344</f>
        <v>#VALUE!</v>
      </c>
      <c r="BP344" s="40"/>
      <c r="BQ344" s="39"/>
      <c r="BR344" s="59"/>
      <c r="BS344" s="39"/>
      <c r="BT344" s="57" t="e">
        <f t="shared" si="39"/>
        <v>#VALUE!</v>
      </c>
      <c r="BU344" s="60"/>
      <c r="BV344" s="8" t="e">
        <v>#VALUE!</v>
      </c>
      <c r="BW344" s="58" t="e">
        <f>VLOOKUP(AQ344,'[1]Harga &amp; Nama CSO'!$A$28:$D$31,4,0)*BQ344</f>
        <v>#N/A</v>
      </c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44">
        <f>IFERROR(VLOOKUP(AQ346,'[2]Harga &amp; Nama CSO'!$A$116:$S$136,19,FALSE),0)*AV346</f>
        <v>0</v>
      </c>
      <c r="BO345" s="55" t="e">
        <f>IFERROR(VLOOKUP(AQ345,'[1]Harga &amp; Nama CSO'!$H$2:$N$22,2,FALSE),"")*AV345</f>
        <v>#VALUE!</v>
      </c>
      <c r="BP345" s="40"/>
      <c r="BQ345" s="39"/>
      <c r="BR345" s="59"/>
      <c r="BS345" s="39"/>
      <c r="BT345" s="57" t="e">
        <f t="shared" si="39"/>
        <v>#VALUE!</v>
      </c>
      <c r="BU345" s="60"/>
      <c r="BV345" s="8" t="e">
        <v>#VALUE!</v>
      </c>
      <c r="BW345" s="58" t="e">
        <f>VLOOKUP(AQ345,'[1]Harga &amp; Nama CSO'!$A$28:$D$31,4,0)*BQ345</f>
        <v>#N/A</v>
      </c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44">
        <f>IFERROR(VLOOKUP(AQ347,'[2]Harga &amp; Nama CSO'!$A$116:$S$136,19,FALSE),0)*AV347</f>
        <v>0</v>
      </c>
      <c r="BO346" s="55" t="e">
        <f>IFERROR(VLOOKUP(AQ346,'[1]Harga &amp; Nama CSO'!$H$2:$N$22,2,FALSE),"")*AV346</f>
        <v>#VALUE!</v>
      </c>
      <c r="BP346" s="40"/>
      <c r="BQ346" s="39"/>
      <c r="BR346" s="59"/>
      <c r="BS346" s="39"/>
      <c r="BT346" s="57" t="e">
        <f t="shared" si="39"/>
        <v>#VALUE!</v>
      </c>
      <c r="BU346" s="60"/>
      <c r="BV346" s="8" t="e">
        <v>#VALUE!</v>
      </c>
      <c r="BW346" s="58" t="e">
        <f>VLOOKUP(AQ346,'[1]Harga &amp; Nama CSO'!$A$28:$D$31,4,0)*BQ346</f>
        <v>#N/A</v>
      </c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44">
        <f>IFERROR(VLOOKUP(AQ348,'[2]Harga &amp; Nama CSO'!$A$116:$S$136,19,FALSE),0)*AV348</f>
        <v>0</v>
      </c>
      <c r="BO347" s="55" t="e">
        <f>IFERROR(VLOOKUP(AQ347,'[1]Harga &amp; Nama CSO'!$H$2:$N$22,2,FALSE),"")*AV347</f>
        <v>#VALUE!</v>
      </c>
      <c r="BP347" s="40"/>
      <c r="BQ347" s="39"/>
      <c r="BR347" s="59"/>
      <c r="BS347" s="39"/>
      <c r="BT347" s="57" t="e">
        <f t="shared" si="39"/>
        <v>#VALUE!</v>
      </c>
      <c r="BU347" s="60"/>
      <c r="BV347" s="8" t="e">
        <v>#VALUE!</v>
      </c>
      <c r="BW347" s="58" t="e">
        <f>VLOOKUP(AQ347,'[1]Harga &amp; Nama CSO'!$A$28:$D$31,4,0)*BQ347</f>
        <v>#N/A</v>
      </c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44">
        <f>IFERROR(VLOOKUP(AQ349,'[2]Harga &amp; Nama CSO'!$A$116:$S$136,19,FALSE),0)*AV349</f>
        <v>0</v>
      </c>
      <c r="BO348" s="55" t="e">
        <f>IFERROR(VLOOKUP(AQ348,'[1]Harga &amp; Nama CSO'!$H$2:$N$22,2,FALSE),"")*AV348</f>
        <v>#VALUE!</v>
      </c>
      <c r="BP348" s="40"/>
      <c r="BQ348" s="39"/>
      <c r="BR348" s="59"/>
      <c r="BS348" s="39"/>
      <c r="BT348" s="57" t="e">
        <f t="shared" si="39"/>
        <v>#VALUE!</v>
      </c>
      <c r="BU348" s="60"/>
      <c r="BV348" s="8" t="e">
        <v>#VALUE!</v>
      </c>
      <c r="BW348" s="58" t="e">
        <f>VLOOKUP(AQ348,'[1]Harga &amp; Nama CSO'!$A$28:$D$31,4,0)*BQ348</f>
        <v>#N/A</v>
      </c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44">
        <f>IFERROR(VLOOKUP(AQ350,'[2]Harga &amp; Nama CSO'!$A$116:$S$136,19,FALSE),0)*AV350</f>
        <v>0</v>
      </c>
      <c r="BO349" s="55" t="e">
        <f>IFERROR(VLOOKUP(AQ349,'[1]Harga &amp; Nama CSO'!$H$2:$N$22,2,FALSE),"")*AV349</f>
        <v>#VALUE!</v>
      </c>
      <c r="BP349" s="40"/>
      <c r="BQ349" s="39"/>
      <c r="BR349" s="59"/>
      <c r="BS349" s="39"/>
      <c r="BT349" s="57" t="e">
        <f t="shared" si="39"/>
        <v>#VALUE!</v>
      </c>
      <c r="BU349" s="60"/>
      <c r="BV349" s="8" t="e">
        <v>#VALUE!</v>
      </c>
      <c r="BW349" s="58" t="e">
        <f>VLOOKUP(AQ349,'[1]Harga &amp; Nama CSO'!$A$28:$D$31,4,0)*BQ349</f>
        <v>#N/A</v>
      </c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44">
        <f>IFERROR(VLOOKUP(AQ351,'[2]Harga &amp; Nama CSO'!$A$116:$S$136,19,FALSE),0)*AV351</f>
        <v>0</v>
      </c>
      <c r="BO350" s="55" t="e">
        <f>IFERROR(VLOOKUP(AQ350,'[1]Harga &amp; Nama CSO'!$H$2:$N$22,2,FALSE),"")*AV350</f>
        <v>#VALUE!</v>
      </c>
      <c r="BP350" s="40"/>
      <c r="BQ350" s="39"/>
      <c r="BR350" s="59"/>
      <c r="BS350" s="39"/>
      <c r="BT350" s="57" t="e">
        <f t="shared" si="39"/>
        <v>#VALUE!</v>
      </c>
      <c r="BU350" s="60"/>
      <c r="BV350" s="8" t="e">
        <v>#VALUE!</v>
      </c>
      <c r="BW350" s="58" t="e">
        <f>VLOOKUP(AQ350,'[1]Harga &amp; Nama CSO'!$A$28:$D$31,4,0)*BQ350</f>
        <v>#N/A</v>
      </c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44">
        <f>IFERROR(VLOOKUP(AQ352,'[2]Harga &amp; Nama CSO'!$A$116:$S$136,19,FALSE),0)*AV352</f>
        <v>0</v>
      </c>
      <c r="BO351" s="55" t="e">
        <f>IFERROR(VLOOKUP(AQ351,'[1]Harga &amp; Nama CSO'!$H$2:$N$22,2,FALSE),"")*AV351</f>
        <v>#VALUE!</v>
      </c>
      <c r="BP351" s="40"/>
      <c r="BQ351" s="39"/>
      <c r="BR351" s="59"/>
      <c r="BS351" s="39"/>
      <c r="BT351" s="57" t="e">
        <f t="shared" si="39"/>
        <v>#VALUE!</v>
      </c>
      <c r="BU351" s="60"/>
      <c r="BV351" s="8" t="e">
        <v>#VALUE!</v>
      </c>
      <c r="BW351" s="58" t="e">
        <f>VLOOKUP(AQ351,'[1]Harga &amp; Nama CSO'!$A$28:$D$31,4,0)*BQ351</f>
        <v>#N/A</v>
      </c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44">
        <f>IFERROR(VLOOKUP(AQ353,'[2]Harga &amp; Nama CSO'!$A$116:$S$136,19,FALSE),0)*AV353</f>
        <v>0</v>
      </c>
      <c r="BO352" s="55" t="e">
        <f>IFERROR(VLOOKUP(AQ352,'[1]Harga &amp; Nama CSO'!$H$2:$N$22,2,FALSE),"")*AV352</f>
        <v>#VALUE!</v>
      </c>
      <c r="BP352" s="40"/>
      <c r="BQ352" s="39"/>
      <c r="BR352" s="59"/>
      <c r="BS352" s="39"/>
      <c r="BT352" s="57" t="e">
        <f t="shared" si="39"/>
        <v>#VALUE!</v>
      </c>
      <c r="BU352" s="60"/>
      <c r="BV352" s="8" t="e">
        <v>#VALUE!</v>
      </c>
      <c r="BW352" s="58" t="e">
        <f>VLOOKUP(AQ352,'[1]Harga &amp; Nama CSO'!$A$28:$D$31,4,0)*BQ352</f>
        <v>#N/A</v>
      </c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44">
        <f>IFERROR(VLOOKUP(AQ354,'[2]Harga &amp; Nama CSO'!$A$116:$S$136,19,FALSE),0)*AV354</f>
        <v>0</v>
      </c>
      <c r="BO353" s="55" t="e">
        <f>IFERROR(VLOOKUP(AQ353,'[1]Harga &amp; Nama CSO'!$H$2:$N$22,2,FALSE),"")*AV353</f>
        <v>#VALUE!</v>
      </c>
      <c r="BP353" s="40"/>
      <c r="BQ353" s="39"/>
      <c r="BR353" s="59"/>
      <c r="BS353" s="39"/>
      <c r="BT353" s="57" t="e">
        <f t="shared" si="39"/>
        <v>#VALUE!</v>
      </c>
      <c r="BU353" s="60"/>
      <c r="BV353" s="8" t="e">
        <v>#VALUE!</v>
      </c>
      <c r="BW353" s="58" t="e">
        <f>VLOOKUP(AQ353,'[1]Harga &amp; Nama CSO'!$A$28:$D$31,4,0)*BQ353</f>
        <v>#N/A</v>
      </c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44">
        <f>IFERROR(VLOOKUP(AQ355,'[2]Harga &amp; Nama CSO'!$A$116:$S$136,19,FALSE),0)*AV355</f>
        <v>0</v>
      </c>
      <c r="BO354" s="55" t="e">
        <f>IFERROR(VLOOKUP(AQ354,'[1]Harga &amp; Nama CSO'!$H$2:$N$22,2,FALSE),"")*AV354</f>
        <v>#VALUE!</v>
      </c>
      <c r="BP354" s="40"/>
      <c r="BQ354" s="39"/>
      <c r="BR354" s="59"/>
      <c r="BS354" s="39"/>
      <c r="BT354" s="57" t="e">
        <f t="shared" si="39"/>
        <v>#VALUE!</v>
      </c>
      <c r="BU354" s="60"/>
      <c r="BV354" s="8" t="e">
        <v>#VALUE!</v>
      </c>
      <c r="BW354" s="58" t="e">
        <f>VLOOKUP(AQ354,'[1]Harga &amp; Nama CSO'!$A$28:$D$31,4,0)*BQ354</f>
        <v>#N/A</v>
      </c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44">
        <f>IFERROR(VLOOKUP(AQ356,'[2]Harga &amp; Nama CSO'!$A$116:$S$136,19,FALSE),0)*AV356</f>
        <v>0</v>
      </c>
      <c r="BO355" s="55" t="e">
        <f>IFERROR(VLOOKUP(AQ355,'[1]Harga &amp; Nama CSO'!$H$2:$N$22,2,FALSE),"")*AV355</f>
        <v>#VALUE!</v>
      </c>
      <c r="BP355" s="40"/>
      <c r="BQ355" s="39"/>
      <c r="BR355" s="59"/>
      <c r="BS355" s="39"/>
      <c r="BT355" s="57" t="e">
        <f t="shared" si="39"/>
        <v>#VALUE!</v>
      </c>
      <c r="BU355" s="60"/>
      <c r="BV355" s="8" t="e">
        <v>#VALUE!</v>
      </c>
      <c r="BW355" s="58" t="e">
        <f>VLOOKUP(AQ355,'[1]Harga &amp; Nama CSO'!$A$28:$D$31,4,0)*BQ355</f>
        <v>#N/A</v>
      </c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44">
        <f>IFERROR(VLOOKUP(AQ357,'[2]Harga &amp; Nama CSO'!$A$116:$S$136,19,FALSE),0)*AV357</f>
        <v>0</v>
      </c>
      <c r="BO356" s="55" t="e">
        <f>IFERROR(VLOOKUP(AQ356,'[1]Harga &amp; Nama CSO'!$H$2:$N$22,2,FALSE),"")*AV356</f>
        <v>#VALUE!</v>
      </c>
      <c r="BP356" s="40"/>
      <c r="BQ356" s="39"/>
      <c r="BR356" s="59"/>
      <c r="BS356" s="39"/>
      <c r="BT356" s="57" t="e">
        <f t="shared" si="39"/>
        <v>#VALUE!</v>
      </c>
      <c r="BU356" s="60"/>
      <c r="BV356" s="8" t="e">
        <v>#VALUE!</v>
      </c>
      <c r="BW356" s="58" t="e">
        <f>VLOOKUP(AQ356,'[1]Harga &amp; Nama CSO'!$A$28:$D$31,4,0)*BQ356</f>
        <v>#N/A</v>
      </c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44">
        <f>IFERROR(VLOOKUP(AQ358,'[2]Harga &amp; Nama CSO'!$A$116:$S$136,19,FALSE),0)*AV358</f>
        <v>0</v>
      </c>
      <c r="BO357" s="55" t="e">
        <f>IFERROR(VLOOKUP(AQ357,'[1]Harga &amp; Nama CSO'!$H$2:$N$22,2,FALSE),"")*AV357</f>
        <v>#VALUE!</v>
      </c>
      <c r="BP357" s="40"/>
      <c r="BQ357" s="39"/>
      <c r="BR357" s="59"/>
      <c r="BS357" s="39"/>
      <c r="BT357" s="57" t="e">
        <f t="shared" si="39"/>
        <v>#VALUE!</v>
      </c>
      <c r="BU357" s="60"/>
      <c r="BV357" s="8" t="e">
        <v>#VALUE!</v>
      </c>
      <c r="BW357" s="58" t="e">
        <f>VLOOKUP(AQ357,'[1]Harga &amp; Nama CSO'!$A$28:$D$31,4,0)*BQ357</f>
        <v>#N/A</v>
      </c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44">
        <f>IFERROR(VLOOKUP(AQ359,'[2]Harga &amp; Nama CSO'!$A$116:$S$136,19,FALSE),0)*AV359</f>
        <v>0</v>
      </c>
      <c r="BO358" s="55" t="e">
        <f>IFERROR(VLOOKUP(AQ358,'[1]Harga &amp; Nama CSO'!$H$2:$N$22,2,FALSE),"")*AV358</f>
        <v>#VALUE!</v>
      </c>
      <c r="BP358" s="40"/>
      <c r="BQ358" s="39"/>
      <c r="BR358" s="59"/>
      <c r="BS358" s="39"/>
      <c r="BT358" s="57" t="e">
        <f t="shared" si="39"/>
        <v>#VALUE!</v>
      </c>
      <c r="BU358" s="60"/>
      <c r="BV358" s="8" t="e">
        <v>#VALUE!</v>
      </c>
      <c r="BW358" s="58" t="e">
        <f>VLOOKUP(AQ358,'[1]Harga &amp; Nama CSO'!$A$28:$D$31,4,0)*BQ358</f>
        <v>#N/A</v>
      </c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44">
        <f>IFERROR(VLOOKUP(AQ360,'[2]Harga &amp; Nama CSO'!$A$116:$S$136,19,FALSE),0)*AV360</f>
        <v>0</v>
      </c>
      <c r="BO359" s="55" t="e">
        <f>IFERROR(VLOOKUP(AQ359,'[1]Harga &amp; Nama CSO'!$H$2:$N$22,2,FALSE),"")*AV359</f>
        <v>#VALUE!</v>
      </c>
      <c r="BP359" s="40"/>
      <c r="BQ359" s="39"/>
      <c r="BR359" s="59"/>
      <c r="BS359" s="39"/>
      <c r="BT359" s="57" t="e">
        <f t="shared" si="39"/>
        <v>#VALUE!</v>
      </c>
      <c r="BU359" s="60"/>
      <c r="BV359" s="8" t="e">
        <v>#VALUE!</v>
      </c>
      <c r="BW359" s="58" t="e">
        <f>VLOOKUP(AQ359,'[1]Harga &amp; Nama CSO'!$A$28:$D$31,4,0)*BQ359</f>
        <v>#N/A</v>
      </c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44">
        <f>IFERROR(VLOOKUP(AQ361,'[2]Harga &amp; Nama CSO'!$A$116:$S$136,19,FALSE),0)*AV361</f>
        <v>0</v>
      </c>
      <c r="BO360" s="55" t="e">
        <f>IFERROR(VLOOKUP(AQ360,'[1]Harga &amp; Nama CSO'!$H$2:$N$22,2,FALSE),"")*AV360</f>
        <v>#VALUE!</v>
      </c>
      <c r="BP360" s="40"/>
      <c r="BQ360" s="39"/>
      <c r="BR360" s="59"/>
      <c r="BS360" s="39"/>
      <c r="BT360" s="57" t="e">
        <f t="shared" si="39"/>
        <v>#VALUE!</v>
      </c>
      <c r="BU360" s="60"/>
      <c r="BV360" s="8" t="e">
        <v>#VALUE!</v>
      </c>
      <c r="BW360" s="58" t="e">
        <f>VLOOKUP(AQ360,'[1]Harga &amp; Nama CSO'!$A$28:$D$31,4,0)*BQ360</f>
        <v>#N/A</v>
      </c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44">
        <f>IFERROR(VLOOKUP(AQ362,'[2]Harga &amp; Nama CSO'!$A$116:$S$136,19,FALSE),0)*AV362</f>
        <v>0</v>
      </c>
      <c r="BO361" s="55" t="e">
        <f>IFERROR(VLOOKUP(AQ361,'[1]Harga &amp; Nama CSO'!$H$2:$N$22,2,FALSE),"")*AV361</f>
        <v>#VALUE!</v>
      </c>
      <c r="BP361" s="40"/>
      <c r="BQ361" s="39"/>
      <c r="BR361" s="59"/>
      <c r="BS361" s="39"/>
      <c r="BT361" s="57" t="e">
        <f t="shared" si="39"/>
        <v>#VALUE!</v>
      </c>
      <c r="BU361" s="60"/>
      <c r="BV361" s="8" t="e">
        <v>#VALUE!</v>
      </c>
      <c r="BW361" s="58" t="e">
        <f>VLOOKUP(AQ361,'[1]Harga &amp; Nama CSO'!$A$28:$D$31,4,0)*BQ361</f>
        <v>#N/A</v>
      </c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44">
        <f>IFERROR(VLOOKUP(AQ363,'[2]Harga &amp; Nama CSO'!$A$116:$S$136,19,FALSE),0)*AV363</f>
        <v>0</v>
      </c>
      <c r="BO362" s="55" t="e">
        <f>IFERROR(VLOOKUP(AQ362,'[1]Harga &amp; Nama CSO'!$H$2:$N$22,2,FALSE),"")*AV362</f>
        <v>#VALUE!</v>
      </c>
      <c r="BP362" s="40"/>
      <c r="BQ362" s="39"/>
      <c r="BR362" s="59"/>
      <c r="BS362" s="39"/>
      <c r="BT362" s="57" t="e">
        <f t="shared" si="39"/>
        <v>#VALUE!</v>
      </c>
      <c r="BU362" s="60"/>
      <c r="BV362" s="8" t="e">
        <v>#VALUE!</v>
      </c>
      <c r="BW362" s="58" t="e">
        <f>VLOOKUP(AQ362,'[1]Harga &amp; Nama CSO'!$A$28:$D$31,4,0)*BQ362</f>
        <v>#N/A</v>
      </c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44">
        <f>IFERROR(VLOOKUP(AQ364,'[2]Harga &amp; Nama CSO'!$A$116:$S$136,19,FALSE),0)*AV364</f>
        <v>0</v>
      </c>
      <c r="BO363" s="55" t="e">
        <f>IFERROR(VLOOKUP(AQ363,'[1]Harga &amp; Nama CSO'!$H$2:$N$22,2,FALSE),"")*AV363</f>
        <v>#VALUE!</v>
      </c>
      <c r="BP363" s="40"/>
      <c r="BQ363" s="39"/>
      <c r="BR363" s="59"/>
      <c r="BS363" s="39"/>
      <c r="BT363" s="57" t="e">
        <f t="shared" si="39"/>
        <v>#VALUE!</v>
      </c>
      <c r="BU363" s="60"/>
      <c r="BV363" s="8" t="e">
        <v>#VALUE!</v>
      </c>
      <c r="BW363" s="58" t="e">
        <f>VLOOKUP(AQ363,'[1]Harga &amp; Nama CSO'!$A$28:$D$31,4,0)*BQ363</f>
        <v>#N/A</v>
      </c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44">
        <f>IFERROR(VLOOKUP(AQ365,'[2]Harga &amp; Nama CSO'!$A$116:$S$136,19,FALSE),0)*AV365</f>
        <v>0</v>
      </c>
      <c r="BO364" s="55" t="e">
        <f>IFERROR(VLOOKUP(AQ364,'[1]Harga &amp; Nama CSO'!$H$2:$N$22,2,FALSE),"")*AV364</f>
        <v>#VALUE!</v>
      </c>
      <c r="BP364" s="40"/>
      <c r="BQ364" s="39"/>
      <c r="BR364" s="59"/>
      <c r="BS364" s="39"/>
      <c r="BT364" s="57" t="e">
        <f t="shared" si="39"/>
        <v>#VALUE!</v>
      </c>
      <c r="BU364" s="60"/>
      <c r="BV364" s="8" t="e">
        <v>#VALUE!</v>
      </c>
      <c r="BW364" s="58" t="e">
        <f>VLOOKUP(AQ364,'[1]Harga &amp; Nama CSO'!$A$28:$D$31,4,0)*BQ364</f>
        <v>#N/A</v>
      </c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44">
        <f>IFERROR(VLOOKUP(AQ366,'[2]Harga &amp; Nama CSO'!$A$116:$S$136,19,FALSE),0)*AV366</f>
        <v>0</v>
      </c>
      <c r="BO365" s="55" t="e">
        <f>IFERROR(VLOOKUP(AQ365,'[1]Harga &amp; Nama CSO'!$H$2:$N$22,2,FALSE),"")*AV365</f>
        <v>#VALUE!</v>
      </c>
      <c r="BP365" s="40"/>
      <c r="BQ365" s="39"/>
      <c r="BR365" s="59"/>
      <c r="BS365" s="39"/>
      <c r="BT365" s="57" t="e">
        <f t="shared" si="39"/>
        <v>#VALUE!</v>
      </c>
      <c r="BU365" s="60"/>
      <c r="BV365" s="8" t="e">
        <v>#VALUE!</v>
      </c>
      <c r="BW365" s="58" t="e">
        <f>VLOOKUP(AQ365,'[1]Harga &amp; Nama CSO'!$A$28:$D$31,4,0)*BQ365</f>
        <v>#N/A</v>
      </c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44">
        <f>IFERROR(VLOOKUP(AQ367,'[2]Harga &amp; Nama CSO'!$A$116:$S$136,19,FALSE),0)*AV367</f>
        <v>0</v>
      </c>
      <c r="BO366" s="55" t="e">
        <f>IFERROR(VLOOKUP(AQ366,'[1]Harga &amp; Nama CSO'!$H$2:$N$22,2,FALSE),"")*AV366</f>
        <v>#VALUE!</v>
      </c>
      <c r="BP366" s="40"/>
      <c r="BQ366" s="39"/>
      <c r="BR366" s="59"/>
      <c r="BS366" s="39"/>
      <c r="BT366" s="57" t="e">
        <f t="shared" si="39"/>
        <v>#VALUE!</v>
      </c>
      <c r="BU366" s="60"/>
      <c r="BV366" s="8" t="e">
        <v>#VALUE!</v>
      </c>
      <c r="BW366" s="58" t="e">
        <f>VLOOKUP(AQ366,'[1]Harga &amp; Nama CSO'!$A$28:$D$31,4,0)*BQ366</f>
        <v>#N/A</v>
      </c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44">
        <f>IFERROR(VLOOKUP(AQ368,'[2]Harga &amp; Nama CSO'!$A$116:$S$136,19,FALSE),0)*AV368</f>
        <v>0</v>
      </c>
      <c r="BO367" s="55" t="e">
        <f>IFERROR(VLOOKUP(AQ367,'[1]Harga &amp; Nama CSO'!$H$2:$N$22,2,FALSE),"")*AV367</f>
        <v>#VALUE!</v>
      </c>
      <c r="BP367" s="40"/>
      <c r="BQ367" s="39"/>
      <c r="BR367" s="59"/>
      <c r="BS367" s="39"/>
      <c r="BT367" s="57" t="e">
        <f t="shared" si="39"/>
        <v>#VALUE!</v>
      </c>
      <c r="BU367" s="60"/>
      <c r="BV367" s="8" t="e">
        <v>#VALUE!</v>
      </c>
      <c r="BW367" s="58" t="e">
        <f>VLOOKUP(AQ367,'[1]Harga &amp; Nama CSO'!$A$28:$D$31,4,0)*BQ367</f>
        <v>#N/A</v>
      </c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44">
        <f>IFERROR(VLOOKUP(AQ369,'[2]Harga &amp; Nama CSO'!$A$116:$S$136,19,FALSE),0)*AV369</f>
        <v>0</v>
      </c>
      <c r="BO368" s="55" t="e">
        <f>IFERROR(VLOOKUP(AQ368,'[1]Harga &amp; Nama CSO'!$H$2:$N$22,2,FALSE),"")*AV368</f>
        <v>#VALUE!</v>
      </c>
      <c r="BP368" s="40"/>
      <c r="BQ368" s="39"/>
      <c r="BR368" s="59"/>
      <c r="BS368" s="39"/>
      <c r="BT368" s="57" t="e">
        <f t="shared" si="39"/>
        <v>#VALUE!</v>
      </c>
      <c r="BU368" s="60"/>
      <c r="BV368" s="8" t="e">
        <v>#VALUE!</v>
      </c>
      <c r="BW368" s="58" t="e">
        <f>VLOOKUP(AQ368,'[1]Harga &amp; Nama CSO'!$A$28:$D$31,4,0)*BQ368</f>
        <v>#N/A</v>
      </c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44">
        <f>IFERROR(VLOOKUP(AQ370,'[2]Harga &amp; Nama CSO'!$A$116:$S$136,19,FALSE),0)*AV370</f>
        <v>0</v>
      </c>
      <c r="BO369" s="55" t="e">
        <f>IFERROR(VLOOKUP(AQ369,'[1]Harga &amp; Nama CSO'!$H$2:$N$22,2,FALSE),"")*AV369</f>
        <v>#VALUE!</v>
      </c>
      <c r="BP369" s="40"/>
      <c r="BQ369" s="39"/>
      <c r="BR369" s="59"/>
      <c r="BS369" s="39"/>
      <c r="BT369" s="57" t="e">
        <f t="shared" si="39"/>
        <v>#VALUE!</v>
      </c>
      <c r="BU369" s="60"/>
      <c r="BV369" s="8" t="e">
        <v>#VALUE!</v>
      </c>
      <c r="BW369" s="58" t="e">
        <f>VLOOKUP(AQ369,'[1]Harga &amp; Nama CSO'!$A$28:$D$31,4,0)*BQ369</f>
        <v>#N/A</v>
      </c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44">
        <f>IFERROR(VLOOKUP(AQ371,'[2]Harga &amp; Nama CSO'!$A$116:$S$136,19,FALSE),0)*AV371</f>
        <v>0</v>
      </c>
      <c r="BO370" s="55" t="e">
        <f>IFERROR(VLOOKUP(AQ370,'[1]Harga &amp; Nama CSO'!$H$2:$N$22,2,FALSE),"")*AV370</f>
        <v>#VALUE!</v>
      </c>
      <c r="BP370" s="40"/>
      <c r="BQ370" s="39"/>
      <c r="BR370" s="59"/>
      <c r="BS370" s="39"/>
      <c r="BT370" s="57" t="e">
        <f t="shared" si="39"/>
        <v>#VALUE!</v>
      </c>
      <c r="BU370" s="60"/>
      <c r="BV370" s="8" t="e">
        <v>#VALUE!</v>
      </c>
      <c r="BW370" s="58" t="e">
        <f>VLOOKUP(AQ370,'[1]Harga &amp; Nama CSO'!$A$28:$D$31,4,0)*BQ370</f>
        <v>#N/A</v>
      </c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44">
        <f>IFERROR(VLOOKUP(AQ372,'[2]Harga &amp; Nama CSO'!$A$116:$S$136,19,FALSE),0)*AV372</f>
        <v>0</v>
      </c>
      <c r="BO371" s="55" t="e">
        <f>IFERROR(VLOOKUP(AQ371,'[1]Harga &amp; Nama CSO'!$H$2:$N$22,2,FALSE),"")*AV371</f>
        <v>#VALUE!</v>
      </c>
      <c r="BP371" s="40"/>
      <c r="BQ371" s="39"/>
      <c r="BR371" s="59"/>
      <c r="BS371" s="39"/>
      <c r="BT371" s="57" t="e">
        <f t="shared" si="39"/>
        <v>#VALUE!</v>
      </c>
      <c r="BU371" s="60"/>
      <c r="BV371" s="8" t="e">
        <v>#VALUE!</v>
      </c>
      <c r="BW371" s="58" t="e">
        <f>VLOOKUP(AQ371,'[1]Harga &amp; Nama CSO'!$A$28:$D$31,4,0)*BQ371</f>
        <v>#N/A</v>
      </c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44">
        <f>IFERROR(VLOOKUP(AQ373,'[2]Harga &amp; Nama CSO'!$A$116:$S$136,19,FALSE),0)*AV373</f>
        <v>0</v>
      </c>
      <c r="BO372" s="55" t="e">
        <f>IFERROR(VLOOKUP(AQ372,'[1]Harga &amp; Nama CSO'!$H$2:$N$22,2,FALSE),"")*AV372</f>
        <v>#VALUE!</v>
      </c>
      <c r="BP372" s="40"/>
      <c r="BQ372" s="39"/>
      <c r="BR372" s="59"/>
      <c r="BS372" s="39"/>
      <c r="BT372" s="57" t="e">
        <f t="shared" si="39"/>
        <v>#VALUE!</v>
      </c>
      <c r="BU372" s="60"/>
      <c r="BV372" s="8" t="e">
        <v>#VALUE!</v>
      </c>
      <c r="BW372" s="58" t="e">
        <f>VLOOKUP(AQ372,'[1]Harga &amp; Nama CSO'!$A$28:$D$31,4,0)*BQ372</f>
        <v>#N/A</v>
      </c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44">
        <f>IFERROR(VLOOKUP(AQ374,'[2]Harga &amp; Nama CSO'!$A$116:$S$136,19,FALSE),0)*AV374</f>
        <v>0</v>
      </c>
      <c r="BO373" s="55" t="e">
        <f>IFERROR(VLOOKUP(AQ373,'[1]Harga &amp; Nama CSO'!$H$2:$N$22,2,FALSE),"")*AV373</f>
        <v>#VALUE!</v>
      </c>
      <c r="BP373" s="40"/>
      <c r="BQ373" s="39"/>
      <c r="BR373" s="59"/>
      <c r="BS373" s="39"/>
      <c r="BT373" s="57" t="e">
        <f t="shared" si="39"/>
        <v>#VALUE!</v>
      </c>
      <c r="BU373" s="60"/>
      <c r="BV373" s="8" t="e">
        <v>#VALUE!</v>
      </c>
      <c r="BW373" s="58" t="e">
        <f>VLOOKUP(AQ373,'[1]Harga &amp; Nama CSO'!$A$28:$D$31,4,0)*BQ373</f>
        <v>#N/A</v>
      </c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44">
        <f>IFERROR(VLOOKUP(AQ375,'[2]Harga &amp; Nama CSO'!$A$116:$S$136,19,FALSE),0)*AV375</f>
        <v>0</v>
      </c>
      <c r="BO374" s="55" t="e">
        <f>IFERROR(VLOOKUP(AQ374,'[1]Harga &amp; Nama CSO'!$H$2:$N$22,2,FALSE),"")*AV374</f>
        <v>#VALUE!</v>
      </c>
      <c r="BP374" s="40"/>
      <c r="BQ374" s="39"/>
      <c r="BR374" s="59"/>
      <c r="BS374" s="39"/>
      <c r="BT374" s="57" t="e">
        <f t="shared" si="39"/>
        <v>#VALUE!</v>
      </c>
      <c r="BU374" s="60"/>
      <c r="BV374" s="8" t="e">
        <v>#VALUE!</v>
      </c>
      <c r="BW374" s="58" t="e">
        <f>VLOOKUP(AQ374,'[1]Harga &amp; Nama CSO'!$A$28:$D$31,4,0)*BQ374</f>
        <v>#N/A</v>
      </c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44">
        <f>IFERROR(VLOOKUP(AQ376,'[2]Harga &amp; Nama CSO'!$A$116:$S$136,19,FALSE),0)*AV376</f>
        <v>0</v>
      </c>
      <c r="BO375" s="55" t="e">
        <f>IFERROR(VLOOKUP(AQ375,'[1]Harga &amp; Nama CSO'!$H$2:$N$22,2,FALSE),"")*AV375</f>
        <v>#VALUE!</v>
      </c>
      <c r="BP375" s="40"/>
      <c r="BQ375" s="39"/>
      <c r="BR375" s="59"/>
      <c r="BS375" s="39"/>
      <c r="BT375" s="57" t="e">
        <f t="shared" si="39"/>
        <v>#VALUE!</v>
      </c>
      <c r="BU375" s="60"/>
      <c r="BV375" s="8" t="e">
        <v>#VALUE!</v>
      </c>
      <c r="BW375" s="58" t="e">
        <f>VLOOKUP(AQ375,'[1]Harga &amp; Nama CSO'!$A$28:$D$31,4,0)*BQ375</f>
        <v>#N/A</v>
      </c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44">
        <f>IFERROR(VLOOKUP(AQ377,'[2]Harga &amp; Nama CSO'!$A$116:$S$136,19,FALSE),0)*AV377</f>
        <v>0</v>
      </c>
      <c r="BO376" s="55" t="e">
        <f>IFERROR(VLOOKUP(AQ376,'[1]Harga &amp; Nama CSO'!$H$2:$N$22,2,FALSE),"")*AV376</f>
        <v>#VALUE!</v>
      </c>
      <c r="BP376" s="40"/>
      <c r="BQ376" s="39"/>
      <c r="BR376" s="59"/>
      <c r="BS376" s="39"/>
      <c r="BT376" s="57" t="e">
        <f t="shared" si="39"/>
        <v>#VALUE!</v>
      </c>
      <c r="BU376" s="60"/>
      <c r="BV376" s="8" t="e">
        <v>#VALUE!</v>
      </c>
      <c r="BW376" s="58" t="e">
        <f>VLOOKUP(AQ376,'[1]Harga &amp; Nama CSO'!$A$28:$D$31,4,0)*BQ376</f>
        <v>#N/A</v>
      </c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44">
        <f>IFERROR(VLOOKUP(AQ378,'[2]Harga &amp; Nama CSO'!$A$116:$S$136,19,FALSE),0)*AV378</f>
        <v>0</v>
      </c>
      <c r="BO377" s="55" t="e">
        <f>IFERROR(VLOOKUP(AQ377,'[1]Harga &amp; Nama CSO'!$H$2:$N$22,2,FALSE),"")*AV377</f>
        <v>#VALUE!</v>
      </c>
      <c r="BP377" s="40"/>
      <c r="BQ377" s="39"/>
      <c r="BR377" s="59"/>
      <c r="BS377" s="39"/>
      <c r="BT377" s="57" t="e">
        <f t="shared" si="39"/>
        <v>#VALUE!</v>
      </c>
      <c r="BU377" s="60"/>
      <c r="BV377" s="8" t="e">
        <v>#VALUE!</v>
      </c>
      <c r="BW377" s="58" t="e">
        <f>VLOOKUP(AQ377,'[1]Harga &amp; Nama CSO'!$A$28:$D$31,4,0)*BQ377</f>
        <v>#N/A</v>
      </c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44">
        <f>IFERROR(VLOOKUP(AQ379,'[2]Harga &amp; Nama CSO'!$A$116:$S$136,19,FALSE),0)*AV379</f>
        <v>0</v>
      </c>
      <c r="BO378" s="55" t="e">
        <f>IFERROR(VLOOKUP(AQ378,'[1]Harga &amp; Nama CSO'!$H$2:$N$22,2,FALSE),"")*AV378</f>
        <v>#VALUE!</v>
      </c>
      <c r="BP378" s="40"/>
      <c r="BQ378" s="39"/>
      <c r="BR378" s="59"/>
      <c r="BS378" s="39"/>
      <c r="BT378" s="57" t="e">
        <f t="shared" si="39"/>
        <v>#VALUE!</v>
      </c>
      <c r="BU378" s="60"/>
      <c r="BV378" s="8" t="e">
        <v>#VALUE!</v>
      </c>
      <c r="BW378" s="58" t="e">
        <f>VLOOKUP(AQ378,'[1]Harga &amp; Nama CSO'!$A$28:$D$31,4,0)*BQ378</f>
        <v>#N/A</v>
      </c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44">
        <f>IFERROR(VLOOKUP(AQ380,'[2]Harga &amp; Nama CSO'!$A$116:$S$136,19,FALSE),0)*AV380</f>
        <v>0</v>
      </c>
      <c r="BO379" s="55" t="e">
        <f>IFERROR(VLOOKUP(AQ379,'[1]Harga &amp; Nama CSO'!$H$2:$N$22,2,FALSE),"")*AV379</f>
        <v>#VALUE!</v>
      </c>
      <c r="BP379" s="40"/>
      <c r="BQ379" s="39"/>
      <c r="BR379" s="59"/>
      <c r="BS379" s="39"/>
      <c r="BT379" s="57" t="e">
        <f t="shared" si="39"/>
        <v>#VALUE!</v>
      </c>
      <c r="BU379" s="60"/>
      <c r="BV379" s="8" t="e">
        <v>#VALUE!</v>
      </c>
      <c r="BW379" s="58" t="e">
        <f>VLOOKUP(AQ379,'[1]Harga &amp; Nama CSO'!$A$28:$D$31,4,0)*BQ379</f>
        <v>#N/A</v>
      </c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44">
        <f>IFERROR(VLOOKUP(AQ381,'[2]Harga &amp; Nama CSO'!$A$116:$S$136,19,FALSE),0)*AV381</f>
        <v>0</v>
      </c>
      <c r="BO380" s="55" t="e">
        <f>IFERROR(VLOOKUP(AQ380,'[1]Harga &amp; Nama CSO'!$H$2:$N$22,2,FALSE),"")*AV380</f>
        <v>#VALUE!</v>
      </c>
      <c r="BP380" s="40"/>
      <c r="BQ380" s="39"/>
      <c r="BR380" s="59"/>
      <c r="BS380" s="39"/>
      <c r="BT380" s="57" t="e">
        <f t="shared" si="39"/>
        <v>#VALUE!</v>
      </c>
      <c r="BU380" s="60"/>
      <c r="BV380" s="8" t="e">
        <v>#VALUE!</v>
      </c>
      <c r="BW380" s="58" t="e">
        <f>VLOOKUP(AQ380,'[1]Harga &amp; Nama CSO'!$A$28:$D$31,4,0)*BQ380</f>
        <v>#N/A</v>
      </c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44">
        <f>IFERROR(VLOOKUP(AQ382,'[2]Harga &amp; Nama CSO'!$A$116:$S$136,19,FALSE),0)*AV382</f>
        <v>0</v>
      </c>
      <c r="BO381" s="55" t="e">
        <f>IFERROR(VLOOKUP(AQ381,'[1]Harga &amp; Nama CSO'!$H$2:$N$22,2,FALSE),"")*AV381</f>
        <v>#VALUE!</v>
      </c>
      <c r="BP381" s="40"/>
      <c r="BQ381" s="39"/>
      <c r="BR381" s="59"/>
      <c r="BS381" s="39"/>
      <c r="BT381" s="57" t="e">
        <f t="shared" si="39"/>
        <v>#VALUE!</v>
      </c>
      <c r="BU381" s="60"/>
      <c r="BV381" s="8" t="e">
        <v>#VALUE!</v>
      </c>
      <c r="BW381" s="58" t="e">
        <f>VLOOKUP(AQ381,'[1]Harga &amp; Nama CSO'!$A$28:$D$31,4,0)*BQ381</f>
        <v>#N/A</v>
      </c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44">
        <f>IFERROR(VLOOKUP(AQ383,'[2]Harga &amp; Nama CSO'!$A$116:$S$136,19,FALSE),0)*AV383</f>
        <v>0</v>
      </c>
      <c r="BO382" s="55" t="e">
        <f>IFERROR(VLOOKUP(AQ382,'[1]Harga &amp; Nama CSO'!$H$2:$N$22,2,FALSE),"")*AV382</f>
        <v>#VALUE!</v>
      </c>
      <c r="BP382" s="40"/>
      <c r="BQ382" s="39"/>
      <c r="BR382" s="59"/>
      <c r="BS382" s="39"/>
      <c r="BT382" s="57" t="e">
        <f t="shared" si="39"/>
        <v>#VALUE!</v>
      </c>
      <c r="BU382" s="60"/>
      <c r="BV382" s="8" t="e">
        <v>#VALUE!</v>
      </c>
      <c r="BW382" s="58" t="e">
        <f>VLOOKUP(AQ382,'[1]Harga &amp; Nama CSO'!$A$28:$D$31,4,0)*BQ382</f>
        <v>#N/A</v>
      </c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44">
        <f>IFERROR(VLOOKUP(AQ384,'[2]Harga &amp; Nama CSO'!$A$116:$S$136,19,FALSE),0)*AV384</f>
        <v>0</v>
      </c>
      <c r="BO383" s="55" t="e">
        <f>IFERROR(VLOOKUP(AQ383,'[1]Harga &amp; Nama CSO'!$H$2:$N$22,2,FALSE),"")*AV383</f>
        <v>#VALUE!</v>
      </c>
      <c r="BP383" s="40"/>
      <c r="BQ383" s="39"/>
      <c r="BR383" s="59"/>
      <c r="BS383" s="39"/>
      <c r="BT383" s="57" t="e">
        <f t="shared" si="39"/>
        <v>#VALUE!</v>
      </c>
      <c r="BU383" s="60"/>
      <c r="BV383" s="8" t="e">
        <v>#VALUE!</v>
      </c>
      <c r="BW383" s="58" t="e">
        <f>VLOOKUP(AQ383,'[1]Harga &amp; Nama CSO'!$A$28:$D$31,4,0)*BQ383</f>
        <v>#N/A</v>
      </c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44">
        <f>IFERROR(VLOOKUP(AQ385,'[2]Harga &amp; Nama CSO'!$A$116:$S$136,19,FALSE),0)*AV385</f>
        <v>0</v>
      </c>
      <c r="BO384" s="55" t="e">
        <f>IFERROR(VLOOKUP(AQ384,'[1]Harga &amp; Nama CSO'!$H$2:$N$22,2,FALSE),"")*AV384</f>
        <v>#VALUE!</v>
      </c>
      <c r="BP384" s="40"/>
      <c r="BQ384" s="39"/>
      <c r="BR384" s="59"/>
      <c r="BS384" s="39"/>
      <c r="BT384" s="57" t="e">
        <f t="shared" si="39"/>
        <v>#VALUE!</v>
      </c>
      <c r="BU384" s="60"/>
      <c r="BV384" s="8" t="e">
        <v>#VALUE!</v>
      </c>
      <c r="BW384" s="58" t="e">
        <f>VLOOKUP(AQ384,'[1]Harga &amp; Nama CSO'!$A$28:$D$31,4,0)*BQ384</f>
        <v>#N/A</v>
      </c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44">
        <f>IFERROR(VLOOKUP(AQ386,'[2]Harga &amp; Nama CSO'!$A$116:$S$136,19,FALSE),0)*AV386</f>
        <v>0</v>
      </c>
      <c r="BO385" s="55" t="e">
        <f>IFERROR(VLOOKUP(AQ385,'[1]Harga &amp; Nama CSO'!$H$2:$N$22,2,FALSE),"")*AV385</f>
        <v>#VALUE!</v>
      </c>
      <c r="BP385" s="40"/>
      <c r="BQ385" s="39"/>
      <c r="BR385" s="59"/>
      <c r="BS385" s="39"/>
      <c r="BT385" s="57" t="e">
        <f t="shared" si="39"/>
        <v>#VALUE!</v>
      </c>
      <c r="BU385" s="60"/>
      <c r="BV385" s="8" t="e">
        <v>#VALUE!</v>
      </c>
      <c r="BW385" s="58" t="e">
        <f>VLOOKUP(AQ385,'[1]Harga &amp; Nama CSO'!$A$28:$D$31,4,0)*BQ385</f>
        <v>#N/A</v>
      </c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44">
        <f>IFERROR(VLOOKUP(AQ387,'[2]Harga &amp; Nama CSO'!$A$116:$S$136,19,FALSE),0)*AV387</f>
        <v>0</v>
      </c>
      <c r="BO386" s="55" t="e">
        <f>IFERROR(VLOOKUP(AQ386,'[1]Harga &amp; Nama CSO'!$H$2:$N$22,2,FALSE),"")*AV386</f>
        <v>#VALUE!</v>
      </c>
      <c r="BP386" s="40"/>
      <c r="BQ386" s="39"/>
      <c r="BR386" s="59"/>
      <c r="BS386" s="39"/>
      <c r="BT386" s="57" t="e">
        <f t="shared" si="39"/>
        <v>#VALUE!</v>
      </c>
      <c r="BU386" s="60"/>
      <c r="BV386" s="8" t="e">
        <v>#VALUE!</v>
      </c>
      <c r="BW386" s="58" t="e">
        <f>VLOOKUP(AQ386,'[1]Harga &amp; Nama CSO'!$A$28:$D$31,4,0)*BQ386</f>
        <v>#N/A</v>
      </c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44">
        <f>IFERROR(VLOOKUP(AQ388,'[2]Harga &amp; Nama CSO'!$A$116:$S$136,19,FALSE),0)*AV388</f>
        <v>0</v>
      </c>
      <c r="BO387" s="55" t="e">
        <f>IFERROR(VLOOKUP(AQ387,'[1]Harga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40">BO387-BR387</f>
        <v>#VALUE!</v>
      </c>
      <c r="BU387" s="60"/>
      <c r="BV387" s="8" t="e">
        <v>#VALUE!</v>
      </c>
      <c r="BW387" s="58" t="e">
        <f>VLOOKUP(AQ387,'[1]Harga &amp; Nama CSO'!$A$28:$D$31,4,0)*BQ387</f>
        <v>#N/A</v>
      </c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44">
        <f>IFERROR(VLOOKUP(AQ389,'[2]Harga &amp; Nama CSO'!$A$116:$S$136,19,FALSE),0)*AV389</f>
        <v>0</v>
      </c>
      <c r="BO388" s="55" t="e">
        <f>IFERROR(VLOOKUP(AQ388,'[1]Harga &amp; Nama CSO'!$H$2:$N$22,2,FALSE),"")*AV388</f>
        <v>#VALUE!</v>
      </c>
      <c r="BP388" s="40"/>
      <c r="BQ388" s="39"/>
      <c r="BR388" s="59"/>
      <c r="BS388" s="39"/>
      <c r="BT388" s="57" t="e">
        <f t="shared" si="40"/>
        <v>#VALUE!</v>
      </c>
      <c r="BU388" s="60"/>
      <c r="BV388" s="8" t="e">
        <v>#VALUE!</v>
      </c>
      <c r="BW388" s="58" t="e">
        <f>VLOOKUP(AQ388,'[1]Harga &amp; Nama CSO'!$A$28:$D$31,4,0)*BQ388</f>
        <v>#N/A</v>
      </c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44">
        <f>IFERROR(VLOOKUP(AQ390,'[2]Harga &amp; Nama CSO'!$A$116:$S$136,19,FALSE),0)*AV390</f>
        <v>0</v>
      </c>
      <c r="BO389" s="55" t="e">
        <f>IFERROR(VLOOKUP(AQ389,'[1]Harga &amp; Nama CSO'!$H$2:$N$22,2,FALSE),"")*AV389</f>
        <v>#VALUE!</v>
      </c>
      <c r="BP389" s="40"/>
      <c r="BQ389" s="39"/>
      <c r="BR389" s="59"/>
      <c r="BS389" s="39"/>
      <c r="BT389" s="57" t="e">
        <f t="shared" si="40"/>
        <v>#VALUE!</v>
      </c>
      <c r="BU389" s="60"/>
      <c r="BV389" s="8" t="e">
        <v>#VALUE!</v>
      </c>
      <c r="BW389" s="58" t="e">
        <f>VLOOKUP(AQ389,'[1]Harga &amp; Nama CSO'!$A$28:$D$31,4,0)*BQ389</f>
        <v>#N/A</v>
      </c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44">
        <f>IFERROR(VLOOKUP(AQ391,'[2]Harga &amp; Nama CSO'!$A$116:$S$136,19,FALSE),0)*AV391</f>
        <v>0</v>
      </c>
      <c r="BO390" s="55" t="e">
        <f>IFERROR(VLOOKUP(AQ390,'[1]Harga &amp; Nama CSO'!$H$2:$N$22,2,FALSE),"")*AV390</f>
        <v>#VALUE!</v>
      </c>
      <c r="BP390" s="40"/>
      <c r="BQ390" s="39"/>
      <c r="BR390" s="59"/>
      <c r="BS390" s="39"/>
      <c r="BT390" s="57" t="e">
        <f t="shared" si="40"/>
        <v>#VALUE!</v>
      </c>
      <c r="BU390" s="60"/>
      <c r="BV390" s="8" t="e">
        <v>#VALUE!</v>
      </c>
      <c r="BW390" s="58" t="e">
        <f>VLOOKUP(AQ390,'[1]Harga &amp; Nama CSO'!$A$28:$D$31,4,0)*BQ390</f>
        <v>#N/A</v>
      </c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44">
        <f>IFERROR(VLOOKUP(AQ392,'[2]Harga &amp; Nama CSO'!$A$116:$S$136,19,FALSE),0)*AV392</f>
        <v>0</v>
      </c>
      <c r="BO391" s="55" t="e">
        <f>IFERROR(VLOOKUP(AQ391,'[1]Harga &amp; Nama CSO'!$H$2:$N$22,2,FALSE),"")*AV391</f>
        <v>#VALUE!</v>
      </c>
      <c r="BP391" s="40"/>
      <c r="BQ391" s="39"/>
      <c r="BR391" s="59"/>
      <c r="BS391" s="39"/>
      <c r="BT391" s="57" t="e">
        <f t="shared" si="40"/>
        <v>#VALUE!</v>
      </c>
      <c r="BU391" s="60"/>
      <c r="BV391" s="8" t="e">
        <v>#VALUE!</v>
      </c>
      <c r="BW391" s="58" t="e">
        <f>VLOOKUP(AQ391,'[1]Harga &amp; Nama CSO'!$A$28:$D$31,4,0)*BQ391</f>
        <v>#N/A</v>
      </c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44">
        <f>IFERROR(VLOOKUP(AQ393,'[2]Harga &amp; Nama CSO'!$A$116:$S$136,19,FALSE),0)*AV393</f>
        <v>0</v>
      </c>
      <c r="BO392" s="55" t="e">
        <f>IFERROR(VLOOKUP(AQ392,'[1]Harga &amp; Nama CSO'!$H$2:$N$22,2,FALSE),"")*AV392</f>
        <v>#VALUE!</v>
      </c>
      <c r="BP392" s="40"/>
      <c r="BQ392" s="39"/>
      <c r="BR392" s="59"/>
      <c r="BS392" s="39"/>
      <c r="BT392" s="57" t="e">
        <f t="shared" si="40"/>
        <v>#VALUE!</v>
      </c>
      <c r="BU392" s="60"/>
      <c r="BV392" s="8" t="e">
        <v>#VALUE!</v>
      </c>
      <c r="BW392" s="58" t="e">
        <f>VLOOKUP(AQ392,'[1]Harga &amp; Nama CSO'!$A$28:$D$31,4,0)*BQ392</f>
        <v>#N/A</v>
      </c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44">
        <f>IFERROR(VLOOKUP(AQ394,'[2]Harga &amp; Nama CSO'!$A$116:$S$136,19,FALSE),0)*AV394</f>
        <v>0</v>
      </c>
      <c r="BO393" s="55" t="e">
        <f>IFERROR(VLOOKUP(AQ393,'[1]Harga &amp; Nama CSO'!$H$2:$N$22,2,FALSE),"")*AV393</f>
        <v>#VALUE!</v>
      </c>
      <c r="BP393" s="40"/>
      <c r="BQ393" s="39"/>
      <c r="BR393" s="59"/>
      <c r="BS393" s="39"/>
      <c r="BT393" s="57" t="e">
        <f t="shared" si="40"/>
        <v>#VALUE!</v>
      </c>
      <c r="BU393" s="60"/>
      <c r="BV393" s="8" t="e">
        <v>#VALUE!</v>
      </c>
      <c r="BW393" s="58" t="e">
        <f>VLOOKUP(AQ393,'[1]Harga &amp; Nama CSO'!$A$28:$D$31,4,0)*BQ393</f>
        <v>#N/A</v>
      </c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44">
        <f>IFERROR(VLOOKUP(AQ395,'[2]Harga &amp; Nama CSO'!$A$116:$S$136,19,FALSE),0)*AV395</f>
        <v>0</v>
      </c>
      <c r="BO394" s="55" t="e">
        <f>IFERROR(VLOOKUP(AQ394,'[1]Harga &amp; Nama CSO'!$H$2:$N$22,2,FALSE),"")*AV394</f>
        <v>#VALUE!</v>
      </c>
      <c r="BP394" s="40"/>
      <c r="BQ394" s="39"/>
      <c r="BR394" s="59"/>
      <c r="BS394" s="39"/>
      <c r="BT394" s="57" t="e">
        <f t="shared" si="40"/>
        <v>#VALUE!</v>
      </c>
      <c r="BU394" s="60"/>
      <c r="BV394" s="8" t="e">
        <v>#VALUE!</v>
      </c>
      <c r="BW394" s="58" t="e">
        <f>VLOOKUP(AQ394,'[1]Harga &amp; Nama CSO'!$A$28:$D$31,4,0)*BQ394</f>
        <v>#N/A</v>
      </c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44">
        <f>IFERROR(VLOOKUP(AQ396,'[2]Harga &amp; Nama CSO'!$A$116:$S$136,19,FALSE),0)*AV396</f>
        <v>0</v>
      </c>
      <c r="BO395" s="55" t="e">
        <f>IFERROR(VLOOKUP(AQ395,'[1]Harga &amp; Nama CSO'!$H$2:$N$22,2,FALSE),"")*AV395</f>
        <v>#VALUE!</v>
      </c>
      <c r="BP395" s="40"/>
      <c r="BQ395" s="39"/>
      <c r="BR395" s="59"/>
      <c r="BS395" s="39"/>
      <c r="BT395" s="57" t="e">
        <f t="shared" si="40"/>
        <v>#VALUE!</v>
      </c>
      <c r="BU395" s="60"/>
      <c r="BV395" s="8" t="e">
        <v>#VALUE!</v>
      </c>
      <c r="BW395" s="58" t="e">
        <f>VLOOKUP(AQ395,'[1]Harga &amp; Nama CSO'!$A$28:$D$31,4,0)*BQ395</f>
        <v>#N/A</v>
      </c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44">
        <f>IFERROR(VLOOKUP(AQ397,'[2]Harga &amp; Nama CSO'!$A$116:$S$136,19,FALSE),0)*AV397</f>
        <v>0</v>
      </c>
      <c r="BO396" s="55" t="e">
        <f>IFERROR(VLOOKUP(AQ396,'[1]Harga &amp; Nama CSO'!$H$2:$N$22,2,FALSE),"")*AV396</f>
        <v>#VALUE!</v>
      </c>
      <c r="BP396" s="40"/>
      <c r="BQ396" s="39"/>
      <c r="BR396" s="59"/>
      <c r="BS396" s="39"/>
      <c r="BT396" s="57" t="e">
        <f t="shared" si="40"/>
        <v>#VALUE!</v>
      </c>
      <c r="BU396" s="60"/>
      <c r="BV396" s="8" t="e">
        <v>#VALUE!</v>
      </c>
      <c r="BW396" s="58" t="e">
        <f>VLOOKUP(AQ396,'[1]Harga &amp; Nama CSO'!$A$28:$D$31,4,0)*BQ396</f>
        <v>#N/A</v>
      </c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44">
        <f>IFERROR(VLOOKUP(AQ398,'[2]Harga &amp; Nama CSO'!$A$116:$S$136,19,FALSE),0)*AV398</f>
        <v>0</v>
      </c>
      <c r="BO397" s="55" t="e">
        <f>IFERROR(VLOOKUP(AQ397,'[1]Harga &amp; Nama CSO'!$H$2:$N$22,2,FALSE),"")*AV397</f>
        <v>#VALUE!</v>
      </c>
      <c r="BP397" s="40"/>
      <c r="BQ397" s="39"/>
      <c r="BR397" s="59"/>
      <c r="BS397" s="39"/>
      <c r="BT397" s="57" t="e">
        <f t="shared" si="40"/>
        <v>#VALUE!</v>
      </c>
      <c r="BU397" s="60"/>
      <c r="BV397" s="8" t="e">
        <v>#VALUE!</v>
      </c>
      <c r="BW397" s="58" t="e">
        <f>VLOOKUP(AQ397,'[1]Harga &amp; Nama CSO'!$A$28:$D$31,4,0)*BQ397</f>
        <v>#N/A</v>
      </c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44">
        <f>IFERROR(VLOOKUP(AQ399,'[2]Harga &amp; Nama CSO'!$A$116:$S$136,19,FALSE),0)*AV399</f>
        <v>0</v>
      </c>
      <c r="BO398" s="55" t="e">
        <f>IFERROR(VLOOKUP(AQ398,'[1]Harga &amp; Nama CSO'!$H$2:$N$22,2,FALSE),"")*AV398</f>
        <v>#VALUE!</v>
      </c>
      <c r="BP398" s="40"/>
      <c r="BQ398" s="39"/>
      <c r="BR398" s="59"/>
      <c r="BS398" s="39"/>
      <c r="BT398" s="57" t="e">
        <f t="shared" si="40"/>
        <v>#VALUE!</v>
      </c>
      <c r="BU398" s="60"/>
      <c r="BV398" s="8" t="e">
        <v>#VALUE!</v>
      </c>
      <c r="BW398" s="58" t="e">
        <f>VLOOKUP(AQ398,'[1]Harga &amp; Nama CSO'!$A$28:$D$31,4,0)*BQ398</f>
        <v>#N/A</v>
      </c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44">
        <f>IFERROR(VLOOKUP(AQ400,'[2]Harga &amp; Nama CSO'!$A$116:$S$136,19,FALSE),0)*AV400</f>
        <v>0</v>
      </c>
      <c r="BO399" s="55" t="e">
        <f>IFERROR(VLOOKUP(AQ399,'[1]Harga &amp; Nama CSO'!$H$2:$N$22,2,FALSE),"")*AV399</f>
        <v>#VALUE!</v>
      </c>
      <c r="BP399" s="40"/>
      <c r="BQ399" s="39"/>
      <c r="BR399" s="59"/>
      <c r="BS399" s="39"/>
      <c r="BT399" s="57" t="e">
        <f t="shared" si="40"/>
        <v>#VALUE!</v>
      </c>
      <c r="BU399" s="60"/>
      <c r="BV399" s="8" t="e">
        <v>#VALUE!</v>
      </c>
      <c r="BW399" s="58" t="e">
        <f>VLOOKUP(AQ399,'[1]Harga &amp; Nama CSO'!$A$28:$D$31,4,0)*BQ399</f>
        <v>#N/A</v>
      </c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44">
        <f>IFERROR(VLOOKUP(AQ401,'[2]Harga &amp; Nama CSO'!$A$116:$S$136,19,FALSE),0)*AV401</f>
        <v>0</v>
      </c>
      <c r="BO400" s="55" t="e">
        <f>IFERROR(VLOOKUP(AQ400,'[1]Harga &amp; Nama CSO'!$H$2:$N$22,2,FALSE),"")*AV400</f>
        <v>#VALUE!</v>
      </c>
      <c r="BP400" s="40"/>
      <c r="BQ400" s="39"/>
      <c r="BR400" s="59"/>
      <c r="BS400" s="39"/>
      <c r="BT400" s="57" t="e">
        <f t="shared" si="40"/>
        <v>#VALUE!</v>
      </c>
      <c r="BU400" s="60"/>
      <c r="BV400" s="8" t="e">
        <v>#VALUE!</v>
      </c>
      <c r="BW400" s="58" t="e">
        <f>VLOOKUP(AQ400,'[1]Harga &amp; Nama CSO'!$A$28:$D$31,4,0)*BQ400</f>
        <v>#N/A</v>
      </c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44">
        <f>IFERROR(VLOOKUP(AQ402,'[2]Harga &amp; Nama CSO'!$A$116:$S$136,19,FALSE),0)*AV402</f>
        <v>0</v>
      </c>
      <c r="BO401" s="55" t="e">
        <f>IFERROR(VLOOKUP(AQ401,'[1]Harga &amp; Nama CSO'!$H$2:$N$22,2,FALSE),"")*AV401</f>
        <v>#VALUE!</v>
      </c>
      <c r="BP401" s="40"/>
      <c r="BQ401" s="39"/>
      <c r="BR401" s="59"/>
      <c r="BS401" s="39"/>
      <c r="BT401" s="57" t="e">
        <f t="shared" si="40"/>
        <v>#VALUE!</v>
      </c>
      <c r="BU401" s="60"/>
      <c r="BV401" s="8" t="e">
        <v>#VALUE!</v>
      </c>
      <c r="BW401" s="58" t="e">
        <f>VLOOKUP(AQ401,'[1]Harga &amp; Nama CSO'!$A$28:$D$31,4,0)*BQ401</f>
        <v>#N/A</v>
      </c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44">
        <f>IFERROR(VLOOKUP(AQ403,'[2]Harga &amp; Nama CSO'!$A$116:$S$136,19,FALSE),0)*AV403</f>
        <v>0</v>
      </c>
      <c r="BO402" s="55" t="e">
        <f>IFERROR(VLOOKUP(AQ402,'[1]Harga &amp; Nama CSO'!$H$2:$N$22,2,FALSE),"")*AV402</f>
        <v>#VALUE!</v>
      </c>
      <c r="BP402" s="40"/>
      <c r="BQ402" s="39"/>
      <c r="BR402" s="59"/>
      <c r="BS402" s="39"/>
      <c r="BT402" s="57" t="e">
        <f t="shared" si="40"/>
        <v>#VALUE!</v>
      </c>
      <c r="BU402" s="60"/>
      <c r="BV402" s="8" t="e">
        <v>#VALUE!</v>
      </c>
      <c r="BW402" s="58" t="e">
        <f>VLOOKUP(AQ402,'[1]Harga &amp; Nama CSO'!$A$28:$D$31,4,0)*BQ402</f>
        <v>#N/A</v>
      </c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44">
        <f>IFERROR(VLOOKUP(AQ404,'[2]Harga &amp; Nama CSO'!$A$116:$S$136,19,FALSE),0)*AV404</f>
        <v>0</v>
      </c>
      <c r="BO403" s="55" t="e">
        <f>IFERROR(VLOOKUP(AQ403,'[1]Harga &amp; Nama CSO'!$H$2:$N$22,2,FALSE),"")*AV403</f>
        <v>#VALUE!</v>
      </c>
      <c r="BP403" s="40"/>
      <c r="BQ403" s="39"/>
      <c r="BR403" s="59"/>
      <c r="BS403" s="39"/>
      <c r="BT403" s="57" t="e">
        <f t="shared" si="40"/>
        <v>#VALUE!</v>
      </c>
      <c r="BU403" s="60"/>
      <c r="BV403" s="8" t="e">
        <v>#VALUE!</v>
      </c>
      <c r="BW403" s="58" t="e">
        <f>VLOOKUP(AQ403,'[1]Harga &amp; Nama CSO'!$A$28:$D$31,4,0)*BQ403</f>
        <v>#N/A</v>
      </c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44">
        <f>IFERROR(VLOOKUP(AQ405,'[2]Harga &amp; Nama CSO'!$A$116:$S$136,19,FALSE),0)*AV405</f>
        <v>0</v>
      </c>
      <c r="BO404" s="55" t="e">
        <f>IFERROR(VLOOKUP(AQ404,'[1]Harga &amp; Nama CSO'!$H$2:$N$22,2,FALSE),"")*AV404</f>
        <v>#VALUE!</v>
      </c>
      <c r="BP404" s="40"/>
      <c r="BQ404" s="39"/>
      <c r="BR404" s="59"/>
      <c r="BS404" s="39"/>
      <c r="BT404" s="57" t="e">
        <f t="shared" si="40"/>
        <v>#VALUE!</v>
      </c>
      <c r="BU404" s="60"/>
      <c r="BV404" s="8" t="e">
        <v>#VALUE!</v>
      </c>
      <c r="BW404" s="58" t="e">
        <f>VLOOKUP(AQ404,'[1]Harga &amp; Nama CSO'!$A$28:$D$31,4,0)*BQ404</f>
        <v>#N/A</v>
      </c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44">
        <f>IFERROR(VLOOKUP(AQ406,'[2]Harga &amp; Nama CSO'!$A$116:$S$136,19,FALSE),0)*AV406</f>
        <v>0</v>
      </c>
      <c r="BO405" s="55" t="e">
        <f>IFERROR(VLOOKUP(AQ405,'[1]Harga &amp; Nama CSO'!$H$2:$N$22,2,FALSE),"")*AV405</f>
        <v>#VALUE!</v>
      </c>
      <c r="BP405" s="40"/>
      <c r="BQ405" s="39"/>
      <c r="BR405" s="59"/>
      <c r="BS405" s="39"/>
      <c r="BT405" s="57" t="e">
        <f t="shared" si="40"/>
        <v>#VALUE!</v>
      </c>
      <c r="BU405" s="60"/>
      <c r="BV405" s="8" t="e">
        <v>#VALUE!</v>
      </c>
      <c r="BW405" s="58" t="e">
        <f>VLOOKUP(AQ405,'[1]Harga &amp; Nama CSO'!$A$28:$D$31,4,0)*BQ405</f>
        <v>#N/A</v>
      </c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44">
        <f>IFERROR(VLOOKUP(AQ407,'[2]Harga &amp; Nama CSO'!$A$116:$S$136,19,FALSE),0)*AV407</f>
        <v>0</v>
      </c>
      <c r="BO406" s="55" t="e">
        <f>IFERROR(VLOOKUP(AQ406,'[1]Harga &amp; Nama CSO'!$H$2:$N$22,2,FALSE),"")*AV406</f>
        <v>#VALUE!</v>
      </c>
      <c r="BP406" s="40"/>
      <c r="BQ406" s="39"/>
      <c r="BR406" s="59"/>
      <c r="BS406" s="39"/>
      <c r="BT406" s="57" t="e">
        <f t="shared" si="40"/>
        <v>#VALUE!</v>
      </c>
      <c r="BU406" s="60"/>
      <c r="BV406" s="8" t="e">
        <v>#VALUE!</v>
      </c>
      <c r="BW406" s="58" t="e">
        <f>VLOOKUP(AQ406,'[1]Harga &amp; Nama CSO'!$A$28:$D$31,4,0)*BQ406</f>
        <v>#N/A</v>
      </c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44">
        <f>IFERROR(VLOOKUP(AQ408,'[2]Harga &amp; Nama CSO'!$A$116:$S$136,19,FALSE),0)*AV408</f>
        <v>0</v>
      </c>
      <c r="BO407" s="55" t="e">
        <f>IFERROR(VLOOKUP(AQ407,'[1]Harga &amp; Nama CSO'!$H$2:$N$22,2,FALSE),"")*AV407</f>
        <v>#VALUE!</v>
      </c>
      <c r="BP407" s="40"/>
      <c r="BQ407" s="39"/>
      <c r="BR407" s="59"/>
      <c r="BS407" s="39"/>
      <c r="BT407" s="57" t="e">
        <f t="shared" si="40"/>
        <v>#VALUE!</v>
      </c>
      <c r="BU407" s="60"/>
      <c r="BV407" s="8" t="e">
        <v>#VALUE!</v>
      </c>
      <c r="BW407" s="58" t="e">
        <f>VLOOKUP(AQ407,'[1]Harga &amp; Nama CSO'!$A$28:$D$31,4,0)*BQ407</f>
        <v>#N/A</v>
      </c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44">
        <f>IFERROR(VLOOKUP(AQ409,'[2]Harga &amp; Nama CSO'!$A$116:$S$136,19,FALSE),0)*AV409</f>
        <v>0</v>
      </c>
      <c r="BO408" s="55" t="e">
        <f>IFERROR(VLOOKUP(AQ408,'[1]Harga &amp; Nama CSO'!$H$2:$N$22,2,FALSE),"")*AV408</f>
        <v>#VALUE!</v>
      </c>
      <c r="BP408" s="40"/>
      <c r="BQ408" s="39"/>
      <c r="BR408" s="59"/>
      <c r="BS408" s="39"/>
      <c r="BT408" s="57" t="e">
        <f t="shared" si="40"/>
        <v>#VALUE!</v>
      </c>
      <c r="BU408" s="60"/>
      <c r="BV408" s="8" t="e">
        <v>#VALUE!</v>
      </c>
      <c r="BW408" s="58" t="e">
        <f>VLOOKUP(AQ408,'[1]Harga &amp; Nama CSO'!$A$28:$D$31,4,0)*BQ408</f>
        <v>#N/A</v>
      </c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44">
        <f>IFERROR(VLOOKUP(AQ410,'[2]Harga &amp; Nama CSO'!$A$116:$S$136,19,FALSE),0)*AV410</f>
        <v>0</v>
      </c>
      <c r="BO409" s="55" t="e">
        <f>IFERROR(VLOOKUP(AQ409,'[1]Harga &amp; Nama CSO'!$H$2:$N$22,2,FALSE),"")*AV409</f>
        <v>#VALUE!</v>
      </c>
      <c r="BP409" s="40"/>
      <c r="BQ409" s="39"/>
      <c r="BR409" s="59"/>
      <c r="BS409" s="39"/>
      <c r="BT409" s="57" t="e">
        <f t="shared" si="40"/>
        <v>#VALUE!</v>
      </c>
      <c r="BU409" s="60"/>
      <c r="BV409" s="8" t="e">
        <v>#VALUE!</v>
      </c>
      <c r="BW409" s="58" t="e">
        <f>VLOOKUP(AQ409,'[1]Harga &amp; Nama CSO'!$A$28:$D$31,4,0)*BQ409</f>
        <v>#N/A</v>
      </c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44">
        <f>IFERROR(VLOOKUP(AQ411,'[2]Harga &amp; Nama CSO'!$A$116:$S$136,19,FALSE),0)*AV411</f>
        <v>0</v>
      </c>
      <c r="BO410" s="55" t="e">
        <f>IFERROR(VLOOKUP(AQ410,'[1]Harga &amp; Nama CSO'!$H$2:$N$22,2,FALSE),"")*AV410</f>
        <v>#VALUE!</v>
      </c>
      <c r="BP410" s="40"/>
      <c r="BQ410" s="39"/>
      <c r="BR410" s="59"/>
      <c r="BS410" s="39"/>
      <c r="BT410" s="57" t="e">
        <f t="shared" si="40"/>
        <v>#VALUE!</v>
      </c>
      <c r="BU410" s="60"/>
      <c r="BV410" s="8" t="e">
        <v>#VALUE!</v>
      </c>
      <c r="BW410" s="58" t="e">
        <f>VLOOKUP(AQ410,'[1]Harga &amp; Nama CSO'!$A$28:$D$31,4,0)*BQ410</f>
        <v>#N/A</v>
      </c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44">
        <f>IFERROR(VLOOKUP(AQ412,'[2]Harga &amp; Nama CSO'!$A$116:$S$136,19,FALSE),0)*AV412</f>
        <v>0</v>
      </c>
      <c r="BO411" s="55" t="e">
        <f>IFERROR(VLOOKUP(AQ411,'[1]Harga &amp; Nama CSO'!$H$2:$N$22,2,FALSE),"")*AV411</f>
        <v>#VALUE!</v>
      </c>
      <c r="BP411" s="40"/>
      <c r="BQ411" s="39"/>
      <c r="BR411" s="59"/>
      <c r="BS411" s="39"/>
      <c r="BT411" s="57" t="e">
        <f t="shared" si="40"/>
        <v>#VALUE!</v>
      </c>
      <c r="BU411" s="60"/>
      <c r="BV411" s="8" t="e">
        <v>#VALUE!</v>
      </c>
      <c r="BW411" s="58" t="e">
        <f>VLOOKUP(AQ411,'[1]Harga &amp; Nama CSO'!$A$28:$D$31,4,0)*BQ411</f>
        <v>#N/A</v>
      </c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44">
        <f>IFERROR(VLOOKUP(AQ413,'[2]Harga &amp; Nama CSO'!$A$116:$S$136,19,FALSE),0)*AV413</f>
        <v>0</v>
      </c>
      <c r="BO412" s="55" t="e">
        <f>IFERROR(VLOOKUP(AQ412,'[1]Harga &amp; Nama CSO'!$H$2:$N$22,2,FALSE),"")*AV412</f>
        <v>#VALUE!</v>
      </c>
      <c r="BP412" s="40"/>
      <c r="BQ412" s="39"/>
      <c r="BR412" s="59"/>
      <c r="BS412" s="39"/>
      <c r="BT412" s="57" t="e">
        <f t="shared" si="40"/>
        <v>#VALUE!</v>
      </c>
      <c r="BU412" s="60"/>
      <c r="BV412" s="8" t="e">
        <v>#VALUE!</v>
      </c>
      <c r="BW412" s="58" t="e">
        <f>VLOOKUP(AQ412,'[1]Harga &amp; Nama CSO'!$A$28:$D$31,4,0)*BQ412</f>
        <v>#N/A</v>
      </c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44">
        <f>IFERROR(VLOOKUP(AQ414,'[2]Harga &amp; Nama CSO'!$A$116:$S$136,19,FALSE),0)*AV414</f>
        <v>0</v>
      </c>
      <c r="BO413" s="55" t="e">
        <f>IFERROR(VLOOKUP(AQ413,'[1]Harga &amp; Nama CSO'!$H$2:$N$22,2,FALSE),"")*AV413</f>
        <v>#VALUE!</v>
      </c>
      <c r="BP413" s="40"/>
      <c r="BQ413" s="39"/>
      <c r="BR413" s="59"/>
      <c r="BS413" s="39"/>
      <c r="BT413" s="57" t="e">
        <f t="shared" si="40"/>
        <v>#VALUE!</v>
      </c>
      <c r="BU413" s="60"/>
      <c r="BV413" s="8" t="e">
        <v>#VALUE!</v>
      </c>
      <c r="BW413" s="58" t="e">
        <f>VLOOKUP(AQ413,'[1]Harga &amp; Nama CSO'!$A$28:$D$31,4,0)*BQ413</f>
        <v>#N/A</v>
      </c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44">
        <f>IFERROR(VLOOKUP(AQ415,'[2]Harga &amp; Nama CSO'!$A$116:$S$136,19,FALSE),0)*AV415</f>
        <v>0</v>
      </c>
      <c r="BO414" s="55" t="e">
        <f>IFERROR(VLOOKUP(AQ414,'[1]Harga &amp; Nama CSO'!$H$2:$N$22,2,FALSE),"")*AV414</f>
        <v>#VALUE!</v>
      </c>
      <c r="BP414" s="40"/>
      <c r="BQ414" s="39"/>
      <c r="BR414" s="59"/>
      <c r="BS414" s="39"/>
      <c r="BT414" s="57" t="e">
        <f t="shared" si="40"/>
        <v>#VALUE!</v>
      </c>
      <c r="BU414" s="60"/>
      <c r="BV414" s="8" t="e">
        <v>#VALUE!</v>
      </c>
      <c r="BW414" s="58" t="e">
        <f>VLOOKUP(AQ414,'[1]Harga &amp; Nama CSO'!$A$28:$D$31,4,0)*BQ414</f>
        <v>#N/A</v>
      </c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44">
        <f>IFERROR(VLOOKUP(AQ416,'[2]Harga &amp; Nama CSO'!$A$116:$S$136,19,FALSE),0)*AV416</f>
        <v>0</v>
      </c>
      <c r="BO415" s="55" t="e">
        <f>IFERROR(VLOOKUP(AQ415,'[1]Harga &amp; Nama CSO'!$H$2:$N$22,2,FALSE),"")*AV415</f>
        <v>#VALUE!</v>
      </c>
      <c r="BP415" s="40"/>
      <c r="BQ415" s="39"/>
      <c r="BR415" s="59"/>
      <c r="BS415" s="39"/>
      <c r="BT415" s="57" t="e">
        <f t="shared" si="40"/>
        <v>#VALUE!</v>
      </c>
      <c r="BU415" s="60"/>
      <c r="BV415" s="8" t="e">
        <v>#VALUE!</v>
      </c>
      <c r="BW415" s="58" t="e">
        <f>VLOOKUP(AQ415,'[1]Harga &amp; Nama CSO'!$A$28:$D$31,4,0)*BQ415</f>
        <v>#N/A</v>
      </c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44">
        <f>IFERROR(VLOOKUP(AQ417,'[2]Harga &amp; Nama CSO'!$A$116:$S$136,19,FALSE),0)*AV417</f>
        <v>0</v>
      </c>
      <c r="BO416" s="55" t="e">
        <f>IFERROR(VLOOKUP(AQ416,'[1]Harga &amp; Nama CSO'!$H$2:$N$22,2,FALSE),"")*AV416</f>
        <v>#VALUE!</v>
      </c>
      <c r="BP416" s="40"/>
      <c r="BQ416" s="39"/>
      <c r="BR416" s="59"/>
      <c r="BS416" s="39"/>
      <c r="BT416" s="57" t="e">
        <f t="shared" si="40"/>
        <v>#VALUE!</v>
      </c>
      <c r="BU416" s="60"/>
      <c r="BV416" s="8" t="e">
        <v>#VALUE!</v>
      </c>
      <c r="BW416" s="58" t="e">
        <f>VLOOKUP(AQ416,'[1]Harga &amp; Nama CSO'!$A$28:$D$31,4,0)*BQ416</f>
        <v>#N/A</v>
      </c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44">
        <f>IFERROR(VLOOKUP(AQ418,'[2]Harga &amp; Nama CSO'!$A$116:$S$136,19,FALSE),0)*AV418</f>
        <v>0</v>
      </c>
      <c r="BO417" s="55" t="e">
        <f>IFERROR(VLOOKUP(AQ417,'[1]Harga &amp; Nama CSO'!$H$2:$N$22,2,FALSE),"")*AV417</f>
        <v>#VALUE!</v>
      </c>
      <c r="BP417" s="40"/>
      <c r="BQ417" s="39"/>
      <c r="BR417" s="59"/>
      <c r="BS417" s="39"/>
      <c r="BT417" s="57" t="e">
        <f t="shared" si="40"/>
        <v>#VALUE!</v>
      </c>
      <c r="BU417" s="60"/>
      <c r="BV417" s="8" t="e">
        <v>#VALUE!</v>
      </c>
      <c r="BW417" s="58" t="e">
        <f>VLOOKUP(AQ417,'[1]Harga &amp; Nama CSO'!$A$28:$D$31,4,0)*BQ417</f>
        <v>#N/A</v>
      </c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44">
        <f>IFERROR(VLOOKUP(AQ419,'[2]Harga &amp; Nama CSO'!$A$116:$S$136,19,FALSE),0)*AV419</f>
        <v>0</v>
      </c>
      <c r="BO418" s="55" t="e">
        <f>IFERROR(VLOOKUP(AQ418,'[1]Harga &amp; Nama CSO'!$H$2:$N$22,2,FALSE),"")*AV418</f>
        <v>#VALUE!</v>
      </c>
      <c r="BP418" s="40"/>
      <c r="BQ418" s="39"/>
      <c r="BR418" s="59"/>
      <c r="BS418" s="39"/>
      <c r="BT418" s="57" t="e">
        <f t="shared" si="40"/>
        <v>#VALUE!</v>
      </c>
      <c r="BU418" s="60"/>
      <c r="BV418" s="8" t="e">
        <v>#VALUE!</v>
      </c>
      <c r="BW418" s="58" t="e">
        <f>VLOOKUP(AQ418,'[1]Harga &amp; Nama CSO'!$A$28:$D$31,4,0)*BQ418</f>
        <v>#N/A</v>
      </c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44">
        <f>IFERROR(VLOOKUP(AQ420,'[2]Harga &amp; Nama CSO'!$A$116:$S$136,19,FALSE),0)*AV420</f>
        <v>0</v>
      </c>
      <c r="BO419" s="55" t="e">
        <f>IFERROR(VLOOKUP(AQ419,'[1]Harga &amp; Nama CSO'!$H$2:$N$22,2,FALSE),"")*AV419</f>
        <v>#VALUE!</v>
      </c>
      <c r="BP419" s="40"/>
      <c r="BQ419" s="39"/>
      <c r="BR419" s="59"/>
      <c r="BS419" s="39"/>
      <c r="BT419" s="57" t="e">
        <f t="shared" si="40"/>
        <v>#VALUE!</v>
      </c>
      <c r="BU419" s="60"/>
      <c r="BV419" s="8" t="e">
        <v>#VALUE!</v>
      </c>
      <c r="BW419" s="58" t="e">
        <f>VLOOKUP(AQ419,'[1]Harga &amp; Nama CSO'!$A$28:$D$31,4,0)*BQ419</f>
        <v>#N/A</v>
      </c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44">
        <f>IFERROR(VLOOKUP(AQ421,'[2]Harga &amp; Nama CSO'!$A$116:$S$136,19,FALSE),0)*AV421</f>
        <v>0</v>
      </c>
      <c r="BO420" s="55" t="e">
        <f>IFERROR(VLOOKUP(AQ420,'[1]Harga &amp; Nama CSO'!$H$2:$N$22,2,FALSE),"")*AV420</f>
        <v>#VALUE!</v>
      </c>
      <c r="BP420" s="40"/>
      <c r="BQ420" s="39"/>
      <c r="BR420" s="59"/>
      <c r="BS420" s="39"/>
      <c r="BT420" s="57" t="e">
        <f t="shared" si="40"/>
        <v>#VALUE!</v>
      </c>
      <c r="BU420" s="60"/>
      <c r="BV420" s="8" t="e">
        <v>#VALUE!</v>
      </c>
      <c r="BW420" s="58" t="e">
        <f>VLOOKUP(AQ420,'[1]Harga &amp; Nama CSO'!$A$28:$D$31,4,0)*BQ420</f>
        <v>#N/A</v>
      </c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44">
        <f>IFERROR(VLOOKUP(AQ422,'[2]Harga &amp; Nama CSO'!$A$116:$S$136,19,FALSE),0)*AV422</f>
        <v>0</v>
      </c>
      <c r="BO421" s="55" t="e">
        <f>IFERROR(VLOOKUP(AQ421,'[1]Harga &amp; Nama CSO'!$H$2:$N$22,2,FALSE),"")*AV421</f>
        <v>#VALUE!</v>
      </c>
      <c r="BP421" s="40"/>
      <c r="BQ421" s="39"/>
      <c r="BR421" s="59"/>
      <c r="BS421" s="39"/>
      <c r="BT421" s="57" t="e">
        <f t="shared" si="40"/>
        <v>#VALUE!</v>
      </c>
      <c r="BU421" s="60"/>
      <c r="BV421" s="8" t="e">
        <v>#VALUE!</v>
      </c>
      <c r="BW421" s="58" t="e">
        <f>VLOOKUP(AQ421,'[1]Harga &amp; Nama CSO'!$A$28:$D$31,4,0)*BQ421</f>
        <v>#N/A</v>
      </c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44">
        <f>IFERROR(VLOOKUP(AQ423,'[2]Harga &amp; Nama CSO'!$A$116:$S$136,19,FALSE),0)*AV423</f>
        <v>0</v>
      </c>
      <c r="BO422" s="55" t="e">
        <f>IFERROR(VLOOKUP(AQ422,'[1]Harga &amp; Nama CSO'!$H$2:$N$22,2,FALSE),"")*AV422</f>
        <v>#VALUE!</v>
      </c>
      <c r="BP422" s="40"/>
      <c r="BQ422" s="39"/>
      <c r="BR422" s="59"/>
      <c r="BS422" s="39"/>
      <c r="BT422" s="57" t="e">
        <f t="shared" si="40"/>
        <v>#VALUE!</v>
      </c>
      <c r="BU422" s="60"/>
      <c r="BV422" s="8" t="e">
        <v>#VALUE!</v>
      </c>
      <c r="BW422" s="58" t="e">
        <f>VLOOKUP(AQ422,'[1]Harga &amp; Nama CSO'!$A$28:$D$31,4,0)*BQ422</f>
        <v>#N/A</v>
      </c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44">
        <f>IFERROR(VLOOKUP(AQ424,'[2]Harga &amp; Nama CSO'!$A$116:$S$136,19,FALSE),0)*AV424</f>
        <v>0</v>
      </c>
      <c r="BO423" s="55" t="e">
        <f>IFERROR(VLOOKUP(AQ423,'[1]Harga &amp; Nama CSO'!$H$2:$N$22,2,FALSE),"")*AV423</f>
        <v>#VALUE!</v>
      </c>
      <c r="BP423" s="40"/>
      <c r="BQ423" s="39"/>
      <c r="BR423" s="59"/>
      <c r="BS423" s="39"/>
      <c r="BT423" s="57" t="e">
        <f t="shared" si="40"/>
        <v>#VALUE!</v>
      </c>
      <c r="BU423" s="60"/>
      <c r="BV423" s="8" t="e">
        <v>#VALUE!</v>
      </c>
      <c r="BW423" s="58" t="e">
        <f>VLOOKUP(AQ423,'[1]Harga &amp; Nama CSO'!$A$28:$D$31,4,0)*BQ423</f>
        <v>#N/A</v>
      </c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44">
        <f>IFERROR(VLOOKUP(AQ425,'[2]Harga &amp; Nama CSO'!$A$116:$S$136,19,FALSE),0)*AV425</f>
        <v>0</v>
      </c>
      <c r="BO424" s="55" t="e">
        <f>IFERROR(VLOOKUP(AQ424,'[1]Harga &amp; Nama CSO'!$H$2:$N$22,2,FALSE),"")*AV424</f>
        <v>#VALUE!</v>
      </c>
      <c r="BP424" s="40"/>
      <c r="BQ424" s="39"/>
      <c r="BR424" s="59"/>
      <c r="BS424" s="39"/>
      <c r="BT424" s="57" t="e">
        <f t="shared" si="40"/>
        <v>#VALUE!</v>
      </c>
      <c r="BU424" s="60"/>
      <c r="BV424" s="8" t="e">
        <v>#VALUE!</v>
      </c>
      <c r="BW424" s="58" t="e">
        <f>VLOOKUP(AQ424,'[1]Harga &amp; Nama CSO'!$A$28:$D$31,4,0)*BQ424</f>
        <v>#N/A</v>
      </c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44">
        <f>IFERROR(VLOOKUP(AQ426,'[2]Harga &amp; Nama CSO'!$A$116:$S$136,19,FALSE),0)*AV426</f>
        <v>0</v>
      </c>
      <c r="BO425" s="55" t="e">
        <f>IFERROR(VLOOKUP(AQ425,'[1]Harga &amp; Nama CSO'!$H$2:$N$22,2,FALSE),"")*AV425</f>
        <v>#VALUE!</v>
      </c>
      <c r="BP425" s="40"/>
      <c r="BQ425" s="39"/>
      <c r="BR425" s="59"/>
      <c r="BS425" s="39"/>
      <c r="BT425" s="57" t="e">
        <f t="shared" si="40"/>
        <v>#VALUE!</v>
      </c>
      <c r="BU425" s="60"/>
      <c r="BV425" s="8" t="e">
        <v>#VALUE!</v>
      </c>
      <c r="BW425" s="58" t="e">
        <f>VLOOKUP(AQ425,'[1]Harga &amp; Nama CSO'!$A$28:$D$31,4,0)*BQ425</f>
        <v>#N/A</v>
      </c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44">
        <f>IFERROR(VLOOKUP(AQ427,'[2]Harga &amp; Nama CSO'!$A$116:$S$136,19,FALSE),0)*AV427</f>
        <v>0</v>
      </c>
      <c r="BO426" s="55" t="e">
        <f>IFERROR(VLOOKUP(AQ426,'[1]Harga &amp; Nama CSO'!$H$2:$N$22,2,FALSE),"")*AV426</f>
        <v>#VALUE!</v>
      </c>
      <c r="BP426" s="40"/>
      <c r="BQ426" s="39"/>
      <c r="BR426" s="59"/>
      <c r="BS426" s="39"/>
      <c r="BT426" s="57" t="e">
        <f t="shared" si="40"/>
        <v>#VALUE!</v>
      </c>
      <c r="BU426" s="60"/>
      <c r="BV426" s="8" t="e">
        <v>#VALUE!</v>
      </c>
      <c r="BW426" s="58" t="e">
        <f>VLOOKUP(AQ426,'[1]Harga &amp; Nama CSO'!$A$28:$D$31,4,0)*BQ426</f>
        <v>#N/A</v>
      </c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44">
        <f>IFERROR(VLOOKUP(AQ428,'[2]Harga &amp; Nama CSO'!$A$116:$S$136,19,FALSE),0)*AV428</f>
        <v>0</v>
      </c>
      <c r="BO427" s="55" t="e">
        <f>IFERROR(VLOOKUP(AQ427,'[1]Harga &amp; Nama CSO'!$H$2:$N$22,2,FALSE),"")*AV427</f>
        <v>#VALUE!</v>
      </c>
      <c r="BP427" s="40"/>
      <c r="BQ427" s="39"/>
      <c r="BR427" s="59"/>
      <c r="BS427" s="39"/>
      <c r="BT427" s="57" t="e">
        <f t="shared" si="40"/>
        <v>#VALUE!</v>
      </c>
      <c r="BU427" s="60"/>
      <c r="BV427" s="8" t="e">
        <v>#VALUE!</v>
      </c>
      <c r="BW427" s="58" t="e">
        <f>VLOOKUP(AQ427,'[1]Harga &amp; Nama CSO'!$A$28:$D$31,4,0)*BQ427</f>
        <v>#N/A</v>
      </c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44">
        <f>IFERROR(VLOOKUP(AQ429,'[2]Harga &amp; Nama CSO'!$A$116:$S$136,19,FALSE),0)*AV429</f>
        <v>0</v>
      </c>
      <c r="BO428" s="55" t="e">
        <f>IFERROR(VLOOKUP(AQ428,'[1]Harga &amp; Nama CSO'!$H$2:$N$22,2,FALSE),"")*AV428</f>
        <v>#VALUE!</v>
      </c>
      <c r="BP428" s="40"/>
      <c r="BQ428" s="39"/>
      <c r="BR428" s="59"/>
      <c r="BS428" s="39"/>
      <c r="BT428" s="57" t="e">
        <f t="shared" si="40"/>
        <v>#VALUE!</v>
      </c>
      <c r="BU428" s="60"/>
      <c r="BV428" s="8" t="e">
        <v>#VALUE!</v>
      </c>
      <c r="BW428" s="58" t="e">
        <f>VLOOKUP(AQ428,'[1]Harga &amp; Nama CSO'!$A$28:$D$31,4,0)*BQ428</f>
        <v>#N/A</v>
      </c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44">
        <f>IFERROR(VLOOKUP(AQ430,'[2]Harga &amp; Nama CSO'!$A$116:$S$136,19,FALSE),0)*AV430</f>
        <v>0</v>
      </c>
      <c r="BO429" s="55" t="e">
        <f>IFERROR(VLOOKUP(AQ429,'[1]Harga &amp; Nama CSO'!$H$2:$N$22,2,FALSE),"")*AV429</f>
        <v>#VALUE!</v>
      </c>
      <c r="BP429" s="40"/>
      <c r="BQ429" s="39"/>
      <c r="BR429" s="59"/>
      <c r="BS429" s="39"/>
      <c r="BT429" s="57" t="e">
        <f t="shared" si="40"/>
        <v>#VALUE!</v>
      </c>
      <c r="BU429" s="60"/>
      <c r="BV429" s="8" t="e">
        <v>#VALUE!</v>
      </c>
      <c r="BW429" s="58" t="e">
        <f>VLOOKUP(AQ429,'[1]Harga &amp; Nama CSO'!$A$28:$D$31,4,0)*BQ429</f>
        <v>#N/A</v>
      </c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44">
        <f>IFERROR(VLOOKUP(AQ431,'[2]Harga &amp; Nama CSO'!$A$116:$S$136,19,FALSE),0)*AV431</f>
        <v>0</v>
      </c>
      <c r="BO430" s="55" t="e">
        <f>IFERROR(VLOOKUP(AQ430,'[1]Harga &amp; Nama CSO'!$H$2:$N$22,2,FALSE),"")*AV430</f>
        <v>#VALUE!</v>
      </c>
      <c r="BP430" s="40"/>
      <c r="BQ430" s="39"/>
      <c r="BR430" s="59"/>
      <c r="BS430" s="39"/>
      <c r="BT430" s="57" t="e">
        <f t="shared" si="40"/>
        <v>#VALUE!</v>
      </c>
      <c r="BU430" s="60"/>
      <c r="BV430" s="8" t="e">
        <v>#VALUE!</v>
      </c>
      <c r="BW430" s="58" t="e">
        <f>VLOOKUP(AQ430,'[1]Harga &amp; Nama CSO'!$A$28:$D$31,4,0)*BQ430</f>
        <v>#N/A</v>
      </c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44">
        <f>IFERROR(VLOOKUP(AQ432,'[2]Harga &amp; Nama CSO'!$A$116:$S$136,19,FALSE),0)*AV432</f>
        <v>0</v>
      </c>
      <c r="BO431" s="55" t="e">
        <f>IFERROR(VLOOKUP(AQ431,'[1]Harga &amp; Nama CSO'!$H$2:$N$22,2,FALSE),"")*AV431</f>
        <v>#VALUE!</v>
      </c>
      <c r="BP431" s="40"/>
      <c r="BQ431" s="39"/>
      <c r="BR431" s="59"/>
      <c r="BS431" s="39"/>
      <c r="BT431" s="57" t="e">
        <f t="shared" si="40"/>
        <v>#VALUE!</v>
      </c>
      <c r="BU431" s="60"/>
      <c r="BV431" s="8" t="e">
        <v>#VALUE!</v>
      </c>
      <c r="BW431" s="58" t="e">
        <f>VLOOKUP(AQ431,'[1]Harga &amp; Nama CSO'!$A$28:$D$31,4,0)*BQ431</f>
        <v>#N/A</v>
      </c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44">
        <f>IFERROR(VLOOKUP(AQ433,'[2]Harga &amp; Nama CSO'!$A$116:$S$136,19,FALSE),0)*AV433</f>
        <v>0</v>
      </c>
      <c r="BO432" s="55" t="e">
        <f>IFERROR(VLOOKUP(AQ432,'[1]Harga &amp; Nama CSO'!$H$2:$N$22,2,FALSE),"")*AV432</f>
        <v>#VALUE!</v>
      </c>
      <c r="BP432" s="40"/>
      <c r="BQ432" s="39"/>
      <c r="BR432" s="59"/>
      <c r="BS432" s="39"/>
      <c r="BT432" s="57" t="e">
        <f t="shared" si="40"/>
        <v>#VALUE!</v>
      </c>
      <c r="BU432" s="60"/>
      <c r="BV432" s="8" t="e">
        <v>#VALUE!</v>
      </c>
      <c r="BW432" s="58" t="e">
        <f>VLOOKUP(AQ432,'[1]Harga &amp; Nama CSO'!$A$28:$D$31,4,0)*BQ432</f>
        <v>#N/A</v>
      </c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44">
        <f>IFERROR(VLOOKUP(AQ434,'[2]Harga &amp; Nama CSO'!$A$116:$S$136,19,FALSE),0)*AV434</f>
        <v>0</v>
      </c>
      <c r="BO433" s="55" t="e">
        <f>IFERROR(VLOOKUP(AQ433,'[1]Harga &amp; Nama CSO'!$H$2:$N$22,2,FALSE),"")*AV433</f>
        <v>#VALUE!</v>
      </c>
      <c r="BP433" s="40"/>
      <c r="BQ433" s="39"/>
      <c r="BR433" s="59"/>
      <c r="BS433" s="39"/>
      <c r="BT433" s="57" t="e">
        <f t="shared" si="40"/>
        <v>#VALUE!</v>
      </c>
      <c r="BU433" s="60"/>
      <c r="BV433" s="8" t="e">
        <v>#VALUE!</v>
      </c>
      <c r="BW433" s="58" t="e">
        <f>VLOOKUP(AQ433,'[1]Harga &amp; Nama CSO'!$A$28:$D$31,4,0)*BQ433</f>
        <v>#N/A</v>
      </c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44">
        <f>IFERROR(VLOOKUP(AQ435,'[2]Harga &amp; Nama CSO'!$A$116:$S$136,19,FALSE),0)*AV435</f>
        <v>0</v>
      </c>
      <c r="BO434" s="55" t="e">
        <f>IFERROR(VLOOKUP(AQ434,'[1]Harga &amp; Nama CSO'!$H$2:$N$22,2,FALSE),"")*AV434</f>
        <v>#VALUE!</v>
      </c>
      <c r="BP434" s="40"/>
      <c r="BQ434" s="39"/>
      <c r="BR434" s="59"/>
      <c r="BS434" s="39"/>
      <c r="BT434" s="57" t="e">
        <f t="shared" si="40"/>
        <v>#VALUE!</v>
      </c>
      <c r="BU434" s="60"/>
      <c r="BV434" s="8" t="e">
        <v>#VALUE!</v>
      </c>
      <c r="BW434" s="58" t="e">
        <f>VLOOKUP(AQ434,'[1]Harga &amp; Nama CSO'!$A$28:$D$31,4,0)*BQ434</f>
        <v>#N/A</v>
      </c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44">
        <f>IFERROR(VLOOKUP(AQ436,'[2]Harga &amp; Nama CSO'!$A$116:$S$136,19,FALSE),0)*AV436</f>
        <v>0</v>
      </c>
      <c r="BO435" s="55" t="e">
        <f>IFERROR(VLOOKUP(AQ435,'[1]Harga &amp; Nama CSO'!$H$2:$N$22,2,FALSE),"")*AV435</f>
        <v>#VALUE!</v>
      </c>
      <c r="BP435" s="40"/>
      <c r="BQ435" s="39"/>
      <c r="BR435" s="59"/>
      <c r="BS435" s="39"/>
      <c r="BT435" s="57" t="e">
        <f t="shared" si="40"/>
        <v>#VALUE!</v>
      </c>
      <c r="BU435" s="60"/>
      <c r="BV435" s="8" t="e">
        <v>#VALUE!</v>
      </c>
      <c r="BW435" s="58" t="e">
        <f>VLOOKUP(AQ435,'[1]Harga &amp; Nama CSO'!$A$28:$D$31,4,0)*BQ435</f>
        <v>#N/A</v>
      </c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44">
        <f>IFERROR(VLOOKUP(AQ437,'[2]Harga &amp; Nama CSO'!$A$116:$S$136,19,FALSE),0)*AV437</f>
        <v>0</v>
      </c>
      <c r="BO436" s="55" t="e">
        <f>IFERROR(VLOOKUP(AQ436,'[1]Harga &amp; Nama CSO'!$H$2:$N$22,2,FALSE),"")*AV436</f>
        <v>#VALUE!</v>
      </c>
      <c r="BP436" s="40"/>
      <c r="BQ436" s="39"/>
      <c r="BR436" s="59"/>
      <c r="BS436" s="39"/>
      <c r="BT436" s="57" t="e">
        <f t="shared" si="40"/>
        <v>#VALUE!</v>
      </c>
      <c r="BU436" s="60"/>
      <c r="BV436" s="8" t="e">
        <v>#VALUE!</v>
      </c>
      <c r="BW436" s="58" t="e">
        <f>VLOOKUP(AQ436,'[1]Harga &amp; Nama CSO'!$A$28:$D$31,4,0)*BQ436</f>
        <v>#N/A</v>
      </c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44">
        <f>IFERROR(VLOOKUP(AQ438,'[2]Harga &amp; Nama CSO'!$A$116:$S$136,19,FALSE),0)*AV438</f>
        <v>0</v>
      </c>
      <c r="BO437" s="55" t="e">
        <f>IFERROR(VLOOKUP(AQ437,'[1]Harga &amp; Nama CSO'!$H$2:$N$22,2,FALSE),"")*AV437</f>
        <v>#VALUE!</v>
      </c>
      <c r="BP437" s="40"/>
      <c r="BQ437" s="39"/>
      <c r="BR437" s="59"/>
      <c r="BS437" s="39"/>
      <c r="BT437" s="57" t="e">
        <f t="shared" si="40"/>
        <v>#VALUE!</v>
      </c>
      <c r="BU437" s="60"/>
      <c r="BV437" s="8" t="e">
        <v>#VALUE!</v>
      </c>
      <c r="BW437" s="58" t="e">
        <f>VLOOKUP(AQ437,'[1]Harga &amp; Nama CSO'!$A$28:$D$31,4,0)*BQ437</f>
        <v>#N/A</v>
      </c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44">
        <f>IFERROR(VLOOKUP(AQ439,'[2]Harga &amp; Nama CSO'!$A$116:$S$136,19,FALSE),0)*AV439</f>
        <v>0</v>
      </c>
      <c r="BO438" s="55" t="e">
        <f>IFERROR(VLOOKUP(AQ438,'[1]Harga &amp; Nama CSO'!$H$2:$N$22,2,FALSE),"")*AV438</f>
        <v>#VALUE!</v>
      </c>
      <c r="BP438" s="40"/>
      <c r="BQ438" s="39"/>
      <c r="BR438" s="59"/>
      <c r="BS438" s="39"/>
      <c r="BT438" s="57" t="e">
        <f t="shared" si="40"/>
        <v>#VALUE!</v>
      </c>
      <c r="BU438" s="60"/>
      <c r="BV438" s="8" t="e">
        <v>#VALUE!</v>
      </c>
      <c r="BW438" s="58" t="e">
        <f>VLOOKUP(AQ438,'[1]Harga &amp; Nama CSO'!$A$28:$D$31,4,0)*BQ438</f>
        <v>#N/A</v>
      </c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44">
        <f>IFERROR(VLOOKUP(AQ440,'[2]Harga &amp; Nama CSO'!$A$116:$S$136,19,FALSE),0)*AV440</f>
        <v>0</v>
      </c>
      <c r="BO439" s="55" t="e">
        <f>IFERROR(VLOOKUP(AQ439,'[1]Harga &amp; Nama CSO'!$H$2:$N$22,2,FALSE),"")*AV439</f>
        <v>#VALUE!</v>
      </c>
      <c r="BP439" s="40"/>
      <c r="BQ439" s="39"/>
      <c r="BR439" s="59"/>
      <c r="BS439" s="39"/>
      <c r="BT439" s="57" t="e">
        <f t="shared" si="40"/>
        <v>#VALUE!</v>
      </c>
      <c r="BU439" s="60"/>
      <c r="BV439" s="8" t="e">
        <v>#VALUE!</v>
      </c>
      <c r="BW439" s="58" t="e">
        <f>VLOOKUP(AQ439,'[1]Harga &amp; Nama CSO'!$A$28:$D$31,4,0)*BQ439</f>
        <v>#N/A</v>
      </c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44">
        <f>IFERROR(VLOOKUP(AQ441,'[2]Harga &amp; Nama CSO'!$A$116:$S$136,19,FALSE),0)*AV441</f>
        <v>0</v>
      </c>
      <c r="BO440" s="55" t="e">
        <f>IFERROR(VLOOKUP(AQ440,'[1]Harga &amp; Nama CSO'!$H$2:$N$22,2,FALSE),"")*AV440</f>
        <v>#VALUE!</v>
      </c>
      <c r="BP440" s="40"/>
      <c r="BQ440" s="39"/>
      <c r="BR440" s="59"/>
      <c r="BS440" s="39"/>
      <c r="BT440" s="57" t="e">
        <f t="shared" si="40"/>
        <v>#VALUE!</v>
      </c>
      <c r="BU440" s="60"/>
      <c r="BV440" s="8" t="e">
        <v>#VALUE!</v>
      </c>
      <c r="BW440" s="58" t="e">
        <f>VLOOKUP(AQ440,'[1]Harga &amp; Nama CSO'!$A$28:$D$31,4,0)*BQ440</f>
        <v>#N/A</v>
      </c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44">
        <f>IFERROR(VLOOKUP(AQ442,'[2]Harga &amp; Nama CSO'!$A$116:$S$136,19,FALSE),0)*AV442</f>
        <v>0</v>
      </c>
      <c r="BO441" s="55" t="e">
        <f>IFERROR(VLOOKUP(AQ441,'[1]Harga &amp; Nama CSO'!$H$2:$N$22,2,FALSE),"")*AV441</f>
        <v>#VALUE!</v>
      </c>
      <c r="BP441" s="40"/>
      <c r="BQ441" s="39"/>
      <c r="BR441" s="59"/>
      <c r="BS441" s="39"/>
      <c r="BT441" s="57" t="e">
        <f t="shared" si="40"/>
        <v>#VALUE!</v>
      </c>
      <c r="BU441" s="60"/>
      <c r="BV441" s="8" t="e">
        <v>#VALUE!</v>
      </c>
      <c r="BW441" s="58" t="e">
        <f>VLOOKUP(AQ441,'[1]Harga &amp; Nama CSO'!$A$28:$D$31,4,0)*BQ441</f>
        <v>#N/A</v>
      </c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44">
        <f>IFERROR(VLOOKUP(AQ443,'[2]Harga &amp; Nama CSO'!$A$116:$S$136,19,FALSE),0)*AV443</f>
        <v>0</v>
      </c>
      <c r="BO442" s="55" t="e">
        <f>IFERROR(VLOOKUP(AQ442,'[1]Harga &amp; Nama CSO'!$H$2:$N$22,2,FALSE),"")*AV442</f>
        <v>#VALUE!</v>
      </c>
      <c r="BP442" s="40"/>
      <c r="BQ442" s="39"/>
      <c r="BR442" s="59"/>
      <c r="BS442" s="39"/>
      <c r="BT442" s="57" t="e">
        <f t="shared" si="40"/>
        <v>#VALUE!</v>
      </c>
      <c r="BU442" s="60"/>
      <c r="BV442" s="8" t="e">
        <v>#VALUE!</v>
      </c>
      <c r="BW442" s="58" t="e">
        <f>VLOOKUP(AQ442,'[1]Harga &amp; Nama CSO'!$A$28:$D$31,4,0)*BQ442</f>
        <v>#N/A</v>
      </c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44">
        <f>IFERROR(VLOOKUP(AQ444,'[2]Harga &amp; Nama CSO'!$A$116:$S$136,19,FALSE),0)*AV444</f>
        <v>0</v>
      </c>
      <c r="BO443" s="55" t="e">
        <f>IFERROR(VLOOKUP(AQ443,'[1]Harga &amp; Nama CSO'!$H$2:$N$22,2,FALSE),"")*AV443</f>
        <v>#VALUE!</v>
      </c>
      <c r="BP443" s="40"/>
      <c r="BQ443" s="39"/>
      <c r="BR443" s="59"/>
      <c r="BS443" s="39"/>
      <c r="BT443" s="57" t="e">
        <f t="shared" si="40"/>
        <v>#VALUE!</v>
      </c>
      <c r="BU443" s="60"/>
      <c r="BV443" s="8" t="e">
        <v>#VALUE!</v>
      </c>
      <c r="BW443" s="58" t="e">
        <f>VLOOKUP(AQ443,'[1]Harga &amp; Nama CSO'!$A$28:$D$31,4,0)*BQ443</f>
        <v>#N/A</v>
      </c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44">
        <f>IFERROR(VLOOKUP(AQ445,'[2]Harga &amp; Nama CSO'!$A$116:$S$136,19,FALSE),0)*AV445</f>
        <v>0</v>
      </c>
      <c r="BO444" s="55" t="e">
        <f>IFERROR(VLOOKUP(AQ444,'[1]Harga &amp; Nama CSO'!$H$2:$N$22,2,FALSE),"")*AV444</f>
        <v>#VALUE!</v>
      </c>
      <c r="BP444" s="40"/>
      <c r="BQ444" s="39"/>
      <c r="BR444" s="59"/>
      <c r="BS444" s="39"/>
      <c r="BT444" s="57" t="e">
        <f t="shared" si="40"/>
        <v>#VALUE!</v>
      </c>
      <c r="BU444" s="60"/>
      <c r="BV444" s="8" t="e">
        <v>#VALUE!</v>
      </c>
      <c r="BW444" s="58" t="e">
        <f>VLOOKUP(AQ444,'[1]Harga &amp; Nama CSO'!$A$28:$D$31,4,0)*BQ444</f>
        <v>#N/A</v>
      </c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44">
        <f>IFERROR(VLOOKUP(AQ446,'[2]Harga &amp; Nama CSO'!$A$116:$S$136,19,FALSE),0)*AV446</f>
        <v>0</v>
      </c>
      <c r="BO445" s="55" t="e">
        <f>IFERROR(VLOOKUP(AQ445,'[1]Harga &amp; Nama CSO'!$H$2:$N$22,2,FALSE),"")*AV445</f>
        <v>#VALUE!</v>
      </c>
      <c r="BP445" s="40"/>
      <c r="BQ445" s="39"/>
      <c r="BR445" s="59"/>
      <c r="BS445" s="39"/>
      <c r="BT445" s="57" t="e">
        <f t="shared" si="40"/>
        <v>#VALUE!</v>
      </c>
      <c r="BU445" s="60"/>
      <c r="BV445" s="8" t="e">
        <v>#VALUE!</v>
      </c>
      <c r="BW445" s="58" t="e">
        <f>VLOOKUP(AQ445,'[1]Harga &amp; Nama CSO'!$A$28:$D$31,4,0)*BQ445</f>
        <v>#N/A</v>
      </c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44">
        <f>IFERROR(VLOOKUP(AQ447,'[2]Harga &amp; Nama CSO'!$A$116:$S$136,19,FALSE),0)*AV447</f>
        <v>0</v>
      </c>
      <c r="BO446" s="55" t="e">
        <f>IFERROR(VLOOKUP(AQ446,'[1]Harga &amp; Nama CSO'!$H$2:$N$22,2,FALSE),"")*AV446</f>
        <v>#VALUE!</v>
      </c>
      <c r="BP446" s="40"/>
      <c r="BQ446" s="39"/>
      <c r="BR446" s="59"/>
      <c r="BS446" s="39"/>
      <c r="BT446" s="57" t="e">
        <f t="shared" si="40"/>
        <v>#VALUE!</v>
      </c>
      <c r="BU446" s="60"/>
      <c r="BV446" s="8" t="e">
        <v>#VALUE!</v>
      </c>
      <c r="BW446" s="58" t="e">
        <f>VLOOKUP(AQ446,'[1]Harga &amp; Nama CSO'!$A$28:$D$31,4,0)*BQ446</f>
        <v>#N/A</v>
      </c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44">
        <f>IFERROR(VLOOKUP(AQ448,'[2]Harga &amp; Nama CSO'!$A$116:$S$136,19,FALSE),0)*AV448</f>
        <v>0</v>
      </c>
      <c r="BO447" s="55" t="e">
        <f>IFERROR(VLOOKUP(AQ447,'[1]Harga &amp; Nama CSO'!$H$2:$N$22,2,FALSE),"")*AV447</f>
        <v>#VALUE!</v>
      </c>
      <c r="BP447" s="40"/>
      <c r="BQ447" s="39"/>
      <c r="BR447" s="59"/>
      <c r="BS447" s="39"/>
      <c r="BT447" s="57" t="e">
        <f t="shared" si="40"/>
        <v>#VALUE!</v>
      </c>
      <c r="BU447" s="60"/>
      <c r="BV447" s="8" t="e">
        <v>#VALUE!</v>
      </c>
      <c r="BW447" s="58" t="e">
        <f>VLOOKUP(AQ447,'[1]Harga &amp; Nama CSO'!$A$28:$D$31,4,0)*BQ447</f>
        <v>#N/A</v>
      </c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44">
        <f>IFERROR(VLOOKUP(AQ449,'[2]Harga &amp; Nama CSO'!$A$116:$S$136,19,FALSE),0)*AV449</f>
        <v>0</v>
      </c>
      <c r="BO448" s="55" t="e">
        <f>IFERROR(VLOOKUP(AQ448,'[1]Harga &amp; Nama CSO'!$H$2:$N$22,2,FALSE),"")*AV448</f>
        <v>#VALUE!</v>
      </c>
      <c r="BP448" s="40"/>
      <c r="BQ448" s="39"/>
      <c r="BR448" s="59"/>
      <c r="BS448" s="39"/>
      <c r="BT448" s="57" t="e">
        <f t="shared" si="40"/>
        <v>#VALUE!</v>
      </c>
      <c r="BU448" s="60"/>
      <c r="BV448" s="8" t="e">
        <v>#VALUE!</v>
      </c>
      <c r="BW448" s="58" t="e">
        <f>VLOOKUP(AQ448,'[1]Harga &amp; Nama CSO'!$A$28:$D$31,4,0)*BQ448</f>
        <v>#N/A</v>
      </c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44">
        <f>IFERROR(VLOOKUP(AQ450,'[2]Harga &amp; Nama CSO'!$A$116:$S$136,19,FALSE),0)*AV450</f>
        <v>0</v>
      </c>
      <c r="BO449" s="55" t="e">
        <f>IFERROR(VLOOKUP(AQ449,'[1]Harga &amp; Nama CSO'!$H$2:$N$22,2,FALSE),"")*AV449</f>
        <v>#VALUE!</v>
      </c>
      <c r="BP449" s="40"/>
      <c r="BQ449" s="39"/>
      <c r="BR449" s="59"/>
      <c r="BS449" s="39"/>
      <c r="BT449" s="57" t="e">
        <f t="shared" si="40"/>
        <v>#VALUE!</v>
      </c>
      <c r="BU449" s="60"/>
      <c r="BV449" s="8" t="e">
        <v>#VALUE!</v>
      </c>
      <c r="BW449" s="58" t="e">
        <f>VLOOKUP(AQ449,'[1]Harga &amp; Nama CSO'!$A$28:$D$31,4,0)*BQ449</f>
        <v>#N/A</v>
      </c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44">
        <f>IFERROR(VLOOKUP(AQ451,'[2]Harga &amp; Nama CSO'!$A$116:$S$136,19,FALSE),0)*AV451</f>
        <v>0</v>
      </c>
      <c r="BO450" s="55" t="e">
        <f>IFERROR(VLOOKUP(AQ450,'[1]Harga &amp; Nama CSO'!$H$2:$N$22,2,FALSE),"")*AV450</f>
        <v>#VALUE!</v>
      </c>
      <c r="BP450" s="40"/>
      <c r="BQ450" s="39"/>
      <c r="BR450" s="59"/>
      <c r="BS450" s="39"/>
      <c r="BT450" s="57" t="e">
        <f t="shared" si="40"/>
        <v>#VALUE!</v>
      </c>
      <c r="BU450" s="60"/>
      <c r="BV450" s="8" t="e">
        <v>#VALUE!</v>
      </c>
      <c r="BW450" s="58" t="e">
        <f>VLOOKUP(AQ450,'[1]Harga &amp; Nama CSO'!$A$28:$D$31,4,0)*BQ450</f>
        <v>#N/A</v>
      </c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44">
        <f>IFERROR(VLOOKUP(AQ452,'[2]Harga &amp; Nama CSO'!$A$116:$S$136,19,FALSE),0)*AV452</f>
        <v>0</v>
      </c>
      <c r="BO451" s="55" t="e">
        <f>IFERROR(VLOOKUP(AQ451,'[1]Harga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41">BO451-BR451</f>
        <v>#VALUE!</v>
      </c>
      <c r="BU451" s="60"/>
      <c r="BV451" s="8" t="e">
        <v>#VALUE!</v>
      </c>
      <c r="BW451" s="58" t="e">
        <f>VLOOKUP(AQ451,'[1]Harga &amp; Nama CSO'!$A$28:$D$31,4,0)*BQ451</f>
        <v>#N/A</v>
      </c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44">
        <f>IFERROR(VLOOKUP(AQ453,'[2]Harga &amp; Nama CSO'!$A$116:$S$136,19,FALSE),0)*AV453</f>
        <v>0</v>
      </c>
      <c r="BO452" s="55" t="e">
        <f>IFERROR(VLOOKUP(AQ452,'[1]Harga &amp; Nama CSO'!$H$2:$N$22,2,FALSE),"")*AV452</f>
        <v>#VALUE!</v>
      </c>
      <c r="BP452" s="40"/>
      <c r="BQ452" s="39"/>
      <c r="BR452" s="59"/>
      <c r="BS452" s="39"/>
      <c r="BT452" s="57" t="e">
        <f t="shared" si="41"/>
        <v>#VALUE!</v>
      </c>
      <c r="BU452" s="60"/>
      <c r="BV452" s="8" t="e">
        <v>#VALUE!</v>
      </c>
      <c r="BW452" s="58" t="e">
        <f>VLOOKUP(AQ452,'[1]Harga &amp; Nama CSO'!$A$28:$D$31,4,0)*BQ452</f>
        <v>#N/A</v>
      </c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44">
        <f>IFERROR(VLOOKUP(AQ454,'[2]Harga &amp; Nama CSO'!$A$116:$S$136,19,FALSE),0)*AV454</f>
        <v>0</v>
      </c>
      <c r="BO453" s="55" t="e">
        <f>IFERROR(VLOOKUP(AQ453,'[1]Harga &amp; Nama CSO'!$H$2:$N$22,2,FALSE),"")*AV453</f>
        <v>#VALUE!</v>
      </c>
      <c r="BP453" s="40"/>
      <c r="BQ453" s="39"/>
      <c r="BR453" s="59"/>
      <c r="BS453" s="39"/>
      <c r="BT453" s="57" t="e">
        <f t="shared" si="41"/>
        <v>#VALUE!</v>
      </c>
      <c r="BU453" s="60"/>
      <c r="BV453" s="8" t="e">
        <v>#VALUE!</v>
      </c>
      <c r="BW453" s="58" t="e">
        <f>VLOOKUP(AQ453,'[1]Harga &amp; Nama CSO'!$A$28:$D$31,4,0)*BQ453</f>
        <v>#N/A</v>
      </c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44">
        <f>IFERROR(VLOOKUP(AQ455,'[2]Harga &amp; Nama CSO'!$A$116:$S$136,19,FALSE),0)*AV455</f>
        <v>0</v>
      </c>
      <c r="BO454" s="55" t="e">
        <f>IFERROR(VLOOKUP(AQ454,'[1]Harga &amp; Nama CSO'!$H$2:$N$22,2,FALSE),"")*AV454</f>
        <v>#VALUE!</v>
      </c>
      <c r="BP454" s="40"/>
      <c r="BQ454" s="39"/>
      <c r="BR454" s="59"/>
      <c r="BS454" s="39"/>
      <c r="BT454" s="57" t="e">
        <f t="shared" si="41"/>
        <v>#VALUE!</v>
      </c>
      <c r="BU454" s="60"/>
      <c r="BV454" s="8" t="e">
        <v>#VALUE!</v>
      </c>
      <c r="BW454" s="58" t="e">
        <f>VLOOKUP(AQ454,'[1]Harga &amp; Nama CSO'!$A$28:$D$31,4,0)*BQ454</f>
        <v>#N/A</v>
      </c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44">
        <f>IFERROR(VLOOKUP(AQ456,'[2]Harga &amp; Nama CSO'!$A$116:$S$136,19,FALSE),0)*AV456</f>
        <v>0</v>
      </c>
      <c r="BO455" s="55" t="e">
        <f>IFERROR(VLOOKUP(AQ455,'[1]Harga &amp; Nama CSO'!$H$2:$N$22,2,FALSE),"")*AV455</f>
        <v>#VALUE!</v>
      </c>
      <c r="BP455" s="40"/>
      <c r="BQ455" s="39"/>
      <c r="BR455" s="59"/>
      <c r="BS455" s="39"/>
      <c r="BT455" s="57" t="e">
        <f t="shared" si="41"/>
        <v>#VALUE!</v>
      </c>
      <c r="BU455" s="60"/>
      <c r="BV455" s="8" t="e">
        <v>#VALUE!</v>
      </c>
      <c r="BW455" s="58" t="e">
        <f>VLOOKUP(AQ455,'[1]Harga &amp; Nama CSO'!$A$28:$D$31,4,0)*BQ455</f>
        <v>#N/A</v>
      </c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44">
        <f>IFERROR(VLOOKUP(AQ457,'[2]Harga &amp; Nama CSO'!$A$116:$S$136,19,FALSE),0)*AV457</f>
        <v>0</v>
      </c>
      <c r="BO456" s="55" t="e">
        <f>IFERROR(VLOOKUP(AQ456,'[1]Harga &amp; Nama CSO'!$H$2:$N$22,2,FALSE),"")*AV456</f>
        <v>#VALUE!</v>
      </c>
      <c r="BP456" s="40"/>
      <c r="BQ456" s="39"/>
      <c r="BR456" s="59"/>
      <c r="BS456" s="39"/>
      <c r="BT456" s="57" t="e">
        <f t="shared" si="41"/>
        <v>#VALUE!</v>
      </c>
      <c r="BU456" s="60"/>
      <c r="BV456" s="8" t="e">
        <v>#VALUE!</v>
      </c>
      <c r="BW456" s="58" t="e">
        <f>VLOOKUP(AQ456,'[1]Harga &amp; Nama CSO'!$A$28:$D$31,4,0)*BQ456</f>
        <v>#N/A</v>
      </c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44">
        <f>IFERROR(VLOOKUP(AQ458,'[2]Harga &amp; Nama CSO'!$A$116:$S$136,19,FALSE),0)*AV458</f>
        <v>0</v>
      </c>
      <c r="BO457" s="55" t="e">
        <f>IFERROR(VLOOKUP(AQ457,'[1]Harga &amp; Nama CSO'!$H$2:$N$22,2,FALSE),"")*AV457</f>
        <v>#VALUE!</v>
      </c>
      <c r="BP457" s="40"/>
      <c r="BQ457" s="39"/>
      <c r="BR457" s="59"/>
      <c r="BS457" s="39"/>
      <c r="BT457" s="57" t="e">
        <f t="shared" si="41"/>
        <v>#VALUE!</v>
      </c>
      <c r="BU457" s="60"/>
      <c r="BV457" s="8" t="e">
        <v>#VALUE!</v>
      </c>
      <c r="BW457" s="58" t="e">
        <f>VLOOKUP(AQ457,'[1]Harga &amp; Nama CSO'!$A$28:$D$31,4,0)*BQ457</f>
        <v>#N/A</v>
      </c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44">
        <f>IFERROR(VLOOKUP(AQ459,'[2]Harga &amp; Nama CSO'!$A$116:$S$136,19,FALSE),0)*AV459</f>
        <v>0</v>
      </c>
      <c r="BO458" s="55" t="e">
        <f>IFERROR(VLOOKUP(AQ458,'[1]Harga &amp; Nama CSO'!$H$2:$N$22,2,FALSE),"")*AV458</f>
        <v>#VALUE!</v>
      </c>
      <c r="BP458" s="40"/>
      <c r="BQ458" s="39"/>
      <c r="BR458" s="59"/>
      <c r="BS458" s="39"/>
      <c r="BT458" s="57" t="e">
        <f t="shared" si="41"/>
        <v>#VALUE!</v>
      </c>
      <c r="BU458" s="60"/>
      <c r="BV458" s="8" t="e">
        <v>#VALUE!</v>
      </c>
      <c r="BW458" s="58" t="e">
        <f>VLOOKUP(AQ458,'[1]Harga &amp; Nama CSO'!$A$28:$D$31,4,0)*BQ458</f>
        <v>#N/A</v>
      </c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44">
        <f>IFERROR(VLOOKUP(AQ460,'[2]Harga &amp; Nama CSO'!$A$116:$S$136,19,FALSE),0)*AV460</f>
        <v>0</v>
      </c>
      <c r="BO459" s="55" t="e">
        <f>IFERROR(VLOOKUP(AQ459,'[1]Harga &amp; Nama CSO'!$H$2:$N$22,2,FALSE),"")*AV459</f>
        <v>#VALUE!</v>
      </c>
      <c r="BP459" s="40"/>
      <c r="BQ459" s="39"/>
      <c r="BR459" s="59"/>
      <c r="BS459" s="39"/>
      <c r="BT459" s="57" t="e">
        <f t="shared" si="41"/>
        <v>#VALUE!</v>
      </c>
      <c r="BU459" s="60"/>
      <c r="BV459" s="8" t="e">
        <v>#VALUE!</v>
      </c>
      <c r="BW459" s="58" t="e">
        <f>VLOOKUP(AQ459,'[1]Harga &amp; Nama CSO'!$A$28:$D$31,4,0)*BQ459</f>
        <v>#N/A</v>
      </c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44">
        <f>IFERROR(VLOOKUP(AQ461,'[2]Harga &amp; Nama CSO'!$A$116:$S$136,19,FALSE),0)*AV461</f>
        <v>0</v>
      </c>
      <c r="BO460" s="55" t="e">
        <f>IFERROR(VLOOKUP(AQ460,'[1]Harga &amp; Nama CSO'!$H$2:$N$22,2,FALSE),"")*AV460</f>
        <v>#VALUE!</v>
      </c>
      <c r="BP460" s="40"/>
      <c r="BQ460" s="39"/>
      <c r="BR460" s="59"/>
      <c r="BS460" s="39"/>
      <c r="BT460" s="57" t="e">
        <f t="shared" si="41"/>
        <v>#VALUE!</v>
      </c>
      <c r="BU460" s="60"/>
      <c r="BV460" s="8" t="e">
        <v>#VALUE!</v>
      </c>
      <c r="BW460" s="58" t="e">
        <f>VLOOKUP(AQ460,'[1]Harga &amp; Nama CSO'!$A$28:$D$31,4,0)*BQ460</f>
        <v>#N/A</v>
      </c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44">
        <f>IFERROR(VLOOKUP(AQ462,'[2]Harga &amp; Nama CSO'!$A$116:$S$136,19,FALSE),0)*AV462</f>
        <v>0</v>
      </c>
      <c r="BO461" s="55" t="e">
        <f>IFERROR(VLOOKUP(AQ461,'[1]Harga &amp; Nama CSO'!$H$2:$N$22,2,FALSE),"")*AV461</f>
        <v>#VALUE!</v>
      </c>
      <c r="BP461" s="40"/>
      <c r="BQ461" s="39"/>
      <c r="BR461" s="59"/>
      <c r="BS461" s="39"/>
      <c r="BT461" s="57" t="e">
        <f t="shared" si="41"/>
        <v>#VALUE!</v>
      </c>
      <c r="BU461" s="60"/>
      <c r="BV461" s="8" t="e">
        <v>#VALUE!</v>
      </c>
      <c r="BW461" s="58" t="e">
        <f>VLOOKUP(AQ461,'[1]Harga &amp; Nama CSO'!$A$28:$D$31,4,0)*BQ461</f>
        <v>#N/A</v>
      </c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44">
        <f>IFERROR(VLOOKUP(AQ463,'[2]Harga &amp; Nama CSO'!$A$116:$S$136,19,FALSE),0)*AV463</f>
        <v>0</v>
      </c>
      <c r="BO462" s="55" t="e">
        <f>IFERROR(VLOOKUP(AQ462,'[1]Harga &amp; Nama CSO'!$H$2:$N$22,2,FALSE),"")*AV462</f>
        <v>#VALUE!</v>
      </c>
      <c r="BP462" s="40"/>
      <c r="BQ462" s="39"/>
      <c r="BR462" s="59"/>
      <c r="BS462" s="39"/>
      <c r="BT462" s="57" t="e">
        <f t="shared" si="41"/>
        <v>#VALUE!</v>
      </c>
      <c r="BU462" s="60"/>
      <c r="BV462" s="8" t="e">
        <v>#VALUE!</v>
      </c>
      <c r="BW462" s="58" t="e">
        <f>VLOOKUP(AQ462,'[1]Harga &amp; Nama CSO'!$A$28:$D$31,4,0)*BQ462</f>
        <v>#N/A</v>
      </c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44">
        <f>IFERROR(VLOOKUP(AQ464,'[2]Harga &amp; Nama CSO'!$A$116:$S$136,19,FALSE),0)*AV464</f>
        <v>0</v>
      </c>
      <c r="BO463" s="55" t="e">
        <f>IFERROR(VLOOKUP(AQ463,'[1]Harga &amp; Nama CSO'!$H$2:$N$22,2,FALSE),"")*AV463</f>
        <v>#VALUE!</v>
      </c>
      <c r="BP463" s="40"/>
      <c r="BQ463" s="39"/>
      <c r="BR463" s="59"/>
      <c r="BS463" s="39"/>
      <c r="BT463" s="57" t="e">
        <f t="shared" si="41"/>
        <v>#VALUE!</v>
      </c>
      <c r="BU463" s="60"/>
      <c r="BV463" s="8" t="e">
        <v>#VALUE!</v>
      </c>
      <c r="BW463" s="58" t="e">
        <f>VLOOKUP(AQ463,'[1]Harga &amp; Nama CSO'!$A$28:$D$31,4,0)*BQ463</f>
        <v>#N/A</v>
      </c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44">
        <f>IFERROR(VLOOKUP(AQ465,'[2]Harga &amp; Nama CSO'!$A$116:$S$136,19,FALSE),0)*AV465</f>
        <v>0</v>
      </c>
      <c r="BO464" s="55" t="e">
        <f>IFERROR(VLOOKUP(AQ464,'[1]Harga &amp; Nama CSO'!$H$2:$N$22,2,FALSE),"")*AV464</f>
        <v>#VALUE!</v>
      </c>
      <c r="BP464" s="40"/>
      <c r="BQ464" s="39"/>
      <c r="BR464" s="59"/>
      <c r="BS464" s="39"/>
      <c r="BT464" s="57" t="e">
        <f t="shared" si="41"/>
        <v>#VALUE!</v>
      </c>
      <c r="BU464" s="60"/>
      <c r="BV464" s="8" t="e">
        <v>#VALUE!</v>
      </c>
      <c r="BW464" s="58" t="e">
        <f>VLOOKUP(AQ464,'[1]Harga &amp; Nama CSO'!$A$28:$D$31,4,0)*BQ464</f>
        <v>#N/A</v>
      </c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44">
        <f>IFERROR(VLOOKUP(AQ466,'[2]Harga &amp; Nama CSO'!$A$116:$S$136,19,FALSE),0)*AV466</f>
        <v>0</v>
      </c>
      <c r="BO465" s="55" t="e">
        <f>IFERROR(VLOOKUP(AQ465,'[1]Harga &amp; Nama CSO'!$H$2:$N$22,2,FALSE),"")*AV465</f>
        <v>#VALUE!</v>
      </c>
      <c r="BP465" s="40"/>
      <c r="BQ465" s="39"/>
      <c r="BR465" s="59"/>
      <c r="BS465" s="39"/>
      <c r="BT465" s="57" t="e">
        <f t="shared" si="41"/>
        <v>#VALUE!</v>
      </c>
      <c r="BU465" s="60"/>
      <c r="BV465" s="8" t="e">
        <v>#VALUE!</v>
      </c>
      <c r="BW465" s="58" t="e">
        <f>VLOOKUP(AQ465,'[1]Harga &amp; Nama CSO'!$A$28:$D$31,4,0)*BQ465</f>
        <v>#N/A</v>
      </c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44">
        <f>IFERROR(VLOOKUP(AQ467,'[2]Harga &amp; Nama CSO'!$A$116:$S$136,19,FALSE),0)*AV467</f>
        <v>0</v>
      </c>
      <c r="BO466" s="55" t="e">
        <f>IFERROR(VLOOKUP(AQ466,'[1]Harga &amp; Nama CSO'!$H$2:$N$22,2,FALSE),"")*AV466</f>
        <v>#VALUE!</v>
      </c>
      <c r="BP466" s="40"/>
      <c r="BQ466" s="39"/>
      <c r="BR466" s="59"/>
      <c r="BS466" s="39"/>
      <c r="BT466" s="57" t="e">
        <f t="shared" si="41"/>
        <v>#VALUE!</v>
      </c>
      <c r="BU466" s="60"/>
      <c r="BV466" s="8" t="e">
        <v>#VALUE!</v>
      </c>
      <c r="BW466" s="58" t="e">
        <f>VLOOKUP(AQ466,'[1]Harga &amp; Nama CSO'!$A$28:$D$31,4,0)*BQ466</f>
        <v>#N/A</v>
      </c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44">
        <f>IFERROR(VLOOKUP(AQ468,'[2]Harga &amp; Nama CSO'!$A$116:$S$136,19,FALSE),0)*AV468</f>
        <v>0</v>
      </c>
      <c r="BO467" s="55" t="e">
        <f>IFERROR(VLOOKUP(AQ467,'[1]Harga &amp; Nama CSO'!$H$2:$N$22,2,FALSE),"")*AV467</f>
        <v>#VALUE!</v>
      </c>
      <c r="BP467" s="40"/>
      <c r="BQ467" s="39"/>
      <c r="BR467" s="59"/>
      <c r="BS467" s="39"/>
      <c r="BT467" s="57" t="e">
        <f t="shared" si="41"/>
        <v>#VALUE!</v>
      </c>
      <c r="BU467" s="60"/>
      <c r="BV467" s="8" t="e">
        <v>#VALUE!</v>
      </c>
      <c r="BW467" s="58" t="e">
        <f>VLOOKUP(AQ467,'[1]Harga &amp; Nama CSO'!$A$28:$D$31,4,0)*BQ467</f>
        <v>#N/A</v>
      </c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44">
        <f>IFERROR(VLOOKUP(AQ469,'[2]Harga &amp; Nama CSO'!$A$116:$S$136,19,FALSE),0)*AV469</f>
        <v>0</v>
      </c>
      <c r="BO468" s="55" t="e">
        <f>IFERROR(VLOOKUP(AQ468,'[1]Harga &amp; Nama CSO'!$H$2:$N$22,2,FALSE),"")*AV468</f>
        <v>#VALUE!</v>
      </c>
      <c r="BP468" s="40"/>
      <c r="BQ468" s="39"/>
      <c r="BR468" s="59"/>
      <c r="BS468" s="39"/>
      <c r="BT468" s="57" t="e">
        <f t="shared" si="41"/>
        <v>#VALUE!</v>
      </c>
      <c r="BU468" s="60"/>
      <c r="BV468" s="8" t="e">
        <v>#VALUE!</v>
      </c>
      <c r="BW468" s="58" t="e">
        <f>VLOOKUP(AQ468,'[1]Harga &amp; Nama CSO'!$A$28:$D$31,4,0)*BQ468</f>
        <v>#N/A</v>
      </c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44">
        <f>IFERROR(VLOOKUP(AQ470,'[2]Harga &amp; Nama CSO'!$A$116:$S$136,19,FALSE),0)*AV470</f>
        <v>0</v>
      </c>
      <c r="BO469" s="55" t="e">
        <f>IFERROR(VLOOKUP(AQ469,'[1]Harga &amp; Nama CSO'!$H$2:$N$22,2,FALSE),"")*AV469</f>
        <v>#VALUE!</v>
      </c>
      <c r="BP469" s="40"/>
      <c r="BQ469" s="39"/>
      <c r="BR469" s="59"/>
      <c r="BS469" s="39"/>
      <c r="BT469" s="57" t="e">
        <f t="shared" si="41"/>
        <v>#VALUE!</v>
      </c>
      <c r="BU469" s="60"/>
      <c r="BV469" s="8" t="e">
        <v>#VALUE!</v>
      </c>
      <c r="BW469" s="58" t="e">
        <f>VLOOKUP(AQ469,'[1]Harga &amp; Nama CSO'!$A$28:$D$31,4,0)*BQ469</f>
        <v>#N/A</v>
      </c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44">
        <f>IFERROR(VLOOKUP(AQ471,'[2]Harga &amp; Nama CSO'!$A$116:$S$136,19,FALSE),0)*AV471</f>
        <v>0</v>
      </c>
      <c r="BO470" s="55" t="e">
        <f>IFERROR(VLOOKUP(AQ470,'[1]Harga &amp; Nama CSO'!$H$2:$N$22,2,FALSE),"")*AV470</f>
        <v>#VALUE!</v>
      </c>
      <c r="BP470" s="40"/>
      <c r="BQ470" s="39"/>
      <c r="BR470" s="59"/>
      <c r="BS470" s="39"/>
      <c r="BT470" s="57" t="e">
        <f t="shared" si="41"/>
        <v>#VALUE!</v>
      </c>
      <c r="BU470" s="60"/>
      <c r="BV470" s="8" t="e">
        <v>#VALUE!</v>
      </c>
      <c r="BW470" s="58" t="e">
        <f>VLOOKUP(AQ470,'[1]Harga &amp; Nama CSO'!$A$28:$D$31,4,0)*BQ470</f>
        <v>#N/A</v>
      </c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44">
        <f>IFERROR(VLOOKUP(AQ472,'[2]Harga &amp; Nama CSO'!$A$116:$S$136,19,FALSE),0)*AV472</f>
        <v>0</v>
      </c>
      <c r="BO471" s="55" t="e">
        <f>IFERROR(VLOOKUP(AQ471,'[1]Harga &amp; Nama CSO'!$H$2:$N$22,2,FALSE),"")*AV471</f>
        <v>#VALUE!</v>
      </c>
      <c r="BP471" s="40"/>
      <c r="BQ471" s="39"/>
      <c r="BR471" s="59"/>
      <c r="BS471" s="39"/>
      <c r="BT471" s="57" t="e">
        <f t="shared" si="41"/>
        <v>#VALUE!</v>
      </c>
      <c r="BU471" s="60"/>
      <c r="BV471" s="8" t="e">
        <v>#VALUE!</v>
      </c>
      <c r="BW471" s="58" t="e">
        <f>VLOOKUP(AQ471,'[1]Harga &amp; Nama CSO'!$A$28:$D$31,4,0)*BQ471</f>
        <v>#N/A</v>
      </c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44">
        <f>IFERROR(VLOOKUP(AQ473,'[2]Harga &amp; Nama CSO'!$A$116:$S$136,19,FALSE),0)*AV473</f>
        <v>0</v>
      </c>
      <c r="BO472" s="55" t="e">
        <f>IFERROR(VLOOKUP(AQ472,'[1]Harga &amp; Nama CSO'!$H$2:$N$22,2,FALSE),"")*AV472</f>
        <v>#VALUE!</v>
      </c>
      <c r="BP472" s="40"/>
      <c r="BQ472" s="39"/>
      <c r="BR472" s="59"/>
      <c r="BS472" s="39"/>
      <c r="BT472" s="57" t="e">
        <f t="shared" si="41"/>
        <v>#VALUE!</v>
      </c>
      <c r="BU472" s="60"/>
      <c r="BV472" s="8" t="e">
        <v>#VALUE!</v>
      </c>
      <c r="BW472" s="58" t="e">
        <f>VLOOKUP(AQ472,'[1]Harga &amp; Nama CSO'!$A$28:$D$31,4,0)*BQ472</f>
        <v>#N/A</v>
      </c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44">
        <f>IFERROR(VLOOKUP(AQ474,'[2]Harga &amp; Nama CSO'!$A$116:$S$136,19,FALSE),0)*AV474</f>
        <v>0</v>
      </c>
      <c r="BO473" s="55" t="e">
        <f>IFERROR(VLOOKUP(AQ473,'[1]Harga &amp; Nama CSO'!$H$2:$N$22,2,FALSE),"")*AV473</f>
        <v>#VALUE!</v>
      </c>
      <c r="BP473" s="40"/>
      <c r="BQ473" s="39"/>
      <c r="BR473" s="59"/>
      <c r="BS473" s="39"/>
      <c r="BT473" s="57" t="e">
        <f t="shared" si="41"/>
        <v>#VALUE!</v>
      </c>
      <c r="BU473" s="60"/>
      <c r="BV473" s="8" t="e">
        <v>#VALUE!</v>
      </c>
      <c r="BW473" s="58" t="e">
        <f>VLOOKUP(AQ473,'[1]Harga &amp; Nama CSO'!$A$28:$D$31,4,0)*BQ473</f>
        <v>#N/A</v>
      </c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44">
        <f>IFERROR(VLOOKUP(AQ475,'[2]Harga &amp; Nama CSO'!$A$116:$S$136,19,FALSE),0)*AV475</f>
        <v>0</v>
      </c>
      <c r="BO474" s="55" t="e">
        <f>IFERROR(VLOOKUP(AQ474,'[1]Harga &amp; Nama CSO'!$H$2:$N$22,2,FALSE),"")*AV474</f>
        <v>#VALUE!</v>
      </c>
      <c r="BP474" s="40"/>
      <c r="BQ474" s="39"/>
      <c r="BR474" s="59"/>
      <c r="BS474" s="39"/>
      <c r="BT474" s="57" t="e">
        <f t="shared" si="41"/>
        <v>#VALUE!</v>
      </c>
      <c r="BU474" s="60"/>
      <c r="BV474" s="8" t="e">
        <v>#VALUE!</v>
      </c>
      <c r="BW474" s="58" t="e">
        <f>VLOOKUP(AQ474,'[1]Harga &amp; Nama CSO'!$A$28:$D$31,4,0)*BQ474</f>
        <v>#N/A</v>
      </c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44">
        <f>IFERROR(VLOOKUP(AQ476,'[2]Harga &amp; Nama CSO'!$A$116:$S$136,19,FALSE),0)*AV476</f>
        <v>0</v>
      </c>
      <c r="BO475" s="55" t="e">
        <f>IFERROR(VLOOKUP(AQ475,'[1]Harga &amp; Nama CSO'!$H$2:$N$22,2,FALSE),"")*AV475</f>
        <v>#VALUE!</v>
      </c>
      <c r="BP475" s="40"/>
      <c r="BQ475" s="39"/>
      <c r="BR475" s="59"/>
      <c r="BS475" s="39"/>
      <c r="BT475" s="57" t="e">
        <f t="shared" si="41"/>
        <v>#VALUE!</v>
      </c>
      <c r="BU475" s="60"/>
      <c r="BV475" s="8" t="e">
        <v>#VALUE!</v>
      </c>
      <c r="BW475" s="58" t="e">
        <f>VLOOKUP(AQ475,'[1]Harga &amp; Nama CSO'!$A$28:$D$31,4,0)*BQ475</f>
        <v>#N/A</v>
      </c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44">
        <f>IFERROR(VLOOKUP(AQ477,'[2]Harga &amp; Nama CSO'!$A$116:$S$136,19,FALSE),0)*AV477</f>
        <v>0</v>
      </c>
      <c r="BO476" s="55" t="e">
        <f>IFERROR(VLOOKUP(AQ476,'[1]Harga &amp; Nama CSO'!$H$2:$N$22,2,FALSE),"")*AV476</f>
        <v>#VALUE!</v>
      </c>
      <c r="BP476" s="40"/>
      <c r="BQ476" s="39"/>
      <c r="BR476" s="59"/>
      <c r="BS476" s="39"/>
      <c r="BT476" s="57" t="e">
        <f t="shared" si="41"/>
        <v>#VALUE!</v>
      </c>
      <c r="BU476" s="60"/>
      <c r="BV476" s="8" t="e">
        <v>#VALUE!</v>
      </c>
      <c r="BW476" s="58" t="e">
        <f>VLOOKUP(AQ476,'[1]Harga &amp; Nama CSO'!$A$28:$D$31,4,0)*BQ476</f>
        <v>#N/A</v>
      </c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44">
        <f>IFERROR(VLOOKUP(AQ478,'[2]Harga &amp; Nama CSO'!$A$116:$S$136,19,FALSE),0)*AV478</f>
        <v>0</v>
      </c>
      <c r="BO477" s="55" t="e">
        <f>IFERROR(VLOOKUP(AQ477,'[1]Harga &amp; Nama CSO'!$H$2:$N$22,2,FALSE),"")*AV477</f>
        <v>#VALUE!</v>
      </c>
      <c r="BP477" s="40"/>
      <c r="BQ477" s="39"/>
      <c r="BR477" s="59"/>
      <c r="BS477" s="39"/>
      <c r="BT477" s="57" t="e">
        <f t="shared" si="41"/>
        <v>#VALUE!</v>
      </c>
      <c r="BU477" s="60"/>
      <c r="BV477" s="8" t="e">
        <v>#VALUE!</v>
      </c>
      <c r="BW477" s="58" t="e">
        <f>VLOOKUP(AQ477,'[1]Harga &amp; Nama CSO'!$A$28:$D$31,4,0)*BQ477</f>
        <v>#N/A</v>
      </c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44">
        <f>IFERROR(VLOOKUP(AQ479,'[2]Harga &amp; Nama CSO'!$A$116:$S$136,19,FALSE),0)*AV479</f>
        <v>0</v>
      </c>
      <c r="BO478" s="55" t="e">
        <f>IFERROR(VLOOKUP(AQ478,'[1]Harga &amp; Nama CSO'!$H$2:$N$22,2,FALSE),"")*AV478</f>
        <v>#VALUE!</v>
      </c>
      <c r="BP478" s="40"/>
      <c r="BQ478" s="39"/>
      <c r="BR478" s="59"/>
      <c r="BS478" s="39"/>
      <c r="BT478" s="57" t="e">
        <f t="shared" si="41"/>
        <v>#VALUE!</v>
      </c>
      <c r="BU478" s="60"/>
      <c r="BV478" s="8" t="e">
        <v>#VALUE!</v>
      </c>
      <c r="BW478" s="58" t="e">
        <f>VLOOKUP(AQ478,'[1]Harga &amp; Nama CSO'!$A$28:$D$31,4,0)*BQ478</f>
        <v>#N/A</v>
      </c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44">
        <f>IFERROR(VLOOKUP(AQ480,'[2]Harga &amp; Nama CSO'!$A$116:$S$136,19,FALSE),0)*AV480</f>
        <v>0</v>
      </c>
      <c r="BO479" s="55" t="e">
        <f>IFERROR(VLOOKUP(AQ479,'[1]Harga &amp; Nama CSO'!$H$2:$N$22,2,FALSE),"")*AV479</f>
        <v>#VALUE!</v>
      </c>
      <c r="BP479" s="40"/>
      <c r="BQ479" s="39"/>
      <c r="BR479" s="59"/>
      <c r="BS479" s="39"/>
      <c r="BT479" s="57" t="e">
        <f t="shared" si="41"/>
        <v>#VALUE!</v>
      </c>
      <c r="BU479" s="60"/>
      <c r="BV479" s="8" t="e">
        <v>#VALUE!</v>
      </c>
      <c r="BW479" s="58" t="e">
        <f>VLOOKUP(AQ479,'[1]Harga &amp; Nama CSO'!$A$28:$D$31,4,0)*BQ479</f>
        <v>#N/A</v>
      </c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44">
        <f>IFERROR(VLOOKUP(AQ481,'[2]Harga &amp; Nama CSO'!$A$116:$S$136,19,FALSE),0)*AV481</f>
        <v>0</v>
      </c>
      <c r="BO480" s="55" t="e">
        <f>IFERROR(VLOOKUP(AQ480,'[1]Harga &amp; Nama CSO'!$H$2:$N$22,2,FALSE),"")*AV480</f>
        <v>#VALUE!</v>
      </c>
      <c r="BP480" s="40"/>
      <c r="BQ480" s="39"/>
      <c r="BR480" s="59"/>
      <c r="BS480" s="39"/>
      <c r="BT480" s="57" t="e">
        <f t="shared" si="41"/>
        <v>#VALUE!</v>
      </c>
      <c r="BU480" s="60"/>
      <c r="BV480" s="8" t="e">
        <v>#VALUE!</v>
      </c>
      <c r="BW480" s="58" t="e">
        <f>VLOOKUP(AQ480,'[1]Harga &amp; Nama CSO'!$A$28:$D$31,4,0)*BQ480</f>
        <v>#N/A</v>
      </c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44">
        <f>IFERROR(VLOOKUP(AQ482,'[2]Harga &amp; Nama CSO'!$A$116:$S$136,19,FALSE),0)*AV482</f>
        <v>0</v>
      </c>
      <c r="BO481" s="55" t="e">
        <f>IFERROR(VLOOKUP(AQ481,'[1]Harga &amp; Nama CSO'!$H$2:$N$22,2,FALSE),"")*AV481</f>
        <v>#VALUE!</v>
      </c>
      <c r="BP481" s="40"/>
      <c r="BQ481" s="39"/>
      <c r="BR481" s="59"/>
      <c r="BS481" s="39"/>
      <c r="BT481" s="57" t="e">
        <f t="shared" si="41"/>
        <v>#VALUE!</v>
      </c>
      <c r="BU481" s="60"/>
      <c r="BV481" s="8" t="e">
        <v>#VALUE!</v>
      </c>
      <c r="BW481" s="58" t="e">
        <f>VLOOKUP(AQ481,'[1]Harga &amp; Nama CSO'!$A$28:$D$31,4,0)*BQ481</f>
        <v>#N/A</v>
      </c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44">
        <f>IFERROR(VLOOKUP(AQ483,'[2]Harga &amp; Nama CSO'!$A$116:$S$136,19,FALSE),0)*AV483</f>
        <v>0</v>
      </c>
      <c r="BO482" s="55" t="e">
        <f>IFERROR(VLOOKUP(AQ482,'[1]Harga &amp; Nama CSO'!$H$2:$N$22,2,FALSE),"")*AV482</f>
        <v>#VALUE!</v>
      </c>
      <c r="BP482" s="40"/>
      <c r="BQ482" s="39"/>
      <c r="BR482" s="59"/>
      <c r="BS482" s="39"/>
      <c r="BT482" s="57" t="e">
        <f t="shared" si="41"/>
        <v>#VALUE!</v>
      </c>
      <c r="BU482" s="60"/>
      <c r="BV482" s="8" t="e">
        <v>#VALUE!</v>
      </c>
      <c r="BW482" s="58" t="e">
        <f>VLOOKUP(AQ482,'[1]Harga &amp; Nama CSO'!$A$28:$D$31,4,0)*BQ482</f>
        <v>#N/A</v>
      </c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44">
        <f>IFERROR(VLOOKUP(AQ484,'[2]Harga &amp; Nama CSO'!$A$116:$S$136,19,FALSE),0)*AV484</f>
        <v>0</v>
      </c>
      <c r="BO483" s="55" t="e">
        <f>IFERROR(VLOOKUP(AQ483,'[1]Harga &amp; Nama CSO'!$H$2:$N$22,2,FALSE),"")*AV483</f>
        <v>#VALUE!</v>
      </c>
      <c r="BP483" s="40"/>
      <c r="BQ483" s="39"/>
      <c r="BR483" s="59"/>
      <c r="BS483" s="39"/>
      <c r="BT483" s="57" t="e">
        <f t="shared" si="41"/>
        <v>#VALUE!</v>
      </c>
      <c r="BU483" s="60"/>
      <c r="BV483" s="8" t="e">
        <v>#VALUE!</v>
      </c>
      <c r="BW483" s="58" t="e">
        <f>VLOOKUP(AQ483,'[1]Harga &amp; Nama CSO'!$A$28:$D$31,4,0)*BQ483</f>
        <v>#N/A</v>
      </c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44">
        <f>IFERROR(VLOOKUP(AQ485,'[2]Harga &amp; Nama CSO'!$A$116:$S$136,19,FALSE),0)*AV485</f>
        <v>0</v>
      </c>
      <c r="BO484" s="55" t="e">
        <f>IFERROR(VLOOKUP(AQ484,'[1]Harga &amp; Nama CSO'!$H$2:$N$22,2,FALSE),"")*AV484</f>
        <v>#VALUE!</v>
      </c>
      <c r="BP484" s="40"/>
      <c r="BQ484" s="39"/>
      <c r="BR484" s="59"/>
      <c r="BS484" s="39"/>
      <c r="BT484" s="57" t="e">
        <f t="shared" si="41"/>
        <v>#VALUE!</v>
      </c>
      <c r="BU484" s="60"/>
      <c r="BV484" s="8" t="e">
        <v>#VALUE!</v>
      </c>
      <c r="BW484" s="58" t="e">
        <f>VLOOKUP(AQ484,'[1]Harga &amp; Nama CSO'!$A$28:$D$31,4,0)*BQ484</f>
        <v>#N/A</v>
      </c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44">
        <f>IFERROR(VLOOKUP(AQ486,'[2]Harga &amp; Nama CSO'!$A$116:$S$136,19,FALSE),0)*AV486</f>
        <v>0</v>
      </c>
      <c r="BO485" s="55" t="e">
        <f>IFERROR(VLOOKUP(AQ485,'[1]Harga &amp; Nama CSO'!$H$2:$N$22,2,FALSE),"")*AV485</f>
        <v>#VALUE!</v>
      </c>
      <c r="BP485" s="40"/>
      <c r="BQ485" s="39"/>
      <c r="BR485" s="59"/>
      <c r="BS485" s="39"/>
      <c r="BT485" s="57" t="e">
        <f t="shared" si="41"/>
        <v>#VALUE!</v>
      </c>
      <c r="BU485" s="60"/>
      <c r="BV485" s="8" t="e">
        <v>#VALUE!</v>
      </c>
      <c r="BW485" s="58" t="e">
        <f>VLOOKUP(AQ485,'[1]Harga &amp; Nama CSO'!$A$28:$D$31,4,0)*BQ485</f>
        <v>#N/A</v>
      </c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44">
        <f>IFERROR(VLOOKUP(AQ487,'[2]Harga &amp; Nama CSO'!$A$116:$S$136,19,FALSE),0)*AV487</f>
        <v>0</v>
      </c>
      <c r="BO486" s="55" t="e">
        <f>IFERROR(VLOOKUP(AQ486,'[1]Harga &amp; Nama CSO'!$H$2:$N$22,2,FALSE),"")*AV486</f>
        <v>#VALUE!</v>
      </c>
      <c r="BP486" s="40"/>
      <c r="BQ486" s="39"/>
      <c r="BR486" s="59"/>
      <c r="BS486" s="39"/>
      <c r="BT486" s="57" t="e">
        <f t="shared" si="41"/>
        <v>#VALUE!</v>
      </c>
      <c r="BU486" s="60"/>
      <c r="BV486" s="8" t="e">
        <v>#VALUE!</v>
      </c>
      <c r="BW486" s="58" t="e">
        <f>VLOOKUP(AQ486,'[1]Harga &amp; Nama CSO'!$A$28:$D$31,4,0)*BQ486</f>
        <v>#N/A</v>
      </c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44">
        <f>IFERROR(VLOOKUP(AQ488,'[2]Harga &amp; Nama CSO'!$A$116:$S$136,19,FALSE),0)*AV488</f>
        <v>0</v>
      </c>
      <c r="BO487" s="55" t="e">
        <f>IFERROR(VLOOKUP(AQ487,'[1]Harga &amp; Nama CSO'!$H$2:$N$22,2,FALSE),"")*AV487</f>
        <v>#VALUE!</v>
      </c>
      <c r="BP487" s="40"/>
      <c r="BQ487" s="39"/>
      <c r="BR487" s="59"/>
      <c r="BS487" s="39"/>
      <c r="BT487" s="57" t="e">
        <f t="shared" si="41"/>
        <v>#VALUE!</v>
      </c>
      <c r="BU487" s="60"/>
      <c r="BV487" s="8" t="e">
        <v>#VALUE!</v>
      </c>
      <c r="BW487" s="58" t="e">
        <f>VLOOKUP(AQ487,'[1]Harga &amp; Nama CSO'!$A$28:$D$31,4,0)*BQ487</f>
        <v>#N/A</v>
      </c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44">
        <f>IFERROR(VLOOKUP(AQ489,'[2]Harga &amp; Nama CSO'!$A$116:$S$136,19,FALSE),0)*AV489</f>
        <v>0</v>
      </c>
      <c r="BO488" s="55" t="e">
        <f>IFERROR(VLOOKUP(AQ488,'[1]Harga &amp; Nama CSO'!$H$2:$N$22,2,FALSE),"")*AV488</f>
        <v>#VALUE!</v>
      </c>
      <c r="BP488" s="40"/>
      <c r="BQ488" s="39"/>
      <c r="BR488" s="59"/>
      <c r="BS488" s="39"/>
      <c r="BT488" s="57" t="e">
        <f t="shared" si="41"/>
        <v>#VALUE!</v>
      </c>
      <c r="BU488" s="60"/>
      <c r="BV488" s="8" t="e">
        <v>#VALUE!</v>
      </c>
      <c r="BW488" s="58" t="e">
        <f>VLOOKUP(AQ488,'[1]Harga &amp; Nama CSO'!$A$28:$D$31,4,0)*BQ488</f>
        <v>#N/A</v>
      </c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44">
        <f>IFERROR(VLOOKUP(AQ490,'[2]Harga &amp; Nama CSO'!$A$116:$S$136,19,FALSE),0)*AV490</f>
        <v>0</v>
      </c>
      <c r="BO489" s="55" t="e">
        <f>IFERROR(VLOOKUP(AQ489,'[1]Harga &amp; Nama CSO'!$H$2:$N$22,2,FALSE),"")*AV489</f>
        <v>#VALUE!</v>
      </c>
      <c r="BP489" s="40"/>
      <c r="BQ489" s="39"/>
      <c r="BR489" s="59"/>
      <c r="BS489" s="39"/>
      <c r="BT489" s="57" t="e">
        <f t="shared" si="41"/>
        <v>#VALUE!</v>
      </c>
      <c r="BU489" s="60"/>
      <c r="BV489" s="8" t="e">
        <v>#VALUE!</v>
      </c>
      <c r="BW489" s="58" t="e">
        <f>VLOOKUP(AQ489,'[1]Harga &amp; Nama CSO'!$A$28:$D$31,4,0)*BQ489</f>
        <v>#N/A</v>
      </c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44">
        <f>IFERROR(VLOOKUP(AQ491,'[2]Harga &amp; Nama CSO'!$A$116:$S$136,19,FALSE),0)*AV491</f>
        <v>0</v>
      </c>
      <c r="BO490" s="55" t="e">
        <f>IFERROR(VLOOKUP(AQ490,'[1]Harga &amp; Nama CSO'!$H$2:$N$22,2,FALSE),"")*AV490</f>
        <v>#VALUE!</v>
      </c>
      <c r="BP490" s="40"/>
      <c r="BQ490" s="39"/>
      <c r="BR490" s="59"/>
      <c r="BS490" s="39"/>
      <c r="BT490" s="57" t="e">
        <f t="shared" si="41"/>
        <v>#VALUE!</v>
      </c>
      <c r="BU490" s="60"/>
      <c r="BV490" s="8" t="e">
        <v>#VALUE!</v>
      </c>
      <c r="BW490" s="58" t="e">
        <f>VLOOKUP(AQ490,'[1]Harga &amp; Nama CSO'!$A$28:$D$31,4,0)*BQ490</f>
        <v>#N/A</v>
      </c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44">
        <f>IFERROR(VLOOKUP(AQ492,'[2]Harga &amp; Nama CSO'!$A$116:$S$136,19,FALSE),0)*AV492</f>
        <v>0</v>
      </c>
      <c r="BO491" s="55" t="e">
        <f>IFERROR(VLOOKUP(AQ491,'[1]Harga &amp; Nama CSO'!$H$2:$N$22,2,FALSE),"")*AV491</f>
        <v>#VALUE!</v>
      </c>
      <c r="BP491" s="40"/>
      <c r="BQ491" s="39"/>
      <c r="BR491" s="59"/>
      <c r="BS491" s="39"/>
      <c r="BT491" s="57" t="e">
        <f t="shared" si="41"/>
        <v>#VALUE!</v>
      </c>
      <c r="BU491" s="60"/>
      <c r="BV491" s="8" t="e">
        <v>#VALUE!</v>
      </c>
      <c r="BW491" s="58" t="e">
        <f>VLOOKUP(AQ491,'[1]Harga &amp; Nama CSO'!$A$28:$D$31,4,0)*BQ491</f>
        <v>#N/A</v>
      </c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44">
        <f>IFERROR(VLOOKUP(AQ493,'[2]Harga &amp; Nama CSO'!$A$116:$S$136,19,FALSE),0)*AV493</f>
        <v>0</v>
      </c>
      <c r="BO492" s="55" t="e">
        <f>IFERROR(VLOOKUP(AQ492,'[1]Harga &amp; Nama CSO'!$H$2:$N$22,2,FALSE),"")*AV492</f>
        <v>#VALUE!</v>
      </c>
      <c r="BP492" s="40"/>
      <c r="BQ492" s="39"/>
      <c r="BR492" s="59"/>
      <c r="BS492" s="39"/>
      <c r="BT492" s="57" t="e">
        <f t="shared" si="41"/>
        <v>#VALUE!</v>
      </c>
      <c r="BU492" s="60"/>
      <c r="BV492" s="8" t="e">
        <v>#VALUE!</v>
      </c>
      <c r="BW492" s="58" t="e">
        <f>VLOOKUP(AQ492,'[1]Harga &amp; Nama CSO'!$A$28:$D$31,4,0)*BQ492</f>
        <v>#N/A</v>
      </c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44">
        <f>IFERROR(VLOOKUP(AQ494,'[2]Harga &amp; Nama CSO'!$A$116:$S$136,19,FALSE),0)*AV494</f>
        <v>0</v>
      </c>
      <c r="BO493" s="55" t="e">
        <f>IFERROR(VLOOKUP(AQ493,'[1]Harga &amp; Nama CSO'!$H$2:$N$22,2,FALSE),"")*AV493</f>
        <v>#VALUE!</v>
      </c>
      <c r="BP493" s="40"/>
      <c r="BQ493" s="39"/>
      <c r="BR493" s="59"/>
      <c r="BS493" s="39"/>
      <c r="BT493" s="57" t="e">
        <f t="shared" si="41"/>
        <v>#VALUE!</v>
      </c>
      <c r="BU493" s="60"/>
      <c r="BV493" s="8" t="e">
        <v>#VALUE!</v>
      </c>
      <c r="BW493" s="58" t="e">
        <f>VLOOKUP(AQ493,'[1]Harga &amp; Nama CSO'!$A$28:$D$31,4,0)*BQ493</f>
        <v>#N/A</v>
      </c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44">
        <f>IFERROR(VLOOKUP(AQ495,'[2]Harga &amp; Nama CSO'!$A$116:$S$136,19,FALSE),0)*AV495</f>
        <v>0</v>
      </c>
      <c r="BO494" s="55" t="e">
        <f>IFERROR(VLOOKUP(AQ494,'[1]Harga &amp; Nama CSO'!$H$2:$N$22,2,FALSE),"")*AV494</f>
        <v>#VALUE!</v>
      </c>
      <c r="BP494" s="40"/>
      <c r="BQ494" s="39"/>
      <c r="BR494" s="59"/>
      <c r="BS494" s="39"/>
      <c r="BT494" s="57" t="e">
        <f t="shared" si="41"/>
        <v>#VALUE!</v>
      </c>
      <c r="BU494" s="60"/>
      <c r="BV494" s="8" t="e">
        <v>#VALUE!</v>
      </c>
      <c r="BW494" s="58" t="e">
        <f>VLOOKUP(AQ494,'[1]Harga &amp; Nama CSO'!$A$28:$D$31,4,0)*BQ494</f>
        <v>#N/A</v>
      </c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44">
        <f>IFERROR(VLOOKUP(AQ496,'[2]Harga &amp; Nama CSO'!$A$116:$S$136,19,FALSE),0)*AV496</f>
        <v>0</v>
      </c>
      <c r="BO495" s="55" t="e">
        <f>IFERROR(VLOOKUP(AQ495,'[1]Harga &amp; Nama CSO'!$H$2:$N$22,2,FALSE),"")*AV495</f>
        <v>#VALUE!</v>
      </c>
      <c r="BP495" s="40"/>
      <c r="BQ495" s="39"/>
      <c r="BR495" s="59"/>
      <c r="BS495" s="39"/>
      <c r="BT495" s="57" t="e">
        <f t="shared" si="41"/>
        <v>#VALUE!</v>
      </c>
      <c r="BU495" s="60"/>
      <c r="BV495" s="8" t="e">
        <v>#VALUE!</v>
      </c>
      <c r="BW495" s="58" t="e">
        <f>VLOOKUP(AQ495,'[1]Harga &amp; Nama CSO'!$A$28:$D$31,4,0)*BQ495</f>
        <v>#N/A</v>
      </c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44">
        <f>IFERROR(VLOOKUP(AQ497,'[2]Harga &amp; Nama CSO'!$A$116:$S$136,19,FALSE),0)*AV497</f>
        <v>0</v>
      </c>
      <c r="BO496" s="55" t="e">
        <f>IFERROR(VLOOKUP(AQ496,'[1]Harga &amp; Nama CSO'!$H$2:$N$22,2,FALSE),"")*AV496</f>
        <v>#VALUE!</v>
      </c>
      <c r="BP496" s="40"/>
      <c r="BQ496" s="39"/>
      <c r="BR496" s="59"/>
      <c r="BS496" s="39"/>
      <c r="BT496" s="57" t="e">
        <f t="shared" si="41"/>
        <v>#VALUE!</v>
      </c>
      <c r="BU496" s="60"/>
      <c r="BV496" s="8" t="e">
        <v>#VALUE!</v>
      </c>
      <c r="BW496" s="58" t="e">
        <f>VLOOKUP(AQ496,'[1]Harga &amp; Nama CSO'!$A$28:$D$31,4,0)*BQ496</f>
        <v>#N/A</v>
      </c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44">
        <f>IFERROR(VLOOKUP(AQ498,'[2]Harga &amp; Nama CSO'!$A$116:$S$136,19,FALSE),0)*AV498</f>
        <v>0</v>
      </c>
      <c r="BO497" s="55" t="e">
        <f>IFERROR(VLOOKUP(AQ497,'[1]Harga &amp; Nama CSO'!$H$2:$N$22,2,FALSE),"")*AV497</f>
        <v>#VALUE!</v>
      </c>
      <c r="BP497" s="40"/>
      <c r="BQ497" s="39"/>
      <c r="BR497" s="59"/>
      <c r="BS497" s="39"/>
      <c r="BT497" s="57" t="e">
        <f t="shared" si="41"/>
        <v>#VALUE!</v>
      </c>
      <c r="BU497" s="60"/>
      <c r="BV497" s="8" t="e">
        <v>#VALUE!</v>
      </c>
      <c r="BW497" s="58" t="e">
        <f>VLOOKUP(AQ497,'[1]Harga &amp; Nama CSO'!$A$28:$D$31,4,0)*BQ497</f>
        <v>#N/A</v>
      </c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44">
        <f>IFERROR(VLOOKUP(AQ499,'[2]Harga &amp; Nama CSO'!$A$116:$S$136,19,FALSE),0)*AV499</f>
        <v>0</v>
      </c>
      <c r="BO498" s="55" t="e">
        <f>IFERROR(VLOOKUP(AQ498,'[1]Harga &amp; Nama CSO'!$H$2:$N$22,2,FALSE),"")*AV498</f>
        <v>#VALUE!</v>
      </c>
      <c r="BP498" s="40"/>
      <c r="BQ498" s="39"/>
      <c r="BR498" s="59"/>
      <c r="BS498" s="39"/>
      <c r="BT498" s="57" t="e">
        <f t="shared" si="41"/>
        <v>#VALUE!</v>
      </c>
      <c r="BU498" s="60"/>
      <c r="BV498" s="8" t="e">
        <v>#VALUE!</v>
      </c>
      <c r="BW498" s="58" t="e">
        <f>VLOOKUP(AQ498,'[1]Harga &amp; Nama CSO'!$A$28:$D$31,4,0)*BQ498</f>
        <v>#N/A</v>
      </c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44">
        <f>IFERROR(VLOOKUP(AQ500,'[2]Harga &amp; Nama CSO'!$A$116:$S$136,19,FALSE),0)*AV500</f>
        <v>0</v>
      </c>
      <c r="BO499" s="55" t="e">
        <f>IFERROR(VLOOKUP(AQ499,'[1]Harga &amp; Nama CSO'!$H$2:$N$22,2,FALSE),"")*AV499</f>
        <v>#VALUE!</v>
      </c>
      <c r="BP499" s="40"/>
      <c r="BQ499" s="39"/>
      <c r="BR499" s="59"/>
      <c r="BS499" s="39"/>
      <c r="BT499" s="57" t="e">
        <f t="shared" si="41"/>
        <v>#VALUE!</v>
      </c>
      <c r="BU499" s="60"/>
      <c r="BV499" s="8" t="e">
        <v>#VALUE!</v>
      </c>
      <c r="BW499" s="58" t="e">
        <f>VLOOKUP(AQ499,'[1]Harga &amp; Nama CSO'!$A$28:$D$31,4,0)*BQ499</f>
        <v>#N/A</v>
      </c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44">
        <f>IFERROR(VLOOKUP(AQ501,'[2]Harga &amp; Nama CSO'!$A$116:$S$136,19,FALSE),0)*AV501</f>
        <v>0</v>
      </c>
      <c r="BO500" s="55" t="e">
        <f>IFERROR(VLOOKUP(AQ500,'[1]Harga &amp; Nama CSO'!$H$2:$N$22,2,FALSE),"")*AV500</f>
        <v>#VALUE!</v>
      </c>
      <c r="BP500" s="40"/>
      <c r="BQ500" s="39"/>
      <c r="BR500" s="59"/>
      <c r="BS500" s="39"/>
      <c r="BT500" s="57" t="e">
        <f t="shared" si="41"/>
        <v>#VALUE!</v>
      </c>
      <c r="BU500" s="60"/>
      <c r="BV500" s="8" t="e">
        <v>#VALUE!</v>
      </c>
      <c r="BW500" s="58" t="e">
        <f>VLOOKUP(AQ500,'[1]Harga &amp; Nama CSO'!$A$28:$D$31,4,0)*BQ500</f>
        <v>#N/A</v>
      </c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44">
        <f>IFERROR(VLOOKUP(AQ502,'[2]Harga &amp; Nama CSO'!$A$116:$S$136,19,FALSE),0)*AV502</f>
        <v>0</v>
      </c>
      <c r="BO501" s="55" t="e">
        <f>IFERROR(VLOOKUP(AQ501,'[1]Harga &amp; Nama CSO'!$H$2:$N$22,2,FALSE),"")*AV501</f>
        <v>#VALUE!</v>
      </c>
      <c r="BP501" s="40"/>
      <c r="BQ501" s="39"/>
      <c r="BR501" s="59"/>
      <c r="BS501" s="39"/>
      <c r="BT501" s="57" t="e">
        <f t="shared" si="41"/>
        <v>#VALUE!</v>
      </c>
      <c r="BU501" s="60"/>
      <c r="BV501" s="8" t="e">
        <v>#VALUE!</v>
      </c>
      <c r="BW501" s="58" t="e">
        <f>VLOOKUP(AQ501,'[1]Harga &amp; Nama CSO'!$A$28:$D$31,4,0)*BQ501</f>
        <v>#N/A</v>
      </c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44">
        <f>IFERROR(VLOOKUP(AQ503,'[2]Harga &amp; Nama CSO'!$A$116:$S$136,19,FALSE),0)*AV503</f>
        <v>0</v>
      </c>
      <c r="BO502" s="55" t="e">
        <f>IFERROR(VLOOKUP(AQ502,'[1]Harga &amp; Nama CSO'!$H$2:$N$22,2,FALSE),"")*AV502</f>
        <v>#VALUE!</v>
      </c>
      <c r="BP502" s="40"/>
      <c r="BQ502" s="39"/>
      <c r="BR502" s="59"/>
      <c r="BS502" s="39"/>
      <c r="BT502" s="57" t="e">
        <f t="shared" si="41"/>
        <v>#VALUE!</v>
      </c>
      <c r="BU502" s="60"/>
      <c r="BV502" s="8" t="e">
        <v>#VALUE!</v>
      </c>
      <c r="BW502" s="58" t="e">
        <f>VLOOKUP(AQ502,'[1]Harga &amp; Nama CSO'!$A$28:$D$31,4,0)*BQ502</f>
        <v>#N/A</v>
      </c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44">
        <f>IFERROR(VLOOKUP(AQ504,'[2]Harga &amp; Nama CSO'!$A$116:$S$136,19,FALSE),0)*AV504</f>
        <v>0</v>
      </c>
      <c r="BO503" s="55" t="e">
        <f>IFERROR(VLOOKUP(AQ503,'[1]Harga &amp; Nama CSO'!$H$2:$N$22,2,FALSE),"")*AV503</f>
        <v>#VALUE!</v>
      </c>
      <c r="BP503" s="40"/>
      <c r="BQ503" s="39"/>
      <c r="BR503" s="59"/>
      <c r="BS503" s="39"/>
      <c r="BT503" s="57" t="e">
        <f t="shared" si="41"/>
        <v>#VALUE!</v>
      </c>
      <c r="BU503" s="60"/>
      <c r="BV503" s="8" t="e">
        <v>#VALUE!</v>
      </c>
      <c r="BW503" s="58" t="e">
        <f>VLOOKUP(AQ503,'[1]Harga &amp; Nama CSO'!$A$28:$D$31,4,0)*BQ503</f>
        <v>#N/A</v>
      </c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44">
        <f>IFERROR(VLOOKUP(AQ505,'[2]Harga &amp; Nama CSO'!$A$116:$S$136,19,FALSE),0)*AV505</f>
        <v>0</v>
      </c>
      <c r="BO504" s="55" t="e">
        <f>IFERROR(VLOOKUP(AQ504,'[1]Harga &amp; Nama CSO'!$H$2:$N$22,2,FALSE),"")*AV504</f>
        <v>#VALUE!</v>
      </c>
      <c r="BP504" s="40"/>
      <c r="BQ504" s="39"/>
      <c r="BR504" s="59"/>
      <c r="BS504" s="39"/>
      <c r="BT504" s="57" t="e">
        <f t="shared" si="41"/>
        <v>#VALUE!</v>
      </c>
      <c r="BU504" s="60"/>
      <c r="BV504" s="8" t="e">
        <v>#VALUE!</v>
      </c>
      <c r="BW504" s="58" t="e">
        <f>VLOOKUP(AQ504,'[1]Harga &amp; Nama CSO'!$A$28:$D$31,4,0)*BQ504</f>
        <v>#N/A</v>
      </c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44">
        <f>IFERROR(VLOOKUP(AQ506,'[2]Harga &amp; Nama CSO'!$A$116:$S$136,19,FALSE),0)*AV506</f>
        <v>0</v>
      </c>
      <c r="BO505" s="55" t="e">
        <f>IFERROR(VLOOKUP(AQ505,'[1]Harga &amp; Nama CSO'!$H$2:$N$22,2,FALSE),"")*AV505</f>
        <v>#VALUE!</v>
      </c>
      <c r="BP505" s="40"/>
      <c r="BQ505" s="39"/>
      <c r="BR505" s="59"/>
      <c r="BS505" s="39"/>
      <c r="BT505" s="57" t="e">
        <f t="shared" si="41"/>
        <v>#VALUE!</v>
      </c>
      <c r="BU505" s="60"/>
      <c r="BV505" s="8" t="e">
        <v>#VALUE!</v>
      </c>
      <c r="BW505" s="58" t="e">
        <f>VLOOKUP(AQ505,'[1]Harga &amp; Nama CSO'!$A$28:$D$31,4,0)*BQ505</f>
        <v>#N/A</v>
      </c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44">
        <f>IFERROR(VLOOKUP(AQ507,'[2]Harga &amp; Nama CSO'!$A$116:$S$136,19,FALSE),0)*AV507</f>
        <v>0</v>
      </c>
      <c r="BO506" s="55" t="e">
        <f>IFERROR(VLOOKUP(AQ506,'[1]Harga &amp; Nama CSO'!$H$2:$N$22,2,FALSE),"")*AV506</f>
        <v>#VALUE!</v>
      </c>
      <c r="BP506" s="40"/>
      <c r="BQ506" s="39"/>
      <c r="BR506" s="59"/>
      <c r="BS506" s="39"/>
      <c r="BT506" s="57" t="e">
        <f t="shared" si="41"/>
        <v>#VALUE!</v>
      </c>
      <c r="BU506" s="60"/>
      <c r="BV506" s="8" t="e">
        <v>#VALUE!</v>
      </c>
      <c r="BW506" s="58" t="e">
        <f>VLOOKUP(AQ506,'[1]Harga &amp; Nama CSO'!$A$28:$D$31,4,0)*BQ506</f>
        <v>#N/A</v>
      </c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44">
        <f>IFERROR(VLOOKUP(AQ508,'[2]Harga &amp; Nama CSO'!$A$116:$S$136,19,FALSE),0)*AV508</f>
        <v>0</v>
      </c>
      <c r="BO507" s="55" t="e">
        <f>IFERROR(VLOOKUP(AQ507,'[1]Harga &amp; Nama CSO'!$H$2:$N$22,2,FALSE),"")*AV507</f>
        <v>#VALUE!</v>
      </c>
      <c r="BP507" s="40"/>
      <c r="BQ507" s="39"/>
      <c r="BR507" s="59"/>
      <c r="BS507" s="39"/>
      <c r="BT507" s="57" t="e">
        <f t="shared" si="41"/>
        <v>#VALUE!</v>
      </c>
      <c r="BU507" s="60"/>
      <c r="BV507" s="8" t="e">
        <v>#VALUE!</v>
      </c>
      <c r="BW507" s="58" t="e">
        <f>VLOOKUP(AQ507,'[1]Harga &amp; Nama CSO'!$A$28:$D$31,4,0)*BQ507</f>
        <v>#N/A</v>
      </c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44">
        <f>IFERROR(VLOOKUP(AQ509,'[2]Harga &amp; Nama CSO'!$A$116:$S$136,19,FALSE),0)*AV509</f>
        <v>0</v>
      </c>
      <c r="BO508" s="55" t="e">
        <f>IFERROR(VLOOKUP(AQ508,'[1]Harga &amp; Nama CSO'!$H$2:$N$22,2,FALSE),"")*AV508</f>
        <v>#VALUE!</v>
      </c>
      <c r="BP508" s="40"/>
      <c r="BQ508" s="39"/>
      <c r="BR508" s="59"/>
      <c r="BS508" s="39"/>
      <c r="BT508" s="57" t="e">
        <f t="shared" si="41"/>
        <v>#VALUE!</v>
      </c>
      <c r="BU508" s="60"/>
      <c r="BV508" s="8" t="e">
        <v>#VALUE!</v>
      </c>
      <c r="BW508" s="58" t="e">
        <f>VLOOKUP(AQ508,'[1]Harga &amp; Nama CSO'!$A$28:$D$31,4,0)*BQ508</f>
        <v>#N/A</v>
      </c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44">
        <f>IFERROR(VLOOKUP(AQ510,'[2]Harga &amp; Nama CSO'!$A$116:$S$136,19,FALSE),0)*AV510</f>
        <v>0</v>
      </c>
      <c r="BO509" s="55" t="e">
        <f>IFERROR(VLOOKUP(AQ509,'[1]Harga &amp; Nama CSO'!$H$2:$N$22,2,FALSE),"")*AV509</f>
        <v>#VALUE!</v>
      </c>
      <c r="BP509" s="40"/>
      <c r="BQ509" s="39"/>
      <c r="BR509" s="59"/>
      <c r="BS509" s="39"/>
      <c r="BT509" s="57" t="e">
        <f t="shared" si="41"/>
        <v>#VALUE!</v>
      </c>
      <c r="BU509" s="60"/>
      <c r="BV509" s="8" t="e">
        <v>#VALUE!</v>
      </c>
      <c r="BW509" s="58" t="e">
        <f>VLOOKUP(AQ509,'[1]Harga &amp; Nama CSO'!$A$28:$D$31,4,0)*BQ509</f>
        <v>#N/A</v>
      </c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44">
        <f>IFERROR(VLOOKUP(AQ511,'[2]Harga &amp; Nama CSO'!$A$116:$S$136,19,FALSE),0)*AV511</f>
        <v>0</v>
      </c>
      <c r="BO510" s="55" t="e">
        <f>IFERROR(VLOOKUP(AQ510,'[1]Harga &amp; Nama CSO'!$H$2:$N$22,2,FALSE),"")*AV510</f>
        <v>#VALUE!</v>
      </c>
      <c r="BP510" s="40"/>
      <c r="BQ510" s="39"/>
      <c r="BR510" s="59"/>
      <c r="BS510" s="39"/>
      <c r="BT510" s="57" t="e">
        <f t="shared" si="41"/>
        <v>#VALUE!</v>
      </c>
      <c r="BU510" s="60"/>
      <c r="BV510" s="8" t="e">
        <v>#VALUE!</v>
      </c>
      <c r="BW510" s="58" t="e">
        <f>VLOOKUP(AQ510,'[1]Harga &amp; Nama CSO'!$A$28:$D$31,4,0)*BQ510</f>
        <v>#N/A</v>
      </c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44">
        <f>IFERROR(VLOOKUP(AQ512,'[2]Harga &amp; Nama CSO'!$A$116:$S$136,19,FALSE),0)*AV512</f>
        <v>0</v>
      </c>
      <c r="BO511" s="55" t="e">
        <f>IFERROR(VLOOKUP(AQ511,'[1]Harga &amp; Nama CSO'!$H$2:$N$22,2,FALSE),"")*AV511</f>
        <v>#VALUE!</v>
      </c>
      <c r="BP511" s="40"/>
      <c r="BQ511" s="39"/>
      <c r="BR511" s="59"/>
      <c r="BS511" s="39"/>
      <c r="BT511" s="57" t="e">
        <f t="shared" si="41"/>
        <v>#VALUE!</v>
      </c>
      <c r="BU511" s="60"/>
      <c r="BV511" s="8" t="e">
        <v>#VALUE!</v>
      </c>
      <c r="BW511" s="58" t="e">
        <f>VLOOKUP(AQ511,'[1]Harga &amp; Nama CSO'!$A$28:$D$31,4,0)*BQ511</f>
        <v>#N/A</v>
      </c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44">
        <f>IFERROR(VLOOKUP(AQ513,'[2]Harga &amp; Nama CSO'!$A$116:$S$136,19,FALSE),0)*AV513</f>
        <v>0</v>
      </c>
      <c r="BO512" s="55" t="e">
        <f>IFERROR(VLOOKUP(AQ512,'[1]Harga &amp; Nama CSO'!$H$2:$N$22,2,FALSE),"")*AV512</f>
        <v>#VALUE!</v>
      </c>
      <c r="BP512" s="40"/>
      <c r="BQ512" s="39"/>
      <c r="BR512" s="59"/>
      <c r="BS512" s="39"/>
      <c r="BT512" s="57" t="e">
        <f t="shared" si="41"/>
        <v>#VALUE!</v>
      </c>
      <c r="BU512" s="60"/>
      <c r="BV512" s="8" t="e">
        <v>#VALUE!</v>
      </c>
      <c r="BW512" s="58" t="e">
        <f>VLOOKUP(AQ512,'[1]Harga &amp; Nama CSO'!$A$28:$D$31,4,0)*BQ512</f>
        <v>#N/A</v>
      </c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44">
        <f>IFERROR(VLOOKUP(AQ514,'[2]Harga &amp; Nama CSO'!$A$116:$S$136,19,FALSE),0)*AV514</f>
        <v>0</v>
      </c>
      <c r="BO513" s="55" t="e">
        <f>IFERROR(VLOOKUP(AQ513,'[1]Harga &amp; Nama CSO'!$H$2:$N$22,2,FALSE),"")*AV513</f>
        <v>#VALUE!</v>
      </c>
      <c r="BP513" s="40"/>
      <c r="BQ513" s="39"/>
      <c r="BR513" s="59"/>
      <c r="BS513" s="39"/>
      <c r="BT513" s="57" t="e">
        <f t="shared" si="41"/>
        <v>#VALUE!</v>
      </c>
      <c r="BU513" s="60"/>
      <c r="BV513" s="8" t="e">
        <v>#VALUE!</v>
      </c>
      <c r="BW513" s="58" t="e">
        <f>VLOOKUP(AQ513,'[1]Harga &amp; Nama CSO'!$A$28:$D$31,4,0)*BQ513</f>
        <v>#N/A</v>
      </c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44">
        <f>IFERROR(VLOOKUP(AQ515,'[2]Harga &amp; Nama CSO'!$A$116:$S$136,19,FALSE),0)*AV515</f>
        <v>0</v>
      </c>
      <c r="BO514" s="55" t="e">
        <f>IFERROR(VLOOKUP(AQ514,'[1]Harga &amp; Nama CSO'!$H$2:$N$22,2,FALSE),"")*AV514</f>
        <v>#VALUE!</v>
      </c>
      <c r="BP514" s="40"/>
      <c r="BQ514" s="39"/>
      <c r="BR514" s="59"/>
      <c r="BS514" s="39"/>
      <c r="BT514" s="57" t="e">
        <f t="shared" si="41"/>
        <v>#VALUE!</v>
      </c>
      <c r="BU514" s="60"/>
      <c r="BV514" s="8" t="e">
        <v>#VALUE!</v>
      </c>
      <c r="BW514" s="58" t="e">
        <f>VLOOKUP(AQ514,'[1]Harga &amp; Nama CSO'!$A$28:$D$31,4,0)*BQ514</f>
        <v>#N/A</v>
      </c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44">
        <f>IFERROR(VLOOKUP(AQ516,'[2]Harga &amp; Nama CSO'!$A$116:$S$136,19,FALSE),0)*AV516</f>
        <v>0</v>
      </c>
      <c r="BO515" s="55" t="e">
        <f>IFERROR(VLOOKUP(AQ515,'[1]Harga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42">BO515-BR515</f>
        <v>#VALUE!</v>
      </c>
      <c r="BU515" s="60"/>
      <c r="BV515" s="8" t="e">
        <v>#VALUE!</v>
      </c>
      <c r="BW515" s="58" t="e">
        <f>VLOOKUP(AQ515,'[1]Harga &amp; Nama CSO'!$A$28:$D$31,4,0)*BQ515</f>
        <v>#N/A</v>
      </c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44">
        <f>IFERROR(VLOOKUP(AQ517,'[2]Harga &amp; Nama CSO'!$A$116:$S$136,19,FALSE),0)*AV517</f>
        <v>0</v>
      </c>
      <c r="BO516" s="55" t="e">
        <f>IFERROR(VLOOKUP(AQ516,'[1]Harga &amp; Nama CSO'!$H$2:$N$22,2,FALSE),"")*AV516</f>
        <v>#VALUE!</v>
      </c>
      <c r="BP516" s="40"/>
      <c r="BQ516" s="39"/>
      <c r="BR516" s="59"/>
      <c r="BS516" s="39"/>
      <c r="BT516" s="57" t="e">
        <f t="shared" si="42"/>
        <v>#VALUE!</v>
      </c>
      <c r="BU516" s="60"/>
      <c r="BV516" s="8" t="e">
        <v>#VALUE!</v>
      </c>
      <c r="BW516" s="58" t="e">
        <f>VLOOKUP(AQ516,'[1]Harga &amp; Nama CSO'!$A$28:$D$31,4,0)*BQ516</f>
        <v>#N/A</v>
      </c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44">
        <f>IFERROR(VLOOKUP(AQ518,'[2]Harga &amp; Nama CSO'!$A$116:$S$136,19,FALSE),0)*AV518</f>
        <v>0</v>
      </c>
      <c r="BO517" s="55" t="e">
        <f>IFERROR(VLOOKUP(AQ517,'[1]Harga &amp; Nama CSO'!$H$2:$N$22,2,FALSE),"")*AV517</f>
        <v>#VALUE!</v>
      </c>
      <c r="BP517" s="40"/>
      <c r="BQ517" s="39"/>
      <c r="BR517" s="59"/>
      <c r="BS517" s="39"/>
      <c r="BT517" s="57" t="e">
        <f t="shared" si="42"/>
        <v>#VALUE!</v>
      </c>
      <c r="BU517" s="60"/>
      <c r="BV517" s="8" t="e">
        <v>#VALUE!</v>
      </c>
      <c r="BW517" s="58" t="e">
        <f>VLOOKUP(AQ517,'[1]Harga &amp; Nama CSO'!$A$28:$D$31,4,0)*BQ517</f>
        <v>#N/A</v>
      </c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44">
        <f>IFERROR(VLOOKUP(AQ519,'[2]Harga &amp; Nama CSO'!$A$116:$S$136,19,FALSE),0)*AV519</f>
        <v>0</v>
      </c>
      <c r="BO518" s="55" t="e">
        <f>IFERROR(VLOOKUP(AQ518,'[1]Harga &amp; Nama CSO'!$H$2:$N$22,2,FALSE),"")*AV518</f>
        <v>#VALUE!</v>
      </c>
      <c r="BP518" s="40"/>
      <c r="BQ518" s="39"/>
      <c r="BR518" s="59"/>
      <c r="BS518" s="39"/>
      <c r="BT518" s="57" t="e">
        <f t="shared" si="42"/>
        <v>#VALUE!</v>
      </c>
      <c r="BU518" s="60"/>
      <c r="BV518" s="8" t="e">
        <v>#VALUE!</v>
      </c>
      <c r="BW518" s="58" t="e">
        <f>VLOOKUP(AQ518,'[1]Harga &amp; Nama CSO'!$A$28:$D$31,4,0)*BQ518</f>
        <v>#N/A</v>
      </c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44">
        <f>IFERROR(VLOOKUP(AQ520,'[2]Harga &amp; Nama CSO'!$A$116:$S$136,19,FALSE),0)*AV520</f>
        <v>0</v>
      </c>
      <c r="BO519" s="55" t="e">
        <f>IFERROR(VLOOKUP(AQ519,'[1]Harga &amp; Nama CSO'!$H$2:$N$22,2,FALSE),"")*AV519</f>
        <v>#VALUE!</v>
      </c>
      <c r="BP519" s="40"/>
      <c r="BQ519" s="39"/>
      <c r="BR519" s="59"/>
      <c r="BS519" s="39"/>
      <c r="BT519" s="57" t="e">
        <f t="shared" si="42"/>
        <v>#VALUE!</v>
      </c>
      <c r="BU519" s="60"/>
      <c r="BV519" s="8" t="e">
        <v>#VALUE!</v>
      </c>
      <c r="BW519" s="58" t="e">
        <f>VLOOKUP(AQ519,'[1]Harga &amp; Nama CSO'!$A$28:$D$31,4,0)*BQ519</f>
        <v>#N/A</v>
      </c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44">
        <f>IFERROR(VLOOKUP(AQ521,'[2]Harga &amp; Nama CSO'!$A$116:$S$136,19,FALSE),0)*AV521</f>
        <v>0</v>
      </c>
      <c r="BO520" s="55" t="e">
        <f>IFERROR(VLOOKUP(AQ520,'[1]Harga &amp; Nama CSO'!$H$2:$N$22,2,FALSE),"")*AV520</f>
        <v>#VALUE!</v>
      </c>
      <c r="BP520" s="40"/>
      <c r="BQ520" s="39"/>
      <c r="BR520" s="59"/>
      <c r="BS520" s="39"/>
      <c r="BT520" s="57" t="e">
        <f t="shared" si="42"/>
        <v>#VALUE!</v>
      </c>
      <c r="BU520" s="60"/>
      <c r="BV520" s="8" t="e">
        <v>#VALUE!</v>
      </c>
      <c r="BW520" s="58" t="e">
        <f>VLOOKUP(AQ520,'[1]Harga &amp; Nama CSO'!$A$28:$D$31,4,0)*BQ520</f>
        <v>#N/A</v>
      </c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44">
        <f>IFERROR(VLOOKUP(AQ522,'[2]Harga &amp; Nama CSO'!$A$116:$S$136,19,FALSE),0)*AV522</f>
        <v>0</v>
      </c>
      <c r="BO521" s="55" t="e">
        <f>IFERROR(VLOOKUP(AQ521,'[1]Harga &amp; Nama CSO'!$H$2:$N$22,2,FALSE),"")*AV521</f>
        <v>#VALUE!</v>
      </c>
      <c r="BP521" s="40"/>
      <c r="BQ521" s="39"/>
      <c r="BR521" s="59"/>
      <c r="BS521" s="39"/>
      <c r="BT521" s="57" t="e">
        <f t="shared" si="42"/>
        <v>#VALUE!</v>
      </c>
      <c r="BU521" s="60"/>
      <c r="BV521" s="8" t="e">
        <v>#VALUE!</v>
      </c>
      <c r="BW521" s="58" t="e">
        <f>VLOOKUP(AQ521,'[1]Harga &amp; Nama CSO'!$A$28:$D$31,4,0)*BQ521</f>
        <v>#N/A</v>
      </c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44">
        <f>IFERROR(VLOOKUP(AQ523,'[2]Harga &amp; Nama CSO'!$A$116:$S$136,19,FALSE),0)*AV523</f>
        <v>0</v>
      </c>
      <c r="BO522" s="55" t="e">
        <f>IFERROR(VLOOKUP(AQ522,'[1]Harga &amp; Nama CSO'!$H$2:$N$22,2,FALSE),"")*AV522</f>
        <v>#VALUE!</v>
      </c>
      <c r="BP522" s="40"/>
      <c r="BQ522" s="39"/>
      <c r="BR522" s="59"/>
      <c r="BS522" s="39"/>
      <c r="BT522" s="57" t="e">
        <f t="shared" si="42"/>
        <v>#VALUE!</v>
      </c>
      <c r="BU522" s="60"/>
      <c r="BV522" s="8" t="e">
        <v>#VALUE!</v>
      </c>
      <c r="BW522" s="58" t="e">
        <f>VLOOKUP(AQ522,'[1]Harga &amp; Nama CSO'!$A$28:$D$31,4,0)*BQ522</f>
        <v>#N/A</v>
      </c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44">
        <f>IFERROR(VLOOKUP(AQ524,'[2]Harga &amp; Nama CSO'!$A$116:$S$136,19,FALSE),0)*AV524</f>
        <v>0</v>
      </c>
      <c r="BO523" s="55" t="e">
        <f>IFERROR(VLOOKUP(AQ523,'[1]Harga &amp; Nama CSO'!$H$2:$N$22,2,FALSE),"")*AV523</f>
        <v>#VALUE!</v>
      </c>
      <c r="BP523" s="40"/>
      <c r="BQ523" s="39"/>
      <c r="BR523" s="59"/>
      <c r="BS523" s="39"/>
      <c r="BT523" s="57" t="e">
        <f t="shared" si="42"/>
        <v>#VALUE!</v>
      </c>
      <c r="BU523" s="60"/>
      <c r="BV523" s="8" t="e">
        <v>#VALUE!</v>
      </c>
      <c r="BW523" s="58" t="e">
        <f>VLOOKUP(AQ523,'[1]Harga &amp; Nama CSO'!$A$28:$D$31,4,0)*BQ523</f>
        <v>#N/A</v>
      </c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44">
        <f>IFERROR(VLOOKUP(AQ525,'[2]Harga &amp; Nama CSO'!$A$116:$S$136,19,FALSE),0)*AV525</f>
        <v>0</v>
      </c>
      <c r="BO524" s="55" t="e">
        <f>IFERROR(VLOOKUP(AQ524,'[1]Harga &amp; Nama CSO'!$H$2:$N$22,2,FALSE),"")*AV524</f>
        <v>#VALUE!</v>
      </c>
      <c r="BP524" s="40"/>
      <c r="BQ524" s="39"/>
      <c r="BR524" s="59"/>
      <c r="BS524" s="39"/>
      <c r="BT524" s="57" t="e">
        <f t="shared" si="42"/>
        <v>#VALUE!</v>
      </c>
      <c r="BU524" s="60"/>
      <c r="BV524" s="8" t="e">
        <v>#VALUE!</v>
      </c>
      <c r="BW524" s="58" t="e">
        <f>VLOOKUP(AQ524,'[1]Harga &amp; Nama CSO'!$A$28:$D$31,4,0)*BQ524</f>
        <v>#N/A</v>
      </c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44">
        <f>IFERROR(VLOOKUP(AQ526,'[2]Harga &amp; Nama CSO'!$A$116:$S$136,19,FALSE),0)*AV526</f>
        <v>0</v>
      </c>
      <c r="BO525" s="55" t="e">
        <f>IFERROR(VLOOKUP(AQ525,'[1]Harga &amp; Nama CSO'!$H$2:$N$22,2,FALSE),"")*AV525</f>
        <v>#VALUE!</v>
      </c>
      <c r="BP525" s="40"/>
      <c r="BQ525" s="39"/>
      <c r="BR525" s="59"/>
      <c r="BS525" s="39"/>
      <c r="BT525" s="57" t="e">
        <f t="shared" si="42"/>
        <v>#VALUE!</v>
      </c>
      <c r="BU525" s="60"/>
      <c r="BV525" s="8" t="e">
        <v>#VALUE!</v>
      </c>
      <c r="BW525" s="58" t="e">
        <f>VLOOKUP(AQ525,'[1]Harga &amp; Nama CSO'!$A$28:$D$31,4,0)*BQ525</f>
        <v>#N/A</v>
      </c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44">
        <f>IFERROR(VLOOKUP(AQ527,'[2]Harga &amp; Nama CSO'!$A$116:$S$136,19,FALSE),0)*AV527</f>
        <v>0</v>
      </c>
      <c r="BO526" s="55" t="e">
        <f>IFERROR(VLOOKUP(AQ526,'[1]Harga &amp; Nama CSO'!$H$2:$N$22,2,FALSE),"")*AV526</f>
        <v>#VALUE!</v>
      </c>
      <c r="BP526" s="40"/>
      <c r="BQ526" s="39"/>
      <c r="BR526" s="59"/>
      <c r="BS526" s="39"/>
      <c r="BT526" s="57" t="e">
        <f t="shared" si="42"/>
        <v>#VALUE!</v>
      </c>
      <c r="BU526" s="60"/>
      <c r="BV526" s="8" t="e">
        <v>#VALUE!</v>
      </c>
      <c r="BW526" s="58" t="e">
        <f>VLOOKUP(AQ526,'[1]Harga &amp; Nama CSO'!$A$28:$D$31,4,0)*BQ526</f>
        <v>#N/A</v>
      </c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44">
        <f>IFERROR(VLOOKUP(AQ528,'[2]Harga &amp; Nama CSO'!$A$116:$S$136,19,FALSE),0)*AV528</f>
        <v>0</v>
      </c>
      <c r="BO527" s="55" t="e">
        <f>IFERROR(VLOOKUP(AQ527,'[1]Harga &amp; Nama CSO'!$H$2:$N$22,2,FALSE),"")*AV527</f>
        <v>#VALUE!</v>
      </c>
      <c r="BP527" s="40"/>
      <c r="BQ527" s="39"/>
      <c r="BR527" s="59"/>
      <c r="BS527" s="39"/>
      <c r="BT527" s="57" t="e">
        <f t="shared" si="42"/>
        <v>#VALUE!</v>
      </c>
      <c r="BU527" s="60"/>
      <c r="BV527" s="8" t="e">
        <v>#VALUE!</v>
      </c>
      <c r="BW527" s="58" t="e">
        <f>VLOOKUP(AQ527,'[1]Harga &amp; Nama CSO'!$A$28:$D$31,4,0)*BQ527</f>
        <v>#N/A</v>
      </c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44">
        <f>IFERROR(VLOOKUP(AQ529,'[2]Harga &amp; Nama CSO'!$A$116:$S$136,19,FALSE),0)*AV529</f>
        <v>0</v>
      </c>
      <c r="BO528" s="55" t="e">
        <f>IFERROR(VLOOKUP(AQ528,'[1]Harga &amp; Nama CSO'!$H$2:$N$22,2,FALSE),"")*AV528</f>
        <v>#VALUE!</v>
      </c>
      <c r="BP528" s="40"/>
      <c r="BQ528" s="39"/>
      <c r="BR528" s="59"/>
      <c r="BS528" s="39"/>
      <c r="BT528" s="57" t="e">
        <f t="shared" si="42"/>
        <v>#VALUE!</v>
      </c>
      <c r="BU528" s="60"/>
      <c r="BV528" s="8" t="e">
        <v>#VALUE!</v>
      </c>
      <c r="BW528" s="58" t="e">
        <f>VLOOKUP(AQ528,'[1]Harga &amp; Nama CSO'!$A$28:$D$31,4,0)*BQ528</f>
        <v>#N/A</v>
      </c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44">
        <f>IFERROR(VLOOKUP(AQ530,'[2]Harga &amp; Nama CSO'!$A$116:$S$136,19,FALSE),0)*AV530</f>
        <v>0</v>
      </c>
      <c r="BO529" s="55" t="e">
        <f>IFERROR(VLOOKUP(AQ529,'[1]Harga &amp; Nama CSO'!$H$2:$N$22,2,FALSE),"")*AV529</f>
        <v>#VALUE!</v>
      </c>
      <c r="BP529" s="40"/>
      <c r="BQ529" s="39"/>
      <c r="BR529" s="59"/>
      <c r="BS529" s="39"/>
      <c r="BT529" s="57" t="e">
        <f t="shared" si="42"/>
        <v>#VALUE!</v>
      </c>
      <c r="BU529" s="60"/>
      <c r="BV529" s="8" t="e">
        <v>#VALUE!</v>
      </c>
      <c r="BW529" s="58" t="e">
        <f>VLOOKUP(AQ529,'[1]Harga &amp; Nama CSO'!$A$28:$D$31,4,0)*BQ529</f>
        <v>#N/A</v>
      </c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44">
        <f>IFERROR(VLOOKUP(AQ531,'[2]Harga &amp; Nama CSO'!$A$116:$S$136,19,FALSE),0)*AV531</f>
        <v>0</v>
      </c>
      <c r="BO530" s="55" t="e">
        <f>IFERROR(VLOOKUP(AQ530,'[1]Harga &amp; Nama CSO'!$H$2:$N$22,2,FALSE),"")*AV530</f>
        <v>#VALUE!</v>
      </c>
      <c r="BP530" s="40"/>
      <c r="BQ530" s="39"/>
      <c r="BR530" s="59"/>
      <c r="BS530" s="39"/>
      <c r="BT530" s="57" t="e">
        <f t="shared" si="42"/>
        <v>#VALUE!</v>
      </c>
      <c r="BU530" s="60"/>
      <c r="BV530" s="8" t="e">
        <v>#VALUE!</v>
      </c>
      <c r="BW530" s="58" t="e">
        <f>VLOOKUP(AQ530,'[1]Harga &amp; Nama CSO'!$A$28:$D$31,4,0)*BQ530</f>
        <v>#N/A</v>
      </c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44">
        <f>IFERROR(VLOOKUP(AQ532,'[2]Harga &amp; Nama CSO'!$A$116:$S$136,19,FALSE),0)*AV532</f>
        <v>0</v>
      </c>
      <c r="BO531" s="55" t="e">
        <f>IFERROR(VLOOKUP(AQ531,'[1]Harga &amp; Nama CSO'!$H$2:$N$22,2,FALSE),"")*AV531</f>
        <v>#VALUE!</v>
      </c>
      <c r="BP531" s="40"/>
      <c r="BQ531" s="39"/>
      <c r="BR531" s="59"/>
      <c r="BS531" s="39"/>
      <c r="BT531" s="57" t="e">
        <f t="shared" si="42"/>
        <v>#VALUE!</v>
      </c>
      <c r="BU531" s="60"/>
      <c r="BV531" s="8" t="e">
        <v>#VALUE!</v>
      </c>
      <c r="BW531" s="58" t="e">
        <f>VLOOKUP(AQ531,'[1]Harga &amp; Nama CSO'!$A$28:$D$31,4,0)*BQ531</f>
        <v>#N/A</v>
      </c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44">
        <f>IFERROR(VLOOKUP(AQ533,'[2]Harga &amp; Nama CSO'!$A$116:$S$136,19,FALSE),0)*AV533</f>
        <v>0</v>
      </c>
      <c r="BO532" s="55" t="e">
        <f>IFERROR(VLOOKUP(AQ532,'[1]Harga &amp; Nama CSO'!$H$2:$N$22,2,FALSE),"")*AV532</f>
        <v>#VALUE!</v>
      </c>
      <c r="BP532" s="40"/>
      <c r="BQ532" s="39"/>
      <c r="BR532" s="59"/>
      <c r="BS532" s="39"/>
      <c r="BT532" s="57" t="e">
        <f t="shared" si="42"/>
        <v>#VALUE!</v>
      </c>
      <c r="BU532" s="60"/>
      <c r="BV532" s="8" t="e">
        <v>#VALUE!</v>
      </c>
      <c r="BW532" s="58" t="e">
        <f>VLOOKUP(AQ532,'[1]Harga &amp; Nama CSO'!$A$28:$D$31,4,0)*BQ532</f>
        <v>#N/A</v>
      </c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44">
        <f>IFERROR(VLOOKUP(AQ534,'[2]Harga &amp; Nama CSO'!$A$116:$S$136,19,FALSE),0)*AV534</f>
        <v>0</v>
      </c>
      <c r="BO533" s="55" t="e">
        <f>IFERROR(VLOOKUP(AQ533,'[1]Harga &amp; Nama CSO'!$H$2:$N$22,2,FALSE),"")*AV533</f>
        <v>#VALUE!</v>
      </c>
      <c r="BP533" s="40"/>
      <c r="BQ533" s="39"/>
      <c r="BR533" s="59"/>
      <c r="BS533" s="39"/>
      <c r="BT533" s="57" t="e">
        <f t="shared" si="42"/>
        <v>#VALUE!</v>
      </c>
      <c r="BU533" s="60"/>
      <c r="BV533" s="8" t="e">
        <v>#VALUE!</v>
      </c>
      <c r="BW533" s="58" t="e">
        <f>VLOOKUP(AQ533,'[1]Harga &amp; Nama CSO'!$A$28:$D$31,4,0)*BQ533</f>
        <v>#N/A</v>
      </c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44">
        <f>IFERROR(VLOOKUP(AQ535,'[2]Harga &amp; Nama CSO'!$A$116:$S$136,19,FALSE),0)*AV535</f>
        <v>0</v>
      </c>
      <c r="BO534" s="55" t="e">
        <f>IFERROR(VLOOKUP(AQ534,'[1]Harga &amp; Nama CSO'!$H$2:$N$22,2,FALSE),"")*AV534</f>
        <v>#VALUE!</v>
      </c>
      <c r="BP534" s="40"/>
      <c r="BQ534" s="39"/>
      <c r="BR534" s="59"/>
      <c r="BS534" s="39"/>
      <c r="BT534" s="57" t="e">
        <f t="shared" si="42"/>
        <v>#VALUE!</v>
      </c>
      <c r="BU534" s="60"/>
      <c r="BV534" s="8" t="e">
        <v>#VALUE!</v>
      </c>
      <c r="BW534" s="58" t="e">
        <f>VLOOKUP(AQ534,'[1]Harga &amp; Nama CSO'!$A$28:$D$31,4,0)*BQ534</f>
        <v>#N/A</v>
      </c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44">
        <f>IFERROR(VLOOKUP(AQ536,'[2]Harga &amp; Nama CSO'!$A$116:$S$136,19,FALSE),0)*AV536</f>
        <v>0</v>
      </c>
      <c r="BO535" s="55" t="e">
        <f>IFERROR(VLOOKUP(AQ535,'[1]Harga &amp; Nama CSO'!$H$2:$N$22,2,FALSE),"")*AV535</f>
        <v>#VALUE!</v>
      </c>
      <c r="BP535" s="40"/>
      <c r="BQ535" s="39"/>
      <c r="BR535" s="59"/>
      <c r="BS535" s="39"/>
      <c r="BT535" s="57" t="e">
        <f t="shared" si="42"/>
        <v>#VALUE!</v>
      </c>
      <c r="BU535" s="60"/>
      <c r="BV535" s="8" t="e">
        <v>#VALUE!</v>
      </c>
      <c r="BW535" s="58" t="e">
        <f>VLOOKUP(AQ535,'[1]Harga &amp; Nama CSO'!$A$28:$D$31,4,0)*BQ535</f>
        <v>#N/A</v>
      </c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44">
        <f>IFERROR(VLOOKUP(AQ537,'[2]Harga &amp; Nama CSO'!$A$116:$S$136,19,FALSE),0)*AV537</f>
        <v>0</v>
      </c>
      <c r="BO536" s="55" t="e">
        <f>IFERROR(VLOOKUP(AQ536,'[1]Harga &amp; Nama CSO'!$H$2:$N$22,2,FALSE),"")*AV536</f>
        <v>#VALUE!</v>
      </c>
      <c r="BP536" s="40"/>
      <c r="BQ536" s="39"/>
      <c r="BR536" s="59"/>
      <c r="BS536" s="39"/>
      <c r="BT536" s="57" t="e">
        <f t="shared" si="42"/>
        <v>#VALUE!</v>
      </c>
      <c r="BU536" s="60"/>
      <c r="BV536" s="8" t="e">
        <v>#VALUE!</v>
      </c>
      <c r="BW536" s="58" t="e">
        <f>VLOOKUP(AQ536,'[1]Harga &amp; Nama CSO'!$A$28:$D$31,4,0)*BQ536</f>
        <v>#N/A</v>
      </c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44">
        <f>IFERROR(VLOOKUP(AQ538,'[2]Harga &amp; Nama CSO'!$A$116:$S$136,19,FALSE),0)*AV538</f>
        <v>0</v>
      </c>
      <c r="BO537" s="55" t="e">
        <f>IFERROR(VLOOKUP(AQ537,'[1]Harga &amp; Nama CSO'!$H$2:$N$22,2,FALSE),"")*AV537</f>
        <v>#VALUE!</v>
      </c>
      <c r="BP537" s="40"/>
      <c r="BQ537" s="39"/>
      <c r="BR537" s="59"/>
      <c r="BS537" s="39"/>
      <c r="BT537" s="57" t="e">
        <f t="shared" si="42"/>
        <v>#VALUE!</v>
      </c>
      <c r="BU537" s="60"/>
      <c r="BV537" s="8" t="e">
        <v>#VALUE!</v>
      </c>
      <c r="BW537" s="58" t="e">
        <f>VLOOKUP(AQ537,'[1]Harga &amp; Nama CSO'!$A$28:$D$31,4,0)*BQ537</f>
        <v>#N/A</v>
      </c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44">
        <f>IFERROR(VLOOKUP(AQ539,'[2]Harga &amp; Nama CSO'!$A$116:$S$136,19,FALSE),0)*AV539</f>
        <v>0</v>
      </c>
      <c r="BO538" s="55" t="e">
        <f>IFERROR(VLOOKUP(AQ538,'[1]Harga &amp; Nama CSO'!$H$2:$N$22,2,FALSE),"")*AV538</f>
        <v>#VALUE!</v>
      </c>
      <c r="BP538" s="40"/>
      <c r="BQ538" s="39"/>
      <c r="BR538" s="59"/>
      <c r="BS538" s="39"/>
      <c r="BT538" s="57" t="e">
        <f t="shared" si="42"/>
        <v>#VALUE!</v>
      </c>
      <c r="BU538" s="60"/>
      <c r="BV538" s="8" t="e">
        <v>#VALUE!</v>
      </c>
      <c r="BW538" s="58" t="e">
        <f>VLOOKUP(AQ538,'[1]Harga &amp; Nama CSO'!$A$28:$D$31,4,0)*BQ538</f>
        <v>#N/A</v>
      </c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44">
        <f>IFERROR(VLOOKUP(AQ540,'[2]Harga &amp; Nama CSO'!$A$116:$S$136,19,FALSE),0)*AV540</f>
        <v>0</v>
      </c>
      <c r="BO539" s="55" t="e">
        <f>IFERROR(VLOOKUP(AQ539,'[1]Harga &amp; Nama CSO'!$H$2:$N$22,2,FALSE),"")*AV539</f>
        <v>#VALUE!</v>
      </c>
      <c r="BP539" s="40"/>
      <c r="BQ539" s="39"/>
      <c r="BR539" s="59"/>
      <c r="BS539" s="39"/>
      <c r="BT539" s="57" t="e">
        <f t="shared" si="42"/>
        <v>#VALUE!</v>
      </c>
      <c r="BU539" s="60"/>
      <c r="BV539" s="8" t="e">
        <v>#VALUE!</v>
      </c>
      <c r="BW539" s="58" t="e">
        <f>VLOOKUP(AQ539,'[1]Harga &amp; Nama CSO'!$A$28:$D$31,4,0)*BQ539</f>
        <v>#N/A</v>
      </c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44">
        <f>IFERROR(VLOOKUP(AQ541,'[2]Harga &amp; Nama CSO'!$A$116:$S$136,19,FALSE),0)*AV541</f>
        <v>0</v>
      </c>
      <c r="BO540" s="55" t="e">
        <f>IFERROR(VLOOKUP(AQ540,'[1]Harga &amp; Nama CSO'!$H$2:$N$22,2,FALSE),"")*AV540</f>
        <v>#VALUE!</v>
      </c>
      <c r="BP540" s="40"/>
      <c r="BQ540" s="39"/>
      <c r="BR540" s="59"/>
      <c r="BS540" s="39"/>
      <c r="BT540" s="57" t="e">
        <f t="shared" si="42"/>
        <v>#VALUE!</v>
      </c>
      <c r="BU540" s="60"/>
      <c r="BV540" s="8" t="e">
        <v>#VALUE!</v>
      </c>
      <c r="BW540" s="58" t="e">
        <f>VLOOKUP(AQ540,'[1]Harga &amp; Nama CSO'!$A$28:$D$31,4,0)*BQ540</f>
        <v>#N/A</v>
      </c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44">
        <f>IFERROR(VLOOKUP(AQ542,'[2]Harga &amp; Nama CSO'!$A$116:$S$136,19,FALSE),0)*AV542</f>
        <v>0</v>
      </c>
      <c r="BO541" s="55" t="e">
        <f>IFERROR(VLOOKUP(AQ541,'[1]Harga &amp; Nama CSO'!$H$2:$N$22,2,FALSE),"")*AV541</f>
        <v>#VALUE!</v>
      </c>
      <c r="BP541" s="40"/>
      <c r="BQ541" s="39"/>
      <c r="BR541" s="59"/>
      <c r="BS541" s="39"/>
      <c r="BT541" s="57" t="e">
        <f t="shared" si="42"/>
        <v>#VALUE!</v>
      </c>
      <c r="BU541" s="60"/>
      <c r="BV541" s="8" t="e">
        <v>#VALUE!</v>
      </c>
      <c r="BW541" s="58" t="e">
        <f>VLOOKUP(AQ541,'[1]Harga &amp; Nama CSO'!$A$28:$D$31,4,0)*BQ541</f>
        <v>#N/A</v>
      </c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44">
        <f>IFERROR(VLOOKUP(AQ543,'[2]Harga &amp; Nama CSO'!$A$116:$S$136,19,FALSE),0)*AV543</f>
        <v>0</v>
      </c>
      <c r="BO542" s="55" t="e">
        <f>IFERROR(VLOOKUP(AQ542,'[1]Harga &amp; Nama CSO'!$H$2:$N$22,2,FALSE),"")*AV542</f>
        <v>#VALUE!</v>
      </c>
      <c r="BP542" s="40"/>
      <c r="BQ542" s="39"/>
      <c r="BR542" s="59"/>
      <c r="BS542" s="39"/>
      <c r="BT542" s="57" t="e">
        <f t="shared" si="42"/>
        <v>#VALUE!</v>
      </c>
      <c r="BU542" s="60"/>
      <c r="BV542" s="8" t="e">
        <v>#VALUE!</v>
      </c>
      <c r="BW542" s="58" t="e">
        <f>VLOOKUP(AQ542,'[1]Harga &amp; Nama CSO'!$A$28:$D$31,4,0)*BQ542</f>
        <v>#N/A</v>
      </c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44">
        <f>IFERROR(VLOOKUP(AQ544,'[2]Harga &amp; Nama CSO'!$A$116:$S$136,19,FALSE),0)*AV544</f>
        <v>0</v>
      </c>
      <c r="BO543" s="55" t="e">
        <f>IFERROR(VLOOKUP(AQ543,'[1]Harga &amp; Nama CSO'!$H$2:$N$22,2,FALSE),"")*AV543</f>
        <v>#VALUE!</v>
      </c>
      <c r="BP543" s="40"/>
      <c r="BQ543" s="39"/>
      <c r="BR543" s="59"/>
      <c r="BS543" s="39"/>
      <c r="BT543" s="57" t="e">
        <f t="shared" si="42"/>
        <v>#VALUE!</v>
      </c>
      <c r="BU543" s="60"/>
      <c r="BV543" s="8" t="e">
        <v>#VALUE!</v>
      </c>
      <c r="BW543" s="58" t="e">
        <f>VLOOKUP(AQ543,'[1]Harga &amp; Nama CSO'!$A$28:$D$31,4,0)*BQ543</f>
        <v>#N/A</v>
      </c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44">
        <f>IFERROR(VLOOKUP(AQ545,'[2]Harga &amp; Nama CSO'!$A$116:$S$136,19,FALSE),0)*AV545</f>
        <v>0</v>
      </c>
      <c r="BO544" s="55" t="e">
        <f>IFERROR(VLOOKUP(AQ544,'[1]Harga &amp; Nama CSO'!$H$2:$N$22,2,FALSE),"")*AV544</f>
        <v>#VALUE!</v>
      </c>
      <c r="BP544" s="40"/>
      <c r="BQ544" s="39"/>
      <c r="BR544" s="59"/>
      <c r="BS544" s="39"/>
      <c r="BT544" s="57" t="e">
        <f t="shared" si="42"/>
        <v>#VALUE!</v>
      </c>
      <c r="BU544" s="60"/>
      <c r="BV544" s="8" t="e">
        <v>#VALUE!</v>
      </c>
      <c r="BW544" s="58" t="e">
        <f>VLOOKUP(AQ544,'[1]Harga &amp; Nama CSO'!$A$28:$D$31,4,0)*BQ544</f>
        <v>#N/A</v>
      </c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44">
        <f>IFERROR(VLOOKUP(AQ546,'[2]Harga &amp; Nama CSO'!$A$116:$S$136,19,FALSE),0)*AV546</f>
        <v>0</v>
      </c>
      <c r="BO545" s="55" t="e">
        <f>IFERROR(VLOOKUP(AQ545,'[1]Harga &amp; Nama CSO'!$H$2:$N$22,2,FALSE),"")*AV545</f>
        <v>#VALUE!</v>
      </c>
      <c r="BP545" s="40"/>
      <c r="BQ545" s="39"/>
      <c r="BR545" s="59"/>
      <c r="BS545" s="39"/>
      <c r="BT545" s="57" t="e">
        <f t="shared" si="42"/>
        <v>#VALUE!</v>
      </c>
      <c r="BU545" s="60"/>
      <c r="BV545" s="8" t="e">
        <v>#VALUE!</v>
      </c>
      <c r="BW545" s="58" t="e">
        <f>VLOOKUP(AQ545,'[1]Harga &amp; Nama CSO'!$A$28:$D$31,4,0)*BQ545</f>
        <v>#N/A</v>
      </c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44">
        <f>IFERROR(VLOOKUP(AQ547,'[2]Harga &amp; Nama CSO'!$A$116:$S$136,19,FALSE),0)*AV547</f>
        <v>0</v>
      </c>
      <c r="BO546" s="55" t="e">
        <f>IFERROR(VLOOKUP(AQ546,'[1]Harga &amp; Nama CSO'!$H$2:$N$22,2,FALSE),"")*AV546</f>
        <v>#VALUE!</v>
      </c>
      <c r="BP546" s="40"/>
      <c r="BQ546" s="39"/>
      <c r="BR546" s="59"/>
      <c r="BS546" s="39"/>
      <c r="BT546" s="57" t="e">
        <f t="shared" si="42"/>
        <v>#VALUE!</v>
      </c>
      <c r="BU546" s="60"/>
      <c r="BV546" s="8" t="e">
        <v>#VALUE!</v>
      </c>
      <c r="BW546" s="58" t="e">
        <f>VLOOKUP(AQ546,'[1]Harga &amp; Nama CSO'!$A$28:$D$31,4,0)*BQ546</f>
        <v>#N/A</v>
      </c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44">
        <f>IFERROR(VLOOKUP(AQ548,'[2]Harga &amp; Nama CSO'!$A$116:$S$136,19,FALSE),0)*AV548</f>
        <v>0</v>
      </c>
      <c r="BO547" s="55" t="e">
        <f>IFERROR(VLOOKUP(AQ547,'[1]Harga &amp; Nama CSO'!$H$2:$N$22,2,FALSE),"")*AV547</f>
        <v>#VALUE!</v>
      </c>
      <c r="BP547" s="40"/>
      <c r="BQ547" s="39"/>
      <c r="BR547" s="59"/>
      <c r="BS547" s="39"/>
      <c r="BT547" s="57" t="e">
        <f t="shared" si="42"/>
        <v>#VALUE!</v>
      </c>
      <c r="BU547" s="60"/>
      <c r="BV547" s="8" t="e">
        <v>#VALUE!</v>
      </c>
      <c r="BW547" s="58" t="e">
        <f>VLOOKUP(AQ547,'[1]Harga &amp; Nama CSO'!$A$28:$D$31,4,0)*BQ547</f>
        <v>#N/A</v>
      </c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44">
        <f>IFERROR(VLOOKUP(AQ549,'[2]Harga &amp; Nama CSO'!$A$116:$S$136,19,FALSE),0)*AV549</f>
        <v>0</v>
      </c>
      <c r="BO548" s="55" t="e">
        <f>IFERROR(VLOOKUP(AQ548,'[1]Harga &amp; Nama CSO'!$H$2:$N$22,2,FALSE),"")*AV548</f>
        <v>#VALUE!</v>
      </c>
      <c r="BP548" s="40"/>
      <c r="BQ548" s="39"/>
      <c r="BR548" s="59"/>
      <c r="BS548" s="39"/>
      <c r="BT548" s="57" t="e">
        <f t="shared" si="42"/>
        <v>#VALUE!</v>
      </c>
      <c r="BU548" s="60"/>
      <c r="BV548" s="8" t="e">
        <v>#VALUE!</v>
      </c>
      <c r="BW548" s="58" t="e">
        <f>VLOOKUP(AQ548,'[1]Harga &amp; Nama CSO'!$A$28:$D$31,4,0)*BQ548</f>
        <v>#N/A</v>
      </c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44">
        <f>IFERROR(VLOOKUP(AQ550,'[2]Harga &amp; Nama CSO'!$A$116:$S$136,19,FALSE),0)*AV550</f>
        <v>0</v>
      </c>
      <c r="BO549" s="55" t="e">
        <f>IFERROR(VLOOKUP(AQ549,'[1]Harga &amp; Nama CSO'!$H$2:$N$22,2,FALSE),"")*AV549</f>
        <v>#VALUE!</v>
      </c>
      <c r="BP549" s="40"/>
      <c r="BQ549" s="39"/>
      <c r="BR549" s="59"/>
      <c r="BS549" s="39"/>
      <c r="BT549" s="57" t="e">
        <f t="shared" si="42"/>
        <v>#VALUE!</v>
      </c>
      <c r="BU549" s="60"/>
      <c r="BV549" s="8" t="e">
        <v>#VALUE!</v>
      </c>
      <c r="BW549" s="58" t="e">
        <f>VLOOKUP(AQ549,'[1]Harga &amp; Nama CSO'!$A$28:$D$31,4,0)*BQ549</f>
        <v>#N/A</v>
      </c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44">
        <f>IFERROR(VLOOKUP(AQ551,'[2]Harga &amp; Nama CSO'!$A$116:$S$136,19,FALSE),0)*AV551</f>
        <v>0</v>
      </c>
      <c r="BO550" s="55" t="e">
        <f>IFERROR(VLOOKUP(AQ550,'[1]Harga &amp; Nama CSO'!$H$2:$N$22,2,FALSE),"")*AV550</f>
        <v>#VALUE!</v>
      </c>
      <c r="BP550" s="40"/>
      <c r="BQ550" s="39"/>
      <c r="BR550" s="59"/>
      <c r="BS550" s="39"/>
      <c r="BT550" s="57" t="e">
        <f t="shared" si="42"/>
        <v>#VALUE!</v>
      </c>
      <c r="BU550" s="60"/>
      <c r="BV550" s="8" t="e">
        <v>#VALUE!</v>
      </c>
      <c r="BW550" s="58" t="e">
        <f>VLOOKUP(AQ550,'[1]Harga &amp; Nama CSO'!$A$28:$D$31,4,0)*BQ550</f>
        <v>#N/A</v>
      </c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44">
        <f>IFERROR(VLOOKUP(AQ552,'[2]Harga &amp; Nama CSO'!$A$116:$S$136,19,FALSE),0)*AV552</f>
        <v>0</v>
      </c>
      <c r="BO551" s="55" t="e">
        <f>IFERROR(VLOOKUP(AQ551,'[1]Harga &amp; Nama CSO'!$H$2:$N$22,2,FALSE),"")*AV551</f>
        <v>#VALUE!</v>
      </c>
      <c r="BP551" s="40"/>
      <c r="BQ551" s="39"/>
      <c r="BR551" s="59"/>
      <c r="BS551" s="39"/>
      <c r="BT551" s="57" t="e">
        <f t="shared" si="42"/>
        <v>#VALUE!</v>
      </c>
      <c r="BU551" s="60"/>
      <c r="BV551" s="8" t="e">
        <v>#VALUE!</v>
      </c>
      <c r="BW551" s="58" t="e">
        <f>VLOOKUP(AQ551,'[1]Harga &amp; Nama CSO'!$A$28:$D$31,4,0)*BQ551</f>
        <v>#N/A</v>
      </c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44">
        <f>IFERROR(VLOOKUP(AQ553,'[2]Harga &amp; Nama CSO'!$A$116:$S$136,19,FALSE),0)*AV553</f>
        <v>0</v>
      </c>
      <c r="BO552" s="55" t="e">
        <f>IFERROR(VLOOKUP(AQ552,'[1]Harga &amp; Nama CSO'!$H$2:$N$22,2,FALSE),"")*AV552</f>
        <v>#VALUE!</v>
      </c>
      <c r="BP552" s="40"/>
      <c r="BQ552" s="39"/>
      <c r="BR552" s="59"/>
      <c r="BS552" s="39"/>
      <c r="BT552" s="57" t="e">
        <f t="shared" si="42"/>
        <v>#VALUE!</v>
      </c>
      <c r="BU552" s="60"/>
      <c r="BV552" s="8" t="e">
        <v>#VALUE!</v>
      </c>
      <c r="BW552" s="58" t="e">
        <f>VLOOKUP(AQ552,'[1]Harga &amp; Nama CSO'!$A$28:$D$31,4,0)*BQ552</f>
        <v>#N/A</v>
      </c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44">
        <f>IFERROR(VLOOKUP(AQ554,'[2]Harga &amp; Nama CSO'!$A$116:$S$136,19,FALSE),0)*AV554</f>
        <v>0</v>
      </c>
      <c r="BO553" s="55" t="e">
        <f>IFERROR(VLOOKUP(AQ553,'[1]Harga &amp; Nama CSO'!$H$2:$N$22,2,FALSE),"")*AV553</f>
        <v>#VALUE!</v>
      </c>
      <c r="BP553" s="40"/>
      <c r="BQ553" s="39"/>
      <c r="BR553" s="59"/>
      <c r="BS553" s="39"/>
      <c r="BT553" s="57" t="e">
        <f t="shared" si="42"/>
        <v>#VALUE!</v>
      </c>
      <c r="BU553" s="60"/>
      <c r="BV553" s="8" t="e">
        <v>#VALUE!</v>
      </c>
      <c r="BW553" s="58" t="e">
        <f>VLOOKUP(AQ553,'[1]Harga &amp; Nama CSO'!$A$28:$D$31,4,0)*BQ553</f>
        <v>#N/A</v>
      </c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44">
        <f>IFERROR(VLOOKUP(AQ555,'[2]Harga &amp; Nama CSO'!$A$116:$S$136,19,FALSE),0)*AV555</f>
        <v>0</v>
      </c>
      <c r="BO554" s="55" t="e">
        <f>IFERROR(VLOOKUP(AQ554,'[1]Harga &amp; Nama CSO'!$H$2:$N$22,2,FALSE),"")*AV554</f>
        <v>#VALUE!</v>
      </c>
      <c r="BP554" s="40"/>
      <c r="BQ554" s="39"/>
      <c r="BR554" s="59"/>
      <c r="BS554" s="39"/>
      <c r="BT554" s="57" t="e">
        <f t="shared" si="42"/>
        <v>#VALUE!</v>
      </c>
      <c r="BU554" s="60"/>
      <c r="BV554" s="8" t="e">
        <v>#VALUE!</v>
      </c>
      <c r="BW554" s="58" t="e">
        <f>VLOOKUP(AQ554,'[1]Harga &amp; Nama CSO'!$A$28:$D$31,4,0)*BQ554</f>
        <v>#N/A</v>
      </c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44">
        <f>IFERROR(VLOOKUP(AQ556,'[2]Harga &amp; Nama CSO'!$A$116:$S$136,19,FALSE),0)*AV556</f>
        <v>0</v>
      </c>
      <c r="BO555" s="55" t="e">
        <f>IFERROR(VLOOKUP(AQ555,'[1]Harga &amp; Nama CSO'!$H$2:$N$22,2,FALSE),"")*AV555</f>
        <v>#VALUE!</v>
      </c>
      <c r="BP555" s="40"/>
      <c r="BQ555" s="39"/>
      <c r="BR555" s="59"/>
      <c r="BS555" s="39"/>
      <c r="BT555" s="57" t="e">
        <f t="shared" si="42"/>
        <v>#VALUE!</v>
      </c>
      <c r="BU555" s="60"/>
      <c r="BV555" s="8" t="e">
        <v>#VALUE!</v>
      </c>
      <c r="BW555" s="58" t="e">
        <f>VLOOKUP(AQ555,'[1]Harga &amp; Nama CSO'!$A$28:$D$31,4,0)*BQ555</f>
        <v>#N/A</v>
      </c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44">
        <f>IFERROR(VLOOKUP(AQ557,'[2]Harga &amp; Nama CSO'!$A$116:$S$136,19,FALSE),0)*AV557</f>
        <v>0</v>
      </c>
      <c r="BO556" s="55" t="e">
        <f>IFERROR(VLOOKUP(AQ556,'[1]Harga &amp; Nama CSO'!$H$2:$N$22,2,FALSE),"")*AV556</f>
        <v>#VALUE!</v>
      </c>
      <c r="BP556" s="40"/>
      <c r="BQ556" s="39"/>
      <c r="BR556" s="59"/>
      <c r="BS556" s="39"/>
      <c r="BT556" s="57" t="e">
        <f t="shared" si="42"/>
        <v>#VALUE!</v>
      </c>
      <c r="BU556" s="60"/>
      <c r="BV556" s="8" t="e">
        <v>#VALUE!</v>
      </c>
      <c r="BW556" s="58" t="e">
        <f>VLOOKUP(AQ556,'[1]Harga &amp; Nama CSO'!$A$28:$D$31,4,0)*BQ556</f>
        <v>#N/A</v>
      </c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44">
        <f>IFERROR(VLOOKUP(AQ558,'[2]Harga &amp; Nama CSO'!$A$116:$S$136,19,FALSE),0)*AV558</f>
        <v>0</v>
      </c>
      <c r="BO557" s="55" t="e">
        <f>IFERROR(VLOOKUP(AQ557,'[1]Harga &amp; Nama CSO'!$H$2:$N$22,2,FALSE),"")*AV557</f>
        <v>#VALUE!</v>
      </c>
      <c r="BP557" s="40"/>
      <c r="BQ557" s="39"/>
      <c r="BR557" s="59"/>
      <c r="BS557" s="39"/>
      <c r="BT557" s="57" t="e">
        <f t="shared" si="42"/>
        <v>#VALUE!</v>
      </c>
      <c r="BU557" s="60"/>
      <c r="BV557" s="8" t="e">
        <v>#VALUE!</v>
      </c>
      <c r="BW557" s="58" t="e">
        <f>VLOOKUP(AQ557,'[1]Harga &amp; Nama CSO'!$A$28:$D$31,4,0)*BQ557</f>
        <v>#N/A</v>
      </c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44">
        <f>IFERROR(VLOOKUP(AQ559,'[2]Harga &amp; Nama CSO'!$A$116:$S$136,19,FALSE),0)*AV559</f>
        <v>0</v>
      </c>
      <c r="BO558" s="55" t="e">
        <f>IFERROR(VLOOKUP(AQ558,'[1]Harga &amp; Nama CSO'!$H$2:$N$22,2,FALSE),"")*AV558</f>
        <v>#VALUE!</v>
      </c>
      <c r="BP558" s="40"/>
      <c r="BQ558" s="39"/>
      <c r="BR558" s="59"/>
      <c r="BS558" s="39"/>
      <c r="BT558" s="57" t="e">
        <f t="shared" si="42"/>
        <v>#VALUE!</v>
      </c>
      <c r="BU558" s="60"/>
      <c r="BV558" s="8" t="e">
        <v>#VALUE!</v>
      </c>
      <c r="BW558" s="58" t="e">
        <f>VLOOKUP(AQ558,'[1]Harga &amp; Nama CSO'!$A$28:$D$31,4,0)*BQ558</f>
        <v>#N/A</v>
      </c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44">
        <f>IFERROR(VLOOKUP(AQ560,'[2]Harga &amp; Nama CSO'!$A$116:$S$136,19,FALSE),0)*AV560</f>
        <v>0</v>
      </c>
      <c r="BO559" s="55" t="e">
        <f>IFERROR(VLOOKUP(AQ559,'[1]Harga &amp; Nama CSO'!$H$2:$N$22,2,FALSE),"")*AV559</f>
        <v>#VALUE!</v>
      </c>
      <c r="BP559" s="40"/>
      <c r="BQ559" s="39"/>
      <c r="BR559" s="59"/>
      <c r="BS559" s="39"/>
      <c r="BT559" s="57" t="e">
        <f t="shared" si="42"/>
        <v>#VALUE!</v>
      </c>
      <c r="BU559" s="60"/>
      <c r="BV559" s="8" t="e">
        <v>#VALUE!</v>
      </c>
      <c r="BW559" s="58" t="e">
        <f>VLOOKUP(AQ559,'[1]Harga &amp; Nama CSO'!$A$28:$D$31,4,0)*BQ559</f>
        <v>#N/A</v>
      </c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44">
        <f>IFERROR(VLOOKUP(AQ561,'[2]Harga &amp; Nama CSO'!$A$116:$S$136,19,FALSE),0)*AV561</f>
        <v>0</v>
      </c>
      <c r="BO560" s="55" t="e">
        <f>IFERROR(VLOOKUP(AQ560,'[1]Harga &amp; Nama CSO'!$H$2:$N$22,2,FALSE),"")*AV560</f>
        <v>#VALUE!</v>
      </c>
      <c r="BP560" s="40"/>
      <c r="BQ560" s="39"/>
      <c r="BR560" s="59"/>
      <c r="BS560" s="39"/>
      <c r="BT560" s="57" t="e">
        <f t="shared" si="42"/>
        <v>#VALUE!</v>
      </c>
      <c r="BU560" s="60"/>
      <c r="BV560" s="8" t="e">
        <v>#VALUE!</v>
      </c>
      <c r="BW560" s="58" t="e">
        <f>VLOOKUP(AQ560,'[1]Harga &amp; Nama CSO'!$A$28:$D$31,4,0)*BQ560</f>
        <v>#N/A</v>
      </c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44">
        <f>IFERROR(VLOOKUP(AQ562,'[2]Harga &amp; Nama CSO'!$A$116:$S$136,19,FALSE),0)*AV562</f>
        <v>0</v>
      </c>
      <c r="BO561" s="55" t="e">
        <f>IFERROR(VLOOKUP(AQ561,'[1]Harga &amp; Nama CSO'!$H$2:$N$22,2,FALSE),"")*AV561</f>
        <v>#VALUE!</v>
      </c>
      <c r="BP561" s="40"/>
      <c r="BQ561" s="39"/>
      <c r="BR561" s="59"/>
      <c r="BS561" s="39"/>
      <c r="BT561" s="57" t="e">
        <f t="shared" si="42"/>
        <v>#VALUE!</v>
      </c>
      <c r="BU561" s="60"/>
      <c r="BV561" s="8" t="e">
        <v>#VALUE!</v>
      </c>
      <c r="BW561" s="58" t="e">
        <f>VLOOKUP(AQ561,'[1]Harga &amp; Nama CSO'!$A$28:$D$31,4,0)*BQ561</f>
        <v>#N/A</v>
      </c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44">
        <f>IFERROR(VLOOKUP(AQ563,'[2]Harga &amp; Nama CSO'!$A$116:$S$136,19,FALSE),0)*AV563</f>
        <v>0</v>
      </c>
      <c r="BO562" s="55" t="e">
        <f>IFERROR(VLOOKUP(AQ562,'[1]Harga &amp; Nama CSO'!$H$2:$N$22,2,FALSE),"")*AV562</f>
        <v>#VALUE!</v>
      </c>
      <c r="BP562" s="40"/>
      <c r="BQ562" s="39"/>
      <c r="BR562" s="59"/>
      <c r="BS562" s="39"/>
      <c r="BT562" s="57" t="e">
        <f t="shared" si="42"/>
        <v>#VALUE!</v>
      </c>
      <c r="BU562" s="60"/>
      <c r="BV562" s="8" t="e">
        <v>#VALUE!</v>
      </c>
      <c r="BW562" s="58" t="e">
        <f>VLOOKUP(AQ562,'[1]Harga &amp; Nama CSO'!$A$28:$D$31,4,0)*BQ562</f>
        <v>#N/A</v>
      </c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44">
        <f>IFERROR(VLOOKUP(AQ564,'[2]Harga &amp; Nama CSO'!$A$116:$S$136,19,FALSE),0)*AV564</f>
        <v>0</v>
      </c>
      <c r="BO563" s="55" t="e">
        <f>IFERROR(VLOOKUP(AQ563,'[1]Harga &amp; Nama CSO'!$H$2:$N$22,2,FALSE),"")*AV563</f>
        <v>#VALUE!</v>
      </c>
      <c r="BP563" s="40"/>
      <c r="BQ563" s="39"/>
      <c r="BR563" s="59"/>
      <c r="BS563" s="39"/>
      <c r="BT563" s="57" t="e">
        <f t="shared" si="42"/>
        <v>#VALUE!</v>
      </c>
      <c r="BU563" s="60"/>
      <c r="BV563" s="8" t="e">
        <v>#VALUE!</v>
      </c>
      <c r="BW563" s="58" t="e">
        <f>VLOOKUP(AQ563,'[1]Harga &amp; Nama CSO'!$A$28:$D$31,4,0)*BQ563</f>
        <v>#N/A</v>
      </c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44">
        <f>IFERROR(VLOOKUP(AQ565,'[2]Harga &amp; Nama CSO'!$A$116:$S$136,19,FALSE),0)*AV565</f>
        <v>0</v>
      </c>
      <c r="BO564" s="55" t="e">
        <f>IFERROR(VLOOKUP(AQ564,'[1]Harga &amp; Nama CSO'!$H$2:$N$22,2,FALSE),"")*AV564</f>
        <v>#VALUE!</v>
      </c>
      <c r="BP564" s="40"/>
      <c r="BQ564" s="39"/>
      <c r="BR564" s="59"/>
      <c r="BS564" s="39"/>
      <c r="BT564" s="57" t="e">
        <f t="shared" si="42"/>
        <v>#VALUE!</v>
      </c>
      <c r="BU564" s="60"/>
      <c r="BV564" s="8" t="e">
        <v>#VALUE!</v>
      </c>
      <c r="BW564" s="58" t="e">
        <f>VLOOKUP(AQ564,'[1]Harga &amp; Nama CSO'!$A$28:$D$31,4,0)*BQ564</f>
        <v>#N/A</v>
      </c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44">
        <f>IFERROR(VLOOKUP(AQ566,'[2]Harga &amp; Nama CSO'!$A$116:$S$136,19,FALSE),0)*AV566</f>
        <v>0</v>
      </c>
      <c r="BO565" s="55" t="e">
        <f>IFERROR(VLOOKUP(AQ565,'[1]Harga &amp; Nama CSO'!$H$2:$N$22,2,FALSE),"")*AV565</f>
        <v>#VALUE!</v>
      </c>
      <c r="BP565" s="40"/>
      <c r="BQ565" s="39"/>
      <c r="BR565" s="59"/>
      <c r="BS565" s="39"/>
      <c r="BT565" s="57" t="e">
        <f t="shared" si="42"/>
        <v>#VALUE!</v>
      </c>
      <c r="BU565" s="60"/>
      <c r="BV565" s="8" t="e">
        <v>#VALUE!</v>
      </c>
      <c r="BW565" s="58" t="e">
        <f>VLOOKUP(AQ565,'[1]Harga &amp; Nama CSO'!$A$28:$D$31,4,0)*BQ565</f>
        <v>#N/A</v>
      </c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44">
        <f>IFERROR(VLOOKUP(AQ567,'[2]Harga &amp; Nama CSO'!$A$116:$S$136,19,FALSE),0)*AV567</f>
        <v>0</v>
      </c>
      <c r="BO566" s="55" t="e">
        <f>IFERROR(VLOOKUP(AQ566,'[1]Harga &amp; Nama CSO'!$H$2:$N$22,2,FALSE),"")*AV566</f>
        <v>#VALUE!</v>
      </c>
      <c r="BP566" s="40"/>
      <c r="BQ566" s="39"/>
      <c r="BR566" s="59"/>
      <c r="BS566" s="39"/>
      <c r="BT566" s="57" t="e">
        <f t="shared" si="42"/>
        <v>#VALUE!</v>
      </c>
      <c r="BU566" s="60"/>
      <c r="BV566" s="8" t="e">
        <v>#VALUE!</v>
      </c>
      <c r="BW566" s="58" t="e">
        <f>VLOOKUP(AQ566,'[1]Harga &amp; Nama CSO'!$A$28:$D$31,4,0)*BQ566</f>
        <v>#N/A</v>
      </c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44">
        <f>IFERROR(VLOOKUP(AQ568,'[2]Harga &amp; Nama CSO'!$A$116:$S$136,19,FALSE),0)*AV568</f>
        <v>0</v>
      </c>
      <c r="BO567" s="55" t="e">
        <f>IFERROR(VLOOKUP(AQ567,'[1]Harga &amp; Nama CSO'!$H$2:$N$22,2,FALSE),"")*AV567</f>
        <v>#VALUE!</v>
      </c>
      <c r="BP567" s="40"/>
      <c r="BQ567" s="39"/>
      <c r="BR567" s="59"/>
      <c r="BS567" s="39"/>
      <c r="BT567" s="57" t="e">
        <f t="shared" si="42"/>
        <v>#VALUE!</v>
      </c>
      <c r="BU567" s="60"/>
      <c r="BV567" s="8" t="e">
        <v>#VALUE!</v>
      </c>
      <c r="BW567" s="58" t="e">
        <f>VLOOKUP(AQ567,'[1]Harga &amp; Nama CSO'!$A$28:$D$31,4,0)*BQ567</f>
        <v>#N/A</v>
      </c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44">
        <f>IFERROR(VLOOKUP(AQ569,'[2]Harga &amp; Nama CSO'!$A$116:$S$136,19,FALSE),0)*AV569</f>
        <v>0</v>
      </c>
      <c r="BO568" s="55" t="e">
        <f>IFERROR(VLOOKUP(AQ568,'[1]Harga &amp; Nama CSO'!$H$2:$N$22,2,FALSE),"")*AV568</f>
        <v>#VALUE!</v>
      </c>
      <c r="BP568" s="40"/>
      <c r="BQ568" s="39"/>
      <c r="BR568" s="59"/>
      <c r="BS568" s="39"/>
      <c r="BT568" s="57" t="e">
        <f t="shared" si="42"/>
        <v>#VALUE!</v>
      </c>
      <c r="BU568" s="60"/>
      <c r="BV568" s="8" t="e">
        <v>#VALUE!</v>
      </c>
      <c r="BW568" s="58" t="e">
        <f>VLOOKUP(AQ568,'[1]Harga &amp; Nama CSO'!$A$28:$D$31,4,0)*BQ568</f>
        <v>#N/A</v>
      </c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44">
        <f>IFERROR(VLOOKUP(AQ570,'[2]Harga &amp; Nama CSO'!$A$116:$S$136,19,FALSE),0)*AV570</f>
        <v>0</v>
      </c>
      <c r="BO569" s="55" t="e">
        <f>IFERROR(VLOOKUP(AQ569,'[1]Harga &amp; Nama CSO'!$H$2:$N$22,2,FALSE),"")*AV569</f>
        <v>#VALUE!</v>
      </c>
      <c r="BP569" s="40"/>
      <c r="BQ569" s="39"/>
      <c r="BR569" s="59"/>
      <c r="BS569" s="39"/>
      <c r="BT569" s="57" t="e">
        <f t="shared" si="42"/>
        <v>#VALUE!</v>
      </c>
      <c r="BU569" s="60"/>
      <c r="BV569" s="8" t="e">
        <v>#VALUE!</v>
      </c>
      <c r="BW569" s="58" t="e">
        <f>VLOOKUP(AQ569,'[1]Harga &amp; Nama CSO'!$A$28:$D$31,4,0)*BQ569</f>
        <v>#N/A</v>
      </c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44">
        <f>IFERROR(VLOOKUP(AQ571,'[2]Harga &amp; Nama CSO'!$A$116:$S$136,19,FALSE),0)*AV571</f>
        <v>0</v>
      </c>
      <c r="BO570" s="55" t="e">
        <f>IFERROR(VLOOKUP(AQ570,'[1]Harga &amp; Nama CSO'!$H$2:$N$22,2,FALSE),"")*AV570</f>
        <v>#VALUE!</v>
      </c>
      <c r="BP570" s="40"/>
      <c r="BQ570" s="39"/>
      <c r="BR570" s="59"/>
      <c r="BS570" s="39"/>
      <c r="BT570" s="57" t="e">
        <f t="shared" si="42"/>
        <v>#VALUE!</v>
      </c>
      <c r="BU570" s="60"/>
      <c r="BV570" s="8" t="e">
        <v>#VALUE!</v>
      </c>
      <c r="BW570" s="58" t="e">
        <f>VLOOKUP(AQ570,'[1]Harga &amp; Nama CSO'!$A$28:$D$31,4,0)*BQ570</f>
        <v>#N/A</v>
      </c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44">
        <f>IFERROR(VLOOKUP(AQ572,'[2]Harga &amp; Nama CSO'!$A$116:$S$136,19,FALSE),0)*AV572</f>
        <v>0</v>
      </c>
      <c r="BO571" s="55" t="e">
        <f>IFERROR(VLOOKUP(AQ571,'[1]Harga &amp; Nama CSO'!$H$2:$N$22,2,FALSE),"")*AV571</f>
        <v>#VALUE!</v>
      </c>
      <c r="BP571" s="40"/>
      <c r="BQ571" s="39"/>
      <c r="BR571" s="59"/>
      <c r="BS571" s="39"/>
      <c r="BT571" s="57" t="e">
        <f t="shared" si="42"/>
        <v>#VALUE!</v>
      </c>
      <c r="BU571" s="60"/>
      <c r="BV571" s="8" t="e">
        <v>#VALUE!</v>
      </c>
      <c r="BW571" s="58" t="e">
        <f>VLOOKUP(AQ571,'[1]Harga &amp; Nama CSO'!$A$28:$D$31,4,0)*BQ571</f>
        <v>#N/A</v>
      </c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44">
        <f>IFERROR(VLOOKUP(AQ573,'[2]Harga &amp; Nama CSO'!$A$116:$S$136,19,FALSE),0)*AV573</f>
        <v>0</v>
      </c>
      <c r="BO572" s="55" t="e">
        <f>IFERROR(VLOOKUP(AQ572,'[1]Harga &amp; Nama CSO'!$H$2:$N$22,2,FALSE),"")*AV572</f>
        <v>#VALUE!</v>
      </c>
      <c r="BP572" s="40"/>
      <c r="BQ572" s="39"/>
      <c r="BR572" s="59"/>
      <c r="BS572" s="39"/>
      <c r="BT572" s="57" t="e">
        <f t="shared" si="42"/>
        <v>#VALUE!</v>
      </c>
      <c r="BU572" s="60"/>
      <c r="BV572" s="8" t="e">
        <v>#VALUE!</v>
      </c>
      <c r="BW572" s="58" t="e">
        <f>VLOOKUP(AQ572,'[1]Harga &amp; Nama CSO'!$A$28:$D$31,4,0)*BQ572</f>
        <v>#N/A</v>
      </c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44">
        <f>IFERROR(VLOOKUP(AQ574,'[2]Harga &amp; Nama CSO'!$A$116:$S$136,19,FALSE),0)*AV574</f>
        <v>0</v>
      </c>
      <c r="BO573" s="55" t="e">
        <f>IFERROR(VLOOKUP(AQ573,'[1]Harga &amp; Nama CSO'!$H$2:$N$22,2,FALSE),"")*AV573</f>
        <v>#VALUE!</v>
      </c>
      <c r="BP573" s="40"/>
      <c r="BQ573" s="39"/>
      <c r="BR573" s="59"/>
      <c r="BS573" s="39"/>
      <c r="BT573" s="57" t="e">
        <f t="shared" si="42"/>
        <v>#VALUE!</v>
      </c>
      <c r="BU573" s="60"/>
      <c r="BV573" s="8" t="e">
        <v>#VALUE!</v>
      </c>
      <c r="BW573" s="58" t="e">
        <f>VLOOKUP(AQ573,'[1]Harga &amp; Nama CSO'!$A$28:$D$31,4,0)*BQ573</f>
        <v>#N/A</v>
      </c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44">
        <f>IFERROR(VLOOKUP(AQ575,'[2]Harga &amp; Nama CSO'!$A$116:$S$136,19,FALSE),0)*AV575</f>
        <v>0</v>
      </c>
      <c r="BO574" s="55" t="e">
        <f>IFERROR(VLOOKUP(AQ574,'[1]Harga &amp; Nama CSO'!$H$2:$N$22,2,FALSE),"")*AV574</f>
        <v>#VALUE!</v>
      </c>
      <c r="BP574" s="40"/>
      <c r="BQ574" s="39"/>
      <c r="BR574" s="59"/>
      <c r="BS574" s="39"/>
      <c r="BT574" s="57" t="e">
        <f t="shared" si="42"/>
        <v>#VALUE!</v>
      </c>
      <c r="BU574" s="60"/>
      <c r="BV574" s="8" t="e">
        <v>#VALUE!</v>
      </c>
      <c r="BW574" s="58" t="e">
        <f>VLOOKUP(AQ574,'[1]Harga &amp; Nama CSO'!$A$28:$D$31,4,0)*BQ574</f>
        <v>#N/A</v>
      </c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44">
        <f>IFERROR(VLOOKUP(AQ576,'[2]Harga &amp; Nama CSO'!$A$116:$S$136,19,FALSE),0)*AV576</f>
        <v>0</v>
      </c>
      <c r="BO575" s="55" t="e">
        <f>IFERROR(VLOOKUP(AQ575,'[1]Harga &amp; Nama CSO'!$H$2:$N$22,2,FALSE),"")*AV575</f>
        <v>#VALUE!</v>
      </c>
      <c r="BP575" s="40"/>
      <c r="BQ575" s="39"/>
      <c r="BR575" s="59"/>
      <c r="BS575" s="39"/>
      <c r="BT575" s="57" t="e">
        <f t="shared" si="42"/>
        <v>#VALUE!</v>
      </c>
      <c r="BU575" s="60"/>
      <c r="BV575" s="8" t="e">
        <v>#VALUE!</v>
      </c>
      <c r="BW575" s="58" t="e">
        <f>VLOOKUP(AQ575,'[1]Harga &amp; Nama CSO'!$A$28:$D$31,4,0)*BQ575</f>
        <v>#N/A</v>
      </c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44">
        <f>IFERROR(VLOOKUP(AQ577,'[2]Harga &amp; Nama CSO'!$A$116:$S$136,19,FALSE),0)*AV577</f>
        <v>0</v>
      </c>
      <c r="BO576" s="55" t="e">
        <f>IFERROR(VLOOKUP(AQ576,'[1]Harga &amp; Nama CSO'!$H$2:$N$22,2,FALSE),"")*AV576</f>
        <v>#VALUE!</v>
      </c>
      <c r="BP576" s="40"/>
      <c r="BQ576" s="39"/>
      <c r="BR576" s="59"/>
      <c r="BS576" s="39"/>
      <c r="BT576" s="57" t="e">
        <f t="shared" si="42"/>
        <v>#VALUE!</v>
      </c>
      <c r="BU576" s="60"/>
      <c r="BV576" s="8" t="e">
        <v>#VALUE!</v>
      </c>
      <c r="BW576" s="58" t="e">
        <f>VLOOKUP(AQ576,'[1]Harga &amp; Nama CSO'!$A$28:$D$31,4,0)*BQ576</f>
        <v>#N/A</v>
      </c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44">
        <f>IFERROR(VLOOKUP(AQ578,'[2]Harga &amp; Nama CSO'!$A$116:$S$136,19,FALSE),0)*AV578</f>
        <v>0</v>
      </c>
      <c r="BO577" s="55" t="e">
        <f>IFERROR(VLOOKUP(AQ577,'[1]Harga &amp; Nama CSO'!$H$2:$N$22,2,FALSE),"")*AV577</f>
        <v>#VALUE!</v>
      </c>
      <c r="BP577" s="40"/>
      <c r="BQ577" s="39"/>
      <c r="BR577" s="59"/>
      <c r="BS577" s="39"/>
      <c r="BT577" s="57" t="e">
        <f t="shared" si="42"/>
        <v>#VALUE!</v>
      </c>
      <c r="BU577" s="60"/>
      <c r="BV577" s="8" t="e">
        <v>#VALUE!</v>
      </c>
      <c r="BW577" s="58" t="e">
        <f>VLOOKUP(AQ577,'[1]Harga &amp; Nama CSO'!$A$28:$D$31,4,0)*BQ577</f>
        <v>#N/A</v>
      </c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44">
        <f>IFERROR(VLOOKUP(AQ579,'[2]Harga &amp; Nama CSO'!$A$116:$S$136,19,FALSE),0)*AV579</f>
        <v>0</v>
      </c>
      <c r="BO578" s="55" t="e">
        <f>IFERROR(VLOOKUP(AQ578,'[1]Harga &amp; Nama CSO'!$H$2:$N$22,2,FALSE),"")*AV578</f>
        <v>#VALUE!</v>
      </c>
      <c r="BP578" s="40"/>
      <c r="BQ578" s="39"/>
      <c r="BR578" s="59"/>
      <c r="BS578" s="39"/>
      <c r="BT578" s="57" t="e">
        <f t="shared" si="42"/>
        <v>#VALUE!</v>
      </c>
      <c r="BU578" s="60"/>
      <c r="BV578" s="8" t="e">
        <v>#VALUE!</v>
      </c>
      <c r="BW578" s="58" t="e">
        <f>VLOOKUP(AQ578,'[1]Harga &amp; Nama CSO'!$A$28:$D$31,4,0)*BQ578</f>
        <v>#N/A</v>
      </c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44">
        <f>IFERROR(VLOOKUP(AQ580,'[2]Harga &amp; Nama CSO'!$A$116:$S$136,19,FALSE),0)*AV580</f>
        <v>0</v>
      </c>
      <c r="BO579" s="55" t="e">
        <f>IFERROR(VLOOKUP(AQ579,'[1]Harga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43">BO579-BR579</f>
        <v>#VALUE!</v>
      </c>
      <c r="BU579" s="60"/>
      <c r="BV579" s="8" t="e">
        <v>#VALUE!</v>
      </c>
      <c r="BW579" s="58" t="e">
        <f>VLOOKUP(AQ579,'[1]Harga &amp; Nama CSO'!$A$28:$D$31,4,0)*BQ579</f>
        <v>#N/A</v>
      </c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44">
        <f>IFERROR(VLOOKUP(AQ581,'[2]Harga &amp; Nama CSO'!$A$116:$S$136,19,FALSE),0)*AV581</f>
        <v>0</v>
      </c>
      <c r="BO580" s="55" t="e">
        <f>IFERROR(VLOOKUP(AQ580,'[1]Harga &amp; Nama CSO'!$H$2:$N$22,2,FALSE),"")*AV580</f>
        <v>#VALUE!</v>
      </c>
      <c r="BP580" s="40"/>
      <c r="BQ580" s="39"/>
      <c r="BR580" s="59"/>
      <c r="BS580" s="39"/>
      <c r="BT580" s="57" t="e">
        <f t="shared" si="43"/>
        <v>#VALUE!</v>
      </c>
      <c r="BU580" s="60"/>
      <c r="BV580" s="8" t="e">
        <v>#VALUE!</v>
      </c>
      <c r="BW580" s="58" t="e">
        <f>VLOOKUP(AQ580,'[1]Harga &amp; Nama CSO'!$A$28:$D$31,4,0)*BQ580</f>
        <v>#N/A</v>
      </c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44">
        <f>IFERROR(VLOOKUP(AQ582,'[2]Harga &amp; Nama CSO'!$A$116:$S$136,19,FALSE),0)*AV582</f>
        <v>0</v>
      </c>
      <c r="BO581" s="55" t="e">
        <f>IFERROR(VLOOKUP(AQ581,'[1]Harga &amp; Nama CSO'!$H$2:$N$22,2,FALSE),"")*AV581</f>
        <v>#VALUE!</v>
      </c>
      <c r="BP581" s="40"/>
      <c r="BQ581" s="39"/>
      <c r="BR581" s="59"/>
      <c r="BS581" s="39"/>
      <c r="BT581" s="57" t="e">
        <f t="shared" si="43"/>
        <v>#VALUE!</v>
      </c>
      <c r="BU581" s="60"/>
      <c r="BV581" s="8" t="e">
        <v>#VALUE!</v>
      </c>
      <c r="BW581" s="58" t="e">
        <f>VLOOKUP(AQ581,'[1]Harga &amp; Nama CSO'!$A$28:$D$31,4,0)*BQ581</f>
        <v>#N/A</v>
      </c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44">
        <f>IFERROR(VLOOKUP(AQ583,'[2]Harga &amp; Nama CSO'!$A$116:$S$136,19,FALSE),0)*AV583</f>
        <v>0</v>
      </c>
      <c r="BO582" s="55" t="e">
        <f>IFERROR(VLOOKUP(AQ582,'[1]Harga &amp; Nama CSO'!$H$2:$N$22,2,FALSE),"")*AV582</f>
        <v>#VALUE!</v>
      </c>
      <c r="BP582" s="40"/>
      <c r="BQ582" s="39"/>
      <c r="BR582" s="59"/>
      <c r="BS582" s="39"/>
      <c r="BT582" s="57" t="e">
        <f t="shared" si="43"/>
        <v>#VALUE!</v>
      </c>
      <c r="BU582" s="60"/>
      <c r="BV582" s="8" t="e">
        <v>#VALUE!</v>
      </c>
      <c r="BW582" s="58" t="e">
        <f>VLOOKUP(AQ582,'[1]Harga &amp; Nama CSO'!$A$28:$D$31,4,0)*BQ582</f>
        <v>#N/A</v>
      </c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44">
        <f>IFERROR(VLOOKUP(AQ584,'[2]Harga &amp; Nama CSO'!$A$116:$S$136,19,FALSE),0)*AV584</f>
        <v>0</v>
      </c>
      <c r="BO583" s="55" t="e">
        <f>IFERROR(VLOOKUP(AQ583,'[1]Harga &amp; Nama CSO'!$H$2:$N$22,2,FALSE),"")*AV583</f>
        <v>#VALUE!</v>
      </c>
      <c r="BP583" s="40"/>
      <c r="BQ583" s="39"/>
      <c r="BR583" s="59"/>
      <c r="BS583" s="39"/>
      <c r="BT583" s="57" t="e">
        <f t="shared" si="43"/>
        <v>#VALUE!</v>
      </c>
      <c r="BU583" s="60"/>
      <c r="BV583" s="8" t="e">
        <v>#VALUE!</v>
      </c>
      <c r="BW583" s="58" t="e">
        <f>VLOOKUP(AQ583,'[1]Harga &amp; Nama CSO'!$A$28:$D$31,4,0)*BQ583</f>
        <v>#N/A</v>
      </c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44">
        <f>IFERROR(VLOOKUP(AQ585,'[2]Harga &amp; Nama CSO'!$A$116:$S$136,19,FALSE),0)*AV585</f>
        <v>0</v>
      </c>
      <c r="BO584" s="55" t="e">
        <f>IFERROR(VLOOKUP(AQ584,'[1]Harga &amp; Nama CSO'!$H$2:$N$22,2,FALSE),"")*AV584</f>
        <v>#VALUE!</v>
      </c>
      <c r="BP584" s="40"/>
      <c r="BQ584" s="39"/>
      <c r="BR584" s="59"/>
      <c r="BS584" s="39"/>
      <c r="BT584" s="57" t="e">
        <f t="shared" si="43"/>
        <v>#VALUE!</v>
      </c>
      <c r="BU584" s="60"/>
      <c r="BV584" s="8" t="e">
        <v>#VALUE!</v>
      </c>
      <c r="BW584" s="58" t="e">
        <f>VLOOKUP(AQ584,'[1]Harga &amp; Nama CSO'!$A$28:$D$31,4,0)*BQ584</f>
        <v>#N/A</v>
      </c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44">
        <f>IFERROR(VLOOKUP(AQ586,'[2]Harga &amp; Nama CSO'!$A$116:$S$136,19,FALSE),0)*AV586</f>
        <v>0</v>
      </c>
      <c r="BO585" s="55" t="e">
        <f>IFERROR(VLOOKUP(AQ585,'[1]Harga &amp; Nama CSO'!$H$2:$N$22,2,FALSE),"")*AV585</f>
        <v>#VALUE!</v>
      </c>
      <c r="BP585" s="40"/>
      <c r="BQ585" s="39"/>
      <c r="BR585" s="59"/>
      <c r="BS585" s="39"/>
      <c r="BT585" s="57" t="e">
        <f t="shared" si="43"/>
        <v>#VALUE!</v>
      </c>
      <c r="BU585" s="60"/>
      <c r="BV585" s="8" t="e">
        <v>#VALUE!</v>
      </c>
      <c r="BW585" s="58" t="e">
        <f>VLOOKUP(AQ585,'[1]Harga &amp; Nama CSO'!$A$28:$D$31,4,0)*BQ585</f>
        <v>#N/A</v>
      </c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44">
        <f>IFERROR(VLOOKUP(AQ587,'[2]Harga &amp; Nama CSO'!$A$116:$S$136,19,FALSE),0)*AV587</f>
        <v>0</v>
      </c>
      <c r="BO586" s="55" t="e">
        <f>IFERROR(VLOOKUP(AQ586,'[1]Harga &amp; Nama CSO'!$H$2:$N$22,2,FALSE),"")*AV586</f>
        <v>#VALUE!</v>
      </c>
      <c r="BP586" s="40"/>
      <c r="BQ586" s="39"/>
      <c r="BR586" s="59"/>
      <c r="BS586" s="39"/>
      <c r="BT586" s="57" t="e">
        <f t="shared" si="43"/>
        <v>#VALUE!</v>
      </c>
      <c r="BU586" s="60"/>
      <c r="BV586" s="8" t="e">
        <v>#VALUE!</v>
      </c>
      <c r="BW586" s="58" t="e">
        <f>VLOOKUP(AQ586,'[1]Harga &amp; Nama CSO'!$A$28:$D$31,4,0)*BQ586</f>
        <v>#N/A</v>
      </c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44">
        <f>IFERROR(VLOOKUP(AQ588,'[2]Harga &amp; Nama CSO'!$A$116:$S$136,19,FALSE),0)*AV588</f>
        <v>0</v>
      </c>
      <c r="BO587" s="55" t="e">
        <f>IFERROR(VLOOKUP(AQ587,'[1]Harga &amp; Nama CSO'!$H$2:$N$22,2,FALSE),"")*AV587</f>
        <v>#VALUE!</v>
      </c>
      <c r="BP587" s="40"/>
      <c r="BQ587" s="39"/>
      <c r="BR587" s="59"/>
      <c r="BS587" s="39"/>
      <c r="BT587" s="57" t="e">
        <f t="shared" si="43"/>
        <v>#VALUE!</v>
      </c>
      <c r="BU587" s="60"/>
      <c r="BV587" s="8" t="e">
        <v>#VALUE!</v>
      </c>
      <c r="BW587" s="58" t="e">
        <f>VLOOKUP(AQ587,'[1]Harga &amp; Nama CSO'!$A$28:$D$31,4,0)*BQ587</f>
        <v>#N/A</v>
      </c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44">
        <f>IFERROR(VLOOKUP(AQ589,'[2]Harga &amp; Nama CSO'!$A$116:$S$136,19,FALSE),0)*AV589</f>
        <v>0</v>
      </c>
      <c r="BO588" s="55" t="e">
        <f>IFERROR(VLOOKUP(AQ588,'[1]Harga &amp; Nama CSO'!$H$2:$N$22,2,FALSE),"")*AV588</f>
        <v>#VALUE!</v>
      </c>
      <c r="BP588" s="40"/>
      <c r="BQ588" s="4"/>
      <c r="BR588" s="61"/>
      <c r="BS588" s="4"/>
      <c r="BT588" s="57" t="e">
        <f t="shared" si="43"/>
        <v>#VALUE!</v>
      </c>
      <c r="BU588" s="62"/>
      <c r="BV588" s="8" t="e">
        <v>#VALUE!</v>
      </c>
      <c r="BW588" s="58" t="e">
        <f>VLOOKUP(AQ588,'[1]Harga &amp; Nama CSO'!$A$28:$D$31,4,0)*BQ588</f>
        <v>#N/A</v>
      </c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44">
        <f>IFERROR(VLOOKUP(AQ590,'[2]Harga &amp; Nama CSO'!$A$116:$S$136,19,FALSE),0)*AV590</f>
        <v>0</v>
      </c>
      <c r="BO589" s="55" t="e">
        <f>IFERROR(VLOOKUP(AQ589,'[1]Harga &amp; Nama CSO'!$H$2:$N$22,2,FALSE),"")*AV589</f>
        <v>#VALUE!</v>
      </c>
      <c r="BP589" s="40"/>
      <c r="BQ589" s="4"/>
      <c r="BR589" s="61"/>
      <c r="BS589" s="4"/>
      <c r="BT589" s="57" t="e">
        <f t="shared" si="43"/>
        <v>#VALUE!</v>
      </c>
      <c r="BU589" s="62"/>
      <c r="BV589" s="8" t="e">
        <v>#VALUE!</v>
      </c>
      <c r="BW589" s="58" t="e">
        <f>VLOOKUP(AQ589,'[1]Harga &amp; Nama CSO'!$A$28:$D$31,4,0)*BQ589</f>
        <v>#N/A</v>
      </c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44">
        <f>IFERROR(VLOOKUP(AQ591,'[2]Harga &amp; Nama CSO'!$A$116:$S$136,19,FALSE),0)*AV591</f>
        <v>0</v>
      </c>
      <c r="BO590" s="55" t="e">
        <f>IFERROR(VLOOKUP(AQ590,'[1]Harga &amp; Nama CSO'!$H$2:$N$22,2,FALSE),"")*AV590</f>
        <v>#VALUE!</v>
      </c>
      <c r="BP590" s="40"/>
      <c r="BQ590" s="4"/>
      <c r="BR590" s="61"/>
      <c r="BS590" s="4"/>
      <c r="BT590" s="57" t="e">
        <f t="shared" si="43"/>
        <v>#VALUE!</v>
      </c>
      <c r="BU590" s="62"/>
      <c r="BV590" s="8" t="e">
        <v>#VALUE!</v>
      </c>
      <c r="BW590" s="58" t="e">
        <f>VLOOKUP(AQ590,'[1]Harga &amp; Nama CSO'!$A$28:$D$31,4,0)*BQ590</f>
        <v>#N/A</v>
      </c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44">
        <f>IFERROR(VLOOKUP(AQ592,'[2]Harga &amp; Nama CSO'!$A$116:$S$136,19,FALSE),0)*AV592</f>
        <v>0</v>
      </c>
      <c r="BO591" s="55" t="e">
        <f>IFERROR(VLOOKUP(AQ591,'[1]Harga &amp; Nama CSO'!$H$2:$N$22,2,FALSE),"")*AV591</f>
        <v>#VALUE!</v>
      </c>
      <c r="BP591" s="40"/>
      <c r="BQ591" s="4"/>
      <c r="BR591" s="61"/>
      <c r="BS591" s="4"/>
      <c r="BT591" s="57" t="e">
        <f t="shared" si="43"/>
        <v>#VALUE!</v>
      </c>
      <c r="BU591" s="62"/>
      <c r="BV591" s="8" t="e">
        <v>#VALUE!</v>
      </c>
      <c r="BW591" s="58" t="e">
        <f>VLOOKUP(AQ591,'[1]Harga &amp; Nama CSO'!$A$28:$D$31,4,0)*BQ591</f>
        <v>#N/A</v>
      </c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44">
        <f>IFERROR(VLOOKUP(AQ593,'[2]Harga &amp; Nama CSO'!$A$116:$S$136,19,FALSE),0)*AV593</f>
        <v>0</v>
      </c>
      <c r="BO592" s="55" t="e">
        <f>IFERROR(VLOOKUP(AQ592,'[1]Harga &amp; Nama CSO'!$H$2:$N$22,2,FALSE),"")*AV592</f>
        <v>#VALUE!</v>
      </c>
      <c r="BP592" s="40"/>
      <c r="BQ592" s="4"/>
      <c r="BR592" s="61"/>
      <c r="BS592" s="4"/>
      <c r="BT592" s="57" t="e">
        <f t="shared" si="43"/>
        <v>#VALUE!</v>
      </c>
      <c r="BU592" s="62"/>
      <c r="BV592" s="8" t="e">
        <v>#VALUE!</v>
      </c>
      <c r="BW592" s="58" t="e">
        <f>VLOOKUP(AQ592,'[1]Harga &amp; Nama CSO'!$A$28:$D$31,4,0)*BQ592</f>
        <v>#N/A</v>
      </c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44">
        <f>IFERROR(VLOOKUP(AQ594,'[2]Harga &amp; Nama CSO'!$A$116:$S$136,19,FALSE),0)*AV594</f>
        <v>0</v>
      </c>
      <c r="BO593" s="55" t="e">
        <f>IFERROR(VLOOKUP(AQ593,'[1]Harga &amp; Nama CSO'!$H$2:$N$22,2,FALSE),"")*AV593</f>
        <v>#VALUE!</v>
      </c>
      <c r="BP593" s="40"/>
      <c r="BQ593" s="4"/>
      <c r="BR593" s="61"/>
      <c r="BS593" s="4"/>
      <c r="BT593" s="57" t="e">
        <f t="shared" si="43"/>
        <v>#VALUE!</v>
      </c>
      <c r="BU593" s="62"/>
      <c r="BV593" s="8" t="e">
        <v>#VALUE!</v>
      </c>
      <c r="BW593" s="58" t="e">
        <f>VLOOKUP(AQ593,'[1]Harga &amp; Nama CSO'!$A$28:$D$31,4,0)*BQ593</f>
        <v>#N/A</v>
      </c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44">
        <f>IFERROR(VLOOKUP(AQ595,'[2]Harga &amp; Nama CSO'!$A$116:$S$136,19,FALSE),0)*AV595</f>
        <v>0</v>
      </c>
      <c r="BO594" s="55" t="e">
        <f>IFERROR(VLOOKUP(AQ594,'[1]Harga &amp; Nama CSO'!$H$2:$N$22,2,FALSE),"")*AV594</f>
        <v>#VALUE!</v>
      </c>
      <c r="BP594" s="40"/>
      <c r="BQ594" s="4"/>
      <c r="BR594" s="61"/>
      <c r="BS594" s="4"/>
      <c r="BT594" s="57" t="e">
        <f t="shared" si="43"/>
        <v>#VALUE!</v>
      </c>
      <c r="BU594" s="62"/>
      <c r="BV594" s="8" t="e">
        <v>#VALUE!</v>
      </c>
      <c r="BW594" s="58" t="e">
        <f>VLOOKUP(AQ594,'[1]Harga &amp; Nama CSO'!$A$28:$D$31,4,0)*BQ594</f>
        <v>#N/A</v>
      </c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44">
        <f>IFERROR(VLOOKUP(AQ596,'[2]Harga &amp; Nama CSO'!$A$116:$S$136,19,FALSE),0)*AV596</f>
        <v>0</v>
      </c>
      <c r="BO595" s="55" t="e">
        <f>IFERROR(VLOOKUP(AQ595,'[1]Harga &amp; Nama CSO'!$H$2:$N$22,2,FALSE),"")*AV595</f>
        <v>#VALUE!</v>
      </c>
      <c r="BP595" s="40"/>
      <c r="BQ595" s="4"/>
      <c r="BR595" s="61"/>
      <c r="BS595" s="4"/>
      <c r="BT595" s="57" t="e">
        <f t="shared" si="43"/>
        <v>#VALUE!</v>
      </c>
      <c r="BU595" s="62"/>
      <c r="BV595" s="8" t="e">
        <v>#VALUE!</v>
      </c>
      <c r="BW595" s="58" t="e">
        <f>VLOOKUP(AQ595,'[1]Harga &amp; Nama CSO'!$A$28:$D$31,4,0)*BQ595</f>
        <v>#N/A</v>
      </c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44">
        <f>IFERROR(VLOOKUP(AQ597,'[2]Harga &amp; Nama CSO'!$A$116:$S$136,19,FALSE),0)*AV597</f>
        <v>0</v>
      </c>
      <c r="BO596" s="55" t="e">
        <f>IFERROR(VLOOKUP(AQ596,'[1]Harga &amp; Nama CSO'!$H$2:$N$22,2,FALSE),"")*AV596</f>
        <v>#VALUE!</v>
      </c>
      <c r="BP596" s="40"/>
      <c r="BQ596" s="4"/>
      <c r="BR596" s="61"/>
      <c r="BS596" s="4"/>
      <c r="BT596" s="57" t="e">
        <f t="shared" si="43"/>
        <v>#VALUE!</v>
      </c>
      <c r="BU596" s="62"/>
      <c r="BV596" s="8" t="e">
        <v>#VALUE!</v>
      </c>
      <c r="BW596" s="58" t="e">
        <f>VLOOKUP(AQ596,'[1]Harga &amp; Nama CSO'!$A$28:$D$31,4,0)*BQ596</f>
        <v>#N/A</v>
      </c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44">
        <f>IFERROR(VLOOKUP(AQ598,'[2]Harga &amp; Nama CSO'!$A$116:$S$136,19,FALSE),0)*AV598</f>
        <v>0</v>
      </c>
      <c r="BO597" s="55" t="e">
        <f>IFERROR(VLOOKUP(AQ597,'[1]Harga &amp; Nama CSO'!$H$2:$N$22,2,FALSE),"")*AV597</f>
        <v>#VALUE!</v>
      </c>
      <c r="BP597" s="40"/>
      <c r="BQ597" s="4"/>
      <c r="BR597" s="61"/>
      <c r="BS597" s="4"/>
      <c r="BT597" s="57" t="e">
        <f t="shared" si="43"/>
        <v>#VALUE!</v>
      </c>
      <c r="BU597" s="62"/>
      <c r="BV597" s="8" t="e">
        <v>#VALUE!</v>
      </c>
      <c r="BW597" s="58" t="e">
        <f>VLOOKUP(AQ597,'[1]Harga &amp; Nama CSO'!$A$28:$D$31,4,0)*BQ597</f>
        <v>#N/A</v>
      </c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44">
        <f>IFERROR(VLOOKUP(AQ599,'[2]Harga &amp; Nama CSO'!$A$116:$S$136,19,FALSE),0)*AV599</f>
        <v>0</v>
      </c>
      <c r="BO598" s="55" t="e">
        <f>IFERROR(VLOOKUP(AQ598,'[1]Harga &amp; Nama CSO'!$H$2:$N$22,2,FALSE),"")*AV598</f>
        <v>#VALUE!</v>
      </c>
      <c r="BP598" s="40"/>
      <c r="BQ598" s="4"/>
      <c r="BR598" s="61"/>
      <c r="BS598" s="4"/>
      <c r="BT598" s="57" t="e">
        <f t="shared" si="43"/>
        <v>#VALUE!</v>
      </c>
      <c r="BU598" s="62"/>
      <c r="BV598" s="8" t="e">
        <v>#VALUE!</v>
      </c>
      <c r="BW598" s="58" t="e">
        <f>VLOOKUP(AQ598,'[1]Harga &amp; Nama CSO'!$A$28:$D$31,4,0)*BQ598</f>
        <v>#N/A</v>
      </c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44">
        <f>IFERROR(VLOOKUP(AQ600,'[2]Harga &amp; Nama CSO'!$A$116:$S$136,19,FALSE),0)*AV600</f>
        <v>0</v>
      </c>
      <c r="BO599" s="55" t="e">
        <f>IFERROR(VLOOKUP(AQ599,'[1]Harga &amp; Nama CSO'!$H$2:$N$22,2,FALSE),"")*AV599</f>
        <v>#VALUE!</v>
      </c>
      <c r="BP599" s="40"/>
      <c r="BQ599" s="4"/>
      <c r="BR599" s="61"/>
      <c r="BS599" s="4"/>
      <c r="BT599" s="57" t="e">
        <f t="shared" si="43"/>
        <v>#VALUE!</v>
      </c>
      <c r="BU599" s="62"/>
      <c r="BV599" s="8" t="e">
        <v>#VALUE!</v>
      </c>
      <c r="BW599" s="58" t="e">
        <f>VLOOKUP(AQ599,'[1]Harga &amp; Nama CSO'!$A$28:$D$31,4,0)*BQ599</f>
        <v>#N/A</v>
      </c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44">
        <f>IFERROR(VLOOKUP(AQ601,'[2]Harga &amp; Nama CSO'!$A$116:$S$136,19,FALSE),0)*AV601</f>
        <v>0</v>
      </c>
      <c r="BO600" s="55" t="e">
        <f>IFERROR(VLOOKUP(AQ600,'[1]Harga &amp; Nama CSO'!$H$2:$N$22,2,FALSE),"")*AV600</f>
        <v>#VALUE!</v>
      </c>
      <c r="BP600" s="40"/>
      <c r="BQ600" s="4"/>
      <c r="BR600" s="61"/>
      <c r="BS600" s="4"/>
      <c r="BT600" s="57" t="e">
        <f t="shared" si="43"/>
        <v>#VALUE!</v>
      </c>
      <c r="BU600" s="62"/>
      <c r="BV600" s="8" t="e">
        <v>#VALUE!</v>
      </c>
      <c r="BW600" s="58" t="e">
        <f>VLOOKUP(AQ600,'[1]Harga &amp; Nama CSO'!$A$28:$D$31,4,0)*BQ600</f>
        <v>#N/A</v>
      </c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44">
        <f>IFERROR(VLOOKUP(AQ602,'[2]Harga &amp; Nama CSO'!$A$116:$S$136,19,FALSE),0)*AV602</f>
        <v>0</v>
      </c>
      <c r="BO601" s="55" t="e">
        <f>IFERROR(VLOOKUP(AQ601,'[1]Harga &amp; Nama CSO'!$H$2:$N$22,2,FALSE),"")*AV601</f>
        <v>#VALUE!</v>
      </c>
      <c r="BP601" s="40"/>
      <c r="BQ601" s="4"/>
      <c r="BR601" s="61"/>
      <c r="BS601" s="4"/>
      <c r="BT601" s="57" t="e">
        <f t="shared" si="43"/>
        <v>#VALUE!</v>
      </c>
      <c r="BU601" s="62"/>
      <c r="BV601" s="8" t="e">
        <v>#VALUE!</v>
      </c>
      <c r="BW601" s="58" t="e">
        <f>VLOOKUP(AQ601,'[1]Harga &amp; Nama CSO'!$A$28:$D$31,4,0)*BQ601</f>
        <v>#N/A</v>
      </c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44">
        <f>IFERROR(VLOOKUP(AQ603,'[2]Harga &amp; Nama CSO'!$A$116:$S$136,19,FALSE),0)*AV603</f>
        <v>0</v>
      </c>
      <c r="BO602" s="55" t="e">
        <f>IFERROR(VLOOKUP(AQ602,'[1]Harga &amp; Nama CSO'!$H$2:$N$22,2,FALSE),"")*AV602</f>
        <v>#VALUE!</v>
      </c>
      <c r="BP602" s="40"/>
      <c r="BQ602" s="4"/>
      <c r="BR602" s="61"/>
      <c r="BS602" s="4"/>
      <c r="BT602" s="57" t="e">
        <f t="shared" si="43"/>
        <v>#VALUE!</v>
      </c>
      <c r="BU602" s="62"/>
      <c r="BV602" s="8" t="e">
        <v>#VALUE!</v>
      </c>
      <c r="BW602" s="58" t="e">
        <f>VLOOKUP(AQ602,'[1]Harga &amp; Nama CSO'!$A$28:$D$31,4,0)*BQ602</f>
        <v>#N/A</v>
      </c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44">
        <f>IFERROR(VLOOKUP(AQ604,'[2]Harga &amp; Nama CSO'!$A$116:$S$136,19,FALSE),0)*AV604</f>
        <v>0</v>
      </c>
      <c r="BO603" s="55" t="e">
        <f>IFERROR(VLOOKUP(AQ603,'[1]Harga &amp; Nama CSO'!$H$2:$N$22,2,FALSE),"")*AV603</f>
        <v>#VALUE!</v>
      </c>
      <c r="BP603" s="40"/>
      <c r="BQ603" s="4"/>
      <c r="BR603" s="61"/>
      <c r="BS603" s="4"/>
      <c r="BT603" s="57" t="e">
        <f t="shared" si="43"/>
        <v>#VALUE!</v>
      </c>
      <c r="BU603" s="62"/>
      <c r="BV603" s="8" t="e">
        <v>#VALUE!</v>
      </c>
      <c r="BW603" s="58" t="e">
        <f>VLOOKUP(AQ603,'[1]Harga &amp; Nama CSO'!$A$28:$D$31,4,0)*BQ603</f>
        <v>#N/A</v>
      </c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44">
        <f>IFERROR(VLOOKUP(AQ605,'[2]Harga &amp; Nama CSO'!$A$116:$S$136,19,FALSE),0)*AV605</f>
        <v>0</v>
      </c>
      <c r="BO604" s="55" t="e">
        <f>IFERROR(VLOOKUP(AQ604,'[1]Harga &amp; Nama CSO'!$H$2:$N$22,2,FALSE),"")*AV604</f>
        <v>#VALUE!</v>
      </c>
      <c r="BP604" s="40"/>
      <c r="BQ604" s="4"/>
      <c r="BR604" s="61"/>
      <c r="BS604" s="4"/>
      <c r="BT604" s="57" t="e">
        <f t="shared" si="43"/>
        <v>#VALUE!</v>
      </c>
      <c r="BU604" s="62"/>
      <c r="BV604" s="8" t="e">
        <v>#VALUE!</v>
      </c>
      <c r="BW604" s="58" t="e">
        <f>VLOOKUP(AQ604,'[1]Harga &amp; Nama CSO'!$A$28:$D$31,4,0)*BQ604</f>
        <v>#N/A</v>
      </c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44">
        <f>IFERROR(VLOOKUP(AQ606,'[2]Harga &amp; Nama CSO'!$A$116:$S$136,19,FALSE),0)*AV606</f>
        <v>0</v>
      </c>
      <c r="BO605" s="55" t="e">
        <f>IFERROR(VLOOKUP(AQ605,'[1]Harga &amp; Nama CSO'!$H$2:$N$22,2,FALSE),"")*AV605</f>
        <v>#VALUE!</v>
      </c>
      <c r="BP605" s="40"/>
      <c r="BQ605" s="4"/>
      <c r="BR605" s="61"/>
      <c r="BS605" s="4"/>
      <c r="BT605" s="57" t="e">
        <f t="shared" si="43"/>
        <v>#VALUE!</v>
      </c>
      <c r="BU605" s="62"/>
      <c r="BV605" s="8" t="e">
        <v>#VALUE!</v>
      </c>
      <c r="BW605" s="58" t="e">
        <f>VLOOKUP(AQ605,'[1]Harga &amp; Nama CSO'!$A$28:$D$31,4,0)*BQ605</f>
        <v>#N/A</v>
      </c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44">
        <f>IFERROR(VLOOKUP(AQ607,'[2]Harga &amp; Nama CSO'!$A$116:$S$136,19,FALSE),0)*AV607</f>
        <v>0</v>
      </c>
      <c r="BO606" s="55" t="e">
        <f>IFERROR(VLOOKUP(AQ606,'[1]Harga &amp; Nama CSO'!$H$2:$N$22,2,FALSE),"")*AV606</f>
        <v>#VALUE!</v>
      </c>
      <c r="BP606" s="40"/>
      <c r="BQ606" s="4"/>
      <c r="BR606" s="61"/>
      <c r="BS606" s="4"/>
      <c r="BT606" s="57" t="e">
        <f t="shared" si="43"/>
        <v>#VALUE!</v>
      </c>
      <c r="BU606" s="62"/>
      <c r="BV606" s="8" t="e">
        <v>#VALUE!</v>
      </c>
      <c r="BW606" s="58" t="e">
        <f>VLOOKUP(AQ606,'[1]Harga &amp; Nama CSO'!$A$28:$D$31,4,0)*BQ606</f>
        <v>#N/A</v>
      </c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44">
        <f>IFERROR(VLOOKUP(AQ608,'[2]Harga &amp; Nama CSO'!$A$116:$S$136,19,FALSE),0)*AV608</f>
        <v>0</v>
      </c>
      <c r="BO607" s="55" t="e">
        <f>IFERROR(VLOOKUP(AQ607,'[1]Harga &amp; Nama CSO'!$H$2:$N$22,2,FALSE),"")*AV607</f>
        <v>#VALUE!</v>
      </c>
      <c r="BP607" s="40"/>
      <c r="BQ607" s="4"/>
      <c r="BR607" s="61"/>
      <c r="BS607" s="4"/>
      <c r="BT607" s="57" t="e">
        <f t="shared" si="43"/>
        <v>#VALUE!</v>
      </c>
      <c r="BU607" s="62"/>
      <c r="BV607" s="8" t="e">
        <v>#VALUE!</v>
      </c>
      <c r="BW607" s="58" t="e">
        <f>VLOOKUP(AQ607,'[1]Harga &amp; Nama CSO'!$A$28:$D$31,4,0)*BQ607</f>
        <v>#N/A</v>
      </c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44">
        <f>IFERROR(VLOOKUP(AQ609,'[2]Harga &amp; Nama CSO'!$A$116:$S$136,19,FALSE),0)*AV609</f>
        <v>0</v>
      </c>
      <c r="BO608" s="55" t="e">
        <f>IFERROR(VLOOKUP(AQ608,'[1]Harga &amp; Nama CSO'!$H$2:$N$22,2,FALSE),"")*AV608</f>
        <v>#VALUE!</v>
      </c>
      <c r="BP608" s="40"/>
      <c r="BQ608" s="4"/>
      <c r="BR608" s="61"/>
      <c r="BS608" s="4"/>
      <c r="BT608" s="57" t="e">
        <f t="shared" si="43"/>
        <v>#VALUE!</v>
      </c>
      <c r="BU608" s="62"/>
      <c r="BV608" s="8" t="e">
        <v>#VALUE!</v>
      </c>
      <c r="BW608" s="58" t="e">
        <f>VLOOKUP(AQ608,'[1]Harga &amp; Nama CSO'!$A$28:$D$31,4,0)*BQ608</f>
        <v>#N/A</v>
      </c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44">
        <f>IFERROR(VLOOKUP(AQ610,'[2]Harga &amp; Nama CSO'!$A$116:$S$136,19,FALSE),0)*AV610</f>
        <v>0</v>
      </c>
      <c r="BO609" s="55" t="e">
        <f>IFERROR(VLOOKUP(AQ609,'[1]Harga &amp; Nama CSO'!$H$2:$N$22,2,FALSE),"")*AV609</f>
        <v>#VALUE!</v>
      </c>
      <c r="BP609" s="40"/>
      <c r="BQ609" s="4"/>
      <c r="BR609" s="61"/>
      <c r="BS609" s="4"/>
      <c r="BT609" s="57" t="e">
        <f t="shared" si="43"/>
        <v>#VALUE!</v>
      </c>
      <c r="BU609" s="62"/>
      <c r="BV609" s="8" t="e">
        <v>#VALUE!</v>
      </c>
      <c r="BW609" s="58" t="e">
        <f>VLOOKUP(AQ609,'[1]Harga &amp; Nama CSO'!$A$28:$D$31,4,0)*BQ609</f>
        <v>#N/A</v>
      </c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44">
        <f>IFERROR(VLOOKUP(AQ611,'[2]Harga &amp; Nama CSO'!$A$116:$S$136,19,FALSE),0)*AV611</f>
        <v>0</v>
      </c>
      <c r="BO610" s="55" t="e">
        <f>IFERROR(VLOOKUP(AQ610,'[1]Harga &amp; Nama CSO'!$H$2:$N$22,2,FALSE),"")*AV610</f>
        <v>#VALUE!</v>
      </c>
      <c r="BP610" s="40"/>
      <c r="BQ610" s="4"/>
      <c r="BR610" s="61"/>
      <c r="BS610" s="4"/>
      <c r="BT610" s="57" t="e">
        <f t="shared" si="43"/>
        <v>#VALUE!</v>
      </c>
      <c r="BU610" s="62"/>
      <c r="BV610" s="8" t="e">
        <v>#VALUE!</v>
      </c>
      <c r="BW610" s="58" t="e">
        <f>VLOOKUP(AQ610,'[1]Harga &amp; Nama CSO'!$A$28:$D$31,4,0)*BQ610</f>
        <v>#N/A</v>
      </c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44">
        <f>IFERROR(VLOOKUP(AQ612,'[2]Harga &amp; Nama CSO'!$A$116:$S$136,19,FALSE),0)*AV612</f>
        <v>0</v>
      </c>
      <c r="BO611" s="55" t="e">
        <f>IFERROR(VLOOKUP(AQ611,'[1]Harga &amp; Nama CSO'!$H$2:$N$22,2,FALSE),"")*AV611</f>
        <v>#VALUE!</v>
      </c>
      <c r="BP611" s="40"/>
      <c r="BQ611" s="4"/>
      <c r="BR611" s="61"/>
      <c r="BS611" s="4"/>
      <c r="BT611" s="57" t="e">
        <f t="shared" si="43"/>
        <v>#VALUE!</v>
      </c>
      <c r="BU611" s="62"/>
      <c r="BV611" s="8" t="e">
        <v>#VALUE!</v>
      </c>
      <c r="BW611" s="58" t="e">
        <f>VLOOKUP(AQ611,'[1]Harga &amp; Nama CSO'!$A$28:$D$31,4,0)*BQ611</f>
        <v>#N/A</v>
      </c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44">
        <f>IFERROR(VLOOKUP(AQ613,'[2]Harga &amp; Nama CSO'!$A$116:$S$136,19,FALSE),0)*AV613</f>
        <v>0</v>
      </c>
      <c r="BO612" s="55" t="e">
        <f>IFERROR(VLOOKUP(AQ612,'[1]Harga &amp; Nama CSO'!$H$2:$N$22,2,FALSE),"")*AV612</f>
        <v>#VALUE!</v>
      </c>
      <c r="BP612" s="40"/>
      <c r="BQ612" s="4"/>
      <c r="BR612" s="61"/>
      <c r="BS612" s="4"/>
      <c r="BT612" s="57" t="e">
        <f t="shared" si="43"/>
        <v>#VALUE!</v>
      </c>
      <c r="BU612" s="62"/>
      <c r="BV612" s="8" t="e">
        <v>#VALUE!</v>
      </c>
      <c r="BW612" s="58" t="e">
        <f>VLOOKUP(AQ612,'[1]Harga &amp; Nama CSO'!$A$28:$D$31,4,0)*BQ612</f>
        <v>#N/A</v>
      </c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44">
        <f>IFERROR(VLOOKUP(AQ614,'[2]Harga &amp; Nama CSO'!$A$116:$S$136,19,FALSE),0)*AV614</f>
        <v>0</v>
      </c>
      <c r="BO613" s="55" t="e">
        <f>IFERROR(VLOOKUP(AQ613,'[1]Harga &amp; Nama CSO'!$H$2:$N$22,2,FALSE),"")*AV613</f>
        <v>#VALUE!</v>
      </c>
      <c r="BP613" s="40"/>
      <c r="BQ613" s="4"/>
      <c r="BR613" s="61"/>
      <c r="BS613" s="4"/>
      <c r="BT613" s="57" t="e">
        <f t="shared" si="43"/>
        <v>#VALUE!</v>
      </c>
      <c r="BU613" s="62"/>
      <c r="BV613" s="8" t="e">
        <v>#VALUE!</v>
      </c>
      <c r="BW613" s="58" t="e">
        <f>VLOOKUP(AQ613,'[1]Harga &amp; Nama CSO'!$A$28:$D$31,4,0)*BQ613</f>
        <v>#N/A</v>
      </c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44">
        <f>IFERROR(VLOOKUP(AQ615,'[2]Harga &amp; Nama CSO'!$A$116:$S$136,19,FALSE),0)*AV615</f>
        <v>0</v>
      </c>
      <c r="BO614" s="55" t="e">
        <f>IFERROR(VLOOKUP(AQ614,'[1]Harga &amp; Nama CSO'!$H$2:$N$22,2,FALSE),"")*AV614</f>
        <v>#VALUE!</v>
      </c>
      <c r="BP614" s="40"/>
      <c r="BQ614" s="4"/>
      <c r="BR614" s="61"/>
      <c r="BS614" s="4"/>
      <c r="BT614" s="57" t="e">
        <f t="shared" si="43"/>
        <v>#VALUE!</v>
      </c>
      <c r="BU614" s="62"/>
      <c r="BV614" s="8" t="e">
        <v>#VALUE!</v>
      </c>
      <c r="BW614" s="58" t="e">
        <f>VLOOKUP(AQ614,'[1]Harga &amp; Nama CSO'!$A$28:$D$31,4,0)*BQ614</f>
        <v>#N/A</v>
      </c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44">
        <f>IFERROR(VLOOKUP(AQ616,'[2]Harga &amp; Nama CSO'!$A$116:$S$136,19,FALSE),0)*AV616</f>
        <v>0</v>
      </c>
      <c r="BO615" s="55" t="e">
        <f>IFERROR(VLOOKUP(AQ615,'[1]Harga &amp; Nama CSO'!$H$2:$N$22,2,FALSE),"")*AV615</f>
        <v>#VALUE!</v>
      </c>
      <c r="BP615" s="40"/>
      <c r="BQ615" s="4"/>
      <c r="BR615" s="61"/>
      <c r="BS615" s="4"/>
      <c r="BT615" s="57" t="e">
        <f t="shared" si="43"/>
        <v>#VALUE!</v>
      </c>
      <c r="BU615" s="62"/>
      <c r="BV615" s="8" t="e">
        <v>#VALUE!</v>
      </c>
      <c r="BW615" s="58" t="e">
        <f>VLOOKUP(AQ615,'[1]Harga &amp; Nama CSO'!$A$28:$D$31,4,0)*BQ615</f>
        <v>#N/A</v>
      </c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44">
        <f>IFERROR(VLOOKUP(AQ617,'[2]Harga &amp; Nama CSO'!$A$116:$S$136,19,FALSE),0)*AV617</f>
        <v>0</v>
      </c>
      <c r="BO616" s="55" t="e">
        <f>IFERROR(VLOOKUP(AQ616,'[1]Harga &amp; Nama CSO'!$H$2:$N$22,2,FALSE),"")*AV616</f>
        <v>#VALUE!</v>
      </c>
      <c r="BP616" s="40"/>
      <c r="BQ616" s="4"/>
      <c r="BR616" s="61"/>
      <c r="BS616" s="4"/>
      <c r="BT616" s="57" t="e">
        <f t="shared" si="43"/>
        <v>#VALUE!</v>
      </c>
      <c r="BU616" s="62"/>
      <c r="BV616" s="8" t="e">
        <v>#VALUE!</v>
      </c>
      <c r="BW616" s="58" t="e">
        <f>VLOOKUP(AQ616,'[1]Harga &amp; Nama CSO'!$A$28:$D$31,4,0)*BQ616</f>
        <v>#N/A</v>
      </c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44">
        <f>IFERROR(VLOOKUP(AQ618,'[2]Harga &amp; Nama CSO'!$A$116:$S$136,19,FALSE),0)*AV618</f>
        <v>0</v>
      </c>
      <c r="BO617" s="55" t="e">
        <f>IFERROR(VLOOKUP(AQ617,'[1]Harga &amp; Nama CSO'!$H$2:$N$22,2,FALSE),"")*AV617</f>
        <v>#VALUE!</v>
      </c>
      <c r="BP617" s="40"/>
      <c r="BQ617" s="4"/>
      <c r="BR617" s="61"/>
      <c r="BS617" s="4"/>
      <c r="BT617" s="57" t="e">
        <f t="shared" si="43"/>
        <v>#VALUE!</v>
      </c>
      <c r="BU617" s="62"/>
      <c r="BV617" s="8" t="e">
        <v>#VALUE!</v>
      </c>
      <c r="BW617" s="58" t="e">
        <f>VLOOKUP(AQ617,'[1]Harga &amp; Nama CSO'!$A$28:$D$31,4,0)*BQ617</f>
        <v>#N/A</v>
      </c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44">
        <f>IFERROR(VLOOKUP(AQ619,'[2]Harga &amp; Nama CSO'!$A$116:$S$136,19,FALSE),0)*AV619</f>
        <v>0</v>
      </c>
      <c r="BO618" s="55" t="e">
        <f>IFERROR(VLOOKUP(AQ618,'[1]Harga &amp; Nama CSO'!$H$2:$N$22,2,FALSE),"")*AV618</f>
        <v>#VALUE!</v>
      </c>
      <c r="BP618" s="40"/>
      <c r="BQ618" s="4"/>
      <c r="BR618" s="61"/>
      <c r="BS618" s="4"/>
      <c r="BT618" s="57" t="e">
        <f t="shared" si="43"/>
        <v>#VALUE!</v>
      </c>
      <c r="BU618" s="62"/>
      <c r="BV618" s="8" t="e">
        <v>#VALUE!</v>
      </c>
      <c r="BW618" s="58" t="e">
        <f>VLOOKUP(AQ618,'[1]Harga &amp; Nama CSO'!$A$28:$D$31,4,0)*BQ618</f>
        <v>#N/A</v>
      </c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44">
        <f>IFERROR(VLOOKUP(AQ620,'[2]Harga &amp; Nama CSO'!$A$116:$S$136,19,FALSE),0)*AV620</f>
        <v>0</v>
      </c>
      <c r="BO619" s="55" t="e">
        <f>IFERROR(VLOOKUP(AQ619,'[1]Harga &amp; Nama CSO'!$H$2:$N$22,2,FALSE),"")*AV619</f>
        <v>#VALUE!</v>
      </c>
      <c r="BP619" s="40"/>
      <c r="BQ619" s="4"/>
      <c r="BR619" s="61"/>
      <c r="BS619" s="4"/>
      <c r="BT619" s="57" t="e">
        <f t="shared" si="43"/>
        <v>#VALUE!</v>
      </c>
      <c r="BU619" s="62"/>
      <c r="BV619" s="8" t="e">
        <v>#VALUE!</v>
      </c>
      <c r="BW619" s="58" t="e">
        <f>VLOOKUP(AQ619,'[1]Harga &amp; Nama CSO'!$A$28:$D$31,4,0)*BQ619</f>
        <v>#N/A</v>
      </c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44">
        <f>IFERROR(VLOOKUP(AQ621,'[2]Harga &amp; Nama CSO'!$A$116:$S$136,19,FALSE),0)*AV621</f>
        <v>0</v>
      </c>
      <c r="BO620" s="55" t="e">
        <f>IFERROR(VLOOKUP(AQ620,'[1]Harga &amp; Nama CSO'!$H$2:$N$22,2,FALSE),"")*AV620</f>
        <v>#VALUE!</v>
      </c>
      <c r="BP620" s="40"/>
      <c r="BQ620" s="4"/>
      <c r="BR620" s="61"/>
      <c r="BS620" s="4"/>
      <c r="BT620" s="57" t="e">
        <f t="shared" si="43"/>
        <v>#VALUE!</v>
      </c>
      <c r="BU620" s="62"/>
      <c r="BV620" s="8" t="e">
        <v>#VALUE!</v>
      </c>
      <c r="BW620" s="58" t="e">
        <f>VLOOKUP(AQ620,'[1]Harga &amp; Nama CSO'!$A$28:$D$31,4,0)*BQ620</f>
        <v>#N/A</v>
      </c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44">
        <f>IFERROR(VLOOKUP(AQ622,'[2]Harga &amp; Nama CSO'!$A$116:$S$136,19,FALSE),0)*AV622</f>
        <v>0</v>
      </c>
      <c r="BO621" s="55" t="e">
        <f>IFERROR(VLOOKUP(AQ621,'[1]Harga &amp; Nama CSO'!$H$2:$N$22,2,FALSE),"")*AV621</f>
        <v>#VALUE!</v>
      </c>
      <c r="BP621" s="40"/>
      <c r="BQ621" s="4"/>
      <c r="BR621" s="61"/>
      <c r="BS621" s="4"/>
      <c r="BT621" s="57" t="e">
        <f t="shared" si="43"/>
        <v>#VALUE!</v>
      </c>
      <c r="BU621" s="62"/>
      <c r="BV621" s="8" t="e">
        <v>#VALUE!</v>
      </c>
      <c r="BW621" s="58" t="e">
        <f>VLOOKUP(AQ621,'[1]Harga &amp; Nama CSO'!$A$28:$D$31,4,0)*BQ621</f>
        <v>#N/A</v>
      </c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44">
        <f>IFERROR(VLOOKUP(AQ623,'[2]Harga &amp; Nama CSO'!$A$116:$S$136,19,FALSE),0)*AV623</f>
        <v>0</v>
      </c>
      <c r="BO622" s="55" t="e">
        <f>IFERROR(VLOOKUP(AQ622,'[1]Harga &amp; Nama CSO'!$H$2:$N$22,2,FALSE),"")*AV622</f>
        <v>#VALUE!</v>
      </c>
      <c r="BP622" s="40"/>
      <c r="BQ622" s="4"/>
      <c r="BR622" s="61"/>
      <c r="BS622" s="4"/>
      <c r="BT622" s="57" t="e">
        <f t="shared" si="43"/>
        <v>#VALUE!</v>
      </c>
      <c r="BU622" s="62"/>
      <c r="BV622" s="8" t="e">
        <v>#VALUE!</v>
      </c>
      <c r="BW622" s="58" t="e">
        <f>VLOOKUP(AQ622,'[1]Harga &amp; Nama CSO'!$A$28:$D$31,4,0)*BQ622</f>
        <v>#N/A</v>
      </c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44">
        <f>IFERROR(VLOOKUP(AQ624,'[2]Harga &amp; Nama CSO'!$A$116:$S$136,19,FALSE),0)*AV624</f>
        <v>0</v>
      </c>
      <c r="BO623" s="55" t="e">
        <f>IFERROR(VLOOKUP(AQ623,'[1]Harga &amp; Nama CSO'!$H$2:$N$22,2,FALSE),"")*AV623</f>
        <v>#VALUE!</v>
      </c>
      <c r="BP623" s="40"/>
      <c r="BQ623" s="4"/>
      <c r="BR623" s="61"/>
      <c r="BS623" s="4"/>
      <c r="BT623" s="57" t="e">
        <f t="shared" si="43"/>
        <v>#VALUE!</v>
      </c>
      <c r="BU623" s="62"/>
      <c r="BV623" s="8" t="e">
        <v>#VALUE!</v>
      </c>
      <c r="BW623" s="58" t="e">
        <f>VLOOKUP(AQ623,'[1]Harga &amp; Nama CSO'!$A$28:$D$31,4,0)*BQ623</f>
        <v>#N/A</v>
      </c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44">
        <f>IFERROR(VLOOKUP(AQ625,'[2]Harga &amp; Nama CSO'!$A$116:$S$136,19,FALSE),0)*AV625</f>
        <v>0</v>
      </c>
      <c r="BO624" s="55" t="e">
        <f>IFERROR(VLOOKUP(AQ624,'[1]Harga &amp; Nama CSO'!$H$2:$N$22,2,FALSE),"")*AV624</f>
        <v>#VALUE!</v>
      </c>
      <c r="BP624" s="40"/>
      <c r="BQ624" s="4"/>
      <c r="BR624" s="61"/>
      <c r="BS624" s="4"/>
      <c r="BT624" s="57" t="e">
        <f t="shared" si="43"/>
        <v>#VALUE!</v>
      </c>
      <c r="BU624" s="62"/>
      <c r="BV624" s="8" t="e">
        <v>#VALUE!</v>
      </c>
      <c r="BW624" s="58" t="e">
        <f>VLOOKUP(AQ624,'[1]Harga &amp; Nama CSO'!$A$28:$D$31,4,0)*BQ624</f>
        <v>#N/A</v>
      </c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44">
        <f>IFERROR(VLOOKUP(AQ626,'[2]Harga &amp; Nama CSO'!$A$116:$S$136,19,FALSE),0)*AV626</f>
        <v>0</v>
      </c>
      <c r="BO625" s="55" t="e">
        <f>IFERROR(VLOOKUP(AQ625,'[1]Harga &amp; Nama CSO'!$H$2:$N$22,2,FALSE),"")*AV625</f>
        <v>#VALUE!</v>
      </c>
      <c r="BP625" s="40"/>
      <c r="BQ625" s="4"/>
      <c r="BR625" s="61"/>
      <c r="BS625" s="4"/>
      <c r="BT625" s="57" t="e">
        <f t="shared" si="43"/>
        <v>#VALUE!</v>
      </c>
      <c r="BU625" s="62"/>
      <c r="BV625" s="8" t="e">
        <v>#VALUE!</v>
      </c>
      <c r="BW625" s="58" t="e">
        <f>VLOOKUP(AQ625,'[1]Harga &amp; Nama CSO'!$A$28:$D$31,4,0)*BQ625</f>
        <v>#N/A</v>
      </c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44">
        <f>IFERROR(VLOOKUP(AQ627,'[2]Harga &amp; Nama CSO'!$A$116:$S$136,19,FALSE),0)*AV627</f>
        <v>0</v>
      </c>
      <c r="BO626" s="55" t="e">
        <f>IFERROR(VLOOKUP(AQ626,'[1]Harga &amp; Nama CSO'!$H$2:$N$22,2,FALSE),"")*AV626</f>
        <v>#VALUE!</v>
      </c>
      <c r="BP626" s="40"/>
      <c r="BQ626" s="4"/>
      <c r="BR626" s="61"/>
      <c r="BS626" s="4"/>
      <c r="BT626" s="57" t="e">
        <f t="shared" si="43"/>
        <v>#VALUE!</v>
      </c>
      <c r="BU626" s="62"/>
      <c r="BV626" s="8" t="e">
        <v>#VALUE!</v>
      </c>
      <c r="BW626" s="58" t="e">
        <f>VLOOKUP(AQ626,'[1]Harga &amp; Nama CSO'!$A$28:$D$31,4,0)*BQ626</f>
        <v>#N/A</v>
      </c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44">
        <f>IFERROR(VLOOKUP(AQ628,'[2]Harga &amp; Nama CSO'!$A$116:$S$136,19,FALSE),0)*AV628</f>
        <v>0</v>
      </c>
      <c r="BO627" s="55" t="e">
        <f>IFERROR(VLOOKUP(AQ627,'[1]Harga &amp; Nama CSO'!$H$2:$N$22,2,FALSE),"")*AV627</f>
        <v>#VALUE!</v>
      </c>
      <c r="BP627" s="40"/>
      <c r="BQ627" s="4"/>
      <c r="BR627" s="61"/>
      <c r="BS627" s="4"/>
      <c r="BT627" s="57" t="e">
        <f t="shared" si="43"/>
        <v>#VALUE!</v>
      </c>
      <c r="BU627" s="62"/>
      <c r="BV627" s="8" t="e">
        <v>#VALUE!</v>
      </c>
      <c r="BW627" s="58" t="e">
        <f>VLOOKUP(AQ627,'[1]Harga &amp; Nama CSO'!$A$28:$D$31,4,0)*BQ627</f>
        <v>#N/A</v>
      </c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44">
        <f>IFERROR(VLOOKUP(AQ629,'[2]Harga &amp; Nama CSO'!$A$116:$S$136,19,FALSE),0)*AV629</f>
        <v>0</v>
      </c>
      <c r="BO628" s="55" t="e">
        <f>IFERROR(VLOOKUP(AQ628,'[1]Harga &amp; Nama CSO'!$H$2:$N$22,2,FALSE),"")*AV628</f>
        <v>#VALUE!</v>
      </c>
      <c r="BP628" s="40"/>
      <c r="BQ628" s="4"/>
      <c r="BR628" s="61"/>
      <c r="BS628" s="4"/>
      <c r="BT628" s="57" t="e">
        <f t="shared" si="43"/>
        <v>#VALUE!</v>
      </c>
      <c r="BU628" s="62"/>
      <c r="BV628" s="8" t="e">
        <v>#VALUE!</v>
      </c>
      <c r="BW628" s="58" t="e">
        <f>VLOOKUP(AQ628,'[1]Harga &amp; Nama CSO'!$A$28:$D$31,4,0)*BQ628</f>
        <v>#N/A</v>
      </c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44">
        <f>IFERROR(VLOOKUP(AQ630,'[2]Harga &amp; Nama CSO'!$A$116:$S$136,19,FALSE),0)*AV630</f>
        <v>0</v>
      </c>
      <c r="BO629" s="55" t="e">
        <f>IFERROR(VLOOKUP(AQ629,'[1]Harga &amp; Nama CSO'!$H$2:$N$22,2,FALSE),"")*AV629</f>
        <v>#VALUE!</v>
      </c>
      <c r="BP629" s="40"/>
      <c r="BQ629" s="4"/>
      <c r="BR629" s="61"/>
      <c r="BS629" s="4"/>
      <c r="BT629" s="57" t="e">
        <f t="shared" si="43"/>
        <v>#VALUE!</v>
      </c>
      <c r="BU629" s="62"/>
      <c r="BV629" s="8" t="e">
        <v>#VALUE!</v>
      </c>
      <c r="BW629" s="58" t="e">
        <f>VLOOKUP(AQ629,'[1]Harga &amp; Nama CSO'!$A$28:$D$31,4,0)*BQ629</f>
        <v>#N/A</v>
      </c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44">
        <f>IFERROR(VLOOKUP(AQ631,'[2]Harga &amp; Nama CSO'!$A$116:$S$136,19,FALSE),0)*AV631</f>
        <v>0</v>
      </c>
      <c r="BO630" s="55" t="e">
        <f>IFERROR(VLOOKUP(AQ630,'[1]Harga &amp; Nama CSO'!$H$2:$N$22,2,FALSE),"")*AV630</f>
        <v>#VALUE!</v>
      </c>
      <c r="BP630" s="40"/>
      <c r="BQ630" s="4"/>
      <c r="BR630" s="61"/>
      <c r="BS630" s="4"/>
      <c r="BT630" s="57" t="e">
        <f t="shared" si="43"/>
        <v>#VALUE!</v>
      </c>
      <c r="BU630" s="62"/>
      <c r="BV630" s="8" t="e">
        <v>#VALUE!</v>
      </c>
      <c r="BW630" s="58" t="e">
        <f>VLOOKUP(AQ630,'[1]Harga &amp; Nama CSO'!$A$28:$D$31,4,0)*BQ630</f>
        <v>#N/A</v>
      </c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44">
        <f>IFERROR(VLOOKUP(AQ632,'[2]Harga &amp; Nama CSO'!$A$116:$S$136,19,FALSE),0)*AV632</f>
        <v>0</v>
      </c>
      <c r="BO631" s="55" t="e">
        <f>IFERROR(VLOOKUP(AQ631,'[1]Harga &amp; Nama CSO'!$H$2:$N$22,2,FALSE),"")*AV631</f>
        <v>#VALUE!</v>
      </c>
      <c r="BP631" s="40"/>
      <c r="BQ631" s="4"/>
      <c r="BR631" s="61"/>
      <c r="BS631" s="4"/>
      <c r="BT631" s="57" t="e">
        <f t="shared" si="43"/>
        <v>#VALUE!</v>
      </c>
      <c r="BU631" s="62"/>
      <c r="BV631" s="8" t="e">
        <v>#VALUE!</v>
      </c>
      <c r="BW631" s="58" t="e">
        <f>VLOOKUP(AQ631,'[1]Harga &amp; Nama CSO'!$A$28:$D$31,4,0)*BQ631</f>
        <v>#N/A</v>
      </c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44">
        <f>IFERROR(VLOOKUP(AQ633,'[2]Harga &amp; Nama CSO'!$A$116:$S$136,19,FALSE),0)*AV633</f>
        <v>0</v>
      </c>
      <c r="BO632" s="55" t="e">
        <f>IFERROR(VLOOKUP(AQ632,'[1]Harga &amp; Nama CSO'!$H$2:$N$22,2,FALSE),"")*AV632</f>
        <v>#VALUE!</v>
      </c>
      <c r="BP632" s="40"/>
      <c r="BQ632" s="4"/>
      <c r="BR632" s="61"/>
      <c r="BS632" s="4"/>
      <c r="BT632" s="57" t="e">
        <f t="shared" si="43"/>
        <v>#VALUE!</v>
      </c>
      <c r="BU632" s="62"/>
      <c r="BV632" s="8" t="e">
        <v>#VALUE!</v>
      </c>
      <c r="BW632" s="58" t="e">
        <f>VLOOKUP(AQ632,'[1]Harga &amp; Nama CSO'!$A$28:$D$31,4,0)*BQ632</f>
        <v>#N/A</v>
      </c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44">
        <f>IFERROR(VLOOKUP(AQ634,'[2]Harga &amp; Nama CSO'!$A$116:$S$136,19,FALSE),0)*AV634</f>
        <v>0</v>
      </c>
      <c r="BO633" s="55" t="e">
        <f>IFERROR(VLOOKUP(AQ633,'[1]Harga &amp; Nama CSO'!$H$2:$N$22,2,FALSE),"")*AV633</f>
        <v>#VALUE!</v>
      </c>
      <c r="BP633" s="40"/>
      <c r="BQ633" s="4"/>
      <c r="BR633" s="61"/>
      <c r="BS633" s="4"/>
      <c r="BT633" s="57" t="e">
        <f t="shared" si="43"/>
        <v>#VALUE!</v>
      </c>
      <c r="BU633" s="62"/>
      <c r="BV633" s="8" t="e">
        <v>#VALUE!</v>
      </c>
      <c r="BW633" s="58" t="e">
        <f>VLOOKUP(AQ633,'[1]Harga &amp; Nama CSO'!$A$28:$D$31,4,0)*BQ633</f>
        <v>#N/A</v>
      </c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44">
        <f>IFERROR(VLOOKUP(AQ635,'[2]Harga &amp; Nama CSO'!$A$116:$S$136,19,FALSE),0)*AV635</f>
        <v>0</v>
      </c>
      <c r="BO634" s="55" t="e">
        <f>IFERROR(VLOOKUP(AQ634,'[1]Harga &amp; Nama CSO'!$H$2:$N$22,2,FALSE),"")*AV634</f>
        <v>#VALUE!</v>
      </c>
      <c r="BP634" s="40"/>
      <c r="BQ634" s="4"/>
      <c r="BR634" s="61"/>
      <c r="BS634" s="4"/>
      <c r="BT634" s="57" t="e">
        <f t="shared" si="43"/>
        <v>#VALUE!</v>
      </c>
      <c r="BU634" s="62"/>
      <c r="BV634" s="8" t="e">
        <v>#VALUE!</v>
      </c>
      <c r="BW634" s="58" t="e">
        <f>VLOOKUP(AQ634,'[1]Harga &amp; Nama CSO'!$A$28:$D$31,4,0)*BQ634</f>
        <v>#N/A</v>
      </c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44">
        <f>IFERROR(VLOOKUP(AQ636,'[2]Harga &amp; Nama CSO'!$A$116:$S$136,19,FALSE),0)*AV636</f>
        <v>0</v>
      </c>
      <c r="BO635" s="55" t="e">
        <f>IFERROR(VLOOKUP(AQ635,'[1]Harga &amp; Nama CSO'!$H$2:$N$22,2,FALSE),"")*AV635</f>
        <v>#VALUE!</v>
      </c>
      <c r="BP635" s="40"/>
      <c r="BQ635" s="4"/>
      <c r="BR635" s="61"/>
      <c r="BS635" s="4"/>
      <c r="BT635" s="57" t="e">
        <f t="shared" si="43"/>
        <v>#VALUE!</v>
      </c>
      <c r="BU635" s="62"/>
      <c r="BV635" s="8" t="e">
        <v>#VALUE!</v>
      </c>
      <c r="BW635" s="58" t="e">
        <f>VLOOKUP(AQ635,'[1]Harga &amp; Nama CSO'!$A$28:$D$31,4,0)*BQ635</f>
        <v>#N/A</v>
      </c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44">
        <f>IFERROR(VLOOKUP(AQ637,'[2]Harga &amp; Nama CSO'!$A$116:$S$136,19,FALSE),0)*AV637</f>
        <v>0</v>
      </c>
      <c r="BO636" s="55" t="e">
        <f>IFERROR(VLOOKUP(AQ636,'[1]Harga &amp; Nama CSO'!$H$2:$N$22,2,FALSE),"")*AV636</f>
        <v>#VALUE!</v>
      </c>
      <c r="BP636" s="40"/>
      <c r="BQ636" s="4"/>
      <c r="BR636" s="61"/>
      <c r="BS636" s="4"/>
      <c r="BT636" s="57" t="e">
        <f t="shared" si="43"/>
        <v>#VALUE!</v>
      </c>
      <c r="BU636" s="62"/>
      <c r="BV636" s="8" t="e">
        <v>#VALUE!</v>
      </c>
      <c r="BW636" s="58" t="e">
        <f>VLOOKUP(AQ636,'[1]Harga &amp; Nama CSO'!$A$28:$D$31,4,0)*BQ636</f>
        <v>#N/A</v>
      </c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44">
        <f>IFERROR(VLOOKUP(AQ638,'[2]Harga &amp; Nama CSO'!$A$116:$S$136,19,FALSE),0)*AV638</f>
        <v>0</v>
      </c>
      <c r="BO637" s="55" t="e">
        <f>IFERROR(VLOOKUP(AQ637,'[1]Harga &amp; Nama CSO'!$H$2:$N$22,2,FALSE),"")*AV637</f>
        <v>#VALUE!</v>
      </c>
      <c r="BP637" s="40"/>
      <c r="BQ637" s="4"/>
      <c r="BR637" s="61"/>
      <c r="BS637" s="4"/>
      <c r="BT637" s="57" t="e">
        <f t="shared" si="43"/>
        <v>#VALUE!</v>
      </c>
      <c r="BU637" s="62"/>
      <c r="BV637" s="8" t="e">
        <v>#VALUE!</v>
      </c>
      <c r="BW637" s="58" t="e">
        <f>VLOOKUP(AQ637,'[1]Harga &amp; Nama CSO'!$A$28:$D$31,4,0)*BQ637</f>
        <v>#N/A</v>
      </c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44">
        <f>IFERROR(VLOOKUP(AQ639,'[2]Harga &amp; Nama CSO'!$A$116:$S$136,19,FALSE),0)*AV639</f>
        <v>0</v>
      </c>
      <c r="BO638" s="55" t="e">
        <f>IFERROR(VLOOKUP(AQ638,'[1]Harga &amp; Nama CSO'!$H$2:$N$22,2,FALSE),"")*AV638</f>
        <v>#VALUE!</v>
      </c>
      <c r="BP638" s="40"/>
      <c r="BQ638" s="4"/>
      <c r="BR638" s="61"/>
      <c r="BS638" s="4"/>
      <c r="BT638" s="57" t="e">
        <f t="shared" si="43"/>
        <v>#VALUE!</v>
      </c>
      <c r="BU638" s="62"/>
      <c r="BV638" s="8" t="e">
        <v>#VALUE!</v>
      </c>
      <c r="BW638" s="58" t="e">
        <f>VLOOKUP(AQ638,'[1]Harga &amp; Nama CSO'!$A$28:$D$31,4,0)*BQ638</f>
        <v>#N/A</v>
      </c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44">
        <f>IFERROR(VLOOKUP(AQ640,'[2]Harga &amp; Nama CSO'!$A$116:$S$136,19,FALSE),0)*AV640</f>
        <v>0</v>
      </c>
      <c r="BO639" s="55" t="e">
        <f>IFERROR(VLOOKUP(AQ639,'[1]Harga &amp; Nama CSO'!$H$2:$N$22,2,FALSE),"")*AV639</f>
        <v>#VALUE!</v>
      </c>
      <c r="BP639" s="40"/>
      <c r="BQ639" s="4"/>
      <c r="BR639" s="61"/>
      <c r="BS639" s="4"/>
      <c r="BT639" s="57" t="e">
        <f t="shared" si="43"/>
        <v>#VALUE!</v>
      </c>
      <c r="BU639" s="62"/>
      <c r="BV639" s="8" t="e">
        <v>#VALUE!</v>
      </c>
      <c r="BW639" s="58" t="e">
        <f>VLOOKUP(AQ639,'[1]Harga &amp; Nama CSO'!$A$28:$D$31,4,0)*BQ639</f>
        <v>#N/A</v>
      </c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44">
        <f>IFERROR(VLOOKUP(AQ641,'[2]Harga &amp; Nama CSO'!$A$116:$S$136,19,FALSE),0)*AV641</f>
        <v>0</v>
      </c>
      <c r="BO640" s="55" t="e">
        <f>IFERROR(VLOOKUP(AQ640,'[1]Harga &amp; Nama CSO'!$H$2:$N$22,2,FALSE),"")*AV640</f>
        <v>#VALUE!</v>
      </c>
      <c r="BP640" s="40"/>
      <c r="BQ640" s="4"/>
      <c r="BR640" s="61"/>
      <c r="BS640" s="4"/>
      <c r="BT640" s="57" t="e">
        <f t="shared" si="43"/>
        <v>#VALUE!</v>
      </c>
      <c r="BU640" s="62"/>
      <c r="BV640" s="8" t="e">
        <v>#VALUE!</v>
      </c>
      <c r="BW640" s="58" t="e">
        <f>VLOOKUP(AQ640,'[1]Harga &amp; Nama CSO'!$A$28:$D$31,4,0)*BQ640</f>
        <v>#N/A</v>
      </c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44">
        <f>IFERROR(VLOOKUP(AQ642,'[2]Harga &amp; Nama CSO'!$A$116:$S$136,19,FALSE),0)*AV642</f>
        <v>0</v>
      </c>
      <c r="BO641" s="55" t="e">
        <f>IFERROR(VLOOKUP(AQ641,'[1]Harga &amp; Nama CSO'!$H$2:$N$22,2,FALSE),"")*AV641</f>
        <v>#VALUE!</v>
      </c>
      <c r="BP641" s="40"/>
      <c r="BQ641" s="4"/>
      <c r="BR641" s="61"/>
      <c r="BS641" s="4"/>
      <c r="BT641" s="57" t="e">
        <f t="shared" si="43"/>
        <v>#VALUE!</v>
      </c>
      <c r="BU641" s="62"/>
      <c r="BV641" s="8" t="e">
        <v>#VALUE!</v>
      </c>
      <c r="BW641" s="58" t="e">
        <f>VLOOKUP(AQ641,'[1]Harga &amp; Nama CSO'!$A$28:$D$31,4,0)*BQ641</f>
        <v>#N/A</v>
      </c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44">
        <f>IFERROR(VLOOKUP(AQ643,'[2]Harga &amp; Nama CSO'!$A$116:$S$136,19,FALSE),0)*AV643</f>
        <v>0</v>
      </c>
      <c r="BO642" s="55" t="e">
        <f>IFERROR(VLOOKUP(AQ642,'[1]Harga &amp; Nama CSO'!$H$2:$N$22,2,FALSE),"")*AV642</f>
        <v>#VALUE!</v>
      </c>
      <c r="BP642" s="40"/>
      <c r="BQ642" s="4"/>
      <c r="BR642" s="61"/>
      <c r="BS642" s="4"/>
      <c r="BT642" s="57" t="e">
        <f t="shared" si="43"/>
        <v>#VALUE!</v>
      </c>
      <c r="BU642" s="62"/>
      <c r="BV642" s="8" t="e">
        <v>#VALUE!</v>
      </c>
      <c r="BW642" s="58" t="e">
        <f>VLOOKUP(AQ642,'[1]Harga &amp; Nama CSO'!$A$28:$D$31,4,0)*BQ642</f>
        <v>#N/A</v>
      </c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44">
        <f>IFERROR(VLOOKUP(AQ644,'[2]Harga &amp; Nama CSO'!$A$116:$S$136,19,FALSE),0)*AV644</f>
        <v>0</v>
      </c>
      <c r="BO643" s="55" t="e">
        <f>IFERROR(VLOOKUP(AQ643,'[1]Harga &amp; Nama CSO'!$H$2:$N$22,2,FALSE),"")*AV643</f>
        <v>#VALUE!</v>
      </c>
      <c r="BP643" s="40"/>
      <c r="BQ643" s="4"/>
      <c r="BR643" s="61"/>
      <c r="BS643" s="4"/>
      <c r="BT643" s="57" t="e">
        <f t="shared" ref="BT643:BT706" si="44">BO643-BR643</f>
        <v>#VALUE!</v>
      </c>
      <c r="BU643" s="62"/>
      <c r="BV643" s="8" t="e">
        <v>#VALUE!</v>
      </c>
      <c r="BW643" s="58" t="e">
        <f>VLOOKUP(AQ643,'[1]Harga &amp; Nama CSO'!$A$28:$D$31,4,0)*BQ643</f>
        <v>#N/A</v>
      </c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44">
        <f>IFERROR(VLOOKUP(AQ645,'[2]Harga &amp; Nama CSO'!$A$116:$S$136,19,FALSE),0)*AV645</f>
        <v>0</v>
      </c>
      <c r="BO644" s="55" t="e">
        <f>IFERROR(VLOOKUP(AQ644,'[1]Harga &amp; Nama CSO'!$H$2:$N$22,2,FALSE),"")*AV644</f>
        <v>#VALUE!</v>
      </c>
      <c r="BP644" s="40"/>
      <c r="BQ644" s="4"/>
      <c r="BR644" s="61"/>
      <c r="BS644" s="4"/>
      <c r="BT644" s="57" t="e">
        <f t="shared" si="44"/>
        <v>#VALUE!</v>
      </c>
      <c r="BU644" s="62"/>
      <c r="BV644" s="8" t="e">
        <v>#VALUE!</v>
      </c>
      <c r="BW644" s="58" t="e">
        <f>VLOOKUP(AQ644,'[1]Harga &amp; Nama CSO'!$A$28:$D$31,4,0)*BQ644</f>
        <v>#N/A</v>
      </c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44">
        <f>IFERROR(VLOOKUP(AQ646,'[2]Harga &amp; Nama CSO'!$A$116:$S$136,19,FALSE),0)*AV646</f>
        <v>0</v>
      </c>
      <c r="BO645" s="55" t="e">
        <f>IFERROR(VLOOKUP(AQ645,'[1]Harga &amp; Nama CSO'!$H$2:$N$22,2,FALSE),"")*AV645</f>
        <v>#VALUE!</v>
      </c>
      <c r="BP645" s="40"/>
      <c r="BQ645" s="4"/>
      <c r="BR645" s="61"/>
      <c r="BS645" s="4"/>
      <c r="BT645" s="57" t="e">
        <f t="shared" si="44"/>
        <v>#VALUE!</v>
      </c>
      <c r="BU645" s="62"/>
      <c r="BV645" s="8" t="e">
        <v>#VALUE!</v>
      </c>
      <c r="BW645" s="58" t="e">
        <f>VLOOKUP(AQ645,'[1]Harga &amp; Nama CSO'!$A$28:$D$31,4,0)*BQ645</f>
        <v>#N/A</v>
      </c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44">
        <f>IFERROR(VLOOKUP(AQ647,'[2]Harga &amp; Nama CSO'!$A$116:$S$136,19,FALSE),0)*AV647</f>
        <v>0</v>
      </c>
      <c r="BO646" s="55" t="e">
        <f>IFERROR(VLOOKUP(AQ646,'[1]Harga &amp; Nama CSO'!$H$2:$N$22,2,FALSE),"")*AV646</f>
        <v>#VALUE!</v>
      </c>
      <c r="BP646" s="40"/>
      <c r="BQ646" s="4"/>
      <c r="BR646" s="61"/>
      <c r="BS646" s="4"/>
      <c r="BT646" s="57" t="e">
        <f t="shared" si="44"/>
        <v>#VALUE!</v>
      </c>
      <c r="BU646" s="62"/>
      <c r="BV646" s="8" t="e">
        <v>#VALUE!</v>
      </c>
      <c r="BW646" s="58" t="e">
        <f>VLOOKUP(AQ646,'[1]Harga &amp; Nama CSO'!$A$28:$D$31,4,0)*BQ646</f>
        <v>#N/A</v>
      </c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44">
        <f>IFERROR(VLOOKUP(AQ648,'[2]Harga &amp; Nama CSO'!$A$116:$S$136,19,FALSE),0)*AV648</f>
        <v>0</v>
      </c>
      <c r="BO647" s="55" t="e">
        <f>IFERROR(VLOOKUP(AQ647,'[1]Harga &amp; Nama CSO'!$H$2:$N$22,2,FALSE),"")*AV647</f>
        <v>#VALUE!</v>
      </c>
      <c r="BP647" s="40"/>
      <c r="BQ647" s="4"/>
      <c r="BR647" s="61"/>
      <c r="BS647" s="4"/>
      <c r="BT647" s="57" t="e">
        <f t="shared" si="44"/>
        <v>#VALUE!</v>
      </c>
      <c r="BU647" s="62"/>
      <c r="BV647" s="8" t="e">
        <v>#VALUE!</v>
      </c>
      <c r="BW647" s="58" t="e">
        <f>VLOOKUP(AQ647,'[1]Harga &amp; Nama CSO'!$A$28:$D$31,4,0)*BQ647</f>
        <v>#N/A</v>
      </c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44">
        <f>IFERROR(VLOOKUP(AQ649,'[2]Harga &amp; Nama CSO'!$A$116:$S$136,19,FALSE),0)*AV649</f>
        <v>0</v>
      </c>
      <c r="BO648" s="55" t="e">
        <f>IFERROR(VLOOKUP(AQ648,'[1]Harga &amp; Nama CSO'!$H$2:$N$22,2,FALSE),"")*AV648</f>
        <v>#VALUE!</v>
      </c>
      <c r="BP648" s="40"/>
      <c r="BQ648" s="4"/>
      <c r="BR648" s="61"/>
      <c r="BS648" s="4"/>
      <c r="BT648" s="57" t="e">
        <f t="shared" si="44"/>
        <v>#VALUE!</v>
      </c>
      <c r="BU648" s="62"/>
      <c r="BV648" s="8" t="e">
        <v>#VALUE!</v>
      </c>
      <c r="BW648" s="58" t="e">
        <f>VLOOKUP(AQ648,'[1]Harga &amp; Nama CSO'!$A$28:$D$31,4,0)*BQ648</f>
        <v>#N/A</v>
      </c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44">
        <f>IFERROR(VLOOKUP(AQ650,'[2]Harga &amp; Nama CSO'!$A$116:$S$136,19,FALSE),0)*AV650</f>
        <v>0</v>
      </c>
      <c r="BO649" s="55" t="e">
        <f>IFERROR(VLOOKUP(AQ649,'[1]Harga &amp; Nama CSO'!$H$2:$N$22,2,FALSE),"")*AV649</f>
        <v>#VALUE!</v>
      </c>
      <c r="BP649" s="40"/>
      <c r="BQ649" s="4"/>
      <c r="BR649" s="61"/>
      <c r="BS649" s="4"/>
      <c r="BT649" s="57" t="e">
        <f t="shared" si="44"/>
        <v>#VALUE!</v>
      </c>
      <c r="BU649" s="62"/>
      <c r="BV649" s="8" t="e">
        <v>#VALUE!</v>
      </c>
      <c r="BW649" s="58" t="e">
        <f>VLOOKUP(AQ649,'[1]Harga &amp; Nama CSO'!$A$28:$D$31,4,0)*BQ649</f>
        <v>#N/A</v>
      </c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44">
        <f>IFERROR(VLOOKUP(AQ651,'[2]Harga &amp; Nama CSO'!$A$116:$S$136,19,FALSE),0)*AV651</f>
        <v>0</v>
      </c>
      <c r="BO650" s="55" t="e">
        <f>IFERROR(VLOOKUP(AQ650,'[1]Harga &amp; Nama CSO'!$H$2:$N$22,2,FALSE),"")*AV650</f>
        <v>#VALUE!</v>
      </c>
      <c r="BP650" s="40"/>
      <c r="BQ650" s="4"/>
      <c r="BR650" s="61"/>
      <c r="BS650" s="4"/>
      <c r="BT650" s="57" t="e">
        <f t="shared" si="44"/>
        <v>#VALUE!</v>
      </c>
      <c r="BU650" s="62"/>
      <c r="BV650" s="8" t="e">
        <v>#VALUE!</v>
      </c>
      <c r="BW650" s="58" t="e">
        <f>VLOOKUP(AQ650,'[1]Harga &amp; Nama CSO'!$A$28:$D$31,4,0)*BQ650</f>
        <v>#N/A</v>
      </c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44">
        <f>IFERROR(VLOOKUP(AQ652,'[2]Harga &amp; Nama CSO'!$A$116:$S$136,19,FALSE),0)*AV652</f>
        <v>0</v>
      </c>
      <c r="BO651" s="55" t="e">
        <f>IFERROR(VLOOKUP(AQ651,'[1]Harga &amp; Nama CSO'!$H$2:$N$22,2,FALSE),"")*AV651</f>
        <v>#VALUE!</v>
      </c>
      <c r="BP651" s="40"/>
      <c r="BQ651" s="4"/>
      <c r="BR651" s="61"/>
      <c r="BS651" s="4"/>
      <c r="BT651" s="57" t="e">
        <f t="shared" si="44"/>
        <v>#VALUE!</v>
      </c>
      <c r="BU651" s="62"/>
      <c r="BV651" s="8" t="e">
        <v>#VALUE!</v>
      </c>
      <c r="BW651" s="58" t="e">
        <f>VLOOKUP(AQ651,'[1]Harga &amp; Nama CSO'!$A$28:$D$31,4,0)*BQ651</f>
        <v>#N/A</v>
      </c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44">
        <f>IFERROR(VLOOKUP(AQ653,'[2]Harga &amp; Nama CSO'!$A$116:$S$136,19,FALSE),0)*AV653</f>
        <v>0</v>
      </c>
      <c r="BO652" s="55" t="e">
        <f>IFERROR(VLOOKUP(AQ652,'[1]Harga &amp; Nama CSO'!$H$2:$N$22,2,FALSE),"")*AV652</f>
        <v>#VALUE!</v>
      </c>
      <c r="BP652" s="40"/>
      <c r="BQ652" s="4"/>
      <c r="BR652" s="61"/>
      <c r="BS652" s="4"/>
      <c r="BT652" s="57" t="e">
        <f t="shared" si="44"/>
        <v>#VALUE!</v>
      </c>
      <c r="BU652" s="62"/>
      <c r="BV652" s="8" t="e">
        <v>#VALUE!</v>
      </c>
      <c r="BW652" s="58" t="e">
        <f>VLOOKUP(AQ652,'[1]Harga &amp; Nama CSO'!$A$28:$D$31,4,0)*BQ652</f>
        <v>#N/A</v>
      </c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44">
        <f>IFERROR(VLOOKUP(AQ654,'[2]Harga &amp; Nama CSO'!$A$116:$S$136,19,FALSE),0)*AV654</f>
        <v>0</v>
      </c>
      <c r="BO653" s="55" t="e">
        <f>IFERROR(VLOOKUP(AQ653,'[1]Harga &amp; Nama CSO'!$H$2:$N$22,2,FALSE),"")*AV653</f>
        <v>#VALUE!</v>
      </c>
      <c r="BP653" s="40"/>
      <c r="BQ653" s="4"/>
      <c r="BR653" s="61"/>
      <c r="BS653" s="4"/>
      <c r="BT653" s="57" t="e">
        <f t="shared" si="44"/>
        <v>#VALUE!</v>
      </c>
      <c r="BU653" s="62"/>
      <c r="BV653" s="8" t="e">
        <v>#VALUE!</v>
      </c>
      <c r="BW653" s="58" t="e">
        <f>VLOOKUP(AQ653,'[1]Harga &amp; Nama CSO'!$A$28:$D$31,4,0)*BQ653</f>
        <v>#N/A</v>
      </c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44">
        <f>IFERROR(VLOOKUP(AQ655,'[2]Harga &amp; Nama CSO'!$A$116:$S$136,19,FALSE),0)*AV655</f>
        <v>0</v>
      </c>
      <c r="BO654" s="55" t="e">
        <f>IFERROR(VLOOKUP(AQ654,'[1]Harga &amp; Nama CSO'!$H$2:$N$22,2,FALSE),"")*AV654</f>
        <v>#VALUE!</v>
      </c>
      <c r="BP654" s="40"/>
      <c r="BQ654" s="4"/>
      <c r="BR654" s="61"/>
      <c r="BS654" s="4"/>
      <c r="BT654" s="57" t="e">
        <f t="shared" si="44"/>
        <v>#VALUE!</v>
      </c>
      <c r="BU654" s="62"/>
      <c r="BV654" s="8" t="e">
        <v>#VALUE!</v>
      </c>
      <c r="BW654" s="58" t="e">
        <f>VLOOKUP(AQ654,'[1]Harga &amp; Nama CSO'!$A$28:$D$31,4,0)*BQ654</f>
        <v>#N/A</v>
      </c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44">
        <f>IFERROR(VLOOKUP(AQ656,'[2]Harga &amp; Nama CSO'!$A$116:$S$136,19,FALSE),0)*AV656</f>
        <v>0</v>
      </c>
      <c r="BO655" s="55" t="e">
        <f>IFERROR(VLOOKUP(AQ655,'[1]Harga &amp; Nama CSO'!$H$2:$N$22,2,FALSE),"")*AV655</f>
        <v>#VALUE!</v>
      </c>
      <c r="BP655" s="40"/>
      <c r="BQ655" s="4"/>
      <c r="BR655" s="61"/>
      <c r="BS655" s="4"/>
      <c r="BT655" s="57" t="e">
        <f t="shared" si="44"/>
        <v>#VALUE!</v>
      </c>
      <c r="BU655" s="62"/>
      <c r="BV655" s="8" t="e">
        <v>#VALUE!</v>
      </c>
      <c r="BW655" s="58" t="e">
        <f>VLOOKUP(AQ655,'[1]Harga &amp; Nama CSO'!$A$28:$D$31,4,0)*BQ655</f>
        <v>#N/A</v>
      </c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44">
        <f>IFERROR(VLOOKUP(AQ657,'[2]Harga &amp; Nama CSO'!$A$116:$S$136,19,FALSE),0)*AV657</f>
        <v>0</v>
      </c>
      <c r="BO656" s="55" t="e">
        <f>IFERROR(VLOOKUP(AQ656,'[1]Harga &amp; Nama CSO'!$H$2:$N$22,2,FALSE),"")*AV656</f>
        <v>#VALUE!</v>
      </c>
      <c r="BP656" s="40"/>
      <c r="BQ656" s="4"/>
      <c r="BR656" s="61"/>
      <c r="BS656" s="4"/>
      <c r="BT656" s="57" t="e">
        <f t="shared" si="44"/>
        <v>#VALUE!</v>
      </c>
      <c r="BU656" s="62"/>
      <c r="BV656" s="8" t="e">
        <v>#VALUE!</v>
      </c>
      <c r="BW656" s="58" t="e">
        <f>VLOOKUP(AQ656,'[1]Harga &amp; Nama CSO'!$A$28:$D$31,4,0)*BQ656</f>
        <v>#N/A</v>
      </c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44">
        <f>IFERROR(VLOOKUP(AQ658,'[2]Harga &amp; Nama CSO'!$A$116:$S$136,19,FALSE),0)*AV658</f>
        <v>0</v>
      </c>
      <c r="BO657" s="55" t="e">
        <f>IFERROR(VLOOKUP(AQ657,'[1]Harga &amp; Nama CSO'!$H$2:$N$22,2,FALSE),"")*AV657</f>
        <v>#VALUE!</v>
      </c>
      <c r="BP657" s="40"/>
      <c r="BQ657" s="4"/>
      <c r="BR657" s="61"/>
      <c r="BS657" s="4"/>
      <c r="BT657" s="57" t="e">
        <f t="shared" si="44"/>
        <v>#VALUE!</v>
      </c>
      <c r="BU657" s="62"/>
      <c r="BV657" s="8" t="e">
        <v>#VALUE!</v>
      </c>
      <c r="BW657" s="58" t="e">
        <f>VLOOKUP(AQ657,'[1]Harga &amp; Nama CSO'!$A$28:$D$31,4,0)*BQ657</f>
        <v>#N/A</v>
      </c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44">
        <f>IFERROR(VLOOKUP(AQ659,'[2]Harga &amp; Nama CSO'!$A$116:$S$136,19,FALSE),0)*AV659</f>
        <v>0</v>
      </c>
      <c r="BO658" s="55" t="e">
        <f>IFERROR(VLOOKUP(AQ658,'[1]Harga &amp; Nama CSO'!$H$2:$N$22,2,FALSE),"")*AV658</f>
        <v>#VALUE!</v>
      </c>
      <c r="BP658" s="40"/>
      <c r="BQ658" s="4"/>
      <c r="BR658" s="61"/>
      <c r="BS658" s="4"/>
      <c r="BT658" s="57" t="e">
        <f t="shared" si="44"/>
        <v>#VALUE!</v>
      </c>
      <c r="BU658" s="62"/>
      <c r="BV658" s="8" t="e">
        <v>#VALUE!</v>
      </c>
      <c r="BW658" s="58" t="e">
        <f>VLOOKUP(AQ658,'[1]Harga &amp; Nama CSO'!$A$28:$D$31,4,0)*BQ658</f>
        <v>#N/A</v>
      </c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44">
        <f>IFERROR(VLOOKUP(AQ660,'[2]Harga &amp; Nama CSO'!$A$116:$S$136,19,FALSE),0)*AV660</f>
        <v>0</v>
      </c>
      <c r="BO659" s="55" t="e">
        <f>IFERROR(VLOOKUP(AQ659,'[1]Harga &amp; Nama CSO'!$H$2:$N$22,2,FALSE),"")*AV659</f>
        <v>#VALUE!</v>
      </c>
      <c r="BP659" s="40"/>
      <c r="BQ659" s="4"/>
      <c r="BR659" s="61"/>
      <c r="BS659" s="4"/>
      <c r="BT659" s="57" t="e">
        <f t="shared" si="44"/>
        <v>#VALUE!</v>
      </c>
      <c r="BU659" s="62"/>
      <c r="BV659" s="8" t="e">
        <v>#VALUE!</v>
      </c>
      <c r="BW659" s="58" t="e">
        <f>VLOOKUP(AQ659,'[1]Harga &amp; Nama CSO'!$A$28:$D$31,4,0)*BQ659</f>
        <v>#N/A</v>
      </c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44">
        <f>IFERROR(VLOOKUP(AQ661,'[2]Harga &amp; Nama CSO'!$A$116:$S$136,19,FALSE),0)*AV661</f>
        <v>0</v>
      </c>
      <c r="BO660" s="55" t="e">
        <f>IFERROR(VLOOKUP(AQ660,'[1]Harga &amp; Nama CSO'!$H$2:$N$22,2,FALSE),"")*AV660</f>
        <v>#VALUE!</v>
      </c>
      <c r="BP660" s="40"/>
      <c r="BQ660" s="4"/>
      <c r="BR660" s="61"/>
      <c r="BS660" s="4"/>
      <c r="BT660" s="57" t="e">
        <f t="shared" si="44"/>
        <v>#VALUE!</v>
      </c>
      <c r="BU660" s="62"/>
      <c r="BV660" s="8" t="e">
        <v>#VALUE!</v>
      </c>
      <c r="BW660" s="58" t="e">
        <f>VLOOKUP(AQ660,'[1]Harga &amp; Nama CSO'!$A$28:$D$31,4,0)*BQ660</f>
        <v>#N/A</v>
      </c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44">
        <f>IFERROR(VLOOKUP(AQ662,'[2]Harga &amp; Nama CSO'!$A$116:$S$136,19,FALSE),0)*AV662</f>
        <v>0</v>
      </c>
      <c r="BO661" s="55" t="e">
        <f>IFERROR(VLOOKUP(AQ661,'[1]Harga &amp; Nama CSO'!$H$2:$N$22,2,FALSE),"")*AV661</f>
        <v>#VALUE!</v>
      </c>
      <c r="BP661" s="40"/>
      <c r="BQ661" s="4"/>
      <c r="BR661" s="61"/>
      <c r="BS661" s="4"/>
      <c r="BT661" s="57" t="e">
        <f t="shared" si="44"/>
        <v>#VALUE!</v>
      </c>
      <c r="BU661" s="62"/>
      <c r="BV661" s="8" t="e">
        <v>#VALUE!</v>
      </c>
      <c r="BW661" s="58" t="e">
        <f>VLOOKUP(AQ661,'[1]Harga &amp; Nama CSO'!$A$28:$D$31,4,0)*BQ661</f>
        <v>#N/A</v>
      </c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44">
        <f>IFERROR(VLOOKUP(AQ663,'[2]Harga &amp; Nama CSO'!$A$116:$S$136,19,FALSE),0)*AV663</f>
        <v>0</v>
      </c>
      <c r="BO662" s="55" t="e">
        <f>IFERROR(VLOOKUP(AQ662,'[1]Harga &amp; Nama CSO'!$H$2:$N$22,2,FALSE),"")*AV662</f>
        <v>#VALUE!</v>
      </c>
      <c r="BP662" s="40"/>
      <c r="BQ662" s="4"/>
      <c r="BR662" s="61"/>
      <c r="BS662" s="4"/>
      <c r="BT662" s="57" t="e">
        <f t="shared" si="44"/>
        <v>#VALUE!</v>
      </c>
      <c r="BU662" s="62"/>
      <c r="BV662" s="8" t="e">
        <v>#VALUE!</v>
      </c>
      <c r="BW662" s="58" t="e">
        <f>VLOOKUP(AQ662,'[1]Harga &amp; Nama CSO'!$A$28:$D$31,4,0)*BQ662</f>
        <v>#N/A</v>
      </c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44">
        <f>IFERROR(VLOOKUP(AQ664,'[2]Harga &amp; Nama CSO'!$A$116:$S$136,19,FALSE),0)*AV664</f>
        <v>0</v>
      </c>
      <c r="BO663" s="55" t="e">
        <f>IFERROR(VLOOKUP(AQ663,'[1]Harga &amp; Nama CSO'!$H$2:$N$22,2,FALSE),"")*AV663</f>
        <v>#VALUE!</v>
      </c>
      <c r="BP663" s="40"/>
      <c r="BQ663" s="4"/>
      <c r="BR663" s="61"/>
      <c r="BS663" s="4"/>
      <c r="BT663" s="57" t="e">
        <f t="shared" si="44"/>
        <v>#VALUE!</v>
      </c>
      <c r="BU663" s="62"/>
      <c r="BV663" s="8" t="e">
        <v>#VALUE!</v>
      </c>
      <c r="BW663" s="58" t="e">
        <f>VLOOKUP(AQ663,'[1]Harga &amp; Nama CSO'!$A$28:$D$31,4,0)*BQ663</f>
        <v>#N/A</v>
      </c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44">
        <f>IFERROR(VLOOKUP(AQ665,'[2]Harga &amp; Nama CSO'!$A$116:$S$136,19,FALSE),0)*AV665</f>
        <v>0</v>
      </c>
      <c r="BO664" s="55" t="e">
        <f>IFERROR(VLOOKUP(AQ664,'[1]Harga &amp; Nama CSO'!$H$2:$N$22,2,FALSE),"")*AV664</f>
        <v>#VALUE!</v>
      </c>
      <c r="BP664" s="40"/>
      <c r="BQ664" s="4"/>
      <c r="BR664" s="61"/>
      <c r="BS664" s="4"/>
      <c r="BT664" s="57" t="e">
        <f t="shared" si="44"/>
        <v>#VALUE!</v>
      </c>
      <c r="BU664" s="62"/>
      <c r="BV664" s="8" t="e">
        <v>#VALUE!</v>
      </c>
      <c r="BW664" s="58" t="e">
        <f>VLOOKUP(AQ664,'[1]Harga &amp; Nama CSO'!$A$28:$D$31,4,0)*BQ664</f>
        <v>#N/A</v>
      </c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44">
        <f>IFERROR(VLOOKUP(AQ666,'[2]Harga &amp; Nama CSO'!$A$116:$S$136,19,FALSE),0)*AV666</f>
        <v>0</v>
      </c>
      <c r="BO665" s="55" t="e">
        <f>IFERROR(VLOOKUP(AQ665,'[1]Harga &amp; Nama CSO'!$H$2:$N$22,2,FALSE),"")*AV665</f>
        <v>#VALUE!</v>
      </c>
      <c r="BP665" s="40"/>
      <c r="BQ665" s="4"/>
      <c r="BR665" s="61"/>
      <c r="BS665" s="4"/>
      <c r="BT665" s="57" t="e">
        <f t="shared" si="44"/>
        <v>#VALUE!</v>
      </c>
      <c r="BU665" s="62"/>
      <c r="BV665" s="8" t="e">
        <v>#VALUE!</v>
      </c>
      <c r="BW665" s="58" t="e">
        <f>VLOOKUP(AQ665,'[1]Harga &amp; Nama CSO'!$A$28:$D$31,4,0)*BQ665</f>
        <v>#N/A</v>
      </c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44">
        <f>IFERROR(VLOOKUP(AQ667,'[2]Harga &amp; Nama CSO'!$A$116:$S$136,19,FALSE),0)*AV667</f>
        <v>0</v>
      </c>
      <c r="BO666" s="55" t="e">
        <f>IFERROR(VLOOKUP(AQ666,'[1]Harga &amp; Nama CSO'!$H$2:$N$22,2,FALSE),"")*AV666</f>
        <v>#VALUE!</v>
      </c>
      <c r="BP666" s="40"/>
      <c r="BQ666" s="4"/>
      <c r="BR666" s="61"/>
      <c r="BS666" s="4"/>
      <c r="BT666" s="57" t="e">
        <f t="shared" si="44"/>
        <v>#VALUE!</v>
      </c>
      <c r="BU666" s="62"/>
      <c r="BV666" s="8" t="e">
        <v>#VALUE!</v>
      </c>
      <c r="BW666" s="58" t="e">
        <f>VLOOKUP(AQ666,'[1]Harga &amp; Nama CSO'!$A$28:$D$31,4,0)*BQ666</f>
        <v>#N/A</v>
      </c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44">
        <f>IFERROR(VLOOKUP(AQ668,'[2]Harga &amp; Nama CSO'!$A$116:$S$136,19,FALSE),0)*AV668</f>
        <v>0</v>
      </c>
      <c r="BO667" s="55" t="e">
        <f>IFERROR(VLOOKUP(AQ667,'[1]Harga &amp; Nama CSO'!$H$2:$N$22,2,FALSE),"")*AV667</f>
        <v>#VALUE!</v>
      </c>
      <c r="BP667" s="40"/>
      <c r="BQ667" s="4"/>
      <c r="BR667" s="61"/>
      <c r="BS667" s="4"/>
      <c r="BT667" s="57" t="e">
        <f t="shared" si="44"/>
        <v>#VALUE!</v>
      </c>
      <c r="BU667" s="62"/>
      <c r="BV667" s="8" t="e">
        <v>#VALUE!</v>
      </c>
      <c r="BW667" s="58" t="e">
        <f>VLOOKUP(AQ667,'[1]Harga &amp; Nama CSO'!$A$28:$D$31,4,0)*BQ667</f>
        <v>#N/A</v>
      </c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44">
        <f>IFERROR(VLOOKUP(AQ669,'[2]Harga &amp; Nama CSO'!$A$116:$S$136,19,FALSE),0)*AV669</f>
        <v>0</v>
      </c>
      <c r="BO668" s="55" t="e">
        <f>IFERROR(VLOOKUP(AQ668,'[1]Harga &amp; Nama CSO'!$H$2:$N$22,2,FALSE),"")*AV668</f>
        <v>#VALUE!</v>
      </c>
      <c r="BP668" s="40"/>
      <c r="BQ668" s="4"/>
      <c r="BR668" s="61"/>
      <c r="BS668" s="4"/>
      <c r="BT668" s="57" t="e">
        <f t="shared" si="44"/>
        <v>#VALUE!</v>
      </c>
      <c r="BU668" s="62"/>
      <c r="BV668" s="8" t="e">
        <v>#VALUE!</v>
      </c>
      <c r="BW668" s="58" t="e">
        <f>VLOOKUP(AQ668,'[1]Harga &amp; Nama CSO'!$A$28:$D$31,4,0)*BQ668</f>
        <v>#N/A</v>
      </c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44">
        <f>IFERROR(VLOOKUP(AQ670,'[2]Harga &amp; Nama CSO'!$A$116:$S$136,19,FALSE),0)*AV670</f>
        <v>0</v>
      </c>
      <c r="BO669" s="55" t="e">
        <f>IFERROR(VLOOKUP(AQ669,'[1]Harga &amp; Nama CSO'!$H$2:$N$22,2,FALSE),"")*AV669</f>
        <v>#VALUE!</v>
      </c>
      <c r="BP669" s="40"/>
      <c r="BQ669" s="4"/>
      <c r="BR669" s="61"/>
      <c r="BS669" s="4"/>
      <c r="BT669" s="57" t="e">
        <f t="shared" si="44"/>
        <v>#VALUE!</v>
      </c>
      <c r="BU669" s="62"/>
      <c r="BV669" s="8" t="e">
        <v>#VALUE!</v>
      </c>
      <c r="BW669" s="58" t="e">
        <f>VLOOKUP(AQ669,'[1]Harga &amp; Nama CSO'!$A$28:$D$31,4,0)*BQ669</f>
        <v>#N/A</v>
      </c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44">
        <f>IFERROR(VLOOKUP(AQ671,'[2]Harga &amp; Nama CSO'!$A$116:$S$136,19,FALSE),0)*AV671</f>
        <v>0</v>
      </c>
      <c r="BO670" s="55" t="e">
        <f>IFERROR(VLOOKUP(AQ670,'[1]Harga &amp; Nama CSO'!$H$2:$N$22,2,FALSE),"")*AV670</f>
        <v>#VALUE!</v>
      </c>
      <c r="BP670" s="40"/>
      <c r="BQ670" s="4"/>
      <c r="BR670" s="61"/>
      <c r="BS670" s="4"/>
      <c r="BT670" s="57" t="e">
        <f t="shared" si="44"/>
        <v>#VALUE!</v>
      </c>
      <c r="BU670" s="62"/>
      <c r="BV670" s="8" t="e">
        <v>#VALUE!</v>
      </c>
      <c r="BW670" s="58" t="e">
        <f>VLOOKUP(AQ670,'[1]Harga &amp; Nama CSO'!$A$28:$D$31,4,0)*BQ670</f>
        <v>#N/A</v>
      </c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44">
        <f>IFERROR(VLOOKUP(AQ672,'[2]Harga &amp; Nama CSO'!$A$116:$S$136,19,FALSE),0)*AV672</f>
        <v>0</v>
      </c>
      <c r="BO671" s="55" t="e">
        <f>IFERROR(VLOOKUP(AQ671,'[1]Harga &amp; Nama CSO'!$H$2:$N$22,2,FALSE),"")*AV671</f>
        <v>#VALUE!</v>
      </c>
      <c r="BP671" s="40"/>
      <c r="BQ671" s="4"/>
      <c r="BR671" s="61"/>
      <c r="BS671" s="4"/>
      <c r="BT671" s="57" t="e">
        <f t="shared" si="44"/>
        <v>#VALUE!</v>
      </c>
      <c r="BU671" s="62"/>
      <c r="BV671" s="8" t="e">
        <v>#VALUE!</v>
      </c>
      <c r="BW671" s="58" t="e">
        <f>VLOOKUP(AQ671,'[1]Harga &amp; Nama CSO'!$A$28:$D$31,4,0)*BQ671</f>
        <v>#N/A</v>
      </c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44">
        <f>IFERROR(VLOOKUP(AQ673,'[2]Harga &amp; Nama CSO'!$A$116:$S$136,19,FALSE),0)*AV673</f>
        <v>0</v>
      </c>
      <c r="BO672" s="55" t="e">
        <f>IFERROR(VLOOKUP(AQ672,'[1]Harga &amp; Nama CSO'!$H$2:$N$22,2,FALSE),"")*AV672</f>
        <v>#VALUE!</v>
      </c>
      <c r="BP672" s="40"/>
      <c r="BQ672" s="4"/>
      <c r="BR672" s="61"/>
      <c r="BS672" s="4"/>
      <c r="BT672" s="57" t="e">
        <f t="shared" si="44"/>
        <v>#VALUE!</v>
      </c>
      <c r="BU672" s="62"/>
      <c r="BV672" s="8" t="e">
        <v>#VALUE!</v>
      </c>
      <c r="BW672" s="58" t="e">
        <f>VLOOKUP(AQ672,'[1]Harga &amp; Nama CSO'!$A$28:$D$31,4,0)*BQ672</f>
        <v>#N/A</v>
      </c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44">
        <f>IFERROR(VLOOKUP(AQ674,'[2]Harga &amp; Nama CSO'!$A$116:$S$136,19,FALSE),0)*AV674</f>
        <v>0</v>
      </c>
      <c r="BO673" s="55" t="e">
        <f>IFERROR(VLOOKUP(AQ673,'[1]Harga &amp; Nama CSO'!$H$2:$N$22,2,FALSE),"")*AV673</f>
        <v>#VALUE!</v>
      </c>
      <c r="BP673" s="40"/>
      <c r="BQ673" s="4"/>
      <c r="BR673" s="61"/>
      <c r="BS673" s="4"/>
      <c r="BT673" s="57" t="e">
        <f t="shared" si="44"/>
        <v>#VALUE!</v>
      </c>
      <c r="BU673" s="62"/>
      <c r="BV673" s="8" t="e">
        <v>#VALUE!</v>
      </c>
      <c r="BW673" s="58" t="e">
        <f>VLOOKUP(AQ673,'[1]Harga &amp; Nama CSO'!$A$28:$D$31,4,0)*BQ673</f>
        <v>#N/A</v>
      </c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44">
        <f>IFERROR(VLOOKUP(AQ675,'[2]Harga &amp; Nama CSO'!$A$116:$S$136,19,FALSE),0)*AV675</f>
        <v>0</v>
      </c>
      <c r="BO674" s="55" t="e">
        <f>IFERROR(VLOOKUP(AQ674,'[1]Harga &amp; Nama CSO'!$H$2:$N$22,2,FALSE),"")*AV674</f>
        <v>#VALUE!</v>
      </c>
      <c r="BP674" s="40"/>
      <c r="BQ674" s="4"/>
      <c r="BR674" s="61"/>
      <c r="BS674" s="4"/>
      <c r="BT674" s="57" t="e">
        <f t="shared" si="44"/>
        <v>#VALUE!</v>
      </c>
      <c r="BU674" s="62"/>
      <c r="BV674" s="8" t="e">
        <v>#VALUE!</v>
      </c>
      <c r="BW674" s="58" t="e">
        <f>VLOOKUP(AQ674,'[1]Harga &amp; Nama CSO'!$A$28:$D$31,4,0)*BQ674</f>
        <v>#N/A</v>
      </c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44">
        <f>IFERROR(VLOOKUP(AQ676,'[2]Harga &amp; Nama CSO'!$A$116:$S$136,19,FALSE),0)*AV676</f>
        <v>0</v>
      </c>
      <c r="BO675" s="55" t="e">
        <f>IFERROR(VLOOKUP(AQ675,'[1]Harga &amp; Nama CSO'!$H$2:$N$22,2,FALSE),"")*AV675</f>
        <v>#VALUE!</v>
      </c>
      <c r="BP675" s="40"/>
      <c r="BQ675" s="4"/>
      <c r="BR675" s="61"/>
      <c r="BS675" s="4"/>
      <c r="BT675" s="57" t="e">
        <f t="shared" si="44"/>
        <v>#VALUE!</v>
      </c>
      <c r="BU675" s="62"/>
      <c r="BV675" s="8" t="e">
        <v>#VALUE!</v>
      </c>
      <c r="BW675" s="58" t="e">
        <f>VLOOKUP(AQ675,'[1]Harga &amp; Nama CSO'!$A$28:$D$31,4,0)*BQ675</f>
        <v>#N/A</v>
      </c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44">
        <f>IFERROR(VLOOKUP(AQ677,'[2]Harga &amp; Nama CSO'!$A$116:$S$136,19,FALSE),0)*AV677</f>
        <v>0</v>
      </c>
      <c r="BO676" s="55" t="e">
        <f>IFERROR(VLOOKUP(AQ676,'[1]Harga &amp; Nama CSO'!$H$2:$N$22,2,FALSE),"")*AV676</f>
        <v>#VALUE!</v>
      </c>
      <c r="BP676" s="40"/>
      <c r="BQ676" s="4"/>
      <c r="BR676" s="61"/>
      <c r="BS676" s="4"/>
      <c r="BT676" s="57" t="e">
        <f t="shared" si="44"/>
        <v>#VALUE!</v>
      </c>
      <c r="BU676" s="62"/>
      <c r="BV676" s="8" t="e">
        <v>#VALUE!</v>
      </c>
      <c r="BW676" s="58" t="e">
        <f>VLOOKUP(AQ676,'[1]Harga &amp; Nama CSO'!$A$28:$D$31,4,0)*BQ676</f>
        <v>#N/A</v>
      </c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44">
        <f>IFERROR(VLOOKUP(AQ678,'[2]Harga &amp; Nama CSO'!$A$116:$S$136,19,FALSE),0)*AV678</f>
        <v>0</v>
      </c>
      <c r="BO677" s="55" t="e">
        <f>IFERROR(VLOOKUP(AQ677,'[1]Harga &amp; Nama CSO'!$H$2:$N$22,2,FALSE),"")*AV677</f>
        <v>#VALUE!</v>
      </c>
      <c r="BP677" s="40"/>
      <c r="BQ677" s="4"/>
      <c r="BR677" s="61"/>
      <c r="BS677" s="4"/>
      <c r="BT677" s="57" t="e">
        <f t="shared" si="44"/>
        <v>#VALUE!</v>
      </c>
      <c r="BU677" s="62"/>
      <c r="BV677" s="8" t="e">
        <v>#VALUE!</v>
      </c>
      <c r="BW677" s="58" t="e">
        <f>VLOOKUP(AQ677,'[1]Harga &amp; Nama CSO'!$A$28:$D$31,4,0)*BQ677</f>
        <v>#N/A</v>
      </c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44">
        <f>IFERROR(VLOOKUP(AQ679,'[2]Harga &amp; Nama CSO'!$A$116:$S$136,19,FALSE),0)*AV679</f>
        <v>0</v>
      </c>
      <c r="BO678" s="55" t="e">
        <f>IFERROR(VLOOKUP(AQ678,'[1]Harga &amp; Nama CSO'!$H$2:$N$22,2,FALSE),"")*AV678</f>
        <v>#VALUE!</v>
      </c>
      <c r="BP678" s="40"/>
      <c r="BQ678" s="4"/>
      <c r="BR678" s="61"/>
      <c r="BS678" s="4"/>
      <c r="BT678" s="57" t="e">
        <f t="shared" si="44"/>
        <v>#VALUE!</v>
      </c>
      <c r="BU678" s="62"/>
      <c r="BV678" s="8" t="e">
        <v>#VALUE!</v>
      </c>
      <c r="BW678" s="58" t="e">
        <f>VLOOKUP(AQ678,'[1]Harga &amp; Nama CSO'!$A$28:$D$31,4,0)*BQ678</f>
        <v>#N/A</v>
      </c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44">
        <f>IFERROR(VLOOKUP(AQ680,'[2]Harga &amp; Nama CSO'!$A$116:$S$136,19,FALSE),0)*AV680</f>
        <v>0</v>
      </c>
      <c r="BO679" s="55" t="e">
        <f>IFERROR(VLOOKUP(AQ679,'[1]Harga &amp; Nama CSO'!$H$2:$N$22,2,FALSE),"")*AV679</f>
        <v>#VALUE!</v>
      </c>
      <c r="BP679" s="40"/>
      <c r="BQ679" s="4"/>
      <c r="BR679" s="61"/>
      <c r="BS679" s="4"/>
      <c r="BT679" s="57" t="e">
        <f t="shared" si="44"/>
        <v>#VALUE!</v>
      </c>
      <c r="BU679" s="62"/>
      <c r="BV679" s="8" t="e">
        <v>#VALUE!</v>
      </c>
      <c r="BW679" s="58" t="e">
        <f>VLOOKUP(AQ679,'[1]Harga &amp; Nama CSO'!$A$28:$D$31,4,0)*BQ679</f>
        <v>#N/A</v>
      </c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44">
        <f>IFERROR(VLOOKUP(AQ681,'[2]Harga &amp; Nama CSO'!$A$116:$S$136,19,FALSE),0)*AV681</f>
        <v>0</v>
      </c>
      <c r="BO680" s="55" t="e">
        <f>IFERROR(VLOOKUP(AQ680,'[1]Harga &amp; Nama CSO'!$H$2:$N$22,2,FALSE),"")*AV680</f>
        <v>#VALUE!</v>
      </c>
      <c r="BP680" s="40"/>
      <c r="BQ680" s="4"/>
      <c r="BR680" s="61"/>
      <c r="BS680" s="4"/>
      <c r="BT680" s="57" t="e">
        <f t="shared" si="44"/>
        <v>#VALUE!</v>
      </c>
      <c r="BU680" s="62"/>
      <c r="BV680" s="8" t="e">
        <v>#VALUE!</v>
      </c>
      <c r="BW680" s="58" t="e">
        <f>VLOOKUP(AQ680,'[1]Harga &amp; Nama CSO'!$A$28:$D$31,4,0)*BQ680</f>
        <v>#N/A</v>
      </c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44">
        <f>IFERROR(VLOOKUP(AQ682,'[2]Harga &amp; Nama CSO'!$A$116:$S$136,19,FALSE),0)*AV682</f>
        <v>0</v>
      </c>
      <c r="BO681" s="55" t="e">
        <f>IFERROR(VLOOKUP(AQ681,'[1]Harga &amp; Nama CSO'!$H$2:$N$22,2,FALSE),"")*AV681</f>
        <v>#VALUE!</v>
      </c>
      <c r="BP681" s="40"/>
      <c r="BQ681" s="4"/>
      <c r="BR681" s="61"/>
      <c r="BS681" s="4"/>
      <c r="BT681" s="57" t="e">
        <f t="shared" si="44"/>
        <v>#VALUE!</v>
      </c>
      <c r="BU681" s="62"/>
      <c r="BV681" s="8" t="e">
        <v>#VALUE!</v>
      </c>
      <c r="BW681" s="58" t="e">
        <f>VLOOKUP(AQ681,'[1]Harga &amp; Nama CSO'!$A$28:$D$31,4,0)*BQ681</f>
        <v>#N/A</v>
      </c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44">
        <f>IFERROR(VLOOKUP(AQ683,'[2]Harga &amp; Nama CSO'!$A$116:$S$136,19,FALSE),0)*AV683</f>
        <v>0</v>
      </c>
      <c r="BO682" s="55" t="e">
        <f>IFERROR(VLOOKUP(AQ682,'[1]Harga &amp; Nama CSO'!$H$2:$N$22,2,FALSE),"")*AV682</f>
        <v>#VALUE!</v>
      </c>
      <c r="BP682" s="40"/>
      <c r="BQ682" s="4"/>
      <c r="BR682" s="61"/>
      <c r="BS682" s="4"/>
      <c r="BT682" s="57" t="e">
        <f t="shared" si="44"/>
        <v>#VALUE!</v>
      </c>
      <c r="BU682" s="62"/>
      <c r="BV682" s="8" t="e">
        <v>#VALUE!</v>
      </c>
      <c r="BW682" s="58" t="e">
        <f>VLOOKUP(AQ682,'[1]Harga &amp; Nama CSO'!$A$28:$D$31,4,0)*BQ682</f>
        <v>#N/A</v>
      </c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44">
        <f>IFERROR(VLOOKUP(AQ684,'[2]Harga &amp; Nama CSO'!$A$116:$S$136,19,FALSE),0)*AV684</f>
        <v>0</v>
      </c>
      <c r="BO683" s="55" t="e">
        <f>IFERROR(VLOOKUP(AQ683,'[1]Harga &amp; Nama CSO'!$H$2:$N$22,2,FALSE),"")*AV683</f>
        <v>#VALUE!</v>
      </c>
      <c r="BP683" s="40"/>
      <c r="BQ683" s="4"/>
      <c r="BR683" s="61"/>
      <c r="BS683" s="4"/>
      <c r="BT683" s="57" t="e">
        <f t="shared" si="44"/>
        <v>#VALUE!</v>
      </c>
      <c r="BU683" s="62"/>
      <c r="BV683" s="8" t="e">
        <v>#VALUE!</v>
      </c>
      <c r="BW683" s="58" t="e">
        <f>VLOOKUP(AQ683,'[1]Harga &amp; Nama CSO'!$A$28:$D$31,4,0)*BQ683</f>
        <v>#N/A</v>
      </c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44">
        <f>IFERROR(VLOOKUP(AQ685,'[2]Harga &amp; Nama CSO'!$A$116:$S$136,19,FALSE),0)*AV685</f>
        <v>0</v>
      </c>
      <c r="BO684" s="55" t="e">
        <f>IFERROR(VLOOKUP(AQ684,'[1]Harga &amp; Nama CSO'!$H$2:$N$22,2,FALSE),"")*AV684</f>
        <v>#VALUE!</v>
      </c>
      <c r="BP684" s="40"/>
      <c r="BQ684" s="4"/>
      <c r="BR684" s="61"/>
      <c r="BS684" s="4"/>
      <c r="BT684" s="57" t="e">
        <f t="shared" si="44"/>
        <v>#VALUE!</v>
      </c>
      <c r="BU684" s="62"/>
      <c r="BV684" s="8" t="e">
        <v>#VALUE!</v>
      </c>
      <c r="BW684" s="58" t="e">
        <f>VLOOKUP(AQ684,'[1]Harga &amp; Nama CSO'!$A$28:$D$31,4,0)*BQ684</f>
        <v>#N/A</v>
      </c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44">
        <f>IFERROR(VLOOKUP(AQ686,'[2]Harga &amp; Nama CSO'!$A$116:$S$136,19,FALSE),0)*AV686</f>
        <v>0</v>
      </c>
      <c r="BO685" s="55" t="e">
        <f>IFERROR(VLOOKUP(AQ685,'[1]Harga &amp; Nama CSO'!$H$2:$N$22,2,FALSE),"")*AV685</f>
        <v>#VALUE!</v>
      </c>
      <c r="BP685" s="40"/>
      <c r="BQ685" s="4"/>
      <c r="BR685" s="61"/>
      <c r="BS685" s="4"/>
      <c r="BT685" s="57" t="e">
        <f t="shared" si="44"/>
        <v>#VALUE!</v>
      </c>
      <c r="BU685" s="62"/>
      <c r="BV685" s="8" t="e">
        <v>#VALUE!</v>
      </c>
      <c r="BW685" s="58" t="e">
        <f>VLOOKUP(AQ685,'[1]Harga &amp; Nama CSO'!$A$28:$D$31,4,0)*BQ685</f>
        <v>#N/A</v>
      </c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44">
        <f>IFERROR(VLOOKUP(AQ687,'[2]Harga &amp; Nama CSO'!$A$116:$S$136,19,FALSE),0)*AV687</f>
        <v>0</v>
      </c>
      <c r="BO686" s="55" t="e">
        <f>IFERROR(VLOOKUP(AQ686,'[1]Harga &amp; Nama CSO'!$H$2:$N$22,2,FALSE),"")*AV686</f>
        <v>#VALUE!</v>
      </c>
      <c r="BP686" s="40"/>
      <c r="BQ686" s="4"/>
      <c r="BR686" s="61"/>
      <c r="BS686" s="4"/>
      <c r="BT686" s="57" t="e">
        <f t="shared" si="44"/>
        <v>#VALUE!</v>
      </c>
      <c r="BU686" s="62"/>
      <c r="BV686" s="8" t="e">
        <v>#VALUE!</v>
      </c>
      <c r="BW686" s="58" t="e">
        <f>VLOOKUP(AQ686,'[1]Harga &amp; Nama CSO'!$A$28:$D$31,4,0)*BQ686</f>
        <v>#N/A</v>
      </c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44">
        <f>IFERROR(VLOOKUP(AQ688,'[2]Harga &amp; Nama CSO'!$A$116:$S$136,19,FALSE),0)*AV688</f>
        <v>0</v>
      </c>
      <c r="BO687" s="55" t="e">
        <f>IFERROR(VLOOKUP(AQ687,'[1]Harga &amp; Nama CSO'!$H$2:$N$22,2,FALSE),"")*AV687</f>
        <v>#VALUE!</v>
      </c>
      <c r="BP687" s="40"/>
      <c r="BQ687" s="4"/>
      <c r="BR687" s="61"/>
      <c r="BS687" s="4"/>
      <c r="BT687" s="57" t="e">
        <f t="shared" si="44"/>
        <v>#VALUE!</v>
      </c>
      <c r="BU687" s="62"/>
      <c r="BV687" s="8" t="e">
        <v>#VALUE!</v>
      </c>
      <c r="BW687" s="58" t="e">
        <f>VLOOKUP(AQ687,'[1]Harga &amp; Nama CSO'!$A$28:$D$31,4,0)*BQ687</f>
        <v>#N/A</v>
      </c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44">
        <f>IFERROR(VLOOKUP(AQ689,'[2]Harga &amp; Nama CSO'!$A$116:$S$136,19,FALSE),0)*AV689</f>
        <v>0</v>
      </c>
      <c r="BO688" s="55" t="e">
        <f>IFERROR(VLOOKUP(AQ688,'[1]Harga &amp; Nama CSO'!$H$2:$N$22,2,FALSE),"")*AV688</f>
        <v>#VALUE!</v>
      </c>
      <c r="BP688" s="40"/>
      <c r="BQ688" s="4"/>
      <c r="BR688" s="61"/>
      <c r="BS688" s="4"/>
      <c r="BT688" s="57" t="e">
        <f t="shared" si="44"/>
        <v>#VALUE!</v>
      </c>
      <c r="BU688" s="62"/>
      <c r="BV688" s="8" t="e">
        <v>#VALUE!</v>
      </c>
      <c r="BW688" s="58" t="e">
        <f>VLOOKUP(AQ688,'[1]Harga &amp; Nama CSO'!$A$28:$D$31,4,0)*BQ688</f>
        <v>#N/A</v>
      </c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44">
        <f>IFERROR(VLOOKUP(AQ690,'[2]Harga &amp; Nama CSO'!$A$116:$S$136,19,FALSE),0)*AV690</f>
        <v>0</v>
      </c>
      <c r="BO689" s="55" t="e">
        <f>IFERROR(VLOOKUP(AQ689,'[1]Harga &amp; Nama CSO'!$H$2:$N$22,2,FALSE),"")*AV689</f>
        <v>#VALUE!</v>
      </c>
      <c r="BP689" s="40"/>
      <c r="BQ689" s="4"/>
      <c r="BR689" s="61"/>
      <c r="BS689" s="4"/>
      <c r="BT689" s="57" t="e">
        <f t="shared" si="44"/>
        <v>#VALUE!</v>
      </c>
      <c r="BU689" s="62"/>
      <c r="BV689" s="8" t="e">
        <v>#VALUE!</v>
      </c>
      <c r="BW689" s="58" t="e">
        <f>VLOOKUP(AQ689,'[1]Harga &amp; Nama CSO'!$A$28:$D$31,4,0)*BQ689</f>
        <v>#N/A</v>
      </c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44">
        <f>IFERROR(VLOOKUP(AQ691,'[2]Harga &amp; Nama CSO'!$A$116:$S$136,19,FALSE),0)*AV691</f>
        <v>0</v>
      </c>
      <c r="BO690" s="55" t="e">
        <f>IFERROR(VLOOKUP(AQ690,'[1]Harga &amp; Nama CSO'!$H$2:$N$22,2,FALSE),"")*AV690</f>
        <v>#VALUE!</v>
      </c>
      <c r="BP690" s="40"/>
      <c r="BQ690" s="4"/>
      <c r="BR690" s="61"/>
      <c r="BS690" s="4"/>
      <c r="BT690" s="57" t="e">
        <f t="shared" si="44"/>
        <v>#VALUE!</v>
      </c>
      <c r="BU690" s="62"/>
      <c r="BV690" s="8" t="e">
        <v>#VALUE!</v>
      </c>
      <c r="BW690" s="58" t="e">
        <f>VLOOKUP(AQ690,'[1]Harga &amp; Nama CSO'!$A$28:$D$31,4,0)*BQ690</f>
        <v>#N/A</v>
      </c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44">
        <f>IFERROR(VLOOKUP(AQ692,'[2]Harga &amp; Nama CSO'!$A$116:$S$136,19,FALSE),0)*AV692</f>
        <v>0</v>
      </c>
      <c r="BO691" s="55" t="e">
        <f>IFERROR(VLOOKUP(AQ691,'[1]Harga &amp; Nama CSO'!$H$2:$N$22,2,FALSE),"")*AV691</f>
        <v>#VALUE!</v>
      </c>
      <c r="BP691" s="40"/>
      <c r="BQ691" s="4"/>
      <c r="BR691" s="61"/>
      <c r="BS691" s="4"/>
      <c r="BT691" s="57" t="e">
        <f t="shared" si="44"/>
        <v>#VALUE!</v>
      </c>
      <c r="BU691" s="62"/>
      <c r="BV691" s="8" t="e">
        <v>#VALUE!</v>
      </c>
      <c r="BW691" s="58" t="e">
        <f>VLOOKUP(AQ691,'[1]Harga &amp; Nama CSO'!$A$28:$D$31,4,0)*BQ691</f>
        <v>#N/A</v>
      </c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44">
        <f>IFERROR(VLOOKUP(AQ693,'[2]Harga &amp; Nama CSO'!$A$116:$S$136,19,FALSE),0)*AV693</f>
        <v>0</v>
      </c>
      <c r="BO692" s="55" t="e">
        <f>IFERROR(VLOOKUP(AQ692,'[1]Harga &amp; Nama CSO'!$H$2:$N$22,2,FALSE),"")*AV692</f>
        <v>#VALUE!</v>
      </c>
      <c r="BP692" s="40"/>
      <c r="BQ692" s="4"/>
      <c r="BR692" s="61"/>
      <c r="BS692" s="4"/>
      <c r="BT692" s="57" t="e">
        <f t="shared" si="44"/>
        <v>#VALUE!</v>
      </c>
      <c r="BU692" s="62"/>
      <c r="BV692" s="8" t="e">
        <v>#VALUE!</v>
      </c>
      <c r="BW692" s="58" t="e">
        <f>VLOOKUP(AQ692,'[1]Harga &amp; Nama CSO'!$A$28:$D$31,4,0)*BQ692</f>
        <v>#N/A</v>
      </c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44">
        <f>IFERROR(VLOOKUP(AQ694,'[2]Harga &amp; Nama CSO'!$A$116:$S$136,19,FALSE),0)*AV694</f>
        <v>0</v>
      </c>
      <c r="BO693" s="55" t="e">
        <f>IFERROR(VLOOKUP(AQ693,'[1]Harga &amp; Nama CSO'!$H$2:$N$22,2,FALSE),"")*AV693</f>
        <v>#VALUE!</v>
      </c>
      <c r="BP693" s="40"/>
      <c r="BQ693" s="4"/>
      <c r="BR693" s="61"/>
      <c r="BS693" s="4"/>
      <c r="BT693" s="57" t="e">
        <f t="shared" si="44"/>
        <v>#VALUE!</v>
      </c>
      <c r="BU693" s="62"/>
      <c r="BV693" s="8" t="e">
        <v>#VALUE!</v>
      </c>
      <c r="BW693" s="58" t="e">
        <f>VLOOKUP(AQ693,'[1]Harga &amp; Nama CSO'!$A$28:$D$31,4,0)*BQ693</f>
        <v>#N/A</v>
      </c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44">
        <f>IFERROR(VLOOKUP(AQ695,'[2]Harga &amp; Nama CSO'!$A$116:$S$136,19,FALSE),0)*AV695</f>
        <v>0</v>
      </c>
      <c r="BO694" s="55" t="e">
        <f>IFERROR(VLOOKUP(AQ694,'[1]Harga &amp; Nama CSO'!$H$2:$N$22,2,FALSE),"")*AV694</f>
        <v>#VALUE!</v>
      </c>
      <c r="BP694" s="40"/>
      <c r="BQ694" s="4"/>
      <c r="BR694" s="61"/>
      <c r="BS694" s="4"/>
      <c r="BT694" s="57" t="e">
        <f t="shared" si="44"/>
        <v>#VALUE!</v>
      </c>
      <c r="BU694" s="62"/>
      <c r="BV694" s="8" t="e">
        <v>#VALUE!</v>
      </c>
      <c r="BW694" s="58" t="e">
        <f>VLOOKUP(AQ694,'[1]Harga &amp; Nama CSO'!$A$28:$D$31,4,0)*BQ694</f>
        <v>#N/A</v>
      </c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44">
        <f>IFERROR(VLOOKUP(AQ696,'[2]Harga &amp; Nama CSO'!$A$116:$S$136,19,FALSE),0)*AV696</f>
        <v>0</v>
      </c>
      <c r="BO695" s="55" t="e">
        <f>IFERROR(VLOOKUP(AQ695,'[1]Harga &amp; Nama CSO'!$H$2:$N$22,2,FALSE),"")*AV695</f>
        <v>#VALUE!</v>
      </c>
      <c r="BP695" s="40"/>
      <c r="BQ695" s="4"/>
      <c r="BR695" s="61"/>
      <c r="BS695" s="4"/>
      <c r="BT695" s="57" t="e">
        <f t="shared" si="44"/>
        <v>#VALUE!</v>
      </c>
      <c r="BU695" s="62"/>
      <c r="BV695" s="8" t="e">
        <v>#VALUE!</v>
      </c>
      <c r="BW695" s="58" t="e">
        <f>VLOOKUP(AQ695,'[1]Harga &amp; Nama CSO'!$A$28:$D$31,4,0)*BQ695</f>
        <v>#N/A</v>
      </c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44">
        <f>IFERROR(VLOOKUP(AQ697,'[2]Harga &amp; Nama CSO'!$A$116:$S$136,19,FALSE),0)*AV697</f>
        <v>0</v>
      </c>
      <c r="BO696" s="55" t="e">
        <f>IFERROR(VLOOKUP(AQ696,'[1]Harga &amp; Nama CSO'!$H$2:$N$22,2,FALSE),"")*AV696</f>
        <v>#VALUE!</v>
      </c>
      <c r="BP696" s="40"/>
      <c r="BQ696" s="4"/>
      <c r="BR696" s="61"/>
      <c r="BS696" s="4"/>
      <c r="BT696" s="57" t="e">
        <f t="shared" si="44"/>
        <v>#VALUE!</v>
      </c>
      <c r="BU696" s="62"/>
      <c r="BV696" s="8" t="e">
        <v>#VALUE!</v>
      </c>
      <c r="BW696" s="58" t="e">
        <f>VLOOKUP(AQ696,'[1]Harga &amp; Nama CSO'!$A$28:$D$31,4,0)*BQ696</f>
        <v>#N/A</v>
      </c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44">
        <f>IFERROR(VLOOKUP(AQ698,'[2]Harga &amp; Nama CSO'!$A$116:$S$136,19,FALSE),0)*AV698</f>
        <v>0</v>
      </c>
      <c r="BO697" s="55" t="e">
        <f>IFERROR(VLOOKUP(AQ697,'[1]Harga &amp; Nama CSO'!$H$2:$N$22,2,FALSE),"")*AV697</f>
        <v>#VALUE!</v>
      </c>
      <c r="BP697" s="40"/>
      <c r="BQ697" s="4"/>
      <c r="BR697" s="61"/>
      <c r="BS697" s="4"/>
      <c r="BT697" s="57" t="e">
        <f t="shared" si="44"/>
        <v>#VALUE!</v>
      </c>
      <c r="BU697" s="62"/>
      <c r="BV697" s="8" t="e">
        <v>#VALUE!</v>
      </c>
      <c r="BW697" s="58" t="e">
        <f>VLOOKUP(AQ697,'[1]Harga &amp; Nama CSO'!$A$28:$D$31,4,0)*BQ697</f>
        <v>#N/A</v>
      </c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44">
        <f>IFERROR(VLOOKUP(AQ699,'[2]Harga &amp; Nama CSO'!$A$116:$S$136,19,FALSE),0)*AV699</f>
        <v>0</v>
      </c>
      <c r="BO698" s="55" t="e">
        <f>IFERROR(VLOOKUP(AQ698,'[1]Harga &amp; Nama CSO'!$H$2:$N$22,2,FALSE),"")*AV698</f>
        <v>#VALUE!</v>
      </c>
      <c r="BP698" s="40"/>
      <c r="BQ698" s="4"/>
      <c r="BR698" s="61"/>
      <c r="BS698" s="4"/>
      <c r="BT698" s="57" t="e">
        <f t="shared" si="44"/>
        <v>#VALUE!</v>
      </c>
      <c r="BU698" s="62"/>
      <c r="BV698" s="8" t="e">
        <v>#VALUE!</v>
      </c>
      <c r="BW698" s="58" t="e">
        <f>VLOOKUP(AQ698,'[1]Harga &amp; Nama CSO'!$A$28:$D$31,4,0)*BQ698</f>
        <v>#N/A</v>
      </c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44">
        <f>IFERROR(VLOOKUP(AQ700,'[2]Harga &amp; Nama CSO'!$A$116:$S$136,19,FALSE),0)*AV700</f>
        <v>0</v>
      </c>
      <c r="BO699" s="55" t="e">
        <f>IFERROR(VLOOKUP(AQ699,'[1]Harga &amp; Nama CSO'!$H$2:$N$22,2,FALSE),"")*AV699</f>
        <v>#VALUE!</v>
      </c>
      <c r="BP699" s="40"/>
      <c r="BQ699" s="4"/>
      <c r="BR699" s="61"/>
      <c r="BS699" s="4"/>
      <c r="BT699" s="57" t="e">
        <f t="shared" si="44"/>
        <v>#VALUE!</v>
      </c>
      <c r="BU699" s="62"/>
      <c r="BV699" s="8" t="e">
        <v>#VALUE!</v>
      </c>
      <c r="BW699" s="58" t="e">
        <f>VLOOKUP(AQ699,'[1]Harga &amp; Nama CSO'!$A$28:$D$31,4,0)*BQ699</f>
        <v>#N/A</v>
      </c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44">
        <f>IFERROR(VLOOKUP(AQ701,'[2]Harga &amp; Nama CSO'!$A$116:$S$136,19,FALSE),0)*AV701</f>
        <v>0</v>
      </c>
      <c r="BO700" s="55" t="e">
        <f>IFERROR(VLOOKUP(AQ700,'[1]Harga &amp; Nama CSO'!$H$2:$N$22,2,FALSE),"")*AV700</f>
        <v>#VALUE!</v>
      </c>
      <c r="BP700" s="40"/>
      <c r="BQ700" s="4"/>
      <c r="BR700" s="61"/>
      <c r="BS700" s="4"/>
      <c r="BT700" s="57" t="e">
        <f t="shared" si="44"/>
        <v>#VALUE!</v>
      </c>
      <c r="BU700" s="62"/>
      <c r="BV700" s="8" t="e">
        <v>#VALUE!</v>
      </c>
      <c r="BW700" s="58" t="e">
        <f>VLOOKUP(AQ700,'[1]Harga &amp; Nama CSO'!$A$28:$D$31,4,0)*BQ700</f>
        <v>#N/A</v>
      </c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44">
        <f>IFERROR(VLOOKUP(AQ702,'[2]Harga &amp; Nama CSO'!$A$116:$S$136,19,FALSE),0)*AV702</f>
        <v>0</v>
      </c>
      <c r="BO701" s="55" t="e">
        <f>IFERROR(VLOOKUP(AQ701,'[1]Harga &amp; Nama CSO'!$H$2:$N$22,2,FALSE),"")*AV701</f>
        <v>#VALUE!</v>
      </c>
      <c r="BP701" s="40"/>
      <c r="BQ701" s="4"/>
      <c r="BR701" s="61"/>
      <c r="BS701" s="4"/>
      <c r="BT701" s="57" t="e">
        <f t="shared" si="44"/>
        <v>#VALUE!</v>
      </c>
      <c r="BU701" s="62"/>
      <c r="BV701" s="8" t="e">
        <v>#VALUE!</v>
      </c>
      <c r="BW701" s="58" t="e">
        <f>VLOOKUP(AQ701,'[1]Harga &amp; Nama CSO'!$A$28:$D$31,4,0)*BQ701</f>
        <v>#N/A</v>
      </c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44">
        <f>IFERROR(VLOOKUP(AQ703,'[2]Harga &amp; Nama CSO'!$A$116:$S$136,19,FALSE),0)*AV703</f>
        <v>0</v>
      </c>
      <c r="BO702" s="55" t="e">
        <f>IFERROR(VLOOKUP(AQ702,'[1]Harga &amp; Nama CSO'!$H$2:$N$22,2,FALSE),"")*AV702</f>
        <v>#VALUE!</v>
      </c>
      <c r="BP702" s="40"/>
      <c r="BQ702" s="4"/>
      <c r="BR702" s="61"/>
      <c r="BS702" s="4"/>
      <c r="BT702" s="57" t="e">
        <f t="shared" si="44"/>
        <v>#VALUE!</v>
      </c>
      <c r="BU702" s="62"/>
      <c r="BV702" s="8" t="e">
        <v>#VALUE!</v>
      </c>
      <c r="BW702" s="58" t="e">
        <f>VLOOKUP(AQ702,'[1]Harga &amp; Nama CSO'!$A$28:$D$31,4,0)*BQ702</f>
        <v>#N/A</v>
      </c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44">
        <f>IFERROR(VLOOKUP(AQ704,'[2]Harga &amp; Nama CSO'!$A$116:$S$136,19,FALSE),0)*AV704</f>
        <v>0</v>
      </c>
      <c r="BO703" s="55" t="e">
        <f>IFERROR(VLOOKUP(AQ703,'[1]Harga &amp; Nama CSO'!$H$2:$N$22,2,FALSE),"")*AV703</f>
        <v>#VALUE!</v>
      </c>
      <c r="BP703" s="40"/>
      <c r="BQ703" s="4"/>
      <c r="BR703" s="61"/>
      <c r="BS703" s="4"/>
      <c r="BT703" s="57" t="e">
        <f t="shared" si="44"/>
        <v>#VALUE!</v>
      </c>
      <c r="BU703" s="62"/>
      <c r="BV703" s="8" t="e">
        <v>#VALUE!</v>
      </c>
      <c r="BW703" s="58" t="e">
        <f>VLOOKUP(AQ703,'[1]Harga &amp; Nama CSO'!$A$28:$D$31,4,0)*BQ703</f>
        <v>#N/A</v>
      </c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44">
        <f>IFERROR(VLOOKUP(AQ705,'[2]Harga &amp; Nama CSO'!$A$116:$S$136,19,FALSE),0)*AV705</f>
        <v>0</v>
      </c>
      <c r="BO704" s="55" t="e">
        <f>IFERROR(VLOOKUP(AQ704,'[1]Harga &amp; Nama CSO'!$H$2:$N$22,2,FALSE),"")*AV704</f>
        <v>#VALUE!</v>
      </c>
      <c r="BP704" s="40"/>
      <c r="BQ704" s="4"/>
      <c r="BR704" s="61"/>
      <c r="BS704" s="4"/>
      <c r="BT704" s="57" t="e">
        <f t="shared" si="44"/>
        <v>#VALUE!</v>
      </c>
      <c r="BU704" s="62"/>
      <c r="BV704" s="8" t="e">
        <v>#VALUE!</v>
      </c>
      <c r="BW704" s="58" t="e">
        <f>VLOOKUP(AQ704,'[1]Harga &amp; Nama CSO'!$A$28:$D$31,4,0)*BQ704</f>
        <v>#N/A</v>
      </c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44">
        <f>IFERROR(VLOOKUP(AQ706,'[2]Harga &amp; Nama CSO'!$A$116:$S$136,19,FALSE),0)*AV706</f>
        <v>0</v>
      </c>
      <c r="BO705" s="55" t="e">
        <f>IFERROR(VLOOKUP(AQ705,'[1]Harga &amp; Nama CSO'!$H$2:$N$22,2,FALSE),"")*AV705</f>
        <v>#VALUE!</v>
      </c>
      <c r="BP705" s="40"/>
      <c r="BQ705" s="4"/>
      <c r="BR705" s="61"/>
      <c r="BS705" s="4"/>
      <c r="BT705" s="57" t="e">
        <f t="shared" si="44"/>
        <v>#VALUE!</v>
      </c>
      <c r="BU705" s="62"/>
      <c r="BV705" s="8" t="e">
        <v>#VALUE!</v>
      </c>
      <c r="BW705" s="58" t="e">
        <f>VLOOKUP(AQ705,'[1]Harga &amp; Nama CSO'!$A$28:$D$31,4,0)*BQ705</f>
        <v>#N/A</v>
      </c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44">
        <f>IFERROR(VLOOKUP(AQ707,'[2]Harga &amp; Nama CSO'!$A$116:$S$136,19,FALSE),0)*AV707</f>
        <v>0</v>
      </c>
      <c r="BO706" s="55" t="e">
        <f>IFERROR(VLOOKUP(AQ706,'[1]Harga &amp; Nama CSO'!$H$2:$N$22,2,FALSE),"")*AV706</f>
        <v>#VALUE!</v>
      </c>
      <c r="BP706" s="40"/>
      <c r="BQ706" s="4"/>
      <c r="BR706" s="61"/>
      <c r="BS706" s="4"/>
      <c r="BT706" s="57" t="e">
        <f t="shared" si="44"/>
        <v>#VALUE!</v>
      </c>
      <c r="BU706" s="62"/>
      <c r="BV706" s="8" t="e">
        <v>#VALUE!</v>
      </c>
      <c r="BW706" s="58" t="e">
        <f>VLOOKUP(AQ706,'[1]Harga &amp; Nama CSO'!$A$28:$D$31,4,0)*BQ706</f>
        <v>#N/A</v>
      </c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44">
        <f>IFERROR(VLOOKUP(AQ708,'[2]Harga &amp; Nama CSO'!$A$116:$S$136,19,FALSE),0)*AV708</f>
        <v>0</v>
      </c>
      <c r="BO707" s="55" t="e">
        <f>IFERROR(VLOOKUP(AQ707,'[1]Harga &amp; Nama CSO'!$H$2:$N$22,2,FALSE),"")*AV707</f>
        <v>#VALUE!</v>
      </c>
      <c r="BP707" s="40"/>
      <c r="BQ707" s="4"/>
      <c r="BR707" s="61"/>
      <c r="BS707" s="4"/>
      <c r="BT707" s="57" t="e">
        <f t="shared" ref="BT707:BT770" si="45">BO707-BR707</f>
        <v>#VALUE!</v>
      </c>
      <c r="BU707" s="62"/>
      <c r="BV707" s="8" t="e">
        <v>#VALUE!</v>
      </c>
      <c r="BW707" s="58" t="e">
        <f>VLOOKUP(AQ707,'[1]Harga &amp; Nama CSO'!$A$28:$D$31,4,0)*BQ707</f>
        <v>#N/A</v>
      </c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44">
        <f>IFERROR(VLOOKUP(AQ709,'[2]Harga &amp; Nama CSO'!$A$116:$S$136,19,FALSE),0)*AV709</f>
        <v>0</v>
      </c>
      <c r="BO708" s="55" t="e">
        <f>IFERROR(VLOOKUP(AQ708,'[1]Harga &amp; Nama CSO'!$H$2:$N$22,2,FALSE),"")*AV708</f>
        <v>#VALUE!</v>
      </c>
      <c r="BP708" s="40"/>
      <c r="BQ708" s="4"/>
      <c r="BR708" s="61"/>
      <c r="BS708" s="4"/>
      <c r="BT708" s="57" t="e">
        <f t="shared" si="45"/>
        <v>#VALUE!</v>
      </c>
      <c r="BU708" s="62"/>
      <c r="BV708" s="8" t="e">
        <v>#VALUE!</v>
      </c>
      <c r="BW708" s="58" t="e">
        <f>VLOOKUP(AQ708,'[1]Harga &amp; Nama CSO'!$A$28:$D$31,4,0)*BQ708</f>
        <v>#N/A</v>
      </c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44">
        <f>IFERROR(VLOOKUP(AQ710,'[2]Harga &amp; Nama CSO'!$A$116:$S$136,19,FALSE),0)*AV710</f>
        <v>0</v>
      </c>
      <c r="BO709" s="55" t="e">
        <f>IFERROR(VLOOKUP(AQ709,'[1]Harga &amp; Nama CSO'!$H$2:$N$22,2,FALSE),"")*AV709</f>
        <v>#VALUE!</v>
      </c>
      <c r="BP709" s="40"/>
      <c r="BQ709" s="4"/>
      <c r="BR709" s="61"/>
      <c r="BS709" s="4"/>
      <c r="BT709" s="57" t="e">
        <f t="shared" si="45"/>
        <v>#VALUE!</v>
      </c>
      <c r="BU709" s="62"/>
      <c r="BV709" s="8" t="e">
        <v>#VALUE!</v>
      </c>
      <c r="BW709" s="58" t="e">
        <f>VLOOKUP(AQ709,'[1]Harga &amp; Nama CSO'!$A$28:$D$31,4,0)*BQ709</f>
        <v>#N/A</v>
      </c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44">
        <f>IFERROR(VLOOKUP(AQ711,'[2]Harga &amp; Nama CSO'!$A$116:$S$136,19,FALSE),0)*AV711</f>
        <v>0</v>
      </c>
      <c r="BO710" s="55" t="e">
        <f>IFERROR(VLOOKUP(AQ710,'[1]Harga &amp; Nama CSO'!$H$2:$N$22,2,FALSE),"")*AV710</f>
        <v>#VALUE!</v>
      </c>
      <c r="BP710" s="40"/>
      <c r="BQ710" s="4"/>
      <c r="BR710" s="61"/>
      <c r="BS710" s="4"/>
      <c r="BT710" s="57" t="e">
        <f t="shared" si="45"/>
        <v>#VALUE!</v>
      </c>
      <c r="BU710" s="62"/>
      <c r="BV710" s="8" t="e">
        <v>#VALUE!</v>
      </c>
      <c r="BW710" s="58" t="e">
        <f>VLOOKUP(AQ710,'[1]Harga &amp; Nama CSO'!$A$28:$D$31,4,0)*BQ710</f>
        <v>#N/A</v>
      </c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44">
        <f>IFERROR(VLOOKUP(AQ712,'[2]Harga &amp; Nama CSO'!$A$116:$S$136,19,FALSE),0)*AV712</f>
        <v>0</v>
      </c>
      <c r="BO711" s="55" t="e">
        <f>IFERROR(VLOOKUP(AQ711,'[1]Harga &amp; Nama CSO'!$H$2:$N$22,2,FALSE),"")*AV711</f>
        <v>#VALUE!</v>
      </c>
      <c r="BP711" s="40"/>
      <c r="BQ711" s="4"/>
      <c r="BR711" s="61"/>
      <c r="BS711" s="4"/>
      <c r="BT711" s="57" t="e">
        <f t="shared" si="45"/>
        <v>#VALUE!</v>
      </c>
      <c r="BU711" s="62"/>
      <c r="BV711" s="8" t="e">
        <v>#VALUE!</v>
      </c>
      <c r="BW711" s="58" t="e">
        <f>VLOOKUP(AQ711,'[1]Harga &amp; Nama CSO'!$A$28:$D$31,4,0)*BQ711</f>
        <v>#N/A</v>
      </c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44">
        <f>IFERROR(VLOOKUP(AQ713,'[2]Harga &amp; Nama CSO'!$A$116:$S$136,19,FALSE),0)*AV713</f>
        <v>0</v>
      </c>
      <c r="BO712" s="55" t="e">
        <f>IFERROR(VLOOKUP(AQ712,'[1]Harga &amp; Nama CSO'!$H$2:$N$22,2,FALSE),"")*AV712</f>
        <v>#VALUE!</v>
      </c>
      <c r="BP712" s="40"/>
      <c r="BQ712" s="4"/>
      <c r="BR712" s="61"/>
      <c r="BS712" s="4"/>
      <c r="BT712" s="57" t="e">
        <f t="shared" si="45"/>
        <v>#VALUE!</v>
      </c>
      <c r="BU712" s="62"/>
      <c r="BV712" s="8" t="e">
        <v>#VALUE!</v>
      </c>
      <c r="BW712" s="58" t="e">
        <f>VLOOKUP(AQ712,'[1]Harga &amp; Nama CSO'!$A$28:$D$31,4,0)*BQ712</f>
        <v>#N/A</v>
      </c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44">
        <f>IFERROR(VLOOKUP(AQ714,'[2]Harga &amp; Nama CSO'!$A$116:$S$136,19,FALSE),0)*AV714</f>
        <v>0</v>
      </c>
      <c r="BO713" s="55" t="e">
        <f>IFERROR(VLOOKUP(AQ713,'[1]Harga &amp; Nama CSO'!$H$2:$N$22,2,FALSE),"")*AV713</f>
        <v>#VALUE!</v>
      </c>
      <c r="BP713" s="40"/>
      <c r="BQ713" s="4"/>
      <c r="BR713" s="61"/>
      <c r="BS713" s="4"/>
      <c r="BT713" s="57" t="e">
        <f t="shared" si="45"/>
        <v>#VALUE!</v>
      </c>
      <c r="BU713" s="62"/>
      <c r="BV713" s="8" t="e">
        <v>#VALUE!</v>
      </c>
      <c r="BW713" s="58" t="e">
        <f>VLOOKUP(AQ713,'[1]Harga &amp; Nama CSO'!$A$28:$D$31,4,0)*BQ713</f>
        <v>#N/A</v>
      </c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44">
        <f>IFERROR(VLOOKUP(AQ715,'[2]Harga &amp; Nama CSO'!$A$116:$S$136,19,FALSE),0)*AV715</f>
        <v>0</v>
      </c>
      <c r="BO714" s="55" t="e">
        <f>IFERROR(VLOOKUP(AQ714,'[1]Harga &amp; Nama CSO'!$H$2:$N$22,2,FALSE),"")*AV714</f>
        <v>#VALUE!</v>
      </c>
      <c r="BP714" s="40"/>
      <c r="BQ714" s="4"/>
      <c r="BR714" s="61"/>
      <c r="BS714" s="4"/>
      <c r="BT714" s="57" t="e">
        <f t="shared" si="45"/>
        <v>#VALUE!</v>
      </c>
      <c r="BU714" s="62"/>
      <c r="BV714" s="8" t="e">
        <v>#VALUE!</v>
      </c>
      <c r="BW714" s="58" t="e">
        <f>VLOOKUP(AQ714,'[1]Harga &amp; Nama CSO'!$A$28:$D$31,4,0)*BQ714</f>
        <v>#N/A</v>
      </c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44">
        <f>IFERROR(VLOOKUP(AQ716,'[2]Harga &amp; Nama CSO'!$A$116:$S$136,19,FALSE),0)*AV716</f>
        <v>0</v>
      </c>
      <c r="BO715" s="55" t="e">
        <f>IFERROR(VLOOKUP(AQ715,'[1]Harga &amp; Nama CSO'!$H$2:$N$22,2,FALSE),"")*AV715</f>
        <v>#VALUE!</v>
      </c>
      <c r="BP715" s="40"/>
      <c r="BQ715" s="4"/>
      <c r="BR715" s="61"/>
      <c r="BS715" s="4"/>
      <c r="BT715" s="57" t="e">
        <f t="shared" si="45"/>
        <v>#VALUE!</v>
      </c>
      <c r="BU715" s="62"/>
      <c r="BV715" s="8" t="e">
        <v>#VALUE!</v>
      </c>
      <c r="BW715" s="58" t="e">
        <f>VLOOKUP(AQ715,'[1]Harga &amp; Nama CSO'!$A$28:$D$31,4,0)*BQ715</f>
        <v>#N/A</v>
      </c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44">
        <f>IFERROR(VLOOKUP(AQ717,'[2]Harga &amp; Nama CSO'!$A$116:$S$136,19,FALSE),0)*AV717</f>
        <v>0</v>
      </c>
      <c r="BO716" s="55" t="e">
        <f>IFERROR(VLOOKUP(AQ716,'[1]Harga &amp; Nama CSO'!$H$2:$N$22,2,FALSE),"")*AV716</f>
        <v>#VALUE!</v>
      </c>
      <c r="BP716" s="40"/>
      <c r="BQ716" s="4"/>
      <c r="BR716" s="61"/>
      <c r="BS716" s="4"/>
      <c r="BT716" s="57" t="e">
        <f t="shared" si="45"/>
        <v>#VALUE!</v>
      </c>
      <c r="BU716" s="62"/>
      <c r="BV716" s="8" t="e">
        <v>#VALUE!</v>
      </c>
      <c r="BW716" s="58" t="e">
        <f>VLOOKUP(AQ716,'[1]Harga &amp; Nama CSO'!$A$28:$D$31,4,0)*BQ716</f>
        <v>#N/A</v>
      </c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44">
        <f>IFERROR(VLOOKUP(AQ718,'[2]Harga &amp; Nama CSO'!$A$116:$S$136,19,FALSE),0)*AV718</f>
        <v>0</v>
      </c>
      <c r="BO717" s="55" t="e">
        <f>IFERROR(VLOOKUP(AQ717,'[1]Harga &amp; Nama CSO'!$H$2:$N$22,2,FALSE),"")*AV717</f>
        <v>#VALUE!</v>
      </c>
      <c r="BP717" s="40"/>
      <c r="BQ717" s="4"/>
      <c r="BR717" s="61"/>
      <c r="BS717" s="4"/>
      <c r="BT717" s="57" t="e">
        <f t="shared" si="45"/>
        <v>#VALUE!</v>
      </c>
      <c r="BU717" s="62"/>
      <c r="BV717" s="8" t="e">
        <v>#VALUE!</v>
      </c>
      <c r="BW717" s="58" t="e">
        <f>VLOOKUP(AQ717,'[1]Harga &amp; Nama CSO'!$A$28:$D$31,4,0)*BQ717</f>
        <v>#N/A</v>
      </c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44">
        <f>IFERROR(VLOOKUP(AQ719,'[2]Harga &amp; Nama CSO'!$A$116:$S$136,19,FALSE),0)*AV719</f>
        <v>0</v>
      </c>
      <c r="BO718" s="55" t="e">
        <f>IFERROR(VLOOKUP(AQ718,'[1]Harga &amp; Nama CSO'!$H$2:$N$22,2,FALSE),"")*AV718</f>
        <v>#VALUE!</v>
      </c>
      <c r="BP718" s="40"/>
      <c r="BQ718" s="4"/>
      <c r="BR718" s="61"/>
      <c r="BS718" s="4"/>
      <c r="BT718" s="57" t="e">
        <f t="shared" si="45"/>
        <v>#VALUE!</v>
      </c>
      <c r="BU718" s="62"/>
      <c r="BV718" s="8" t="e">
        <v>#VALUE!</v>
      </c>
      <c r="BW718" s="58" t="e">
        <f>VLOOKUP(AQ718,'[1]Harga &amp; Nama CSO'!$A$28:$D$31,4,0)*BQ718</f>
        <v>#N/A</v>
      </c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44">
        <f>IFERROR(VLOOKUP(AQ720,'[2]Harga &amp; Nama CSO'!$A$116:$S$136,19,FALSE),0)*AV720</f>
        <v>0</v>
      </c>
      <c r="BO719" s="55" t="e">
        <f>IFERROR(VLOOKUP(AQ719,'[1]Harga &amp; Nama CSO'!$H$2:$N$22,2,FALSE),"")*AV719</f>
        <v>#VALUE!</v>
      </c>
      <c r="BP719" s="40"/>
      <c r="BQ719" s="4"/>
      <c r="BR719" s="61"/>
      <c r="BS719" s="4"/>
      <c r="BT719" s="57" t="e">
        <f t="shared" si="45"/>
        <v>#VALUE!</v>
      </c>
      <c r="BU719" s="62"/>
      <c r="BV719" s="8" t="e">
        <v>#VALUE!</v>
      </c>
      <c r="BW719" s="58" t="e">
        <f>VLOOKUP(AQ719,'[1]Harga &amp; Nama CSO'!$A$28:$D$31,4,0)*BQ719</f>
        <v>#N/A</v>
      </c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44">
        <f>IFERROR(VLOOKUP(AQ721,'[2]Harga &amp; Nama CSO'!$A$116:$S$136,19,FALSE),0)*AV721</f>
        <v>0</v>
      </c>
      <c r="BO720" s="55" t="e">
        <f>IFERROR(VLOOKUP(AQ720,'[1]Harga &amp; Nama CSO'!$H$2:$N$22,2,FALSE),"")*AV720</f>
        <v>#VALUE!</v>
      </c>
      <c r="BP720" s="40"/>
      <c r="BQ720" s="4"/>
      <c r="BR720" s="61"/>
      <c r="BS720" s="4"/>
      <c r="BT720" s="57" t="e">
        <f t="shared" si="45"/>
        <v>#VALUE!</v>
      </c>
      <c r="BU720" s="62"/>
      <c r="BV720" s="8" t="e">
        <v>#VALUE!</v>
      </c>
      <c r="BW720" s="58" t="e">
        <f>VLOOKUP(AQ720,'[1]Harga &amp; Nama CSO'!$A$28:$D$31,4,0)*BQ720</f>
        <v>#N/A</v>
      </c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44">
        <f>IFERROR(VLOOKUP(AQ722,'[2]Harga &amp; Nama CSO'!$A$116:$S$136,19,FALSE),0)*AV722</f>
        <v>0</v>
      </c>
      <c r="BO721" s="55" t="e">
        <f>IFERROR(VLOOKUP(AQ721,'[1]Harga &amp; Nama CSO'!$H$2:$N$22,2,FALSE),"")*AV721</f>
        <v>#VALUE!</v>
      </c>
      <c r="BP721" s="40"/>
      <c r="BQ721" s="4"/>
      <c r="BR721" s="61"/>
      <c r="BS721" s="4"/>
      <c r="BT721" s="57" t="e">
        <f t="shared" si="45"/>
        <v>#VALUE!</v>
      </c>
      <c r="BU721" s="62"/>
      <c r="BV721" s="8" t="e">
        <v>#VALUE!</v>
      </c>
      <c r="BW721" s="58" t="e">
        <f>VLOOKUP(AQ721,'[1]Harga &amp; Nama CSO'!$A$28:$D$31,4,0)*BQ721</f>
        <v>#N/A</v>
      </c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44">
        <f>IFERROR(VLOOKUP(AQ723,'[2]Harga &amp; Nama CSO'!$A$116:$S$136,19,FALSE),0)*AV723</f>
        <v>0</v>
      </c>
      <c r="BO722" s="55" t="e">
        <f>IFERROR(VLOOKUP(AQ722,'[1]Harga &amp; Nama CSO'!$H$2:$N$22,2,FALSE),"")*AV722</f>
        <v>#VALUE!</v>
      </c>
      <c r="BP722" s="40"/>
      <c r="BQ722" s="4"/>
      <c r="BR722" s="61"/>
      <c r="BS722" s="4"/>
      <c r="BT722" s="57" t="e">
        <f t="shared" si="45"/>
        <v>#VALUE!</v>
      </c>
      <c r="BU722" s="62"/>
      <c r="BV722" s="8" t="e">
        <v>#VALUE!</v>
      </c>
      <c r="BW722" s="58" t="e">
        <f>VLOOKUP(AQ722,'[1]Harga &amp; Nama CSO'!$A$28:$D$31,4,0)*BQ722</f>
        <v>#N/A</v>
      </c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44">
        <f>IFERROR(VLOOKUP(AQ724,'[2]Harga &amp; Nama CSO'!$A$116:$S$136,19,FALSE),0)*AV724</f>
        <v>0</v>
      </c>
      <c r="BO723" s="55" t="e">
        <f>IFERROR(VLOOKUP(AQ723,'[1]Harga &amp; Nama CSO'!$H$2:$N$22,2,FALSE),"")*AV723</f>
        <v>#VALUE!</v>
      </c>
      <c r="BP723" s="40"/>
      <c r="BQ723" s="4"/>
      <c r="BR723" s="61"/>
      <c r="BS723" s="4"/>
      <c r="BT723" s="57" t="e">
        <f t="shared" si="45"/>
        <v>#VALUE!</v>
      </c>
      <c r="BU723" s="62"/>
      <c r="BV723" s="8" t="e">
        <v>#VALUE!</v>
      </c>
      <c r="BW723" s="58" t="e">
        <f>VLOOKUP(AQ723,'[1]Harga &amp; Nama CSO'!$A$28:$D$31,4,0)*BQ723</f>
        <v>#N/A</v>
      </c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44">
        <f>IFERROR(VLOOKUP(AQ725,'[2]Harga &amp; Nama CSO'!$A$116:$S$136,19,FALSE),0)*AV725</f>
        <v>0</v>
      </c>
      <c r="BO724" s="55" t="e">
        <f>IFERROR(VLOOKUP(AQ724,'[1]Harga &amp; Nama CSO'!$H$2:$N$22,2,FALSE),"")*AV724</f>
        <v>#VALUE!</v>
      </c>
      <c r="BP724" s="40"/>
      <c r="BQ724" s="4"/>
      <c r="BR724" s="61"/>
      <c r="BS724" s="4"/>
      <c r="BT724" s="57" t="e">
        <f t="shared" si="45"/>
        <v>#VALUE!</v>
      </c>
      <c r="BU724" s="62"/>
      <c r="BV724" s="8" t="e">
        <v>#VALUE!</v>
      </c>
      <c r="BW724" s="58" t="e">
        <f>VLOOKUP(AQ724,'[1]Harga &amp; Nama CSO'!$A$28:$D$31,4,0)*BQ724</f>
        <v>#N/A</v>
      </c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44">
        <f>IFERROR(VLOOKUP(AQ726,'[2]Harga &amp; Nama CSO'!$A$116:$S$136,19,FALSE),0)*AV726</f>
        <v>0</v>
      </c>
      <c r="BO725" s="55" t="e">
        <f>IFERROR(VLOOKUP(AQ725,'[1]Harga &amp; Nama CSO'!$H$2:$N$22,2,FALSE),"")*AV725</f>
        <v>#VALUE!</v>
      </c>
      <c r="BP725" s="40"/>
      <c r="BQ725" s="4"/>
      <c r="BR725" s="61"/>
      <c r="BS725" s="4"/>
      <c r="BT725" s="57" t="e">
        <f t="shared" si="45"/>
        <v>#VALUE!</v>
      </c>
      <c r="BU725" s="62"/>
      <c r="BV725" s="8" t="e">
        <v>#VALUE!</v>
      </c>
      <c r="BW725" s="58" t="e">
        <f>VLOOKUP(AQ725,'[1]Harga &amp; Nama CSO'!$A$28:$D$31,4,0)*BQ725</f>
        <v>#N/A</v>
      </c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44">
        <f>IFERROR(VLOOKUP(AQ727,'[2]Harga &amp; Nama CSO'!$A$116:$S$136,19,FALSE),0)*AV727</f>
        <v>0</v>
      </c>
      <c r="BO726" s="55" t="e">
        <f>IFERROR(VLOOKUP(AQ726,'[1]Harga &amp; Nama CSO'!$H$2:$N$22,2,FALSE),"")*AV726</f>
        <v>#VALUE!</v>
      </c>
      <c r="BP726" s="40"/>
      <c r="BQ726" s="4"/>
      <c r="BR726" s="61"/>
      <c r="BS726" s="4"/>
      <c r="BT726" s="57" t="e">
        <f t="shared" si="45"/>
        <v>#VALUE!</v>
      </c>
      <c r="BU726" s="62"/>
      <c r="BV726" s="8" t="e">
        <v>#VALUE!</v>
      </c>
      <c r="BW726" s="58" t="e">
        <f>VLOOKUP(AQ726,'[1]Harga &amp; Nama CSO'!$A$28:$D$31,4,0)*BQ726</f>
        <v>#N/A</v>
      </c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44">
        <f>IFERROR(VLOOKUP(AQ728,'[2]Harga &amp; Nama CSO'!$A$116:$S$136,19,FALSE),0)*AV728</f>
        <v>0</v>
      </c>
      <c r="BO727" s="55" t="e">
        <f>IFERROR(VLOOKUP(AQ727,'[1]Harga &amp; Nama CSO'!$H$2:$N$22,2,FALSE),"")*AV727</f>
        <v>#VALUE!</v>
      </c>
      <c r="BP727" s="40"/>
      <c r="BQ727" s="4"/>
      <c r="BR727" s="61"/>
      <c r="BS727" s="4"/>
      <c r="BT727" s="57" t="e">
        <f t="shared" si="45"/>
        <v>#VALUE!</v>
      </c>
      <c r="BU727" s="62"/>
      <c r="BV727" s="8" t="e">
        <v>#VALUE!</v>
      </c>
      <c r="BW727" s="58" t="e">
        <f>VLOOKUP(AQ727,'[1]Harga &amp; Nama CSO'!$A$28:$D$31,4,0)*BQ727</f>
        <v>#N/A</v>
      </c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44">
        <f>IFERROR(VLOOKUP(AQ729,'[2]Harga &amp; Nama CSO'!$A$116:$S$136,19,FALSE),0)*AV729</f>
        <v>0</v>
      </c>
      <c r="BO728" s="55" t="e">
        <f>IFERROR(VLOOKUP(AQ728,'[1]Harga &amp; Nama CSO'!$H$2:$N$22,2,FALSE),"")*AV728</f>
        <v>#VALUE!</v>
      </c>
      <c r="BP728" s="40"/>
      <c r="BQ728" s="4"/>
      <c r="BR728" s="61"/>
      <c r="BS728" s="4"/>
      <c r="BT728" s="57" t="e">
        <f t="shared" si="45"/>
        <v>#VALUE!</v>
      </c>
      <c r="BU728" s="62"/>
      <c r="BV728" s="8" t="e">
        <v>#VALUE!</v>
      </c>
      <c r="BW728" s="58" t="e">
        <f>VLOOKUP(AQ728,'[1]Harga &amp; Nama CSO'!$A$28:$D$31,4,0)*BQ728</f>
        <v>#N/A</v>
      </c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44">
        <f>IFERROR(VLOOKUP(AQ730,'[2]Harga &amp; Nama CSO'!$A$116:$S$136,19,FALSE),0)*AV730</f>
        <v>0</v>
      </c>
      <c r="BO729" s="55" t="e">
        <f>IFERROR(VLOOKUP(AQ729,'[1]Harga &amp; Nama CSO'!$H$2:$N$22,2,FALSE),"")*AV729</f>
        <v>#VALUE!</v>
      </c>
      <c r="BP729" s="40"/>
      <c r="BQ729" s="4"/>
      <c r="BR729" s="61"/>
      <c r="BS729" s="4"/>
      <c r="BT729" s="57" t="e">
        <f t="shared" si="45"/>
        <v>#VALUE!</v>
      </c>
      <c r="BU729" s="62"/>
      <c r="BV729" s="8" t="e">
        <v>#VALUE!</v>
      </c>
      <c r="BW729" s="58" t="e">
        <f>VLOOKUP(AQ729,'[1]Harga &amp; Nama CSO'!$A$28:$D$31,4,0)*BQ729</f>
        <v>#N/A</v>
      </c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44">
        <f>IFERROR(VLOOKUP(AQ731,'[2]Harga &amp; Nama CSO'!$A$116:$S$136,19,FALSE),0)*AV731</f>
        <v>0</v>
      </c>
      <c r="BO730" s="55" t="e">
        <f>IFERROR(VLOOKUP(AQ730,'[1]Harga &amp; Nama CSO'!$H$2:$N$22,2,FALSE),"")*AV730</f>
        <v>#VALUE!</v>
      </c>
      <c r="BP730" s="40"/>
      <c r="BQ730" s="4"/>
      <c r="BR730" s="61"/>
      <c r="BS730" s="4"/>
      <c r="BT730" s="57" t="e">
        <f t="shared" si="45"/>
        <v>#VALUE!</v>
      </c>
      <c r="BU730" s="62"/>
      <c r="BV730" s="8" t="e">
        <v>#VALUE!</v>
      </c>
      <c r="BW730" s="58" t="e">
        <f>VLOOKUP(AQ730,'[1]Harga &amp; Nama CSO'!$A$28:$D$31,4,0)*BQ730</f>
        <v>#N/A</v>
      </c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44">
        <f>IFERROR(VLOOKUP(AQ732,'[2]Harga &amp; Nama CSO'!$A$116:$S$136,19,FALSE),0)*AV732</f>
        <v>0</v>
      </c>
      <c r="BO731" s="55" t="e">
        <f>IFERROR(VLOOKUP(AQ731,'[1]Harga &amp; Nama CSO'!$H$2:$N$22,2,FALSE),"")*AV731</f>
        <v>#VALUE!</v>
      </c>
      <c r="BP731" s="40"/>
      <c r="BQ731" s="4"/>
      <c r="BR731" s="61"/>
      <c r="BS731" s="4"/>
      <c r="BT731" s="57" t="e">
        <f t="shared" si="45"/>
        <v>#VALUE!</v>
      </c>
      <c r="BU731" s="62"/>
      <c r="BV731" s="8" t="e">
        <v>#VALUE!</v>
      </c>
      <c r="BW731" s="58" t="e">
        <f>VLOOKUP(AQ731,'[1]Harga &amp; Nama CSO'!$A$28:$D$31,4,0)*BQ731</f>
        <v>#N/A</v>
      </c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44">
        <f>IFERROR(VLOOKUP(AQ733,'[2]Harga &amp; Nama CSO'!$A$116:$S$136,19,FALSE),0)*AV733</f>
        <v>0</v>
      </c>
      <c r="BO732" s="55" t="e">
        <f>IFERROR(VLOOKUP(AQ732,'[1]Harga &amp; Nama CSO'!$H$2:$N$22,2,FALSE),"")*AV732</f>
        <v>#VALUE!</v>
      </c>
      <c r="BP732" s="40"/>
      <c r="BQ732" s="4"/>
      <c r="BR732" s="61"/>
      <c r="BS732" s="4"/>
      <c r="BT732" s="57" t="e">
        <f t="shared" si="45"/>
        <v>#VALUE!</v>
      </c>
      <c r="BU732" s="62"/>
      <c r="BV732" s="8" t="e">
        <v>#VALUE!</v>
      </c>
      <c r="BW732" s="58" t="e">
        <f>VLOOKUP(AQ732,'[1]Harga &amp; Nama CSO'!$A$28:$D$31,4,0)*BQ732</f>
        <v>#N/A</v>
      </c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44">
        <f>IFERROR(VLOOKUP(AQ734,'[2]Harga &amp; Nama CSO'!$A$116:$S$136,19,FALSE),0)*AV734</f>
        <v>0</v>
      </c>
      <c r="BO733" s="55" t="e">
        <f>IFERROR(VLOOKUP(AQ733,'[1]Harga &amp; Nama CSO'!$H$2:$N$22,2,FALSE),"")*AV733</f>
        <v>#VALUE!</v>
      </c>
      <c r="BP733" s="40"/>
      <c r="BQ733" s="4"/>
      <c r="BR733" s="61"/>
      <c r="BS733" s="4"/>
      <c r="BT733" s="57" t="e">
        <f t="shared" si="45"/>
        <v>#VALUE!</v>
      </c>
      <c r="BU733" s="62"/>
      <c r="BV733" s="8" t="e">
        <v>#VALUE!</v>
      </c>
      <c r="BW733" s="58" t="e">
        <f>VLOOKUP(AQ733,'[1]Harga &amp; Nama CSO'!$A$28:$D$31,4,0)*BQ733</f>
        <v>#N/A</v>
      </c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44">
        <f>IFERROR(VLOOKUP(AQ735,'[2]Harga &amp; Nama CSO'!$A$116:$S$136,19,FALSE),0)*AV735</f>
        <v>0</v>
      </c>
      <c r="BO734" s="55" t="e">
        <f>IFERROR(VLOOKUP(AQ734,'[1]Harga &amp; Nama CSO'!$H$2:$N$22,2,FALSE),"")*AV734</f>
        <v>#VALUE!</v>
      </c>
      <c r="BP734" s="40"/>
      <c r="BQ734" s="4"/>
      <c r="BR734" s="61"/>
      <c r="BS734" s="4"/>
      <c r="BT734" s="57" t="e">
        <f t="shared" si="45"/>
        <v>#VALUE!</v>
      </c>
      <c r="BU734" s="62"/>
      <c r="BV734" s="8" t="e">
        <v>#VALUE!</v>
      </c>
      <c r="BW734" s="58" t="e">
        <f>VLOOKUP(AQ734,'[1]Harga &amp; Nama CSO'!$A$28:$D$31,4,0)*BQ734</f>
        <v>#N/A</v>
      </c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44">
        <f>IFERROR(VLOOKUP(AQ736,'[2]Harga &amp; Nama CSO'!$A$116:$S$136,19,FALSE),0)*AV736</f>
        <v>0</v>
      </c>
      <c r="BO735" s="55" t="e">
        <f>IFERROR(VLOOKUP(AQ735,'[1]Harga &amp; Nama CSO'!$H$2:$N$22,2,FALSE),"")*AV735</f>
        <v>#VALUE!</v>
      </c>
      <c r="BP735" s="40"/>
      <c r="BQ735" s="4"/>
      <c r="BR735" s="61"/>
      <c r="BS735" s="4"/>
      <c r="BT735" s="57" t="e">
        <f t="shared" si="45"/>
        <v>#VALUE!</v>
      </c>
      <c r="BU735" s="62"/>
      <c r="BV735" s="8" t="e">
        <v>#VALUE!</v>
      </c>
      <c r="BW735" s="58" t="e">
        <f>VLOOKUP(AQ735,'[1]Harga &amp; Nama CSO'!$A$28:$D$31,4,0)*BQ735</f>
        <v>#N/A</v>
      </c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44">
        <f>IFERROR(VLOOKUP(AQ737,'[2]Harga &amp; Nama CSO'!$A$116:$S$136,19,FALSE),0)*AV737</f>
        <v>0</v>
      </c>
      <c r="BO736" s="55" t="e">
        <f>IFERROR(VLOOKUP(AQ736,'[1]Harga &amp; Nama CSO'!$H$2:$N$22,2,FALSE),"")*AV736</f>
        <v>#VALUE!</v>
      </c>
      <c r="BP736" s="40"/>
      <c r="BQ736" s="4"/>
      <c r="BR736" s="61"/>
      <c r="BS736" s="4"/>
      <c r="BT736" s="57" t="e">
        <f t="shared" si="45"/>
        <v>#VALUE!</v>
      </c>
      <c r="BU736" s="62"/>
      <c r="BV736" s="8" t="e">
        <v>#VALUE!</v>
      </c>
      <c r="BW736" s="58" t="e">
        <f>VLOOKUP(AQ736,'[1]Harga &amp; Nama CSO'!$A$28:$D$31,4,0)*BQ736</f>
        <v>#N/A</v>
      </c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44">
        <f>IFERROR(VLOOKUP(AQ738,'[2]Harga &amp; Nama CSO'!$A$116:$S$136,19,FALSE),0)*AV738</f>
        <v>0</v>
      </c>
      <c r="BO737" s="55" t="e">
        <f>IFERROR(VLOOKUP(AQ737,'[1]Harga &amp; Nama CSO'!$H$2:$N$22,2,FALSE),"")*AV737</f>
        <v>#VALUE!</v>
      </c>
      <c r="BP737" s="40"/>
      <c r="BQ737" s="4"/>
      <c r="BR737" s="61"/>
      <c r="BS737" s="4"/>
      <c r="BT737" s="57" t="e">
        <f t="shared" si="45"/>
        <v>#VALUE!</v>
      </c>
      <c r="BU737" s="62"/>
      <c r="BV737" s="8" t="e">
        <v>#VALUE!</v>
      </c>
      <c r="BW737" s="58" t="e">
        <f>VLOOKUP(AQ737,'[1]Harga &amp; Nama CSO'!$A$28:$D$31,4,0)*BQ737</f>
        <v>#N/A</v>
      </c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44">
        <f>IFERROR(VLOOKUP(AQ739,'[2]Harga &amp; Nama CSO'!$A$116:$S$136,19,FALSE),0)*AV739</f>
        <v>0</v>
      </c>
      <c r="BO738" s="55" t="e">
        <f>IFERROR(VLOOKUP(AQ738,'[1]Harga &amp; Nama CSO'!$H$2:$N$22,2,FALSE),"")*AV738</f>
        <v>#VALUE!</v>
      </c>
      <c r="BP738" s="40"/>
      <c r="BQ738" s="4"/>
      <c r="BR738" s="61"/>
      <c r="BS738" s="4"/>
      <c r="BT738" s="57" t="e">
        <f t="shared" si="45"/>
        <v>#VALUE!</v>
      </c>
      <c r="BU738" s="62"/>
      <c r="BV738" s="8" t="e">
        <v>#VALUE!</v>
      </c>
      <c r="BW738" s="58" t="e">
        <f>VLOOKUP(AQ738,'[1]Harga &amp; Nama CSO'!$A$28:$D$31,4,0)*BQ738</f>
        <v>#N/A</v>
      </c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44">
        <f>IFERROR(VLOOKUP(AQ740,'[2]Harga &amp; Nama CSO'!$A$116:$S$136,19,FALSE),0)*AV740</f>
        <v>0</v>
      </c>
      <c r="BO739" s="55" t="e">
        <f>IFERROR(VLOOKUP(AQ739,'[1]Harga &amp; Nama CSO'!$H$2:$N$22,2,FALSE),"")*AV739</f>
        <v>#VALUE!</v>
      </c>
      <c r="BP739" s="40"/>
      <c r="BQ739" s="4"/>
      <c r="BR739" s="61"/>
      <c r="BS739" s="4"/>
      <c r="BT739" s="57" t="e">
        <f t="shared" si="45"/>
        <v>#VALUE!</v>
      </c>
      <c r="BU739" s="62"/>
      <c r="BV739" s="8" t="e">
        <v>#VALUE!</v>
      </c>
      <c r="BW739" s="58" t="e">
        <f>VLOOKUP(AQ739,'[1]Harga &amp; Nama CSO'!$A$28:$D$31,4,0)*BQ739</f>
        <v>#N/A</v>
      </c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44">
        <f>IFERROR(VLOOKUP(AQ741,'[2]Harga &amp; Nama CSO'!$A$116:$S$136,19,FALSE),0)*AV741</f>
        <v>0</v>
      </c>
      <c r="BO740" s="55" t="e">
        <f>IFERROR(VLOOKUP(AQ740,'[1]Harga &amp; Nama CSO'!$H$2:$N$22,2,FALSE),"")*AV740</f>
        <v>#VALUE!</v>
      </c>
      <c r="BP740" s="40"/>
      <c r="BQ740" s="4"/>
      <c r="BR740" s="61"/>
      <c r="BS740" s="4"/>
      <c r="BT740" s="57" t="e">
        <f t="shared" si="45"/>
        <v>#VALUE!</v>
      </c>
      <c r="BU740" s="62"/>
      <c r="BV740" s="8" t="e">
        <v>#VALUE!</v>
      </c>
      <c r="BW740" s="58" t="e">
        <f>VLOOKUP(AQ740,'[1]Harga &amp; Nama CSO'!$A$28:$D$31,4,0)*BQ740</f>
        <v>#N/A</v>
      </c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44">
        <f>IFERROR(VLOOKUP(AQ742,'[2]Harga &amp; Nama CSO'!$A$116:$S$136,19,FALSE),0)*AV742</f>
        <v>0</v>
      </c>
      <c r="BO741" s="55" t="e">
        <f>IFERROR(VLOOKUP(AQ741,'[1]Harga &amp; Nama CSO'!$H$2:$N$22,2,FALSE),"")*AV741</f>
        <v>#VALUE!</v>
      </c>
      <c r="BP741" s="40"/>
      <c r="BQ741" s="4"/>
      <c r="BR741" s="61"/>
      <c r="BS741" s="4"/>
      <c r="BT741" s="57" t="e">
        <f t="shared" si="45"/>
        <v>#VALUE!</v>
      </c>
      <c r="BU741" s="62"/>
      <c r="BV741" s="8" t="e">
        <v>#VALUE!</v>
      </c>
      <c r="BW741" s="58" t="e">
        <f>VLOOKUP(AQ741,'[1]Harga &amp; Nama CSO'!$A$28:$D$31,4,0)*BQ741</f>
        <v>#N/A</v>
      </c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44">
        <f>IFERROR(VLOOKUP(AQ743,'[2]Harga &amp; Nama CSO'!$A$116:$S$136,19,FALSE),0)*AV743</f>
        <v>0</v>
      </c>
      <c r="BO742" s="55" t="e">
        <f>IFERROR(VLOOKUP(AQ742,'[1]Harga &amp; Nama CSO'!$H$2:$N$22,2,FALSE),"")*AV742</f>
        <v>#VALUE!</v>
      </c>
      <c r="BP742" s="40"/>
      <c r="BQ742" s="4"/>
      <c r="BR742" s="61"/>
      <c r="BS742" s="4"/>
      <c r="BT742" s="57" t="e">
        <f t="shared" si="45"/>
        <v>#VALUE!</v>
      </c>
      <c r="BU742" s="62"/>
      <c r="BV742" s="8" t="e">
        <v>#VALUE!</v>
      </c>
      <c r="BW742" s="58" t="e">
        <f>VLOOKUP(AQ742,'[1]Harga &amp; Nama CSO'!$A$28:$D$31,4,0)*BQ742</f>
        <v>#N/A</v>
      </c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44">
        <f>IFERROR(VLOOKUP(AQ744,'[2]Harga &amp; Nama CSO'!$A$116:$S$136,19,FALSE),0)*AV744</f>
        <v>0</v>
      </c>
      <c r="BO743" s="55" t="e">
        <f>IFERROR(VLOOKUP(AQ743,'[1]Harga &amp; Nama CSO'!$H$2:$N$22,2,FALSE),"")*AV743</f>
        <v>#VALUE!</v>
      </c>
      <c r="BP743" s="40"/>
      <c r="BQ743" s="4"/>
      <c r="BR743" s="61"/>
      <c r="BS743" s="4"/>
      <c r="BT743" s="57" t="e">
        <f t="shared" si="45"/>
        <v>#VALUE!</v>
      </c>
      <c r="BU743" s="62"/>
      <c r="BV743" s="8" t="e">
        <v>#VALUE!</v>
      </c>
      <c r="BW743" s="58" t="e">
        <f>VLOOKUP(AQ743,'[1]Harga &amp; Nama CSO'!$A$28:$D$31,4,0)*BQ743</f>
        <v>#N/A</v>
      </c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44">
        <f>IFERROR(VLOOKUP(AQ745,'[2]Harga &amp; Nama CSO'!$A$116:$S$136,19,FALSE),0)*AV745</f>
        <v>0</v>
      </c>
      <c r="BO744" s="55" t="e">
        <f>IFERROR(VLOOKUP(AQ744,'[1]Harga &amp; Nama CSO'!$H$2:$N$22,2,FALSE),"")*AV744</f>
        <v>#VALUE!</v>
      </c>
      <c r="BP744" s="40"/>
      <c r="BQ744" s="4"/>
      <c r="BR744" s="61"/>
      <c r="BS744" s="4"/>
      <c r="BT744" s="57" t="e">
        <f t="shared" si="45"/>
        <v>#VALUE!</v>
      </c>
      <c r="BU744" s="62"/>
      <c r="BV744" s="8" t="e">
        <v>#VALUE!</v>
      </c>
      <c r="BW744" s="58" t="e">
        <f>VLOOKUP(AQ744,'[1]Harga &amp; Nama CSO'!$A$28:$D$31,4,0)*BQ744</f>
        <v>#N/A</v>
      </c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44">
        <f>IFERROR(VLOOKUP(AQ746,'[2]Harga &amp; Nama CSO'!$A$116:$S$136,19,FALSE),0)*AV746</f>
        <v>0</v>
      </c>
      <c r="BO745" s="55" t="e">
        <f>IFERROR(VLOOKUP(AQ745,'[1]Harga &amp; Nama CSO'!$H$2:$N$22,2,FALSE),"")*AV745</f>
        <v>#VALUE!</v>
      </c>
      <c r="BP745" s="40"/>
      <c r="BQ745" s="4"/>
      <c r="BR745" s="61"/>
      <c r="BS745" s="4"/>
      <c r="BT745" s="57" t="e">
        <f t="shared" si="45"/>
        <v>#VALUE!</v>
      </c>
      <c r="BU745" s="62"/>
      <c r="BV745" s="8" t="e">
        <v>#VALUE!</v>
      </c>
      <c r="BW745" s="58" t="e">
        <f>VLOOKUP(AQ745,'[1]Harga &amp; Nama CSO'!$A$28:$D$31,4,0)*BQ745</f>
        <v>#N/A</v>
      </c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44">
        <f>IFERROR(VLOOKUP(AQ747,'[2]Harga &amp; Nama CSO'!$A$116:$S$136,19,FALSE),0)*AV747</f>
        <v>0</v>
      </c>
      <c r="BO746" s="55" t="e">
        <f>IFERROR(VLOOKUP(AQ746,'[1]Harga &amp; Nama CSO'!$H$2:$N$22,2,FALSE),"")*AV746</f>
        <v>#VALUE!</v>
      </c>
      <c r="BP746" s="40"/>
      <c r="BQ746" s="4"/>
      <c r="BR746" s="61"/>
      <c r="BS746" s="4"/>
      <c r="BT746" s="57" t="e">
        <f t="shared" si="45"/>
        <v>#VALUE!</v>
      </c>
      <c r="BU746" s="62"/>
      <c r="BV746" s="8" t="e">
        <v>#VALUE!</v>
      </c>
      <c r="BW746" s="58" t="e">
        <f>VLOOKUP(AQ746,'[1]Harga &amp; Nama CSO'!$A$28:$D$31,4,0)*BQ746</f>
        <v>#N/A</v>
      </c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44">
        <f>IFERROR(VLOOKUP(AQ748,'[2]Harga &amp; Nama CSO'!$A$116:$S$136,19,FALSE),0)*AV748</f>
        <v>0</v>
      </c>
      <c r="BO747" s="55" t="e">
        <f>IFERROR(VLOOKUP(AQ747,'[1]Harga &amp; Nama CSO'!$H$2:$N$22,2,FALSE),"")*AV747</f>
        <v>#VALUE!</v>
      </c>
      <c r="BP747" s="40"/>
      <c r="BQ747" s="4"/>
      <c r="BR747" s="61"/>
      <c r="BS747" s="4"/>
      <c r="BT747" s="57" t="e">
        <f t="shared" si="45"/>
        <v>#VALUE!</v>
      </c>
      <c r="BU747" s="62"/>
      <c r="BV747" s="8" t="e">
        <v>#VALUE!</v>
      </c>
      <c r="BW747" s="58" t="e">
        <f>VLOOKUP(AQ747,'[1]Harga &amp; Nama CSO'!$A$28:$D$31,4,0)*BQ747</f>
        <v>#N/A</v>
      </c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44">
        <f>IFERROR(VLOOKUP(AQ749,'[2]Harga &amp; Nama CSO'!$A$116:$S$136,19,FALSE),0)*AV749</f>
        <v>0</v>
      </c>
      <c r="BO748" s="55" t="e">
        <f>IFERROR(VLOOKUP(AQ748,'[1]Harga &amp; Nama CSO'!$H$2:$N$22,2,FALSE),"")*AV748</f>
        <v>#VALUE!</v>
      </c>
      <c r="BP748" s="40"/>
      <c r="BQ748" s="4"/>
      <c r="BR748" s="61"/>
      <c r="BS748" s="4"/>
      <c r="BT748" s="57" t="e">
        <f t="shared" si="45"/>
        <v>#VALUE!</v>
      </c>
      <c r="BU748" s="62"/>
      <c r="BV748" s="8" t="e">
        <v>#VALUE!</v>
      </c>
      <c r="BW748" s="58" t="e">
        <f>VLOOKUP(AQ748,'[1]Harga &amp; Nama CSO'!$A$28:$D$31,4,0)*BQ748</f>
        <v>#N/A</v>
      </c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44">
        <f>IFERROR(VLOOKUP(AQ750,'[2]Harga &amp; Nama CSO'!$A$116:$S$136,19,FALSE),0)*AV750</f>
        <v>0</v>
      </c>
      <c r="BO749" s="55" t="e">
        <f>IFERROR(VLOOKUP(AQ749,'[1]Harga &amp; Nama CSO'!$H$2:$N$22,2,FALSE),"")*AV749</f>
        <v>#VALUE!</v>
      </c>
      <c r="BP749" s="40"/>
      <c r="BQ749" s="4"/>
      <c r="BR749" s="61"/>
      <c r="BS749" s="4"/>
      <c r="BT749" s="57" t="e">
        <f t="shared" si="45"/>
        <v>#VALUE!</v>
      </c>
      <c r="BU749" s="62"/>
      <c r="BV749" s="8" t="e">
        <v>#VALUE!</v>
      </c>
      <c r="BW749" s="58" t="e">
        <f>VLOOKUP(AQ749,'[1]Harga &amp; Nama CSO'!$A$28:$D$31,4,0)*BQ749</f>
        <v>#N/A</v>
      </c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44">
        <f>IFERROR(VLOOKUP(AQ751,'[2]Harga &amp; Nama CSO'!$A$116:$S$136,19,FALSE),0)*AV751</f>
        <v>0</v>
      </c>
      <c r="BO750" s="55" t="e">
        <f>IFERROR(VLOOKUP(AQ750,'[1]Harga &amp; Nama CSO'!$H$2:$N$22,2,FALSE),"")*AV750</f>
        <v>#VALUE!</v>
      </c>
      <c r="BP750" s="40"/>
      <c r="BQ750" s="4"/>
      <c r="BR750" s="61"/>
      <c r="BS750" s="4"/>
      <c r="BT750" s="57" t="e">
        <f t="shared" si="45"/>
        <v>#VALUE!</v>
      </c>
      <c r="BU750" s="62"/>
      <c r="BV750" s="8" t="e">
        <v>#VALUE!</v>
      </c>
      <c r="BW750" s="58" t="e">
        <f>VLOOKUP(AQ750,'[1]Harga &amp; Nama CSO'!$A$28:$D$31,4,0)*BQ750</f>
        <v>#N/A</v>
      </c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44">
        <f>IFERROR(VLOOKUP(AQ752,'[2]Harga &amp; Nama CSO'!$A$116:$S$136,19,FALSE),0)*AV752</f>
        <v>0</v>
      </c>
      <c r="BO751" s="55" t="e">
        <f>IFERROR(VLOOKUP(AQ751,'[1]Harga &amp; Nama CSO'!$H$2:$N$22,2,FALSE),"")*AV751</f>
        <v>#VALUE!</v>
      </c>
      <c r="BP751" s="40"/>
      <c r="BQ751" s="4"/>
      <c r="BR751" s="61"/>
      <c r="BS751" s="4"/>
      <c r="BT751" s="57" t="e">
        <f t="shared" si="45"/>
        <v>#VALUE!</v>
      </c>
      <c r="BU751" s="62"/>
      <c r="BV751" s="8" t="e">
        <v>#VALUE!</v>
      </c>
      <c r="BW751" s="58" t="e">
        <f>VLOOKUP(AQ751,'[1]Harga &amp; Nama CSO'!$A$28:$D$31,4,0)*BQ751</f>
        <v>#N/A</v>
      </c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44">
        <f>IFERROR(VLOOKUP(AQ753,'[2]Harga &amp; Nama CSO'!$A$116:$S$136,19,FALSE),0)*AV753</f>
        <v>0</v>
      </c>
      <c r="BO752" s="55" t="e">
        <f>IFERROR(VLOOKUP(AQ752,'[1]Harga &amp; Nama CSO'!$H$2:$N$22,2,FALSE),"")*AV752</f>
        <v>#VALUE!</v>
      </c>
      <c r="BP752" s="40"/>
      <c r="BQ752" s="4"/>
      <c r="BR752" s="61"/>
      <c r="BS752" s="4"/>
      <c r="BT752" s="57" t="e">
        <f t="shared" si="45"/>
        <v>#VALUE!</v>
      </c>
      <c r="BU752" s="62"/>
      <c r="BV752" s="8" t="e">
        <v>#VALUE!</v>
      </c>
      <c r="BW752" s="58" t="e">
        <f>VLOOKUP(AQ752,'[1]Harga &amp; Nama CSO'!$A$28:$D$31,4,0)*BQ752</f>
        <v>#N/A</v>
      </c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44">
        <f>IFERROR(VLOOKUP(AQ754,'[2]Harga &amp; Nama CSO'!$A$116:$S$136,19,FALSE),0)*AV754</f>
        <v>0</v>
      </c>
      <c r="BO753" s="55" t="e">
        <f>IFERROR(VLOOKUP(AQ753,'[1]Harga &amp; Nama CSO'!$H$2:$N$22,2,FALSE),"")*AV753</f>
        <v>#VALUE!</v>
      </c>
      <c r="BP753" s="40"/>
      <c r="BQ753" s="4"/>
      <c r="BR753" s="61"/>
      <c r="BS753" s="4"/>
      <c r="BT753" s="57" t="e">
        <f t="shared" si="45"/>
        <v>#VALUE!</v>
      </c>
      <c r="BU753" s="62"/>
      <c r="BV753" s="8" t="e">
        <v>#VALUE!</v>
      </c>
      <c r="BW753" s="58" t="e">
        <f>VLOOKUP(AQ753,'[1]Harga &amp; Nama CSO'!$A$28:$D$31,4,0)*BQ753</f>
        <v>#N/A</v>
      </c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44">
        <f>IFERROR(VLOOKUP(AQ755,'[2]Harga &amp; Nama CSO'!$A$116:$S$136,19,FALSE),0)*AV755</f>
        <v>0</v>
      </c>
      <c r="BO754" s="55" t="e">
        <f>IFERROR(VLOOKUP(AQ754,'[1]Harga &amp; Nama CSO'!$H$2:$N$22,2,FALSE),"")*AV754</f>
        <v>#VALUE!</v>
      </c>
      <c r="BP754" s="40"/>
      <c r="BQ754" s="4"/>
      <c r="BR754" s="61"/>
      <c r="BS754" s="4"/>
      <c r="BT754" s="57" t="e">
        <f t="shared" si="45"/>
        <v>#VALUE!</v>
      </c>
      <c r="BU754" s="62"/>
      <c r="BV754" s="8" t="e">
        <v>#VALUE!</v>
      </c>
      <c r="BW754" s="58" t="e">
        <f>VLOOKUP(AQ754,'[1]Harga &amp; Nama CSO'!$A$28:$D$31,4,0)*BQ754</f>
        <v>#N/A</v>
      </c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44">
        <f>IFERROR(VLOOKUP(AQ756,'[2]Harga &amp; Nama CSO'!$A$116:$S$136,19,FALSE),0)*AV756</f>
        <v>0</v>
      </c>
      <c r="BO755" s="55" t="e">
        <f>IFERROR(VLOOKUP(AQ755,'[1]Harga &amp; Nama CSO'!$H$2:$N$22,2,FALSE),"")*AV755</f>
        <v>#VALUE!</v>
      </c>
      <c r="BP755" s="40"/>
      <c r="BQ755" s="4"/>
      <c r="BR755" s="61"/>
      <c r="BS755" s="4"/>
      <c r="BT755" s="57" t="e">
        <f t="shared" si="45"/>
        <v>#VALUE!</v>
      </c>
      <c r="BU755" s="62"/>
      <c r="BV755" s="8" t="e">
        <v>#VALUE!</v>
      </c>
      <c r="BW755" s="58" t="e">
        <f>VLOOKUP(AQ755,'[1]Harga &amp; Nama CSO'!$A$28:$D$31,4,0)*BQ755</f>
        <v>#N/A</v>
      </c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44">
        <f>IFERROR(VLOOKUP(AQ757,'[2]Harga &amp; Nama CSO'!$A$116:$S$136,19,FALSE),0)*AV757</f>
        <v>0</v>
      </c>
      <c r="BO756" s="55" t="e">
        <f>IFERROR(VLOOKUP(AQ756,'[1]Harga &amp; Nama CSO'!$H$2:$N$22,2,FALSE),"")*AV756</f>
        <v>#VALUE!</v>
      </c>
      <c r="BP756" s="40"/>
      <c r="BQ756" s="4"/>
      <c r="BR756" s="61"/>
      <c r="BS756" s="4"/>
      <c r="BT756" s="57" t="e">
        <f t="shared" si="45"/>
        <v>#VALUE!</v>
      </c>
      <c r="BU756" s="62"/>
      <c r="BV756" s="8" t="e">
        <v>#VALUE!</v>
      </c>
      <c r="BW756" s="58" t="e">
        <f>VLOOKUP(AQ756,'[1]Harga &amp; Nama CSO'!$A$28:$D$31,4,0)*BQ756</f>
        <v>#N/A</v>
      </c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44">
        <f>IFERROR(VLOOKUP(AQ758,'[2]Harga &amp; Nama CSO'!$A$116:$S$136,19,FALSE),0)*AV758</f>
        <v>0</v>
      </c>
      <c r="BO757" s="55" t="e">
        <f>IFERROR(VLOOKUP(AQ757,'[1]Harga &amp; Nama CSO'!$H$2:$N$22,2,FALSE),"")*AV757</f>
        <v>#VALUE!</v>
      </c>
      <c r="BP757" s="40"/>
      <c r="BQ757" s="4"/>
      <c r="BR757" s="61"/>
      <c r="BS757" s="4"/>
      <c r="BT757" s="57" t="e">
        <f t="shared" si="45"/>
        <v>#VALUE!</v>
      </c>
      <c r="BU757" s="62"/>
      <c r="BV757" s="8" t="e">
        <v>#VALUE!</v>
      </c>
      <c r="BW757" s="58" t="e">
        <f>VLOOKUP(AQ757,'[1]Harga &amp; Nama CSO'!$A$28:$D$31,4,0)*BQ757</f>
        <v>#N/A</v>
      </c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44">
        <f>IFERROR(VLOOKUP(AQ759,'[2]Harga &amp; Nama CSO'!$A$116:$S$136,19,FALSE),0)*AV759</f>
        <v>0</v>
      </c>
      <c r="BO758" s="55" t="e">
        <f>IFERROR(VLOOKUP(AQ758,'[1]Harga &amp; Nama CSO'!$H$2:$N$22,2,FALSE),"")*AV758</f>
        <v>#VALUE!</v>
      </c>
      <c r="BP758" s="40"/>
      <c r="BQ758" s="4"/>
      <c r="BR758" s="61"/>
      <c r="BS758" s="4"/>
      <c r="BT758" s="57" t="e">
        <f t="shared" si="45"/>
        <v>#VALUE!</v>
      </c>
      <c r="BU758" s="62"/>
      <c r="BV758" s="8" t="e">
        <v>#VALUE!</v>
      </c>
      <c r="BW758" s="58" t="e">
        <f>VLOOKUP(AQ758,'[1]Harga &amp; Nama CSO'!$A$28:$D$31,4,0)*BQ758</f>
        <v>#N/A</v>
      </c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44">
        <f>IFERROR(VLOOKUP(AQ760,'[2]Harga &amp; Nama CSO'!$A$116:$S$136,19,FALSE),0)*AV760</f>
        <v>0</v>
      </c>
      <c r="BO759" s="55" t="e">
        <f>IFERROR(VLOOKUP(AQ759,'[1]Harga &amp; Nama CSO'!$H$2:$N$22,2,FALSE),"")*AV759</f>
        <v>#VALUE!</v>
      </c>
      <c r="BP759" s="40"/>
      <c r="BQ759" s="4"/>
      <c r="BR759" s="61"/>
      <c r="BS759" s="4"/>
      <c r="BT759" s="57" t="e">
        <f t="shared" si="45"/>
        <v>#VALUE!</v>
      </c>
      <c r="BU759" s="62"/>
      <c r="BV759" s="8" t="e">
        <v>#VALUE!</v>
      </c>
      <c r="BW759" s="58" t="e">
        <f>VLOOKUP(AQ759,'[1]Harga &amp; Nama CSO'!$A$28:$D$31,4,0)*BQ759</f>
        <v>#N/A</v>
      </c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44">
        <f>IFERROR(VLOOKUP(AQ761,'[2]Harga &amp; Nama CSO'!$A$116:$S$136,19,FALSE),0)*AV761</f>
        <v>0</v>
      </c>
      <c r="BO760" s="55" t="e">
        <f>IFERROR(VLOOKUP(AQ760,'[1]Harga &amp; Nama CSO'!$H$2:$N$22,2,FALSE),"")*AV760</f>
        <v>#VALUE!</v>
      </c>
      <c r="BP760" s="40"/>
      <c r="BQ760" s="4"/>
      <c r="BR760" s="61"/>
      <c r="BS760" s="4"/>
      <c r="BT760" s="57" t="e">
        <f t="shared" si="45"/>
        <v>#VALUE!</v>
      </c>
      <c r="BU760" s="62"/>
      <c r="BV760" s="8" t="e">
        <v>#VALUE!</v>
      </c>
      <c r="BW760" s="58" t="e">
        <f>VLOOKUP(AQ760,'[1]Harga &amp; Nama CSO'!$A$28:$D$31,4,0)*BQ760</f>
        <v>#N/A</v>
      </c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44">
        <f>IFERROR(VLOOKUP(AQ762,'[2]Harga &amp; Nama CSO'!$A$116:$S$136,19,FALSE),0)*AV762</f>
        <v>0</v>
      </c>
      <c r="BO761" s="55" t="e">
        <f>IFERROR(VLOOKUP(AQ761,'[1]Harga &amp; Nama CSO'!$H$2:$N$22,2,FALSE),"")*AV761</f>
        <v>#VALUE!</v>
      </c>
      <c r="BP761" s="40"/>
      <c r="BQ761" s="4"/>
      <c r="BR761" s="61"/>
      <c r="BS761" s="4"/>
      <c r="BT761" s="57" t="e">
        <f t="shared" si="45"/>
        <v>#VALUE!</v>
      </c>
      <c r="BU761" s="62"/>
      <c r="BV761" s="8" t="e">
        <v>#VALUE!</v>
      </c>
      <c r="BW761" s="58" t="e">
        <f>VLOOKUP(AQ761,'[1]Harga &amp; Nama CSO'!$A$28:$D$31,4,0)*BQ761</f>
        <v>#N/A</v>
      </c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44">
        <f>IFERROR(VLOOKUP(AQ763,'[2]Harga &amp; Nama CSO'!$A$116:$S$136,19,FALSE),0)*AV763</f>
        <v>0</v>
      </c>
      <c r="BO762" s="55" t="e">
        <f>IFERROR(VLOOKUP(AQ762,'[1]Harga &amp; Nama CSO'!$H$2:$N$22,2,FALSE),"")*AV762</f>
        <v>#VALUE!</v>
      </c>
      <c r="BP762" s="40"/>
      <c r="BQ762" s="4"/>
      <c r="BR762" s="61"/>
      <c r="BS762" s="4"/>
      <c r="BT762" s="57" t="e">
        <f t="shared" si="45"/>
        <v>#VALUE!</v>
      </c>
      <c r="BU762" s="62"/>
      <c r="BV762" s="8" t="e">
        <v>#VALUE!</v>
      </c>
      <c r="BW762" s="58" t="e">
        <f>VLOOKUP(AQ762,'[1]Harga &amp; Nama CSO'!$A$28:$D$31,4,0)*BQ762</f>
        <v>#N/A</v>
      </c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44">
        <f>IFERROR(VLOOKUP(AQ764,'[2]Harga &amp; Nama CSO'!$A$116:$S$136,19,FALSE),0)*AV764</f>
        <v>0</v>
      </c>
      <c r="BO763" s="55" t="e">
        <f>IFERROR(VLOOKUP(AQ763,'[1]Harga &amp; Nama CSO'!$H$2:$N$22,2,FALSE),"")*AV763</f>
        <v>#VALUE!</v>
      </c>
      <c r="BP763" s="40"/>
      <c r="BQ763" s="4"/>
      <c r="BR763" s="61"/>
      <c r="BS763" s="4"/>
      <c r="BT763" s="57" t="e">
        <f t="shared" si="45"/>
        <v>#VALUE!</v>
      </c>
      <c r="BU763" s="62"/>
      <c r="BV763" s="8" t="e">
        <v>#VALUE!</v>
      </c>
      <c r="BW763" s="58" t="e">
        <f>VLOOKUP(AQ763,'[1]Harga &amp; Nama CSO'!$A$28:$D$31,4,0)*BQ763</f>
        <v>#N/A</v>
      </c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44">
        <f>IFERROR(VLOOKUP(AQ765,'[2]Harga &amp; Nama CSO'!$A$116:$S$136,19,FALSE),0)*AV765</f>
        <v>0</v>
      </c>
      <c r="BO764" s="55" t="e">
        <f>IFERROR(VLOOKUP(AQ764,'[1]Harga &amp; Nama CSO'!$H$2:$N$22,2,FALSE),"")*AV764</f>
        <v>#VALUE!</v>
      </c>
      <c r="BP764" s="40"/>
      <c r="BQ764" s="4"/>
      <c r="BR764" s="61"/>
      <c r="BS764" s="4"/>
      <c r="BT764" s="57" t="e">
        <f t="shared" si="45"/>
        <v>#VALUE!</v>
      </c>
      <c r="BU764" s="62"/>
      <c r="BV764" s="8" t="e">
        <v>#VALUE!</v>
      </c>
      <c r="BW764" s="58" t="e">
        <f>VLOOKUP(AQ764,'[1]Harga &amp; Nama CSO'!$A$28:$D$31,4,0)*BQ764</f>
        <v>#N/A</v>
      </c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44">
        <f>IFERROR(VLOOKUP(AQ766,'[2]Harga &amp; Nama CSO'!$A$116:$S$136,19,FALSE),0)*AV766</f>
        <v>0</v>
      </c>
      <c r="BO765" s="55" t="e">
        <f>IFERROR(VLOOKUP(AQ765,'[1]Harga &amp; Nama CSO'!$H$2:$N$22,2,FALSE),"")*AV765</f>
        <v>#VALUE!</v>
      </c>
      <c r="BP765" s="40"/>
      <c r="BQ765" s="4"/>
      <c r="BR765" s="61"/>
      <c r="BS765" s="4"/>
      <c r="BT765" s="57" t="e">
        <f t="shared" si="45"/>
        <v>#VALUE!</v>
      </c>
      <c r="BU765" s="62"/>
      <c r="BV765" s="8" t="e">
        <v>#VALUE!</v>
      </c>
      <c r="BW765" s="58" t="e">
        <f>VLOOKUP(AQ765,'[1]Harga &amp; Nama CSO'!$A$28:$D$31,4,0)*BQ765</f>
        <v>#N/A</v>
      </c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44">
        <f>IFERROR(VLOOKUP(AQ767,'[2]Harga &amp; Nama CSO'!$A$116:$S$136,19,FALSE),0)*AV767</f>
        <v>0</v>
      </c>
      <c r="BO766" s="55" t="e">
        <f>IFERROR(VLOOKUP(AQ766,'[1]Harga &amp; Nama CSO'!$H$2:$N$22,2,FALSE),"")*AV766</f>
        <v>#VALUE!</v>
      </c>
      <c r="BP766" s="40"/>
      <c r="BQ766" s="4"/>
      <c r="BR766" s="61"/>
      <c r="BS766" s="4"/>
      <c r="BT766" s="57" t="e">
        <f t="shared" si="45"/>
        <v>#VALUE!</v>
      </c>
      <c r="BU766" s="62"/>
      <c r="BV766" s="8" t="e">
        <v>#VALUE!</v>
      </c>
      <c r="BW766" s="58" t="e">
        <f>VLOOKUP(AQ766,'[1]Harga &amp; Nama CSO'!$A$28:$D$31,4,0)*BQ766</f>
        <v>#N/A</v>
      </c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44">
        <f>IFERROR(VLOOKUP(AQ768,'[2]Harga &amp; Nama CSO'!$A$116:$S$136,19,FALSE),0)*AV768</f>
        <v>0</v>
      </c>
      <c r="BO767" s="55" t="e">
        <f>IFERROR(VLOOKUP(AQ767,'[1]Harga &amp; Nama CSO'!$H$2:$N$22,2,FALSE),"")*AV767</f>
        <v>#VALUE!</v>
      </c>
      <c r="BP767" s="40"/>
      <c r="BQ767" s="4"/>
      <c r="BR767" s="61"/>
      <c r="BS767" s="4"/>
      <c r="BT767" s="57" t="e">
        <f t="shared" si="45"/>
        <v>#VALUE!</v>
      </c>
      <c r="BU767" s="62"/>
      <c r="BV767" s="8" t="e">
        <v>#VALUE!</v>
      </c>
      <c r="BW767" s="58" t="e">
        <f>VLOOKUP(AQ767,'[1]Harga &amp; Nama CSO'!$A$28:$D$31,4,0)*BQ767</f>
        <v>#N/A</v>
      </c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44">
        <f>IFERROR(VLOOKUP(AQ769,'[2]Harga &amp; Nama CSO'!$A$116:$S$136,19,FALSE),0)*AV769</f>
        <v>0</v>
      </c>
      <c r="BO768" s="55" t="e">
        <f>IFERROR(VLOOKUP(AQ768,'[1]Harga &amp; Nama CSO'!$H$2:$N$22,2,FALSE),"")*AV768</f>
        <v>#VALUE!</v>
      </c>
      <c r="BP768" s="40"/>
      <c r="BQ768" s="4"/>
      <c r="BR768" s="61"/>
      <c r="BS768" s="4"/>
      <c r="BT768" s="57" t="e">
        <f t="shared" si="45"/>
        <v>#VALUE!</v>
      </c>
      <c r="BU768" s="62"/>
      <c r="BV768" s="8" t="e">
        <v>#VALUE!</v>
      </c>
      <c r="BW768" s="58" t="e">
        <f>VLOOKUP(AQ768,'[1]Harga &amp; Nama CSO'!$A$28:$D$31,4,0)*BQ768</f>
        <v>#N/A</v>
      </c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44">
        <f>IFERROR(VLOOKUP(AQ770,'[2]Harga &amp; Nama CSO'!$A$116:$S$136,19,FALSE),0)*AV770</f>
        <v>0</v>
      </c>
      <c r="BO769" s="55" t="e">
        <f>IFERROR(VLOOKUP(AQ769,'[1]Harga &amp; Nama CSO'!$H$2:$N$22,2,FALSE),"")*AV769</f>
        <v>#VALUE!</v>
      </c>
      <c r="BP769" s="40"/>
      <c r="BQ769" s="4"/>
      <c r="BR769" s="61"/>
      <c r="BS769" s="4"/>
      <c r="BT769" s="57" t="e">
        <f t="shared" si="45"/>
        <v>#VALUE!</v>
      </c>
      <c r="BU769" s="62"/>
      <c r="BV769" s="8" t="e">
        <v>#VALUE!</v>
      </c>
      <c r="BW769" s="58" t="e">
        <f>VLOOKUP(AQ769,'[1]Harga &amp; Nama CSO'!$A$28:$D$31,4,0)*BQ769</f>
        <v>#N/A</v>
      </c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44">
        <f>IFERROR(VLOOKUP(AQ771,'[2]Harga &amp; Nama CSO'!$A$116:$S$136,19,FALSE),0)*AV771</f>
        <v>0</v>
      </c>
      <c r="BO770" s="55" t="e">
        <f>IFERROR(VLOOKUP(AQ770,'[1]Harga &amp; Nama CSO'!$H$2:$N$22,2,FALSE),"")*AV770</f>
        <v>#VALUE!</v>
      </c>
      <c r="BP770" s="40"/>
      <c r="BQ770" s="4"/>
      <c r="BR770" s="61"/>
      <c r="BS770" s="4"/>
      <c r="BT770" s="57" t="e">
        <f t="shared" si="45"/>
        <v>#VALUE!</v>
      </c>
      <c r="BU770" s="62"/>
      <c r="BV770" s="8" t="e">
        <v>#VALUE!</v>
      </c>
      <c r="BW770" s="58" t="e">
        <f>VLOOKUP(AQ770,'[1]Harga &amp; Nama CSO'!$A$28:$D$31,4,0)*BQ770</f>
        <v>#N/A</v>
      </c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44">
        <f>IFERROR(VLOOKUP(AQ772,'[2]Harga &amp; Nama CSO'!$A$116:$S$136,19,FALSE),0)*AV772</f>
        <v>0</v>
      </c>
      <c r="BO771" s="55" t="e">
        <f>IFERROR(VLOOKUP(AQ771,'[1]Harga &amp; Nama CSO'!$H$2:$N$22,2,FALSE),"")*AV771</f>
        <v>#VALUE!</v>
      </c>
      <c r="BP771" s="40"/>
      <c r="BQ771" s="4"/>
      <c r="BR771" s="61"/>
      <c r="BS771" s="4"/>
      <c r="BT771" s="57" t="e">
        <f t="shared" ref="BT771:BT834" si="46">BO771-BR771</f>
        <v>#VALUE!</v>
      </c>
      <c r="BU771" s="62"/>
      <c r="BV771" s="8" t="e">
        <v>#VALUE!</v>
      </c>
      <c r="BW771" s="58" t="e">
        <f>VLOOKUP(AQ771,'[1]Harga &amp; Nama CSO'!$A$28:$D$31,4,0)*BQ771</f>
        <v>#N/A</v>
      </c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44">
        <f>IFERROR(VLOOKUP(AQ773,'[2]Harga &amp; Nama CSO'!$A$116:$S$136,19,FALSE),0)*AV773</f>
        <v>0</v>
      </c>
      <c r="BO772" s="55" t="e">
        <f>IFERROR(VLOOKUP(AQ772,'[1]Harga &amp; Nama CSO'!$H$2:$N$22,2,FALSE),"")*AV772</f>
        <v>#VALUE!</v>
      </c>
      <c r="BP772" s="40"/>
      <c r="BQ772" s="4"/>
      <c r="BR772" s="61"/>
      <c r="BS772" s="4"/>
      <c r="BT772" s="57" t="e">
        <f t="shared" si="46"/>
        <v>#VALUE!</v>
      </c>
      <c r="BU772" s="62"/>
      <c r="BV772" s="8" t="e">
        <v>#VALUE!</v>
      </c>
      <c r="BW772" s="58" t="e">
        <f>VLOOKUP(AQ772,'[1]Harga &amp; Nama CSO'!$A$28:$D$31,4,0)*BQ772</f>
        <v>#N/A</v>
      </c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44">
        <f>IFERROR(VLOOKUP(AQ774,'[2]Harga &amp; Nama CSO'!$A$116:$S$136,19,FALSE),0)*AV774</f>
        <v>0</v>
      </c>
      <c r="BO773" s="55" t="e">
        <f>IFERROR(VLOOKUP(AQ773,'[1]Harga &amp; Nama CSO'!$H$2:$N$22,2,FALSE),"")*AV773</f>
        <v>#VALUE!</v>
      </c>
      <c r="BP773" s="40"/>
      <c r="BQ773" s="4"/>
      <c r="BR773" s="61"/>
      <c r="BS773" s="4"/>
      <c r="BT773" s="57" t="e">
        <f t="shared" si="46"/>
        <v>#VALUE!</v>
      </c>
      <c r="BU773" s="62"/>
      <c r="BV773" s="8" t="e">
        <v>#VALUE!</v>
      </c>
      <c r="BW773" s="58" t="e">
        <f>VLOOKUP(AQ773,'[1]Harga &amp; Nama CSO'!$A$28:$D$31,4,0)*BQ773</f>
        <v>#N/A</v>
      </c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44">
        <f>IFERROR(VLOOKUP(AQ775,'[2]Harga &amp; Nama CSO'!$A$116:$S$136,19,FALSE),0)*AV775</f>
        <v>0</v>
      </c>
      <c r="BO774" s="55" t="e">
        <f>IFERROR(VLOOKUP(AQ774,'[1]Harga &amp; Nama CSO'!$H$2:$N$22,2,FALSE),"")*AV774</f>
        <v>#VALUE!</v>
      </c>
      <c r="BP774" s="40"/>
      <c r="BQ774" s="4"/>
      <c r="BR774" s="61"/>
      <c r="BS774" s="4"/>
      <c r="BT774" s="57" t="e">
        <f t="shared" si="46"/>
        <v>#VALUE!</v>
      </c>
      <c r="BU774" s="62"/>
      <c r="BV774" s="8" t="e">
        <v>#VALUE!</v>
      </c>
      <c r="BW774" s="58" t="e">
        <f>VLOOKUP(AQ774,'[1]Harga &amp; Nama CSO'!$A$28:$D$31,4,0)*BQ774</f>
        <v>#N/A</v>
      </c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44">
        <f>IFERROR(VLOOKUP(AQ776,'[2]Harga &amp; Nama CSO'!$A$116:$S$136,19,FALSE),0)*AV776</f>
        <v>0</v>
      </c>
      <c r="BO775" s="55" t="e">
        <f>IFERROR(VLOOKUP(AQ775,'[1]Harga &amp; Nama CSO'!$H$2:$N$22,2,FALSE),"")*AV775</f>
        <v>#VALUE!</v>
      </c>
      <c r="BP775" s="40"/>
      <c r="BQ775" s="4"/>
      <c r="BR775" s="61"/>
      <c r="BS775" s="4"/>
      <c r="BT775" s="57" t="e">
        <f t="shared" si="46"/>
        <v>#VALUE!</v>
      </c>
      <c r="BU775" s="62"/>
      <c r="BV775" s="8" t="e">
        <v>#VALUE!</v>
      </c>
      <c r="BW775" s="58" t="e">
        <f>VLOOKUP(AQ775,'[1]Harga &amp; Nama CSO'!$A$28:$D$31,4,0)*BQ775</f>
        <v>#N/A</v>
      </c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44">
        <f>IFERROR(VLOOKUP(AQ777,'[2]Harga &amp; Nama CSO'!$A$116:$S$136,19,FALSE),0)*AV777</f>
        <v>0</v>
      </c>
      <c r="BO776" s="55" t="e">
        <f>IFERROR(VLOOKUP(AQ776,'[1]Harga &amp; Nama CSO'!$H$2:$N$22,2,FALSE),"")*AV776</f>
        <v>#VALUE!</v>
      </c>
      <c r="BP776" s="40"/>
      <c r="BQ776" s="4"/>
      <c r="BR776" s="61"/>
      <c r="BS776" s="4"/>
      <c r="BT776" s="57" t="e">
        <f t="shared" si="46"/>
        <v>#VALUE!</v>
      </c>
      <c r="BU776" s="62"/>
      <c r="BV776" s="8" t="e">
        <v>#VALUE!</v>
      </c>
      <c r="BW776" s="58" t="e">
        <f>VLOOKUP(AQ776,'[1]Harga &amp; Nama CSO'!$A$28:$D$31,4,0)*BQ776</f>
        <v>#N/A</v>
      </c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44">
        <f>IFERROR(VLOOKUP(AQ778,'[2]Harga &amp; Nama CSO'!$A$116:$S$136,19,FALSE),0)*AV778</f>
        <v>0</v>
      </c>
      <c r="BO777" s="55" t="e">
        <f>IFERROR(VLOOKUP(AQ777,'[1]Harga &amp; Nama CSO'!$H$2:$N$22,2,FALSE),"")*AV777</f>
        <v>#VALUE!</v>
      </c>
      <c r="BP777" s="40"/>
      <c r="BQ777" s="4"/>
      <c r="BR777" s="61"/>
      <c r="BS777" s="4"/>
      <c r="BT777" s="57" t="e">
        <f t="shared" si="46"/>
        <v>#VALUE!</v>
      </c>
      <c r="BU777" s="62"/>
      <c r="BV777" s="8" t="e">
        <v>#VALUE!</v>
      </c>
      <c r="BW777" s="58" t="e">
        <f>VLOOKUP(AQ777,'[1]Harga &amp; Nama CSO'!$A$28:$D$31,4,0)*BQ777</f>
        <v>#N/A</v>
      </c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44">
        <f>IFERROR(VLOOKUP(AQ779,'[2]Harga &amp; Nama CSO'!$A$116:$S$136,19,FALSE),0)*AV779</f>
        <v>0</v>
      </c>
      <c r="BO778" s="55" t="e">
        <f>IFERROR(VLOOKUP(AQ778,'[1]Harga &amp; Nama CSO'!$H$2:$N$22,2,FALSE),"")*AV778</f>
        <v>#VALUE!</v>
      </c>
      <c r="BP778" s="40"/>
      <c r="BQ778" s="4"/>
      <c r="BR778" s="61"/>
      <c r="BS778" s="4"/>
      <c r="BT778" s="57" t="e">
        <f t="shared" si="46"/>
        <v>#VALUE!</v>
      </c>
      <c r="BU778" s="62"/>
      <c r="BV778" s="8" t="e">
        <v>#VALUE!</v>
      </c>
      <c r="BW778" s="58" t="e">
        <f>VLOOKUP(AQ778,'[1]Harga &amp; Nama CSO'!$A$28:$D$31,4,0)*BQ778</f>
        <v>#N/A</v>
      </c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44">
        <f>IFERROR(VLOOKUP(AQ780,'[2]Harga &amp; Nama CSO'!$A$116:$S$136,19,FALSE),0)*AV780</f>
        <v>0</v>
      </c>
      <c r="BO779" s="55" t="e">
        <f>IFERROR(VLOOKUP(AQ779,'[1]Harga &amp; Nama CSO'!$H$2:$N$22,2,FALSE),"")*AV779</f>
        <v>#VALUE!</v>
      </c>
      <c r="BP779" s="40"/>
      <c r="BQ779" s="4"/>
      <c r="BR779" s="61"/>
      <c r="BS779" s="4"/>
      <c r="BT779" s="57" t="e">
        <f t="shared" si="46"/>
        <v>#VALUE!</v>
      </c>
      <c r="BU779" s="62"/>
      <c r="BV779" s="8" t="e">
        <v>#VALUE!</v>
      </c>
      <c r="BW779" s="58" t="e">
        <f>VLOOKUP(AQ779,'[1]Harga &amp; Nama CSO'!$A$28:$D$31,4,0)*BQ779</f>
        <v>#N/A</v>
      </c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44">
        <f>IFERROR(VLOOKUP(AQ781,'[2]Harga &amp; Nama CSO'!$A$116:$S$136,19,FALSE),0)*AV781</f>
        <v>0</v>
      </c>
      <c r="BO780" s="55" t="e">
        <f>IFERROR(VLOOKUP(AQ780,'[1]Harga &amp; Nama CSO'!$H$2:$N$22,2,FALSE),"")*AV780</f>
        <v>#VALUE!</v>
      </c>
      <c r="BP780" s="40"/>
      <c r="BQ780" s="4"/>
      <c r="BR780" s="61"/>
      <c r="BS780" s="4"/>
      <c r="BT780" s="57" t="e">
        <f t="shared" si="46"/>
        <v>#VALUE!</v>
      </c>
      <c r="BU780" s="62"/>
      <c r="BV780" s="8" t="e">
        <v>#VALUE!</v>
      </c>
      <c r="BW780" s="58" t="e">
        <f>VLOOKUP(AQ780,'[1]Harga &amp; Nama CSO'!$A$28:$D$31,4,0)*BQ780</f>
        <v>#N/A</v>
      </c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44">
        <f>IFERROR(VLOOKUP(AQ782,'[2]Harga &amp; Nama CSO'!$A$116:$S$136,19,FALSE),0)*AV782</f>
        <v>0</v>
      </c>
      <c r="BO781" s="55" t="e">
        <f>IFERROR(VLOOKUP(AQ781,'[1]Harga &amp; Nama CSO'!$H$2:$N$22,2,FALSE),"")*AV781</f>
        <v>#VALUE!</v>
      </c>
      <c r="BP781" s="40"/>
      <c r="BQ781" s="4"/>
      <c r="BR781" s="61"/>
      <c r="BS781" s="4"/>
      <c r="BT781" s="57" t="e">
        <f t="shared" si="46"/>
        <v>#VALUE!</v>
      </c>
      <c r="BU781" s="62"/>
      <c r="BV781" s="8" t="e">
        <v>#VALUE!</v>
      </c>
      <c r="BW781" s="58" t="e">
        <f>VLOOKUP(AQ781,'[1]Harga &amp; Nama CSO'!$A$28:$D$31,4,0)*BQ781</f>
        <v>#N/A</v>
      </c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44">
        <f>IFERROR(VLOOKUP(AQ783,'[2]Harga &amp; Nama CSO'!$A$116:$S$136,19,FALSE),0)*AV783</f>
        <v>0</v>
      </c>
      <c r="BO782" s="55" t="e">
        <f>IFERROR(VLOOKUP(AQ782,'[1]Harga &amp; Nama CSO'!$H$2:$N$22,2,FALSE),"")*AV782</f>
        <v>#VALUE!</v>
      </c>
      <c r="BP782" s="40"/>
      <c r="BQ782" s="4"/>
      <c r="BR782" s="61"/>
      <c r="BS782" s="4"/>
      <c r="BT782" s="57" t="e">
        <f t="shared" si="46"/>
        <v>#VALUE!</v>
      </c>
      <c r="BU782" s="62"/>
      <c r="BV782" s="8" t="e">
        <v>#VALUE!</v>
      </c>
      <c r="BW782" s="58" t="e">
        <f>VLOOKUP(AQ782,'[1]Harga &amp; Nama CSO'!$A$28:$D$31,4,0)*BQ782</f>
        <v>#N/A</v>
      </c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44">
        <f>IFERROR(VLOOKUP(AQ784,'[2]Harga &amp; Nama CSO'!$A$116:$S$136,19,FALSE),0)*AV784</f>
        <v>0</v>
      </c>
      <c r="BO783" s="55" t="e">
        <f>IFERROR(VLOOKUP(AQ783,'[1]Harga &amp; Nama CSO'!$H$2:$N$22,2,FALSE),"")*AV783</f>
        <v>#VALUE!</v>
      </c>
      <c r="BP783" s="40"/>
      <c r="BQ783" s="4"/>
      <c r="BR783" s="61"/>
      <c r="BS783" s="4"/>
      <c r="BT783" s="57" t="e">
        <f t="shared" si="46"/>
        <v>#VALUE!</v>
      </c>
      <c r="BU783" s="62"/>
      <c r="BV783" s="8" t="e">
        <v>#VALUE!</v>
      </c>
      <c r="BW783" s="58" t="e">
        <f>VLOOKUP(AQ783,'[1]Harga &amp; Nama CSO'!$A$28:$D$31,4,0)*BQ783</f>
        <v>#N/A</v>
      </c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44">
        <f>IFERROR(VLOOKUP(AQ785,'[2]Harga &amp; Nama CSO'!$A$116:$S$136,19,FALSE),0)*AV785</f>
        <v>0</v>
      </c>
      <c r="BO784" s="55" t="e">
        <f>IFERROR(VLOOKUP(AQ784,'[1]Harga &amp; Nama CSO'!$H$2:$N$22,2,FALSE),"")*AV784</f>
        <v>#VALUE!</v>
      </c>
      <c r="BP784" s="40"/>
      <c r="BQ784" s="4"/>
      <c r="BR784" s="61"/>
      <c r="BS784" s="4"/>
      <c r="BT784" s="57" t="e">
        <f t="shared" si="46"/>
        <v>#VALUE!</v>
      </c>
      <c r="BU784" s="62"/>
      <c r="BV784" s="8" t="e">
        <v>#VALUE!</v>
      </c>
      <c r="BW784" s="58" t="e">
        <f>VLOOKUP(AQ784,'[1]Harga &amp; Nama CSO'!$A$28:$D$31,4,0)*BQ784</f>
        <v>#N/A</v>
      </c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44">
        <f>IFERROR(VLOOKUP(AQ786,'[2]Harga &amp; Nama CSO'!$A$116:$S$136,19,FALSE),0)*AV786</f>
        <v>0</v>
      </c>
      <c r="BO785" s="55" t="e">
        <f>IFERROR(VLOOKUP(AQ785,'[1]Harga &amp; Nama CSO'!$H$2:$N$22,2,FALSE),"")*AV785</f>
        <v>#VALUE!</v>
      </c>
      <c r="BP785" s="40"/>
      <c r="BQ785" s="4"/>
      <c r="BR785" s="61"/>
      <c r="BS785" s="4"/>
      <c r="BT785" s="57" t="e">
        <f t="shared" si="46"/>
        <v>#VALUE!</v>
      </c>
      <c r="BU785" s="62"/>
      <c r="BV785" s="8" t="e">
        <v>#VALUE!</v>
      </c>
      <c r="BW785" s="58" t="e">
        <f>VLOOKUP(AQ785,'[1]Harga &amp; Nama CSO'!$A$28:$D$31,4,0)*BQ785</f>
        <v>#N/A</v>
      </c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44">
        <f>IFERROR(VLOOKUP(AQ787,'[2]Harga &amp; Nama CSO'!$A$116:$S$136,19,FALSE),0)*AV787</f>
        <v>0</v>
      </c>
      <c r="BO786" s="55" t="e">
        <f>IFERROR(VLOOKUP(AQ786,'[1]Harga &amp; Nama CSO'!$H$2:$N$22,2,FALSE),"")*AV786</f>
        <v>#VALUE!</v>
      </c>
      <c r="BP786" s="40"/>
      <c r="BQ786" s="4"/>
      <c r="BR786" s="61"/>
      <c r="BS786" s="4"/>
      <c r="BT786" s="57" t="e">
        <f t="shared" si="46"/>
        <v>#VALUE!</v>
      </c>
      <c r="BU786" s="62"/>
      <c r="BV786" s="8" t="e">
        <v>#VALUE!</v>
      </c>
      <c r="BW786" s="58" t="e">
        <f>VLOOKUP(AQ786,'[1]Harga &amp; Nama CSO'!$A$28:$D$31,4,0)*BQ786</f>
        <v>#N/A</v>
      </c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44">
        <f>IFERROR(VLOOKUP(AQ788,'[2]Harga &amp; Nama CSO'!$A$116:$S$136,19,FALSE),0)*AV788</f>
        <v>0</v>
      </c>
      <c r="BO787" s="55" t="e">
        <f>IFERROR(VLOOKUP(AQ787,'[1]Harga &amp; Nama CSO'!$H$2:$N$22,2,FALSE),"")*AV787</f>
        <v>#VALUE!</v>
      </c>
      <c r="BP787" s="40"/>
      <c r="BQ787" s="4"/>
      <c r="BR787" s="61"/>
      <c r="BS787" s="4"/>
      <c r="BT787" s="57" t="e">
        <f t="shared" si="46"/>
        <v>#VALUE!</v>
      </c>
      <c r="BU787" s="62"/>
      <c r="BV787" s="8" t="e">
        <v>#VALUE!</v>
      </c>
      <c r="BW787" s="58" t="e">
        <f>VLOOKUP(AQ787,'[1]Harga &amp; Nama CSO'!$A$28:$D$31,4,0)*BQ787</f>
        <v>#N/A</v>
      </c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44">
        <f>IFERROR(VLOOKUP(AQ789,'[2]Harga &amp; Nama CSO'!$A$116:$S$136,19,FALSE),0)*AV789</f>
        <v>0</v>
      </c>
      <c r="BO788" s="55" t="e">
        <f>IFERROR(VLOOKUP(AQ788,'[1]Harga &amp; Nama CSO'!$H$2:$N$22,2,FALSE),"")*AV788</f>
        <v>#VALUE!</v>
      </c>
      <c r="BP788" s="40"/>
      <c r="BQ788" s="4"/>
      <c r="BR788" s="61"/>
      <c r="BS788" s="4"/>
      <c r="BT788" s="57" t="e">
        <f t="shared" si="46"/>
        <v>#VALUE!</v>
      </c>
      <c r="BU788" s="62"/>
      <c r="BV788" s="8" t="e">
        <v>#VALUE!</v>
      </c>
      <c r="BW788" s="58" t="e">
        <f>VLOOKUP(AQ788,'[1]Harga &amp; Nama CSO'!$A$28:$D$31,4,0)*BQ788</f>
        <v>#N/A</v>
      </c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44">
        <f>IFERROR(VLOOKUP(AQ790,'[2]Harga &amp; Nama CSO'!$A$116:$S$136,19,FALSE),0)*AV790</f>
        <v>0</v>
      </c>
      <c r="BO789" s="55" t="e">
        <f>IFERROR(VLOOKUP(AQ789,'[1]Harga &amp; Nama CSO'!$H$2:$N$22,2,FALSE),"")*AV789</f>
        <v>#VALUE!</v>
      </c>
      <c r="BP789" s="40"/>
      <c r="BQ789" s="4"/>
      <c r="BR789" s="61"/>
      <c r="BS789" s="4"/>
      <c r="BT789" s="57" t="e">
        <f t="shared" si="46"/>
        <v>#VALUE!</v>
      </c>
      <c r="BU789" s="62"/>
      <c r="BV789" s="8" t="e">
        <v>#VALUE!</v>
      </c>
      <c r="BW789" s="58" t="e">
        <f>VLOOKUP(AQ789,'[1]Harga &amp; Nama CSO'!$A$28:$D$31,4,0)*BQ789</f>
        <v>#N/A</v>
      </c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44">
        <f>IFERROR(VLOOKUP(AQ791,'[2]Harga &amp; Nama CSO'!$A$116:$S$136,19,FALSE),0)*AV791</f>
        <v>0</v>
      </c>
      <c r="BO790" s="55" t="e">
        <f>IFERROR(VLOOKUP(AQ790,'[1]Harga &amp; Nama CSO'!$H$2:$N$22,2,FALSE),"")*AV790</f>
        <v>#VALUE!</v>
      </c>
      <c r="BP790" s="40"/>
      <c r="BQ790" s="4"/>
      <c r="BR790" s="61"/>
      <c r="BS790" s="4"/>
      <c r="BT790" s="57" t="e">
        <f t="shared" si="46"/>
        <v>#VALUE!</v>
      </c>
      <c r="BU790" s="62"/>
      <c r="BV790" s="8" t="e">
        <v>#VALUE!</v>
      </c>
      <c r="BW790" s="58" t="e">
        <f>VLOOKUP(AQ790,'[1]Harga &amp; Nama CSO'!$A$28:$D$31,4,0)*BQ790</f>
        <v>#N/A</v>
      </c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44">
        <f>IFERROR(VLOOKUP(AQ792,'[2]Harga &amp; Nama CSO'!$A$116:$S$136,19,FALSE),0)*AV792</f>
        <v>0</v>
      </c>
      <c r="BO791" s="55" t="e">
        <f>IFERROR(VLOOKUP(AQ791,'[1]Harga &amp; Nama CSO'!$H$2:$N$22,2,FALSE),"")*AV791</f>
        <v>#VALUE!</v>
      </c>
      <c r="BP791" s="40"/>
      <c r="BQ791" s="4"/>
      <c r="BR791" s="61"/>
      <c r="BS791" s="4"/>
      <c r="BT791" s="57" t="e">
        <f t="shared" si="46"/>
        <v>#VALUE!</v>
      </c>
      <c r="BU791" s="62"/>
      <c r="BV791" s="8" t="e">
        <v>#VALUE!</v>
      </c>
      <c r="BW791" s="58" t="e">
        <f>VLOOKUP(AQ791,'[1]Harga &amp; Nama CSO'!$A$28:$D$31,4,0)*BQ791</f>
        <v>#N/A</v>
      </c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44">
        <f>IFERROR(VLOOKUP(AQ793,'[2]Harga &amp; Nama CSO'!$A$116:$S$136,19,FALSE),0)*AV793</f>
        <v>0</v>
      </c>
      <c r="BO792" s="55" t="e">
        <f>IFERROR(VLOOKUP(AQ792,'[1]Harga &amp; Nama CSO'!$H$2:$N$22,2,FALSE),"")*AV792</f>
        <v>#VALUE!</v>
      </c>
      <c r="BP792" s="40"/>
      <c r="BQ792" s="4"/>
      <c r="BR792" s="61"/>
      <c r="BS792" s="4"/>
      <c r="BT792" s="57" t="e">
        <f t="shared" si="46"/>
        <v>#VALUE!</v>
      </c>
      <c r="BU792" s="62"/>
      <c r="BV792" s="8" t="e">
        <v>#VALUE!</v>
      </c>
      <c r="BW792" s="58" t="e">
        <f>VLOOKUP(AQ792,'[1]Harga &amp; Nama CSO'!$A$28:$D$31,4,0)*BQ792</f>
        <v>#N/A</v>
      </c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44">
        <f>IFERROR(VLOOKUP(AQ794,'[2]Harga &amp; Nama CSO'!$A$116:$S$136,19,FALSE),0)*AV794</f>
        <v>0</v>
      </c>
      <c r="BO793" s="55" t="e">
        <f>IFERROR(VLOOKUP(AQ793,'[1]Harga &amp; Nama CSO'!$H$2:$N$22,2,FALSE),"")*AV793</f>
        <v>#VALUE!</v>
      </c>
      <c r="BP793" s="40"/>
      <c r="BQ793" s="4"/>
      <c r="BR793" s="61"/>
      <c r="BS793" s="4"/>
      <c r="BT793" s="57" t="e">
        <f t="shared" si="46"/>
        <v>#VALUE!</v>
      </c>
      <c r="BU793" s="62"/>
      <c r="BV793" s="8" t="e">
        <v>#VALUE!</v>
      </c>
      <c r="BW793" s="58" t="e">
        <f>VLOOKUP(AQ793,'[1]Harga &amp; Nama CSO'!$A$28:$D$31,4,0)*BQ793</f>
        <v>#N/A</v>
      </c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44">
        <f>IFERROR(VLOOKUP(AQ795,'[2]Harga &amp; Nama CSO'!$A$116:$S$136,19,FALSE),0)*AV795</f>
        <v>0</v>
      </c>
      <c r="BO794" s="55" t="e">
        <f>IFERROR(VLOOKUP(AQ794,'[1]Harga &amp; Nama CSO'!$H$2:$N$22,2,FALSE),"")*AV794</f>
        <v>#VALUE!</v>
      </c>
      <c r="BP794" s="40"/>
      <c r="BQ794" s="4"/>
      <c r="BR794" s="61"/>
      <c r="BS794" s="4"/>
      <c r="BT794" s="57" t="e">
        <f t="shared" si="46"/>
        <v>#VALUE!</v>
      </c>
      <c r="BU794" s="62"/>
      <c r="BV794" s="8" t="e">
        <v>#VALUE!</v>
      </c>
      <c r="BW794" s="58" t="e">
        <f>VLOOKUP(AQ794,'[1]Harga &amp; Nama CSO'!$A$28:$D$31,4,0)*BQ794</f>
        <v>#N/A</v>
      </c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44">
        <f>IFERROR(VLOOKUP(AQ796,'[2]Harga &amp; Nama CSO'!$A$116:$S$136,19,FALSE),0)*AV796</f>
        <v>0</v>
      </c>
      <c r="BO795" s="55" t="e">
        <f>IFERROR(VLOOKUP(AQ795,'[1]Harga &amp; Nama CSO'!$H$2:$N$22,2,FALSE),"")*AV795</f>
        <v>#VALUE!</v>
      </c>
      <c r="BP795" s="40"/>
      <c r="BQ795" s="4"/>
      <c r="BR795" s="61"/>
      <c r="BS795" s="4"/>
      <c r="BT795" s="57" t="e">
        <f t="shared" si="46"/>
        <v>#VALUE!</v>
      </c>
      <c r="BU795" s="62"/>
      <c r="BV795" s="8" t="e">
        <v>#VALUE!</v>
      </c>
      <c r="BW795" s="58" t="e">
        <f>VLOOKUP(AQ795,'[1]Harga &amp; Nama CSO'!$A$28:$D$31,4,0)*BQ795</f>
        <v>#N/A</v>
      </c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44">
        <f>IFERROR(VLOOKUP(AQ797,'[2]Harga &amp; Nama CSO'!$A$116:$S$136,19,FALSE),0)*AV797</f>
        <v>0</v>
      </c>
      <c r="BO796" s="55" t="e">
        <f>IFERROR(VLOOKUP(AQ796,'[1]Harga &amp; Nama CSO'!$H$2:$N$22,2,FALSE),"")*AV796</f>
        <v>#VALUE!</v>
      </c>
      <c r="BP796" s="40"/>
      <c r="BQ796" s="4"/>
      <c r="BR796" s="61"/>
      <c r="BS796" s="4"/>
      <c r="BT796" s="57" t="e">
        <f t="shared" si="46"/>
        <v>#VALUE!</v>
      </c>
      <c r="BU796" s="62"/>
      <c r="BV796" s="8" t="e">
        <v>#VALUE!</v>
      </c>
      <c r="BW796" s="58" t="e">
        <f>VLOOKUP(AQ796,'[1]Harga &amp; Nama CSO'!$A$28:$D$31,4,0)*BQ796</f>
        <v>#N/A</v>
      </c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44">
        <f>IFERROR(VLOOKUP(AQ798,'[2]Harga &amp; Nama CSO'!$A$116:$S$136,19,FALSE),0)*AV798</f>
        <v>0</v>
      </c>
      <c r="BO797" s="55" t="e">
        <f>IFERROR(VLOOKUP(AQ797,'[1]Harga &amp; Nama CSO'!$H$2:$N$22,2,FALSE),"")*AV797</f>
        <v>#VALUE!</v>
      </c>
      <c r="BP797" s="40"/>
      <c r="BQ797" s="4"/>
      <c r="BR797" s="61"/>
      <c r="BS797" s="4"/>
      <c r="BT797" s="57" t="e">
        <f t="shared" si="46"/>
        <v>#VALUE!</v>
      </c>
      <c r="BU797" s="62"/>
      <c r="BV797" s="8" t="e">
        <v>#VALUE!</v>
      </c>
      <c r="BW797" s="58" t="e">
        <f>VLOOKUP(AQ797,'[1]Harga &amp; Nama CSO'!$A$28:$D$31,4,0)*BQ797</f>
        <v>#N/A</v>
      </c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44">
        <f>IFERROR(VLOOKUP(AQ799,'[2]Harga &amp; Nama CSO'!$A$116:$S$136,19,FALSE),0)*AV799</f>
        <v>0</v>
      </c>
      <c r="BO798" s="55" t="e">
        <f>IFERROR(VLOOKUP(AQ798,'[1]Harga &amp; Nama CSO'!$H$2:$N$22,2,FALSE),"")*AV798</f>
        <v>#VALUE!</v>
      </c>
      <c r="BP798" s="40"/>
      <c r="BQ798" s="4"/>
      <c r="BR798" s="61"/>
      <c r="BS798" s="4"/>
      <c r="BT798" s="57" t="e">
        <f t="shared" si="46"/>
        <v>#VALUE!</v>
      </c>
      <c r="BU798" s="62"/>
      <c r="BV798" s="8" t="e">
        <v>#VALUE!</v>
      </c>
      <c r="BW798" s="58" t="e">
        <f>VLOOKUP(AQ798,'[1]Harga &amp; Nama CSO'!$A$28:$D$31,4,0)*BQ798</f>
        <v>#N/A</v>
      </c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44">
        <f>IFERROR(VLOOKUP(AQ800,'[2]Harga &amp; Nama CSO'!$A$116:$S$136,19,FALSE),0)*AV800</f>
        <v>0</v>
      </c>
      <c r="BO799" s="55" t="e">
        <f>IFERROR(VLOOKUP(AQ799,'[1]Harga &amp; Nama CSO'!$H$2:$N$22,2,FALSE),"")*AV799</f>
        <v>#VALUE!</v>
      </c>
      <c r="BP799" s="40"/>
      <c r="BQ799" s="4"/>
      <c r="BR799" s="61"/>
      <c r="BS799" s="4"/>
      <c r="BT799" s="57" t="e">
        <f t="shared" si="46"/>
        <v>#VALUE!</v>
      </c>
      <c r="BU799" s="62"/>
      <c r="BV799" s="8" t="e">
        <v>#VALUE!</v>
      </c>
      <c r="BW799" s="58" t="e">
        <f>VLOOKUP(AQ799,'[1]Harga &amp; Nama CSO'!$A$28:$D$31,4,0)*BQ799</f>
        <v>#N/A</v>
      </c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44">
        <f>IFERROR(VLOOKUP(AQ801,'[2]Harga &amp; Nama CSO'!$A$116:$S$136,19,FALSE),0)*AV801</f>
        <v>0</v>
      </c>
      <c r="BO800" s="55" t="e">
        <f>IFERROR(VLOOKUP(AQ800,'[1]Harga &amp; Nama CSO'!$H$2:$N$22,2,FALSE),"")*AV800</f>
        <v>#VALUE!</v>
      </c>
      <c r="BP800" s="40"/>
      <c r="BQ800" s="4"/>
      <c r="BR800" s="61"/>
      <c r="BS800" s="4"/>
      <c r="BT800" s="57" t="e">
        <f t="shared" si="46"/>
        <v>#VALUE!</v>
      </c>
      <c r="BU800" s="62"/>
      <c r="BV800" s="8" t="e">
        <v>#VALUE!</v>
      </c>
      <c r="BW800" s="58" t="e">
        <f>VLOOKUP(AQ800,'[1]Harga &amp; Nama CSO'!$A$28:$D$31,4,0)*BQ800</f>
        <v>#N/A</v>
      </c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44">
        <f>IFERROR(VLOOKUP(AQ802,'[2]Harga &amp; Nama CSO'!$A$116:$S$136,19,FALSE),0)*AV802</f>
        <v>0</v>
      </c>
      <c r="BO801" s="55" t="e">
        <f>IFERROR(VLOOKUP(AQ801,'[1]Harga &amp; Nama CSO'!$H$2:$N$22,2,FALSE),"")*AV801</f>
        <v>#VALUE!</v>
      </c>
      <c r="BP801" s="40"/>
      <c r="BQ801" s="4"/>
      <c r="BR801" s="61"/>
      <c r="BS801" s="4"/>
      <c r="BT801" s="57" t="e">
        <f t="shared" si="46"/>
        <v>#VALUE!</v>
      </c>
      <c r="BU801" s="62"/>
      <c r="BV801" s="8" t="e">
        <v>#VALUE!</v>
      </c>
      <c r="BW801" s="58" t="e">
        <f>VLOOKUP(AQ801,'[1]Harga &amp; Nama CSO'!$A$28:$D$31,4,0)*BQ801</f>
        <v>#N/A</v>
      </c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44">
        <f>IFERROR(VLOOKUP(AQ803,'[2]Harga &amp; Nama CSO'!$A$116:$S$136,19,FALSE),0)*AV803</f>
        <v>0</v>
      </c>
      <c r="BO802" s="55" t="e">
        <f>IFERROR(VLOOKUP(AQ802,'[1]Harga &amp; Nama CSO'!$H$2:$N$22,2,FALSE),"")*AV802</f>
        <v>#VALUE!</v>
      </c>
      <c r="BP802" s="40"/>
      <c r="BQ802" s="4"/>
      <c r="BR802" s="61"/>
      <c r="BS802" s="4"/>
      <c r="BT802" s="57" t="e">
        <f t="shared" si="46"/>
        <v>#VALUE!</v>
      </c>
      <c r="BU802" s="62"/>
      <c r="BV802" s="8" t="e">
        <v>#VALUE!</v>
      </c>
      <c r="BW802" s="58" t="e">
        <f>VLOOKUP(AQ802,'[1]Harga &amp; Nama CSO'!$A$28:$D$31,4,0)*BQ802</f>
        <v>#N/A</v>
      </c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44">
        <f>IFERROR(VLOOKUP(AQ804,'[2]Harga &amp; Nama CSO'!$A$116:$S$136,19,FALSE),0)*AV804</f>
        <v>0</v>
      </c>
      <c r="BO803" s="55" t="e">
        <f>IFERROR(VLOOKUP(AQ803,'[1]Harga &amp; Nama CSO'!$H$2:$N$22,2,FALSE),"")*AV803</f>
        <v>#VALUE!</v>
      </c>
      <c r="BP803" s="40"/>
      <c r="BQ803" s="4"/>
      <c r="BR803" s="61"/>
      <c r="BS803" s="4"/>
      <c r="BT803" s="57" t="e">
        <f t="shared" si="46"/>
        <v>#VALUE!</v>
      </c>
      <c r="BU803" s="62"/>
      <c r="BV803" s="8" t="e">
        <v>#VALUE!</v>
      </c>
      <c r="BW803" s="58" t="e">
        <f>VLOOKUP(AQ803,'[1]Harga &amp; Nama CSO'!$A$28:$D$31,4,0)*BQ803</f>
        <v>#N/A</v>
      </c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44">
        <f>IFERROR(VLOOKUP(AQ805,'[2]Harga &amp; Nama CSO'!$A$116:$S$136,19,FALSE),0)*AV805</f>
        <v>0</v>
      </c>
      <c r="BO804" s="55" t="e">
        <f>IFERROR(VLOOKUP(AQ804,'[1]Harga &amp; Nama CSO'!$H$2:$N$22,2,FALSE),"")*AV804</f>
        <v>#VALUE!</v>
      </c>
      <c r="BP804" s="40"/>
      <c r="BQ804" s="4"/>
      <c r="BR804" s="61"/>
      <c r="BS804" s="4"/>
      <c r="BT804" s="57" t="e">
        <f t="shared" si="46"/>
        <v>#VALUE!</v>
      </c>
      <c r="BU804" s="62"/>
      <c r="BV804" s="8" t="e">
        <v>#VALUE!</v>
      </c>
      <c r="BW804" s="58" t="e">
        <f>VLOOKUP(AQ804,'[1]Harga &amp; Nama CSO'!$A$28:$D$31,4,0)*BQ804</f>
        <v>#N/A</v>
      </c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44">
        <f>IFERROR(VLOOKUP(AQ806,'[2]Harga &amp; Nama CSO'!$A$116:$S$136,19,FALSE),0)*AV806</f>
        <v>0</v>
      </c>
      <c r="BO805" s="55" t="e">
        <f>IFERROR(VLOOKUP(AQ805,'[1]Harga &amp; Nama CSO'!$H$2:$N$22,2,FALSE),"")*AV805</f>
        <v>#VALUE!</v>
      </c>
      <c r="BP805" s="40"/>
      <c r="BQ805" s="4"/>
      <c r="BR805" s="61"/>
      <c r="BS805" s="4"/>
      <c r="BT805" s="57" t="e">
        <f t="shared" si="46"/>
        <v>#VALUE!</v>
      </c>
      <c r="BU805" s="62"/>
      <c r="BV805" s="8" t="e">
        <v>#VALUE!</v>
      </c>
      <c r="BW805" s="58" t="e">
        <f>VLOOKUP(AQ805,'[1]Harga &amp; Nama CSO'!$A$28:$D$31,4,0)*BQ805</f>
        <v>#N/A</v>
      </c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44">
        <f>IFERROR(VLOOKUP(AQ807,'[2]Harga &amp; Nama CSO'!$A$116:$S$136,19,FALSE),0)*AV807</f>
        <v>0</v>
      </c>
      <c r="BO806" s="55" t="e">
        <f>IFERROR(VLOOKUP(AQ806,'[1]Harga &amp; Nama CSO'!$H$2:$N$22,2,FALSE),"")*AV806</f>
        <v>#VALUE!</v>
      </c>
      <c r="BP806" s="40"/>
      <c r="BQ806" s="4"/>
      <c r="BR806" s="61"/>
      <c r="BS806" s="4"/>
      <c r="BT806" s="57" t="e">
        <f t="shared" si="46"/>
        <v>#VALUE!</v>
      </c>
      <c r="BU806" s="62"/>
      <c r="BV806" s="8" t="e">
        <v>#VALUE!</v>
      </c>
      <c r="BW806" s="58" t="e">
        <f>VLOOKUP(AQ806,'[1]Harga &amp; Nama CSO'!$A$28:$D$31,4,0)*BQ806</f>
        <v>#N/A</v>
      </c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44">
        <f>IFERROR(VLOOKUP(AQ808,'[2]Harga &amp; Nama CSO'!$A$116:$S$136,19,FALSE),0)*AV808</f>
        <v>0</v>
      </c>
      <c r="BO807" s="55" t="e">
        <f>IFERROR(VLOOKUP(AQ807,'[1]Harga &amp; Nama CSO'!$H$2:$N$22,2,FALSE),"")*AV807</f>
        <v>#VALUE!</v>
      </c>
      <c r="BP807" s="40"/>
      <c r="BQ807" s="4"/>
      <c r="BR807" s="61"/>
      <c r="BS807" s="4"/>
      <c r="BT807" s="57" t="e">
        <f t="shared" si="46"/>
        <v>#VALUE!</v>
      </c>
      <c r="BU807" s="62"/>
      <c r="BV807" s="8" t="e">
        <v>#VALUE!</v>
      </c>
      <c r="BW807" s="58" t="e">
        <f>VLOOKUP(AQ807,'[1]Harga &amp; Nama CSO'!$A$28:$D$31,4,0)*BQ807</f>
        <v>#N/A</v>
      </c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44">
        <f>IFERROR(VLOOKUP(AQ809,'[2]Harga &amp; Nama CSO'!$A$116:$S$136,19,FALSE),0)*AV809</f>
        <v>0</v>
      </c>
      <c r="BO808" s="55" t="e">
        <f>IFERROR(VLOOKUP(AQ808,'[1]Harga &amp; Nama CSO'!$H$2:$N$22,2,FALSE),"")*AV808</f>
        <v>#VALUE!</v>
      </c>
      <c r="BP808" s="40"/>
      <c r="BQ808" s="4"/>
      <c r="BR808" s="61"/>
      <c r="BS808" s="4"/>
      <c r="BT808" s="57" t="e">
        <f t="shared" si="46"/>
        <v>#VALUE!</v>
      </c>
      <c r="BU808" s="62"/>
      <c r="BV808" s="8" t="e">
        <v>#VALUE!</v>
      </c>
      <c r="BW808" s="58" t="e">
        <f>VLOOKUP(AQ808,'[1]Harga &amp; Nama CSO'!$A$28:$D$31,4,0)*BQ808</f>
        <v>#N/A</v>
      </c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44">
        <f>IFERROR(VLOOKUP(AQ810,'[2]Harga &amp; Nama CSO'!$A$116:$S$136,19,FALSE),0)*AV810</f>
        <v>0</v>
      </c>
      <c r="BO809" s="55" t="e">
        <f>IFERROR(VLOOKUP(AQ809,'[1]Harga &amp; Nama CSO'!$H$2:$N$22,2,FALSE),"")*AV809</f>
        <v>#VALUE!</v>
      </c>
      <c r="BP809" s="40"/>
      <c r="BQ809" s="4"/>
      <c r="BR809" s="61"/>
      <c r="BS809" s="4"/>
      <c r="BT809" s="57" t="e">
        <f t="shared" si="46"/>
        <v>#VALUE!</v>
      </c>
      <c r="BU809" s="62"/>
      <c r="BV809" s="8" t="e">
        <v>#VALUE!</v>
      </c>
      <c r="BW809" s="58" t="e">
        <f>VLOOKUP(AQ809,'[1]Harga &amp; Nama CSO'!$A$28:$D$31,4,0)*BQ809</f>
        <v>#N/A</v>
      </c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44">
        <f>IFERROR(VLOOKUP(AQ811,'[2]Harga &amp; Nama CSO'!$A$116:$S$136,19,FALSE),0)*AV811</f>
        <v>0</v>
      </c>
      <c r="BO810" s="55" t="e">
        <f>IFERROR(VLOOKUP(AQ810,'[1]Harga &amp; Nama CSO'!$H$2:$N$22,2,FALSE),"")*AV810</f>
        <v>#VALUE!</v>
      </c>
      <c r="BP810" s="40"/>
      <c r="BQ810" s="4"/>
      <c r="BR810" s="61"/>
      <c r="BS810" s="4"/>
      <c r="BT810" s="57" t="e">
        <f t="shared" si="46"/>
        <v>#VALUE!</v>
      </c>
      <c r="BU810" s="62"/>
      <c r="BV810" s="8" t="e">
        <v>#VALUE!</v>
      </c>
      <c r="BW810" s="58" t="e">
        <f>VLOOKUP(AQ810,'[1]Harga &amp; Nama CSO'!$A$28:$D$31,4,0)*BQ810</f>
        <v>#N/A</v>
      </c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44">
        <f>IFERROR(VLOOKUP(AQ812,'[2]Harga &amp; Nama CSO'!$A$116:$S$136,19,FALSE),0)*AV812</f>
        <v>0</v>
      </c>
      <c r="BO811" s="55" t="e">
        <f>IFERROR(VLOOKUP(AQ811,'[1]Harga &amp; Nama CSO'!$H$2:$N$22,2,FALSE),"")*AV811</f>
        <v>#VALUE!</v>
      </c>
      <c r="BP811" s="40"/>
      <c r="BQ811" s="4"/>
      <c r="BR811" s="61"/>
      <c r="BS811" s="4"/>
      <c r="BT811" s="57" t="e">
        <f t="shared" si="46"/>
        <v>#VALUE!</v>
      </c>
      <c r="BU811" s="62"/>
      <c r="BV811" s="8" t="e">
        <v>#VALUE!</v>
      </c>
      <c r="BW811" s="58" t="e">
        <f>VLOOKUP(AQ811,'[1]Harga &amp; Nama CSO'!$A$28:$D$31,4,0)*BQ811</f>
        <v>#N/A</v>
      </c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44">
        <f>IFERROR(VLOOKUP(AQ813,'[2]Harga &amp; Nama CSO'!$A$116:$S$136,19,FALSE),0)*AV813</f>
        <v>0</v>
      </c>
      <c r="BO812" s="55" t="e">
        <f>IFERROR(VLOOKUP(AQ812,'[1]Harga &amp; Nama CSO'!$H$2:$N$22,2,FALSE),"")*AV812</f>
        <v>#VALUE!</v>
      </c>
      <c r="BP812" s="40"/>
      <c r="BQ812" s="4"/>
      <c r="BR812" s="61"/>
      <c r="BS812" s="4"/>
      <c r="BT812" s="57" t="e">
        <f t="shared" si="46"/>
        <v>#VALUE!</v>
      </c>
      <c r="BU812" s="62"/>
      <c r="BV812" s="8" t="e">
        <v>#VALUE!</v>
      </c>
      <c r="BW812" s="58" t="e">
        <f>VLOOKUP(AQ812,'[1]Harga &amp; Nama CSO'!$A$28:$D$31,4,0)*BQ812</f>
        <v>#N/A</v>
      </c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44">
        <f>IFERROR(VLOOKUP(AQ814,'[2]Harga &amp; Nama CSO'!$A$116:$S$136,19,FALSE),0)*AV814</f>
        <v>0</v>
      </c>
      <c r="BO813" s="55" t="e">
        <f>IFERROR(VLOOKUP(AQ813,'[1]Harga &amp; Nama CSO'!$H$2:$N$22,2,FALSE),"")*AV813</f>
        <v>#VALUE!</v>
      </c>
      <c r="BP813" s="40"/>
      <c r="BQ813" s="4"/>
      <c r="BR813" s="61"/>
      <c r="BS813" s="4"/>
      <c r="BT813" s="57" t="e">
        <f t="shared" si="46"/>
        <v>#VALUE!</v>
      </c>
      <c r="BU813" s="62"/>
      <c r="BV813" s="8" t="e">
        <v>#VALUE!</v>
      </c>
      <c r="BW813" s="58" t="e">
        <f>VLOOKUP(AQ813,'[1]Harga &amp; Nama CSO'!$A$28:$D$31,4,0)*BQ813</f>
        <v>#N/A</v>
      </c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44">
        <f>IFERROR(VLOOKUP(AQ815,'[2]Harga &amp; Nama CSO'!$A$116:$S$136,19,FALSE),0)*AV815</f>
        <v>0</v>
      </c>
      <c r="BO814" s="55" t="e">
        <f>IFERROR(VLOOKUP(AQ814,'[1]Harga &amp; Nama CSO'!$H$2:$N$22,2,FALSE),"")*AV814</f>
        <v>#VALUE!</v>
      </c>
      <c r="BP814" s="40"/>
      <c r="BQ814" s="4"/>
      <c r="BR814" s="61"/>
      <c r="BS814" s="4"/>
      <c r="BT814" s="57" t="e">
        <f t="shared" si="46"/>
        <v>#VALUE!</v>
      </c>
      <c r="BU814" s="62"/>
      <c r="BV814" s="8" t="e">
        <v>#VALUE!</v>
      </c>
      <c r="BW814" s="58" t="e">
        <f>VLOOKUP(AQ814,'[1]Harga &amp; Nama CSO'!$A$28:$D$31,4,0)*BQ814</f>
        <v>#N/A</v>
      </c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44">
        <f>IFERROR(VLOOKUP(AQ816,'[2]Harga &amp; Nama CSO'!$A$116:$S$136,19,FALSE),0)*AV816</f>
        <v>0</v>
      </c>
      <c r="BO815" s="55" t="e">
        <f>IFERROR(VLOOKUP(AQ815,'[1]Harga &amp; Nama CSO'!$H$2:$N$22,2,FALSE),"")*AV815</f>
        <v>#VALUE!</v>
      </c>
      <c r="BP815" s="40"/>
      <c r="BQ815" s="4"/>
      <c r="BR815" s="61"/>
      <c r="BS815" s="4"/>
      <c r="BT815" s="57" t="e">
        <f t="shared" si="46"/>
        <v>#VALUE!</v>
      </c>
      <c r="BU815" s="62"/>
      <c r="BV815" s="8" t="e">
        <v>#VALUE!</v>
      </c>
      <c r="BW815" s="58" t="e">
        <f>VLOOKUP(AQ815,'[1]Harga &amp; Nama CSO'!$A$28:$D$31,4,0)*BQ815</f>
        <v>#N/A</v>
      </c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44">
        <f>IFERROR(VLOOKUP(AQ817,'[2]Harga &amp; Nama CSO'!$A$116:$S$136,19,FALSE),0)*AV817</f>
        <v>0</v>
      </c>
      <c r="BO816" s="55" t="e">
        <f>IFERROR(VLOOKUP(AQ816,'[1]Harga &amp; Nama CSO'!$H$2:$N$22,2,FALSE),"")*AV816</f>
        <v>#VALUE!</v>
      </c>
      <c r="BP816" s="40"/>
      <c r="BQ816" s="4"/>
      <c r="BR816" s="61"/>
      <c r="BS816" s="4"/>
      <c r="BT816" s="57" t="e">
        <f t="shared" si="46"/>
        <v>#VALUE!</v>
      </c>
      <c r="BU816" s="62"/>
      <c r="BV816" s="8" t="e">
        <v>#VALUE!</v>
      </c>
      <c r="BW816" s="58" t="e">
        <f>VLOOKUP(AQ816,'[1]Harga &amp; Nama CSO'!$A$28:$D$31,4,0)*BQ816</f>
        <v>#N/A</v>
      </c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44">
        <f>IFERROR(VLOOKUP(AQ818,'[2]Harga &amp; Nama CSO'!$A$116:$S$136,19,FALSE),0)*AV818</f>
        <v>0</v>
      </c>
      <c r="BO817" s="55" t="e">
        <f>IFERROR(VLOOKUP(AQ817,'[1]Harga &amp; Nama CSO'!$H$2:$N$22,2,FALSE),"")*AV817</f>
        <v>#VALUE!</v>
      </c>
      <c r="BP817" s="40"/>
      <c r="BQ817" s="4"/>
      <c r="BR817" s="61"/>
      <c r="BS817" s="4"/>
      <c r="BT817" s="57" t="e">
        <f t="shared" si="46"/>
        <v>#VALUE!</v>
      </c>
      <c r="BU817" s="62"/>
      <c r="BV817" s="8" t="e">
        <v>#VALUE!</v>
      </c>
      <c r="BW817" s="58" t="e">
        <f>VLOOKUP(AQ817,'[1]Harga &amp; Nama CSO'!$A$28:$D$31,4,0)*BQ817</f>
        <v>#N/A</v>
      </c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44">
        <f>IFERROR(VLOOKUP(AQ819,'[2]Harga &amp; Nama CSO'!$A$116:$S$136,19,FALSE),0)*AV819</f>
        <v>0</v>
      </c>
      <c r="BO818" s="55" t="e">
        <f>IFERROR(VLOOKUP(AQ818,'[1]Harga &amp; Nama CSO'!$H$2:$N$22,2,FALSE),"")*AV818</f>
        <v>#VALUE!</v>
      </c>
      <c r="BP818" s="40"/>
      <c r="BQ818" s="4"/>
      <c r="BR818" s="61"/>
      <c r="BS818" s="4"/>
      <c r="BT818" s="57" t="e">
        <f t="shared" si="46"/>
        <v>#VALUE!</v>
      </c>
      <c r="BU818" s="62"/>
      <c r="BV818" s="8" t="e">
        <v>#VALUE!</v>
      </c>
      <c r="BW818" s="58" t="e">
        <f>VLOOKUP(AQ818,'[1]Harga &amp; Nama CSO'!$A$28:$D$31,4,0)*BQ818</f>
        <v>#N/A</v>
      </c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44">
        <f>IFERROR(VLOOKUP(AQ820,'[2]Harga &amp; Nama CSO'!$A$116:$S$136,19,FALSE),0)*AV820</f>
        <v>0</v>
      </c>
      <c r="BO819" s="55" t="e">
        <f>IFERROR(VLOOKUP(AQ819,'[1]Harga &amp; Nama CSO'!$H$2:$N$22,2,FALSE),"")*AV819</f>
        <v>#VALUE!</v>
      </c>
      <c r="BP819" s="40"/>
      <c r="BQ819" s="4"/>
      <c r="BR819" s="61"/>
      <c r="BS819" s="4"/>
      <c r="BT819" s="57" t="e">
        <f t="shared" si="46"/>
        <v>#VALUE!</v>
      </c>
      <c r="BU819" s="62"/>
      <c r="BV819" s="8" t="e">
        <v>#VALUE!</v>
      </c>
      <c r="BW819" s="58" t="e">
        <f>VLOOKUP(AQ819,'[1]Harga &amp; Nama CSO'!$A$28:$D$31,4,0)*BQ819</f>
        <v>#N/A</v>
      </c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44">
        <f>IFERROR(VLOOKUP(AQ821,'[2]Harga &amp; Nama CSO'!$A$116:$S$136,19,FALSE),0)*AV821</f>
        <v>0</v>
      </c>
      <c r="BO820" s="55" t="e">
        <f>IFERROR(VLOOKUP(AQ820,'[1]Harga &amp; Nama CSO'!$H$2:$N$22,2,FALSE),"")*AV820</f>
        <v>#VALUE!</v>
      </c>
      <c r="BP820" s="40"/>
      <c r="BQ820" s="4"/>
      <c r="BR820" s="61"/>
      <c r="BS820" s="4"/>
      <c r="BT820" s="57" t="e">
        <f t="shared" si="46"/>
        <v>#VALUE!</v>
      </c>
      <c r="BU820" s="62"/>
      <c r="BV820" s="8" t="e">
        <v>#VALUE!</v>
      </c>
      <c r="BW820" s="58" t="e">
        <f>VLOOKUP(AQ820,'[1]Harga &amp; Nama CSO'!$A$28:$D$31,4,0)*BQ820</f>
        <v>#N/A</v>
      </c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44">
        <f>IFERROR(VLOOKUP(AQ822,'[2]Harga &amp; Nama CSO'!$A$116:$S$136,19,FALSE),0)*AV822</f>
        <v>0</v>
      </c>
      <c r="BO821" s="55" t="e">
        <f>IFERROR(VLOOKUP(AQ821,'[1]Harga &amp; Nama CSO'!$H$2:$N$22,2,FALSE),"")*AV821</f>
        <v>#VALUE!</v>
      </c>
      <c r="BP821" s="40"/>
      <c r="BQ821" s="4"/>
      <c r="BR821" s="61"/>
      <c r="BS821" s="4"/>
      <c r="BT821" s="57" t="e">
        <f t="shared" si="46"/>
        <v>#VALUE!</v>
      </c>
      <c r="BU821" s="62"/>
      <c r="BV821" s="8" t="e">
        <v>#VALUE!</v>
      </c>
      <c r="BW821" s="58" t="e">
        <f>VLOOKUP(AQ821,'[1]Harga &amp; Nama CSO'!$A$28:$D$31,4,0)*BQ821</f>
        <v>#N/A</v>
      </c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44">
        <f>IFERROR(VLOOKUP(AQ823,'[2]Harga &amp; Nama CSO'!$A$116:$S$136,19,FALSE),0)*AV823</f>
        <v>0</v>
      </c>
      <c r="BO822" s="55" t="e">
        <f>IFERROR(VLOOKUP(AQ822,'[1]Harga &amp; Nama CSO'!$H$2:$N$22,2,FALSE),"")*AV822</f>
        <v>#VALUE!</v>
      </c>
      <c r="BP822" s="40"/>
      <c r="BQ822" s="4"/>
      <c r="BR822" s="61"/>
      <c r="BS822" s="4"/>
      <c r="BT822" s="57" t="e">
        <f t="shared" si="46"/>
        <v>#VALUE!</v>
      </c>
      <c r="BU822" s="62"/>
      <c r="BV822" s="8" t="e">
        <v>#VALUE!</v>
      </c>
      <c r="BW822" s="58" t="e">
        <f>VLOOKUP(AQ822,'[1]Harga &amp; Nama CSO'!$A$28:$D$31,4,0)*BQ822</f>
        <v>#N/A</v>
      </c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44">
        <f>IFERROR(VLOOKUP(AQ824,'[2]Harga &amp; Nama CSO'!$A$116:$S$136,19,FALSE),0)*AV824</f>
        <v>0</v>
      </c>
      <c r="BO823" s="55" t="e">
        <f>IFERROR(VLOOKUP(AQ823,'[1]Harga &amp; Nama CSO'!$H$2:$N$22,2,FALSE),"")*AV823</f>
        <v>#VALUE!</v>
      </c>
      <c r="BP823" s="40"/>
      <c r="BQ823" s="4"/>
      <c r="BR823" s="61"/>
      <c r="BS823" s="4"/>
      <c r="BT823" s="57" t="e">
        <f t="shared" si="46"/>
        <v>#VALUE!</v>
      </c>
      <c r="BU823" s="62"/>
      <c r="BV823" s="8" t="e">
        <v>#VALUE!</v>
      </c>
      <c r="BW823" s="58" t="e">
        <f>VLOOKUP(AQ823,'[1]Harga &amp; Nama CSO'!$A$28:$D$31,4,0)*BQ823</f>
        <v>#N/A</v>
      </c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44">
        <f>IFERROR(VLOOKUP(AQ825,'[2]Harga &amp; Nama CSO'!$A$116:$S$136,19,FALSE),0)*AV825</f>
        <v>0</v>
      </c>
      <c r="BO824" s="55" t="e">
        <f>IFERROR(VLOOKUP(AQ824,'[1]Harga &amp; Nama CSO'!$H$2:$N$22,2,FALSE),"")*AV824</f>
        <v>#VALUE!</v>
      </c>
      <c r="BP824" s="40"/>
      <c r="BQ824" s="4"/>
      <c r="BR824" s="61"/>
      <c r="BS824" s="4"/>
      <c r="BT824" s="57" t="e">
        <f t="shared" si="46"/>
        <v>#VALUE!</v>
      </c>
      <c r="BU824" s="62"/>
      <c r="BV824" s="8" t="e">
        <v>#VALUE!</v>
      </c>
      <c r="BW824" s="58" t="e">
        <f>VLOOKUP(AQ824,'[1]Harga &amp; Nama CSO'!$A$28:$D$31,4,0)*BQ824</f>
        <v>#N/A</v>
      </c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44">
        <f>IFERROR(VLOOKUP(AQ826,'[2]Harga &amp; Nama CSO'!$A$116:$S$136,19,FALSE),0)*AV826</f>
        <v>0</v>
      </c>
      <c r="BO825" s="55" t="e">
        <f>IFERROR(VLOOKUP(AQ825,'[1]Harga &amp; Nama CSO'!$H$2:$N$22,2,FALSE),"")*AV825</f>
        <v>#VALUE!</v>
      </c>
      <c r="BP825" s="40"/>
      <c r="BQ825" s="4"/>
      <c r="BR825" s="61"/>
      <c r="BS825" s="4"/>
      <c r="BT825" s="57" t="e">
        <f t="shared" si="46"/>
        <v>#VALUE!</v>
      </c>
      <c r="BU825" s="62"/>
      <c r="BV825" s="8" t="e">
        <v>#VALUE!</v>
      </c>
      <c r="BW825" s="58" t="e">
        <f>VLOOKUP(AQ825,'[1]Harga &amp; Nama CSO'!$A$28:$D$31,4,0)*BQ825</f>
        <v>#N/A</v>
      </c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44">
        <f>IFERROR(VLOOKUP(AQ827,'[2]Harga &amp; Nama CSO'!$A$116:$S$136,19,FALSE),0)*AV827</f>
        <v>0</v>
      </c>
      <c r="BO826" s="55" t="e">
        <f>IFERROR(VLOOKUP(AQ826,'[1]Harga &amp; Nama CSO'!$H$2:$N$22,2,FALSE),"")*AV826</f>
        <v>#VALUE!</v>
      </c>
      <c r="BP826" s="40"/>
      <c r="BQ826" s="4"/>
      <c r="BR826" s="61"/>
      <c r="BS826" s="4"/>
      <c r="BT826" s="57" t="e">
        <f t="shared" si="46"/>
        <v>#VALUE!</v>
      </c>
      <c r="BU826" s="62"/>
      <c r="BV826" s="8" t="e">
        <v>#VALUE!</v>
      </c>
      <c r="BW826" s="58" t="e">
        <f>VLOOKUP(AQ826,'[1]Harga &amp; Nama CSO'!$A$28:$D$31,4,0)*BQ826</f>
        <v>#N/A</v>
      </c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44">
        <f>IFERROR(VLOOKUP(AQ828,'[2]Harga &amp; Nama CSO'!$A$116:$S$136,19,FALSE),0)*AV828</f>
        <v>0</v>
      </c>
      <c r="BO827" s="55" t="e">
        <f>IFERROR(VLOOKUP(AQ827,'[1]Harga &amp; Nama CSO'!$H$2:$N$22,2,FALSE),"")*AV827</f>
        <v>#VALUE!</v>
      </c>
      <c r="BP827" s="40"/>
      <c r="BQ827" s="4"/>
      <c r="BR827" s="61"/>
      <c r="BS827" s="4"/>
      <c r="BT827" s="57" t="e">
        <f t="shared" si="46"/>
        <v>#VALUE!</v>
      </c>
      <c r="BU827" s="62"/>
      <c r="BV827" s="8" t="e">
        <v>#VALUE!</v>
      </c>
      <c r="BW827" s="58" t="e">
        <f>VLOOKUP(AQ827,'[1]Harga &amp; Nama CSO'!$A$28:$D$31,4,0)*BQ827</f>
        <v>#N/A</v>
      </c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44">
        <f>IFERROR(VLOOKUP(AQ829,'[2]Harga &amp; Nama CSO'!$A$116:$S$136,19,FALSE),0)*AV829</f>
        <v>0</v>
      </c>
      <c r="BO828" s="55" t="e">
        <f>IFERROR(VLOOKUP(AQ828,'[1]Harga &amp; Nama CSO'!$H$2:$N$22,2,FALSE),"")*AV828</f>
        <v>#VALUE!</v>
      </c>
      <c r="BP828" s="40"/>
      <c r="BQ828" s="4"/>
      <c r="BR828" s="61"/>
      <c r="BS828" s="4"/>
      <c r="BT828" s="57" t="e">
        <f t="shared" si="46"/>
        <v>#VALUE!</v>
      </c>
      <c r="BU828" s="62"/>
      <c r="BV828" s="8" t="e">
        <v>#VALUE!</v>
      </c>
      <c r="BW828" s="58" t="e">
        <f>VLOOKUP(AQ828,'[1]Harga &amp; Nama CSO'!$A$28:$D$31,4,0)*BQ828</f>
        <v>#N/A</v>
      </c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44">
        <f>IFERROR(VLOOKUP(AQ830,'[2]Harga &amp; Nama CSO'!$A$116:$S$136,19,FALSE),0)*AV830</f>
        <v>0</v>
      </c>
      <c r="BO829" s="55" t="e">
        <f>IFERROR(VLOOKUP(AQ829,'[1]Harga &amp; Nama CSO'!$H$2:$N$22,2,FALSE),"")*AV829</f>
        <v>#VALUE!</v>
      </c>
      <c r="BP829" s="40"/>
      <c r="BQ829" s="4"/>
      <c r="BR829" s="61"/>
      <c r="BS829" s="4"/>
      <c r="BT829" s="57" t="e">
        <f t="shared" si="46"/>
        <v>#VALUE!</v>
      </c>
      <c r="BU829" s="62"/>
      <c r="BV829" s="8" t="e">
        <v>#VALUE!</v>
      </c>
      <c r="BW829" s="58" t="e">
        <f>VLOOKUP(AQ829,'[1]Harga &amp; Nama CSO'!$A$28:$D$31,4,0)*BQ829</f>
        <v>#N/A</v>
      </c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44">
        <f>IFERROR(VLOOKUP(AQ831,'[2]Harga &amp; Nama CSO'!$A$116:$S$136,19,FALSE),0)*AV831</f>
        <v>0</v>
      </c>
      <c r="BO830" s="55" t="e">
        <f>IFERROR(VLOOKUP(AQ830,'[1]Harga &amp; Nama CSO'!$H$2:$N$22,2,FALSE),"")*AV830</f>
        <v>#VALUE!</v>
      </c>
      <c r="BP830" s="40"/>
      <c r="BQ830" s="4"/>
      <c r="BR830" s="61"/>
      <c r="BS830" s="4"/>
      <c r="BT830" s="57" t="e">
        <f t="shared" si="46"/>
        <v>#VALUE!</v>
      </c>
      <c r="BU830" s="62"/>
      <c r="BV830" s="8" t="e">
        <v>#VALUE!</v>
      </c>
      <c r="BW830" s="58" t="e">
        <f>VLOOKUP(AQ830,'[1]Harga &amp; Nama CSO'!$A$28:$D$31,4,0)*BQ830</f>
        <v>#N/A</v>
      </c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44">
        <f>IFERROR(VLOOKUP(AQ832,'[2]Harga &amp; Nama CSO'!$A$116:$S$136,19,FALSE),0)*AV832</f>
        <v>0</v>
      </c>
      <c r="BO831" s="55" t="e">
        <f>IFERROR(VLOOKUP(AQ831,'[1]Harga &amp; Nama CSO'!$H$2:$N$22,2,FALSE),"")*AV831</f>
        <v>#VALUE!</v>
      </c>
      <c r="BP831" s="40"/>
      <c r="BQ831" s="4"/>
      <c r="BR831" s="61"/>
      <c r="BS831" s="4"/>
      <c r="BT831" s="57" t="e">
        <f t="shared" si="46"/>
        <v>#VALUE!</v>
      </c>
      <c r="BU831" s="62"/>
      <c r="BV831" s="8" t="e">
        <v>#VALUE!</v>
      </c>
      <c r="BW831" s="58" t="e">
        <f>VLOOKUP(AQ831,'[1]Harga &amp; Nama CSO'!$A$28:$D$31,4,0)*BQ831</f>
        <v>#N/A</v>
      </c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44">
        <f>IFERROR(VLOOKUP(AQ833,'[2]Harga &amp; Nama CSO'!$A$116:$S$136,19,FALSE),0)*AV833</f>
        <v>0</v>
      </c>
      <c r="BO832" s="55" t="e">
        <f>IFERROR(VLOOKUP(AQ832,'[1]Harga &amp; Nama CSO'!$H$2:$N$22,2,FALSE),"")*AV832</f>
        <v>#VALUE!</v>
      </c>
      <c r="BP832" s="40"/>
      <c r="BQ832" s="4"/>
      <c r="BR832" s="61"/>
      <c r="BS832" s="4"/>
      <c r="BT832" s="57" t="e">
        <f t="shared" si="46"/>
        <v>#VALUE!</v>
      </c>
      <c r="BU832" s="62"/>
      <c r="BV832" s="8" t="e">
        <v>#VALUE!</v>
      </c>
      <c r="BW832" s="58" t="e">
        <f>VLOOKUP(AQ832,'[1]Harga &amp; Nama CSO'!$A$28:$D$31,4,0)*BQ832</f>
        <v>#N/A</v>
      </c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44">
        <f>IFERROR(VLOOKUP(AQ834,'[2]Harga &amp; Nama CSO'!$A$116:$S$136,19,FALSE),0)*AV834</f>
        <v>0</v>
      </c>
      <c r="BO833" s="55" t="e">
        <f>IFERROR(VLOOKUP(AQ833,'[1]Harga &amp; Nama CSO'!$H$2:$N$22,2,FALSE),"")*AV833</f>
        <v>#VALUE!</v>
      </c>
      <c r="BP833" s="40"/>
      <c r="BQ833" s="4"/>
      <c r="BR833" s="61"/>
      <c r="BS833" s="4"/>
      <c r="BT833" s="57" t="e">
        <f t="shared" si="46"/>
        <v>#VALUE!</v>
      </c>
      <c r="BU833" s="62"/>
      <c r="BV833" s="8" t="e">
        <v>#VALUE!</v>
      </c>
      <c r="BW833" s="58" t="e">
        <f>VLOOKUP(AQ833,'[1]Harga &amp; Nama CSO'!$A$28:$D$31,4,0)*BQ833</f>
        <v>#N/A</v>
      </c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44">
        <f>IFERROR(VLOOKUP(AQ835,'[2]Harga &amp; Nama CSO'!$A$116:$S$136,19,FALSE),0)*AV835</f>
        <v>0</v>
      </c>
      <c r="BO834" s="55" t="e">
        <f>IFERROR(VLOOKUP(AQ834,'[1]Harga &amp; Nama CSO'!$H$2:$N$22,2,FALSE),"")*AV834</f>
        <v>#VALUE!</v>
      </c>
      <c r="BP834" s="40"/>
      <c r="BQ834" s="4"/>
      <c r="BR834" s="61"/>
      <c r="BS834" s="4"/>
      <c r="BT834" s="57" t="e">
        <f t="shared" si="46"/>
        <v>#VALUE!</v>
      </c>
      <c r="BU834" s="62"/>
      <c r="BV834" s="8" t="e">
        <v>#VALUE!</v>
      </c>
      <c r="BW834" s="58" t="e">
        <f>VLOOKUP(AQ834,'[1]Harga &amp; Nama CSO'!$A$28:$D$31,4,0)*BQ834</f>
        <v>#N/A</v>
      </c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44">
        <f>IFERROR(VLOOKUP(AQ836,'[2]Harga &amp; Nama CSO'!$A$116:$S$136,19,FALSE),0)*AV836</f>
        <v>0</v>
      </c>
      <c r="BO835" s="55" t="e">
        <f>IFERROR(VLOOKUP(AQ835,'[1]Harga &amp; Nama CSO'!$H$2:$N$22,2,FALSE),"")*AV835</f>
        <v>#VALUE!</v>
      </c>
      <c r="BP835" s="40"/>
      <c r="BQ835" s="4"/>
      <c r="BR835" s="61"/>
      <c r="BS835" s="4"/>
      <c r="BT835" s="57" t="e">
        <f t="shared" ref="BT835:BT898" si="47">BO835-BR835</f>
        <v>#VALUE!</v>
      </c>
      <c r="BU835" s="62"/>
      <c r="BV835" s="8" t="e">
        <v>#VALUE!</v>
      </c>
      <c r="BW835" s="58" t="e">
        <f>VLOOKUP(AQ835,'[1]Harga &amp; Nama CSO'!$A$28:$D$31,4,0)*BQ835</f>
        <v>#N/A</v>
      </c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44">
        <f>IFERROR(VLOOKUP(AQ837,'[2]Harga &amp; Nama CSO'!$A$116:$S$136,19,FALSE),0)*AV837</f>
        <v>0</v>
      </c>
      <c r="BO836" s="55" t="e">
        <f>IFERROR(VLOOKUP(AQ836,'[1]Harga &amp; Nama CSO'!$H$2:$N$22,2,FALSE),"")*AV836</f>
        <v>#VALUE!</v>
      </c>
      <c r="BP836" s="40"/>
      <c r="BQ836" s="4"/>
      <c r="BR836" s="61"/>
      <c r="BS836" s="4"/>
      <c r="BT836" s="57" t="e">
        <f t="shared" si="47"/>
        <v>#VALUE!</v>
      </c>
      <c r="BU836" s="62"/>
      <c r="BV836" s="8" t="e">
        <v>#VALUE!</v>
      </c>
      <c r="BW836" s="58" t="e">
        <f>VLOOKUP(AQ836,'[1]Harga &amp; Nama CSO'!$A$28:$D$31,4,0)*BQ836</f>
        <v>#N/A</v>
      </c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44">
        <f>IFERROR(VLOOKUP(AQ838,'[2]Harga &amp; Nama CSO'!$A$116:$S$136,19,FALSE),0)*AV838</f>
        <v>0</v>
      </c>
      <c r="BO837" s="55" t="e">
        <f>IFERROR(VLOOKUP(AQ837,'[1]Harga &amp; Nama CSO'!$H$2:$N$22,2,FALSE),"")*AV837</f>
        <v>#VALUE!</v>
      </c>
      <c r="BP837" s="40"/>
      <c r="BQ837" s="4"/>
      <c r="BR837" s="61"/>
      <c r="BS837" s="4"/>
      <c r="BT837" s="57" t="e">
        <f t="shared" si="47"/>
        <v>#VALUE!</v>
      </c>
      <c r="BU837" s="62"/>
      <c r="BV837" s="8" t="e">
        <v>#VALUE!</v>
      </c>
      <c r="BW837" s="58" t="e">
        <f>VLOOKUP(AQ837,'[1]Harga &amp; Nama CSO'!$A$28:$D$31,4,0)*BQ837</f>
        <v>#N/A</v>
      </c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44">
        <f>IFERROR(VLOOKUP(AQ839,'[2]Harga &amp; Nama CSO'!$A$116:$S$136,19,FALSE),0)*AV839</f>
        <v>0</v>
      </c>
      <c r="BO838" s="55" t="e">
        <f>IFERROR(VLOOKUP(AQ838,'[1]Harga &amp; Nama CSO'!$H$2:$N$22,2,FALSE),"")*AV838</f>
        <v>#VALUE!</v>
      </c>
      <c r="BP838" s="40"/>
      <c r="BQ838" s="4"/>
      <c r="BR838" s="61"/>
      <c r="BS838" s="4"/>
      <c r="BT838" s="57" t="e">
        <f t="shared" si="47"/>
        <v>#VALUE!</v>
      </c>
      <c r="BU838" s="62"/>
      <c r="BV838" s="8" t="e">
        <v>#VALUE!</v>
      </c>
      <c r="BW838" s="58" t="e">
        <f>VLOOKUP(AQ838,'[1]Harga &amp; Nama CSO'!$A$28:$D$31,4,0)*BQ838</f>
        <v>#N/A</v>
      </c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44">
        <f>IFERROR(VLOOKUP(AQ840,'[2]Harga &amp; Nama CSO'!$A$116:$S$136,19,FALSE),0)*AV840</f>
        <v>0</v>
      </c>
      <c r="BO839" s="55" t="e">
        <f>IFERROR(VLOOKUP(AQ839,'[1]Harga &amp; Nama CSO'!$H$2:$N$22,2,FALSE),"")*AV839</f>
        <v>#VALUE!</v>
      </c>
      <c r="BP839" s="40"/>
      <c r="BQ839" s="4"/>
      <c r="BR839" s="61"/>
      <c r="BS839" s="4"/>
      <c r="BT839" s="57" t="e">
        <f t="shared" si="47"/>
        <v>#VALUE!</v>
      </c>
      <c r="BU839" s="62"/>
      <c r="BV839" s="8" t="e">
        <v>#VALUE!</v>
      </c>
      <c r="BW839" s="58" t="e">
        <f>VLOOKUP(AQ839,'[1]Harga &amp; Nama CSO'!$A$28:$D$31,4,0)*BQ839</f>
        <v>#N/A</v>
      </c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44">
        <f>IFERROR(VLOOKUP(AQ841,'[2]Harga &amp; Nama CSO'!$A$116:$S$136,19,FALSE),0)*AV841</f>
        <v>0</v>
      </c>
      <c r="BO840" s="55" t="e">
        <f>IFERROR(VLOOKUP(AQ840,'[1]Harga &amp; Nama CSO'!$H$2:$N$22,2,FALSE),"")*AV840</f>
        <v>#VALUE!</v>
      </c>
      <c r="BP840" s="40"/>
      <c r="BQ840" s="4"/>
      <c r="BR840" s="61"/>
      <c r="BS840" s="4"/>
      <c r="BT840" s="57" t="e">
        <f t="shared" si="47"/>
        <v>#VALUE!</v>
      </c>
      <c r="BU840" s="62"/>
      <c r="BV840" s="8" t="e">
        <v>#VALUE!</v>
      </c>
      <c r="BW840" s="58" t="e">
        <f>VLOOKUP(AQ840,'[1]Harga &amp; Nama CSO'!$A$28:$D$31,4,0)*BQ840</f>
        <v>#N/A</v>
      </c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44">
        <f>IFERROR(VLOOKUP(AQ842,'[2]Harga &amp; Nama CSO'!$A$116:$S$136,19,FALSE),0)*AV842</f>
        <v>0</v>
      </c>
      <c r="BO841" s="55" t="e">
        <f>IFERROR(VLOOKUP(AQ841,'[1]Harga &amp; Nama CSO'!$H$2:$N$22,2,FALSE),"")*AV841</f>
        <v>#VALUE!</v>
      </c>
      <c r="BP841" s="40"/>
      <c r="BQ841" s="4"/>
      <c r="BR841" s="61"/>
      <c r="BS841" s="4"/>
      <c r="BT841" s="57" t="e">
        <f t="shared" si="47"/>
        <v>#VALUE!</v>
      </c>
      <c r="BU841" s="62"/>
      <c r="BV841" s="8" t="e">
        <v>#VALUE!</v>
      </c>
      <c r="BW841" s="58" t="e">
        <f>VLOOKUP(AQ841,'[1]Harga &amp; Nama CSO'!$A$28:$D$31,4,0)*BQ841</f>
        <v>#N/A</v>
      </c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44">
        <f>IFERROR(VLOOKUP(AQ843,'[2]Harga &amp; Nama CSO'!$A$116:$S$136,19,FALSE),0)*AV843</f>
        <v>0</v>
      </c>
      <c r="BO842" s="55" t="e">
        <f>IFERROR(VLOOKUP(AQ842,'[1]Harga &amp; Nama CSO'!$H$2:$N$22,2,FALSE),"")*AV842</f>
        <v>#VALUE!</v>
      </c>
      <c r="BP842" s="40"/>
      <c r="BQ842" s="4"/>
      <c r="BR842" s="61"/>
      <c r="BS842" s="4"/>
      <c r="BT842" s="57" t="e">
        <f t="shared" si="47"/>
        <v>#VALUE!</v>
      </c>
      <c r="BU842" s="62"/>
      <c r="BV842" s="8" t="e">
        <v>#VALUE!</v>
      </c>
      <c r="BW842" s="58" t="e">
        <f>VLOOKUP(AQ842,'[1]Harga &amp; Nama CSO'!$A$28:$D$31,4,0)*BQ842</f>
        <v>#N/A</v>
      </c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44">
        <f>IFERROR(VLOOKUP(AQ844,'[2]Harga &amp; Nama CSO'!$A$116:$S$136,19,FALSE),0)*AV844</f>
        <v>0</v>
      </c>
      <c r="BO843" s="55" t="e">
        <f>IFERROR(VLOOKUP(AQ843,'[1]Harga &amp; Nama CSO'!$H$2:$N$22,2,FALSE),"")*AV843</f>
        <v>#VALUE!</v>
      </c>
      <c r="BP843" s="40"/>
      <c r="BQ843" s="4"/>
      <c r="BR843" s="61"/>
      <c r="BS843" s="4"/>
      <c r="BT843" s="57" t="e">
        <f t="shared" si="47"/>
        <v>#VALUE!</v>
      </c>
      <c r="BU843" s="62"/>
      <c r="BV843" s="8" t="e">
        <v>#VALUE!</v>
      </c>
      <c r="BW843" s="58" t="e">
        <f>VLOOKUP(AQ843,'[1]Harga &amp; Nama CSO'!$A$28:$D$31,4,0)*BQ843</f>
        <v>#N/A</v>
      </c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44">
        <f>IFERROR(VLOOKUP(AQ845,'[2]Harga &amp; Nama CSO'!$A$116:$S$136,19,FALSE),0)*AV845</f>
        <v>0</v>
      </c>
      <c r="BO844" s="55" t="e">
        <f>IFERROR(VLOOKUP(AQ844,'[1]Harga &amp; Nama CSO'!$H$2:$N$22,2,FALSE),"")*AV844</f>
        <v>#VALUE!</v>
      </c>
      <c r="BP844" s="40"/>
      <c r="BQ844" s="4"/>
      <c r="BR844" s="61"/>
      <c r="BS844" s="4"/>
      <c r="BT844" s="57" t="e">
        <f t="shared" si="47"/>
        <v>#VALUE!</v>
      </c>
      <c r="BU844" s="62"/>
      <c r="BV844" s="8" t="e">
        <v>#VALUE!</v>
      </c>
      <c r="BW844" s="58" t="e">
        <f>VLOOKUP(AQ844,'[1]Harga &amp; Nama CSO'!$A$28:$D$31,4,0)*BQ844</f>
        <v>#N/A</v>
      </c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44">
        <f>IFERROR(VLOOKUP(AQ846,'[2]Harga &amp; Nama CSO'!$A$116:$S$136,19,FALSE),0)*AV846</f>
        <v>0</v>
      </c>
      <c r="BO845" s="55" t="e">
        <f>IFERROR(VLOOKUP(AQ845,'[1]Harga &amp; Nama CSO'!$H$2:$N$22,2,FALSE),"")*AV845</f>
        <v>#VALUE!</v>
      </c>
      <c r="BP845" s="40"/>
      <c r="BQ845" s="4"/>
      <c r="BR845" s="61"/>
      <c r="BS845" s="4"/>
      <c r="BT845" s="57" t="e">
        <f t="shared" si="47"/>
        <v>#VALUE!</v>
      </c>
      <c r="BU845" s="62"/>
      <c r="BV845" s="8" t="e">
        <v>#VALUE!</v>
      </c>
      <c r="BW845" s="58" t="e">
        <f>VLOOKUP(AQ845,'[1]Harga &amp; Nama CSO'!$A$28:$D$31,4,0)*BQ845</f>
        <v>#N/A</v>
      </c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44">
        <f>IFERROR(VLOOKUP(AQ847,'[2]Harga &amp; Nama CSO'!$A$116:$S$136,19,FALSE),0)*AV847</f>
        <v>0</v>
      </c>
      <c r="BO846" s="55" t="e">
        <f>IFERROR(VLOOKUP(AQ846,'[1]Harga &amp; Nama CSO'!$H$2:$N$22,2,FALSE),"")*AV846</f>
        <v>#VALUE!</v>
      </c>
      <c r="BP846" s="40"/>
      <c r="BQ846" s="4"/>
      <c r="BR846" s="61"/>
      <c r="BS846" s="4"/>
      <c r="BT846" s="57" t="e">
        <f t="shared" si="47"/>
        <v>#VALUE!</v>
      </c>
      <c r="BU846" s="62"/>
      <c r="BV846" s="8" t="e">
        <v>#VALUE!</v>
      </c>
      <c r="BW846" s="58" t="e">
        <f>VLOOKUP(AQ846,'[1]Harga &amp; Nama CSO'!$A$28:$D$31,4,0)*BQ846</f>
        <v>#N/A</v>
      </c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44">
        <f>IFERROR(VLOOKUP(AQ848,'[2]Harga &amp; Nama CSO'!$A$116:$S$136,19,FALSE),0)*AV848</f>
        <v>0</v>
      </c>
      <c r="BO847" s="55" t="e">
        <f>IFERROR(VLOOKUP(AQ847,'[1]Harga &amp; Nama CSO'!$H$2:$N$22,2,FALSE),"")*AV847</f>
        <v>#VALUE!</v>
      </c>
      <c r="BP847" s="40"/>
      <c r="BQ847" s="4"/>
      <c r="BR847" s="61"/>
      <c r="BS847" s="4"/>
      <c r="BT847" s="57" t="e">
        <f t="shared" si="47"/>
        <v>#VALUE!</v>
      </c>
      <c r="BU847" s="62"/>
      <c r="BV847" s="8" t="e">
        <v>#VALUE!</v>
      </c>
      <c r="BW847" s="58" t="e">
        <f>VLOOKUP(AQ847,'[1]Harga &amp; Nama CSO'!$A$28:$D$31,4,0)*BQ847</f>
        <v>#N/A</v>
      </c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44">
        <f>IFERROR(VLOOKUP(AQ849,'[2]Harga &amp; Nama CSO'!$A$116:$S$136,19,FALSE),0)*AV849</f>
        <v>0</v>
      </c>
      <c r="BO848" s="55" t="e">
        <f>IFERROR(VLOOKUP(AQ848,'[1]Harga &amp; Nama CSO'!$H$2:$N$22,2,FALSE),"")*AV848</f>
        <v>#VALUE!</v>
      </c>
      <c r="BP848" s="40"/>
      <c r="BQ848" s="4"/>
      <c r="BR848" s="61"/>
      <c r="BS848" s="4"/>
      <c r="BT848" s="57" t="e">
        <f t="shared" si="47"/>
        <v>#VALUE!</v>
      </c>
      <c r="BU848" s="62"/>
      <c r="BV848" s="8" t="e">
        <v>#VALUE!</v>
      </c>
      <c r="BW848" s="58" t="e">
        <f>VLOOKUP(AQ848,'[1]Harga &amp; Nama CSO'!$A$28:$D$31,4,0)*BQ848</f>
        <v>#N/A</v>
      </c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44">
        <f>IFERROR(VLOOKUP(AQ850,'[2]Harga &amp; Nama CSO'!$A$116:$S$136,19,FALSE),0)*AV850</f>
        <v>0</v>
      </c>
      <c r="BO849" s="55" t="e">
        <f>IFERROR(VLOOKUP(AQ849,'[1]Harga &amp; Nama CSO'!$H$2:$N$22,2,FALSE),"")*AV849</f>
        <v>#VALUE!</v>
      </c>
      <c r="BP849" s="40"/>
      <c r="BQ849" s="4"/>
      <c r="BR849" s="61"/>
      <c r="BS849" s="4"/>
      <c r="BT849" s="57" t="e">
        <f t="shared" si="47"/>
        <v>#VALUE!</v>
      </c>
      <c r="BU849" s="62"/>
      <c r="BV849" s="8" t="e">
        <v>#VALUE!</v>
      </c>
      <c r="BW849" s="58" t="e">
        <f>VLOOKUP(AQ849,'[1]Harga &amp; Nama CSO'!$A$28:$D$31,4,0)*BQ849</f>
        <v>#N/A</v>
      </c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44">
        <f>IFERROR(VLOOKUP(AQ851,'[2]Harga &amp; Nama CSO'!$A$116:$S$136,19,FALSE),0)*AV851</f>
        <v>0</v>
      </c>
      <c r="BO850" s="55" t="e">
        <f>IFERROR(VLOOKUP(AQ850,'[1]Harga &amp; Nama CSO'!$H$2:$N$22,2,FALSE),"")*AV850</f>
        <v>#VALUE!</v>
      </c>
      <c r="BP850" s="40"/>
      <c r="BQ850" s="4"/>
      <c r="BR850" s="61"/>
      <c r="BS850" s="4"/>
      <c r="BT850" s="57" t="e">
        <f t="shared" si="47"/>
        <v>#VALUE!</v>
      </c>
      <c r="BU850" s="62"/>
      <c r="BV850" s="8" t="e">
        <v>#VALUE!</v>
      </c>
      <c r="BW850" s="58" t="e">
        <f>VLOOKUP(AQ850,'[1]Harga &amp; Nama CSO'!$A$28:$D$31,4,0)*BQ850</f>
        <v>#N/A</v>
      </c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44">
        <f>IFERROR(VLOOKUP(AQ852,'[2]Harga &amp; Nama CSO'!$A$116:$S$136,19,FALSE),0)*AV852</f>
        <v>0</v>
      </c>
      <c r="BO851" s="55" t="e">
        <f>IFERROR(VLOOKUP(AQ851,'[1]Harga &amp; Nama CSO'!$H$2:$N$22,2,FALSE),"")*AV851</f>
        <v>#VALUE!</v>
      </c>
      <c r="BP851" s="40"/>
      <c r="BQ851" s="4"/>
      <c r="BR851" s="61"/>
      <c r="BS851" s="4"/>
      <c r="BT851" s="57" t="e">
        <f t="shared" si="47"/>
        <v>#VALUE!</v>
      </c>
      <c r="BU851" s="62"/>
      <c r="BV851" s="8" t="e">
        <v>#VALUE!</v>
      </c>
      <c r="BW851" s="58" t="e">
        <f>VLOOKUP(AQ851,'[1]Harga &amp; Nama CSO'!$A$28:$D$31,4,0)*BQ851</f>
        <v>#N/A</v>
      </c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44">
        <f>IFERROR(VLOOKUP(AQ853,'[2]Harga &amp; Nama CSO'!$A$116:$S$136,19,FALSE),0)*AV853</f>
        <v>0</v>
      </c>
      <c r="BO852" s="55" t="e">
        <f>IFERROR(VLOOKUP(AQ852,'[1]Harga &amp; Nama CSO'!$H$2:$N$22,2,FALSE),"")*AV852</f>
        <v>#VALUE!</v>
      </c>
      <c r="BP852" s="40"/>
      <c r="BQ852" s="4"/>
      <c r="BR852" s="61"/>
      <c r="BS852" s="4"/>
      <c r="BT852" s="57" t="e">
        <f t="shared" si="47"/>
        <v>#VALUE!</v>
      </c>
      <c r="BU852" s="62"/>
      <c r="BV852" s="8" t="e">
        <v>#VALUE!</v>
      </c>
      <c r="BW852" s="58" t="e">
        <f>VLOOKUP(AQ852,'[1]Harga &amp; Nama CSO'!$A$28:$D$31,4,0)*BQ852</f>
        <v>#N/A</v>
      </c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44">
        <f>IFERROR(VLOOKUP(AQ854,'[2]Harga &amp; Nama CSO'!$A$116:$S$136,19,FALSE),0)*AV854</f>
        <v>0</v>
      </c>
      <c r="BO853" s="55" t="e">
        <f>IFERROR(VLOOKUP(AQ853,'[1]Harga &amp; Nama CSO'!$H$2:$N$22,2,FALSE),"")*AV853</f>
        <v>#VALUE!</v>
      </c>
      <c r="BP853" s="40"/>
      <c r="BQ853" s="4"/>
      <c r="BR853" s="61"/>
      <c r="BS853" s="4"/>
      <c r="BT853" s="57" t="e">
        <f t="shared" si="47"/>
        <v>#VALUE!</v>
      </c>
      <c r="BU853" s="62"/>
      <c r="BV853" s="8" t="e">
        <v>#VALUE!</v>
      </c>
      <c r="BW853" s="58" t="e">
        <f>VLOOKUP(AQ853,'[1]Harga &amp; Nama CSO'!$A$28:$D$31,4,0)*BQ853</f>
        <v>#N/A</v>
      </c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44">
        <f>IFERROR(VLOOKUP(AQ855,'[2]Harga &amp; Nama CSO'!$A$116:$S$136,19,FALSE),0)*AV855</f>
        <v>0</v>
      </c>
      <c r="BO854" s="55" t="e">
        <f>IFERROR(VLOOKUP(AQ854,'[1]Harga &amp; Nama CSO'!$H$2:$N$22,2,FALSE),"")*AV854</f>
        <v>#VALUE!</v>
      </c>
      <c r="BP854" s="40"/>
      <c r="BQ854" s="4"/>
      <c r="BR854" s="61"/>
      <c r="BS854" s="4"/>
      <c r="BT854" s="57" t="e">
        <f t="shared" si="47"/>
        <v>#VALUE!</v>
      </c>
      <c r="BU854" s="62"/>
      <c r="BV854" s="8" t="e">
        <v>#VALUE!</v>
      </c>
      <c r="BW854" s="58" t="e">
        <f>VLOOKUP(AQ854,'[1]Harga &amp; Nama CSO'!$A$28:$D$31,4,0)*BQ854</f>
        <v>#N/A</v>
      </c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44">
        <f>IFERROR(VLOOKUP(AQ856,'[2]Harga &amp; Nama CSO'!$A$116:$S$136,19,FALSE),0)*AV856</f>
        <v>0</v>
      </c>
      <c r="BO855" s="55" t="e">
        <f>IFERROR(VLOOKUP(AQ855,'[1]Harga &amp; Nama CSO'!$H$2:$N$22,2,FALSE),"")*AV855</f>
        <v>#VALUE!</v>
      </c>
      <c r="BP855" s="40"/>
      <c r="BQ855" s="4"/>
      <c r="BR855" s="61"/>
      <c r="BS855" s="4"/>
      <c r="BT855" s="57" t="e">
        <f t="shared" si="47"/>
        <v>#VALUE!</v>
      </c>
      <c r="BU855" s="62"/>
      <c r="BV855" s="8" t="e">
        <v>#VALUE!</v>
      </c>
      <c r="BW855" s="58" t="e">
        <f>VLOOKUP(AQ855,'[1]Harga &amp; Nama CSO'!$A$28:$D$31,4,0)*BQ855</f>
        <v>#N/A</v>
      </c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44">
        <f>IFERROR(VLOOKUP(AQ857,'[2]Harga &amp; Nama CSO'!$A$116:$S$136,19,FALSE),0)*AV857</f>
        <v>0</v>
      </c>
      <c r="BO856" s="55" t="e">
        <f>IFERROR(VLOOKUP(AQ856,'[1]Harga &amp; Nama CSO'!$H$2:$N$22,2,FALSE),"")*AV856</f>
        <v>#VALUE!</v>
      </c>
      <c r="BP856" s="40"/>
      <c r="BQ856" s="4"/>
      <c r="BR856" s="61"/>
      <c r="BS856" s="4"/>
      <c r="BT856" s="57" t="e">
        <f t="shared" si="47"/>
        <v>#VALUE!</v>
      </c>
      <c r="BU856" s="62"/>
      <c r="BV856" s="8" t="e">
        <v>#VALUE!</v>
      </c>
      <c r="BW856" s="58" t="e">
        <f>VLOOKUP(AQ856,'[1]Harga &amp; Nama CSO'!$A$28:$D$31,4,0)*BQ856</f>
        <v>#N/A</v>
      </c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44">
        <f>IFERROR(VLOOKUP(AQ858,'[2]Harga &amp; Nama CSO'!$A$116:$S$136,19,FALSE),0)*AV858</f>
        <v>0</v>
      </c>
      <c r="BO857" s="55" t="e">
        <f>IFERROR(VLOOKUP(AQ857,'[1]Harga &amp; Nama CSO'!$H$2:$N$22,2,FALSE),"")*AV857</f>
        <v>#VALUE!</v>
      </c>
      <c r="BP857" s="40"/>
      <c r="BQ857" s="4"/>
      <c r="BR857" s="61"/>
      <c r="BS857" s="4"/>
      <c r="BT857" s="57" t="e">
        <f t="shared" si="47"/>
        <v>#VALUE!</v>
      </c>
      <c r="BU857" s="62"/>
      <c r="BV857" s="8" t="e">
        <v>#VALUE!</v>
      </c>
      <c r="BW857" s="58" t="e">
        <f>VLOOKUP(AQ857,'[1]Harga &amp; Nama CSO'!$A$28:$D$31,4,0)*BQ857</f>
        <v>#N/A</v>
      </c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44">
        <f>IFERROR(VLOOKUP(AQ859,'[2]Harga &amp; Nama CSO'!$A$116:$S$136,19,FALSE),0)*AV859</f>
        <v>0</v>
      </c>
      <c r="BO858" s="55" t="e">
        <f>IFERROR(VLOOKUP(AQ858,'[1]Harga &amp; Nama CSO'!$H$2:$N$22,2,FALSE),"")*AV858</f>
        <v>#VALUE!</v>
      </c>
      <c r="BP858" s="40"/>
      <c r="BQ858" s="4"/>
      <c r="BR858" s="61"/>
      <c r="BS858" s="4"/>
      <c r="BT858" s="57" t="e">
        <f t="shared" si="47"/>
        <v>#VALUE!</v>
      </c>
      <c r="BU858" s="62"/>
      <c r="BV858" s="8" t="e">
        <v>#VALUE!</v>
      </c>
      <c r="BW858" s="58" t="e">
        <f>VLOOKUP(AQ858,'[1]Harga &amp; Nama CSO'!$A$28:$D$31,4,0)*BQ858</f>
        <v>#N/A</v>
      </c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44">
        <f>IFERROR(VLOOKUP(AQ860,'[2]Harga &amp; Nama CSO'!$A$116:$S$136,19,FALSE),0)*AV860</f>
        <v>0</v>
      </c>
      <c r="BO859" s="55" t="e">
        <f>IFERROR(VLOOKUP(AQ859,'[1]Harga &amp; Nama CSO'!$H$2:$N$22,2,FALSE),"")*AV859</f>
        <v>#VALUE!</v>
      </c>
      <c r="BP859" s="40"/>
      <c r="BQ859" s="4"/>
      <c r="BR859" s="61"/>
      <c r="BS859" s="4"/>
      <c r="BT859" s="57" t="e">
        <f t="shared" si="47"/>
        <v>#VALUE!</v>
      </c>
      <c r="BU859" s="62"/>
      <c r="BV859" s="8" t="e">
        <v>#VALUE!</v>
      </c>
      <c r="BW859" s="58" t="e">
        <f>VLOOKUP(AQ859,'[1]Harga &amp; Nama CSO'!$A$28:$D$31,4,0)*BQ859</f>
        <v>#N/A</v>
      </c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44">
        <f>IFERROR(VLOOKUP(AQ861,'[2]Harga &amp; Nama CSO'!$A$116:$S$136,19,FALSE),0)*AV861</f>
        <v>0</v>
      </c>
      <c r="BO860" s="55" t="e">
        <f>IFERROR(VLOOKUP(AQ860,'[1]Harga &amp; Nama CSO'!$H$2:$N$22,2,FALSE),"")*AV860</f>
        <v>#VALUE!</v>
      </c>
      <c r="BP860" s="40"/>
      <c r="BQ860" s="4"/>
      <c r="BR860" s="61"/>
      <c r="BS860" s="4"/>
      <c r="BT860" s="57" t="e">
        <f t="shared" si="47"/>
        <v>#VALUE!</v>
      </c>
      <c r="BU860" s="62"/>
      <c r="BV860" s="8" t="e">
        <v>#VALUE!</v>
      </c>
      <c r="BW860" s="58" t="e">
        <f>VLOOKUP(AQ860,'[1]Harga &amp; Nama CSO'!$A$28:$D$31,4,0)*BQ860</f>
        <v>#N/A</v>
      </c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44">
        <f>IFERROR(VLOOKUP(AQ862,'[2]Harga &amp; Nama CSO'!$A$116:$S$136,19,FALSE),0)*AV862</f>
        <v>0</v>
      </c>
      <c r="BO861" s="55" t="e">
        <f>IFERROR(VLOOKUP(AQ861,'[1]Harga &amp; Nama CSO'!$H$2:$N$22,2,FALSE),"")*AV861</f>
        <v>#VALUE!</v>
      </c>
      <c r="BP861" s="40"/>
      <c r="BQ861" s="4"/>
      <c r="BR861" s="61"/>
      <c r="BS861" s="4"/>
      <c r="BT861" s="57" t="e">
        <f t="shared" si="47"/>
        <v>#VALUE!</v>
      </c>
      <c r="BU861" s="62"/>
      <c r="BV861" s="8" t="e">
        <v>#VALUE!</v>
      </c>
      <c r="BW861" s="58" t="e">
        <f>VLOOKUP(AQ861,'[1]Harga &amp; Nama CSO'!$A$28:$D$31,4,0)*BQ861</f>
        <v>#N/A</v>
      </c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44">
        <f>IFERROR(VLOOKUP(AQ863,'[2]Harga &amp; Nama CSO'!$A$116:$S$136,19,FALSE),0)*AV863</f>
        <v>0</v>
      </c>
      <c r="BO862" s="55" t="e">
        <f>IFERROR(VLOOKUP(AQ862,'[1]Harga &amp; Nama CSO'!$H$2:$N$22,2,FALSE),"")*AV862</f>
        <v>#VALUE!</v>
      </c>
      <c r="BP862" s="40"/>
      <c r="BQ862" s="4"/>
      <c r="BR862" s="61"/>
      <c r="BS862" s="4"/>
      <c r="BT862" s="57" t="e">
        <f t="shared" si="47"/>
        <v>#VALUE!</v>
      </c>
      <c r="BU862" s="62"/>
      <c r="BV862" s="8" t="e">
        <v>#VALUE!</v>
      </c>
      <c r="BW862" s="58" t="e">
        <f>VLOOKUP(AQ862,'[1]Harga &amp; Nama CSO'!$A$28:$D$31,4,0)*BQ862</f>
        <v>#N/A</v>
      </c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44">
        <f>IFERROR(VLOOKUP(AQ864,'[2]Harga &amp; Nama CSO'!$A$116:$S$136,19,FALSE),0)*AV864</f>
        <v>0</v>
      </c>
      <c r="BO863" s="55" t="e">
        <f>IFERROR(VLOOKUP(AQ863,'[1]Harga &amp; Nama CSO'!$H$2:$N$22,2,FALSE),"")*AV863</f>
        <v>#VALUE!</v>
      </c>
      <c r="BP863" s="40"/>
      <c r="BQ863" s="4"/>
      <c r="BR863" s="61"/>
      <c r="BS863" s="4"/>
      <c r="BT863" s="57" t="e">
        <f t="shared" si="47"/>
        <v>#VALUE!</v>
      </c>
      <c r="BU863" s="62"/>
      <c r="BV863" s="8" t="e">
        <v>#VALUE!</v>
      </c>
      <c r="BW863" s="58" t="e">
        <f>VLOOKUP(AQ863,'[1]Harga &amp; Nama CSO'!$A$28:$D$31,4,0)*BQ863</f>
        <v>#N/A</v>
      </c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44">
        <f>IFERROR(VLOOKUP(AQ865,'[2]Harga &amp; Nama CSO'!$A$116:$S$136,19,FALSE),0)*AV865</f>
        <v>0</v>
      </c>
      <c r="BO864" s="55" t="e">
        <f>IFERROR(VLOOKUP(AQ864,'[1]Harga &amp; Nama CSO'!$H$2:$N$22,2,FALSE),"")*AV864</f>
        <v>#VALUE!</v>
      </c>
      <c r="BP864" s="40"/>
      <c r="BQ864" s="4"/>
      <c r="BR864" s="61"/>
      <c r="BS864" s="4"/>
      <c r="BT864" s="57" t="e">
        <f t="shared" si="47"/>
        <v>#VALUE!</v>
      </c>
      <c r="BU864" s="62"/>
      <c r="BV864" s="8" t="e">
        <v>#VALUE!</v>
      </c>
      <c r="BW864" s="58" t="e">
        <f>VLOOKUP(AQ864,'[1]Harga &amp; Nama CSO'!$A$28:$D$31,4,0)*BQ864</f>
        <v>#N/A</v>
      </c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44">
        <f>IFERROR(VLOOKUP(AQ866,'[2]Harga &amp; Nama CSO'!$A$116:$S$136,19,FALSE),0)*AV866</f>
        <v>0</v>
      </c>
      <c r="BO865" s="55" t="e">
        <f>IFERROR(VLOOKUP(AQ865,'[1]Harga &amp; Nama CSO'!$H$2:$N$22,2,FALSE),"")*AV865</f>
        <v>#VALUE!</v>
      </c>
      <c r="BP865" s="40"/>
      <c r="BQ865" s="4"/>
      <c r="BR865" s="61"/>
      <c r="BS865" s="4"/>
      <c r="BT865" s="57" t="e">
        <f t="shared" si="47"/>
        <v>#VALUE!</v>
      </c>
      <c r="BU865" s="62"/>
      <c r="BV865" s="8" t="e">
        <v>#VALUE!</v>
      </c>
      <c r="BW865" s="58" t="e">
        <f>VLOOKUP(AQ865,'[1]Harga &amp; Nama CSO'!$A$28:$D$31,4,0)*BQ865</f>
        <v>#N/A</v>
      </c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44">
        <f>IFERROR(VLOOKUP(AQ867,'[2]Harga &amp; Nama CSO'!$A$116:$S$136,19,FALSE),0)*AV867</f>
        <v>0</v>
      </c>
      <c r="BO866" s="55" t="e">
        <f>IFERROR(VLOOKUP(AQ866,'[1]Harga &amp; Nama CSO'!$H$2:$N$22,2,FALSE),"")*AV866</f>
        <v>#VALUE!</v>
      </c>
      <c r="BP866" s="40"/>
      <c r="BQ866" s="4"/>
      <c r="BR866" s="61"/>
      <c r="BS866" s="4"/>
      <c r="BT866" s="57" t="e">
        <f t="shared" si="47"/>
        <v>#VALUE!</v>
      </c>
      <c r="BU866" s="62"/>
      <c r="BV866" s="8" t="e">
        <v>#VALUE!</v>
      </c>
      <c r="BW866" s="58" t="e">
        <f>VLOOKUP(AQ866,'[1]Harga &amp; Nama CSO'!$A$28:$D$31,4,0)*BQ866</f>
        <v>#N/A</v>
      </c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44">
        <f>IFERROR(VLOOKUP(AQ868,'[2]Harga &amp; Nama CSO'!$A$116:$S$136,19,FALSE),0)*AV868</f>
        <v>0</v>
      </c>
      <c r="BO867" s="55" t="e">
        <f>IFERROR(VLOOKUP(AQ867,'[1]Harga &amp; Nama CSO'!$H$2:$N$22,2,FALSE),"")*AV867</f>
        <v>#VALUE!</v>
      </c>
      <c r="BP867" s="40"/>
      <c r="BQ867" s="4"/>
      <c r="BR867" s="61"/>
      <c r="BS867" s="4"/>
      <c r="BT867" s="57" t="e">
        <f t="shared" si="47"/>
        <v>#VALUE!</v>
      </c>
      <c r="BU867" s="62"/>
      <c r="BV867" s="8" t="e">
        <v>#VALUE!</v>
      </c>
      <c r="BW867" s="58" t="e">
        <f>VLOOKUP(AQ867,'[1]Harga &amp; Nama CSO'!$A$28:$D$31,4,0)*BQ867</f>
        <v>#N/A</v>
      </c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44">
        <f>IFERROR(VLOOKUP(AQ869,'[2]Harga &amp; Nama CSO'!$A$116:$S$136,19,FALSE),0)*AV869</f>
        <v>0</v>
      </c>
      <c r="BO868" s="55" t="e">
        <f>IFERROR(VLOOKUP(AQ868,'[1]Harga &amp; Nama CSO'!$H$2:$N$22,2,FALSE),"")*AV868</f>
        <v>#VALUE!</v>
      </c>
      <c r="BP868" s="40"/>
      <c r="BQ868" s="4"/>
      <c r="BR868" s="61"/>
      <c r="BS868" s="4"/>
      <c r="BT868" s="57" t="e">
        <f t="shared" si="47"/>
        <v>#VALUE!</v>
      </c>
      <c r="BU868" s="62"/>
      <c r="BV868" s="8" t="e">
        <v>#VALUE!</v>
      </c>
      <c r="BW868" s="58" t="e">
        <f>VLOOKUP(AQ868,'[1]Harga &amp; Nama CSO'!$A$28:$D$31,4,0)*BQ868</f>
        <v>#N/A</v>
      </c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44">
        <f>IFERROR(VLOOKUP(AQ870,'[2]Harga &amp; Nama CSO'!$A$116:$S$136,19,FALSE),0)*AV870</f>
        <v>0</v>
      </c>
      <c r="BO869" s="55" t="e">
        <f>IFERROR(VLOOKUP(AQ869,'[1]Harga &amp; Nama CSO'!$H$2:$N$22,2,FALSE),"")*AV869</f>
        <v>#VALUE!</v>
      </c>
      <c r="BP869" s="40"/>
      <c r="BQ869" s="4"/>
      <c r="BR869" s="61"/>
      <c r="BS869" s="4"/>
      <c r="BT869" s="57" t="e">
        <f t="shared" si="47"/>
        <v>#VALUE!</v>
      </c>
      <c r="BU869" s="62"/>
      <c r="BV869" s="8" t="e">
        <v>#VALUE!</v>
      </c>
      <c r="BW869" s="58" t="e">
        <f>VLOOKUP(AQ869,'[1]Harga &amp; Nama CSO'!$A$28:$D$31,4,0)*BQ869</f>
        <v>#N/A</v>
      </c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44">
        <f>IFERROR(VLOOKUP(AQ871,'[2]Harga &amp; Nama CSO'!$A$116:$S$136,19,FALSE),0)*AV871</f>
        <v>0</v>
      </c>
      <c r="BO870" s="55" t="e">
        <f>IFERROR(VLOOKUP(AQ870,'[1]Harga &amp; Nama CSO'!$H$2:$N$22,2,FALSE),"")*AV870</f>
        <v>#VALUE!</v>
      </c>
      <c r="BP870" s="40"/>
      <c r="BQ870" s="4"/>
      <c r="BR870" s="61"/>
      <c r="BS870" s="4"/>
      <c r="BT870" s="57" t="e">
        <f t="shared" si="47"/>
        <v>#VALUE!</v>
      </c>
      <c r="BU870" s="62"/>
      <c r="BV870" s="8" t="e">
        <v>#VALUE!</v>
      </c>
      <c r="BW870" s="58" t="e">
        <f>VLOOKUP(AQ870,'[1]Harga &amp; Nama CSO'!$A$28:$D$31,4,0)*BQ870</f>
        <v>#N/A</v>
      </c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44">
        <f>IFERROR(VLOOKUP(AQ872,'[2]Harga &amp; Nama CSO'!$A$116:$S$136,19,FALSE),0)*AV872</f>
        <v>0</v>
      </c>
      <c r="BO871" s="55" t="e">
        <f>IFERROR(VLOOKUP(AQ871,'[1]Harga &amp; Nama CSO'!$H$2:$N$22,2,FALSE),"")*AV871</f>
        <v>#VALUE!</v>
      </c>
      <c r="BP871" s="40"/>
      <c r="BQ871" s="4"/>
      <c r="BR871" s="61"/>
      <c r="BS871" s="4"/>
      <c r="BT871" s="57" t="e">
        <f t="shared" si="47"/>
        <v>#VALUE!</v>
      </c>
      <c r="BU871" s="62"/>
      <c r="BV871" s="8" t="e">
        <v>#VALUE!</v>
      </c>
      <c r="BW871" s="58" t="e">
        <f>VLOOKUP(AQ871,'[1]Harga &amp; Nama CSO'!$A$28:$D$31,4,0)*BQ871</f>
        <v>#N/A</v>
      </c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44">
        <f>IFERROR(VLOOKUP(AQ873,'[2]Harga &amp; Nama CSO'!$A$116:$S$136,19,FALSE),0)*AV873</f>
        <v>0</v>
      </c>
      <c r="BO872" s="55" t="e">
        <f>IFERROR(VLOOKUP(AQ872,'[1]Harga &amp; Nama CSO'!$H$2:$N$22,2,FALSE),"")*AV872</f>
        <v>#VALUE!</v>
      </c>
      <c r="BP872" s="40"/>
      <c r="BQ872" s="4"/>
      <c r="BR872" s="61"/>
      <c r="BS872" s="4"/>
      <c r="BT872" s="57" t="e">
        <f t="shared" si="47"/>
        <v>#VALUE!</v>
      </c>
      <c r="BU872" s="62"/>
      <c r="BV872" s="8" t="e">
        <v>#VALUE!</v>
      </c>
      <c r="BW872" s="58" t="e">
        <f>VLOOKUP(AQ872,'[1]Harga &amp; Nama CSO'!$A$28:$D$31,4,0)*BQ872</f>
        <v>#N/A</v>
      </c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44">
        <f>IFERROR(VLOOKUP(AQ874,'[2]Harga &amp; Nama CSO'!$A$116:$S$136,19,FALSE),0)*AV874</f>
        <v>0</v>
      </c>
      <c r="BO873" s="55" t="e">
        <f>IFERROR(VLOOKUP(AQ873,'[1]Harga &amp; Nama CSO'!$H$2:$N$22,2,FALSE),"")*AV873</f>
        <v>#VALUE!</v>
      </c>
      <c r="BP873" s="40"/>
      <c r="BQ873" s="4"/>
      <c r="BR873" s="61"/>
      <c r="BS873" s="4"/>
      <c r="BT873" s="57" t="e">
        <f t="shared" si="47"/>
        <v>#VALUE!</v>
      </c>
      <c r="BU873" s="62"/>
      <c r="BV873" s="8" t="e">
        <v>#VALUE!</v>
      </c>
      <c r="BW873" s="58" t="e">
        <f>VLOOKUP(AQ873,'[1]Harga &amp; Nama CSO'!$A$28:$D$31,4,0)*BQ873</f>
        <v>#N/A</v>
      </c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44">
        <f>IFERROR(VLOOKUP(AQ875,'[2]Harga &amp; Nama CSO'!$A$116:$S$136,19,FALSE),0)*AV875</f>
        <v>0</v>
      </c>
      <c r="BO874" s="55" t="e">
        <f>IFERROR(VLOOKUP(AQ874,'[1]Harga &amp; Nama CSO'!$H$2:$N$22,2,FALSE),"")*AV874</f>
        <v>#VALUE!</v>
      </c>
      <c r="BP874" s="40"/>
      <c r="BQ874" s="4"/>
      <c r="BR874" s="61"/>
      <c r="BS874" s="4"/>
      <c r="BT874" s="57" t="e">
        <f t="shared" si="47"/>
        <v>#VALUE!</v>
      </c>
      <c r="BU874" s="62"/>
      <c r="BV874" s="8" t="e">
        <v>#VALUE!</v>
      </c>
      <c r="BW874" s="58" t="e">
        <f>VLOOKUP(AQ874,'[1]Harga &amp; Nama CSO'!$A$28:$D$31,4,0)*BQ874</f>
        <v>#N/A</v>
      </c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44">
        <f>IFERROR(VLOOKUP(AQ876,'[2]Harga &amp; Nama CSO'!$A$116:$S$136,19,FALSE),0)*AV876</f>
        <v>0</v>
      </c>
      <c r="BO875" s="55" t="e">
        <f>IFERROR(VLOOKUP(AQ875,'[1]Harga &amp; Nama CSO'!$H$2:$N$22,2,FALSE),"")*AV875</f>
        <v>#VALUE!</v>
      </c>
      <c r="BP875" s="40"/>
      <c r="BQ875" s="4"/>
      <c r="BR875" s="61"/>
      <c r="BS875" s="4"/>
      <c r="BT875" s="57" t="e">
        <f t="shared" si="47"/>
        <v>#VALUE!</v>
      </c>
      <c r="BU875" s="62"/>
      <c r="BV875" s="8" t="e">
        <v>#VALUE!</v>
      </c>
      <c r="BW875" s="58" t="e">
        <f>VLOOKUP(AQ875,'[1]Harga &amp; Nama CSO'!$A$28:$D$31,4,0)*BQ875</f>
        <v>#N/A</v>
      </c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44">
        <f>IFERROR(VLOOKUP(AQ877,'[2]Harga &amp; Nama CSO'!$A$116:$S$136,19,FALSE),0)*AV877</f>
        <v>0</v>
      </c>
      <c r="BO876" s="55" t="e">
        <f>IFERROR(VLOOKUP(AQ876,'[1]Harga &amp; Nama CSO'!$H$2:$N$22,2,FALSE),"")*AV876</f>
        <v>#VALUE!</v>
      </c>
      <c r="BP876" s="40"/>
      <c r="BQ876" s="4"/>
      <c r="BR876" s="61"/>
      <c r="BS876" s="4"/>
      <c r="BT876" s="57" t="e">
        <f t="shared" si="47"/>
        <v>#VALUE!</v>
      </c>
      <c r="BU876" s="62"/>
      <c r="BV876" s="8" t="e">
        <v>#VALUE!</v>
      </c>
      <c r="BW876" s="58" t="e">
        <f>VLOOKUP(AQ876,'[1]Harga &amp; Nama CSO'!$A$28:$D$31,4,0)*BQ876</f>
        <v>#N/A</v>
      </c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44">
        <f>IFERROR(VLOOKUP(AQ878,'[2]Harga &amp; Nama CSO'!$A$116:$S$136,19,FALSE),0)*AV878</f>
        <v>0</v>
      </c>
      <c r="BO877" s="55" t="e">
        <f>IFERROR(VLOOKUP(AQ877,'[1]Harga &amp; Nama CSO'!$H$2:$N$22,2,FALSE),"")*AV877</f>
        <v>#VALUE!</v>
      </c>
      <c r="BP877" s="40"/>
      <c r="BQ877" s="4"/>
      <c r="BR877" s="61"/>
      <c r="BS877" s="4"/>
      <c r="BT877" s="57" t="e">
        <f t="shared" si="47"/>
        <v>#VALUE!</v>
      </c>
      <c r="BU877" s="62"/>
      <c r="BV877" s="8" t="e">
        <v>#VALUE!</v>
      </c>
      <c r="BW877" s="58" t="e">
        <f>VLOOKUP(AQ877,'[1]Harga &amp; Nama CSO'!$A$28:$D$31,4,0)*BQ877</f>
        <v>#N/A</v>
      </c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44">
        <f>IFERROR(VLOOKUP(AQ879,'[2]Harga &amp; Nama CSO'!$A$116:$S$136,19,FALSE),0)*AV879</f>
        <v>0</v>
      </c>
      <c r="BO878" s="55" t="e">
        <f>IFERROR(VLOOKUP(AQ878,'[1]Harga &amp; Nama CSO'!$H$2:$N$22,2,FALSE),"")*AV878</f>
        <v>#VALUE!</v>
      </c>
      <c r="BP878" s="40"/>
      <c r="BQ878" s="4"/>
      <c r="BR878" s="61"/>
      <c r="BS878" s="4"/>
      <c r="BT878" s="57" t="e">
        <f t="shared" si="47"/>
        <v>#VALUE!</v>
      </c>
      <c r="BU878" s="62"/>
      <c r="BV878" s="8" t="e">
        <v>#VALUE!</v>
      </c>
      <c r="BW878" s="58" t="e">
        <f>VLOOKUP(AQ878,'[1]Harga &amp; Nama CSO'!$A$28:$D$31,4,0)*BQ878</f>
        <v>#N/A</v>
      </c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44">
        <f>IFERROR(VLOOKUP(AQ880,'[2]Harga &amp; Nama CSO'!$A$116:$S$136,19,FALSE),0)*AV880</f>
        <v>0</v>
      </c>
      <c r="BO879" s="55" t="e">
        <f>IFERROR(VLOOKUP(AQ879,'[1]Harga &amp; Nama CSO'!$H$2:$N$22,2,FALSE),"")*AV879</f>
        <v>#VALUE!</v>
      </c>
      <c r="BP879" s="40"/>
      <c r="BQ879" s="4"/>
      <c r="BR879" s="61"/>
      <c r="BS879" s="4"/>
      <c r="BT879" s="57" t="e">
        <f t="shared" si="47"/>
        <v>#VALUE!</v>
      </c>
      <c r="BU879" s="62"/>
      <c r="BV879" s="8" t="e">
        <v>#VALUE!</v>
      </c>
      <c r="BW879" s="58" t="e">
        <f>VLOOKUP(AQ879,'[1]Harga &amp; Nama CSO'!$A$28:$D$31,4,0)*BQ879</f>
        <v>#N/A</v>
      </c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44">
        <f>IFERROR(VLOOKUP(AQ881,'[2]Harga &amp; Nama CSO'!$A$116:$S$136,19,FALSE),0)*AV881</f>
        <v>0</v>
      </c>
      <c r="BO880" s="55" t="e">
        <f>IFERROR(VLOOKUP(AQ880,'[1]Harga &amp; Nama CSO'!$H$2:$N$22,2,FALSE),"")*AV880</f>
        <v>#VALUE!</v>
      </c>
      <c r="BP880" s="40"/>
      <c r="BQ880" s="4"/>
      <c r="BR880" s="61"/>
      <c r="BS880" s="4"/>
      <c r="BT880" s="57" t="e">
        <f t="shared" si="47"/>
        <v>#VALUE!</v>
      </c>
      <c r="BU880" s="62"/>
      <c r="BV880" s="8" t="e">
        <v>#VALUE!</v>
      </c>
      <c r="BW880" s="58" t="e">
        <f>VLOOKUP(AQ880,'[1]Harga &amp; Nama CSO'!$A$28:$D$31,4,0)*BQ880</f>
        <v>#N/A</v>
      </c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44">
        <f>IFERROR(VLOOKUP(AQ882,'[2]Harga &amp; Nama CSO'!$A$116:$S$136,19,FALSE),0)*AV882</f>
        <v>0</v>
      </c>
      <c r="BO881" s="55" t="e">
        <f>IFERROR(VLOOKUP(AQ881,'[1]Harga &amp; Nama CSO'!$H$2:$N$22,2,FALSE),"")*AV881</f>
        <v>#VALUE!</v>
      </c>
      <c r="BP881" s="40"/>
      <c r="BQ881" s="4"/>
      <c r="BR881" s="61"/>
      <c r="BS881" s="4"/>
      <c r="BT881" s="57" t="e">
        <f t="shared" si="47"/>
        <v>#VALUE!</v>
      </c>
      <c r="BU881" s="62"/>
      <c r="BV881" s="8" t="e">
        <v>#VALUE!</v>
      </c>
      <c r="BW881" s="58" t="e">
        <f>VLOOKUP(AQ881,'[1]Harga &amp; Nama CSO'!$A$28:$D$31,4,0)*BQ881</f>
        <v>#N/A</v>
      </c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44">
        <f>IFERROR(VLOOKUP(AQ883,'[2]Harga &amp; Nama CSO'!$A$116:$S$136,19,FALSE),0)*AV883</f>
        <v>0</v>
      </c>
      <c r="BO882" s="55" t="e">
        <f>IFERROR(VLOOKUP(AQ882,'[1]Harga &amp; Nama CSO'!$H$2:$N$22,2,FALSE),"")*AV882</f>
        <v>#VALUE!</v>
      </c>
      <c r="BP882" s="40"/>
      <c r="BQ882" s="4"/>
      <c r="BR882" s="61"/>
      <c r="BS882" s="4"/>
      <c r="BT882" s="57" t="e">
        <f t="shared" si="47"/>
        <v>#VALUE!</v>
      </c>
      <c r="BU882" s="62"/>
      <c r="BV882" s="8" t="e">
        <v>#VALUE!</v>
      </c>
      <c r="BW882" s="58" t="e">
        <f>VLOOKUP(AQ882,'[1]Harga &amp; Nama CSO'!$A$28:$D$31,4,0)*BQ882</f>
        <v>#N/A</v>
      </c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44">
        <f>IFERROR(VLOOKUP(AQ884,'[2]Harga &amp; Nama CSO'!$A$116:$S$136,19,FALSE),0)*AV884</f>
        <v>0</v>
      </c>
      <c r="BO883" s="55" t="e">
        <f>IFERROR(VLOOKUP(AQ883,'[1]Harga &amp; Nama CSO'!$H$2:$N$22,2,FALSE),"")*AV883</f>
        <v>#VALUE!</v>
      </c>
      <c r="BP883" s="40"/>
      <c r="BQ883" s="4"/>
      <c r="BR883" s="61"/>
      <c r="BS883" s="4"/>
      <c r="BT883" s="57" t="e">
        <f t="shared" si="47"/>
        <v>#VALUE!</v>
      </c>
      <c r="BU883" s="62"/>
      <c r="BV883" s="8" t="e">
        <v>#VALUE!</v>
      </c>
      <c r="BW883" s="58" t="e">
        <f>VLOOKUP(AQ883,'[1]Harga &amp; Nama CSO'!$A$28:$D$31,4,0)*BQ883</f>
        <v>#N/A</v>
      </c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44">
        <f>IFERROR(VLOOKUP(AQ885,'[2]Harga &amp; Nama CSO'!$A$116:$S$136,19,FALSE),0)*AV885</f>
        <v>0</v>
      </c>
      <c r="BO884" s="55" t="e">
        <f>IFERROR(VLOOKUP(AQ884,'[1]Harga &amp; Nama CSO'!$H$2:$N$22,2,FALSE),"")*AV884</f>
        <v>#VALUE!</v>
      </c>
      <c r="BP884" s="40"/>
      <c r="BQ884" s="4"/>
      <c r="BR884" s="61"/>
      <c r="BS884" s="4"/>
      <c r="BT884" s="57" t="e">
        <f t="shared" si="47"/>
        <v>#VALUE!</v>
      </c>
      <c r="BU884" s="62"/>
      <c r="BV884" s="8" t="e">
        <v>#VALUE!</v>
      </c>
      <c r="BW884" s="58" t="e">
        <f>VLOOKUP(AQ884,'[1]Harga &amp; Nama CSO'!$A$28:$D$31,4,0)*BQ884</f>
        <v>#N/A</v>
      </c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44">
        <f>IFERROR(VLOOKUP(AQ886,'[2]Harga &amp; Nama CSO'!$A$116:$S$136,19,FALSE),0)*AV886</f>
        <v>0</v>
      </c>
      <c r="BO885" s="55" t="e">
        <f>IFERROR(VLOOKUP(AQ885,'[1]Harga &amp; Nama CSO'!$H$2:$N$22,2,FALSE),"")*AV885</f>
        <v>#VALUE!</v>
      </c>
      <c r="BP885" s="40"/>
      <c r="BQ885" s="4"/>
      <c r="BR885" s="61"/>
      <c r="BS885" s="4"/>
      <c r="BT885" s="57" t="e">
        <f t="shared" si="47"/>
        <v>#VALUE!</v>
      </c>
      <c r="BU885" s="62"/>
      <c r="BV885" s="8" t="e">
        <v>#VALUE!</v>
      </c>
      <c r="BW885" s="58" t="e">
        <f>VLOOKUP(AQ885,'[1]Harga &amp; Nama CSO'!$A$28:$D$31,4,0)*BQ885</f>
        <v>#N/A</v>
      </c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44">
        <f>IFERROR(VLOOKUP(AQ887,'[2]Harga &amp; Nama CSO'!$A$116:$S$136,19,FALSE),0)*AV887</f>
        <v>0</v>
      </c>
      <c r="BO886" s="55" t="e">
        <f>IFERROR(VLOOKUP(AQ886,'[1]Harga &amp; Nama CSO'!$H$2:$N$22,2,FALSE),"")*AV886</f>
        <v>#VALUE!</v>
      </c>
      <c r="BP886" s="40"/>
      <c r="BQ886" s="4"/>
      <c r="BR886" s="61"/>
      <c r="BS886" s="4"/>
      <c r="BT886" s="57" t="e">
        <f t="shared" si="47"/>
        <v>#VALUE!</v>
      </c>
      <c r="BU886" s="62"/>
      <c r="BV886" s="8" t="e">
        <v>#VALUE!</v>
      </c>
      <c r="BW886" s="58" t="e">
        <f>VLOOKUP(AQ886,'[1]Harga &amp; Nama CSO'!$A$28:$D$31,4,0)*BQ886</f>
        <v>#N/A</v>
      </c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44">
        <f>IFERROR(VLOOKUP(AQ888,'[2]Harga &amp; Nama CSO'!$A$116:$S$136,19,FALSE),0)*AV888</f>
        <v>0</v>
      </c>
      <c r="BO887" s="55" t="e">
        <f>IFERROR(VLOOKUP(AQ887,'[1]Harga &amp; Nama CSO'!$H$2:$N$22,2,FALSE),"")*AV887</f>
        <v>#VALUE!</v>
      </c>
      <c r="BP887" s="40"/>
      <c r="BQ887" s="4"/>
      <c r="BR887" s="61"/>
      <c r="BS887" s="4"/>
      <c r="BT887" s="57" t="e">
        <f t="shared" si="47"/>
        <v>#VALUE!</v>
      </c>
      <c r="BU887" s="62"/>
      <c r="BV887" s="8" t="e">
        <v>#VALUE!</v>
      </c>
      <c r="BW887" s="58" t="e">
        <f>VLOOKUP(AQ887,'[1]Harga &amp; Nama CSO'!$A$28:$D$31,4,0)*BQ887</f>
        <v>#N/A</v>
      </c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44">
        <f>IFERROR(VLOOKUP(AQ889,'[2]Harga &amp; Nama CSO'!$A$116:$S$136,19,FALSE),0)*AV889</f>
        <v>0</v>
      </c>
      <c r="BO888" s="55" t="e">
        <f>IFERROR(VLOOKUP(AQ888,'[1]Harga &amp; Nama CSO'!$H$2:$N$22,2,FALSE),"")*AV888</f>
        <v>#VALUE!</v>
      </c>
      <c r="BP888" s="40"/>
      <c r="BQ888" s="4"/>
      <c r="BR888" s="61"/>
      <c r="BS888" s="4"/>
      <c r="BT888" s="57" t="e">
        <f t="shared" si="47"/>
        <v>#VALUE!</v>
      </c>
      <c r="BU888" s="62"/>
      <c r="BV888" s="8" t="e">
        <v>#VALUE!</v>
      </c>
      <c r="BW888" s="58" t="e">
        <f>VLOOKUP(AQ888,'[1]Harga &amp; Nama CSO'!$A$28:$D$31,4,0)*BQ888</f>
        <v>#N/A</v>
      </c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44">
        <f>IFERROR(VLOOKUP(AQ890,'[2]Harga &amp; Nama CSO'!$A$116:$S$136,19,FALSE),0)*AV890</f>
        <v>0</v>
      </c>
      <c r="BO889" s="55" t="e">
        <f>IFERROR(VLOOKUP(AQ889,'[1]Harga &amp; Nama CSO'!$H$2:$N$22,2,FALSE),"")*AV889</f>
        <v>#VALUE!</v>
      </c>
      <c r="BP889" s="40"/>
      <c r="BQ889" s="4"/>
      <c r="BR889" s="61"/>
      <c r="BS889" s="4"/>
      <c r="BT889" s="57" t="e">
        <f t="shared" si="47"/>
        <v>#VALUE!</v>
      </c>
      <c r="BU889" s="62"/>
      <c r="BV889" s="8" t="e">
        <v>#VALUE!</v>
      </c>
      <c r="BW889" s="58" t="e">
        <f>VLOOKUP(AQ889,'[1]Harga &amp; Nama CSO'!$A$28:$D$31,4,0)*BQ889</f>
        <v>#N/A</v>
      </c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44">
        <f>IFERROR(VLOOKUP(AQ891,'[2]Harga &amp; Nama CSO'!$A$116:$S$136,19,FALSE),0)*AV891</f>
        <v>0</v>
      </c>
      <c r="BO890" s="55" t="e">
        <f>IFERROR(VLOOKUP(AQ890,'[1]Harga &amp; Nama CSO'!$H$2:$N$22,2,FALSE),"")*AV890</f>
        <v>#VALUE!</v>
      </c>
      <c r="BP890" s="40"/>
      <c r="BQ890" s="4"/>
      <c r="BR890" s="61"/>
      <c r="BS890" s="4"/>
      <c r="BT890" s="57" t="e">
        <f t="shared" si="47"/>
        <v>#VALUE!</v>
      </c>
      <c r="BU890" s="62"/>
      <c r="BV890" s="8" t="e">
        <v>#VALUE!</v>
      </c>
      <c r="BW890" s="58" t="e">
        <f>VLOOKUP(AQ890,'[1]Harga &amp; Nama CSO'!$A$28:$D$31,4,0)*BQ890</f>
        <v>#N/A</v>
      </c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44">
        <f>IFERROR(VLOOKUP(AQ892,'[2]Harga &amp; Nama CSO'!$A$116:$S$136,19,FALSE),0)*AV892</f>
        <v>0</v>
      </c>
      <c r="BO891" s="55" t="e">
        <f>IFERROR(VLOOKUP(AQ891,'[1]Harga &amp; Nama CSO'!$H$2:$N$22,2,FALSE),"")*AV891</f>
        <v>#VALUE!</v>
      </c>
      <c r="BP891" s="40"/>
      <c r="BQ891" s="4"/>
      <c r="BR891" s="61"/>
      <c r="BS891" s="4"/>
      <c r="BT891" s="57" t="e">
        <f t="shared" si="47"/>
        <v>#VALUE!</v>
      </c>
      <c r="BU891" s="62"/>
      <c r="BV891" s="8" t="e">
        <v>#VALUE!</v>
      </c>
      <c r="BW891" s="58" t="e">
        <f>VLOOKUP(AQ891,'[1]Harga &amp; Nama CSO'!$A$28:$D$31,4,0)*BQ891</f>
        <v>#N/A</v>
      </c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44">
        <f>IFERROR(VLOOKUP(AQ893,'[2]Harga &amp; Nama CSO'!$A$116:$S$136,19,FALSE),0)*AV893</f>
        <v>0</v>
      </c>
      <c r="BO892" s="55" t="e">
        <f>IFERROR(VLOOKUP(AQ892,'[1]Harga &amp; Nama CSO'!$H$2:$N$22,2,FALSE),"")*AV892</f>
        <v>#VALUE!</v>
      </c>
      <c r="BP892" s="40"/>
      <c r="BQ892" s="4"/>
      <c r="BR892" s="61"/>
      <c r="BS892" s="4"/>
      <c r="BT892" s="57" t="e">
        <f t="shared" si="47"/>
        <v>#VALUE!</v>
      </c>
      <c r="BU892" s="62"/>
      <c r="BV892" s="8" t="e">
        <v>#VALUE!</v>
      </c>
      <c r="BW892" s="58" t="e">
        <f>VLOOKUP(AQ892,'[1]Harga &amp; Nama CSO'!$A$28:$D$31,4,0)*BQ892</f>
        <v>#N/A</v>
      </c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44">
        <f>IFERROR(VLOOKUP(AQ894,'[2]Harga &amp; Nama CSO'!$A$116:$S$136,19,FALSE),0)*AV894</f>
        <v>0</v>
      </c>
      <c r="BO893" s="55" t="e">
        <f>IFERROR(VLOOKUP(AQ893,'[1]Harga &amp; Nama CSO'!$H$2:$N$22,2,FALSE),"")*AV893</f>
        <v>#VALUE!</v>
      </c>
      <c r="BP893" s="40"/>
      <c r="BQ893" s="4"/>
      <c r="BR893" s="61"/>
      <c r="BS893" s="4"/>
      <c r="BT893" s="57" t="e">
        <f t="shared" si="47"/>
        <v>#VALUE!</v>
      </c>
      <c r="BU893" s="62"/>
      <c r="BV893" s="8" t="e">
        <v>#VALUE!</v>
      </c>
      <c r="BW893" s="58" t="e">
        <f>VLOOKUP(AQ893,'[1]Harga &amp; Nama CSO'!$A$28:$D$31,4,0)*BQ893</f>
        <v>#N/A</v>
      </c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44">
        <f>IFERROR(VLOOKUP(AQ895,'[2]Harga &amp; Nama CSO'!$A$116:$S$136,19,FALSE),0)*AV895</f>
        <v>0</v>
      </c>
      <c r="BO894" s="55" t="e">
        <f>IFERROR(VLOOKUP(AQ894,'[1]Harga &amp; Nama CSO'!$H$2:$N$22,2,FALSE),"")*AV894</f>
        <v>#VALUE!</v>
      </c>
      <c r="BP894" s="40"/>
      <c r="BQ894" s="4"/>
      <c r="BR894" s="61"/>
      <c r="BS894" s="4"/>
      <c r="BT894" s="57" t="e">
        <f t="shared" si="47"/>
        <v>#VALUE!</v>
      </c>
      <c r="BU894" s="62"/>
      <c r="BV894" s="8" t="e">
        <v>#VALUE!</v>
      </c>
      <c r="BW894" s="58" t="e">
        <f>VLOOKUP(AQ894,'[1]Harga &amp; Nama CSO'!$A$28:$D$31,4,0)*BQ894</f>
        <v>#N/A</v>
      </c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44">
        <f>IFERROR(VLOOKUP(AQ896,'[2]Harga &amp; Nama CSO'!$A$116:$S$136,19,FALSE),0)*AV896</f>
        <v>0</v>
      </c>
      <c r="BO895" s="55" t="e">
        <f>IFERROR(VLOOKUP(AQ895,'[1]Harga &amp; Nama CSO'!$H$2:$N$22,2,FALSE),"")*AV895</f>
        <v>#VALUE!</v>
      </c>
      <c r="BP895" s="40"/>
      <c r="BQ895" s="4"/>
      <c r="BR895" s="61"/>
      <c r="BS895" s="4"/>
      <c r="BT895" s="57" t="e">
        <f t="shared" si="47"/>
        <v>#VALUE!</v>
      </c>
      <c r="BU895" s="62"/>
      <c r="BV895" s="8" t="e">
        <v>#VALUE!</v>
      </c>
      <c r="BW895" s="58" t="e">
        <f>VLOOKUP(AQ895,'[1]Harga &amp; Nama CSO'!$A$28:$D$31,4,0)*BQ895</f>
        <v>#N/A</v>
      </c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44">
        <f>IFERROR(VLOOKUP(AQ897,'[2]Harga &amp; Nama CSO'!$A$116:$S$136,19,FALSE),0)*AV897</f>
        <v>0</v>
      </c>
      <c r="BO896" s="55" t="e">
        <f>IFERROR(VLOOKUP(AQ896,'[1]Harga &amp; Nama CSO'!$H$2:$N$22,2,FALSE),"")*AV896</f>
        <v>#VALUE!</v>
      </c>
      <c r="BP896" s="40"/>
      <c r="BQ896" s="4"/>
      <c r="BR896" s="61"/>
      <c r="BS896" s="4"/>
      <c r="BT896" s="57" t="e">
        <f t="shared" si="47"/>
        <v>#VALUE!</v>
      </c>
      <c r="BU896" s="62"/>
      <c r="BV896" s="8" t="e">
        <v>#VALUE!</v>
      </c>
      <c r="BW896" s="58" t="e">
        <f>VLOOKUP(AQ896,'[1]Harga &amp; Nama CSO'!$A$28:$D$31,4,0)*BQ896</f>
        <v>#N/A</v>
      </c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44">
        <f>IFERROR(VLOOKUP(AQ898,'[2]Harga &amp; Nama CSO'!$A$116:$S$136,19,FALSE),0)*AV898</f>
        <v>0</v>
      </c>
      <c r="BO897" s="55" t="e">
        <f>IFERROR(VLOOKUP(AQ897,'[1]Harga &amp; Nama CSO'!$H$2:$N$22,2,FALSE),"")*AV897</f>
        <v>#VALUE!</v>
      </c>
      <c r="BP897" s="40"/>
      <c r="BQ897" s="4"/>
      <c r="BR897" s="61"/>
      <c r="BS897" s="4"/>
      <c r="BT897" s="57" t="e">
        <f t="shared" si="47"/>
        <v>#VALUE!</v>
      </c>
      <c r="BU897" s="62"/>
      <c r="BV897" s="8" t="e">
        <v>#VALUE!</v>
      </c>
      <c r="BW897" s="58" t="e">
        <f>VLOOKUP(AQ897,'[1]Harga &amp; Nama CSO'!$A$28:$D$31,4,0)*BQ897</f>
        <v>#N/A</v>
      </c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44">
        <f>IFERROR(VLOOKUP(AQ899,'[2]Harga &amp; Nama CSO'!$A$116:$S$136,19,FALSE),0)*AV899</f>
        <v>0</v>
      </c>
      <c r="BO898" s="55" t="e">
        <f>IFERROR(VLOOKUP(AQ898,'[1]Harga &amp; Nama CSO'!$H$2:$N$22,2,FALSE),"")*AV898</f>
        <v>#VALUE!</v>
      </c>
      <c r="BP898" s="40"/>
      <c r="BQ898" s="4"/>
      <c r="BR898" s="61"/>
      <c r="BS898" s="4"/>
      <c r="BT898" s="57" t="e">
        <f t="shared" si="47"/>
        <v>#VALUE!</v>
      </c>
      <c r="BU898" s="62"/>
      <c r="BV898" s="8" t="e">
        <v>#VALUE!</v>
      </c>
      <c r="BW898" s="58" t="e">
        <f>VLOOKUP(AQ898,'[1]Harga &amp; Nama CSO'!$A$28:$D$31,4,0)*BQ898</f>
        <v>#N/A</v>
      </c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44">
        <f>IFERROR(VLOOKUP(AQ900,'[2]Harga &amp; Nama CSO'!$A$116:$S$136,19,FALSE),0)*AV900</f>
        <v>0</v>
      </c>
      <c r="BO899" s="55" t="e">
        <f>IFERROR(VLOOKUP(AQ899,'[1]Harga &amp; Nama CSO'!$H$2:$N$22,2,FALSE),"")*AV899</f>
        <v>#VALUE!</v>
      </c>
      <c r="BP899" s="40"/>
      <c r="BQ899" s="4"/>
      <c r="BR899" s="61"/>
      <c r="BS899" s="4"/>
      <c r="BT899" s="57" t="e">
        <f t="shared" ref="BT899:BT962" si="48">BO899-BR899</f>
        <v>#VALUE!</v>
      </c>
      <c r="BU899" s="62"/>
      <c r="BV899" s="8" t="e">
        <v>#VALUE!</v>
      </c>
      <c r="BW899" s="58" t="e">
        <f>VLOOKUP(AQ899,'[1]Harga &amp; Nama CSO'!$A$28:$D$31,4,0)*BQ899</f>
        <v>#N/A</v>
      </c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44">
        <f>IFERROR(VLOOKUP(AQ901,'[2]Harga &amp; Nama CSO'!$A$116:$S$136,19,FALSE),0)*AV901</f>
        <v>0</v>
      </c>
      <c r="BO900" s="55" t="e">
        <f>IFERROR(VLOOKUP(AQ900,'[1]Harga &amp; Nama CSO'!$H$2:$N$22,2,FALSE),"")*AV900</f>
        <v>#VALUE!</v>
      </c>
      <c r="BP900" s="40"/>
      <c r="BQ900" s="4"/>
      <c r="BR900" s="61"/>
      <c r="BS900" s="4"/>
      <c r="BT900" s="57" t="e">
        <f t="shared" si="48"/>
        <v>#VALUE!</v>
      </c>
      <c r="BU900" s="62"/>
      <c r="BV900" s="8" t="e">
        <v>#VALUE!</v>
      </c>
      <c r="BW900" s="58" t="e">
        <f>VLOOKUP(AQ900,'[1]Harga &amp; Nama CSO'!$A$28:$D$31,4,0)*BQ900</f>
        <v>#N/A</v>
      </c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44">
        <f>IFERROR(VLOOKUP(AQ902,'[2]Harga &amp; Nama CSO'!$A$116:$S$136,19,FALSE),0)*AV902</f>
        <v>0</v>
      </c>
      <c r="BO901" s="55" t="e">
        <f>IFERROR(VLOOKUP(AQ901,'[1]Harga &amp; Nama CSO'!$H$2:$N$22,2,FALSE),"")*AV901</f>
        <v>#VALUE!</v>
      </c>
      <c r="BP901" s="40"/>
      <c r="BQ901" s="4"/>
      <c r="BR901" s="61"/>
      <c r="BS901" s="4"/>
      <c r="BT901" s="57" t="e">
        <f t="shared" si="48"/>
        <v>#VALUE!</v>
      </c>
      <c r="BU901" s="62"/>
      <c r="BV901" s="8" t="e">
        <v>#VALUE!</v>
      </c>
      <c r="BW901" s="58" t="e">
        <f>VLOOKUP(AQ901,'[1]Harga &amp; Nama CSO'!$A$28:$D$31,4,0)*BQ901</f>
        <v>#N/A</v>
      </c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44">
        <f>IFERROR(VLOOKUP(AQ903,'[2]Harga &amp; Nama CSO'!$A$116:$S$136,19,FALSE),0)*AV903</f>
        <v>0</v>
      </c>
      <c r="BO902" s="55" t="e">
        <f>IFERROR(VLOOKUP(AQ902,'[1]Harga &amp; Nama CSO'!$H$2:$N$22,2,FALSE),"")*AV902</f>
        <v>#VALUE!</v>
      </c>
      <c r="BP902" s="40"/>
      <c r="BQ902" s="4"/>
      <c r="BR902" s="61"/>
      <c r="BS902" s="4"/>
      <c r="BT902" s="57" t="e">
        <f t="shared" si="48"/>
        <v>#VALUE!</v>
      </c>
      <c r="BU902" s="62"/>
      <c r="BV902" s="8" t="e">
        <v>#VALUE!</v>
      </c>
      <c r="BW902" s="58" t="e">
        <f>VLOOKUP(AQ902,'[1]Harga &amp; Nama CSO'!$A$28:$D$31,4,0)*BQ902</f>
        <v>#N/A</v>
      </c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44">
        <f>IFERROR(VLOOKUP(AQ904,'[2]Harga &amp; Nama CSO'!$A$116:$S$136,19,FALSE),0)*AV904</f>
        <v>0</v>
      </c>
      <c r="BO903" s="55" t="e">
        <f>IFERROR(VLOOKUP(AQ903,'[1]Harga &amp; Nama CSO'!$H$2:$N$22,2,FALSE),"")*AV903</f>
        <v>#VALUE!</v>
      </c>
      <c r="BP903" s="40"/>
      <c r="BQ903" s="4"/>
      <c r="BR903" s="61"/>
      <c r="BS903" s="4"/>
      <c r="BT903" s="57" t="e">
        <f t="shared" si="48"/>
        <v>#VALUE!</v>
      </c>
      <c r="BU903" s="62"/>
      <c r="BV903" s="8" t="e">
        <v>#VALUE!</v>
      </c>
      <c r="BW903" s="58" t="e">
        <f>VLOOKUP(AQ903,'[1]Harga &amp; Nama CSO'!$A$28:$D$31,4,0)*BQ903</f>
        <v>#N/A</v>
      </c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44">
        <f>IFERROR(VLOOKUP(AQ905,'[2]Harga &amp; Nama CSO'!$A$116:$S$136,19,FALSE),0)*AV905</f>
        <v>0</v>
      </c>
      <c r="BO904" s="55" t="e">
        <f>IFERROR(VLOOKUP(AQ904,'[1]Harga &amp; Nama CSO'!$H$2:$N$22,2,FALSE),"")*AV904</f>
        <v>#VALUE!</v>
      </c>
      <c r="BP904" s="40"/>
      <c r="BQ904" s="4"/>
      <c r="BR904" s="61"/>
      <c r="BS904" s="4"/>
      <c r="BT904" s="57" t="e">
        <f t="shared" si="48"/>
        <v>#VALUE!</v>
      </c>
      <c r="BU904" s="62"/>
      <c r="BV904" s="8" t="e">
        <v>#VALUE!</v>
      </c>
      <c r="BW904" s="58" t="e">
        <f>VLOOKUP(AQ904,'[1]Harga &amp; Nama CSO'!$A$28:$D$31,4,0)*BQ904</f>
        <v>#N/A</v>
      </c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44">
        <f>IFERROR(VLOOKUP(AQ906,'[2]Harga &amp; Nama CSO'!$A$116:$S$136,19,FALSE),0)*AV906</f>
        <v>0</v>
      </c>
      <c r="BO905" s="55" t="e">
        <f>IFERROR(VLOOKUP(AQ905,'[1]Harga &amp; Nama CSO'!$H$2:$N$22,2,FALSE),"")*AV905</f>
        <v>#VALUE!</v>
      </c>
      <c r="BP905" s="40"/>
      <c r="BQ905" s="4"/>
      <c r="BR905" s="61"/>
      <c r="BS905" s="4"/>
      <c r="BT905" s="57" t="e">
        <f t="shared" si="48"/>
        <v>#VALUE!</v>
      </c>
      <c r="BU905" s="62"/>
      <c r="BV905" s="8" t="e">
        <v>#VALUE!</v>
      </c>
      <c r="BW905" s="58" t="e">
        <f>VLOOKUP(AQ905,'[1]Harga &amp; Nama CSO'!$A$28:$D$31,4,0)*BQ905</f>
        <v>#N/A</v>
      </c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44">
        <f>IFERROR(VLOOKUP(AQ907,'[2]Harga &amp; Nama CSO'!$A$116:$S$136,19,FALSE),0)*AV907</f>
        <v>0</v>
      </c>
      <c r="BO906" s="55" t="e">
        <f>IFERROR(VLOOKUP(AQ906,'[1]Harga &amp; Nama CSO'!$H$2:$N$22,2,FALSE),"")*AV906</f>
        <v>#VALUE!</v>
      </c>
      <c r="BP906" s="40"/>
      <c r="BQ906" s="4"/>
      <c r="BR906" s="61"/>
      <c r="BS906" s="4"/>
      <c r="BT906" s="57" t="e">
        <f t="shared" si="48"/>
        <v>#VALUE!</v>
      </c>
      <c r="BU906" s="62"/>
      <c r="BV906" s="8" t="e">
        <v>#VALUE!</v>
      </c>
      <c r="BW906" s="58" t="e">
        <f>VLOOKUP(AQ906,'[1]Harga &amp; Nama CSO'!$A$28:$D$31,4,0)*BQ906</f>
        <v>#N/A</v>
      </c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44">
        <f>IFERROR(VLOOKUP(AQ908,'[2]Harga &amp; Nama CSO'!$A$116:$S$136,19,FALSE),0)*AV908</f>
        <v>0</v>
      </c>
      <c r="BO907" s="55" t="e">
        <f>IFERROR(VLOOKUP(AQ907,'[1]Harga &amp; Nama CSO'!$H$2:$N$22,2,FALSE),"")*AV907</f>
        <v>#VALUE!</v>
      </c>
      <c r="BP907" s="40"/>
      <c r="BQ907" s="4"/>
      <c r="BR907" s="61"/>
      <c r="BS907" s="4"/>
      <c r="BT907" s="57" t="e">
        <f t="shared" si="48"/>
        <v>#VALUE!</v>
      </c>
      <c r="BU907" s="62"/>
      <c r="BV907" s="8" t="e">
        <v>#VALUE!</v>
      </c>
      <c r="BW907" s="58" t="e">
        <f>VLOOKUP(AQ907,'[1]Harga &amp; Nama CSO'!$A$28:$D$31,4,0)*BQ907</f>
        <v>#N/A</v>
      </c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44">
        <f>IFERROR(VLOOKUP(AQ909,'[2]Harga &amp; Nama CSO'!$A$116:$S$136,19,FALSE),0)*AV909</f>
        <v>0</v>
      </c>
      <c r="BO908" s="55" t="e">
        <f>IFERROR(VLOOKUP(AQ908,'[1]Harga &amp; Nama CSO'!$H$2:$N$22,2,FALSE),"")*AV908</f>
        <v>#VALUE!</v>
      </c>
      <c r="BP908" s="40"/>
      <c r="BQ908" s="4"/>
      <c r="BR908" s="61"/>
      <c r="BS908" s="4"/>
      <c r="BT908" s="57" t="e">
        <f t="shared" si="48"/>
        <v>#VALUE!</v>
      </c>
      <c r="BU908" s="62"/>
      <c r="BV908" s="8" t="e">
        <v>#VALUE!</v>
      </c>
      <c r="BW908" s="58" t="e">
        <f>VLOOKUP(AQ908,'[1]Harga &amp; Nama CSO'!$A$28:$D$31,4,0)*BQ908</f>
        <v>#N/A</v>
      </c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44">
        <f>IFERROR(VLOOKUP(AQ910,'[2]Harga &amp; Nama CSO'!$A$116:$S$136,19,FALSE),0)*AV910</f>
        <v>0</v>
      </c>
      <c r="BO909" s="55" t="e">
        <f>IFERROR(VLOOKUP(AQ909,'[1]Harga &amp; Nama CSO'!$H$2:$N$22,2,FALSE),"")*AV909</f>
        <v>#VALUE!</v>
      </c>
      <c r="BP909" s="40"/>
      <c r="BQ909" s="4"/>
      <c r="BR909" s="61"/>
      <c r="BS909" s="4"/>
      <c r="BT909" s="57" t="e">
        <f t="shared" si="48"/>
        <v>#VALUE!</v>
      </c>
      <c r="BU909" s="62"/>
      <c r="BV909" s="8" t="e">
        <v>#VALUE!</v>
      </c>
      <c r="BW909" s="58" t="e">
        <f>VLOOKUP(AQ909,'[1]Harga &amp; Nama CSO'!$A$28:$D$31,4,0)*BQ909</f>
        <v>#N/A</v>
      </c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44">
        <f>IFERROR(VLOOKUP(AQ911,'[2]Harga &amp; Nama CSO'!$A$116:$S$136,19,FALSE),0)*AV911</f>
        <v>0</v>
      </c>
      <c r="BO910" s="55" t="e">
        <f>IFERROR(VLOOKUP(AQ910,'[1]Harga &amp; Nama CSO'!$H$2:$N$22,2,FALSE),"")*AV910</f>
        <v>#VALUE!</v>
      </c>
      <c r="BP910" s="40"/>
      <c r="BQ910" s="4"/>
      <c r="BR910" s="61"/>
      <c r="BS910" s="4"/>
      <c r="BT910" s="57" t="e">
        <f t="shared" si="48"/>
        <v>#VALUE!</v>
      </c>
      <c r="BU910" s="62"/>
      <c r="BV910" s="8" t="e">
        <v>#VALUE!</v>
      </c>
      <c r="BW910" s="58" t="e">
        <f>VLOOKUP(AQ910,'[1]Harga &amp; Nama CSO'!$A$28:$D$31,4,0)*BQ910</f>
        <v>#N/A</v>
      </c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44">
        <f>IFERROR(VLOOKUP(AQ912,'[2]Harga &amp; Nama CSO'!$A$116:$S$136,19,FALSE),0)*AV912</f>
        <v>0</v>
      </c>
      <c r="BO911" s="55" t="e">
        <f>IFERROR(VLOOKUP(AQ911,'[1]Harga &amp; Nama CSO'!$H$2:$N$22,2,FALSE),"")*AV911</f>
        <v>#VALUE!</v>
      </c>
      <c r="BP911" s="40"/>
      <c r="BQ911" s="4"/>
      <c r="BR911" s="61"/>
      <c r="BS911" s="4"/>
      <c r="BT911" s="57" t="e">
        <f t="shared" si="48"/>
        <v>#VALUE!</v>
      </c>
      <c r="BU911" s="62"/>
      <c r="BV911" s="8" t="e">
        <v>#VALUE!</v>
      </c>
      <c r="BW911" s="58" t="e">
        <f>VLOOKUP(AQ911,'[1]Harga &amp; Nama CSO'!$A$28:$D$31,4,0)*BQ911</f>
        <v>#N/A</v>
      </c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44">
        <f>IFERROR(VLOOKUP(AQ913,'[2]Harga &amp; Nama CSO'!$A$116:$S$136,19,FALSE),0)*AV913</f>
        <v>0</v>
      </c>
      <c r="BO912" s="55" t="e">
        <f>IFERROR(VLOOKUP(AQ912,'[1]Harga &amp; Nama CSO'!$H$2:$N$22,2,FALSE),"")*AV912</f>
        <v>#VALUE!</v>
      </c>
      <c r="BP912" s="40"/>
      <c r="BQ912" s="4"/>
      <c r="BR912" s="61"/>
      <c r="BS912" s="4"/>
      <c r="BT912" s="57" t="e">
        <f t="shared" si="48"/>
        <v>#VALUE!</v>
      </c>
      <c r="BU912" s="62"/>
      <c r="BV912" s="8" t="e">
        <v>#VALUE!</v>
      </c>
      <c r="BW912" s="58" t="e">
        <f>VLOOKUP(AQ912,'[1]Harga &amp; Nama CSO'!$A$28:$D$31,4,0)*BQ912</f>
        <v>#N/A</v>
      </c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44">
        <f>IFERROR(VLOOKUP(AQ914,'[2]Harga &amp; Nama CSO'!$A$116:$S$136,19,FALSE),0)*AV914</f>
        <v>0</v>
      </c>
      <c r="BO913" s="55" t="e">
        <f>IFERROR(VLOOKUP(AQ913,'[1]Harga &amp; Nama CSO'!$H$2:$N$22,2,FALSE),"")*AV913</f>
        <v>#VALUE!</v>
      </c>
      <c r="BP913" s="40"/>
      <c r="BQ913" s="4"/>
      <c r="BR913" s="61"/>
      <c r="BS913" s="4"/>
      <c r="BT913" s="57" t="e">
        <f t="shared" si="48"/>
        <v>#VALUE!</v>
      </c>
      <c r="BU913" s="62"/>
      <c r="BV913" s="8" t="e">
        <v>#VALUE!</v>
      </c>
      <c r="BW913" s="58" t="e">
        <f>VLOOKUP(AQ913,'[1]Harga &amp; Nama CSO'!$A$28:$D$31,4,0)*BQ913</f>
        <v>#N/A</v>
      </c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44">
        <f>IFERROR(VLOOKUP(AQ915,'[2]Harga &amp; Nama CSO'!$A$116:$S$136,19,FALSE),0)*AV915</f>
        <v>0</v>
      </c>
      <c r="BO914" s="55" t="e">
        <f>IFERROR(VLOOKUP(AQ914,'[1]Harga &amp; Nama CSO'!$H$2:$N$22,2,FALSE),"")*AV914</f>
        <v>#VALUE!</v>
      </c>
      <c r="BP914" s="40"/>
      <c r="BQ914" s="4"/>
      <c r="BR914" s="61"/>
      <c r="BS914" s="4"/>
      <c r="BT914" s="57" t="e">
        <f t="shared" si="48"/>
        <v>#VALUE!</v>
      </c>
      <c r="BU914" s="62"/>
      <c r="BV914" s="8" t="e">
        <v>#VALUE!</v>
      </c>
      <c r="BW914" s="58" t="e">
        <f>VLOOKUP(AQ914,'[1]Harga &amp; Nama CSO'!$A$28:$D$31,4,0)*BQ914</f>
        <v>#N/A</v>
      </c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44">
        <f>IFERROR(VLOOKUP(AQ916,'[2]Harga &amp; Nama CSO'!$A$116:$S$136,19,FALSE),0)*AV916</f>
        <v>0</v>
      </c>
      <c r="BO915" s="55" t="e">
        <f>IFERROR(VLOOKUP(AQ915,'[1]Harga &amp; Nama CSO'!$H$2:$N$22,2,FALSE),"")*AV915</f>
        <v>#VALUE!</v>
      </c>
      <c r="BP915" s="40"/>
      <c r="BQ915" s="4"/>
      <c r="BR915" s="61"/>
      <c r="BS915" s="4"/>
      <c r="BT915" s="57" t="e">
        <f t="shared" si="48"/>
        <v>#VALUE!</v>
      </c>
      <c r="BU915" s="62"/>
      <c r="BV915" s="8" t="e">
        <v>#VALUE!</v>
      </c>
      <c r="BW915" s="58" t="e">
        <f>VLOOKUP(AQ915,'[1]Harga &amp; Nama CSO'!$A$28:$D$31,4,0)*BQ915</f>
        <v>#N/A</v>
      </c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44">
        <f>IFERROR(VLOOKUP(AQ917,'[2]Harga &amp; Nama CSO'!$A$116:$S$136,19,FALSE),0)*AV917</f>
        <v>0</v>
      </c>
      <c r="BO916" s="55" t="e">
        <f>IFERROR(VLOOKUP(AQ916,'[1]Harga &amp; Nama CSO'!$H$2:$N$22,2,FALSE),"")*AV916</f>
        <v>#VALUE!</v>
      </c>
      <c r="BP916" s="40"/>
      <c r="BQ916" s="4"/>
      <c r="BR916" s="61"/>
      <c r="BS916" s="4"/>
      <c r="BT916" s="57" t="e">
        <f t="shared" si="48"/>
        <v>#VALUE!</v>
      </c>
      <c r="BU916" s="62"/>
      <c r="BV916" s="8" t="e">
        <v>#VALUE!</v>
      </c>
      <c r="BW916" s="58" t="e">
        <f>VLOOKUP(AQ916,'[1]Harga &amp; Nama CSO'!$A$28:$D$31,4,0)*BQ916</f>
        <v>#N/A</v>
      </c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44">
        <f>IFERROR(VLOOKUP(AQ918,'[2]Harga &amp; Nama CSO'!$A$116:$S$136,19,FALSE),0)*AV918</f>
        <v>0</v>
      </c>
      <c r="BO917" s="55" t="e">
        <f>IFERROR(VLOOKUP(AQ917,'[1]Harga &amp; Nama CSO'!$H$2:$N$22,2,FALSE),"")*AV917</f>
        <v>#VALUE!</v>
      </c>
      <c r="BP917" s="40"/>
      <c r="BQ917" s="4"/>
      <c r="BR917" s="61"/>
      <c r="BS917" s="4"/>
      <c r="BT917" s="57" t="e">
        <f t="shared" si="48"/>
        <v>#VALUE!</v>
      </c>
      <c r="BU917" s="62"/>
      <c r="BV917" s="8" t="e">
        <v>#VALUE!</v>
      </c>
      <c r="BW917" s="58" t="e">
        <f>VLOOKUP(AQ917,'[1]Harga &amp; Nama CSO'!$A$28:$D$31,4,0)*BQ917</f>
        <v>#N/A</v>
      </c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44">
        <f>IFERROR(VLOOKUP(AQ919,'[2]Harga &amp; Nama CSO'!$A$116:$S$136,19,FALSE),0)*AV919</f>
        <v>0</v>
      </c>
      <c r="BO918" s="55" t="e">
        <f>IFERROR(VLOOKUP(AQ918,'[1]Harga &amp; Nama CSO'!$H$2:$N$22,2,FALSE),"")*AV918</f>
        <v>#VALUE!</v>
      </c>
      <c r="BP918" s="40"/>
      <c r="BQ918" s="4"/>
      <c r="BR918" s="61"/>
      <c r="BS918" s="4"/>
      <c r="BT918" s="57" t="e">
        <f t="shared" si="48"/>
        <v>#VALUE!</v>
      </c>
      <c r="BU918" s="62"/>
      <c r="BV918" s="8" t="e">
        <v>#VALUE!</v>
      </c>
      <c r="BW918" s="58" t="e">
        <f>VLOOKUP(AQ918,'[1]Harga &amp; Nama CSO'!$A$28:$D$31,4,0)*BQ918</f>
        <v>#N/A</v>
      </c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44">
        <f>IFERROR(VLOOKUP(AQ920,'[2]Harga &amp; Nama CSO'!$A$116:$S$136,19,FALSE),0)*AV920</f>
        <v>0</v>
      </c>
      <c r="BO919" s="55" t="e">
        <f>IFERROR(VLOOKUP(AQ919,'[1]Harga &amp; Nama CSO'!$H$2:$N$22,2,FALSE),"")*AV919</f>
        <v>#VALUE!</v>
      </c>
      <c r="BP919" s="40"/>
      <c r="BQ919" s="4"/>
      <c r="BR919" s="61"/>
      <c r="BS919" s="4"/>
      <c r="BT919" s="57" t="e">
        <f t="shared" si="48"/>
        <v>#VALUE!</v>
      </c>
      <c r="BU919" s="62"/>
      <c r="BV919" s="8" t="e">
        <v>#VALUE!</v>
      </c>
      <c r="BW919" s="58" t="e">
        <f>VLOOKUP(AQ919,'[1]Harga &amp; Nama CSO'!$A$28:$D$31,4,0)*BQ919</f>
        <v>#N/A</v>
      </c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44">
        <f>IFERROR(VLOOKUP(AQ921,'[2]Harga &amp; Nama CSO'!$A$116:$S$136,19,FALSE),0)*AV921</f>
        <v>0</v>
      </c>
      <c r="BO920" s="55" t="e">
        <f>IFERROR(VLOOKUP(AQ920,'[1]Harga &amp; Nama CSO'!$H$2:$N$22,2,FALSE),"")*AV920</f>
        <v>#VALUE!</v>
      </c>
      <c r="BP920" s="40"/>
      <c r="BQ920" s="4"/>
      <c r="BR920" s="61"/>
      <c r="BS920" s="4"/>
      <c r="BT920" s="57" t="e">
        <f t="shared" si="48"/>
        <v>#VALUE!</v>
      </c>
      <c r="BU920" s="62"/>
      <c r="BV920" s="8" t="e">
        <v>#VALUE!</v>
      </c>
      <c r="BW920" s="58" t="e">
        <f>VLOOKUP(AQ920,'[1]Harga &amp; Nama CSO'!$A$28:$D$31,4,0)*BQ920</f>
        <v>#N/A</v>
      </c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44">
        <f>IFERROR(VLOOKUP(AQ922,'[2]Harga &amp; Nama CSO'!$A$116:$S$136,19,FALSE),0)*AV922</f>
        <v>0</v>
      </c>
      <c r="BO921" s="55" t="e">
        <f>IFERROR(VLOOKUP(AQ921,'[1]Harga &amp; Nama CSO'!$H$2:$N$22,2,FALSE),"")*AV921</f>
        <v>#VALUE!</v>
      </c>
      <c r="BP921" s="40"/>
      <c r="BQ921" s="4"/>
      <c r="BR921" s="61"/>
      <c r="BS921" s="4"/>
      <c r="BT921" s="57" t="e">
        <f t="shared" si="48"/>
        <v>#VALUE!</v>
      </c>
      <c r="BU921" s="62"/>
      <c r="BV921" s="8" t="e">
        <v>#VALUE!</v>
      </c>
      <c r="BW921" s="58" t="e">
        <f>VLOOKUP(AQ921,'[1]Harga &amp; Nama CSO'!$A$28:$D$31,4,0)*BQ921</f>
        <v>#N/A</v>
      </c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44">
        <f>IFERROR(VLOOKUP(AQ923,'[2]Harga &amp; Nama CSO'!$A$116:$S$136,19,FALSE),0)*AV923</f>
        <v>0</v>
      </c>
      <c r="BO922" s="55" t="e">
        <f>IFERROR(VLOOKUP(AQ922,'[1]Harga &amp; Nama CSO'!$H$2:$N$22,2,FALSE),"")*AV922</f>
        <v>#VALUE!</v>
      </c>
      <c r="BP922" s="40"/>
      <c r="BQ922" s="4"/>
      <c r="BR922" s="61"/>
      <c r="BS922" s="4"/>
      <c r="BT922" s="57" t="e">
        <f t="shared" si="48"/>
        <v>#VALUE!</v>
      </c>
      <c r="BU922" s="62"/>
      <c r="BV922" s="8" t="e">
        <v>#VALUE!</v>
      </c>
      <c r="BW922" s="58" t="e">
        <f>VLOOKUP(AQ922,'[1]Harga &amp; Nama CSO'!$A$28:$D$31,4,0)*BQ922</f>
        <v>#N/A</v>
      </c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44">
        <f>IFERROR(VLOOKUP(AQ924,'[2]Harga &amp; Nama CSO'!$A$116:$S$136,19,FALSE),0)*AV924</f>
        <v>0</v>
      </c>
      <c r="BO923" s="55" t="e">
        <f>IFERROR(VLOOKUP(AQ923,'[1]Harga &amp; Nama CSO'!$H$2:$N$22,2,FALSE),"")*AV923</f>
        <v>#VALUE!</v>
      </c>
      <c r="BP923" s="40"/>
      <c r="BQ923" s="4"/>
      <c r="BR923" s="61"/>
      <c r="BS923" s="4"/>
      <c r="BT923" s="57" t="e">
        <f t="shared" si="48"/>
        <v>#VALUE!</v>
      </c>
      <c r="BU923" s="62"/>
      <c r="BV923" s="8" t="e">
        <v>#VALUE!</v>
      </c>
      <c r="BW923" s="58" t="e">
        <f>VLOOKUP(AQ923,'[1]Harga &amp; Nama CSO'!$A$28:$D$31,4,0)*BQ923</f>
        <v>#N/A</v>
      </c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44">
        <f>IFERROR(VLOOKUP(AQ925,'[2]Harga &amp; Nama CSO'!$A$116:$S$136,19,FALSE),0)*AV925</f>
        <v>0</v>
      </c>
      <c r="BO924" s="55" t="e">
        <f>IFERROR(VLOOKUP(AQ924,'[1]Harga &amp; Nama CSO'!$H$2:$N$22,2,FALSE),"")*AV924</f>
        <v>#VALUE!</v>
      </c>
      <c r="BP924" s="40"/>
      <c r="BQ924" s="4"/>
      <c r="BR924" s="61"/>
      <c r="BS924" s="4"/>
      <c r="BT924" s="57" t="e">
        <f t="shared" si="48"/>
        <v>#VALUE!</v>
      </c>
      <c r="BU924" s="62"/>
      <c r="BV924" s="8" t="e">
        <v>#VALUE!</v>
      </c>
      <c r="BW924" s="58" t="e">
        <f>VLOOKUP(AQ924,'[1]Harga &amp; Nama CSO'!$A$28:$D$31,4,0)*BQ924</f>
        <v>#N/A</v>
      </c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44">
        <f>IFERROR(VLOOKUP(AQ926,'[2]Harga &amp; Nama CSO'!$A$116:$S$136,19,FALSE),0)*AV926</f>
        <v>0</v>
      </c>
      <c r="BO925" s="55" t="e">
        <f>IFERROR(VLOOKUP(AQ925,'[1]Harga &amp; Nama CSO'!$H$2:$N$22,2,FALSE),"")*AV925</f>
        <v>#VALUE!</v>
      </c>
      <c r="BP925" s="40"/>
      <c r="BQ925" s="4"/>
      <c r="BR925" s="61"/>
      <c r="BS925" s="4"/>
      <c r="BT925" s="57" t="e">
        <f t="shared" si="48"/>
        <v>#VALUE!</v>
      </c>
      <c r="BU925" s="62"/>
      <c r="BV925" s="8" t="e">
        <v>#VALUE!</v>
      </c>
      <c r="BW925" s="58" t="e">
        <f>VLOOKUP(AQ925,'[1]Harga &amp; Nama CSO'!$A$28:$D$31,4,0)*BQ925</f>
        <v>#N/A</v>
      </c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44">
        <f>IFERROR(VLOOKUP(AQ927,'[2]Harga &amp; Nama CSO'!$A$116:$S$136,19,FALSE),0)*AV927</f>
        <v>0</v>
      </c>
      <c r="BO926" s="55" t="e">
        <f>IFERROR(VLOOKUP(AQ926,'[1]Harga &amp; Nama CSO'!$H$2:$N$22,2,FALSE),"")*AV926</f>
        <v>#VALUE!</v>
      </c>
      <c r="BP926" s="40"/>
      <c r="BQ926" s="4"/>
      <c r="BR926" s="61"/>
      <c r="BS926" s="4"/>
      <c r="BT926" s="57" t="e">
        <f t="shared" si="48"/>
        <v>#VALUE!</v>
      </c>
      <c r="BU926" s="62"/>
      <c r="BV926" s="8" t="e">
        <v>#VALUE!</v>
      </c>
      <c r="BW926" s="58" t="e">
        <f>VLOOKUP(AQ926,'[1]Harga &amp; Nama CSO'!$A$28:$D$31,4,0)*BQ926</f>
        <v>#N/A</v>
      </c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44">
        <f>IFERROR(VLOOKUP(AQ928,'[2]Harga &amp; Nama CSO'!$A$116:$S$136,19,FALSE),0)*AV928</f>
        <v>0</v>
      </c>
      <c r="BO927" s="55" t="e">
        <f>IFERROR(VLOOKUP(AQ927,'[1]Harga &amp; Nama CSO'!$H$2:$N$22,2,FALSE),"")*AV927</f>
        <v>#VALUE!</v>
      </c>
      <c r="BP927" s="40"/>
      <c r="BQ927" s="4"/>
      <c r="BR927" s="61"/>
      <c r="BS927" s="4"/>
      <c r="BT927" s="57" t="e">
        <f t="shared" si="48"/>
        <v>#VALUE!</v>
      </c>
      <c r="BU927" s="62"/>
      <c r="BV927" s="8" t="e">
        <v>#VALUE!</v>
      </c>
      <c r="BW927" s="58" t="e">
        <f>VLOOKUP(AQ927,'[1]Harga &amp; Nama CSO'!$A$28:$D$31,4,0)*BQ927</f>
        <v>#N/A</v>
      </c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44">
        <f>IFERROR(VLOOKUP(AQ929,'[2]Harga &amp; Nama CSO'!$A$116:$S$136,19,FALSE),0)*AV929</f>
        <v>0</v>
      </c>
      <c r="BO928" s="55" t="e">
        <f>IFERROR(VLOOKUP(AQ928,'[1]Harga &amp; Nama CSO'!$H$2:$N$22,2,FALSE),"")*AV928</f>
        <v>#VALUE!</v>
      </c>
      <c r="BP928" s="40"/>
      <c r="BQ928" s="4"/>
      <c r="BR928" s="61"/>
      <c r="BS928" s="4"/>
      <c r="BT928" s="57" t="e">
        <f t="shared" si="48"/>
        <v>#VALUE!</v>
      </c>
      <c r="BU928" s="62"/>
      <c r="BV928" s="8" t="e">
        <v>#VALUE!</v>
      </c>
      <c r="BW928" s="58" t="e">
        <f>VLOOKUP(AQ928,'[1]Harga &amp; Nama CSO'!$A$28:$D$31,4,0)*BQ928</f>
        <v>#N/A</v>
      </c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44">
        <f>IFERROR(VLOOKUP(AQ930,'[2]Harga &amp; Nama CSO'!$A$116:$S$136,19,FALSE),0)*AV930</f>
        <v>0</v>
      </c>
      <c r="BO929" s="55" t="e">
        <f>IFERROR(VLOOKUP(AQ929,'[1]Harga &amp; Nama CSO'!$H$2:$N$22,2,FALSE),"")*AV929</f>
        <v>#VALUE!</v>
      </c>
      <c r="BP929" s="40"/>
      <c r="BQ929" s="4"/>
      <c r="BR929" s="61"/>
      <c r="BS929" s="4"/>
      <c r="BT929" s="57" t="e">
        <f t="shared" si="48"/>
        <v>#VALUE!</v>
      </c>
      <c r="BU929" s="62"/>
      <c r="BV929" s="8" t="e">
        <v>#VALUE!</v>
      </c>
      <c r="BW929" s="58" t="e">
        <f>VLOOKUP(AQ929,'[1]Harga &amp; Nama CSO'!$A$28:$D$31,4,0)*BQ929</f>
        <v>#N/A</v>
      </c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44">
        <f>IFERROR(VLOOKUP(AQ931,'[2]Harga &amp; Nama CSO'!$A$116:$S$136,19,FALSE),0)*AV931</f>
        <v>0</v>
      </c>
      <c r="BO930" s="55" t="e">
        <f>IFERROR(VLOOKUP(AQ930,'[1]Harga &amp; Nama CSO'!$H$2:$N$22,2,FALSE),"")*AV930</f>
        <v>#VALUE!</v>
      </c>
      <c r="BP930" s="40"/>
      <c r="BQ930" s="4"/>
      <c r="BR930" s="61"/>
      <c r="BS930" s="4"/>
      <c r="BT930" s="57" t="e">
        <f t="shared" si="48"/>
        <v>#VALUE!</v>
      </c>
      <c r="BU930" s="62"/>
      <c r="BV930" s="8" t="e">
        <v>#VALUE!</v>
      </c>
      <c r="BW930" s="58" t="e">
        <f>VLOOKUP(AQ930,'[1]Harga &amp; Nama CSO'!$A$28:$D$31,4,0)*BQ930</f>
        <v>#N/A</v>
      </c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44">
        <f>IFERROR(VLOOKUP(AQ932,'[2]Harga &amp; Nama CSO'!$A$116:$S$136,19,FALSE),0)*AV932</f>
        <v>0</v>
      </c>
      <c r="BO931" s="55" t="e">
        <f>IFERROR(VLOOKUP(AQ931,'[1]Harga &amp; Nama CSO'!$H$2:$N$22,2,FALSE),"")*AV931</f>
        <v>#VALUE!</v>
      </c>
      <c r="BP931" s="40"/>
      <c r="BQ931" s="4"/>
      <c r="BR931" s="61"/>
      <c r="BS931" s="4"/>
      <c r="BT931" s="57" t="e">
        <f t="shared" si="48"/>
        <v>#VALUE!</v>
      </c>
      <c r="BU931" s="62"/>
      <c r="BV931" s="8" t="e">
        <v>#VALUE!</v>
      </c>
      <c r="BW931" s="58" t="e">
        <f>VLOOKUP(AQ931,'[1]Harga &amp; Nama CSO'!$A$28:$D$31,4,0)*BQ931</f>
        <v>#N/A</v>
      </c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44">
        <f>IFERROR(VLOOKUP(AQ933,'[2]Harga &amp; Nama CSO'!$A$116:$S$136,19,FALSE),0)*AV933</f>
        <v>0</v>
      </c>
      <c r="BO932" s="55" t="e">
        <f>IFERROR(VLOOKUP(AQ932,'[1]Harga &amp; Nama CSO'!$H$2:$N$22,2,FALSE),"")*AV932</f>
        <v>#VALUE!</v>
      </c>
      <c r="BP932" s="40"/>
      <c r="BQ932" s="4"/>
      <c r="BR932" s="61"/>
      <c r="BS932" s="4"/>
      <c r="BT932" s="57" t="e">
        <f t="shared" si="48"/>
        <v>#VALUE!</v>
      </c>
      <c r="BU932" s="62"/>
      <c r="BV932" s="8" t="e">
        <v>#VALUE!</v>
      </c>
      <c r="BW932" s="58" t="e">
        <f>VLOOKUP(AQ932,'[1]Harga &amp; Nama CSO'!$A$28:$D$31,4,0)*BQ932</f>
        <v>#N/A</v>
      </c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44">
        <f>IFERROR(VLOOKUP(AQ934,'[2]Harga &amp; Nama CSO'!$A$116:$S$136,19,FALSE),0)*AV934</f>
        <v>0</v>
      </c>
      <c r="BO933" s="55" t="e">
        <f>IFERROR(VLOOKUP(AQ933,'[1]Harga &amp; Nama CSO'!$H$2:$N$22,2,FALSE),"")*AV933</f>
        <v>#VALUE!</v>
      </c>
      <c r="BP933" s="40"/>
      <c r="BQ933" s="4"/>
      <c r="BR933" s="61"/>
      <c r="BS933" s="4"/>
      <c r="BT933" s="57" t="e">
        <f t="shared" si="48"/>
        <v>#VALUE!</v>
      </c>
      <c r="BU933" s="62"/>
      <c r="BV933" s="8" t="e">
        <v>#VALUE!</v>
      </c>
      <c r="BW933" s="58" t="e">
        <f>VLOOKUP(AQ933,'[1]Harga &amp; Nama CSO'!$A$28:$D$31,4,0)*BQ933</f>
        <v>#N/A</v>
      </c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44">
        <f>IFERROR(VLOOKUP(AQ935,'[2]Harga &amp; Nama CSO'!$A$116:$S$136,19,FALSE),0)*AV935</f>
        <v>0</v>
      </c>
      <c r="BO934" s="55" t="e">
        <f>IFERROR(VLOOKUP(AQ934,'[1]Harga &amp; Nama CSO'!$H$2:$N$22,2,FALSE),"")*AV934</f>
        <v>#VALUE!</v>
      </c>
      <c r="BP934" s="40"/>
      <c r="BQ934" s="4"/>
      <c r="BR934" s="61"/>
      <c r="BS934" s="4"/>
      <c r="BT934" s="57" t="e">
        <f t="shared" si="48"/>
        <v>#VALUE!</v>
      </c>
      <c r="BU934" s="62"/>
      <c r="BV934" s="8" t="e">
        <v>#VALUE!</v>
      </c>
      <c r="BW934" s="58" t="e">
        <f>VLOOKUP(AQ934,'[1]Harga &amp; Nama CSO'!$A$28:$D$31,4,0)*BQ934</f>
        <v>#N/A</v>
      </c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44">
        <f>IFERROR(VLOOKUP(AQ936,'[2]Harga &amp; Nama CSO'!$A$116:$S$136,19,FALSE),0)*AV936</f>
        <v>0</v>
      </c>
      <c r="BO935" s="55" t="e">
        <f>IFERROR(VLOOKUP(AQ935,'[1]Harga &amp; Nama CSO'!$H$2:$N$22,2,FALSE),"")*AV935</f>
        <v>#VALUE!</v>
      </c>
      <c r="BP935" s="40"/>
      <c r="BQ935" s="4"/>
      <c r="BR935" s="61"/>
      <c r="BS935" s="4"/>
      <c r="BT935" s="57" t="e">
        <f t="shared" si="48"/>
        <v>#VALUE!</v>
      </c>
      <c r="BU935" s="62"/>
      <c r="BV935" s="8" t="e">
        <v>#VALUE!</v>
      </c>
      <c r="BW935" s="58" t="e">
        <f>VLOOKUP(AQ935,'[1]Harga &amp; Nama CSO'!$A$28:$D$31,4,0)*BQ935</f>
        <v>#N/A</v>
      </c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44">
        <f>IFERROR(VLOOKUP(AQ937,'[2]Harga &amp; Nama CSO'!$A$116:$S$136,19,FALSE),0)*AV937</f>
        <v>0</v>
      </c>
      <c r="BO936" s="55" t="e">
        <f>IFERROR(VLOOKUP(AQ936,'[1]Harga &amp; Nama CSO'!$H$2:$N$22,2,FALSE),"")*AV936</f>
        <v>#VALUE!</v>
      </c>
      <c r="BP936" s="40"/>
      <c r="BQ936" s="4"/>
      <c r="BR936" s="61"/>
      <c r="BS936" s="4"/>
      <c r="BT936" s="57" t="e">
        <f t="shared" si="48"/>
        <v>#VALUE!</v>
      </c>
      <c r="BU936" s="62"/>
      <c r="BV936" s="8" t="e">
        <v>#VALUE!</v>
      </c>
      <c r="BW936" s="58" t="e">
        <f>VLOOKUP(AQ936,'[1]Harga &amp; Nama CSO'!$A$28:$D$31,4,0)*BQ936</f>
        <v>#N/A</v>
      </c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44">
        <f>IFERROR(VLOOKUP(AQ938,'[2]Harga &amp; Nama CSO'!$A$116:$S$136,19,FALSE),0)*AV938</f>
        <v>0</v>
      </c>
      <c r="BO937" s="55" t="e">
        <f>IFERROR(VLOOKUP(AQ937,'[1]Harga &amp; Nama CSO'!$H$2:$N$22,2,FALSE),"")*AV937</f>
        <v>#VALUE!</v>
      </c>
      <c r="BP937" s="40"/>
      <c r="BQ937" s="4"/>
      <c r="BR937" s="61"/>
      <c r="BS937" s="4"/>
      <c r="BT937" s="57" t="e">
        <f t="shared" si="48"/>
        <v>#VALUE!</v>
      </c>
      <c r="BU937" s="62"/>
      <c r="BV937" s="8" t="e">
        <v>#VALUE!</v>
      </c>
      <c r="BW937" s="58" t="e">
        <f>VLOOKUP(AQ937,'[1]Harga &amp; Nama CSO'!$A$28:$D$31,4,0)*BQ937</f>
        <v>#N/A</v>
      </c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44">
        <f>IFERROR(VLOOKUP(AQ939,'[2]Harga &amp; Nama CSO'!$A$116:$S$136,19,FALSE),0)*AV939</f>
        <v>0</v>
      </c>
      <c r="BO938" s="55" t="e">
        <f>IFERROR(VLOOKUP(AQ938,'[1]Harga &amp; Nama CSO'!$H$2:$N$22,2,FALSE),"")*AV938</f>
        <v>#VALUE!</v>
      </c>
      <c r="BP938" s="40"/>
      <c r="BQ938" s="4"/>
      <c r="BR938" s="61"/>
      <c r="BS938" s="4"/>
      <c r="BT938" s="57" t="e">
        <f t="shared" si="48"/>
        <v>#VALUE!</v>
      </c>
      <c r="BU938" s="62"/>
      <c r="BV938" s="8" t="e">
        <v>#VALUE!</v>
      </c>
      <c r="BW938" s="58" t="e">
        <f>VLOOKUP(AQ938,'[1]Harga &amp; Nama CSO'!$A$28:$D$31,4,0)*BQ938</f>
        <v>#N/A</v>
      </c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44">
        <f>IFERROR(VLOOKUP(AQ940,'[2]Harga &amp; Nama CSO'!$A$116:$S$136,19,FALSE),0)*AV940</f>
        <v>0</v>
      </c>
      <c r="BO939" s="55" t="e">
        <f>IFERROR(VLOOKUP(AQ939,'[1]Harga &amp; Nama CSO'!$H$2:$N$22,2,FALSE),"")*AV939</f>
        <v>#VALUE!</v>
      </c>
      <c r="BP939" s="40"/>
      <c r="BQ939" s="4"/>
      <c r="BR939" s="61"/>
      <c r="BS939" s="4"/>
      <c r="BT939" s="57" t="e">
        <f t="shared" si="48"/>
        <v>#VALUE!</v>
      </c>
      <c r="BU939" s="62"/>
      <c r="BV939" s="8" t="e">
        <v>#VALUE!</v>
      </c>
      <c r="BW939" s="58" t="e">
        <f>VLOOKUP(AQ939,'[1]Harga &amp; Nama CSO'!$A$28:$D$31,4,0)*BQ939</f>
        <v>#N/A</v>
      </c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44">
        <f>IFERROR(VLOOKUP(AQ941,'[2]Harga &amp; Nama CSO'!$A$116:$S$136,19,FALSE),0)*AV941</f>
        <v>0</v>
      </c>
      <c r="BO940" s="55" t="e">
        <f>IFERROR(VLOOKUP(AQ940,'[1]Harga &amp; Nama CSO'!$H$2:$N$22,2,FALSE),"")*AV940</f>
        <v>#VALUE!</v>
      </c>
      <c r="BP940" s="40"/>
      <c r="BQ940" s="4"/>
      <c r="BR940" s="61"/>
      <c r="BS940" s="4"/>
      <c r="BT940" s="57" t="e">
        <f t="shared" si="48"/>
        <v>#VALUE!</v>
      </c>
      <c r="BU940" s="62"/>
      <c r="BV940" s="8" t="e">
        <v>#VALUE!</v>
      </c>
      <c r="BW940" s="58" t="e">
        <f>VLOOKUP(AQ940,'[1]Harga &amp; Nama CSO'!$A$28:$D$31,4,0)*BQ940</f>
        <v>#N/A</v>
      </c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44">
        <f>IFERROR(VLOOKUP(AQ942,'[2]Harga &amp; Nama CSO'!$A$116:$S$136,19,FALSE),0)*AV942</f>
        <v>0</v>
      </c>
      <c r="BO941" s="55" t="e">
        <f>IFERROR(VLOOKUP(AQ941,'[1]Harga &amp; Nama CSO'!$H$2:$N$22,2,FALSE),"")*AV941</f>
        <v>#VALUE!</v>
      </c>
      <c r="BP941" s="40"/>
      <c r="BQ941" s="4"/>
      <c r="BR941" s="61"/>
      <c r="BS941" s="4"/>
      <c r="BT941" s="57" t="e">
        <f t="shared" si="48"/>
        <v>#VALUE!</v>
      </c>
      <c r="BU941" s="62"/>
      <c r="BV941" s="8" t="e">
        <v>#VALUE!</v>
      </c>
      <c r="BW941" s="58" t="e">
        <f>VLOOKUP(AQ941,'[1]Harga &amp; Nama CSO'!$A$28:$D$31,4,0)*BQ941</f>
        <v>#N/A</v>
      </c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44">
        <f>IFERROR(VLOOKUP(AQ943,'[2]Harga &amp; Nama CSO'!$A$116:$S$136,19,FALSE),0)*AV943</f>
        <v>0</v>
      </c>
      <c r="BO942" s="55" t="e">
        <f>IFERROR(VLOOKUP(AQ942,'[1]Harga &amp; Nama CSO'!$H$2:$N$22,2,FALSE),"")*AV942</f>
        <v>#VALUE!</v>
      </c>
      <c r="BP942" s="40"/>
      <c r="BQ942" s="4"/>
      <c r="BR942" s="61"/>
      <c r="BS942" s="4"/>
      <c r="BT942" s="57" t="e">
        <f t="shared" si="48"/>
        <v>#VALUE!</v>
      </c>
      <c r="BU942" s="62"/>
      <c r="BV942" s="8" t="e">
        <v>#VALUE!</v>
      </c>
      <c r="BW942" s="58" t="e">
        <f>VLOOKUP(AQ942,'[1]Harga &amp; Nama CSO'!$A$28:$D$31,4,0)*BQ942</f>
        <v>#N/A</v>
      </c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44">
        <f>IFERROR(VLOOKUP(AQ944,'[2]Harga &amp; Nama CSO'!$A$116:$S$136,19,FALSE),0)*AV944</f>
        <v>0</v>
      </c>
      <c r="BO943" s="55" t="e">
        <f>IFERROR(VLOOKUP(AQ943,'[1]Harga &amp; Nama CSO'!$H$2:$N$22,2,FALSE),"")*AV943</f>
        <v>#VALUE!</v>
      </c>
      <c r="BP943" s="40"/>
      <c r="BQ943" s="4"/>
      <c r="BR943" s="61"/>
      <c r="BS943" s="4"/>
      <c r="BT943" s="57" t="e">
        <f t="shared" si="48"/>
        <v>#VALUE!</v>
      </c>
      <c r="BU943" s="62"/>
      <c r="BV943" s="8" t="e">
        <v>#VALUE!</v>
      </c>
      <c r="BW943" s="58" t="e">
        <f>VLOOKUP(AQ943,'[1]Harga &amp; Nama CSO'!$A$28:$D$31,4,0)*BQ943</f>
        <v>#N/A</v>
      </c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44">
        <f>IFERROR(VLOOKUP(AQ945,'[2]Harga &amp; Nama CSO'!$A$116:$S$136,19,FALSE),0)*AV945</f>
        <v>0</v>
      </c>
      <c r="BO944" s="55" t="e">
        <f>IFERROR(VLOOKUP(AQ944,'[1]Harga &amp; Nama CSO'!$H$2:$N$22,2,FALSE),"")*AV944</f>
        <v>#VALUE!</v>
      </c>
      <c r="BP944" s="40"/>
      <c r="BQ944" s="4"/>
      <c r="BR944" s="61"/>
      <c r="BS944" s="4"/>
      <c r="BT944" s="57" t="e">
        <f t="shared" si="48"/>
        <v>#VALUE!</v>
      </c>
      <c r="BU944" s="62"/>
      <c r="BV944" s="8" t="e">
        <v>#VALUE!</v>
      </c>
      <c r="BW944" s="58" t="e">
        <f>VLOOKUP(AQ944,'[1]Harga &amp; Nama CSO'!$A$28:$D$31,4,0)*BQ944</f>
        <v>#N/A</v>
      </c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44">
        <f>IFERROR(VLOOKUP(AQ946,'[2]Harga &amp; Nama CSO'!$A$116:$S$136,19,FALSE),0)*AV946</f>
        <v>0</v>
      </c>
      <c r="BO945" s="55" t="e">
        <f>IFERROR(VLOOKUP(AQ945,'[1]Harga &amp; Nama CSO'!$H$2:$N$22,2,FALSE),"")*AV945</f>
        <v>#VALUE!</v>
      </c>
      <c r="BP945" s="40"/>
      <c r="BQ945" s="4"/>
      <c r="BR945" s="61"/>
      <c r="BS945" s="4"/>
      <c r="BT945" s="57" t="e">
        <f t="shared" si="48"/>
        <v>#VALUE!</v>
      </c>
      <c r="BU945" s="62"/>
      <c r="BV945" s="8" t="e">
        <v>#VALUE!</v>
      </c>
      <c r="BW945" s="58" t="e">
        <f>VLOOKUP(AQ945,'[1]Harga &amp; Nama CSO'!$A$28:$D$31,4,0)*BQ945</f>
        <v>#N/A</v>
      </c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44">
        <f>IFERROR(VLOOKUP(AQ947,'[2]Harga &amp; Nama CSO'!$A$116:$S$136,19,FALSE),0)*AV947</f>
        <v>0</v>
      </c>
      <c r="BO946" s="55" t="e">
        <f>IFERROR(VLOOKUP(AQ946,'[1]Harga &amp; Nama CSO'!$H$2:$N$22,2,FALSE),"")*AV946</f>
        <v>#VALUE!</v>
      </c>
      <c r="BP946" s="40"/>
      <c r="BQ946" s="4"/>
      <c r="BR946" s="61"/>
      <c r="BS946" s="4"/>
      <c r="BT946" s="57" t="e">
        <f t="shared" si="48"/>
        <v>#VALUE!</v>
      </c>
      <c r="BU946" s="62"/>
      <c r="BV946" s="8" t="e">
        <v>#VALUE!</v>
      </c>
      <c r="BW946" s="58" t="e">
        <f>VLOOKUP(AQ946,'[1]Harga &amp; Nama CSO'!$A$28:$D$31,4,0)*BQ946</f>
        <v>#N/A</v>
      </c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44">
        <f>IFERROR(VLOOKUP(AQ948,'[2]Harga &amp; Nama CSO'!$A$116:$S$136,19,FALSE),0)*AV948</f>
        <v>0</v>
      </c>
      <c r="BO947" s="55" t="e">
        <f>IFERROR(VLOOKUP(AQ947,'[1]Harga &amp; Nama CSO'!$H$2:$N$22,2,FALSE),"")*AV947</f>
        <v>#VALUE!</v>
      </c>
      <c r="BP947" s="40"/>
      <c r="BQ947" s="4"/>
      <c r="BR947" s="61"/>
      <c r="BS947" s="4"/>
      <c r="BT947" s="57" t="e">
        <f t="shared" si="48"/>
        <v>#VALUE!</v>
      </c>
      <c r="BU947" s="62"/>
      <c r="BV947" s="8" t="e">
        <v>#VALUE!</v>
      </c>
      <c r="BW947" s="58" t="e">
        <f>VLOOKUP(AQ947,'[1]Harga &amp; Nama CSO'!$A$28:$D$31,4,0)*BQ947</f>
        <v>#N/A</v>
      </c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44">
        <f>IFERROR(VLOOKUP(AQ949,'[2]Harga &amp; Nama CSO'!$A$116:$S$136,19,FALSE),0)*AV949</f>
        <v>0</v>
      </c>
      <c r="BO948" s="55" t="e">
        <f>IFERROR(VLOOKUP(AQ948,'[1]Harga &amp; Nama CSO'!$H$2:$N$22,2,FALSE),"")*AV948</f>
        <v>#VALUE!</v>
      </c>
      <c r="BP948" s="40"/>
      <c r="BQ948" s="4"/>
      <c r="BR948" s="61"/>
      <c r="BS948" s="4"/>
      <c r="BT948" s="57" t="e">
        <f t="shared" si="48"/>
        <v>#VALUE!</v>
      </c>
      <c r="BU948" s="62"/>
      <c r="BV948" s="8" t="e">
        <v>#VALUE!</v>
      </c>
      <c r="BW948" s="58" t="e">
        <f>VLOOKUP(AQ948,'[1]Harga &amp; Nama CSO'!$A$28:$D$31,4,0)*BQ948</f>
        <v>#N/A</v>
      </c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44">
        <f>IFERROR(VLOOKUP(AQ950,'[2]Harga &amp; Nama CSO'!$A$116:$S$136,19,FALSE),0)*AV950</f>
        <v>0</v>
      </c>
      <c r="BO949" s="55" t="e">
        <f>IFERROR(VLOOKUP(AQ949,'[1]Harga &amp; Nama CSO'!$H$2:$N$22,2,FALSE),"")*AV949</f>
        <v>#VALUE!</v>
      </c>
      <c r="BP949" s="40"/>
      <c r="BQ949" s="4"/>
      <c r="BR949" s="61"/>
      <c r="BS949" s="4"/>
      <c r="BT949" s="57" t="e">
        <f t="shared" si="48"/>
        <v>#VALUE!</v>
      </c>
      <c r="BU949" s="62"/>
      <c r="BV949" s="8" t="e">
        <v>#VALUE!</v>
      </c>
      <c r="BW949" s="58" t="e">
        <f>VLOOKUP(AQ949,'[1]Harga &amp; Nama CSO'!$A$28:$D$31,4,0)*BQ949</f>
        <v>#N/A</v>
      </c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44">
        <f>IFERROR(VLOOKUP(AQ951,'[2]Harga &amp; Nama CSO'!$A$116:$S$136,19,FALSE),0)*AV951</f>
        <v>0</v>
      </c>
      <c r="BO950" s="55" t="e">
        <f>IFERROR(VLOOKUP(AQ950,'[1]Harga &amp; Nama CSO'!$H$2:$N$22,2,FALSE),"")*AV950</f>
        <v>#VALUE!</v>
      </c>
      <c r="BP950" s="40"/>
      <c r="BQ950" s="4"/>
      <c r="BR950" s="61"/>
      <c r="BS950" s="4"/>
      <c r="BT950" s="57" t="e">
        <f t="shared" si="48"/>
        <v>#VALUE!</v>
      </c>
      <c r="BU950" s="62"/>
      <c r="BV950" s="8" t="e">
        <v>#VALUE!</v>
      </c>
      <c r="BW950" s="58" t="e">
        <f>VLOOKUP(AQ950,'[1]Harga &amp; Nama CSO'!$A$28:$D$31,4,0)*BQ950</f>
        <v>#N/A</v>
      </c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44">
        <f>IFERROR(VLOOKUP(AQ952,'[2]Harga &amp; Nama CSO'!$A$116:$S$136,19,FALSE),0)*AV952</f>
        <v>0</v>
      </c>
      <c r="BO951" s="55" t="e">
        <f>IFERROR(VLOOKUP(AQ951,'[1]Harga &amp; Nama CSO'!$H$2:$N$22,2,FALSE),"")*AV951</f>
        <v>#VALUE!</v>
      </c>
      <c r="BP951" s="40"/>
      <c r="BQ951" s="4"/>
      <c r="BR951" s="61"/>
      <c r="BS951" s="4"/>
      <c r="BT951" s="57" t="e">
        <f t="shared" si="48"/>
        <v>#VALUE!</v>
      </c>
      <c r="BU951" s="62"/>
      <c r="BV951" s="8" t="e">
        <v>#VALUE!</v>
      </c>
      <c r="BW951" s="58" t="e">
        <f>VLOOKUP(AQ951,'[1]Harga &amp; Nama CSO'!$A$28:$D$31,4,0)*BQ951</f>
        <v>#N/A</v>
      </c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44">
        <f>IFERROR(VLOOKUP(AQ953,'[2]Harga &amp; Nama CSO'!$A$116:$S$136,19,FALSE),0)*AV953</f>
        <v>0</v>
      </c>
      <c r="BO952" s="55" t="e">
        <f>IFERROR(VLOOKUP(AQ952,'[1]Harga &amp; Nama CSO'!$H$2:$N$22,2,FALSE),"")*AV952</f>
        <v>#VALUE!</v>
      </c>
      <c r="BP952" s="40"/>
      <c r="BQ952" s="4"/>
      <c r="BR952" s="61"/>
      <c r="BS952" s="4"/>
      <c r="BT952" s="57" t="e">
        <f t="shared" si="48"/>
        <v>#VALUE!</v>
      </c>
      <c r="BU952" s="62"/>
      <c r="BV952" s="8" t="e">
        <v>#VALUE!</v>
      </c>
      <c r="BW952" s="58" t="e">
        <f>VLOOKUP(AQ952,'[1]Harga &amp; Nama CSO'!$A$28:$D$31,4,0)*BQ952</f>
        <v>#N/A</v>
      </c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44">
        <f>IFERROR(VLOOKUP(AQ954,'[2]Harga &amp; Nama CSO'!$A$116:$S$136,19,FALSE),0)*AV954</f>
        <v>0</v>
      </c>
      <c r="BO953" s="55" t="e">
        <f>IFERROR(VLOOKUP(AQ953,'[1]Harga &amp; Nama CSO'!$H$2:$N$22,2,FALSE),"")*AV953</f>
        <v>#VALUE!</v>
      </c>
      <c r="BP953" s="40"/>
      <c r="BQ953" s="4"/>
      <c r="BR953" s="61"/>
      <c r="BS953" s="4"/>
      <c r="BT953" s="57" t="e">
        <f t="shared" si="48"/>
        <v>#VALUE!</v>
      </c>
      <c r="BU953" s="62"/>
      <c r="BV953" s="8" t="e">
        <v>#VALUE!</v>
      </c>
      <c r="BW953" s="58" t="e">
        <f>VLOOKUP(AQ953,'[1]Harga &amp; Nama CSO'!$A$28:$D$31,4,0)*BQ953</f>
        <v>#N/A</v>
      </c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44">
        <f>IFERROR(VLOOKUP(AQ955,'[2]Harga &amp; Nama CSO'!$A$116:$S$136,19,FALSE),0)*AV955</f>
        <v>0</v>
      </c>
      <c r="BO954" s="55" t="e">
        <f>IFERROR(VLOOKUP(AQ954,'[1]Harga &amp; Nama CSO'!$H$2:$N$22,2,FALSE),"")*AV954</f>
        <v>#VALUE!</v>
      </c>
      <c r="BP954" s="40"/>
      <c r="BQ954" s="4"/>
      <c r="BR954" s="61"/>
      <c r="BS954" s="4"/>
      <c r="BT954" s="57" t="e">
        <f t="shared" si="48"/>
        <v>#VALUE!</v>
      </c>
      <c r="BU954" s="62"/>
      <c r="BV954" s="8" t="e">
        <v>#VALUE!</v>
      </c>
      <c r="BW954" s="58" t="e">
        <f>VLOOKUP(AQ954,'[1]Harga &amp; Nama CSO'!$A$28:$D$31,4,0)*BQ954</f>
        <v>#N/A</v>
      </c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44">
        <f>IFERROR(VLOOKUP(AQ956,'[2]Harga &amp; Nama CSO'!$A$116:$S$136,19,FALSE),0)*AV956</f>
        <v>0</v>
      </c>
      <c r="BO955" s="55" t="e">
        <f>IFERROR(VLOOKUP(AQ955,'[1]Harga &amp; Nama CSO'!$H$2:$N$22,2,FALSE),"")*AV955</f>
        <v>#VALUE!</v>
      </c>
      <c r="BP955" s="40"/>
      <c r="BQ955" s="4"/>
      <c r="BR955" s="61"/>
      <c r="BS955" s="4"/>
      <c r="BT955" s="57" t="e">
        <f t="shared" si="48"/>
        <v>#VALUE!</v>
      </c>
      <c r="BU955" s="62"/>
      <c r="BV955" s="8" t="e">
        <v>#VALUE!</v>
      </c>
      <c r="BW955" s="58" t="e">
        <f>VLOOKUP(AQ955,'[1]Harga &amp; Nama CSO'!$A$28:$D$31,4,0)*BQ955</f>
        <v>#N/A</v>
      </c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44">
        <f>IFERROR(VLOOKUP(AQ957,'[2]Harga &amp; Nama CSO'!$A$116:$S$136,19,FALSE),0)*AV957</f>
        <v>0</v>
      </c>
      <c r="BO956" s="55" t="e">
        <f>IFERROR(VLOOKUP(AQ956,'[1]Harga &amp; Nama CSO'!$H$2:$N$22,2,FALSE),"")*AV956</f>
        <v>#VALUE!</v>
      </c>
      <c r="BP956" s="40"/>
      <c r="BQ956" s="4"/>
      <c r="BR956" s="61"/>
      <c r="BS956" s="4"/>
      <c r="BT956" s="57" t="e">
        <f t="shared" si="48"/>
        <v>#VALUE!</v>
      </c>
      <c r="BU956" s="62"/>
      <c r="BV956" s="8" t="e">
        <v>#VALUE!</v>
      </c>
      <c r="BW956" s="58" t="e">
        <f>VLOOKUP(AQ956,'[1]Harga &amp; Nama CSO'!$A$28:$D$31,4,0)*BQ956</f>
        <v>#N/A</v>
      </c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44">
        <f>IFERROR(VLOOKUP(AQ958,'[2]Harga &amp; Nama CSO'!$A$116:$S$136,19,FALSE),0)*AV958</f>
        <v>0</v>
      </c>
      <c r="BO957" s="55" t="e">
        <f>IFERROR(VLOOKUP(AQ957,'[1]Harga &amp; Nama CSO'!$H$2:$N$22,2,FALSE),"")*AV957</f>
        <v>#VALUE!</v>
      </c>
      <c r="BP957" s="40"/>
      <c r="BQ957" s="4"/>
      <c r="BR957" s="61"/>
      <c r="BS957" s="4"/>
      <c r="BT957" s="57" t="e">
        <f t="shared" si="48"/>
        <v>#VALUE!</v>
      </c>
      <c r="BU957" s="62"/>
      <c r="BV957" s="8" t="e">
        <v>#VALUE!</v>
      </c>
      <c r="BW957" s="58" t="e">
        <f>VLOOKUP(AQ957,'[1]Harga &amp; Nama CSO'!$A$28:$D$31,4,0)*BQ957</f>
        <v>#N/A</v>
      </c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44">
        <f>IFERROR(VLOOKUP(AQ959,'[2]Harga &amp; Nama CSO'!$A$116:$S$136,19,FALSE),0)*AV959</f>
        <v>0</v>
      </c>
      <c r="BO958" s="55" t="e">
        <f>IFERROR(VLOOKUP(AQ958,'[1]Harga &amp; Nama CSO'!$H$2:$N$22,2,FALSE),"")*AV958</f>
        <v>#VALUE!</v>
      </c>
      <c r="BP958" s="40"/>
      <c r="BQ958" s="4"/>
      <c r="BR958" s="61"/>
      <c r="BS958" s="4"/>
      <c r="BT958" s="57" t="e">
        <f t="shared" si="48"/>
        <v>#VALUE!</v>
      </c>
      <c r="BU958" s="62"/>
      <c r="BV958" s="8" t="e">
        <v>#VALUE!</v>
      </c>
      <c r="BW958" s="58" t="e">
        <f>VLOOKUP(AQ958,'[1]Harga &amp; Nama CSO'!$A$28:$D$31,4,0)*BQ958</f>
        <v>#N/A</v>
      </c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44">
        <f>IFERROR(VLOOKUP(AQ960,'[2]Harga &amp; Nama CSO'!$A$116:$S$136,19,FALSE),0)*AV960</f>
        <v>0</v>
      </c>
      <c r="BO959" s="55" t="e">
        <f>IFERROR(VLOOKUP(AQ959,'[1]Harga &amp; Nama CSO'!$H$2:$N$22,2,FALSE),"")*AV959</f>
        <v>#VALUE!</v>
      </c>
      <c r="BP959" s="40"/>
      <c r="BQ959" s="4"/>
      <c r="BR959" s="61"/>
      <c r="BS959" s="4"/>
      <c r="BT959" s="57" t="e">
        <f t="shared" si="48"/>
        <v>#VALUE!</v>
      </c>
      <c r="BU959" s="62"/>
      <c r="BV959" s="8" t="e">
        <v>#VALUE!</v>
      </c>
      <c r="BW959" s="58" t="e">
        <f>VLOOKUP(AQ959,'[1]Harga &amp; Nama CSO'!$A$28:$D$31,4,0)*BQ959</f>
        <v>#N/A</v>
      </c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44">
        <f>IFERROR(VLOOKUP(AQ961,'[2]Harga &amp; Nama CSO'!$A$116:$S$136,19,FALSE),0)*AV961</f>
        <v>0</v>
      </c>
      <c r="BO960" s="55" t="e">
        <f>IFERROR(VLOOKUP(AQ960,'[1]Harga &amp; Nama CSO'!$H$2:$N$22,2,FALSE),"")*AV960</f>
        <v>#VALUE!</v>
      </c>
      <c r="BP960" s="40"/>
      <c r="BQ960" s="4"/>
      <c r="BR960" s="61"/>
      <c r="BS960" s="4"/>
      <c r="BT960" s="57" t="e">
        <f t="shared" si="48"/>
        <v>#VALUE!</v>
      </c>
      <c r="BU960" s="62"/>
      <c r="BV960" s="8" t="e">
        <v>#VALUE!</v>
      </c>
      <c r="BW960" s="58" t="e">
        <f>VLOOKUP(AQ960,'[1]Harga &amp; Nama CSO'!$A$28:$D$31,4,0)*BQ960</f>
        <v>#N/A</v>
      </c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44">
        <f>IFERROR(VLOOKUP(AQ962,'[2]Harga &amp; Nama CSO'!$A$116:$S$136,19,FALSE),0)*AV962</f>
        <v>0</v>
      </c>
      <c r="BO961" s="55" t="e">
        <f>IFERROR(VLOOKUP(AQ961,'[1]Harga &amp; Nama CSO'!$H$2:$N$22,2,FALSE),"")*AV961</f>
        <v>#VALUE!</v>
      </c>
      <c r="BP961" s="40"/>
      <c r="BQ961" s="4"/>
      <c r="BR961" s="61"/>
      <c r="BS961" s="4"/>
      <c r="BT961" s="57" t="e">
        <f t="shared" si="48"/>
        <v>#VALUE!</v>
      </c>
      <c r="BU961" s="62"/>
      <c r="BV961" s="8" t="e">
        <v>#VALUE!</v>
      </c>
      <c r="BW961" s="58" t="e">
        <f>VLOOKUP(AQ961,'[1]Harga &amp; Nama CSO'!$A$28:$D$31,4,0)*BQ961</f>
        <v>#N/A</v>
      </c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44">
        <f>IFERROR(VLOOKUP(AQ963,'[2]Harga &amp; Nama CSO'!$A$116:$S$136,19,FALSE),0)*AV963</f>
        <v>0</v>
      </c>
      <c r="BO962" s="55" t="e">
        <f>IFERROR(VLOOKUP(AQ962,'[1]Harga &amp; Nama CSO'!$H$2:$N$22,2,FALSE),"")*AV962</f>
        <v>#VALUE!</v>
      </c>
      <c r="BP962" s="40"/>
      <c r="BQ962" s="4"/>
      <c r="BR962" s="61"/>
      <c r="BS962" s="4"/>
      <c r="BT962" s="57" t="e">
        <f t="shared" si="48"/>
        <v>#VALUE!</v>
      </c>
      <c r="BU962" s="62"/>
      <c r="BV962" s="8" t="e">
        <v>#VALUE!</v>
      </c>
      <c r="BW962" s="58" t="e">
        <f>VLOOKUP(AQ962,'[1]Harga &amp; Nama CSO'!$A$28:$D$31,4,0)*BQ962</f>
        <v>#N/A</v>
      </c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44">
        <f>IFERROR(VLOOKUP(AQ964,'[2]Harga &amp; Nama CSO'!$A$116:$S$136,19,FALSE),0)*AV964</f>
        <v>0</v>
      </c>
      <c r="BO963" s="55" t="e">
        <f>IFERROR(VLOOKUP(AQ963,'[1]Harga &amp; Nama CSO'!$H$2:$N$22,2,FALSE),"")*AV963</f>
        <v>#VALUE!</v>
      </c>
      <c r="BP963" s="40"/>
      <c r="BQ963" s="4"/>
      <c r="BR963" s="61"/>
      <c r="BS963" s="4"/>
      <c r="BT963" s="57" t="e">
        <f t="shared" ref="BT963:BT1026" si="49">BO963-BR963</f>
        <v>#VALUE!</v>
      </c>
      <c r="BU963" s="62"/>
      <c r="BV963" s="8" t="e">
        <v>#VALUE!</v>
      </c>
      <c r="BW963" s="58" t="e">
        <f>VLOOKUP(AQ963,'[1]Harga &amp; Nama CSO'!$A$28:$D$31,4,0)*BQ963</f>
        <v>#N/A</v>
      </c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44">
        <f>IFERROR(VLOOKUP(AQ965,'[2]Harga &amp; Nama CSO'!$A$116:$S$136,19,FALSE),0)*AV965</f>
        <v>0</v>
      </c>
      <c r="BO964" s="55" t="e">
        <f>IFERROR(VLOOKUP(AQ964,'[1]Harga &amp; Nama CSO'!$H$2:$N$22,2,FALSE),"")*AV964</f>
        <v>#VALUE!</v>
      </c>
      <c r="BP964" s="40"/>
      <c r="BQ964" s="4"/>
      <c r="BR964" s="61"/>
      <c r="BS964" s="4"/>
      <c r="BT964" s="57" t="e">
        <f t="shared" si="49"/>
        <v>#VALUE!</v>
      </c>
      <c r="BU964" s="62"/>
      <c r="BV964" s="8" t="e">
        <v>#VALUE!</v>
      </c>
      <c r="BW964" s="58" t="e">
        <f>VLOOKUP(AQ964,'[1]Harga &amp; Nama CSO'!$A$28:$D$31,4,0)*BQ964</f>
        <v>#N/A</v>
      </c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44">
        <f>IFERROR(VLOOKUP(AQ966,'[2]Harga &amp; Nama CSO'!$A$116:$S$136,19,FALSE),0)*AV966</f>
        <v>0</v>
      </c>
      <c r="BO965" s="55" t="e">
        <f>IFERROR(VLOOKUP(AQ965,'[1]Harga &amp; Nama CSO'!$H$2:$N$22,2,FALSE),"")*AV965</f>
        <v>#VALUE!</v>
      </c>
      <c r="BP965" s="40"/>
      <c r="BQ965" s="4"/>
      <c r="BR965" s="61"/>
      <c r="BS965" s="4"/>
      <c r="BT965" s="57" t="e">
        <f t="shared" si="49"/>
        <v>#VALUE!</v>
      </c>
      <c r="BU965" s="62"/>
      <c r="BV965" s="8" t="e">
        <v>#VALUE!</v>
      </c>
      <c r="BW965" s="58" t="e">
        <f>VLOOKUP(AQ965,'[1]Harga &amp; Nama CSO'!$A$28:$D$31,4,0)*BQ965</f>
        <v>#N/A</v>
      </c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44">
        <f>IFERROR(VLOOKUP(AQ967,'[2]Harga &amp; Nama CSO'!$A$116:$S$136,19,FALSE),0)*AV967</f>
        <v>0</v>
      </c>
      <c r="BO966" s="55" t="e">
        <f>IFERROR(VLOOKUP(AQ966,'[1]Harga &amp; Nama CSO'!$H$2:$N$22,2,FALSE),"")*AV966</f>
        <v>#VALUE!</v>
      </c>
      <c r="BP966" s="40"/>
      <c r="BQ966" s="4"/>
      <c r="BR966" s="61"/>
      <c r="BS966" s="4"/>
      <c r="BT966" s="57" t="e">
        <f t="shared" si="49"/>
        <v>#VALUE!</v>
      </c>
      <c r="BU966" s="62"/>
      <c r="BV966" s="8" t="e">
        <v>#VALUE!</v>
      </c>
      <c r="BW966" s="58" t="e">
        <f>VLOOKUP(AQ966,'[1]Harga &amp; Nama CSO'!$A$28:$D$31,4,0)*BQ966</f>
        <v>#N/A</v>
      </c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44">
        <f>IFERROR(VLOOKUP(AQ968,'[2]Harga &amp; Nama CSO'!$A$116:$S$136,19,FALSE),0)*AV968</f>
        <v>0</v>
      </c>
      <c r="BO967" s="55" t="e">
        <f>IFERROR(VLOOKUP(AQ967,'[1]Harga &amp; Nama CSO'!$H$2:$N$22,2,FALSE),"")*AV967</f>
        <v>#VALUE!</v>
      </c>
      <c r="BP967" s="40"/>
      <c r="BQ967" s="4"/>
      <c r="BR967" s="61"/>
      <c r="BS967" s="4"/>
      <c r="BT967" s="57" t="e">
        <f t="shared" si="49"/>
        <v>#VALUE!</v>
      </c>
      <c r="BU967" s="62"/>
      <c r="BV967" s="8" t="e">
        <v>#VALUE!</v>
      </c>
      <c r="BW967" s="58" t="e">
        <f>VLOOKUP(AQ967,'[1]Harga &amp; Nama CSO'!$A$28:$D$31,4,0)*BQ967</f>
        <v>#N/A</v>
      </c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44">
        <f>IFERROR(VLOOKUP(AQ969,'[2]Harga &amp; Nama CSO'!$A$116:$S$136,19,FALSE),0)*AV969</f>
        <v>0</v>
      </c>
      <c r="BO968" s="55" t="e">
        <f>IFERROR(VLOOKUP(AQ968,'[1]Harga &amp; Nama CSO'!$H$2:$N$22,2,FALSE),"")*AV968</f>
        <v>#VALUE!</v>
      </c>
      <c r="BP968" s="40"/>
      <c r="BQ968" s="4"/>
      <c r="BR968" s="61"/>
      <c r="BS968" s="4"/>
      <c r="BT968" s="57" t="e">
        <f t="shared" si="49"/>
        <v>#VALUE!</v>
      </c>
      <c r="BU968" s="62"/>
      <c r="BV968" s="8" t="e">
        <v>#VALUE!</v>
      </c>
      <c r="BW968" s="58" t="e">
        <f>VLOOKUP(AQ968,'[1]Harga &amp; Nama CSO'!$A$28:$D$31,4,0)*BQ968</f>
        <v>#N/A</v>
      </c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44">
        <f>IFERROR(VLOOKUP(AQ970,'[2]Harga &amp; Nama CSO'!$A$116:$S$136,19,FALSE),0)*AV970</f>
        <v>0</v>
      </c>
      <c r="BO969" s="55" t="e">
        <f>IFERROR(VLOOKUP(AQ969,'[1]Harga &amp; Nama CSO'!$H$2:$N$22,2,FALSE),"")*AV969</f>
        <v>#VALUE!</v>
      </c>
      <c r="BP969" s="40"/>
      <c r="BQ969" s="4"/>
      <c r="BR969" s="61"/>
      <c r="BS969" s="4"/>
      <c r="BT969" s="57" t="e">
        <f t="shared" si="49"/>
        <v>#VALUE!</v>
      </c>
      <c r="BU969" s="62"/>
      <c r="BV969" s="8" t="e">
        <v>#VALUE!</v>
      </c>
      <c r="BW969" s="58" t="e">
        <f>VLOOKUP(AQ969,'[1]Harga &amp; Nama CSO'!$A$28:$D$31,4,0)*BQ969</f>
        <v>#N/A</v>
      </c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44">
        <f>IFERROR(VLOOKUP(AQ971,'[2]Harga &amp; Nama CSO'!$A$116:$S$136,19,FALSE),0)*AV971</f>
        <v>0</v>
      </c>
      <c r="BO970" s="55" t="e">
        <f>IFERROR(VLOOKUP(AQ970,'[1]Harga &amp; Nama CSO'!$H$2:$N$22,2,FALSE),"")*AV970</f>
        <v>#VALUE!</v>
      </c>
      <c r="BP970" s="40"/>
      <c r="BQ970" s="4"/>
      <c r="BR970" s="61"/>
      <c r="BS970" s="4"/>
      <c r="BT970" s="57" t="e">
        <f t="shared" si="49"/>
        <v>#VALUE!</v>
      </c>
      <c r="BU970" s="62"/>
      <c r="BV970" s="8" t="e">
        <v>#VALUE!</v>
      </c>
      <c r="BW970" s="58" t="e">
        <f>VLOOKUP(AQ970,'[1]Harga &amp; Nama CSO'!$A$28:$D$31,4,0)*BQ970</f>
        <v>#N/A</v>
      </c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44">
        <f>IFERROR(VLOOKUP(AQ972,'[2]Harga &amp; Nama CSO'!$A$116:$S$136,19,FALSE),0)*AV972</f>
        <v>0</v>
      </c>
      <c r="BO971" s="55" t="e">
        <f>IFERROR(VLOOKUP(AQ971,'[1]Harga &amp; Nama CSO'!$H$2:$N$22,2,FALSE),"")*AV971</f>
        <v>#VALUE!</v>
      </c>
      <c r="BP971" s="40"/>
      <c r="BQ971" s="4"/>
      <c r="BR971" s="61"/>
      <c r="BS971" s="4"/>
      <c r="BT971" s="57" t="e">
        <f t="shared" si="49"/>
        <v>#VALUE!</v>
      </c>
      <c r="BU971" s="62"/>
      <c r="BV971" s="8" t="e">
        <v>#VALUE!</v>
      </c>
      <c r="BW971" s="58" t="e">
        <f>VLOOKUP(AQ971,'[1]Harga &amp; Nama CSO'!$A$28:$D$31,4,0)*BQ971</f>
        <v>#N/A</v>
      </c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44">
        <f>IFERROR(VLOOKUP(AQ973,'[2]Harga &amp; Nama CSO'!$A$116:$S$136,19,FALSE),0)*AV973</f>
        <v>0</v>
      </c>
      <c r="BO972" s="55" t="e">
        <f>IFERROR(VLOOKUP(AQ972,'[1]Harga &amp; Nama CSO'!$H$2:$N$22,2,FALSE),"")*AV972</f>
        <v>#VALUE!</v>
      </c>
      <c r="BP972" s="40"/>
      <c r="BQ972" s="4"/>
      <c r="BR972" s="61"/>
      <c r="BS972" s="4"/>
      <c r="BT972" s="57" t="e">
        <f t="shared" si="49"/>
        <v>#VALUE!</v>
      </c>
      <c r="BU972" s="62"/>
      <c r="BV972" s="8" t="e">
        <v>#VALUE!</v>
      </c>
      <c r="BW972" s="58" t="e">
        <f>VLOOKUP(AQ972,'[1]Harga &amp; Nama CSO'!$A$28:$D$31,4,0)*BQ972</f>
        <v>#N/A</v>
      </c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44">
        <f>IFERROR(VLOOKUP(AQ974,'[2]Harga &amp; Nama CSO'!$A$116:$S$136,19,FALSE),0)*AV974</f>
        <v>0</v>
      </c>
      <c r="BO973" s="55" t="e">
        <f>IFERROR(VLOOKUP(AQ973,'[1]Harga &amp; Nama CSO'!$H$2:$N$22,2,FALSE),"")*AV973</f>
        <v>#VALUE!</v>
      </c>
      <c r="BP973" s="40"/>
      <c r="BQ973" s="4"/>
      <c r="BR973" s="61"/>
      <c r="BS973" s="4"/>
      <c r="BT973" s="57" t="e">
        <f t="shared" si="49"/>
        <v>#VALUE!</v>
      </c>
      <c r="BU973" s="62"/>
      <c r="BV973" s="8" t="e">
        <v>#VALUE!</v>
      </c>
      <c r="BW973" s="58" t="e">
        <f>VLOOKUP(AQ973,'[1]Harga &amp; Nama CSO'!$A$28:$D$31,4,0)*BQ973</f>
        <v>#N/A</v>
      </c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44">
        <f>IFERROR(VLOOKUP(AQ975,'[2]Harga &amp; Nama CSO'!$A$116:$S$136,19,FALSE),0)*AV975</f>
        <v>0</v>
      </c>
      <c r="BO974" s="55" t="e">
        <f>IFERROR(VLOOKUP(AQ974,'[1]Harga &amp; Nama CSO'!$H$2:$N$22,2,FALSE),"")*AV974</f>
        <v>#VALUE!</v>
      </c>
      <c r="BP974" s="40"/>
      <c r="BQ974" s="4"/>
      <c r="BR974" s="61"/>
      <c r="BS974" s="4"/>
      <c r="BT974" s="57" t="e">
        <f t="shared" si="49"/>
        <v>#VALUE!</v>
      </c>
      <c r="BU974" s="62"/>
      <c r="BV974" s="8" t="e">
        <v>#VALUE!</v>
      </c>
      <c r="BW974" s="58" t="e">
        <f>VLOOKUP(AQ974,'[1]Harga &amp; Nama CSO'!$A$28:$D$31,4,0)*BQ974</f>
        <v>#N/A</v>
      </c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44">
        <f>IFERROR(VLOOKUP(AQ976,'[2]Harga &amp; Nama CSO'!$A$116:$S$136,19,FALSE),0)*AV976</f>
        <v>0</v>
      </c>
      <c r="BO975" s="55" t="e">
        <f>IFERROR(VLOOKUP(AQ975,'[1]Harga &amp; Nama CSO'!$H$2:$N$22,2,FALSE),"")*AV975</f>
        <v>#VALUE!</v>
      </c>
      <c r="BP975" s="40"/>
      <c r="BQ975" s="4"/>
      <c r="BR975" s="61"/>
      <c r="BS975" s="4"/>
      <c r="BT975" s="57" t="e">
        <f t="shared" si="49"/>
        <v>#VALUE!</v>
      </c>
      <c r="BU975" s="62"/>
      <c r="BV975" s="8" t="e">
        <v>#VALUE!</v>
      </c>
      <c r="BW975" s="58" t="e">
        <f>VLOOKUP(AQ975,'[1]Harga &amp; Nama CSO'!$A$28:$D$31,4,0)*BQ975</f>
        <v>#N/A</v>
      </c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44">
        <f>IFERROR(VLOOKUP(AQ977,'[2]Harga &amp; Nama CSO'!$A$116:$S$136,19,FALSE),0)*AV977</f>
        <v>0</v>
      </c>
      <c r="BO976" s="55" t="e">
        <f>IFERROR(VLOOKUP(AQ976,'[1]Harga &amp; Nama CSO'!$H$2:$N$22,2,FALSE),"")*AV976</f>
        <v>#VALUE!</v>
      </c>
      <c r="BP976" s="40"/>
      <c r="BQ976" s="4"/>
      <c r="BR976" s="61"/>
      <c r="BS976" s="4"/>
      <c r="BT976" s="57" t="e">
        <f t="shared" si="49"/>
        <v>#VALUE!</v>
      </c>
      <c r="BU976" s="62"/>
      <c r="BV976" s="8" t="e">
        <v>#VALUE!</v>
      </c>
      <c r="BW976" s="58" t="e">
        <f>VLOOKUP(AQ976,'[1]Harga &amp; Nama CSO'!$A$28:$D$31,4,0)*BQ976</f>
        <v>#N/A</v>
      </c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44">
        <f>IFERROR(VLOOKUP(AQ978,'[2]Harga &amp; Nama CSO'!$A$116:$S$136,19,FALSE),0)*AV978</f>
        <v>0</v>
      </c>
      <c r="BO977" s="55" t="e">
        <f>IFERROR(VLOOKUP(AQ977,'[1]Harga &amp; Nama CSO'!$H$2:$N$22,2,FALSE),"")*AV977</f>
        <v>#VALUE!</v>
      </c>
      <c r="BP977" s="40"/>
      <c r="BQ977" s="4"/>
      <c r="BR977" s="61"/>
      <c r="BS977" s="4"/>
      <c r="BT977" s="57" t="e">
        <f t="shared" si="49"/>
        <v>#VALUE!</v>
      </c>
      <c r="BU977" s="62"/>
      <c r="BV977" s="8" t="e">
        <v>#VALUE!</v>
      </c>
      <c r="BW977" s="58" t="e">
        <f>VLOOKUP(AQ977,'[1]Harga &amp; Nama CSO'!$A$28:$D$31,4,0)*BQ977</f>
        <v>#N/A</v>
      </c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44">
        <f>IFERROR(VLOOKUP(AQ979,'[2]Harga &amp; Nama CSO'!$A$116:$S$136,19,FALSE),0)*AV979</f>
        <v>0</v>
      </c>
      <c r="BO978" s="55" t="e">
        <f>IFERROR(VLOOKUP(AQ978,'[1]Harga &amp; Nama CSO'!$H$2:$N$22,2,FALSE),"")*AV978</f>
        <v>#VALUE!</v>
      </c>
      <c r="BP978" s="40"/>
      <c r="BQ978" s="4"/>
      <c r="BR978" s="61"/>
      <c r="BS978" s="4"/>
      <c r="BT978" s="57" t="e">
        <f t="shared" si="49"/>
        <v>#VALUE!</v>
      </c>
      <c r="BU978" s="62"/>
      <c r="BV978" s="8" t="e">
        <v>#VALUE!</v>
      </c>
      <c r="BW978" s="58" t="e">
        <f>VLOOKUP(AQ978,'[1]Harga &amp; Nama CSO'!$A$28:$D$31,4,0)*BQ978</f>
        <v>#N/A</v>
      </c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44">
        <f>IFERROR(VLOOKUP(AQ980,'[2]Harga &amp; Nama CSO'!$A$116:$S$136,19,FALSE),0)*AV980</f>
        <v>0</v>
      </c>
      <c r="BO979" s="55" t="e">
        <f>IFERROR(VLOOKUP(AQ979,'[1]Harga &amp; Nama CSO'!$H$2:$N$22,2,FALSE),"")*AV979</f>
        <v>#VALUE!</v>
      </c>
      <c r="BP979" s="40"/>
      <c r="BQ979" s="4"/>
      <c r="BR979" s="61"/>
      <c r="BS979" s="4"/>
      <c r="BT979" s="57" t="e">
        <f t="shared" si="49"/>
        <v>#VALUE!</v>
      </c>
      <c r="BU979" s="62"/>
      <c r="BV979" s="8" t="e">
        <v>#VALUE!</v>
      </c>
      <c r="BW979" s="58" t="e">
        <f>VLOOKUP(AQ979,'[1]Harga &amp; Nama CSO'!$A$28:$D$31,4,0)*BQ979</f>
        <v>#N/A</v>
      </c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44">
        <f>IFERROR(VLOOKUP(AQ981,'[2]Harga &amp; Nama CSO'!$A$116:$S$136,19,FALSE),0)*AV981</f>
        <v>0</v>
      </c>
      <c r="BO980" s="55" t="e">
        <f>IFERROR(VLOOKUP(AQ980,'[1]Harga &amp; Nama CSO'!$H$2:$N$22,2,FALSE),"")*AV980</f>
        <v>#VALUE!</v>
      </c>
      <c r="BP980" s="40"/>
      <c r="BQ980" s="4"/>
      <c r="BR980" s="61"/>
      <c r="BS980" s="4"/>
      <c r="BT980" s="57" t="e">
        <f t="shared" si="49"/>
        <v>#VALUE!</v>
      </c>
      <c r="BU980" s="62"/>
      <c r="BV980" s="8" t="e">
        <v>#VALUE!</v>
      </c>
      <c r="BW980" s="58" t="e">
        <f>VLOOKUP(AQ980,'[1]Harga &amp; Nama CSO'!$A$28:$D$31,4,0)*BQ980</f>
        <v>#N/A</v>
      </c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44">
        <f>IFERROR(VLOOKUP(AQ982,'[2]Harga &amp; Nama CSO'!$A$116:$S$136,19,FALSE),0)*AV982</f>
        <v>0</v>
      </c>
      <c r="BO981" s="55" t="e">
        <f>IFERROR(VLOOKUP(AQ981,'[1]Harga &amp; Nama CSO'!$H$2:$N$22,2,FALSE),"")*AV981</f>
        <v>#VALUE!</v>
      </c>
      <c r="BP981" s="40"/>
      <c r="BQ981" s="4"/>
      <c r="BR981" s="61"/>
      <c r="BS981" s="4"/>
      <c r="BT981" s="57" t="e">
        <f t="shared" si="49"/>
        <v>#VALUE!</v>
      </c>
      <c r="BU981" s="62"/>
      <c r="BV981" s="8" t="e">
        <v>#VALUE!</v>
      </c>
      <c r="BW981" s="58" t="e">
        <f>VLOOKUP(AQ981,'[1]Harga &amp; Nama CSO'!$A$28:$D$31,4,0)*BQ981</f>
        <v>#N/A</v>
      </c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44">
        <f>IFERROR(VLOOKUP(AQ983,'[2]Harga &amp; Nama CSO'!$A$116:$S$136,19,FALSE),0)*AV983</f>
        <v>0</v>
      </c>
      <c r="BO982" s="55" t="e">
        <f>IFERROR(VLOOKUP(AQ982,'[1]Harga &amp; Nama CSO'!$H$2:$N$22,2,FALSE),"")*AV982</f>
        <v>#VALUE!</v>
      </c>
      <c r="BP982" s="40"/>
      <c r="BQ982" s="4"/>
      <c r="BR982" s="61"/>
      <c r="BS982" s="4"/>
      <c r="BT982" s="57" t="e">
        <f t="shared" si="49"/>
        <v>#VALUE!</v>
      </c>
      <c r="BU982" s="62"/>
      <c r="BV982" s="8" t="e">
        <v>#VALUE!</v>
      </c>
      <c r="BW982" s="58" t="e">
        <f>VLOOKUP(AQ982,'[1]Harga &amp; Nama CSO'!$A$28:$D$31,4,0)*BQ982</f>
        <v>#N/A</v>
      </c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44">
        <f>IFERROR(VLOOKUP(AQ984,'[2]Harga &amp; Nama CSO'!$A$116:$S$136,19,FALSE),0)*AV984</f>
        <v>0</v>
      </c>
      <c r="BO983" s="55" t="e">
        <f>IFERROR(VLOOKUP(AQ983,'[1]Harga &amp; Nama CSO'!$H$2:$N$22,2,FALSE),"")*AV983</f>
        <v>#VALUE!</v>
      </c>
      <c r="BP983" s="40"/>
      <c r="BQ983" s="4"/>
      <c r="BR983" s="61"/>
      <c r="BS983" s="4"/>
      <c r="BT983" s="57" t="e">
        <f t="shared" si="49"/>
        <v>#VALUE!</v>
      </c>
      <c r="BU983" s="62"/>
      <c r="BV983" s="8" t="e">
        <v>#VALUE!</v>
      </c>
      <c r="BW983" s="58" t="e">
        <f>VLOOKUP(AQ983,'[1]Harga &amp; Nama CSO'!$A$28:$D$31,4,0)*BQ983</f>
        <v>#N/A</v>
      </c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44">
        <f>IFERROR(VLOOKUP(AQ985,'[2]Harga &amp; Nama CSO'!$A$116:$S$136,19,FALSE),0)*AV985</f>
        <v>0</v>
      </c>
      <c r="BO984" s="55" t="e">
        <f>IFERROR(VLOOKUP(AQ984,'[1]Harga &amp; Nama CSO'!$H$2:$N$22,2,FALSE),"")*AV984</f>
        <v>#VALUE!</v>
      </c>
      <c r="BP984" s="40"/>
      <c r="BQ984" s="4"/>
      <c r="BR984" s="61"/>
      <c r="BS984" s="4"/>
      <c r="BT984" s="57" t="e">
        <f t="shared" si="49"/>
        <v>#VALUE!</v>
      </c>
      <c r="BU984" s="62"/>
      <c r="BV984" s="8" t="e">
        <v>#VALUE!</v>
      </c>
      <c r="BW984" s="58" t="e">
        <f>VLOOKUP(AQ984,'[1]Harga &amp; Nama CSO'!$A$28:$D$31,4,0)*BQ984</f>
        <v>#N/A</v>
      </c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44">
        <f>IFERROR(VLOOKUP(AQ986,'[2]Harga &amp; Nama CSO'!$A$116:$S$136,19,FALSE),0)*AV986</f>
        <v>0</v>
      </c>
      <c r="BO985" s="55" t="e">
        <f>IFERROR(VLOOKUP(AQ985,'[1]Harga &amp; Nama CSO'!$H$2:$N$22,2,FALSE),"")*AV985</f>
        <v>#VALUE!</v>
      </c>
      <c r="BP985" s="40"/>
      <c r="BQ985" s="4"/>
      <c r="BR985" s="61"/>
      <c r="BS985" s="4"/>
      <c r="BT985" s="57" t="e">
        <f t="shared" si="49"/>
        <v>#VALUE!</v>
      </c>
      <c r="BU985" s="62"/>
      <c r="BV985" s="8" t="e">
        <v>#VALUE!</v>
      </c>
      <c r="BW985" s="58" t="e">
        <f>VLOOKUP(AQ985,'[1]Harga &amp; Nama CSO'!$A$28:$D$31,4,0)*BQ985</f>
        <v>#N/A</v>
      </c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44">
        <f>IFERROR(VLOOKUP(AQ987,'[2]Harga &amp; Nama CSO'!$A$116:$S$136,19,FALSE),0)*AV987</f>
        <v>0</v>
      </c>
      <c r="BO986" s="55" t="e">
        <f>IFERROR(VLOOKUP(AQ986,'[1]Harga &amp; Nama CSO'!$H$2:$N$22,2,FALSE),"")*AV986</f>
        <v>#VALUE!</v>
      </c>
      <c r="BP986" s="40"/>
      <c r="BQ986" s="4"/>
      <c r="BR986" s="61"/>
      <c r="BS986" s="4"/>
      <c r="BT986" s="57" t="e">
        <f t="shared" si="49"/>
        <v>#VALUE!</v>
      </c>
      <c r="BU986" s="62"/>
      <c r="BV986" s="8" t="e">
        <v>#VALUE!</v>
      </c>
      <c r="BW986" s="58" t="e">
        <f>VLOOKUP(AQ986,'[1]Harga &amp; Nama CSO'!$A$28:$D$31,4,0)*BQ986</f>
        <v>#N/A</v>
      </c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44">
        <f>IFERROR(VLOOKUP(AQ988,'[2]Harga &amp; Nama CSO'!$A$116:$S$136,19,FALSE),0)*AV988</f>
        <v>0</v>
      </c>
      <c r="BO987" s="55" t="e">
        <f>IFERROR(VLOOKUP(AQ987,'[1]Harga &amp; Nama CSO'!$H$2:$N$22,2,FALSE),"")*AV987</f>
        <v>#VALUE!</v>
      </c>
      <c r="BP987" s="40"/>
      <c r="BQ987" s="4"/>
      <c r="BR987" s="61"/>
      <c r="BS987" s="4"/>
      <c r="BT987" s="57" t="e">
        <f t="shared" si="49"/>
        <v>#VALUE!</v>
      </c>
      <c r="BU987" s="62"/>
      <c r="BV987" s="8" t="e">
        <v>#VALUE!</v>
      </c>
      <c r="BW987" s="58" t="e">
        <f>VLOOKUP(AQ987,'[1]Harga &amp; Nama CSO'!$A$28:$D$31,4,0)*BQ987</f>
        <v>#N/A</v>
      </c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44">
        <f>IFERROR(VLOOKUP(AQ989,'[2]Harga &amp; Nama CSO'!$A$116:$S$136,19,FALSE),0)*AV989</f>
        <v>0</v>
      </c>
      <c r="BO988" s="55" t="e">
        <f>IFERROR(VLOOKUP(AQ988,'[1]Harga &amp; Nama CSO'!$H$2:$N$22,2,FALSE),"")*AV988</f>
        <v>#VALUE!</v>
      </c>
      <c r="BP988" s="40"/>
      <c r="BQ988" s="4"/>
      <c r="BR988" s="61"/>
      <c r="BS988" s="4"/>
      <c r="BT988" s="57" t="e">
        <f t="shared" si="49"/>
        <v>#VALUE!</v>
      </c>
      <c r="BU988" s="62"/>
      <c r="BV988" s="8" t="e">
        <v>#VALUE!</v>
      </c>
      <c r="BW988" s="58" t="e">
        <f>VLOOKUP(AQ988,'[1]Harga &amp; Nama CSO'!$A$28:$D$31,4,0)*BQ988</f>
        <v>#N/A</v>
      </c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44">
        <f>IFERROR(VLOOKUP(AQ990,'[2]Harga &amp; Nama CSO'!$A$116:$S$136,19,FALSE),0)*AV990</f>
        <v>0</v>
      </c>
      <c r="BO989" s="55" t="e">
        <f>IFERROR(VLOOKUP(AQ989,'[1]Harga &amp; Nama CSO'!$H$2:$N$22,2,FALSE),"")*AV989</f>
        <v>#VALUE!</v>
      </c>
      <c r="BP989" s="40"/>
      <c r="BQ989" s="4"/>
      <c r="BR989" s="61"/>
      <c r="BS989" s="4"/>
      <c r="BT989" s="57" t="e">
        <f t="shared" si="49"/>
        <v>#VALUE!</v>
      </c>
      <c r="BU989" s="62"/>
      <c r="BV989" s="8" t="e">
        <v>#VALUE!</v>
      </c>
      <c r="BW989" s="58" t="e">
        <f>VLOOKUP(AQ989,'[1]Harga &amp; Nama CSO'!$A$28:$D$31,4,0)*BQ989</f>
        <v>#N/A</v>
      </c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44">
        <f>IFERROR(VLOOKUP(AQ991,'[2]Harga &amp; Nama CSO'!$A$116:$S$136,19,FALSE),0)*AV991</f>
        <v>0</v>
      </c>
      <c r="BO990" s="55" t="e">
        <f>IFERROR(VLOOKUP(AQ990,'[1]Harga &amp; Nama CSO'!$H$2:$N$22,2,FALSE),"")*AV990</f>
        <v>#VALUE!</v>
      </c>
      <c r="BP990" s="40"/>
      <c r="BQ990" s="4"/>
      <c r="BR990" s="61"/>
      <c r="BS990" s="4"/>
      <c r="BT990" s="57" t="e">
        <f t="shared" si="49"/>
        <v>#VALUE!</v>
      </c>
      <c r="BU990" s="62"/>
      <c r="BV990" s="8" t="e">
        <v>#VALUE!</v>
      </c>
      <c r="BW990" s="58" t="e">
        <f>VLOOKUP(AQ990,'[1]Harga &amp; Nama CSO'!$A$28:$D$31,4,0)*BQ990</f>
        <v>#N/A</v>
      </c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44">
        <f>IFERROR(VLOOKUP(AQ992,'[2]Harga &amp; Nama CSO'!$A$116:$S$136,19,FALSE),0)*AV992</f>
        <v>0</v>
      </c>
      <c r="BO991" s="55" t="e">
        <f>IFERROR(VLOOKUP(AQ991,'[1]Harga &amp; Nama CSO'!$H$2:$N$22,2,FALSE),"")*AV991</f>
        <v>#VALUE!</v>
      </c>
      <c r="BP991" s="40"/>
      <c r="BQ991" s="4"/>
      <c r="BR991" s="61"/>
      <c r="BS991" s="4"/>
      <c r="BT991" s="57" t="e">
        <f t="shared" si="49"/>
        <v>#VALUE!</v>
      </c>
      <c r="BU991" s="62"/>
      <c r="BV991" s="8" t="e">
        <v>#VALUE!</v>
      </c>
      <c r="BW991" s="58" t="e">
        <f>VLOOKUP(AQ991,'[1]Harga &amp; Nama CSO'!$A$28:$D$31,4,0)*BQ991</f>
        <v>#N/A</v>
      </c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44">
        <f>IFERROR(VLOOKUP(AQ993,'[2]Harga &amp; Nama CSO'!$A$116:$S$136,19,FALSE),0)*AV993</f>
        <v>0</v>
      </c>
      <c r="BO992" s="55" t="e">
        <f>IFERROR(VLOOKUP(AQ992,'[1]Harga &amp; Nama CSO'!$H$2:$N$22,2,FALSE),"")*AV992</f>
        <v>#VALUE!</v>
      </c>
      <c r="BP992" s="40"/>
      <c r="BQ992" s="4"/>
      <c r="BR992" s="61"/>
      <c r="BS992" s="4"/>
      <c r="BT992" s="57" t="e">
        <f t="shared" si="49"/>
        <v>#VALUE!</v>
      </c>
      <c r="BU992" s="62"/>
      <c r="BV992" s="8" t="e">
        <v>#VALUE!</v>
      </c>
      <c r="BW992" s="58" t="e">
        <f>VLOOKUP(AQ992,'[1]Harga &amp; Nama CSO'!$A$28:$D$31,4,0)*BQ992</f>
        <v>#N/A</v>
      </c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44">
        <f>IFERROR(VLOOKUP(AQ994,'[2]Harga &amp; Nama CSO'!$A$116:$S$136,19,FALSE),0)*AV994</f>
        <v>0</v>
      </c>
      <c r="BO993" s="55" t="e">
        <f>IFERROR(VLOOKUP(AQ993,'[1]Harga &amp; Nama CSO'!$H$2:$N$22,2,FALSE),"")*AV993</f>
        <v>#VALUE!</v>
      </c>
      <c r="BP993" s="40"/>
      <c r="BQ993" s="4"/>
      <c r="BR993" s="61"/>
      <c r="BS993" s="4"/>
      <c r="BT993" s="57" t="e">
        <f t="shared" si="49"/>
        <v>#VALUE!</v>
      </c>
      <c r="BU993" s="62"/>
      <c r="BV993" s="8" t="e">
        <v>#VALUE!</v>
      </c>
      <c r="BW993" s="58" t="e">
        <f>VLOOKUP(AQ993,'[1]Harga &amp; Nama CSO'!$A$28:$D$31,4,0)*BQ993</f>
        <v>#N/A</v>
      </c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44">
        <f>IFERROR(VLOOKUP(AQ995,'[2]Harga &amp; Nama CSO'!$A$116:$S$136,19,FALSE),0)*AV995</f>
        <v>0</v>
      </c>
      <c r="BO994" s="55" t="e">
        <f>IFERROR(VLOOKUP(AQ994,'[1]Harga &amp; Nama CSO'!$H$2:$N$22,2,FALSE),"")*AV994</f>
        <v>#VALUE!</v>
      </c>
      <c r="BP994" s="40"/>
      <c r="BQ994" s="4"/>
      <c r="BR994" s="61"/>
      <c r="BS994" s="4"/>
      <c r="BT994" s="57" t="e">
        <f t="shared" si="49"/>
        <v>#VALUE!</v>
      </c>
      <c r="BU994" s="62"/>
      <c r="BV994" s="8" t="e">
        <v>#VALUE!</v>
      </c>
      <c r="BW994" s="58" t="e">
        <f>VLOOKUP(AQ994,'[1]Harga &amp; Nama CSO'!$A$28:$D$31,4,0)*BQ994</f>
        <v>#N/A</v>
      </c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44">
        <f>IFERROR(VLOOKUP(AQ996,'[2]Harga &amp; Nama CSO'!$A$116:$S$136,19,FALSE),0)*AV996</f>
        <v>0</v>
      </c>
      <c r="BO995" s="55" t="e">
        <f>IFERROR(VLOOKUP(AQ995,'[1]Harga &amp; Nama CSO'!$H$2:$N$22,2,FALSE),"")*AV995</f>
        <v>#VALUE!</v>
      </c>
      <c r="BP995" s="40"/>
      <c r="BQ995" s="4"/>
      <c r="BR995" s="61"/>
      <c r="BS995" s="4"/>
      <c r="BT995" s="57" t="e">
        <f t="shared" si="49"/>
        <v>#VALUE!</v>
      </c>
      <c r="BU995" s="62"/>
      <c r="BV995" s="8" t="e">
        <v>#VALUE!</v>
      </c>
      <c r="BW995" s="58" t="e">
        <f>VLOOKUP(AQ995,'[1]Harga &amp; Nama CSO'!$A$28:$D$31,4,0)*BQ995</f>
        <v>#N/A</v>
      </c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44">
        <f>IFERROR(VLOOKUP(AQ997,'[2]Harga &amp; Nama CSO'!$A$116:$S$136,19,FALSE),0)*AV997</f>
        <v>0</v>
      </c>
      <c r="BO996" s="55" t="e">
        <f>IFERROR(VLOOKUP(AQ996,'[1]Harga &amp; Nama CSO'!$H$2:$N$22,2,FALSE),"")*AV996</f>
        <v>#VALUE!</v>
      </c>
      <c r="BP996" s="40"/>
      <c r="BQ996" s="4"/>
      <c r="BR996" s="61"/>
      <c r="BS996" s="4"/>
      <c r="BT996" s="57" t="e">
        <f t="shared" si="49"/>
        <v>#VALUE!</v>
      </c>
      <c r="BU996" s="62"/>
      <c r="BV996" s="8" t="e">
        <v>#VALUE!</v>
      </c>
      <c r="BW996" s="58" t="e">
        <f>VLOOKUP(AQ996,'[1]Harga &amp; Nama CSO'!$A$28:$D$31,4,0)*BQ996</f>
        <v>#N/A</v>
      </c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44">
        <f>IFERROR(VLOOKUP(AQ998,'[2]Harga &amp; Nama CSO'!$A$116:$S$136,19,FALSE),0)*AV998</f>
        <v>0</v>
      </c>
      <c r="BO997" s="55" t="e">
        <f>IFERROR(VLOOKUP(AQ997,'[1]Harga &amp; Nama CSO'!$H$2:$N$22,2,FALSE),"")*AV997</f>
        <v>#VALUE!</v>
      </c>
      <c r="BP997" s="40"/>
      <c r="BQ997" s="4"/>
      <c r="BR997" s="61"/>
      <c r="BS997" s="4"/>
      <c r="BT997" s="57" t="e">
        <f t="shared" si="49"/>
        <v>#VALUE!</v>
      </c>
      <c r="BU997" s="62"/>
      <c r="BV997" s="8" t="e">
        <v>#VALUE!</v>
      </c>
      <c r="BW997" s="58" t="e">
        <f>VLOOKUP(AQ997,'[1]Harga &amp; Nama CSO'!$A$28:$D$31,4,0)*BQ997</f>
        <v>#N/A</v>
      </c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44">
        <f>IFERROR(VLOOKUP(AQ999,'[2]Harga &amp; Nama CSO'!$A$116:$S$136,19,FALSE),0)*AV999</f>
        <v>0</v>
      </c>
      <c r="BO998" s="55" t="e">
        <f>IFERROR(VLOOKUP(AQ998,'[1]Harga &amp; Nama CSO'!$H$2:$N$22,2,FALSE),"")*AV998</f>
        <v>#VALUE!</v>
      </c>
      <c r="BP998" s="40"/>
      <c r="BQ998" s="4"/>
      <c r="BR998" s="61"/>
      <c r="BS998" s="4"/>
      <c r="BT998" s="57" t="e">
        <f t="shared" si="49"/>
        <v>#VALUE!</v>
      </c>
      <c r="BU998" s="62"/>
      <c r="BV998" s="8" t="e">
        <v>#VALUE!</v>
      </c>
      <c r="BW998" s="58" t="e">
        <f>VLOOKUP(AQ998,'[1]Harga &amp; Nama CSO'!$A$28:$D$31,4,0)*BQ998</f>
        <v>#N/A</v>
      </c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44">
        <f>IFERROR(VLOOKUP(AQ1000,'[2]Harga &amp; Nama CSO'!$A$116:$S$136,19,FALSE),0)*AV1000</f>
        <v>0</v>
      </c>
      <c r="BO999" s="55" t="e">
        <f>IFERROR(VLOOKUP(AQ999,'[1]Harga &amp; Nama CSO'!$H$2:$N$22,2,FALSE),"")*AV999</f>
        <v>#VALUE!</v>
      </c>
      <c r="BP999" s="40"/>
      <c r="BQ999" s="4"/>
      <c r="BR999" s="61"/>
      <c r="BS999" s="4"/>
      <c r="BT999" s="57" t="e">
        <f t="shared" si="49"/>
        <v>#VALUE!</v>
      </c>
      <c r="BU999" s="62"/>
      <c r="BV999" s="8" t="e">
        <v>#VALUE!</v>
      </c>
      <c r="BW999" s="58" t="e">
        <f>VLOOKUP(AQ999,'[1]Harga &amp; Nama CSO'!$A$28:$D$31,4,0)*BQ999</f>
        <v>#N/A</v>
      </c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44">
        <f>IFERROR(VLOOKUP(AQ1001,'[2]Harga &amp; Nama CSO'!$A$116:$S$136,19,FALSE),0)*AV1001</f>
        <v>0</v>
      </c>
      <c r="BO1000" s="55" t="e">
        <f>IFERROR(VLOOKUP(AQ1000,'[1]Harga &amp; Nama CSO'!$H$2:$N$22,2,FALSE),"")*AV1000</f>
        <v>#VALUE!</v>
      </c>
      <c r="BP1000" s="40"/>
      <c r="BQ1000" s="4"/>
      <c r="BR1000" s="61"/>
      <c r="BS1000" s="4"/>
      <c r="BT1000" s="57" t="e">
        <f t="shared" si="49"/>
        <v>#VALUE!</v>
      </c>
      <c r="BU1000" s="62"/>
      <c r="BV1000" s="8" t="e">
        <v>#VALUE!</v>
      </c>
      <c r="BW1000" s="58" t="e">
        <f>VLOOKUP(AQ1000,'[1]Harga &amp; Nama CSO'!$A$28:$D$31,4,0)*BQ1000</f>
        <v>#N/A</v>
      </c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44">
        <f>IFERROR(VLOOKUP(AQ1002,'[2]Harga &amp; Nama CSO'!$A$116:$S$136,19,FALSE),0)*AV1002</f>
        <v>0</v>
      </c>
      <c r="BO1001" s="55" t="e">
        <f>IFERROR(VLOOKUP(AQ1001,'[1]Harga &amp; Nama CSO'!$H$2:$N$22,2,FALSE),"")*AV1001</f>
        <v>#VALUE!</v>
      </c>
      <c r="BP1001" s="40"/>
      <c r="BQ1001" s="4"/>
      <c r="BR1001" s="61"/>
      <c r="BS1001" s="4"/>
      <c r="BT1001" s="57" t="e">
        <f t="shared" si="49"/>
        <v>#VALUE!</v>
      </c>
      <c r="BU1001" s="62"/>
      <c r="BV1001" s="8" t="e">
        <v>#VALUE!</v>
      </c>
      <c r="BW1001" s="58" t="e">
        <f>VLOOKUP(AQ1001,'[1]Harga &amp; Nama CSO'!$A$28:$D$31,4,0)*BQ1001</f>
        <v>#N/A</v>
      </c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44">
        <f>IFERROR(VLOOKUP(AQ1003,'[2]Harga &amp; Nama CSO'!$A$116:$S$136,19,FALSE),0)*AV1003</f>
        <v>0</v>
      </c>
      <c r="BO1002" s="55" t="e">
        <f>IFERROR(VLOOKUP(AQ1002,'[1]Harga &amp; Nama CSO'!$H$2:$N$22,2,FALSE),"")*AV1002</f>
        <v>#VALUE!</v>
      </c>
      <c r="BP1002" s="40"/>
      <c r="BQ1002" s="4"/>
      <c r="BR1002" s="61"/>
      <c r="BS1002" s="4"/>
      <c r="BT1002" s="57" t="e">
        <f t="shared" si="49"/>
        <v>#VALUE!</v>
      </c>
      <c r="BU1002" s="62"/>
      <c r="BV1002" s="8" t="e">
        <v>#VALUE!</v>
      </c>
      <c r="BW1002" s="58" t="e">
        <f>VLOOKUP(AQ1002,'[1]Harga &amp; Nama CSO'!$A$28:$D$31,4,0)*BQ1002</f>
        <v>#N/A</v>
      </c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44">
        <f>IFERROR(VLOOKUP(AQ1004,'[2]Harga &amp; Nama CSO'!$A$116:$S$136,19,FALSE),0)*AV1004</f>
        <v>0</v>
      </c>
      <c r="BO1003" s="55" t="e">
        <f>IFERROR(VLOOKUP(AQ1003,'[1]Harga &amp; Nama CSO'!$H$2:$N$22,2,FALSE),"")*AV1003</f>
        <v>#VALUE!</v>
      </c>
      <c r="BP1003" s="40"/>
      <c r="BQ1003" s="4"/>
      <c r="BR1003" s="61"/>
      <c r="BS1003" s="4"/>
      <c r="BT1003" s="57" t="e">
        <f t="shared" si="49"/>
        <v>#VALUE!</v>
      </c>
      <c r="BU1003" s="62"/>
      <c r="BV1003" s="8" t="e">
        <v>#VALUE!</v>
      </c>
      <c r="BW1003" s="58" t="e">
        <f>VLOOKUP(AQ1003,'[1]Harga &amp; Nama CSO'!$A$28:$D$31,4,0)*BQ1003</f>
        <v>#N/A</v>
      </c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44">
        <f>IFERROR(VLOOKUP(AQ1005,'[2]Harga &amp; Nama CSO'!$A$116:$S$136,19,FALSE),0)*AV1005</f>
        <v>0</v>
      </c>
      <c r="BO1004" s="55" t="e">
        <f>IFERROR(VLOOKUP(AQ1004,'[1]Harga &amp; Nama CSO'!$H$2:$N$22,2,FALSE),"")*AV1004</f>
        <v>#VALUE!</v>
      </c>
      <c r="BP1004" s="40"/>
      <c r="BQ1004" s="4"/>
      <c r="BR1004" s="61"/>
      <c r="BS1004" s="4"/>
      <c r="BT1004" s="57" t="e">
        <f t="shared" si="49"/>
        <v>#VALUE!</v>
      </c>
      <c r="BU1004" s="62"/>
      <c r="BV1004" s="8" t="e">
        <v>#VALUE!</v>
      </c>
      <c r="BW1004" s="58" t="e">
        <f>VLOOKUP(AQ1004,'[1]Harga &amp; Nama CSO'!$A$28:$D$31,4,0)*BQ1004</f>
        <v>#N/A</v>
      </c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44">
        <f>IFERROR(VLOOKUP(AQ1006,'[2]Harga &amp; Nama CSO'!$A$116:$S$136,19,FALSE),0)*AV1006</f>
        <v>0</v>
      </c>
      <c r="BO1005" s="55" t="e">
        <f>IFERROR(VLOOKUP(AQ1005,'[1]Harga &amp; Nama CSO'!$H$2:$N$22,2,FALSE),"")*AV1005</f>
        <v>#VALUE!</v>
      </c>
      <c r="BP1005" s="40"/>
      <c r="BQ1005" s="4"/>
      <c r="BR1005" s="61"/>
      <c r="BS1005" s="4"/>
      <c r="BT1005" s="57" t="e">
        <f t="shared" si="49"/>
        <v>#VALUE!</v>
      </c>
      <c r="BU1005" s="62"/>
      <c r="BV1005" s="8" t="e">
        <v>#VALUE!</v>
      </c>
      <c r="BW1005" s="58" t="e">
        <f>VLOOKUP(AQ1005,'[1]Harga &amp; Nama CSO'!$A$28:$D$31,4,0)*BQ1005</f>
        <v>#N/A</v>
      </c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44">
        <f>IFERROR(VLOOKUP(AQ1007,'[2]Harga &amp; Nama CSO'!$A$116:$S$136,19,FALSE),0)*AV1007</f>
        <v>0</v>
      </c>
      <c r="BO1006" s="55" t="e">
        <f>IFERROR(VLOOKUP(AQ1006,'[1]Harga &amp; Nama CSO'!$H$2:$N$22,2,FALSE),"")*AV1006</f>
        <v>#VALUE!</v>
      </c>
      <c r="BP1006" s="40"/>
      <c r="BQ1006" s="4"/>
      <c r="BR1006" s="61"/>
      <c r="BS1006" s="4"/>
      <c r="BT1006" s="57" t="e">
        <f t="shared" si="49"/>
        <v>#VALUE!</v>
      </c>
      <c r="BU1006" s="62"/>
      <c r="BV1006" s="8" t="e">
        <v>#VALUE!</v>
      </c>
      <c r="BW1006" s="58" t="e">
        <f>VLOOKUP(AQ1006,'[1]Harga &amp; Nama CSO'!$A$28:$D$31,4,0)*BQ1006</f>
        <v>#N/A</v>
      </c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44">
        <f>IFERROR(VLOOKUP(AQ1008,'[2]Harga &amp; Nama CSO'!$A$116:$S$136,19,FALSE),0)*AV1008</f>
        <v>0</v>
      </c>
      <c r="BO1007" s="55" t="e">
        <f>IFERROR(VLOOKUP(AQ1007,'[1]Harga &amp; Nama CSO'!$H$2:$N$22,2,FALSE),"")*AV1007</f>
        <v>#VALUE!</v>
      </c>
      <c r="BP1007" s="40"/>
      <c r="BQ1007" s="4"/>
      <c r="BR1007" s="61"/>
      <c r="BS1007" s="4"/>
      <c r="BT1007" s="57" t="e">
        <f t="shared" si="49"/>
        <v>#VALUE!</v>
      </c>
      <c r="BU1007" s="62"/>
      <c r="BV1007" s="8" t="e">
        <v>#VALUE!</v>
      </c>
      <c r="BW1007" s="58" t="e">
        <f>VLOOKUP(AQ1007,'[1]Harga &amp; Nama CSO'!$A$28:$D$31,4,0)*BQ1007</f>
        <v>#N/A</v>
      </c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44">
        <f>IFERROR(VLOOKUP(AQ1009,'[2]Harga &amp; Nama CSO'!$A$116:$S$136,19,FALSE),0)*AV1009</f>
        <v>0</v>
      </c>
      <c r="BO1008" s="55" t="e">
        <f>IFERROR(VLOOKUP(AQ1008,'[1]Harga &amp; Nama CSO'!$H$2:$N$22,2,FALSE),"")*AV1008</f>
        <v>#VALUE!</v>
      </c>
      <c r="BP1008" s="40"/>
      <c r="BQ1008" s="4"/>
      <c r="BR1008" s="61"/>
      <c r="BS1008" s="4"/>
      <c r="BT1008" s="57" t="e">
        <f t="shared" si="49"/>
        <v>#VALUE!</v>
      </c>
      <c r="BU1008" s="62"/>
      <c r="BV1008" s="8" t="e">
        <v>#VALUE!</v>
      </c>
      <c r="BW1008" s="58" t="e">
        <f>VLOOKUP(AQ1008,'[1]Harga &amp; Nama CSO'!$A$28:$D$31,4,0)*BQ1008</f>
        <v>#N/A</v>
      </c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44">
        <f>IFERROR(VLOOKUP(AQ1010,'[2]Harga &amp; Nama CSO'!$A$116:$S$136,19,FALSE),0)*AV1010</f>
        <v>0</v>
      </c>
      <c r="BO1009" s="55" t="e">
        <f>IFERROR(VLOOKUP(AQ1009,'[1]Harga &amp; Nama CSO'!$H$2:$N$22,2,FALSE),"")*AV1009</f>
        <v>#VALUE!</v>
      </c>
      <c r="BP1009" s="40"/>
      <c r="BQ1009" s="4"/>
      <c r="BR1009" s="61"/>
      <c r="BS1009" s="4"/>
      <c r="BT1009" s="57" t="e">
        <f t="shared" si="49"/>
        <v>#VALUE!</v>
      </c>
      <c r="BU1009" s="62"/>
      <c r="BV1009" s="8" t="e">
        <v>#VALUE!</v>
      </c>
      <c r="BW1009" s="58" t="e">
        <f>VLOOKUP(AQ1009,'[1]Harga &amp; Nama CSO'!$A$28:$D$31,4,0)*BQ1009</f>
        <v>#N/A</v>
      </c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44">
        <f>IFERROR(VLOOKUP(AQ1011,'[2]Harga &amp; Nama CSO'!$A$116:$S$136,19,FALSE),0)*AV1011</f>
        <v>0</v>
      </c>
      <c r="BO1010" s="55" t="e">
        <f>IFERROR(VLOOKUP(AQ1010,'[1]Harga &amp; Nama CSO'!$H$2:$N$22,2,FALSE),"")*AV1010</f>
        <v>#VALUE!</v>
      </c>
      <c r="BP1010" s="40"/>
      <c r="BQ1010" s="4"/>
      <c r="BR1010" s="61"/>
      <c r="BS1010" s="4"/>
      <c r="BT1010" s="57" t="e">
        <f t="shared" si="49"/>
        <v>#VALUE!</v>
      </c>
      <c r="BU1010" s="62"/>
      <c r="BV1010" s="8" t="e">
        <v>#VALUE!</v>
      </c>
      <c r="BW1010" s="58" t="e">
        <f>VLOOKUP(AQ1010,'[1]Harga &amp; Nama CSO'!$A$28:$D$31,4,0)*BQ1010</f>
        <v>#N/A</v>
      </c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44">
        <f>IFERROR(VLOOKUP(AQ1012,'[2]Harga &amp; Nama CSO'!$A$116:$S$136,19,FALSE),0)*AV1012</f>
        <v>0</v>
      </c>
      <c r="BO1011" s="55" t="e">
        <f>IFERROR(VLOOKUP(AQ1011,'[1]Harga &amp; Nama CSO'!$H$2:$N$22,2,FALSE),"")*AV1011</f>
        <v>#VALUE!</v>
      </c>
      <c r="BP1011" s="40"/>
      <c r="BQ1011" s="4"/>
      <c r="BR1011" s="61"/>
      <c r="BS1011" s="4"/>
      <c r="BT1011" s="57" t="e">
        <f t="shared" si="49"/>
        <v>#VALUE!</v>
      </c>
      <c r="BU1011" s="62"/>
      <c r="BV1011" s="8" t="e">
        <v>#VALUE!</v>
      </c>
      <c r="BW1011" s="58" t="e">
        <f>VLOOKUP(AQ1011,'[1]Harga &amp; Nama CSO'!$A$28:$D$31,4,0)*BQ1011</f>
        <v>#N/A</v>
      </c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44">
        <f>IFERROR(VLOOKUP(AQ1013,'[2]Harga &amp; Nama CSO'!$A$116:$S$136,19,FALSE),0)*AV1013</f>
        <v>0</v>
      </c>
      <c r="BO1012" s="55" t="e">
        <f>IFERROR(VLOOKUP(AQ1012,'[1]Harga &amp; Nama CSO'!$H$2:$N$22,2,FALSE),"")*AV1012</f>
        <v>#VALUE!</v>
      </c>
      <c r="BP1012" s="40"/>
      <c r="BQ1012" s="4"/>
      <c r="BR1012" s="61"/>
      <c r="BS1012" s="4"/>
      <c r="BT1012" s="57" t="e">
        <f t="shared" si="49"/>
        <v>#VALUE!</v>
      </c>
      <c r="BU1012" s="62"/>
      <c r="BV1012" s="8" t="e">
        <v>#VALUE!</v>
      </c>
      <c r="BW1012" s="58" t="e">
        <f>VLOOKUP(AQ1012,'[1]Harga &amp; Nama CSO'!$A$28:$D$31,4,0)*BQ1012</f>
        <v>#N/A</v>
      </c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44">
        <f>IFERROR(VLOOKUP(AQ1014,'[2]Harga &amp; Nama CSO'!$A$116:$S$136,19,FALSE),0)*AV1014</f>
        <v>0</v>
      </c>
      <c r="BO1013" s="55" t="e">
        <f>IFERROR(VLOOKUP(AQ1013,'[1]Harga &amp; Nama CSO'!$H$2:$N$22,2,FALSE),"")*AV1013</f>
        <v>#VALUE!</v>
      </c>
      <c r="BP1013" s="40"/>
      <c r="BQ1013" s="4"/>
      <c r="BR1013" s="61"/>
      <c r="BS1013" s="4"/>
      <c r="BT1013" s="57" t="e">
        <f t="shared" si="49"/>
        <v>#VALUE!</v>
      </c>
      <c r="BU1013" s="62"/>
      <c r="BV1013" s="8" t="e">
        <v>#VALUE!</v>
      </c>
      <c r="BW1013" s="58" t="e">
        <f>VLOOKUP(AQ1013,'[1]Harga &amp; Nama CSO'!$A$28:$D$31,4,0)*BQ1013</f>
        <v>#N/A</v>
      </c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44">
        <f>IFERROR(VLOOKUP(AQ1015,'[2]Harga &amp; Nama CSO'!$A$116:$S$136,19,FALSE),0)*AV1015</f>
        <v>0</v>
      </c>
      <c r="BO1014" s="55" t="e">
        <f>IFERROR(VLOOKUP(AQ1014,'[1]Harga &amp; Nama CSO'!$H$2:$N$22,2,FALSE),"")*AV1014</f>
        <v>#VALUE!</v>
      </c>
      <c r="BP1014" s="40"/>
      <c r="BQ1014" s="4"/>
      <c r="BR1014" s="61"/>
      <c r="BS1014" s="4"/>
      <c r="BT1014" s="57" t="e">
        <f t="shared" si="49"/>
        <v>#VALUE!</v>
      </c>
      <c r="BU1014" s="62"/>
      <c r="BV1014" s="8" t="e">
        <v>#VALUE!</v>
      </c>
      <c r="BW1014" s="58" t="e">
        <f>VLOOKUP(AQ1014,'[1]Harga &amp; Nama CSO'!$A$28:$D$31,4,0)*BQ1014</f>
        <v>#N/A</v>
      </c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44">
        <f>IFERROR(VLOOKUP(AQ1016,'[2]Harga &amp; Nama CSO'!$A$116:$S$136,19,FALSE),0)*AV1016</f>
        <v>0</v>
      </c>
      <c r="BO1015" s="55" t="e">
        <f>IFERROR(VLOOKUP(AQ1015,'[1]Harga &amp; Nama CSO'!$H$2:$N$22,2,FALSE),"")*AV1015</f>
        <v>#VALUE!</v>
      </c>
      <c r="BP1015" s="40"/>
      <c r="BQ1015" s="4"/>
      <c r="BR1015" s="61"/>
      <c r="BS1015" s="4"/>
      <c r="BT1015" s="57" t="e">
        <f t="shared" si="49"/>
        <v>#VALUE!</v>
      </c>
      <c r="BU1015" s="62"/>
      <c r="BV1015" s="8" t="e">
        <v>#VALUE!</v>
      </c>
      <c r="BW1015" s="58" t="e">
        <f>VLOOKUP(AQ1015,'[1]Harga &amp; Nama CSO'!$A$28:$D$31,4,0)*BQ1015</f>
        <v>#N/A</v>
      </c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44">
        <f>IFERROR(VLOOKUP(AQ1017,'[2]Harga &amp; Nama CSO'!$A$116:$S$136,19,FALSE),0)*AV1017</f>
        <v>0</v>
      </c>
      <c r="BO1016" s="55" t="e">
        <f>IFERROR(VLOOKUP(AQ1016,'[1]Harga &amp; Nama CSO'!$H$2:$N$22,2,FALSE),"")*AV1016</f>
        <v>#VALUE!</v>
      </c>
      <c r="BP1016" s="40"/>
      <c r="BQ1016" s="4"/>
      <c r="BR1016" s="61"/>
      <c r="BS1016" s="4"/>
      <c r="BT1016" s="57" t="e">
        <f t="shared" si="49"/>
        <v>#VALUE!</v>
      </c>
      <c r="BU1016" s="62"/>
      <c r="BV1016" s="8" t="e">
        <v>#VALUE!</v>
      </c>
      <c r="BW1016" s="58" t="e">
        <f>VLOOKUP(AQ1016,'[1]Harga &amp; Nama CSO'!$A$28:$D$31,4,0)*BQ1016</f>
        <v>#N/A</v>
      </c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44">
        <f>IFERROR(VLOOKUP(AQ1018,'[2]Harga &amp; Nama CSO'!$A$116:$S$136,19,FALSE),0)*AV1018</f>
        <v>0</v>
      </c>
      <c r="BO1017" s="55" t="e">
        <f>IFERROR(VLOOKUP(AQ1017,'[1]Harga &amp; Nama CSO'!$H$2:$N$22,2,FALSE),"")*AV1017</f>
        <v>#VALUE!</v>
      </c>
      <c r="BP1017" s="40"/>
      <c r="BQ1017" s="4"/>
      <c r="BR1017" s="61"/>
      <c r="BS1017" s="4"/>
      <c r="BT1017" s="57" t="e">
        <f t="shared" si="49"/>
        <v>#VALUE!</v>
      </c>
      <c r="BU1017" s="62"/>
      <c r="BV1017" s="8" t="e">
        <v>#VALUE!</v>
      </c>
      <c r="BW1017" s="58" t="e">
        <f>VLOOKUP(AQ1017,'[1]Harga &amp; Nama CSO'!$A$28:$D$31,4,0)*BQ1017</f>
        <v>#N/A</v>
      </c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44">
        <f>IFERROR(VLOOKUP(AQ1019,'[2]Harga &amp; Nama CSO'!$A$116:$S$136,19,FALSE),0)*AV1019</f>
        <v>0</v>
      </c>
      <c r="BO1018" s="55" t="e">
        <f>IFERROR(VLOOKUP(AQ1018,'[1]Harga &amp; Nama CSO'!$H$2:$N$22,2,FALSE),"")*AV1018</f>
        <v>#VALUE!</v>
      </c>
      <c r="BP1018" s="40"/>
      <c r="BQ1018" s="4"/>
      <c r="BR1018" s="61"/>
      <c r="BS1018" s="4"/>
      <c r="BT1018" s="57" t="e">
        <f t="shared" si="49"/>
        <v>#VALUE!</v>
      </c>
      <c r="BU1018" s="62"/>
      <c r="BV1018" s="8" t="e">
        <v>#VALUE!</v>
      </c>
      <c r="BW1018" s="58" t="e">
        <f>VLOOKUP(AQ1018,'[1]Harga &amp; Nama CSO'!$A$28:$D$31,4,0)*BQ1018</f>
        <v>#N/A</v>
      </c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44">
        <f>IFERROR(VLOOKUP(AQ1020,'[2]Harga &amp; Nama CSO'!$A$116:$S$136,19,FALSE),0)*AV1020</f>
        <v>0</v>
      </c>
      <c r="BO1019" s="55" t="e">
        <f>IFERROR(VLOOKUP(AQ1019,'[1]Harga &amp; Nama CSO'!$H$2:$N$22,2,FALSE),"")*AV1019</f>
        <v>#VALUE!</v>
      </c>
      <c r="BP1019" s="40"/>
      <c r="BQ1019" s="4"/>
      <c r="BR1019" s="61"/>
      <c r="BS1019" s="4"/>
      <c r="BT1019" s="57" t="e">
        <f t="shared" si="49"/>
        <v>#VALUE!</v>
      </c>
      <c r="BU1019" s="62"/>
      <c r="BV1019" s="8" t="e">
        <v>#VALUE!</v>
      </c>
      <c r="BW1019" s="58" t="e">
        <f>VLOOKUP(AQ1019,'[1]Harga &amp; Nama CSO'!$A$28:$D$31,4,0)*BQ1019</f>
        <v>#N/A</v>
      </c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44">
        <f>IFERROR(VLOOKUP(AQ1021,'[2]Harga &amp; Nama CSO'!$A$116:$S$136,19,FALSE),0)*AV1021</f>
        <v>0</v>
      </c>
      <c r="BO1020" s="55" t="e">
        <f>IFERROR(VLOOKUP(AQ1020,'[1]Harga &amp; Nama CSO'!$H$2:$N$22,2,FALSE),"")*AV1020</f>
        <v>#VALUE!</v>
      </c>
      <c r="BP1020" s="40"/>
      <c r="BQ1020" s="4"/>
      <c r="BR1020" s="61"/>
      <c r="BS1020" s="4"/>
      <c r="BT1020" s="57" t="e">
        <f t="shared" si="49"/>
        <v>#VALUE!</v>
      </c>
      <c r="BU1020" s="62"/>
      <c r="BV1020" s="8" t="e">
        <v>#VALUE!</v>
      </c>
      <c r="BW1020" s="58" t="e">
        <f>VLOOKUP(AQ1020,'[1]Harga &amp; Nama CSO'!$A$28:$D$31,4,0)*BQ1020</f>
        <v>#N/A</v>
      </c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44">
        <f>IFERROR(VLOOKUP(AQ1022,'[2]Harga &amp; Nama CSO'!$A$116:$S$136,19,FALSE),0)*AV1022</f>
        <v>0</v>
      </c>
      <c r="BO1021" s="55" t="e">
        <f>IFERROR(VLOOKUP(AQ1021,'[1]Harga &amp; Nama CSO'!$H$2:$N$22,2,FALSE),"")*AV1021</f>
        <v>#VALUE!</v>
      </c>
      <c r="BP1021" s="40"/>
      <c r="BQ1021" s="4"/>
      <c r="BR1021" s="61"/>
      <c r="BS1021" s="4"/>
      <c r="BT1021" s="57" t="e">
        <f t="shared" si="49"/>
        <v>#VALUE!</v>
      </c>
      <c r="BU1021" s="62"/>
      <c r="BV1021" s="8" t="e">
        <v>#VALUE!</v>
      </c>
      <c r="BW1021" s="58" t="e">
        <f>VLOOKUP(AQ1021,'[1]Harga &amp; Nama CSO'!$A$28:$D$31,4,0)*BQ1021</f>
        <v>#N/A</v>
      </c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44">
        <f>IFERROR(VLOOKUP(AQ1023,'[2]Harga &amp; Nama CSO'!$A$116:$S$136,19,FALSE),0)*AV1023</f>
        <v>0</v>
      </c>
      <c r="BO1022" s="55" t="e">
        <f>IFERROR(VLOOKUP(AQ1022,'[1]Harga &amp; Nama CSO'!$H$2:$N$22,2,FALSE),"")*AV1022</f>
        <v>#VALUE!</v>
      </c>
      <c r="BP1022" s="40"/>
      <c r="BQ1022" s="4"/>
      <c r="BR1022" s="61"/>
      <c r="BS1022" s="4"/>
      <c r="BT1022" s="57" t="e">
        <f t="shared" si="49"/>
        <v>#VALUE!</v>
      </c>
      <c r="BU1022" s="62"/>
      <c r="BV1022" s="8" t="e">
        <v>#VALUE!</v>
      </c>
      <c r="BW1022" s="58" t="e">
        <f>VLOOKUP(AQ1022,'[1]Harga &amp; Nama CSO'!$A$28:$D$31,4,0)*BQ1022</f>
        <v>#N/A</v>
      </c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44">
        <f>IFERROR(VLOOKUP(AQ1024,'[2]Harga &amp; Nama CSO'!$A$116:$S$136,19,FALSE),0)*AV1024</f>
        <v>0</v>
      </c>
      <c r="BO1023" s="55" t="e">
        <f>IFERROR(VLOOKUP(AQ1023,'[1]Harga &amp; Nama CSO'!$H$2:$N$22,2,FALSE),"")*AV1023</f>
        <v>#VALUE!</v>
      </c>
      <c r="BP1023" s="40"/>
      <c r="BQ1023" s="4"/>
      <c r="BR1023" s="61"/>
      <c r="BS1023" s="4"/>
      <c r="BT1023" s="57" t="e">
        <f t="shared" si="49"/>
        <v>#VALUE!</v>
      </c>
      <c r="BU1023" s="62"/>
      <c r="BV1023" s="8" t="e">
        <v>#VALUE!</v>
      </c>
      <c r="BW1023" s="58" t="e">
        <f>VLOOKUP(AQ1023,'[1]Harga &amp; Nama CSO'!$A$28:$D$31,4,0)*BQ1023</f>
        <v>#N/A</v>
      </c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44">
        <f>IFERROR(VLOOKUP(AQ1025,'[2]Harga &amp; Nama CSO'!$A$116:$S$136,19,FALSE),0)*AV1025</f>
        <v>0</v>
      </c>
      <c r="BO1024" s="55" t="e">
        <f>IFERROR(VLOOKUP(AQ1024,'[1]Harga &amp; Nama CSO'!$H$2:$N$22,2,FALSE),"")*AV1024</f>
        <v>#VALUE!</v>
      </c>
      <c r="BP1024" s="40"/>
      <c r="BQ1024" s="4"/>
      <c r="BR1024" s="61"/>
      <c r="BS1024" s="4"/>
      <c r="BT1024" s="57" t="e">
        <f t="shared" si="49"/>
        <v>#VALUE!</v>
      </c>
      <c r="BU1024" s="62"/>
      <c r="BV1024" s="8" t="e">
        <v>#VALUE!</v>
      </c>
      <c r="BW1024" s="58" t="e">
        <f>VLOOKUP(AQ1024,'[1]Harga &amp; Nama CSO'!$A$28:$D$31,4,0)*BQ1024</f>
        <v>#N/A</v>
      </c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44">
        <f>IFERROR(VLOOKUP(AQ1026,'[2]Harga &amp; Nama CSO'!$A$116:$S$136,19,FALSE),0)*AV1026</f>
        <v>0</v>
      </c>
      <c r="BO1025" s="55" t="e">
        <f>IFERROR(VLOOKUP(AQ1025,'[1]Harga &amp; Nama CSO'!$H$2:$N$22,2,FALSE),"")*AV1025</f>
        <v>#VALUE!</v>
      </c>
      <c r="BP1025" s="40"/>
      <c r="BQ1025" s="4"/>
      <c r="BR1025" s="61"/>
      <c r="BS1025" s="4"/>
      <c r="BT1025" s="57" t="e">
        <f t="shared" si="49"/>
        <v>#VALUE!</v>
      </c>
      <c r="BU1025" s="62"/>
      <c r="BV1025" s="8" t="e">
        <v>#VALUE!</v>
      </c>
      <c r="BW1025" s="58" t="e">
        <f>VLOOKUP(AQ1025,'[1]Harga &amp; Nama CSO'!$A$28:$D$31,4,0)*BQ1025</f>
        <v>#N/A</v>
      </c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44">
        <f>IFERROR(VLOOKUP(AQ1027,'[2]Harga &amp; Nama CSO'!$A$116:$S$136,19,FALSE),0)*AV1027</f>
        <v>0</v>
      </c>
      <c r="BO1026" s="55" t="e">
        <f>IFERROR(VLOOKUP(AQ1026,'[1]Harga &amp; Nama CSO'!$H$2:$N$22,2,FALSE),"")*AV1026</f>
        <v>#VALUE!</v>
      </c>
      <c r="BP1026" s="40"/>
      <c r="BQ1026" s="4"/>
      <c r="BR1026" s="61"/>
      <c r="BS1026" s="4"/>
      <c r="BT1026" s="57" t="e">
        <f t="shared" si="49"/>
        <v>#VALUE!</v>
      </c>
      <c r="BU1026" s="62"/>
      <c r="BV1026" s="8" t="e">
        <v>#VALUE!</v>
      </c>
      <c r="BW1026" s="58" t="e">
        <f>VLOOKUP(AQ1026,'[1]Harga &amp; Nama CSO'!$A$28:$D$31,4,0)*BQ1026</f>
        <v>#N/A</v>
      </c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44">
        <f>IFERROR(VLOOKUP(AQ1028,'[2]Harga &amp; Nama CSO'!$A$116:$S$136,19,FALSE),0)*AV1028</f>
        <v>0</v>
      </c>
      <c r="BO1027" s="55" t="e">
        <f>IFERROR(VLOOKUP(AQ1027,'[1]Harga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50">BO1027-BR1027</f>
        <v>#VALUE!</v>
      </c>
      <c r="BU1027" s="62"/>
      <c r="BV1027" s="8" t="e">
        <v>#VALUE!</v>
      </c>
      <c r="BW1027" s="58" t="e">
        <f>VLOOKUP(AQ1027,'[1]Harga &amp; Nama CSO'!$A$28:$D$31,4,0)*BQ1027</f>
        <v>#N/A</v>
      </c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44">
        <f>IFERROR(VLOOKUP(AQ1029,'[2]Harga &amp; Nama CSO'!$A$116:$S$136,19,FALSE),0)*AV1029</f>
        <v>0</v>
      </c>
      <c r="BO1028" s="55" t="e">
        <f>IFERROR(VLOOKUP(AQ1028,'[1]Harga &amp; Nama CSO'!$H$2:$N$22,2,FALSE),"")*AV1028</f>
        <v>#VALUE!</v>
      </c>
      <c r="BP1028" s="40"/>
      <c r="BQ1028" s="4"/>
      <c r="BR1028" s="61"/>
      <c r="BS1028" s="4"/>
      <c r="BT1028" s="57" t="e">
        <f t="shared" si="50"/>
        <v>#VALUE!</v>
      </c>
      <c r="BU1028" s="62"/>
      <c r="BV1028" s="8" t="e">
        <v>#VALUE!</v>
      </c>
      <c r="BW1028" s="58" t="e">
        <f>VLOOKUP(AQ1028,'[1]Harga &amp; Nama CSO'!$A$28:$D$31,4,0)*BQ1028</f>
        <v>#N/A</v>
      </c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44">
        <f>IFERROR(VLOOKUP(AQ1030,'[2]Harga &amp; Nama CSO'!$A$116:$S$136,19,FALSE),0)*AV1030</f>
        <v>0</v>
      </c>
      <c r="BO1029" s="55" t="e">
        <f>IFERROR(VLOOKUP(AQ1029,'[1]Harga &amp; Nama CSO'!$H$2:$N$22,2,FALSE),"")*AV1029</f>
        <v>#VALUE!</v>
      </c>
      <c r="BP1029" s="40"/>
      <c r="BQ1029" s="4"/>
      <c r="BR1029" s="61"/>
      <c r="BS1029" s="4"/>
      <c r="BT1029" s="57" t="e">
        <f t="shared" si="50"/>
        <v>#VALUE!</v>
      </c>
      <c r="BU1029" s="62"/>
      <c r="BV1029" s="8" t="e">
        <v>#VALUE!</v>
      </c>
      <c r="BW1029" s="58" t="e">
        <f>VLOOKUP(AQ1029,'[1]Harga &amp; Nama CSO'!$A$28:$D$31,4,0)*BQ1029</f>
        <v>#N/A</v>
      </c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44">
        <f>IFERROR(VLOOKUP(AQ1031,'[2]Harga &amp; Nama CSO'!$A$116:$S$136,19,FALSE),0)*AV1031</f>
        <v>0</v>
      </c>
      <c r="BO1030" s="55" t="e">
        <f>IFERROR(VLOOKUP(AQ1030,'[1]Harga &amp; Nama CSO'!$H$2:$N$22,2,FALSE),"")*AV1030</f>
        <v>#VALUE!</v>
      </c>
      <c r="BP1030" s="40"/>
      <c r="BQ1030" s="4"/>
      <c r="BR1030" s="61"/>
      <c r="BS1030" s="4"/>
      <c r="BT1030" s="57" t="e">
        <f t="shared" si="50"/>
        <v>#VALUE!</v>
      </c>
      <c r="BU1030" s="62"/>
      <c r="BV1030" s="8" t="e">
        <v>#VALUE!</v>
      </c>
      <c r="BW1030" s="58" t="e">
        <f>VLOOKUP(AQ1030,'[1]Harga &amp; Nama CSO'!$A$28:$D$31,4,0)*BQ1030</f>
        <v>#N/A</v>
      </c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44">
        <f>IFERROR(VLOOKUP(AQ1032,'[2]Harga &amp; Nama CSO'!$A$116:$S$136,19,FALSE),0)*AV1032</f>
        <v>0</v>
      </c>
      <c r="BO1031" s="55" t="e">
        <f>IFERROR(VLOOKUP(AQ1031,'[1]Harga &amp; Nama CSO'!$H$2:$N$22,2,FALSE),"")*AV1031</f>
        <v>#VALUE!</v>
      </c>
      <c r="BP1031" s="40"/>
      <c r="BQ1031" s="4"/>
      <c r="BR1031" s="61"/>
      <c r="BS1031" s="4"/>
      <c r="BT1031" s="57" t="e">
        <f t="shared" si="50"/>
        <v>#VALUE!</v>
      </c>
      <c r="BU1031" s="62"/>
      <c r="BV1031" s="8" t="e">
        <v>#VALUE!</v>
      </c>
      <c r="BW1031" s="58" t="e">
        <f>VLOOKUP(AQ1031,'[1]Harga &amp; Nama CSO'!$A$28:$D$31,4,0)*BQ1031</f>
        <v>#N/A</v>
      </c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44">
        <f>IFERROR(VLOOKUP(AQ1033,'[2]Harga &amp; Nama CSO'!$A$116:$S$136,19,FALSE),0)*AV1033</f>
        <v>0</v>
      </c>
      <c r="BO1032" s="55" t="e">
        <f>IFERROR(VLOOKUP(AQ1032,'[1]Harga &amp; Nama CSO'!$H$2:$N$22,2,FALSE),"")*AV1032</f>
        <v>#VALUE!</v>
      </c>
      <c r="BP1032" s="40"/>
      <c r="BQ1032" s="4"/>
      <c r="BR1032" s="61"/>
      <c r="BS1032" s="4"/>
      <c r="BT1032" s="57" t="e">
        <f t="shared" si="50"/>
        <v>#VALUE!</v>
      </c>
      <c r="BU1032" s="62"/>
      <c r="BV1032" s="8" t="e">
        <v>#VALUE!</v>
      </c>
      <c r="BW1032" s="58" t="e">
        <f>VLOOKUP(AQ1032,'[1]Harga &amp; Nama CSO'!$A$28:$D$31,4,0)*BQ1032</f>
        <v>#N/A</v>
      </c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44">
        <f>IFERROR(VLOOKUP(AQ1034,'[2]Harga &amp; Nama CSO'!$A$116:$S$136,19,FALSE),0)*AV1034</f>
        <v>0</v>
      </c>
      <c r="BO1033" s="55" t="e">
        <f>IFERROR(VLOOKUP(AQ1033,'[1]Harga &amp; Nama CSO'!$H$2:$N$22,2,FALSE),"")*AV1033</f>
        <v>#VALUE!</v>
      </c>
      <c r="BP1033" s="40"/>
      <c r="BQ1033" s="4"/>
      <c r="BR1033" s="61"/>
      <c r="BS1033" s="4"/>
      <c r="BT1033" s="57" t="e">
        <f t="shared" si="50"/>
        <v>#VALUE!</v>
      </c>
      <c r="BU1033" s="62"/>
      <c r="BV1033" s="8" t="e">
        <v>#VALUE!</v>
      </c>
      <c r="BW1033" s="58" t="e">
        <f>VLOOKUP(AQ1033,'[1]Harga &amp; Nama CSO'!$A$28:$D$31,4,0)*BQ1033</f>
        <v>#N/A</v>
      </c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44">
        <f>IFERROR(VLOOKUP(AQ1035,'[2]Harga &amp; Nama CSO'!$A$116:$S$136,19,FALSE),0)*AV1035</f>
        <v>0</v>
      </c>
      <c r="BO1034" s="55" t="e">
        <f>IFERROR(VLOOKUP(AQ1034,'[1]Harga &amp; Nama CSO'!$H$2:$N$22,2,FALSE),"")*AV1034</f>
        <v>#VALUE!</v>
      </c>
      <c r="BP1034" s="40"/>
      <c r="BQ1034" s="4"/>
      <c r="BR1034" s="61"/>
      <c r="BS1034" s="4"/>
      <c r="BT1034" s="57" t="e">
        <f t="shared" si="50"/>
        <v>#VALUE!</v>
      </c>
      <c r="BU1034" s="62"/>
      <c r="BV1034" s="8" t="e">
        <v>#VALUE!</v>
      </c>
      <c r="BW1034" s="58" t="e">
        <f>VLOOKUP(AQ1034,'[1]Harga &amp; Nama CSO'!$A$28:$D$31,4,0)*BQ1034</f>
        <v>#N/A</v>
      </c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44">
        <f>IFERROR(VLOOKUP(AQ1036,'[2]Harga &amp; Nama CSO'!$A$116:$S$136,19,FALSE),0)*AV1036</f>
        <v>0</v>
      </c>
      <c r="BO1035" s="55" t="e">
        <f>IFERROR(VLOOKUP(AQ1035,'[1]Harga &amp; Nama CSO'!$H$2:$N$22,2,FALSE),"")*AV1035</f>
        <v>#VALUE!</v>
      </c>
      <c r="BP1035" s="40"/>
      <c r="BQ1035" s="4"/>
      <c r="BR1035" s="61"/>
      <c r="BS1035" s="4"/>
      <c r="BT1035" s="57" t="e">
        <f t="shared" si="50"/>
        <v>#VALUE!</v>
      </c>
      <c r="BU1035" s="62"/>
      <c r="BV1035" s="8" t="e">
        <v>#VALUE!</v>
      </c>
      <c r="BW1035" s="58" t="e">
        <f>VLOOKUP(AQ1035,'[1]Harga &amp; Nama CSO'!$A$28:$D$31,4,0)*BQ1035</f>
        <v>#N/A</v>
      </c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44">
        <f>IFERROR(VLOOKUP(AQ1037,'[2]Harga &amp; Nama CSO'!$A$116:$S$136,19,FALSE),0)*AV1037</f>
        <v>0</v>
      </c>
      <c r="BO1036" s="55" t="e">
        <f>IFERROR(VLOOKUP(AQ1036,'[1]Harga &amp; Nama CSO'!$H$2:$N$22,2,FALSE),"")*AV1036</f>
        <v>#VALUE!</v>
      </c>
      <c r="BP1036" s="40"/>
      <c r="BQ1036" s="4"/>
      <c r="BR1036" s="61"/>
      <c r="BS1036" s="4"/>
      <c r="BT1036" s="57" t="e">
        <f t="shared" si="50"/>
        <v>#VALUE!</v>
      </c>
      <c r="BU1036" s="62"/>
      <c r="BV1036" s="8" t="e">
        <v>#VALUE!</v>
      </c>
      <c r="BW1036" s="58" t="e">
        <f>VLOOKUP(AQ1036,'[1]Harga &amp; Nama CSO'!$A$28:$D$31,4,0)*BQ1036</f>
        <v>#N/A</v>
      </c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44">
        <f>IFERROR(VLOOKUP(AQ1038,'[2]Harga &amp; Nama CSO'!$A$116:$S$136,19,FALSE),0)*AV1038</f>
        <v>0</v>
      </c>
      <c r="BO1037" s="55" t="e">
        <f>IFERROR(VLOOKUP(AQ1037,'[1]Harga &amp; Nama CSO'!$H$2:$N$22,2,FALSE),"")*AV1037</f>
        <v>#VALUE!</v>
      </c>
      <c r="BP1037" s="40"/>
      <c r="BQ1037" s="4"/>
      <c r="BR1037" s="61"/>
      <c r="BS1037" s="4"/>
      <c r="BT1037" s="57" t="e">
        <f t="shared" si="50"/>
        <v>#VALUE!</v>
      </c>
      <c r="BU1037" s="62"/>
      <c r="BV1037" s="8" t="e">
        <v>#VALUE!</v>
      </c>
      <c r="BW1037" s="58" t="e">
        <f>VLOOKUP(AQ1037,'[1]Harga &amp; Nama CSO'!$A$28:$D$31,4,0)*BQ1037</f>
        <v>#N/A</v>
      </c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44">
        <f>IFERROR(VLOOKUP(AQ1039,'[2]Harga &amp; Nama CSO'!$A$116:$S$136,19,FALSE),0)*AV1039</f>
        <v>0</v>
      </c>
      <c r="BO1038" s="55" t="e">
        <f>IFERROR(VLOOKUP(AQ1038,'[1]Harga &amp; Nama CSO'!$H$2:$N$22,2,FALSE),"")*AV1038</f>
        <v>#VALUE!</v>
      </c>
      <c r="BP1038" s="40"/>
      <c r="BQ1038" s="4"/>
      <c r="BR1038" s="61"/>
      <c r="BS1038" s="4"/>
      <c r="BT1038" s="57" t="e">
        <f t="shared" si="50"/>
        <v>#VALUE!</v>
      </c>
      <c r="BU1038" s="62"/>
      <c r="BV1038" s="8" t="e">
        <v>#VALUE!</v>
      </c>
      <c r="BW1038" s="58" t="e">
        <f>VLOOKUP(AQ1038,'[1]Harga &amp; Nama CSO'!$A$28:$D$31,4,0)*BQ1038</f>
        <v>#N/A</v>
      </c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44">
        <f>IFERROR(VLOOKUP(AQ1040,'[2]Harga &amp; Nama CSO'!$A$116:$S$136,19,FALSE),0)*AV1040</f>
        <v>0</v>
      </c>
      <c r="BO1039" s="55" t="e">
        <f>IFERROR(VLOOKUP(AQ1039,'[1]Harga &amp; Nama CSO'!$H$2:$N$22,2,FALSE),"")*AV1039</f>
        <v>#VALUE!</v>
      </c>
      <c r="BP1039" s="40"/>
      <c r="BQ1039" s="4"/>
      <c r="BR1039" s="61"/>
      <c r="BS1039" s="4"/>
      <c r="BT1039" s="57" t="e">
        <f t="shared" si="50"/>
        <v>#VALUE!</v>
      </c>
      <c r="BU1039" s="62"/>
      <c r="BV1039" s="8" t="e">
        <v>#VALUE!</v>
      </c>
      <c r="BW1039" s="58" t="e">
        <f>VLOOKUP(AQ1039,'[1]Harga &amp; Nama CSO'!$A$28:$D$31,4,0)*BQ1039</f>
        <v>#N/A</v>
      </c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44">
        <f>IFERROR(VLOOKUP(AQ1041,'[2]Harga &amp; Nama CSO'!$A$116:$S$136,19,FALSE),0)*AV1041</f>
        <v>0</v>
      </c>
      <c r="BO1040" s="55" t="e">
        <f>IFERROR(VLOOKUP(AQ1040,'[1]Harga &amp; Nama CSO'!$H$2:$N$22,2,FALSE),"")*AV1040</f>
        <v>#VALUE!</v>
      </c>
      <c r="BP1040" s="40"/>
      <c r="BQ1040" s="4"/>
      <c r="BR1040" s="61"/>
      <c r="BS1040" s="4"/>
      <c r="BT1040" s="57" t="e">
        <f t="shared" si="50"/>
        <v>#VALUE!</v>
      </c>
      <c r="BU1040" s="62"/>
      <c r="BV1040" s="8" t="e">
        <v>#VALUE!</v>
      </c>
      <c r="BW1040" s="58" t="e">
        <f>VLOOKUP(AQ1040,'[1]Harga &amp; Nama CSO'!$A$28:$D$31,4,0)*BQ1040</f>
        <v>#N/A</v>
      </c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44">
        <f>IFERROR(VLOOKUP(AQ1042,'[2]Harga &amp; Nama CSO'!$A$116:$S$136,19,FALSE),0)*AV1042</f>
        <v>0</v>
      </c>
      <c r="BO1041" s="55" t="e">
        <f>IFERROR(VLOOKUP(AQ1041,'[1]Harga &amp; Nama CSO'!$H$2:$N$22,2,FALSE),"")*AV1041</f>
        <v>#VALUE!</v>
      </c>
      <c r="BP1041" s="40"/>
      <c r="BQ1041" s="4"/>
      <c r="BR1041" s="61"/>
      <c r="BS1041" s="4"/>
      <c r="BT1041" s="57" t="e">
        <f t="shared" si="50"/>
        <v>#VALUE!</v>
      </c>
      <c r="BU1041" s="62"/>
      <c r="BV1041" s="8" t="e">
        <v>#VALUE!</v>
      </c>
      <c r="BW1041" s="58" t="e">
        <f>VLOOKUP(AQ1041,'[1]Harga &amp; Nama CSO'!$A$28:$D$31,4,0)*BQ1041</f>
        <v>#N/A</v>
      </c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44">
        <f>IFERROR(VLOOKUP(AQ1043,'[2]Harga &amp; Nama CSO'!$A$116:$S$136,19,FALSE),0)*AV1043</f>
        <v>0</v>
      </c>
      <c r="BO1042" s="55" t="e">
        <f>IFERROR(VLOOKUP(AQ1042,'[1]Harga &amp; Nama CSO'!$H$2:$N$22,2,FALSE),"")*AV1042</f>
        <v>#VALUE!</v>
      </c>
      <c r="BP1042" s="40"/>
      <c r="BQ1042" s="4"/>
      <c r="BR1042" s="61"/>
      <c r="BS1042" s="4"/>
      <c r="BT1042" s="57" t="e">
        <f t="shared" si="50"/>
        <v>#VALUE!</v>
      </c>
      <c r="BU1042" s="62"/>
      <c r="BV1042" s="8" t="e">
        <v>#VALUE!</v>
      </c>
      <c r="BW1042" s="58" t="e">
        <f>VLOOKUP(AQ1042,'[1]Harga &amp; Nama CSO'!$A$28:$D$31,4,0)*BQ1042</f>
        <v>#N/A</v>
      </c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44">
        <f>IFERROR(VLOOKUP(AQ1044,'[2]Harga &amp; Nama CSO'!$A$116:$S$136,19,FALSE),0)*AV1044</f>
        <v>0</v>
      </c>
      <c r="BO1043" s="55" t="e">
        <f>IFERROR(VLOOKUP(AQ1043,'[1]Harga &amp; Nama CSO'!$H$2:$N$22,2,FALSE),"")*AV1043</f>
        <v>#VALUE!</v>
      </c>
      <c r="BP1043" s="40"/>
      <c r="BQ1043" s="4"/>
      <c r="BR1043" s="61"/>
      <c r="BS1043" s="4"/>
      <c r="BT1043" s="57" t="e">
        <f t="shared" si="50"/>
        <v>#VALUE!</v>
      </c>
      <c r="BU1043" s="62"/>
      <c r="BV1043" s="8" t="e">
        <v>#VALUE!</v>
      </c>
      <c r="BW1043" s="58" t="e">
        <f>VLOOKUP(AQ1043,'[1]Harga &amp; Nama CSO'!$A$28:$D$31,4,0)*BQ1043</f>
        <v>#N/A</v>
      </c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44">
        <f>IFERROR(VLOOKUP(AQ1045,'[2]Harga &amp; Nama CSO'!$A$116:$S$136,19,FALSE),0)*AV1045</f>
        <v>0</v>
      </c>
      <c r="BO1044" s="55" t="e">
        <f>IFERROR(VLOOKUP(AQ1044,'[1]Harga &amp; Nama CSO'!$H$2:$N$22,2,FALSE),"")*AV1044</f>
        <v>#VALUE!</v>
      </c>
      <c r="BP1044" s="40"/>
      <c r="BQ1044" s="4"/>
      <c r="BR1044" s="61"/>
      <c r="BS1044" s="4"/>
      <c r="BT1044" s="57" t="e">
        <f t="shared" si="50"/>
        <v>#VALUE!</v>
      </c>
      <c r="BU1044" s="62"/>
      <c r="BV1044" s="8" t="e">
        <v>#VALUE!</v>
      </c>
      <c r="BW1044" s="58" t="e">
        <f>VLOOKUP(AQ1044,'[1]Harga &amp; Nama CSO'!$A$28:$D$31,4,0)*BQ1044</f>
        <v>#N/A</v>
      </c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44">
        <f>IFERROR(VLOOKUP(AQ1046,'[2]Harga &amp; Nama CSO'!$A$116:$S$136,19,FALSE),0)*AV1046</f>
        <v>0</v>
      </c>
      <c r="BO1045" s="55" t="e">
        <f>IFERROR(VLOOKUP(AQ1045,'[1]Harga &amp; Nama CSO'!$H$2:$N$22,2,FALSE),"")*AV1045</f>
        <v>#VALUE!</v>
      </c>
      <c r="BP1045" s="40"/>
      <c r="BQ1045" s="4"/>
      <c r="BR1045" s="61"/>
      <c r="BS1045" s="4"/>
      <c r="BT1045" s="57" t="e">
        <f t="shared" si="50"/>
        <v>#VALUE!</v>
      </c>
      <c r="BU1045" s="62"/>
      <c r="BV1045" s="8" t="e">
        <v>#VALUE!</v>
      </c>
      <c r="BW1045" s="58" t="e">
        <f>VLOOKUP(AQ1045,'[1]Harga &amp; Nama CSO'!$A$28:$D$31,4,0)*BQ1045</f>
        <v>#N/A</v>
      </c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44">
        <f>IFERROR(VLOOKUP(AQ1047,'[2]Harga &amp; Nama CSO'!$A$116:$S$136,19,FALSE),0)*AV1047</f>
        <v>0</v>
      </c>
      <c r="BO1046" s="55" t="e">
        <f>IFERROR(VLOOKUP(AQ1046,'[1]Harga &amp; Nama CSO'!$H$2:$N$22,2,FALSE),"")*AV1046</f>
        <v>#VALUE!</v>
      </c>
      <c r="BP1046" s="40"/>
      <c r="BQ1046" s="4"/>
      <c r="BR1046" s="61"/>
      <c r="BS1046" s="4"/>
      <c r="BT1046" s="57" t="e">
        <f t="shared" si="50"/>
        <v>#VALUE!</v>
      </c>
      <c r="BU1046" s="62"/>
      <c r="BV1046" s="8" t="e">
        <v>#VALUE!</v>
      </c>
      <c r="BW1046" s="58" t="e">
        <f>VLOOKUP(AQ1046,'[1]Harga &amp; Nama CSO'!$A$28:$D$31,4,0)*BQ1046</f>
        <v>#N/A</v>
      </c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44">
        <f>IFERROR(VLOOKUP(AQ1048,'[2]Harga &amp; Nama CSO'!$A$116:$S$136,19,FALSE),0)*AV1048</f>
        <v>0</v>
      </c>
      <c r="BO1047" s="55" t="e">
        <f>IFERROR(VLOOKUP(AQ1047,'[1]Harga &amp; Nama CSO'!$H$2:$N$22,2,FALSE),"")*AV1047</f>
        <v>#VALUE!</v>
      </c>
      <c r="BP1047" s="40"/>
      <c r="BQ1047" s="4"/>
      <c r="BR1047" s="61"/>
      <c r="BS1047" s="4"/>
      <c r="BT1047" s="57" t="e">
        <f t="shared" si="50"/>
        <v>#VALUE!</v>
      </c>
      <c r="BU1047" s="62"/>
      <c r="BV1047" s="8" t="e">
        <v>#VALUE!</v>
      </c>
      <c r="BW1047" s="58" t="e">
        <f>VLOOKUP(AQ1047,'[1]Harga &amp; Nama CSO'!$A$28:$D$31,4,0)*BQ1047</f>
        <v>#N/A</v>
      </c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44">
        <f>IFERROR(VLOOKUP(AQ1049,'[2]Harga &amp; Nama CSO'!$A$116:$S$136,19,FALSE),0)*AV1049</f>
        <v>0</v>
      </c>
      <c r="BO1048" s="55" t="e">
        <f>IFERROR(VLOOKUP(AQ1048,'[1]Harga &amp; Nama CSO'!$H$2:$N$22,2,FALSE),"")*AV1048</f>
        <v>#VALUE!</v>
      </c>
      <c r="BP1048" s="40"/>
      <c r="BQ1048" s="4"/>
      <c r="BR1048" s="61"/>
      <c r="BS1048" s="4"/>
      <c r="BT1048" s="57" t="e">
        <f t="shared" si="50"/>
        <v>#VALUE!</v>
      </c>
      <c r="BU1048" s="62"/>
      <c r="BV1048" s="8" t="e">
        <v>#VALUE!</v>
      </c>
      <c r="BW1048" s="58" t="e">
        <f>VLOOKUP(AQ1048,'[1]Harga &amp; Nama CSO'!$A$28:$D$31,4,0)*BQ1048</f>
        <v>#N/A</v>
      </c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44">
        <f>IFERROR(VLOOKUP(AQ1050,'[2]Harga &amp; Nama CSO'!$A$116:$S$136,19,FALSE),0)*AV1050</f>
        <v>0</v>
      </c>
      <c r="BO1049" s="55" t="e">
        <f>IFERROR(VLOOKUP(AQ1049,'[1]Harga &amp; Nama CSO'!$H$2:$N$22,2,FALSE),"")*AV1049</f>
        <v>#VALUE!</v>
      </c>
      <c r="BP1049" s="40"/>
      <c r="BQ1049" s="4"/>
      <c r="BR1049" s="61"/>
      <c r="BS1049" s="4"/>
      <c r="BT1049" s="57" t="e">
        <f t="shared" si="50"/>
        <v>#VALUE!</v>
      </c>
      <c r="BU1049" s="62"/>
      <c r="BV1049" s="8" t="e">
        <v>#VALUE!</v>
      </c>
      <c r="BW1049" s="58" t="e">
        <f>VLOOKUP(AQ1049,'[1]Harga &amp; Nama CSO'!$A$28:$D$31,4,0)*BQ1049</f>
        <v>#N/A</v>
      </c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44">
        <f>IFERROR(VLOOKUP(AQ1051,'[2]Harga &amp; Nama CSO'!$A$116:$S$136,19,FALSE),0)*AV1051</f>
        <v>0</v>
      </c>
      <c r="BO1050" s="55" t="e">
        <f>IFERROR(VLOOKUP(AQ1050,'[1]Harga &amp; Nama CSO'!$H$2:$N$22,2,FALSE),"")*AV1050</f>
        <v>#VALUE!</v>
      </c>
      <c r="BP1050" s="40"/>
      <c r="BQ1050" s="4"/>
      <c r="BR1050" s="61"/>
      <c r="BS1050" s="4"/>
      <c r="BT1050" s="57" t="e">
        <f t="shared" si="50"/>
        <v>#VALUE!</v>
      </c>
      <c r="BU1050" s="62"/>
      <c r="BV1050" s="8" t="e">
        <v>#VALUE!</v>
      </c>
      <c r="BW1050" s="58" t="e">
        <f>VLOOKUP(AQ1050,'[1]Harga &amp; Nama CSO'!$A$28:$D$31,4,0)*BQ1050</f>
        <v>#N/A</v>
      </c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44">
        <f>IFERROR(VLOOKUP(AQ1052,'[2]Harga &amp; Nama CSO'!$A$116:$S$136,19,FALSE),0)*AV1052</f>
        <v>0</v>
      </c>
      <c r="BO1051" s="55" t="e">
        <f>IFERROR(VLOOKUP(AQ1051,'[1]Harga &amp; Nama CSO'!$H$2:$N$22,2,FALSE),"")*AV1051</f>
        <v>#VALUE!</v>
      </c>
      <c r="BP1051" s="40"/>
      <c r="BQ1051" s="4"/>
      <c r="BR1051" s="61"/>
      <c r="BS1051" s="4"/>
      <c r="BT1051" s="57" t="e">
        <f t="shared" si="50"/>
        <v>#VALUE!</v>
      </c>
      <c r="BU1051" s="62"/>
      <c r="BV1051" s="8" t="e">
        <v>#VALUE!</v>
      </c>
      <c r="BW1051" s="58" t="e">
        <f>VLOOKUP(AQ1051,'[1]Harga &amp; Nama CSO'!$A$28:$D$31,4,0)*BQ1051</f>
        <v>#N/A</v>
      </c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44">
        <f>IFERROR(VLOOKUP(AQ1053,'[2]Harga &amp; Nama CSO'!$A$116:$S$136,19,FALSE),0)*AV1053</f>
        <v>0</v>
      </c>
      <c r="BO1052" s="55" t="e">
        <f>IFERROR(VLOOKUP(AQ1052,'[1]Harga &amp; Nama CSO'!$H$2:$N$22,2,FALSE),"")*AV1052</f>
        <v>#VALUE!</v>
      </c>
      <c r="BP1052" s="40"/>
      <c r="BQ1052" s="4"/>
      <c r="BR1052" s="61"/>
      <c r="BS1052" s="4"/>
      <c r="BT1052" s="57" t="e">
        <f t="shared" si="50"/>
        <v>#VALUE!</v>
      </c>
      <c r="BU1052" s="62"/>
      <c r="BV1052" s="8" t="e">
        <v>#VALUE!</v>
      </c>
      <c r="BW1052" s="58" t="e">
        <f>VLOOKUP(AQ1052,'[1]Harga &amp; Nama CSO'!$A$28:$D$31,4,0)*BQ1052</f>
        <v>#N/A</v>
      </c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44">
        <f>IFERROR(VLOOKUP(AQ1054,'[2]Harga &amp; Nama CSO'!$A$116:$S$136,19,FALSE),0)*AV1054</f>
        <v>0</v>
      </c>
      <c r="BO1053" s="55" t="e">
        <f>IFERROR(VLOOKUP(AQ1053,'[1]Harga &amp; Nama CSO'!$H$2:$N$22,2,FALSE),"")*AV1053</f>
        <v>#VALUE!</v>
      </c>
      <c r="BP1053" s="40"/>
      <c r="BQ1053" s="4"/>
      <c r="BR1053" s="61"/>
      <c r="BS1053" s="4"/>
      <c r="BT1053" s="57" t="e">
        <f t="shared" si="50"/>
        <v>#VALUE!</v>
      </c>
      <c r="BU1053" s="62"/>
      <c r="BV1053" s="8" t="e">
        <v>#VALUE!</v>
      </c>
      <c r="BW1053" s="58" t="e">
        <f>VLOOKUP(AQ1053,'[1]Harga &amp; Nama CSO'!$A$28:$D$31,4,0)*BQ1053</f>
        <v>#N/A</v>
      </c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44">
        <f>IFERROR(VLOOKUP(AQ1055,'[2]Harga &amp; Nama CSO'!$A$116:$S$136,19,FALSE),0)*AV1055</f>
        <v>0</v>
      </c>
      <c r="BO1054" s="55" t="e">
        <f>IFERROR(VLOOKUP(AQ1054,'[1]Harga &amp; Nama CSO'!$H$2:$N$22,2,FALSE),"")*AV1054</f>
        <v>#VALUE!</v>
      </c>
      <c r="BP1054" s="40"/>
      <c r="BQ1054" s="4"/>
      <c r="BR1054" s="61"/>
      <c r="BS1054" s="4"/>
      <c r="BT1054" s="57" t="e">
        <f t="shared" si="50"/>
        <v>#VALUE!</v>
      </c>
      <c r="BU1054" s="62"/>
      <c r="BV1054" s="8" t="e">
        <v>#VALUE!</v>
      </c>
      <c r="BW1054" s="58" t="e">
        <f>VLOOKUP(AQ1054,'[1]Harga &amp; Nama CSO'!$A$28:$D$31,4,0)*BQ1054</f>
        <v>#N/A</v>
      </c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44">
        <f>IFERROR(VLOOKUP(AQ1056,'[2]Harga &amp; Nama CSO'!$A$116:$S$136,19,FALSE),0)*AV1056</f>
        <v>0</v>
      </c>
      <c r="BO1055" s="55" t="e">
        <f>IFERROR(VLOOKUP(AQ1055,'[1]Harga &amp; Nama CSO'!$H$2:$N$22,2,FALSE),"")*AV1055</f>
        <v>#VALUE!</v>
      </c>
      <c r="BP1055" s="40"/>
      <c r="BQ1055" s="4"/>
      <c r="BR1055" s="61"/>
      <c r="BS1055" s="4"/>
      <c r="BT1055" s="57" t="e">
        <f t="shared" si="50"/>
        <v>#VALUE!</v>
      </c>
      <c r="BU1055" s="62"/>
      <c r="BV1055" s="8" t="e">
        <v>#VALUE!</v>
      </c>
      <c r="BW1055" s="58" t="e">
        <f>VLOOKUP(AQ1055,'[1]Harga &amp; Nama CSO'!$A$28:$D$31,4,0)*BQ1055</f>
        <v>#N/A</v>
      </c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44">
        <f>IFERROR(VLOOKUP(AQ1057,'[2]Harga &amp; Nama CSO'!$A$116:$S$136,19,FALSE),0)*AV1057</f>
        <v>0</v>
      </c>
      <c r="BO1056" s="55" t="e">
        <f>IFERROR(VLOOKUP(AQ1056,'[1]Harga &amp; Nama CSO'!$H$2:$N$22,2,FALSE),"")*AV1056</f>
        <v>#VALUE!</v>
      </c>
      <c r="BP1056" s="40"/>
      <c r="BQ1056" s="4"/>
      <c r="BR1056" s="61"/>
      <c r="BS1056" s="4"/>
      <c r="BT1056" s="57" t="e">
        <f t="shared" si="50"/>
        <v>#VALUE!</v>
      </c>
      <c r="BU1056" s="62"/>
      <c r="BV1056" s="8" t="e">
        <v>#VALUE!</v>
      </c>
      <c r="BW1056" s="58" t="e">
        <f>VLOOKUP(AQ1056,'[1]Harga &amp; Nama CSO'!$A$28:$D$31,4,0)*BQ1056</f>
        <v>#N/A</v>
      </c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44">
        <f>IFERROR(VLOOKUP(AQ1058,'[2]Harga &amp; Nama CSO'!$A$116:$S$136,19,FALSE),0)*AV1058</f>
        <v>0</v>
      </c>
      <c r="BO1057" s="55" t="e">
        <f>IFERROR(VLOOKUP(AQ1057,'[1]Harga &amp; Nama CSO'!$H$2:$N$22,2,FALSE),"")*AV1057</f>
        <v>#VALUE!</v>
      </c>
      <c r="BP1057" s="40"/>
      <c r="BQ1057" s="4"/>
      <c r="BR1057" s="61"/>
      <c r="BS1057" s="4"/>
      <c r="BT1057" s="57" t="e">
        <f t="shared" si="50"/>
        <v>#VALUE!</v>
      </c>
      <c r="BU1057" s="62"/>
      <c r="BV1057" s="8" t="e">
        <v>#VALUE!</v>
      </c>
      <c r="BW1057" s="58" t="e">
        <f>VLOOKUP(AQ1057,'[1]Harga &amp; Nama CSO'!$A$28:$D$31,4,0)*BQ1057</f>
        <v>#N/A</v>
      </c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44">
        <f>IFERROR(VLOOKUP(AQ1059,'[2]Harga &amp; Nama CSO'!$A$116:$S$136,19,FALSE),0)*AV1059</f>
        <v>0</v>
      </c>
      <c r="BO1058" s="55" t="e">
        <f>IFERROR(VLOOKUP(AQ1058,'[1]Harga &amp; Nama CSO'!$H$2:$N$22,2,FALSE),"")*AV1058</f>
        <v>#VALUE!</v>
      </c>
      <c r="BP1058" s="40"/>
      <c r="BQ1058" s="4"/>
      <c r="BR1058" s="61"/>
      <c r="BS1058" s="4"/>
      <c r="BT1058" s="57" t="e">
        <f t="shared" si="50"/>
        <v>#VALUE!</v>
      </c>
      <c r="BU1058" s="62"/>
      <c r="BV1058" s="8" t="e">
        <v>#VALUE!</v>
      </c>
      <c r="BW1058" s="58" t="e">
        <f>VLOOKUP(AQ1058,'[1]Harga &amp; Nama CSO'!$A$28:$D$31,4,0)*BQ1058</f>
        <v>#N/A</v>
      </c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44">
        <f>IFERROR(VLOOKUP(AQ1060,'[2]Harga &amp; Nama CSO'!$A$116:$S$136,19,FALSE),0)*AV1060</f>
        <v>0</v>
      </c>
      <c r="BO1059" s="55" t="e">
        <f>IFERROR(VLOOKUP(AQ1059,'[1]Harga &amp; Nama CSO'!$H$2:$N$22,2,FALSE),"")*AV1059</f>
        <v>#VALUE!</v>
      </c>
      <c r="BP1059" s="40"/>
      <c r="BQ1059" s="4"/>
      <c r="BR1059" s="61"/>
      <c r="BS1059" s="4"/>
      <c r="BT1059" s="57" t="e">
        <f t="shared" si="50"/>
        <v>#VALUE!</v>
      </c>
      <c r="BU1059" s="62"/>
      <c r="BV1059" s="8" t="e">
        <v>#VALUE!</v>
      </c>
      <c r="BW1059" s="58" t="e">
        <f>VLOOKUP(AQ1059,'[1]Harga &amp; Nama CSO'!$A$28:$D$31,4,0)*BQ1059</f>
        <v>#N/A</v>
      </c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44">
        <f>IFERROR(VLOOKUP(AQ1061,'[2]Harga &amp; Nama CSO'!$A$116:$S$136,19,FALSE),0)*AV1061</f>
        <v>0</v>
      </c>
      <c r="BO1060" s="55" t="e">
        <f>IFERROR(VLOOKUP(AQ1060,'[1]Harga &amp; Nama CSO'!$H$2:$N$22,2,FALSE),"")*AV1060</f>
        <v>#VALUE!</v>
      </c>
      <c r="BP1060" s="40"/>
      <c r="BQ1060" s="4"/>
      <c r="BR1060" s="61"/>
      <c r="BS1060" s="4"/>
      <c r="BT1060" s="57" t="e">
        <f t="shared" si="50"/>
        <v>#VALUE!</v>
      </c>
      <c r="BU1060" s="62"/>
      <c r="BV1060" s="8" t="e">
        <v>#VALUE!</v>
      </c>
      <c r="BW1060" s="58" t="e">
        <f>VLOOKUP(AQ1060,'[1]Harga &amp; Nama CSO'!$A$28:$D$31,4,0)*BQ1060</f>
        <v>#N/A</v>
      </c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44">
        <f>IFERROR(VLOOKUP(AQ1062,'[2]Harga &amp; Nama CSO'!$A$116:$S$136,19,FALSE),0)*AV1062</f>
        <v>0</v>
      </c>
      <c r="BO1061" s="55" t="e">
        <f>IFERROR(VLOOKUP(AQ1061,'[1]Harga &amp; Nama CSO'!$H$2:$N$22,2,FALSE),"")*AV1061</f>
        <v>#VALUE!</v>
      </c>
      <c r="BP1061" s="40"/>
      <c r="BQ1061" s="4"/>
      <c r="BR1061" s="61"/>
      <c r="BS1061" s="4"/>
      <c r="BT1061" s="57" t="e">
        <f t="shared" si="50"/>
        <v>#VALUE!</v>
      </c>
      <c r="BU1061" s="62"/>
      <c r="BV1061" s="8" t="e">
        <v>#VALUE!</v>
      </c>
      <c r="BW1061" s="58" t="e">
        <f>VLOOKUP(AQ1061,'[1]Harga &amp; Nama CSO'!$A$28:$D$31,4,0)*BQ1061</f>
        <v>#N/A</v>
      </c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44">
        <f>IFERROR(VLOOKUP(AQ1063,'[2]Harga &amp; Nama CSO'!$A$116:$S$136,19,FALSE),0)*AV1063</f>
        <v>0</v>
      </c>
      <c r="BO1062" s="55" t="e">
        <f>IFERROR(VLOOKUP(AQ1062,'[1]Harga &amp; Nama CSO'!$H$2:$N$22,2,FALSE),"")*AV1062</f>
        <v>#VALUE!</v>
      </c>
      <c r="BP1062" s="40"/>
      <c r="BQ1062" s="4"/>
      <c r="BR1062" s="61"/>
      <c r="BS1062" s="4"/>
      <c r="BT1062" s="57" t="e">
        <f t="shared" si="50"/>
        <v>#VALUE!</v>
      </c>
      <c r="BU1062" s="62"/>
      <c r="BV1062" s="8" t="e">
        <v>#VALUE!</v>
      </c>
      <c r="BW1062" s="58" t="e">
        <f>VLOOKUP(AQ1062,'[1]Harga &amp; Nama CSO'!$A$28:$D$31,4,0)*BQ1062</f>
        <v>#N/A</v>
      </c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44">
        <f>IFERROR(VLOOKUP(AQ1064,'[2]Harga &amp; Nama CSO'!$A$116:$S$136,19,FALSE),0)*AV1064</f>
        <v>0</v>
      </c>
      <c r="BO1063" s="55" t="e">
        <f>IFERROR(VLOOKUP(AQ1063,'[1]Harga &amp; Nama CSO'!$H$2:$N$22,2,FALSE),"")*AV1063</f>
        <v>#VALUE!</v>
      </c>
      <c r="BP1063" s="40"/>
      <c r="BQ1063" s="4"/>
      <c r="BR1063" s="61"/>
      <c r="BS1063" s="4"/>
      <c r="BT1063" s="57" t="e">
        <f t="shared" si="50"/>
        <v>#VALUE!</v>
      </c>
      <c r="BU1063" s="62"/>
      <c r="BV1063" s="8" t="e">
        <v>#VALUE!</v>
      </c>
      <c r="BW1063" s="58" t="e">
        <f>VLOOKUP(AQ1063,'[1]Harga &amp; Nama CSO'!$A$28:$D$31,4,0)*BQ1063</f>
        <v>#N/A</v>
      </c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44">
        <f>IFERROR(VLOOKUP(AQ1065,'[2]Harga &amp; Nama CSO'!$A$116:$S$136,19,FALSE),0)*AV1065</f>
        <v>0</v>
      </c>
      <c r="BO1064" s="55" t="e">
        <f>IFERROR(VLOOKUP(AQ1064,'[1]Harga &amp; Nama CSO'!$H$2:$N$22,2,FALSE),"")*AV1064</f>
        <v>#VALUE!</v>
      </c>
      <c r="BP1064" s="40"/>
      <c r="BQ1064" s="4"/>
      <c r="BR1064" s="61"/>
      <c r="BS1064" s="4"/>
      <c r="BT1064" s="57" t="e">
        <f t="shared" si="50"/>
        <v>#VALUE!</v>
      </c>
      <c r="BU1064" s="62"/>
      <c r="BV1064" s="8" t="e">
        <v>#VALUE!</v>
      </c>
      <c r="BW1064" s="58" t="e">
        <f>VLOOKUP(AQ1064,'[1]Harga &amp; Nama CSO'!$A$28:$D$31,4,0)*BQ1064</f>
        <v>#N/A</v>
      </c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44">
        <f>IFERROR(VLOOKUP(AQ1066,'[2]Harga &amp; Nama CSO'!$A$116:$S$136,19,FALSE),0)*AV1066</f>
        <v>0</v>
      </c>
      <c r="BO1065" s="55" t="e">
        <f>IFERROR(VLOOKUP(AQ1065,'[1]Harga &amp; Nama CSO'!$H$2:$N$22,2,FALSE),"")*AV1065</f>
        <v>#VALUE!</v>
      </c>
      <c r="BP1065" s="40"/>
      <c r="BQ1065" s="4"/>
      <c r="BR1065" s="61"/>
      <c r="BS1065" s="4"/>
      <c r="BT1065" s="57" t="e">
        <f t="shared" si="50"/>
        <v>#VALUE!</v>
      </c>
      <c r="BU1065" s="62"/>
      <c r="BV1065" s="8" t="e">
        <v>#VALUE!</v>
      </c>
      <c r="BW1065" s="58" t="e">
        <f>VLOOKUP(AQ1065,'[1]Harga &amp; Nama CSO'!$A$28:$D$31,4,0)*BQ1065</f>
        <v>#N/A</v>
      </c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44">
        <f>IFERROR(VLOOKUP(AQ1067,'[2]Harga &amp; Nama CSO'!$A$116:$S$136,19,FALSE),0)*AV1067</f>
        <v>0</v>
      </c>
      <c r="BO1066" s="55" t="e">
        <f>IFERROR(VLOOKUP(AQ1066,'[1]Harga &amp; Nama CSO'!$H$2:$N$22,2,FALSE),"")*AV1066</f>
        <v>#VALUE!</v>
      </c>
      <c r="BP1066" s="40"/>
      <c r="BQ1066" s="4"/>
      <c r="BR1066" s="61"/>
      <c r="BS1066" s="4"/>
      <c r="BT1066" s="57" t="e">
        <f t="shared" si="50"/>
        <v>#VALUE!</v>
      </c>
      <c r="BU1066" s="62"/>
      <c r="BV1066" s="8" t="e">
        <v>#VALUE!</v>
      </c>
      <c r="BW1066" s="58" t="e">
        <f>VLOOKUP(AQ1066,'[1]Harga &amp; Nama CSO'!$A$28:$D$31,4,0)*BQ1066</f>
        <v>#N/A</v>
      </c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44">
        <f>IFERROR(VLOOKUP(AQ1068,'[2]Harga &amp; Nama CSO'!$A$116:$S$136,19,FALSE),0)*AV1068</f>
        <v>0</v>
      </c>
      <c r="BO1067" s="55" t="e">
        <f>IFERROR(VLOOKUP(AQ1067,'[1]Harga &amp; Nama CSO'!$H$2:$N$22,2,FALSE),"")*AV1067</f>
        <v>#VALUE!</v>
      </c>
      <c r="BP1067" s="40"/>
      <c r="BQ1067" s="4"/>
      <c r="BR1067" s="61"/>
      <c r="BS1067" s="4"/>
      <c r="BT1067" s="57" t="e">
        <f t="shared" si="50"/>
        <v>#VALUE!</v>
      </c>
      <c r="BU1067" s="62"/>
      <c r="BV1067" s="8" t="e">
        <v>#VALUE!</v>
      </c>
      <c r="BW1067" s="58" t="e">
        <f>VLOOKUP(AQ1067,'[1]Harga &amp; Nama CSO'!$A$28:$D$31,4,0)*BQ1067</f>
        <v>#N/A</v>
      </c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44">
        <f>IFERROR(VLOOKUP(AQ1069,'[2]Harga &amp; Nama CSO'!$A$116:$S$136,19,FALSE),0)*AV1069</f>
        <v>0</v>
      </c>
      <c r="BO1068" s="55" t="e">
        <f>IFERROR(VLOOKUP(AQ1068,'[1]Harga &amp; Nama CSO'!$H$2:$N$22,2,FALSE),"")*AV1068</f>
        <v>#VALUE!</v>
      </c>
      <c r="BP1068" s="40"/>
      <c r="BQ1068" s="4"/>
      <c r="BR1068" s="61"/>
      <c r="BS1068" s="4"/>
      <c r="BT1068" s="57" t="e">
        <f t="shared" si="50"/>
        <v>#VALUE!</v>
      </c>
      <c r="BU1068" s="62"/>
      <c r="BV1068" s="8" t="e">
        <v>#VALUE!</v>
      </c>
      <c r="BW1068" s="58" t="e">
        <f>VLOOKUP(AQ1068,'[1]Harga &amp; Nama CSO'!$A$28:$D$31,4,0)*BQ1068</f>
        <v>#N/A</v>
      </c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44">
        <f>IFERROR(VLOOKUP(AQ1070,'[2]Harga &amp; Nama CSO'!$A$116:$S$136,19,FALSE),0)*AV1070</f>
        <v>0</v>
      </c>
      <c r="BO1069" s="55" t="e">
        <f>IFERROR(VLOOKUP(AQ1069,'[1]Harga &amp; Nama CSO'!$H$2:$N$22,2,FALSE),"")*AV1069</f>
        <v>#VALUE!</v>
      </c>
      <c r="BP1069" s="40"/>
      <c r="BQ1069" s="4"/>
      <c r="BR1069" s="61"/>
      <c r="BS1069" s="4"/>
      <c r="BT1069" s="57" t="e">
        <f t="shared" si="50"/>
        <v>#VALUE!</v>
      </c>
      <c r="BU1069" s="62"/>
      <c r="BV1069" s="8" t="e">
        <v>#VALUE!</v>
      </c>
      <c r="BW1069" s="58" t="e">
        <f>VLOOKUP(AQ1069,'[1]Harga &amp; Nama CSO'!$A$28:$D$31,4,0)*BQ1069</f>
        <v>#N/A</v>
      </c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44">
        <f>IFERROR(VLOOKUP(AQ1071,'[2]Harga &amp; Nama CSO'!$A$116:$S$136,19,FALSE),0)*AV1071</f>
        <v>0</v>
      </c>
      <c r="BO1070" s="55" t="e">
        <f>IFERROR(VLOOKUP(AQ1070,'[1]Harga &amp; Nama CSO'!$H$2:$N$22,2,FALSE),"")*AV1070</f>
        <v>#VALUE!</v>
      </c>
      <c r="BP1070" s="40"/>
      <c r="BQ1070" s="4"/>
      <c r="BR1070" s="61"/>
      <c r="BS1070" s="4"/>
      <c r="BT1070" s="57" t="e">
        <f t="shared" si="50"/>
        <v>#VALUE!</v>
      </c>
      <c r="BU1070" s="62"/>
      <c r="BV1070" s="8" t="e">
        <v>#VALUE!</v>
      </c>
      <c r="BW1070" s="58" t="e">
        <f>VLOOKUP(AQ1070,'[1]Harga &amp; Nama CSO'!$A$28:$D$31,4,0)*BQ1070</f>
        <v>#N/A</v>
      </c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44">
        <f>IFERROR(VLOOKUP(AQ1072,'[2]Harga &amp; Nama CSO'!$A$116:$S$136,19,FALSE),0)*AV1072</f>
        <v>0</v>
      </c>
      <c r="BO1071" s="55" t="e">
        <f>IFERROR(VLOOKUP(AQ1071,'[1]Harga &amp; Nama CSO'!$H$2:$N$22,2,FALSE),"")*AV1071</f>
        <v>#VALUE!</v>
      </c>
      <c r="BP1071" s="40"/>
      <c r="BQ1071" s="4"/>
      <c r="BR1071" s="61"/>
      <c r="BS1071" s="4"/>
      <c r="BT1071" s="57" t="e">
        <f t="shared" si="50"/>
        <v>#VALUE!</v>
      </c>
      <c r="BU1071" s="62"/>
      <c r="BV1071" s="8" t="e">
        <v>#VALUE!</v>
      </c>
      <c r="BW1071" s="58" t="e">
        <f>VLOOKUP(AQ1071,'[1]Harga &amp; Nama CSO'!$A$28:$D$31,4,0)*BQ1071</f>
        <v>#N/A</v>
      </c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44">
        <f>IFERROR(VLOOKUP(AQ1073,'[2]Harga &amp; Nama CSO'!$A$116:$S$136,19,FALSE),0)*AV1073</f>
        <v>0</v>
      </c>
      <c r="BO1072" s="55" t="e">
        <f>IFERROR(VLOOKUP(AQ1072,'[1]Harga &amp; Nama CSO'!$H$2:$N$22,2,FALSE),"")*AV1072</f>
        <v>#VALUE!</v>
      </c>
      <c r="BP1072" s="40"/>
      <c r="BQ1072" s="4"/>
      <c r="BR1072" s="61"/>
      <c r="BS1072" s="4"/>
      <c r="BT1072" s="57" t="e">
        <f t="shared" si="50"/>
        <v>#VALUE!</v>
      </c>
      <c r="BU1072" s="62"/>
      <c r="BV1072" s="8" t="e">
        <v>#VALUE!</v>
      </c>
      <c r="BW1072" s="58" t="e">
        <f>VLOOKUP(AQ1072,'[1]Harga &amp; Nama CSO'!$A$28:$D$31,4,0)*BQ1072</f>
        <v>#N/A</v>
      </c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44">
        <f>IFERROR(VLOOKUP(AQ1074,'[2]Harga &amp; Nama CSO'!$A$116:$S$136,19,FALSE),0)*AV1074</f>
        <v>0</v>
      </c>
      <c r="BO1073" s="55" t="e">
        <f>IFERROR(VLOOKUP(AQ1073,'[1]Harga &amp; Nama CSO'!$H$2:$N$22,2,FALSE),"")*AV1073</f>
        <v>#VALUE!</v>
      </c>
      <c r="BP1073" s="40"/>
      <c r="BQ1073" s="4"/>
      <c r="BR1073" s="61"/>
      <c r="BS1073" s="4"/>
      <c r="BT1073" s="57" t="e">
        <f t="shared" si="50"/>
        <v>#VALUE!</v>
      </c>
      <c r="BU1073" s="62"/>
      <c r="BV1073" s="8" t="e">
        <v>#VALUE!</v>
      </c>
      <c r="BW1073" s="58" t="e">
        <f>VLOOKUP(AQ1073,'[1]Harga &amp; Nama CSO'!$A$28:$D$31,4,0)*BQ1073</f>
        <v>#N/A</v>
      </c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44">
        <f>IFERROR(VLOOKUP(AQ1075,'[2]Harga &amp; Nama CSO'!$A$116:$S$136,19,FALSE),0)*AV1075</f>
        <v>0</v>
      </c>
      <c r="BO1074" s="55" t="e">
        <f>IFERROR(VLOOKUP(AQ1074,'[1]Harga &amp; Nama CSO'!$H$2:$N$22,2,FALSE),"")*AV1074</f>
        <v>#VALUE!</v>
      </c>
      <c r="BP1074" s="40"/>
      <c r="BQ1074" s="4"/>
      <c r="BR1074" s="61"/>
      <c r="BS1074" s="4"/>
      <c r="BT1074" s="57" t="e">
        <f t="shared" si="50"/>
        <v>#VALUE!</v>
      </c>
      <c r="BU1074" s="62"/>
      <c r="BV1074" s="8" t="e">
        <v>#VALUE!</v>
      </c>
      <c r="BW1074" s="58" t="e">
        <f>VLOOKUP(AQ1074,'[1]Harga &amp; Nama CSO'!$A$28:$D$31,4,0)*BQ1074</f>
        <v>#N/A</v>
      </c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44">
        <f>IFERROR(VLOOKUP(AQ1076,'[2]Harga &amp; Nama CSO'!$A$116:$S$136,19,FALSE),0)*AV1076</f>
        <v>0</v>
      </c>
      <c r="BO1075" s="55" t="e">
        <f>IFERROR(VLOOKUP(AQ1075,'[1]Harga &amp; Nama CSO'!$H$2:$N$22,2,FALSE),"")*AV1075</f>
        <v>#VALUE!</v>
      </c>
      <c r="BP1075" s="40"/>
      <c r="BQ1075" s="4"/>
      <c r="BR1075" s="61"/>
      <c r="BS1075" s="4"/>
      <c r="BT1075" s="57" t="e">
        <f t="shared" si="50"/>
        <v>#VALUE!</v>
      </c>
      <c r="BU1075" s="62"/>
      <c r="BV1075" s="8" t="e">
        <v>#VALUE!</v>
      </c>
      <c r="BW1075" s="58" t="e">
        <f>VLOOKUP(AQ1075,'[1]Harga &amp; Nama CSO'!$A$28:$D$31,4,0)*BQ1075</f>
        <v>#N/A</v>
      </c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44">
        <f>IFERROR(VLOOKUP(AQ1077,'[2]Harga &amp; Nama CSO'!$A$116:$S$136,19,FALSE),0)*AV1077</f>
        <v>0</v>
      </c>
      <c r="BO1076" s="55" t="e">
        <f>IFERROR(VLOOKUP(AQ1076,'[1]Harga &amp; Nama CSO'!$H$2:$N$22,2,FALSE),"")*AV1076</f>
        <v>#VALUE!</v>
      </c>
      <c r="BP1076" s="40"/>
      <c r="BQ1076" s="4"/>
      <c r="BR1076" s="61"/>
      <c r="BS1076" s="4"/>
      <c r="BT1076" s="57" t="e">
        <f t="shared" si="50"/>
        <v>#VALUE!</v>
      </c>
      <c r="BU1076" s="62"/>
      <c r="BV1076" s="8" t="e">
        <v>#VALUE!</v>
      </c>
      <c r="BW1076" s="58" t="e">
        <f>VLOOKUP(AQ1076,'[1]Harga &amp; Nama CSO'!$A$28:$D$31,4,0)*BQ1076</f>
        <v>#N/A</v>
      </c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44">
        <f>IFERROR(VLOOKUP(AQ1078,'[2]Harga &amp; Nama CSO'!$A$116:$S$136,19,FALSE),0)*AV1078</f>
        <v>0</v>
      </c>
      <c r="BO1077" s="55" t="e">
        <f>IFERROR(VLOOKUP(AQ1077,'[1]Harga &amp; Nama CSO'!$H$2:$N$22,2,FALSE),"")*AV1077</f>
        <v>#VALUE!</v>
      </c>
      <c r="BP1077" s="40"/>
      <c r="BQ1077" s="4"/>
      <c r="BR1077" s="61"/>
      <c r="BS1077" s="4"/>
      <c r="BT1077" s="57" t="e">
        <f t="shared" si="50"/>
        <v>#VALUE!</v>
      </c>
      <c r="BU1077" s="62"/>
      <c r="BV1077" s="8" t="e">
        <v>#VALUE!</v>
      </c>
      <c r="BW1077" s="58" t="e">
        <f>VLOOKUP(AQ1077,'[1]Harga &amp; Nama CSO'!$A$28:$D$31,4,0)*BQ1077</f>
        <v>#N/A</v>
      </c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44">
        <f>IFERROR(VLOOKUP(AQ1079,'[2]Harga &amp; Nama CSO'!$A$116:$S$136,19,FALSE),0)*AV1079</f>
        <v>0</v>
      </c>
      <c r="BO1078" s="55" t="e">
        <f>IFERROR(VLOOKUP(AQ1078,'[1]Harga &amp; Nama CSO'!$H$2:$N$22,2,FALSE),"")*AV1078</f>
        <v>#VALUE!</v>
      </c>
      <c r="BP1078" s="40"/>
      <c r="BQ1078" s="4"/>
      <c r="BR1078" s="61"/>
      <c r="BS1078" s="4"/>
      <c r="BT1078" s="57" t="e">
        <f t="shared" si="50"/>
        <v>#VALUE!</v>
      </c>
      <c r="BU1078" s="62"/>
      <c r="BV1078" s="8" t="e">
        <v>#VALUE!</v>
      </c>
      <c r="BW1078" s="58" t="e">
        <f>VLOOKUP(AQ1078,'[1]Harga &amp; Nama CSO'!$A$28:$D$31,4,0)*BQ1078</f>
        <v>#N/A</v>
      </c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44">
        <f>IFERROR(VLOOKUP(AQ1080,'[2]Harga &amp; Nama CSO'!$A$116:$S$136,19,FALSE),0)*AV1080</f>
        <v>0</v>
      </c>
      <c r="BO1079" s="55" t="e">
        <f>IFERROR(VLOOKUP(AQ1079,'[1]Harga &amp; Nama CSO'!$H$2:$N$22,2,FALSE),"")*AV1079</f>
        <v>#VALUE!</v>
      </c>
      <c r="BP1079" s="40"/>
      <c r="BQ1079" s="4"/>
      <c r="BR1079" s="61"/>
      <c r="BS1079" s="4"/>
      <c r="BT1079" s="57" t="e">
        <f t="shared" si="50"/>
        <v>#VALUE!</v>
      </c>
      <c r="BU1079" s="62"/>
      <c r="BV1079" s="8" t="e">
        <v>#VALUE!</v>
      </c>
      <c r="BW1079" s="58" t="e">
        <f>VLOOKUP(AQ1079,'[1]Harga &amp; Nama CSO'!$A$28:$D$31,4,0)*BQ1079</f>
        <v>#N/A</v>
      </c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44">
        <f>IFERROR(VLOOKUP(AQ1081,'[2]Harga &amp; Nama CSO'!$A$116:$S$136,19,FALSE),0)*AV1081</f>
        <v>0</v>
      </c>
      <c r="BO1080" s="55" t="e">
        <f>IFERROR(VLOOKUP(AQ1080,'[1]Harga &amp; Nama CSO'!$H$2:$N$22,2,FALSE),"")*AV1080</f>
        <v>#VALUE!</v>
      </c>
      <c r="BP1080" s="40"/>
      <c r="BQ1080" s="4"/>
      <c r="BR1080" s="61"/>
      <c r="BS1080" s="4"/>
      <c r="BT1080" s="57" t="e">
        <f t="shared" si="50"/>
        <v>#VALUE!</v>
      </c>
      <c r="BU1080" s="62"/>
      <c r="BV1080" s="8" t="e">
        <v>#VALUE!</v>
      </c>
      <c r="BW1080" s="58" t="e">
        <f>VLOOKUP(AQ1080,'[1]Harga &amp; Nama CSO'!$A$28:$D$31,4,0)*BQ1080</f>
        <v>#N/A</v>
      </c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44">
        <f>IFERROR(VLOOKUP(AQ1082,'[2]Harga &amp; Nama CSO'!$A$116:$S$136,19,FALSE),0)*AV1082</f>
        <v>0</v>
      </c>
      <c r="BO1081" s="55" t="e">
        <f>IFERROR(VLOOKUP(AQ1081,'[1]Harga &amp; Nama CSO'!$H$2:$N$22,2,FALSE),"")*AV1081</f>
        <v>#VALUE!</v>
      </c>
      <c r="BP1081" s="40"/>
      <c r="BQ1081" s="4"/>
      <c r="BR1081" s="61"/>
      <c r="BS1081" s="4"/>
      <c r="BT1081" s="57" t="e">
        <f t="shared" si="50"/>
        <v>#VALUE!</v>
      </c>
      <c r="BU1081" s="62"/>
      <c r="BV1081" s="8" t="e">
        <v>#VALUE!</v>
      </c>
      <c r="BW1081" s="58" t="e">
        <f>VLOOKUP(AQ1081,'[1]Harga &amp; Nama CSO'!$A$28:$D$31,4,0)*BQ1081</f>
        <v>#N/A</v>
      </c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44">
        <f>IFERROR(VLOOKUP(AQ1083,'[2]Harga &amp; Nama CSO'!$A$116:$S$136,19,FALSE),0)*AV1083</f>
        <v>0</v>
      </c>
      <c r="BO1082" s="55" t="e">
        <f>IFERROR(VLOOKUP(AQ1082,'[1]Harga &amp; Nama CSO'!$H$2:$N$22,2,FALSE),"")*AV1082</f>
        <v>#VALUE!</v>
      </c>
      <c r="BP1082" s="40"/>
      <c r="BQ1082" s="4"/>
      <c r="BR1082" s="61"/>
      <c r="BS1082" s="4"/>
      <c r="BT1082" s="57" t="e">
        <f t="shared" si="50"/>
        <v>#VALUE!</v>
      </c>
      <c r="BU1082" s="62"/>
      <c r="BV1082" s="8" t="e">
        <v>#VALUE!</v>
      </c>
      <c r="BW1082" s="58" t="e">
        <f>VLOOKUP(AQ1082,'[1]Harga &amp; Nama CSO'!$A$28:$D$31,4,0)*BQ1082</f>
        <v>#N/A</v>
      </c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44">
        <f>IFERROR(VLOOKUP(AQ1084,'[2]Harga &amp; Nama CSO'!$A$116:$S$136,19,FALSE),0)*AV1084</f>
        <v>0</v>
      </c>
      <c r="BO1083" s="55" t="e">
        <f>IFERROR(VLOOKUP(AQ1083,'[1]Harga &amp; Nama CSO'!$H$2:$N$22,2,FALSE),"")*AV1083</f>
        <v>#VALUE!</v>
      </c>
      <c r="BP1083" s="40"/>
      <c r="BQ1083" s="4"/>
      <c r="BR1083" s="61"/>
      <c r="BS1083" s="4"/>
      <c r="BT1083" s="57" t="e">
        <f t="shared" si="50"/>
        <v>#VALUE!</v>
      </c>
      <c r="BU1083" s="62"/>
      <c r="BV1083" s="8" t="e">
        <v>#VALUE!</v>
      </c>
      <c r="BW1083" s="58" t="e">
        <f>VLOOKUP(AQ1083,'[1]Harga &amp; Nama CSO'!$A$28:$D$31,4,0)*BQ1083</f>
        <v>#N/A</v>
      </c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44">
        <f>IFERROR(VLOOKUP(AQ1085,'[2]Harga &amp; Nama CSO'!$A$116:$S$136,19,FALSE),0)*AV1085</f>
        <v>0</v>
      </c>
      <c r="BO1084" s="55" t="e">
        <f>IFERROR(VLOOKUP(AQ1084,'[1]Harga &amp; Nama CSO'!$H$2:$N$22,2,FALSE),"")*AV1084</f>
        <v>#VALUE!</v>
      </c>
      <c r="BP1084" s="40"/>
      <c r="BQ1084" s="4"/>
      <c r="BR1084" s="61"/>
      <c r="BS1084" s="4"/>
      <c r="BT1084" s="57" t="e">
        <f t="shared" si="50"/>
        <v>#VALUE!</v>
      </c>
      <c r="BU1084" s="62"/>
      <c r="BV1084" s="8" t="e">
        <v>#VALUE!</v>
      </c>
      <c r="BW1084" s="58" t="e">
        <f>VLOOKUP(AQ1084,'[1]Harga &amp; Nama CSO'!$A$28:$D$31,4,0)*BQ1084</f>
        <v>#N/A</v>
      </c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44">
        <f>IFERROR(VLOOKUP(AQ1086,'[2]Harga &amp; Nama CSO'!$A$116:$S$136,19,FALSE),0)*AV1086</f>
        <v>0</v>
      </c>
      <c r="BO1085" s="55" t="e">
        <f>IFERROR(VLOOKUP(AQ1085,'[1]Harga &amp; Nama CSO'!$H$2:$N$22,2,FALSE),"")*AV1085</f>
        <v>#VALUE!</v>
      </c>
      <c r="BP1085" s="40"/>
      <c r="BQ1085" s="4"/>
      <c r="BR1085" s="61"/>
      <c r="BS1085" s="4"/>
      <c r="BT1085" s="57" t="e">
        <f t="shared" si="50"/>
        <v>#VALUE!</v>
      </c>
      <c r="BU1085" s="62"/>
      <c r="BV1085" s="8" t="e">
        <v>#VALUE!</v>
      </c>
      <c r="BW1085" s="58" t="e">
        <f>VLOOKUP(AQ1085,'[1]Harga &amp; Nama CSO'!$A$28:$D$31,4,0)*BQ1085</f>
        <v>#N/A</v>
      </c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44">
        <f>IFERROR(VLOOKUP(AQ1087,'[2]Harga &amp; Nama CSO'!$A$116:$S$136,19,FALSE),0)*AV1087</f>
        <v>0</v>
      </c>
      <c r="BO1086" s="55" t="e">
        <f>IFERROR(VLOOKUP(AQ1086,'[1]Harga &amp; Nama CSO'!$H$2:$N$22,2,FALSE),"")*AV1086</f>
        <v>#VALUE!</v>
      </c>
      <c r="BP1086" s="40"/>
      <c r="BQ1086" s="4"/>
      <c r="BR1086" s="61"/>
      <c r="BS1086" s="4"/>
      <c r="BT1086" s="57" t="e">
        <f t="shared" si="50"/>
        <v>#VALUE!</v>
      </c>
      <c r="BU1086" s="62"/>
      <c r="BV1086" s="8" t="e">
        <v>#VALUE!</v>
      </c>
      <c r="BW1086" s="58" t="e">
        <f>VLOOKUP(AQ1086,'[1]Harga &amp; Nama CSO'!$A$28:$D$31,4,0)*BQ1086</f>
        <v>#N/A</v>
      </c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44">
        <f>IFERROR(VLOOKUP(AQ1088,'[2]Harga &amp; Nama CSO'!$A$116:$S$136,19,FALSE),0)*AV1088</f>
        <v>0</v>
      </c>
      <c r="BO1087" s="55" t="e">
        <f>IFERROR(VLOOKUP(AQ1087,'[1]Harga &amp; Nama CSO'!$H$2:$N$22,2,FALSE),"")*AV1087</f>
        <v>#VALUE!</v>
      </c>
      <c r="BP1087" s="40"/>
      <c r="BQ1087" s="4"/>
      <c r="BR1087" s="61"/>
      <c r="BS1087" s="4"/>
      <c r="BT1087" s="57" t="e">
        <f t="shared" si="50"/>
        <v>#VALUE!</v>
      </c>
      <c r="BU1087" s="62"/>
      <c r="BV1087" s="8" t="e">
        <v>#VALUE!</v>
      </c>
      <c r="BW1087" s="58" t="e">
        <f>VLOOKUP(AQ1087,'[1]Harga &amp; Nama CSO'!$A$28:$D$31,4,0)*BQ1087</f>
        <v>#N/A</v>
      </c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44">
        <f>IFERROR(VLOOKUP(AQ1089,'[2]Harga &amp; Nama CSO'!$A$116:$S$136,19,FALSE),0)*AV1089</f>
        <v>0</v>
      </c>
      <c r="BO1088" s="55" t="e">
        <f>IFERROR(VLOOKUP(AQ1088,'[1]Harga &amp; Nama CSO'!$H$2:$N$22,2,FALSE),"")*AV1088</f>
        <v>#VALUE!</v>
      </c>
      <c r="BP1088" s="40"/>
      <c r="BQ1088" s="4"/>
      <c r="BR1088" s="61"/>
      <c r="BS1088" s="4"/>
      <c r="BT1088" s="57" t="e">
        <f t="shared" si="50"/>
        <v>#VALUE!</v>
      </c>
      <c r="BU1088" s="62"/>
      <c r="BV1088" s="8" t="e">
        <v>#VALUE!</v>
      </c>
      <c r="BW1088" s="58" t="e">
        <f>VLOOKUP(AQ1088,'[1]Harga &amp; Nama CSO'!$A$28:$D$31,4,0)*BQ1088</f>
        <v>#N/A</v>
      </c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44">
        <f>IFERROR(VLOOKUP(AQ1090,'[2]Harga &amp; Nama CSO'!$A$116:$S$136,19,FALSE),0)*AV1090</f>
        <v>0</v>
      </c>
      <c r="BO1089" s="55" t="e">
        <f>IFERROR(VLOOKUP(AQ1089,'[1]Harga &amp; Nama CSO'!$H$2:$N$22,2,FALSE),"")*AV1089</f>
        <v>#VALUE!</v>
      </c>
      <c r="BP1089" s="40"/>
      <c r="BQ1089" s="4"/>
      <c r="BR1089" s="61"/>
      <c r="BS1089" s="4"/>
      <c r="BT1089" s="57" t="e">
        <f t="shared" si="50"/>
        <v>#VALUE!</v>
      </c>
      <c r="BU1089" s="62"/>
      <c r="BV1089" s="8" t="e">
        <v>#VALUE!</v>
      </c>
      <c r="BW1089" s="58" t="e">
        <f>VLOOKUP(AQ1089,'[1]Harga &amp; Nama CSO'!$A$28:$D$31,4,0)*BQ1089</f>
        <v>#N/A</v>
      </c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44">
        <f>IFERROR(VLOOKUP(AQ1091,'[2]Harga &amp; Nama CSO'!$A$116:$S$136,19,FALSE),0)*AV1091</f>
        <v>0</v>
      </c>
      <c r="BO1090" s="55" t="e">
        <f>IFERROR(VLOOKUP(AQ1090,'[1]Harga &amp; Nama CSO'!$H$2:$N$22,2,FALSE),"")*AV1090</f>
        <v>#VALUE!</v>
      </c>
      <c r="BP1090" s="40"/>
      <c r="BQ1090" s="4"/>
      <c r="BR1090" s="61"/>
      <c r="BS1090" s="4"/>
      <c r="BT1090" s="57" t="e">
        <f t="shared" si="50"/>
        <v>#VALUE!</v>
      </c>
      <c r="BU1090" s="62"/>
      <c r="BV1090" s="8" t="e">
        <v>#VALUE!</v>
      </c>
      <c r="BW1090" s="58" t="e">
        <f>VLOOKUP(AQ1090,'[1]Harga &amp; Nama CSO'!$A$28:$D$31,4,0)*BQ1090</f>
        <v>#N/A</v>
      </c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44">
        <f>IFERROR(VLOOKUP(AQ1092,'[2]Harga &amp; Nama CSO'!$A$116:$S$136,19,FALSE),0)*AV1092</f>
        <v>0</v>
      </c>
      <c r="BO1091" s="55" t="e">
        <f>IFERROR(VLOOKUP(AQ1091,'[1]Harga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51">BO1091-BR1091</f>
        <v>#VALUE!</v>
      </c>
      <c r="BU1091" s="62"/>
      <c r="BV1091" s="8" t="e">
        <v>#VALUE!</v>
      </c>
      <c r="BW1091" s="58" t="e">
        <f>VLOOKUP(AQ1091,'[1]Harga &amp; Nama CSO'!$A$28:$D$31,4,0)*BQ1091</f>
        <v>#N/A</v>
      </c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44">
        <f>IFERROR(VLOOKUP(AQ1093,'[2]Harga &amp; Nama CSO'!$A$116:$S$136,19,FALSE),0)*AV1093</f>
        <v>0</v>
      </c>
      <c r="BO1092" s="55" t="e">
        <f>IFERROR(VLOOKUP(AQ1092,'[1]Harga &amp; Nama CSO'!$H$2:$N$22,2,FALSE),"")*AV1092</f>
        <v>#VALUE!</v>
      </c>
      <c r="BP1092" s="40"/>
      <c r="BQ1092" s="4"/>
      <c r="BR1092" s="61"/>
      <c r="BS1092" s="4"/>
      <c r="BT1092" s="57" t="e">
        <f t="shared" si="51"/>
        <v>#VALUE!</v>
      </c>
      <c r="BU1092" s="62"/>
      <c r="BV1092" s="8" t="e">
        <v>#VALUE!</v>
      </c>
      <c r="BW1092" s="58" t="e">
        <f>VLOOKUP(AQ1092,'[1]Harga &amp; Nama CSO'!$A$28:$D$31,4,0)*BQ1092</f>
        <v>#N/A</v>
      </c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44">
        <f>IFERROR(VLOOKUP(AQ1094,'[2]Harga &amp; Nama CSO'!$A$116:$S$136,19,FALSE),0)*AV1094</f>
        <v>0</v>
      </c>
      <c r="BO1093" s="55" t="e">
        <f>IFERROR(VLOOKUP(AQ1093,'[1]Harga &amp; Nama CSO'!$H$2:$N$22,2,FALSE),"")*AV1093</f>
        <v>#VALUE!</v>
      </c>
      <c r="BP1093" s="40"/>
      <c r="BQ1093" s="4"/>
      <c r="BR1093" s="61"/>
      <c r="BS1093" s="4"/>
      <c r="BT1093" s="57" t="e">
        <f t="shared" si="51"/>
        <v>#VALUE!</v>
      </c>
      <c r="BU1093" s="62"/>
      <c r="BV1093" s="8" t="e">
        <v>#VALUE!</v>
      </c>
      <c r="BW1093" s="58" t="e">
        <f>VLOOKUP(AQ1093,'[1]Harga &amp; Nama CSO'!$A$28:$D$31,4,0)*BQ1093</f>
        <v>#N/A</v>
      </c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44">
        <f>IFERROR(VLOOKUP(AQ1095,'[2]Harga &amp; Nama CSO'!$A$116:$S$136,19,FALSE),0)*AV1095</f>
        <v>0</v>
      </c>
      <c r="BO1094" s="55" t="e">
        <f>IFERROR(VLOOKUP(AQ1094,'[1]Harga &amp; Nama CSO'!$H$2:$N$22,2,FALSE),"")*AV1094</f>
        <v>#VALUE!</v>
      </c>
      <c r="BP1094" s="40"/>
      <c r="BQ1094" s="4"/>
      <c r="BR1094" s="61"/>
      <c r="BS1094" s="4"/>
      <c r="BT1094" s="57" t="e">
        <f t="shared" si="51"/>
        <v>#VALUE!</v>
      </c>
      <c r="BU1094" s="62"/>
      <c r="BV1094" s="8" t="e">
        <v>#VALUE!</v>
      </c>
      <c r="BW1094" s="58" t="e">
        <f>VLOOKUP(AQ1094,'[1]Harga &amp; Nama CSO'!$A$28:$D$31,4,0)*BQ1094</f>
        <v>#N/A</v>
      </c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44">
        <f>IFERROR(VLOOKUP(AQ1096,'[2]Harga &amp; Nama CSO'!$A$116:$S$136,19,FALSE),0)*AV1096</f>
        <v>0</v>
      </c>
      <c r="BO1095" s="55" t="e">
        <f>IFERROR(VLOOKUP(AQ1095,'[1]Harga &amp; Nama CSO'!$H$2:$N$22,2,FALSE),"")*AV1095</f>
        <v>#VALUE!</v>
      </c>
      <c r="BP1095" s="40"/>
      <c r="BQ1095" s="4"/>
      <c r="BR1095" s="61"/>
      <c r="BS1095" s="4"/>
      <c r="BT1095" s="57" t="e">
        <f t="shared" si="51"/>
        <v>#VALUE!</v>
      </c>
      <c r="BU1095" s="62"/>
      <c r="BV1095" s="8" t="e">
        <v>#VALUE!</v>
      </c>
      <c r="BW1095" s="58" t="e">
        <f>VLOOKUP(AQ1095,'[1]Harga &amp; Nama CSO'!$A$28:$D$31,4,0)*BQ1095</f>
        <v>#N/A</v>
      </c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44">
        <f>IFERROR(VLOOKUP(AQ1097,'[2]Harga &amp; Nama CSO'!$A$116:$S$136,19,FALSE),0)*AV1097</f>
        <v>0</v>
      </c>
      <c r="BO1096" s="55" t="e">
        <f>IFERROR(VLOOKUP(AQ1096,'[1]Harga &amp; Nama CSO'!$H$2:$N$22,2,FALSE),"")*AV1096</f>
        <v>#VALUE!</v>
      </c>
      <c r="BP1096" s="40"/>
      <c r="BQ1096" s="4"/>
      <c r="BR1096" s="61"/>
      <c r="BS1096" s="4"/>
      <c r="BT1096" s="57" t="e">
        <f t="shared" si="51"/>
        <v>#VALUE!</v>
      </c>
      <c r="BU1096" s="62"/>
      <c r="BV1096" s="8" t="e">
        <v>#VALUE!</v>
      </c>
      <c r="BW1096" s="58" t="e">
        <f>VLOOKUP(AQ1096,'[1]Harga &amp; Nama CSO'!$A$28:$D$31,4,0)*BQ1096</f>
        <v>#N/A</v>
      </c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44">
        <f>IFERROR(VLOOKUP(AQ1098,'[2]Harga &amp; Nama CSO'!$A$116:$S$136,19,FALSE),0)*AV1098</f>
        <v>0</v>
      </c>
      <c r="BO1097" s="55" t="e">
        <f>IFERROR(VLOOKUP(AQ1097,'[1]Harga &amp; Nama CSO'!$H$2:$N$22,2,FALSE),"")*AV1097</f>
        <v>#VALUE!</v>
      </c>
      <c r="BP1097" s="40"/>
      <c r="BQ1097" s="4"/>
      <c r="BR1097" s="61"/>
      <c r="BS1097" s="4"/>
      <c r="BT1097" s="57" t="e">
        <f t="shared" si="51"/>
        <v>#VALUE!</v>
      </c>
      <c r="BU1097" s="62"/>
      <c r="BV1097" s="8" t="e">
        <v>#VALUE!</v>
      </c>
      <c r="BW1097" s="58" t="e">
        <f>VLOOKUP(AQ1097,'[1]Harga &amp; Nama CSO'!$A$28:$D$31,4,0)*BQ1097</f>
        <v>#N/A</v>
      </c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44">
        <f>IFERROR(VLOOKUP(AQ1099,'[2]Harga &amp; Nama CSO'!$A$116:$S$136,19,FALSE),0)*AV1099</f>
        <v>0</v>
      </c>
      <c r="BO1098" s="55" t="e">
        <f>IFERROR(VLOOKUP(AQ1098,'[1]Harga &amp; Nama CSO'!$H$2:$N$22,2,FALSE),"")*AV1098</f>
        <v>#VALUE!</v>
      </c>
      <c r="BP1098" s="40"/>
      <c r="BQ1098" s="4"/>
      <c r="BR1098" s="61"/>
      <c r="BS1098" s="4"/>
      <c r="BT1098" s="57" t="e">
        <f t="shared" si="51"/>
        <v>#VALUE!</v>
      </c>
      <c r="BU1098" s="62"/>
      <c r="BV1098" s="8" t="e">
        <v>#VALUE!</v>
      </c>
      <c r="BW1098" s="58" t="e">
        <f>VLOOKUP(AQ1098,'[1]Harga &amp; Nama CSO'!$A$28:$D$31,4,0)*BQ1098</f>
        <v>#N/A</v>
      </c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44">
        <f>IFERROR(VLOOKUP(AQ1100,'[2]Harga &amp; Nama CSO'!$A$116:$S$136,19,FALSE),0)*AV1100</f>
        <v>0</v>
      </c>
      <c r="BO1099" s="55" t="e">
        <f>IFERROR(VLOOKUP(AQ1099,'[1]Harga &amp; Nama CSO'!$H$2:$N$22,2,FALSE),"")*AV1099</f>
        <v>#VALUE!</v>
      </c>
      <c r="BP1099" s="40"/>
      <c r="BQ1099" s="4"/>
      <c r="BR1099" s="61"/>
      <c r="BS1099" s="4"/>
      <c r="BT1099" s="57" t="e">
        <f t="shared" si="51"/>
        <v>#VALUE!</v>
      </c>
      <c r="BU1099" s="62"/>
      <c r="BV1099" s="8" t="e">
        <v>#VALUE!</v>
      </c>
      <c r="BW1099" s="58" t="e">
        <f>VLOOKUP(AQ1099,'[1]Harga &amp; Nama CSO'!$A$28:$D$31,4,0)*BQ1099</f>
        <v>#N/A</v>
      </c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44">
        <f>IFERROR(VLOOKUP(AQ1101,'[2]Harga &amp; Nama CSO'!$A$116:$S$136,19,FALSE),0)*AV1101</f>
        <v>0</v>
      </c>
      <c r="BO1100" s="55" t="e">
        <f>IFERROR(VLOOKUP(AQ1100,'[1]Harga &amp; Nama CSO'!$H$2:$N$22,2,FALSE),"")*AV1100</f>
        <v>#VALUE!</v>
      </c>
      <c r="BP1100" s="40"/>
      <c r="BQ1100" s="4"/>
      <c r="BR1100" s="61"/>
      <c r="BS1100" s="4"/>
      <c r="BT1100" s="57" t="e">
        <f t="shared" si="51"/>
        <v>#VALUE!</v>
      </c>
      <c r="BU1100" s="62"/>
      <c r="BV1100" s="8" t="e">
        <v>#VALUE!</v>
      </c>
      <c r="BW1100" s="58" t="e">
        <f>VLOOKUP(AQ1100,'[1]Harga &amp; Nama CSO'!$A$28:$D$31,4,0)*BQ1100</f>
        <v>#N/A</v>
      </c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44">
        <f>IFERROR(VLOOKUP(AQ1102,'[2]Harga &amp; Nama CSO'!$A$116:$S$136,19,FALSE),0)*AV1102</f>
        <v>0</v>
      </c>
      <c r="BO1101" s="55" t="e">
        <f>IFERROR(VLOOKUP(AQ1101,'[1]Harga &amp; Nama CSO'!$H$2:$N$22,2,FALSE),"")*AV1101</f>
        <v>#VALUE!</v>
      </c>
      <c r="BP1101" s="40"/>
      <c r="BQ1101" s="4"/>
      <c r="BR1101" s="61"/>
      <c r="BS1101" s="4"/>
      <c r="BT1101" s="57" t="e">
        <f t="shared" si="51"/>
        <v>#VALUE!</v>
      </c>
      <c r="BU1101" s="62"/>
      <c r="BV1101" s="8" t="e">
        <v>#VALUE!</v>
      </c>
      <c r="BW1101" s="58" t="e">
        <f>VLOOKUP(AQ1101,'[1]Harga &amp; Nama CSO'!$A$28:$D$31,4,0)*BQ1101</f>
        <v>#N/A</v>
      </c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44">
        <f>IFERROR(VLOOKUP(AQ1103,'[2]Harga &amp; Nama CSO'!$A$116:$S$136,19,FALSE),0)*AV1103</f>
        <v>0</v>
      </c>
      <c r="BO1102" s="55" t="e">
        <f>IFERROR(VLOOKUP(AQ1102,'[1]Harga &amp; Nama CSO'!$H$2:$N$22,2,FALSE),"")*AV1102</f>
        <v>#VALUE!</v>
      </c>
      <c r="BP1102" s="40"/>
      <c r="BQ1102" s="4"/>
      <c r="BR1102" s="61"/>
      <c r="BS1102" s="4"/>
      <c r="BT1102" s="57" t="e">
        <f t="shared" si="51"/>
        <v>#VALUE!</v>
      </c>
      <c r="BU1102" s="62"/>
      <c r="BV1102" s="8" t="e">
        <v>#VALUE!</v>
      </c>
      <c r="BW1102" s="58" t="e">
        <f>VLOOKUP(AQ1102,'[1]Harga &amp; Nama CSO'!$A$28:$D$31,4,0)*BQ1102</f>
        <v>#N/A</v>
      </c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44">
        <f>IFERROR(VLOOKUP(AQ1104,'[2]Harga &amp; Nama CSO'!$A$116:$S$136,19,FALSE),0)*AV1104</f>
        <v>0</v>
      </c>
      <c r="BO1103" s="55" t="e">
        <f>IFERROR(VLOOKUP(AQ1103,'[1]Harga &amp; Nama CSO'!$H$2:$N$22,2,FALSE),"")*AV1103</f>
        <v>#VALUE!</v>
      </c>
      <c r="BP1103" s="40"/>
      <c r="BQ1103" s="4"/>
      <c r="BR1103" s="61"/>
      <c r="BS1103" s="4"/>
      <c r="BT1103" s="57" t="e">
        <f t="shared" si="51"/>
        <v>#VALUE!</v>
      </c>
      <c r="BU1103" s="62"/>
      <c r="BV1103" s="8" t="e">
        <v>#VALUE!</v>
      </c>
      <c r="BW1103" s="58" t="e">
        <f>VLOOKUP(AQ1103,'[1]Harga &amp; Nama CSO'!$A$28:$D$31,4,0)*BQ1103</f>
        <v>#N/A</v>
      </c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44">
        <f>IFERROR(VLOOKUP(AQ1105,'[2]Harga &amp; Nama CSO'!$A$116:$S$136,19,FALSE),0)*AV1105</f>
        <v>0</v>
      </c>
      <c r="BO1104" s="55" t="e">
        <f>IFERROR(VLOOKUP(AQ1104,'[1]Harga &amp; Nama CSO'!$H$2:$N$22,2,FALSE),"")*AV1104</f>
        <v>#VALUE!</v>
      </c>
      <c r="BP1104" s="40"/>
      <c r="BQ1104" s="4"/>
      <c r="BR1104" s="61"/>
      <c r="BS1104" s="4"/>
      <c r="BT1104" s="57" t="e">
        <f t="shared" si="51"/>
        <v>#VALUE!</v>
      </c>
      <c r="BU1104" s="62"/>
      <c r="BV1104" s="8" t="e">
        <v>#VALUE!</v>
      </c>
      <c r="BW1104" s="58" t="e">
        <f>VLOOKUP(AQ1104,'[1]Harga &amp; Nama CSO'!$A$28:$D$31,4,0)*BQ1104</f>
        <v>#N/A</v>
      </c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44">
        <f>IFERROR(VLOOKUP(AQ1106,'[2]Harga &amp; Nama CSO'!$A$116:$S$136,19,FALSE),0)*AV1106</f>
        <v>0</v>
      </c>
      <c r="BO1105" s="55" t="e">
        <f>IFERROR(VLOOKUP(AQ1105,'[1]Harga &amp; Nama CSO'!$H$2:$N$22,2,FALSE),"")*AV1105</f>
        <v>#VALUE!</v>
      </c>
      <c r="BP1105" s="40"/>
      <c r="BQ1105" s="4"/>
      <c r="BR1105" s="61"/>
      <c r="BS1105" s="4"/>
      <c r="BT1105" s="57" t="e">
        <f t="shared" si="51"/>
        <v>#VALUE!</v>
      </c>
      <c r="BU1105" s="62"/>
      <c r="BV1105" s="8" t="e">
        <v>#VALUE!</v>
      </c>
      <c r="BW1105" s="58" t="e">
        <f>VLOOKUP(AQ1105,'[1]Harga &amp; Nama CSO'!$A$28:$D$31,4,0)*BQ1105</f>
        <v>#N/A</v>
      </c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44">
        <f>IFERROR(VLOOKUP(AQ1107,'[2]Harga &amp; Nama CSO'!$A$116:$S$136,19,FALSE),0)*AV1107</f>
        <v>0</v>
      </c>
      <c r="BO1106" s="55" t="e">
        <f>IFERROR(VLOOKUP(AQ1106,'[1]Harga &amp; Nama CSO'!$H$2:$N$22,2,FALSE),"")*AV1106</f>
        <v>#VALUE!</v>
      </c>
      <c r="BP1106" s="40"/>
      <c r="BQ1106" s="4"/>
      <c r="BR1106" s="61"/>
      <c r="BS1106" s="4"/>
      <c r="BT1106" s="57" t="e">
        <f t="shared" si="51"/>
        <v>#VALUE!</v>
      </c>
      <c r="BU1106" s="62"/>
      <c r="BV1106" s="8" t="e">
        <v>#VALUE!</v>
      </c>
      <c r="BW1106" s="58" t="e">
        <f>VLOOKUP(AQ1106,'[1]Harga &amp; Nama CSO'!$A$28:$D$31,4,0)*BQ1106</f>
        <v>#N/A</v>
      </c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44">
        <f>IFERROR(VLOOKUP(AQ1108,'[2]Harga &amp; Nama CSO'!$A$116:$S$136,19,FALSE),0)*AV1108</f>
        <v>0</v>
      </c>
      <c r="BO1107" s="55" t="e">
        <f>IFERROR(VLOOKUP(AQ1107,'[1]Harga &amp; Nama CSO'!$H$2:$N$22,2,FALSE),"")*AV1107</f>
        <v>#VALUE!</v>
      </c>
      <c r="BP1107" s="40"/>
      <c r="BQ1107" s="4"/>
      <c r="BR1107" s="61"/>
      <c r="BS1107" s="4"/>
      <c r="BT1107" s="57" t="e">
        <f t="shared" si="51"/>
        <v>#VALUE!</v>
      </c>
      <c r="BU1107" s="62"/>
      <c r="BV1107" s="8" t="e">
        <v>#VALUE!</v>
      </c>
      <c r="BW1107" s="58" t="e">
        <f>VLOOKUP(AQ1107,'[1]Harga &amp; Nama CSO'!$A$28:$D$31,4,0)*BQ1107</f>
        <v>#N/A</v>
      </c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44">
        <f>IFERROR(VLOOKUP(AQ1109,'[2]Harga &amp; Nama CSO'!$A$116:$S$136,19,FALSE),0)*AV1109</f>
        <v>0</v>
      </c>
      <c r="BO1108" s="55" t="e">
        <f>IFERROR(VLOOKUP(AQ1108,'[1]Harga &amp; Nama CSO'!$H$2:$N$22,2,FALSE),"")*AV1108</f>
        <v>#VALUE!</v>
      </c>
      <c r="BP1108" s="40"/>
      <c r="BQ1108" s="4"/>
      <c r="BR1108" s="61"/>
      <c r="BS1108" s="4"/>
      <c r="BT1108" s="57" t="e">
        <f t="shared" si="51"/>
        <v>#VALUE!</v>
      </c>
      <c r="BU1108" s="62"/>
      <c r="BV1108" s="8" t="e">
        <v>#VALUE!</v>
      </c>
      <c r="BW1108" s="58" t="e">
        <f>VLOOKUP(AQ1108,'[1]Harga &amp; Nama CSO'!$A$28:$D$31,4,0)*BQ1108</f>
        <v>#N/A</v>
      </c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44">
        <f>IFERROR(VLOOKUP(AQ1110,'[2]Harga &amp; Nama CSO'!$A$116:$S$136,19,FALSE),0)*AV1110</f>
        <v>0</v>
      </c>
      <c r="BO1109" s="55" t="e">
        <f>IFERROR(VLOOKUP(AQ1109,'[1]Harga &amp; Nama CSO'!$H$2:$N$22,2,FALSE),"")*AV1109</f>
        <v>#VALUE!</v>
      </c>
      <c r="BP1109" s="40"/>
      <c r="BQ1109" s="4"/>
      <c r="BR1109" s="61"/>
      <c r="BS1109" s="4"/>
      <c r="BT1109" s="57" t="e">
        <f t="shared" si="51"/>
        <v>#VALUE!</v>
      </c>
      <c r="BU1109" s="62"/>
      <c r="BV1109" s="8" t="e">
        <v>#VALUE!</v>
      </c>
      <c r="BW1109" s="58" t="e">
        <f>VLOOKUP(AQ1109,'[1]Harga &amp; Nama CSO'!$A$28:$D$31,4,0)*BQ1109</f>
        <v>#N/A</v>
      </c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44">
        <f>IFERROR(VLOOKUP(AQ1111,'[2]Harga &amp; Nama CSO'!$A$116:$S$136,19,FALSE),0)*AV1111</f>
        <v>0</v>
      </c>
      <c r="BO1110" s="55" t="e">
        <f>IFERROR(VLOOKUP(AQ1110,'[1]Harga &amp; Nama CSO'!$H$2:$N$22,2,FALSE),"")*AV1110</f>
        <v>#VALUE!</v>
      </c>
      <c r="BP1110" s="40"/>
      <c r="BQ1110" s="4"/>
      <c r="BR1110" s="61"/>
      <c r="BS1110" s="4"/>
      <c r="BT1110" s="57" t="e">
        <f t="shared" si="51"/>
        <v>#VALUE!</v>
      </c>
      <c r="BU1110" s="62"/>
      <c r="BV1110" s="8" t="e">
        <v>#VALUE!</v>
      </c>
      <c r="BW1110" s="58" t="e">
        <f>VLOOKUP(AQ1110,'[1]Harga &amp; Nama CSO'!$A$28:$D$31,4,0)*BQ1110</f>
        <v>#N/A</v>
      </c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44">
        <f>IFERROR(VLOOKUP(AQ1112,'[2]Harga &amp; Nama CSO'!$A$116:$S$136,19,FALSE),0)*AV1112</f>
        <v>0</v>
      </c>
      <c r="BO1111" s="55" t="e">
        <f>IFERROR(VLOOKUP(AQ1111,'[1]Harga &amp; Nama CSO'!$H$2:$N$22,2,FALSE),"")*AV1111</f>
        <v>#VALUE!</v>
      </c>
      <c r="BP1111" s="40"/>
      <c r="BQ1111" s="4"/>
      <c r="BR1111" s="61"/>
      <c r="BS1111" s="4"/>
      <c r="BT1111" s="57" t="e">
        <f t="shared" si="51"/>
        <v>#VALUE!</v>
      </c>
      <c r="BU1111" s="62"/>
      <c r="BV1111" s="8" t="e">
        <v>#VALUE!</v>
      </c>
      <c r="BW1111" s="58" t="e">
        <f>VLOOKUP(AQ1111,'[1]Harga &amp; Nama CSO'!$A$28:$D$31,4,0)*BQ1111</f>
        <v>#N/A</v>
      </c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44">
        <f>IFERROR(VLOOKUP(AQ1113,'[2]Harga &amp; Nama CSO'!$A$116:$S$136,19,FALSE),0)*AV1113</f>
        <v>0</v>
      </c>
      <c r="BO1112" s="55" t="e">
        <f>IFERROR(VLOOKUP(AQ1112,'[1]Harga &amp; Nama CSO'!$H$2:$N$22,2,FALSE),"")*AV1112</f>
        <v>#VALUE!</v>
      </c>
      <c r="BP1112" s="40"/>
      <c r="BQ1112" s="4"/>
      <c r="BR1112" s="61"/>
      <c r="BS1112" s="4"/>
      <c r="BT1112" s="57" t="e">
        <f t="shared" si="51"/>
        <v>#VALUE!</v>
      </c>
      <c r="BU1112" s="62"/>
      <c r="BV1112" s="8" t="e">
        <v>#VALUE!</v>
      </c>
      <c r="BW1112" s="58" t="e">
        <f>VLOOKUP(AQ1112,'[1]Harga &amp; Nama CSO'!$A$28:$D$31,4,0)*BQ1112</f>
        <v>#N/A</v>
      </c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44">
        <f>IFERROR(VLOOKUP(AQ1114,'[2]Harga &amp; Nama CSO'!$A$116:$S$136,19,FALSE),0)*AV1114</f>
        <v>0</v>
      </c>
      <c r="BO1113" s="55" t="e">
        <f>IFERROR(VLOOKUP(AQ1113,'[1]Harga &amp; Nama CSO'!$H$2:$N$22,2,FALSE),"")*AV1113</f>
        <v>#VALUE!</v>
      </c>
      <c r="BP1113" s="40"/>
      <c r="BQ1113" s="4"/>
      <c r="BR1113" s="61"/>
      <c r="BS1113" s="4"/>
      <c r="BT1113" s="57" t="e">
        <f t="shared" si="51"/>
        <v>#VALUE!</v>
      </c>
      <c r="BU1113" s="62"/>
      <c r="BV1113" s="8" t="e">
        <v>#VALUE!</v>
      </c>
      <c r="BW1113" s="58" t="e">
        <f>VLOOKUP(AQ1113,'[1]Harga &amp; Nama CSO'!$A$28:$D$31,4,0)*BQ1113</f>
        <v>#N/A</v>
      </c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44">
        <f>IFERROR(VLOOKUP(AQ1115,'[2]Harga &amp; Nama CSO'!$A$116:$S$136,19,FALSE),0)*AV1115</f>
        <v>0</v>
      </c>
      <c r="BO1114" s="55" t="e">
        <f>IFERROR(VLOOKUP(AQ1114,'[1]Harga &amp; Nama CSO'!$H$2:$N$22,2,FALSE),"")*AV1114</f>
        <v>#VALUE!</v>
      </c>
      <c r="BP1114" s="40"/>
      <c r="BQ1114" s="4"/>
      <c r="BR1114" s="61"/>
      <c r="BS1114" s="4"/>
      <c r="BT1114" s="57" t="e">
        <f t="shared" si="51"/>
        <v>#VALUE!</v>
      </c>
      <c r="BU1114" s="62"/>
      <c r="BV1114" s="8" t="e">
        <v>#VALUE!</v>
      </c>
      <c r="BW1114" s="58" t="e">
        <f>VLOOKUP(AQ1114,'[1]Harga &amp; Nama CSO'!$A$28:$D$31,4,0)*BQ1114</f>
        <v>#N/A</v>
      </c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44">
        <f>IFERROR(VLOOKUP(AQ1116,'[2]Harga &amp; Nama CSO'!$A$116:$S$136,19,FALSE),0)*AV1116</f>
        <v>0</v>
      </c>
      <c r="BO1115" s="55" t="e">
        <f>IFERROR(VLOOKUP(AQ1115,'[1]Harga &amp; Nama CSO'!$H$2:$N$22,2,FALSE),"")*AV1115</f>
        <v>#VALUE!</v>
      </c>
      <c r="BP1115" s="40"/>
      <c r="BQ1115" s="4"/>
      <c r="BR1115" s="61"/>
      <c r="BS1115" s="4"/>
      <c r="BT1115" s="57" t="e">
        <f t="shared" si="51"/>
        <v>#VALUE!</v>
      </c>
      <c r="BU1115" s="62"/>
      <c r="BV1115" s="8" t="e">
        <v>#VALUE!</v>
      </c>
      <c r="BW1115" s="58" t="e">
        <f>VLOOKUP(AQ1115,'[1]Harga &amp; Nama CSO'!$A$28:$D$31,4,0)*BQ1115</f>
        <v>#N/A</v>
      </c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44">
        <f>IFERROR(VLOOKUP(AQ1117,'[2]Harga &amp; Nama CSO'!$A$116:$S$136,19,FALSE),0)*AV1117</f>
        <v>0</v>
      </c>
      <c r="BO1116" s="55" t="e">
        <f>IFERROR(VLOOKUP(AQ1116,'[1]Harga &amp; Nama CSO'!$H$2:$N$22,2,FALSE),"")*AV1116</f>
        <v>#VALUE!</v>
      </c>
      <c r="BP1116" s="40"/>
      <c r="BQ1116" s="4"/>
      <c r="BR1116" s="61"/>
      <c r="BS1116" s="4"/>
      <c r="BT1116" s="57" t="e">
        <f t="shared" si="51"/>
        <v>#VALUE!</v>
      </c>
      <c r="BU1116" s="62"/>
      <c r="BV1116" s="8" t="e">
        <v>#VALUE!</v>
      </c>
      <c r="BW1116" s="58" t="e">
        <f>VLOOKUP(AQ1116,'[1]Harga &amp; Nama CSO'!$A$28:$D$31,4,0)*BQ1116</f>
        <v>#N/A</v>
      </c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44">
        <f>IFERROR(VLOOKUP(AQ1118,'[2]Harga &amp; Nama CSO'!$A$116:$S$136,19,FALSE),0)*AV1118</f>
        <v>0</v>
      </c>
      <c r="BO1117" s="55" t="e">
        <f>IFERROR(VLOOKUP(AQ1117,'[1]Harga &amp; Nama CSO'!$H$2:$N$22,2,FALSE),"")*AV1117</f>
        <v>#VALUE!</v>
      </c>
      <c r="BP1117" s="40"/>
      <c r="BQ1117" s="4"/>
      <c r="BR1117" s="61"/>
      <c r="BS1117" s="4"/>
      <c r="BT1117" s="57" t="e">
        <f t="shared" si="51"/>
        <v>#VALUE!</v>
      </c>
      <c r="BU1117" s="62"/>
      <c r="BV1117" s="8" t="e">
        <v>#VALUE!</v>
      </c>
      <c r="BW1117" s="58" t="e">
        <f>VLOOKUP(AQ1117,'[1]Harga &amp; Nama CSO'!$A$28:$D$31,4,0)*BQ1117</f>
        <v>#N/A</v>
      </c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44">
        <f>IFERROR(VLOOKUP(AQ1119,'[2]Harga &amp; Nama CSO'!$A$116:$S$136,19,FALSE),0)*AV1119</f>
        <v>0</v>
      </c>
      <c r="BO1118" s="55" t="e">
        <f>IFERROR(VLOOKUP(AQ1118,'[1]Harga &amp; Nama CSO'!$H$2:$N$22,2,FALSE),"")*AV1118</f>
        <v>#VALUE!</v>
      </c>
      <c r="BP1118" s="40"/>
      <c r="BQ1118" s="4"/>
      <c r="BR1118" s="61"/>
      <c r="BS1118" s="4"/>
      <c r="BT1118" s="57" t="e">
        <f t="shared" si="51"/>
        <v>#VALUE!</v>
      </c>
      <c r="BU1118" s="62"/>
      <c r="BV1118" s="8" t="e">
        <v>#VALUE!</v>
      </c>
      <c r="BW1118" s="58" t="e">
        <f>VLOOKUP(AQ1118,'[1]Harga &amp; Nama CSO'!$A$28:$D$31,4,0)*BQ1118</f>
        <v>#N/A</v>
      </c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44">
        <f>IFERROR(VLOOKUP(AQ1120,'[2]Harga &amp; Nama CSO'!$A$116:$S$136,19,FALSE),0)*AV1120</f>
        <v>0</v>
      </c>
      <c r="BO1119" s="55" t="e">
        <f>IFERROR(VLOOKUP(AQ1119,'[1]Harga &amp; Nama CSO'!$H$2:$N$22,2,FALSE),"")*AV1119</f>
        <v>#VALUE!</v>
      </c>
      <c r="BP1119" s="40"/>
      <c r="BQ1119" s="4"/>
      <c r="BR1119" s="61"/>
      <c r="BS1119" s="4"/>
      <c r="BT1119" s="57" t="e">
        <f t="shared" si="51"/>
        <v>#VALUE!</v>
      </c>
      <c r="BU1119" s="62"/>
      <c r="BV1119" s="8" t="e">
        <v>#VALUE!</v>
      </c>
      <c r="BW1119" s="58" t="e">
        <f>VLOOKUP(AQ1119,'[1]Harga &amp; Nama CSO'!$A$28:$D$31,4,0)*BQ1119</f>
        <v>#N/A</v>
      </c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44">
        <f>IFERROR(VLOOKUP(AQ1121,'[2]Harga &amp; Nama CSO'!$A$116:$S$136,19,FALSE),0)*AV1121</f>
        <v>0</v>
      </c>
      <c r="BO1120" s="55" t="e">
        <f>IFERROR(VLOOKUP(AQ1120,'[1]Harga &amp; Nama CSO'!$H$2:$N$22,2,FALSE),"")*AV1120</f>
        <v>#VALUE!</v>
      </c>
      <c r="BP1120" s="40"/>
      <c r="BQ1120" s="4"/>
      <c r="BR1120" s="61"/>
      <c r="BS1120" s="4"/>
      <c r="BT1120" s="57" t="e">
        <f t="shared" si="51"/>
        <v>#VALUE!</v>
      </c>
      <c r="BU1120" s="62"/>
      <c r="BV1120" s="8" t="e">
        <v>#VALUE!</v>
      </c>
      <c r="BW1120" s="58" t="e">
        <f>VLOOKUP(AQ1120,'[1]Harga &amp; Nama CSO'!$A$28:$D$31,4,0)*BQ1120</f>
        <v>#N/A</v>
      </c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44">
        <f>IFERROR(VLOOKUP(AQ1122,'[2]Harga &amp; Nama CSO'!$A$116:$S$136,19,FALSE),0)*AV1122</f>
        <v>0</v>
      </c>
      <c r="BO1121" s="55" t="e">
        <f>IFERROR(VLOOKUP(AQ1121,'[1]Harga &amp; Nama CSO'!$H$2:$N$22,2,FALSE),"")*AV1121</f>
        <v>#VALUE!</v>
      </c>
      <c r="BP1121" s="40"/>
      <c r="BQ1121" s="4"/>
      <c r="BR1121" s="61"/>
      <c r="BS1121" s="4"/>
      <c r="BT1121" s="57" t="e">
        <f t="shared" si="51"/>
        <v>#VALUE!</v>
      </c>
      <c r="BU1121" s="62"/>
      <c r="BV1121" s="8" t="e">
        <v>#VALUE!</v>
      </c>
      <c r="BW1121" s="58" t="e">
        <f>VLOOKUP(AQ1121,'[1]Harga &amp; Nama CSO'!$A$28:$D$31,4,0)*BQ1121</f>
        <v>#N/A</v>
      </c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44">
        <f>IFERROR(VLOOKUP(AQ1123,'[2]Harga &amp; Nama CSO'!$A$116:$S$136,19,FALSE),0)*AV1123</f>
        <v>0</v>
      </c>
      <c r="BO1122" s="55" t="e">
        <f>IFERROR(VLOOKUP(AQ1122,'[1]Harga &amp; Nama CSO'!$H$2:$N$22,2,FALSE),"")*AV1122</f>
        <v>#VALUE!</v>
      </c>
      <c r="BP1122" s="40"/>
      <c r="BQ1122" s="4"/>
      <c r="BR1122" s="61"/>
      <c r="BS1122" s="4"/>
      <c r="BT1122" s="57" t="e">
        <f t="shared" si="51"/>
        <v>#VALUE!</v>
      </c>
      <c r="BU1122" s="62"/>
      <c r="BV1122" s="8" t="e">
        <v>#VALUE!</v>
      </c>
      <c r="BW1122" s="58" t="e">
        <f>VLOOKUP(AQ1122,'[1]Harga &amp; Nama CSO'!$A$28:$D$31,4,0)*BQ1122</f>
        <v>#N/A</v>
      </c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44">
        <f>IFERROR(VLOOKUP(AQ1124,'[2]Harga &amp; Nama CSO'!$A$116:$S$136,19,FALSE),0)*AV1124</f>
        <v>0</v>
      </c>
      <c r="BO1123" s="55" t="e">
        <f>IFERROR(VLOOKUP(AQ1123,'[1]Harga &amp; Nama CSO'!$H$2:$N$22,2,FALSE),"")*AV1123</f>
        <v>#VALUE!</v>
      </c>
      <c r="BP1123" s="40"/>
      <c r="BQ1123" s="4"/>
      <c r="BR1123" s="61"/>
      <c r="BS1123" s="4"/>
      <c r="BT1123" s="57" t="e">
        <f t="shared" si="51"/>
        <v>#VALUE!</v>
      </c>
      <c r="BU1123" s="62"/>
      <c r="BV1123" s="8" t="e">
        <v>#VALUE!</v>
      </c>
      <c r="BW1123" s="58" t="e">
        <f>VLOOKUP(AQ1123,'[1]Harga &amp; Nama CSO'!$A$28:$D$31,4,0)*BQ1123</f>
        <v>#N/A</v>
      </c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44">
        <f>IFERROR(VLOOKUP(AQ1125,'[2]Harga &amp; Nama CSO'!$A$116:$S$136,19,FALSE),0)*AV1125</f>
        <v>0</v>
      </c>
      <c r="BO1124" s="55" t="e">
        <f>IFERROR(VLOOKUP(AQ1124,'[1]Harga &amp; Nama CSO'!$H$2:$N$22,2,FALSE),"")*AV1124</f>
        <v>#VALUE!</v>
      </c>
      <c r="BP1124" s="40"/>
      <c r="BQ1124" s="4"/>
      <c r="BR1124" s="61"/>
      <c r="BS1124" s="4"/>
      <c r="BT1124" s="57" t="e">
        <f t="shared" si="51"/>
        <v>#VALUE!</v>
      </c>
      <c r="BU1124" s="62"/>
      <c r="BV1124" s="8" t="e">
        <v>#VALUE!</v>
      </c>
      <c r="BW1124" s="58" t="e">
        <f>VLOOKUP(AQ1124,'[1]Harga &amp; Nama CSO'!$A$28:$D$31,4,0)*BQ1124</f>
        <v>#N/A</v>
      </c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44">
        <f>IFERROR(VLOOKUP(AQ1126,'[2]Harga &amp; Nama CSO'!$A$116:$S$136,19,FALSE),0)*AV1126</f>
        <v>0</v>
      </c>
      <c r="BO1125" s="55" t="e">
        <f>IFERROR(VLOOKUP(AQ1125,'[1]Harga &amp; Nama CSO'!$H$2:$N$22,2,FALSE),"")*AV1125</f>
        <v>#VALUE!</v>
      </c>
      <c r="BP1125" s="40"/>
      <c r="BQ1125" s="4"/>
      <c r="BR1125" s="61"/>
      <c r="BS1125" s="4"/>
      <c r="BT1125" s="57" t="e">
        <f t="shared" si="51"/>
        <v>#VALUE!</v>
      </c>
      <c r="BU1125" s="62"/>
      <c r="BV1125" s="8" t="e">
        <v>#VALUE!</v>
      </c>
      <c r="BW1125" s="58" t="e">
        <f>VLOOKUP(AQ1125,'[1]Harga &amp; Nama CSO'!$A$28:$D$31,4,0)*BQ1125</f>
        <v>#N/A</v>
      </c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44">
        <f>IFERROR(VLOOKUP(AQ1127,'[2]Harga &amp; Nama CSO'!$A$116:$S$136,19,FALSE),0)*AV1127</f>
        <v>0</v>
      </c>
      <c r="BO1126" s="55" t="e">
        <f>IFERROR(VLOOKUP(AQ1126,'[1]Harga &amp; Nama CSO'!$H$2:$N$22,2,FALSE),"")*AV1126</f>
        <v>#VALUE!</v>
      </c>
      <c r="BP1126" s="40"/>
      <c r="BQ1126" s="4"/>
      <c r="BR1126" s="61"/>
      <c r="BS1126" s="4"/>
      <c r="BT1126" s="57" t="e">
        <f t="shared" si="51"/>
        <v>#VALUE!</v>
      </c>
      <c r="BU1126" s="62"/>
      <c r="BV1126" s="8" t="e">
        <v>#VALUE!</v>
      </c>
      <c r="BW1126" s="58" t="e">
        <f>VLOOKUP(AQ1126,'[1]Harga &amp; Nama CSO'!$A$28:$D$31,4,0)*BQ1126</f>
        <v>#N/A</v>
      </c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44">
        <f>IFERROR(VLOOKUP(AQ1128,'[2]Harga &amp; Nama CSO'!$A$116:$S$136,19,FALSE),0)*AV1128</f>
        <v>0</v>
      </c>
      <c r="BO1127" s="55" t="e">
        <f>IFERROR(VLOOKUP(AQ1127,'[1]Harga &amp; Nama CSO'!$H$2:$N$22,2,FALSE),"")*AV1127</f>
        <v>#VALUE!</v>
      </c>
      <c r="BP1127" s="40"/>
      <c r="BQ1127" s="4"/>
      <c r="BR1127" s="61"/>
      <c r="BS1127" s="4"/>
      <c r="BT1127" s="57" t="e">
        <f t="shared" si="51"/>
        <v>#VALUE!</v>
      </c>
      <c r="BU1127" s="62"/>
      <c r="BV1127" s="8" t="e">
        <v>#VALUE!</v>
      </c>
      <c r="BW1127" s="58" t="e">
        <f>VLOOKUP(AQ1127,'[1]Harga &amp; Nama CSO'!$A$28:$D$31,4,0)*BQ1127</f>
        <v>#N/A</v>
      </c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44">
        <f>IFERROR(VLOOKUP(AQ1129,'[2]Harga &amp; Nama CSO'!$A$116:$S$136,19,FALSE),0)*AV1129</f>
        <v>0</v>
      </c>
      <c r="BO1128" s="55" t="e">
        <f>IFERROR(VLOOKUP(AQ1128,'[1]Harga &amp; Nama CSO'!$H$2:$N$22,2,FALSE),"")*AV1128</f>
        <v>#VALUE!</v>
      </c>
      <c r="BP1128" s="40"/>
      <c r="BQ1128" s="4"/>
      <c r="BR1128" s="61"/>
      <c r="BS1128" s="4"/>
      <c r="BT1128" s="57" t="e">
        <f t="shared" si="51"/>
        <v>#VALUE!</v>
      </c>
      <c r="BU1128" s="62"/>
      <c r="BV1128" s="8" t="e">
        <v>#VALUE!</v>
      </c>
      <c r="BW1128" s="58" t="e">
        <f>VLOOKUP(AQ1128,'[1]Harga &amp; Nama CSO'!$A$28:$D$31,4,0)*BQ1128</f>
        <v>#N/A</v>
      </c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44">
        <f>IFERROR(VLOOKUP(AQ1130,'[2]Harga &amp; Nama CSO'!$A$116:$S$136,19,FALSE),0)*AV1130</f>
        <v>0</v>
      </c>
      <c r="BO1129" s="55" t="e">
        <f>IFERROR(VLOOKUP(AQ1129,'[1]Harga &amp; Nama CSO'!$H$2:$N$22,2,FALSE),"")*AV1129</f>
        <v>#VALUE!</v>
      </c>
      <c r="BP1129" s="40"/>
      <c r="BQ1129" s="4"/>
      <c r="BR1129" s="61"/>
      <c r="BS1129" s="4"/>
      <c r="BT1129" s="57" t="e">
        <f t="shared" si="51"/>
        <v>#VALUE!</v>
      </c>
      <c r="BU1129" s="62"/>
      <c r="BV1129" s="8" t="e">
        <v>#VALUE!</v>
      </c>
      <c r="BW1129" s="58" t="e">
        <f>VLOOKUP(AQ1129,'[1]Harga &amp; Nama CSO'!$A$28:$D$31,4,0)*BQ1129</f>
        <v>#N/A</v>
      </c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44">
        <f>IFERROR(VLOOKUP(AQ1131,'[2]Harga &amp; Nama CSO'!$A$116:$S$136,19,FALSE),0)*AV1131</f>
        <v>0</v>
      </c>
      <c r="BO1130" s="55" t="e">
        <f>IFERROR(VLOOKUP(AQ1130,'[1]Harga &amp; Nama CSO'!$H$2:$N$22,2,FALSE),"")*AV1130</f>
        <v>#VALUE!</v>
      </c>
      <c r="BP1130" s="40"/>
      <c r="BQ1130" s="4"/>
      <c r="BR1130" s="61"/>
      <c r="BS1130" s="4"/>
      <c r="BT1130" s="57" t="e">
        <f t="shared" si="51"/>
        <v>#VALUE!</v>
      </c>
      <c r="BU1130" s="62"/>
      <c r="BV1130" s="8" t="e">
        <v>#VALUE!</v>
      </c>
      <c r="BW1130" s="58" t="e">
        <f>VLOOKUP(AQ1130,'[1]Harga &amp; Nama CSO'!$A$28:$D$31,4,0)*BQ1130</f>
        <v>#N/A</v>
      </c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44">
        <f>IFERROR(VLOOKUP(AQ1132,'[2]Harga &amp; Nama CSO'!$A$116:$S$136,19,FALSE),0)*AV1132</f>
        <v>0</v>
      </c>
      <c r="BO1131" s="55" t="e">
        <f>IFERROR(VLOOKUP(AQ1131,'[1]Harga &amp; Nama CSO'!$H$2:$N$22,2,FALSE),"")*AV1131</f>
        <v>#VALUE!</v>
      </c>
      <c r="BP1131" s="40"/>
      <c r="BQ1131" s="4"/>
      <c r="BR1131" s="61"/>
      <c r="BS1131" s="4"/>
      <c r="BT1131" s="57" t="e">
        <f t="shared" si="51"/>
        <v>#VALUE!</v>
      </c>
      <c r="BU1131" s="62"/>
      <c r="BV1131" s="8" t="e">
        <v>#VALUE!</v>
      </c>
      <c r="BW1131" s="58" t="e">
        <f>VLOOKUP(AQ1131,'[1]Harga &amp; Nama CSO'!$A$28:$D$31,4,0)*BQ1131</f>
        <v>#N/A</v>
      </c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44">
        <f>IFERROR(VLOOKUP(AQ1133,'[2]Harga &amp; Nama CSO'!$A$116:$S$136,19,FALSE),0)*AV1133</f>
        <v>0</v>
      </c>
      <c r="BO1132" s="55" t="e">
        <f>IFERROR(VLOOKUP(AQ1132,'[1]Harga &amp; Nama CSO'!$H$2:$N$22,2,FALSE),"")*AV1132</f>
        <v>#VALUE!</v>
      </c>
      <c r="BP1132" s="40"/>
      <c r="BQ1132" s="4"/>
      <c r="BR1132" s="61"/>
      <c r="BS1132" s="4"/>
      <c r="BT1132" s="57" t="e">
        <f t="shared" si="51"/>
        <v>#VALUE!</v>
      </c>
      <c r="BU1132" s="62"/>
      <c r="BV1132" s="8" t="e">
        <v>#VALUE!</v>
      </c>
      <c r="BW1132" s="58" t="e">
        <f>VLOOKUP(AQ1132,'[1]Harga &amp; Nama CSO'!$A$28:$D$31,4,0)*BQ1132</f>
        <v>#N/A</v>
      </c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44">
        <f>IFERROR(VLOOKUP(AQ1134,'[2]Harga &amp; Nama CSO'!$A$116:$S$136,19,FALSE),0)*AV1134</f>
        <v>0</v>
      </c>
      <c r="BO1133" s="55" t="e">
        <f>IFERROR(VLOOKUP(AQ1133,'[1]Harga &amp; Nama CSO'!$H$2:$N$22,2,FALSE),"")*AV1133</f>
        <v>#VALUE!</v>
      </c>
      <c r="BP1133" s="40"/>
      <c r="BQ1133" s="4"/>
      <c r="BR1133" s="61"/>
      <c r="BS1133" s="4"/>
      <c r="BT1133" s="57" t="e">
        <f t="shared" si="51"/>
        <v>#VALUE!</v>
      </c>
      <c r="BU1133" s="62"/>
      <c r="BV1133" s="8" t="e">
        <v>#VALUE!</v>
      </c>
      <c r="BW1133" s="58" t="e">
        <f>VLOOKUP(AQ1133,'[1]Harga &amp; Nama CSO'!$A$28:$D$31,4,0)*BQ1133</f>
        <v>#N/A</v>
      </c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44">
        <f>IFERROR(VLOOKUP(AQ1135,'[2]Harga &amp; Nama CSO'!$A$116:$S$136,19,FALSE),0)*AV1135</f>
        <v>0</v>
      </c>
      <c r="BO1134" s="55" t="e">
        <f>IFERROR(VLOOKUP(AQ1134,'[1]Harga &amp; Nama CSO'!$H$2:$N$22,2,FALSE),"")*AV1134</f>
        <v>#VALUE!</v>
      </c>
      <c r="BP1134" s="40"/>
      <c r="BQ1134" s="4"/>
      <c r="BR1134" s="61"/>
      <c r="BS1134" s="4"/>
      <c r="BT1134" s="57" t="e">
        <f t="shared" si="51"/>
        <v>#VALUE!</v>
      </c>
      <c r="BU1134" s="62"/>
      <c r="BV1134" s="8" t="e">
        <v>#VALUE!</v>
      </c>
      <c r="BW1134" s="58" t="e">
        <f>VLOOKUP(AQ1134,'[1]Harga &amp; Nama CSO'!$A$28:$D$31,4,0)*BQ1134</f>
        <v>#N/A</v>
      </c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44">
        <f>IFERROR(VLOOKUP(AQ1136,'[2]Harga &amp; Nama CSO'!$A$116:$S$136,19,FALSE),0)*AV1136</f>
        <v>0</v>
      </c>
      <c r="BO1135" s="55" t="e">
        <f>IFERROR(VLOOKUP(AQ1135,'[1]Harga &amp; Nama CSO'!$H$2:$N$22,2,FALSE),"")*AV1135</f>
        <v>#VALUE!</v>
      </c>
      <c r="BP1135" s="40"/>
      <c r="BQ1135" s="4"/>
      <c r="BR1135" s="61"/>
      <c r="BS1135" s="4"/>
      <c r="BT1135" s="57" t="e">
        <f t="shared" si="51"/>
        <v>#VALUE!</v>
      </c>
      <c r="BU1135" s="62"/>
      <c r="BV1135" s="8" t="e">
        <v>#VALUE!</v>
      </c>
      <c r="BW1135" s="58" t="e">
        <f>VLOOKUP(AQ1135,'[1]Harga &amp; Nama CSO'!$A$28:$D$31,4,0)*BQ1135</f>
        <v>#N/A</v>
      </c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44">
        <f>IFERROR(VLOOKUP(AQ1137,'[2]Harga &amp; Nama CSO'!$A$116:$S$136,19,FALSE),0)*AV1137</f>
        <v>0</v>
      </c>
      <c r="BO1136" s="55" t="e">
        <f>IFERROR(VLOOKUP(AQ1136,'[1]Harga &amp; Nama CSO'!$H$2:$N$22,2,FALSE),"")*AV1136</f>
        <v>#VALUE!</v>
      </c>
      <c r="BP1136" s="40"/>
      <c r="BQ1136" s="4"/>
      <c r="BR1136" s="61"/>
      <c r="BS1136" s="4"/>
      <c r="BT1136" s="57" t="e">
        <f t="shared" si="51"/>
        <v>#VALUE!</v>
      </c>
      <c r="BU1136" s="62"/>
      <c r="BV1136" s="8" t="e">
        <v>#VALUE!</v>
      </c>
      <c r="BW1136" s="58" t="e">
        <f>VLOOKUP(AQ1136,'[1]Harga &amp; Nama CSO'!$A$28:$D$31,4,0)*BQ1136</f>
        <v>#N/A</v>
      </c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44">
        <f>IFERROR(VLOOKUP(AQ1138,'[2]Harga &amp; Nama CSO'!$A$116:$S$136,19,FALSE),0)*AV1138</f>
        <v>0</v>
      </c>
      <c r="BO1137" s="55" t="e">
        <f>IFERROR(VLOOKUP(AQ1137,'[1]Harga &amp; Nama CSO'!$H$2:$N$22,2,FALSE),"")*AV1137</f>
        <v>#VALUE!</v>
      </c>
      <c r="BP1137" s="40"/>
      <c r="BQ1137" s="4"/>
      <c r="BR1137" s="61"/>
      <c r="BS1137" s="4"/>
      <c r="BT1137" s="57" t="e">
        <f t="shared" si="51"/>
        <v>#VALUE!</v>
      </c>
      <c r="BU1137" s="62"/>
      <c r="BV1137" s="8" t="e">
        <v>#VALUE!</v>
      </c>
      <c r="BW1137" s="58" t="e">
        <f>VLOOKUP(AQ1137,'[1]Harga &amp; Nama CSO'!$A$28:$D$31,4,0)*BQ1137</f>
        <v>#N/A</v>
      </c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44">
        <f>IFERROR(VLOOKUP(AQ1139,'[2]Harga &amp; Nama CSO'!$A$116:$S$136,19,FALSE),0)*AV1139</f>
        <v>0</v>
      </c>
      <c r="BO1138" s="55" t="e">
        <f>IFERROR(VLOOKUP(AQ1138,'[1]Harga &amp; Nama CSO'!$H$2:$N$22,2,FALSE),"")*AV1138</f>
        <v>#VALUE!</v>
      </c>
      <c r="BP1138" s="40"/>
      <c r="BQ1138" s="4"/>
      <c r="BR1138" s="61"/>
      <c r="BS1138" s="4"/>
      <c r="BT1138" s="57" t="e">
        <f t="shared" si="51"/>
        <v>#VALUE!</v>
      </c>
      <c r="BU1138" s="62"/>
      <c r="BV1138" s="8" t="e">
        <v>#VALUE!</v>
      </c>
      <c r="BW1138" s="58" t="e">
        <f>VLOOKUP(AQ1138,'[1]Harga &amp; Nama CSO'!$A$28:$D$31,4,0)*BQ1138</f>
        <v>#N/A</v>
      </c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44">
        <f>IFERROR(VLOOKUP(AQ1140,'[2]Harga &amp; Nama CSO'!$A$116:$S$136,19,FALSE),0)*AV1140</f>
        <v>0</v>
      </c>
      <c r="BO1139" s="55" t="e">
        <f>IFERROR(VLOOKUP(AQ1139,'[1]Harga &amp; Nama CSO'!$H$2:$N$22,2,FALSE),"")*AV1139</f>
        <v>#VALUE!</v>
      </c>
      <c r="BP1139" s="40"/>
      <c r="BQ1139" s="4"/>
      <c r="BR1139" s="61"/>
      <c r="BS1139" s="4"/>
      <c r="BT1139" s="57" t="e">
        <f t="shared" si="51"/>
        <v>#VALUE!</v>
      </c>
      <c r="BU1139" s="62"/>
      <c r="BV1139" s="8" t="e">
        <v>#VALUE!</v>
      </c>
      <c r="BW1139" s="58" t="e">
        <f>VLOOKUP(AQ1139,'[1]Harga &amp; Nama CSO'!$A$28:$D$31,4,0)*BQ1139</f>
        <v>#N/A</v>
      </c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44">
        <f>IFERROR(VLOOKUP(AQ1141,'[2]Harga &amp; Nama CSO'!$A$116:$S$136,19,FALSE),0)*AV1141</f>
        <v>0</v>
      </c>
      <c r="BO1140" s="55" t="e">
        <f>IFERROR(VLOOKUP(AQ1140,'[1]Harga &amp; Nama CSO'!$H$2:$N$22,2,FALSE),"")*AV1140</f>
        <v>#VALUE!</v>
      </c>
      <c r="BP1140" s="40"/>
      <c r="BQ1140" s="4"/>
      <c r="BR1140" s="61"/>
      <c r="BS1140" s="4"/>
      <c r="BT1140" s="57" t="e">
        <f t="shared" si="51"/>
        <v>#VALUE!</v>
      </c>
      <c r="BU1140" s="62"/>
      <c r="BV1140" s="8" t="e">
        <v>#VALUE!</v>
      </c>
      <c r="BW1140" s="58" t="e">
        <f>VLOOKUP(AQ1140,'[1]Harga &amp; Nama CSO'!$A$28:$D$31,4,0)*BQ1140</f>
        <v>#N/A</v>
      </c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44">
        <f>IFERROR(VLOOKUP(AQ1142,'[2]Harga &amp; Nama CSO'!$A$116:$S$136,19,FALSE),0)*AV1142</f>
        <v>0</v>
      </c>
      <c r="BO1141" s="55" t="e">
        <f>IFERROR(VLOOKUP(AQ1141,'[1]Harga &amp; Nama CSO'!$H$2:$N$22,2,FALSE),"")*AV1141</f>
        <v>#VALUE!</v>
      </c>
      <c r="BP1141" s="40"/>
      <c r="BQ1141" s="4"/>
      <c r="BR1141" s="61"/>
      <c r="BS1141" s="4"/>
      <c r="BT1141" s="57" t="e">
        <f t="shared" si="51"/>
        <v>#VALUE!</v>
      </c>
      <c r="BU1141" s="62"/>
      <c r="BV1141" s="8" t="e">
        <v>#VALUE!</v>
      </c>
      <c r="BW1141" s="58" t="e">
        <f>VLOOKUP(AQ1141,'[1]Harga &amp; Nama CSO'!$A$28:$D$31,4,0)*BQ1141</f>
        <v>#N/A</v>
      </c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44">
        <f>IFERROR(VLOOKUP(AQ1143,'[2]Harga &amp; Nama CSO'!$A$116:$S$136,19,FALSE),0)*AV1143</f>
        <v>0</v>
      </c>
      <c r="BO1142" s="55" t="e">
        <f>IFERROR(VLOOKUP(AQ1142,'[1]Harga &amp; Nama CSO'!$H$2:$N$22,2,FALSE),"")*AV1142</f>
        <v>#VALUE!</v>
      </c>
      <c r="BP1142" s="40"/>
      <c r="BQ1142" s="4"/>
      <c r="BR1142" s="61"/>
      <c r="BS1142" s="4"/>
      <c r="BT1142" s="57" t="e">
        <f t="shared" si="51"/>
        <v>#VALUE!</v>
      </c>
      <c r="BU1142" s="62"/>
      <c r="BV1142" s="8" t="e">
        <v>#VALUE!</v>
      </c>
      <c r="BW1142" s="58" t="e">
        <f>VLOOKUP(AQ1142,'[1]Harga &amp; Nama CSO'!$A$28:$D$31,4,0)*BQ1142</f>
        <v>#N/A</v>
      </c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44">
        <f>IFERROR(VLOOKUP(AQ1144,'[2]Harga &amp; Nama CSO'!$A$116:$S$136,19,FALSE),0)*AV1144</f>
        <v>0</v>
      </c>
      <c r="BO1143" s="55" t="e">
        <f>IFERROR(VLOOKUP(AQ1143,'[1]Harga &amp; Nama CSO'!$H$2:$N$22,2,FALSE),"")*AV1143</f>
        <v>#VALUE!</v>
      </c>
      <c r="BP1143" s="40"/>
      <c r="BQ1143" s="4"/>
      <c r="BR1143" s="61"/>
      <c r="BS1143" s="4"/>
      <c r="BT1143" s="57" t="e">
        <f t="shared" si="51"/>
        <v>#VALUE!</v>
      </c>
      <c r="BU1143" s="62"/>
      <c r="BV1143" s="8" t="e">
        <v>#VALUE!</v>
      </c>
      <c r="BW1143" s="58" t="e">
        <f>VLOOKUP(AQ1143,'[1]Harga &amp; Nama CSO'!$A$28:$D$31,4,0)*BQ1143</f>
        <v>#N/A</v>
      </c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44">
        <f>IFERROR(VLOOKUP(AQ1145,'[2]Harga &amp; Nama CSO'!$A$116:$S$136,19,FALSE),0)*AV1145</f>
        <v>0</v>
      </c>
      <c r="BO1144" s="55" t="e">
        <f>IFERROR(VLOOKUP(AQ1144,'[1]Harga &amp; Nama CSO'!$H$2:$N$22,2,FALSE),"")*AV1144</f>
        <v>#VALUE!</v>
      </c>
      <c r="BP1144" s="40"/>
      <c r="BQ1144" s="4"/>
      <c r="BR1144" s="61"/>
      <c r="BS1144" s="4"/>
      <c r="BT1144" s="57" t="e">
        <f t="shared" si="51"/>
        <v>#VALUE!</v>
      </c>
      <c r="BU1144" s="62"/>
      <c r="BV1144" s="8" t="e">
        <v>#VALUE!</v>
      </c>
      <c r="BW1144" s="58" t="e">
        <f>VLOOKUP(AQ1144,'[1]Harga &amp; Nama CSO'!$A$28:$D$31,4,0)*BQ1144</f>
        <v>#N/A</v>
      </c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44">
        <f>IFERROR(VLOOKUP(AQ1146,'[2]Harga &amp; Nama CSO'!$A$116:$S$136,19,FALSE),0)*AV1146</f>
        <v>0</v>
      </c>
      <c r="BO1145" s="55" t="e">
        <f>IFERROR(VLOOKUP(AQ1145,'[1]Harga &amp; Nama CSO'!$H$2:$N$22,2,FALSE),"")*AV1145</f>
        <v>#VALUE!</v>
      </c>
      <c r="BP1145" s="40"/>
      <c r="BQ1145" s="4"/>
      <c r="BR1145" s="61"/>
      <c r="BS1145" s="4"/>
      <c r="BT1145" s="57" t="e">
        <f t="shared" si="51"/>
        <v>#VALUE!</v>
      </c>
      <c r="BU1145" s="62"/>
      <c r="BV1145" s="8" t="e">
        <v>#VALUE!</v>
      </c>
      <c r="BW1145" s="58" t="e">
        <f>VLOOKUP(AQ1145,'[1]Harga &amp; Nama CSO'!$A$28:$D$31,4,0)*BQ1145</f>
        <v>#N/A</v>
      </c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44">
        <f>IFERROR(VLOOKUP(AQ1147,'[2]Harga &amp; Nama CSO'!$A$116:$S$136,19,FALSE),0)*AV1147</f>
        <v>0</v>
      </c>
      <c r="BO1146" s="55" t="e">
        <f>IFERROR(VLOOKUP(AQ1146,'[1]Harga &amp; Nama CSO'!$H$2:$N$22,2,FALSE),"")*AV1146</f>
        <v>#VALUE!</v>
      </c>
      <c r="BP1146" s="40"/>
      <c r="BQ1146" s="4"/>
      <c r="BR1146" s="61"/>
      <c r="BS1146" s="4"/>
      <c r="BT1146" s="57" t="e">
        <f t="shared" si="51"/>
        <v>#VALUE!</v>
      </c>
      <c r="BU1146" s="62"/>
      <c r="BV1146" s="8" t="e">
        <v>#VALUE!</v>
      </c>
      <c r="BW1146" s="58" t="e">
        <f>VLOOKUP(AQ1146,'[1]Harga &amp; Nama CSO'!$A$28:$D$31,4,0)*BQ1146</f>
        <v>#N/A</v>
      </c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44">
        <f>IFERROR(VLOOKUP(AQ1148,'[2]Harga &amp; Nama CSO'!$A$116:$S$136,19,FALSE),0)*AV1148</f>
        <v>0</v>
      </c>
      <c r="BO1147" s="55" t="e">
        <f>IFERROR(VLOOKUP(AQ1147,'[1]Harga &amp; Nama CSO'!$H$2:$N$22,2,FALSE),"")*AV1147</f>
        <v>#VALUE!</v>
      </c>
      <c r="BP1147" s="40"/>
      <c r="BQ1147" s="4"/>
      <c r="BR1147" s="61"/>
      <c r="BS1147" s="4"/>
      <c r="BT1147" s="57" t="e">
        <f t="shared" si="51"/>
        <v>#VALUE!</v>
      </c>
      <c r="BU1147" s="62"/>
      <c r="BV1147" s="8" t="e">
        <v>#VALUE!</v>
      </c>
      <c r="BW1147" s="58" t="e">
        <f>VLOOKUP(AQ1147,'[1]Harga &amp; Nama CSO'!$A$28:$D$31,4,0)*BQ1147</f>
        <v>#N/A</v>
      </c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44">
        <f>IFERROR(VLOOKUP(AQ1149,'[2]Harga &amp; Nama CSO'!$A$116:$S$136,19,FALSE),0)*AV1149</f>
        <v>0</v>
      </c>
      <c r="BO1148" s="55" t="e">
        <f>IFERROR(VLOOKUP(AQ1148,'[1]Harga &amp; Nama CSO'!$H$2:$N$22,2,FALSE),"")*AV1148</f>
        <v>#VALUE!</v>
      </c>
      <c r="BP1148" s="40"/>
      <c r="BQ1148" s="4"/>
      <c r="BR1148" s="61"/>
      <c r="BS1148" s="4"/>
      <c r="BT1148" s="57" t="e">
        <f t="shared" si="51"/>
        <v>#VALUE!</v>
      </c>
      <c r="BU1148" s="62"/>
      <c r="BV1148" s="8" t="e">
        <v>#VALUE!</v>
      </c>
      <c r="BW1148" s="58" t="e">
        <f>VLOOKUP(AQ1148,'[1]Harga &amp; Nama CSO'!$A$28:$D$31,4,0)*BQ1148</f>
        <v>#N/A</v>
      </c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44">
        <f>IFERROR(VLOOKUP(AQ1150,'[2]Harga &amp; Nama CSO'!$A$116:$S$136,19,FALSE),0)*AV1150</f>
        <v>0</v>
      </c>
      <c r="BO1149" s="55" t="e">
        <f>IFERROR(VLOOKUP(AQ1149,'[1]Harga &amp; Nama CSO'!$H$2:$N$22,2,FALSE),"")*AV1149</f>
        <v>#VALUE!</v>
      </c>
      <c r="BP1149" s="40"/>
      <c r="BQ1149" s="4"/>
      <c r="BR1149" s="61"/>
      <c r="BS1149" s="4"/>
      <c r="BT1149" s="57" t="e">
        <f t="shared" si="51"/>
        <v>#VALUE!</v>
      </c>
      <c r="BU1149" s="62"/>
      <c r="BV1149" s="8" t="e">
        <v>#VALUE!</v>
      </c>
      <c r="BW1149" s="58" t="e">
        <f>VLOOKUP(AQ1149,'[1]Harga &amp; Nama CSO'!$A$28:$D$31,4,0)*BQ1149</f>
        <v>#N/A</v>
      </c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44">
        <f>IFERROR(VLOOKUP(AQ1151,'[2]Harga &amp; Nama CSO'!$A$116:$S$136,19,FALSE),0)*AV1151</f>
        <v>0</v>
      </c>
      <c r="BO1150" s="55" t="e">
        <f>IFERROR(VLOOKUP(AQ1150,'[1]Harga &amp; Nama CSO'!$H$2:$N$22,2,FALSE),"")*AV1150</f>
        <v>#VALUE!</v>
      </c>
      <c r="BP1150" s="40"/>
      <c r="BQ1150" s="4"/>
      <c r="BR1150" s="61"/>
      <c r="BS1150" s="4"/>
      <c r="BT1150" s="57" t="e">
        <f t="shared" si="51"/>
        <v>#VALUE!</v>
      </c>
      <c r="BU1150" s="62"/>
      <c r="BV1150" s="8" t="e">
        <v>#VALUE!</v>
      </c>
      <c r="BW1150" s="58" t="e">
        <f>VLOOKUP(AQ1150,'[1]Harga &amp; Nama CSO'!$A$28:$D$31,4,0)*BQ1150</f>
        <v>#N/A</v>
      </c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44">
        <f>IFERROR(VLOOKUP(AQ1152,'[2]Harga &amp; Nama CSO'!$A$116:$S$136,19,FALSE),0)*AV1152</f>
        <v>0</v>
      </c>
      <c r="BO1151" s="55" t="e">
        <f>IFERROR(VLOOKUP(AQ1151,'[1]Harga &amp; Nama CSO'!$H$2:$N$22,2,FALSE),"")*AV1151</f>
        <v>#VALUE!</v>
      </c>
      <c r="BP1151" s="40"/>
      <c r="BQ1151" s="4"/>
      <c r="BR1151" s="61"/>
      <c r="BS1151" s="4"/>
      <c r="BT1151" s="57" t="e">
        <f t="shared" si="51"/>
        <v>#VALUE!</v>
      </c>
      <c r="BU1151" s="62"/>
      <c r="BV1151" s="8" t="e">
        <v>#VALUE!</v>
      </c>
      <c r="BW1151" s="58" t="e">
        <f>VLOOKUP(AQ1151,'[1]Harga &amp; Nama CSO'!$A$28:$D$31,4,0)*BQ1151</f>
        <v>#N/A</v>
      </c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44">
        <f>IFERROR(VLOOKUP(AQ1153,'[2]Harga &amp; Nama CSO'!$A$116:$S$136,19,FALSE),0)*AV1153</f>
        <v>0</v>
      </c>
      <c r="BO1152" s="55" t="e">
        <f>IFERROR(VLOOKUP(AQ1152,'[1]Harga &amp; Nama CSO'!$H$2:$N$22,2,FALSE),"")*AV1152</f>
        <v>#VALUE!</v>
      </c>
      <c r="BP1152" s="40"/>
      <c r="BQ1152" s="4"/>
      <c r="BR1152" s="61"/>
      <c r="BS1152" s="4"/>
      <c r="BT1152" s="57" t="e">
        <f t="shared" si="51"/>
        <v>#VALUE!</v>
      </c>
      <c r="BU1152" s="62"/>
      <c r="BV1152" s="8" t="e">
        <v>#VALUE!</v>
      </c>
      <c r="BW1152" s="58" t="e">
        <f>VLOOKUP(AQ1152,'[1]Harga &amp; Nama CSO'!$A$28:$D$31,4,0)*BQ1152</f>
        <v>#N/A</v>
      </c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44">
        <f>IFERROR(VLOOKUP(AQ1154,'[2]Harga &amp; Nama CSO'!$A$116:$S$136,19,FALSE),0)*AV1154</f>
        <v>0</v>
      </c>
      <c r="BO1153" s="55" t="e">
        <f>IFERROR(VLOOKUP(AQ1153,'[1]Harga &amp; Nama CSO'!$H$2:$N$22,2,FALSE),"")*AV1153</f>
        <v>#VALUE!</v>
      </c>
      <c r="BP1153" s="40"/>
      <c r="BQ1153" s="4"/>
      <c r="BR1153" s="61"/>
      <c r="BS1153" s="4"/>
      <c r="BT1153" s="57" t="e">
        <f t="shared" si="51"/>
        <v>#VALUE!</v>
      </c>
      <c r="BU1153" s="62"/>
      <c r="BV1153" s="8" t="e">
        <v>#VALUE!</v>
      </c>
      <c r="BW1153" s="58" t="e">
        <f>VLOOKUP(AQ1153,'[1]Harga &amp; Nama CSO'!$A$28:$D$31,4,0)*BQ1153</f>
        <v>#N/A</v>
      </c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44">
        <f>IFERROR(VLOOKUP(AQ1155,'[2]Harga &amp; Nama CSO'!$A$116:$S$136,19,FALSE),0)*AV1155</f>
        <v>0</v>
      </c>
      <c r="BO1154" s="55" t="e">
        <f>IFERROR(VLOOKUP(AQ1154,'[1]Harga &amp; Nama CSO'!$H$2:$N$22,2,FALSE),"")*AV1154</f>
        <v>#VALUE!</v>
      </c>
      <c r="BP1154" s="40"/>
      <c r="BQ1154" s="4"/>
      <c r="BR1154" s="61"/>
      <c r="BS1154" s="4"/>
      <c r="BT1154" s="57" t="e">
        <f t="shared" si="51"/>
        <v>#VALUE!</v>
      </c>
      <c r="BU1154" s="62"/>
      <c r="BV1154" s="8" t="e">
        <v>#VALUE!</v>
      </c>
      <c r="BW1154" s="58" t="e">
        <f>VLOOKUP(AQ1154,'[1]Harga &amp; Nama CSO'!$A$28:$D$31,4,0)*BQ1154</f>
        <v>#N/A</v>
      </c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44">
        <f>IFERROR(VLOOKUP(AQ1156,'[2]Harga &amp; Nama CSO'!$A$116:$S$136,19,FALSE),0)*AV1156</f>
        <v>0</v>
      </c>
      <c r="BO1155" s="55" t="e">
        <f>IFERROR(VLOOKUP(AQ1155,'[1]Harga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52">BO1155-BR1155</f>
        <v>#VALUE!</v>
      </c>
      <c r="BU1155" s="62"/>
      <c r="BV1155" s="8" t="e">
        <v>#VALUE!</v>
      </c>
      <c r="BW1155" s="58" t="e">
        <f>VLOOKUP(AQ1155,'[1]Harga &amp; Nama CSO'!$A$28:$D$31,4,0)*BQ1155</f>
        <v>#N/A</v>
      </c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44">
        <f>IFERROR(VLOOKUP(AQ1157,'[2]Harga &amp; Nama CSO'!$A$116:$S$136,19,FALSE),0)*AV1157</f>
        <v>0</v>
      </c>
      <c r="BO1156" s="55" t="e">
        <f>IFERROR(VLOOKUP(AQ1156,'[1]Harga &amp; Nama CSO'!$H$2:$N$22,2,FALSE),"")*AV1156</f>
        <v>#VALUE!</v>
      </c>
      <c r="BP1156" s="40"/>
      <c r="BQ1156" s="4"/>
      <c r="BR1156" s="61"/>
      <c r="BS1156" s="4"/>
      <c r="BT1156" s="57" t="e">
        <f t="shared" si="52"/>
        <v>#VALUE!</v>
      </c>
      <c r="BU1156" s="62"/>
      <c r="BV1156" s="8" t="e">
        <v>#VALUE!</v>
      </c>
      <c r="BW1156" s="58" t="e">
        <f>VLOOKUP(AQ1156,'[1]Harga &amp; Nama CSO'!$A$28:$D$31,4,0)*BQ1156</f>
        <v>#N/A</v>
      </c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44">
        <f>IFERROR(VLOOKUP(AQ1158,'[2]Harga &amp; Nama CSO'!$A$116:$S$136,19,FALSE),0)*AV1158</f>
        <v>0</v>
      </c>
      <c r="BO1157" s="55" t="e">
        <f>IFERROR(VLOOKUP(AQ1157,'[1]Harga &amp; Nama CSO'!$H$2:$N$22,2,FALSE),"")*AV1157</f>
        <v>#VALUE!</v>
      </c>
      <c r="BP1157" s="40"/>
      <c r="BQ1157" s="4"/>
      <c r="BR1157" s="61"/>
      <c r="BS1157" s="4"/>
      <c r="BT1157" s="57" t="e">
        <f t="shared" si="52"/>
        <v>#VALUE!</v>
      </c>
      <c r="BU1157" s="62"/>
      <c r="BV1157" s="8" t="e">
        <v>#VALUE!</v>
      </c>
      <c r="BW1157" s="58" t="e">
        <f>VLOOKUP(AQ1157,'[1]Harga &amp; Nama CSO'!$A$28:$D$31,4,0)*BQ1157</f>
        <v>#N/A</v>
      </c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44">
        <f>IFERROR(VLOOKUP(AQ1159,'[2]Harga &amp; Nama CSO'!$A$116:$S$136,19,FALSE),0)*AV1159</f>
        <v>0</v>
      </c>
      <c r="BO1158" s="55" t="e">
        <f>IFERROR(VLOOKUP(AQ1158,'[1]Harga &amp; Nama CSO'!$H$2:$N$22,2,FALSE),"")*AV1158</f>
        <v>#VALUE!</v>
      </c>
      <c r="BP1158" s="40"/>
      <c r="BQ1158" s="4"/>
      <c r="BR1158" s="61"/>
      <c r="BS1158" s="4"/>
      <c r="BT1158" s="57" t="e">
        <f t="shared" si="52"/>
        <v>#VALUE!</v>
      </c>
      <c r="BU1158" s="62"/>
      <c r="BV1158" s="8" t="e">
        <v>#VALUE!</v>
      </c>
      <c r="BW1158" s="58" t="e">
        <f>VLOOKUP(AQ1158,'[1]Harga &amp; Nama CSO'!$A$28:$D$31,4,0)*BQ1158</f>
        <v>#N/A</v>
      </c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44">
        <f>IFERROR(VLOOKUP(AQ1160,'[2]Harga &amp; Nama CSO'!$A$116:$S$136,19,FALSE),0)*AV1160</f>
        <v>0</v>
      </c>
      <c r="BO1159" s="55" t="e">
        <f>IFERROR(VLOOKUP(AQ1159,'[1]Harga &amp; Nama CSO'!$H$2:$N$22,2,FALSE),"")*AV1159</f>
        <v>#VALUE!</v>
      </c>
      <c r="BP1159" s="40"/>
      <c r="BQ1159" s="4"/>
      <c r="BR1159" s="61"/>
      <c r="BS1159" s="4"/>
      <c r="BT1159" s="57" t="e">
        <f t="shared" si="52"/>
        <v>#VALUE!</v>
      </c>
      <c r="BU1159" s="62"/>
      <c r="BV1159" s="8" t="e">
        <v>#VALUE!</v>
      </c>
      <c r="BW1159" s="58" t="e">
        <f>VLOOKUP(AQ1159,'[1]Harga &amp; Nama CSO'!$A$28:$D$31,4,0)*BQ1159</f>
        <v>#N/A</v>
      </c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44">
        <f>IFERROR(VLOOKUP(AQ1161,'[2]Harga &amp; Nama CSO'!$A$116:$S$136,19,FALSE),0)*AV1161</f>
        <v>0</v>
      </c>
      <c r="BO1160" s="55" t="e">
        <f>IFERROR(VLOOKUP(AQ1160,'[1]Harga &amp; Nama CSO'!$H$2:$N$22,2,FALSE),"")*AV1160</f>
        <v>#VALUE!</v>
      </c>
      <c r="BP1160" s="40"/>
      <c r="BQ1160" s="4"/>
      <c r="BR1160" s="61"/>
      <c r="BS1160" s="4"/>
      <c r="BT1160" s="57" t="e">
        <f t="shared" si="52"/>
        <v>#VALUE!</v>
      </c>
      <c r="BU1160" s="62"/>
      <c r="BV1160" s="8" t="e">
        <v>#VALUE!</v>
      </c>
      <c r="BW1160" s="58" t="e">
        <f>VLOOKUP(AQ1160,'[1]Harga &amp; Nama CSO'!$A$28:$D$31,4,0)*BQ1160</f>
        <v>#N/A</v>
      </c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44">
        <f>IFERROR(VLOOKUP(AQ1162,'[2]Harga &amp; Nama CSO'!$A$116:$S$136,19,FALSE),0)*AV1162</f>
        <v>0</v>
      </c>
      <c r="BO1161" s="55" t="e">
        <f>IFERROR(VLOOKUP(AQ1161,'[1]Harga &amp; Nama CSO'!$H$2:$N$22,2,FALSE),"")*AV1161</f>
        <v>#VALUE!</v>
      </c>
      <c r="BP1161" s="40"/>
      <c r="BQ1161" s="4"/>
      <c r="BR1161" s="61"/>
      <c r="BS1161" s="4"/>
      <c r="BT1161" s="57" t="e">
        <f t="shared" si="52"/>
        <v>#VALUE!</v>
      </c>
      <c r="BU1161" s="62"/>
      <c r="BV1161" s="8" t="e">
        <v>#VALUE!</v>
      </c>
      <c r="BW1161" s="58" t="e">
        <f>VLOOKUP(AQ1161,'[1]Harga &amp; Nama CSO'!$A$28:$D$31,4,0)*BQ1161</f>
        <v>#N/A</v>
      </c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44">
        <f>IFERROR(VLOOKUP(AQ1163,'[2]Harga &amp; Nama CSO'!$A$116:$S$136,19,FALSE),0)*AV1163</f>
        <v>0</v>
      </c>
      <c r="BO1162" s="55" t="e">
        <f>IFERROR(VLOOKUP(AQ1162,'[1]Harga &amp; Nama CSO'!$H$2:$N$22,2,FALSE),"")*AV1162</f>
        <v>#VALUE!</v>
      </c>
      <c r="BP1162" s="40"/>
      <c r="BQ1162" s="4"/>
      <c r="BR1162" s="61"/>
      <c r="BS1162" s="4"/>
      <c r="BT1162" s="57" t="e">
        <f t="shared" si="52"/>
        <v>#VALUE!</v>
      </c>
      <c r="BU1162" s="62"/>
      <c r="BV1162" s="8" t="e">
        <v>#VALUE!</v>
      </c>
      <c r="BW1162" s="58" t="e">
        <f>VLOOKUP(AQ1162,'[1]Harga &amp; Nama CSO'!$A$28:$D$31,4,0)*BQ1162</f>
        <v>#N/A</v>
      </c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44">
        <f>IFERROR(VLOOKUP(AQ1164,'[2]Harga &amp; Nama CSO'!$A$116:$S$136,19,FALSE),0)*AV1164</f>
        <v>0</v>
      </c>
      <c r="BO1163" s="55" t="e">
        <f>IFERROR(VLOOKUP(AQ1163,'[1]Harga &amp; Nama CSO'!$H$2:$N$22,2,FALSE),"")*AV1163</f>
        <v>#VALUE!</v>
      </c>
      <c r="BP1163" s="40"/>
      <c r="BQ1163" s="4"/>
      <c r="BR1163" s="61"/>
      <c r="BS1163" s="4"/>
      <c r="BT1163" s="57" t="e">
        <f t="shared" si="52"/>
        <v>#VALUE!</v>
      </c>
      <c r="BU1163" s="62"/>
      <c r="BV1163" s="8" t="e">
        <v>#VALUE!</v>
      </c>
      <c r="BW1163" s="58" t="e">
        <f>VLOOKUP(AQ1163,'[1]Harga &amp; Nama CSO'!$A$28:$D$31,4,0)*BQ1163</f>
        <v>#N/A</v>
      </c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44">
        <f>IFERROR(VLOOKUP(AQ1165,'[2]Harga &amp; Nama CSO'!$A$116:$S$136,19,FALSE),0)*AV1165</f>
        <v>0</v>
      </c>
      <c r="BO1164" s="55" t="e">
        <f>IFERROR(VLOOKUP(AQ1164,'[1]Harga &amp; Nama CSO'!$H$2:$N$22,2,FALSE),"")*AV1164</f>
        <v>#VALUE!</v>
      </c>
      <c r="BP1164" s="40"/>
      <c r="BQ1164" s="4"/>
      <c r="BR1164" s="61"/>
      <c r="BS1164" s="4"/>
      <c r="BT1164" s="57" t="e">
        <f t="shared" si="52"/>
        <v>#VALUE!</v>
      </c>
      <c r="BU1164" s="62"/>
      <c r="BV1164" s="8" t="e">
        <v>#VALUE!</v>
      </c>
      <c r="BW1164" s="58" t="e">
        <f>VLOOKUP(AQ1164,'[1]Harga &amp; Nama CSO'!$A$28:$D$31,4,0)*BQ1164</f>
        <v>#N/A</v>
      </c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44">
        <f>IFERROR(VLOOKUP(AQ1166,'[2]Harga &amp; Nama CSO'!$A$116:$S$136,19,FALSE),0)*AV1166</f>
        <v>0</v>
      </c>
      <c r="BO1165" s="55" t="e">
        <f>IFERROR(VLOOKUP(AQ1165,'[1]Harga &amp; Nama CSO'!$H$2:$N$22,2,FALSE),"")*AV1165</f>
        <v>#VALUE!</v>
      </c>
      <c r="BP1165" s="40"/>
      <c r="BQ1165" s="4"/>
      <c r="BR1165" s="61"/>
      <c r="BS1165" s="4"/>
      <c r="BT1165" s="57" t="e">
        <f t="shared" si="52"/>
        <v>#VALUE!</v>
      </c>
      <c r="BU1165" s="62"/>
      <c r="BV1165" s="8" t="e">
        <v>#VALUE!</v>
      </c>
      <c r="BW1165" s="58" t="e">
        <f>VLOOKUP(AQ1165,'[1]Harga &amp; Nama CSO'!$A$28:$D$31,4,0)*BQ1165</f>
        <v>#N/A</v>
      </c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44">
        <f>IFERROR(VLOOKUP(AQ1167,'[2]Harga &amp; Nama CSO'!$A$116:$S$136,19,FALSE),0)*AV1167</f>
        <v>0</v>
      </c>
      <c r="BO1166" s="55" t="e">
        <f>IFERROR(VLOOKUP(AQ1166,'[1]Harga &amp; Nama CSO'!$H$2:$N$22,2,FALSE),"")*AV1166</f>
        <v>#VALUE!</v>
      </c>
      <c r="BP1166" s="40"/>
      <c r="BQ1166" s="4"/>
      <c r="BR1166" s="61"/>
      <c r="BS1166" s="4"/>
      <c r="BT1166" s="57" t="e">
        <f t="shared" si="52"/>
        <v>#VALUE!</v>
      </c>
      <c r="BU1166" s="62"/>
      <c r="BV1166" s="8" t="e">
        <v>#VALUE!</v>
      </c>
      <c r="BW1166" s="58" t="e">
        <f>VLOOKUP(AQ1166,'[1]Harga &amp; Nama CSO'!$A$28:$D$31,4,0)*BQ1166</f>
        <v>#N/A</v>
      </c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44">
        <f>IFERROR(VLOOKUP(AQ1168,'[2]Harga &amp; Nama CSO'!$A$116:$S$136,19,FALSE),0)*AV1168</f>
        <v>0</v>
      </c>
      <c r="BO1167" s="55" t="e">
        <f>IFERROR(VLOOKUP(AQ1167,'[1]Harga &amp; Nama CSO'!$H$2:$N$22,2,FALSE),"")*AV1167</f>
        <v>#VALUE!</v>
      </c>
      <c r="BP1167" s="40"/>
      <c r="BQ1167" s="4"/>
      <c r="BR1167" s="61"/>
      <c r="BS1167" s="4"/>
      <c r="BT1167" s="57" t="e">
        <f t="shared" si="52"/>
        <v>#VALUE!</v>
      </c>
      <c r="BU1167" s="62"/>
      <c r="BV1167" s="8" t="e">
        <v>#VALUE!</v>
      </c>
      <c r="BW1167" s="58" t="e">
        <f>VLOOKUP(AQ1167,'[1]Harga &amp; Nama CSO'!$A$28:$D$31,4,0)*BQ1167</f>
        <v>#N/A</v>
      </c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44">
        <f>IFERROR(VLOOKUP(AQ1169,'[2]Harga &amp; Nama CSO'!$A$116:$S$136,19,FALSE),0)*AV1169</f>
        <v>0</v>
      </c>
      <c r="BO1168" s="55" t="e">
        <f>IFERROR(VLOOKUP(AQ1168,'[1]Harga &amp; Nama CSO'!$H$2:$N$22,2,FALSE),"")*AV1168</f>
        <v>#VALUE!</v>
      </c>
      <c r="BP1168" s="40"/>
      <c r="BQ1168" s="4"/>
      <c r="BR1168" s="61"/>
      <c r="BS1168" s="4"/>
      <c r="BT1168" s="57" t="e">
        <f t="shared" si="52"/>
        <v>#VALUE!</v>
      </c>
      <c r="BU1168" s="62"/>
      <c r="BV1168" s="8" t="e">
        <v>#VALUE!</v>
      </c>
      <c r="BW1168" s="58" t="e">
        <f>VLOOKUP(AQ1168,'[1]Harga &amp; Nama CSO'!$A$28:$D$31,4,0)*BQ1168</f>
        <v>#N/A</v>
      </c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44">
        <f>IFERROR(VLOOKUP(AQ1170,'[2]Harga &amp; Nama CSO'!$A$116:$S$136,19,FALSE),0)*AV1170</f>
        <v>0</v>
      </c>
      <c r="BO1169" s="55" t="e">
        <f>IFERROR(VLOOKUP(AQ1169,'[1]Harga &amp; Nama CSO'!$H$2:$N$22,2,FALSE),"")*AV1169</f>
        <v>#VALUE!</v>
      </c>
      <c r="BP1169" s="40"/>
      <c r="BQ1169" s="4"/>
      <c r="BR1169" s="61"/>
      <c r="BS1169" s="4"/>
      <c r="BT1169" s="57" t="e">
        <f t="shared" si="52"/>
        <v>#VALUE!</v>
      </c>
      <c r="BU1169" s="62"/>
      <c r="BV1169" s="8" t="e">
        <v>#VALUE!</v>
      </c>
      <c r="BW1169" s="58" t="e">
        <f>VLOOKUP(AQ1169,'[1]Harga &amp; Nama CSO'!$A$28:$D$31,4,0)*BQ1169</f>
        <v>#N/A</v>
      </c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44">
        <f>IFERROR(VLOOKUP(AQ1171,'[2]Harga &amp; Nama CSO'!$A$116:$S$136,19,FALSE),0)*AV1171</f>
        <v>0</v>
      </c>
      <c r="BO1170" s="55" t="e">
        <f>IFERROR(VLOOKUP(AQ1170,'[1]Harga &amp; Nama CSO'!$H$2:$N$22,2,FALSE),"")*AV1170</f>
        <v>#VALUE!</v>
      </c>
      <c r="BP1170" s="40"/>
      <c r="BQ1170" s="4"/>
      <c r="BR1170" s="61"/>
      <c r="BS1170" s="4"/>
      <c r="BT1170" s="57" t="e">
        <f t="shared" si="52"/>
        <v>#VALUE!</v>
      </c>
      <c r="BU1170" s="62"/>
      <c r="BV1170" s="8" t="e">
        <v>#VALUE!</v>
      </c>
      <c r="BW1170" s="58" t="e">
        <f>VLOOKUP(AQ1170,'[1]Harga &amp; Nama CSO'!$A$28:$D$31,4,0)*BQ1170</f>
        <v>#N/A</v>
      </c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44">
        <f>IFERROR(VLOOKUP(AQ1172,'[2]Harga &amp; Nama CSO'!$A$116:$S$136,19,FALSE),0)*AV1172</f>
        <v>0</v>
      </c>
      <c r="BO1171" s="55" t="e">
        <f>IFERROR(VLOOKUP(AQ1171,'[1]Harga &amp; Nama CSO'!$H$2:$N$22,2,FALSE),"")*AV1171</f>
        <v>#VALUE!</v>
      </c>
      <c r="BP1171" s="40"/>
      <c r="BQ1171" s="4"/>
      <c r="BR1171" s="61"/>
      <c r="BS1171" s="4"/>
      <c r="BT1171" s="57" t="e">
        <f t="shared" si="52"/>
        <v>#VALUE!</v>
      </c>
      <c r="BU1171" s="62"/>
      <c r="BV1171" s="8" t="e">
        <v>#VALUE!</v>
      </c>
      <c r="BW1171" s="58" t="e">
        <f>VLOOKUP(AQ1171,'[1]Harga &amp; Nama CSO'!$A$28:$D$31,4,0)*BQ1171</f>
        <v>#N/A</v>
      </c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44">
        <f>IFERROR(VLOOKUP(AQ1173,'[2]Harga &amp; Nama CSO'!$A$116:$S$136,19,FALSE),0)*AV1173</f>
        <v>0</v>
      </c>
      <c r="BO1172" s="55" t="e">
        <f>IFERROR(VLOOKUP(AQ1172,'[1]Harga &amp; Nama CSO'!$H$2:$N$22,2,FALSE),"")*AV1172</f>
        <v>#VALUE!</v>
      </c>
      <c r="BP1172" s="40"/>
      <c r="BQ1172" s="4"/>
      <c r="BR1172" s="61"/>
      <c r="BS1172" s="4"/>
      <c r="BT1172" s="57" t="e">
        <f t="shared" si="52"/>
        <v>#VALUE!</v>
      </c>
      <c r="BU1172" s="62"/>
      <c r="BV1172" s="8" t="e">
        <v>#VALUE!</v>
      </c>
      <c r="BW1172" s="58" t="e">
        <f>VLOOKUP(AQ1172,'[1]Harga &amp; Nama CSO'!$A$28:$D$31,4,0)*BQ1172</f>
        <v>#N/A</v>
      </c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44">
        <f>IFERROR(VLOOKUP(AQ1174,'[2]Harga &amp; Nama CSO'!$A$116:$S$136,19,FALSE),0)*AV1174</f>
        <v>0</v>
      </c>
      <c r="BO1173" s="55" t="e">
        <f>IFERROR(VLOOKUP(AQ1173,'[1]Harga &amp; Nama CSO'!$H$2:$N$22,2,FALSE),"")*AV1173</f>
        <v>#VALUE!</v>
      </c>
      <c r="BP1173" s="40"/>
      <c r="BQ1173" s="4"/>
      <c r="BR1173" s="61"/>
      <c r="BS1173" s="4"/>
      <c r="BT1173" s="57" t="e">
        <f t="shared" si="52"/>
        <v>#VALUE!</v>
      </c>
      <c r="BU1173" s="62"/>
      <c r="BV1173" s="8" t="e">
        <v>#VALUE!</v>
      </c>
      <c r="BW1173" s="58" t="e">
        <f>VLOOKUP(AQ1173,'[1]Harga &amp; Nama CSO'!$A$28:$D$31,4,0)*BQ1173</f>
        <v>#N/A</v>
      </c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44">
        <f>IFERROR(VLOOKUP(AQ1175,'[2]Harga &amp; Nama CSO'!$A$116:$S$136,19,FALSE),0)*AV1175</f>
        <v>0</v>
      </c>
      <c r="BO1174" s="55" t="e">
        <f>IFERROR(VLOOKUP(AQ1174,'[1]Harga &amp; Nama CSO'!$H$2:$N$22,2,FALSE),"")*AV1174</f>
        <v>#VALUE!</v>
      </c>
      <c r="BP1174" s="40"/>
      <c r="BQ1174" s="4"/>
      <c r="BR1174" s="61"/>
      <c r="BS1174" s="4"/>
      <c r="BT1174" s="57" t="e">
        <f t="shared" si="52"/>
        <v>#VALUE!</v>
      </c>
      <c r="BU1174" s="62"/>
      <c r="BV1174" s="8" t="e">
        <v>#VALUE!</v>
      </c>
      <c r="BW1174" s="58" t="e">
        <f>VLOOKUP(AQ1174,'[1]Harga &amp; Nama CSO'!$A$28:$D$31,4,0)*BQ1174</f>
        <v>#N/A</v>
      </c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44">
        <f>IFERROR(VLOOKUP(AQ1176,'[2]Harga &amp; Nama CSO'!$A$116:$S$136,19,FALSE),0)*AV1176</f>
        <v>0</v>
      </c>
      <c r="BO1175" s="55" t="e">
        <f>IFERROR(VLOOKUP(AQ1175,'[1]Harga &amp; Nama CSO'!$H$2:$N$22,2,FALSE),"")*AV1175</f>
        <v>#VALUE!</v>
      </c>
      <c r="BP1175" s="40"/>
      <c r="BQ1175" s="4"/>
      <c r="BR1175" s="61"/>
      <c r="BS1175" s="4"/>
      <c r="BT1175" s="57" t="e">
        <f t="shared" si="52"/>
        <v>#VALUE!</v>
      </c>
      <c r="BU1175" s="62"/>
      <c r="BV1175" s="8" t="e">
        <v>#VALUE!</v>
      </c>
      <c r="BW1175" s="58" t="e">
        <f>VLOOKUP(AQ1175,'[1]Harga &amp; Nama CSO'!$A$28:$D$31,4,0)*BQ1175</f>
        <v>#N/A</v>
      </c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44">
        <f>IFERROR(VLOOKUP(AQ1177,'[2]Harga &amp; Nama CSO'!$A$116:$S$136,19,FALSE),0)*AV1177</f>
        <v>0</v>
      </c>
      <c r="BO1176" s="55" t="e">
        <f>IFERROR(VLOOKUP(AQ1176,'[1]Harga &amp; Nama CSO'!$H$2:$N$22,2,FALSE),"")*AV1176</f>
        <v>#VALUE!</v>
      </c>
      <c r="BP1176" s="40"/>
      <c r="BQ1176" s="4"/>
      <c r="BR1176" s="61"/>
      <c r="BS1176" s="4"/>
      <c r="BT1176" s="57" t="e">
        <f t="shared" si="52"/>
        <v>#VALUE!</v>
      </c>
      <c r="BU1176" s="62"/>
      <c r="BV1176" s="8" t="e">
        <v>#VALUE!</v>
      </c>
      <c r="BW1176" s="58" t="e">
        <f>VLOOKUP(AQ1176,'[1]Harga &amp; Nama CSO'!$A$28:$D$31,4,0)*BQ1176</f>
        <v>#N/A</v>
      </c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44">
        <f>IFERROR(VLOOKUP(AQ1178,'[2]Harga &amp; Nama CSO'!$A$116:$S$136,19,FALSE),0)*AV1178</f>
        <v>0</v>
      </c>
      <c r="BO1177" s="55" t="e">
        <f>IFERROR(VLOOKUP(AQ1177,'[1]Harga &amp; Nama CSO'!$H$2:$N$22,2,FALSE),"")*AV1177</f>
        <v>#VALUE!</v>
      </c>
      <c r="BP1177" s="40"/>
      <c r="BQ1177" s="4"/>
      <c r="BR1177" s="61"/>
      <c r="BS1177" s="4"/>
      <c r="BT1177" s="57" t="e">
        <f t="shared" si="52"/>
        <v>#VALUE!</v>
      </c>
      <c r="BU1177" s="62"/>
      <c r="BV1177" s="8" t="e">
        <v>#VALUE!</v>
      </c>
      <c r="BW1177" s="58" t="e">
        <f>VLOOKUP(AQ1177,'[1]Harga &amp; Nama CSO'!$A$28:$D$31,4,0)*BQ1177</f>
        <v>#N/A</v>
      </c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44">
        <f>IFERROR(VLOOKUP(AQ1179,'[2]Harga &amp; Nama CSO'!$A$116:$S$136,19,FALSE),0)*AV1179</f>
        <v>0</v>
      </c>
      <c r="BO1178" s="55" t="e">
        <f>IFERROR(VLOOKUP(AQ1178,'[1]Harga &amp; Nama CSO'!$H$2:$N$22,2,FALSE),"")*AV1178</f>
        <v>#VALUE!</v>
      </c>
      <c r="BP1178" s="40"/>
      <c r="BQ1178" s="4"/>
      <c r="BR1178" s="61"/>
      <c r="BS1178" s="4"/>
      <c r="BT1178" s="57" t="e">
        <f t="shared" si="52"/>
        <v>#VALUE!</v>
      </c>
      <c r="BU1178" s="62"/>
      <c r="BV1178" s="8" t="e">
        <v>#VALUE!</v>
      </c>
      <c r="BW1178" s="58" t="e">
        <f>VLOOKUP(AQ1178,'[1]Harga &amp; Nama CSO'!$A$28:$D$31,4,0)*BQ1178</f>
        <v>#N/A</v>
      </c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44">
        <f>IFERROR(VLOOKUP(AQ1180,'[2]Harga &amp; Nama CSO'!$A$116:$S$136,19,FALSE),0)*AV1180</f>
        <v>0</v>
      </c>
      <c r="BO1179" s="55" t="e">
        <f>IFERROR(VLOOKUP(AQ1179,'[1]Harga &amp; Nama CSO'!$H$2:$N$22,2,FALSE),"")*AV1179</f>
        <v>#VALUE!</v>
      </c>
      <c r="BP1179" s="40"/>
      <c r="BQ1179" s="4"/>
      <c r="BR1179" s="61"/>
      <c r="BS1179" s="4"/>
      <c r="BT1179" s="57" t="e">
        <f t="shared" si="52"/>
        <v>#VALUE!</v>
      </c>
      <c r="BU1179" s="62"/>
      <c r="BV1179" s="8" t="e">
        <v>#VALUE!</v>
      </c>
      <c r="BW1179" s="58" t="e">
        <f>VLOOKUP(AQ1179,'[1]Harga &amp; Nama CSO'!$A$28:$D$31,4,0)*BQ1179</f>
        <v>#N/A</v>
      </c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44">
        <f>IFERROR(VLOOKUP(AQ1181,'[2]Harga &amp; Nama CSO'!$A$116:$S$136,19,FALSE),0)*AV1181</f>
        <v>0</v>
      </c>
      <c r="BO1180" s="55" t="e">
        <f>IFERROR(VLOOKUP(AQ1180,'[1]Harga &amp; Nama CSO'!$H$2:$N$22,2,FALSE),"")*AV1180</f>
        <v>#VALUE!</v>
      </c>
      <c r="BP1180" s="40"/>
      <c r="BQ1180" s="4"/>
      <c r="BR1180" s="61"/>
      <c r="BS1180" s="4"/>
      <c r="BT1180" s="57" t="e">
        <f t="shared" si="52"/>
        <v>#VALUE!</v>
      </c>
      <c r="BU1180" s="62"/>
      <c r="BV1180" s="8" t="e">
        <v>#VALUE!</v>
      </c>
      <c r="BW1180" s="58" t="e">
        <f>VLOOKUP(AQ1180,'[1]Harga &amp; Nama CSO'!$A$28:$D$31,4,0)*BQ1180</f>
        <v>#N/A</v>
      </c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44">
        <f>IFERROR(VLOOKUP(AQ1182,'[2]Harga &amp; Nama CSO'!$A$116:$S$136,19,FALSE),0)*AV1182</f>
        <v>0</v>
      </c>
      <c r="BO1181" s="55" t="e">
        <f>IFERROR(VLOOKUP(AQ1181,'[1]Harga &amp; Nama CSO'!$H$2:$N$22,2,FALSE),"")*AV1181</f>
        <v>#VALUE!</v>
      </c>
      <c r="BP1181" s="40"/>
      <c r="BQ1181" s="4"/>
      <c r="BR1181" s="61"/>
      <c r="BS1181" s="4"/>
      <c r="BT1181" s="57" t="e">
        <f t="shared" si="52"/>
        <v>#VALUE!</v>
      </c>
      <c r="BU1181" s="62"/>
      <c r="BV1181" s="8" t="e">
        <v>#VALUE!</v>
      </c>
      <c r="BW1181" s="58" t="e">
        <f>VLOOKUP(AQ1181,'[1]Harga &amp; Nama CSO'!$A$28:$D$31,4,0)*BQ1181</f>
        <v>#N/A</v>
      </c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44">
        <f>IFERROR(VLOOKUP(AQ1183,'[2]Harga &amp; Nama CSO'!$A$116:$S$136,19,FALSE),0)*AV1183</f>
        <v>0</v>
      </c>
      <c r="BO1182" s="55" t="e">
        <f>IFERROR(VLOOKUP(AQ1182,'[1]Harga &amp; Nama CSO'!$H$2:$N$22,2,FALSE),"")*AV1182</f>
        <v>#VALUE!</v>
      </c>
      <c r="BP1182" s="40"/>
      <c r="BQ1182" s="4"/>
      <c r="BR1182" s="61"/>
      <c r="BS1182" s="4"/>
      <c r="BT1182" s="57" t="e">
        <f t="shared" si="52"/>
        <v>#VALUE!</v>
      </c>
      <c r="BU1182" s="62"/>
      <c r="BV1182" s="8" t="e">
        <v>#VALUE!</v>
      </c>
      <c r="BW1182" s="58" t="e">
        <f>VLOOKUP(AQ1182,'[1]Harga &amp; Nama CSO'!$A$28:$D$31,4,0)*BQ1182</f>
        <v>#N/A</v>
      </c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44">
        <f>IFERROR(VLOOKUP(AQ1184,'[2]Harga &amp; Nama CSO'!$A$116:$S$136,19,FALSE),0)*AV1184</f>
        <v>0</v>
      </c>
      <c r="BO1183" s="55" t="e">
        <f>IFERROR(VLOOKUP(AQ1183,'[1]Harga &amp; Nama CSO'!$H$2:$N$22,2,FALSE),"")*AV1183</f>
        <v>#VALUE!</v>
      </c>
      <c r="BP1183" s="40"/>
      <c r="BQ1183" s="4"/>
      <c r="BR1183" s="61"/>
      <c r="BS1183" s="4"/>
      <c r="BT1183" s="57" t="e">
        <f t="shared" si="52"/>
        <v>#VALUE!</v>
      </c>
      <c r="BU1183" s="62"/>
      <c r="BV1183" s="8" t="e">
        <v>#VALUE!</v>
      </c>
      <c r="BW1183" s="58" t="e">
        <f>VLOOKUP(AQ1183,'[1]Harga &amp; Nama CSO'!$A$28:$D$31,4,0)*BQ1183</f>
        <v>#N/A</v>
      </c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44">
        <f>IFERROR(VLOOKUP(AQ1185,'[2]Harga &amp; Nama CSO'!$A$116:$S$136,19,FALSE),0)*AV1185</f>
        <v>0</v>
      </c>
      <c r="BO1184" s="55" t="e">
        <f>IFERROR(VLOOKUP(AQ1184,'[1]Harga &amp; Nama CSO'!$H$2:$N$22,2,FALSE),"")*AV1184</f>
        <v>#VALUE!</v>
      </c>
      <c r="BP1184" s="40"/>
      <c r="BQ1184" s="4"/>
      <c r="BR1184" s="61"/>
      <c r="BS1184" s="4"/>
      <c r="BT1184" s="57" t="e">
        <f t="shared" si="52"/>
        <v>#VALUE!</v>
      </c>
      <c r="BU1184" s="62"/>
      <c r="BV1184" s="8" t="e">
        <v>#VALUE!</v>
      </c>
      <c r="BW1184" s="58" t="e">
        <f>VLOOKUP(AQ1184,'[1]Harga &amp; Nama CSO'!$A$28:$D$31,4,0)*BQ1184</f>
        <v>#N/A</v>
      </c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44">
        <f>IFERROR(VLOOKUP(AQ1186,'[2]Harga &amp; Nama CSO'!$A$116:$S$136,19,FALSE),0)*AV1186</f>
        <v>0</v>
      </c>
      <c r="BO1185" s="55" t="e">
        <f>IFERROR(VLOOKUP(AQ1185,'[1]Harga &amp; Nama CSO'!$H$2:$N$22,2,FALSE),"")*AV1185</f>
        <v>#VALUE!</v>
      </c>
      <c r="BP1185" s="40"/>
      <c r="BQ1185" s="4"/>
      <c r="BR1185" s="61"/>
      <c r="BS1185" s="4"/>
      <c r="BT1185" s="57" t="e">
        <f t="shared" si="52"/>
        <v>#VALUE!</v>
      </c>
      <c r="BU1185" s="62"/>
      <c r="BV1185" s="8" t="e">
        <v>#VALUE!</v>
      </c>
      <c r="BW1185" s="58" t="e">
        <f>VLOOKUP(AQ1185,'[1]Harga &amp; Nama CSO'!$A$28:$D$31,4,0)*BQ1185</f>
        <v>#N/A</v>
      </c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44">
        <f>IFERROR(VLOOKUP(AQ1187,'[2]Harga &amp; Nama CSO'!$A$116:$S$136,19,FALSE),0)*AV1187</f>
        <v>0</v>
      </c>
      <c r="BO1186" s="55" t="e">
        <f>IFERROR(VLOOKUP(AQ1186,'[1]Harga &amp; Nama CSO'!$H$2:$N$22,2,FALSE),"")*AV1186</f>
        <v>#VALUE!</v>
      </c>
      <c r="BP1186" s="40"/>
      <c r="BQ1186" s="4"/>
      <c r="BR1186" s="61"/>
      <c r="BS1186" s="4"/>
      <c r="BT1186" s="57" t="e">
        <f t="shared" si="52"/>
        <v>#VALUE!</v>
      </c>
      <c r="BU1186" s="62"/>
      <c r="BV1186" s="8" t="e">
        <v>#VALUE!</v>
      </c>
      <c r="BW1186" s="58" t="e">
        <f>VLOOKUP(AQ1186,'[1]Harga &amp; Nama CSO'!$A$28:$D$31,4,0)*BQ1186</f>
        <v>#N/A</v>
      </c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44">
        <f>IFERROR(VLOOKUP(AQ1188,'[2]Harga &amp; Nama CSO'!$A$116:$S$136,19,FALSE),0)*AV1188</f>
        <v>0</v>
      </c>
      <c r="BO1187" s="55" t="e">
        <f>IFERROR(VLOOKUP(AQ1187,'[1]Harga &amp; Nama CSO'!$H$2:$N$22,2,FALSE),"")*AV1187</f>
        <v>#VALUE!</v>
      </c>
      <c r="BP1187" s="40"/>
      <c r="BQ1187" s="4"/>
      <c r="BR1187" s="61"/>
      <c r="BS1187" s="4"/>
      <c r="BT1187" s="57" t="e">
        <f t="shared" si="52"/>
        <v>#VALUE!</v>
      </c>
      <c r="BU1187" s="62"/>
      <c r="BV1187" s="8" t="e">
        <v>#VALUE!</v>
      </c>
      <c r="BW1187" s="58" t="e">
        <f>VLOOKUP(AQ1187,'[1]Harga &amp; Nama CSO'!$A$28:$D$31,4,0)*BQ1187</f>
        <v>#N/A</v>
      </c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44">
        <f>IFERROR(VLOOKUP(AQ1189,'[2]Harga &amp; Nama CSO'!$A$116:$S$136,19,FALSE),0)*AV1189</f>
        <v>0</v>
      </c>
      <c r="BO1188" s="55" t="e">
        <f>IFERROR(VLOOKUP(AQ1188,'[1]Harga &amp; Nama CSO'!$H$2:$N$22,2,FALSE),"")*AV1188</f>
        <v>#VALUE!</v>
      </c>
      <c r="BP1188" s="40"/>
      <c r="BQ1188" s="4"/>
      <c r="BR1188" s="61"/>
      <c r="BS1188" s="4"/>
      <c r="BT1188" s="57" t="e">
        <f t="shared" si="52"/>
        <v>#VALUE!</v>
      </c>
      <c r="BU1188" s="62"/>
      <c r="BV1188" s="8" t="e">
        <v>#VALUE!</v>
      </c>
      <c r="BW1188" s="58" t="e">
        <f>VLOOKUP(AQ1188,'[1]Harga &amp; Nama CSO'!$A$28:$D$31,4,0)*BQ1188</f>
        <v>#N/A</v>
      </c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44">
        <f>IFERROR(VLOOKUP(AQ1190,'[2]Harga &amp; Nama CSO'!$A$116:$S$136,19,FALSE),0)*AV1190</f>
        <v>0</v>
      </c>
      <c r="BO1189" s="55" t="e">
        <f>IFERROR(VLOOKUP(AQ1189,'[1]Harga &amp; Nama CSO'!$H$2:$N$22,2,FALSE),"")*AV1189</f>
        <v>#VALUE!</v>
      </c>
      <c r="BP1189" s="40"/>
      <c r="BQ1189" s="4"/>
      <c r="BR1189" s="61"/>
      <c r="BS1189" s="4"/>
      <c r="BT1189" s="57" t="e">
        <f t="shared" si="52"/>
        <v>#VALUE!</v>
      </c>
      <c r="BU1189" s="62"/>
      <c r="BV1189" s="8" t="e">
        <v>#VALUE!</v>
      </c>
      <c r="BW1189" s="58" t="e">
        <f>VLOOKUP(AQ1189,'[1]Harga &amp; Nama CSO'!$A$28:$D$31,4,0)*BQ1189</f>
        <v>#N/A</v>
      </c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44">
        <f>IFERROR(VLOOKUP(AQ1191,'[2]Harga &amp; Nama CSO'!$A$116:$S$136,19,FALSE),0)*AV1191</f>
        <v>0</v>
      </c>
      <c r="BO1190" s="55" t="e">
        <f>IFERROR(VLOOKUP(AQ1190,'[1]Harga &amp; Nama CSO'!$H$2:$N$22,2,FALSE),"")*AV1190</f>
        <v>#VALUE!</v>
      </c>
      <c r="BP1190" s="40"/>
      <c r="BQ1190" s="4"/>
      <c r="BR1190" s="61"/>
      <c r="BS1190" s="4"/>
      <c r="BT1190" s="57" t="e">
        <f t="shared" si="52"/>
        <v>#VALUE!</v>
      </c>
      <c r="BU1190" s="62"/>
      <c r="BV1190" s="8" t="e">
        <v>#VALUE!</v>
      </c>
      <c r="BW1190" s="58" t="e">
        <f>VLOOKUP(AQ1190,'[1]Harga &amp; Nama CSO'!$A$28:$D$31,4,0)*BQ1190</f>
        <v>#N/A</v>
      </c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44">
        <f>IFERROR(VLOOKUP(AQ1192,'[2]Harga &amp; Nama CSO'!$A$116:$S$136,19,FALSE),0)*AV1192</f>
        <v>0</v>
      </c>
      <c r="BO1191" s="55" t="e">
        <f>IFERROR(VLOOKUP(AQ1191,'[1]Harga &amp; Nama CSO'!$H$2:$N$22,2,FALSE),"")*AV1191</f>
        <v>#VALUE!</v>
      </c>
      <c r="BP1191" s="40"/>
      <c r="BQ1191" s="4"/>
      <c r="BR1191" s="61"/>
      <c r="BS1191" s="4"/>
      <c r="BT1191" s="57" t="e">
        <f t="shared" si="52"/>
        <v>#VALUE!</v>
      </c>
      <c r="BU1191" s="62"/>
      <c r="BV1191" s="8" t="e">
        <v>#VALUE!</v>
      </c>
      <c r="BW1191" s="58" t="e">
        <f>VLOOKUP(AQ1191,'[1]Harga &amp; Nama CSO'!$A$28:$D$31,4,0)*BQ1191</f>
        <v>#N/A</v>
      </c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44">
        <f>IFERROR(VLOOKUP(AQ1193,'[2]Harga &amp; Nama CSO'!$A$116:$S$136,19,FALSE),0)*AV1193</f>
        <v>0</v>
      </c>
      <c r="BO1192" s="55" t="e">
        <f>IFERROR(VLOOKUP(AQ1192,'[1]Harga &amp; Nama CSO'!$H$2:$N$22,2,FALSE),"")*AV1192</f>
        <v>#VALUE!</v>
      </c>
      <c r="BP1192" s="40"/>
      <c r="BQ1192" s="4"/>
      <c r="BR1192" s="61"/>
      <c r="BS1192" s="4"/>
      <c r="BT1192" s="57" t="e">
        <f t="shared" si="52"/>
        <v>#VALUE!</v>
      </c>
      <c r="BU1192" s="62"/>
      <c r="BV1192" s="8" t="e">
        <v>#VALUE!</v>
      </c>
      <c r="BW1192" s="58" t="e">
        <f>VLOOKUP(AQ1192,'[1]Harga &amp; Nama CSO'!$A$28:$D$31,4,0)*BQ1192</f>
        <v>#N/A</v>
      </c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44">
        <f>IFERROR(VLOOKUP(AQ1194,'[2]Harga &amp; Nama CSO'!$A$116:$S$136,19,FALSE),0)*AV1194</f>
        <v>0</v>
      </c>
      <c r="BO1193" s="55" t="e">
        <f>IFERROR(VLOOKUP(AQ1193,'[1]Harga &amp; Nama CSO'!$H$2:$N$22,2,FALSE),"")*AV1193</f>
        <v>#VALUE!</v>
      </c>
      <c r="BP1193" s="40"/>
      <c r="BQ1193" s="4"/>
      <c r="BR1193" s="61"/>
      <c r="BS1193" s="4"/>
      <c r="BT1193" s="57" t="e">
        <f t="shared" si="52"/>
        <v>#VALUE!</v>
      </c>
      <c r="BU1193" s="62"/>
      <c r="BV1193" s="8" t="e">
        <v>#VALUE!</v>
      </c>
      <c r="BW1193" s="58" t="e">
        <f>VLOOKUP(AQ1193,'[1]Harga &amp; Nama CSO'!$A$28:$D$31,4,0)*BQ1193</f>
        <v>#N/A</v>
      </c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44">
        <f>IFERROR(VLOOKUP(AQ1195,'[2]Harga &amp; Nama CSO'!$A$116:$S$136,19,FALSE),0)*AV1195</f>
        <v>0</v>
      </c>
      <c r="BO1194" s="55" t="e">
        <f>IFERROR(VLOOKUP(AQ1194,'[1]Harga &amp; Nama CSO'!$H$2:$N$22,2,FALSE),"")*AV1194</f>
        <v>#VALUE!</v>
      </c>
      <c r="BP1194" s="40"/>
      <c r="BQ1194" s="4"/>
      <c r="BR1194" s="61"/>
      <c r="BS1194" s="4"/>
      <c r="BT1194" s="57" t="e">
        <f t="shared" si="52"/>
        <v>#VALUE!</v>
      </c>
      <c r="BU1194" s="62"/>
      <c r="BV1194" s="8" t="e">
        <v>#VALUE!</v>
      </c>
      <c r="BW1194" s="58" t="e">
        <f>VLOOKUP(AQ1194,'[1]Harga &amp; Nama CSO'!$A$28:$D$31,4,0)*BQ1194</f>
        <v>#N/A</v>
      </c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44">
        <f>IFERROR(VLOOKUP(AQ1196,'[2]Harga &amp; Nama CSO'!$A$116:$S$136,19,FALSE),0)*AV1196</f>
        <v>0</v>
      </c>
      <c r="BO1195" s="55" t="e">
        <f>IFERROR(VLOOKUP(AQ1195,'[1]Harga &amp; Nama CSO'!$H$2:$N$22,2,FALSE),"")*AV1195</f>
        <v>#VALUE!</v>
      </c>
      <c r="BP1195" s="40"/>
      <c r="BQ1195" s="4"/>
      <c r="BR1195" s="61"/>
      <c r="BS1195" s="4"/>
      <c r="BT1195" s="57" t="e">
        <f t="shared" si="52"/>
        <v>#VALUE!</v>
      </c>
      <c r="BU1195" s="62"/>
      <c r="BV1195" s="8" t="e">
        <v>#VALUE!</v>
      </c>
      <c r="BW1195" s="58" t="e">
        <f>VLOOKUP(AQ1195,'[1]Harga &amp; Nama CSO'!$A$28:$D$31,4,0)*BQ1195</f>
        <v>#N/A</v>
      </c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44">
        <f>IFERROR(VLOOKUP(AQ1197,'[2]Harga &amp; Nama CSO'!$A$116:$S$136,19,FALSE),0)*AV1197</f>
        <v>0</v>
      </c>
      <c r="BO1196" s="55" t="e">
        <f>IFERROR(VLOOKUP(AQ1196,'[1]Harga &amp; Nama CSO'!$H$2:$N$22,2,FALSE),"")*AV1196</f>
        <v>#VALUE!</v>
      </c>
      <c r="BP1196" s="40"/>
      <c r="BQ1196" s="4"/>
      <c r="BR1196" s="61"/>
      <c r="BS1196" s="4"/>
      <c r="BT1196" s="57" t="e">
        <f t="shared" si="52"/>
        <v>#VALUE!</v>
      </c>
      <c r="BU1196" s="62"/>
      <c r="BV1196" s="8" t="e">
        <v>#VALUE!</v>
      </c>
      <c r="BW1196" s="58" t="e">
        <f>VLOOKUP(AQ1196,'[1]Harga &amp; Nama CSO'!$A$28:$D$31,4,0)*BQ1196</f>
        <v>#N/A</v>
      </c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44">
        <f>IFERROR(VLOOKUP(AQ1198,'[2]Harga &amp; Nama CSO'!$A$116:$S$136,19,FALSE),0)*AV1198</f>
        <v>0</v>
      </c>
      <c r="BO1197" s="55" t="e">
        <f>IFERROR(VLOOKUP(AQ1197,'[1]Harga &amp; Nama CSO'!$H$2:$N$22,2,FALSE),"")*AV1197</f>
        <v>#VALUE!</v>
      </c>
      <c r="BP1197" s="40"/>
      <c r="BQ1197" s="4"/>
      <c r="BR1197" s="61"/>
      <c r="BS1197" s="4"/>
      <c r="BT1197" s="57" t="e">
        <f t="shared" si="52"/>
        <v>#VALUE!</v>
      </c>
      <c r="BU1197" s="62"/>
      <c r="BV1197" s="8" t="e">
        <v>#VALUE!</v>
      </c>
      <c r="BW1197" s="58" t="e">
        <f>VLOOKUP(AQ1197,'[1]Harga &amp; Nama CSO'!$A$28:$D$31,4,0)*BQ1197</f>
        <v>#N/A</v>
      </c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44">
        <f>IFERROR(VLOOKUP(AQ1199,'[2]Harga &amp; Nama CSO'!$A$116:$S$136,19,FALSE),0)*AV1199</f>
        <v>0</v>
      </c>
      <c r="BO1198" s="55" t="e">
        <f>IFERROR(VLOOKUP(AQ1198,'[1]Harga &amp; Nama CSO'!$H$2:$N$22,2,FALSE),"")*AV1198</f>
        <v>#VALUE!</v>
      </c>
      <c r="BP1198" s="40"/>
      <c r="BQ1198" s="4"/>
      <c r="BR1198" s="61"/>
      <c r="BS1198" s="4"/>
      <c r="BT1198" s="57" t="e">
        <f t="shared" si="52"/>
        <v>#VALUE!</v>
      </c>
      <c r="BU1198" s="62"/>
      <c r="BV1198" s="8" t="e">
        <v>#VALUE!</v>
      </c>
      <c r="BW1198" s="58" t="e">
        <f>VLOOKUP(AQ1198,'[1]Harga &amp; Nama CSO'!$A$28:$D$31,4,0)*BQ1198</f>
        <v>#N/A</v>
      </c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44">
        <f>IFERROR(VLOOKUP(AQ1200,'[2]Harga &amp; Nama CSO'!$A$116:$S$136,19,FALSE),0)*AV1200</f>
        <v>0</v>
      </c>
      <c r="BO1199" s="55" t="e">
        <f>IFERROR(VLOOKUP(AQ1199,'[1]Harga &amp; Nama CSO'!$H$2:$N$22,2,FALSE),"")*AV1199</f>
        <v>#VALUE!</v>
      </c>
      <c r="BP1199" s="40"/>
      <c r="BQ1199" s="4"/>
      <c r="BR1199" s="61"/>
      <c r="BS1199" s="4"/>
      <c r="BT1199" s="57" t="e">
        <f t="shared" si="52"/>
        <v>#VALUE!</v>
      </c>
      <c r="BU1199" s="62"/>
      <c r="BV1199" s="8" t="e">
        <v>#VALUE!</v>
      </c>
      <c r="BW1199" s="58" t="e">
        <f>VLOOKUP(AQ1199,'[1]Harga &amp; Nama CSO'!$A$28:$D$31,4,0)*BQ1199</f>
        <v>#N/A</v>
      </c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44">
        <f>IFERROR(VLOOKUP(AQ1201,'[2]Harga &amp; Nama CSO'!$A$116:$S$136,19,FALSE),0)*AV1201</f>
        <v>0</v>
      </c>
      <c r="BO1200" s="55" t="e">
        <f>IFERROR(VLOOKUP(AQ1200,'[1]Harga &amp; Nama CSO'!$H$2:$N$22,2,FALSE),"")*AV1200</f>
        <v>#VALUE!</v>
      </c>
      <c r="BP1200" s="40"/>
      <c r="BQ1200" s="4"/>
      <c r="BR1200" s="61"/>
      <c r="BS1200" s="4"/>
      <c r="BT1200" s="57" t="e">
        <f t="shared" si="52"/>
        <v>#VALUE!</v>
      </c>
      <c r="BU1200" s="62"/>
      <c r="BV1200" s="8" t="e">
        <v>#VALUE!</v>
      </c>
      <c r="BW1200" s="58" t="e">
        <f>VLOOKUP(AQ1200,'[1]Harga &amp; Nama CSO'!$A$28:$D$31,4,0)*BQ1200</f>
        <v>#N/A</v>
      </c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44">
        <f>IFERROR(VLOOKUP(AQ1202,'[2]Harga &amp; Nama CSO'!$A$116:$S$136,19,FALSE),0)*AV1202</f>
        <v>0</v>
      </c>
      <c r="BO1201" s="55" t="e">
        <f>IFERROR(VLOOKUP(AQ1201,'[1]Harga &amp; Nama CSO'!$H$2:$N$22,2,FALSE),"")*AV1201</f>
        <v>#VALUE!</v>
      </c>
      <c r="BP1201" s="40"/>
      <c r="BQ1201" s="4"/>
      <c r="BR1201" s="61"/>
      <c r="BS1201" s="4"/>
      <c r="BT1201" s="57" t="e">
        <f t="shared" si="52"/>
        <v>#VALUE!</v>
      </c>
      <c r="BU1201" s="62"/>
      <c r="BV1201" s="8" t="e">
        <v>#VALUE!</v>
      </c>
      <c r="BW1201" s="58" t="e">
        <f>VLOOKUP(AQ1201,'[1]Harga &amp; Nama CSO'!$A$28:$D$31,4,0)*BQ1201</f>
        <v>#N/A</v>
      </c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44">
        <f>IFERROR(VLOOKUP(AQ1203,'[2]Harga &amp; Nama CSO'!$A$116:$S$136,19,FALSE),0)*AV1203</f>
        <v>0</v>
      </c>
      <c r="BO1202" s="55" t="e">
        <f>IFERROR(VLOOKUP(AQ1202,'[1]Harga &amp; Nama CSO'!$H$2:$N$22,2,FALSE),"")*AV1202</f>
        <v>#VALUE!</v>
      </c>
      <c r="BP1202" s="40"/>
      <c r="BQ1202" s="4"/>
      <c r="BR1202" s="61"/>
      <c r="BS1202" s="4"/>
      <c r="BT1202" s="57" t="e">
        <f t="shared" si="52"/>
        <v>#VALUE!</v>
      </c>
      <c r="BU1202" s="62"/>
      <c r="BV1202" s="8" t="e">
        <v>#VALUE!</v>
      </c>
      <c r="BW1202" s="58" t="e">
        <f>VLOOKUP(AQ1202,'[1]Harga &amp; Nama CSO'!$A$28:$D$31,4,0)*BQ1202</f>
        <v>#N/A</v>
      </c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44">
        <f>IFERROR(VLOOKUP(AQ1204,'[2]Harga &amp; Nama CSO'!$A$116:$S$136,19,FALSE),0)*AV1204</f>
        <v>0</v>
      </c>
      <c r="BO1203" s="55" t="e">
        <f>IFERROR(VLOOKUP(AQ1203,'[1]Harga &amp; Nama CSO'!$H$2:$N$22,2,FALSE),"")*AV1203</f>
        <v>#VALUE!</v>
      </c>
      <c r="BP1203" s="40"/>
      <c r="BQ1203" s="4"/>
      <c r="BR1203" s="61"/>
      <c r="BS1203" s="4"/>
      <c r="BT1203" s="57" t="e">
        <f t="shared" si="52"/>
        <v>#VALUE!</v>
      </c>
      <c r="BU1203" s="62"/>
      <c r="BV1203" s="8" t="e">
        <v>#VALUE!</v>
      </c>
      <c r="BW1203" s="58" t="e">
        <f>VLOOKUP(AQ1203,'[1]Harga &amp; Nama CSO'!$A$28:$D$31,4,0)*BQ1203</f>
        <v>#N/A</v>
      </c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44">
        <f>IFERROR(VLOOKUP(AQ1205,'[2]Harga &amp; Nama CSO'!$A$116:$S$136,19,FALSE),0)*AV1205</f>
        <v>0</v>
      </c>
      <c r="BO1204" s="55" t="e">
        <f>IFERROR(VLOOKUP(AQ1204,'[1]Harga &amp; Nama CSO'!$H$2:$N$22,2,FALSE),"")*AV1204</f>
        <v>#VALUE!</v>
      </c>
      <c r="BP1204" s="40"/>
      <c r="BQ1204" s="4"/>
      <c r="BR1204" s="61"/>
      <c r="BS1204" s="4"/>
      <c r="BT1204" s="57" t="e">
        <f t="shared" si="52"/>
        <v>#VALUE!</v>
      </c>
      <c r="BU1204" s="62"/>
      <c r="BV1204" s="8" t="e">
        <v>#VALUE!</v>
      </c>
      <c r="BW1204" s="58" t="e">
        <f>VLOOKUP(AQ1204,'[1]Harga &amp; Nama CSO'!$A$28:$D$31,4,0)*BQ1204</f>
        <v>#N/A</v>
      </c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44">
        <f>IFERROR(VLOOKUP(AQ1206,'[2]Harga &amp; Nama CSO'!$A$116:$S$136,19,FALSE),0)*AV1206</f>
        <v>0</v>
      </c>
      <c r="BO1205" s="55" t="e">
        <f>IFERROR(VLOOKUP(AQ1205,'[1]Harga &amp; Nama CSO'!$H$2:$N$22,2,FALSE),"")*AV1205</f>
        <v>#VALUE!</v>
      </c>
      <c r="BP1205" s="40"/>
      <c r="BQ1205" s="4"/>
      <c r="BR1205" s="61"/>
      <c r="BS1205" s="4"/>
      <c r="BT1205" s="57" t="e">
        <f t="shared" si="52"/>
        <v>#VALUE!</v>
      </c>
      <c r="BU1205" s="62"/>
      <c r="BV1205" s="8" t="e">
        <v>#VALUE!</v>
      </c>
      <c r="BW1205" s="58" t="e">
        <f>VLOOKUP(AQ1205,'[1]Harga &amp; Nama CSO'!$A$28:$D$31,4,0)*BQ1205</f>
        <v>#N/A</v>
      </c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44">
        <f>IFERROR(VLOOKUP(AQ1207,'[2]Harga &amp; Nama CSO'!$A$116:$S$136,19,FALSE),0)*AV1207</f>
        <v>0</v>
      </c>
      <c r="BO1206" s="55" t="e">
        <f>IFERROR(VLOOKUP(AQ1206,'[1]Harga &amp; Nama CSO'!$H$2:$N$22,2,FALSE),"")*AV1206</f>
        <v>#VALUE!</v>
      </c>
      <c r="BP1206" s="40"/>
      <c r="BQ1206" s="4"/>
      <c r="BR1206" s="61"/>
      <c r="BS1206" s="4"/>
      <c r="BT1206" s="57" t="e">
        <f t="shared" si="52"/>
        <v>#VALUE!</v>
      </c>
      <c r="BU1206" s="62"/>
      <c r="BV1206" s="8" t="e">
        <v>#VALUE!</v>
      </c>
      <c r="BW1206" s="58" t="e">
        <f>VLOOKUP(AQ1206,'[1]Harga &amp; Nama CSO'!$A$28:$D$31,4,0)*BQ1206</f>
        <v>#N/A</v>
      </c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44">
        <f>IFERROR(VLOOKUP(AQ1208,'[2]Harga &amp; Nama CSO'!$A$116:$S$136,19,FALSE),0)*AV1208</f>
        <v>0</v>
      </c>
      <c r="BO1207" s="55" t="e">
        <f>IFERROR(VLOOKUP(AQ1207,'[1]Harga &amp; Nama CSO'!$H$2:$N$22,2,FALSE),"")*AV1207</f>
        <v>#VALUE!</v>
      </c>
      <c r="BP1207" s="40"/>
      <c r="BQ1207" s="4"/>
      <c r="BR1207" s="61"/>
      <c r="BS1207" s="4"/>
      <c r="BT1207" s="57" t="e">
        <f t="shared" si="52"/>
        <v>#VALUE!</v>
      </c>
      <c r="BU1207" s="62"/>
      <c r="BV1207" s="8" t="e">
        <v>#VALUE!</v>
      </c>
      <c r="BW1207" s="58" t="e">
        <f>VLOOKUP(AQ1207,'[1]Harga &amp; Nama CSO'!$A$28:$D$31,4,0)*BQ1207</f>
        <v>#N/A</v>
      </c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44">
        <f>IFERROR(VLOOKUP(AQ1209,'[2]Harga &amp; Nama CSO'!$A$116:$S$136,19,FALSE),0)*AV1209</f>
        <v>0</v>
      </c>
      <c r="BO1208" s="55" t="e">
        <f>IFERROR(VLOOKUP(AQ1208,'[1]Harga &amp; Nama CSO'!$H$2:$N$22,2,FALSE),"")*AV1208</f>
        <v>#VALUE!</v>
      </c>
      <c r="BP1208" s="40"/>
      <c r="BQ1208" s="4"/>
      <c r="BR1208" s="61"/>
      <c r="BS1208" s="4"/>
      <c r="BT1208" s="57" t="e">
        <f t="shared" si="52"/>
        <v>#VALUE!</v>
      </c>
      <c r="BU1208" s="62"/>
      <c r="BV1208" s="8" t="e">
        <v>#VALUE!</v>
      </c>
      <c r="BW1208" s="58" t="e">
        <f>VLOOKUP(AQ1208,'[1]Harga &amp; Nama CSO'!$A$28:$D$31,4,0)*BQ1208</f>
        <v>#N/A</v>
      </c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44">
        <f>IFERROR(VLOOKUP(AQ1210,'[2]Harga &amp; Nama CSO'!$A$116:$S$136,19,FALSE),0)*AV1210</f>
        <v>0</v>
      </c>
      <c r="BO1209" s="55" t="e">
        <f>IFERROR(VLOOKUP(AQ1209,'[1]Harga &amp; Nama CSO'!$H$2:$N$22,2,FALSE),"")*AV1209</f>
        <v>#VALUE!</v>
      </c>
      <c r="BP1209" s="40"/>
      <c r="BQ1209" s="4"/>
      <c r="BR1209" s="61"/>
      <c r="BS1209" s="4"/>
      <c r="BT1209" s="57" t="e">
        <f t="shared" si="52"/>
        <v>#VALUE!</v>
      </c>
      <c r="BU1209" s="62"/>
      <c r="BV1209" s="8" t="e">
        <v>#VALUE!</v>
      </c>
      <c r="BW1209" s="58" t="e">
        <f>VLOOKUP(AQ1209,'[1]Harga &amp; Nama CSO'!$A$28:$D$31,4,0)*BQ1209</f>
        <v>#N/A</v>
      </c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44">
        <f>IFERROR(VLOOKUP(AQ1211,'[2]Harga &amp; Nama CSO'!$A$116:$S$136,19,FALSE),0)*AV1211</f>
        <v>0</v>
      </c>
      <c r="BO1210" s="55" t="e">
        <f>IFERROR(VLOOKUP(AQ1210,'[1]Harga &amp; Nama CSO'!$H$2:$N$22,2,FALSE),"")*AV1210</f>
        <v>#VALUE!</v>
      </c>
      <c r="BP1210" s="40"/>
      <c r="BQ1210" s="4"/>
      <c r="BR1210" s="61"/>
      <c r="BS1210" s="4"/>
      <c r="BT1210" s="57" t="e">
        <f t="shared" si="52"/>
        <v>#VALUE!</v>
      </c>
      <c r="BU1210" s="62"/>
      <c r="BV1210" s="8" t="e">
        <v>#VALUE!</v>
      </c>
      <c r="BW1210" s="58" t="e">
        <f>VLOOKUP(AQ1210,'[1]Harga &amp; Nama CSO'!$A$28:$D$31,4,0)*BQ1210</f>
        <v>#N/A</v>
      </c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44">
        <f>IFERROR(VLOOKUP(AQ1212,'[2]Harga &amp; Nama CSO'!$A$116:$S$136,19,FALSE),0)*AV1212</f>
        <v>0</v>
      </c>
      <c r="BO1211" s="55" t="e">
        <f>IFERROR(VLOOKUP(AQ1211,'[1]Harga &amp; Nama CSO'!$H$2:$N$22,2,FALSE),"")*AV1211</f>
        <v>#VALUE!</v>
      </c>
      <c r="BP1211" s="40"/>
      <c r="BQ1211" s="4"/>
      <c r="BR1211" s="61"/>
      <c r="BS1211" s="4"/>
      <c r="BT1211" s="57" t="e">
        <f t="shared" si="52"/>
        <v>#VALUE!</v>
      </c>
      <c r="BU1211" s="62"/>
      <c r="BV1211" s="8" t="e">
        <v>#VALUE!</v>
      </c>
      <c r="BW1211" s="58" t="e">
        <f>VLOOKUP(AQ1211,'[1]Harga &amp; Nama CSO'!$A$28:$D$31,4,0)*BQ1211</f>
        <v>#N/A</v>
      </c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44">
        <f>IFERROR(VLOOKUP(AQ1213,'[2]Harga &amp; Nama CSO'!$A$116:$S$136,19,FALSE),0)*AV1213</f>
        <v>0</v>
      </c>
      <c r="BO1212" s="55" t="e">
        <f>IFERROR(VLOOKUP(AQ1212,'[1]Harga &amp; Nama CSO'!$H$2:$N$22,2,FALSE),"")*AV1212</f>
        <v>#VALUE!</v>
      </c>
      <c r="BP1212" s="40"/>
      <c r="BQ1212" s="4"/>
      <c r="BR1212" s="61"/>
      <c r="BS1212" s="4"/>
      <c r="BT1212" s="57" t="e">
        <f t="shared" si="52"/>
        <v>#VALUE!</v>
      </c>
      <c r="BU1212" s="62"/>
      <c r="BV1212" s="8" t="e">
        <v>#VALUE!</v>
      </c>
      <c r="BW1212" s="58" t="e">
        <f>VLOOKUP(AQ1212,'[1]Harga &amp; Nama CSO'!$A$28:$D$31,4,0)*BQ1212</f>
        <v>#N/A</v>
      </c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44">
        <f>IFERROR(VLOOKUP(AQ1214,'[2]Harga &amp; Nama CSO'!$A$116:$S$136,19,FALSE),0)*AV1214</f>
        <v>0</v>
      </c>
      <c r="BO1213" s="55" t="e">
        <f>IFERROR(VLOOKUP(AQ1213,'[1]Harga &amp; Nama CSO'!$H$2:$N$22,2,FALSE),"")*AV1213</f>
        <v>#VALUE!</v>
      </c>
      <c r="BP1213" s="40"/>
      <c r="BQ1213" s="4"/>
      <c r="BR1213" s="61"/>
      <c r="BS1213" s="4"/>
      <c r="BT1213" s="57" t="e">
        <f t="shared" si="52"/>
        <v>#VALUE!</v>
      </c>
      <c r="BU1213" s="62"/>
      <c r="BV1213" s="8" t="e">
        <v>#VALUE!</v>
      </c>
      <c r="BW1213" s="58" t="e">
        <f>VLOOKUP(AQ1213,'[1]Harga &amp; Nama CSO'!$A$28:$D$31,4,0)*BQ1213</f>
        <v>#N/A</v>
      </c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44">
        <f>IFERROR(VLOOKUP(AQ1215,'[2]Harga &amp; Nama CSO'!$A$116:$S$136,19,FALSE),0)*AV1215</f>
        <v>0</v>
      </c>
      <c r="BO1214" s="55" t="e">
        <f>IFERROR(VLOOKUP(AQ1214,'[1]Harga &amp; Nama CSO'!$H$2:$N$22,2,FALSE),"")*AV1214</f>
        <v>#VALUE!</v>
      </c>
      <c r="BP1214" s="40"/>
      <c r="BQ1214" s="4"/>
      <c r="BR1214" s="61"/>
      <c r="BS1214" s="4"/>
      <c r="BT1214" s="57" t="e">
        <f t="shared" si="52"/>
        <v>#VALUE!</v>
      </c>
      <c r="BU1214" s="62"/>
      <c r="BV1214" s="8" t="e">
        <v>#VALUE!</v>
      </c>
      <c r="BW1214" s="58" t="e">
        <f>VLOOKUP(AQ1214,'[1]Harga &amp; Nama CSO'!$A$28:$D$31,4,0)*BQ1214</f>
        <v>#N/A</v>
      </c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44">
        <f>IFERROR(VLOOKUP(AQ1216,'[2]Harga &amp; Nama CSO'!$A$116:$S$136,19,FALSE),0)*AV1216</f>
        <v>0</v>
      </c>
      <c r="BO1215" s="55" t="e">
        <f>IFERROR(VLOOKUP(AQ1215,'[1]Harga &amp; Nama CSO'!$H$2:$N$22,2,FALSE),"")*AV1215</f>
        <v>#VALUE!</v>
      </c>
      <c r="BP1215" s="40"/>
      <c r="BQ1215" s="4"/>
      <c r="BR1215" s="61"/>
      <c r="BS1215" s="4"/>
      <c r="BT1215" s="57" t="e">
        <f t="shared" si="52"/>
        <v>#VALUE!</v>
      </c>
      <c r="BU1215" s="62"/>
      <c r="BV1215" s="8" t="e">
        <v>#VALUE!</v>
      </c>
      <c r="BW1215" s="58" t="e">
        <f>VLOOKUP(AQ1215,'[1]Harga &amp; Nama CSO'!$A$28:$D$31,4,0)*BQ1215</f>
        <v>#N/A</v>
      </c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44">
        <f>IFERROR(VLOOKUP(AQ1217,'[2]Harga &amp; Nama CSO'!$A$116:$S$136,19,FALSE),0)*AV1217</f>
        <v>0</v>
      </c>
      <c r="BO1216" s="55" t="e">
        <f>IFERROR(VLOOKUP(AQ1216,'[1]Harga &amp; Nama CSO'!$H$2:$N$22,2,FALSE),"")*AV1216</f>
        <v>#VALUE!</v>
      </c>
      <c r="BP1216" s="40"/>
      <c r="BQ1216" s="4"/>
      <c r="BR1216" s="61"/>
      <c r="BS1216" s="4"/>
      <c r="BT1216" s="57" t="e">
        <f t="shared" si="52"/>
        <v>#VALUE!</v>
      </c>
      <c r="BU1216" s="62"/>
      <c r="BV1216" s="8" t="e">
        <v>#VALUE!</v>
      </c>
      <c r="BW1216" s="58" t="e">
        <f>VLOOKUP(AQ1216,'[1]Harga &amp; Nama CSO'!$A$28:$D$31,4,0)*BQ1216</f>
        <v>#N/A</v>
      </c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44">
        <f>IFERROR(VLOOKUP(AQ1218,'[2]Harga &amp; Nama CSO'!$A$116:$S$136,19,FALSE),0)*AV1218</f>
        <v>0</v>
      </c>
      <c r="BO1217" s="55" t="e">
        <f>IFERROR(VLOOKUP(AQ1217,'[1]Harga &amp; Nama CSO'!$H$2:$N$22,2,FALSE),"")*AV1217</f>
        <v>#VALUE!</v>
      </c>
      <c r="BP1217" s="40"/>
      <c r="BQ1217" s="4"/>
      <c r="BR1217" s="61"/>
      <c r="BS1217" s="4"/>
      <c r="BT1217" s="57" t="e">
        <f t="shared" si="52"/>
        <v>#VALUE!</v>
      </c>
      <c r="BU1217" s="62"/>
      <c r="BV1217" s="8" t="e">
        <v>#VALUE!</v>
      </c>
      <c r="BW1217" s="58" t="e">
        <f>VLOOKUP(AQ1217,'[1]Harga &amp; Nama CSO'!$A$28:$D$31,4,0)*BQ1217</f>
        <v>#N/A</v>
      </c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44">
        <f>IFERROR(VLOOKUP(AQ1219,'[2]Harga &amp; Nama CSO'!$A$116:$S$136,19,FALSE),0)*AV1219</f>
        <v>0</v>
      </c>
      <c r="BO1218" s="55" t="e">
        <f>IFERROR(VLOOKUP(AQ1218,'[1]Harga &amp; Nama CSO'!$H$2:$N$22,2,FALSE),"")*AV1218</f>
        <v>#VALUE!</v>
      </c>
      <c r="BP1218" s="40"/>
      <c r="BQ1218" s="4"/>
      <c r="BR1218" s="61"/>
      <c r="BS1218" s="4"/>
      <c r="BT1218" s="57" t="e">
        <f t="shared" si="52"/>
        <v>#VALUE!</v>
      </c>
      <c r="BU1218" s="62"/>
      <c r="BV1218" s="8" t="e">
        <v>#VALUE!</v>
      </c>
      <c r="BW1218" s="58" t="e">
        <f>VLOOKUP(AQ1218,'[1]Harga &amp; Nama CSO'!$A$28:$D$31,4,0)*BQ1218</f>
        <v>#N/A</v>
      </c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44">
        <f>IFERROR(VLOOKUP(AQ1220,'[2]Harga &amp; Nama CSO'!$A$116:$S$136,19,FALSE),0)*AV1220</f>
        <v>0</v>
      </c>
      <c r="BO1219" s="55" t="e">
        <f>IFERROR(VLOOKUP(AQ1219,'[1]Harga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53">BO1219-BR1219</f>
        <v>#VALUE!</v>
      </c>
      <c r="BU1219" s="62"/>
      <c r="BV1219" s="8" t="e">
        <v>#VALUE!</v>
      </c>
      <c r="BW1219" s="58" t="e">
        <f>VLOOKUP(AQ1219,'[1]Harga &amp; Nama CSO'!$A$28:$D$31,4,0)*BQ1219</f>
        <v>#N/A</v>
      </c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44">
        <f>IFERROR(VLOOKUP(AQ1221,'[2]Harga &amp; Nama CSO'!$A$116:$S$136,19,FALSE),0)*AV1221</f>
        <v>0</v>
      </c>
      <c r="BO1220" s="55" t="e">
        <f>IFERROR(VLOOKUP(AQ1220,'[1]Harga &amp; Nama CSO'!$H$2:$N$22,2,FALSE),"")*AV1220</f>
        <v>#VALUE!</v>
      </c>
      <c r="BP1220" s="40"/>
      <c r="BQ1220" s="4"/>
      <c r="BR1220" s="61"/>
      <c r="BS1220" s="4"/>
      <c r="BT1220" s="57" t="e">
        <f t="shared" si="53"/>
        <v>#VALUE!</v>
      </c>
      <c r="BU1220" s="62"/>
      <c r="BV1220" s="8" t="e">
        <v>#VALUE!</v>
      </c>
      <c r="BW1220" s="58" t="e">
        <f>VLOOKUP(AQ1220,'[1]Harga &amp; Nama CSO'!$A$28:$D$31,4,0)*BQ1220</f>
        <v>#N/A</v>
      </c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44">
        <f>IFERROR(VLOOKUP(AQ1222,'[2]Harga &amp; Nama CSO'!$A$116:$S$136,19,FALSE),0)*AV1222</f>
        <v>0</v>
      </c>
      <c r="BO1221" s="55" t="e">
        <f>IFERROR(VLOOKUP(AQ1221,'[1]Harga &amp; Nama CSO'!$H$2:$N$22,2,FALSE),"")*AV1221</f>
        <v>#VALUE!</v>
      </c>
      <c r="BP1221" s="40"/>
      <c r="BQ1221" s="4"/>
      <c r="BR1221" s="61"/>
      <c r="BS1221" s="4"/>
      <c r="BT1221" s="57" t="e">
        <f t="shared" si="53"/>
        <v>#VALUE!</v>
      </c>
      <c r="BU1221" s="62"/>
      <c r="BV1221" s="8" t="e">
        <v>#VALUE!</v>
      </c>
      <c r="BW1221" s="58" t="e">
        <f>VLOOKUP(AQ1221,'[1]Harga &amp; Nama CSO'!$A$28:$D$31,4,0)*BQ1221</f>
        <v>#N/A</v>
      </c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44">
        <f>IFERROR(VLOOKUP(AQ1223,'[2]Harga &amp; Nama CSO'!$A$116:$S$136,19,FALSE),0)*AV1223</f>
        <v>0</v>
      </c>
      <c r="BO1222" s="55" t="e">
        <f>IFERROR(VLOOKUP(AQ1222,'[1]Harga &amp; Nama CSO'!$H$2:$N$22,2,FALSE),"")*AV1222</f>
        <v>#VALUE!</v>
      </c>
      <c r="BP1222" s="40"/>
      <c r="BQ1222" s="4"/>
      <c r="BR1222" s="61"/>
      <c r="BS1222" s="4"/>
      <c r="BT1222" s="57" t="e">
        <f t="shared" si="53"/>
        <v>#VALUE!</v>
      </c>
      <c r="BU1222" s="62"/>
      <c r="BV1222" s="8" t="e">
        <v>#VALUE!</v>
      </c>
      <c r="BW1222" s="58" t="e">
        <f>VLOOKUP(AQ1222,'[1]Harga &amp; Nama CSO'!$A$28:$D$31,4,0)*BQ1222</f>
        <v>#N/A</v>
      </c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44">
        <f>IFERROR(VLOOKUP(AQ1224,'[2]Harga &amp; Nama CSO'!$A$116:$S$136,19,FALSE),0)*AV1224</f>
        <v>0</v>
      </c>
      <c r="BO1223" s="55" t="e">
        <f>IFERROR(VLOOKUP(AQ1223,'[1]Harga &amp; Nama CSO'!$H$2:$N$22,2,FALSE),"")*AV1223</f>
        <v>#VALUE!</v>
      </c>
      <c r="BP1223" s="40"/>
      <c r="BQ1223" s="4"/>
      <c r="BR1223" s="61"/>
      <c r="BS1223" s="4"/>
      <c r="BT1223" s="57" t="e">
        <f t="shared" si="53"/>
        <v>#VALUE!</v>
      </c>
      <c r="BU1223" s="62"/>
      <c r="BV1223" s="8" t="e">
        <v>#VALUE!</v>
      </c>
      <c r="BW1223" s="58" t="e">
        <f>VLOOKUP(AQ1223,'[1]Harga &amp; Nama CSO'!$A$28:$D$31,4,0)*BQ1223</f>
        <v>#N/A</v>
      </c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44">
        <f>IFERROR(VLOOKUP(AQ1225,'[2]Harga &amp; Nama CSO'!$A$116:$S$136,19,FALSE),0)*AV1225</f>
        <v>0</v>
      </c>
      <c r="BO1224" s="55" t="e">
        <f>IFERROR(VLOOKUP(AQ1224,'[1]Harga &amp; Nama CSO'!$H$2:$N$22,2,FALSE),"")*AV1224</f>
        <v>#VALUE!</v>
      </c>
      <c r="BP1224" s="40"/>
      <c r="BQ1224" s="4"/>
      <c r="BR1224" s="61"/>
      <c r="BS1224" s="4"/>
      <c r="BT1224" s="57" t="e">
        <f t="shared" si="53"/>
        <v>#VALUE!</v>
      </c>
      <c r="BU1224" s="62"/>
      <c r="BV1224" s="8" t="e">
        <v>#VALUE!</v>
      </c>
      <c r="BW1224" s="58" t="e">
        <f>VLOOKUP(AQ1224,'[1]Harga &amp; Nama CSO'!$A$28:$D$31,4,0)*BQ1224</f>
        <v>#N/A</v>
      </c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44">
        <f>IFERROR(VLOOKUP(AQ1226,'[2]Harga &amp; Nama CSO'!$A$116:$S$136,19,FALSE),0)*AV1226</f>
        <v>0</v>
      </c>
      <c r="BO1225" s="55" t="e">
        <f>IFERROR(VLOOKUP(AQ1225,'[1]Harga &amp; Nama CSO'!$H$2:$N$22,2,FALSE),"")*AV1225</f>
        <v>#VALUE!</v>
      </c>
      <c r="BP1225" s="40"/>
      <c r="BQ1225" s="4"/>
      <c r="BR1225" s="61"/>
      <c r="BS1225" s="4"/>
      <c r="BT1225" s="57" t="e">
        <f t="shared" si="53"/>
        <v>#VALUE!</v>
      </c>
      <c r="BU1225" s="62"/>
      <c r="BV1225" s="8" t="e">
        <v>#VALUE!</v>
      </c>
      <c r="BW1225" s="58" t="e">
        <f>VLOOKUP(AQ1225,'[1]Harga &amp; Nama CSO'!$A$28:$D$31,4,0)*BQ1225</f>
        <v>#N/A</v>
      </c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44">
        <f>IFERROR(VLOOKUP(AQ1227,'[2]Harga &amp; Nama CSO'!$A$116:$S$136,19,FALSE),0)*AV1227</f>
        <v>0</v>
      </c>
      <c r="BO1226" s="55" t="e">
        <f>IFERROR(VLOOKUP(AQ1226,'[1]Harga &amp; Nama CSO'!$H$2:$N$22,2,FALSE),"")*AV1226</f>
        <v>#VALUE!</v>
      </c>
      <c r="BP1226" s="40"/>
      <c r="BQ1226" s="4"/>
      <c r="BR1226" s="61"/>
      <c r="BS1226" s="4"/>
      <c r="BT1226" s="57" t="e">
        <f t="shared" si="53"/>
        <v>#VALUE!</v>
      </c>
      <c r="BU1226" s="62"/>
      <c r="BV1226" s="8" t="e">
        <v>#VALUE!</v>
      </c>
      <c r="BW1226" s="58" t="e">
        <f>VLOOKUP(AQ1226,'[1]Harga &amp; Nama CSO'!$A$28:$D$31,4,0)*BQ1226</f>
        <v>#N/A</v>
      </c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44">
        <f>IFERROR(VLOOKUP(AQ1228,'[2]Harga &amp; Nama CSO'!$A$116:$S$136,19,FALSE),0)*AV1228</f>
        <v>0</v>
      </c>
      <c r="BO1227" s="55" t="e">
        <f>IFERROR(VLOOKUP(AQ1227,'[1]Harga &amp; Nama CSO'!$H$2:$N$22,2,FALSE),"")*AV1227</f>
        <v>#VALUE!</v>
      </c>
      <c r="BP1227" s="40"/>
      <c r="BQ1227" s="4"/>
      <c r="BR1227" s="61"/>
      <c r="BS1227" s="4"/>
      <c r="BT1227" s="57" t="e">
        <f t="shared" si="53"/>
        <v>#VALUE!</v>
      </c>
      <c r="BU1227" s="62"/>
      <c r="BV1227" s="8" t="e">
        <v>#VALUE!</v>
      </c>
      <c r="BW1227" s="58" t="e">
        <f>VLOOKUP(AQ1227,'[1]Harga &amp; Nama CSO'!$A$28:$D$31,4,0)*BQ1227</f>
        <v>#N/A</v>
      </c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44">
        <f>IFERROR(VLOOKUP(AQ1229,'[2]Harga &amp; Nama CSO'!$A$116:$S$136,19,FALSE),0)*AV1229</f>
        <v>0</v>
      </c>
      <c r="BO1228" s="55" t="e">
        <f>IFERROR(VLOOKUP(AQ1228,'[1]Harga &amp; Nama CSO'!$H$2:$N$22,2,FALSE),"")*AV1228</f>
        <v>#VALUE!</v>
      </c>
      <c r="BP1228" s="40"/>
      <c r="BQ1228" s="4"/>
      <c r="BR1228" s="61"/>
      <c r="BS1228" s="4"/>
      <c r="BT1228" s="57" t="e">
        <f t="shared" si="53"/>
        <v>#VALUE!</v>
      </c>
      <c r="BU1228" s="62"/>
      <c r="BV1228" s="8" t="e">
        <v>#VALUE!</v>
      </c>
      <c r="BW1228" s="58" t="e">
        <f>VLOOKUP(AQ1228,'[1]Harga &amp; Nama CSO'!$A$28:$D$31,4,0)*BQ1228</f>
        <v>#N/A</v>
      </c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44">
        <f>IFERROR(VLOOKUP(AQ1230,'[2]Harga &amp; Nama CSO'!$A$116:$S$136,19,FALSE),0)*AV1230</f>
        <v>0</v>
      </c>
      <c r="BO1229" s="55" t="e">
        <f>IFERROR(VLOOKUP(AQ1229,'[1]Harga &amp; Nama CSO'!$H$2:$N$22,2,FALSE),"")*AV1229</f>
        <v>#VALUE!</v>
      </c>
      <c r="BP1229" s="40"/>
      <c r="BQ1229" s="4"/>
      <c r="BR1229" s="61"/>
      <c r="BS1229" s="4"/>
      <c r="BT1229" s="57" t="e">
        <f t="shared" si="53"/>
        <v>#VALUE!</v>
      </c>
      <c r="BU1229" s="62"/>
      <c r="BV1229" s="8" t="e">
        <v>#VALUE!</v>
      </c>
      <c r="BW1229" s="58" t="e">
        <f>VLOOKUP(AQ1229,'[1]Harga &amp; Nama CSO'!$A$28:$D$31,4,0)*BQ1229</f>
        <v>#N/A</v>
      </c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44">
        <f>IFERROR(VLOOKUP(AQ1231,'[2]Harga &amp; Nama CSO'!$A$116:$S$136,19,FALSE),0)*AV1231</f>
        <v>0</v>
      </c>
      <c r="BO1230" s="55" t="e">
        <f>IFERROR(VLOOKUP(AQ1230,'[1]Harga &amp; Nama CSO'!$H$2:$N$22,2,FALSE),"")*AV1230</f>
        <v>#VALUE!</v>
      </c>
      <c r="BP1230" s="40"/>
      <c r="BQ1230" s="4"/>
      <c r="BR1230" s="61"/>
      <c r="BS1230" s="4"/>
      <c r="BT1230" s="57" t="e">
        <f t="shared" si="53"/>
        <v>#VALUE!</v>
      </c>
      <c r="BU1230" s="62"/>
      <c r="BV1230" s="8" t="e">
        <v>#VALUE!</v>
      </c>
      <c r="BW1230" s="58" t="e">
        <f>VLOOKUP(AQ1230,'[1]Harga &amp; Nama CSO'!$A$28:$D$31,4,0)*BQ1230</f>
        <v>#N/A</v>
      </c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44">
        <f>IFERROR(VLOOKUP(AQ1232,'[2]Harga &amp; Nama CSO'!$A$116:$S$136,19,FALSE),0)*AV1232</f>
        <v>0</v>
      </c>
      <c r="BO1231" s="55" t="e">
        <f>IFERROR(VLOOKUP(AQ1231,'[1]Harga &amp; Nama CSO'!$H$2:$N$22,2,FALSE),"")*AV1231</f>
        <v>#VALUE!</v>
      </c>
      <c r="BP1231" s="40"/>
      <c r="BQ1231" s="4"/>
      <c r="BR1231" s="61"/>
      <c r="BS1231" s="4"/>
      <c r="BT1231" s="57" t="e">
        <f t="shared" si="53"/>
        <v>#VALUE!</v>
      </c>
      <c r="BU1231" s="62"/>
      <c r="BV1231" s="8" t="e">
        <v>#VALUE!</v>
      </c>
      <c r="BW1231" s="58" t="e">
        <f>VLOOKUP(AQ1231,'[1]Harga &amp; Nama CSO'!$A$28:$D$31,4,0)*BQ1231</f>
        <v>#N/A</v>
      </c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44">
        <f>IFERROR(VLOOKUP(AQ1233,'[2]Harga &amp; Nama CSO'!$A$116:$S$136,19,FALSE),0)*AV1233</f>
        <v>0</v>
      </c>
      <c r="BO1232" s="55" t="e">
        <f>IFERROR(VLOOKUP(AQ1232,'[1]Harga &amp; Nama CSO'!$H$2:$N$22,2,FALSE),"")*AV1232</f>
        <v>#VALUE!</v>
      </c>
      <c r="BP1232" s="40"/>
      <c r="BQ1232" s="4"/>
      <c r="BR1232" s="61"/>
      <c r="BS1232" s="4"/>
      <c r="BT1232" s="57" t="e">
        <f t="shared" si="53"/>
        <v>#VALUE!</v>
      </c>
      <c r="BU1232" s="62"/>
      <c r="BV1232" s="8" t="e">
        <v>#VALUE!</v>
      </c>
      <c r="BW1232" s="58" t="e">
        <f>VLOOKUP(AQ1232,'[1]Harga &amp; Nama CSO'!$A$28:$D$31,4,0)*BQ1232</f>
        <v>#N/A</v>
      </c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44">
        <f>IFERROR(VLOOKUP(AQ1234,'[2]Harga &amp; Nama CSO'!$A$116:$S$136,19,FALSE),0)*AV1234</f>
        <v>0</v>
      </c>
      <c r="BO1233" s="55" t="e">
        <f>IFERROR(VLOOKUP(AQ1233,'[1]Harga &amp; Nama CSO'!$H$2:$N$22,2,FALSE),"")*AV1233</f>
        <v>#VALUE!</v>
      </c>
      <c r="BP1233" s="40"/>
      <c r="BQ1233" s="4"/>
      <c r="BR1233" s="61"/>
      <c r="BS1233" s="4"/>
      <c r="BT1233" s="57" t="e">
        <f t="shared" si="53"/>
        <v>#VALUE!</v>
      </c>
      <c r="BU1233" s="62"/>
      <c r="BV1233" s="8" t="e">
        <v>#VALUE!</v>
      </c>
      <c r="BW1233" s="58" t="e">
        <f>VLOOKUP(AQ1233,'[1]Harga &amp; Nama CSO'!$A$28:$D$31,4,0)*BQ1233</f>
        <v>#N/A</v>
      </c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44">
        <f>IFERROR(VLOOKUP(AQ1235,'[2]Harga &amp; Nama CSO'!$A$116:$S$136,19,FALSE),0)*AV1235</f>
        <v>0</v>
      </c>
      <c r="BO1234" s="55" t="e">
        <f>IFERROR(VLOOKUP(AQ1234,'[1]Harga &amp; Nama CSO'!$H$2:$N$22,2,FALSE),"")*AV1234</f>
        <v>#VALUE!</v>
      </c>
      <c r="BP1234" s="40"/>
      <c r="BQ1234" s="4"/>
      <c r="BR1234" s="61"/>
      <c r="BS1234" s="4"/>
      <c r="BT1234" s="57" t="e">
        <f t="shared" si="53"/>
        <v>#VALUE!</v>
      </c>
      <c r="BU1234" s="62"/>
      <c r="BV1234" s="8" t="e">
        <v>#VALUE!</v>
      </c>
      <c r="BW1234" s="58" t="e">
        <f>VLOOKUP(AQ1234,'[1]Harga &amp; Nama CSO'!$A$28:$D$31,4,0)*BQ1234</f>
        <v>#N/A</v>
      </c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44">
        <f>IFERROR(VLOOKUP(AQ1236,'[2]Harga &amp; Nama CSO'!$A$116:$S$136,19,FALSE),0)*AV1236</f>
        <v>0</v>
      </c>
      <c r="BO1235" s="55" t="e">
        <f>IFERROR(VLOOKUP(AQ1235,'[1]Harga &amp; Nama CSO'!$H$2:$N$22,2,FALSE),"")*AV1235</f>
        <v>#VALUE!</v>
      </c>
      <c r="BP1235" s="40"/>
      <c r="BQ1235" s="4"/>
      <c r="BR1235" s="61"/>
      <c r="BS1235" s="4"/>
      <c r="BT1235" s="57" t="e">
        <f t="shared" si="53"/>
        <v>#VALUE!</v>
      </c>
      <c r="BU1235" s="62"/>
      <c r="BV1235" s="8" t="e">
        <v>#VALUE!</v>
      </c>
      <c r="BW1235" s="58" t="e">
        <f>VLOOKUP(AQ1235,'[1]Harga &amp; Nama CSO'!$A$28:$D$31,4,0)*BQ1235</f>
        <v>#N/A</v>
      </c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44">
        <f>IFERROR(VLOOKUP(AQ1237,'[2]Harga &amp; Nama CSO'!$A$116:$S$136,19,FALSE),0)*AV1237</f>
        <v>0</v>
      </c>
      <c r="BO1236" s="55" t="e">
        <f>IFERROR(VLOOKUP(AQ1236,'[1]Harga &amp; Nama CSO'!$H$2:$N$22,2,FALSE),"")*AV1236</f>
        <v>#VALUE!</v>
      </c>
      <c r="BP1236" s="40"/>
      <c r="BQ1236" s="4"/>
      <c r="BR1236" s="61"/>
      <c r="BS1236" s="4"/>
      <c r="BT1236" s="57" t="e">
        <f t="shared" si="53"/>
        <v>#VALUE!</v>
      </c>
      <c r="BU1236" s="62"/>
      <c r="BV1236" s="8" t="e">
        <v>#VALUE!</v>
      </c>
      <c r="BW1236" s="58" t="e">
        <f>VLOOKUP(AQ1236,'[1]Harga &amp; Nama CSO'!$A$28:$D$31,4,0)*BQ1236</f>
        <v>#N/A</v>
      </c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44">
        <f>IFERROR(VLOOKUP(AQ1238,'[2]Harga &amp; Nama CSO'!$A$116:$S$136,19,FALSE),0)*AV1238</f>
        <v>0</v>
      </c>
      <c r="BO1237" s="55" t="e">
        <f>IFERROR(VLOOKUP(AQ1237,'[1]Harga &amp; Nama CSO'!$H$2:$N$22,2,FALSE),"")*AV1237</f>
        <v>#VALUE!</v>
      </c>
      <c r="BP1237" s="40"/>
      <c r="BQ1237" s="4"/>
      <c r="BR1237" s="61"/>
      <c r="BS1237" s="4"/>
      <c r="BT1237" s="57" t="e">
        <f t="shared" si="53"/>
        <v>#VALUE!</v>
      </c>
      <c r="BU1237" s="62"/>
      <c r="BV1237" s="8" t="e">
        <v>#VALUE!</v>
      </c>
      <c r="BW1237" s="58" t="e">
        <f>VLOOKUP(AQ1237,'[1]Harga &amp; Nama CSO'!$A$28:$D$31,4,0)*BQ1237</f>
        <v>#N/A</v>
      </c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44">
        <f>IFERROR(VLOOKUP(AQ1239,'[2]Harga &amp; Nama CSO'!$A$116:$S$136,19,FALSE),0)*AV1239</f>
        <v>0</v>
      </c>
      <c r="BO1238" s="55" t="e">
        <f>IFERROR(VLOOKUP(AQ1238,'[1]Harga &amp; Nama CSO'!$H$2:$N$22,2,FALSE),"")*AV1238</f>
        <v>#VALUE!</v>
      </c>
      <c r="BP1238" s="40"/>
      <c r="BQ1238" s="4"/>
      <c r="BR1238" s="61"/>
      <c r="BS1238" s="4"/>
      <c r="BT1238" s="57" t="e">
        <f t="shared" si="53"/>
        <v>#VALUE!</v>
      </c>
      <c r="BU1238" s="62"/>
      <c r="BV1238" s="8" t="e">
        <v>#VALUE!</v>
      </c>
      <c r="BW1238" s="58" t="e">
        <f>VLOOKUP(AQ1238,'[1]Harga &amp; Nama CSO'!$A$28:$D$31,4,0)*BQ1238</f>
        <v>#N/A</v>
      </c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44">
        <f>IFERROR(VLOOKUP(AQ1240,'[2]Harga &amp; Nama CSO'!$A$116:$S$136,19,FALSE),0)*AV1240</f>
        <v>0</v>
      </c>
      <c r="BO1239" s="55" t="e">
        <f>IFERROR(VLOOKUP(AQ1239,'[1]Harga &amp; Nama CSO'!$H$2:$N$22,2,FALSE),"")*AV1239</f>
        <v>#VALUE!</v>
      </c>
      <c r="BP1239" s="40"/>
      <c r="BQ1239" s="4"/>
      <c r="BR1239" s="61"/>
      <c r="BS1239" s="4"/>
      <c r="BT1239" s="57" t="e">
        <f t="shared" si="53"/>
        <v>#VALUE!</v>
      </c>
      <c r="BU1239" s="62"/>
      <c r="BV1239" s="8" t="e">
        <v>#VALUE!</v>
      </c>
      <c r="BW1239" s="58" t="e">
        <f>VLOOKUP(AQ1239,'[1]Harga &amp; Nama CSO'!$A$28:$D$31,4,0)*BQ1239</f>
        <v>#N/A</v>
      </c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44">
        <f>IFERROR(VLOOKUP(AQ1241,'[2]Harga &amp; Nama CSO'!$A$116:$S$136,19,FALSE),0)*AV1241</f>
        <v>0</v>
      </c>
      <c r="BO1240" s="55" t="e">
        <f>IFERROR(VLOOKUP(AQ1240,'[1]Harga &amp; Nama CSO'!$H$2:$N$22,2,FALSE),"")*AV1240</f>
        <v>#VALUE!</v>
      </c>
      <c r="BP1240" s="40"/>
      <c r="BQ1240" s="4"/>
      <c r="BR1240" s="61"/>
      <c r="BS1240" s="4"/>
      <c r="BT1240" s="57" t="e">
        <f t="shared" si="53"/>
        <v>#VALUE!</v>
      </c>
      <c r="BU1240" s="62"/>
      <c r="BV1240" s="8" t="e">
        <v>#VALUE!</v>
      </c>
      <c r="BW1240" s="58" t="e">
        <f>VLOOKUP(AQ1240,'[1]Harga &amp; Nama CSO'!$A$28:$D$31,4,0)*BQ1240</f>
        <v>#N/A</v>
      </c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44">
        <f>IFERROR(VLOOKUP(AQ1242,'[2]Harga &amp; Nama CSO'!$A$116:$S$136,19,FALSE),0)*AV1242</f>
        <v>0</v>
      </c>
      <c r="BO1241" s="55" t="e">
        <f>IFERROR(VLOOKUP(AQ1241,'[1]Harga &amp; Nama CSO'!$H$2:$N$22,2,FALSE),"")*AV1241</f>
        <v>#VALUE!</v>
      </c>
      <c r="BP1241" s="40"/>
      <c r="BQ1241" s="4"/>
      <c r="BR1241" s="61"/>
      <c r="BS1241" s="4"/>
      <c r="BT1241" s="57" t="e">
        <f t="shared" si="53"/>
        <v>#VALUE!</v>
      </c>
      <c r="BU1241" s="62"/>
      <c r="BV1241" s="8" t="e">
        <v>#VALUE!</v>
      </c>
      <c r="BW1241" s="58" t="e">
        <f>VLOOKUP(AQ1241,'[1]Harga &amp; Nama CSO'!$A$28:$D$31,4,0)*BQ1241</f>
        <v>#N/A</v>
      </c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44">
        <f>IFERROR(VLOOKUP(AQ1243,'[2]Harga &amp; Nama CSO'!$A$116:$S$136,19,FALSE),0)*AV1243</f>
        <v>0</v>
      </c>
      <c r="BO1242" s="55" t="e">
        <f>IFERROR(VLOOKUP(AQ1242,'[1]Harga &amp; Nama CSO'!$H$2:$N$22,2,FALSE),"")*AV1242</f>
        <v>#VALUE!</v>
      </c>
      <c r="BP1242" s="40"/>
      <c r="BQ1242" s="4"/>
      <c r="BR1242" s="61"/>
      <c r="BS1242" s="4"/>
      <c r="BT1242" s="57" t="e">
        <f t="shared" si="53"/>
        <v>#VALUE!</v>
      </c>
      <c r="BU1242" s="62"/>
      <c r="BV1242" s="8" t="e">
        <v>#VALUE!</v>
      </c>
      <c r="BW1242" s="58" t="e">
        <f>VLOOKUP(AQ1242,'[1]Harga &amp; Nama CSO'!$A$28:$D$31,4,0)*BQ1242</f>
        <v>#N/A</v>
      </c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44">
        <f>IFERROR(VLOOKUP(AQ1244,'[2]Harga &amp; Nama CSO'!$A$116:$S$136,19,FALSE),0)*AV1244</f>
        <v>0</v>
      </c>
      <c r="BO1243" s="55" t="e">
        <f>IFERROR(VLOOKUP(AQ1243,'[1]Harga &amp; Nama CSO'!$H$2:$N$22,2,FALSE),"")*AV1243</f>
        <v>#VALUE!</v>
      </c>
      <c r="BP1243" s="40"/>
      <c r="BQ1243" s="4"/>
      <c r="BR1243" s="61"/>
      <c r="BS1243" s="4"/>
      <c r="BT1243" s="57" t="e">
        <f t="shared" si="53"/>
        <v>#VALUE!</v>
      </c>
      <c r="BU1243" s="62"/>
      <c r="BV1243" s="8" t="e">
        <v>#VALUE!</v>
      </c>
      <c r="BW1243" s="58" t="e">
        <f>VLOOKUP(AQ1243,'[1]Harga &amp; Nama CSO'!$A$28:$D$31,4,0)*BQ1243</f>
        <v>#N/A</v>
      </c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44">
        <f>IFERROR(VLOOKUP(AQ1245,'[2]Harga &amp; Nama CSO'!$A$116:$S$136,19,FALSE),0)*AV1245</f>
        <v>0</v>
      </c>
      <c r="BO1244" s="55" t="e">
        <f>IFERROR(VLOOKUP(AQ1244,'[1]Harga &amp; Nama CSO'!$H$2:$N$22,2,FALSE),"")*AV1244</f>
        <v>#VALUE!</v>
      </c>
      <c r="BP1244" s="40"/>
      <c r="BQ1244" s="4"/>
      <c r="BR1244" s="61"/>
      <c r="BS1244" s="4"/>
      <c r="BT1244" s="57" t="e">
        <f t="shared" si="53"/>
        <v>#VALUE!</v>
      </c>
      <c r="BU1244" s="62"/>
      <c r="BV1244" s="8" t="e">
        <v>#VALUE!</v>
      </c>
      <c r="BW1244" s="58" t="e">
        <f>VLOOKUP(AQ1244,'[1]Harga &amp; Nama CSO'!$A$28:$D$31,4,0)*BQ1244</f>
        <v>#N/A</v>
      </c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44">
        <f>IFERROR(VLOOKUP(AQ1246,'[2]Harga &amp; Nama CSO'!$A$116:$S$136,19,FALSE),0)*AV1246</f>
        <v>0</v>
      </c>
      <c r="BO1245" s="55" t="e">
        <f>IFERROR(VLOOKUP(AQ1245,'[1]Harga &amp; Nama CSO'!$H$2:$N$22,2,FALSE),"")*AV1245</f>
        <v>#VALUE!</v>
      </c>
      <c r="BP1245" s="40"/>
      <c r="BQ1245" s="4"/>
      <c r="BR1245" s="61"/>
      <c r="BS1245" s="4"/>
      <c r="BT1245" s="57" t="e">
        <f t="shared" si="53"/>
        <v>#VALUE!</v>
      </c>
      <c r="BU1245" s="62"/>
      <c r="BV1245" s="8" t="e">
        <v>#VALUE!</v>
      </c>
      <c r="BW1245" s="58" t="e">
        <f>VLOOKUP(AQ1245,'[1]Harga &amp; Nama CSO'!$A$28:$D$31,4,0)*BQ1245</f>
        <v>#N/A</v>
      </c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44">
        <f>IFERROR(VLOOKUP(AQ1247,'[2]Harga &amp; Nama CSO'!$A$116:$S$136,19,FALSE),0)*AV1247</f>
        <v>0</v>
      </c>
      <c r="BO1246" s="55" t="e">
        <f>IFERROR(VLOOKUP(AQ1246,'[1]Harga &amp; Nama CSO'!$H$2:$N$22,2,FALSE),"")*AV1246</f>
        <v>#VALUE!</v>
      </c>
      <c r="BP1246" s="40"/>
      <c r="BQ1246" s="4"/>
      <c r="BR1246" s="61"/>
      <c r="BS1246" s="4"/>
      <c r="BT1246" s="57" t="e">
        <f t="shared" si="53"/>
        <v>#VALUE!</v>
      </c>
      <c r="BU1246" s="62"/>
      <c r="BV1246" s="8" t="e">
        <v>#VALUE!</v>
      </c>
      <c r="BW1246" s="58" t="e">
        <f>VLOOKUP(AQ1246,'[1]Harga &amp; Nama CSO'!$A$28:$D$31,4,0)*BQ1246</f>
        <v>#N/A</v>
      </c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44">
        <f>IFERROR(VLOOKUP(AQ1248,'[2]Harga &amp; Nama CSO'!$A$116:$S$136,19,FALSE),0)*AV1248</f>
        <v>0</v>
      </c>
      <c r="BO1247" s="55" t="e">
        <f>IFERROR(VLOOKUP(AQ1247,'[1]Harga &amp; Nama CSO'!$H$2:$N$22,2,FALSE),"")*AV1247</f>
        <v>#VALUE!</v>
      </c>
      <c r="BP1247" s="40"/>
      <c r="BQ1247" s="4"/>
      <c r="BR1247" s="61"/>
      <c r="BS1247" s="4"/>
      <c r="BT1247" s="57" t="e">
        <f t="shared" si="53"/>
        <v>#VALUE!</v>
      </c>
      <c r="BU1247" s="62"/>
      <c r="BV1247" s="8" t="e">
        <v>#VALUE!</v>
      </c>
      <c r="BW1247" s="58" t="e">
        <f>VLOOKUP(AQ1247,'[1]Harga &amp; Nama CSO'!$A$28:$D$31,4,0)*BQ1247</f>
        <v>#N/A</v>
      </c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44">
        <f>IFERROR(VLOOKUP(AQ1249,'[2]Harga &amp; Nama CSO'!$A$116:$S$136,19,FALSE),0)*AV1249</f>
        <v>0</v>
      </c>
      <c r="BO1248" s="55" t="e">
        <f>IFERROR(VLOOKUP(AQ1248,'[1]Harga &amp; Nama CSO'!$H$2:$N$22,2,FALSE),"")*AV1248</f>
        <v>#VALUE!</v>
      </c>
      <c r="BP1248" s="40"/>
      <c r="BQ1248" s="4"/>
      <c r="BR1248" s="61"/>
      <c r="BS1248" s="4"/>
      <c r="BT1248" s="57" t="e">
        <f t="shared" si="53"/>
        <v>#VALUE!</v>
      </c>
      <c r="BU1248" s="62"/>
      <c r="BV1248" s="8" t="e">
        <v>#VALUE!</v>
      </c>
      <c r="BW1248" s="58" t="e">
        <f>VLOOKUP(AQ1248,'[1]Harga &amp; Nama CSO'!$A$28:$D$31,4,0)*BQ1248</f>
        <v>#N/A</v>
      </c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44">
        <f>IFERROR(VLOOKUP(AQ1250,'[2]Harga &amp; Nama CSO'!$A$116:$S$136,19,FALSE),0)*AV1250</f>
        <v>0</v>
      </c>
      <c r="BO1249" s="55" t="e">
        <f>IFERROR(VLOOKUP(AQ1249,'[1]Harga &amp; Nama CSO'!$H$2:$N$22,2,FALSE),"")*AV1249</f>
        <v>#VALUE!</v>
      </c>
      <c r="BP1249" s="40"/>
      <c r="BQ1249" s="4"/>
      <c r="BR1249" s="61"/>
      <c r="BS1249" s="4"/>
      <c r="BT1249" s="57" t="e">
        <f t="shared" si="53"/>
        <v>#VALUE!</v>
      </c>
      <c r="BU1249" s="62"/>
      <c r="BV1249" s="8" t="e">
        <v>#VALUE!</v>
      </c>
      <c r="BW1249" s="58" t="e">
        <f>VLOOKUP(AQ1249,'[1]Harga &amp; Nama CSO'!$A$28:$D$31,4,0)*BQ1249</f>
        <v>#N/A</v>
      </c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44">
        <f>IFERROR(VLOOKUP(AQ1251,'[2]Harga &amp; Nama CSO'!$A$116:$S$136,19,FALSE),0)*AV1251</f>
        <v>0</v>
      </c>
      <c r="BO1250" s="55" t="e">
        <f>IFERROR(VLOOKUP(AQ1250,'[1]Harga &amp; Nama CSO'!$H$2:$N$22,2,FALSE),"")*AV1250</f>
        <v>#VALUE!</v>
      </c>
      <c r="BP1250" s="40"/>
      <c r="BQ1250" s="4"/>
      <c r="BR1250" s="61"/>
      <c r="BS1250" s="4"/>
      <c r="BT1250" s="57" t="e">
        <f t="shared" si="53"/>
        <v>#VALUE!</v>
      </c>
      <c r="BU1250" s="62"/>
      <c r="BV1250" s="8" t="e">
        <v>#VALUE!</v>
      </c>
      <c r="BW1250" s="58" t="e">
        <f>VLOOKUP(AQ1250,'[1]Harga &amp; Nama CSO'!$A$28:$D$31,4,0)*BQ1250</f>
        <v>#N/A</v>
      </c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44">
        <f>IFERROR(VLOOKUP(AQ1252,'[2]Harga &amp; Nama CSO'!$A$116:$S$136,19,FALSE),0)*AV1252</f>
        <v>0</v>
      </c>
      <c r="BO1251" s="55" t="e">
        <f>IFERROR(VLOOKUP(AQ1251,'[1]Harga &amp; Nama CSO'!$H$2:$N$22,2,FALSE),"")*AV1251</f>
        <v>#VALUE!</v>
      </c>
      <c r="BP1251" s="40"/>
      <c r="BQ1251" s="4"/>
      <c r="BR1251" s="61"/>
      <c r="BS1251" s="4"/>
      <c r="BT1251" s="57" t="e">
        <f t="shared" si="53"/>
        <v>#VALUE!</v>
      </c>
      <c r="BU1251" s="62"/>
      <c r="BV1251" s="8" t="e">
        <v>#VALUE!</v>
      </c>
      <c r="BW1251" s="58" t="e">
        <f>VLOOKUP(AQ1251,'[1]Harga &amp; Nama CSO'!$A$28:$D$31,4,0)*BQ1251</f>
        <v>#N/A</v>
      </c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44">
        <f>IFERROR(VLOOKUP(AQ1253,'[2]Harga &amp; Nama CSO'!$A$116:$S$136,19,FALSE),0)*AV1253</f>
        <v>0</v>
      </c>
      <c r="BO1252" s="55" t="e">
        <f>IFERROR(VLOOKUP(AQ1252,'[1]Harga &amp; Nama CSO'!$H$2:$N$22,2,FALSE),"")*AV1252</f>
        <v>#VALUE!</v>
      </c>
      <c r="BP1252" s="40"/>
      <c r="BQ1252" s="4"/>
      <c r="BR1252" s="61"/>
      <c r="BS1252" s="4"/>
      <c r="BT1252" s="57" t="e">
        <f t="shared" si="53"/>
        <v>#VALUE!</v>
      </c>
      <c r="BU1252" s="62"/>
      <c r="BV1252" s="8" t="e">
        <v>#VALUE!</v>
      </c>
      <c r="BW1252" s="58" t="e">
        <f>VLOOKUP(AQ1252,'[1]Harga &amp; Nama CSO'!$A$28:$D$31,4,0)*BQ1252</f>
        <v>#N/A</v>
      </c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44">
        <f>IFERROR(VLOOKUP(AQ1254,'[2]Harga &amp; Nama CSO'!$A$116:$S$136,19,FALSE),0)*AV1254</f>
        <v>0</v>
      </c>
      <c r="BO1253" s="55" t="e">
        <f>IFERROR(VLOOKUP(AQ1253,'[1]Harga &amp; Nama CSO'!$H$2:$N$22,2,FALSE),"")*AV1253</f>
        <v>#VALUE!</v>
      </c>
      <c r="BP1253" s="40"/>
      <c r="BQ1253" s="4"/>
      <c r="BR1253" s="61"/>
      <c r="BS1253" s="4"/>
      <c r="BT1253" s="57" t="e">
        <f t="shared" si="53"/>
        <v>#VALUE!</v>
      </c>
      <c r="BU1253" s="62"/>
      <c r="BV1253" s="8" t="e">
        <v>#VALUE!</v>
      </c>
      <c r="BW1253" s="58" t="e">
        <f>VLOOKUP(AQ1253,'[1]Harga &amp; Nama CSO'!$A$28:$D$31,4,0)*BQ1253</f>
        <v>#N/A</v>
      </c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44">
        <f>IFERROR(VLOOKUP(AQ1255,'[2]Harga &amp; Nama CSO'!$A$116:$S$136,19,FALSE),0)*AV1255</f>
        <v>0</v>
      </c>
      <c r="BO1254" s="55" t="e">
        <f>IFERROR(VLOOKUP(AQ1254,'[1]Harga &amp; Nama CSO'!$H$2:$N$22,2,FALSE),"")*AV1254</f>
        <v>#VALUE!</v>
      </c>
      <c r="BP1254" s="40"/>
      <c r="BQ1254" s="4"/>
      <c r="BR1254" s="61"/>
      <c r="BS1254" s="4"/>
      <c r="BT1254" s="57" t="e">
        <f t="shared" si="53"/>
        <v>#VALUE!</v>
      </c>
      <c r="BU1254" s="62"/>
      <c r="BV1254" s="8" t="e">
        <v>#VALUE!</v>
      </c>
      <c r="BW1254" s="58" t="e">
        <f>VLOOKUP(AQ1254,'[1]Harga &amp; Nama CSO'!$A$28:$D$31,4,0)*BQ1254</f>
        <v>#N/A</v>
      </c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44">
        <f>IFERROR(VLOOKUP(AQ1256,'[2]Harga &amp; Nama CSO'!$A$116:$S$136,19,FALSE),0)*AV1256</f>
        <v>0</v>
      </c>
      <c r="BO1255" s="55" t="e">
        <f>IFERROR(VLOOKUP(AQ1255,'[1]Harga &amp; Nama CSO'!$H$2:$N$22,2,FALSE),"")*AV1255</f>
        <v>#VALUE!</v>
      </c>
      <c r="BP1255" s="40"/>
      <c r="BQ1255" s="4"/>
      <c r="BR1255" s="61"/>
      <c r="BS1255" s="4"/>
      <c r="BT1255" s="57" t="e">
        <f t="shared" si="53"/>
        <v>#VALUE!</v>
      </c>
      <c r="BU1255" s="62"/>
      <c r="BV1255" s="8" t="e">
        <v>#VALUE!</v>
      </c>
      <c r="BW1255" s="58" t="e">
        <f>VLOOKUP(AQ1255,'[1]Harga &amp; Nama CSO'!$A$28:$D$31,4,0)*BQ1255</f>
        <v>#N/A</v>
      </c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44">
        <f>IFERROR(VLOOKUP(AQ1257,'[2]Harga &amp; Nama CSO'!$A$116:$S$136,19,FALSE),0)*AV1257</f>
        <v>0</v>
      </c>
      <c r="BO1256" s="55" t="e">
        <f>IFERROR(VLOOKUP(AQ1256,'[1]Harga &amp; Nama CSO'!$H$2:$N$22,2,FALSE),"")*AV1256</f>
        <v>#VALUE!</v>
      </c>
      <c r="BP1256" s="40"/>
      <c r="BQ1256" s="4"/>
      <c r="BR1256" s="61"/>
      <c r="BS1256" s="4"/>
      <c r="BT1256" s="57" t="e">
        <f t="shared" si="53"/>
        <v>#VALUE!</v>
      </c>
      <c r="BU1256" s="62"/>
      <c r="BV1256" s="8" t="e">
        <v>#VALUE!</v>
      </c>
      <c r="BW1256" s="58" t="e">
        <f>VLOOKUP(AQ1256,'[1]Harga &amp; Nama CSO'!$A$28:$D$31,4,0)*BQ1256</f>
        <v>#N/A</v>
      </c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44">
        <f>IFERROR(VLOOKUP(AQ1258,'[2]Harga &amp; Nama CSO'!$A$116:$S$136,19,FALSE),0)*AV1258</f>
        <v>0</v>
      </c>
      <c r="BO1257" s="55" t="e">
        <f>IFERROR(VLOOKUP(AQ1257,'[1]Harga &amp; Nama CSO'!$H$2:$N$22,2,FALSE),"")*AV1257</f>
        <v>#VALUE!</v>
      </c>
      <c r="BP1257" s="40"/>
      <c r="BQ1257" s="4"/>
      <c r="BR1257" s="61"/>
      <c r="BS1257" s="4"/>
      <c r="BT1257" s="57" t="e">
        <f t="shared" si="53"/>
        <v>#VALUE!</v>
      </c>
      <c r="BU1257" s="62"/>
      <c r="BV1257" s="8" t="e">
        <v>#VALUE!</v>
      </c>
      <c r="BW1257" s="58" t="e">
        <f>VLOOKUP(AQ1257,'[1]Harga &amp; Nama CSO'!$A$28:$D$31,4,0)*BQ1257</f>
        <v>#N/A</v>
      </c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44">
        <f>IFERROR(VLOOKUP(AQ1259,'[2]Harga &amp; Nama CSO'!$A$116:$S$136,19,FALSE),0)*AV1259</f>
        <v>0</v>
      </c>
      <c r="BO1258" s="55" t="e">
        <f>IFERROR(VLOOKUP(AQ1258,'[1]Harga &amp; Nama CSO'!$H$2:$N$22,2,FALSE),"")*AV1258</f>
        <v>#VALUE!</v>
      </c>
      <c r="BP1258" s="40"/>
      <c r="BQ1258" s="4"/>
      <c r="BR1258" s="61"/>
      <c r="BS1258" s="4"/>
      <c r="BT1258" s="57" t="e">
        <f t="shared" si="53"/>
        <v>#VALUE!</v>
      </c>
      <c r="BU1258" s="62"/>
      <c r="BV1258" s="8" t="e">
        <v>#VALUE!</v>
      </c>
      <c r="BW1258" s="58" t="e">
        <f>VLOOKUP(AQ1258,'[1]Harga &amp; Nama CSO'!$A$28:$D$31,4,0)*BQ1258</f>
        <v>#N/A</v>
      </c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44">
        <f>IFERROR(VLOOKUP(AQ1260,'[2]Harga &amp; Nama CSO'!$A$116:$S$136,19,FALSE),0)*AV1260</f>
        <v>0</v>
      </c>
      <c r="BO1259" s="55" t="e">
        <f>IFERROR(VLOOKUP(AQ1259,'[1]Harga &amp; Nama CSO'!$H$2:$N$22,2,FALSE),"")*AV1259</f>
        <v>#VALUE!</v>
      </c>
      <c r="BP1259" s="40"/>
      <c r="BQ1259" s="4"/>
      <c r="BR1259" s="61"/>
      <c r="BS1259" s="4"/>
      <c r="BT1259" s="57" t="e">
        <f t="shared" si="53"/>
        <v>#VALUE!</v>
      </c>
      <c r="BU1259" s="62"/>
      <c r="BV1259" s="8" t="e">
        <v>#VALUE!</v>
      </c>
      <c r="BW1259" s="58" t="e">
        <f>VLOOKUP(AQ1259,'[1]Harga &amp; Nama CSO'!$A$28:$D$31,4,0)*BQ1259</f>
        <v>#N/A</v>
      </c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44">
        <f>IFERROR(VLOOKUP(AQ1261,'[2]Harga &amp; Nama CSO'!$A$116:$S$136,19,FALSE),0)*AV1261</f>
        <v>0</v>
      </c>
      <c r="BO1260" s="55" t="e">
        <f>IFERROR(VLOOKUP(AQ1260,'[1]Harga &amp; Nama CSO'!$H$2:$N$22,2,FALSE),"")*AV1260</f>
        <v>#VALUE!</v>
      </c>
      <c r="BP1260" s="40"/>
      <c r="BQ1260" s="4"/>
      <c r="BR1260" s="61"/>
      <c r="BS1260" s="4"/>
      <c r="BT1260" s="57" t="e">
        <f t="shared" si="53"/>
        <v>#VALUE!</v>
      </c>
      <c r="BU1260" s="62"/>
      <c r="BV1260" s="8" t="e">
        <v>#VALUE!</v>
      </c>
      <c r="BW1260" s="58" t="e">
        <f>VLOOKUP(AQ1260,'[1]Harga &amp; Nama CSO'!$A$28:$D$31,4,0)*BQ1260</f>
        <v>#N/A</v>
      </c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44">
        <f>IFERROR(VLOOKUP(AQ1262,'[2]Harga &amp; Nama CSO'!$A$116:$S$136,19,FALSE),0)*AV1262</f>
        <v>0</v>
      </c>
      <c r="BO1261" s="55" t="e">
        <f>IFERROR(VLOOKUP(AQ1261,'[1]Harga &amp; Nama CSO'!$H$2:$N$22,2,FALSE),"")*AV1261</f>
        <v>#VALUE!</v>
      </c>
      <c r="BP1261" s="40"/>
      <c r="BQ1261" s="4"/>
      <c r="BR1261" s="61"/>
      <c r="BS1261" s="4"/>
      <c r="BT1261" s="57" t="e">
        <f t="shared" si="53"/>
        <v>#VALUE!</v>
      </c>
      <c r="BU1261" s="62"/>
      <c r="BV1261" s="8" t="e">
        <v>#VALUE!</v>
      </c>
      <c r="BW1261" s="58" t="e">
        <f>VLOOKUP(AQ1261,'[1]Harga &amp; Nama CSO'!$A$28:$D$31,4,0)*BQ1261</f>
        <v>#N/A</v>
      </c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44">
        <f>IFERROR(VLOOKUP(AQ1263,'[2]Harga &amp; Nama CSO'!$A$116:$S$136,19,FALSE),0)*AV1263</f>
        <v>0</v>
      </c>
      <c r="BO1262" s="55" t="e">
        <f>IFERROR(VLOOKUP(AQ1262,'[1]Harga &amp; Nama CSO'!$H$2:$N$22,2,FALSE),"")*AV1262</f>
        <v>#VALUE!</v>
      </c>
      <c r="BP1262" s="40"/>
      <c r="BQ1262" s="4"/>
      <c r="BR1262" s="61"/>
      <c r="BS1262" s="4"/>
      <c r="BT1262" s="57" t="e">
        <f t="shared" si="53"/>
        <v>#VALUE!</v>
      </c>
      <c r="BU1262" s="62"/>
      <c r="BV1262" s="8" t="e">
        <v>#VALUE!</v>
      </c>
      <c r="BW1262" s="58" t="e">
        <f>VLOOKUP(AQ1262,'[1]Harga &amp; Nama CSO'!$A$28:$D$31,4,0)*BQ1262</f>
        <v>#N/A</v>
      </c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44">
        <f>IFERROR(VLOOKUP(AQ1264,'[2]Harga &amp; Nama CSO'!$A$116:$S$136,19,FALSE),0)*AV1264</f>
        <v>0</v>
      </c>
      <c r="BO1263" s="55" t="e">
        <f>IFERROR(VLOOKUP(AQ1263,'[1]Harga &amp; Nama CSO'!$H$2:$N$22,2,FALSE),"")*AV1263</f>
        <v>#VALUE!</v>
      </c>
      <c r="BP1263" s="40"/>
      <c r="BQ1263" s="4"/>
      <c r="BR1263" s="61"/>
      <c r="BS1263" s="4"/>
      <c r="BT1263" s="57" t="e">
        <f t="shared" si="53"/>
        <v>#VALUE!</v>
      </c>
      <c r="BU1263" s="62"/>
      <c r="BV1263" s="8" t="e">
        <v>#VALUE!</v>
      </c>
      <c r="BW1263" s="58" t="e">
        <f>VLOOKUP(AQ1263,'[1]Harga &amp; Nama CSO'!$A$28:$D$31,4,0)*BQ1263</f>
        <v>#N/A</v>
      </c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44">
        <f>IFERROR(VLOOKUP(AQ1265,'[2]Harga &amp; Nama CSO'!$A$116:$S$136,19,FALSE),0)*AV1265</f>
        <v>0</v>
      </c>
      <c r="BO1264" s="55" t="e">
        <f>IFERROR(VLOOKUP(AQ1264,'[1]Harga &amp; Nama CSO'!$H$2:$N$22,2,FALSE),"")*AV1264</f>
        <v>#VALUE!</v>
      </c>
      <c r="BP1264" s="40"/>
      <c r="BQ1264" s="4"/>
      <c r="BR1264" s="61"/>
      <c r="BS1264" s="4"/>
      <c r="BT1264" s="57" t="e">
        <f t="shared" si="53"/>
        <v>#VALUE!</v>
      </c>
      <c r="BU1264" s="62"/>
      <c r="BV1264" s="8" t="e">
        <v>#VALUE!</v>
      </c>
      <c r="BW1264" s="58" t="e">
        <f>VLOOKUP(AQ1264,'[1]Harga &amp; Nama CSO'!$A$28:$D$31,4,0)*BQ1264</f>
        <v>#N/A</v>
      </c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44">
        <f>IFERROR(VLOOKUP(AQ1266,'[2]Harga &amp; Nama CSO'!$A$116:$S$136,19,FALSE),0)*AV1266</f>
        <v>0</v>
      </c>
      <c r="BO1265" s="55" t="e">
        <f>IFERROR(VLOOKUP(AQ1265,'[1]Harga &amp; Nama CSO'!$H$2:$N$22,2,FALSE),"")*AV1265</f>
        <v>#VALUE!</v>
      </c>
      <c r="BP1265" s="40"/>
      <c r="BQ1265" s="4"/>
      <c r="BR1265" s="61"/>
      <c r="BS1265" s="4"/>
      <c r="BT1265" s="57" t="e">
        <f t="shared" si="53"/>
        <v>#VALUE!</v>
      </c>
      <c r="BU1265" s="62"/>
      <c r="BV1265" s="8" t="e">
        <v>#VALUE!</v>
      </c>
      <c r="BW1265" s="58" t="e">
        <f>VLOOKUP(AQ1265,'[1]Harga &amp; Nama CSO'!$A$28:$D$31,4,0)*BQ1265</f>
        <v>#N/A</v>
      </c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44">
        <f>IFERROR(VLOOKUP(AQ1267,'[2]Harga &amp; Nama CSO'!$A$116:$S$136,19,FALSE),0)*AV1267</f>
        <v>0</v>
      </c>
      <c r="BO1266" s="55" t="e">
        <f>IFERROR(VLOOKUP(AQ1266,'[1]Harga &amp; Nama CSO'!$H$2:$N$22,2,FALSE),"")*AV1266</f>
        <v>#VALUE!</v>
      </c>
      <c r="BP1266" s="40"/>
      <c r="BQ1266" s="4"/>
      <c r="BR1266" s="61"/>
      <c r="BS1266" s="4"/>
      <c r="BT1266" s="57" t="e">
        <f t="shared" si="53"/>
        <v>#VALUE!</v>
      </c>
      <c r="BU1266" s="62"/>
      <c r="BV1266" s="8" t="e">
        <v>#VALUE!</v>
      </c>
      <c r="BW1266" s="58" t="e">
        <f>VLOOKUP(AQ1266,'[1]Harga &amp; Nama CSO'!$A$28:$D$31,4,0)*BQ1266</f>
        <v>#N/A</v>
      </c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44">
        <f>IFERROR(VLOOKUP(AQ1268,'[2]Harga &amp; Nama CSO'!$A$116:$S$136,19,FALSE),0)*AV1268</f>
        <v>0</v>
      </c>
      <c r="BO1267" s="55" t="e">
        <f>IFERROR(VLOOKUP(AQ1267,'[1]Harga &amp; Nama CSO'!$H$2:$N$22,2,FALSE),"")*AV1267</f>
        <v>#VALUE!</v>
      </c>
      <c r="BP1267" s="40"/>
      <c r="BQ1267" s="4"/>
      <c r="BR1267" s="61"/>
      <c r="BS1267" s="4"/>
      <c r="BT1267" s="57" t="e">
        <f t="shared" si="53"/>
        <v>#VALUE!</v>
      </c>
      <c r="BU1267" s="62"/>
      <c r="BV1267" s="8" t="e">
        <v>#VALUE!</v>
      </c>
      <c r="BW1267" s="58" t="e">
        <f>VLOOKUP(AQ1267,'[1]Harga &amp; Nama CSO'!$A$28:$D$31,4,0)*BQ1267</f>
        <v>#N/A</v>
      </c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44">
        <f>IFERROR(VLOOKUP(AQ1269,'[2]Harga &amp; Nama CSO'!$A$116:$S$136,19,FALSE),0)*AV1269</f>
        <v>0</v>
      </c>
      <c r="BO1268" s="55" t="e">
        <f>IFERROR(VLOOKUP(AQ1268,'[1]Harga &amp; Nama CSO'!$H$2:$N$22,2,FALSE),"")*AV1268</f>
        <v>#VALUE!</v>
      </c>
      <c r="BP1268" s="40"/>
      <c r="BQ1268" s="4"/>
      <c r="BR1268" s="61"/>
      <c r="BS1268" s="4"/>
      <c r="BT1268" s="57" t="e">
        <f t="shared" si="53"/>
        <v>#VALUE!</v>
      </c>
      <c r="BU1268" s="62"/>
      <c r="BV1268" s="8" t="e">
        <v>#VALUE!</v>
      </c>
      <c r="BW1268" s="58" t="e">
        <f>VLOOKUP(AQ1268,'[1]Harga &amp; Nama CSO'!$A$28:$D$31,4,0)*BQ1268</f>
        <v>#N/A</v>
      </c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44">
        <f>IFERROR(VLOOKUP(AQ1270,'[2]Harga &amp; Nama CSO'!$A$116:$S$136,19,FALSE),0)*AV1270</f>
        <v>0</v>
      </c>
      <c r="BO1269" s="55" t="e">
        <f>IFERROR(VLOOKUP(AQ1269,'[1]Harga &amp; Nama CSO'!$H$2:$N$22,2,FALSE),"")*AV1269</f>
        <v>#VALUE!</v>
      </c>
      <c r="BP1269" s="40"/>
      <c r="BQ1269" s="4"/>
      <c r="BR1269" s="61"/>
      <c r="BS1269" s="4"/>
      <c r="BT1269" s="57" t="e">
        <f t="shared" si="53"/>
        <v>#VALUE!</v>
      </c>
      <c r="BU1269" s="62"/>
      <c r="BV1269" s="8" t="e">
        <v>#VALUE!</v>
      </c>
      <c r="BW1269" s="58" t="e">
        <f>VLOOKUP(AQ1269,'[1]Harga &amp; Nama CSO'!$A$28:$D$31,4,0)*BQ1269</f>
        <v>#N/A</v>
      </c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44">
        <f>IFERROR(VLOOKUP(AQ1271,'[2]Harga &amp; Nama CSO'!$A$116:$S$136,19,FALSE),0)*AV1271</f>
        <v>0</v>
      </c>
      <c r="BO1270" s="55" t="e">
        <f>IFERROR(VLOOKUP(AQ1270,'[1]Harga &amp; Nama CSO'!$H$2:$N$22,2,FALSE),"")*AV1270</f>
        <v>#VALUE!</v>
      </c>
      <c r="BP1270" s="40"/>
      <c r="BQ1270" s="4"/>
      <c r="BR1270" s="61"/>
      <c r="BS1270" s="4"/>
      <c r="BT1270" s="57" t="e">
        <f t="shared" si="53"/>
        <v>#VALUE!</v>
      </c>
      <c r="BU1270" s="62"/>
      <c r="BV1270" s="8" t="e">
        <v>#VALUE!</v>
      </c>
      <c r="BW1270" s="58" t="e">
        <f>VLOOKUP(AQ1270,'[1]Harga &amp; Nama CSO'!$A$28:$D$31,4,0)*BQ1270</f>
        <v>#N/A</v>
      </c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44">
        <f>IFERROR(VLOOKUP(AQ1272,'[2]Harga &amp; Nama CSO'!$A$116:$S$136,19,FALSE),0)*AV1272</f>
        <v>0</v>
      </c>
      <c r="BO1271" s="55" t="e">
        <f>IFERROR(VLOOKUP(AQ1271,'[1]Harga &amp; Nama CSO'!$H$2:$N$22,2,FALSE),"")*AV1271</f>
        <v>#VALUE!</v>
      </c>
      <c r="BP1271" s="40"/>
      <c r="BQ1271" s="4"/>
      <c r="BR1271" s="61"/>
      <c r="BS1271" s="4"/>
      <c r="BT1271" s="57" t="e">
        <f t="shared" si="53"/>
        <v>#VALUE!</v>
      </c>
      <c r="BU1271" s="62"/>
      <c r="BV1271" s="8" t="e">
        <v>#VALUE!</v>
      </c>
      <c r="BW1271" s="58" t="e">
        <f>VLOOKUP(AQ1271,'[1]Harga &amp; Nama CSO'!$A$28:$D$31,4,0)*BQ1271</f>
        <v>#N/A</v>
      </c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44">
        <f>IFERROR(VLOOKUP(AQ1273,'[2]Harga &amp; Nama CSO'!$A$116:$S$136,19,FALSE),0)*AV1273</f>
        <v>0</v>
      </c>
      <c r="BO1272" s="55" t="e">
        <f>IFERROR(VLOOKUP(AQ1272,'[1]Harga &amp; Nama CSO'!$H$2:$N$22,2,FALSE),"")*AV1272</f>
        <v>#VALUE!</v>
      </c>
      <c r="BP1272" s="40"/>
      <c r="BQ1272" s="4"/>
      <c r="BR1272" s="61"/>
      <c r="BS1272" s="4"/>
      <c r="BT1272" s="57" t="e">
        <f t="shared" si="53"/>
        <v>#VALUE!</v>
      </c>
      <c r="BU1272" s="62"/>
      <c r="BV1272" s="8" t="e">
        <v>#VALUE!</v>
      </c>
      <c r="BW1272" s="58" t="e">
        <f>VLOOKUP(AQ1272,'[1]Harga &amp; Nama CSO'!$A$28:$D$31,4,0)*BQ1272</f>
        <v>#N/A</v>
      </c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44">
        <f>IFERROR(VLOOKUP(AQ1274,'[2]Harga &amp; Nama CSO'!$A$116:$S$136,19,FALSE),0)*AV1274</f>
        <v>0</v>
      </c>
      <c r="BO1273" s="55" t="e">
        <f>IFERROR(VLOOKUP(AQ1273,'[1]Harga &amp; Nama CSO'!$H$2:$N$22,2,FALSE),"")*AV1273</f>
        <v>#VALUE!</v>
      </c>
      <c r="BP1273" s="40"/>
      <c r="BQ1273" s="4"/>
      <c r="BR1273" s="61"/>
      <c r="BS1273" s="4"/>
      <c r="BT1273" s="57" t="e">
        <f t="shared" si="53"/>
        <v>#VALUE!</v>
      </c>
      <c r="BU1273" s="62"/>
      <c r="BV1273" s="8" t="e">
        <v>#VALUE!</v>
      </c>
      <c r="BW1273" s="58" t="e">
        <f>VLOOKUP(AQ1273,'[1]Harga &amp; Nama CSO'!$A$28:$D$31,4,0)*BQ1273</f>
        <v>#N/A</v>
      </c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44">
        <f>IFERROR(VLOOKUP(AQ1275,'[2]Harga &amp; Nama CSO'!$A$116:$S$136,19,FALSE),0)*AV1275</f>
        <v>0</v>
      </c>
      <c r="BO1274" s="55" t="e">
        <f>IFERROR(VLOOKUP(AQ1274,'[1]Harga &amp; Nama CSO'!$H$2:$N$22,2,FALSE),"")*AV1274</f>
        <v>#VALUE!</v>
      </c>
      <c r="BP1274" s="40"/>
      <c r="BQ1274" s="4"/>
      <c r="BR1274" s="61"/>
      <c r="BS1274" s="4"/>
      <c r="BT1274" s="57" t="e">
        <f t="shared" si="53"/>
        <v>#VALUE!</v>
      </c>
      <c r="BU1274" s="62"/>
      <c r="BV1274" s="8" t="e">
        <v>#VALUE!</v>
      </c>
      <c r="BW1274" s="58" t="e">
        <f>VLOOKUP(AQ1274,'[1]Harga &amp; Nama CSO'!$A$28:$D$31,4,0)*BQ1274</f>
        <v>#N/A</v>
      </c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44">
        <f>IFERROR(VLOOKUP(AQ1276,'[2]Harga &amp; Nama CSO'!$A$116:$S$136,19,FALSE),0)*AV1276</f>
        <v>0</v>
      </c>
      <c r="BO1275" s="55" t="e">
        <f>IFERROR(VLOOKUP(AQ1275,'[1]Harga &amp; Nama CSO'!$H$2:$N$22,2,FALSE),"")*AV1275</f>
        <v>#VALUE!</v>
      </c>
      <c r="BP1275" s="40"/>
      <c r="BQ1275" s="4"/>
      <c r="BR1275" s="61"/>
      <c r="BS1275" s="4"/>
      <c r="BT1275" s="57" t="e">
        <f t="shared" si="53"/>
        <v>#VALUE!</v>
      </c>
      <c r="BU1275" s="62"/>
      <c r="BV1275" s="8" t="e">
        <v>#VALUE!</v>
      </c>
      <c r="BW1275" s="58" t="e">
        <f>VLOOKUP(AQ1275,'[1]Harga &amp; Nama CSO'!$A$28:$D$31,4,0)*BQ1275</f>
        <v>#N/A</v>
      </c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44">
        <f>IFERROR(VLOOKUP(AQ1277,'[2]Harga &amp; Nama CSO'!$A$116:$S$136,19,FALSE),0)*AV1277</f>
        <v>0</v>
      </c>
      <c r="BO1276" s="55" t="e">
        <f>IFERROR(VLOOKUP(AQ1276,'[1]Harga &amp; Nama CSO'!$H$2:$N$22,2,FALSE),"")*AV1276</f>
        <v>#VALUE!</v>
      </c>
      <c r="BP1276" s="40"/>
      <c r="BQ1276" s="4"/>
      <c r="BR1276" s="61"/>
      <c r="BS1276" s="4"/>
      <c r="BT1276" s="57" t="e">
        <f t="shared" si="53"/>
        <v>#VALUE!</v>
      </c>
      <c r="BU1276" s="62"/>
      <c r="BV1276" s="8" t="e">
        <v>#VALUE!</v>
      </c>
      <c r="BW1276" s="58" t="e">
        <f>VLOOKUP(AQ1276,'[1]Harga &amp; Nama CSO'!$A$28:$D$31,4,0)*BQ1276</f>
        <v>#N/A</v>
      </c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44">
        <f>IFERROR(VLOOKUP(AQ1278,'[2]Harga &amp; Nama CSO'!$A$116:$S$136,19,FALSE),0)*AV1278</f>
        <v>0</v>
      </c>
      <c r="BO1277" s="55" t="e">
        <f>IFERROR(VLOOKUP(AQ1277,'[1]Harga &amp; Nama CSO'!$H$2:$N$22,2,FALSE),"")*AV1277</f>
        <v>#VALUE!</v>
      </c>
      <c r="BP1277" s="40"/>
      <c r="BQ1277" s="4"/>
      <c r="BR1277" s="61"/>
      <c r="BS1277" s="4"/>
      <c r="BT1277" s="57" t="e">
        <f t="shared" si="53"/>
        <v>#VALUE!</v>
      </c>
      <c r="BU1277" s="62"/>
      <c r="BV1277" s="8" t="e">
        <v>#VALUE!</v>
      </c>
      <c r="BW1277" s="58" t="e">
        <f>VLOOKUP(AQ1277,'[1]Harga &amp; Nama CSO'!$A$28:$D$31,4,0)*BQ1277</f>
        <v>#N/A</v>
      </c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44">
        <f>IFERROR(VLOOKUP(AQ1279,'[2]Harga &amp; Nama CSO'!$A$116:$S$136,19,FALSE),0)*AV1279</f>
        <v>0</v>
      </c>
      <c r="BO1278" s="55" t="e">
        <f>IFERROR(VLOOKUP(AQ1278,'[1]Harga &amp; Nama CSO'!$H$2:$N$22,2,FALSE),"")*AV1278</f>
        <v>#VALUE!</v>
      </c>
      <c r="BP1278" s="40"/>
      <c r="BQ1278" s="4"/>
      <c r="BR1278" s="61"/>
      <c r="BS1278" s="4"/>
      <c r="BT1278" s="57" t="e">
        <f t="shared" si="53"/>
        <v>#VALUE!</v>
      </c>
      <c r="BU1278" s="62"/>
      <c r="BV1278" s="8" t="e">
        <v>#VALUE!</v>
      </c>
      <c r="BW1278" s="58" t="e">
        <f>VLOOKUP(AQ1278,'[1]Harga &amp; Nama CSO'!$A$28:$D$31,4,0)*BQ1278</f>
        <v>#N/A</v>
      </c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44">
        <f>IFERROR(VLOOKUP(AQ1280,'[2]Harga &amp; Nama CSO'!$A$116:$S$136,19,FALSE),0)*AV1280</f>
        <v>0</v>
      </c>
      <c r="BO1279" s="55" t="e">
        <f>IFERROR(VLOOKUP(AQ1279,'[1]Harga &amp; Nama CSO'!$H$2:$N$22,2,FALSE),"")*AV1279</f>
        <v>#VALUE!</v>
      </c>
      <c r="BP1279" s="40"/>
      <c r="BQ1279" s="4"/>
      <c r="BR1279" s="61"/>
      <c r="BS1279" s="4"/>
      <c r="BT1279" s="57" t="e">
        <f t="shared" si="53"/>
        <v>#VALUE!</v>
      </c>
      <c r="BU1279" s="62"/>
      <c r="BV1279" s="8" t="e">
        <v>#VALUE!</v>
      </c>
      <c r="BW1279" s="58" t="e">
        <f>VLOOKUP(AQ1279,'[1]Harga &amp; Nama CSO'!$A$28:$D$31,4,0)*BQ1279</f>
        <v>#N/A</v>
      </c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44">
        <f>IFERROR(VLOOKUP(AQ1281,'[2]Harga &amp; Nama CSO'!$A$116:$S$136,19,FALSE),0)*AV1281</f>
        <v>0</v>
      </c>
      <c r="BO1280" s="55" t="e">
        <f>IFERROR(VLOOKUP(AQ1280,'[1]Harga &amp; Nama CSO'!$H$2:$N$22,2,FALSE),"")*AV1280</f>
        <v>#VALUE!</v>
      </c>
      <c r="BP1280" s="40"/>
      <c r="BQ1280" s="4"/>
      <c r="BR1280" s="61"/>
      <c r="BS1280" s="4"/>
      <c r="BT1280" s="57" t="e">
        <f t="shared" si="53"/>
        <v>#VALUE!</v>
      </c>
      <c r="BU1280" s="62"/>
      <c r="BV1280" s="8" t="e">
        <v>#VALUE!</v>
      </c>
      <c r="BW1280" s="58" t="e">
        <f>VLOOKUP(AQ1280,'[1]Harga &amp; Nama CSO'!$A$28:$D$31,4,0)*BQ1280</f>
        <v>#N/A</v>
      </c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44">
        <f>IFERROR(VLOOKUP(AQ1282,'[2]Harga &amp; Nama CSO'!$A$116:$S$136,19,FALSE),0)*AV1282</f>
        <v>0</v>
      </c>
      <c r="BO1281" s="55" t="e">
        <f>IFERROR(VLOOKUP(AQ1281,'[1]Harga &amp; Nama CSO'!$H$2:$N$22,2,FALSE),"")*AV1281</f>
        <v>#VALUE!</v>
      </c>
      <c r="BP1281" s="40"/>
      <c r="BQ1281" s="4"/>
      <c r="BR1281" s="61"/>
      <c r="BS1281" s="4"/>
      <c r="BT1281" s="57" t="e">
        <f t="shared" si="53"/>
        <v>#VALUE!</v>
      </c>
      <c r="BU1281" s="62"/>
      <c r="BV1281" s="8" t="e">
        <v>#VALUE!</v>
      </c>
      <c r="BW1281" s="58" t="e">
        <f>VLOOKUP(AQ1281,'[1]Harga &amp; Nama CSO'!$A$28:$D$31,4,0)*BQ1281</f>
        <v>#N/A</v>
      </c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44">
        <f>IFERROR(VLOOKUP(AQ1283,'[2]Harga &amp; Nama CSO'!$A$116:$S$136,19,FALSE),0)*AV1283</f>
        <v>0</v>
      </c>
      <c r="BO1282" s="55" t="e">
        <f>IFERROR(VLOOKUP(AQ1282,'[1]Harga &amp; Nama CSO'!$H$2:$N$22,2,FALSE),"")*AV1282</f>
        <v>#VALUE!</v>
      </c>
      <c r="BP1282" s="40"/>
      <c r="BQ1282" s="4"/>
      <c r="BR1282" s="61"/>
      <c r="BS1282" s="4"/>
      <c r="BT1282" s="57" t="e">
        <f t="shared" si="53"/>
        <v>#VALUE!</v>
      </c>
      <c r="BU1282" s="62"/>
      <c r="BV1282" s="8" t="e">
        <v>#VALUE!</v>
      </c>
      <c r="BW1282" s="58" t="e">
        <f>VLOOKUP(AQ1282,'[1]Harga &amp; Nama CSO'!$A$28:$D$31,4,0)*BQ1282</f>
        <v>#N/A</v>
      </c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44">
        <f>IFERROR(VLOOKUP(AQ1284,'[2]Harga &amp; Nama CSO'!$A$116:$S$136,19,FALSE),0)*AV1284</f>
        <v>0</v>
      </c>
      <c r="BO1283" s="55" t="e">
        <f>IFERROR(VLOOKUP(AQ1283,'[1]Harga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54">BO1283-BR1283</f>
        <v>#VALUE!</v>
      </c>
      <c r="BU1283" s="62"/>
      <c r="BV1283" s="8" t="e">
        <v>#VALUE!</v>
      </c>
      <c r="BW1283" s="58" t="e">
        <f>VLOOKUP(AQ1283,'[1]Harga &amp; Nama CSO'!$A$28:$D$31,4,0)*BQ1283</f>
        <v>#N/A</v>
      </c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44">
        <f>IFERROR(VLOOKUP(AQ1285,'[2]Harga &amp; Nama CSO'!$A$116:$S$136,19,FALSE),0)*AV1285</f>
        <v>0</v>
      </c>
      <c r="BO1284" s="55" t="e">
        <f>IFERROR(VLOOKUP(AQ1284,'[1]Harga &amp; Nama CSO'!$H$2:$N$22,2,FALSE),"")*AV1284</f>
        <v>#VALUE!</v>
      </c>
      <c r="BP1284" s="40"/>
      <c r="BQ1284" s="4"/>
      <c r="BR1284" s="61"/>
      <c r="BS1284" s="4"/>
      <c r="BT1284" s="57" t="e">
        <f t="shared" si="54"/>
        <v>#VALUE!</v>
      </c>
      <c r="BU1284" s="62"/>
      <c r="BV1284" s="8" t="e">
        <v>#VALUE!</v>
      </c>
      <c r="BW1284" s="58" t="e">
        <f>VLOOKUP(AQ1284,'[1]Harga &amp; Nama CSO'!$A$28:$D$31,4,0)*BQ1284</f>
        <v>#N/A</v>
      </c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44">
        <f>IFERROR(VLOOKUP(AQ1286,'[2]Harga &amp; Nama CSO'!$A$116:$S$136,19,FALSE),0)*AV1286</f>
        <v>0</v>
      </c>
      <c r="BO1285" s="55" t="e">
        <f>IFERROR(VLOOKUP(AQ1285,'[1]Harga &amp; Nama CSO'!$H$2:$N$22,2,FALSE),"")*AV1285</f>
        <v>#VALUE!</v>
      </c>
      <c r="BP1285" s="40"/>
      <c r="BQ1285" s="4"/>
      <c r="BR1285" s="61"/>
      <c r="BS1285" s="4"/>
      <c r="BT1285" s="57" t="e">
        <f t="shared" si="54"/>
        <v>#VALUE!</v>
      </c>
      <c r="BU1285" s="62"/>
      <c r="BV1285" s="8" t="e">
        <v>#VALUE!</v>
      </c>
      <c r="BW1285" s="58" t="e">
        <f>VLOOKUP(AQ1285,'[1]Harga &amp; Nama CSO'!$A$28:$D$31,4,0)*BQ1285</f>
        <v>#N/A</v>
      </c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44">
        <f>IFERROR(VLOOKUP(AQ1287,'[2]Harga &amp; Nama CSO'!$A$116:$S$136,19,FALSE),0)*AV1287</f>
        <v>0</v>
      </c>
      <c r="BO1286" s="55" t="e">
        <f>IFERROR(VLOOKUP(AQ1286,'[1]Harga &amp; Nama CSO'!$H$2:$N$22,2,FALSE),"")*AV1286</f>
        <v>#VALUE!</v>
      </c>
      <c r="BP1286" s="40"/>
      <c r="BQ1286" s="4"/>
      <c r="BR1286" s="61"/>
      <c r="BS1286" s="4"/>
      <c r="BT1286" s="57" t="e">
        <f t="shared" si="54"/>
        <v>#VALUE!</v>
      </c>
      <c r="BU1286" s="62"/>
      <c r="BV1286" s="8" t="e">
        <v>#VALUE!</v>
      </c>
      <c r="BW1286" s="58" t="e">
        <f>VLOOKUP(AQ1286,'[1]Harga &amp; Nama CSO'!$A$28:$D$31,4,0)*BQ1286</f>
        <v>#N/A</v>
      </c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44">
        <f>IFERROR(VLOOKUP(AQ1288,'[2]Harga &amp; Nama CSO'!$A$116:$S$136,19,FALSE),0)*AV1288</f>
        <v>0</v>
      </c>
      <c r="BO1287" s="55" t="e">
        <f>IFERROR(VLOOKUP(AQ1287,'[1]Harga &amp; Nama CSO'!$H$2:$N$22,2,FALSE),"")*AV1287</f>
        <v>#VALUE!</v>
      </c>
      <c r="BP1287" s="40"/>
      <c r="BQ1287" s="4"/>
      <c r="BR1287" s="61"/>
      <c r="BS1287" s="4"/>
      <c r="BT1287" s="57" t="e">
        <f t="shared" si="54"/>
        <v>#VALUE!</v>
      </c>
      <c r="BU1287" s="62"/>
      <c r="BV1287" s="8" t="e">
        <v>#VALUE!</v>
      </c>
      <c r="BW1287" s="58" t="e">
        <f>VLOOKUP(AQ1287,'[1]Harga &amp; Nama CSO'!$A$28:$D$31,4,0)*BQ1287</f>
        <v>#N/A</v>
      </c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44">
        <f>IFERROR(VLOOKUP(AQ1289,'[2]Harga &amp; Nama CSO'!$A$116:$S$136,19,FALSE),0)*AV1289</f>
        <v>0</v>
      </c>
      <c r="BO1288" s="55" t="e">
        <f>IFERROR(VLOOKUP(AQ1288,'[1]Harga &amp; Nama CSO'!$H$2:$N$22,2,FALSE),"")*AV1288</f>
        <v>#VALUE!</v>
      </c>
      <c r="BP1288" s="40"/>
      <c r="BQ1288" s="4"/>
      <c r="BR1288" s="61"/>
      <c r="BS1288" s="4"/>
      <c r="BT1288" s="57" t="e">
        <f t="shared" si="54"/>
        <v>#VALUE!</v>
      </c>
      <c r="BU1288" s="62"/>
      <c r="BV1288" s="8" t="e">
        <v>#VALUE!</v>
      </c>
      <c r="BW1288" s="58" t="e">
        <f>VLOOKUP(AQ1288,'[1]Harga &amp; Nama CSO'!$A$28:$D$31,4,0)*BQ1288</f>
        <v>#N/A</v>
      </c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44">
        <f>IFERROR(VLOOKUP(AQ1290,'[2]Harga &amp; Nama CSO'!$A$116:$S$136,19,FALSE),0)*AV1290</f>
        <v>0</v>
      </c>
      <c r="BO1289" s="55" t="e">
        <f>IFERROR(VLOOKUP(AQ1289,'[1]Harga &amp; Nama CSO'!$H$2:$N$22,2,FALSE),"")*AV1289</f>
        <v>#VALUE!</v>
      </c>
      <c r="BP1289" s="40"/>
      <c r="BQ1289" s="4"/>
      <c r="BR1289" s="61"/>
      <c r="BS1289" s="4"/>
      <c r="BT1289" s="57" t="e">
        <f t="shared" si="54"/>
        <v>#VALUE!</v>
      </c>
      <c r="BU1289" s="62"/>
      <c r="BV1289" s="8" t="e">
        <v>#VALUE!</v>
      </c>
      <c r="BW1289" s="58" t="e">
        <f>VLOOKUP(AQ1289,'[1]Harga &amp; Nama CSO'!$A$28:$D$31,4,0)*BQ1289</f>
        <v>#N/A</v>
      </c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44">
        <f>IFERROR(VLOOKUP(AQ1291,'[2]Harga &amp; Nama CSO'!$A$116:$S$136,19,FALSE),0)*AV1291</f>
        <v>0</v>
      </c>
      <c r="BO1290" s="55" t="e">
        <f>IFERROR(VLOOKUP(AQ1290,'[1]Harga &amp; Nama CSO'!$H$2:$N$22,2,FALSE),"")*AV1290</f>
        <v>#VALUE!</v>
      </c>
      <c r="BP1290" s="40"/>
      <c r="BQ1290" s="4"/>
      <c r="BR1290" s="61"/>
      <c r="BS1290" s="4"/>
      <c r="BT1290" s="57" t="e">
        <f t="shared" si="54"/>
        <v>#VALUE!</v>
      </c>
      <c r="BU1290" s="62"/>
      <c r="BV1290" s="8" t="e">
        <v>#VALUE!</v>
      </c>
      <c r="BW1290" s="58" t="e">
        <f>VLOOKUP(AQ1290,'[1]Harga &amp; Nama CSO'!$A$28:$D$31,4,0)*BQ1290</f>
        <v>#N/A</v>
      </c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44">
        <f>IFERROR(VLOOKUP(AQ1292,'[2]Harga &amp; Nama CSO'!$A$116:$S$136,19,FALSE),0)*AV1292</f>
        <v>0</v>
      </c>
      <c r="BO1291" s="55" t="e">
        <f>IFERROR(VLOOKUP(AQ1291,'[1]Harga &amp; Nama CSO'!$H$2:$N$22,2,FALSE),"")*AV1291</f>
        <v>#VALUE!</v>
      </c>
      <c r="BP1291" s="40"/>
      <c r="BQ1291" s="4"/>
      <c r="BR1291" s="61"/>
      <c r="BS1291" s="4"/>
      <c r="BT1291" s="57" t="e">
        <f t="shared" si="54"/>
        <v>#VALUE!</v>
      </c>
      <c r="BU1291" s="62"/>
      <c r="BV1291" s="8" t="e">
        <v>#VALUE!</v>
      </c>
      <c r="BW1291" s="58" t="e">
        <f>VLOOKUP(AQ1291,'[1]Harga &amp; Nama CSO'!$A$28:$D$31,4,0)*BQ1291</f>
        <v>#N/A</v>
      </c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44">
        <f>IFERROR(VLOOKUP(AQ1293,'[2]Harga &amp; Nama CSO'!$A$116:$S$136,19,FALSE),0)*AV1293</f>
        <v>0</v>
      </c>
      <c r="BO1292" s="55" t="e">
        <f>IFERROR(VLOOKUP(AQ1292,'[1]Harga &amp; Nama CSO'!$H$2:$N$22,2,FALSE),"")*AV1292</f>
        <v>#VALUE!</v>
      </c>
      <c r="BP1292" s="40"/>
      <c r="BQ1292" s="4"/>
      <c r="BR1292" s="61"/>
      <c r="BS1292" s="4"/>
      <c r="BT1292" s="57" t="e">
        <f t="shared" si="54"/>
        <v>#VALUE!</v>
      </c>
      <c r="BU1292" s="62"/>
      <c r="BV1292" s="8" t="e">
        <v>#VALUE!</v>
      </c>
      <c r="BW1292" s="58" t="e">
        <f>VLOOKUP(AQ1292,'[1]Harga &amp; Nama CSO'!$A$28:$D$31,4,0)*BQ1292</f>
        <v>#N/A</v>
      </c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44">
        <f>IFERROR(VLOOKUP(AQ1294,'[2]Harga &amp; Nama CSO'!$A$116:$S$136,19,FALSE),0)*AV1294</f>
        <v>0</v>
      </c>
      <c r="BO1293" s="55" t="e">
        <f>IFERROR(VLOOKUP(AQ1293,'[1]Harga &amp; Nama CSO'!$H$2:$N$22,2,FALSE),"")*AV1293</f>
        <v>#VALUE!</v>
      </c>
      <c r="BP1293" s="40"/>
      <c r="BQ1293" s="4"/>
      <c r="BR1293" s="61"/>
      <c r="BS1293" s="4"/>
      <c r="BT1293" s="57" t="e">
        <f t="shared" si="54"/>
        <v>#VALUE!</v>
      </c>
      <c r="BU1293" s="62"/>
      <c r="BV1293" s="8" t="e">
        <v>#VALUE!</v>
      </c>
      <c r="BW1293" s="58" t="e">
        <f>VLOOKUP(AQ1293,'[1]Harga &amp; Nama CSO'!$A$28:$D$31,4,0)*BQ1293</f>
        <v>#N/A</v>
      </c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44">
        <f>IFERROR(VLOOKUP(AQ1295,'[2]Harga &amp; Nama CSO'!$A$116:$S$136,19,FALSE),0)*AV1295</f>
        <v>0</v>
      </c>
      <c r="BO1294" s="55" t="e">
        <f>IFERROR(VLOOKUP(AQ1294,'[1]Harga &amp; Nama CSO'!$H$2:$N$22,2,FALSE),"")*AV1294</f>
        <v>#VALUE!</v>
      </c>
      <c r="BP1294" s="40"/>
      <c r="BQ1294" s="4"/>
      <c r="BR1294" s="61"/>
      <c r="BS1294" s="4"/>
      <c r="BT1294" s="57" t="e">
        <f t="shared" si="54"/>
        <v>#VALUE!</v>
      </c>
      <c r="BU1294" s="62"/>
      <c r="BV1294" s="8" t="e">
        <v>#VALUE!</v>
      </c>
      <c r="BW1294" s="58" t="e">
        <f>VLOOKUP(AQ1294,'[1]Harga &amp; Nama CSO'!$A$28:$D$31,4,0)*BQ1294</f>
        <v>#N/A</v>
      </c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44">
        <f>IFERROR(VLOOKUP(AQ1296,'[2]Harga &amp; Nama CSO'!$A$116:$S$136,19,FALSE),0)*AV1296</f>
        <v>0</v>
      </c>
      <c r="BO1295" s="55" t="e">
        <f>IFERROR(VLOOKUP(AQ1295,'[1]Harga &amp; Nama CSO'!$H$2:$N$22,2,FALSE),"")*AV1295</f>
        <v>#VALUE!</v>
      </c>
      <c r="BP1295" s="40"/>
      <c r="BQ1295" s="4"/>
      <c r="BR1295" s="61"/>
      <c r="BS1295" s="4"/>
      <c r="BT1295" s="57" t="e">
        <f t="shared" si="54"/>
        <v>#VALUE!</v>
      </c>
      <c r="BU1295" s="62"/>
      <c r="BV1295" s="8" t="e">
        <v>#VALUE!</v>
      </c>
      <c r="BW1295" s="58" t="e">
        <f>VLOOKUP(AQ1295,'[1]Harga &amp; Nama CSO'!$A$28:$D$31,4,0)*BQ1295</f>
        <v>#N/A</v>
      </c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44">
        <f>IFERROR(VLOOKUP(AQ1297,'[2]Harga &amp; Nama CSO'!$A$116:$S$136,19,FALSE),0)*AV1297</f>
        <v>0</v>
      </c>
      <c r="BO1296" s="55" t="e">
        <f>IFERROR(VLOOKUP(AQ1296,'[1]Harga &amp; Nama CSO'!$H$2:$N$22,2,FALSE),"")*AV1296</f>
        <v>#VALUE!</v>
      </c>
      <c r="BP1296" s="40"/>
      <c r="BQ1296" s="4"/>
      <c r="BR1296" s="61"/>
      <c r="BS1296" s="4"/>
      <c r="BT1296" s="57" t="e">
        <f t="shared" si="54"/>
        <v>#VALUE!</v>
      </c>
      <c r="BU1296" s="62"/>
      <c r="BV1296" s="8" t="e">
        <v>#VALUE!</v>
      </c>
      <c r="BW1296" s="58" t="e">
        <f>VLOOKUP(AQ1296,'[1]Harga &amp; Nama CSO'!$A$28:$D$31,4,0)*BQ1296</f>
        <v>#N/A</v>
      </c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44">
        <f>IFERROR(VLOOKUP(AQ1298,'[2]Harga &amp; Nama CSO'!$A$116:$S$136,19,FALSE),0)*AV1298</f>
        <v>0</v>
      </c>
      <c r="BO1297" s="55" t="e">
        <f>IFERROR(VLOOKUP(AQ1297,'[1]Harga &amp; Nama CSO'!$H$2:$N$22,2,FALSE),"")*AV1297</f>
        <v>#VALUE!</v>
      </c>
      <c r="BP1297" s="40"/>
      <c r="BQ1297" s="4"/>
      <c r="BR1297" s="61"/>
      <c r="BS1297" s="4"/>
      <c r="BT1297" s="57" t="e">
        <f t="shared" si="54"/>
        <v>#VALUE!</v>
      </c>
      <c r="BU1297" s="62"/>
      <c r="BV1297" s="8" t="e">
        <v>#VALUE!</v>
      </c>
      <c r="BW1297" s="58" t="e">
        <f>VLOOKUP(AQ1297,'[1]Harga &amp; Nama CSO'!$A$28:$D$31,4,0)*BQ1297</f>
        <v>#N/A</v>
      </c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44">
        <f>IFERROR(VLOOKUP(AQ1299,'[2]Harga &amp; Nama CSO'!$A$116:$S$136,19,FALSE),0)*AV1299</f>
        <v>0</v>
      </c>
      <c r="BO1298" s="55" t="e">
        <f>IFERROR(VLOOKUP(AQ1298,'[1]Harga &amp; Nama CSO'!$H$2:$N$22,2,FALSE),"")*AV1298</f>
        <v>#VALUE!</v>
      </c>
      <c r="BP1298" s="40"/>
      <c r="BQ1298" s="4"/>
      <c r="BR1298" s="61"/>
      <c r="BS1298" s="4"/>
      <c r="BT1298" s="57" t="e">
        <f t="shared" si="54"/>
        <v>#VALUE!</v>
      </c>
      <c r="BU1298" s="62"/>
      <c r="BV1298" s="8" t="e">
        <v>#VALUE!</v>
      </c>
      <c r="BW1298" s="58" t="e">
        <f>VLOOKUP(AQ1298,'[1]Harga &amp; Nama CSO'!$A$28:$D$31,4,0)*BQ1298</f>
        <v>#N/A</v>
      </c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44">
        <f>IFERROR(VLOOKUP(AQ1300,'[2]Harga &amp; Nama CSO'!$A$116:$S$136,19,FALSE),0)*AV1300</f>
        <v>0</v>
      </c>
      <c r="BO1299" s="55" t="e">
        <f>IFERROR(VLOOKUP(AQ1299,'[1]Harga &amp; Nama CSO'!$H$2:$N$22,2,FALSE),"")*AV1299</f>
        <v>#VALUE!</v>
      </c>
      <c r="BP1299" s="40"/>
      <c r="BQ1299" s="4"/>
      <c r="BR1299" s="61"/>
      <c r="BS1299" s="4"/>
      <c r="BT1299" s="57" t="e">
        <f t="shared" si="54"/>
        <v>#VALUE!</v>
      </c>
      <c r="BU1299" s="62"/>
      <c r="BV1299" s="8" t="e">
        <v>#VALUE!</v>
      </c>
      <c r="BW1299" s="58" t="e">
        <f>VLOOKUP(AQ1299,'[1]Harga &amp; Nama CSO'!$A$28:$D$31,4,0)*BQ1299</f>
        <v>#N/A</v>
      </c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44">
        <f>IFERROR(VLOOKUP(AQ1301,'[2]Harga &amp; Nama CSO'!$A$116:$S$136,19,FALSE),0)*AV1301</f>
        <v>0</v>
      </c>
      <c r="BO1300" s="55" t="e">
        <f>IFERROR(VLOOKUP(AQ1300,'[1]Harga &amp; Nama CSO'!$H$2:$N$22,2,FALSE),"")*AV1300</f>
        <v>#VALUE!</v>
      </c>
      <c r="BP1300" s="40"/>
      <c r="BQ1300" s="4"/>
      <c r="BR1300" s="61"/>
      <c r="BS1300" s="4"/>
      <c r="BT1300" s="57" t="e">
        <f t="shared" si="54"/>
        <v>#VALUE!</v>
      </c>
      <c r="BU1300" s="62"/>
      <c r="BV1300" s="8" t="e">
        <v>#VALUE!</v>
      </c>
      <c r="BW1300" s="58" t="e">
        <f>VLOOKUP(AQ1300,'[1]Harga &amp; Nama CSO'!$A$28:$D$31,4,0)*BQ1300</f>
        <v>#N/A</v>
      </c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44">
        <f>IFERROR(VLOOKUP(AQ1302,'[2]Harga &amp; Nama CSO'!$A$116:$S$136,19,FALSE),0)*AV1302</f>
        <v>0</v>
      </c>
      <c r="BO1301" s="55" t="e">
        <f>IFERROR(VLOOKUP(AQ1301,'[1]Harga &amp; Nama CSO'!$H$2:$N$22,2,FALSE),"")*AV1301</f>
        <v>#VALUE!</v>
      </c>
      <c r="BP1301" s="40"/>
      <c r="BQ1301" s="4"/>
      <c r="BR1301" s="61"/>
      <c r="BS1301" s="4"/>
      <c r="BT1301" s="57" t="e">
        <f t="shared" si="54"/>
        <v>#VALUE!</v>
      </c>
      <c r="BU1301" s="62"/>
      <c r="BV1301" s="8" t="e">
        <v>#VALUE!</v>
      </c>
      <c r="BW1301" s="58" t="e">
        <f>VLOOKUP(AQ1301,'[1]Harga &amp; Nama CSO'!$A$28:$D$31,4,0)*BQ1301</f>
        <v>#N/A</v>
      </c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44">
        <f>IFERROR(VLOOKUP(AQ1303,'[2]Harga &amp; Nama CSO'!$A$116:$S$136,19,FALSE),0)*AV1303</f>
        <v>0</v>
      </c>
      <c r="BO1302" s="55" t="e">
        <f>IFERROR(VLOOKUP(AQ1302,'[1]Harga &amp; Nama CSO'!$H$2:$N$22,2,FALSE),"")*AV1302</f>
        <v>#VALUE!</v>
      </c>
      <c r="BP1302" s="40"/>
      <c r="BQ1302" s="4"/>
      <c r="BR1302" s="61"/>
      <c r="BS1302" s="4"/>
      <c r="BT1302" s="57" t="e">
        <f t="shared" si="54"/>
        <v>#VALUE!</v>
      </c>
      <c r="BU1302" s="62"/>
      <c r="BV1302" s="8" t="e">
        <v>#VALUE!</v>
      </c>
      <c r="BW1302" s="58" t="e">
        <f>VLOOKUP(AQ1302,'[1]Harga &amp; Nama CSO'!$A$28:$D$31,4,0)*BQ1302</f>
        <v>#N/A</v>
      </c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44">
        <f>IFERROR(VLOOKUP(AQ1304,'[2]Harga &amp; Nama CSO'!$A$116:$S$136,19,FALSE),0)*AV1304</f>
        <v>0</v>
      </c>
      <c r="BO1303" s="55" t="e">
        <f>IFERROR(VLOOKUP(AQ1303,'[1]Harga &amp; Nama CSO'!$H$2:$N$22,2,FALSE),"")*AV1303</f>
        <v>#VALUE!</v>
      </c>
      <c r="BP1303" s="40"/>
      <c r="BQ1303" s="4"/>
      <c r="BR1303" s="61"/>
      <c r="BS1303" s="4"/>
      <c r="BT1303" s="57" t="e">
        <f t="shared" si="54"/>
        <v>#VALUE!</v>
      </c>
      <c r="BU1303" s="62"/>
      <c r="BV1303" s="8" t="e">
        <v>#VALUE!</v>
      </c>
      <c r="BW1303" s="58" t="e">
        <f>VLOOKUP(AQ1303,'[1]Harga &amp; Nama CSO'!$A$28:$D$31,4,0)*BQ1303</f>
        <v>#N/A</v>
      </c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44">
        <f>IFERROR(VLOOKUP(AQ1305,'[2]Harga &amp; Nama CSO'!$A$116:$S$136,19,FALSE),0)*AV1305</f>
        <v>0</v>
      </c>
      <c r="BO1304" s="55" t="e">
        <f>IFERROR(VLOOKUP(AQ1304,'[1]Harga &amp; Nama CSO'!$H$2:$N$22,2,FALSE),"")*AV1304</f>
        <v>#VALUE!</v>
      </c>
      <c r="BP1304" s="40"/>
      <c r="BQ1304" s="4"/>
      <c r="BR1304" s="61"/>
      <c r="BS1304" s="4"/>
      <c r="BT1304" s="57" t="e">
        <f t="shared" si="54"/>
        <v>#VALUE!</v>
      </c>
      <c r="BU1304" s="62"/>
      <c r="BV1304" s="8" t="e">
        <v>#VALUE!</v>
      </c>
      <c r="BW1304" s="58" t="e">
        <f>VLOOKUP(AQ1304,'[1]Harga &amp; Nama CSO'!$A$28:$D$31,4,0)*BQ1304</f>
        <v>#N/A</v>
      </c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44">
        <f>IFERROR(VLOOKUP(AQ1306,'[2]Harga &amp; Nama CSO'!$A$116:$S$136,19,FALSE),0)*AV1306</f>
        <v>0</v>
      </c>
      <c r="BO1305" s="55" t="e">
        <f>IFERROR(VLOOKUP(AQ1305,'[1]Harga &amp; Nama CSO'!$H$2:$N$22,2,FALSE),"")*AV1305</f>
        <v>#VALUE!</v>
      </c>
      <c r="BP1305" s="40"/>
      <c r="BQ1305" s="4"/>
      <c r="BR1305" s="61"/>
      <c r="BS1305" s="4"/>
      <c r="BT1305" s="57" t="e">
        <f t="shared" si="54"/>
        <v>#VALUE!</v>
      </c>
      <c r="BU1305" s="62"/>
      <c r="BV1305" s="8" t="e">
        <v>#VALUE!</v>
      </c>
      <c r="BW1305" s="58" t="e">
        <f>VLOOKUP(AQ1305,'[1]Harga &amp; Nama CSO'!$A$28:$D$31,4,0)*BQ1305</f>
        <v>#N/A</v>
      </c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44">
        <f>IFERROR(VLOOKUP(AQ1307,'[2]Harga &amp; Nama CSO'!$A$116:$S$136,19,FALSE),0)*AV1307</f>
        <v>0</v>
      </c>
      <c r="BO1306" s="55" t="e">
        <f>IFERROR(VLOOKUP(AQ1306,'[1]Harga &amp; Nama CSO'!$H$2:$N$22,2,FALSE),"")*AV1306</f>
        <v>#VALUE!</v>
      </c>
      <c r="BP1306" s="40"/>
      <c r="BQ1306" s="4"/>
      <c r="BR1306" s="61"/>
      <c r="BS1306" s="4"/>
      <c r="BT1306" s="57" t="e">
        <f t="shared" si="54"/>
        <v>#VALUE!</v>
      </c>
      <c r="BU1306" s="62"/>
      <c r="BV1306" s="8" t="e">
        <v>#VALUE!</v>
      </c>
      <c r="BW1306" s="58" t="e">
        <f>VLOOKUP(AQ1306,'[1]Harga &amp; Nama CSO'!$A$28:$D$31,4,0)*BQ1306</f>
        <v>#N/A</v>
      </c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44">
        <f>IFERROR(VLOOKUP(AQ1308,'[2]Harga &amp; Nama CSO'!$A$116:$S$136,19,FALSE),0)*AV1308</f>
        <v>0</v>
      </c>
      <c r="BO1307" s="55" t="e">
        <f>IFERROR(VLOOKUP(AQ1307,'[1]Harga &amp; Nama CSO'!$H$2:$N$22,2,FALSE),"")*AV1307</f>
        <v>#VALUE!</v>
      </c>
      <c r="BP1307" s="40"/>
      <c r="BQ1307" s="4"/>
      <c r="BR1307" s="61"/>
      <c r="BS1307" s="4"/>
      <c r="BT1307" s="57" t="e">
        <f t="shared" si="54"/>
        <v>#VALUE!</v>
      </c>
      <c r="BU1307" s="62"/>
      <c r="BV1307" s="8" t="e">
        <v>#VALUE!</v>
      </c>
      <c r="BW1307" s="58" t="e">
        <f>VLOOKUP(AQ1307,'[1]Harga &amp; Nama CSO'!$A$28:$D$31,4,0)*BQ1307</f>
        <v>#N/A</v>
      </c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44">
        <f>IFERROR(VLOOKUP(AQ1309,'[2]Harga &amp; Nama CSO'!$A$116:$S$136,19,FALSE),0)*AV1309</f>
        <v>0</v>
      </c>
      <c r="BO1308" s="55" t="e">
        <f>IFERROR(VLOOKUP(AQ1308,'[1]Harga &amp; Nama CSO'!$H$2:$N$22,2,FALSE),"")*AV1308</f>
        <v>#VALUE!</v>
      </c>
      <c r="BP1308" s="40"/>
      <c r="BQ1308" s="4"/>
      <c r="BR1308" s="61"/>
      <c r="BS1308" s="4"/>
      <c r="BT1308" s="57" t="e">
        <f t="shared" si="54"/>
        <v>#VALUE!</v>
      </c>
      <c r="BU1308" s="62"/>
      <c r="BV1308" s="8" t="e">
        <v>#VALUE!</v>
      </c>
      <c r="BW1308" s="58" t="e">
        <f>VLOOKUP(AQ1308,'[1]Harga &amp; Nama CSO'!$A$28:$D$31,4,0)*BQ1308</f>
        <v>#N/A</v>
      </c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44">
        <f>IFERROR(VLOOKUP(AQ1310,'[2]Harga &amp; Nama CSO'!$A$116:$S$136,19,FALSE),0)*AV1310</f>
        <v>0</v>
      </c>
      <c r="BO1309" s="55" t="e">
        <f>IFERROR(VLOOKUP(AQ1309,'[1]Harga &amp; Nama CSO'!$H$2:$N$22,2,FALSE),"")*AV1309</f>
        <v>#VALUE!</v>
      </c>
      <c r="BP1309" s="40"/>
      <c r="BQ1309" s="4"/>
      <c r="BR1309" s="61"/>
      <c r="BS1309" s="4"/>
      <c r="BT1309" s="57" t="e">
        <f t="shared" si="54"/>
        <v>#VALUE!</v>
      </c>
      <c r="BU1309" s="62"/>
      <c r="BV1309" s="8" t="e">
        <v>#VALUE!</v>
      </c>
      <c r="BW1309" s="58" t="e">
        <f>VLOOKUP(AQ1309,'[1]Harga &amp; Nama CSO'!$A$28:$D$31,4,0)*BQ1309</f>
        <v>#N/A</v>
      </c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44">
        <f>IFERROR(VLOOKUP(AQ1311,'[2]Harga &amp; Nama CSO'!$A$116:$S$136,19,FALSE),0)*AV1311</f>
        <v>0</v>
      </c>
      <c r="BO1310" s="55" t="e">
        <f>IFERROR(VLOOKUP(AQ1310,'[1]Harga &amp; Nama CSO'!$H$2:$N$22,2,FALSE),"")*AV1310</f>
        <v>#VALUE!</v>
      </c>
      <c r="BP1310" s="40"/>
      <c r="BQ1310" s="4"/>
      <c r="BR1310" s="61"/>
      <c r="BS1310" s="4"/>
      <c r="BT1310" s="57" t="e">
        <f t="shared" si="54"/>
        <v>#VALUE!</v>
      </c>
      <c r="BU1310" s="62"/>
      <c r="BV1310" s="8" t="e">
        <v>#VALUE!</v>
      </c>
      <c r="BW1310" s="58" t="e">
        <f>VLOOKUP(AQ1310,'[1]Harga &amp; Nama CSO'!$A$28:$D$31,4,0)*BQ1310</f>
        <v>#N/A</v>
      </c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44">
        <f>IFERROR(VLOOKUP(AQ1312,'[2]Harga &amp; Nama CSO'!$A$116:$S$136,19,FALSE),0)*AV1312</f>
        <v>0</v>
      </c>
      <c r="BO1311" s="55" t="e">
        <f>IFERROR(VLOOKUP(AQ1311,'[1]Harga &amp; Nama CSO'!$H$2:$N$22,2,FALSE),"")*AV1311</f>
        <v>#VALUE!</v>
      </c>
      <c r="BP1311" s="40"/>
      <c r="BQ1311" s="4"/>
      <c r="BR1311" s="61"/>
      <c r="BS1311" s="4"/>
      <c r="BT1311" s="57" t="e">
        <f t="shared" si="54"/>
        <v>#VALUE!</v>
      </c>
      <c r="BU1311" s="62"/>
      <c r="BV1311" s="8" t="e">
        <v>#VALUE!</v>
      </c>
      <c r="BW1311" s="58" t="e">
        <f>VLOOKUP(AQ1311,'[1]Harga &amp; Nama CSO'!$A$28:$D$31,4,0)*BQ1311</f>
        <v>#N/A</v>
      </c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44">
        <f>IFERROR(VLOOKUP(AQ1313,'[2]Harga &amp; Nama CSO'!$A$116:$S$136,19,FALSE),0)*AV1313</f>
        <v>0</v>
      </c>
      <c r="BO1312" s="55" t="e">
        <f>IFERROR(VLOOKUP(AQ1312,'[1]Harga &amp; Nama CSO'!$H$2:$N$22,2,FALSE),"")*AV1312</f>
        <v>#VALUE!</v>
      </c>
      <c r="BP1312" s="40"/>
      <c r="BQ1312" s="4"/>
      <c r="BR1312" s="61"/>
      <c r="BS1312" s="4"/>
      <c r="BT1312" s="57" t="e">
        <f t="shared" si="54"/>
        <v>#VALUE!</v>
      </c>
      <c r="BU1312" s="62"/>
      <c r="BV1312" s="8" t="e">
        <v>#VALUE!</v>
      </c>
      <c r="BW1312" s="58" t="e">
        <f>VLOOKUP(AQ1312,'[1]Harga &amp; Nama CSO'!$A$28:$D$31,4,0)*BQ1312</f>
        <v>#N/A</v>
      </c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44">
        <f>IFERROR(VLOOKUP(AQ1314,'[2]Harga &amp; Nama CSO'!$A$116:$S$136,19,FALSE),0)*AV1314</f>
        <v>0</v>
      </c>
      <c r="BO1313" s="55" t="e">
        <f>IFERROR(VLOOKUP(AQ1313,'[1]Harga &amp; Nama CSO'!$H$2:$N$22,2,FALSE),"")*AV1313</f>
        <v>#VALUE!</v>
      </c>
      <c r="BP1313" s="40"/>
      <c r="BQ1313" s="4"/>
      <c r="BR1313" s="61"/>
      <c r="BS1313" s="4"/>
      <c r="BT1313" s="57" t="e">
        <f t="shared" si="54"/>
        <v>#VALUE!</v>
      </c>
      <c r="BU1313" s="62"/>
      <c r="BV1313" s="8" t="e">
        <v>#VALUE!</v>
      </c>
      <c r="BW1313" s="58" t="e">
        <f>VLOOKUP(AQ1313,'[1]Harga &amp; Nama CSO'!$A$28:$D$31,4,0)*BQ1313</f>
        <v>#N/A</v>
      </c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44">
        <f>IFERROR(VLOOKUP(AQ1315,'[2]Harga &amp; Nama CSO'!$A$116:$S$136,19,FALSE),0)*AV1315</f>
        <v>0</v>
      </c>
      <c r="BO1314" s="55" t="e">
        <f>IFERROR(VLOOKUP(AQ1314,'[1]Harga &amp; Nama CSO'!$H$2:$N$22,2,FALSE),"")*AV1314</f>
        <v>#VALUE!</v>
      </c>
      <c r="BP1314" s="40"/>
      <c r="BQ1314" s="4"/>
      <c r="BR1314" s="61"/>
      <c r="BS1314" s="4"/>
      <c r="BT1314" s="57" t="e">
        <f t="shared" si="54"/>
        <v>#VALUE!</v>
      </c>
      <c r="BU1314" s="62"/>
      <c r="BV1314" s="8" t="e">
        <v>#VALUE!</v>
      </c>
      <c r="BW1314" s="58" t="e">
        <f>VLOOKUP(AQ1314,'[1]Harga &amp; Nama CSO'!$A$28:$D$31,4,0)*BQ1314</f>
        <v>#N/A</v>
      </c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44">
        <f>IFERROR(VLOOKUP(AQ1316,'[2]Harga &amp; Nama CSO'!$A$116:$S$136,19,FALSE),0)*AV1316</f>
        <v>0</v>
      </c>
      <c r="BO1315" s="55" t="e">
        <f>IFERROR(VLOOKUP(AQ1315,'[1]Harga &amp; Nama CSO'!$H$2:$N$22,2,FALSE),"")*AV1315</f>
        <v>#VALUE!</v>
      </c>
      <c r="BP1315" s="40"/>
      <c r="BQ1315" s="4"/>
      <c r="BR1315" s="61"/>
      <c r="BS1315" s="4"/>
      <c r="BT1315" s="57" t="e">
        <f t="shared" si="54"/>
        <v>#VALUE!</v>
      </c>
      <c r="BU1315" s="62"/>
      <c r="BV1315" s="8" t="e">
        <v>#VALUE!</v>
      </c>
      <c r="BW1315" s="58" t="e">
        <f>VLOOKUP(AQ1315,'[1]Harga &amp; Nama CSO'!$A$28:$D$31,4,0)*BQ1315</f>
        <v>#N/A</v>
      </c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44">
        <f>IFERROR(VLOOKUP(AQ1317,'[2]Harga &amp; Nama CSO'!$A$116:$S$136,19,FALSE),0)*AV1317</f>
        <v>0</v>
      </c>
      <c r="BO1316" s="55" t="e">
        <f>IFERROR(VLOOKUP(AQ1316,'[1]Harga &amp; Nama CSO'!$H$2:$N$22,2,FALSE),"")*AV1316</f>
        <v>#VALUE!</v>
      </c>
      <c r="BP1316" s="40"/>
      <c r="BQ1316" s="4"/>
      <c r="BR1316" s="61"/>
      <c r="BS1316" s="4"/>
      <c r="BT1316" s="57" t="e">
        <f t="shared" si="54"/>
        <v>#VALUE!</v>
      </c>
      <c r="BU1316" s="62"/>
      <c r="BV1316" s="8" t="e">
        <v>#VALUE!</v>
      </c>
      <c r="BW1316" s="58" t="e">
        <f>VLOOKUP(AQ1316,'[1]Harga &amp; Nama CSO'!$A$28:$D$31,4,0)*BQ1316</f>
        <v>#N/A</v>
      </c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44">
        <f>IFERROR(VLOOKUP(AQ1318,'[2]Harga &amp; Nama CSO'!$A$116:$S$136,19,FALSE),0)*AV1318</f>
        <v>0</v>
      </c>
      <c r="BO1317" s="55" t="e">
        <f>IFERROR(VLOOKUP(AQ1317,'[1]Harga &amp; Nama CSO'!$H$2:$N$22,2,FALSE),"")*AV1317</f>
        <v>#VALUE!</v>
      </c>
      <c r="BP1317" s="40"/>
      <c r="BQ1317" s="4"/>
      <c r="BR1317" s="61"/>
      <c r="BS1317" s="4"/>
      <c r="BT1317" s="57" t="e">
        <f t="shared" si="54"/>
        <v>#VALUE!</v>
      </c>
      <c r="BU1317" s="62"/>
      <c r="BV1317" s="8" t="e">
        <v>#VALUE!</v>
      </c>
      <c r="BW1317" s="58" t="e">
        <f>VLOOKUP(AQ1317,'[1]Harga &amp; Nama CSO'!$A$28:$D$31,4,0)*BQ1317</f>
        <v>#N/A</v>
      </c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44">
        <f>IFERROR(VLOOKUP(AQ1319,'[2]Harga &amp; Nama CSO'!$A$116:$S$136,19,FALSE),0)*AV1319</f>
        <v>0</v>
      </c>
      <c r="BO1318" s="55" t="e">
        <f>IFERROR(VLOOKUP(AQ1318,'[1]Harga &amp; Nama CSO'!$H$2:$N$22,2,FALSE),"")*AV1318</f>
        <v>#VALUE!</v>
      </c>
      <c r="BP1318" s="40"/>
      <c r="BQ1318" s="4"/>
      <c r="BR1318" s="61"/>
      <c r="BS1318" s="4"/>
      <c r="BT1318" s="57" t="e">
        <f t="shared" si="54"/>
        <v>#VALUE!</v>
      </c>
      <c r="BU1318" s="62"/>
      <c r="BV1318" s="8" t="e">
        <v>#VALUE!</v>
      </c>
      <c r="BW1318" s="58" t="e">
        <f>VLOOKUP(AQ1318,'[1]Harga &amp; Nama CSO'!$A$28:$D$31,4,0)*BQ1318</f>
        <v>#N/A</v>
      </c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44">
        <f>IFERROR(VLOOKUP(AQ1320,'[2]Harga &amp; Nama CSO'!$A$116:$S$136,19,FALSE),0)*AV1320</f>
        <v>0</v>
      </c>
      <c r="BO1319" s="55" t="e">
        <f>IFERROR(VLOOKUP(AQ1319,'[1]Harga &amp; Nama CSO'!$H$2:$N$22,2,FALSE),"")*AV1319</f>
        <v>#VALUE!</v>
      </c>
      <c r="BP1319" s="40"/>
      <c r="BQ1319" s="4"/>
      <c r="BR1319" s="61"/>
      <c r="BS1319" s="4"/>
      <c r="BT1319" s="57" t="e">
        <f t="shared" si="54"/>
        <v>#VALUE!</v>
      </c>
      <c r="BU1319" s="62"/>
      <c r="BV1319" s="8" t="e">
        <v>#VALUE!</v>
      </c>
      <c r="BW1319" s="58" t="e">
        <f>VLOOKUP(AQ1319,'[1]Harga &amp; Nama CSO'!$A$28:$D$31,4,0)*BQ1319</f>
        <v>#N/A</v>
      </c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44">
        <f>IFERROR(VLOOKUP(AQ1321,'[2]Harga &amp; Nama CSO'!$A$116:$S$136,19,FALSE),0)*AV1321</f>
        <v>0</v>
      </c>
      <c r="BO1320" s="55" t="e">
        <f>IFERROR(VLOOKUP(AQ1320,'[1]Harga &amp; Nama CSO'!$H$2:$N$22,2,FALSE),"")*AV1320</f>
        <v>#VALUE!</v>
      </c>
      <c r="BP1320" s="40"/>
      <c r="BQ1320" s="4"/>
      <c r="BR1320" s="61"/>
      <c r="BS1320" s="4"/>
      <c r="BT1320" s="57" t="e">
        <f t="shared" si="54"/>
        <v>#VALUE!</v>
      </c>
      <c r="BU1320" s="62"/>
      <c r="BV1320" s="8" t="e">
        <v>#VALUE!</v>
      </c>
      <c r="BW1320" s="58" t="e">
        <f>VLOOKUP(AQ1320,'[1]Harga &amp; Nama CSO'!$A$28:$D$31,4,0)*BQ1320</f>
        <v>#N/A</v>
      </c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44">
        <f>IFERROR(VLOOKUP(AQ1322,'[2]Harga &amp; Nama CSO'!$A$116:$S$136,19,FALSE),0)*AV1322</f>
        <v>0</v>
      </c>
      <c r="BO1321" s="55" t="e">
        <f>IFERROR(VLOOKUP(AQ1321,'[1]Harga &amp; Nama CSO'!$H$2:$N$22,2,FALSE),"")*AV1321</f>
        <v>#VALUE!</v>
      </c>
      <c r="BP1321" s="40"/>
      <c r="BQ1321" s="4"/>
      <c r="BR1321" s="61"/>
      <c r="BS1321" s="4"/>
      <c r="BT1321" s="57" t="e">
        <f t="shared" si="54"/>
        <v>#VALUE!</v>
      </c>
      <c r="BU1321" s="62"/>
      <c r="BV1321" s="8" t="e">
        <v>#VALUE!</v>
      </c>
      <c r="BW1321" s="58" t="e">
        <f>VLOOKUP(AQ1321,'[1]Harga &amp; Nama CSO'!$A$28:$D$31,4,0)*BQ1321</f>
        <v>#N/A</v>
      </c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44">
        <f>IFERROR(VLOOKUP(AQ1323,'[2]Harga &amp; Nama CSO'!$A$116:$S$136,19,FALSE),0)*AV1323</f>
        <v>0</v>
      </c>
      <c r="BO1322" s="55" t="e">
        <f>IFERROR(VLOOKUP(AQ1322,'[1]Harga &amp; Nama CSO'!$H$2:$N$22,2,FALSE),"")*AV1322</f>
        <v>#VALUE!</v>
      </c>
      <c r="BP1322" s="40"/>
      <c r="BQ1322" s="4"/>
      <c r="BR1322" s="61"/>
      <c r="BS1322" s="4"/>
      <c r="BT1322" s="57" t="e">
        <f t="shared" si="54"/>
        <v>#VALUE!</v>
      </c>
      <c r="BU1322" s="62"/>
      <c r="BV1322" s="8" t="e">
        <v>#VALUE!</v>
      </c>
      <c r="BW1322" s="58" t="e">
        <f>VLOOKUP(AQ1322,'[1]Harga &amp; Nama CSO'!$A$28:$D$31,4,0)*BQ1322</f>
        <v>#N/A</v>
      </c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44">
        <f>IFERROR(VLOOKUP(AQ1324,'[2]Harga &amp; Nama CSO'!$A$116:$S$136,19,FALSE),0)*AV1324</f>
        <v>0</v>
      </c>
      <c r="BO1323" s="55" t="e">
        <f>IFERROR(VLOOKUP(AQ1323,'[1]Harga &amp; Nama CSO'!$H$2:$N$22,2,FALSE),"")*AV1323</f>
        <v>#VALUE!</v>
      </c>
      <c r="BP1323" s="40"/>
      <c r="BQ1323" s="4"/>
      <c r="BR1323" s="61"/>
      <c r="BS1323" s="4"/>
      <c r="BT1323" s="57" t="e">
        <f t="shared" si="54"/>
        <v>#VALUE!</v>
      </c>
      <c r="BU1323" s="62"/>
      <c r="BV1323" s="8" t="e">
        <v>#VALUE!</v>
      </c>
      <c r="BW1323" s="58" t="e">
        <f>VLOOKUP(AQ1323,'[1]Harga &amp; Nama CSO'!$A$28:$D$31,4,0)*BQ1323</f>
        <v>#N/A</v>
      </c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44">
        <f>IFERROR(VLOOKUP(AQ1325,'[2]Harga &amp; Nama CSO'!$A$116:$S$136,19,FALSE),0)*AV1325</f>
        <v>0</v>
      </c>
      <c r="BO1324" s="55" t="e">
        <f>IFERROR(VLOOKUP(AQ1324,'[1]Harga &amp; Nama CSO'!$H$2:$N$22,2,FALSE),"")*AV1324</f>
        <v>#VALUE!</v>
      </c>
      <c r="BP1324" s="40"/>
      <c r="BQ1324" s="4"/>
      <c r="BR1324" s="61"/>
      <c r="BS1324" s="4"/>
      <c r="BT1324" s="57" t="e">
        <f t="shared" si="54"/>
        <v>#VALUE!</v>
      </c>
      <c r="BU1324" s="62"/>
      <c r="BV1324" s="8" t="e">
        <v>#VALUE!</v>
      </c>
      <c r="BW1324" s="58" t="e">
        <f>VLOOKUP(AQ1324,'[1]Harga &amp; Nama CSO'!$A$28:$D$31,4,0)*BQ1324</f>
        <v>#N/A</v>
      </c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44">
        <f>IFERROR(VLOOKUP(AQ1326,'[2]Harga &amp; Nama CSO'!$A$116:$S$136,19,FALSE),0)*AV1326</f>
        <v>0</v>
      </c>
      <c r="BO1325" s="55" t="e">
        <f>IFERROR(VLOOKUP(AQ1325,'[1]Harga &amp; Nama CSO'!$H$2:$N$22,2,FALSE),"")*AV1325</f>
        <v>#VALUE!</v>
      </c>
      <c r="BP1325" s="40"/>
      <c r="BQ1325" s="4"/>
      <c r="BR1325" s="61"/>
      <c r="BS1325" s="4"/>
      <c r="BT1325" s="57" t="e">
        <f t="shared" si="54"/>
        <v>#VALUE!</v>
      </c>
      <c r="BU1325" s="62"/>
      <c r="BV1325" s="8" t="e">
        <v>#VALUE!</v>
      </c>
      <c r="BW1325" s="58" t="e">
        <f>VLOOKUP(AQ1325,'[1]Harga &amp; Nama CSO'!$A$28:$D$31,4,0)*BQ1325</f>
        <v>#N/A</v>
      </c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44">
        <f>IFERROR(VLOOKUP(AQ1327,'[2]Harga &amp; Nama CSO'!$A$116:$S$136,19,FALSE),0)*AV1327</f>
        <v>0</v>
      </c>
      <c r="BO1326" s="55" t="e">
        <f>IFERROR(VLOOKUP(AQ1326,'[1]Harga &amp; Nama CSO'!$H$2:$N$22,2,FALSE),"")*AV1326</f>
        <v>#VALUE!</v>
      </c>
      <c r="BP1326" s="40"/>
      <c r="BQ1326" s="4"/>
      <c r="BR1326" s="61"/>
      <c r="BS1326" s="4"/>
      <c r="BT1326" s="57" t="e">
        <f t="shared" si="54"/>
        <v>#VALUE!</v>
      </c>
      <c r="BU1326" s="62"/>
      <c r="BV1326" s="8" t="e">
        <v>#VALUE!</v>
      </c>
      <c r="BW1326" s="58" t="e">
        <f>VLOOKUP(AQ1326,'[1]Harga &amp; Nama CSO'!$A$28:$D$31,4,0)*BQ1326</f>
        <v>#N/A</v>
      </c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44">
        <f>IFERROR(VLOOKUP(AQ1328,'[2]Harga &amp; Nama CSO'!$A$116:$S$136,19,FALSE),0)*AV1328</f>
        <v>0</v>
      </c>
      <c r="BO1327" s="55" t="e">
        <f>IFERROR(VLOOKUP(AQ1327,'[1]Harga &amp; Nama CSO'!$H$2:$N$22,2,FALSE),"")*AV1327</f>
        <v>#VALUE!</v>
      </c>
      <c r="BP1327" s="40"/>
      <c r="BQ1327" s="4"/>
      <c r="BR1327" s="61"/>
      <c r="BS1327" s="4"/>
      <c r="BT1327" s="57" t="e">
        <f t="shared" si="54"/>
        <v>#VALUE!</v>
      </c>
      <c r="BU1327" s="62"/>
      <c r="BV1327" s="8" t="e">
        <v>#VALUE!</v>
      </c>
      <c r="BW1327" s="58" t="e">
        <f>VLOOKUP(AQ1327,'[1]Harga &amp; Nama CSO'!$A$28:$D$31,4,0)*BQ1327</f>
        <v>#N/A</v>
      </c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44">
        <f>IFERROR(VLOOKUP(AQ1329,'[2]Harga &amp; Nama CSO'!$A$116:$S$136,19,FALSE),0)*AV1329</f>
        <v>0</v>
      </c>
      <c r="BO1328" s="55" t="e">
        <f>IFERROR(VLOOKUP(AQ1328,'[1]Harga &amp; Nama CSO'!$H$2:$N$22,2,FALSE),"")*AV1328</f>
        <v>#VALUE!</v>
      </c>
      <c r="BP1328" s="40"/>
      <c r="BQ1328" s="4"/>
      <c r="BR1328" s="61"/>
      <c r="BS1328" s="4"/>
      <c r="BT1328" s="57" t="e">
        <f t="shared" si="54"/>
        <v>#VALUE!</v>
      </c>
      <c r="BU1328" s="62"/>
      <c r="BV1328" s="8" t="e">
        <v>#VALUE!</v>
      </c>
      <c r="BW1328" s="58" t="e">
        <f>VLOOKUP(AQ1328,'[1]Harga &amp; Nama CSO'!$A$28:$D$31,4,0)*BQ1328</f>
        <v>#N/A</v>
      </c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44">
        <f>IFERROR(VLOOKUP(AQ1330,'[2]Harga &amp; Nama CSO'!$A$116:$S$136,19,FALSE),0)*AV1330</f>
        <v>0</v>
      </c>
      <c r="BO1329" s="55" t="e">
        <f>IFERROR(VLOOKUP(AQ1329,'[1]Harga &amp; Nama CSO'!$H$2:$N$22,2,FALSE),"")*AV1329</f>
        <v>#VALUE!</v>
      </c>
      <c r="BP1329" s="40"/>
      <c r="BQ1329" s="4"/>
      <c r="BR1329" s="61"/>
      <c r="BS1329" s="4"/>
      <c r="BT1329" s="57" t="e">
        <f t="shared" si="54"/>
        <v>#VALUE!</v>
      </c>
      <c r="BU1329" s="62"/>
      <c r="BV1329" s="8" t="e">
        <v>#VALUE!</v>
      </c>
      <c r="BW1329" s="58" t="e">
        <f>VLOOKUP(AQ1329,'[1]Harga &amp; Nama CSO'!$A$28:$D$31,4,0)*BQ1329</f>
        <v>#N/A</v>
      </c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44">
        <f>IFERROR(VLOOKUP(AQ1331,'[2]Harga &amp; Nama CSO'!$A$116:$S$136,19,FALSE),0)*AV1331</f>
        <v>0</v>
      </c>
      <c r="BO1330" s="55" t="e">
        <f>IFERROR(VLOOKUP(AQ1330,'[1]Harga &amp; Nama CSO'!$H$2:$N$22,2,FALSE),"")*AV1330</f>
        <v>#VALUE!</v>
      </c>
      <c r="BP1330" s="40"/>
      <c r="BQ1330" s="4"/>
      <c r="BR1330" s="61"/>
      <c r="BS1330" s="4"/>
      <c r="BT1330" s="57" t="e">
        <f t="shared" si="54"/>
        <v>#VALUE!</v>
      </c>
      <c r="BU1330" s="62"/>
      <c r="BV1330" s="8" t="e">
        <v>#VALUE!</v>
      </c>
      <c r="BW1330" s="58" t="e">
        <f>VLOOKUP(AQ1330,'[1]Harga &amp; Nama CSO'!$A$28:$D$31,4,0)*BQ1330</f>
        <v>#N/A</v>
      </c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44">
        <f>IFERROR(VLOOKUP(AQ1332,'[2]Harga &amp; Nama CSO'!$A$116:$S$136,19,FALSE),0)*AV1332</f>
        <v>0</v>
      </c>
      <c r="BO1331" s="55" t="e">
        <f>IFERROR(VLOOKUP(AQ1331,'[1]Harga &amp; Nama CSO'!$H$2:$N$22,2,FALSE),"")*AV1331</f>
        <v>#VALUE!</v>
      </c>
      <c r="BP1331" s="40"/>
      <c r="BQ1331" s="4"/>
      <c r="BR1331" s="61"/>
      <c r="BS1331" s="4"/>
      <c r="BT1331" s="57" t="e">
        <f t="shared" si="54"/>
        <v>#VALUE!</v>
      </c>
      <c r="BU1331" s="62"/>
      <c r="BV1331" s="8" t="e">
        <v>#VALUE!</v>
      </c>
      <c r="BW1331" s="58" t="e">
        <f>VLOOKUP(AQ1331,'[1]Harga &amp; Nama CSO'!$A$28:$D$31,4,0)*BQ1331</f>
        <v>#N/A</v>
      </c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44">
        <f>IFERROR(VLOOKUP(AQ1333,'[2]Harga &amp; Nama CSO'!$A$116:$S$136,19,FALSE),0)*AV1333</f>
        <v>0</v>
      </c>
      <c r="BO1332" s="55" t="e">
        <f>IFERROR(VLOOKUP(AQ1332,'[1]Harga &amp; Nama CSO'!$H$2:$N$22,2,FALSE),"")*AV1332</f>
        <v>#VALUE!</v>
      </c>
      <c r="BP1332" s="40"/>
      <c r="BQ1332" s="4"/>
      <c r="BR1332" s="61"/>
      <c r="BS1332" s="4"/>
      <c r="BT1332" s="57" t="e">
        <f t="shared" si="54"/>
        <v>#VALUE!</v>
      </c>
      <c r="BU1332" s="62"/>
      <c r="BV1332" s="8" t="e">
        <v>#VALUE!</v>
      </c>
      <c r="BW1332" s="58" t="e">
        <f>VLOOKUP(AQ1332,'[1]Harga &amp; Nama CSO'!$A$28:$D$31,4,0)*BQ1332</f>
        <v>#N/A</v>
      </c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44">
        <f>IFERROR(VLOOKUP(AQ1334,'[2]Harga &amp; Nama CSO'!$A$116:$S$136,19,FALSE),0)*AV1334</f>
        <v>0</v>
      </c>
      <c r="BO1333" s="55" t="e">
        <f>IFERROR(VLOOKUP(AQ1333,'[1]Harga &amp; Nama CSO'!$H$2:$N$22,2,FALSE),"")*AV1333</f>
        <v>#VALUE!</v>
      </c>
      <c r="BP1333" s="40"/>
      <c r="BQ1333" s="4"/>
      <c r="BR1333" s="61"/>
      <c r="BS1333" s="4"/>
      <c r="BT1333" s="57" t="e">
        <f t="shared" si="54"/>
        <v>#VALUE!</v>
      </c>
      <c r="BU1333" s="62"/>
      <c r="BV1333" s="8" t="e">
        <v>#VALUE!</v>
      </c>
      <c r="BW1333" s="58" t="e">
        <f>VLOOKUP(AQ1333,'[1]Harga &amp; Nama CSO'!$A$28:$D$31,4,0)*BQ1333</f>
        <v>#N/A</v>
      </c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44">
        <f>IFERROR(VLOOKUP(AQ1335,'[2]Harga &amp; Nama CSO'!$A$116:$S$136,19,FALSE),0)*AV1335</f>
        <v>0</v>
      </c>
      <c r="BO1334" s="55" t="e">
        <f>IFERROR(VLOOKUP(AQ1334,'[1]Harga &amp; Nama CSO'!$H$2:$N$22,2,FALSE),"")*AV1334</f>
        <v>#VALUE!</v>
      </c>
      <c r="BP1334" s="40"/>
      <c r="BQ1334" s="4"/>
      <c r="BR1334" s="61"/>
      <c r="BS1334" s="4"/>
      <c r="BT1334" s="57" t="e">
        <f t="shared" si="54"/>
        <v>#VALUE!</v>
      </c>
      <c r="BU1334" s="62"/>
      <c r="BV1334" s="8" t="e">
        <v>#VALUE!</v>
      </c>
      <c r="BW1334" s="58" t="e">
        <f>VLOOKUP(AQ1334,'[1]Harga &amp; Nama CSO'!$A$28:$D$31,4,0)*BQ1334</f>
        <v>#N/A</v>
      </c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44">
        <f>IFERROR(VLOOKUP(AQ1336,'[2]Harga &amp; Nama CSO'!$A$116:$S$136,19,FALSE),0)*AV1336</f>
        <v>0</v>
      </c>
      <c r="BO1335" s="55" t="e">
        <f>IFERROR(VLOOKUP(AQ1335,'[1]Harga &amp; Nama CSO'!$H$2:$N$22,2,FALSE),"")*AV1335</f>
        <v>#VALUE!</v>
      </c>
      <c r="BP1335" s="40"/>
      <c r="BQ1335" s="4"/>
      <c r="BR1335" s="61"/>
      <c r="BS1335" s="4"/>
      <c r="BT1335" s="57" t="e">
        <f t="shared" si="54"/>
        <v>#VALUE!</v>
      </c>
      <c r="BU1335" s="62"/>
      <c r="BV1335" s="8" t="e">
        <v>#VALUE!</v>
      </c>
      <c r="BW1335" s="58" t="e">
        <f>VLOOKUP(AQ1335,'[1]Harga &amp; Nama CSO'!$A$28:$D$31,4,0)*BQ1335</f>
        <v>#N/A</v>
      </c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44">
        <f>IFERROR(VLOOKUP(AQ1337,'[2]Harga &amp; Nama CSO'!$A$116:$S$136,19,FALSE),0)*AV1337</f>
        <v>0</v>
      </c>
      <c r="BO1336" s="55" t="e">
        <f>IFERROR(VLOOKUP(AQ1336,'[1]Harga &amp; Nama CSO'!$H$2:$N$22,2,FALSE),"")*AV1336</f>
        <v>#VALUE!</v>
      </c>
      <c r="BP1336" s="40"/>
      <c r="BQ1336" s="4"/>
      <c r="BR1336" s="61"/>
      <c r="BS1336" s="4"/>
      <c r="BT1336" s="57" t="e">
        <f t="shared" si="54"/>
        <v>#VALUE!</v>
      </c>
      <c r="BU1336" s="62"/>
      <c r="BV1336" s="8" t="e">
        <v>#VALUE!</v>
      </c>
      <c r="BW1336" s="58" t="e">
        <f>VLOOKUP(AQ1336,'[1]Harga &amp; Nama CSO'!$A$28:$D$31,4,0)*BQ1336</f>
        <v>#N/A</v>
      </c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44">
        <f>IFERROR(VLOOKUP(AQ1338,'[2]Harga &amp; Nama CSO'!$A$116:$S$136,19,FALSE),0)*AV1338</f>
        <v>0</v>
      </c>
      <c r="BO1337" s="55" t="e">
        <f>IFERROR(VLOOKUP(AQ1337,'[1]Harga &amp; Nama CSO'!$H$2:$N$22,2,FALSE),"")*AV1337</f>
        <v>#VALUE!</v>
      </c>
      <c r="BP1337" s="40"/>
      <c r="BQ1337" s="4"/>
      <c r="BR1337" s="61"/>
      <c r="BS1337" s="4"/>
      <c r="BT1337" s="57" t="e">
        <f t="shared" si="54"/>
        <v>#VALUE!</v>
      </c>
      <c r="BU1337" s="62"/>
      <c r="BV1337" s="8" t="e">
        <v>#VALUE!</v>
      </c>
      <c r="BW1337" s="58" t="e">
        <f>VLOOKUP(AQ1337,'[1]Harga &amp; Nama CSO'!$A$28:$D$31,4,0)*BQ1337</f>
        <v>#N/A</v>
      </c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44">
        <f>IFERROR(VLOOKUP(AQ1339,'[2]Harga &amp; Nama CSO'!$A$116:$S$136,19,FALSE),0)*AV1339</f>
        <v>0</v>
      </c>
      <c r="BO1338" s="55" t="e">
        <f>IFERROR(VLOOKUP(AQ1338,'[1]Harga &amp; Nama CSO'!$H$2:$N$22,2,FALSE),"")*AV1338</f>
        <v>#VALUE!</v>
      </c>
      <c r="BP1338" s="40"/>
      <c r="BQ1338" s="4"/>
      <c r="BR1338" s="61"/>
      <c r="BS1338" s="4"/>
      <c r="BT1338" s="57" t="e">
        <f t="shared" si="54"/>
        <v>#VALUE!</v>
      </c>
      <c r="BU1338" s="62"/>
      <c r="BV1338" s="8" t="e">
        <v>#VALUE!</v>
      </c>
      <c r="BW1338" s="58" t="e">
        <f>VLOOKUP(AQ1338,'[1]Harga &amp; Nama CSO'!$A$28:$D$31,4,0)*BQ1338</f>
        <v>#N/A</v>
      </c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44">
        <f>IFERROR(VLOOKUP(AQ1340,'[2]Harga &amp; Nama CSO'!$A$116:$S$136,19,FALSE),0)*AV1340</f>
        <v>0</v>
      </c>
      <c r="BO1339" s="55" t="e">
        <f>IFERROR(VLOOKUP(AQ1339,'[1]Harga &amp; Nama CSO'!$H$2:$N$22,2,FALSE),"")*AV1339</f>
        <v>#VALUE!</v>
      </c>
      <c r="BP1339" s="40"/>
      <c r="BQ1339" s="4"/>
      <c r="BR1339" s="61"/>
      <c r="BS1339" s="4"/>
      <c r="BT1339" s="57" t="e">
        <f t="shared" si="54"/>
        <v>#VALUE!</v>
      </c>
      <c r="BU1339" s="62"/>
      <c r="BV1339" s="8" t="e">
        <v>#VALUE!</v>
      </c>
      <c r="BW1339" s="58" t="e">
        <f>VLOOKUP(AQ1339,'[1]Harga &amp; Nama CSO'!$A$28:$D$31,4,0)*BQ1339</f>
        <v>#N/A</v>
      </c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44">
        <f>IFERROR(VLOOKUP(AQ1341,'[2]Harga &amp; Nama CSO'!$A$116:$S$136,19,FALSE),0)*AV1341</f>
        <v>0</v>
      </c>
      <c r="BO1340" s="55" t="e">
        <f>IFERROR(VLOOKUP(AQ1340,'[1]Harga &amp; Nama CSO'!$H$2:$N$22,2,FALSE),"")*AV1340</f>
        <v>#VALUE!</v>
      </c>
      <c r="BP1340" s="40"/>
      <c r="BQ1340" s="4"/>
      <c r="BR1340" s="61"/>
      <c r="BS1340" s="4"/>
      <c r="BT1340" s="57" t="e">
        <f t="shared" si="54"/>
        <v>#VALUE!</v>
      </c>
      <c r="BU1340" s="62"/>
      <c r="BV1340" s="8" t="e">
        <v>#VALUE!</v>
      </c>
      <c r="BW1340" s="58" t="e">
        <f>VLOOKUP(AQ1340,'[1]Harga &amp; Nama CSO'!$A$28:$D$31,4,0)*BQ1340</f>
        <v>#N/A</v>
      </c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44">
        <f>IFERROR(VLOOKUP(AQ1342,'[2]Harga &amp; Nama CSO'!$A$116:$S$136,19,FALSE),0)*AV1342</f>
        <v>0</v>
      </c>
      <c r="BO1341" s="55" t="e">
        <f>IFERROR(VLOOKUP(AQ1341,'[1]Harga &amp; Nama CSO'!$H$2:$N$22,2,FALSE),"")*AV1341</f>
        <v>#VALUE!</v>
      </c>
      <c r="BP1341" s="40"/>
      <c r="BQ1341" s="4"/>
      <c r="BR1341" s="61"/>
      <c r="BS1341" s="4"/>
      <c r="BT1341" s="57" t="e">
        <f t="shared" si="54"/>
        <v>#VALUE!</v>
      </c>
      <c r="BU1341" s="62"/>
      <c r="BV1341" s="8" t="e">
        <v>#VALUE!</v>
      </c>
      <c r="BW1341" s="58" t="e">
        <f>VLOOKUP(AQ1341,'[1]Harga &amp; Nama CSO'!$A$28:$D$31,4,0)*BQ1341</f>
        <v>#N/A</v>
      </c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44">
        <f>IFERROR(VLOOKUP(AQ1343,'[2]Harga &amp; Nama CSO'!$A$116:$S$136,19,FALSE),0)*AV1343</f>
        <v>0</v>
      </c>
      <c r="BO1342" s="55" t="e">
        <f>IFERROR(VLOOKUP(AQ1342,'[1]Harga &amp; Nama CSO'!$H$2:$N$22,2,FALSE),"")*AV1342</f>
        <v>#VALUE!</v>
      </c>
      <c r="BP1342" s="40"/>
      <c r="BQ1342" s="4"/>
      <c r="BR1342" s="61"/>
      <c r="BS1342" s="4"/>
      <c r="BT1342" s="57" t="e">
        <f t="shared" si="54"/>
        <v>#VALUE!</v>
      </c>
      <c r="BU1342" s="62"/>
      <c r="BV1342" s="8" t="e">
        <v>#VALUE!</v>
      </c>
      <c r="BW1342" s="58" t="e">
        <f>VLOOKUP(AQ1342,'[1]Harga &amp; Nama CSO'!$A$28:$D$31,4,0)*BQ1342</f>
        <v>#N/A</v>
      </c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44">
        <f>IFERROR(VLOOKUP(AQ1344,'[2]Harga &amp; Nama CSO'!$A$116:$S$136,19,FALSE),0)*AV1344</f>
        <v>0</v>
      </c>
      <c r="BO1343" s="55" t="e">
        <f>IFERROR(VLOOKUP(AQ1343,'[1]Harga &amp; Nama CSO'!$H$2:$N$22,2,FALSE),"")*AV1343</f>
        <v>#VALUE!</v>
      </c>
      <c r="BP1343" s="40"/>
      <c r="BQ1343" s="4"/>
      <c r="BR1343" s="61"/>
      <c r="BS1343" s="4"/>
      <c r="BT1343" s="57" t="e">
        <f t="shared" si="54"/>
        <v>#VALUE!</v>
      </c>
      <c r="BU1343" s="62"/>
      <c r="BV1343" s="8" t="e">
        <v>#VALUE!</v>
      </c>
      <c r="BW1343" s="58" t="e">
        <f>VLOOKUP(AQ1343,'[1]Harga &amp; Nama CSO'!$A$28:$D$31,4,0)*BQ1343</f>
        <v>#N/A</v>
      </c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44">
        <f>IFERROR(VLOOKUP(AQ1345,'[2]Harga &amp; Nama CSO'!$A$116:$S$136,19,FALSE),0)*AV1345</f>
        <v>0</v>
      </c>
      <c r="BO1344" s="55" t="e">
        <f>IFERROR(VLOOKUP(AQ1344,'[1]Harga &amp; Nama CSO'!$H$2:$N$22,2,FALSE),"")*AV1344</f>
        <v>#VALUE!</v>
      </c>
      <c r="BP1344" s="40"/>
      <c r="BQ1344" s="4"/>
      <c r="BR1344" s="61"/>
      <c r="BS1344" s="4"/>
      <c r="BT1344" s="57" t="e">
        <f t="shared" si="54"/>
        <v>#VALUE!</v>
      </c>
      <c r="BU1344" s="62"/>
      <c r="BV1344" s="8" t="e">
        <v>#VALUE!</v>
      </c>
      <c r="BW1344" s="58" t="e">
        <f>VLOOKUP(AQ1344,'[1]Harga &amp; Nama CSO'!$A$28:$D$31,4,0)*BQ1344</f>
        <v>#N/A</v>
      </c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44">
        <f>IFERROR(VLOOKUP(AQ1346,'[2]Harga &amp; Nama CSO'!$A$116:$S$136,19,FALSE),0)*AV1346</f>
        <v>0</v>
      </c>
      <c r="BO1345" s="55" t="e">
        <f>IFERROR(VLOOKUP(AQ1345,'[1]Harga &amp; Nama CSO'!$H$2:$N$22,2,FALSE),"")*AV1345</f>
        <v>#VALUE!</v>
      </c>
      <c r="BP1345" s="40"/>
      <c r="BQ1345" s="4"/>
      <c r="BR1345" s="61"/>
      <c r="BS1345" s="4"/>
      <c r="BT1345" s="57" t="e">
        <f t="shared" si="54"/>
        <v>#VALUE!</v>
      </c>
      <c r="BU1345" s="62"/>
      <c r="BV1345" s="8" t="e">
        <v>#VALUE!</v>
      </c>
      <c r="BW1345" s="58" t="e">
        <f>VLOOKUP(AQ1345,'[1]Harga &amp; Nama CSO'!$A$28:$D$31,4,0)*BQ1345</f>
        <v>#N/A</v>
      </c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44">
        <f>IFERROR(VLOOKUP(AQ1347,'[2]Harga &amp; Nama CSO'!$A$116:$S$136,19,FALSE),0)*AV1347</f>
        <v>0</v>
      </c>
      <c r="BO1346" s="55" t="e">
        <f>IFERROR(VLOOKUP(AQ1346,'[1]Harga &amp; Nama CSO'!$H$2:$N$22,2,FALSE),"")*AV1346</f>
        <v>#VALUE!</v>
      </c>
      <c r="BP1346" s="40"/>
      <c r="BQ1346" s="4"/>
      <c r="BR1346" s="61"/>
      <c r="BS1346" s="4"/>
      <c r="BT1346" s="57" t="e">
        <f t="shared" si="54"/>
        <v>#VALUE!</v>
      </c>
      <c r="BU1346" s="62"/>
      <c r="BV1346" s="8" t="e">
        <v>#VALUE!</v>
      </c>
      <c r="BW1346" s="58" t="e">
        <f>VLOOKUP(AQ1346,'[1]Harga &amp; Nama CSO'!$A$28:$D$31,4,0)*BQ1346</f>
        <v>#N/A</v>
      </c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44">
        <f>IFERROR(VLOOKUP(AQ1348,'[2]Harga &amp; Nama CSO'!$A$116:$S$136,19,FALSE),0)*AV1348</f>
        <v>0</v>
      </c>
      <c r="BO1347" s="55" t="e">
        <f>IFERROR(VLOOKUP(AQ1347,'[1]Harga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55">BO1347-BR1347</f>
        <v>#VALUE!</v>
      </c>
      <c r="BU1347" s="62"/>
      <c r="BV1347" s="8" t="e">
        <v>#VALUE!</v>
      </c>
      <c r="BW1347" s="58" t="e">
        <f>VLOOKUP(AQ1347,'[1]Harga &amp; Nama CSO'!$A$28:$D$31,4,0)*BQ1347</f>
        <v>#N/A</v>
      </c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44">
        <f>IFERROR(VLOOKUP(AQ1349,'[2]Harga &amp; Nama CSO'!$A$116:$S$136,19,FALSE),0)*AV1349</f>
        <v>0</v>
      </c>
      <c r="BO1348" s="55" t="e">
        <f>IFERROR(VLOOKUP(AQ1348,'[1]Harga &amp; Nama CSO'!$H$2:$N$22,2,FALSE),"")*AV1348</f>
        <v>#VALUE!</v>
      </c>
      <c r="BP1348" s="40"/>
      <c r="BQ1348" s="4"/>
      <c r="BR1348" s="61"/>
      <c r="BS1348" s="4"/>
      <c r="BT1348" s="57" t="e">
        <f t="shared" si="55"/>
        <v>#VALUE!</v>
      </c>
      <c r="BU1348" s="62"/>
      <c r="BV1348" s="8" t="e">
        <v>#VALUE!</v>
      </c>
      <c r="BW1348" s="58" t="e">
        <f>VLOOKUP(AQ1348,'[1]Harga &amp; Nama CSO'!$A$28:$D$31,4,0)*BQ1348</f>
        <v>#N/A</v>
      </c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44">
        <f>IFERROR(VLOOKUP(AQ1350,'[2]Harga &amp; Nama CSO'!$A$116:$S$136,19,FALSE),0)*AV1350</f>
        <v>0</v>
      </c>
      <c r="BO1349" s="55" t="e">
        <f>IFERROR(VLOOKUP(AQ1349,'[1]Harga &amp; Nama CSO'!$H$2:$N$22,2,FALSE),"")*AV1349</f>
        <v>#VALUE!</v>
      </c>
      <c r="BP1349" s="40"/>
      <c r="BQ1349" s="4"/>
      <c r="BR1349" s="61"/>
      <c r="BS1349" s="4"/>
      <c r="BT1349" s="57" t="e">
        <f t="shared" si="55"/>
        <v>#VALUE!</v>
      </c>
      <c r="BU1349" s="62"/>
      <c r="BV1349" s="8" t="e">
        <v>#VALUE!</v>
      </c>
      <c r="BW1349" s="58" t="e">
        <f>VLOOKUP(AQ1349,'[1]Harga &amp; Nama CSO'!$A$28:$D$31,4,0)*BQ1349</f>
        <v>#N/A</v>
      </c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44">
        <f>IFERROR(VLOOKUP(AQ1351,'[2]Harga &amp; Nama CSO'!$A$116:$S$136,19,FALSE),0)*AV1351</f>
        <v>0</v>
      </c>
      <c r="BO1350" s="55" t="e">
        <f>IFERROR(VLOOKUP(AQ1350,'[1]Harga &amp; Nama CSO'!$H$2:$N$22,2,FALSE),"")*AV1350</f>
        <v>#VALUE!</v>
      </c>
      <c r="BP1350" s="40"/>
      <c r="BQ1350" s="4"/>
      <c r="BR1350" s="61"/>
      <c r="BS1350" s="4"/>
      <c r="BT1350" s="57" t="e">
        <f t="shared" si="55"/>
        <v>#VALUE!</v>
      </c>
      <c r="BU1350" s="62"/>
      <c r="BV1350" s="8" t="e">
        <v>#VALUE!</v>
      </c>
      <c r="BW1350" s="58" t="e">
        <f>VLOOKUP(AQ1350,'[1]Harga &amp; Nama CSO'!$A$28:$D$31,4,0)*BQ1350</f>
        <v>#N/A</v>
      </c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44">
        <f>IFERROR(VLOOKUP(AQ1352,'[2]Harga &amp; Nama CSO'!$A$116:$S$136,19,FALSE),0)*AV1352</f>
        <v>0</v>
      </c>
      <c r="BO1351" s="55" t="e">
        <f>IFERROR(VLOOKUP(AQ1351,'[1]Harga &amp; Nama CSO'!$H$2:$N$22,2,FALSE),"")*AV1351</f>
        <v>#VALUE!</v>
      </c>
      <c r="BP1351" s="40"/>
      <c r="BQ1351" s="4"/>
      <c r="BR1351" s="61"/>
      <c r="BS1351" s="4"/>
      <c r="BT1351" s="57" t="e">
        <f t="shared" si="55"/>
        <v>#VALUE!</v>
      </c>
      <c r="BU1351" s="62"/>
      <c r="BV1351" s="8" t="e">
        <v>#VALUE!</v>
      </c>
      <c r="BW1351" s="58" t="e">
        <f>VLOOKUP(AQ1351,'[1]Harga &amp; Nama CSO'!$A$28:$D$31,4,0)*BQ1351</f>
        <v>#N/A</v>
      </c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44">
        <f>IFERROR(VLOOKUP(AQ1353,'[2]Harga &amp; Nama CSO'!$A$116:$S$136,19,FALSE),0)*AV1353</f>
        <v>0</v>
      </c>
      <c r="BO1352" s="55" t="e">
        <f>IFERROR(VLOOKUP(AQ1352,'[1]Harga &amp; Nama CSO'!$H$2:$N$22,2,FALSE),"")*AV1352</f>
        <v>#VALUE!</v>
      </c>
      <c r="BP1352" s="40"/>
      <c r="BQ1352" s="4"/>
      <c r="BR1352" s="61"/>
      <c r="BS1352" s="4"/>
      <c r="BT1352" s="57" t="e">
        <f t="shared" si="55"/>
        <v>#VALUE!</v>
      </c>
      <c r="BU1352" s="62"/>
      <c r="BV1352" s="8" t="e">
        <v>#VALUE!</v>
      </c>
      <c r="BW1352" s="58" t="e">
        <f>VLOOKUP(AQ1352,'[1]Harga &amp; Nama CSO'!$A$28:$D$31,4,0)*BQ1352</f>
        <v>#N/A</v>
      </c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44">
        <f>IFERROR(VLOOKUP(AQ1354,'[2]Harga &amp; Nama CSO'!$A$116:$S$136,19,FALSE),0)*AV1354</f>
        <v>0</v>
      </c>
      <c r="BO1353" s="55" t="e">
        <f>IFERROR(VLOOKUP(AQ1353,'[1]Harga &amp; Nama CSO'!$H$2:$N$22,2,FALSE),"")*AV1353</f>
        <v>#VALUE!</v>
      </c>
      <c r="BP1353" s="40"/>
      <c r="BQ1353" s="4"/>
      <c r="BR1353" s="61"/>
      <c r="BS1353" s="4"/>
      <c r="BT1353" s="57" t="e">
        <f t="shared" si="55"/>
        <v>#VALUE!</v>
      </c>
      <c r="BU1353" s="62"/>
      <c r="BV1353" s="8" t="e">
        <v>#VALUE!</v>
      </c>
      <c r="BW1353" s="58" t="e">
        <f>VLOOKUP(AQ1353,'[1]Harga &amp; Nama CSO'!$A$28:$D$31,4,0)*BQ1353</f>
        <v>#N/A</v>
      </c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44">
        <f>IFERROR(VLOOKUP(AQ1355,'[2]Harga &amp; Nama CSO'!$A$116:$S$136,19,FALSE),0)*AV1355</f>
        <v>0</v>
      </c>
      <c r="BO1354" s="55" t="e">
        <f>IFERROR(VLOOKUP(AQ1354,'[1]Harga &amp; Nama CSO'!$H$2:$N$22,2,FALSE),"")*AV1354</f>
        <v>#VALUE!</v>
      </c>
      <c r="BP1354" s="40"/>
      <c r="BQ1354" s="4"/>
      <c r="BR1354" s="61"/>
      <c r="BS1354" s="4"/>
      <c r="BT1354" s="57" t="e">
        <f t="shared" si="55"/>
        <v>#VALUE!</v>
      </c>
      <c r="BU1354" s="62"/>
      <c r="BV1354" s="8" t="e">
        <v>#VALUE!</v>
      </c>
      <c r="BW1354" s="58" t="e">
        <f>VLOOKUP(AQ1354,'[1]Harga &amp; Nama CSO'!$A$28:$D$31,4,0)*BQ1354</f>
        <v>#N/A</v>
      </c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44">
        <f>IFERROR(VLOOKUP(AQ1356,'[2]Harga &amp; Nama CSO'!$A$116:$S$136,19,FALSE),0)*AV1356</f>
        <v>0</v>
      </c>
      <c r="BO1355" s="55" t="e">
        <f>IFERROR(VLOOKUP(AQ1355,'[1]Harga &amp; Nama CSO'!$H$2:$N$22,2,FALSE),"")*AV1355</f>
        <v>#VALUE!</v>
      </c>
      <c r="BP1355" s="40"/>
      <c r="BQ1355" s="4"/>
      <c r="BR1355" s="61"/>
      <c r="BS1355" s="4"/>
      <c r="BT1355" s="57" t="e">
        <f t="shared" si="55"/>
        <v>#VALUE!</v>
      </c>
      <c r="BU1355" s="62"/>
      <c r="BV1355" s="8" t="e">
        <v>#VALUE!</v>
      </c>
      <c r="BW1355" s="58" t="e">
        <f>VLOOKUP(AQ1355,'[1]Harga &amp; Nama CSO'!$A$28:$D$31,4,0)*BQ1355</f>
        <v>#N/A</v>
      </c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44">
        <f>IFERROR(VLOOKUP(AQ1357,'[2]Harga &amp; Nama CSO'!$A$116:$S$136,19,FALSE),0)*AV1357</f>
        <v>0</v>
      </c>
      <c r="BO1356" s="55" t="e">
        <f>IFERROR(VLOOKUP(AQ1356,'[1]Harga &amp; Nama CSO'!$H$2:$N$22,2,FALSE),"")*AV1356</f>
        <v>#VALUE!</v>
      </c>
      <c r="BP1356" s="40"/>
      <c r="BQ1356" s="4"/>
      <c r="BR1356" s="61"/>
      <c r="BS1356" s="4"/>
      <c r="BT1356" s="57" t="e">
        <f t="shared" si="55"/>
        <v>#VALUE!</v>
      </c>
      <c r="BU1356" s="62"/>
      <c r="BV1356" s="8" t="e">
        <v>#VALUE!</v>
      </c>
      <c r="BW1356" s="58" t="e">
        <f>VLOOKUP(AQ1356,'[1]Harga &amp; Nama CSO'!$A$28:$D$31,4,0)*BQ1356</f>
        <v>#N/A</v>
      </c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44">
        <f>IFERROR(VLOOKUP(AQ1358,'[2]Harga &amp; Nama CSO'!$A$116:$S$136,19,FALSE),0)*AV1358</f>
        <v>0</v>
      </c>
      <c r="BO1357" s="55" t="e">
        <f>IFERROR(VLOOKUP(AQ1357,'[1]Harga &amp; Nama CSO'!$H$2:$N$22,2,FALSE),"")*AV1357</f>
        <v>#VALUE!</v>
      </c>
      <c r="BP1357" s="40"/>
      <c r="BQ1357" s="4"/>
      <c r="BR1357" s="61"/>
      <c r="BS1357" s="4"/>
      <c r="BT1357" s="57" t="e">
        <f t="shared" si="55"/>
        <v>#VALUE!</v>
      </c>
      <c r="BU1357" s="62"/>
      <c r="BV1357" s="8" t="e">
        <v>#VALUE!</v>
      </c>
      <c r="BW1357" s="58" t="e">
        <f>VLOOKUP(AQ1357,'[1]Harga &amp; Nama CSO'!$A$28:$D$31,4,0)*BQ1357</f>
        <v>#N/A</v>
      </c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44">
        <f>IFERROR(VLOOKUP(AQ1359,'[2]Harga &amp; Nama CSO'!$A$116:$S$136,19,FALSE),0)*AV1359</f>
        <v>0</v>
      </c>
      <c r="BO1358" s="55" t="e">
        <f>IFERROR(VLOOKUP(AQ1358,'[1]Harga &amp; Nama CSO'!$H$2:$N$22,2,FALSE),"")*AV1358</f>
        <v>#VALUE!</v>
      </c>
      <c r="BP1358" s="40"/>
      <c r="BQ1358" s="4"/>
      <c r="BR1358" s="61"/>
      <c r="BS1358" s="4"/>
      <c r="BT1358" s="57" t="e">
        <f t="shared" si="55"/>
        <v>#VALUE!</v>
      </c>
      <c r="BU1358" s="62"/>
      <c r="BV1358" s="8" t="e">
        <v>#VALUE!</v>
      </c>
      <c r="BW1358" s="58" t="e">
        <f>VLOOKUP(AQ1358,'[1]Harga &amp; Nama CSO'!$A$28:$D$31,4,0)*BQ1358</f>
        <v>#N/A</v>
      </c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44">
        <f>IFERROR(VLOOKUP(AQ1360,'[2]Harga &amp; Nama CSO'!$A$116:$S$136,19,FALSE),0)*AV1360</f>
        <v>0</v>
      </c>
      <c r="BO1359" s="55" t="e">
        <f>IFERROR(VLOOKUP(AQ1359,'[1]Harga &amp; Nama CSO'!$H$2:$N$22,2,FALSE),"")*AV1359</f>
        <v>#VALUE!</v>
      </c>
      <c r="BP1359" s="40"/>
      <c r="BQ1359" s="4"/>
      <c r="BR1359" s="61"/>
      <c r="BS1359" s="4"/>
      <c r="BT1359" s="57" t="e">
        <f t="shared" si="55"/>
        <v>#VALUE!</v>
      </c>
      <c r="BU1359" s="62"/>
      <c r="BV1359" s="8" t="e">
        <v>#VALUE!</v>
      </c>
      <c r="BW1359" s="58" t="e">
        <f>VLOOKUP(AQ1359,'[1]Harga &amp; Nama CSO'!$A$28:$D$31,4,0)*BQ1359</f>
        <v>#N/A</v>
      </c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44">
        <f>IFERROR(VLOOKUP(AQ1361,'[2]Harga &amp; Nama CSO'!$A$116:$S$136,19,FALSE),0)*AV1361</f>
        <v>0</v>
      </c>
      <c r="BO1360" s="55" t="e">
        <f>IFERROR(VLOOKUP(AQ1360,'[1]Harga &amp; Nama CSO'!$H$2:$N$22,2,FALSE),"")*AV1360</f>
        <v>#VALUE!</v>
      </c>
      <c r="BP1360" s="40"/>
      <c r="BQ1360" s="4"/>
      <c r="BR1360" s="61"/>
      <c r="BS1360" s="4"/>
      <c r="BT1360" s="57" t="e">
        <f t="shared" si="55"/>
        <v>#VALUE!</v>
      </c>
      <c r="BU1360" s="62"/>
      <c r="BV1360" s="8" t="e">
        <v>#VALUE!</v>
      </c>
      <c r="BW1360" s="58" t="e">
        <f>VLOOKUP(AQ1360,'[1]Harga &amp; Nama CSO'!$A$28:$D$31,4,0)*BQ1360</f>
        <v>#N/A</v>
      </c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44">
        <f>IFERROR(VLOOKUP(AQ1362,'[2]Harga &amp; Nama CSO'!$A$116:$S$136,19,FALSE),0)*AV1362</f>
        <v>0</v>
      </c>
      <c r="BO1361" s="55" t="e">
        <f>IFERROR(VLOOKUP(AQ1361,'[1]Harga &amp; Nama CSO'!$H$2:$N$22,2,FALSE),"")*AV1361</f>
        <v>#VALUE!</v>
      </c>
      <c r="BP1361" s="40"/>
      <c r="BQ1361" s="4"/>
      <c r="BR1361" s="61"/>
      <c r="BS1361" s="4"/>
      <c r="BT1361" s="57" t="e">
        <f t="shared" si="55"/>
        <v>#VALUE!</v>
      </c>
      <c r="BU1361" s="62"/>
      <c r="BV1361" s="8" t="e">
        <v>#VALUE!</v>
      </c>
      <c r="BW1361" s="58" t="e">
        <f>VLOOKUP(AQ1361,'[1]Harga &amp; Nama CSO'!$A$28:$D$31,4,0)*BQ1361</f>
        <v>#N/A</v>
      </c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44">
        <f>IFERROR(VLOOKUP(AQ1363,'[2]Harga &amp; Nama CSO'!$A$116:$S$136,19,FALSE),0)*AV1363</f>
        <v>0</v>
      </c>
      <c r="BO1362" s="55" t="e">
        <f>IFERROR(VLOOKUP(AQ1362,'[1]Harga &amp; Nama CSO'!$H$2:$N$22,2,FALSE),"")*AV1362</f>
        <v>#VALUE!</v>
      </c>
      <c r="BP1362" s="40"/>
      <c r="BQ1362" s="4"/>
      <c r="BR1362" s="61"/>
      <c r="BS1362" s="4"/>
      <c r="BT1362" s="57" t="e">
        <f t="shared" si="55"/>
        <v>#VALUE!</v>
      </c>
      <c r="BU1362" s="62"/>
      <c r="BV1362" s="8" t="e">
        <v>#VALUE!</v>
      </c>
      <c r="BW1362" s="58" t="e">
        <f>VLOOKUP(AQ1362,'[1]Harga &amp; Nama CSO'!$A$28:$D$31,4,0)*BQ1362</f>
        <v>#N/A</v>
      </c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44">
        <f>IFERROR(VLOOKUP(AQ1364,'[2]Harga &amp; Nama CSO'!$A$116:$S$136,19,FALSE),0)*AV1364</f>
        <v>0</v>
      </c>
      <c r="BO1363" s="55" t="e">
        <f>IFERROR(VLOOKUP(AQ1363,'[1]Harga &amp; Nama CSO'!$H$2:$N$22,2,FALSE),"")*AV1363</f>
        <v>#VALUE!</v>
      </c>
      <c r="BP1363" s="40"/>
      <c r="BQ1363" s="4"/>
      <c r="BR1363" s="61"/>
      <c r="BS1363" s="4"/>
      <c r="BT1363" s="57" t="e">
        <f t="shared" si="55"/>
        <v>#VALUE!</v>
      </c>
      <c r="BU1363" s="62"/>
      <c r="BV1363" s="8" t="e">
        <v>#VALUE!</v>
      </c>
      <c r="BW1363" s="58" t="e">
        <f>VLOOKUP(AQ1363,'[1]Harga &amp; Nama CSO'!$A$28:$D$31,4,0)*BQ1363</f>
        <v>#N/A</v>
      </c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44">
        <f>IFERROR(VLOOKUP(AQ1365,'[2]Harga &amp; Nama CSO'!$A$116:$S$136,19,FALSE),0)*AV1365</f>
        <v>0</v>
      </c>
      <c r="BO1364" s="55" t="e">
        <f>IFERROR(VLOOKUP(AQ1364,'[1]Harga &amp; Nama CSO'!$H$2:$N$22,2,FALSE),"")*AV1364</f>
        <v>#VALUE!</v>
      </c>
      <c r="BP1364" s="40"/>
      <c r="BQ1364" s="4"/>
      <c r="BR1364" s="61"/>
      <c r="BS1364" s="4"/>
      <c r="BT1364" s="57" t="e">
        <f t="shared" si="55"/>
        <v>#VALUE!</v>
      </c>
      <c r="BU1364" s="62"/>
      <c r="BV1364" s="8" t="e">
        <v>#VALUE!</v>
      </c>
      <c r="BW1364" s="58" t="e">
        <f>VLOOKUP(AQ1364,'[1]Harga &amp; Nama CSO'!$A$28:$D$31,4,0)*BQ1364</f>
        <v>#N/A</v>
      </c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44">
        <f>IFERROR(VLOOKUP(AQ1366,'[2]Harga &amp; Nama CSO'!$A$116:$S$136,19,FALSE),0)*AV1366</f>
        <v>0</v>
      </c>
      <c r="BO1365" s="55" t="e">
        <f>IFERROR(VLOOKUP(AQ1365,'[1]Harga &amp; Nama CSO'!$H$2:$N$22,2,FALSE),"")*AV1365</f>
        <v>#VALUE!</v>
      </c>
      <c r="BP1365" s="40"/>
      <c r="BQ1365" s="4"/>
      <c r="BR1365" s="61"/>
      <c r="BS1365" s="4"/>
      <c r="BT1365" s="57" t="e">
        <f t="shared" si="55"/>
        <v>#VALUE!</v>
      </c>
      <c r="BU1365" s="62"/>
      <c r="BV1365" s="8" t="e">
        <v>#VALUE!</v>
      </c>
      <c r="BW1365" s="58" t="e">
        <f>VLOOKUP(AQ1365,'[1]Harga &amp; Nama CSO'!$A$28:$D$31,4,0)*BQ1365</f>
        <v>#N/A</v>
      </c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44">
        <f>IFERROR(VLOOKUP(AQ1367,'[2]Harga &amp; Nama CSO'!$A$116:$S$136,19,FALSE),0)*AV1367</f>
        <v>0</v>
      </c>
      <c r="BO1366" s="55" t="e">
        <f>IFERROR(VLOOKUP(AQ1366,'[1]Harga &amp; Nama CSO'!$H$2:$N$22,2,FALSE),"")*AV1366</f>
        <v>#VALUE!</v>
      </c>
      <c r="BP1366" s="40"/>
      <c r="BQ1366" s="4"/>
      <c r="BR1366" s="61"/>
      <c r="BS1366" s="4"/>
      <c r="BT1366" s="57" t="e">
        <f t="shared" si="55"/>
        <v>#VALUE!</v>
      </c>
      <c r="BU1366" s="62"/>
      <c r="BV1366" s="8" t="e">
        <v>#VALUE!</v>
      </c>
      <c r="BW1366" s="58" t="e">
        <f>VLOOKUP(AQ1366,'[1]Harga &amp; Nama CSO'!$A$28:$D$31,4,0)*BQ1366</f>
        <v>#N/A</v>
      </c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44">
        <f>IFERROR(VLOOKUP(AQ1368,'[2]Harga &amp; Nama CSO'!$A$116:$S$136,19,FALSE),0)*AV1368</f>
        <v>0</v>
      </c>
      <c r="BO1367" s="55" t="e">
        <f>IFERROR(VLOOKUP(AQ1367,'[1]Harga &amp; Nama CSO'!$H$2:$N$22,2,FALSE),"")*AV1367</f>
        <v>#VALUE!</v>
      </c>
      <c r="BP1367" s="40"/>
      <c r="BQ1367" s="4"/>
      <c r="BR1367" s="61"/>
      <c r="BS1367" s="4"/>
      <c r="BT1367" s="57" t="e">
        <f t="shared" si="55"/>
        <v>#VALUE!</v>
      </c>
      <c r="BU1367" s="62"/>
      <c r="BV1367" s="8" t="e">
        <v>#VALUE!</v>
      </c>
      <c r="BW1367" s="58" t="e">
        <f>VLOOKUP(AQ1367,'[1]Harga &amp; Nama CSO'!$A$28:$D$31,4,0)*BQ1367</f>
        <v>#N/A</v>
      </c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44">
        <f>IFERROR(VLOOKUP(AQ1369,'[2]Harga &amp; Nama CSO'!$A$116:$S$136,19,FALSE),0)*AV1369</f>
        <v>0</v>
      </c>
      <c r="BO1368" s="55" t="e">
        <f>IFERROR(VLOOKUP(AQ1368,'[1]Harga &amp; Nama CSO'!$H$2:$N$22,2,FALSE),"")*AV1368</f>
        <v>#VALUE!</v>
      </c>
      <c r="BP1368" s="40"/>
      <c r="BQ1368" s="4"/>
      <c r="BR1368" s="61"/>
      <c r="BS1368" s="4"/>
      <c r="BT1368" s="57" t="e">
        <f t="shared" si="55"/>
        <v>#VALUE!</v>
      </c>
      <c r="BU1368" s="62"/>
      <c r="BV1368" s="8" t="e">
        <v>#VALUE!</v>
      </c>
      <c r="BW1368" s="58" t="e">
        <f>VLOOKUP(AQ1368,'[1]Harga &amp; Nama CSO'!$A$28:$D$31,4,0)*BQ1368</f>
        <v>#N/A</v>
      </c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44">
        <f>IFERROR(VLOOKUP(AQ1370,'[2]Harga &amp; Nama CSO'!$A$116:$S$136,19,FALSE),0)*AV1370</f>
        <v>0</v>
      </c>
      <c r="BO1369" s="55" t="e">
        <f>IFERROR(VLOOKUP(AQ1369,'[1]Harga &amp; Nama CSO'!$H$2:$N$22,2,FALSE),"")*AV1369</f>
        <v>#VALUE!</v>
      </c>
      <c r="BP1369" s="40"/>
      <c r="BQ1369" s="4"/>
      <c r="BR1369" s="61"/>
      <c r="BS1369" s="4"/>
      <c r="BT1369" s="57" t="e">
        <f t="shared" si="55"/>
        <v>#VALUE!</v>
      </c>
      <c r="BU1369" s="62"/>
      <c r="BV1369" s="8" t="e">
        <v>#VALUE!</v>
      </c>
      <c r="BW1369" s="58" t="e">
        <f>VLOOKUP(AQ1369,'[1]Harga &amp; Nama CSO'!$A$28:$D$31,4,0)*BQ1369</f>
        <v>#N/A</v>
      </c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44">
        <f>IFERROR(VLOOKUP(AQ1371,'[2]Harga &amp; Nama CSO'!$A$116:$S$136,19,FALSE),0)*AV1371</f>
        <v>0</v>
      </c>
      <c r="BO1370" s="55" t="e">
        <f>IFERROR(VLOOKUP(AQ1370,'[1]Harga &amp; Nama CSO'!$H$2:$N$22,2,FALSE),"")*AV1370</f>
        <v>#VALUE!</v>
      </c>
      <c r="BP1370" s="40"/>
      <c r="BQ1370" s="4"/>
      <c r="BR1370" s="61"/>
      <c r="BS1370" s="4"/>
      <c r="BT1370" s="57" t="e">
        <f t="shared" si="55"/>
        <v>#VALUE!</v>
      </c>
      <c r="BU1370" s="62"/>
      <c r="BV1370" s="8" t="e">
        <v>#VALUE!</v>
      </c>
      <c r="BW1370" s="58" t="e">
        <f>VLOOKUP(AQ1370,'[1]Harga &amp; Nama CSO'!$A$28:$D$31,4,0)*BQ1370</f>
        <v>#N/A</v>
      </c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44">
        <f>IFERROR(VLOOKUP(AQ1372,'[2]Harga &amp; Nama CSO'!$A$116:$S$136,19,FALSE),0)*AV1372</f>
        <v>0</v>
      </c>
      <c r="BO1371" s="55" t="e">
        <f>IFERROR(VLOOKUP(AQ1371,'[1]Harga &amp; Nama CSO'!$H$2:$N$22,2,FALSE),"")*AV1371</f>
        <v>#VALUE!</v>
      </c>
      <c r="BP1371" s="40"/>
      <c r="BQ1371" s="4"/>
      <c r="BR1371" s="61"/>
      <c r="BS1371" s="4"/>
      <c r="BT1371" s="57" t="e">
        <f t="shared" si="55"/>
        <v>#VALUE!</v>
      </c>
      <c r="BU1371" s="62"/>
      <c r="BV1371" s="8" t="e">
        <v>#VALUE!</v>
      </c>
      <c r="BW1371" s="58" t="e">
        <f>VLOOKUP(AQ1371,'[1]Harga &amp; Nama CSO'!$A$28:$D$31,4,0)*BQ1371</f>
        <v>#N/A</v>
      </c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44">
        <f>IFERROR(VLOOKUP(AQ1373,'[2]Harga &amp; Nama CSO'!$A$116:$S$136,19,FALSE),0)*AV1373</f>
        <v>0</v>
      </c>
      <c r="BO1372" s="55" t="e">
        <f>IFERROR(VLOOKUP(AQ1372,'[1]Harga &amp; Nama CSO'!$H$2:$N$22,2,FALSE),"")*AV1372</f>
        <v>#VALUE!</v>
      </c>
      <c r="BP1372" s="40"/>
      <c r="BQ1372" s="4"/>
      <c r="BR1372" s="61"/>
      <c r="BS1372" s="4"/>
      <c r="BT1372" s="57" t="e">
        <f t="shared" si="55"/>
        <v>#VALUE!</v>
      </c>
      <c r="BU1372" s="62"/>
      <c r="BV1372" s="8" t="e">
        <v>#VALUE!</v>
      </c>
      <c r="BW1372" s="58" t="e">
        <f>VLOOKUP(AQ1372,'[1]Harga &amp; Nama CSO'!$A$28:$D$31,4,0)*BQ1372</f>
        <v>#N/A</v>
      </c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44">
        <f>IFERROR(VLOOKUP(AQ1374,'[2]Harga &amp; Nama CSO'!$A$116:$S$136,19,FALSE),0)*AV1374</f>
        <v>0</v>
      </c>
      <c r="BO1373" s="55" t="e">
        <f>IFERROR(VLOOKUP(AQ1373,'[1]Harga &amp; Nama CSO'!$H$2:$N$22,2,FALSE),"")*AV1373</f>
        <v>#VALUE!</v>
      </c>
      <c r="BP1373" s="40"/>
      <c r="BQ1373" s="4"/>
      <c r="BR1373" s="61"/>
      <c r="BS1373" s="4"/>
      <c r="BT1373" s="57" t="e">
        <f t="shared" si="55"/>
        <v>#VALUE!</v>
      </c>
      <c r="BU1373" s="62"/>
      <c r="BV1373" s="8" t="e">
        <v>#VALUE!</v>
      </c>
      <c r="BW1373" s="58" t="e">
        <f>VLOOKUP(AQ1373,'[1]Harga &amp; Nama CSO'!$A$28:$D$31,4,0)*BQ1373</f>
        <v>#N/A</v>
      </c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44">
        <f>IFERROR(VLOOKUP(AQ1375,'[2]Harga &amp; Nama CSO'!$A$116:$S$136,19,FALSE),0)*AV1375</f>
        <v>0</v>
      </c>
      <c r="BO1374" s="55" t="e">
        <f>IFERROR(VLOOKUP(AQ1374,'[1]Harga &amp; Nama CSO'!$H$2:$N$22,2,FALSE),"")*AV1374</f>
        <v>#VALUE!</v>
      </c>
      <c r="BP1374" s="40"/>
      <c r="BQ1374" s="4"/>
      <c r="BR1374" s="61"/>
      <c r="BS1374" s="4"/>
      <c r="BT1374" s="57" t="e">
        <f t="shared" si="55"/>
        <v>#VALUE!</v>
      </c>
      <c r="BU1374" s="62"/>
      <c r="BV1374" s="8" t="e">
        <v>#VALUE!</v>
      </c>
      <c r="BW1374" s="58" t="e">
        <f>VLOOKUP(AQ1374,'[1]Harga &amp; Nama CSO'!$A$28:$D$31,4,0)*BQ1374</f>
        <v>#N/A</v>
      </c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44">
        <f>IFERROR(VLOOKUP(AQ1376,'[2]Harga &amp; Nama CSO'!$A$116:$S$136,19,FALSE),0)*AV1376</f>
        <v>0</v>
      </c>
      <c r="BO1375" s="55" t="e">
        <f>IFERROR(VLOOKUP(AQ1375,'[1]Harga &amp; Nama CSO'!$H$2:$N$22,2,FALSE),"")*AV1375</f>
        <v>#VALUE!</v>
      </c>
      <c r="BP1375" s="40"/>
      <c r="BQ1375" s="4"/>
      <c r="BR1375" s="61"/>
      <c r="BS1375" s="4"/>
      <c r="BT1375" s="57" t="e">
        <f t="shared" si="55"/>
        <v>#VALUE!</v>
      </c>
      <c r="BU1375" s="62"/>
      <c r="BV1375" s="8" t="e">
        <v>#VALUE!</v>
      </c>
      <c r="BW1375" s="58" t="e">
        <f>VLOOKUP(AQ1375,'[1]Harga &amp; Nama CSO'!$A$28:$D$31,4,0)*BQ1375</f>
        <v>#N/A</v>
      </c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44">
        <f>IFERROR(VLOOKUP(AQ1377,'[2]Harga &amp; Nama CSO'!$A$116:$S$136,19,FALSE),0)*AV1377</f>
        <v>0</v>
      </c>
      <c r="BO1376" s="55" t="e">
        <f>IFERROR(VLOOKUP(AQ1376,'[1]Harga &amp; Nama CSO'!$H$2:$N$22,2,FALSE),"")*AV1376</f>
        <v>#VALUE!</v>
      </c>
      <c r="BP1376" s="40"/>
      <c r="BQ1376" s="4"/>
      <c r="BR1376" s="61"/>
      <c r="BS1376" s="4"/>
      <c r="BT1376" s="57" t="e">
        <f t="shared" si="55"/>
        <v>#VALUE!</v>
      </c>
      <c r="BU1376" s="62"/>
      <c r="BV1376" s="8" t="e">
        <v>#VALUE!</v>
      </c>
      <c r="BW1376" s="58" t="e">
        <f>VLOOKUP(AQ1376,'[1]Harga &amp; Nama CSO'!$A$28:$D$31,4,0)*BQ1376</f>
        <v>#N/A</v>
      </c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44">
        <f>IFERROR(VLOOKUP(AQ1378,'[2]Harga &amp; Nama CSO'!$A$116:$S$136,19,FALSE),0)*AV1378</f>
        <v>0</v>
      </c>
      <c r="BO1377" s="55" t="e">
        <f>IFERROR(VLOOKUP(AQ1377,'[1]Harga &amp; Nama CSO'!$H$2:$N$22,2,FALSE),"")*AV1377</f>
        <v>#VALUE!</v>
      </c>
      <c r="BP1377" s="40"/>
      <c r="BQ1377" s="4"/>
      <c r="BR1377" s="61"/>
      <c r="BS1377" s="4"/>
      <c r="BT1377" s="57" t="e">
        <f t="shared" si="55"/>
        <v>#VALUE!</v>
      </c>
      <c r="BU1377" s="62"/>
      <c r="BV1377" s="8" t="e">
        <v>#VALUE!</v>
      </c>
      <c r="BW1377" s="58" t="e">
        <f>VLOOKUP(AQ1377,'[1]Harga &amp; Nama CSO'!$A$28:$D$31,4,0)*BQ1377</f>
        <v>#N/A</v>
      </c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44">
        <f>IFERROR(VLOOKUP(AQ1379,'[2]Harga &amp; Nama CSO'!$A$116:$S$136,19,FALSE),0)*AV1379</f>
        <v>0</v>
      </c>
      <c r="BO1378" s="55" t="e">
        <f>IFERROR(VLOOKUP(AQ1378,'[1]Harga &amp; Nama CSO'!$H$2:$N$22,2,FALSE),"")*AV1378</f>
        <v>#VALUE!</v>
      </c>
      <c r="BP1378" s="40"/>
      <c r="BQ1378" s="4"/>
      <c r="BR1378" s="61"/>
      <c r="BS1378" s="4"/>
      <c r="BT1378" s="57" t="e">
        <f t="shared" si="55"/>
        <v>#VALUE!</v>
      </c>
      <c r="BU1378" s="62"/>
      <c r="BV1378" s="8" t="e">
        <v>#VALUE!</v>
      </c>
      <c r="BW1378" s="58" t="e">
        <f>VLOOKUP(AQ1378,'[1]Harga &amp; Nama CSO'!$A$28:$D$31,4,0)*BQ1378</f>
        <v>#N/A</v>
      </c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44">
        <f>IFERROR(VLOOKUP(AQ1380,'[2]Harga &amp; Nama CSO'!$A$116:$S$136,19,FALSE),0)*AV1380</f>
        <v>0</v>
      </c>
      <c r="BO1379" s="55" t="e">
        <f>IFERROR(VLOOKUP(AQ1379,'[1]Harga &amp; Nama CSO'!$H$2:$N$22,2,FALSE),"")*AV1379</f>
        <v>#VALUE!</v>
      </c>
      <c r="BP1379" s="40"/>
      <c r="BQ1379" s="4"/>
      <c r="BR1379" s="61"/>
      <c r="BS1379" s="4"/>
      <c r="BT1379" s="57" t="e">
        <f t="shared" si="55"/>
        <v>#VALUE!</v>
      </c>
      <c r="BU1379" s="62"/>
      <c r="BV1379" s="8" t="e">
        <v>#VALUE!</v>
      </c>
      <c r="BW1379" s="58" t="e">
        <f>VLOOKUP(AQ1379,'[1]Harga &amp; Nama CSO'!$A$28:$D$31,4,0)*BQ1379</f>
        <v>#N/A</v>
      </c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44">
        <f>IFERROR(VLOOKUP(AQ1381,'[2]Harga &amp; Nama CSO'!$A$116:$S$136,19,FALSE),0)*AV1381</f>
        <v>0</v>
      </c>
      <c r="BO1380" s="55" t="e">
        <f>IFERROR(VLOOKUP(AQ1380,'[1]Harga &amp; Nama CSO'!$H$2:$N$22,2,FALSE),"")*AV1380</f>
        <v>#VALUE!</v>
      </c>
      <c r="BP1380" s="40"/>
      <c r="BQ1380" s="4"/>
      <c r="BR1380" s="61"/>
      <c r="BS1380" s="4"/>
      <c r="BT1380" s="57" t="e">
        <f t="shared" si="55"/>
        <v>#VALUE!</v>
      </c>
      <c r="BU1380" s="62"/>
      <c r="BV1380" s="8" t="e">
        <v>#VALUE!</v>
      </c>
      <c r="BW1380" s="58" t="e">
        <f>VLOOKUP(AQ1380,'[1]Harga &amp; Nama CSO'!$A$28:$D$31,4,0)*BQ1380</f>
        <v>#N/A</v>
      </c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44">
        <f>IFERROR(VLOOKUP(AQ1382,'[2]Harga &amp; Nama CSO'!$A$116:$S$136,19,FALSE),0)*AV1382</f>
        <v>0</v>
      </c>
      <c r="BO1381" s="55" t="e">
        <f>IFERROR(VLOOKUP(AQ1381,'[1]Harga &amp; Nama CSO'!$H$2:$N$22,2,FALSE),"")*AV1381</f>
        <v>#VALUE!</v>
      </c>
      <c r="BP1381" s="40"/>
      <c r="BQ1381" s="4"/>
      <c r="BR1381" s="61"/>
      <c r="BS1381" s="4"/>
      <c r="BT1381" s="57" t="e">
        <f t="shared" si="55"/>
        <v>#VALUE!</v>
      </c>
      <c r="BU1381" s="62"/>
      <c r="BV1381" s="8" t="e">
        <v>#VALUE!</v>
      </c>
      <c r="BW1381" s="58" t="e">
        <f>VLOOKUP(AQ1381,'[1]Harga &amp; Nama CSO'!$A$28:$D$31,4,0)*BQ1381</f>
        <v>#N/A</v>
      </c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44">
        <f>IFERROR(VLOOKUP(AQ1383,'[2]Harga &amp; Nama CSO'!$A$116:$S$136,19,FALSE),0)*AV1383</f>
        <v>0</v>
      </c>
      <c r="BO1382" s="55" t="e">
        <f>IFERROR(VLOOKUP(AQ1382,'[1]Harga &amp; Nama CSO'!$H$2:$N$22,2,FALSE),"")*AV1382</f>
        <v>#VALUE!</v>
      </c>
      <c r="BP1382" s="40"/>
      <c r="BQ1382" s="4"/>
      <c r="BR1382" s="61"/>
      <c r="BS1382" s="4"/>
      <c r="BT1382" s="57" t="e">
        <f t="shared" si="55"/>
        <v>#VALUE!</v>
      </c>
      <c r="BU1382" s="62"/>
      <c r="BV1382" s="8" t="e">
        <v>#VALUE!</v>
      </c>
      <c r="BW1382" s="58" t="e">
        <f>VLOOKUP(AQ1382,'[1]Harga &amp; Nama CSO'!$A$28:$D$31,4,0)*BQ1382</f>
        <v>#N/A</v>
      </c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44">
        <f>IFERROR(VLOOKUP(AQ1384,'[2]Harga &amp; Nama CSO'!$A$116:$S$136,19,FALSE),0)*AV1384</f>
        <v>0</v>
      </c>
      <c r="BO1383" s="55" t="e">
        <f>IFERROR(VLOOKUP(AQ1383,'[1]Harga &amp; Nama CSO'!$H$2:$N$22,2,FALSE),"")*AV1383</f>
        <v>#VALUE!</v>
      </c>
      <c r="BP1383" s="40"/>
      <c r="BQ1383" s="4"/>
      <c r="BR1383" s="61"/>
      <c r="BS1383" s="4"/>
      <c r="BT1383" s="57" t="e">
        <f t="shared" si="55"/>
        <v>#VALUE!</v>
      </c>
      <c r="BU1383" s="62"/>
      <c r="BV1383" s="8" t="e">
        <v>#VALUE!</v>
      </c>
      <c r="BW1383" s="58" t="e">
        <f>VLOOKUP(AQ1383,'[1]Harga &amp; Nama CSO'!$A$28:$D$31,4,0)*BQ1383</f>
        <v>#N/A</v>
      </c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44">
        <f>IFERROR(VLOOKUP(AQ1385,'[2]Harga &amp; Nama CSO'!$A$116:$S$136,19,FALSE),0)*AV1385</f>
        <v>0</v>
      </c>
      <c r="BO1384" s="55" t="e">
        <f>IFERROR(VLOOKUP(AQ1384,'[1]Harga &amp; Nama CSO'!$H$2:$N$22,2,FALSE),"")*AV1384</f>
        <v>#VALUE!</v>
      </c>
      <c r="BP1384" s="40"/>
      <c r="BQ1384" s="4"/>
      <c r="BR1384" s="61"/>
      <c r="BS1384" s="4"/>
      <c r="BT1384" s="57" t="e">
        <f t="shared" si="55"/>
        <v>#VALUE!</v>
      </c>
      <c r="BU1384" s="62"/>
      <c r="BV1384" s="8" t="e">
        <v>#VALUE!</v>
      </c>
      <c r="BW1384" s="58" t="e">
        <f>VLOOKUP(AQ1384,'[1]Harga &amp; Nama CSO'!$A$28:$D$31,4,0)*BQ1384</f>
        <v>#N/A</v>
      </c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44">
        <f>IFERROR(VLOOKUP(AQ1386,'[2]Harga &amp; Nama CSO'!$A$116:$S$136,19,FALSE),0)*AV1386</f>
        <v>0</v>
      </c>
      <c r="BO1385" s="55" t="e">
        <f>IFERROR(VLOOKUP(AQ1385,'[1]Harga &amp; Nama CSO'!$H$2:$N$22,2,FALSE),"")*AV1385</f>
        <v>#VALUE!</v>
      </c>
      <c r="BP1385" s="40"/>
      <c r="BQ1385" s="4"/>
      <c r="BR1385" s="61"/>
      <c r="BS1385" s="4"/>
      <c r="BT1385" s="57" t="e">
        <f t="shared" si="55"/>
        <v>#VALUE!</v>
      </c>
      <c r="BU1385" s="62"/>
      <c r="BV1385" s="8" t="e">
        <v>#VALUE!</v>
      </c>
      <c r="BW1385" s="58" t="e">
        <f>VLOOKUP(AQ1385,'[1]Harga &amp; Nama CSO'!$A$28:$D$31,4,0)*BQ1385</f>
        <v>#N/A</v>
      </c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44">
        <f>IFERROR(VLOOKUP(AQ1387,'[2]Harga &amp; Nama CSO'!$A$116:$S$136,19,FALSE),0)*AV1387</f>
        <v>0</v>
      </c>
      <c r="BO1386" s="55" t="e">
        <f>IFERROR(VLOOKUP(AQ1386,'[1]Harga &amp; Nama CSO'!$H$2:$N$22,2,FALSE),"")*AV1386</f>
        <v>#VALUE!</v>
      </c>
      <c r="BP1386" s="40"/>
      <c r="BQ1386" s="4"/>
      <c r="BR1386" s="61"/>
      <c r="BS1386" s="4"/>
      <c r="BT1386" s="57" t="e">
        <f t="shared" si="55"/>
        <v>#VALUE!</v>
      </c>
      <c r="BU1386" s="62"/>
      <c r="BV1386" s="8" t="e">
        <v>#VALUE!</v>
      </c>
      <c r="BW1386" s="58" t="e">
        <f>VLOOKUP(AQ1386,'[1]Harga &amp; Nama CSO'!$A$28:$D$31,4,0)*BQ1386</f>
        <v>#N/A</v>
      </c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44">
        <f>IFERROR(VLOOKUP(AQ1388,'[2]Harga &amp; Nama CSO'!$A$116:$S$136,19,FALSE),0)*AV1388</f>
        <v>0</v>
      </c>
      <c r="BO1387" s="55" t="e">
        <f>IFERROR(VLOOKUP(AQ1387,'[1]Harga &amp; Nama CSO'!$H$2:$N$22,2,FALSE),"")*AV1387</f>
        <v>#VALUE!</v>
      </c>
      <c r="BP1387" s="40"/>
      <c r="BQ1387" s="4"/>
      <c r="BR1387" s="61"/>
      <c r="BS1387" s="4"/>
      <c r="BT1387" s="57" t="e">
        <f t="shared" si="55"/>
        <v>#VALUE!</v>
      </c>
      <c r="BU1387" s="62"/>
      <c r="BV1387" s="8" t="e">
        <v>#VALUE!</v>
      </c>
      <c r="BW1387" s="58" t="e">
        <f>VLOOKUP(AQ1387,'[1]Harga &amp; Nama CSO'!$A$28:$D$31,4,0)*BQ1387</f>
        <v>#N/A</v>
      </c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44">
        <f>IFERROR(VLOOKUP(AQ1389,'[2]Harga &amp; Nama CSO'!$A$116:$S$136,19,FALSE),0)*AV1389</f>
        <v>0</v>
      </c>
      <c r="BO1388" s="55" t="e">
        <f>IFERROR(VLOOKUP(AQ1388,'[1]Harga &amp; Nama CSO'!$H$2:$N$22,2,FALSE),"")*AV1388</f>
        <v>#VALUE!</v>
      </c>
      <c r="BP1388" s="40"/>
      <c r="BQ1388" s="4"/>
      <c r="BR1388" s="61"/>
      <c r="BS1388" s="4"/>
      <c r="BT1388" s="57" t="e">
        <f t="shared" si="55"/>
        <v>#VALUE!</v>
      </c>
      <c r="BU1388" s="62"/>
      <c r="BV1388" s="8" t="e">
        <v>#VALUE!</v>
      </c>
      <c r="BW1388" s="58" t="e">
        <f>VLOOKUP(AQ1388,'[1]Harga &amp; Nama CSO'!$A$28:$D$31,4,0)*BQ1388</f>
        <v>#N/A</v>
      </c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44">
        <f>IFERROR(VLOOKUP(AQ1390,'[2]Harga &amp; Nama CSO'!$A$116:$S$136,19,FALSE),0)*AV1390</f>
        <v>0</v>
      </c>
      <c r="BO1389" s="55" t="e">
        <f>IFERROR(VLOOKUP(AQ1389,'[1]Harga &amp; Nama CSO'!$H$2:$N$22,2,FALSE),"")*AV1389</f>
        <v>#VALUE!</v>
      </c>
      <c r="BP1389" s="40"/>
      <c r="BQ1389" s="4"/>
      <c r="BR1389" s="61"/>
      <c r="BS1389" s="4"/>
      <c r="BT1389" s="57" t="e">
        <f t="shared" si="55"/>
        <v>#VALUE!</v>
      </c>
      <c r="BU1389" s="62"/>
      <c r="BV1389" s="8" t="e">
        <v>#VALUE!</v>
      </c>
      <c r="BW1389" s="58" t="e">
        <f>VLOOKUP(AQ1389,'[1]Harga &amp; Nama CSO'!$A$28:$D$31,4,0)*BQ1389</f>
        <v>#N/A</v>
      </c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44">
        <f>IFERROR(VLOOKUP(AQ1391,'[2]Harga &amp; Nama CSO'!$A$116:$S$136,19,FALSE),0)*AV1391</f>
        <v>0</v>
      </c>
      <c r="BO1390" s="55" t="e">
        <f>IFERROR(VLOOKUP(AQ1390,'[1]Harga &amp; Nama CSO'!$H$2:$N$22,2,FALSE),"")*AV1390</f>
        <v>#VALUE!</v>
      </c>
      <c r="BP1390" s="40"/>
      <c r="BQ1390" s="4"/>
      <c r="BR1390" s="61"/>
      <c r="BS1390" s="4"/>
      <c r="BT1390" s="57" t="e">
        <f t="shared" si="55"/>
        <v>#VALUE!</v>
      </c>
      <c r="BU1390" s="62"/>
      <c r="BV1390" s="8" t="e">
        <v>#VALUE!</v>
      </c>
      <c r="BW1390" s="58" t="e">
        <f>VLOOKUP(AQ1390,'[1]Harga &amp; Nama CSO'!$A$28:$D$31,4,0)*BQ1390</f>
        <v>#N/A</v>
      </c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44">
        <f>IFERROR(VLOOKUP(AQ1392,'[2]Harga &amp; Nama CSO'!$A$116:$S$136,19,FALSE),0)*AV1392</f>
        <v>0</v>
      </c>
      <c r="BO1391" s="55" t="e">
        <f>IFERROR(VLOOKUP(AQ1391,'[1]Harga &amp; Nama CSO'!$H$2:$N$22,2,FALSE),"")*AV1391</f>
        <v>#VALUE!</v>
      </c>
      <c r="BP1391" s="40"/>
      <c r="BQ1391" s="4"/>
      <c r="BR1391" s="61"/>
      <c r="BS1391" s="4"/>
      <c r="BT1391" s="57" t="e">
        <f t="shared" si="55"/>
        <v>#VALUE!</v>
      </c>
      <c r="BU1391" s="62"/>
      <c r="BV1391" s="8" t="e">
        <v>#VALUE!</v>
      </c>
      <c r="BW1391" s="58" t="e">
        <f>VLOOKUP(AQ1391,'[1]Harga &amp; Nama CSO'!$A$28:$D$31,4,0)*BQ1391</f>
        <v>#N/A</v>
      </c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44">
        <f>IFERROR(VLOOKUP(AQ1393,'[2]Harga &amp; Nama CSO'!$A$116:$S$136,19,FALSE),0)*AV1393</f>
        <v>0</v>
      </c>
      <c r="BO1392" s="55" t="e">
        <f>IFERROR(VLOOKUP(AQ1392,'[1]Harga &amp; Nama CSO'!$H$2:$N$22,2,FALSE),"")*AV1392</f>
        <v>#VALUE!</v>
      </c>
      <c r="BP1392" s="40"/>
      <c r="BQ1392" s="4"/>
      <c r="BR1392" s="61"/>
      <c r="BS1392" s="4"/>
      <c r="BT1392" s="57" t="e">
        <f t="shared" si="55"/>
        <v>#VALUE!</v>
      </c>
      <c r="BU1392" s="62"/>
      <c r="BV1392" s="8" t="e">
        <v>#VALUE!</v>
      </c>
      <c r="BW1392" s="58" t="e">
        <f>VLOOKUP(AQ1392,'[1]Harga &amp; Nama CSO'!$A$28:$D$31,4,0)*BQ1392</f>
        <v>#N/A</v>
      </c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44">
        <f>IFERROR(VLOOKUP(AQ1394,'[2]Harga &amp; Nama CSO'!$A$116:$S$136,19,FALSE),0)*AV1394</f>
        <v>0</v>
      </c>
      <c r="BO1393" s="55" t="e">
        <f>IFERROR(VLOOKUP(AQ1393,'[1]Harga &amp; Nama CSO'!$H$2:$N$22,2,FALSE),"")*AV1393</f>
        <v>#VALUE!</v>
      </c>
      <c r="BP1393" s="40"/>
      <c r="BQ1393" s="4"/>
      <c r="BR1393" s="61"/>
      <c r="BS1393" s="4"/>
      <c r="BT1393" s="57" t="e">
        <f t="shared" si="55"/>
        <v>#VALUE!</v>
      </c>
      <c r="BU1393" s="62"/>
      <c r="BV1393" s="8" t="e">
        <v>#VALUE!</v>
      </c>
      <c r="BW1393" s="58" t="e">
        <f>VLOOKUP(AQ1393,'[1]Harga &amp; Nama CSO'!$A$28:$D$31,4,0)*BQ1393</f>
        <v>#N/A</v>
      </c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44">
        <f>IFERROR(VLOOKUP(AQ1395,'[2]Harga &amp; Nama CSO'!$A$116:$S$136,19,FALSE),0)*AV1395</f>
        <v>0</v>
      </c>
      <c r="BO1394" s="55" t="e">
        <f>IFERROR(VLOOKUP(AQ1394,'[1]Harga &amp; Nama CSO'!$H$2:$N$22,2,FALSE),"")*AV1394</f>
        <v>#VALUE!</v>
      </c>
      <c r="BP1394" s="40"/>
      <c r="BQ1394" s="4"/>
      <c r="BR1394" s="61"/>
      <c r="BS1394" s="4"/>
      <c r="BT1394" s="57" t="e">
        <f t="shared" si="55"/>
        <v>#VALUE!</v>
      </c>
      <c r="BU1394" s="62"/>
      <c r="BV1394" s="8" t="e">
        <v>#VALUE!</v>
      </c>
      <c r="BW1394" s="58" t="e">
        <f>VLOOKUP(AQ1394,'[1]Harga &amp; Nama CSO'!$A$28:$D$31,4,0)*BQ1394</f>
        <v>#N/A</v>
      </c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44">
        <f>IFERROR(VLOOKUP(AQ1396,'[2]Harga &amp; Nama CSO'!$A$116:$S$136,19,FALSE),0)*AV1396</f>
        <v>0</v>
      </c>
      <c r="BO1395" s="55" t="e">
        <f>IFERROR(VLOOKUP(AQ1395,'[1]Harga &amp; Nama CSO'!$H$2:$N$22,2,FALSE),"")*AV1395</f>
        <v>#VALUE!</v>
      </c>
      <c r="BP1395" s="40"/>
      <c r="BQ1395" s="4"/>
      <c r="BR1395" s="61"/>
      <c r="BS1395" s="4"/>
      <c r="BT1395" s="57" t="e">
        <f t="shared" si="55"/>
        <v>#VALUE!</v>
      </c>
      <c r="BU1395" s="62"/>
      <c r="BV1395" s="8" t="e">
        <v>#VALUE!</v>
      </c>
      <c r="BW1395" s="58" t="e">
        <f>VLOOKUP(AQ1395,'[1]Harga &amp; Nama CSO'!$A$28:$D$31,4,0)*BQ1395</f>
        <v>#N/A</v>
      </c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44">
        <f>IFERROR(VLOOKUP(AQ1397,'[2]Harga &amp; Nama CSO'!$A$116:$S$136,19,FALSE),0)*AV1397</f>
        <v>0</v>
      </c>
      <c r="BO1396" s="55" t="e">
        <f>IFERROR(VLOOKUP(AQ1396,'[1]Harga &amp; Nama CSO'!$H$2:$N$22,2,FALSE),"")*AV1396</f>
        <v>#VALUE!</v>
      </c>
      <c r="BP1396" s="40"/>
      <c r="BQ1396" s="4"/>
      <c r="BR1396" s="61"/>
      <c r="BS1396" s="4"/>
      <c r="BT1396" s="57" t="e">
        <f t="shared" si="55"/>
        <v>#VALUE!</v>
      </c>
      <c r="BU1396" s="62"/>
      <c r="BV1396" s="8" t="e">
        <v>#VALUE!</v>
      </c>
      <c r="BW1396" s="58" t="e">
        <f>VLOOKUP(AQ1396,'[1]Harga &amp; Nama CSO'!$A$28:$D$31,4,0)*BQ1396</f>
        <v>#N/A</v>
      </c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44">
        <f>IFERROR(VLOOKUP(AQ1398,'[2]Harga &amp; Nama CSO'!$A$116:$S$136,19,FALSE),0)*AV1398</f>
        <v>0</v>
      </c>
      <c r="BO1397" s="55" t="e">
        <f>IFERROR(VLOOKUP(AQ1397,'[1]Harga &amp; Nama CSO'!$H$2:$N$22,2,FALSE),"")*AV1397</f>
        <v>#VALUE!</v>
      </c>
      <c r="BP1397" s="40"/>
      <c r="BQ1397" s="4"/>
      <c r="BR1397" s="61"/>
      <c r="BS1397" s="4"/>
      <c r="BT1397" s="57" t="e">
        <f t="shared" si="55"/>
        <v>#VALUE!</v>
      </c>
      <c r="BU1397" s="62"/>
      <c r="BV1397" s="8" t="e">
        <v>#VALUE!</v>
      </c>
      <c r="BW1397" s="58" t="e">
        <f>VLOOKUP(AQ1397,'[1]Harga &amp; Nama CSO'!$A$28:$D$31,4,0)*BQ1397</f>
        <v>#N/A</v>
      </c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44">
        <f>IFERROR(VLOOKUP(AQ1399,'[2]Harga &amp; Nama CSO'!$A$116:$S$136,19,FALSE),0)*AV1399</f>
        <v>0</v>
      </c>
      <c r="BO1398" s="55" t="e">
        <f>IFERROR(VLOOKUP(AQ1398,'[1]Harga &amp; Nama CSO'!$H$2:$N$22,2,FALSE),"")*AV1398</f>
        <v>#VALUE!</v>
      </c>
      <c r="BP1398" s="40"/>
      <c r="BQ1398" s="4"/>
      <c r="BR1398" s="61"/>
      <c r="BS1398" s="4"/>
      <c r="BT1398" s="57" t="e">
        <f t="shared" si="55"/>
        <v>#VALUE!</v>
      </c>
      <c r="BU1398" s="62"/>
      <c r="BV1398" s="8" t="e">
        <v>#VALUE!</v>
      </c>
      <c r="BW1398" s="58" t="e">
        <f>VLOOKUP(AQ1398,'[1]Harga &amp; Nama CSO'!$A$28:$D$31,4,0)*BQ1398</f>
        <v>#N/A</v>
      </c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44">
        <f>IFERROR(VLOOKUP(AQ1400,'[2]Harga &amp; Nama CSO'!$A$116:$S$136,19,FALSE),0)*AV1400</f>
        <v>0</v>
      </c>
      <c r="BO1399" s="55" t="e">
        <f>IFERROR(VLOOKUP(AQ1399,'[1]Harga &amp; Nama CSO'!$H$2:$N$22,2,FALSE),"")*AV1399</f>
        <v>#VALUE!</v>
      </c>
      <c r="BP1399" s="40"/>
      <c r="BQ1399" s="4"/>
      <c r="BR1399" s="61"/>
      <c r="BS1399" s="4"/>
      <c r="BT1399" s="57" t="e">
        <f t="shared" si="55"/>
        <v>#VALUE!</v>
      </c>
      <c r="BU1399" s="62"/>
      <c r="BV1399" s="8" t="e">
        <v>#VALUE!</v>
      </c>
      <c r="BW1399" s="58" t="e">
        <f>VLOOKUP(AQ1399,'[1]Harga &amp; Nama CSO'!$A$28:$D$31,4,0)*BQ1399</f>
        <v>#N/A</v>
      </c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44">
        <f>IFERROR(VLOOKUP(AQ1401,'[2]Harga &amp; Nama CSO'!$A$116:$S$136,19,FALSE),0)*AV1401</f>
        <v>0</v>
      </c>
      <c r="BO1400" s="55" t="e">
        <f>IFERROR(VLOOKUP(AQ1400,'[1]Harga &amp; Nama CSO'!$H$2:$N$22,2,FALSE),"")*AV1400</f>
        <v>#VALUE!</v>
      </c>
      <c r="BP1400" s="40"/>
      <c r="BQ1400" s="4"/>
      <c r="BR1400" s="61"/>
      <c r="BS1400" s="4"/>
      <c r="BT1400" s="57" t="e">
        <f t="shared" si="55"/>
        <v>#VALUE!</v>
      </c>
      <c r="BU1400" s="62"/>
      <c r="BV1400" s="8" t="e">
        <v>#VALUE!</v>
      </c>
      <c r="BW1400" s="58" t="e">
        <f>VLOOKUP(AQ1400,'[1]Harga &amp; Nama CSO'!$A$28:$D$31,4,0)*BQ1400</f>
        <v>#N/A</v>
      </c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44">
        <f>IFERROR(VLOOKUP(AQ1402,'[2]Harga &amp; Nama CSO'!$A$116:$S$136,19,FALSE),0)*AV1402</f>
        <v>0</v>
      </c>
      <c r="BO1401" s="55" t="e">
        <f>IFERROR(VLOOKUP(AQ1401,'[1]Harga &amp; Nama CSO'!$H$2:$N$22,2,FALSE),"")*AV1401</f>
        <v>#VALUE!</v>
      </c>
      <c r="BP1401" s="40"/>
      <c r="BQ1401" s="4"/>
      <c r="BR1401" s="61"/>
      <c r="BS1401" s="4"/>
      <c r="BT1401" s="57" t="e">
        <f t="shared" si="55"/>
        <v>#VALUE!</v>
      </c>
      <c r="BU1401" s="62"/>
      <c r="BV1401" s="8" t="e">
        <v>#VALUE!</v>
      </c>
      <c r="BW1401" s="58" t="e">
        <f>VLOOKUP(AQ1401,'[1]Harga &amp; Nama CSO'!$A$28:$D$31,4,0)*BQ1401</f>
        <v>#N/A</v>
      </c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44">
        <f>IFERROR(VLOOKUP(AQ1403,'[2]Harga &amp; Nama CSO'!$A$116:$S$136,19,FALSE),0)*AV1403</f>
        <v>0</v>
      </c>
      <c r="BO1402" s="55" t="e">
        <f>IFERROR(VLOOKUP(AQ1402,'[1]Harga &amp; Nama CSO'!$H$2:$N$22,2,FALSE),"")*AV1402</f>
        <v>#VALUE!</v>
      </c>
      <c r="BP1402" s="40"/>
      <c r="BQ1402" s="4"/>
      <c r="BR1402" s="61"/>
      <c r="BS1402" s="4"/>
      <c r="BT1402" s="57" t="e">
        <f t="shared" si="55"/>
        <v>#VALUE!</v>
      </c>
      <c r="BU1402" s="62"/>
      <c r="BV1402" s="8" t="e">
        <v>#VALUE!</v>
      </c>
      <c r="BW1402" s="58" t="e">
        <f>VLOOKUP(AQ1402,'[1]Harga &amp; Nama CSO'!$A$28:$D$31,4,0)*BQ1402</f>
        <v>#N/A</v>
      </c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44">
        <f>IFERROR(VLOOKUP(AQ1404,'[2]Harga &amp; Nama CSO'!$A$116:$S$136,19,FALSE),0)*AV1404</f>
        <v>0</v>
      </c>
      <c r="BO1403" s="55" t="e">
        <f>IFERROR(VLOOKUP(AQ1403,'[1]Harga &amp; Nama CSO'!$H$2:$N$22,2,FALSE),"")*AV1403</f>
        <v>#VALUE!</v>
      </c>
      <c r="BP1403" s="40"/>
      <c r="BQ1403" s="4"/>
      <c r="BR1403" s="61"/>
      <c r="BS1403" s="4"/>
      <c r="BT1403" s="57" t="e">
        <f t="shared" si="55"/>
        <v>#VALUE!</v>
      </c>
      <c r="BU1403" s="62"/>
      <c r="BV1403" s="8" t="e">
        <v>#VALUE!</v>
      </c>
      <c r="BW1403" s="58" t="e">
        <f>VLOOKUP(AQ1403,'[1]Harga &amp; Nama CSO'!$A$28:$D$31,4,0)*BQ1403</f>
        <v>#N/A</v>
      </c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44">
        <f>IFERROR(VLOOKUP(AQ1405,'[2]Harga &amp; Nama CSO'!$A$116:$S$136,19,FALSE),0)*AV1405</f>
        <v>0</v>
      </c>
      <c r="BO1404" s="55" t="e">
        <f>IFERROR(VLOOKUP(AQ1404,'[1]Harga &amp; Nama CSO'!$H$2:$N$22,2,FALSE),"")*AV1404</f>
        <v>#VALUE!</v>
      </c>
      <c r="BP1404" s="40"/>
      <c r="BQ1404" s="4"/>
      <c r="BR1404" s="61"/>
      <c r="BS1404" s="4"/>
      <c r="BT1404" s="57" t="e">
        <f t="shared" si="55"/>
        <v>#VALUE!</v>
      </c>
      <c r="BU1404" s="62"/>
      <c r="BV1404" s="8" t="e">
        <v>#VALUE!</v>
      </c>
      <c r="BW1404" s="58" t="e">
        <f>VLOOKUP(AQ1404,'[1]Harga &amp; Nama CSO'!$A$28:$D$31,4,0)*BQ1404</f>
        <v>#N/A</v>
      </c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44">
        <f>IFERROR(VLOOKUP(AQ1406,'[2]Harga &amp; Nama CSO'!$A$116:$S$136,19,FALSE),0)*AV1406</f>
        <v>0</v>
      </c>
      <c r="BO1405" s="55" t="e">
        <f>IFERROR(VLOOKUP(AQ1405,'[1]Harga &amp; Nama CSO'!$H$2:$N$22,2,FALSE),"")*AV1405</f>
        <v>#VALUE!</v>
      </c>
      <c r="BP1405" s="40"/>
      <c r="BQ1405" s="4"/>
      <c r="BR1405" s="61"/>
      <c r="BS1405" s="4"/>
      <c r="BT1405" s="57" t="e">
        <f t="shared" si="55"/>
        <v>#VALUE!</v>
      </c>
      <c r="BU1405" s="62"/>
      <c r="BV1405" s="8" t="e">
        <v>#VALUE!</v>
      </c>
      <c r="BW1405" s="58" t="e">
        <f>VLOOKUP(AQ1405,'[1]Harga &amp; Nama CSO'!$A$28:$D$31,4,0)*BQ1405</f>
        <v>#N/A</v>
      </c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44">
        <f>IFERROR(VLOOKUP(AQ1407,'[2]Harga &amp; Nama CSO'!$A$116:$S$136,19,FALSE),0)*AV1407</f>
        <v>0</v>
      </c>
      <c r="BO1406" s="55" t="e">
        <f>IFERROR(VLOOKUP(AQ1406,'[1]Harga &amp; Nama CSO'!$H$2:$N$22,2,FALSE),"")*AV1406</f>
        <v>#VALUE!</v>
      </c>
      <c r="BP1406" s="40"/>
      <c r="BQ1406" s="4"/>
      <c r="BR1406" s="61"/>
      <c r="BS1406" s="4"/>
      <c r="BT1406" s="57" t="e">
        <f t="shared" si="55"/>
        <v>#VALUE!</v>
      </c>
      <c r="BU1406" s="62"/>
      <c r="BV1406" s="8" t="e">
        <v>#VALUE!</v>
      </c>
      <c r="BW1406" s="58" t="e">
        <f>VLOOKUP(AQ1406,'[1]Harga &amp; Nama CSO'!$A$28:$D$31,4,0)*BQ1406</f>
        <v>#N/A</v>
      </c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44">
        <f>IFERROR(VLOOKUP(AQ1408,'[2]Harga &amp; Nama CSO'!$A$116:$S$136,19,FALSE),0)*AV1408</f>
        <v>0</v>
      </c>
      <c r="BO1407" s="55" t="e">
        <f>IFERROR(VLOOKUP(AQ1407,'[1]Harga &amp; Nama CSO'!$H$2:$N$22,2,FALSE),"")*AV1407</f>
        <v>#VALUE!</v>
      </c>
      <c r="BP1407" s="40"/>
      <c r="BQ1407" s="4"/>
      <c r="BR1407" s="61"/>
      <c r="BS1407" s="4"/>
      <c r="BT1407" s="57" t="e">
        <f t="shared" si="55"/>
        <v>#VALUE!</v>
      </c>
      <c r="BU1407" s="62"/>
      <c r="BV1407" s="8" t="e">
        <v>#VALUE!</v>
      </c>
      <c r="BW1407" s="58" t="e">
        <f>VLOOKUP(AQ1407,'[1]Harga &amp; Nama CSO'!$A$28:$D$31,4,0)*BQ1407</f>
        <v>#N/A</v>
      </c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44">
        <f>IFERROR(VLOOKUP(AQ1409,'[2]Harga &amp; Nama CSO'!$A$116:$S$136,19,FALSE),0)*AV1409</f>
        <v>0</v>
      </c>
      <c r="BO1408" s="55" t="e">
        <f>IFERROR(VLOOKUP(AQ1408,'[1]Harga &amp; Nama CSO'!$H$2:$N$22,2,FALSE),"")*AV1408</f>
        <v>#VALUE!</v>
      </c>
      <c r="BP1408" s="40"/>
      <c r="BQ1408" s="4"/>
      <c r="BR1408" s="61"/>
      <c r="BS1408" s="4"/>
      <c r="BT1408" s="57" t="e">
        <f t="shared" si="55"/>
        <v>#VALUE!</v>
      </c>
      <c r="BU1408" s="62"/>
      <c r="BV1408" s="8" t="e">
        <v>#VALUE!</v>
      </c>
      <c r="BW1408" s="58" t="e">
        <f>VLOOKUP(AQ1408,'[1]Harga &amp; Nama CSO'!$A$28:$D$31,4,0)*BQ1408</f>
        <v>#N/A</v>
      </c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44">
        <f>IFERROR(VLOOKUP(AQ1410,'[2]Harga &amp; Nama CSO'!$A$116:$S$136,19,FALSE),0)*AV1410</f>
        <v>0</v>
      </c>
      <c r="BO1409" s="55" t="e">
        <f>IFERROR(VLOOKUP(AQ1409,'[1]Harga &amp; Nama CSO'!$H$2:$N$22,2,FALSE),"")*AV1409</f>
        <v>#VALUE!</v>
      </c>
      <c r="BP1409" s="40"/>
      <c r="BQ1409" s="4"/>
      <c r="BR1409" s="61"/>
      <c r="BS1409" s="4"/>
      <c r="BT1409" s="57" t="e">
        <f t="shared" si="55"/>
        <v>#VALUE!</v>
      </c>
      <c r="BU1409" s="62"/>
      <c r="BV1409" s="8" t="e">
        <v>#VALUE!</v>
      </c>
      <c r="BW1409" s="58" t="e">
        <f>VLOOKUP(AQ1409,'[1]Harga &amp; Nama CSO'!$A$28:$D$31,4,0)*BQ1409</f>
        <v>#N/A</v>
      </c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44">
        <f>IFERROR(VLOOKUP(AQ1411,'[2]Harga &amp; Nama CSO'!$A$116:$S$136,19,FALSE),0)*AV1411</f>
        <v>0</v>
      </c>
      <c r="BO1410" s="55" t="e">
        <f>IFERROR(VLOOKUP(AQ1410,'[1]Harga &amp; Nama CSO'!$H$2:$N$22,2,FALSE),"")*AV1410</f>
        <v>#VALUE!</v>
      </c>
      <c r="BP1410" s="40"/>
      <c r="BQ1410" s="4"/>
      <c r="BR1410" s="61"/>
      <c r="BS1410" s="4"/>
      <c r="BT1410" s="57" t="e">
        <f t="shared" si="55"/>
        <v>#VALUE!</v>
      </c>
      <c r="BU1410" s="62"/>
      <c r="BV1410" s="8" t="e">
        <v>#VALUE!</v>
      </c>
      <c r="BW1410" s="58" t="e">
        <f>VLOOKUP(AQ1410,'[1]Harga &amp; Nama CSO'!$A$28:$D$31,4,0)*BQ1410</f>
        <v>#N/A</v>
      </c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44">
        <f>IFERROR(VLOOKUP(AQ1412,'[2]Harga &amp; Nama CSO'!$A$116:$S$136,19,FALSE),0)*AV1412</f>
        <v>0</v>
      </c>
      <c r="BO1411" s="55" t="e">
        <f>IFERROR(VLOOKUP(AQ1411,'[1]Harga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56">BO1411-BR1411</f>
        <v>#VALUE!</v>
      </c>
      <c r="BU1411" s="62"/>
      <c r="BV1411" s="8" t="e">
        <v>#VALUE!</v>
      </c>
      <c r="BW1411" s="58" t="e">
        <f>VLOOKUP(AQ1411,'[1]Harga &amp; Nama CSO'!$A$28:$D$31,4,0)*BQ1411</f>
        <v>#N/A</v>
      </c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44">
        <f>IFERROR(VLOOKUP(AQ1413,'[2]Harga &amp; Nama CSO'!$A$116:$S$136,19,FALSE),0)*AV1413</f>
        <v>0</v>
      </c>
      <c r="BO1412" s="55" t="e">
        <f>IFERROR(VLOOKUP(AQ1412,'[1]Harga &amp; Nama CSO'!$H$2:$N$22,2,FALSE),"")*AV1412</f>
        <v>#VALUE!</v>
      </c>
      <c r="BP1412" s="40"/>
      <c r="BQ1412" s="4"/>
      <c r="BR1412" s="61"/>
      <c r="BS1412" s="4"/>
      <c r="BT1412" s="57" t="e">
        <f t="shared" si="56"/>
        <v>#VALUE!</v>
      </c>
      <c r="BU1412" s="62"/>
      <c r="BV1412" s="8" t="e">
        <v>#VALUE!</v>
      </c>
      <c r="BW1412" s="58" t="e">
        <f>VLOOKUP(AQ1412,'[1]Harga &amp; Nama CSO'!$A$28:$D$31,4,0)*BQ1412</f>
        <v>#N/A</v>
      </c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44">
        <f>IFERROR(VLOOKUP(AQ1414,'[2]Harga &amp; Nama CSO'!$A$116:$S$136,19,FALSE),0)*AV1414</f>
        <v>0</v>
      </c>
      <c r="BO1413" s="55" t="e">
        <f>IFERROR(VLOOKUP(AQ1413,'[1]Harga &amp; Nama CSO'!$H$2:$N$22,2,FALSE),"")*AV1413</f>
        <v>#VALUE!</v>
      </c>
      <c r="BP1413" s="40"/>
      <c r="BQ1413" s="4"/>
      <c r="BR1413" s="61"/>
      <c r="BS1413" s="4"/>
      <c r="BT1413" s="57" t="e">
        <f t="shared" si="56"/>
        <v>#VALUE!</v>
      </c>
      <c r="BU1413" s="62"/>
      <c r="BV1413" s="8" t="e">
        <v>#VALUE!</v>
      </c>
      <c r="BW1413" s="58" t="e">
        <f>VLOOKUP(AQ1413,'[1]Harga &amp; Nama CSO'!$A$28:$D$31,4,0)*BQ1413</f>
        <v>#N/A</v>
      </c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44">
        <f>IFERROR(VLOOKUP(AQ1415,'[2]Harga &amp; Nama CSO'!$A$116:$S$136,19,FALSE),0)*AV1415</f>
        <v>0</v>
      </c>
      <c r="BO1414" s="55" t="e">
        <f>IFERROR(VLOOKUP(AQ1414,'[1]Harga &amp; Nama CSO'!$H$2:$N$22,2,FALSE),"")*AV1414</f>
        <v>#VALUE!</v>
      </c>
      <c r="BP1414" s="40"/>
      <c r="BQ1414" s="4"/>
      <c r="BR1414" s="61"/>
      <c r="BS1414" s="4"/>
      <c r="BT1414" s="57" t="e">
        <f t="shared" si="56"/>
        <v>#VALUE!</v>
      </c>
      <c r="BU1414" s="62"/>
      <c r="BV1414" s="8" t="e">
        <v>#VALUE!</v>
      </c>
      <c r="BW1414" s="58" t="e">
        <f>VLOOKUP(AQ1414,'[1]Harga &amp; Nama CSO'!$A$28:$D$31,4,0)*BQ1414</f>
        <v>#N/A</v>
      </c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44">
        <f>IFERROR(VLOOKUP(AQ1416,'[2]Harga &amp; Nama CSO'!$A$116:$S$136,19,FALSE),0)*AV1416</f>
        <v>0</v>
      </c>
      <c r="BO1415" s="55" t="e">
        <f>IFERROR(VLOOKUP(AQ1415,'[1]Harga &amp; Nama CSO'!$H$2:$N$22,2,FALSE),"")*AV1415</f>
        <v>#VALUE!</v>
      </c>
      <c r="BP1415" s="40"/>
      <c r="BQ1415" s="4"/>
      <c r="BR1415" s="61"/>
      <c r="BS1415" s="4"/>
      <c r="BT1415" s="57" t="e">
        <f t="shared" si="56"/>
        <v>#VALUE!</v>
      </c>
      <c r="BU1415" s="62"/>
      <c r="BV1415" s="8" t="e">
        <v>#VALUE!</v>
      </c>
      <c r="BW1415" s="58" t="e">
        <f>VLOOKUP(AQ1415,'[1]Harga &amp; Nama CSO'!$A$28:$D$31,4,0)*BQ1415</f>
        <v>#N/A</v>
      </c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44">
        <f>IFERROR(VLOOKUP(AQ1417,'[2]Harga &amp; Nama CSO'!$A$116:$S$136,19,FALSE),0)*AV1417</f>
        <v>0</v>
      </c>
      <c r="BO1416" s="55" t="e">
        <f>IFERROR(VLOOKUP(AQ1416,'[1]Harga &amp; Nama CSO'!$H$2:$N$22,2,FALSE),"")*AV1416</f>
        <v>#VALUE!</v>
      </c>
      <c r="BP1416" s="40"/>
      <c r="BQ1416" s="4"/>
      <c r="BR1416" s="61"/>
      <c r="BS1416" s="4"/>
      <c r="BT1416" s="57" t="e">
        <f t="shared" si="56"/>
        <v>#VALUE!</v>
      </c>
      <c r="BU1416" s="62"/>
      <c r="BV1416" s="8" t="e">
        <v>#VALUE!</v>
      </c>
      <c r="BW1416" s="58" t="e">
        <f>VLOOKUP(AQ1416,'[1]Harga &amp; Nama CSO'!$A$28:$D$31,4,0)*BQ1416</f>
        <v>#N/A</v>
      </c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44">
        <f>IFERROR(VLOOKUP(AQ1418,'[2]Harga &amp; Nama CSO'!$A$116:$S$136,19,FALSE),0)*AV1418</f>
        <v>0</v>
      </c>
      <c r="BO1417" s="55" t="e">
        <f>IFERROR(VLOOKUP(AQ1417,'[1]Harga &amp; Nama CSO'!$H$2:$N$22,2,FALSE),"")*AV1417</f>
        <v>#VALUE!</v>
      </c>
      <c r="BP1417" s="40"/>
      <c r="BQ1417" s="4"/>
      <c r="BR1417" s="61"/>
      <c r="BS1417" s="4"/>
      <c r="BT1417" s="57" t="e">
        <f t="shared" si="56"/>
        <v>#VALUE!</v>
      </c>
      <c r="BU1417" s="62"/>
      <c r="BV1417" s="8" t="e">
        <v>#VALUE!</v>
      </c>
      <c r="BW1417" s="58" t="e">
        <f>VLOOKUP(AQ1417,'[1]Harga &amp; Nama CSO'!$A$28:$D$31,4,0)*BQ1417</f>
        <v>#N/A</v>
      </c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44">
        <f>IFERROR(VLOOKUP(AQ1419,'[2]Harga &amp; Nama CSO'!$A$116:$S$136,19,FALSE),0)*AV1419</f>
        <v>0</v>
      </c>
      <c r="BO1418" s="55" t="e">
        <f>IFERROR(VLOOKUP(AQ1418,'[1]Harga &amp; Nama CSO'!$H$2:$N$22,2,FALSE),"")*AV1418</f>
        <v>#VALUE!</v>
      </c>
      <c r="BP1418" s="40"/>
      <c r="BQ1418" s="4"/>
      <c r="BR1418" s="61"/>
      <c r="BS1418" s="4"/>
      <c r="BT1418" s="57" t="e">
        <f t="shared" si="56"/>
        <v>#VALUE!</v>
      </c>
      <c r="BU1418" s="62"/>
      <c r="BV1418" s="8" t="e">
        <v>#VALUE!</v>
      </c>
      <c r="BW1418" s="58" t="e">
        <f>VLOOKUP(AQ1418,'[1]Harga &amp; Nama CSO'!$A$28:$D$31,4,0)*BQ1418</f>
        <v>#N/A</v>
      </c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44">
        <f>IFERROR(VLOOKUP(AQ1420,'[2]Harga &amp; Nama CSO'!$A$116:$S$136,19,FALSE),0)*AV1420</f>
        <v>0</v>
      </c>
      <c r="BO1419" s="55" t="e">
        <f>IFERROR(VLOOKUP(AQ1419,'[1]Harga &amp; Nama CSO'!$H$2:$N$22,2,FALSE),"")*AV1419</f>
        <v>#VALUE!</v>
      </c>
      <c r="BP1419" s="40"/>
      <c r="BQ1419" s="4"/>
      <c r="BR1419" s="61"/>
      <c r="BS1419" s="4"/>
      <c r="BT1419" s="57" t="e">
        <f t="shared" si="56"/>
        <v>#VALUE!</v>
      </c>
      <c r="BU1419" s="62"/>
      <c r="BV1419" s="8" t="e">
        <v>#VALUE!</v>
      </c>
      <c r="BW1419" s="58" t="e">
        <f>VLOOKUP(AQ1419,'[1]Harga &amp; Nama CSO'!$A$28:$D$31,4,0)*BQ1419</f>
        <v>#N/A</v>
      </c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44">
        <f>IFERROR(VLOOKUP(AQ1421,'[2]Harga &amp; Nama CSO'!$A$116:$S$136,19,FALSE),0)*AV1421</f>
        <v>0</v>
      </c>
      <c r="BO1420" s="55" t="e">
        <f>IFERROR(VLOOKUP(AQ1420,'[1]Harga &amp; Nama CSO'!$H$2:$N$22,2,FALSE),"")*AV1420</f>
        <v>#VALUE!</v>
      </c>
      <c r="BP1420" s="40"/>
      <c r="BQ1420" s="4"/>
      <c r="BR1420" s="61"/>
      <c r="BS1420" s="4"/>
      <c r="BT1420" s="57" t="e">
        <f t="shared" si="56"/>
        <v>#VALUE!</v>
      </c>
      <c r="BU1420" s="62"/>
      <c r="BV1420" s="8" t="e">
        <v>#VALUE!</v>
      </c>
      <c r="BW1420" s="58" t="e">
        <f>VLOOKUP(AQ1420,'[1]Harga &amp; Nama CSO'!$A$28:$D$31,4,0)*BQ1420</f>
        <v>#N/A</v>
      </c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44">
        <f>IFERROR(VLOOKUP(AQ1422,'[2]Harga &amp; Nama CSO'!$A$116:$S$136,19,FALSE),0)*AV1422</f>
        <v>0</v>
      </c>
      <c r="BO1421" s="55" t="e">
        <f>IFERROR(VLOOKUP(AQ1421,'[1]Harga &amp; Nama CSO'!$H$2:$N$22,2,FALSE),"")*AV1421</f>
        <v>#VALUE!</v>
      </c>
      <c r="BP1421" s="40"/>
      <c r="BQ1421" s="4"/>
      <c r="BR1421" s="61"/>
      <c r="BS1421" s="4"/>
      <c r="BT1421" s="57" t="e">
        <f t="shared" si="56"/>
        <v>#VALUE!</v>
      </c>
      <c r="BU1421" s="62"/>
      <c r="BV1421" s="8" t="e">
        <v>#VALUE!</v>
      </c>
      <c r="BW1421" s="58" t="e">
        <f>VLOOKUP(AQ1421,'[1]Harga &amp; Nama CSO'!$A$28:$D$31,4,0)*BQ1421</f>
        <v>#N/A</v>
      </c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44">
        <f>IFERROR(VLOOKUP(AQ1423,'[2]Harga &amp; Nama CSO'!$A$116:$S$136,19,FALSE),0)*AV1423</f>
        <v>0</v>
      </c>
      <c r="BO1422" s="55" t="e">
        <f>IFERROR(VLOOKUP(AQ1422,'[1]Harga &amp; Nama CSO'!$H$2:$N$22,2,FALSE),"")*AV1422</f>
        <v>#VALUE!</v>
      </c>
      <c r="BP1422" s="40"/>
      <c r="BQ1422" s="4"/>
      <c r="BR1422" s="61"/>
      <c r="BS1422" s="4"/>
      <c r="BT1422" s="57" t="e">
        <f t="shared" si="56"/>
        <v>#VALUE!</v>
      </c>
      <c r="BU1422" s="62"/>
      <c r="BV1422" s="8" t="e">
        <v>#VALUE!</v>
      </c>
      <c r="BW1422" s="58" t="e">
        <f>VLOOKUP(AQ1422,'[1]Harga &amp; Nama CSO'!$A$28:$D$31,4,0)*BQ1422</f>
        <v>#N/A</v>
      </c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44">
        <f>IFERROR(VLOOKUP(AQ1424,'[2]Harga &amp; Nama CSO'!$A$116:$S$136,19,FALSE),0)*AV1424</f>
        <v>0</v>
      </c>
      <c r="BO1423" s="55" t="e">
        <f>IFERROR(VLOOKUP(AQ1423,'[1]Harga &amp; Nama CSO'!$H$2:$N$22,2,FALSE),"")*AV1423</f>
        <v>#VALUE!</v>
      </c>
      <c r="BP1423" s="40"/>
      <c r="BQ1423" s="4"/>
      <c r="BR1423" s="61"/>
      <c r="BS1423" s="4"/>
      <c r="BT1423" s="57" t="e">
        <f t="shared" si="56"/>
        <v>#VALUE!</v>
      </c>
      <c r="BU1423" s="62"/>
      <c r="BV1423" s="8" t="e">
        <v>#VALUE!</v>
      </c>
      <c r="BW1423" s="58" t="e">
        <f>VLOOKUP(AQ1423,'[1]Harga &amp; Nama CSO'!$A$28:$D$31,4,0)*BQ1423</f>
        <v>#N/A</v>
      </c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44">
        <f>IFERROR(VLOOKUP(AQ1425,'[2]Harga &amp; Nama CSO'!$A$116:$S$136,19,FALSE),0)*AV1425</f>
        <v>0</v>
      </c>
      <c r="BO1424" s="55" t="e">
        <f>IFERROR(VLOOKUP(AQ1424,'[1]Harga &amp; Nama CSO'!$H$2:$N$22,2,FALSE),"")*AV1424</f>
        <v>#VALUE!</v>
      </c>
      <c r="BP1424" s="40"/>
      <c r="BQ1424" s="4"/>
      <c r="BR1424" s="61"/>
      <c r="BS1424" s="4"/>
      <c r="BT1424" s="57" t="e">
        <f t="shared" si="56"/>
        <v>#VALUE!</v>
      </c>
      <c r="BU1424" s="62"/>
      <c r="BV1424" s="8" t="e">
        <v>#VALUE!</v>
      </c>
      <c r="BW1424" s="58" t="e">
        <f>VLOOKUP(AQ1424,'[1]Harga &amp; Nama CSO'!$A$28:$D$31,4,0)*BQ1424</f>
        <v>#N/A</v>
      </c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44">
        <f>IFERROR(VLOOKUP(AQ1426,'[2]Harga &amp; Nama CSO'!$A$116:$S$136,19,FALSE),0)*AV1426</f>
        <v>0</v>
      </c>
      <c r="BO1425" s="55" t="e">
        <f>IFERROR(VLOOKUP(AQ1425,'[1]Harga &amp; Nama CSO'!$H$2:$N$22,2,FALSE),"")*AV1425</f>
        <v>#VALUE!</v>
      </c>
      <c r="BP1425" s="40"/>
      <c r="BQ1425" s="4"/>
      <c r="BR1425" s="61"/>
      <c r="BS1425" s="4"/>
      <c r="BT1425" s="57" t="e">
        <f t="shared" si="56"/>
        <v>#VALUE!</v>
      </c>
      <c r="BU1425" s="62"/>
      <c r="BV1425" s="8" t="e">
        <v>#VALUE!</v>
      </c>
      <c r="BW1425" s="58" t="e">
        <f>VLOOKUP(AQ1425,'[1]Harga &amp; Nama CSO'!$A$28:$D$31,4,0)*BQ1425</f>
        <v>#N/A</v>
      </c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44">
        <f>IFERROR(VLOOKUP(AQ1427,'[2]Harga &amp; Nama CSO'!$A$116:$S$136,19,FALSE),0)*AV1427</f>
        <v>0</v>
      </c>
      <c r="BO1426" s="55" t="e">
        <f>IFERROR(VLOOKUP(AQ1426,'[1]Harga &amp; Nama CSO'!$H$2:$N$22,2,FALSE),"")*AV1426</f>
        <v>#VALUE!</v>
      </c>
      <c r="BP1426" s="40"/>
      <c r="BQ1426" s="4"/>
      <c r="BR1426" s="61"/>
      <c r="BS1426" s="4"/>
      <c r="BT1426" s="57" t="e">
        <f t="shared" si="56"/>
        <v>#VALUE!</v>
      </c>
      <c r="BU1426" s="62"/>
      <c r="BV1426" s="8" t="e">
        <v>#VALUE!</v>
      </c>
      <c r="BW1426" s="58" t="e">
        <f>VLOOKUP(AQ1426,'[1]Harga &amp; Nama CSO'!$A$28:$D$31,4,0)*BQ1426</f>
        <v>#N/A</v>
      </c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44">
        <f>IFERROR(VLOOKUP(AQ1428,'[2]Harga &amp; Nama CSO'!$A$116:$S$136,19,FALSE),0)*AV1428</f>
        <v>0</v>
      </c>
      <c r="BO1427" s="55" t="e">
        <f>IFERROR(VLOOKUP(AQ1427,'[1]Harga &amp; Nama CSO'!$H$2:$N$22,2,FALSE),"")*AV1427</f>
        <v>#VALUE!</v>
      </c>
      <c r="BP1427" s="40"/>
      <c r="BQ1427" s="4"/>
      <c r="BR1427" s="61"/>
      <c r="BS1427" s="4"/>
      <c r="BT1427" s="57" t="e">
        <f t="shared" si="56"/>
        <v>#VALUE!</v>
      </c>
      <c r="BU1427" s="62"/>
      <c r="BV1427" s="8" t="e">
        <v>#VALUE!</v>
      </c>
      <c r="BW1427" s="58" t="e">
        <f>VLOOKUP(AQ1427,'[1]Harga &amp; Nama CSO'!$A$28:$D$31,4,0)*BQ1427</f>
        <v>#N/A</v>
      </c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44">
        <f>IFERROR(VLOOKUP(AQ1429,'[2]Harga &amp; Nama CSO'!$A$116:$S$136,19,FALSE),0)*AV1429</f>
        <v>0</v>
      </c>
      <c r="BO1428" s="55" t="e">
        <f>IFERROR(VLOOKUP(AQ1428,'[1]Harga &amp; Nama CSO'!$H$2:$N$22,2,FALSE),"")*AV1428</f>
        <v>#VALUE!</v>
      </c>
      <c r="BP1428" s="40"/>
      <c r="BQ1428" s="4"/>
      <c r="BR1428" s="61"/>
      <c r="BS1428" s="4"/>
      <c r="BT1428" s="57" t="e">
        <f t="shared" si="56"/>
        <v>#VALUE!</v>
      </c>
      <c r="BU1428" s="62"/>
      <c r="BV1428" s="8" t="e">
        <v>#VALUE!</v>
      </c>
      <c r="BW1428" s="58" t="e">
        <f>VLOOKUP(AQ1428,'[1]Harga &amp; Nama CSO'!$A$28:$D$31,4,0)*BQ1428</f>
        <v>#N/A</v>
      </c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44">
        <f>IFERROR(VLOOKUP(AQ1430,'[2]Harga &amp; Nama CSO'!$A$116:$S$136,19,FALSE),0)*AV1430</f>
        <v>0</v>
      </c>
      <c r="BO1429" s="55" t="e">
        <f>IFERROR(VLOOKUP(AQ1429,'[1]Harga &amp; Nama CSO'!$H$2:$N$22,2,FALSE),"")*AV1429</f>
        <v>#VALUE!</v>
      </c>
      <c r="BP1429" s="40"/>
      <c r="BQ1429" s="4"/>
      <c r="BR1429" s="61"/>
      <c r="BS1429" s="4"/>
      <c r="BT1429" s="57" t="e">
        <f t="shared" si="56"/>
        <v>#VALUE!</v>
      </c>
      <c r="BU1429" s="62"/>
      <c r="BV1429" s="8" t="e">
        <v>#VALUE!</v>
      </c>
      <c r="BW1429" s="58" t="e">
        <f>VLOOKUP(AQ1429,'[1]Harga &amp; Nama CSO'!$A$28:$D$31,4,0)*BQ1429</f>
        <v>#N/A</v>
      </c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44">
        <f>IFERROR(VLOOKUP(AQ1431,'[2]Harga &amp; Nama CSO'!$A$116:$S$136,19,FALSE),0)*AV1431</f>
        <v>0</v>
      </c>
      <c r="BO1430" s="55" t="e">
        <f>IFERROR(VLOOKUP(AQ1430,'[1]Harga &amp; Nama CSO'!$H$2:$N$22,2,FALSE),"")*AV1430</f>
        <v>#VALUE!</v>
      </c>
      <c r="BP1430" s="40"/>
      <c r="BQ1430" s="4"/>
      <c r="BR1430" s="61"/>
      <c r="BS1430" s="4"/>
      <c r="BT1430" s="57" t="e">
        <f t="shared" si="56"/>
        <v>#VALUE!</v>
      </c>
      <c r="BU1430" s="62"/>
      <c r="BV1430" s="8" t="e">
        <v>#VALUE!</v>
      </c>
      <c r="BW1430" s="58" t="e">
        <f>VLOOKUP(AQ1430,'[1]Harga &amp; Nama CSO'!$A$28:$D$31,4,0)*BQ1430</f>
        <v>#N/A</v>
      </c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44">
        <f>IFERROR(VLOOKUP(AQ1432,'[2]Harga &amp; Nama CSO'!$A$116:$S$136,19,FALSE),0)*AV1432</f>
        <v>0</v>
      </c>
      <c r="BO1431" s="55" t="e">
        <f>IFERROR(VLOOKUP(AQ1431,'[1]Harga &amp; Nama CSO'!$H$2:$N$22,2,FALSE),"")*AV1431</f>
        <v>#VALUE!</v>
      </c>
      <c r="BP1431" s="40"/>
      <c r="BQ1431" s="4"/>
      <c r="BR1431" s="61"/>
      <c r="BS1431" s="4"/>
      <c r="BT1431" s="57" t="e">
        <f t="shared" si="56"/>
        <v>#VALUE!</v>
      </c>
      <c r="BU1431" s="62"/>
      <c r="BV1431" s="8" t="e">
        <v>#VALUE!</v>
      </c>
      <c r="BW1431" s="58" t="e">
        <f>VLOOKUP(AQ1431,'[1]Harga &amp; Nama CSO'!$A$28:$D$31,4,0)*BQ1431</f>
        <v>#N/A</v>
      </c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44">
        <f>IFERROR(VLOOKUP(AQ1433,'[2]Harga &amp; Nama CSO'!$A$116:$S$136,19,FALSE),0)*AV1433</f>
        <v>0</v>
      </c>
      <c r="BO1432" s="55" t="e">
        <f>IFERROR(VLOOKUP(AQ1432,'[1]Harga &amp; Nama CSO'!$H$2:$N$22,2,FALSE),"")*AV1432</f>
        <v>#VALUE!</v>
      </c>
      <c r="BP1432" s="40"/>
      <c r="BQ1432" s="4"/>
      <c r="BR1432" s="61"/>
      <c r="BS1432" s="4"/>
      <c r="BT1432" s="57" t="e">
        <f t="shared" si="56"/>
        <v>#VALUE!</v>
      </c>
      <c r="BU1432" s="62"/>
      <c r="BV1432" s="8" t="e">
        <v>#VALUE!</v>
      </c>
      <c r="BW1432" s="58" t="e">
        <f>VLOOKUP(AQ1432,'[1]Harga &amp; Nama CSO'!$A$28:$D$31,4,0)*BQ1432</f>
        <v>#N/A</v>
      </c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44">
        <f>IFERROR(VLOOKUP(AQ1434,'[2]Harga &amp; Nama CSO'!$A$116:$S$136,19,FALSE),0)*AV1434</f>
        <v>0</v>
      </c>
      <c r="BO1433" s="55" t="e">
        <f>IFERROR(VLOOKUP(AQ1433,'[1]Harga &amp; Nama CSO'!$H$2:$N$22,2,FALSE),"")*AV1433</f>
        <v>#VALUE!</v>
      </c>
      <c r="BP1433" s="40"/>
      <c r="BQ1433" s="4"/>
      <c r="BR1433" s="61"/>
      <c r="BS1433" s="4"/>
      <c r="BT1433" s="57" t="e">
        <f t="shared" si="56"/>
        <v>#VALUE!</v>
      </c>
      <c r="BU1433" s="62"/>
      <c r="BV1433" s="8" t="e">
        <v>#VALUE!</v>
      </c>
      <c r="BW1433" s="58" t="e">
        <f>VLOOKUP(AQ1433,'[1]Harga &amp; Nama CSO'!$A$28:$D$31,4,0)*BQ1433</f>
        <v>#N/A</v>
      </c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44">
        <f>IFERROR(VLOOKUP(AQ1435,'[2]Harga &amp; Nama CSO'!$A$116:$S$136,19,FALSE),0)*AV1435</f>
        <v>0</v>
      </c>
      <c r="BO1434" s="55" t="e">
        <f>IFERROR(VLOOKUP(AQ1434,'[1]Harga &amp; Nama CSO'!$H$2:$N$22,2,FALSE),"")*AV1434</f>
        <v>#VALUE!</v>
      </c>
      <c r="BP1434" s="40"/>
      <c r="BQ1434" s="4"/>
      <c r="BR1434" s="61"/>
      <c r="BS1434" s="4"/>
      <c r="BT1434" s="57" t="e">
        <f t="shared" si="56"/>
        <v>#VALUE!</v>
      </c>
      <c r="BU1434" s="62"/>
      <c r="BV1434" s="8" t="e">
        <v>#VALUE!</v>
      </c>
      <c r="BW1434" s="58" t="e">
        <f>VLOOKUP(AQ1434,'[1]Harga &amp; Nama CSO'!$A$28:$D$31,4,0)*BQ1434</f>
        <v>#N/A</v>
      </c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44">
        <f>IFERROR(VLOOKUP(AQ1436,'[2]Harga &amp; Nama CSO'!$A$116:$S$136,19,FALSE),0)*AV1436</f>
        <v>0</v>
      </c>
      <c r="BO1435" s="55" t="e">
        <f>IFERROR(VLOOKUP(AQ1435,'[1]Harga &amp; Nama CSO'!$H$2:$N$22,2,FALSE),"")*AV1435</f>
        <v>#VALUE!</v>
      </c>
      <c r="BP1435" s="40"/>
      <c r="BQ1435" s="4"/>
      <c r="BR1435" s="61"/>
      <c r="BS1435" s="4"/>
      <c r="BT1435" s="57" t="e">
        <f t="shared" si="56"/>
        <v>#VALUE!</v>
      </c>
      <c r="BU1435" s="62"/>
      <c r="BV1435" s="8" t="e">
        <v>#VALUE!</v>
      </c>
      <c r="BW1435" s="58" t="e">
        <f>VLOOKUP(AQ1435,'[1]Harga &amp; Nama CSO'!$A$28:$D$31,4,0)*BQ1435</f>
        <v>#N/A</v>
      </c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44">
        <f>IFERROR(VLOOKUP(AQ1437,'[2]Harga &amp; Nama CSO'!$A$116:$S$136,19,FALSE),0)*AV1437</f>
        <v>0</v>
      </c>
      <c r="BO1436" s="55" t="e">
        <f>IFERROR(VLOOKUP(AQ1436,'[1]Harga &amp; Nama CSO'!$H$2:$N$22,2,FALSE),"")*AV1436</f>
        <v>#VALUE!</v>
      </c>
      <c r="BP1436" s="40"/>
      <c r="BQ1436" s="4"/>
      <c r="BR1436" s="61"/>
      <c r="BS1436" s="4"/>
      <c r="BT1436" s="57" t="e">
        <f t="shared" si="56"/>
        <v>#VALUE!</v>
      </c>
      <c r="BU1436" s="62"/>
      <c r="BV1436" s="8" t="e">
        <v>#VALUE!</v>
      </c>
      <c r="BW1436" s="58" t="e">
        <f>VLOOKUP(AQ1436,'[1]Harga &amp; Nama CSO'!$A$28:$D$31,4,0)*BQ1436</f>
        <v>#N/A</v>
      </c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44">
        <f>IFERROR(VLOOKUP(AQ1438,'[2]Harga &amp; Nama CSO'!$A$116:$S$136,19,FALSE),0)*AV1438</f>
        <v>0</v>
      </c>
      <c r="BO1437" s="55" t="e">
        <f>IFERROR(VLOOKUP(AQ1437,'[1]Harga &amp; Nama CSO'!$H$2:$N$22,2,FALSE),"")*AV1437</f>
        <v>#VALUE!</v>
      </c>
      <c r="BP1437" s="40"/>
      <c r="BQ1437" s="4"/>
      <c r="BR1437" s="61"/>
      <c r="BS1437" s="4"/>
      <c r="BT1437" s="57" t="e">
        <f t="shared" si="56"/>
        <v>#VALUE!</v>
      </c>
      <c r="BU1437" s="62"/>
      <c r="BV1437" s="8" t="e">
        <v>#VALUE!</v>
      </c>
      <c r="BW1437" s="58" t="e">
        <f>VLOOKUP(AQ1437,'[1]Harga &amp; Nama CSO'!$A$28:$D$31,4,0)*BQ1437</f>
        <v>#N/A</v>
      </c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44">
        <f>IFERROR(VLOOKUP(AQ1439,'[2]Harga &amp; Nama CSO'!$A$116:$S$136,19,FALSE),0)*AV1439</f>
        <v>0</v>
      </c>
      <c r="BO1438" s="55" t="e">
        <f>IFERROR(VLOOKUP(AQ1438,'[1]Harga &amp; Nama CSO'!$H$2:$N$22,2,FALSE),"")*AV1438</f>
        <v>#VALUE!</v>
      </c>
      <c r="BP1438" s="40"/>
      <c r="BQ1438" s="4"/>
      <c r="BR1438" s="61"/>
      <c r="BS1438" s="4"/>
      <c r="BT1438" s="57" t="e">
        <f t="shared" si="56"/>
        <v>#VALUE!</v>
      </c>
      <c r="BU1438" s="62"/>
      <c r="BV1438" s="8" t="e">
        <v>#VALUE!</v>
      </c>
      <c r="BW1438" s="58" t="e">
        <f>VLOOKUP(AQ1438,'[1]Harga &amp; Nama CSO'!$A$28:$D$31,4,0)*BQ1438</f>
        <v>#N/A</v>
      </c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44">
        <f>IFERROR(VLOOKUP(AQ1440,'[2]Harga &amp; Nama CSO'!$A$116:$S$136,19,FALSE),0)*AV1440</f>
        <v>0</v>
      </c>
      <c r="BO1439" s="55" t="e">
        <f>IFERROR(VLOOKUP(AQ1439,'[1]Harga &amp; Nama CSO'!$H$2:$N$22,2,FALSE),"")*AV1439</f>
        <v>#VALUE!</v>
      </c>
      <c r="BP1439" s="40"/>
      <c r="BQ1439" s="4"/>
      <c r="BR1439" s="61"/>
      <c r="BS1439" s="4"/>
      <c r="BT1439" s="57" t="e">
        <f t="shared" si="56"/>
        <v>#VALUE!</v>
      </c>
      <c r="BU1439" s="62"/>
      <c r="BV1439" s="8" t="e">
        <v>#VALUE!</v>
      </c>
      <c r="BW1439" s="58" t="e">
        <f>VLOOKUP(AQ1439,'[1]Harga &amp; Nama CSO'!$A$28:$D$31,4,0)*BQ1439</f>
        <v>#N/A</v>
      </c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44">
        <f>IFERROR(VLOOKUP(AQ1441,'[2]Harga &amp; Nama CSO'!$A$116:$S$136,19,FALSE),0)*AV1441</f>
        <v>0</v>
      </c>
      <c r="BO1440" s="55" t="e">
        <f>IFERROR(VLOOKUP(AQ1440,'[1]Harga &amp; Nama CSO'!$H$2:$N$22,2,FALSE),"")*AV1440</f>
        <v>#VALUE!</v>
      </c>
      <c r="BP1440" s="40"/>
      <c r="BQ1440" s="4"/>
      <c r="BR1440" s="61"/>
      <c r="BS1440" s="4"/>
      <c r="BT1440" s="57" t="e">
        <f t="shared" si="56"/>
        <v>#VALUE!</v>
      </c>
      <c r="BU1440" s="62"/>
      <c r="BV1440" s="8" t="e">
        <v>#VALUE!</v>
      </c>
      <c r="BW1440" s="58" t="e">
        <f>VLOOKUP(AQ1440,'[1]Harga &amp; Nama CSO'!$A$28:$D$31,4,0)*BQ1440</f>
        <v>#N/A</v>
      </c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44">
        <f>IFERROR(VLOOKUP(AQ1442,'[2]Harga &amp; Nama CSO'!$A$116:$S$136,19,FALSE),0)*AV1442</f>
        <v>0</v>
      </c>
      <c r="BO1441" s="55" t="e">
        <f>IFERROR(VLOOKUP(AQ1441,'[1]Harga &amp; Nama CSO'!$H$2:$N$22,2,FALSE),"")*AV1441</f>
        <v>#VALUE!</v>
      </c>
      <c r="BP1441" s="40"/>
      <c r="BQ1441" s="4"/>
      <c r="BR1441" s="61"/>
      <c r="BS1441" s="4"/>
      <c r="BT1441" s="57" t="e">
        <f t="shared" si="56"/>
        <v>#VALUE!</v>
      </c>
      <c r="BU1441" s="62"/>
      <c r="BV1441" s="8" t="e">
        <v>#VALUE!</v>
      </c>
      <c r="BW1441" s="58" t="e">
        <f>VLOOKUP(AQ1441,'[1]Harga &amp; Nama CSO'!$A$28:$D$31,4,0)*BQ1441</f>
        <v>#N/A</v>
      </c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44">
        <f>IFERROR(VLOOKUP(AQ1443,'[2]Harga &amp; Nama CSO'!$A$116:$S$136,19,FALSE),0)*AV1443</f>
        <v>0</v>
      </c>
      <c r="BO1442" s="55" t="e">
        <f>IFERROR(VLOOKUP(AQ1442,'[1]Harga &amp; Nama CSO'!$H$2:$N$22,2,FALSE),"")*AV1442</f>
        <v>#VALUE!</v>
      </c>
      <c r="BP1442" s="40"/>
      <c r="BQ1442" s="4"/>
      <c r="BR1442" s="61"/>
      <c r="BS1442" s="4"/>
      <c r="BT1442" s="57" t="e">
        <f t="shared" si="56"/>
        <v>#VALUE!</v>
      </c>
      <c r="BU1442" s="62"/>
      <c r="BV1442" s="8" t="e">
        <v>#VALUE!</v>
      </c>
      <c r="BW1442" s="58" t="e">
        <f>VLOOKUP(AQ1442,'[1]Harga &amp; Nama CSO'!$A$28:$D$31,4,0)*BQ1442</f>
        <v>#N/A</v>
      </c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44">
        <f>IFERROR(VLOOKUP(AQ1444,'[2]Harga &amp; Nama CSO'!$A$116:$S$136,19,FALSE),0)*AV1444</f>
        <v>0</v>
      </c>
      <c r="BO1443" s="55" t="e">
        <f>IFERROR(VLOOKUP(AQ1443,'[1]Harga &amp; Nama CSO'!$H$2:$N$22,2,FALSE),"")*AV1443</f>
        <v>#VALUE!</v>
      </c>
      <c r="BP1443" s="40"/>
      <c r="BQ1443" s="4"/>
      <c r="BR1443" s="61"/>
      <c r="BS1443" s="4"/>
      <c r="BT1443" s="57" t="e">
        <f t="shared" si="56"/>
        <v>#VALUE!</v>
      </c>
      <c r="BU1443" s="62"/>
      <c r="BV1443" s="8" t="e">
        <v>#VALUE!</v>
      </c>
      <c r="BW1443" s="58" t="e">
        <f>VLOOKUP(AQ1443,'[1]Harga &amp; Nama CSO'!$A$28:$D$31,4,0)*BQ1443</f>
        <v>#N/A</v>
      </c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44">
        <f>IFERROR(VLOOKUP(AQ1445,'[2]Harga &amp; Nama CSO'!$A$116:$S$136,19,FALSE),0)*AV1445</f>
        <v>0</v>
      </c>
      <c r="BO1444" s="55" t="e">
        <f>IFERROR(VLOOKUP(AQ1444,'[1]Harga &amp; Nama CSO'!$H$2:$N$22,2,FALSE),"")*AV1444</f>
        <v>#VALUE!</v>
      </c>
      <c r="BP1444" s="40"/>
      <c r="BQ1444" s="4"/>
      <c r="BR1444" s="61"/>
      <c r="BS1444" s="4"/>
      <c r="BT1444" s="57" t="e">
        <f t="shared" si="56"/>
        <v>#VALUE!</v>
      </c>
      <c r="BU1444" s="62"/>
      <c r="BV1444" s="8" t="e">
        <v>#VALUE!</v>
      </c>
      <c r="BW1444" s="58" t="e">
        <f>VLOOKUP(AQ1444,'[1]Harga &amp; Nama CSO'!$A$28:$D$31,4,0)*BQ1444</f>
        <v>#N/A</v>
      </c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44">
        <f>IFERROR(VLOOKUP(AQ1446,'[2]Harga &amp; Nama CSO'!$A$116:$S$136,19,FALSE),0)*AV1446</f>
        <v>0</v>
      </c>
      <c r="BO1445" s="55" t="e">
        <f>IFERROR(VLOOKUP(AQ1445,'[1]Harga &amp; Nama CSO'!$H$2:$N$22,2,FALSE),"")*AV1445</f>
        <v>#VALUE!</v>
      </c>
      <c r="BP1445" s="40"/>
      <c r="BQ1445" s="4"/>
      <c r="BR1445" s="61"/>
      <c r="BS1445" s="4"/>
      <c r="BT1445" s="57" t="e">
        <f t="shared" si="56"/>
        <v>#VALUE!</v>
      </c>
      <c r="BU1445" s="62"/>
      <c r="BV1445" s="8" t="e">
        <v>#VALUE!</v>
      </c>
      <c r="BW1445" s="58" t="e">
        <f>VLOOKUP(AQ1445,'[1]Harga &amp; Nama CSO'!$A$28:$D$31,4,0)*BQ1445</f>
        <v>#N/A</v>
      </c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44">
        <f>IFERROR(VLOOKUP(AQ1447,'[2]Harga &amp; Nama CSO'!$A$116:$S$136,19,FALSE),0)*AV1447</f>
        <v>0</v>
      </c>
      <c r="BO1446" s="55" t="e">
        <f>IFERROR(VLOOKUP(AQ1446,'[1]Harga &amp; Nama CSO'!$H$2:$N$22,2,FALSE),"")*AV1446</f>
        <v>#VALUE!</v>
      </c>
      <c r="BP1446" s="40"/>
      <c r="BQ1446" s="4"/>
      <c r="BR1446" s="61"/>
      <c r="BS1446" s="4"/>
      <c r="BT1446" s="57" t="e">
        <f t="shared" si="56"/>
        <v>#VALUE!</v>
      </c>
      <c r="BU1446" s="62"/>
      <c r="BV1446" s="8" t="e">
        <v>#VALUE!</v>
      </c>
      <c r="BW1446" s="58" t="e">
        <f>VLOOKUP(AQ1446,'[1]Harga &amp; Nama CSO'!$A$28:$D$31,4,0)*BQ1446</f>
        <v>#N/A</v>
      </c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44">
        <f>IFERROR(VLOOKUP(AQ1448,'[2]Harga &amp; Nama CSO'!$A$116:$S$136,19,FALSE),0)*AV1448</f>
        <v>0</v>
      </c>
      <c r="BO1447" s="55" t="e">
        <f>IFERROR(VLOOKUP(AQ1447,'[1]Harga &amp; Nama CSO'!$H$2:$N$22,2,FALSE),"")*AV1447</f>
        <v>#VALUE!</v>
      </c>
      <c r="BP1447" s="40"/>
      <c r="BQ1447" s="4"/>
      <c r="BR1447" s="61"/>
      <c r="BS1447" s="4"/>
      <c r="BT1447" s="57" t="e">
        <f t="shared" si="56"/>
        <v>#VALUE!</v>
      </c>
      <c r="BU1447" s="62"/>
      <c r="BV1447" s="8" t="e">
        <v>#VALUE!</v>
      </c>
      <c r="BW1447" s="58" t="e">
        <f>VLOOKUP(AQ1447,'[1]Harga &amp; Nama CSO'!$A$28:$D$31,4,0)*BQ1447</f>
        <v>#N/A</v>
      </c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44">
        <f>IFERROR(VLOOKUP(AQ1449,'[2]Harga &amp; Nama CSO'!$A$116:$S$136,19,FALSE),0)*AV1449</f>
        <v>0</v>
      </c>
      <c r="BO1448" s="55" t="e">
        <f>IFERROR(VLOOKUP(AQ1448,'[1]Harga &amp; Nama CSO'!$H$2:$N$22,2,FALSE),"")*AV1448</f>
        <v>#VALUE!</v>
      </c>
      <c r="BP1448" s="40"/>
      <c r="BQ1448" s="4"/>
      <c r="BR1448" s="61"/>
      <c r="BS1448" s="4"/>
      <c r="BT1448" s="57" t="e">
        <f t="shared" si="56"/>
        <v>#VALUE!</v>
      </c>
      <c r="BU1448" s="62"/>
      <c r="BV1448" s="8" t="e">
        <v>#VALUE!</v>
      </c>
      <c r="BW1448" s="58" t="e">
        <f>VLOOKUP(AQ1448,'[1]Harga &amp; Nama CSO'!$A$28:$D$31,4,0)*BQ1448</f>
        <v>#N/A</v>
      </c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44">
        <f>IFERROR(VLOOKUP(AQ1450,'[2]Harga &amp; Nama CSO'!$A$116:$S$136,19,FALSE),0)*AV1450</f>
        <v>0</v>
      </c>
      <c r="BO1449" s="55" t="e">
        <f>IFERROR(VLOOKUP(AQ1449,'[1]Harga &amp; Nama CSO'!$H$2:$N$22,2,FALSE),"")*AV1449</f>
        <v>#VALUE!</v>
      </c>
      <c r="BP1449" s="40"/>
      <c r="BQ1449" s="4"/>
      <c r="BR1449" s="61"/>
      <c r="BS1449" s="4"/>
      <c r="BT1449" s="57" t="e">
        <f t="shared" si="56"/>
        <v>#VALUE!</v>
      </c>
      <c r="BU1449" s="62"/>
      <c r="BV1449" s="8" t="e">
        <v>#VALUE!</v>
      </c>
      <c r="BW1449" s="58" t="e">
        <f>VLOOKUP(AQ1449,'[1]Harga &amp; Nama CSO'!$A$28:$D$31,4,0)*BQ1449</f>
        <v>#N/A</v>
      </c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44">
        <f>IFERROR(VLOOKUP(AQ1451,'[2]Harga &amp; Nama CSO'!$A$116:$S$136,19,FALSE),0)*AV1451</f>
        <v>0</v>
      </c>
      <c r="BO1450" s="55" t="e">
        <f>IFERROR(VLOOKUP(AQ1450,'[1]Harga &amp; Nama CSO'!$H$2:$N$22,2,FALSE),"")*AV1450</f>
        <v>#VALUE!</v>
      </c>
      <c r="BP1450" s="40"/>
      <c r="BQ1450" s="4"/>
      <c r="BR1450" s="61"/>
      <c r="BS1450" s="4"/>
      <c r="BT1450" s="57" t="e">
        <f t="shared" si="56"/>
        <v>#VALUE!</v>
      </c>
      <c r="BU1450" s="62"/>
      <c r="BV1450" s="8" t="e">
        <v>#VALUE!</v>
      </c>
      <c r="BW1450" s="58" t="e">
        <f>VLOOKUP(AQ1450,'[1]Harga &amp; Nama CSO'!$A$28:$D$31,4,0)*BQ1450</f>
        <v>#N/A</v>
      </c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44">
        <f>IFERROR(VLOOKUP(AQ1452,'[2]Harga &amp; Nama CSO'!$A$116:$S$136,19,FALSE),0)*AV1452</f>
        <v>0</v>
      </c>
      <c r="BO1451" s="55" t="e">
        <f>IFERROR(VLOOKUP(AQ1451,'[1]Harga &amp; Nama CSO'!$H$2:$N$22,2,FALSE),"")*AV1451</f>
        <v>#VALUE!</v>
      </c>
      <c r="BP1451" s="40"/>
      <c r="BQ1451" s="4"/>
      <c r="BR1451" s="61"/>
      <c r="BS1451" s="4"/>
      <c r="BT1451" s="57" t="e">
        <f t="shared" si="56"/>
        <v>#VALUE!</v>
      </c>
      <c r="BU1451" s="62"/>
      <c r="BV1451" s="8" t="e">
        <v>#VALUE!</v>
      </c>
      <c r="BW1451" s="58" t="e">
        <f>VLOOKUP(AQ1451,'[1]Harga &amp; Nama CSO'!$A$28:$D$31,4,0)*BQ1451</f>
        <v>#N/A</v>
      </c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44">
        <f>IFERROR(VLOOKUP(AQ1453,'[2]Harga &amp; Nama CSO'!$A$116:$S$136,19,FALSE),0)*AV1453</f>
        <v>0</v>
      </c>
      <c r="BO1452" s="55" t="e">
        <f>IFERROR(VLOOKUP(AQ1452,'[1]Harga &amp; Nama CSO'!$H$2:$N$22,2,FALSE),"")*AV1452</f>
        <v>#VALUE!</v>
      </c>
      <c r="BP1452" s="40"/>
      <c r="BQ1452" s="4"/>
      <c r="BR1452" s="61"/>
      <c r="BS1452" s="4"/>
      <c r="BT1452" s="57" t="e">
        <f t="shared" si="56"/>
        <v>#VALUE!</v>
      </c>
      <c r="BU1452" s="62"/>
      <c r="BV1452" s="8" t="e">
        <v>#VALUE!</v>
      </c>
      <c r="BW1452" s="58" t="e">
        <f>VLOOKUP(AQ1452,'[1]Harga &amp; Nama CSO'!$A$28:$D$31,4,0)*BQ1452</f>
        <v>#N/A</v>
      </c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44">
        <f>IFERROR(VLOOKUP(AQ1454,'[2]Harga &amp; Nama CSO'!$A$116:$S$136,19,FALSE),0)*AV1454</f>
        <v>0</v>
      </c>
      <c r="BO1453" s="55" t="e">
        <f>IFERROR(VLOOKUP(AQ1453,'[1]Harga &amp; Nama CSO'!$H$2:$N$22,2,FALSE),"")*AV1453</f>
        <v>#VALUE!</v>
      </c>
      <c r="BP1453" s="40"/>
      <c r="BQ1453" s="4"/>
      <c r="BR1453" s="61"/>
      <c r="BS1453" s="4"/>
      <c r="BT1453" s="57" t="e">
        <f t="shared" si="56"/>
        <v>#VALUE!</v>
      </c>
      <c r="BU1453" s="62"/>
      <c r="BV1453" s="8" t="e">
        <v>#VALUE!</v>
      </c>
      <c r="BW1453" s="58" t="e">
        <f>VLOOKUP(AQ1453,'[1]Harga &amp; Nama CSO'!$A$28:$D$31,4,0)*BQ1453</f>
        <v>#N/A</v>
      </c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44">
        <f>IFERROR(VLOOKUP(AQ1455,'[2]Harga &amp; Nama CSO'!$A$116:$S$136,19,FALSE),0)*AV1455</f>
        <v>0</v>
      </c>
      <c r="BO1454" s="55" t="e">
        <f>IFERROR(VLOOKUP(AQ1454,'[1]Harga &amp; Nama CSO'!$H$2:$N$22,2,FALSE),"")*AV1454</f>
        <v>#VALUE!</v>
      </c>
      <c r="BP1454" s="40"/>
      <c r="BQ1454" s="4"/>
      <c r="BR1454" s="61"/>
      <c r="BS1454" s="4"/>
      <c r="BT1454" s="57" t="e">
        <f t="shared" si="56"/>
        <v>#VALUE!</v>
      </c>
      <c r="BU1454" s="62"/>
      <c r="BV1454" s="8" t="e">
        <v>#VALUE!</v>
      </c>
      <c r="BW1454" s="58" t="e">
        <f>VLOOKUP(AQ1454,'[1]Harga &amp; Nama CSO'!$A$28:$D$31,4,0)*BQ1454</f>
        <v>#N/A</v>
      </c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44">
        <f>IFERROR(VLOOKUP(AQ1456,'[2]Harga &amp; Nama CSO'!$A$116:$S$136,19,FALSE),0)*AV1456</f>
        <v>0</v>
      </c>
      <c r="BO1455" s="55" t="e">
        <f>IFERROR(VLOOKUP(AQ1455,'[1]Harga &amp; Nama CSO'!$H$2:$N$22,2,FALSE),"")*AV1455</f>
        <v>#VALUE!</v>
      </c>
      <c r="BP1455" s="40"/>
      <c r="BQ1455" s="4"/>
      <c r="BR1455" s="61"/>
      <c r="BS1455" s="4"/>
      <c r="BT1455" s="57" t="e">
        <f t="shared" si="56"/>
        <v>#VALUE!</v>
      </c>
      <c r="BU1455" s="62"/>
      <c r="BV1455" s="8" t="e">
        <v>#VALUE!</v>
      </c>
      <c r="BW1455" s="58" t="e">
        <f>VLOOKUP(AQ1455,'[1]Harga &amp; Nama CSO'!$A$28:$D$31,4,0)*BQ1455</f>
        <v>#N/A</v>
      </c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44">
        <f>IFERROR(VLOOKUP(AQ1457,'[2]Harga &amp; Nama CSO'!$A$116:$S$136,19,FALSE),0)*AV1457</f>
        <v>0</v>
      </c>
      <c r="BO1456" s="55" t="e">
        <f>IFERROR(VLOOKUP(AQ1456,'[1]Harga &amp; Nama CSO'!$H$2:$N$22,2,FALSE),"")*AV1456</f>
        <v>#VALUE!</v>
      </c>
      <c r="BP1456" s="40"/>
      <c r="BQ1456" s="4"/>
      <c r="BR1456" s="61"/>
      <c r="BS1456" s="4"/>
      <c r="BT1456" s="57" t="e">
        <f t="shared" si="56"/>
        <v>#VALUE!</v>
      </c>
      <c r="BU1456" s="62"/>
      <c r="BV1456" s="8" t="e">
        <v>#VALUE!</v>
      </c>
      <c r="BW1456" s="58" t="e">
        <f>VLOOKUP(AQ1456,'[1]Harga &amp; Nama CSO'!$A$28:$D$31,4,0)*BQ1456</f>
        <v>#N/A</v>
      </c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44">
        <f>IFERROR(VLOOKUP(AQ1458,'[2]Harga &amp; Nama CSO'!$A$116:$S$136,19,FALSE),0)*AV1458</f>
        <v>0</v>
      </c>
      <c r="BO1457" s="55" t="e">
        <f>IFERROR(VLOOKUP(AQ1457,'[1]Harga &amp; Nama CSO'!$H$2:$N$22,2,FALSE),"")*AV1457</f>
        <v>#VALUE!</v>
      </c>
      <c r="BP1457" s="40"/>
      <c r="BQ1457" s="4"/>
      <c r="BR1457" s="61"/>
      <c r="BS1457" s="4"/>
      <c r="BT1457" s="57" t="e">
        <f t="shared" si="56"/>
        <v>#VALUE!</v>
      </c>
      <c r="BU1457" s="62"/>
      <c r="BV1457" s="8" t="e">
        <v>#VALUE!</v>
      </c>
      <c r="BW1457" s="58" t="e">
        <f>VLOOKUP(AQ1457,'[1]Harga &amp; Nama CSO'!$A$28:$D$31,4,0)*BQ1457</f>
        <v>#N/A</v>
      </c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44">
        <f>IFERROR(VLOOKUP(AQ1459,'[2]Harga &amp; Nama CSO'!$A$116:$S$136,19,FALSE),0)*AV1459</f>
        <v>0</v>
      </c>
      <c r="BO1458" s="55" t="e">
        <f>IFERROR(VLOOKUP(AQ1458,'[1]Harga &amp; Nama CSO'!$H$2:$N$22,2,FALSE),"")*AV1458</f>
        <v>#VALUE!</v>
      </c>
      <c r="BP1458" s="40"/>
      <c r="BQ1458" s="4"/>
      <c r="BR1458" s="61"/>
      <c r="BS1458" s="4"/>
      <c r="BT1458" s="57" t="e">
        <f t="shared" si="56"/>
        <v>#VALUE!</v>
      </c>
      <c r="BU1458" s="62"/>
      <c r="BV1458" s="8" t="e">
        <v>#VALUE!</v>
      </c>
      <c r="BW1458" s="58" t="e">
        <f>VLOOKUP(AQ1458,'[1]Harga &amp; Nama CSO'!$A$28:$D$31,4,0)*BQ1458</f>
        <v>#N/A</v>
      </c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44">
        <f>IFERROR(VLOOKUP(AQ1460,'[2]Harga &amp; Nama CSO'!$A$116:$S$136,19,FALSE),0)*AV1460</f>
        <v>0</v>
      </c>
      <c r="BO1459" s="55" t="e">
        <f>IFERROR(VLOOKUP(AQ1459,'[1]Harga &amp; Nama CSO'!$H$2:$N$22,2,FALSE),"")*AV1459</f>
        <v>#VALUE!</v>
      </c>
      <c r="BP1459" s="40"/>
      <c r="BQ1459" s="4"/>
      <c r="BR1459" s="61"/>
      <c r="BS1459" s="4"/>
      <c r="BT1459" s="57" t="e">
        <f t="shared" si="56"/>
        <v>#VALUE!</v>
      </c>
      <c r="BU1459" s="62"/>
      <c r="BV1459" s="8" t="e">
        <v>#VALUE!</v>
      </c>
      <c r="BW1459" s="58" t="e">
        <f>VLOOKUP(AQ1459,'[1]Harga &amp; Nama CSO'!$A$28:$D$31,4,0)*BQ1459</f>
        <v>#N/A</v>
      </c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44">
        <f>IFERROR(VLOOKUP(AQ1461,'[2]Harga &amp; Nama CSO'!$A$116:$S$136,19,FALSE),0)*AV1461</f>
        <v>0</v>
      </c>
      <c r="BO1460" s="55" t="e">
        <f>IFERROR(VLOOKUP(AQ1460,'[1]Harga &amp; Nama CSO'!$H$2:$N$22,2,FALSE),"")*AV1460</f>
        <v>#VALUE!</v>
      </c>
      <c r="BP1460" s="40"/>
      <c r="BQ1460" s="4"/>
      <c r="BR1460" s="61"/>
      <c r="BS1460" s="4"/>
      <c r="BT1460" s="57" t="e">
        <f t="shared" si="56"/>
        <v>#VALUE!</v>
      </c>
      <c r="BU1460" s="62"/>
      <c r="BV1460" s="8" t="e">
        <v>#VALUE!</v>
      </c>
      <c r="BW1460" s="58" t="e">
        <f>VLOOKUP(AQ1460,'[1]Harga &amp; Nama CSO'!$A$28:$D$31,4,0)*BQ1460</f>
        <v>#N/A</v>
      </c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44">
        <f>IFERROR(VLOOKUP(AQ1462,'[2]Harga &amp; Nama CSO'!$A$116:$S$136,19,FALSE),0)*AV1462</f>
        <v>0</v>
      </c>
      <c r="BO1461" s="55" t="e">
        <f>IFERROR(VLOOKUP(AQ1461,'[1]Harga &amp; Nama CSO'!$H$2:$N$22,2,FALSE),"")*AV1461</f>
        <v>#VALUE!</v>
      </c>
      <c r="BP1461" s="40"/>
      <c r="BQ1461" s="4"/>
      <c r="BR1461" s="61"/>
      <c r="BS1461" s="4"/>
      <c r="BT1461" s="57" t="e">
        <f t="shared" si="56"/>
        <v>#VALUE!</v>
      </c>
      <c r="BU1461" s="62"/>
      <c r="BV1461" s="8" t="e">
        <v>#VALUE!</v>
      </c>
      <c r="BW1461" s="58" t="e">
        <f>VLOOKUP(AQ1461,'[1]Harga &amp; Nama CSO'!$A$28:$D$31,4,0)*BQ1461</f>
        <v>#N/A</v>
      </c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44">
        <f>IFERROR(VLOOKUP(AQ1463,'[2]Harga &amp; Nama CSO'!$A$116:$S$136,19,FALSE),0)*AV1463</f>
        <v>0</v>
      </c>
      <c r="BO1462" s="55" t="e">
        <f>IFERROR(VLOOKUP(AQ1462,'[1]Harga &amp; Nama CSO'!$H$2:$N$22,2,FALSE),"")*AV1462</f>
        <v>#VALUE!</v>
      </c>
      <c r="BP1462" s="40"/>
      <c r="BQ1462" s="4"/>
      <c r="BR1462" s="61"/>
      <c r="BS1462" s="4"/>
      <c r="BT1462" s="57" t="e">
        <f t="shared" si="56"/>
        <v>#VALUE!</v>
      </c>
      <c r="BU1462" s="62"/>
      <c r="BV1462" s="8" t="e">
        <v>#VALUE!</v>
      </c>
      <c r="BW1462" s="58" t="e">
        <f>VLOOKUP(AQ1462,'[1]Harga &amp; Nama CSO'!$A$28:$D$31,4,0)*BQ1462</f>
        <v>#N/A</v>
      </c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44">
        <f>IFERROR(VLOOKUP(AQ1464,'[2]Harga &amp; Nama CSO'!$A$116:$S$136,19,FALSE),0)*AV1464</f>
        <v>0</v>
      </c>
      <c r="BO1463" s="55" t="e">
        <f>IFERROR(VLOOKUP(AQ1463,'[1]Harga &amp; Nama CSO'!$H$2:$N$22,2,FALSE),"")*AV1463</f>
        <v>#VALUE!</v>
      </c>
      <c r="BP1463" s="40"/>
      <c r="BQ1463" s="4"/>
      <c r="BR1463" s="61"/>
      <c r="BS1463" s="4"/>
      <c r="BT1463" s="57" t="e">
        <f t="shared" si="56"/>
        <v>#VALUE!</v>
      </c>
      <c r="BU1463" s="62"/>
      <c r="BV1463" s="8" t="e">
        <v>#VALUE!</v>
      </c>
      <c r="BW1463" s="58" t="e">
        <f>VLOOKUP(AQ1463,'[1]Harga &amp; Nama CSO'!$A$28:$D$31,4,0)*BQ1463</f>
        <v>#N/A</v>
      </c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44">
        <f>IFERROR(VLOOKUP(AQ1465,'[2]Harga &amp; Nama CSO'!$A$116:$S$136,19,FALSE),0)*AV1465</f>
        <v>0</v>
      </c>
      <c r="BO1464" s="55" t="e">
        <f>IFERROR(VLOOKUP(AQ1464,'[1]Harga &amp; Nama CSO'!$H$2:$N$22,2,FALSE),"")*AV1464</f>
        <v>#VALUE!</v>
      </c>
      <c r="BP1464" s="40"/>
      <c r="BQ1464" s="4"/>
      <c r="BR1464" s="61"/>
      <c r="BS1464" s="4"/>
      <c r="BT1464" s="57" t="e">
        <f t="shared" si="56"/>
        <v>#VALUE!</v>
      </c>
      <c r="BU1464" s="62"/>
      <c r="BV1464" s="8" t="e">
        <v>#VALUE!</v>
      </c>
      <c r="BW1464" s="58" t="e">
        <f>VLOOKUP(AQ1464,'[1]Harga &amp; Nama CSO'!$A$28:$D$31,4,0)*BQ1464</f>
        <v>#N/A</v>
      </c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44">
        <f>IFERROR(VLOOKUP(AQ1466,'[2]Harga &amp; Nama CSO'!$A$116:$S$136,19,FALSE),0)*AV1466</f>
        <v>0</v>
      </c>
      <c r="BO1465" s="55" t="e">
        <f>IFERROR(VLOOKUP(AQ1465,'[1]Harga &amp; Nama CSO'!$H$2:$N$22,2,FALSE),"")*AV1465</f>
        <v>#VALUE!</v>
      </c>
      <c r="BP1465" s="40"/>
      <c r="BQ1465" s="4"/>
      <c r="BR1465" s="61"/>
      <c r="BS1465" s="4"/>
      <c r="BT1465" s="57" t="e">
        <f t="shared" si="56"/>
        <v>#VALUE!</v>
      </c>
      <c r="BU1465" s="62"/>
      <c r="BV1465" s="8" t="e">
        <v>#VALUE!</v>
      </c>
      <c r="BW1465" s="58" t="e">
        <f>VLOOKUP(AQ1465,'[1]Harga &amp; Nama CSO'!$A$28:$D$31,4,0)*BQ1465</f>
        <v>#N/A</v>
      </c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44">
        <f>IFERROR(VLOOKUP(AQ1467,'[2]Harga &amp; Nama CSO'!$A$116:$S$136,19,FALSE),0)*AV1467</f>
        <v>0</v>
      </c>
      <c r="BO1466" s="55" t="e">
        <f>IFERROR(VLOOKUP(AQ1466,'[1]Harga &amp; Nama CSO'!$H$2:$N$22,2,FALSE),"")*AV1466</f>
        <v>#VALUE!</v>
      </c>
      <c r="BP1466" s="40"/>
      <c r="BQ1466" s="4"/>
      <c r="BR1466" s="61"/>
      <c r="BS1466" s="4"/>
      <c r="BT1466" s="57" t="e">
        <f t="shared" si="56"/>
        <v>#VALUE!</v>
      </c>
      <c r="BU1466" s="62"/>
      <c r="BV1466" s="8" t="e">
        <v>#VALUE!</v>
      </c>
      <c r="BW1466" s="58" t="e">
        <f>VLOOKUP(AQ1466,'[1]Harga &amp; Nama CSO'!$A$28:$D$31,4,0)*BQ1466</f>
        <v>#N/A</v>
      </c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44">
        <f>IFERROR(VLOOKUP(AQ1468,'[2]Harga &amp; Nama CSO'!$A$116:$S$136,19,FALSE),0)*AV1468</f>
        <v>0</v>
      </c>
      <c r="BO1467" s="55" t="e">
        <f>IFERROR(VLOOKUP(AQ1467,'[1]Harga &amp; Nama CSO'!$H$2:$N$22,2,FALSE),"")*AV1467</f>
        <v>#VALUE!</v>
      </c>
      <c r="BP1467" s="40"/>
      <c r="BQ1467" s="4"/>
      <c r="BR1467" s="61"/>
      <c r="BS1467" s="4"/>
      <c r="BT1467" s="57" t="e">
        <f t="shared" si="56"/>
        <v>#VALUE!</v>
      </c>
      <c r="BU1467" s="62"/>
      <c r="BV1467" s="8" t="e">
        <v>#VALUE!</v>
      </c>
      <c r="BW1467" s="58" t="e">
        <f>VLOOKUP(AQ1467,'[1]Harga &amp; Nama CSO'!$A$28:$D$31,4,0)*BQ1467</f>
        <v>#N/A</v>
      </c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44">
        <f>IFERROR(VLOOKUP(AQ1469,'[2]Harga &amp; Nama CSO'!$A$116:$S$136,19,FALSE),0)*AV1469</f>
        <v>0</v>
      </c>
      <c r="BO1468" s="55" t="e">
        <f>IFERROR(VLOOKUP(AQ1468,'[1]Harga &amp; Nama CSO'!$H$2:$N$22,2,FALSE),"")*AV1468</f>
        <v>#VALUE!</v>
      </c>
      <c r="BP1468" s="40"/>
      <c r="BQ1468" s="4"/>
      <c r="BR1468" s="61"/>
      <c r="BS1468" s="4"/>
      <c r="BT1468" s="57" t="e">
        <f t="shared" si="56"/>
        <v>#VALUE!</v>
      </c>
      <c r="BU1468" s="62"/>
      <c r="BV1468" s="8" t="e">
        <v>#VALUE!</v>
      </c>
      <c r="BW1468" s="58" t="e">
        <f>VLOOKUP(AQ1468,'[1]Harga &amp; Nama CSO'!$A$28:$D$31,4,0)*BQ1468</f>
        <v>#N/A</v>
      </c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44">
        <f>IFERROR(VLOOKUP(AQ1470,'[2]Harga &amp; Nama CSO'!$A$116:$S$136,19,FALSE),0)*AV1470</f>
        <v>0</v>
      </c>
      <c r="BO1469" s="55" t="e">
        <f>IFERROR(VLOOKUP(AQ1469,'[1]Harga &amp; Nama CSO'!$H$2:$N$22,2,FALSE),"")*AV1469</f>
        <v>#VALUE!</v>
      </c>
      <c r="BP1469" s="40"/>
      <c r="BQ1469" s="4"/>
      <c r="BR1469" s="61"/>
      <c r="BS1469" s="4"/>
      <c r="BT1469" s="57" t="e">
        <f t="shared" si="56"/>
        <v>#VALUE!</v>
      </c>
      <c r="BU1469" s="62"/>
      <c r="BV1469" s="8" t="e">
        <v>#VALUE!</v>
      </c>
      <c r="BW1469" s="58" t="e">
        <f>VLOOKUP(AQ1469,'[1]Harga &amp; Nama CSO'!$A$28:$D$31,4,0)*BQ1469</f>
        <v>#N/A</v>
      </c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44">
        <f>IFERROR(VLOOKUP(AQ1471,'[2]Harga &amp; Nama CSO'!$A$116:$S$136,19,FALSE),0)*AV1471</f>
        <v>0</v>
      </c>
      <c r="BO1470" s="55" t="e">
        <f>IFERROR(VLOOKUP(AQ1470,'[1]Harga &amp; Nama CSO'!$H$2:$N$22,2,FALSE),"")*AV1470</f>
        <v>#VALUE!</v>
      </c>
      <c r="BP1470" s="40"/>
      <c r="BQ1470" s="4"/>
      <c r="BR1470" s="61"/>
      <c r="BS1470" s="4"/>
      <c r="BT1470" s="57" t="e">
        <f t="shared" si="56"/>
        <v>#VALUE!</v>
      </c>
      <c r="BU1470" s="62"/>
      <c r="BV1470" s="8" t="e">
        <v>#VALUE!</v>
      </c>
      <c r="BW1470" s="58" t="e">
        <f>VLOOKUP(AQ1470,'[1]Harga &amp; Nama CSO'!$A$28:$D$31,4,0)*BQ1470</f>
        <v>#N/A</v>
      </c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44">
        <f>IFERROR(VLOOKUP(AQ1472,'[2]Harga &amp; Nama CSO'!$A$116:$S$136,19,FALSE),0)*AV1472</f>
        <v>0</v>
      </c>
      <c r="BO1471" s="55" t="e">
        <f>IFERROR(VLOOKUP(AQ1471,'[1]Harga &amp; Nama CSO'!$H$2:$N$22,2,FALSE),"")*AV1471</f>
        <v>#VALUE!</v>
      </c>
      <c r="BP1471" s="40"/>
      <c r="BQ1471" s="4"/>
      <c r="BR1471" s="61"/>
      <c r="BS1471" s="4"/>
      <c r="BT1471" s="57" t="e">
        <f t="shared" si="56"/>
        <v>#VALUE!</v>
      </c>
      <c r="BU1471" s="62"/>
      <c r="BV1471" s="8" t="e">
        <v>#VALUE!</v>
      </c>
      <c r="BW1471" s="58" t="e">
        <f>VLOOKUP(AQ1471,'[1]Harga &amp; Nama CSO'!$A$28:$D$31,4,0)*BQ1471</f>
        <v>#N/A</v>
      </c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44">
        <f>IFERROR(VLOOKUP(AQ1473,'[2]Harga &amp; Nama CSO'!$A$116:$S$136,19,FALSE),0)*AV1473</f>
        <v>0</v>
      </c>
      <c r="BO1472" s="55" t="e">
        <f>IFERROR(VLOOKUP(AQ1472,'[1]Harga &amp; Nama CSO'!$H$2:$N$22,2,FALSE),"")*AV1472</f>
        <v>#VALUE!</v>
      </c>
      <c r="BP1472" s="40"/>
      <c r="BQ1472" s="4"/>
      <c r="BR1472" s="61"/>
      <c r="BS1472" s="4"/>
      <c r="BT1472" s="57" t="e">
        <f t="shared" si="56"/>
        <v>#VALUE!</v>
      </c>
      <c r="BU1472" s="62"/>
      <c r="BV1472" s="8" t="e">
        <v>#VALUE!</v>
      </c>
      <c r="BW1472" s="58" t="e">
        <f>VLOOKUP(AQ1472,'[1]Harga &amp; Nama CSO'!$A$28:$D$31,4,0)*BQ1472</f>
        <v>#N/A</v>
      </c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44">
        <f>IFERROR(VLOOKUP(AQ1474,'[2]Harga &amp; Nama CSO'!$A$116:$S$136,19,FALSE),0)*AV1474</f>
        <v>0</v>
      </c>
      <c r="BO1473" s="55" t="e">
        <f>IFERROR(VLOOKUP(AQ1473,'[1]Harga &amp; Nama CSO'!$H$2:$N$22,2,FALSE),"")*AV1473</f>
        <v>#VALUE!</v>
      </c>
      <c r="BP1473" s="40"/>
      <c r="BQ1473" s="4"/>
      <c r="BR1473" s="61"/>
      <c r="BS1473" s="4"/>
      <c r="BT1473" s="57" t="e">
        <f t="shared" si="56"/>
        <v>#VALUE!</v>
      </c>
      <c r="BU1473" s="62"/>
      <c r="BV1473" s="8" t="e">
        <v>#VALUE!</v>
      </c>
      <c r="BW1473" s="58" t="e">
        <f>VLOOKUP(AQ1473,'[1]Harga &amp; Nama CSO'!$A$28:$D$31,4,0)*BQ1473</f>
        <v>#N/A</v>
      </c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44">
        <f>IFERROR(VLOOKUP(AQ1475,'[2]Harga &amp; Nama CSO'!$A$116:$S$136,19,FALSE),0)*AV1475</f>
        <v>0</v>
      </c>
      <c r="BO1474" s="55" t="e">
        <f>IFERROR(VLOOKUP(AQ1474,'[1]Harga &amp; Nama CSO'!$H$2:$N$22,2,FALSE),"")*AV1474</f>
        <v>#VALUE!</v>
      </c>
      <c r="BP1474" s="40"/>
      <c r="BQ1474" s="4"/>
      <c r="BR1474" s="61"/>
      <c r="BS1474" s="4"/>
      <c r="BT1474" s="57" t="e">
        <f t="shared" si="56"/>
        <v>#VALUE!</v>
      </c>
      <c r="BU1474" s="62"/>
      <c r="BV1474" s="8" t="e">
        <v>#VALUE!</v>
      </c>
      <c r="BW1474" s="58" t="e">
        <f>VLOOKUP(AQ1474,'[1]Harga &amp; Nama CSO'!$A$28:$D$31,4,0)*BQ1474</f>
        <v>#N/A</v>
      </c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44">
        <f>IFERROR(VLOOKUP(AQ1476,'[2]Harga &amp; Nama CSO'!$A$116:$S$136,19,FALSE),0)*AV1476</f>
        <v>0</v>
      </c>
      <c r="BO1475" s="55" t="e">
        <f>IFERROR(VLOOKUP(AQ1475,'[1]Harga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57">BO1475-BR1475</f>
        <v>#VALUE!</v>
      </c>
      <c r="BU1475" s="62"/>
      <c r="BV1475" s="8" t="e">
        <v>#VALUE!</v>
      </c>
      <c r="BW1475" s="58" t="e">
        <f>VLOOKUP(AQ1475,'[1]Harga &amp; Nama CSO'!$A$28:$D$31,4,0)*BQ1475</f>
        <v>#N/A</v>
      </c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44">
        <f>IFERROR(VLOOKUP(AQ1477,'[2]Harga &amp; Nama CSO'!$A$116:$S$136,19,FALSE),0)*AV1477</f>
        <v>0</v>
      </c>
      <c r="BO1476" s="55" t="e">
        <f>IFERROR(VLOOKUP(AQ1476,'[1]Harga &amp; Nama CSO'!$H$2:$N$22,2,FALSE),"")*AV1476</f>
        <v>#VALUE!</v>
      </c>
      <c r="BP1476" s="40"/>
      <c r="BQ1476" s="4"/>
      <c r="BR1476" s="61"/>
      <c r="BS1476" s="4"/>
      <c r="BT1476" s="57" t="e">
        <f t="shared" si="57"/>
        <v>#VALUE!</v>
      </c>
      <c r="BU1476" s="62"/>
      <c r="BV1476" s="8" t="e">
        <v>#VALUE!</v>
      </c>
      <c r="BW1476" s="58" t="e">
        <f>VLOOKUP(AQ1476,'[1]Harga &amp; Nama CSO'!$A$28:$D$31,4,0)*BQ1476</f>
        <v>#N/A</v>
      </c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44">
        <f>IFERROR(VLOOKUP(AQ1478,'[2]Harga &amp; Nama CSO'!$A$116:$S$136,19,FALSE),0)*AV1478</f>
        <v>0</v>
      </c>
      <c r="BO1477" s="55" t="e">
        <f>IFERROR(VLOOKUP(AQ1477,'[1]Harga &amp; Nama CSO'!$H$2:$N$22,2,FALSE),"")*AV1477</f>
        <v>#VALUE!</v>
      </c>
      <c r="BP1477" s="40"/>
      <c r="BQ1477" s="4"/>
      <c r="BR1477" s="61"/>
      <c r="BS1477" s="4"/>
      <c r="BT1477" s="57" t="e">
        <f t="shared" si="57"/>
        <v>#VALUE!</v>
      </c>
      <c r="BU1477" s="62"/>
      <c r="BV1477" s="8" t="e">
        <v>#VALUE!</v>
      </c>
      <c r="BW1477" s="58" t="e">
        <f>VLOOKUP(AQ1477,'[1]Harga &amp; Nama CSO'!$A$28:$D$31,4,0)*BQ1477</f>
        <v>#N/A</v>
      </c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44">
        <f>IFERROR(VLOOKUP(AQ1479,'[2]Harga &amp; Nama CSO'!$A$116:$S$136,19,FALSE),0)*AV1479</f>
        <v>0</v>
      </c>
      <c r="BO1478" s="55" t="e">
        <f>IFERROR(VLOOKUP(AQ1478,'[1]Harga &amp; Nama CSO'!$H$2:$N$22,2,FALSE),"")*AV1478</f>
        <v>#VALUE!</v>
      </c>
      <c r="BP1478" s="40"/>
      <c r="BQ1478" s="4"/>
      <c r="BR1478" s="61"/>
      <c r="BS1478" s="4"/>
      <c r="BT1478" s="57" t="e">
        <f t="shared" si="57"/>
        <v>#VALUE!</v>
      </c>
      <c r="BU1478" s="62"/>
      <c r="BV1478" s="8" t="e">
        <v>#VALUE!</v>
      </c>
      <c r="BW1478" s="58" t="e">
        <f>VLOOKUP(AQ1478,'[1]Harga &amp; Nama CSO'!$A$28:$D$31,4,0)*BQ1478</f>
        <v>#N/A</v>
      </c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44">
        <f>IFERROR(VLOOKUP(AQ1480,'[2]Harga &amp; Nama CSO'!$A$116:$S$136,19,FALSE),0)*AV1480</f>
        <v>0</v>
      </c>
      <c r="BO1479" s="55" t="e">
        <f>IFERROR(VLOOKUP(AQ1479,'[1]Harga &amp; Nama CSO'!$H$2:$N$22,2,FALSE),"")*AV1479</f>
        <v>#VALUE!</v>
      </c>
      <c r="BP1479" s="40"/>
      <c r="BQ1479" s="4"/>
      <c r="BR1479" s="61"/>
      <c r="BS1479" s="4"/>
      <c r="BT1479" s="57" t="e">
        <f t="shared" si="57"/>
        <v>#VALUE!</v>
      </c>
      <c r="BU1479" s="62"/>
      <c r="BV1479" s="8" t="e">
        <v>#VALUE!</v>
      </c>
      <c r="BW1479" s="58" t="e">
        <f>VLOOKUP(AQ1479,'[1]Harga &amp; Nama CSO'!$A$28:$D$31,4,0)*BQ1479</f>
        <v>#N/A</v>
      </c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44">
        <f>IFERROR(VLOOKUP(AQ1481,'[2]Harga &amp; Nama CSO'!$A$116:$S$136,19,FALSE),0)*AV1481</f>
        <v>0</v>
      </c>
      <c r="BO1480" s="55" t="e">
        <f>IFERROR(VLOOKUP(AQ1480,'[1]Harga &amp; Nama CSO'!$H$2:$N$22,2,FALSE),"")*AV1480</f>
        <v>#VALUE!</v>
      </c>
      <c r="BP1480" s="40"/>
      <c r="BQ1480" s="4"/>
      <c r="BR1480" s="61"/>
      <c r="BS1480" s="4"/>
      <c r="BT1480" s="57" t="e">
        <f t="shared" si="57"/>
        <v>#VALUE!</v>
      </c>
      <c r="BU1480" s="62"/>
      <c r="BV1480" s="8" t="e">
        <v>#VALUE!</v>
      </c>
      <c r="BW1480" s="58" t="e">
        <f>VLOOKUP(AQ1480,'[1]Harga &amp; Nama CSO'!$A$28:$D$31,4,0)*BQ1480</f>
        <v>#N/A</v>
      </c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44">
        <f>IFERROR(VLOOKUP(AQ1482,'[2]Harga &amp; Nama CSO'!$A$116:$S$136,19,FALSE),0)*AV1482</f>
        <v>0</v>
      </c>
      <c r="BO1481" s="55" t="e">
        <f>IFERROR(VLOOKUP(AQ1481,'[1]Harga &amp; Nama CSO'!$H$2:$N$22,2,FALSE),"")*AV1481</f>
        <v>#VALUE!</v>
      </c>
      <c r="BP1481" s="40"/>
      <c r="BQ1481" s="4"/>
      <c r="BR1481" s="61"/>
      <c r="BS1481" s="4"/>
      <c r="BT1481" s="57" t="e">
        <f t="shared" si="57"/>
        <v>#VALUE!</v>
      </c>
      <c r="BU1481" s="62"/>
      <c r="BV1481" s="8" t="e">
        <v>#VALUE!</v>
      </c>
      <c r="BW1481" s="58" t="e">
        <f>VLOOKUP(AQ1481,'[1]Harga &amp; Nama CSO'!$A$28:$D$31,4,0)*BQ1481</f>
        <v>#N/A</v>
      </c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44">
        <f>IFERROR(VLOOKUP(AQ1483,'[2]Harga &amp; Nama CSO'!$A$116:$S$136,19,FALSE),0)*AV1483</f>
        <v>0</v>
      </c>
      <c r="BO1482" s="55" t="e">
        <f>IFERROR(VLOOKUP(AQ1482,'[1]Harga &amp; Nama CSO'!$H$2:$N$22,2,FALSE),"")*AV1482</f>
        <v>#VALUE!</v>
      </c>
      <c r="BP1482" s="40"/>
      <c r="BQ1482" s="4"/>
      <c r="BR1482" s="61"/>
      <c r="BS1482" s="4"/>
      <c r="BT1482" s="57" t="e">
        <f t="shared" si="57"/>
        <v>#VALUE!</v>
      </c>
      <c r="BU1482" s="62"/>
      <c r="BV1482" s="8" t="e">
        <v>#VALUE!</v>
      </c>
      <c r="BW1482" s="58" t="e">
        <f>VLOOKUP(AQ1482,'[1]Harga &amp; Nama CSO'!$A$28:$D$31,4,0)*BQ1482</f>
        <v>#N/A</v>
      </c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44">
        <f>IFERROR(VLOOKUP(AQ1484,'[2]Harga &amp; Nama CSO'!$A$116:$S$136,19,FALSE),0)*AV1484</f>
        <v>0</v>
      </c>
      <c r="BO1483" s="55" t="e">
        <f>IFERROR(VLOOKUP(AQ1483,'[1]Harga &amp; Nama CSO'!$H$2:$N$22,2,FALSE),"")*AV1483</f>
        <v>#VALUE!</v>
      </c>
      <c r="BP1483" s="40"/>
      <c r="BQ1483" s="4"/>
      <c r="BR1483" s="61"/>
      <c r="BS1483" s="4"/>
      <c r="BT1483" s="57" t="e">
        <f t="shared" si="57"/>
        <v>#VALUE!</v>
      </c>
      <c r="BU1483" s="62"/>
      <c r="BV1483" s="8" t="e">
        <v>#VALUE!</v>
      </c>
      <c r="BW1483" s="58" t="e">
        <f>VLOOKUP(AQ1483,'[1]Harga &amp; Nama CSO'!$A$28:$D$31,4,0)*BQ1483</f>
        <v>#N/A</v>
      </c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44">
        <f>IFERROR(VLOOKUP(AQ1485,'[2]Harga &amp; Nama CSO'!$A$116:$S$136,19,FALSE),0)*AV1485</f>
        <v>0</v>
      </c>
      <c r="BO1484" s="55" t="e">
        <f>IFERROR(VLOOKUP(AQ1484,'[1]Harga &amp; Nama CSO'!$H$2:$N$22,2,FALSE),"")*AV1484</f>
        <v>#VALUE!</v>
      </c>
      <c r="BP1484" s="40"/>
      <c r="BQ1484" s="4"/>
      <c r="BR1484" s="61"/>
      <c r="BS1484" s="4"/>
      <c r="BT1484" s="57" t="e">
        <f t="shared" si="57"/>
        <v>#VALUE!</v>
      </c>
      <c r="BU1484" s="62"/>
      <c r="BV1484" s="8" t="e">
        <v>#VALUE!</v>
      </c>
      <c r="BW1484" s="58" t="e">
        <f>VLOOKUP(AQ1484,'[1]Harga &amp; Nama CSO'!$A$28:$D$31,4,0)*BQ1484</f>
        <v>#N/A</v>
      </c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44">
        <f>IFERROR(VLOOKUP(AQ1486,'[2]Harga &amp; Nama CSO'!$A$116:$S$136,19,FALSE),0)*AV1486</f>
        <v>0</v>
      </c>
      <c r="BO1485" s="55" t="e">
        <f>IFERROR(VLOOKUP(AQ1485,'[1]Harga &amp; Nama CSO'!$H$2:$N$22,2,FALSE),"")*AV1485</f>
        <v>#VALUE!</v>
      </c>
      <c r="BP1485" s="40"/>
      <c r="BQ1485" s="4"/>
      <c r="BR1485" s="61"/>
      <c r="BS1485" s="4"/>
      <c r="BT1485" s="57" t="e">
        <f t="shared" si="57"/>
        <v>#VALUE!</v>
      </c>
      <c r="BU1485" s="62"/>
      <c r="BV1485" s="8" t="e">
        <v>#VALUE!</v>
      </c>
      <c r="BW1485" s="58" t="e">
        <f>VLOOKUP(AQ1485,'[1]Harga &amp; Nama CSO'!$A$28:$D$31,4,0)*BQ1485</f>
        <v>#N/A</v>
      </c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44">
        <f>IFERROR(VLOOKUP(AQ1487,'[2]Harga &amp; Nama CSO'!$A$116:$S$136,19,FALSE),0)*AV1487</f>
        <v>0</v>
      </c>
      <c r="BO1486" s="55" t="e">
        <f>IFERROR(VLOOKUP(AQ1486,'[1]Harga &amp; Nama CSO'!$H$2:$N$22,2,FALSE),"")*AV1486</f>
        <v>#VALUE!</v>
      </c>
      <c r="BP1486" s="40"/>
      <c r="BQ1486" s="4"/>
      <c r="BR1486" s="61"/>
      <c r="BS1486" s="4"/>
      <c r="BT1486" s="57" t="e">
        <f t="shared" si="57"/>
        <v>#VALUE!</v>
      </c>
      <c r="BU1486" s="62"/>
      <c r="BV1486" s="8" t="e">
        <v>#VALUE!</v>
      </c>
      <c r="BW1486" s="58" t="e">
        <f>VLOOKUP(AQ1486,'[1]Harga &amp; Nama CSO'!$A$28:$D$31,4,0)*BQ1486</f>
        <v>#N/A</v>
      </c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44">
        <f>IFERROR(VLOOKUP(AQ1488,'[2]Harga &amp; Nama CSO'!$A$116:$S$136,19,FALSE),0)*AV1488</f>
        <v>0</v>
      </c>
      <c r="BO1487" s="55" t="e">
        <f>IFERROR(VLOOKUP(AQ1487,'[1]Harga &amp; Nama CSO'!$H$2:$N$22,2,FALSE),"")*AV1487</f>
        <v>#VALUE!</v>
      </c>
      <c r="BP1487" s="40"/>
      <c r="BQ1487" s="4"/>
      <c r="BR1487" s="61"/>
      <c r="BS1487" s="4"/>
      <c r="BT1487" s="57" t="e">
        <f t="shared" si="57"/>
        <v>#VALUE!</v>
      </c>
      <c r="BU1487" s="62"/>
      <c r="BV1487" s="8" t="e">
        <v>#VALUE!</v>
      </c>
      <c r="BW1487" s="58" t="e">
        <f>VLOOKUP(AQ1487,'[1]Harga &amp; Nama CSO'!$A$28:$D$31,4,0)*BQ1487</f>
        <v>#N/A</v>
      </c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44">
        <f>IFERROR(VLOOKUP(AQ1489,'[2]Harga &amp; Nama CSO'!$A$116:$S$136,19,FALSE),0)*AV1489</f>
        <v>0</v>
      </c>
      <c r="BO1488" s="55" t="e">
        <f>IFERROR(VLOOKUP(AQ1488,'[1]Harga &amp; Nama CSO'!$H$2:$N$22,2,FALSE),"")*AV1488</f>
        <v>#VALUE!</v>
      </c>
      <c r="BP1488" s="40"/>
      <c r="BQ1488" s="4"/>
      <c r="BR1488" s="61"/>
      <c r="BS1488" s="4"/>
      <c r="BT1488" s="57" t="e">
        <f t="shared" si="57"/>
        <v>#VALUE!</v>
      </c>
      <c r="BU1488" s="62"/>
      <c r="BV1488" s="8" t="e">
        <v>#VALUE!</v>
      </c>
      <c r="BW1488" s="58" t="e">
        <f>VLOOKUP(AQ1488,'[1]Harga &amp; Nama CSO'!$A$28:$D$31,4,0)*BQ1488</f>
        <v>#N/A</v>
      </c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44">
        <f>IFERROR(VLOOKUP(AQ1490,'[2]Harga &amp; Nama CSO'!$A$116:$S$136,19,FALSE),0)*AV1490</f>
        <v>0</v>
      </c>
      <c r="BO1489" s="55" t="e">
        <f>IFERROR(VLOOKUP(AQ1489,'[1]Harga &amp; Nama CSO'!$H$2:$N$22,2,FALSE),"")*AV1489</f>
        <v>#VALUE!</v>
      </c>
      <c r="BP1489" s="40"/>
      <c r="BQ1489" s="4"/>
      <c r="BR1489" s="61"/>
      <c r="BS1489" s="4"/>
      <c r="BT1489" s="57" t="e">
        <f t="shared" si="57"/>
        <v>#VALUE!</v>
      </c>
      <c r="BU1489" s="62"/>
      <c r="BV1489" s="8" t="e">
        <v>#VALUE!</v>
      </c>
      <c r="BW1489" s="58" t="e">
        <f>VLOOKUP(AQ1489,'[1]Harga &amp; Nama CSO'!$A$28:$D$31,4,0)*BQ1489</f>
        <v>#N/A</v>
      </c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44">
        <f>IFERROR(VLOOKUP(AQ1491,'[2]Harga &amp; Nama CSO'!$A$116:$S$136,19,FALSE),0)*AV1491</f>
        <v>0</v>
      </c>
      <c r="BO1490" s="55" t="e">
        <f>IFERROR(VLOOKUP(AQ1490,'[1]Harga &amp; Nama CSO'!$H$2:$N$22,2,FALSE),"")*AV1490</f>
        <v>#VALUE!</v>
      </c>
      <c r="BP1490" s="40"/>
      <c r="BQ1490" s="4"/>
      <c r="BR1490" s="61"/>
      <c r="BS1490" s="4"/>
      <c r="BT1490" s="57" t="e">
        <f t="shared" si="57"/>
        <v>#VALUE!</v>
      </c>
      <c r="BU1490" s="62"/>
      <c r="BV1490" s="8" t="e">
        <v>#VALUE!</v>
      </c>
      <c r="BW1490" s="58" t="e">
        <f>VLOOKUP(AQ1490,'[1]Harga &amp; Nama CSO'!$A$28:$D$31,4,0)*BQ1490</f>
        <v>#N/A</v>
      </c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44">
        <f>IFERROR(VLOOKUP(AQ1492,'[2]Harga &amp; Nama CSO'!$A$116:$S$136,19,FALSE),0)*AV1492</f>
        <v>0</v>
      </c>
      <c r="BO1491" s="55" t="e">
        <f>IFERROR(VLOOKUP(AQ1491,'[1]Harga &amp; Nama CSO'!$H$2:$N$22,2,FALSE),"")*AV1491</f>
        <v>#VALUE!</v>
      </c>
      <c r="BP1491" s="40"/>
      <c r="BQ1491" s="4"/>
      <c r="BR1491" s="61"/>
      <c r="BS1491" s="4"/>
      <c r="BT1491" s="57" t="e">
        <f t="shared" si="57"/>
        <v>#VALUE!</v>
      </c>
      <c r="BU1491" s="62"/>
      <c r="BV1491" s="8" t="e">
        <v>#VALUE!</v>
      </c>
      <c r="BW1491" s="58" t="e">
        <f>VLOOKUP(AQ1491,'[1]Harga &amp; Nama CSO'!$A$28:$D$31,4,0)*BQ1491</f>
        <v>#N/A</v>
      </c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44">
        <f>IFERROR(VLOOKUP(AQ1493,'[2]Harga &amp; Nama CSO'!$A$116:$S$136,19,FALSE),0)*AV1493</f>
        <v>0</v>
      </c>
      <c r="BO1492" s="55" t="e">
        <f>IFERROR(VLOOKUP(AQ1492,'[1]Harga &amp; Nama CSO'!$H$2:$N$22,2,FALSE),"")*AV1492</f>
        <v>#VALUE!</v>
      </c>
      <c r="BP1492" s="40"/>
      <c r="BQ1492" s="4"/>
      <c r="BR1492" s="61"/>
      <c r="BS1492" s="4"/>
      <c r="BT1492" s="57" t="e">
        <f t="shared" si="57"/>
        <v>#VALUE!</v>
      </c>
      <c r="BU1492" s="62"/>
      <c r="BV1492" s="8" t="e">
        <v>#VALUE!</v>
      </c>
      <c r="BW1492" s="58" t="e">
        <f>VLOOKUP(AQ1492,'[1]Harga &amp; Nama CSO'!$A$28:$D$31,4,0)*BQ1492</f>
        <v>#N/A</v>
      </c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44">
        <f>IFERROR(VLOOKUP(AQ1494,'[2]Harga &amp; Nama CSO'!$A$116:$S$136,19,FALSE),0)*AV1494</f>
        <v>0</v>
      </c>
      <c r="BO1493" s="55" t="e">
        <f>IFERROR(VLOOKUP(AQ1493,'[1]Harga &amp; Nama CSO'!$H$2:$N$22,2,FALSE),"")*AV1493</f>
        <v>#VALUE!</v>
      </c>
      <c r="BP1493" s="40"/>
      <c r="BQ1493" s="4"/>
      <c r="BR1493" s="61"/>
      <c r="BS1493" s="4"/>
      <c r="BT1493" s="57" t="e">
        <f t="shared" si="57"/>
        <v>#VALUE!</v>
      </c>
      <c r="BU1493" s="62"/>
      <c r="BV1493" s="8" t="e">
        <v>#VALUE!</v>
      </c>
      <c r="BW1493" s="58" t="e">
        <f>VLOOKUP(AQ1493,'[1]Harga &amp; Nama CSO'!$A$28:$D$31,4,0)*BQ1493</f>
        <v>#N/A</v>
      </c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44">
        <f>IFERROR(VLOOKUP(AQ1495,'[2]Harga &amp; Nama CSO'!$A$116:$S$136,19,FALSE),0)*AV1495</f>
        <v>0</v>
      </c>
      <c r="BO1494" s="55" t="e">
        <f>IFERROR(VLOOKUP(AQ1494,'[1]Harga &amp; Nama CSO'!$H$2:$N$22,2,FALSE),"")*AV1494</f>
        <v>#VALUE!</v>
      </c>
      <c r="BP1494" s="40"/>
      <c r="BQ1494" s="4"/>
      <c r="BR1494" s="61"/>
      <c r="BS1494" s="4"/>
      <c r="BT1494" s="57" t="e">
        <f t="shared" si="57"/>
        <v>#VALUE!</v>
      </c>
      <c r="BU1494" s="62"/>
      <c r="BV1494" s="8" t="e">
        <v>#VALUE!</v>
      </c>
      <c r="BW1494" s="58" t="e">
        <f>VLOOKUP(AQ1494,'[1]Harga &amp; Nama CSO'!$A$28:$D$31,4,0)*BQ1494</f>
        <v>#N/A</v>
      </c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44">
        <f>IFERROR(VLOOKUP(AQ1496,'[2]Harga &amp; Nama CSO'!$A$116:$S$136,19,FALSE),0)*AV1496</f>
        <v>0</v>
      </c>
      <c r="BO1495" s="55" t="e">
        <f>IFERROR(VLOOKUP(AQ1495,'[1]Harga &amp; Nama CSO'!$H$2:$N$22,2,FALSE),"")*AV1495</f>
        <v>#VALUE!</v>
      </c>
      <c r="BP1495" s="40"/>
      <c r="BQ1495" s="4"/>
      <c r="BR1495" s="61"/>
      <c r="BS1495" s="4"/>
      <c r="BT1495" s="57" t="e">
        <f t="shared" si="57"/>
        <v>#VALUE!</v>
      </c>
      <c r="BU1495" s="62"/>
      <c r="BV1495" s="8" t="e">
        <v>#VALUE!</v>
      </c>
      <c r="BW1495" s="58" t="e">
        <f>VLOOKUP(AQ1495,'[1]Harga &amp; Nama CSO'!$A$28:$D$31,4,0)*BQ1495</f>
        <v>#N/A</v>
      </c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44">
        <f>IFERROR(VLOOKUP(AQ1497,'[2]Harga &amp; Nama CSO'!$A$116:$S$136,19,FALSE),0)*AV1497</f>
        <v>0</v>
      </c>
      <c r="BO1496" s="55" t="e">
        <f>IFERROR(VLOOKUP(AQ1496,'[1]Harga &amp; Nama CSO'!$H$2:$N$22,2,FALSE),"")*AV1496</f>
        <v>#VALUE!</v>
      </c>
      <c r="BP1496" s="40"/>
      <c r="BQ1496" s="4"/>
      <c r="BR1496" s="61"/>
      <c r="BS1496" s="4"/>
      <c r="BT1496" s="57" t="e">
        <f t="shared" si="57"/>
        <v>#VALUE!</v>
      </c>
      <c r="BU1496" s="62"/>
      <c r="BV1496" s="8" t="e">
        <v>#VALUE!</v>
      </c>
      <c r="BW1496" s="58" t="e">
        <f>VLOOKUP(AQ1496,'[1]Harga &amp; Nama CSO'!$A$28:$D$31,4,0)*BQ1496</f>
        <v>#N/A</v>
      </c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44">
        <f>IFERROR(VLOOKUP(AQ1498,'[2]Harga &amp; Nama CSO'!$A$116:$S$136,19,FALSE),0)*AV1498</f>
        <v>0</v>
      </c>
      <c r="BO1497" s="55" t="e">
        <f>IFERROR(VLOOKUP(AQ1497,'[1]Harga &amp; Nama CSO'!$H$2:$N$22,2,FALSE),"")*AV1497</f>
        <v>#VALUE!</v>
      </c>
      <c r="BP1497" s="40"/>
      <c r="BQ1497" s="4"/>
      <c r="BR1497" s="61"/>
      <c r="BS1497" s="4"/>
      <c r="BT1497" s="57" t="e">
        <f t="shared" si="57"/>
        <v>#VALUE!</v>
      </c>
      <c r="BU1497" s="62"/>
      <c r="BV1497" s="8" t="e">
        <v>#VALUE!</v>
      </c>
      <c r="BW1497" s="58" t="e">
        <f>VLOOKUP(AQ1497,'[1]Harga &amp; Nama CSO'!$A$28:$D$31,4,0)*BQ1497</f>
        <v>#N/A</v>
      </c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44">
        <f>IFERROR(VLOOKUP(AQ1499,'[2]Harga &amp; Nama CSO'!$A$116:$S$136,19,FALSE),0)*AV1499</f>
        <v>0</v>
      </c>
      <c r="BO1498" s="55" t="e">
        <f>IFERROR(VLOOKUP(AQ1498,'[1]Harga &amp; Nama CSO'!$H$2:$N$22,2,FALSE),"")*AV1498</f>
        <v>#VALUE!</v>
      </c>
      <c r="BP1498" s="40"/>
      <c r="BQ1498" s="4"/>
      <c r="BR1498" s="61"/>
      <c r="BS1498" s="4"/>
      <c r="BT1498" s="57" t="e">
        <f t="shared" si="57"/>
        <v>#VALUE!</v>
      </c>
      <c r="BU1498" s="62"/>
      <c r="BV1498" s="8" t="e">
        <v>#VALUE!</v>
      </c>
      <c r="BW1498" s="58" t="e">
        <f>VLOOKUP(AQ1498,'[1]Harga &amp; Nama CSO'!$A$28:$D$31,4,0)*BQ1498</f>
        <v>#N/A</v>
      </c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44">
        <f>IFERROR(VLOOKUP(AQ1500,'[2]Harga &amp; Nama CSO'!$A$116:$S$136,19,FALSE),0)*AV1500</f>
        <v>0</v>
      </c>
      <c r="BO1499" s="55" t="e">
        <f>IFERROR(VLOOKUP(AQ1499,'[1]Harga &amp; Nama CSO'!$H$2:$N$22,2,FALSE),"")*AV1499</f>
        <v>#VALUE!</v>
      </c>
      <c r="BP1499" s="40"/>
      <c r="BQ1499" s="4"/>
      <c r="BR1499" s="61"/>
      <c r="BS1499" s="4"/>
      <c r="BT1499" s="57" t="e">
        <f t="shared" si="57"/>
        <v>#VALUE!</v>
      </c>
      <c r="BU1499" s="62"/>
      <c r="BV1499" s="8" t="e">
        <v>#VALUE!</v>
      </c>
      <c r="BW1499" s="58" t="e">
        <f>VLOOKUP(AQ1499,'[1]Harga &amp; Nama CSO'!$A$28:$D$31,4,0)*BQ1499</f>
        <v>#N/A</v>
      </c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44">
        <f>IFERROR(VLOOKUP(AQ1501,'[2]Harga &amp; Nama CSO'!$A$116:$S$136,19,FALSE),0)*AV1501</f>
        <v>0</v>
      </c>
      <c r="BO1500" s="55" t="e">
        <f>IFERROR(VLOOKUP(AQ1500,'[1]Harga &amp; Nama CSO'!$H$2:$N$22,2,FALSE),"")*AV1500</f>
        <v>#VALUE!</v>
      </c>
      <c r="BP1500" s="40"/>
      <c r="BQ1500" s="4"/>
      <c r="BR1500" s="61"/>
      <c r="BS1500" s="4"/>
      <c r="BT1500" s="57" t="e">
        <f t="shared" si="57"/>
        <v>#VALUE!</v>
      </c>
      <c r="BU1500" s="62"/>
      <c r="BV1500" s="8" t="e">
        <v>#VALUE!</v>
      </c>
      <c r="BW1500" s="58" t="e">
        <f>VLOOKUP(AQ1500,'[1]Harga &amp; Nama CSO'!$A$28:$D$31,4,0)*BQ1500</f>
        <v>#N/A</v>
      </c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44">
        <f>IFERROR(VLOOKUP(AQ1502,'[2]Harga &amp; Nama CSO'!$A$116:$S$136,19,FALSE),0)*AV1502</f>
        <v>0</v>
      </c>
      <c r="BO1501" s="55" t="e">
        <f>IFERROR(VLOOKUP(AQ1501,'[1]Harga &amp; Nama CSO'!$H$2:$N$22,2,FALSE),"")*AV1501</f>
        <v>#VALUE!</v>
      </c>
      <c r="BP1501" s="40"/>
      <c r="BQ1501" s="4"/>
      <c r="BR1501" s="61"/>
      <c r="BS1501" s="4"/>
      <c r="BT1501" s="57" t="e">
        <f t="shared" si="57"/>
        <v>#VALUE!</v>
      </c>
      <c r="BU1501" s="62"/>
      <c r="BV1501" s="8" t="e">
        <v>#VALUE!</v>
      </c>
      <c r="BW1501" s="58" t="e">
        <f>VLOOKUP(AQ1501,'[1]Harga &amp; Nama CSO'!$A$28:$D$31,4,0)*BQ1501</f>
        <v>#N/A</v>
      </c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44">
        <f>IFERROR(VLOOKUP(AQ1503,'[2]Harga &amp; Nama CSO'!$A$116:$S$136,19,FALSE),0)*AV1503</f>
        <v>0</v>
      </c>
      <c r="BO1502" s="55" t="e">
        <f>IFERROR(VLOOKUP(AQ1502,'[1]Harga &amp; Nama CSO'!$H$2:$N$22,2,FALSE),"")*AV1502</f>
        <v>#VALUE!</v>
      </c>
      <c r="BP1502" s="40"/>
      <c r="BQ1502" s="4"/>
      <c r="BR1502" s="61"/>
      <c r="BS1502" s="4"/>
      <c r="BT1502" s="57" t="e">
        <f t="shared" si="57"/>
        <v>#VALUE!</v>
      </c>
      <c r="BU1502" s="62"/>
      <c r="BV1502" s="8" t="e">
        <v>#VALUE!</v>
      </c>
      <c r="BW1502" s="58" t="e">
        <f>VLOOKUP(AQ1502,'[1]Harga &amp; Nama CSO'!$A$28:$D$31,4,0)*BQ1502</f>
        <v>#N/A</v>
      </c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44">
        <f>IFERROR(VLOOKUP(AQ1504,'[2]Harga &amp; Nama CSO'!$A$116:$S$136,19,FALSE),0)*AV1504</f>
        <v>0</v>
      </c>
      <c r="BO1503" s="55" t="e">
        <f>IFERROR(VLOOKUP(AQ1503,'[1]Harga &amp; Nama CSO'!$H$2:$N$22,2,FALSE),"")*AV1503</f>
        <v>#VALUE!</v>
      </c>
      <c r="BP1503" s="40"/>
      <c r="BQ1503" s="4"/>
      <c r="BR1503" s="61"/>
      <c r="BS1503" s="4"/>
      <c r="BT1503" s="57" t="e">
        <f t="shared" si="57"/>
        <v>#VALUE!</v>
      </c>
      <c r="BU1503" s="62"/>
      <c r="BV1503" s="8" t="e">
        <v>#VALUE!</v>
      </c>
      <c r="BW1503" s="58" t="e">
        <f>VLOOKUP(AQ1503,'[1]Harga &amp; Nama CSO'!$A$28:$D$31,4,0)*BQ1503</f>
        <v>#N/A</v>
      </c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44">
        <f>IFERROR(VLOOKUP(AQ1505,'[2]Harga &amp; Nama CSO'!$A$116:$S$136,19,FALSE),0)*AV1505</f>
        <v>0</v>
      </c>
      <c r="BO1504" s="55" t="e">
        <f>IFERROR(VLOOKUP(AQ1504,'[1]Harga &amp; Nama CSO'!$H$2:$N$22,2,FALSE),"")*AV1504</f>
        <v>#VALUE!</v>
      </c>
      <c r="BP1504" s="40"/>
      <c r="BQ1504" s="4"/>
      <c r="BR1504" s="61"/>
      <c r="BS1504" s="4"/>
      <c r="BT1504" s="57" t="e">
        <f t="shared" si="57"/>
        <v>#VALUE!</v>
      </c>
      <c r="BU1504" s="62"/>
      <c r="BV1504" s="8" t="e">
        <v>#VALUE!</v>
      </c>
      <c r="BW1504" s="58" t="e">
        <f>VLOOKUP(AQ1504,'[1]Harga &amp; Nama CSO'!$A$28:$D$31,4,0)*BQ1504</f>
        <v>#N/A</v>
      </c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44">
        <f>IFERROR(VLOOKUP(AQ1506,'[2]Harga &amp; Nama CSO'!$A$116:$S$136,19,FALSE),0)*AV1506</f>
        <v>0</v>
      </c>
      <c r="BO1505" s="55" t="e">
        <f>IFERROR(VLOOKUP(AQ1505,'[1]Harga &amp; Nama CSO'!$H$2:$N$22,2,FALSE),"")*AV1505</f>
        <v>#VALUE!</v>
      </c>
      <c r="BP1505" s="40"/>
      <c r="BQ1505" s="4"/>
      <c r="BR1505" s="61"/>
      <c r="BS1505" s="4"/>
      <c r="BT1505" s="57" t="e">
        <f t="shared" si="57"/>
        <v>#VALUE!</v>
      </c>
      <c r="BU1505" s="62"/>
      <c r="BV1505" s="8" t="e">
        <v>#VALUE!</v>
      </c>
      <c r="BW1505" s="58" t="e">
        <f>VLOOKUP(AQ1505,'[1]Harga &amp; Nama CSO'!$A$28:$D$31,4,0)*BQ1505</f>
        <v>#N/A</v>
      </c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44">
        <f>IFERROR(VLOOKUP(AQ1507,'[2]Harga &amp; Nama CSO'!$A$116:$S$136,19,FALSE),0)*AV1507</f>
        <v>0</v>
      </c>
      <c r="BO1506" s="55" t="e">
        <f>IFERROR(VLOOKUP(AQ1506,'[1]Harga &amp; Nama CSO'!$H$2:$N$22,2,FALSE),"")*AV1506</f>
        <v>#VALUE!</v>
      </c>
      <c r="BP1506" s="40"/>
      <c r="BQ1506" s="4"/>
      <c r="BR1506" s="61"/>
      <c r="BS1506" s="4"/>
      <c r="BT1506" s="57" t="e">
        <f t="shared" si="57"/>
        <v>#VALUE!</v>
      </c>
      <c r="BU1506" s="62"/>
      <c r="BV1506" s="8" t="e">
        <v>#VALUE!</v>
      </c>
      <c r="BW1506" s="58" t="e">
        <f>VLOOKUP(AQ1506,'[1]Harga &amp; Nama CSO'!$A$28:$D$31,4,0)*BQ1506</f>
        <v>#N/A</v>
      </c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44">
        <f>IFERROR(VLOOKUP(AQ1508,'[2]Harga &amp; Nama CSO'!$A$116:$S$136,19,FALSE),0)*AV1508</f>
        <v>0</v>
      </c>
      <c r="BO1507" s="55" t="e">
        <f>IFERROR(VLOOKUP(AQ1507,'[1]Harga &amp; Nama CSO'!$H$2:$N$22,2,FALSE),"")*AV1507</f>
        <v>#VALUE!</v>
      </c>
      <c r="BP1507" s="40"/>
      <c r="BQ1507" s="4"/>
      <c r="BR1507" s="61"/>
      <c r="BS1507" s="4"/>
      <c r="BT1507" s="57" t="e">
        <f t="shared" si="57"/>
        <v>#VALUE!</v>
      </c>
      <c r="BU1507" s="62"/>
      <c r="BV1507" s="8" t="e">
        <v>#VALUE!</v>
      </c>
      <c r="BW1507" s="58" t="e">
        <f>VLOOKUP(AQ1507,'[1]Harga &amp; Nama CSO'!$A$28:$D$31,4,0)*BQ1507</f>
        <v>#N/A</v>
      </c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44">
        <f>IFERROR(VLOOKUP(AQ1509,'[2]Harga &amp; Nama CSO'!$A$116:$S$136,19,FALSE),0)*AV1509</f>
        <v>0</v>
      </c>
      <c r="BO1508" s="55" t="e">
        <f>IFERROR(VLOOKUP(AQ1508,'[1]Harga &amp; Nama CSO'!$H$2:$N$22,2,FALSE),"")*AV1508</f>
        <v>#VALUE!</v>
      </c>
      <c r="BP1508" s="40"/>
      <c r="BQ1508" s="4"/>
      <c r="BR1508" s="61"/>
      <c r="BS1508" s="4"/>
      <c r="BT1508" s="57" t="e">
        <f t="shared" si="57"/>
        <v>#VALUE!</v>
      </c>
      <c r="BU1508" s="62"/>
      <c r="BV1508" s="8" t="e">
        <v>#VALUE!</v>
      </c>
      <c r="BW1508" s="58" t="e">
        <f>VLOOKUP(AQ1508,'[1]Harga &amp; Nama CSO'!$A$28:$D$31,4,0)*BQ1508</f>
        <v>#N/A</v>
      </c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44">
        <f>IFERROR(VLOOKUP(AQ1510,'[2]Harga &amp; Nama CSO'!$A$116:$S$136,19,FALSE),0)*AV1510</f>
        <v>0</v>
      </c>
      <c r="BO1509" s="55" t="e">
        <f>IFERROR(VLOOKUP(AQ1509,'[1]Harga &amp; Nama CSO'!$H$2:$N$22,2,FALSE),"")*AV1509</f>
        <v>#VALUE!</v>
      </c>
      <c r="BP1509" s="40"/>
      <c r="BQ1509" s="4"/>
      <c r="BR1509" s="61"/>
      <c r="BS1509" s="4"/>
      <c r="BT1509" s="57" t="e">
        <f t="shared" si="57"/>
        <v>#VALUE!</v>
      </c>
      <c r="BU1509" s="62"/>
      <c r="BV1509" s="8" t="e">
        <v>#VALUE!</v>
      </c>
      <c r="BW1509" s="58" t="e">
        <f>VLOOKUP(AQ1509,'[1]Harga &amp; Nama CSO'!$A$28:$D$31,4,0)*BQ1509</f>
        <v>#N/A</v>
      </c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44">
        <f>IFERROR(VLOOKUP(AQ1511,'[2]Harga &amp; Nama CSO'!$A$116:$S$136,19,FALSE),0)*AV1511</f>
        <v>0</v>
      </c>
      <c r="BO1510" s="55" t="e">
        <f>IFERROR(VLOOKUP(AQ1510,'[1]Harga &amp; Nama CSO'!$H$2:$N$22,2,FALSE),"")*AV1510</f>
        <v>#VALUE!</v>
      </c>
      <c r="BP1510" s="40"/>
      <c r="BQ1510" s="4"/>
      <c r="BR1510" s="61"/>
      <c r="BS1510" s="4"/>
      <c r="BT1510" s="57" t="e">
        <f t="shared" si="57"/>
        <v>#VALUE!</v>
      </c>
      <c r="BU1510" s="62"/>
      <c r="BV1510" s="8" t="e">
        <v>#VALUE!</v>
      </c>
      <c r="BW1510" s="58" t="e">
        <f>VLOOKUP(AQ1510,'[1]Harga &amp; Nama CSO'!$A$28:$D$31,4,0)*BQ1510</f>
        <v>#N/A</v>
      </c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44">
        <f>IFERROR(VLOOKUP(AQ1512,'[2]Harga &amp; Nama CSO'!$A$116:$S$136,19,FALSE),0)*AV1512</f>
        <v>0</v>
      </c>
      <c r="BO1511" s="55" t="e">
        <f>IFERROR(VLOOKUP(AQ1511,'[1]Harga &amp; Nama CSO'!$H$2:$N$22,2,FALSE),"")*AV1511</f>
        <v>#VALUE!</v>
      </c>
      <c r="BP1511" s="40"/>
      <c r="BQ1511" s="4"/>
      <c r="BR1511" s="61"/>
      <c r="BS1511" s="4"/>
      <c r="BT1511" s="57" t="e">
        <f t="shared" si="57"/>
        <v>#VALUE!</v>
      </c>
      <c r="BU1511" s="62"/>
      <c r="BV1511" s="8" t="e">
        <v>#VALUE!</v>
      </c>
      <c r="BW1511" s="58" t="e">
        <f>VLOOKUP(AQ1511,'[1]Harga &amp; Nama CSO'!$A$28:$D$31,4,0)*BQ1511</f>
        <v>#N/A</v>
      </c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44">
        <f>IFERROR(VLOOKUP(AQ1513,'[2]Harga &amp; Nama CSO'!$A$116:$S$136,19,FALSE),0)*AV1513</f>
        <v>0</v>
      </c>
      <c r="BO1512" s="55" t="e">
        <f>IFERROR(VLOOKUP(AQ1512,'[1]Harga &amp; Nama CSO'!$H$2:$N$22,2,FALSE),"")*AV1512</f>
        <v>#VALUE!</v>
      </c>
      <c r="BP1512" s="40"/>
      <c r="BQ1512" s="4"/>
      <c r="BR1512" s="61"/>
      <c r="BS1512" s="4"/>
      <c r="BT1512" s="57" t="e">
        <f t="shared" si="57"/>
        <v>#VALUE!</v>
      </c>
      <c r="BU1512" s="62"/>
      <c r="BV1512" s="8" t="e">
        <v>#VALUE!</v>
      </c>
      <c r="BW1512" s="58" t="e">
        <f>VLOOKUP(AQ1512,'[1]Harga &amp; Nama CSO'!$A$28:$D$31,4,0)*BQ1512</f>
        <v>#N/A</v>
      </c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44">
        <f>IFERROR(VLOOKUP(AQ1514,'[2]Harga &amp; Nama CSO'!$A$116:$S$136,19,FALSE),0)*AV1514</f>
        <v>0</v>
      </c>
      <c r="BO1513" s="55" t="e">
        <f>IFERROR(VLOOKUP(AQ1513,'[1]Harga &amp; Nama CSO'!$H$2:$N$22,2,FALSE),"")*AV1513</f>
        <v>#VALUE!</v>
      </c>
      <c r="BP1513" s="40"/>
      <c r="BQ1513" s="4"/>
      <c r="BR1513" s="61"/>
      <c r="BS1513" s="4"/>
      <c r="BT1513" s="57" t="e">
        <f t="shared" si="57"/>
        <v>#VALUE!</v>
      </c>
      <c r="BU1513" s="62"/>
      <c r="BV1513" s="8" t="e">
        <v>#VALUE!</v>
      </c>
      <c r="BW1513" s="58" t="e">
        <f>VLOOKUP(AQ1513,'[1]Harga &amp; Nama CSO'!$A$28:$D$31,4,0)*BQ1513</f>
        <v>#N/A</v>
      </c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44">
        <f>IFERROR(VLOOKUP(AQ1515,'[2]Harga &amp; Nama CSO'!$A$116:$S$136,19,FALSE),0)*AV1515</f>
        <v>0</v>
      </c>
      <c r="BO1514" s="55" t="e">
        <f>IFERROR(VLOOKUP(AQ1514,'[1]Harga &amp; Nama CSO'!$H$2:$N$22,2,FALSE),"")*AV1514</f>
        <v>#VALUE!</v>
      </c>
      <c r="BP1514" s="40"/>
      <c r="BQ1514" s="4"/>
      <c r="BR1514" s="61"/>
      <c r="BS1514" s="4"/>
      <c r="BT1514" s="57" t="e">
        <f t="shared" si="57"/>
        <v>#VALUE!</v>
      </c>
      <c r="BU1514" s="62"/>
      <c r="BV1514" s="8" t="e">
        <v>#VALUE!</v>
      </c>
      <c r="BW1514" s="58" t="e">
        <f>VLOOKUP(AQ1514,'[1]Harga &amp; Nama CSO'!$A$28:$D$31,4,0)*BQ1514</f>
        <v>#N/A</v>
      </c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44">
        <f>IFERROR(VLOOKUP(AQ1516,'[2]Harga &amp; Nama CSO'!$A$116:$S$136,19,FALSE),0)*AV1516</f>
        <v>0</v>
      </c>
      <c r="BO1515" s="55" t="e">
        <f>IFERROR(VLOOKUP(AQ1515,'[1]Harga &amp; Nama CSO'!$H$2:$N$22,2,FALSE),"")*AV1515</f>
        <v>#VALUE!</v>
      </c>
      <c r="BP1515" s="40"/>
      <c r="BQ1515" s="4"/>
      <c r="BR1515" s="61"/>
      <c r="BS1515" s="4"/>
      <c r="BT1515" s="57" t="e">
        <f t="shared" si="57"/>
        <v>#VALUE!</v>
      </c>
      <c r="BU1515" s="62"/>
      <c r="BV1515" s="8" t="e">
        <v>#VALUE!</v>
      </c>
      <c r="BW1515" s="58" t="e">
        <f>VLOOKUP(AQ1515,'[1]Harga &amp; Nama CSO'!$A$28:$D$31,4,0)*BQ1515</f>
        <v>#N/A</v>
      </c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44">
        <f>IFERROR(VLOOKUP(AQ1517,'[2]Harga &amp; Nama CSO'!$A$116:$S$136,19,FALSE),0)*AV1517</f>
        <v>0</v>
      </c>
      <c r="BO1516" s="55" t="e">
        <f>IFERROR(VLOOKUP(AQ1516,'[1]Harga &amp; Nama CSO'!$H$2:$N$22,2,FALSE),"")*AV1516</f>
        <v>#VALUE!</v>
      </c>
      <c r="BP1516" s="40"/>
      <c r="BQ1516" s="4"/>
      <c r="BR1516" s="61"/>
      <c r="BS1516" s="4"/>
      <c r="BT1516" s="57" t="e">
        <f t="shared" si="57"/>
        <v>#VALUE!</v>
      </c>
      <c r="BU1516" s="62"/>
      <c r="BV1516" s="8" t="e">
        <v>#VALUE!</v>
      </c>
      <c r="BW1516" s="58" t="e">
        <f>VLOOKUP(AQ1516,'[1]Harga &amp; Nama CSO'!$A$28:$D$31,4,0)*BQ1516</f>
        <v>#N/A</v>
      </c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44">
        <f>IFERROR(VLOOKUP(AQ1518,'[2]Harga &amp; Nama CSO'!$A$116:$S$136,19,FALSE),0)*AV1518</f>
        <v>0</v>
      </c>
      <c r="BO1517" s="55" t="e">
        <f>IFERROR(VLOOKUP(AQ1517,'[1]Harga &amp; Nama CSO'!$H$2:$N$22,2,FALSE),"")*AV1517</f>
        <v>#VALUE!</v>
      </c>
      <c r="BP1517" s="40"/>
      <c r="BQ1517" s="4"/>
      <c r="BR1517" s="61"/>
      <c r="BS1517" s="4"/>
      <c r="BT1517" s="57" t="e">
        <f t="shared" si="57"/>
        <v>#VALUE!</v>
      </c>
      <c r="BU1517" s="62"/>
      <c r="BV1517" s="8" t="e">
        <v>#VALUE!</v>
      </c>
      <c r="BW1517" s="58" t="e">
        <f>VLOOKUP(AQ1517,'[1]Harga &amp; Nama CSO'!$A$28:$D$31,4,0)*BQ1517</f>
        <v>#N/A</v>
      </c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44">
        <f>IFERROR(VLOOKUP(AQ1519,'[2]Harga &amp; Nama CSO'!$A$116:$S$136,19,FALSE),0)*AV1519</f>
        <v>0</v>
      </c>
      <c r="BO1518" s="55" t="e">
        <f>IFERROR(VLOOKUP(AQ1518,'[1]Harga &amp; Nama CSO'!$H$2:$N$22,2,FALSE),"")*AV1518</f>
        <v>#VALUE!</v>
      </c>
      <c r="BP1518" s="40"/>
      <c r="BQ1518" s="4"/>
      <c r="BR1518" s="61"/>
      <c r="BS1518" s="4"/>
      <c r="BT1518" s="57" t="e">
        <f t="shared" si="57"/>
        <v>#VALUE!</v>
      </c>
      <c r="BU1518" s="62"/>
      <c r="BV1518" s="8" t="e">
        <v>#VALUE!</v>
      </c>
      <c r="BW1518" s="58" t="e">
        <f>VLOOKUP(AQ1518,'[1]Harga &amp; Nama CSO'!$A$28:$D$31,4,0)*BQ1518</f>
        <v>#N/A</v>
      </c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44">
        <f>IFERROR(VLOOKUP(AQ1520,'[2]Harga &amp; Nama CSO'!$A$116:$S$136,19,FALSE),0)*AV1520</f>
        <v>0</v>
      </c>
      <c r="BO1519" s="55" t="e">
        <f>IFERROR(VLOOKUP(AQ1519,'[1]Harga &amp; Nama CSO'!$H$2:$N$22,2,FALSE),"")*AV1519</f>
        <v>#VALUE!</v>
      </c>
      <c r="BP1519" s="40"/>
      <c r="BQ1519" s="4"/>
      <c r="BR1519" s="61"/>
      <c r="BS1519" s="4"/>
      <c r="BT1519" s="57" t="e">
        <f t="shared" si="57"/>
        <v>#VALUE!</v>
      </c>
      <c r="BU1519" s="62"/>
      <c r="BV1519" s="8" t="e">
        <v>#VALUE!</v>
      </c>
      <c r="BW1519" s="58" t="e">
        <f>VLOOKUP(AQ1519,'[1]Harga &amp; Nama CSO'!$A$28:$D$31,4,0)*BQ1519</f>
        <v>#N/A</v>
      </c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44">
        <f>IFERROR(VLOOKUP(AQ1521,'[2]Harga &amp; Nama CSO'!$A$116:$S$136,19,FALSE),0)*AV1521</f>
        <v>0</v>
      </c>
      <c r="BO1520" s="55" t="e">
        <f>IFERROR(VLOOKUP(AQ1520,'[1]Harga &amp; Nama CSO'!$H$2:$N$22,2,FALSE),"")*AV1520</f>
        <v>#VALUE!</v>
      </c>
      <c r="BP1520" s="40"/>
      <c r="BQ1520" s="4"/>
      <c r="BR1520" s="61"/>
      <c r="BS1520" s="4"/>
      <c r="BT1520" s="57" t="e">
        <f t="shared" si="57"/>
        <v>#VALUE!</v>
      </c>
      <c r="BU1520" s="62"/>
      <c r="BV1520" s="8" t="e">
        <v>#VALUE!</v>
      </c>
      <c r="BW1520" s="58" t="e">
        <f>VLOOKUP(AQ1520,'[1]Harga &amp; Nama CSO'!$A$28:$D$31,4,0)*BQ1520</f>
        <v>#N/A</v>
      </c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44">
        <f>IFERROR(VLOOKUP(AQ1522,'[2]Harga &amp; Nama CSO'!$A$116:$S$136,19,FALSE),0)*AV1522</f>
        <v>0</v>
      </c>
      <c r="BO1521" s="55" t="e">
        <f>IFERROR(VLOOKUP(AQ1521,'[1]Harga &amp; Nama CSO'!$H$2:$N$22,2,FALSE),"")*AV1521</f>
        <v>#VALUE!</v>
      </c>
      <c r="BP1521" s="40"/>
      <c r="BQ1521" s="4"/>
      <c r="BR1521" s="61"/>
      <c r="BS1521" s="4"/>
      <c r="BT1521" s="57" t="e">
        <f t="shared" si="57"/>
        <v>#VALUE!</v>
      </c>
      <c r="BU1521" s="62"/>
      <c r="BV1521" s="8" t="e">
        <v>#VALUE!</v>
      </c>
      <c r="BW1521" s="58" t="e">
        <f>VLOOKUP(AQ1521,'[1]Harga &amp; Nama CSO'!$A$28:$D$31,4,0)*BQ1521</f>
        <v>#N/A</v>
      </c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44">
        <f>IFERROR(VLOOKUP(AQ1523,'[2]Harga &amp; Nama CSO'!$A$116:$S$136,19,FALSE),0)*AV1523</f>
        <v>0</v>
      </c>
      <c r="BO1522" s="55" t="e">
        <f>IFERROR(VLOOKUP(AQ1522,'[1]Harga &amp; Nama CSO'!$H$2:$N$22,2,FALSE),"")*AV1522</f>
        <v>#VALUE!</v>
      </c>
      <c r="BP1522" s="40"/>
      <c r="BQ1522" s="4"/>
      <c r="BR1522" s="61"/>
      <c r="BS1522" s="4"/>
      <c r="BT1522" s="57" t="e">
        <f t="shared" si="57"/>
        <v>#VALUE!</v>
      </c>
      <c r="BU1522" s="62"/>
      <c r="BV1522" s="8" t="e">
        <v>#VALUE!</v>
      </c>
      <c r="BW1522" s="58" t="e">
        <f>VLOOKUP(AQ1522,'[1]Harga &amp; Nama CSO'!$A$28:$D$31,4,0)*BQ1522</f>
        <v>#N/A</v>
      </c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44">
        <f>IFERROR(VLOOKUP(AQ1524,'[2]Harga &amp; Nama CSO'!$A$116:$S$136,19,FALSE),0)*AV1524</f>
        <v>0</v>
      </c>
      <c r="BO1523" s="55" t="e">
        <f>IFERROR(VLOOKUP(AQ1523,'[1]Harga &amp; Nama CSO'!$H$2:$N$22,2,FALSE),"")*AV1523</f>
        <v>#VALUE!</v>
      </c>
      <c r="BP1523" s="40"/>
      <c r="BQ1523" s="4"/>
      <c r="BR1523" s="61"/>
      <c r="BS1523" s="4"/>
      <c r="BT1523" s="57" t="e">
        <f t="shared" si="57"/>
        <v>#VALUE!</v>
      </c>
      <c r="BU1523" s="62"/>
      <c r="BV1523" s="8" t="e">
        <v>#VALUE!</v>
      </c>
      <c r="BW1523" s="58" t="e">
        <f>VLOOKUP(AQ1523,'[1]Harga &amp; Nama CSO'!$A$28:$D$31,4,0)*BQ1523</f>
        <v>#N/A</v>
      </c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44">
        <f>IFERROR(VLOOKUP(AQ1525,'[2]Harga &amp; Nama CSO'!$A$116:$S$136,19,FALSE),0)*AV1525</f>
        <v>0</v>
      </c>
      <c r="BO1524" s="55" t="e">
        <f>IFERROR(VLOOKUP(AQ1524,'[1]Harga &amp; Nama CSO'!$H$2:$N$22,2,FALSE),"")*AV1524</f>
        <v>#VALUE!</v>
      </c>
      <c r="BP1524" s="40"/>
      <c r="BQ1524" s="4"/>
      <c r="BR1524" s="61"/>
      <c r="BS1524" s="4"/>
      <c r="BT1524" s="57" t="e">
        <f t="shared" si="57"/>
        <v>#VALUE!</v>
      </c>
      <c r="BU1524" s="62"/>
      <c r="BV1524" s="8" t="e">
        <v>#VALUE!</v>
      </c>
      <c r="BW1524" s="58" t="e">
        <f>VLOOKUP(AQ1524,'[1]Harga &amp; Nama CSO'!$A$28:$D$31,4,0)*BQ1524</f>
        <v>#N/A</v>
      </c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44">
        <f>IFERROR(VLOOKUP(AQ1526,'[2]Harga &amp; Nama CSO'!$A$116:$S$136,19,FALSE),0)*AV1526</f>
        <v>0</v>
      </c>
      <c r="BO1525" s="55" t="e">
        <f>IFERROR(VLOOKUP(AQ1525,'[1]Harga &amp; Nama CSO'!$H$2:$N$22,2,FALSE),"")*AV1525</f>
        <v>#VALUE!</v>
      </c>
      <c r="BP1525" s="40"/>
      <c r="BQ1525" s="4"/>
      <c r="BR1525" s="61"/>
      <c r="BS1525" s="4"/>
      <c r="BT1525" s="57" t="e">
        <f t="shared" si="57"/>
        <v>#VALUE!</v>
      </c>
      <c r="BU1525" s="62"/>
      <c r="BV1525" s="8" t="e">
        <v>#VALUE!</v>
      </c>
      <c r="BW1525" s="58" t="e">
        <f>VLOOKUP(AQ1525,'[1]Harga &amp; Nama CSO'!$A$28:$D$31,4,0)*BQ1525</f>
        <v>#N/A</v>
      </c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44">
        <f>IFERROR(VLOOKUP(AQ1527,'[2]Harga &amp; Nama CSO'!$A$116:$S$136,19,FALSE),0)*AV1527</f>
        <v>0</v>
      </c>
      <c r="BO1526" s="55" t="e">
        <f>IFERROR(VLOOKUP(AQ1526,'[1]Harga &amp; Nama CSO'!$H$2:$N$22,2,FALSE),"")*AV1526</f>
        <v>#VALUE!</v>
      </c>
      <c r="BP1526" s="40"/>
      <c r="BQ1526" s="4"/>
      <c r="BR1526" s="61"/>
      <c r="BS1526" s="4"/>
      <c r="BT1526" s="57" t="e">
        <f t="shared" si="57"/>
        <v>#VALUE!</v>
      </c>
      <c r="BU1526" s="62"/>
      <c r="BV1526" s="8" t="e">
        <v>#VALUE!</v>
      </c>
      <c r="BW1526" s="58" t="e">
        <f>VLOOKUP(AQ1526,'[1]Harga &amp; Nama CSO'!$A$28:$D$31,4,0)*BQ1526</f>
        <v>#N/A</v>
      </c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44">
        <f>IFERROR(VLOOKUP(AQ1528,'[2]Harga &amp; Nama CSO'!$A$116:$S$136,19,FALSE),0)*AV1528</f>
        <v>0</v>
      </c>
      <c r="BO1527" s="55" t="e">
        <f>IFERROR(VLOOKUP(AQ1527,'[1]Harga &amp; Nama CSO'!$H$2:$N$22,2,FALSE),"")*AV1527</f>
        <v>#VALUE!</v>
      </c>
      <c r="BP1527" s="40"/>
      <c r="BQ1527" s="4"/>
      <c r="BR1527" s="61"/>
      <c r="BS1527" s="4"/>
      <c r="BT1527" s="57" t="e">
        <f t="shared" si="57"/>
        <v>#VALUE!</v>
      </c>
      <c r="BU1527" s="62"/>
      <c r="BV1527" s="8" t="e">
        <v>#VALUE!</v>
      </c>
      <c r="BW1527" s="58" t="e">
        <f>VLOOKUP(AQ1527,'[1]Harga &amp; Nama CSO'!$A$28:$D$31,4,0)*BQ1527</f>
        <v>#N/A</v>
      </c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44">
        <f>IFERROR(VLOOKUP(AQ1529,'[2]Harga &amp; Nama CSO'!$A$116:$S$136,19,FALSE),0)*AV1529</f>
        <v>0</v>
      </c>
      <c r="BO1528" s="55" t="e">
        <f>IFERROR(VLOOKUP(AQ1528,'[1]Harga &amp; Nama CSO'!$H$2:$N$22,2,FALSE),"")*AV1528</f>
        <v>#VALUE!</v>
      </c>
      <c r="BP1528" s="40"/>
      <c r="BQ1528" s="4"/>
      <c r="BR1528" s="61"/>
      <c r="BS1528" s="4"/>
      <c r="BT1528" s="57" t="e">
        <f t="shared" si="57"/>
        <v>#VALUE!</v>
      </c>
      <c r="BU1528" s="62"/>
      <c r="BV1528" s="8" t="e">
        <v>#VALUE!</v>
      </c>
      <c r="BW1528" s="58" t="e">
        <f>VLOOKUP(AQ1528,'[1]Harga &amp; Nama CSO'!$A$28:$D$31,4,0)*BQ1528</f>
        <v>#N/A</v>
      </c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44">
        <f>IFERROR(VLOOKUP(AQ1530,'[2]Harga &amp; Nama CSO'!$A$116:$S$136,19,FALSE),0)*AV1530</f>
        <v>0</v>
      </c>
      <c r="BO1529" s="55" t="e">
        <f>IFERROR(VLOOKUP(AQ1529,'[1]Harga &amp; Nama CSO'!$H$2:$N$22,2,FALSE),"")*AV1529</f>
        <v>#VALUE!</v>
      </c>
      <c r="BP1529" s="40"/>
      <c r="BQ1529" s="4"/>
      <c r="BR1529" s="61"/>
      <c r="BS1529" s="4"/>
      <c r="BT1529" s="57" t="e">
        <f t="shared" si="57"/>
        <v>#VALUE!</v>
      </c>
      <c r="BU1529" s="62"/>
      <c r="BV1529" s="8" t="e">
        <v>#VALUE!</v>
      </c>
      <c r="BW1529" s="58" t="e">
        <f>VLOOKUP(AQ1529,'[1]Harga &amp; Nama CSO'!$A$28:$D$31,4,0)*BQ1529</f>
        <v>#N/A</v>
      </c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44">
        <f>IFERROR(VLOOKUP(AQ1531,'[2]Harga &amp; Nama CSO'!$A$116:$S$136,19,FALSE),0)*AV1531</f>
        <v>0</v>
      </c>
      <c r="BO1530" s="55" t="e">
        <f>IFERROR(VLOOKUP(AQ1530,'[1]Harga &amp; Nama CSO'!$H$2:$N$22,2,FALSE),"")*AV1530</f>
        <v>#VALUE!</v>
      </c>
      <c r="BP1530" s="40"/>
      <c r="BQ1530" s="4"/>
      <c r="BR1530" s="61"/>
      <c r="BS1530" s="4"/>
      <c r="BT1530" s="57" t="e">
        <f t="shared" si="57"/>
        <v>#VALUE!</v>
      </c>
      <c r="BU1530" s="62"/>
      <c r="BV1530" s="8" t="e">
        <v>#VALUE!</v>
      </c>
      <c r="BW1530" s="58" t="e">
        <f>VLOOKUP(AQ1530,'[1]Harga &amp; Nama CSO'!$A$28:$D$31,4,0)*BQ1530</f>
        <v>#N/A</v>
      </c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44">
        <f>IFERROR(VLOOKUP(AQ1532,'[2]Harga &amp; Nama CSO'!$A$116:$S$136,19,FALSE),0)*AV1532</f>
        <v>0</v>
      </c>
      <c r="BO1531" s="55" t="e">
        <f>IFERROR(VLOOKUP(AQ1531,'[1]Harga &amp; Nama CSO'!$H$2:$N$22,2,FALSE),"")*AV1531</f>
        <v>#VALUE!</v>
      </c>
      <c r="BP1531" s="40"/>
      <c r="BQ1531" s="4"/>
      <c r="BR1531" s="61"/>
      <c r="BS1531" s="4"/>
      <c r="BT1531" s="57" t="e">
        <f t="shared" si="57"/>
        <v>#VALUE!</v>
      </c>
      <c r="BU1531" s="62"/>
      <c r="BV1531" s="8" t="e">
        <v>#VALUE!</v>
      </c>
      <c r="BW1531" s="58" t="e">
        <f>VLOOKUP(AQ1531,'[1]Harga &amp; Nama CSO'!$A$28:$D$31,4,0)*BQ1531</f>
        <v>#N/A</v>
      </c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44">
        <f>IFERROR(VLOOKUP(AQ1533,'[2]Harga &amp; Nama CSO'!$A$116:$S$136,19,FALSE),0)*AV1533</f>
        <v>0</v>
      </c>
      <c r="BO1532" s="55" t="e">
        <f>IFERROR(VLOOKUP(AQ1532,'[1]Harga &amp; Nama CSO'!$H$2:$N$22,2,FALSE),"")*AV1532</f>
        <v>#VALUE!</v>
      </c>
      <c r="BP1532" s="40"/>
      <c r="BQ1532" s="4"/>
      <c r="BR1532" s="61"/>
      <c r="BS1532" s="4"/>
      <c r="BT1532" s="57" t="e">
        <f t="shared" si="57"/>
        <v>#VALUE!</v>
      </c>
      <c r="BU1532" s="62"/>
      <c r="BV1532" s="8" t="e">
        <v>#VALUE!</v>
      </c>
      <c r="BW1532" s="58" t="e">
        <f>VLOOKUP(AQ1532,'[1]Harga &amp; Nama CSO'!$A$28:$D$31,4,0)*BQ1532</f>
        <v>#N/A</v>
      </c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44">
        <f>IFERROR(VLOOKUP(AQ1534,'[2]Harga &amp; Nama CSO'!$A$116:$S$136,19,FALSE),0)*AV1534</f>
        <v>0</v>
      </c>
      <c r="BO1533" s="55" t="e">
        <f>IFERROR(VLOOKUP(AQ1533,'[1]Harga &amp; Nama CSO'!$H$2:$N$22,2,FALSE),"")*AV1533</f>
        <v>#VALUE!</v>
      </c>
      <c r="BP1533" s="40"/>
      <c r="BQ1533" s="4"/>
      <c r="BR1533" s="61"/>
      <c r="BS1533" s="4"/>
      <c r="BT1533" s="57" t="e">
        <f t="shared" si="57"/>
        <v>#VALUE!</v>
      </c>
      <c r="BU1533" s="62"/>
      <c r="BV1533" s="8" t="e">
        <v>#VALUE!</v>
      </c>
      <c r="BW1533" s="58" t="e">
        <f>VLOOKUP(AQ1533,'[1]Harga &amp; Nama CSO'!$A$28:$D$31,4,0)*BQ1533</f>
        <v>#N/A</v>
      </c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44">
        <f>IFERROR(VLOOKUP(AQ1535,'[2]Harga &amp; Nama CSO'!$A$116:$S$136,19,FALSE),0)*AV1535</f>
        <v>0</v>
      </c>
      <c r="BO1534" s="55" t="e">
        <f>IFERROR(VLOOKUP(AQ1534,'[1]Harga &amp; Nama CSO'!$H$2:$N$22,2,FALSE),"")*AV1534</f>
        <v>#VALUE!</v>
      </c>
      <c r="BP1534" s="40"/>
      <c r="BQ1534" s="4"/>
      <c r="BR1534" s="61"/>
      <c r="BS1534" s="4"/>
      <c r="BT1534" s="57" t="e">
        <f t="shared" si="57"/>
        <v>#VALUE!</v>
      </c>
      <c r="BU1534" s="62"/>
      <c r="BV1534" s="8" t="e">
        <v>#VALUE!</v>
      </c>
      <c r="BW1534" s="58" t="e">
        <f>VLOOKUP(AQ1534,'[1]Harga &amp; Nama CSO'!$A$28:$D$31,4,0)*BQ1534</f>
        <v>#N/A</v>
      </c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44">
        <f>IFERROR(VLOOKUP(AQ1536,'[2]Harga &amp; Nama CSO'!$A$116:$S$136,19,FALSE),0)*AV1536</f>
        <v>0</v>
      </c>
      <c r="BO1535" s="55" t="e">
        <f>IFERROR(VLOOKUP(AQ1535,'[1]Harga &amp; Nama CSO'!$H$2:$N$22,2,FALSE),"")*AV1535</f>
        <v>#VALUE!</v>
      </c>
      <c r="BP1535" s="40"/>
      <c r="BQ1535" s="4"/>
      <c r="BR1535" s="61"/>
      <c r="BS1535" s="4"/>
      <c r="BT1535" s="57" t="e">
        <f t="shared" si="57"/>
        <v>#VALUE!</v>
      </c>
      <c r="BU1535" s="62"/>
      <c r="BV1535" s="8" t="e">
        <v>#VALUE!</v>
      </c>
      <c r="BW1535" s="58" t="e">
        <f>VLOOKUP(AQ1535,'[1]Harga &amp; Nama CSO'!$A$28:$D$31,4,0)*BQ1535</f>
        <v>#N/A</v>
      </c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44">
        <f>IFERROR(VLOOKUP(AQ1537,'[2]Harga &amp; Nama CSO'!$A$116:$S$136,19,FALSE),0)*AV1537</f>
        <v>0</v>
      </c>
      <c r="BO1536" s="55" t="e">
        <f>IFERROR(VLOOKUP(AQ1536,'[1]Harga &amp; Nama CSO'!$H$2:$N$22,2,FALSE),"")*AV1536</f>
        <v>#VALUE!</v>
      </c>
      <c r="BP1536" s="40"/>
      <c r="BQ1536" s="4"/>
      <c r="BR1536" s="61"/>
      <c r="BS1536" s="4"/>
      <c r="BT1536" s="57" t="e">
        <f t="shared" si="57"/>
        <v>#VALUE!</v>
      </c>
      <c r="BU1536" s="62"/>
      <c r="BV1536" s="8" t="e">
        <v>#VALUE!</v>
      </c>
      <c r="BW1536" s="58" t="e">
        <f>VLOOKUP(AQ1536,'[1]Harga &amp; Nama CSO'!$A$28:$D$31,4,0)*BQ1536</f>
        <v>#N/A</v>
      </c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44">
        <f>IFERROR(VLOOKUP(AQ1538,'[2]Harga &amp; Nama CSO'!$A$116:$S$136,19,FALSE),0)*AV1538</f>
        <v>0</v>
      </c>
      <c r="BO1537" s="55" t="e">
        <f>IFERROR(VLOOKUP(AQ1537,'[1]Harga &amp; Nama CSO'!$H$2:$N$22,2,FALSE),"")*AV1537</f>
        <v>#VALUE!</v>
      </c>
      <c r="BP1537" s="40"/>
      <c r="BQ1537" s="4"/>
      <c r="BR1537" s="61"/>
      <c r="BS1537" s="4"/>
      <c r="BT1537" s="57" t="e">
        <f t="shared" si="57"/>
        <v>#VALUE!</v>
      </c>
      <c r="BU1537" s="62"/>
      <c r="BV1537" s="8" t="e">
        <v>#VALUE!</v>
      </c>
      <c r="BW1537" s="58" t="e">
        <f>VLOOKUP(AQ1537,'[1]Harga &amp; Nama CSO'!$A$28:$D$31,4,0)*BQ1537</f>
        <v>#N/A</v>
      </c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44">
        <f>IFERROR(VLOOKUP(AQ1539,'[2]Harga &amp; Nama CSO'!$A$116:$S$136,19,FALSE),0)*AV1539</f>
        <v>0</v>
      </c>
      <c r="BO1538" s="55" t="e">
        <f>IFERROR(VLOOKUP(AQ1538,'[1]Harga &amp; Nama CSO'!$H$2:$N$22,2,FALSE),"")*AV1538</f>
        <v>#VALUE!</v>
      </c>
      <c r="BP1538" s="40"/>
      <c r="BQ1538" s="4"/>
      <c r="BR1538" s="61"/>
      <c r="BS1538" s="4"/>
      <c r="BT1538" s="57" t="e">
        <f t="shared" si="57"/>
        <v>#VALUE!</v>
      </c>
      <c r="BU1538" s="62"/>
      <c r="BV1538" s="8" t="e">
        <v>#VALUE!</v>
      </c>
      <c r="BW1538" s="58" t="e">
        <f>VLOOKUP(AQ1538,'[1]Harga &amp; Nama CSO'!$A$28:$D$31,4,0)*BQ1538</f>
        <v>#N/A</v>
      </c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44">
        <f>IFERROR(VLOOKUP(AQ1540,'[2]Harga &amp; Nama CSO'!$A$116:$S$136,19,FALSE),0)*AV1540</f>
        <v>0</v>
      </c>
      <c r="BO1539" s="55" t="e">
        <f>IFERROR(VLOOKUP(AQ1539,'[1]Harga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58">BO1539-BR1539</f>
        <v>#VALUE!</v>
      </c>
      <c r="BU1539" s="62"/>
      <c r="BV1539" s="8" t="e">
        <v>#VALUE!</v>
      </c>
      <c r="BW1539" s="58" t="e">
        <f>VLOOKUP(AQ1539,'[1]Harga &amp; Nama CSO'!$A$28:$D$31,4,0)*BQ1539</f>
        <v>#N/A</v>
      </c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44">
        <f>IFERROR(VLOOKUP(AQ1541,'[2]Harga &amp; Nama CSO'!$A$116:$S$136,19,FALSE),0)*AV1541</f>
        <v>0</v>
      </c>
      <c r="BO1540" s="55" t="e">
        <f>IFERROR(VLOOKUP(AQ1540,'[1]Harga &amp; Nama CSO'!$H$2:$N$22,2,FALSE),"")*AV1540</f>
        <v>#VALUE!</v>
      </c>
      <c r="BP1540" s="40"/>
      <c r="BQ1540" s="4"/>
      <c r="BR1540" s="61"/>
      <c r="BS1540" s="4"/>
      <c r="BT1540" s="57" t="e">
        <f t="shared" si="58"/>
        <v>#VALUE!</v>
      </c>
      <c r="BU1540" s="62"/>
      <c r="BV1540" s="8" t="e">
        <v>#VALUE!</v>
      </c>
      <c r="BW1540" s="58" t="e">
        <f>VLOOKUP(AQ1540,'[1]Harga &amp; Nama CSO'!$A$28:$D$31,4,0)*BQ1540</f>
        <v>#N/A</v>
      </c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44">
        <f>IFERROR(VLOOKUP(AQ1542,'[2]Harga &amp; Nama CSO'!$A$116:$S$136,19,FALSE),0)*AV1542</f>
        <v>0</v>
      </c>
      <c r="BO1541" s="55" t="e">
        <f>IFERROR(VLOOKUP(AQ1541,'[1]Harga &amp; Nama CSO'!$H$2:$N$22,2,FALSE),"")*AV1541</f>
        <v>#VALUE!</v>
      </c>
      <c r="BP1541" s="40"/>
      <c r="BQ1541" s="4"/>
      <c r="BR1541" s="61"/>
      <c r="BS1541" s="4"/>
      <c r="BT1541" s="57" t="e">
        <f t="shared" si="58"/>
        <v>#VALUE!</v>
      </c>
      <c r="BU1541" s="62"/>
      <c r="BV1541" s="8" t="e">
        <v>#VALUE!</v>
      </c>
      <c r="BW1541" s="58" t="e">
        <f>VLOOKUP(AQ1541,'[1]Harga &amp; Nama CSO'!$A$28:$D$31,4,0)*BQ1541</f>
        <v>#N/A</v>
      </c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44">
        <f>IFERROR(VLOOKUP(AQ1543,'[2]Harga &amp; Nama CSO'!$A$116:$S$136,19,FALSE),0)*AV1543</f>
        <v>0</v>
      </c>
      <c r="BO1542" s="55" t="e">
        <f>IFERROR(VLOOKUP(AQ1542,'[1]Harga &amp; Nama CSO'!$H$2:$N$22,2,FALSE),"")*AV1542</f>
        <v>#VALUE!</v>
      </c>
      <c r="BP1542" s="40"/>
      <c r="BQ1542" s="4"/>
      <c r="BR1542" s="61"/>
      <c r="BS1542" s="4"/>
      <c r="BT1542" s="57" t="e">
        <f t="shared" si="58"/>
        <v>#VALUE!</v>
      </c>
      <c r="BU1542" s="62"/>
      <c r="BV1542" s="8" t="e">
        <v>#VALUE!</v>
      </c>
      <c r="BW1542" s="58" t="e">
        <f>VLOOKUP(AQ1542,'[1]Harga &amp; Nama CSO'!$A$28:$D$31,4,0)*BQ1542</f>
        <v>#N/A</v>
      </c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44">
        <f>IFERROR(VLOOKUP(AQ1544,'[2]Harga &amp; Nama CSO'!$A$116:$S$136,19,FALSE),0)*AV1544</f>
        <v>0</v>
      </c>
      <c r="BO1543" s="55" t="e">
        <f>IFERROR(VLOOKUP(AQ1543,'[1]Harga &amp; Nama CSO'!$H$2:$N$22,2,FALSE),"")*AV1543</f>
        <v>#VALUE!</v>
      </c>
      <c r="BP1543" s="40"/>
      <c r="BQ1543" s="4"/>
      <c r="BR1543" s="61"/>
      <c r="BS1543" s="4"/>
      <c r="BT1543" s="57" t="e">
        <f t="shared" si="58"/>
        <v>#VALUE!</v>
      </c>
      <c r="BU1543" s="62"/>
      <c r="BV1543" s="8" t="e">
        <v>#VALUE!</v>
      </c>
      <c r="BW1543" s="58" t="e">
        <f>VLOOKUP(AQ1543,'[1]Harga &amp; Nama CSO'!$A$28:$D$31,4,0)*BQ1543</f>
        <v>#N/A</v>
      </c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44">
        <f>IFERROR(VLOOKUP(AQ1545,'[2]Harga &amp; Nama CSO'!$A$116:$S$136,19,FALSE),0)*AV1545</f>
        <v>0</v>
      </c>
      <c r="BO1544" s="55" t="e">
        <f>IFERROR(VLOOKUP(AQ1544,'[1]Harga &amp; Nama CSO'!$H$2:$N$22,2,FALSE),"")*AV1544</f>
        <v>#VALUE!</v>
      </c>
      <c r="BP1544" s="40"/>
      <c r="BQ1544" s="4"/>
      <c r="BR1544" s="61"/>
      <c r="BS1544" s="4"/>
      <c r="BT1544" s="57" t="e">
        <f t="shared" si="58"/>
        <v>#VALUE!</v>
      </c>
      <c r="BU1544" s="62"/>
      <c r="BV1544" s="8" t="e">
        <v>#VALUE!</v>
      </c>
      <c r="BW1544" s="58" t="e">
        <f>VLOOKUP(AQ1544,'[1]Harga &amp; Nama CSO'!$A$28:$D$31,4,0)*BQ1544</f>
        <v>#N/A</v>
      </c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44">
        <f>IFERROR(VLOOKUP(AQ1546,'[2]Harga &amp; Nama CSO'!$A$116:$S$136,19,FALSE),0)*AV1546</f>
        <v>0</v>
      </c>
      <c r="BO1545" s="55" t="e">
        <f>IFERROR(VLOOKUP(AQ1545,'[1]Harga &amp; Nama CSO'!$H$2:$N$22,2,FALSE),"")*AV1545</f>
        <v>#VALUE!</v>
      </c>
      <c r="BP1545" s="40"/>
      <c r="BQ1545" s="4"/>
      <c r="BR1545" s="61"/>
      <c r="BS1545" s="4"/>
      <c r="BT1545" s="57" t="e">
        <f t="shared" si="58"/>
        <v>#VALUE!</v>
      </c>
      <c r="BU1545" s="62"/>
      <c r="BV1545" s="8" t="e">
        <v>#VALUE!</v>
      </c>
      <c r="BW1545" s="58" t="e">
        <f>VLOOKUP(AQ1545,'[1]Harga &amp; Nama CSO'!$A$28:$D$31,4,0)*BQ1545</f>
        <v>#N/A</v>
      </c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44">
        <f>IFERROR(VLOOKUP(AQ1547,'[2]Harga &amp; Nama CSO'!$A$116:$S$136,19,FALSE),0)*AV1547</f>
        <v>0</v>
      </c>
      <c r="BO1546" s="55" t="e">
        <f>IFERROR(VLOOKUP(AQ1546,'[1]Harga &amp; Nama CSO'!$H$2:$N$22,2,FALSE),"")*AV1546</f>
        <v>#VALUE!</v>
      </c>
      <c r="BP1546" s="40"/>
      <c r="BQ1546" s="4"/>
      <c r="BR1546" s="61"/>
      <c r="BS1546" s="4"/>
      <c r="BT1546" s="57" t="e">
        <f t="shared" si="58"/>
        <v>#VALUE!</v>
      </c>
      <c r="BU1546" s="62"/>
      <c r="BV1546" s="8" t="e">
        <v>#VALUE!</v>
      </c>
      <c r="BW1546" s="58" t="e">
        <f>VLOOKUP(AQ1546,'[1]Harga &amp; Nama CSO'!$A$28:$D$31,4,0)*BQ1546</f>
        <v>#N/A</v>
      </c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44">
        <f>IFERROR(VLOOKUP(AQ1548,'[2]Harga &amp; Nama CSO'!$A$116:$S$136,19,FALSE),0)*AV1548</f>
        <v>0</v>
      </c>
      <c r="BO1547" s="55" t="e">
        <f>IFERROR(VLOOKUP(AQ1547,'[1]Harga &amp; Nama CSO'!$H$2:$N$22,2,FALSE),"")*AV1547</f>
        <v>#VALUE!</v>
      </c>
      <c r="BP1547" s="40"/>
      <c r="BQ1547" s="4"/>
      <c r="BR1547" s="61"/>
      <c r="BS1547" s="4"/>
      <c r="BT1547" s="57" t="e">
        <f t="shared" si="58"/>
        <v>#VALUE!</v>
      </c>
      <c r="BU1547" s="62"/>
      <c r="BV1547" s="8" t="e">
        <v>#VALUE!</v>
      </c>
      <c r="BW1547" s="58" t="e">
        <f>VLOOKUP(AQ1547,'[1]Harga &amp; Nama CSO'!$A$28:$D$31,4,0)*BQ1547</f>
        <v>#N/A</v>
      </c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44">
        <f>IFERROR(VLOOKUP(AQ1549,'[2]Harga &amp; Nama CSO'!$A$116:$S$136,19,FALSE),0)*AV1549</f>
        <v>0</v>
      </c>
      <c r="BO1548" s="55" t="e">
        <f>IFERROR(VLOOKUP(AQ1548,'[1]Harga &amp; Nama CSO'!$H$2:$N$22,2,FALSE),"")*AV1548</f>
        <v>#VALUE!</v>
      </c>
      <c r="BP1548" s="40"/>
      <c r="BQ1548" s="4"/>
      <c r="BR1548" s="61"/>
      <c r="BS1548" s="4"/>
      <c r="BT1548" s="57" t="e">
        <f t="shared" si="58"/>
        <v>#VALUE!</v>
      </c>
      <c r="BU1548" s="62"/>
      <c r="BV1548" s="8" t="e">
        <v>#VALUE!</v>
      </c>
      <c r="BW1548" s="58" t="e">
        <f>VLOOKUP(AQ1548,'[1]Harga &amp; Nama CSO'!$A$28:$D$31,4,0)*BQ1548</f>
        <v>#N/A</v>
      </c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44">
        <f>IFERROR(VLOOKUP(AQ1550,'[2]Harga &amp; Nama CSO'!$A$116:$S$136,19,FALSE),0)*AV1550</f>
        <v>0</v>
      </c>
      <c r="BO1549" s="55" t="e">
        <f>IFERROR(VLOOKUP(AQ1549,'[1]Harga &amp; Nama CSO'!$H$2:$N$22,2,FALSE),"")*AV1549</f>
        <v>#VALUE!</v>
      </c>
      <c r="BP1549" s="40"/>
      <c r="BQ1549" s="4"/>
      <c r="BR1549" s="61"/>
      <c r="BS1549" s="4"/>
      <c r="BT1549" s="57" t="e">
        <f t="shared" si="58"/>
        <v>#VALUE!</v>
      </c>
      <c r="BU1549" s="62"/>
      <c r="BV1549" s="8" t="e">
        <v>#VALUE!</v>
      </c>
      <c r="BW1549" s="58" t="e">
        <f>VLOOKUP(AQ1549,'[1]Harga &amp; Nama CSO'!$A$28:$D$31,4,0)*BQ1549</f>
        <v>#N/A</v>
      </c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44">
        <f>IFERROR(VLOOKUP(AQ1551,'[2]Harga &amp; Nama CSO'!$A$116:$S$136,19,FALSE),0)*AV1551</f>
        <v>0</v>
      </c>
      <c r="BO1550" s="55" t="e">
        <f>IFERROR(VLOOKUP(AQ1550,'[1]Harga &amp; Nama CSO'!$H$2:$N$22,2,FALSE),"")*AV1550</f>
        <v>#VALUE!</v>
      </c>
      <c r="BP1550" s="40"/>
      <c r="BQ1550" s="4"/>
      <c r="BR1550" s="61"/>
      <c r="BS1550" s="4"/>
      <c r="BT1550" s="57" t="e">
        <f t="shared" si="58"/>
        <v>#VALUE!</v>
      </c>
      <c r="BU1550" s="62"/>
      <c r="BV1550" s="8" t="e">
        <v>#VALUE!</v>
      </c>
      <c r="BW1550" s="58" t="e">
        <f>VLOOKUP(AQ1550,'[1]Harga &amp; Nama CSO'!$A$28:$D$31,4,0)*BQ1550</f>
        <v>#N/A</v>
      </c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44">
        <f>IFERROR(VLOOKUP(AQ1552,'[2]Harga &amp; Nama CSO'!$A$116:$S$136,19,FALSE),0)*AV1552</f>
        <v>0</v>
      </c>
      <c r="BO1551" s="55" t="e">
        <f>IFERROR(VLOOKUP(AQ1551,'[1]Harga &amp; Nama CSO'!$H$2:$N$22,2,FALSE),"")*AV1551</f>
        <v>#VALUE!</v>
      </c>
      <c r="BP1551" s="40"/>
      <c r="BQ1551" s="4"/>
      <c r="BR1551" s="61"/>
      <c r="BS1551" s="4"/>
      <c r="BT1551" s="57" t="e">
        <f t="shared" si="58"/>
        <v>#VALUE!</v>
      </c>
      <c r="BU1551" s="62"/>
      <c r="BV1551" s="8" t="e">
        <v>#VALUE!</v>
      </c>
      <c r="BW1551" s="58" t="e">
        <f>VLOOKUP(AQ1551,'[1]Harga &amp; Nama CSO'!$A$28:$D$31,4,0)*BQ1551</f>
        <v>#N/A</v>
      </c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44">
        <f>IFERROR(VLOOKUP(AQ1553,'[2]Harga &amp; Nama CSO'!$A$116:$S$136,19,FALSE),0)*AV1553</f>
        <v>0</v>
      </c>
      <c r="BO1552" s="55" t="e">
        <f>IFERROR(VLOOKUP(AQ1552,'[1]Harga &amp; Nama CSO'!$H$2:$N$22,2,FALSE),"")*AV1552</f>
        <v>#VALUE!</v>
      </c>
      <c r="BP1552" s="40"/>
      <c r="BQ1552" s="4"/>
      <c r="BR1552" s="61"/>
      <c r="BS1552" s="4"/>
      <c r="BT1552" s="57" t="e">
        <f t="shared" si="58"/>
        <v>#VALUE!</v>
      </c>
      <c r="BU1552" s="62"/>
      <c r="BV1552" s="8" t="e">
        <v>#VALUE!</v>
      </c>
      <c r="BW1552" s="58" t="e">
        <f>VLOOKUP(AQ1552,'[1]Harga &amp; Nama CSO'!$A$28:$D$31,4,0)*BQ1552</f>
        <v>#N/A</v>
      </c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44">
        <f>IFERROR(VLOOKUP(AQ1554,'[2]Harga &amp; Nama CSO'!$A$116:$S$136,19,FALSE),0)*AV1554</f>
        <v>0</v>
      </c>
      <c r="BO1553" s="55" t="e">
        <f>IFERROR(VLOOKUP(AQ1553,'[1]Harga &amp; Nama CSO'!$H$2:$N$22,2,FALSE),"")*AV1553</f>
        <v>#VALUE!</v>
      </c>
      <c r="BP1553" s="40"/>
      <c r="BQ1553" s="4"/>
      <c r="BR1553" s="61"/>
      <c r="BS1553" s="4"/>
      <c r="BT1553" s="57" t="e">
        <f t="shared" si="58"/>
        <v>#VALUE!</v>
      </c>
      <c r="BU1553" s="62"/>
      <c r="BV1553" s="8" t="e">
        <v>#VALUE!</v>
      </c>
      <c r="BW1553" s="58" t="e">
        <f>VLOOKUP(AQ1553,'[1]Harga &amp; Nama CSO'!$A$28:$D$31,4,0)*BQ1553</f>
        <v>#N/A</v>
      </c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44">
        <f>IFERROR(VLOOKUP(AQ1555,'[2]Harga &amp; Nama CSO'!$A$116:$S$136,19,FALSE),0)*AV1555</f>
        <v>0</v>
      </c>
      <c r="BO1554" s="55" t="e">
        <f>IFERROR(VLOOKUP(AQ1554,'[1]Harga &amp; Nama CSO'!$H$2:$N$22,2,FALSE),"")*AV1554</f>
        <v>#VALUE!</v>
      </c>
      <c r="BP1554" s="40"/>
      <c r="BQ1554" s="4"/>
      <c r="BR1554" s="61"/>
      <c r="BS1554" s="4"/>
      <c r="BT1554" s="57" t="e">
        <f t="shared" si="58"/>
        <v>#VALUE!</v>
      </c>
      <c r="BU1554" s="62"/>
      <c r="BV1554" s="8" t="e">
        <v>#VALUE!</v>
      </c>
      <c r="BW1554" s="58" t="e">
        <f>VLOOKUP(AQ1554,'[1]Harga &amp; Nama CSO'!$A$28:$D$31,4,0)*BQ1554</f>
        <v>#N/A</v>
      </c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44">
        <f>IFERROR(VLOOKUP(AQ1556,'[2]Harga &amp; Nama CSO'!$A$116:$S$136,19,FALSE),0)*AV1556</f>
        <v>0</v>
      </c>
      <c r="BO1555" s="55" t="e">
        <f>IFERROR(VLOOKUP(AQ1555,'[1]Harga &amp; Nama CSO'!$H$2:$N$22,2,FALSE),"")*AV1555</f>
        <v>#VALUE!</v>
      </c>
      <c r="BP1555" s="40"/>
      <c r="BQ1555" s="4"/>
      <c r="BR1555" s="61"/>
      <c r="BS1555" s="4"/>
      <c r="BT1555" s="57" t="e">
        <f t="shared" si="58"/>
        <v>#VALUE!</v>
      </c>
      <c r="BU1555" s="62"/>
      <c r="BV1555" s="8" t="e">
        <v>#VALUE!</v>
      </c>
      <c r="BW1555" s="58" t="e">
        <f>VLOOKUP(AQ1555,'[1]Harga &amp; Nama CSO'!$A$28:$D$31,4,0)*BQ1555</f>
        <v>#N/A</v>
      </c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44">
        <f>IFERROR(VLOOKUP(AQ1557,'[2]Harga &amp; Nama CSO'!$A$116:$S$136,19,FALSE),0)*AV1557</f>
        <v>0</v>
      </c>
      <c r="BO1556" s="55" t="e">
        <f>IFERROR(VLOOKUP(AQ1556,'[1]Harga &amp; Nama CSO'!$H$2:$N$22,2,FALSE),"")*AV1556</f>
        <v>#VALUE!</v>
      </c>
      <c r="BP1556" s="40"/>
      <c r="BQ1556" s="4"/>
      <c r="BR1556" s="61"/>
      <c r="BS1556" s="4"/>
      <c r="BT1556" s="57" t="e">
        <f t="shared" si="58"/>
        <v>#VALUE!</v>
      </c>
      <c r="BU1556" s="62"/>
      <c r="BV1556" s="8" t="e">
        <v>#VALUE!</v>
      </c>
      <c r="BW1556" s="58" t="e">
        <f>VLOOKUP(AQ1556,'[1]Harga &amp; Nama CSO'!$A$28:$D$31,4,0)*BQ1556</f>
        <v>#N/A</v>
      </c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44">
        <f>IFERROR(VLOOKUP(AQ1558,'[2]Harga &amp; Nama CSO'!$A$116:$S$136,19,FALSE),0)*AV1558</f>
        <v>0</v>
      </c>
      <c r="BO1557" s="55" t="e">
        <f>IFERROR(VLOOKUP(AQ1557,'[1]Harga &amp; Nama CSO'!$H$2:$N$22,2,FALSE),"")*AV1557</f>
        <v>#VALUE!</v>
      </c>
      <c r="BP1557" s="40"/>
      <c r="BQ1557" s="4"/>
      <c r="BR1557" s="61"/>
      <c r="BS1557" s="4"/>
      <c r="BT1557" s="57" t="e">
        <f t="shared" si="58"/>
        <v>#VALUE!</v>
      </c>
      <c r="BU1557" s="62"/>
      <c r="BV1557" s="8" t="e">
        <v>#VALUE!</v>
      </c>
      <c r="BW1557" s="58" t="e">
        <f>VLOOKUP(AQ1557,'[1]Harga &amp; Nama CSO'!$A$28:$D$31,4,0)*BQ1557</f>
        <v>#N/A</v>
      </c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44">
        <f>IFERROR(VLOOKUP(AQ1559,'[2]Harga &amp; Nama CSO'!$A$116:$S$136,19,FALSE),0)*AV1559</f>
        <v>0</v>
      </c>
      <c r="BO1558" s="55" t="e">
        <f>IFERROR(VLOOKUP(AQ1558,'[1]Harga &amp; Nama CSO'!$H$2:$N$22,2,FALSE),"")*AV1558</f>
        <v>#VALUE!</v>
      </c>
      <c r="BP1558" s="40"/>
      <c r="BQ1558" s="4"/>
      <c r="BR1558" s="61"/>
      <c r="BS1558" s="4"/>
      <c r="BT1558" s="57" t="e">
        <f t="shared" si="58"/>
        <v>#VALUE!</v>
      </c>
      <c r="BU1558" s="62"/>
      <c r="BV1558" s="8" t="e">
        <v>#VALUE!</v>
      </c>
      <c r="BW1558" s="58" t="e">
        <f>VLOOKUP(AQ1558,'[1]Harga &amp; Nama CSO'!$A$28:$D$31,4,0)*BQ1558</f>
        <v>#N/A</v>
      </c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44">
        <f>IFERROR(VLOOKUP(AQ1560,'[2]Harga &amp; Nama CSO'!$A$116:$S$136,19,FALSE),0)*AV1560</f>
        <v>0</v>
      </c>
      <c r="BO1559" s="55" t="e">
        <f>IFERROR(VLOOKUP(AQ1559,'[1]Harga &amp; Nama CSO'!$H$2:$N$22,2,FALSE),"")*AV1559</f>
        <v>#VALUE!</v>
      </c>
      <c r="BP1559" s="40"/>
      <c r="BQ1559" s="4"/>
      <c r="BR1559" s="61"/>
      <c r="BS1559" s="4"/>
      <c r="BT1559" s="57" t="e">
        <f t="shared" si="58"/>
        <v>#VALUE!</v>
      </c>
      <c r="BU1559" s="62"/>
      <c r="BV1559" s="8" t="e">
        <v>#VALUE!</v>
      </c>
      <c r="BW1559" s="58" t="e">
        <f>VLOOKUP(AQ1559,'[1]Harga &amp; Nama CSO'!$A$28:$D$31,4,0)*BQ1559</f>
        <v>#N/A</v>
      </c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44">
        <f>IFERROR(VLOOKUP(AQ1561,'[2]Harga &amp; Nama CSO'!$A$116:$S$136,19,FALSE),0)*AV1561</f>
        <v>0</v>
      </c>
      <c r="BO1560" s="55" t="e">
        <f>IFERROR(VLOOKUP(AQ1560,'[1]Harga &amp; Nama CSO'!$H$2:$N$22,2,FALSE),"")*AV1560</f>
        <v>#VALUE!</v>
      </c>
      <c r="BP1560" s="40"/>
      <c r="BQ1560" s="4"/>
      <c r="BR1560" s="61"/>
      <c r="BS1560" s="4"/>
      <c r="BT1560" s="57" t="e">
        <f t="shared" si="58"/>
        <v>#VALUE!</v>
      </c>
      <c r="BU1560" s="62"/>
      <c r="BV1560" s="8" t="e">
        <v>#VALUE!</v>
      </c>
      <c r="BW1560" s="58" t="e">
        <f>VLOOKUP(AQ1560,'[1]Harga &amp; Nama CSO'!$A$28:$D$31,4,0)*BQ1560</f>
        <v>#N/A</v>
      </c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44">
        <f>IFERROR(VLOOKUP(AQ1562,'[2]Harga &amp; Nama CSO'!$A$116:$S$136,19,FALSE),0)*AV1562</f>
        <v>0</v>
      </c>
      <c r="BO1561" s="55" t="e">
        <f>IFERROR(VLOOKUP(AQ1561,'[1]Harga &amp; Nama CSO'!$H$2:$N$22,2,FALSE),"")*AV1561</f>
        <v>#VALUE!</v>
      </c>
      <c r="BP1561" s="40"/>
      <c r="BQ1561" s="4"/>
      <c r="BR1561" s="61"/>
      <c r="BS1561" s="4"/>
      <c r="BT1561" s="57" t="e">
        <f t="shared" si="58"/>
        <v>#VALUE!</v>
      </c>
      <c r="BU1561" s="62"/>
      <c r="BV1561" s="8" t="e">
        <v>#VALUE!</v>
      </c>
      <c r="BW1561" s="58" t="e">
        <f>VLOOKUP(AQ1561,'[1]Harga &amp; Nama CSO'!$A$28:$D$31,4,0)*BQ1561</f>
        <v>#N/A</v>
      </c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44">
        <f>IFERROR(VLOOKUP(AQ1563,'[2]Harga &amp; Nama CSO'!$A$116:$S$136,19,FALSE),0)*AV1563</f>
        <v>0</v>
      </c>
      <c r="BO1562" s="55" t="e">
        <f>IFERROR(VLOOKUP(AQ1562,'[1]Harga &amp; Nama CSO'!$H$2:$N$22,2,FALSE),"")*AV1562</f>
        <v>#VALUE!</v>
      </c>
      <c r="BP1562" s="40"/>
      <c r="BQ1562" s="4"/>
      <c r="BR1562" s="61"/>
      <c r="BS1562" s="4"/>
      <c r="BT1562" s="57" t="e">
        <f t="shared" si="58"/>
        <v>#VALUE!</v>
      </c>
      <c r="BU1562" s="62"/>
      <c r="BV1562" s="8" t="e">
        <v>#VALUE!</v>
      </c>
      <c r="BW1562" s="58" t="e">
        <f>VLOOKUP(AQ1562,'[1]Harga &amp; Nama CSO'!$A$28:$D$31,4,0)*BQ1562</f>
        <v>#N/A</v>
      </c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44">
        <f>IFERROR(VLOOKUP(AQ1564,'[2]Harga &amp; Nama CSO'!$A$116:$S$136,19,FALSE),0)*AV1564</f>
        <v>0</v>
      </c>
      <c r="BO1563" s="55" t="e">
        <f>IFERROR(VLOOKUP(AQ1563,'[1]Harga &amp; Nama CSO'!$H$2:$N$22,2,FALSE),"")*AV1563</f>
        <v>#VALUE!</v>
      </c>
      <c r="BP1563" s="40"/>
      <c r="BQ1563" s="4"/>
      <c r="BR1563" s="61"/>
      <c r="BS1563" s="4"/>
      <c r="BT1563" s="57" t="e">
        <f t="shared" si="58"/>
        <v>#VALUE!</v>
      </c>
      <c r="BU1563" s="62"/>
      <c r="BV1563" s="8" t="e">
        <v>#VALUE!</v>
      </c>
      <c r="BW1563" s="58" t="e">
        <f>VLOOKUP(AQ1563,'[1]Harga &amp; Nama CSO'!$A$28:$D$31,4,0)*BQ1563</f>
        <v>#N/A</v>
      </c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44">
        <f>IFERROR(VLOOKUP(AQ1565,'[2]Harga &amp; Nama CSO'!$A$116:$S$136,19,FALSE),0)*AV1565</f>
        <v>0</v>
      </c>
      <c r="BO1564" s="55" t="e">
        <f>IFERROR(VLOOKUP(AQ1564,'[1]Harga &amp; Nama CSO'!$H$2:$N$22,2,FALSE),"")*AV1564</f>
        <v>#VALUE!</v>
      </c>
      <c r="BP1564" s="40"/>
      <c r="BQ1564" s="4"/>
      <c r="BR1564" s="61"/>
      <c r="BS1564" s="4"/>
      <c r="BT1564" s="57" t="e">
        <f t="shared" si="58"/>
        <v>#VALUE!</v>
      </c>
      <c r="BU1564" s="62"/>
      <c r="BV1564" s="8" t="e">
        <v>#VALUE!</v>
      </c>
      <c r="BW1564" s="58" t="e">
        <f>VLOOKUP(AQ1564,'[1]Harga &amp; Nama CSO'!$A$28:$D$31,4,0)*BQ1564</f>
        <v>#N/A</v>
      </c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44">
        <f>IFERROR(VLOOKUP(AQ1566,'[2]Harga &amp; Nama CSO'!$A$116:$S$136,19,FALSE),0)*AV1566</f>
        <v>0</v>
      </c>
      <c r="BO1565" s="55" t="e">
        <f>IFERROR(VLOOKUP(AQ1565,'[1]Harga &amp; Nama CSO'!$H$2:$N$22,2,FALSE),"")*AV1565</f>
        <v>#VALUE!</v>
      </c>
      <c r="BP1565" s="40"/>
      <c r="BQ1565" s="4"/>
      <c r="BR1565" s="61"/>
      <c r="BS1565" s="4"/>
      <c r="BT1565" s="57" t="e">
        <f t="shared" si="58"/>
        <v>#VALUE!</v>
      </c>
      <c r="BU1565" s="62"/>
      <c r="BV1565" s="8" t="e">
        <v>#VALUE!</v>
      </c>
      <c r="BW1565" s="58" t="e">
        <f>VLOOKUP(AQ1565,'[1]Harga &amp; Nama CSO'!$A$28:$D$31,4,0)*BQ1565</f>
        <v>#N/A</v>
      </c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44">
        <f>IFERROR(VLOOKUP(AQ1567,'[2]Harga &amp; Nama CSO'!$A$116:$S$136,19,FALSE),0)*AV1567</f>
        <v>0</v>
      </c>
      <c r="BO1566" s="55" t="e">
        <f>IFERROR(VLOOKUP(AQ1566,'[1]Harga &amp; Nama CSO'!$H$2:$N$22,2,FALSE),"")*AV1566</f>
        <v>#VALUE!</v>
      </c>
      <c r="BP1566" s="40"/>
      <c r="BQ1566" s="4"/>
      <c r="BR1566" s="61"/>
      <c r="BS1566" s="4"/>
      <c r="BT1566" s="57" t="e">
        <f t="shared" si="58"/>
        <v>#VALUE!</v>
      </c>
      <c r="BU1566" s="62"/>
      <c r="BV1566" s="8" t="e">
        <v>#VALUE!</v>
      </c>
      <c r="BW1566" s="58" t="e">
        <f>VLOOKUP(AQ1566,'[1]Harga &amp; Nama CSO'!$A$28:$D$31,4,0)*BQ1566</f>
        <v>#N/A</v>
      </c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44">
        <f>IFERROR(VLOOKUP(AQ1568,'[2]Harga &amp; Nama CSO'!$A$116:$S$136,19,FALSE),0)*AV1568</f>
        <v>0</v>
      </c>
      <c r="BO1567" s="55" t="e">
        <f>IFERROR(VLOOKUP(AQ1567,'[1]Harga &amp; Nama CSO'!$H$2:$N$22,2,FALSE),"")*AV1567</f>
        <v>#VALUE!</v>
      </c>
      <c r="BP1567" s="40"/>
      <c r="BQ1567" s="4"/>
      <c r="BR1567" s="61"/>
      <c r="BS1567" s="4"/>
      <c r="BT1567" s="57" t="e">
        <f t="shared" si="58"/>
        <v>#VALUE!</v>
      </c>
      <c r="BU1567" s="62"/>
      <c r="BV1567" s="8" t="e">
        <v>#VALUE!</v>
      </c>
      <c r="BW1567" s="58" t="e">
        <f>VLOOKUP(AQ1567,'[1]Harga &amp; Nama CSO'!$A$28:$D$31,4,0)*BQ1567</f>
        <v>#N/A</v>
      </c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44">
        <f>IFERROR(VLOOKUP(AQ1569,'[2]Harga &amp; Nama CSO'!$A$116:$S$136,19,FALSE),0)*AV1569</f>
        <v>0</v>
      </c>
      <c r="BO1568" s="55" t="e">
        <f>IFERROR(VLOOKUP(AQ1568,'[1]Harga &amp; Nama CSO'!$H$2:$N$22,2,FALSE),"")*AV1568</f>
        <v>#VALUE!</v>
      </c>
      <c r="BP1568" s="40"/>
      <c r="BQ1568" s="4"/>
      <c r="BR1568" s="61"/>
      <c r="BS1568" s="4"/>
      <c r="BT1568" s="57" t="e">
        <f t="shared" si="58"/>
        <v>#VALUE!</v>
      </c>
      <c r="BU1568" s="62"/>
      <c r="BV1568" s="8" t="e">
        <v>#VALUE!</v>
      </c>
      <c r="BW1568" s="58" t="e">
        <f>VLOOKUP(AQ1568,'[1]Harga &amp; Nama CSO'!$A$28:$D$31,4,0)*BQ1568</f>
        <v>#N/A</v>
      </c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44">
        <f>IFERROR(VLOOKUP(AQ1570,'[2]Harga &amp; Nama CSO'!$A$116:$S$136,19,FALSE),0)*AV1570</f>
        <v>0</v>
      </c>
      <c r="BO1569" s="55" t="e">
        <f>IFERROR(VLOOKUP(AQ1569,'[1]Harga &amp; Nama CSO'!$H$2:$N$22,2,FALSE),"")*AV1569</f>
        <v>#VALUE!</v>
      </c>
      <c r="BP1569" s="40"/>
      <c r="BQ1569" s="4"/>
      <c r="BR1569" s="61"/>
      <c r="BS1569" s="4"/>
      <c r="BT1569" s="57" t="e">
        <f t="shared" si="58"/>
        <v>#VALUE!</v>
      </c>
      <c r="BU1569" s="62"/>
      <c r="BV1569" s="8" t="e">
        <v>#VALUE!</v>
      </c>
      <c r="BW1569" s="58" t="e">
        <f>VLOOKUP(AQ1569,'[1]Harga &amp; Nama CSO'!$A$28:$D$31,4,0)*BQ1569</f>
        <v>#N/A</v>
      </c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44">
        <f>IFERROR(VLOOKUP(AQ1571,'[2]Harga &amp; Nama CSO'!$A$116:$S$136,19,FALSE),0)*AV1571</f>
        <v>0</v>
      </c>
      <c r="BO1570" s="55" t="e">
        <f>IFERROR(VLOOKUP(AQ1570,'[1]Harga &amp; Nama CSO'!$H$2:$N$22,2,FALSE),"")*AV1570</f>
        <v>#VALUE!</v>
      </c>
      <c r="BP1570" s="40"/>
      <c r="BQ1570" s="4"/>
      <c r="BR1570" s="61"/>
      <c r="BS1570" s="4"/>
      <c r="BT1570" s="57" t="e">
        <f t="shared" si="58"/>
        <v>#VALUE!</v>
      </c>
      <c r="BU1570" s="62"/>
      <c r="BV1570" s="8" t="e">
        <v>#VALUE!</v>
      </c>
      <c r="BW1570" s="58" t="e">
        <f>VLOOKUP(AQ1570,'[1]Harga &amp; Nama CSO'!$A$28:$D$31,4,0)*BQ1570</f>
        <v>#N/A</v>
      </c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44">
        <f>IFERROR(VLOOKUP(AQ1572,'[2]Harga &amp; Nama CSO'!$A$116:$S$136,19,FALSE),0)*AV1572</f>
        <v>0</v>
      </c>
      <c r="BO1571" s="55" t="e">
        <f>IFERROR(VLOOKUP(AQ1571,'[1]Harga &amp; Nama CSO'!$H$2:$N$22,2,FALSE),"")*AV1571</f>
        <v>#VALUE!</v>
      </c>
      <c r="BP1571" s="40"/>
      <c r="BQ1571" s="4"/>
      <c r="BR1571" s="61"/>
      <c r="BS1571" s="4"/>
      <c r="BT1571" s="57" t="e">
        <f t="shared" si="58"/>
        <v>#VALUE!</v>
      </c>
      <c r="BU1571" s="62"/>
      <c r="BV1571" s="8" t="e">
        <v>#VALUE!</v>
      </c>
      <c r="BW1571" s="58" t="e">
        <f>VLOOKUP(AQ1571,'[1]Harga &amp; Nama CSO'!$A$28:$D$31,4,0)*BQ1571</f>
        <v>#N/A</v>
      </c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44">
        <f>IFERROR(VLOOKUP(AQ1573,'[2]Harga &amp; Nama CSO'!$A$116:$S$136,19,FALSE),0)*AV1573</f>
        <v>0</v>
      </c>
      <c r="BO1572" s="55" t="e">
        <f>IFERROR(VLOOKUP(AQ1572,'[1]Harga &amp; Nama CSO'!$H$2:$N$22,2,FALSE),"")*AV1572</f>
        <v>#VALUE!</v>
      </c>
      <c r="BP1572" s="40"/>
      <c r="BQ1572" s="4"/>
      <c r="BR1572" s="61"/>
      <c r="BS1572" s="4"/>
      <c r="BT1572" s="57" t="e">
        <f t="shared" si="58"/>
        <v>#VALUE!</v>
      </c>
      <c r="BU1572" s="62"/>
      <c r="BV1572" s="8" t="e">
        <v>#VALUE!</v>
      </c>
      <c r="BW1572" s="58" t="e">
        <f>VLOOKUP(AQ1572,'[1]Harga &amp; Nama CSO'!$A$28:$D$31,4,0)*BQ1572</f>
        <v>#N/A</v>
      </c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44">
        <f>IFERROR(VLOOKUP(AQ1574,'[2]Harga &amp; Nama CSO'!$A$116:$S$136,19,FALSE),0)*AV1574</f>
        <v>0</v>
      </c>
      <c r="BO1573" s="55" t="e">
        <f>IFERROR(VLOOKUP(AQ1573,'[1]Harga &amp; Nama CSO'!$H$2:$N$22,2,FALSE),"")*AV1573</f>
        <v>#VALUE!</v>
      </c>
      <c r="BP1573" s="40"/>
      <c r="BQ1573" s="4"/>
      <c r="BR1573" s="61"/>
      <c r="BS1573" s="4"/>
      <c r="BT1573" s="57" t="e">
        <f t="shared" si="58"/>
        <v>#VALUE!</v>
      </c>
      <c r="BU1573" s="62"/>
      <c r="BV1573" s="8" t="e">
        <v>#VALUE!</v>
      </c>
      <c r="BW1573" s="58" t="e">
        <f>VLOOKUP(AQ1573,'[1]Harga &amp; Nama CSO'!$A$28:$D$31,4,0)*BQ1573</f>
        <v>#N/A</v>
      </c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44">
        <f>IFERROR(VLOOKUP(AQ1575,'[2]Harga &amp; Nama CSO'!$A$116:$S$136,19,FALSE),0)*AV1575</f>
        <v>0</v>
      </c>
      <c r="BO1574" s="55" t="e">
        <f>IFERROR(VLOOKUP(AQ1574,'[1]Harga &amp; Nama CSO'!$H$2:$N$22,2,FALSE),"")*AV1574</f>
        <v>#VALUE!</v>
      </c>
      <c r="BP1574" s="40"/>
      <c r="BQ1574" s="4"/>
      <c r="BR1574" s="61"/>
      <c r="BS1574" s="4"/>
      <c r="BT1574" s="57" t="e">
        <f t="shared" si="58"/>
        <v>#VALUE!</v>
      </c>
      <c r="BU1574" s="62"/>
      <c r="BV1574" s="8" t="e">
        <v>#VALUE!</v>
      </c>
      <c r="BW1574" s="58" t="e">
        <f>VLOOKUP(AQ1574,'[1]Harga &amp; Nama CSO'!$A$28:$D$31,4,0)*BQ1574</f>
        <v>#N/A</v>
      </c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44">
        <f>IFERROR(VLOOKUP(AQ1576,'[2]Harga &amp; Nama CSO'!$A$116:$S$136,19,FALSE),0)*AV1576</f>
        <v>0</v>
      </c>
      <c r="BO1575" s="55" t="e">
        <f>IFERROR(VLOOKUP(AQ1575,'[1]Harga &amp; Nama CSO'!$H$2:$N$22,2,FALSE),"")*AV1575</f>
        <v>#VALUE!</v>
      </c>
      <c r="BP1575" s="40"/>
      <c r="BQ1575" s="4"/>
      <c r="BR1575" s="61"/>
      <c r="BS1575" s="4"/>
      <c r="BT1575" s="57" t="e">
        <f t="shared" si="58"/>
        <v>#VALUE!</v>
      </c>
      <c r="BU1575" s="62"/>
      <c r="BV1575" s="8" t="e">
        <v>#VALUE!</v>
      </c>
      <c r="BW1575" s="58" t="e">
        <f>VLOOKUP(AQ1575,'[1]Harga &amp; Nama CSO'!$A$28:$D$31,4,0)*BQ1575</f>
        <v>#N/A</v>
      </c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44">
        <f>IFERROR(VLOOKUP(AQ1577,'[2]Harga &amp; Nama CSO'!$A$116:$S$136,19,FALSE),0)*AV1577</f>
        <v>0</v>
      </c>
      <c r="BO1576" s="55" t="e">
        <f>IFERROR(VLOOKUP(AQ1576,'[1]Harga &amp; Nama CSO'!$H$2:$N$22,2,FALSE),"")*AV1576</f>
        <v>#VALUE!</v>
      </c>
      <c r="BP1576" s="40"/>
      <c r="BQ1576" s="4"/>
      <c r="BR1576" s="61"/>
      <c r="BS1576" s="4"/>
      <c r="BT1576" s="57" t="e">
        <f t="shared" si="58"/>
        <v>#VALUE!</v>
      </c>
      <c r="BU1576" s="62"/>
      <c r="BV1576" s="8" t="e">
        <v>#VALUE!</v>
      </c>
      <c r="BW1576" s="58" t="e">
        <f>VLOOKUP(AQ1576,'[1]Harga &amp; Nama CSO'!$A$28:$D$31,4,0)*BQ1576</f>
        <v>#N/A</v>
      </c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44">
        <f>IFERROR(VLOOKUP(AQ1578,'[2]Harga &amp; Nama CSO'!$A$116:$S$136,19,FALSE),0)*AV1578</f>
        <v>0</v>
      </c>
      <c r="BO1577" s="55" t="e">
        <f>IFERROR(VLOOKUP(AQ1577,'[1]Harga &amp; Nama CSO'!$H$2:$N$22,2,FALSE),"")*AV1577</f>
        <v>#VALUE!</v>
      </c>
      <c r="BP1577" s="40"/>
      <c r="BQ1577" s="4"/>
      <c r="BR1577" s="61"/>
      <c r="BS1577" s="4"/>
      <c r="BT1577" s="57" t="e">
        <f t="shared" si="58"/>
        <v>#VALUE!</v>
      </c>
      <c r="BU1577" s="62"/>
      <c r="BV1577" s="8" t="e">
        <v>#VALUE!</v>
      </c>
      <c r="BW1577" s="58" t="e">
        <f>VLOOKUP(AQ1577,'[1]Harga &amp; Nama CSO'!$A$28:$D$31,4,0)*BQ1577</f>
        <v>#N/A</v>
      </c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44">
        <f>IFERROR(VLOOKUP(AQ1579,'[2]Harga &amp; Nama CSO'!$A$116:$S$136,19,FALSE),0)*AV1579</f>
        <v>0</v>
      </c>
      <c r="BO1578" s="55" t="e">
        <f>IFERROR(VLOOKUP(AQ1578,'[1]Harga &amp; Nama CSO'!$H$2:$N$22,2,FALSE),"")*AV1578</f>
        <v>#VALUE!</v>
      </c>
      <c r="BP1578" s="40"/>
      <c r="BQ1578" s="4"/>
      <c r="BR1578" s="61"/>
      <c r="BS1578" s="4"/>
      <c r="BT1578" s="57" t="e">
        <f t="shared" si="58"/>
        <v>#VALUE!</v>
      </c>
      <c r="BU1578" s="62"/>
      <c r="BV1578" s="8" t="e">
        <v>#VALUE!</v>
      </c>
      <c r="BW1578" s="58" t="e">
        <f>VLOOKUP(AQ1578,'[1]Harga &amp; Nama CSO'!$A$28:$D$31,4,0)*BQ1578</f>
        <v>#N/A</v>
      </c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44">
        <f>IFERROR(VLOOKUP(AQ1580,'[2]Harga &amp; Nama CSO'!$A$116:$S$136,19,FALSE),0)*AV1580</f>
        <v>0</v>
      </c>
      <c r="BO1579" s="55" t="e">
        <f>IFERROR(VLOOKUP(AQ1579,'[1]Harga &amp; Nama CSO'!$H$2:$N$22,2,FALSE),"")*AV1579</f>
        <v>#VALUE!</v>
      </c>
      <c r="BP1579" s="40"/>
      <c r="BQ1579" s="4"/>
      <c r="BR1579" s="61"/>
      <c r="BS1579" s="4"/>
      <c r="BT1579" s="57" t="e">
        <f t="shared" si="58"/>
        <v>#VALUE!</v>
      </c>
      <c r="BU1579" s="62"/>
      <c r="BV1579" s="8" t="e">
        <v>#VALUE!</v>
      </c>
      <c r="BW1579" s="58" t="e">
        <f>VLOOKUP(AQ1579,'[1]Harga &amp; Nama CSO'!$A$28:$D$31,4,0)*BQ1579</f>
        <v>#N/A</v>
      </c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44">
        <f>IFERROR(VLOOKUP(AQ1581,'[2]Harga &amp; Nama CSO'!$A$116:$S$136,19,FALSE),0)*AV1581</f>
        <v>0</v>
      </c>
      <c r="BO1580" s="55" t="e">
        <f>IFERROR(VLOOKUP(AQ1580,'[1]Harga &amp; Nama CSO'!$H$2:$N$22,2,FALSE),"")*AV1580</f>
        <v>#VALUE!</v>
      </c>
      <c r="BP1580" s="40"/>
      <c r="BQ1580" s="4"/>
      <c r="BR1580" s="61"/>
      <c r="BS1580" s="4"/>
      <c r="BT1580" s="57" t="e">
        <f t="shared" si="58"/>
        <v>#VALUE!</v>
      </c>
      <c r="BU1580" s="62"/>
      <c r="BV1580" s="8" t="e">
        <v>#VALUE!</v>
      </c>
      <c r="BW1580" s="58" t="e">
        <f>VLOOKUP(AQ1580,'[1]Harga &amp; Nama CSO'!$A$28:$D$31,4,0)*BQ1580</f>
        <v>#N/A</v>
      </c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44">
        <f>IFERROR(VLOOKUP(AQ1582,'[2]Harga &amp; Nama CSO'!$A$116:$S$136,19,FALSE),0)*AV1582</f>
        <v>0</v>
      </c>
      <c r="BO1581" s="55" t="e">
        <f>IFERROR(VLOOKUP(AQ1581,'[1]Harga &amp; Nama CSO'!$H$2:$N$22,2,FALSE),"")*AV1581</f>
        <v>#VALUE!</v>
      </c>
      <c r="BP1581" s="40"/>
      <c r="BQ1581" s="4"/>
      <c r="BR1581" s="61"/>
      <c r="BS1581" s="4"/>
      <c r="BT1581" s="57" t="e">
        <f t="shared" si="58"/>
        <v>#VALUE!</v>
      </c>
      <c r="BU1581" s="62"/>
      <c r="BV1581" s="8" t="e">
        <v>#VALUE!</v>
      </c>
      <c r="BW1581" s="58" t="e">
        <f>VLOOKUP(AQ1581,'[1]Harga &amp; Nama CSO'!$A$28:$D$31,4,0)*BQ1581</f>
        <v>#N/A</v>
      </c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44">
        <f>IFERROR(VLOOKUP(AQ1583,'[2]Harga &amp; Nama CSO'!$A$116:$S$136,19,FALSE),0)*AV1583</f>
        <v>0</v>
      </c>
      <c r="BO1582" s="55" t="e">
        <f>IFERROR(VLOOKUP(AQ1582,'[1]Harga &amp; Nama CSO'!$H$2:$N$22,2,FALSE),"")*AV1582</f>
        <v>#VALUE!</v>
      </c>
      <c r="BP1582" s="40"/>
      <c r="BQ1582" s="4"/>
      <c r="BR1582" s="61"/>
      <c r="BS1582" s="4"/>
      <c r="BT1582" s="57" t="e">
        <f t="shared" si="58"/>
        <v>#VALUE!</v>
      </c>
      <c r="BU1582" s="62"/>
      <c r="BV1582" s="8" t="e">
        <v>#VALUE!</v>
      </c>
      <c r="BW1582" s="58" t="e">
        <f>VLOOKUP(AQ1582,'[1]Harga &amp; Nama CSO'!$A$28:$D$31,4,0)*BQ1582</f>
        <v>#N/A</v>
      </c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44">
        <f>IFERROR(VLOOKUP(AQ1584,'[2]Harga &amp; Nama CSO'!$A$116:$S$136,19,FALSE),0)*AV1584</f>
        <v>0</v>
      </c>
      <c r="BO1583" s="55" t="e">
        <f>IFERROR(VLOOKUP(AQ1583,'[1]Harga &amp; Nama CSO'!$H$2:$N$22,2,FALSE),"")*AV1583</f>
        <v>#VALUE!</v>
      </c>
      <c r="BP1583" s="40"/>
      <c r="BQ1583" s="4"/>
      <c r="BR1583" s="61"/>
      <c r="BS1583" s="4"/>
      <c r="BT1583" s="57" t="e">
        <f t="shared" si="58"/>
        <v>#VALUE!</v>
      </c>
      <c r="BU1583" s="62"/>
      <c r="BV1583" s="8" t="e">
        <v>#VALUE!</v>
      </c>
      <c r="BW1583" s="58" t="e">
        <f>VLOOKUP(AQ1583,'[1]Harga &amp; Nama CSO'!$A$28:$D$31,4,0)*BQ1583</f>
        <v>#N/A</v>
      </c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44">
        <f>IFERROR(VLOOKUP(AQ1585,'[2]Harga &amp; Nama CSO'!$A$116:$S$136,19,FALSE),0)*AV1585</f>
        <v>0</v>
      </c>
      <c r="BO1584" s="55" t="e">
        <f>IFERROR(VLOOKUP(AQ1584,'[1]Harga &amp; Nama CSO'!$H$2:$N$22,2,FALSE),"")*AV1584</f>
        <v>#VALUE!</v>
      </c>
      <c r="BP1584" s="40"/>
      <c r="BQ1584" s="4"/>
      <c r="BR1584" s="61"/>
      <c r="BS1584" s="4"/>
      <c r="BT1584" s="57" t="e">
        <f t="shared" si="58"/>
        <v>#VALUE!</v>
      </c>
      <c r="BU1584" s="62"/>
      <c r="BV1584" s="8" t="e">
        <v>#VALUE!</v>
      </c>
      <c r="BW1584" s="58" t="e">
        <f>VLOOKUP(AQ1584,'[1]Harga &amp; Nama CSO'!$A$28:$D$31,4,0)*BQ1584</f>
        <v>#N/A</v>
      </c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44">
        <f>IFERROR(VLOOKUP(AQ1586,'[2]Harga &amp; Nama CSO'!$A$116:$S$136,19,FALSE),0)*AV1586</f>
        <v>0</v>
      </c>
      <c r="BO1585" s="55" t="e">
        <f>IFERROR(VLOOKUP(AQ1585,'[1]Harga &amp; Nama CSO'!$H$2:$N$22,2,FALSE),"")*AV1585</f>
        <v>#VALUE!</v>
      </c>
      <c r="BP1585" s="40"/>
      <c r="BQ1585" s="4"/>
      <c r="BR1585" s="61"/>
      <c r="BS1585" s="4"/>
      <c r="BT1585" s="57" t="e">
        <f t="shared" si="58"/>
        <v>#VALUE!</v>
      </c>
      <c r="BU1585" s="62"/>
      <c r="BV1585" s="8" t="e">
        <v>#VALUE!</v>
      </c>
      <c r="BW1585" s="58" t="e">
        <f>VLOOKUP(AQ1585,'[1]Harga &amp; Nama CSO'!$A$28:$D$31,4,0)*BQ1585</f>
        <v>#N/A</v>
      </c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44">
        <f>IFERROR(VLOOKUP(AQ1587,'[2]Harga &amp; Nama CSO'!$A$116:$S$136,19,FALSE),0)*AV1587</f>
        <v>0</v>
      </c>
      <c r="BO1586" s="55" t="e">
        <f>IFERROR(VLOOKUP(AQ1586,'[1]Harga &amp; Nama CSO'!$H$2:$N$22,2,FALSE),"")*AV1586</f>
        <v>#VALUE!</v>
      </c>
      <c r="BP1586" s="40"/>
      <c r="BQ1586" s="4"/>
      <c r="BR1586" s="61"/>
      <c r="BS1586" s="4"/>
      <c r="BT1586" s="57" t="e">
        <f t="shared" si="58"/>
        <v>#VALUE!</v>
      </c>
      <c r="BU1586" s="62"/>
      <c r="BV1586" s="8" t="e">
        <v>#VALUE!</v>
      </c>
      <c r="BW1586" s="58" t="e">
        <f>VLOOKUP(AQ1586,'[1]Harga &amp; Nama CSO'!$A$28:$D$31,4,0)*BQ1586</f>
        <v>#N/A</v>
      </c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44">
        <f>IFERROR(VLOOKUP(AQ1588,'[2]Harga &amp; Nama CSO'!$A$116:$S$136,19,FALSE),0)*AV1588</f>
        <v>0</v>
      </c>
      <c r="BO1587" s="55" t="e">
        <f>IFERROR(VLOOKUP(AQ1587,'[1]Harga &amp; Nama CSO'!$H$2:$N$22,2,FALSE),"")*AV1587</f>
        <v>#VALUE!</v>
      </c>
      <c r="BP1587" s="40"/>
      <c r="BQ1587" s="4"/>
      <c r="BR1587" s="61"/>
      <c r="BS1587" s="4"/>
      <c r="BT1587" s="57" t="e">
        <f t="shared" si="58"/>
        <v>#VALUE!</v>
      </c>
      <c r="BU1587" s="62"/>
      <c r="BV1587" s="8" t="e">
        <v>#VALUE!</v>
      </c>
      <c r="BW1587" s="58" t="e">
        <f>VLOOKUP(AQ1587,'[1]Harga &amp; Nama CSO'!$A$28:$D$31,4,0)*BQ1587</f>
        <v>#N/A</v>
      </c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44">
        <f>IFERROR(VLOOKUP(AQ1589,'[2]Harga &amp; Nama CSO'!$A$116:$S$136,19,FALSE),0)*AV1589</f>
        <v>0</v>
      </c>
      <c r="BO1588" s="55" t="e">
        <f>IFERROR(VLOOKUP(AQ1588,'[1]Harga &amp; Nama CSO'!$H$2:$N$22,2,FALSE),"")*AV1588</f>
        <v>#VALUE!</v>
      </c>
      <c r="BP1588" s="40"/>
      <c r="BQ1588" s="4"/>
      <c r="BR1588" s="61"/>
      <c r="BS1588" s="4"/>
      <c r="BT1588" s="57" t="e">
        <f t="shared" si="58"/>
        <v>#VALUE!</v>
      </c>
      <c r="BU1588" s="62"/>
      <c r="BV1588" s="8" t="e">
        <v>#VALUE!</v>
      </c>
      <c r="BW1588" s="58" t="e">
        <f>VLOOKUP(AQ1588,'[1]Harga &amp; Nama CSO'!$A$28:$D$31,4,0)*BQ1588</f>
        <v>#N/A</v>
      </c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44">
        <f>IFERROR(VLOOKUP(AQ1590,'[2]Harga &amp; Nama CSO'!$A$116:$S$136,19,FALSE),0)*AV1590</f>
        <v>0</v>
      </c>
      <c r="BO1589" s="55" t="e">
        <f>IFERROR(VLOOKUP(AQ1589,'[1]Harga &amp; Nama CSO'!$H$2:$N$22,2,FALSE),"")*AV1589</f>
        <v>#VALUE!</v>
      </c>
      <c r="BP1589" s="40"/>
      <c r="BQ1589" s="4"/>
      <c r="BR1589" s="61"/>
      <c r="BS1589" s="4"/>
      <c r="BT1589" s="57" t="e">
        <f t="shared" si="58"/>
        <v>#VALUE!</v>
      </c>
      <c r="BU1589" s="62"/>
      <c r="BV1589" s="8" t="e">
        <v>#VALUE!</v>
      </c>
      <c r="BW1589" s="58" t="e">
        <f>VLOOKUP(AQ1589,'[1]Harga &amp; Nama CSO'!$A$28:$D$31,4,0)*BQ1589</f>
        <v>#N/A</v>
      </c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44">
        <f>IFERROR(VLOOKUP(AQ1591,'[2]Harga &amp; Nama CSO'!$A$116:$S$136,19,FALSE),0)*AV1591</f>
        <v>0</v>
      </c>
      <c r="BO1590" s="55" t="e">
        <f>IFERROR(VLOOKUP(AQ1590,'[1]Harga &amp; Nama CSO'!$H$2:$N$22,2,FALSE),"")*AV1590</f>
        <v>#VALUE!</v>
      </c>
      <c r="BP1590" s="40"/>
      <c r="BQ1590" s="4"/>
      <c r="BR1590" s="61"/>
      <c r="BS1590" s="4"/>
      <c r="BT1590" s="57" t="e">
        <f t="shared" si="58"/>
        <v>#VALUE!</v>
      </c>
      <c r="BU1590" s="62"/>
      <c r="BV1590" s="8" t="e">
        <v>#VALUE!</v>
      </c>
      <c r="BW1590" s="58" t="e">
        <f>VLOOKUP(AQ1590,'[1]Harga &amp; Nama CSO'!$A$28:$D$31,4,0)*BQ1590</f>
        <v>#N/A</v>
      </c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44">
        <f>IFERROR(VLOOKUP(AQ1592,'[2]Harga &amp; Nama CSO'!$A$116:$S$136,19,FALSE),0)*AV1592</f>
        <v>0</v>
      </c>
      <c r="BO1591" s="55" t="e">
        <f>IFERROR(VLOOKUP(AQ1591,'[1]Harga &amp; Nama CSO'!$H$2:$N$22,2,FALSE),"")*AV1591</f>
        <v>#VALUE!</v>
      </c>
      <c r="BP1591" s="40"/>
      <c r="BQ1591" s="4"/>
      <c r="BR1591" s="61"/>
      <c r="BS1591" s="4"/>
      <c r="BT1591" s="57" t="e">
        <f t="shared" si="58"/>
        <v>#VALUE!</v>
      </c>
      <c r="BU1591" s="62"/>
      <c r="BV1591" s="8" t="e">
        <v>#VALUE!</v>
      </c>
      <c r="BW1591" s="58" t="e">
        <f>VLOOKUP(AQ1591,'[1]Harga &amp; Nama CSO'!$A$28:$D$31,4,0)*BQ1591</f>
        <v>#N/A</v>
      </c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44">
        <f>IFERROR(VLOOKUP(AQ1593,'[2]Harga &amp; Nama CSO'!$A$116:$S$136,19,FALSE),0)*AV1593</f>
        <v>0</v>
      </c>
      <c r="BO1592" s="55" t="e">
        <f>IFERROR(VLOOKUP(AQ1592,'[1]Harga &amp; Nama CSO'!$H$2:$N$22,2,FALSE),"")*AV1592</f>
        <v>#VALUE!</v>
      </c>
      <c r="BP1592" s="40"/>
      <c r="BQ1592" s="4"/>
      <c r="BR1592" s="61"/>
      <c r="BS1592" s="4"/>
      <c r="BT1592" s="57" t="e">
        <f t="shared" si="58"/>
        <v>#VALUE!</v>
      </c>
      <c r="BU1592" s="62"/>
      <c r="BV1592" s="8" t="e">
        <v>#VALUE!</v>
      </c>
      <c r="BW1592" s="58" t="e">
        <f>VLOOKUP(AQ1592,'[1]Harga &amp; Nama CSO'!$A$28:$D$31,4,0)*BQ1592</f>
        <v>#N/A</v>
      </c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44">
        <f>IFERROR(VLOOKUP(AQ1594,'[2]Harga &amp; Nama CSO'!$A$116:$S$136,19,FALSE),0)*AV1594</f>
        <v>0</v>
      </c>
      <c r="BO1593" s="55" t="e">
        <f>IFERROR(VLOOKUP(AQ1593,'[1]Harga &amp; Nama CSO'!$H$2:$N$22,2,FALSE),"")*AV1593</f>
        <v>#VALUE!</v>
      </c>
      <c r="BP1593" s="40"/>
      <c r="BQ1593" s="4"/>
      <c r="BR1593" s="61"/>
      <c r="BS1593" s="4"/>
      <c r="BT1593" s="57" t="e">
        <f t="shared" si="58"/>
        <v>#VALUE!</v>
      </c>
      <c r="BU1593" s="62"/>
      <c r="BV1593" s="8" t="e">
        <v>#VALUE!</v>
      </c>
      <c r="BW1593" s="58" t="e">
        <f>VLOOKUP(AQ1593,'[1]Harga &amp; Nama CSO'!$A$28:$D$31,4,0)*BQ1593</f>
        <v>#N/A</v>
      </c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44">
        <f>IFERROR(VLOOKUP(AQ1595,'[2]Harga &amp; Nama CSO'!$A$116:$S$136,19,FALSE),0)*AV1595</f>
        <v>0</v>
      </c>
      <c r="BO1594" s="55" t="e">
        <f>IFERROR(VLOOKUP(AQ1594,'[1]Harga &amp; Nama CSO'!$H$2:$N$22,2,FALSE),"")*AV1594</f>
        <v>#VALUE!</v>
      </c>
      <c r="BP1594" s="40"/>
      <c r="BQ1594" s="4"/>
      <c r="BR1594" s="61"/>
      <c r="BS1594" s="4"/>
      <c r="BT1594" s="57" t="e">
        <f t="shared" si="58"/>
        <v>#VALUE!</v>
      </c>
      <c r="BU1594" s="62"/>
      <c r="BV1594" s="8" t="e">
        <v>#VALUE!</v>
      </c>
      <c r="BW1594" s="58" t="e">
        <f>VLOOKUP(AQ1594,'[1]Harga &amp; Nama CSO'!$A$28:$D$31,4,0)*BQ1594</f>
        <v>#N/A</v>
      </c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44">
        <f>IFERROR(VLOOKUP(AQ1596,'[2]Harga &amp; Nama CSO'!$A$116:$S$136,19,FALSE),0)*AV1596</f>
        <v>0</v>
      </c>
      <c r="BO1595" s="55" t="e">
        <f>IFERROR(VLOOKUP(AQ1595,'[1]Harga &amp; Nama CSO'!$H$2:$N$22,2,FALSE),"")*AV1595</f>
        <v>#VALUE!</v>
      </c>
      <c r="BP1595" s="40"/>
      <c r="BQ1595" s="4"/>
      <c r="BR1595" s="61"/>
      <c r="BS1595" s="4"/>
      <c r="BT1595" s="57" t="e">
        <f t="shared" si="58"/>
        <v>#VALUE!</v>
      </c>
      <c r="BU1595" s="62"/>
      <c r="BV1595" s="8" t="e">
        <v>#VALUE!</v>
      </c>
      <c r="BW1595" s="58" t="e">
        <f>VLOOKUP(AQ1595,'[1]Harga &amp; Nama CSO'!$A$28:$D$31,4,0)*BQ1595</f>
        <v>#N/A</v>
      </c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44">
        <f>IFERROR(VLOOKUP(AQ1597,'[2]Harga &amp; Nama CSO'!$A$116:$S$136,19,FALSE),0)*AV1597</f>
        <v>0</v>
      </c>
      <c r="BO1596" s="55" t="e">
        <f>IFERROR(VLOOKUP(AQ1596,'[1]Harga &amp; Nama CSO'!$H$2:$N$22,2,FALSE),"")*AV1596</f>
        <v>#VALUE!</v>
      </c>
      <c r="BP1596" s="40"/>
      <c r="BQ1596" s="4"/>
      <c r="BR1596" s="61"/>
      <c r="BS1596" s="4"/>
      <c r="BT1596" s="57" t="e">
        <f t="shared" si="58"/>
        <v>#VALUE!</v>
      </c>
      <c r="BU1596" s="62"/>
      <c r="BV1596" s="8" t="e">
        <v>#VALUE!</v>
      </c>
      <c r="BW1596" s="58" t="e">
        <f>VLOOKUP(AQ1596,'[1]Harga &amp; Nama CSO'!$A$28:$D$31,4,0)*BQ1596</f>
        <v>#N/A</v>
      </c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44">
        <f>IFERROR(VLOOKUP(AQ1598,'[2]Harga &amp; Nama CSO'!$A$116:$S$136,19,FALSE),0)*AV1598</f>
        <v>0</v>
      </c>
      <c r="BO1597" s="55" t="e">
        <f>IFERROR(VLOOKUP(AQ1597,'[1]Harga &amp; Nama CSO'!$H$2:$N$22,2,FALSE),"")*AV1597</f>
        <v>#VALUE!</v>
      </c>
      <c r="BP1597" s="40"/>
      <c r="BQ1597" s="4"/>
      <c r="BR1597" s="61"/>
      <c r="BS1597" s="4"/>
      <c r="BT1597" s="57" t="e">
        <f t="shared" si="58"/>
        <v>#VALUE!</v>
      </c>
      <c r="BU1597" s="62"/>
      <c r="BV1597" s="8" t="e">
        <v>#VALUE!</v>
      </c>
      <c r="BW1597" s="58" t="e">
        <f>VLOOKUP(AQ1597,'[1]Harga &amp; Nama CSO'!$A$28:$D$31,4,0)*BQ1597</f>
        <v>#N/A</v>
      </c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44">
        <f>IFERROR(VLOOKUP(AQ1599,'[2]Harga &amp; Nama CSO'!$A$116:$S$136,19,FALSE),0)*AV1599</f>
        <v>0</v>
      </c>
      <c r="BO1598" s="55" t="e">
        <f>IFERROR(VLOOKUP(AQ1598,'[1]Harga &amp; Nama CSO'!$H$2:$N$22,2,FALSE),"")*AV1598</f>
        <v>#VALUE!</v>
      </c>
      <c r="BP1598" s="40"/>
      <c r="BQ1598" s="4"/>
      <c r="BR1598" s="61"/>
      <c r="BS1598" s="4"/>
      <c r="BT1598" s="57" t="e">
        <f t="shared" si="58"/>
        <v>#VALUE!</v>
      </c>
      <c r="BU1598" s="62"/>
      <c r="BV1598" s="8" t="e">
        <v>#VALUE!</v>
      </c>
      <c r="BW1598" s="58" t="e">
        <f>VLOOKUP(AQ1598,'[1]Harga &amp; Nama CSO'!$A$28:$D$31,4,0)*BQ1598</f>
        <v>#N/A</v>
      </c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44">
        <f>IFERROR(VLOOKUP(AQ1600,'[2]Harga &amp; Nama CSO'!$A$116:$S$136,19,FALSE),0)*AV1600</f>
        <v>0</v>
      </c>
      <c r="BO1599" s="55" t="e">
        <f>IFERROR(VLOOKUP(AQ1599,'[1]Harga &amp; Nama CSO'!$H$2:$N$22,2,FALSE),"")*AV1599</f>
        <v>#VALUE!</v>
      </c>
      <c r="BP1599" s="40"/>
      <c r="BQ1599" s="4"/>
      <c r="BR1599" s="61"/>
      <c r="BS1599" s="4"/>
      <c r="BT1599" s="57" t="e">
        <f t="shared" si="58"/>
        <v>#VALUE!</v>
      </c>
      <c r="BU1599" s="62"/>
      <c r="BV1599" s="8" t="e">
        <v>#VALUE!</v>
      </c>
      <c r="BW1599" s="58" t="e">
        <f>VLOOKUP(AQ1599,'[1]Harga &amp; Nama CSO'!$A$28:$D$31,4,0)*BQ1599</f>
        <v>#N/A</v>
      </c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44">
        <f>IFERROR(VLOOKUP(AQ1601,'[2]Harga &amp; Nama CSO'!$A$116:$S$136,19,FALSE),0)*AV1601</f>
        <v>0</v>
      </c>
      <c r="BO1600" s="55" t="e">
        <f>IFERROR(VLOOKUP(AQ1600,'[1]Harga &amp; Nama CSO'!$H$2:$N$22,2,FALSE),"")*AV1600</f>
        <v>#VALUE!</v>
      </c>
      <c r="BP1600" s="40"/>
      <c r="BQ1600" s="4"/>
      <c r="BR1600" s="61"/>
      <c r="BS1600" s="4"/>
      <c r="BT1600" s="57" t="e">
        <f t="shared" si="58"/>
        <v>#VALUE!</v>
      </c>
      <c r="BU1600" s="62"/>
      <c r="BV1600" s="8" t="e">
        <v>#VALUE!</v>
      </c>
      <c r="BW1600" s="58" t="e">
        <f>VLOOKUP(AQ1600,'[1]Harga &amp; Nama CSO'!$A$28:$D$31,4,0)*BQ1600</f>
        <v>#N/A</v>
      </c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44">
        <f>IFERROR(VLOOKUP(AQ1602,'[2]Harga &amp; Nama CSO'!$A$116:$S$136,19,FALSE),0)*AV1602</f>
        <v>0</v>
      </c>
      <c r="BO1601" s="55" t="e">
        <f>IFERROR(VLOOKUP(AQ1601,'[1]Harga &amp; Nama CSO'!$H$2:$N$22,2,FALSE),"")*AV1601</f>
        <v>#VALUE!</v>
      </c>
      <c r="BP1601" s="40"/>
      <c r="BQ1601" s="4"/>
      <c r="BR1601" s="61"/>
      <c r="BS1601" s="4"/>
      <c r="BT1601" s="57" t="e">
        <f t="shared" si="58"/>
        <v>#VALUE!</v>
      </c>
      <c r="BU1601" s="62"/>
      <c r="BV1601" s="8" t="e">
        <v>#VALUE!</v>
      </c>
      <c r="BW1601" s="58" t="e">
        <f>VLOOKUP(AQ1601,'[1]Harga &amp; Nama CSO'!$A$28:$D$31,4,0)*BQ1601</f>
        <v>#N/A</v>
      </c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44">
        <f>IFERROR(VLOOKUP(AQ1603,'[2]Harga &amp; Nama CSO'!$A$116:$S$136,19,FALSE),0)*AV1603</f>
        <v>0</v>
      </c>
      <c r="BO1602" s="55" t="e">
        <f>IFERROR(VLOOKUP(AQ1602,'[1]Harga &amp; Nama CSO'!$H$2:$N$22,2,FALSE),"")*AV1602</f>
        <v>#VALUE!</v>
      </c>
      <c r="BP1602" s="40"/>
      <c r="BQ1602" s="4"/>
      <c r="BR1602" s="61"/>
      <c r="BS1602" s="4"/>
      <c r="BT1602" s="57" t="e">
        <f t="shared" si="58"/>
        <v>#VALUE!</v>
      </c>
      <c r="BU1602" s="62"/>
      <c r="BV1602" s="8" t="e">
        <v>#VALUE!</v>
      </c>
      <c r="BW1602" s="58" t="e">
        <f>VLOOKUP(AQ1602,'[1]Harga &amp; Nama CSO'!$A$28:$D$31,4,0)*BQ1602</f>
        <v>#N/A</v>
      </c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44">
        <f>IFERROR(VLOOKUP(AQ1604,'[2]Harga &amp; Nama CSO'!$A$116:$S$136,19,FALSE),0)*AV1604</f>
        <v>0</v>
      </c>
      <c r="BO1603" s="55" t="e">
        <f>IFERROR(VLOOKUP(AQ1603,'[1]Harga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59">BO1603-BR1603</f>
        <v>#VALUE!</v>
      </c>
      <c r="BU1603" s="62"/>
      <c r="BV1603" s="8" t="e">
        <v>#VALUE!</v>
      </c>
      <c r="BW1603" s="58" t="e">
        <f>VLOOKUP(AQ1603,'[1]Harga &amp; Nama CSO'!$A$28:$D$31,4,0)*BQ1603</f>
        <v>#N/A</v>
      </c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44">
        <f>IFERROR(VLOOKUP(AQ1605,'[2]Harga &amp; Nama CSO'!$A$116:$S$136,19,FALSE),0)*AV1605</f>
        <v>0</v>
      </c>
      <c r="BO1604" s="55" t="e">
        <f>IFERROR(VLOOKUP(AQ1604,'[1]Harga &amp; Nama CSO'!$H$2:$N$22,2,FALSE),"")*AV1604</f>
        <v>#VALUE!</v>
      </c>
      <c r="BP1604" s="40"/>
      <c r="BQ1604" s="4"/>
      <c r="BR1604" s="61"/>
      <c r="BS1604" s="4"/>
      <c r="BT1604" s="57" t="e">
        <f t="shared" si="59"/>
        <v>#VALUE!</v>
      </c>
      <c r="BU1604" s="62"/>
      <c r="BV1604" s="8" t="e">
        <v>#VALUE!</v>
      </c>
      <c r="BW1604" s="58" t="e">
        <f>VLOOKUP(AQ1604,'[1]Harga &amp; Nama CSO'!$A$28:$D$31,4,0)*BQ1604</f>
        <v>#N/A</v>
      </c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44">
        <f>IFERROR(VLOOKUP(AQ1606,'[2]Harga &amp; Nama CSO'!$A$116:$S$136,19,FALSE),0)*AV1606</f>
        <v>0</v>
      </c>
      <c r="BO1605" s="55" t="e">
        <f>IFERROR(VLOOKUP(AQ1605,'[1]Harga &amp; Nama CSO'!$H$2:$N$22,2,FALSE),"")*AV1605</f>
        <v>#VALUE!</v>
      </c>
      <c r="BP1605" s="40"/>
      <c r="BQ1605" s="4"/>
      <c r="BR1605" s="61"/>
      <c r="BS1605" s="4"/>
      <c r="BT1605" s="57" t="e">
        <f t="shared" si="59"/>
        <v>#VALUE!</v>
      </c>
      <c r="BU1605" s="62"/>
      <c r="BV1605" s="8" t="e">
        <v>#VALUE!</v>
      </c>
      <c r="BW1605" s="58" t="e">
        <f>VLOOKUP(AQ1605,'[1]Harga &amp; Nama CSO'!$A$28:$D$31,4,0)*BQ1605</f>
        <v>#N/A</v>
      </c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44">
        <f>IFERROR(VLOOKUP(AQ1607,'[2]Harga &amp; Nama CSO'!$A$116:$S$136,19,FALSE),0)*AV1607</f>
        <v>0</v>
      </c>
      <c r="BO1606" s="55" t="e">
        <f>IFERROR(VLOOKUP(AQ1606,'[1]Harga &amp; Nama CSO'!$H$2:$N$22,2,FALSE),"")*AV1606</f>
        <v>#VALUE!</v>
      </c>
      <c r="BP1606" s="40"/>
      <c r="BQ1606" s="4"/>
      <c r="BR1606" s="61"/>
      <c r="BS1606" s="4"/>
      <c r="BT1606" s="57" t="e">
        <f t="shared" si="59"/>
        <v>#VALUE!</v>
      </c>
      <c r="BU1606" s="62"/>
      <c r="BV1606" s="8" t="e">
        <v>#VALUE!</v>
      </c>
      <c r="BW1606" s="58" t="e">
        <f>VLOOKUP(AQ1606,'[1]Harga &amp; Nama CSO'!$A$28:$D$31,4,0)*BQ1606</f>
        <v>#N/A</v>
      </c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44">
        <f>IFERROR(VLOOKUP(AQ1608,'[2]Harga &amp; Nama CSO'!$A$116:$S$136,19,FALSE),0)*AV1608</f>
        <v>0</v>
      </c>
      <c r="BO1607" s="55" t="e">
        <f>IFERROR(VLOOKUP(AQ1607,'[1]Harga &amp; Nama CSO'!$H$2:$N$22,2,FALSE),"")*AV1607</f>
        <v>#VALUE!</v>
      </c>
      <c r="BP1607" s="40"/>
      <c r="BQ1607" s="4"/>
      <c r="BR1607" s="61"/>
      <c r="BS1607" s="4"/>
      <c r="BT1607" s="57" t="e">
        <f t="shared" si="59"/>
        <v>#VALUE!</v>
      </c>
      <c r="BU1607" s="62"/>
      <c r="BV1607" s="8" t="e">
        <v>#VALUE!</v>
      </c>
      <c r="BW1607" s="58" t="e">
        <f>VLOOKUP(AQ1607,'[1]Harga &amp; Nama CSO'!$A$28:$D$31,4,0)*BQ1607</f>
        <v>#N/A</v>
      </c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44">
        <f>IFERROR(VLOOKUP(AQ1609,'[2]Harga &amp; Nama CSO'!$A$116:$S$136,19,FALSE),0)*AV1609</f>
        <v>0</v>
      </c>
      <c r="BO1608" s="55" t="e">
        <f>IFERROR(VLOOKUP(AQ1608,'[1]Harga &amp; Nama CSO'!$H$2:$N$22,2,FALSE),"")*AV1608</f>
        <v>#VALUE!</v>
      </c>
      <c r="BP1608" s="40"/>
      <c r="BQ1608" s="4"/>
      <c r="BR1608" s="61"/>
      <c r="BS1608" s="4"/>
      <c r="BT1608" s="57" t="e">
        <f t="shared" si="59"/>
        <v>#VALUE!</v>
      </c>
      <c r="BU1608" s="62"/>
      <c r="BV1608" s="8" t="e">
        <v>#VALUE!</v>
      </c>
      <c r="BW1608" s="58" t="e">
        <f>VLOOKUP(AQ1608,'[1]Harga &amp; Nama CSO'!$A$28:$D$31,4,0)*BQ1608</f>
        <v>#N/A</v>
      </c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44">
        <f>IFERROR(VLOOKUP(AQ1610,'[2]Harga &amp; Nama CSO'!$A$116:$S$136,19,FALSE),0)*AV1610</f>
        <v>0</v>
      </c>
      <c r="BO1609" s="55" t="e">
        <f>IFERROR(VLOOKUP(AQ1609,'[1]Harga &amp; Nama CSO'!$H$2:$N$22,2,FALSE),"")*AV1609</f>
        <v>#VALUE!</v>
      </c>
      <c r="BP1609" s="40"/>
      <c r="BQ1609" s="4"/>
      <c r="BR1609" s="61"/>
      <c r="BS1609" s="4"/>
      <c r="BT1609" s="57" t="e">
        <f t="shared" si="59"/>
        <v>#VALUE!</v>
      </c>
      <c r="BU1609" s="62"/>
      <c r="BV1609" s="8" t="e">
        <v>#VALUE!</v>
      </c>
      <c r="BW1609" s="58" t="e">
        <f>VLOOKUP(AQ1609,'[1]Harga &amp; Nama CSO'!$A$28:$D$31,4,0)*BQ1609</f>
        <v>#N/A</v>
      </c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44">
        <f>IFERROR(VLOOKUP(AQ1611,'[2]Harga &amp; Nama CSO'!$A$116:$S$136,19,FALSE),0)*AV1611</f>
        <v>0</v>
      </c>
      <c r="BO1610" s="55" t="e">
        <f>IFERROR(VLOOKUP(AQ1610,'[1]Harga &amp; Nama CSO'!$H$2:$N$22,2,FALSE),"")*AV1610</f>
        <v>#VALUE!</v>
      </c>
      <c r="BP1610" s="40"/>
      <c r="BQ1610" s="4"/>
      <c r="BR1610" s="61"/>
      <c r="BS1610" s="4"/>
      <c r="BT1610" s="57" t="e">
        <f t="shared" si="59"/>
        <v>#VALUE!</v>
      </c>
      <c r="BU1610" s="62"/>
      <c r="BV1610" s="8" t="e">
        <v>#VALUE!</v>
      </c>
      <c r="BW1610" s="58" t="e">
        <f>VLOOKUP(AQ1610,'[1]Harga &amp; Nama CSO'!$A$28:$D$31,4,0)*BQ1610</f>
        <v>#N/A</v>
      </c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44">
        <f>IFERROR(VLOOKUP(AQ1612,'[2]Harga &amp; Nama CSO'!$A$116:$S$136,19,FALSE),0)*AV1612</f>
        <v>0</v>
      </c>
      <c r="BO1611" s="55" t="e">
        <f>IFERROR(VLOOKUP(AQ1611,'[1]Harga &amp; Nama CSO'!$H$2:$N$22,2,FALSE),"")*AV1611</f>
        <v>#VALUE!</v>
      </c>
      <c r="BP1611" s="40"/>
      <c r="BQ1611" s="4"/>
      <c r="BR1611" s="61"/>
      <c r="BS1611" s="4"/>
      <c r="BT1611" s="57" t="e">
        <f t="shared" si="59"/>
        <v>#VALUE!</v>
      </c>
      <c r="BU1611" s="62"/>
      <c r="BV1611" s="8" t="e">
        <v>#VALUE!</v>
      </c>
      <c r="BW1611" s="58" t="e">
        <f>VLOOKUP(AQ1611,'[1]Harga &amp; Nama CSO'!$A$28:$D$31,4,0)*BQ1611</f>
        <v>#N/A</v>
      </c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44">
        <f>IFERROR(VLOOKUP(AQ1613,'[2]Harga &amp; Nama CSO'!$A$116:$S$136,19,FALSE),0)*AV1613</f>
        <v>0</v>
      </c>
      <c r="BO1612" s="55" t="e">
        <f>IFERROR(VLOOKUP(AQ1612,'[1]Harga &amp; Nama CSO'!$H$2:$N$22,2,FALSE),"")*AV1612</f>
        <v>#VALUE!</v>
      </c>
      <c r="BP1612" s="40"/>
      <c r="BQ1612" s="4"/>
      <c r="BR1612" s="61"/>
      <c r="BS1612" s="4"/>
      <c r="BT1612" s="57" t="e">
        <f t="shared" si="59"/>
        <v>#VALUE!</v>
      </c>
      <c r="BU1612" s="62"/>
      <c r="BV1612" s="8" t="e">
        <v>#VALUE!</v>
      </c>
      <c r="BW1612" s="58" t="e">
        <f>VLOOKUP(AQ1612,'[1]Harga &amp; Nama CSO'!$A$28:$D$31,4,0)*BQ1612</f>
        <v>#N/A</v>
      </c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44">
        <f>IFERROR(VLOOKUP(AQ1614,'[2]Harga &amp; Nama CSO'!$A$116:$S$136,19,FALSE),0)*AV1614</f>
        <v>0</v>
      </c>
      <c r="BO1613" s="55" t="e">
        <f>IFERROR(VLOOKUP(AQ1613,'[1]Harga &amp; Nama CSO'!$H$2:$N$22,2,FALSE),"")*AV1613</f>
        <v>#VALUE!</v>
      </c>
      <c r="BP1613" s="40"/>
      <c r="BQ1613" s="4"/>
      <c r="BR1613" s="61"/>
      <c r="BS1613" s="4"/>
      <c r="BT1613" s="57" t="e">
        <f t="shared" si="59"/>
        <v>#VALUE!</v>
      </c>
      <c r="BU1613" s="62"/>
      <c r="BV1613" s="8" t="e">
        <v>#VALUE!</v>
      </c>
      <c r="BW1613" s="58" t="e">
        <f>VLOOKUP(AQ1613,'[1]Harga &amp; Nama CSO'!$A$28:$D$31,4,0)*BQ1613</f>
        <v>#N/A</v>
      </c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44">
        <f>IFERROR(VLOOKUP(AQ1615,'[2]Harga &amp; Nama CSO'!$A$116:$S$136,19,FALSE),0)*AV1615</f>
        <v>0</v>
      </c>
      <c r="BO1614" s="55" t="e">
        <f>IFERROR(VLOOKUP(AQ1614,'[1]Harga &amp; Nama CSO'!$H$2:$N$22,2,FALSE),"")*AV1614</f>
        <v>#VALUE!</v>
      </c>
      <c r="BP1614" s="40"/>
      <c r="BQ1614" s="4"/>
      <c r="BR1614" s="61"/>
      <c r="BS1614" s="4"/>
      <c r="BT1614" s="57" t="e">
        <f t="shared" si="59"/>
        <v>#VALUE!</v>
      </c>
      <c r="BU1614" s="62"/>
      <c r="BV1614" s="8" t="e">
        <v>#VALUE!</v>
      </c>
      <c r="BW1614" s="58" t="e">
        <f>VLOOKUP(AQ1614,'[1]Harga &amp; Nama CSO'!$A$28:$D$31,4,0)*BQ1614</f>
        <v>#N/A</v>
      </c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44">
        <f>IFERROR(VLOOKUP(AQ1616,'[2]Harga &amp; Nama CSO'!$A$116:$S$136,19,FALSE),0)*AV1616</f>
        <v>0</v>
      </c>
      <c r="BO1615" s="55" t="e">
        <f>IFERROR(VLOOKUP(AQ1615,'[1]Harga &amp; Nama CSO'!$H$2:$N$22,2,FALSE),"")*AV1615</f>
        <v>#VALUE!</v>
      </c>
      <c r="BP1615" s="40"/>
      <c r="BQ1615" s="4"/>
      <c r="BR1615" s="61"/>
      <c r="BS1615" s="4"/>
      <c r="BT1615" s="57" t="e">
        <f t="shared" si="59"/>
        <v>#VALUE!</v>
      </c>
      <c r="BU1615" s="62"/>
      <c r="BV1615" s="8" t="e">
        <v>#VALUE!</v>
      </c>
      <c r="BW1615" s="58" t="e">
        <f>VLOOKUP(AQ1615,'[1]Harga &amp; Nama CSO'!$A$28:$D$31,4,0)*BQ1615</f>
        <v>#N/A</v>
      </c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44">
        <f>IFERROR(VLOOKUP(AQ1617,'[2]Harga &amp; Nama CSO'!$A$116:$S$136,19,FALSE),0)*AV1617</f>
        <v>0</v>
      </c>
      <c r="BO1616" s="55" t="e">
        <f>IFERROR(VLOOKUP(AQ1616,'[1]Harga &amp; Nama CSO'!$H$2:$N$22,2,FALSE),"")*AV1616</f>
        <v>#VALUE!</v>
      </c>
      <c r="BP1616" s="40"/>
      <c r="BQ1616" s="4"/>
      <c r="BR1616" s="61"/>
      <c r="BS1616" s="4"/>
      <c r="BT1616" s="57" t="e">
        <f t="shared" si="59"/>
        <v>#VALUE!</v>
      </c>
      <c r="BU1616" s="62"/>
      <c r="BV1616" s="8" t="e">
        <v>#VALUE!</v>
      </c>
      <c r="BW1616" s="58" t="e">
        <f>VLOOKUP(AQ1616,'[1]Harga &amp; Nama CSO'!$A$28:$D$31,4,0)*BQ1616</f>
        <v>#N/A</v>
      </c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44">
        <f>IFERROR(VLOOKUP(AQ1618,'[2]Harga &amp; Nama CSO'!$A$116:$S$136,19,FALSE),0)*AV1618</f>
        <v>0</v>
      </c>
      <c r="BO1617" s="55" t="e">
        <f>IFERROR(VLOOKUP(AQ1617,'[1]Harga &amp; Nama CSO'!$H$2:$N$22,2,FALSE),"")*AV1617</f>
        <v>#VALUE!</v>
      </c>
      <c r="BP1617" s="40"/>
      <c r="BQ1617" s="4"/>
      <c r="BR1617" s="61"/>
      <c r="BS1617" s="4"/>
      <c r="BT1617" s="57" t="e">
        <f t="shared" si="59"/>
        <v>#VALUE!</v>
      </c>
      <c r="BU1617" s="62"/>
      <c r="BV1617" s="8" t="e">
        <v>#VALUE!</v>
      </c>
      <c r="BW1617" s="58" t="e">
        <f>VLOOKUP(AQ1617,'[1]Harga &amp; Nama CSO'!$A$28:$D$31,4,0)*BQ1617</f>
        <v>#N/A</v>
      </c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44">
        <f>IFERROR(VLOOKUP(AQ1619,'[2]Harga &amp; Nama CSO'!$A$116:$S$136,19,FALSE),0)*AV1619</f>
        <v>0</v>
      </c>
      <c r="BO1618" s="55" t="e">
        <f>IFERROR(VLOOKUP(AQ1618,'[1]Harga &amp; Nama CSO'!$H$2:$N$22,2,FALSE),"")*AV1618</f>
        <v>#VALUE!</v>
      </c>
      <c r="BP1618" s="40"/>
      <c r="BQ1618" s="4"/>
      <c r="BR1618" s="61"/>
      <c r="BS1618" s="4"/>
      <c r="BT1618" s="57" t="e">
        <f t="shared" si="59"/>
        <v>#VALUE!</v>
      </c>
      <c r="BU1618" s="62"/>
      <c r="BV1618" s="8" t="e">
        <v>#VALUE!</v>
      </c>
      <c r="BW1618" s="58" t="e">
        <f>VLOOKUP(AQ1618,'[1]Harga &amp; Nama CSO'!$A$28:$D$31,4,0)*BQ1618</f>
        <v>#N/A</v>
      </c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44">
        <f>IFERROR(VLOOKUP(AQ1620,'[2]Harga &amp; Nama CSO'!$A$116:$S$136,19,FALSE),0)*AV1620</f>
        <v>0</v>
      </c>
      <c r="BO1619" s="55" t="e">
        <f>IFERROR(VLOOKUP(AQ1619,'[1]Harga &amp; Nama CSO'!$H$2:$N$22,2,FALSE),"")*AV1619</f>
        <v>#VALUE!</v>
      </c>
      <c r="BP1619" s="40"/>
      <c r="BQ1619" s="4"/>
      <c r="BR1619" s="61"/>
      <c r="BS1619" s="4"/>
      <c r="BT1619" s="57" t="e">
        <f t="shared" si="59"/>
        <v>#VALUE!</v>
      </c>
      <c r="BU1619" s="62"/>
      <c r="BV1619" s="8" t="e">
        <v>#VALUE!</v>
      </c>
      <c r="BW1619" s="58" t="e">
        <f>VLOOKUP(AQ1619,'[1]Harga &amp; Nama CSO'!$A$28:$D$31,4,0)*BQ1619</f>
        <v>#N/A</v>
      </c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44">
        <f>IFERROR(VLOOKUP(AQ1621,'[2]Harga &amp; Nama CSO'!$A$116:$S$136,19,FALSE),0)*AV1621</f>
        <v>0</v>
      </c>
      <c r="BO1620" s="55" t="e">
        <f>IFERROR(VLOOKUP(AQ1620,'[1]Harga &amp; Nama CSO'!$H$2:$N$22,2,FALSE),"")*AV1620</f>
        <v>#VALUE!</v>
      </c>
      <c r="BP1620" s="40"/>
      <c r="BQ1620" s="4"/>
      <c r="BR1620" s="61"/>
      <c r="BS1620" s="4"/>
      <c r="BT1620" s="57" t="e">
        <f t="shared" si="59"/>
        <v>#VALUE!</v>
      </c>
      <c r="BU1620" s="62"/>
      <c r="BV1620" s="8" t="e">
        <v>#VALUE!</v>
      </c>
      <c r="BW1620" s="58" t="e">
        <f>VLOOKUP(AQ1620,'[1]Harga &amp; Nama CSO'!$A$28:$D$31,4,0)*BQ1620</f>
        <v>#N/A</v>
      </c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44">
        <f>IFERROR(VLOOKUP(AQ1622,'[2]Harga &amp; Nama CSO'!$A$116:$S$136,19,FALSE),0)*AV1622</f>
        <v>0</v>
      </c>
      <c r="BO1621" s="55" t="e">
        <f>IFERROR(VLOOKUP(AQ1621,'[1]Harga &amp; Nama CSO'!$H$2:$N$22,2,FALSE),"")*AV1621</f>
        <v>#VALUE!</v>
      </c>
      <c r="BP1621" s="40"/>
      <c r="BQ1621" s="4"/>
      <c r="BR1621" s="61"/>
      <c r="BS1621" s="4"/>
      <c r="BT1621" s="57" t="e">
        <f t="shared" si="59"/>
        <v>#VALUE!</v>
      </c>
      <c r="BU1621" s="62"/>
      <c r="BV1621" s="8" t="e">
        <v>#VALUE!</v>
      </c>
      <c r="BW1621" s="58" t="e">
        <f>VLOOKUP(AQ1621,'[1]Harga &amp; Nama CSO'!$A$28:$D$31,4,0)*BQ1621</f>
        <v>#N/A</v>
      </c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44">
        <f>IFERROR(VLOOKUP(AQ1623,'[2]Harga &amp; Nama CSO'!$A$116:$S$136,19,FALSE),0)*AV1623</f>
        <v>0</v>
      </c>
      <c r="BO1622" s="55" t="e">
        <f>IFERROR(VLOOKUP(AQ1622,'[1]Harga &amp; Nama CSO'!$H$2:$N$22,2,FALSE),"")*AV1622</f>
        <v>#VALUE!</v>
      </c>
      <c r="BP1622" s="40"/>
      <c r="BQ1622" s="4"/>
      <c r="BR1622" s="61"/>
      <c r="BS1622" s="4"/>
      <c r="BT1622" s="57" t="e">
        <f t="shared" si="59"/>
        <v>#VALUE!</v>
      </c>
      <c r="BU1622" s="62"/>
      <c r="BV1622" s="8" t="e">
        <v>#VALUE!</v>
      </c>
      <c r="BW1622" s="58" t="e">
        <f>VLOOKUP(AQ1622,'[1]Harga &amp; Nama CSO'!$A$28:$D$31,4,0)*BQ1622</f>
        <v>#N/A</v>
      </c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44">
        <f>IFERROR(VLOOKUP(AQ1624,'[2]Harga &amp; Nama CSO'!$A$116:$S$136,19,FALSE),0)*AV1624</f>
        <v>0</v>
      </c>
      <c r="BO1623" s="55" t="e">
        <f>IFERROR(VLOOKUP(AQ1623,'[1]Harga &amp; Nama CSO'!$H$2:$N$22,2,FALSE),"")*AV1623</f>
        <v>#VALUE!</v>
      </c>
      <c r="BP1623" s="40"/>
      <c r="BQ1623" s="4"/>
      <c r="BR1623" s="61"/>
      <c r="BS1623" s="4"/>
      <c r="BT1623" s="57" t="e">
        <f t="shared" si="59"/>
        <v>#VALUE!</v>
      </c>
      <c r="BU1623" s="62"/>
      <c r="BV1623" s="8" t="e">
        <v>#VALUE!</v>
      </c>
      <c r="BW1623" s="58" t="e">
        <f>VLOOKUP(AQ1623,'[1]Harga &amp; Nama CSO'!$A$28:$D$31,4,0)*BQ1623</f>
        <v>#N/A</v>
      </c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44">
        <f>IFERROR(VLOOKUP(AQ1625,'[2]Harga &amp; Nama CSO'!$A$116:$S$136,19,FALSE),0)*AV1625</f>
        <v>0</v>
      </c>
      <c r="BO1624" s="55" t="e">
        <f>IFERROR(VLOOKUP(AQ1624,'[1]Harga &amp; Nama CSO'!$H$2:$N$22,2,FALSE),"")*AV1624</f>
        <v>#VALUE!</v>
      </c>
      <c r="BP1624" s="40"/>
      <c r="BQ1624" s="4"/>
      <c r="BR1624" s="61"/>
      <c r="BS1624" s="4"/>
      <c r="BT1624" s="57" t="e">
        <f t="shared" si="59"/>
        <v>#VALUE!</v>
      </c>
      <c r="BU1624" s="62"/>
      <c r="BV1624" s="8" t="e">
        <v>#VALUE!</v>
      </c>
      <c r="BW1624" s="58" t="e">
        <f>VLOOKUP(AQ1624,'[1]Harga &amp; Nama CSO'!$A$28:$D$31,4,0)*BQ1624</f>
        <v>#N/A</v>
      </c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44">
        <f>IFERROR(VLOOKUP(AQ1626,'[2]Harga &amp; Nama CSO'!$A$116:$S$136,19,FALSE),0)*AV1626</f>
        <v>0</v>
      </c>
      <c r="BO1625" s="55" t="e">
        <f>IFERROR(VLOOKUP(AQ1625,'[1]Harga &amp; Nama CSO'!$H$2:$N$22,2,FALSE),"")*AV1625</f>
        <v>#VALUE!</v>
      </c>
      <c r="BP1625" s="40"/>
      <c r="BQ1625" s="4"/>
      <c r="BR1625" s="61"/>
      <c r="BS1625" s="4"/>
      <c r="BT1625" s="57" t="e">
        <f t="shared" si="59"/>
        <v>#VALUE!</v>
      </c>
      <c r="BU1625" s="62"/>
      <c r="BV1625" s="8" t="e">
        <v>#VALUE!</v>
      </c>
      <c r="BW1625" s="58" t="e">
        <f>VLOOKUP(AQ1625,'[1]Harga &amp; Nama CSO'!$A$28:$D$31,4,0)*BQ1625</f>
        <v>#N/A</v>
      </c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44">
        <f>IFERROR(VLOOKUP(AQ1627,'[2]Harga &amp; Nama CSO'!$A$116:$S$136,19,FALSE),0)*AV1627</f>
        <v>0</v>
      </c>
      <c r="BO1626" s="55" t="e">
        <f>IFERROR(VLOOKUP(AQ1626,'[1]Harga &amp; Nama CSO'!$H$2:$N$22,2,FALSE),"")*AV1626</f>
        <v>#VALUE!</v>
      </c>
      <c r="BP1626" s="40"/>
      <c r="BQ1626" s="4"/>
      <c r="BR1626" s="61"/>
      <c r="BS1626" s="4"/>
      <c r="BT1626" s="57" t="e">
        <f t="shared" si="59"/>
        <v>#VALUE!</v>
      </c>
      <c r="BU1626" s="62"/>
      <c r="BV1626" s="8" t="e">
        <v>#VALUE!</v>
      </c>
      <c r="BW1626" s="58" t="e">
        <f>VLOOKUP(AQ1626,'[1]Harga &amp; Nama CSO'!$A$28:$D$31,4,0)*BQ1626</f>
        <v>#N/A</v>
      </c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44">
        <f>IFERROR(VLOOKUP(AQ1628,'[2]Harga &amp; Nama CSO'!$A$116:$S$136,19,FALSE),0)*AV1628</f>
        <v>0</v>
      </c>
      <c r="BO1627" s="55" t="e">
        <f>IFERROR(VLOOKUP(AQ1627,'[1]Harga &amp; Nama CSO'!$H$2:$N$22,2,FALSE),"")*AV1627</f>
        <v>#VALUE!</v>
      </c>
      <c r="BP1627" s="40"/>
      <c r="BQ1627" s="4"/>
      <c r="BR1627" s="61"/>
      <c r="BS1627" s="4"/>
      <c r="BT1627" s="57" t="e">
        <f t="shared" si="59"/>
        <v>#VALUE!</v>
      </c>
      <c r="BU1627" s="62"/>
      <c r="BV1627" s="8" t="e">
        <v>#VALUE!</v>
      </c>
      <c r="BW1627" s="58" t="e">
        <f>VLOOKUP(AQ1627,'[1]Harga &amp; Nama CSO'!$A$28:$D$31,4,0)*BQ1627</f>
        <v>#N/A</v>
      </c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44">
        <f>IFERROR(VLOOKUP(AQ1629,'[2]Harga &amp; Nama CSO'!$A$116:$S$136,19,FALSE),0)*AV1629</f>
        <v>0</v>
      </c>
      <c r="BO1628" s="55" t="e">
        <f>IFERROR(VLOOKUP(AQ1628,'[1]Harga &amp; Nama CSO'!$H$2:$N$22,2,FALSE),"")*AV1628</f>
        <v>#VALUE!</v>
      </c>
      <c r="BP1628" s="40"/>
      <c r="BQ1628" s="4"/>
      <c r="BR1628" s="61"/>
      <c r="BS1628" s="4"/>
      <c r="BT1628" s="57" t="e">
        <f t="shared" si="59"/>
        <v>#VALUE!</v>
      </c>
      <c r="BU1628" s="62"/>
      <c r="BV1628" s="8" t="e">
        <v>#VALUE!</v>
      </c>
      <c r="BW1628" s="58" t="e">
        <f>VLOOKUP(AQ1628,'[1]Harga &amp; Nama CSO'!$A$28:$D$31,4,0)*BQ1628</f>
        <v>#N/A</v>
      </c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44">
        <f>IFERROR(VLOOKUP(AQ1630,'[2]Harga &amp; Nama CSO'!$A$116:$S$136,19,FALSE),0)*AV1630</f>
        <v>0</v>
      </c>
      <c r="BO1629" s="55" t="e">
        <f>IFERROR(VLOOKUP(AQ1629,'[1]Harga &amp; Nama CSO'!$H$2:$N$22,2,FALSE),"")*AV1629</f>
        <v>#VALUE!</v>
      </c>
      <c r="BP1629" s="40"/>
      <c r="BQ1629" s="4"/>
      <c r="BR1629" s="61"/>
      <c r="BS1629" s="4"/>
      <c r="BT1629" s="57" t="e">
        <f t="shared" si="59"/>
        <v>#VALUE!</v>
      </c>
      <c r="BU1629" s="62"/>
      <c r="BV1629" s="8" t="e">
        <v>#VALUE!</v>
      </c>
      <c r="BW1629" s="58" t="e">
        <f>VLOOKUP(AQ1629,'[1]Harga &amp; Nama CSO'!$A$28:$D$31,4,0)*BQ1629</f>
        <v>#N/A</v>
      </c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44">
        <f>IFERROR(VLOOKUP(AQ1631,'[2]Harga &amp; Nama CSO'!$A$116:$S$136,19,FALSE),0)*AV1631</f>
        <v>0</v>
      </c>
      <c r="BO1630" s="55" t="e">
        <f>IFERROR(VLOOKUP(AQ1630,'[1]Harga &amp; Nama CSO'!$H$2:$N$22,2,FALSE),"")*AV1630</f>
        <v>#VALUE!</v>
      </c>
      <c r="BP1630" s="40"/>
      <c r="BQ1630" s="4"/>
      <c r="BR1630" s="61"/>
      <c r="BS1630" s="4"/>
      <c r="BT1630" s="57" t="e">
        <f t="shared" si="59"/>
        <v>#VALUE!</v>
      </c>
      <c r="BU1630" s="62"/>
      <c r="BV1630" s="8" t="e">
        <v>#VALUE!</v>
      </c>
      <c r="BW1630" s="58" t="e">
        <f>VLOOKUP(AQ1630,'[1]Harga &amp; Nama CSO'!$A$28:$D$31,4,0)*BQ1630</f>
        <v>#N/A</v>
      </c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44">
        <f>IFERROR(VLOOKUP(AQ1632,'[2]Harga &amp; Nama CSO'!$A$116:$S$136,19,FALSE),0)*AV1632</f>
        <v>0</v>
      </c>
      <c r="BO1631" s="55" t="e">
        <f>IFERROR(VLOOKUP(AQ1631,'[1]Harga &amp; Nama CSO'!$H$2:$N$22,2,FALSE),"")*AV1631</f>
        <v>#VALUE!</v>
      </c>
      <c r="BP1631" s="40"/>
      <c r="BQ1631" s="4"/>
      <c r="BR1631" s="61"/>
      <c r="BS1631" s="4"/>
      <c r="BT1631" s="57" t="e">
        <f t="shared" si="59"/>
        <v>#VALUE!</v>
      </c>
      <c r="BU1631" s="62"/>
      <c r="BV1631" s="8" t="e">
        <v>#VALUE!</v>
      </c>
      <c r="BW1631" s="58" t="e">
        <f>VLOOKUP(AQ1631,'[1]Harga &amp; Nama CSO'!$A$28:$D$31,4,0)*BQ1631</f>
        <v>#N/A</v>
      </c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44">
        <f>IFERROR(VLOOKUP(AQ1633,'[2]Harga &amp; Nama CSO'!$A$116:$S$136,19,FALSE),0)*AV1633</f>
        <v>0</v>
      </c>
      <c r="BO1632" s="55" t="e">
        <f>IFERROR(VLOOKUP(AQ1632,'[1]Harga &amp; Nama CSO'!$H$2:$N$22,2,FALSE),"")*AV1632</f>
        <v>#VALUE!</v>
      </c>
      <c r="BP1632" s="40"/>
      <c r="BQ1632" s="4"/>
      <c r="BR1632" s="61"/>
      <c r="BS1632" s="4"/>
      <c r="BT1632" s="57" t="e">
        <f t="shared" si="59"/>
        <v>#VALUE!</v>
      </c>
      <c r="BU1632" s="62"/>
      <c r="BV1632" s="8" t="e">
        <v>#VALUE!</v>
      </c>
      <c r="BW1632" s="58" t="e">
        <f>VLOOKUP(AQ1632,'[1]Harga &amp; Nama CSO'!$A$28:$D$31,4,0)*BQ1632</f>
        <v>#N/A</v>
      </c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44">
        <f>IFERROR(VLOOKUP(AQ1634,'[2]Harga &amp; Nama CSO'!$A$116:$S$136,19,FALSE),0)*AV1634</f>
        <v>0</v>
      </c>
      <c r="BO1633" s="55" t="e">
        <f>IFERROR(VLOOKUP(AQ1633,'[1]Harga &amp; Nama CSO'!$H$2:$N$22,2,FALSE),"")*AV1633</f>
        <v>#VALUE!</v>
      </c>
      <c r="BP1633" s="40"/>
      <c r="BQ1633" s="4"/>
      <c r="BR1633" s="61"/>
      <c r="BS1633" s="4"/>
      <c r="BT1633" s="57" t="e">
        <f t="shared" si="59"/>
        <v>#VALUE!</v>
      </c>
      <c r="BU1633" s="62"/>
      <c r="BV1633" s="8" t="e">
        <v>#VALUE!</v>
      </c>
      <c r="BW1633" s="58" t="e">
        <f>VLOOKUP(AQ1633,'[1]Harga &amp; Nama CSO'!$A$28:$D$31,4,0)*BQ1633</f>
        <v>#N/A</v>
      </c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44">
        <f>IFERROR(VLOOKUP(AQ1635,'[2]Harga &amp; Nama CSO'!$A$116:$S$136,19,FALSE),0)*AV1635</f>
        <v>0</v>
      </c>
      <c r="BO1634" s="55" t="e">
        <f>IFERROR(VLOOKUP(AQ1634,'[1]Harga &amp; Nama CSO'!$H$2:$N$22,2,FALSE),"")*AV1634</f>
        <v>#VALUE!</v>
      </c>
      <c r="BP1634" s="40"/>
      <c r="BQ1634" s="4"/>
      <c r="BR1634" s="61"/>
      <c r="BS1634" s="4"/>
      <c r="BT1634" s="57" t="e">
        <f t="shared" si="59"/>
        <v>#VALUE!</v>
      </c>
      <c r="BU1634" s="62"/>
      <c r="BV1634" s="8" t="e">
        <v>#VALUE!</v>
      </c>
      <c r="BW1634" s="58" t="e">
        <f>VLOOKUP(AQ1634,'[1]Harga &amp; Nama CSO'!$A$28:$D$31,4,0)*BQ1634</f>
        <v>#N/A</v>
      </c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44">
        <f>IFERROR(VLOOKUP(AQ1636,'[2]Harga &amp; Nama CSO'!$A$116:$S$136,19,FALSE),0)*AV1636</f>
        <v>0</v>
      </c>
      <c r="BO1635" s="55" t="e">
        <f>IFERROR(VLOOKUP(AQ1635,'[1]Harga &amp; Nama CSO'!$H$2:$N$22,2,FALSE),"")*AV1635</f>
        <v>#VALUE!</v>
      </c>
      <c r="BP1635" s="40"/>
      <c r="BQ1635" s="4"/>
      <c r="BR1635" s="61"/>
      <c r="BS1635" s="4"/>
      <c r="BT1635" s="57" t="e">
        <f t="shared" si="59"/>
        <v>#VALUE!</v>
      </c>
      <c r="BU1635" s="62"/>
      <c r="BV1635" s="8" t="e">
        <v>#VALUE!</v>
      </c>
      <c r="BW1635" s="58" t="e">
        <f>VLOOKUP(AQ1635,'[1]Harga &amp; Nama CSO'!$A$28:$D$31,4,0)*BQ1635</f>
        <v>#N/A</v>
      </c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44">
        <f>IFERROR(VLOOKUP(AQ1637,'[2]Harga &amp; Nama CSO'!$A$116:$S$136,19,FALSE),0)*AV1637</f>
        <v>0</v>
      </c>
      <c r="BO1636" s="55" t="e">
        <f>IFERROR(VLOOKUP(AQ1636,'[1]Harga &amp; Nama CSO'!$H$2:$N$22,2,FALSE),"")*AV1636</f>
        <v>#VALUE!</v>
      </c>
      <c r="BP1636" s="40"/>
      <c r="BQ1636" s="4"/>
      <c r="BR1636" s="61"/>
      <c r="BS1636" s="4"/>
      <c r="BT1636" s="57" t="e">
        <f t="shared" si="59"/>
        <v>#VALUE!</v>
      </c>
      <c r="BU1636" s="62"/>
      <c r="BV1636" s="8" t="e">
        <v>#VALUE!</v>
      </c>
      <c r="BW1636" s="58" t="e">
        <f>VLOOKUP(AQ1636,'[1]Harga &amp; Nama CSO'!$A$28:$D$31,4,0)*BQ1636</f>
        <v>#N/A</v>
      </c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44">
        <f>IFERROR(VLOOKUP(AQ1638,'[2]Harga &amp; Nama CSO'!$A$116:$S$136,19,FALSE),0)*AV1638</f>
        <v>0</v>
      </c>
      <c r="BO1637" s="55" t="e">
        <f>IFERROR(VLOOKUP(AQ1637,'[1]Harga &amp; Nama CSO'!$H$2:$N$22,2,FALSE),"")*AV1637</f>
        <v>#VALUE!</v>
      </c>
      <c r="BP1637" s="40"/>
      <c r="BQ1637" s="4"/>
      <c r="BR1637" s="61"/>
      <c r="BS1637" s="4"/>
      <c r="BT1637" s="57" t="e">
        <f t="shared" si="59"/>
        <v>#VALUE!</v>
      </c>
      <c r="BU1637" s="62"/>
      <c r="BV1637" s="8" t="e">
        <v>#VALUE!</v>
      </c>
      <c r="BW1637" s="58" t="e">
        <f>VLOOKUP(AQ1637,'[1]Harga &amp; Nama CSO'!$A$28:$D$31,4,0)*BQ1637</f>
        <v>#N/A</v>
      </c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44">
        <f>IFERROR(VLOOKUP(AQ1639,'[2]Harga &amp; Nama CSO'!$A$116:$S$136,19,FALSE),0)*AV1639</f>
        <v>0</v>
      </c>
      <c r="BO1638" s="55" t="e">
        <f>IFERROR(VLOOKUP(AQ1638,'[1]Harga &amp; Nama CSO'!$H$2:$N$22,2,FALSE),"")*AV1638</f>
        <v>#VALUE!</v>
      </c>
      <c r="BP1638" s="40"/>
      <c r="BQ1638" s="4"/>
      <c r="BR1638" s="61"/>
      <c r="BS1638" s="4"/>
      <c r="BT1638" s="57" t="e">
        <f t="shared" si="59"/>
        <v>#VALUE!</v>
      </c>
      <c r="BU1638" s="62"/>
      <c r="BV1638" s="8" t="e">
        <v>#VALUE!</v>
      </c>
      <c r="BW1638" s="58" t="e">
        <f>VLOOKUP(AQ1638,'[1]Harga &amp; Nama CSO'!$A$28:$D$31,4,0)*BQ1638</f>
        <v>#N/A</v>
      </c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44">
        <f>IFERROR(VLOOKUP(AQ1640,'[2]Harga &amp; Nama CSO'!$A$116:$S$136,19,FALSE),0)*AV1640</f>
        <v>0</v>
      </c>
      <c r="BO1639" s="55" t="e">
        <f>IFERROR(VLOOKUP(AQ1639,'[1]Harga &amp; Nama CSO'!$H$2:$N$22,2,FALSE),"")*AV1639</f>
        <v>#VALUE!</v>
      </c>
      <c r="BP1639" s="40"/>
      <c r="BQ1639" s="4"/>
      <c r="BR1639" s="61"/>
      <c r="BS1639" s="4"/>
      <c r="BT1639" s="57" t="e">
        <f t="shared" si="59"/>
        <v>#VALUE!</v>
      </c>
      <c r="BU1639" s="62"/>
      <c r="BV1639" s="8" t="e">
        <v>#VALUE!</v>
      </c>
      <c r="BW1639" s="58" t="e">
        <f>VLOOKUP(AQ1639,'[1]Harga &amp; Nama CSO'!$A$28:$D$31,4,0)*BQ1639</f>
        <v>#N/A</v>
      </c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44">
        <f>IFERROR(VLOOKUP(AQ1641,'[2]Harga &amp; Nama CSO'!$A$116:$S$136,19,FALSE),0)*AV1641</f>
        <v>0</v>
      </c>
      <c r="BO1640" s="55" t="e">
        <f>IFERROR(VLOOKUP(AQ1640,'[1]Harga &amp; Nama CSO'!$H$2:$N$22,2,FALSE),"")*AV1640</f>
        <v>#VALUE!</v>
      </c>
      <c r="BP1640" s="40"/>
      <c r="BQ1640" s="4"/>
      <c r="BR1640" s="61"/>
      <c r="BS1640" s="4"/>
      <c r="BT1640" s="57" t="e">
        <f t="shared" si="59"/>
        <v>#VALUE!</v>
      </c>
      <c r="BU1640" s="62"/>
      <c r="BV1640" s="8" t="e">
        <v>#VALUE!</v>
      </c>
      <c r="BW1640" s="58" t="e">
        <f>VLOOKUP(AQ1640,'[1]Harga &amp; Nama CSO'!$A$28:$D$31,4,0)*BQ1640</f>
        <v>#N/A</v>
      </c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44">
        <f>IFERROR(VLOOKUP(AQ1642,'[2]Harga &amp; Nama CSO'!$A$116:$S$136,19,FALSE),0)*AV1642</f>
        <v>0</v>
      </c>
      <c r="BO1641" s="55" t="e">
        <f>IFERROR(VLOOKUP(AQ1641,'[1]Harga &amp; Nama CSO'!$H$2:$N$22,2,FALSE),"")*AV1641</f>
        <v>#VALUE!</v>
      </c>
      <c r="BP1641" s="40"/>
      <c r="BQ1641" s="4"/>
      <c r="BR1641" s="61"/>
      <c r="BS1641" s="4"/>
      <c r="BT1641" s="57" t="e">
        <f t="shared" si="59"/>
        <v>#VALUE!</v>
      </c>
      <c r="BU1641" s="62"/>
      <c r="BV1641" s="8" t="e">
        <v>#VALUE!</v>
      </c>
      <c r="BW1641" s="58" t="e">
        <f>VLOOKUP(AQ1641,'[1]Harga &amp; Nama CSO'!$A$28:$D$31,4,0)*BQ1641</f>
        <v>#N/A</v>
      </c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44">
        <f>IFERROR(VLOOKUP(AQ1643,'[2]Harga &amp; Nama CSO'!$A$116:$S$136,19,FALSE),0)*AV1643</f>
        <v>0</v>
      </c>
      <c r="BO1642" s="55" t="e">
        <f>IFERROR(VLOOKUP(AQ1642,'[1]Harga &amp; Nama CSO'!$H$2:$N$22,2,FALSE),"")*AV1642</f>
        <v>#VALUE!</v>
      </c>
      <c r="BP1642" s="40"/>
      <c r="BQ1642" s="4"/>
      <c r="BR1642" s="61"/>
      <c r="BS1642" s="4"/>
      <c r="BT1642" s="57" t="e">
        <f t="shared" si="59"/>
        <v>#VALUE!</v>
      </c>
      <c r="BU1642" s="62"/>
      <c r="BV1642" s="8" t="e">
        <v>#VALUE!</v>
      </c>
      <c r="BW1642" s="58" t="e">
        <f>VLOOKUP(AQ1642,'[1]Harga &amp; Nama CSO'!$A$28:$D$31,4,0)*BQ1642</f>
        <v>#N/A</v>
      </c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44">
        <f>IFERROR(VLOOKUP(AQ1644,'[2]Harga &amp; Nama CSO'!$A$116:$S$136,19,FALSE),0)*AV1644</f>
        <v>0</v>
      </c>
      <c r="BO1643" s="55" t="e">
        <f>IFERROR(VLOOKUP(AQ1643,'[1]Harga &amp; Nama CSO'!$H$2:$N$22,2,FALSE),"")*AV1643</f>
        <v>#VALUE!</v>
      </c>
      <c r="BP1643" s="40"/>
      <c r="BQ1643" s="4"/>
      <c r="BR1643" s="61"/>
      <c r="BS1643" s="4"/>
      <c r="BT1643" s="57" t="e">
        <f t="shared" si="59"/>
        <v>#VALUE!</v>
      </c>
      <c r="BU1643" s="62"/>
      <c r="BV1643" s="8" t="e">
        <v>#VALUE!</v>
      </c>
      <c r="BW1643" s="58" t="e">
        <f>VLOOKUP(AQ1643,'[1]Harga &amp; Nama CSO'!$A$28:$D$31,4,0)*BQ1643</f>
        <v>#N/A</v>
      </c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44">
        <f>IFERROR(VLOOKUP(AQ1645,'[2]Harga &amp; Nama CSO'!$A$116:$S$136,19,FALSE),0)*AV1645</f>
        <v>0</v>
      </c>
      <c r="BO1644" s="55" t="e">
        <f>IFERROR(VLOOKUP(AQ1644,'[1]Harga &amp; Nama CSO'!$H$2:$N$22,2,FALSE),"")*AV1644</f>
        <v>#VALUE!</v>
      </c>
      <c r="BP1644" s="40"/>
      <c r="BQ1644" s="4"/>
      <c r="BR1644" s="61"/>
      <c r="BS1644" s="4"/>
      <c r="BT1644" s="57" t="e">
        <f t="shared" si="59"/>
        <v>#VALUE!</v>
      </c>
      <c r="BU1644" s="62"/>
      <c r="BV1644" s="8" t="e">
        <v>#VALUE!</v>
      </c>
      <c r="BW1644" s="58" t="e">
        <f>VLOOKUP(AQ1644,'[1]Harga &amp; Nama CSO'!$A$28:$D$31,4,0)*BQ1644</f>
        <v>#N/A</v>
      </c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44">
        <f>IFERROR(VLOOKUP(AQ1646,'[2]Harga &amp; Nama CSO'!$A$116:$S$136,19,FALSE),0)*AV1646</f>
        <v>0</v>
      </c>
      <c r="BO1645" s="55" t="e">
        <f>IFERROR(VLOOKUP(AQ1645,'[1]Harga &amp; Nama CSO'!$H$2:$N$22,2,FALSE),"")*AV1645</f>
        <v>#VALUE!</v>
      </c>
      <c r="BP1645" s="40"/>
      <c r="BQ1645" s="4"/>
      <c r="BR1645" s="61"/>
      <c r="BS1645" s="4"/>
      <c r="BT1645" s="57" t="e">
        <f t="shared" si="59"/>
        <v>#VALUE!</v>
      </c>
      <c r="BU1645" s="62"/>
      <c r="BV1645" s="8" t="e">
        <v>#VALUE!</v>
      </c>
      <c r="BW1645" s="58" t="e">
        <f>VLOOKUP(AQ1645,'[1]Harga &amp; Nama CSO'!$A$28:$D$31,4,0)*BQ1645</f>
        <v>#N/A</v>
      </c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44">
        <f>IFERROR(VLOOKUP(AQ1647,'[2]Harga &amp; Nama CSO'!$A$116:$S$136,19,FALSE),0)*AV1647</f>
        <v>0</v>
      </c>
      <c r="BO1646" s="55" t="e">
        <f>IFERROR(VLOOKUP(AQ1646,'[1]Harga &amp; Nama CSO'!$H$2:$N$22,2,FALSE),"")*AV1646</f>
        <v>#VALUE!</v>
      </c>
      <c r="BP1646" s="40"/>
      <c r="BQ1646" s="4"/>
      <c r="BR1646" s="61"/>
      <c r="BS1646" s="4"/>
      <c r="BT1646" s="57" t="e">
        <f t="shared" si="59"/>
        <v>#VALUE!</v>
      </c>
      <c r="BU1646" s="62"/>
      <c r="BV1646" s="8" t="e">
        <v>#VALUE!</v>
      </c>
      <c r="BW1646" s="58" t="e">
        <f>VLOOKUP(AQ1646,'[1]Harga &amp; Nama CSO'!$A$28:$D$31,4,0)*BQ1646</f>
        <v>#N/A</v>
      </c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44">
        <f>IFERROR(VLOOKUP(AQ1648,'[2]Harga &amp; Nama CSO'!$A$116:$S$136,19,FALSE),0)*AV1648</f>
        <v>0</v>
      </c>
      <c r="BO1647" s="55" t="e">
        <f>IFERROR(VLOOKUP(AQ1647,'[1]Harga &amp; Nama CSO'!$H$2:$N$22,2,FALSE),"")*AV1647</f>
        <v>#VALUE!</v>
      </c>
      <c r="BP1647" s="40"/>
      <c r="BQ1647" s="4"/>
      <c r="BR1647" s="61"/>
      <c r="BS1647" s="4"/>
      <c r="BT1647" s="57" t="e">
        <f t="shared" si="59"/>
        <v>#VALUE!</v>
      </c>
      <c r="BU1647" s="62"/>
      <c r="BV1647" s="8" t="e">
        <v>#VALUE!</v>
      </c>
      <c r="BW1647" s="58" t="e">
        <f>VLOOKUP(AQ1647,'[1]Harga &amp; Nama CSO'!$A$28:$D$31,4,0)*BQ1647</f>
        <v>#N/A</v>
      </c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44">
        <f>IFERROR(VLOOKUP(AQ1649,'[2]Harga &amp; Nama CSO'!$A$116:$S$136,19,FALSE),0)*AV1649</f>
        <v>0</v>
      </c>
      <c r="BO1648" s="55" t="e">
        <f>IFERROR(VLOOKUP(AQ1648,'[1]Harga &amp; Nama CSO'!$H$2:$N$22,2,FALSE),"")*AV1648</f>
        <v>#VALUE!</v>
      </c>
      <c r="BP1648" s="40"/>
      <c r="BQ1648" s="4"/>
      <c r="BR1648" s="61"/>
      <c r="BS1648" s="4"/>
      <c r="BT1648" s="57" t="e">
        <f t="shared" si="59"/>
        <v>#VALUE!</v>
      </c>
      <c r="BU1648" s="62"/>
      <c r="BV1648" s="8" t="e">
        <v>#VALUE!</v>
      </c>
      <c r="BW1648" s="58" t="e">
        <f>VLOOKUP(AQ1648,'[1]Harga &amp; Nama CSO'!$A$28:$D$31,4,0)*BQ1648</f>
        <v>#N/A</v>
      </c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44">
        <f>IFERROR(VLOOKUP(AQ1650,'[2]Harga &amp; Nama CSO'!$A$116:$S$136,19,FALSE),0)*AV1650</f>
        <v>0</v>
      </c>
      <c r="BO1649" s="55" t="e">
        <f>IFERROR(VLOOKUP(AQ1649,'[1]Harga &amp; Nama CSO'!$H$2:$N$22,2,FALSE),"")*AV1649</f>
        <v>#VALUE!</v>
      </c>
      <c r="BP1649" s="40"/>
      <c r="BQ1649" s="4"/>
      <c r="BR1649" s="61"/>
      <c r="BS1649" s="4"/>
      <c r="BT1649" s="57" t="e">
        <f t="shared" si="59"/>
        <v>#VALUE!</v>
      </c>
      <c r="BU1649" s="62"/>
      <c r="BV1649" s="8" t="e">
        <v>#VALUE!</v>
      </c>
      <c r="BW1649" s="58" t="e">
        <f>VLOOKUP(AQ1649,'[1]Harga &amp; Nama CSO'!$A$28:$D$31,4,0)*BQ1649</f>
        <v>#N/A</v>
      </c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44">
        <f>IFERROR(VLOOKUP(AQ1651,'[2]Harga &amp; Nama CSO'!$A$116:$S$136,19,FALSE),0)*AV1651</f>
        <v>0</v>
      </c>
      <c r="BO1650" s="55" t="e">
        <f>IFERROR(VLOOKUP(AQ1650,'[1]Harga &amp; Nama CSO'!$H$2:$N$22,2,FALSE),"")*AV1650</f>
        <v>#VALUE!</v>
      </c>
      <c r="BP1650" s="40"/>
      <c r="BQ1650" s="4"/>
      <c r="BR1650" s="61"/>
      <c r="BS1650" s="4"/>
      <c r="BT1650" s="57" t="e">
        <f t="shared" si="59"/>
        <v>#VALUE!</v>
      </c>
      <c r="BU1650" s="62"/>
      <c r="BV1650" s="8" t="e">
        <v>#VALUE!</v>
      </c>
      <c r="BW1650" s="58" t="e">
        <f>VLOOKUP(AQ1650,'[1]Harga &amp; Nama CSO'!$A$28:$D$31,4,0)*BQ1650</f>
        <v>#N/A</v>
      </c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44">
        <f>IFERROR(VLOOKUP(AQ1652,'[2]Harga &amp; Nama CSO'!$A$116:$S$136,19,FALSE),0)*AV1652</f>
        <v>0</v>
      </c>
      <c r="BO1651" s="55" t="e">
        <f>IFERROR(VLOOKUP(AQ1651,'[1]Harga &amp; Nama CSO'!$H$2:$N$22,2,FALSE),"")*AV1651</f>
        <v>#VALUE!</v>
      </c>
      <c r="BP1651" s="40"/>
      <c r="BQ1651" s="4"/>
      <c r="BR1651" s="61"/>
      <c r="BS1651" s="4"/>
      <c r="BT1651" s="57" t="e">
        <f t="shared" si="59"/>
        <v>#VALUE!</v>
      </c>
      <c r="BU1651" s="62"/>
      <c r="BV1651" s="8" t="e">
        <v>#VALUE!</v>
      </c>
      <c r="BW1651" s="58" t="e">
        <f>VLOOKUP(AQ1651,'[1]Harga &amp; Nama CSO'!$A$28:$D$31,4,0)*BQ1651</f>
        <v>#N/A</v>
      </c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44">
        <f>IFERROR(VLOOKUP(AQ1653,'[2]Harga &amp; Nama CSO'!$A$116:$S$136,19,FALSE),0)*AV1653</f>
        <v>0</v>
      </c>
      <c r="BO1652" s="55" t="e">
        <f>IFERROR(VLOOKUP(AQ1652,'[1]Harga &amp; Nama CSO'!$H$2:$N$22,2,FALSE),"")*AV1652</f>
        <v>#VALUE!</v>
      </c>
      <c r="BP1652" s="40"/>
      <c r="BQ1652" s="4"/>
      <c r="BR1652" s="61"/>
      <c r="BS1652" s="4"/>
      <c r="BT1652" s="57" t="e">
        <f t="shared" si="59"/>
        <v>#VALUE!</v>
      </c>
      <c r="BU1652" s="62"/>
      <c r="BV1652" s="8" t="e">
        <v>#VALUE!</v>
      </c>
      <c r="BW1652" s="58" t="e">
        <f>VLOOKUP(AQ1652,'[1]Harga &amp; Nama CSO'!$A$28:$D$31,4,0)*BQ1652</f>
        <v>#N/A</v>
      </c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44">
        <f>IFERROR(VLOOKUP(AQ1654,'[2]Harga &amp; Nama CSO'!$A$116:$S$136,19,FALSE),0)*AV1654</f>
        <v>0</v>
      </c>
      <c r="BO1653" s="55" t="e">
        <f>IFERROR(VLOOKUP(AQ1653,'[1]Harga &amp; Nama CSO'!$H$2:$N$22,2,FALSE),"")*AV1653</f>
        <v>#VALUE!</v>
      </c>
      <c r="BP1653" s="40"/>
      <c r="BQ1653" s="4"/>
      <c r="BR1653" s="61"/>
      <c r="BS1653" s="4"/>
      <c r="BT1653" s="57" t="e">
        <f t="shared" si="59"/>
        <v>#VALUE!</v>
      </c>
      <c r="BU1653" s="62"/>
      <c r="BV1653" s="8" t="e">
        <v>#VALUE!</v>
      </c>
      <c r="BW1653" s="58" t="e">
        <f>VLOOKUP(AQ1653,'[1]Harga &amp; Nama CSO'!$A$28:$D$31,4,0)*BQ1653</f>
        <v>#N/A</v>
      </c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44">
        <f>IFERROR(VLOOKUP(AQ1655,'[2]Harga &amp; Nama CSO'!$A$116:$S$136,19,FALSE),0)*AV1655</f>
        <v>0</v>
      </c>
      <c r="BO1654" s="55" t="e">
        <f>IFERROR(VLOOKUP(AQ1654,'[1]Harga &amp; Nama CSO'!$H$2:$N$22,2,FALSE),"")*AV1654</f>
        <v>#VALUE!</v>
      </c>
      <c r="BP1654" s="40"/>
      <c r="BQ1654" s="4"/>
      <c r="BR1654" s="61"/>
      <c r="BS1654" s="4"/>
      <c r="BT1654" s="57" t="e">
        <f t="shared" si="59"/>
        <v>#VALUE!</v>
      </c>
      <c r="BU1654" s="62"/>
      <c r="BV1654" s="8" t="e">
        <v>#VALUE!</v>
      </c>
      <c r="BW1654" s="58" t="e">
        <f>VLOOKUP(AQ1654,'[1]Harga &amp; Nama CSO'!$A$28:$D$31,4,0)*BQ1654</f>
        <v>#N/A</v>
      </c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44">
        <f>IFERROR(VLOOKUP(AQ1656,'[2]Harga &amp; Nama CSO'!$A$116:$S$136,19,FALSE),0)*AV1656</f>
        <v>0</v>
      </c>
      <c r="BO1655" s="55" t="e">
        <f>IFERROR(VLOOKUP(AQ1655,'[1]Harga &amp; Nama CSO'!$H$2:$N$22,2,FALSE),"")*AV1655</f>
        <v>#VALUE!</v>
      </c>
      <c r="BP1655" s="40"/>
      <c r="BQ1655" s="4"/>
      <c r="BR1655" s="61"/>
      <c r="BS1655" s="4"/>
      <c r="BT1655" s="57" t="e">
        <f t="shared" si="59"/>
        <v>#VALUE!</v>
      </c>
      <c r="BU1655" s="62"/>
      <c r="BV1655" s="8" t="e">
        <v>#VALUE!</v>
      </c>
      <c r="BW1655" s="58" t="e">
        <f>VLOOKUP(AQ1655,'[1]Harga &amp; Nama CSO'!$A$28:$D$31,4,0)*BQ1655</f>
        <v>#N/A</v>
      </c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44">
        <f>IFERROR(VLOOKUP(AQ1657,'[2]Harga &amp; Nama CSO'!$A$116:$S$136,19,FALSE),0)*AV1657</f>
        <v>0</v>
      </c>
      <c r="BO1656" s="55" t="e">
        <f>IFERROR(VLOOKUP(AQ1656,'[1]Harga &amp; Nama CSO'!$H$2:$N$22,2,FALSE),"")*AV1656</f>
        <v>#VALUE!</v>
      </c>
      <c r="BP1656" s="40"/>
      <c r="BQ1656" s="4"/>
      <c r="BR1656" s="61"/>
      <c r="BS1656" s="4"/>
      <c r="BT1656" s="57" t="e">
        <f t="shared" si="59"/>
        <v>#VALUE!</v>
      </c>
      <c r="BU1656" s="62"/>
      <c r="BV1656" s="8" t="e">
        <v>#VALUE!</v>
      </c>
      <c r="BW1656" s="58" t="e">
        <f>VLOOKUP(AQ1656,'[1]Harga &amp; Nama CSO'!$A$28:$D$31,4,0)*BQ1656</f>
        <v>#N/A</v>
      </c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44">
        <f>IFERROR(VLOOKUP(AQ1658,'[2]Harga &amp; Nama CSO'!$A$116:$S$136,19,FALSE),0)*AV1658</f>
        <v>0</v>
      </c>
      <c r="BO1657" s="55" t="e">
        <f>IFERROR(VLOOKUP(AQ1657,'[1]Harga &amp; Nama CSO'!$H$2:$N$22,2,FALSE),"")*AV1657</f>
        <v>#VALUE!</v>
      </c>
      <c r="BP1657" s="40"/>
      <c r="BQ1657" s="4"/>
      <c r="BR1657" s="61"/>
      <c r="BS1657" s="4"/>
      <c r="BT1657" s="57" t="e">
        <f t="shared" si="59"/>
        <v>#VALUE!</v>
      </c>
      <c r="BU1657" s="62"/>
      <c r="BV1657" s="8" t="e">
        <v>#VALUE!</v>
      </c>
      <c r="BW1657" s="58" t="e">
        <f>VLOOKUP(AQ1657,'[1]Harga &amp; Nama CSO'!$A$28:$D$31,4,0)*BQ1657</f>
        <v>#N/A</v>
      </c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44">
        <f>IFERROR(VLOOKUP(AQ1659,'[2]Harga &amp; Nama CSO'!$A$116:$S$136,19,FALSE),0)*AV1659</f>
        <v>0</v>
      </c>
      <c r="BO1658" s="55" t="e">
        <f>IFERROR(VLOOKUP(AQ1658,'[1]Harga &amp; Nama CSO'!$H$2:$N$22,2,FALSE),"")*AV1658</f>
        <v>#VALUE!</v>
      </c>
      <c r="BP1658" s="40"/>
      <c r="BQ1658" s="4"/>
      <c r="BR1658" s="61"/>
      <c r="BS1658" s="4"/>
      <c r="BT1658" s="57" t="e">
        <f t="shared" si="59"/>
        <v>#VALUE!</v>
      </c>
      <c r="BU1658" s="62"/>
      <c r="BV1658" s="8" t="e">
        <v>#VALUE!</v>
      </c>
      <c r="BW1658" s="58" t="e">
        <f>VLOOKUP(AQ1658,'[1]Harga &amp; Nama CSO'!$A$28:$D$31,4,0)*BQ1658</f>
        <v>#N/A</v>
      </c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44">
        <f>IFERROR(VLOOKUP(AQ1660,'[2]Harga &amp; Nama CSO'!$A$116:$S$136,19,FALSE),0)*AV1660</f>
        <v>0</v>
      </c>
      <c r="BO1659" s="55" t="e">
        <f>IFERROR(VLOOKUP(AQ1659,'[1]Harga &amp; Nama CSO'!$H$2:$N$22,2,FALSE),"")*AV1659</f>
        <v>#VALUE!</v>
      </c>
      <c r="BP1659" s="40"/>
      <c r="BQ1659" s="4"/>
      <c r="BR1659" s="61"/>
      <c r="BS1659" s="4"/>
      <c r="BT1659" s="57" t="e">
        <f t="shared" si="59"/>
        <v>#VALUE!</v>
      </c>
      <c r="BU1659" s="62"/>
      <c r="BV1659" s="8" t="e">
        <v>#VALUE!</v>
      </c>
      <c r="BW1659" s="58" t="e">
        <f>VLOOKUP(AQ1659,'[1]Harga &amp; Nama CSO'!$A$28:$D$31,4,0)*BQ1659</f>
        <v>#N/A</v>
      </c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44">
        <f>IFERROR(VLOOKUP(AQ1661,'[2]Harga &amp; Nama CSO'!$A$116:$S$136,19,FALSE),0)*AV1661</f>
        <v>0</v>
      </c>
      <c r="BO1660" s="55" t="e">
        <f>IFERROR(VLOOKUP(AQ1660,'[1]Harga &amp; Nama CSO'!$H$2:$N$22,2,FALSE),"")*AV1660</f>
        <v>#VALUE!</v>
      </c>
      <c r="BP1660" s="40"/>
      <c r="BQ1660" s="4"/>
      <c r="BR1660" s="61"/>
      <c r="BS1660" s="4"/>
      <c r="BT1660" s="57" t="e">
        <f t="shared" si="59"/>
        <v>#VALUE!</v>
      </c>
      <c r="BU1660" s="62"/>
      <c r="BV1660" s="8" t="e">
        <v>#VALUE!</v>
      </c>
      <c r="BW1660" s="58" t="e">
        <f>VLOOKUP(AQ1660,'[1]Harga &amp; Nama CSO'!$A$28:$D$31,4,0)*BQ1660</f>
        <v>#N/A</v>
      </c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44">
        <f>IFERROR(VLOOKUP(AQ1662,'[2]Harga &amp; Nama CSO'!$A$116:$S$136,19,FALSE),0)*AV1662</f>
        <v>0</v>
      </c>
      <c r="BO1661" s="55" t="e">
        <f>IFERROR(VLOOKUP(AQ1661,'[1]Harga &amp; Nama CSO'!$H$2:$N$22,2,FALSE),"")*AV1661</f>
        <v>#VALUE!</v>
      </c>
      <c r="BP1661" s="40"/>
      <c r="BQ1661" s="4"/>
      <c r="BR1661" s="61"/>
      <c r="BS1661" s="4"/>
      <c r="BT1661" s="57" t="e">
        <f t="shared" si="59"/>
        <v>#VALUE!</v>
      </c>
      <c r="BU1661" s="62"/>
      <c r="BV1661" s="8" t="e">
        <v>#VALUE!</v>
      </c>
      <c r="BW1661" s="58" t="e">
        <f>VLOOKUP(AQ1661,'[1]Harga &amp; Nama CSO'!$A$28:$D$31,4,0)*BQ1661</f>
        <v>#N/A</v>
      </c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44">
        <f>IFERROR(VLOOKUP(AQ1663,'[2]Harga &amp; Nama CSO'!$A$116:$S$136,19,FALSE),0)*AV1663</f>
        <v>0</v>
      </c>
      <c r="BO1662" s="55" t="e">
        <f>IFERROR(VLOOKUP(AQ1662,'[1]Harga &amp; Nama CSO'!$H$2:$N$22,2,FALSE),"")*AV1662</f>
        <v>#VALUE!</v>
      </c>
      <c r="BP1662" s="40"/>
      <c r="BQ1662" s="4"/>
      <c r="BR1662" s="61"/>
      <c r="BS1662" s="4"/>
      <c r="BT1662" s="57" t="e">
        <f t="shared" si="59"/>
        <v>#VALUE!</v>
      </c>
      <c r="BU1662" s="62"/>
      <c r="BV1662" s="8" t="e">
        <v>#VALUE!</v>
      </c>
      <c r="BW1662" s="58" t="e">
        <f>VLOOKUP(AQ1662,'[1]Harga &amp; Nama CSO'!$A$28:$D$31,4,0)*BQ1662</f>
        <v>#N/A</v>
      </c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44">
        <f>IFERROR(VLOOKUP(AQ1664,'[2]Harga &amp; Nama CSO'!$A$116:$S$136,19,FALSE),0)*AV1664</f>
        <v>0</v>
      </c>
      <c r="BO1663" s="55" t="e">
        <f>IFERROR(VLOOKUP(AQ1663,'[1]Harga &amp; Nama CSO'!$H$2:$N$22,2,FALSE),"")*AV1663</f>
        <v>#VALUE!</v>
      </c>
      <c r="BP1663" s="40"/>
      <c r="BQ1663" s="4"/>
      <c r="BR1663" s="61"/>
      <c r="BS1663" s="4"/>
      <c r="BT1663" s="57" t="e">
        <f t="shared" si="59"/>
        <v>#VALUE!</v>
      </c>
      <c r="BU1663" s="62"/>
      <c r="BV1663" s="8" t="e">
        <v>#VALUE!</v>
      </c>
      <c r="BW1663" s="58" t="e">
        <f>VLOOKUP(AQ1663,'[1]Harga &amp; Nama CSO'!$A$28:$D$31,4,0)*BQ1663</f>
        <v>#N/A</v>
      </c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44">
        <f>IFERROR(VLOOKUP(AQ1665,'[2]Harga &amp; Nama CSO'!$A$116:$S$136,19,FALSE),0)*AV1665</f>
        <v>0</v>
      </c>
      <c r="BO1664" s="55" t="e">
        <f>IFERROR(VLOOKUP(AQ1664,'[1]Harga &amp; Nama CSO'!$H$2:$N$22,2,FALSE),"")*AV1664</f>
        <v>#VALUE!</v>
      </c>
      <c r="BP1664" s="40"/>
      <c r="BQ1664" s="4"/>
      <c r="BR1664" s="61"/>
      <c r="BS1664" s="4"/>
      <c r="BT1664" s="57" t="e">
        <f t="shared" si="59"/>
        <v>#VALUE!</v>
      </c>
      <c r="BU1664" s="62"/>
      <c r="BV1664" s="8" t="e">
        <v>#VALUE!</v>
      </c>
      <c r="BW1664" s="58" t="e">
        <f>VLOOKUP(AQ1664,'[1]Harga &amp; Nama CSO'!$A$28:$D$31,4,0)*BQ1664</f>
        <v>#N/A</v>
      </c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44">
        <f>IFERROR(VLOOKUP(AQ1666,'[2]Harga &amp; Nama CSO'!$A$116:$S$136,19,FALSE),0)*AV1666</f>
        <v>0</v>
      </c>
      <c r="BO1665" s="55" t="e">
        <f>IFERROR(VLOOKUP(AQ1665,'[1]Harga &amp; Nama CSO'!$H$2:$N$22,2,FALSE),"")*AV1665</f>
        <v>#VALUE!</v>
      </c>
      <c r="BP1665" s="40"/>
      <c r="BQ1665" s="4"/>
      <c r="BR1665" s="61"/>
      <c r="BS1665" s="4"/>
      <c r="BT1665" s="57" t="e">
        <f t="shared" si="59"/>
        <v>#VALUE!</v>
      </c>
      <c r="BU1665" s="62"/>
      <c r="BV1665" s="8" t="e">
        <v>#VALUE!</v>
      </c>
      <c r="BW1665" s="58" t="e">
        <f>VLOOKUP(AQ1665,'[1]Harga &amp; Nama CSO'!$A$28:$D$31,4,0)*BQ1665</f>
        <v>#N/A</v>
      </c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44">
        <f>IFERROR(VLOOKUP(AQ1667,'[2]Harga &amp; Nama CSO'!$A$116:$S$136,19,FALSE),0)*AV1667</f>
        <v>0</v>
      </c>
      <c r="BO1666" s="55" t="e">
        <f>IFERROR(VLOOKUP(AQ1666,'[1]Harga &amp; Nama CSO'!$H$2:$N$22,2,FALSE),"")*AV1666</f>
        <v>#VALUE!</v>
      </c>
      <c r="BP1666" s="40"/>
      <c r="BQ1666" s="4"/>
      <c r="BR1666" s="61"/>
      <c r="BS1666" s="4"/>
      <c r="BT1666" s="57" t="e">
        <f t="shared" si="59"/>
        <v>#VALUE!</v>
      </c>
      <c r="BU1666" s="62"/>
      <c r="BV1666" s="8" t="e">
        <v>#VALUE!</v>
      </c>
      <c r="BW1666" s="58" t="e">
        <f>VLOOKUP(AQ1666,'[1]Harga &amp; Nama CSO'!$A$28:$D$31,4,0)*BQ1666</f>
        <v>#N/A</v>
      </c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44">
        <f>IFERROR(VLOOKUP(AQ1668,'[2]Harga &amp; Nama CSO'!$A$116:$S$136,19,FALSE),0)*AV1668</f>
        <v>0</v>
      </c>
      <c r="BO1667" s="55" t="e">
        <f>IFERROR(VLOOKUP(AQ1667,'[1]Harga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60">BO1667-BR1667</f>
        <v>#VALUE!</v>
      </c>
      <c r="BU1667" s="62"/>
      <c r="BV1667" s="8" t="e">
        <v>#VALUE!</v>
      </c>
      <c r="BW1667" s="58" t="e">
        <f>VLOOKUP(AQ1667,'[1]Harga &amp; Nama CSO'!$A$28:$D$31,4,0)*BQ1667</f>
        <v>#N/A</v>
      </c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44">
        <f>IFERROR(VLOOKUP(AQ1669,'[2]Harga &amp; Nama CSO'!$A$116:$S$136,19,FALSE),0)*AV1669</f>
        <v>0</v>
      </c>
      <c r="BO1668" s="55" t="e">
        <f>IFERROR(VLOOKUP(AQ1668,'[1]Harga &amp; Nama CSO'!$H$2:$N$22,2,FALSE),"")*AV1668</f>
        <v>#VALUE!</v>
      </c>
      <c r="BP1668" s="40"/>
      <c r="BQ1668" s="4"/>
      <c r="BR1668" s="61"/>
      <c r="BS1668" s="4"/>
      <c r="BT1668" s="57" t="e">
        <f t="shared" si="60"/>
        <v>#VALUE!</v>
      </c>
      <c r="BU1668" s="62"/>
      <c r="BV1668" s="8" t="e">
        <v>#VALUE!</v>
      </c>
      <c r="BW1668" s="58" t="e">
        <f>VLOOKUP(AQ1668,'[1]Harga &amp; Nama CSO'!$A$28:$D$31,4,0)*BQ1668</f>
        <v>#N/A</v>
      </c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44">
        <f>IFERROR(VLOOKUP(AQ1670,'[2]Harga &amp; Nama CSO'!$A$116:$S$136,19,FALSE),0)*AV1670</f>
        <v>0</v>
      </c>
      <c r="BO1669" s="55" t="e">
        <f>IFERROR(VLOOKUP(AQ1669,'[1]Harga &amp; Nama CSO'!$H$2:$N$22,2,FALSE),"")*AV1669</f>
        <v>#VALUE!</v>
      </c>
      <c r="BP1669" s="40"/>
      <c r="BQ1669" s="4"/>
      <c r="BR1669" s="61"/>
      <c r="BS1669" s="4"/>
      <c r="BT1669" s="57" t="e">
        <f t="shared" si="60"/>
        <v>#VALUE!</v>
      </c>
      <c r="BU1669" s="62"/>
      <c r="BV1669" s="8" t="e">
        <v>#VALUE!</v>
      </c>
      <c r="BW1669" s="58" t="e">
        <f>VLOOKUP(AQ1669,'[1]Harga &amp; Nama CSO'!$A$28:$D$31,4,0)*BQ1669</f>
        <v>#N/A</v>
      </c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44">
        <f>IFERROR(VLOOKUP(AQ1671,'[2]Harga &amp; Nama CSO'!$A$116:$S$136,19,FALSE),0)*AV1671</f>
        <v>0</v>
      </c>
      <c r="BO1670" s="55" t="e">
        <f>IFERROR(VLOOKUP(AQ1670,'[1]Harga &amp; Nama CSO'!$H$2:$N$22,2,FALSE),"")*AV1670</f>
        <v>#VALUE!</v>
      </c>
      <c r="BP1670" s="40"/>
      <c r="BQ1670" s="4"/>
      <c r="BR1670" s="61"/>
      <c r="BS1670" s="4"/>
      <c r="BT1670" s="57" t="e">
        <f t="shared" si="60"/>
        <v>#VALUE!</v>
      </c>
      <c r="BU1670" s="62"/>
      <c r="BV1670" s="8" t="e">
        <v>#VALUE!</v>
      </c>
      <c r="BW1670" s="58" t="e">
        <f>VLOOKUP(AQ1670,'[1]Harga &amp; Nama CSO'!$A$28:$D$31,4,0)*BQ1670</f>
        <v>#N/A</v>
      </c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44">
        <f>IFERROR(VLOOKUP(AQ1672,'[2]Harga &amp; Nama CSO'!$A$116:$S$136,19,FALSE),0)*AV1672</f>
        <v>0</v>
      </c>
      <c r="BO1671" s="55" t="e">
        <f>IFERROR(VLOOKUP(AQ1671,'[1]Harga &amp; Nama CSO'!$H$2:$N$22,2,FALSE),"")*AV1671</f>
        <v>#VALUE!</v>
      </c>
      <c r="BP1671" s="40"/>
      <c r="BQ1671" s="4"/>
      <c r="BR1671" s="61"/>
      <c r="BS1671" s="4"/>
      <c r="BT1671" s="57" t="e">
        <f t="shared" si="60"/>
        <v>#VALUE!</v>
      </c>
      <c r="BU1671" s="62"/>
      <c r="BV1671" s="8" t="e">
        <v>#VALUE!</v>
      </c>
      <c r="BW1671" s="58" t="e">
        <f>VLOOKUP(AQ1671,'[1]Harga &amp; Nama CSO'!$A$28:$D$31,4,0)*BQ1671</f>
        <v>#N/A</v>
      </c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44">
        <f>IFERROR(VLOOKUP(AQ1673,'[2]Harga &amp; Nama CSO'!$A$116:$S$136,19,FALSE),0)*AV1673</f>
        <v>0</v>
      </c>
      <c r="BO1672" s="55" t="e">
        <f>IFERROR(VLOOKUP(AQ1672,'[1]Harga &amp; Nama CSO'!$H$2:$N$22,2,FALSE),"")*AV1672</f>
        <v>#VALUE!</v>
      </c>
      <c r="BP1672" s="40"/>
      <c r="BQ1672" s="4"/>
      <c r="BR1672" s="61"/>
      <c r="BS1672" s="4"/>
      <c r="BT1672" s="57" t="e">
        <f t="shared" si="60"/>
        <v>#VALUE!</v>
      </c>
      <c r="BU1672" s="62"/>
      <c r="BV1672" s="8" t="e">
        <v>#VALUE!</v>
      </c>
      <c r="BW1672" s="58" t="e">
        <f>VLOOKUP(AQ1672,'[1]Harga &amp; Nama CSO'!$A$28:$D$31,4,0)*BQ1672</f>
        <v>#N/A</v>
      </c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44">
        <f>IFERROR(VLOOKUP(AQ1674,'[2]Harga &amp; Nama CSO'!$A$116:$S$136,19,FALSE),0)*AV1674</f>
        <v>0</v>
      </c>
      <c r="BO1673" s="55" t="e">
        <f>IFERROR(VLOOKUP(AQ1673,'[1]Harga &amp; Nama CSO'!$H$2:$N$22,2,FALSE),"")*AV1673</f>
        <v>#VALUE!</v>
      </c>
      <c r="BP1673" s="40"/>
      <c r="BQ1673" s="4"/>
      <c r="BR1673" s="61"/>
      <c r="BS1673" s="4"/>
      <c r="BT1673" s="57" t="e">
        <f t="shared" si="60"/>
        <v>#VALUE!</v>
      </c>
      <c r="BU1673" s="62"/>
      <c r="BV1673" s="8" t="e">
        <v>#VALUE!</v>
      </c>
      <c r="BW1673" s="58" t="e">
        <f>VLOOKUP(AQ1673,'[1]Harga &amp; Nama CSO'!$A$28:$D$31,4,0)*BQ1673</f>
        <v>#N/A</v>
      </c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44">
        <f>IFERROR(VLOOKUP(AQ1675,'[2]Harga &amp; Nama CSO'!$A$116:$S$136,19,FALSE),0)*AV1675</f>
        <v>0</v>
      </c>
      <c r="BO1674" s="55" t="e">
        <f>IFERROR(VLOOKUP(AQ1674,'[1]Harga &amp; Nama CSO'!$H$2:$N$22,2,FALSE),"")*AV1674</f>
        <v>#VALUE!</v>
      </c>
      <c r="BP1674" s="40"/>
      <c r="BQ1674" s="4"/>
      <c r="BR1674" s="61"/>
      <c r="BS1674" s="4"/>
      <c r="BT1674" s="57" t="e">
        <f t="shared" si="60"/>
        <v>#VALUE!</v>
      </c>
      <c r="BU1674" s="62"/>
      <c r="BV1674" s="8" t="e">
        <v>#VALUE!</v>
      </c>
      <c r="BW1674" s="58" t="e">
        <f>VLOOKUP(AQ1674,'[1]Harga &amp; Nama CSO'!$A$28:$D$31,4,0)*BQ1674</f>
        <v>#N/A</v>
      </c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44">
        <f>IFERROR(VLOOKUP(AQ1676,'[2]Harga &amp; Nama CSO'!$A$116:$S$136,19,FALSE),0)*AV1676</f>
        <v>0</v>
      </c>
      <c r="BO1675" s="55" t="e">
        <f>IFERROR(VLOOKUP(AQ1675,'[1]Harga &amp; Nama CSO'!$H$2:$N$22,2,FALSE),"")*AV1675</f>
        <v>#VALUE!</v>
      </c>
      <c r="BP1675" s="40"/>
      <c r="BQ1675" s="4"/>
      <c r="BR1675" s="61"/>
      <c r="BS1675" s="4"/>
      <c r="BT1675" s="57" t="e">
        <f t="shared" si="60"/>
        <v>#VALUE!</v>
      </c>
      <c r="BU1675" s="62"/>
      <c r="BV1675" s="8" t="e">
        <v>#VALUE!</v>
      </c>
      <c r="BW1675" s="58" t="e">
        <f>VLOOKUP(AQ1675,'[1]Harga &amp; Nama CSO'!$A$28:$D$31,4,0)*BQ1675</f>
        <v>#N/A</v>
      </c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44">
        <f>IFERROR(VLOOKUP(AQ1677,'[2]Harga &amp; Nama CSO'!$A$116:$S$136,19,FALSE),0)*AV1677</f>
        <v>0</v>
      </c>
      <c r="BO1676" s="55" t="e">
        <f>IFERROR(VLOOKUP(AQ1676,'[1]Harga &amp; Nama CSO'!$H$2:$N$22,2,FALSE),"")*AV1676</f>
        <v>#VALUE!</v>
      </c>
      <c r="BP1676" s="40"/>
      <c r="BQ1676" s="4"/>
      <c r="BR1676" s="61"/>
      <c r="BS1676" s="4"/>
      <c r="BT1676" s="57" t="e">
        <f t="shared" si="60"/>
        <v>#VALUE!</v>
      </c>
      <c r="BU1676" s="62"/>
      <c r="BV1676" s="8" t="e">
        <v>#VALUE!</v>
      </c>
      <c r="BW1676" s="58" t="e">
        <f>VLOOKUP(AQ1676,'[1]Harga &amp; Nama CSO'!$A$28:$D$31,4,0)*BQ1676</f>
        <v>#N/A</v>
      </c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44">
        <f>IFERROR(VLOOKUP(AQ1678,'[2]Harga &amp; Nama CSO'!$A$116:$S$136,19,FALSE),0)*AV1678</f>
        <v>0</v>
      </c>
      <c r="BO1677" s="55" t="e">
        <f>IFERROR(VLOOKUP(AQ1677,'[1]Harga &amp; Nama CSO'!$H$2:$N$22,2,FALSE),"")*AV1677</f>
        <v>#VALUE!</v>
      </c>
      <c r="BP1677" s="40"/>
      <c r="BQ1677" s="4"/>
      <c r="BR1677" s="61"/>
      <c r="BS1677" s="4"/>
      <c r="BT1677" s="57" t="e">
        <f t="shared" si="60"/>
        <v>#VALUE!</v>
      </c>
      <c r="BU1677" s="62"/>
      <c r="BV1677" s="8" t="e">
        <v>#VALUE!</v>
      </c>
      <c r="BW1677" s="58" t="e">
        <f>VLOOKUP(AQ1677,'[1]Harga &amp; Nama CSO'!$A$28:$D$31,4,0)*BQ1677</f>
        <v>#N/A</v>
      </c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44">
        <f>IFERROR(VLOOKUP(AQ1679,'[2]Harga &amp; Nama CSO'!$A$116:$S$136,19,FALSE),0)*AV1679</f>
        <v>0</v>
      </c>
      <c r="BO1678" s="55" t="e">
        <f>IFERROR(VLOOKUP(AQ1678,'[1]Harga &amp; Nama CSO'!$H$2:$N$22,2,FALSE),"")*AV1678</f>
        <v>#VALUE!</v>
      </c>
      <c r="BP1678" s="40"/>
      <c r="BQ1678" s="4"/>
      <c r="BR1678" s="61"/>
      <c r="BS1678" s="4"/>
      <c r="BT1678" s="57" t="e">
        <f t="shared" si="60"/>
        <v>#VALUE!</v>
      </c>
      <c r="BU1678" s="62"/>
      <c r="BV1678" s="8" t="e">
        <v>#VALUE!</v>
      </c>
      <c r="BW1678" s="58" t="e">
        <f>VLOOKUP(AQ1678,'[1]Harga &amp; Nama CSO'!$A$28:$D$31,4,0)*BQ1678</f>
        <v>#N/A</v>
      </c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44">
        <f>IFERROR(VLOOKUP(AQ1680,'[2]Harga &amp; Nama CSO'!$A$116:$S$136,19,FALSE),0)*AV1680</f>
        <v>0</v>
      </c>
      <c r="BO1679" s="55" t="e">
        <f>IFERROR(VLOOKUP(AQ1679,'[1]Harga &amp; Nama CSO'!$H$2:$N$22,2,FALSE),"")*AV1679</f>
        <v>#VALUE!</v>
      </c>
      <c r="BP1679" s="40"/>
      <c r="BQ1679" s="4"/>
      <c r="BR1679" s="61"/>
      <c r="BS1679" s="4"/>
      <c r="BT1679" s="57" t="e">
        <f t="shared" si="60"/>
        <v>#VALUE!</v>
      </c>
      <c r="BU1679" s="62"/>
      <c r="BV1679" s="8" t="e">
        <v>#VALUE!</v>
      </c>
      <c r="BW1679" s="58" t="e">
        <f>VLOOKUP(AQ1679,'[1]Harga &amp; Nama CSO'!$A$28:$D$31,4,0)*BQ1679</f>
        <v>#N/A</v>
      </c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44">
        <f>IFERROR(VLOOKUP(AQ1681,'[2]Harga &amp; Nama CSO'!$A$116:$S$136,19,FALSE),0)*AV1681</f>
        <v>0</v>
      </c>
      <c r="BO1680" s="55" t="e">
        <f>IFERROR(VLOOKUP(AQ1680,'[1]Harga &amp; Nama CSO'!$H$2:$N$22,2,FALSE),"")*AV1680</f>
        <v>#VALUE!</v>
      </c>
      <c r="BP1680" s="40"/>
      <c r="BQ1680" s="4"/>
      <c r="BR1680" s="61"/>
      <c r="BS1680" s="4"/>
      <c r="BT1680" s="57" t="e">
        <f t="shared" si="60"/>
        <v>#VALUE!</v>
      </c>
      <c r="BU1680" s="62"/>
      <c r="BV1680" s="8" t="e">
        <v>#VALUE!</v>
      </c>
      <c r="BW1680" s="58" t="e">
        <f>VLOOKUP(AQ1680,'[1]Harga &amp; Nama CSO'!$A$28:$D$31,4,0)*BQ1680</f>
        <v>#N/A</v>
      </c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44">
        <f>IFERROR(VLOOKUP(AQ1682,'[2]Harga &amp; Nama CSO'!$A$116:$S$136,19,FALSE),0)*AV1682</f>
        <v>0</v>
      </c>
      <c r="BO1681" s="55" t="e">
        <f>IFERROR(VLOOKUP(AQ1681,'[1]Harga &amp; Nama CSO'!$H$2:$N$22,2,FALSE),"")*AV1681</f>
        <v>#VALUE!</v>
      </c>
      <c r="BP1681" s="40"/>
      <c r="BQ1681" s="4"/>
      <c r="BR1681" s="61"/>
      <c r="BS1681" s="4"/>
      <c r="BT1681" s="57" t="e">
        <f t="shared" si="60"/>
        <v>#VALUE!</v>
      </c>
      <c r="BU1681" s="62"/>
      <c r="BV1681" s="8" t="e">
        <v>#VALUE!</v>
      </c>
      <c r="BW1681" s="58" t="e">
        <f>VLOOKUP(AQ1681,'[1]Harga &amp; Nama CSO'!$A$28:$D$31,4,0)*BQ1681</f>
        <v>#N/A</v>
      </c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44">
        <f>IFERROR(VLOOKUP(AQ1683,'[2]Harga &amp; Nama CSO'!$A$116:$S$136,19,FALSE),0)*AV1683</f>
        <v>0</v>
      </c>
      <c r="BO1682" s="55" t="e">
        <f>IFERROR(VLOOKUP(AQ1682,'[1]Harga &amp; Nama CSO'!$H$2:$N$22,2,FALSE),"")*AV1682</f>
        <v>#VALUE!</v>
      </c>
      <c r="BP1682" s="40"/>
      <c r="BQ1682" s="4"/>
      <c r="BR1682" s="61"/>
      <c r="BS1682" s="4"/>
      <c r="BT1682" s="57" t="e">
        <f t="shared" si="60"/>
        <v>#VALUE!</v>
      </c>
      <c r="BU1682" s="62"/>
      <c r="BV1682" s="8" t="e">
        <v>#VALUE!</v>
      </c>
      <c r="BW1682" s="58" t="e">
        <f>VLOOKUP(AQ1682,'[1]Harga &amp; Nama CSO'!$A$28:$D$31,4,0)*BQ1682</f>
        <v>#N/A</v>
      </c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44">
        <f>IFERROR(VLOOKUP(AQ1684,'[2]Harga &amp; Nama CSO'!$A$116:$S$136,19,FALSE),0)*AV1684</f>
        <v>0</v>
      </c>
      <c r="BO1683" s="55" t="e">
        <f>IFERROR(VLOOKUP(AQ1683,'[1]Harga &amp; Nama CSO'!$H$2:$N$22,2,FALSE),"")*AV1683</f>
        <v>#VALUE!</v>
      </c>
      <c r="BP1683" s="40"/>
      <c r="BQ1683" s="4"/>
      <c r="BR1683" s="61"/>
      <c r="BS1683" s="4"/>
      <c r="BT1683" s="57" t="e">
        <f t="shared" si="60"/>
        <v>#VALUE!</v>
      </c>
      <c r="BU1683" s="62"/>
      <c r="BV1683" s="8" t="e">
        <v>#VALUE!</v>
      </c>
      <c r="BW1683" s="58" t="e">
        <f>VLOOKUP(AQ1683,'[1]Harga &amp; Nama CSO'!$A$28:$D$31,4,0)*BQ1683</f>
        <v>#N/A</v>
      </c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44">
        <f>IFERROR(VLOOKUP(AQ1685,'[2]Harga &amp; Nama CSO'!$A$116:$S$136,19,FALSE),0)*AV1685</f>
        <v>0</v>
      </c>
      <c r="BO1684" s="55" t="e">
        <f>IFERROR(VLOOKUP(AQ1684,'[1]Harga &amp; Nama CSO'!$H$2:$N$22,2,FALSE),"")*AV1684</f>
        <v>#VALUE!</v>
      </c>
      <c r="BP1684" s="40"/>
      <c r="BQ1684" s="4"/>
      <c r="BR1684" s="61"/>
      <c r="BS1684" s="4"/>
      <c r="BT1684" s="57" t="e">
        <f t="shared" si="60"/>
        <v>#VALUE!</v>
      </c>
      <c r="BU1684" s="62"/>
      <c r="BV1684" s="8" t="e">
        <v>#VALUE!</v>
      </c>
      <c r="BW1684" s="58" t="e">
        <f>VLOOKUP(AQ1684,'[1]Harga &amp; Nama CSO'!$A$28:$D$31,4,0)*BQ1684</f>
        <v>#N/A</v>
      </c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44">
        <f>IFERROR(VLOOKUP(AQ1686,'[2]Harga &amp; Nama CSO'!$A$116:$S$136,19,FALSE),0)*AV1686</f>
        <v>0</v>
      </c>
      <c r="BO1685" s="55" t="e">
        <f>IFERROR(VLOOKUP(AQ1685,'[1]Harga &amp; Nama CSO'!$H$2:$N$22,2,FALSE),"")*AV1685</f>
        <v>#VALUE!</v>
      </c>
      <c r="BP1685" s="40"/>
      <c r="BQ1685" s="4"/>
      <c r="BR1685" s="61"/>
      <c r="BS1685" s="4"/>
      <c r="BT1685" s="57" t="e">
        <f t="shared" si="60"/>
        <v>#VALUE!</v>
      </c>
      <c r="BU1685" s="62"/>
      <c r="BV1685" s="8" t="e">
        <v>#VALUE!</v>
      </c>
      <c r="BW1685" s="58" t="e">
        <f>VLOOKUP(AQ1685,'[1]Harga &amp; Nama CSO'!$A$28:$D$31,4,0)*BQ1685</f>
        <v>#N/A</v>
      </c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44">
        <f>IFERROR(VLOOKUP(AQ1687,'[2]Harga &amp; Nama CSO'!$A$116:$S$136,19,FALSE),0)*AV1687</f>
        <v>0</v>
      </c>
      <c r="BO1686" s="55" t="e">
        <f>IFERROR(VLOOKUP(AQ1686,'[1]Harga &amp; Nama CSO'!$H$2:$N$22,2,FALSE),"")*AV1686</f>
        <v>#VALUE!</v>
      </c>
      <c r="BP1686" s="40"/>
      <c r="BQ1686" s="4"/>
      <c r="BR1686" s="61"/>
      <c r="BS1686" s="4"/>
      <c r="BT1686" s="57" t="e">
        <f t="shared" si="60"/>
        <v>#VALUE!</v>
      </c>
      <c r="BU1686" s="62"/>
      <c r="BV1686" s="8" t="e">
        <v>#VALUE!</v>
      </c>
      <c r="BW1686" s="58" t="e">
        <f>VLOOKUP(AQ1686,'[1]Harga &amp; Nama CSO'!$A$28:$D$31,4,0)*BQ1686</f>
        <v>#N/A</v>
      </c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44">
        <f>IFERROR(VLOOKUP(AQ1688,'[2]Harga &amp; Nama CSO'!$A$116:$S$136,19,FALSE),0)*AV1688</f>
        <v>0</v>
      </c>
      <c r="BO1687" s="55" t="e">
        <f>IFERROR(VLOOKUP(AQ1687,'[1]Harga &amp; Nama CSO'!$H$2:$N$22,2,FALSE),"")*AV1687</f>
        <v>#VALUE!</v>
      </c>
      <c r="BP1687" s="40"/>
      <c r="BQ1687" s="4"/>
      <c r="BR1687" s="61"/>
      <c r="BS1687" s="4"/>
      <c r="BT1687" s="57" t="e">
        <f t="shared" si="60"/>
        <v>#VALUE!</v>
      </c>
      <c r="BU1687" s="62"/>
      <c r="BV1687" s="8" t="e">
        <v>#VALUE!</v>
      </c>
      <c r="BW1687" s="58" t="e">
        <f>VLOOKUP(AQ1687,'[1]Harga &amp; Nama CSO'!$A$28:$D$31,4,0)*BQ1687</f>
        <v>#N/A</v>
      </c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44">
        <f>IFERROR(VLOOKUP(AQ1689,'[2]Harga &amp; Nama CSO'!$A$116:$S$136,19,FALSE),0)*AV1689</f>
        <v>0</v>
      </c>
      <c r="BO1688" s="55" t="e">
        <f>IFERROR(VLOOKUP(AQ1688,'[1]Harga &amp; Nama CSO'!$H$2:$N$22,2,FALSE),"")*AV1688</f>
        <v>#VALUE!</v>
      </c>
      <c r="BP1688" s="40"/>
      <c r="BQ1688" s="4"/>
      <c r="BR1688" s="61"/>
      <c r="BS1688" s="4"/>
      <c r="BT1688" s="57" t="e">
        <f t="shared" si="60"/>
        <v>#VALUE!</v>
      </c>
      <c r="BU1688" s="62"/>
      <c r="BV1688" s="8" t="e">
        <v>#VALUE!</v>
      </c>
      <c r="BW1688" s="58" t="e">
        <f>VLOOKUP(AQ1688,'[1]Harga &amp; Nama CSO'!$A$28:$D$31,4,0)*BQ1688</f>
        <v>#N/A</v>
      </c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44">
        <f>IFERROR(VLOOKUP(AQ1690,'[2]Harga &amp; Nama CSO'!$A$116:$S$136,19,FALSE),0)*AV1690</f>
        <v>0</v>
      </c>
      <c r="BO1689" s="55" t="e">
        <f>IFERROR(VLOOKUP(AQ1689,'[1]Harga &amp; Nama CSO'!$H$2:$N$22,2,FALSE),"")*AV1689</f>
        <v>#VALUE!</v>
      </c>
      <c r="BP1689" s="40"/>
      <c r="BQ1689" s="4"/>
      <c r="BR1689" s="61"/>
      <c r="BS1689" s="4"/>
      <c r="BT1689" s="57" t="e">
        <f t="shared" si="60"/>
        <v>#VALUE!</v>
      </c>
      <c r="BU1689" s="62"/>
      <c r="BV1689" s="8" t="e">
        <v>#VALUE!</v>
      </c>
      <c r="BW1689" s="58" t="e">
        <f>VLOOKUP(AQ1689,'[1]Harga &amp; Nama CSO'!$A$28:$D$31,4,0)*BQ1689</f>
        <v>#N/A</v>
      </c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44">
        <f>IFERROR(VLOOKUP(AQ1691,'[2]Harga &amp; Nama CSO'!$A$116:$S$136,19,FALSE),0)*AV1691</f>
        <v>0</v>
      </c>
      <c r="BO1690" s="55" t="e">
        <f>IFERROR(VLOOKUP(AQ1690,'[1]Harga &amp; Nama CSO'!$H$2:$N$22,2,FALSE),"")*AV1690</f>
        <v>#VALUE!</v>
      </c>
      <c r="BP1690" s="40"/>
      <c r="BQ1690" s="4"/>
      <c r="BR1690" s="61"/>
      <c r="BS1690" s="4"/>
      <c r="BT1690" s="57" t="e">
        <f t="shared" si="60"/>
        <v>#VALUE!</v>
      </c>
      <c r="BU1690" s="62"/>
      <c r="BV1690" s="8" t="e">
        <v>#VALUE!</v>
      </c>
      <c r="BW1690" s="58" t="e">
        <f>VLOOKUP(AQ1690,'[1]Harga &amp; Nama CSO'!$A$28:$D$31,4,0)*BQ1690</f>
        <v>#N/A</v>
      </c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44">
        <f>IFERROR(VLOOKUP(AQ1692,'[2]Harga &amp; Nama CSO'!$A$116:$S$136,19,FALSE),0)*AV1692</f>
        <v>0</v>
      </c>
      <c r="BO1691" s="55" t="e">
        <f>IFERROR(VLOOKUP(AQ1691,'[1]Harga &amp; Nama CSO'!$H$2:$N$22,2,FALSE),"")*AV1691</f>
        <v>#VALUE!</v>
      </c>
      <c r="BP1691" s="40"/>
      <c r="BQ1691" s="4"/>
      <c r="BR1691" s="61"/>
      <c r="BS1691" s="4"/>
      <c r="BT1691" s="57" t="e">
        <f t="shared" si="60"/>
        <v>#VALUE!</v>
      </c>
      <c r="BU1691" s="62"/>
      <c r="BV1691" s="8" t="e">
        <v>#VALUE!</v>
      </c>
      <c r="BW1691" s="58" t="e">
        <f>VLOOKUP(AQ1691,'[1]Harga &amp; Nama CSO'!$A$28:$D$31,4,0)*BQ1691</f>
        <v>#N/A</v>
      </c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44">
        <f>IFERROR(VLOOKUP(AQ1693,'[2]Harga &amp; Nama CSO'!$A$116:$S$136,19,FALSE),0)*AV1693</f>
        <v>0</v>
      </c>
      <c r="BO1692" s="55" t="e">
        <f>IFERROR(VLOOKUP(AQ1692,'[1]Harga &amp; Nama CSO'!$H$2:$N$22,2,FALSE),"")*AV1692</f>
        <v>#VALUE!</v>
      </c>
      <c r="BP1692" s="40"/>
      <c r="BQ1692" s="4"/>
      <c r="BR1692" s="61"/>
      <c r="BS1692" s="4"/>
      <c r="BT1692" s="57" t="e">
        <f t="shared" si="60"/>
        <v>#VALUE!</v>
      </c>
      <c r="BU1692" s="62"/>
      <c r="BV1692" s="8" t="e">
        <v>#VALUE!</v>
      </c>
      <c r="BW1692" s="58" t="e">
        <f>VLOOKUP(AQ1692,'[1]Harga &amp; Nama CSO'!$A$28:$D$31,4,0)*BQ1692</f>
        <v>#N/A</v>
      </c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44">
        <f>IFERROR(VLOOKUP(AQ1694,'[2]Harga &amp; Nama CSO'!$A$116:$S$136,19,FALSE),0)*AV1694</f>
        <v>0</v>
      </c>
      <c r="BO1693" s="55" t="e">
        <f>IFERROR(VLOOKUP(AQ1693,'[1]Harga &amp; Nama CSO'!$H$2:$N$22,2,FALSE),"")*AV1693</f>
        <v>#VALUE!</v>
      </c>
      <c r="BP1693" s="40"/>
      <c r="BQ1693" s="4"/>
      <c r="BR1693" s="61"/>
      <c r="BS1693" s="4"/>
      <c r="BT1693" s="57" t="e">
        <f t="shared" si="60"/>
        <v>#VALUE!</v>
      </c>
      <c r="BU1693" s="62"/>
      <c r="BV1693" s="8" t="e">
        <v>#VALUE!</v>
      </c>
      <c r="BW1693" s="58" t="e">
        <f>VLOOKUP(AQ1693,'[1]Harga &amp; Nama CSO'!$A$28:$D$31,4,0)*BQ1693</f>
        <v>#N/A</v>
      </c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44">
        <f>IFERROR(VLOOKUP(AQ1695,'[2]Harga &amp; Nama CSO'!$A$116:$S$136,19,FALSE),0)*AV1695</f>
        <v>0</v>
      </c>
      <c r="BO1694" s="55" t="e">
        <f>IFERROR(VLOOKUP(AQ1694,'[1]Harga &amp; Nama CSO'!$H$2:$N$22,2,FALSE),"")*AV1694</f>
        <v>#VALUE!</v>
      </c>
      <c r="BP1694" s="40"/>
      <c r="BQ1694" s="4"/>
      <c r="BR1694" s="61"/>
      <c r="BS1694" s="4"/>
      <c r="BT1694" s="57" t="e">
        <f t="shared" si="60"/>
        <v>#VALUE!</v>
      </c>
      <c r="BU1694" s="62"/>
      <c r="BV1694" s="8" t="e">
        <v>#VALUE!</v>
      </c>
      <c r="BW1694" s="58" t="e">
        <f>VLOOKUP(AQ1694,'[1]Harga &amp; Nama CSO'!$A$28:$D$31,4,0)*BQ1694</f>
        <v>#N/A</v>
      </c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44">
        <f>IFERROR(VLOOKUP(AQ1696,'[2]Harga &amp; Nama CSO'!$A$116:$S$136,19,FALSE),0)*AV1696</f>
        <v>0</v>
      </c>
      <c r="BO1695" s="55" t="e">
        <f>IFERROR(VLOOKUP(AQ1695,'[1]Harga &amp; Nama CSO'!$H$2:$N$22,2,FALSE),"")*AV1695</f>
        <v>#VALUE!</v>
      </c>
      <c r="BP1695" s="40"/>
      <c r="BQ1695" s="4"/>
      <c r="BR1695" s="61"/>
      <c r="BS1695" s="4"/>
      <c r="BT1695" s="57" t="e">
        <f t="shared" si="60"/>
        <v>#VALUE!</v>
      </c>
      <c r="BU1695" s="62"/>
      <c r="BV1695" s="8" t="e">
        <v>#VALUE!</v>
      </c>
      <c r="BW1695" s="58" t="e">
        <f>VLOOKUP(AQ1695,'[1]Harga &amp; Nama CSO'!$A$28:$D$31,4,0)*BQ1695</f>
        <v>#N/A</v>
      </c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44">
        <f>IFERROR(VLOOKUP(AQ1697,'[2]Harga &amp; Nama CSO'!$A$116:$S$136,19,FALSE),0)*AV1697</f>
        <v>0</v>
      </c>
      <c r="BO1696" s="55" t="e">
        <f>IFERROR(VLOOKUP(AQ1696,'[1]Harga &amp; Nama CSO'!$H$2:$N$22,2,FALSE),"")*AV1696</f>
        <v>#VALUE!</v>
      </c>
      <c r="BP1696" s="40"/>
      <c r="BQ1696" s="4"/>
      <c r="BR1696" s="61"/>
      <c r="BS1696" s="4"/>
      <c r="BT1696" s="57" t="e">
        <f t="shared" si="60"/>
        <v>#VALUE!</v>
      </c>
      <c r="BU1696" s="62"/>
      <c r="BV1696" s="8" t="e">
        <v>#VALUE!</v>
      </c>
      <c r="BW1696" s="58" t="e">
        <f>VLOOKUP(AQ1696,'[1]Harga &amp; Nama CSO'!$A$28:$D$31,4,0)*BQ1696</f>
        <v>#N/A</v>
      </c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44">
        <f>IFERROR(VLOOKUP(AQ1698,'[2]Harga &amp; Nama CSO'!$A$116:$S$136,19,FALSE),0)*AV1698</f>
        <v>0</v>
      </c>
      <c r="BO1697" s="55" t="e">
        <f>IFERROR(VLOOKUP(AQ1697,'[1]Harga &amp; Nama CSO'!$H$2:$N$22,2,FALSE),"")*AV1697</f>
        <v>#VALUE!</v>
      </c>
      <c r="BP1697" s="40"/>
      <c r="BQ1697" s="4"/>
      <c r="BR1697" s="61"/>
      <c r="BS1697" s="4"/>
      <c r="BT1697" s="57" t="e">
        <f t="shared" si="60"/>
        <v>#VALUE!</v>
      </c>
      <c r="BU1697" s="62"/>
      <c r="BV1697" s="8" t="e">
        <v>#VALUE!</v>
      </c>
      <c r="BW1697" s="58" t="e">
        <f>VLOOKUP(AQ1697,'[1]Harga &amp; Nama CSO'!$A$28:$D$31,4,0)*BQ1697</f>
        <v>#N/A</v>
      </c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44">
        <f>IFERROR(VLOOKUP(AQ1699,'[2]Harga &amp; Nama CSO'!$A$116:$S$136,19,FALSE),0)*AV1699</f>
        <v>0</v>
      </c>
      <c r="BO1698" s="55" t="e">
        <f>IFERROR(VLOOKUP(AQ1698,'[1]Harga &amp; Nama CSO'!$H$2:$N$22,2,FALSE),"")*AV1698</f>
        <v>#VALUE!</v>
      </c>
      <c r="BP1698" s="40"/>
      <c r="BQ1698" s="4"/>
      <c r="BR1698" s="61"/>
      <c r="BS1698" s="4"/>
      <c r="BT1698" s="57" t="e">
        <f t="shared" si="60"/>
        <v>#VALUE!</v>
      </c>
      <c r="BU1698" s="62"/>
      <c r="BV1698" s="8" t="e">
        <v>#VALUE!</v>
      </c>
      <c r="BW1698" s="58" t="e">
        <f>VLOOKUP(AQ1698,'[1]Harga &amp; Nama CSO'!$A$28:$D$31,4,0)*BQ1698</f>
        <v>#N/A</v>
      </c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44">
        <f>IFERROR(VLOOKUP(AQ1700,'[2]Harga &amp; Nama CSO'!$A$116:$S$136,19,FALSE),0)*AV1700</f>
        <v>0</v>
      </c>
      <c r="BO1699" s="55" t="e">
        <f>IFERROR(VLOOKUP(AQ1699,'[1]Harga &amp; Nama CSO'!$H$2:$N$22,2,FALSE),"")*AV1699</f>
        <v>#VALUE!</v>
      </c>
      <c r="BP1699" s="40"/>
      <c r="BQ1699" s="4"/>
      <c r="BR1699" s="61"/>
      <c r="BS1699" s="4"/>
      <c r="BT1699" s="57" t="e">
        <f t="shared" si="60"/>
        <v>#VALUE!</v>
      </c>
      <c r="BU1699" s="62"/>
      <c r="BV1699" s="8" t="e">
        <v>#VALUE!</v>
      </c>
      <c r="BW1699" s="58" t="e">
        <f>VLOOKUP(AQ1699,'[1]Harga &amp; Nama CSO'!$A$28:$D$31,4,0)*BQ1699</f>
        <v>#N/A</v>
      </c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44">
        <f>IFERROR(VLOOKUP(AQ1701,'[2]Harga &amp; Nama CSO'!$A$116:$S$136,19,FALSE),0)*AV1701</f>
        <v>0</v>
      </c>
      <c r="BO1700" s="55" t="e">
        <f>IFERROR(VLOOKUP(AQ1700,'[1]Harga &amp; Nama CSO'!$H$2:$N$22,2,FALSE),"")*AV1700</f>
        <v>#VALUE!</v>
      </c>
      <c r="BP1700" s="40"/>
      <c r="BQ1700" s="4"/>
      <c r="BR1700" s="61"/>
      <c r="BS1700" s="4"/>
      <c r="BT1700" s="57" t="e">
        <f t="shared" si="60"/>
        <v>#VALUE!</v>
      </c>
      <c r="BU1700" s="62"/>
      <c r="BV1700" s="8" t="e">
        <v>#VALUE!</v>
      </c>
      <c r="BW1700" s="58" t="e">
        <f>VLOOKUP(AQ1700,'[1]Harga &amp; Nama CSO'!$A$28:$D$31,4,0)*BQ1700</f>
        <v>#N/A</v>
      </c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44">
        <f>IFERROR(VLOOKUP(AQ1702,'[2]Harga &amp; Nama CSO'!$A$116:$S$136,19,FALSE),0)*AV1702</f>
        <v>0</v>
      </c>
      <c r="BO1701" s="55" t="e">
        <f>IFERROR(VLOOKUP(AQ1701,'[1]Harga &amp; Nama CSO'!$H$2:$N$22,2,FALSE),"")*AV1701</f>
        <v>#VALUE!</v>
      </c>
      <c r="BP1701" s="40"/>
      <c r="BQ1701" s="4"/>
      <c r="BR1701" s="61"/>
      <c r="BS1701" s="4"/>
      <c r="BT1701" s="57" t="e">
        <f t="shared" si="60"/>
        <v>#VALUE!</v>
      </c>
      <c r="BU1701" s="62"/>
      <c r="BV1701" s="8" t="e">
        <v>#VALUE!</v>
      </c>
      <c r="BW1701" s="58" t="e">
        <f>VLOOKUP(AQ1701,'[1]Harga &amp; Nama CSO'!$A$28:$D$31,4,0)*BQ1701</f>
        <v>#N/A</v>
      </c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44">
        <f>IFERROR(VLOOKUP(AQ1703,'[2]Harga &amp; Nama CSO'!$A$116:$S$136,19,FALSE),0)*AV1703</f>
        <v>0</v>
      </c>
      <c r="BO1702" s="55" t="e">
        <f>IFERROR(VLOOKUP(AQ1702,'[1]Harga &amp; Nama CSO'!$H$2:$N$22,2,FALSE),"")*AV1702</f>
        <v>#VALUE!</v>
      </c>
      <c r="BP1702" s="40"/>
      <c r="BQ1702" s="4"/>
      <c r="BR1702" s="61"/>
      <c r="BS1702" s="4"/>
      <c r="BT1702" s="57" t="e">
        <f t="shared" si="60"/>
        <v>#VALUE!</v>
      </c>
      <c r="BU1702" s="62"/>
      <c r="BV1702" s="8" t="e">
        <v>#VALUE!</v>
      </c>
      <c r="BW1702" s="58" t="e">
        <f>VLOOKUP(AQ1702,'[1]Harga &amp; Nama CSO'!$A$28:$D$31,4,0)*BQ1702</f>
        <v>#N/A</v>
      </c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44">
        <f>IFERROR(VLOOKUP(AQ1704,'[2]Harga &amp; Nama CSO'!$A$116:$S$136,19,FALSE),0)*AV1704</f>
        <v>0</v>
      </c>
      <c r="BO1703" s="55" t="e">
        <f>IFERROR(VLOOKUP(AQ1703,'[1]Harga &amp; Nama CSO'!$H$2:$N$22,2,FALSE),"")*AV1703</f>
        <v>#VALUE!</v>
      </c>
      <c r="BP1703" s="40"/>
      <c r="BQ1703" s="4"/>
      <c r="BR1703" s="61"/>
      <c r="BS1703" s="4"/>
      <c r="BT1703" s="57" t="e">
        <f t="shared" si="60"/>
        <v>#VALUE!</v>
      </c>
      <c r="BU1703" s="62"/>
      <c r="BV1703" s="8" t="e">
        <v>#VALUE!</v>
      </c>
      <c r="BW1703" s="58" t="e">
        <f>VLOOKUP(AQ1703,'[1]Harga &amp; Nama CSO'!$A$28:$D$31,4,0)*BQ1703</f>
        <v>#N/A</v>
      </c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44">
        <f>IFERROR(VLOOKUP(AQ1705,'[2]Harga &amp; Nama CSO'!$A$116:$S$136,19,FALSE),0)*AV1705</f>
        <v>0</v>
      </c>
      <c r="BO1704" s="55" t="e">
        <f>IFERROR(VLOOKUP(AQ1704,'[1]Harga &amp; Nama CSO'!$H$2:$N$22,2,FALSE),"")*AV1704</f>
        <v>#VALUE!</v>
      </c>
      <c r="BP1704" s="40"/>
      <c r="BQ1704" s="4"/>
      <c r="BR1704" s="61"/>
      <c r="BS1704" s="4"/>
      <c r="BT1704" s="57" t="e">
        <f t="shared" si="60"/>
        <v>#VALUE!</v>
      </c>
      <c r="BU1704" s="62"/>
      <c r="BV1704" s="8" t="e">
        <v>#VALUE!</v>
      </c>
      <c r="BW1704" s="58" t="e">
        <f>VLOOKUP(AQ1704,'[1]Harga &amp; Nama CSO'!$A$28:$D$31,4,0)*BQ1704</f>
        <v>#N/A</v>
      </c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44">
        <f>IFERROR(VLOOKUP(AQ1706,'[2]Harga &amp; Nama CSO'!$A$116:$S$136,19,FALSE),0)*AV1706</f>
        <v>0</v>
      </c>
      <c r="BO1705" s="55" t="e">
        <f>IFERROR(VLOOKUP(AQ1705,'[1]Harga &amp; Nama CSO'!$H$2:$N$22,2,FALSE),"")*AV1705</f>
        <v>#VALUE!</v>
      </c>
      <c r="BP1705" s="40"/>
      <c r="BQ1705" s="4"/>
      <c r="BR1705" s="61"/>
      <c r="BS1705" s="4"/>
      <c r="BT1705" s="57" t="e">
        <f t="shared" si="60"/>
        <v>#VALUE!</v>
      </c>
      <c r="BU1705" s="62"/>
      <c r="BV1705" s="8" t="e">
        <v>#VALUE!</v>
      </c>
      <c r="BW1705" s="58" t="e">
        <f>VLOOKUP(AQ1705,'[1]Harga &amp; Nama CSO'!$A$28:$D$31,4,0)*BQ1705</f>
        <v>#N/A</v>
      </c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44">
        <f>IFERROR(VLOOKUP(AQ1707,'[2]Harga &amp; Nama CSO'!$A$116:$S$136,19,FALSE),0)*AV1707</f>
        <v>0</v>
      </c>
      <c r="BO1706" s="55" t="e">
        <f>IFERROR(VLOOKUP(AQ1706,'[1]Harga &amp; Nama CSO'!$H$2:$N$22,2,FALSE),"")*AV1706</f>
        <v>#VALUE!</v>
      </c>
      <c r="BP1706" s="40"/>
      <c r="BQ1706" s="4"/>
      <c r="BR1706" s="61"/>
      <c r="BS1706" s="4"/>
      <c r="BT1706" s="57" t="e">
        <f t="shared" si="60"/>
        <v>#VALUE!</v>
      </c>
      <c r="BU1706" s="62"/>
      <c r="BV1706" s="8" t="e">
        <v>#VALUE!</v>
      </c>
      <c r="BW1706" s="58" t="e">
        <f>VLOOKUP(AQ1706,'[1]Harga &amp; Nama CSO'!$A$28:$D$31,4,0)*BQ1706</f>
        <v>#N/A</v>
      </c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44">
        <f>IFERROR(VLOOKUP(AQ1708,'[2]Harga &amp; Nama CSO'!$A$116:$S$136,19,FALSE),0)*AV1708</f>
        <v>0</v>
      </c>
      <c r="BO1707" s="55" t="e">
        <f>IFERROR(VLOOKUP(AQ1707,'[1]Harga &amp; Nama CSO'!$H$2:$N$22,2,FALSE),"")*AV1707</f>
        <v>#VALUE!</v>
      </c>
      <c r="BP1707" s="40"/>
      <c r="BQ1707" s="4"/>
      <c r="BR1707" s="61"/>
      <c r="BS1707" s="4"/>
      <c r="BT1707" s="57" t="e">
        <f t="shared" si="60"/>
        <v>#VALUE!</v>
      </c>
      <c r="BU1707" s="62"/>
      <c r="BV1707" s="8" t="e">
        <v>#VALUE!</v>
      </c>
      <c r="BW1707" s="58" t="e">
        <f>VLOOKUP(AQ1707,'[1]Harga &amp; Nama CSO'!$A$28:$D$31,4,0)*BQ1707</f>
        <v>#N/A</v>
      </c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44">
        <f>IFERROR(VLOOKUP(AQ1709,'[2]Harga &amp; Nama CSO'!$A$116:$S$136,19,FALSE),0)*AV1709</f>
        <v>0</v>
      </c>
      <c r="BO1708" s="55" t="e">
        <f>IFERROR(VLOOKUP(AQ1708,'[1]Harga &amp; Nama CSO'!$H$2:$N$22,2,FALSE),"")*AV1708</f>
        <v>#VALUE!</v>
      </c>
      <c r="BP1708" s="40"/>
      <c r="BQ1708" s="4"/>
      <c r="BR1708" s="61"/>
      <c r="BS1708" s="4"/>
      <c r="BT1708" s="57" t="e">
        <f t="shared" si="60"/>
        <v>#VALUE!</v>
      </c>
      <c r="BU1708" s="62"/>
      <c r="BV1708" s="8" t="e">
        <v>#VALUE!</v>
      </c>
      <c r="BW1708" s="58" t="e">
        <f>VLOOKUP(AQ1708,'[1]Harga &amp; Nama CSO'!$A$28:$D$31,4,0)*BQ1708</f>
        <v>#N/A</v>
      </c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44">
        <f>IFERROR(VLOOKUP(AQ1710,'[2]Harga &amp; Nama CSO'!$A$116:$S$136,19,FALSE),0)*AV1710</f>
        <v>0</v>
      </c>
      <c r="BO1709" s="55" t="e">
        <f>IFERROR(VLOOKUP(AQ1709,'[1]Harga &amp; Nama CSO'!$H$2:$N$22,2,FALSE),"")*AV1709</f>
        <v>#VALUE!</v>
      </c>
      <c r="BP1709" s="40"/>
      <c r="BQ1709" s="4"/>
      <c r="BR1709" s="61"/>
      <c r="BS1709" s="4"/>
      <c r="BT1709" s="57" t="e">
        <f t="shared" si="60"/>
        <v>#VALUE!</v>
      </c>
      <c r="BU1709" s="62"/>
      <c r="BV1709" s="8" t="e">
        <v>#VALUE!</v>
      </c>
      <c r="BW1709" s="58" t="e">
        <f>VLOOKUP(AQ1709,'[1]Harga &amp; Nama CSO'!$A$28:$D$31,4,0)*BQ1709</f>
        <v>#N/A</v>
      </c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44">
        <f>IFERROR(VLOOKUP(AQ1711,'[2]Harga &amp; Nama CSO'!$A$116:$S$136,19,FALSE),0)*AV1711</f>
        <v>0</v>
      </c>
      <c r="BO1710" s="55" t="e">
        <f>IFERROR(VLOOKUP(AQ1710,'[1]Harga &amp; Nama CSO'!$H$2:$N$22,2,FALSE),"")*AV1710</f>
        <v>#VALUE!</v>
      </c>
      <c r="BP1710" s="40"/>
      <c r="BQ1710" s="4"/>
      <c r="BR1710" s="61"/>
      <c r="BS1710" s="4"/>
      <c r="BT1710" s="57" t="e">
        <f t="shared" si="60"/>
        <v>#VALUE!</v>
      </c>
      <c r="BU1710" s="62"/>
      <c r="BV1710" s="8" t="e">
        <v>#VALUE!</v>
      </c>
      <c r="BW1710" s="58" t="e">
        <f>VLOOKUP(AQ1710,'[1]Harga &amp; Nama CSO'!$A$28:$D$31,4,0)*BQ1710</f>
        <v>#N/A</v>
      </c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44">
        <f>IFERROR(VLOOKUP(AQ1712,'[2]Harga &amp; Nama CSO'!$A$116:$S$136,19,FALSE),0)*AV1712</f>
        <v>0</v>
      </c>
      <c r="BO1711" s="55" t="e">
        <f>IFERROR(VLOOKUP(AQ1711,'[1]Harga &amp; Nama CSO'!$H$2:$N$22,2,FALSE),"")*AV1711</f>
        <v>#VALUE!</v>
      </c>
      <c r="BP1711" s="40"/>
      <c r="BQ1711" s="4"/>
      <c r="BR1711" s="61"/>
      <c r="BS1711" s="4"/>
      <c r="BT1711" s="57" t="e">
        <f t="shared" si="60"/>
        <v>#VALUE!</v>
      </c>
      <c r="BU1711" s="62"/>
      <c r="BV1711" s="8" t="e">
        <v>#VALUE!</v>
      </c>
      <c r="BW1711" s="58" t="e">
        <f>VLOOKUP(AQ1711,'[1]Harga &amp; Nama CSO'!$A$28:$D$31,4,0)*BQ1711</f>
        <v>#N/A</v>
      </c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44">
        <f>IFERROR(VLOOKUP(AQ1713,'[2]Harga &amp; Nama CSO'!$A$116:$S$136,19,FALSE),0)*AV1713</f>
        <v>0</v>
      </c>
      <c r="BO1712" s="55" t="e">
        <f>IFERROR(VLOOKUP(AQ1712,'[1]Harga &amp; Nama CSO'!$H$2:$N$22,2,FALSE),"")*AV1712</f>
        <v>#VALUE!</v>
      </c>
      <c r="BP1712" s="40"/>
      <c r="BQ1712" s="4"/>
      <c r="BR1712" s="61"/>
      <c r="BS1712" s="4"/>
      <c r="BT1712" s="57" t="e">
        <f t="shared" si="60"/>
        <v>#VALUE!</v>
      </c>
      <c r="BU1712" s="62"/>
      <c r="BV1712" s="8" t="e">
        <v>#VALUE!</v>
      </c>
      <c r="BW1712" s="58" t="e">
        <f>VLOOKUP(AQ1712,'[1]Harga &amp; Nama CSO'!$A$28:$D$31,4,0)*BQ1712</f>
        <v>#N/A</v>
      </c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44">
        <f>IFERROR(VLOOKUP(AQ1714,'[2]Harga &amp; Nama CSO'!$A$116:$S$136,19,FALSE),0)*AV1714</f>
        <v>0</v>
      </c>
      <c r="BO1713" s="55" t="e">
        <f>IFERROR(VLOOKUP(AQ1713,'[1]Harga &amp; Nama CSO'!$H$2:$N$22,2,FALSE),"")*AV1713</f>
        <v>#VALUE!</v>
      </c>
      <c r="BP1713" s="40"/>
      <c r="BQ1713" s="4"/>
      <c r="BR1713" s="61"/>
      <c r="BS1713" s="4"/>
      <c r="BT1713" s="57" t="e">
        <f t="shared" si="60"/>
        <v>#VALUE!</v>
      </c>
      <c r="BU1713" s="62"/>
      <c r="BV1713" s="8" t="e">
        <v>#VALUE!</v>
      </c>
      <c r="BW1713" s="58" t="e">
        <f>VLOOKUP(AQ1713,'[1]Harga &amp; Nama CSO'!$A$28:$D$31,4,0)*BQ1713</f>
        <v>#N/A</v>
      </c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44">
        <f>IFERROR(VLOOKUP(AQ1715,'[2]Harga &amp; Nama CSO'!$A$116:$S$136,19,FALSE),0)*AV1715</f>
        <v>0</v>
      </c>
      <c r="BO1714" s="55" t="e">
        <f>IFERROR(VLOOKUP(AQ1714,'[1]Harga &amp; Nama CSO'!$H$2:$N$22,2,FALSE),"")*AV1714</f>
        <v>#VALUE!</v>
      </c>
      <c r="BP1714" s="40"/>
      <c r="BQ1714" s="4"/>
      <c r="BR1714" s="61"/>
      <c r="BS1714" s="4"/>
      <c r="BT1714" s="57" t="e">
        <f t="shared" si="60"/>
        <v>#VALUE!</v>
      </c>
      <c r="BU1714" s="62"/>
      <c r="BV1714" s="8" t="e">
        <v>#VALUE!</v>
      </c>
      <c r="BW1714" s="58" t="e">
        <f>VLOOKUP(AQ1714,'[1]Harga &amp; Nama CSO'!$A$28:$D$31,4,0)*BQ1714</f>
        <v>#N/A</v>
      </c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44">
        <f>IFERROR(VLOOKUP(AQ1716,'[2]Harga &amp; Nama CSO'!$A$116:$S$136,19,FALSE),0)*AV1716</f>
        <v>0</v>
      </c>
      <c r="BO1715" s="55" t="e">
        <f>IFERROR(VLOOKUP(AQ1715,'[1]Harga &amp; Nama CSO'!$H$2:$N$22,2,FALSE),"")*AV1715</f>
        <v>#VALUE!</v>
      </c>
      <c r="BP1715" s="40"/>
      <c r="BQ1715" s="4"/>
      <c r="BR1715" s="61"/>
      <c r="BS1715" s="4"/>
      <c r="BT1715" s="57" t="e">
        <f t="shared" si="60"/>
        <v>#VALUE!</v>
      </c>
      <c r="BU1715" s="62"/>
      <c r="BV1715" s="8" t="e">
        <v>#VALUE!</v>
      </c>
      <c r="BW1715" s="58" t="e">
        <f>VLOOKUP(AQ1715,'[1]Harga &amp; Nama CSO'!$A$28:$D$31,4,0)*BQ1715</f>
        <v>#N/A</v>
      </c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44">
        <f>IFERROR(VLOOKUP(AQ1717,'[2]Harga &amp; Nama CSO'!$A$116:$S$136,19,FALSE),0)*AV1717</f>
        <v>0</v>
      </c>
      <c r="BO1716" s="55" t="e">
        <f>IFERROR(VLOOKUP(AQ1716,'[1]Harga &amp; Nama CSO'!$H$2:$N$22,2,FALSE),"")*AV1716</f>
        <v>#VALUE!</v>
      </c>
      <c r="BP1716" s="40"/>
      <c r="BQ1716" s="4"/>
      <c r="BR1716" s="61"/>
      <c r="BS1716" s="4"/>
      <c r="BT1716" s="57" t="e">
        <f t="shared" si="60"/>
        <v>#VALUE!</v>
      </c>
      <c r="BU1716" s="62"/>
      <c r="BV1716" s="8" t="e">
        <v>#VALUE!</v>
      </c>
      <c r="BW1716" s="58" t="e">
        <f>VLOOKUP(AQ1716,'[1]Harga &amp; Nama CSO'!$A$28:$D$31,4,0)*BQ1716</f>
        <v>#N/A</v>
      </c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44">
        <f>IFERROR(VLOOKUP(AQ1718,'[2]Harga &amp; Nama CSO'!$A$116:$S$136,19,FALSE),0)*AV1718</f>
        <v>0</v>
      </c>
      <c r="BO1717" s="55" t="e">
        <f>IFERROR(VLOOKUP(AQ1717,'[1]Harga &amp; Nama CSO'!$H$2:$N$22,2,FALSE),"")*AV1717</f>
        <v>#VALUE!</v>
      </c>
      <c r="BP1717" s="40"/>
      <c r="BQ1717" s="4"/>
      <c r="BR1717" s="61"/>
      <c r="BS1717" s="4"/>
      <c r="BT1717" s="57" t="e">
        <f t="shared" si="60"/>
        <v>#VALUE!</v>
      </c>
      <c r="BU1717" s="62"/>
      <c r="BV1717" s="8" t="e">
        <v>#VALUE!</v>
      </c>
      <c r="BW1717" s="58" t="e">
        <f>VLOOKUP(AQ1717,'[1]Harga &amp; Nama CSO'!$A$28:$D$31,4,0)*BQ1717</f>
        <v>#N/A</v>
      </c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44">
        <f>IFERROR(VLOOKUP(AQ1719,'[2]Harga &amp; Nama CSO'!$A$116:$S$136,19,FALSE),0)*AV1719</f>
        <v>0</v>
      </c>
      <c r="BO1718" s="55" t="e">
        <f>IFERROR(VLOOKUP(AQ1718,'[1]Harga &amp; Nama CSO'!$H$2:$N$22,2,FALSE),"")*AV1718</f>
        <v>#VALUE!</v>
      </c>
      <c r="BP1718" s="40"/>
      <c r="BQ1718" s="4"/>
      <c r="BR1718" s="61"/>
      <c r="BS1718" s="4"/>
      <c r="BT1718" s="57" t="e">
        <f t="shared" si="60"/>
        <v>#VALUE!</v>
      </c>
      <c r="BU1718" s="62"/>
      <c r="BV1718" s="8" t="e">
        <v>#VALUE!</v>
      </c>
      <c r="BW1718" s="58" t="e">
        <f>VLOOKUP(AQ1718,'[1]Harga &amp; Nama CSO'!$A$28:$D$31,4,0)*BQ1718</f>
        <v>#N/A</v>
      </c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44">
        <f>IFERROR(VLOOKUP(AQ1720,'[2]Harga &amp; Nama CSO'!$A$116:$S$136,19,FALSE),0)*AV1720</f>
        <v>0</v>
      </c>
      <c r="BO1719" s="55" t="e">
        <f>IFERROR(VLOOKUP(AQ1719,'[1]Harga &amp; Nama CSO'!$H$2:$N$22,2,FALSE),"")*AV1719</f>
        <v>#VALUE!</v>
      </c>
      <c r="BP1719" s="40"/>
      <c r="BQ1719" s="4"/>
      <c r="BR1719" s="61"/>
      <c r="BS1719" s="4"/>
      <c r="BT1719" s="57" t="e">
        <f t="shared" si="60"/>
        <v>#VALUE!</v>
      </c>
      <c r="BU1719" s="62"/>
      <c r="BV1719" s="8" t="e">
        <v>#VALUE!</v>
      </c>
      <c r="BW1719" s="58" t="e">
        <f>VLOOKUP(AQ1719,'[1]Harga &amp; Nama CSO'!$A$28:$D$31,4,0)*BQ1719</f>
        <v>#N/A</v>
      </c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44">
        <f>IFERROR(VLOOKUP(AQ1721,'[2]Harga &amp; Nama CSO'!$A$116:$S$136,19,FALSE),0)*AV1721</f>
        <v>0</v>
      </c>
      <c r="BO1720" s="55" t="e">
        <f>IFERROR(VLOOKUP(AQ1720,'[1]Harga &amp; Nama CSO'!$H$2:$N$22,2,FALSE),"")*AV1720</f>
        <v>#VALUE!</v>
      </c>
      <c r="BP1720" s="40"/>
      <c r="BQ1720" s="4"/>
      <c r="BR1720" s="61"/>
      <c r="BS1720" s="4"/>
      <c r="BT1720" s="57" t="e">
        <f t="shared" si="60"/>
        <v>#VALUE!</v>
      </c>
      <c r="BU1720" s="62"/>
      <c r="BV1720" s="8" t="e">
        <v>#VALUE!</v>
      </c>
      <c r="BW1720" s="58" t="e">
        <f>VLOOKUP(AQ1720,'[1]Harga &amp; Nama CSO'!$A$28:$D$31,4,0)*BQ1720</f>
        <v>#N/A</v>
      </c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44">
        <f>IFERROR(VLOOKUP(AQ1722,'[2]Harga &amp; Nama CSO'!$A$116:$S$136,19,FALSE),0)*AV1722</f>
        <v>0</v>
      </c>
      <c r="BO1721" s="55" t="e">
        <f>IFERROR(VLOOKUP(AQ1721,'[1]Harga &amp; Nama CSO'!$H$2:$N$22,2,FALSE),"")*AV1721</f>
        <v>#VALUE!</v>
      </c>
      <c r="BP1721" s="40"/>
      <c r="BQ1721" s="4"/>
      <c r="BR1721" s="61"/>
      <c r="BS1721" s="4"/>
      <c r="BT1721" s="57" t="e">
        <f t="shared" si="60"/>
        <v>#VALUE!</v>
      </c>
      <c r="BU1721" s="62"/>
      <c r="BV1721" s="8" t="e">
        <v>#VALUE!</v>
      </c>
      <c r="BW1721" s="58" t="e">
        <f>VLOOKUP(AQ1721,'[1]Harga &amp; Nama CSO'!$A$28:$D$31,4,0)*BQ1721</f>
        <v>#N/A</v>
      </c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44">
        <f>IFERROR(VLOOKUP(AQ1723,'[2]Harga &amp; Nama CSO'!$A$116:$S$136,19,FALSE),0)*AV1723</f>
        <v>0</v>
      </c>
      <c r="BO1722" s="55" t="e">
        <f>IFERROR(VLOOKUP(AQ1722,'[1]Harga &amp; Nama CSO'!$H$2:$N$22,2,FALSE),"")*AV1722</f>
        <v>#VALUE!</v>
      </c>
      <c r="BP1722" s="40"/>
      <c r="BQ1722" s="4"/>
      <c r="BR1722" s="61"/>
      <c r="BS1722" s="4"/>
      <c r="BT1722" s="57" t="e">
        <f t="shared" si="60"/>
        <v>#VALUE!</v>
      </c>
      <c r="BU1722" s="62"/>
      <c r="BV1722" s="8" t="e">
        <v>#VALUE!</v>
      </c>
      <c r="BW1722" s="58" t="e">
        <f>VLOOKUP(AQ1722,'[1]Harga &amp; Nama CSO'!$A$28:$D$31,4,0)*BQ1722</f>
        <v>#N/A</v>
      </c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44">
        <f>IFERROR(VLOOKUP(AQ1724,'[2]Harga &amp; Nama CSO'!$A$116:$S$136,19,FALSE),0)*AV1724</f>
        <v>0</v>
      </c>
      <c r="BO1723" s="55" t="e">
        <f>IFERROR(VLOOKUP(AQ1723,'[1]Harga &amp; Nama CSO'!$H$2:$N$22,2,FALSE),"")*AV1723</f>
        <v>#VALUE!</v>
      </c>
      <c r="BP1723" s="40"/>
      <c r="BQ1723" s="4"/>
      <c r="BR1723" s="61"/>
      <c r="BS1723" s="4"/>
      <c r="BT1723" s="57" t="e">
        <f t="shared" si="60"/>
        <v>#VALUE!</v>
      </c>
      <c r="BU1723" s="62"/>
      <c r="BV1723" s="8" t="e">
        <v>#VALUE!</v>
      </c>
      <c r="BW1723" s="58" t="e">
        <f>VLOOKUP(AQ1723,'[1]Harga &amp; Nama CSO'!$A$28:$D$31,4,0)*BQ1723</f>
        <v>#N/A</v>
      </c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44">
        <f>IFERROR(VLOOKUP(AQ1725,'[2]Harga &amp; Nama CSO'!$A$116:$S$136,19,FALSE),0)*AV1725</f>
        <v>0</v>
      </c>
      <c r="BO1724" s="55" t="e">
        <f>IFERROR(VLOOKUP(AQ1724,'[1]Harga &amp; Nama CSO'!$H$2:$N$22,2,FALSE),"")*AV1724</f>
        <v>#VALUE!</v>
      </c>
      <c r="BP1724" s="40"/>
      <c r="BQ1724" s="4"/>
      <c r="BR1724" s="61"/>
      <c r="BS1724" s="4"/>
      <c r="BT1724" s="57" t="e">
        <f t="shared" si="60"/>
        <v>#VALUE!</v>
      </c>
      <c r="BU1724" s="62"/>
      <c r="BV1724" s="8" t="e">
        <v>#VALUE!</v>
      </c>
      <c r="BW1724" s="58" t="e">
        <f>VLOOKUP(AQ1724,'[1]Harga &amp; Nama CSO'!$A$28:$D$31,4,0)*BQ1724</f>
        <v>#N/A</v>
      </c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44">
        <f>IFERROR(VLOOKUP(AQ1726,'[2]Harga &amp; Nama CSO'!$A$116:$S$136,19,FALSE),0)*AV1726</f>
        <v>0</v>
      </c>
      <c r="BO1725" s="55" t="e">
        <f>IFERROR(VLOOKUP(AQ1725,'[1]Harga &amp; Nama CSO'!$H$2:$N$22,2,FALSE),"")*AV1725</f>
        <v>#VALUE!</v>
      </c>
      <c r="BP1725" s="40"/>
      <c r="BQ1725" s="4"/>
      <c r="BR1725" s="61"/>
      <c r="BS1725" s="4"/>
      <c r="BT1725" s="57" t="e">
        <f t="shared" si="60"/>
        <v>#VALUE!</v>
      </c>
      <c r="BU1725" s="62"/>
      <c r="BV1725" s="8" t="e">
        <v>#VALUE!</v>
      </c>
      <c r="BW1725" s="58" t="e">
        <f>VLOOKUP(AQ1725,'[1]Harga &amp; Nama CSO'!$A$28:$D$31,4,0)*BQ1725</f>
        <v>#N/A</v>
      </c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44">
        <f>IFERROR(VLOOKUP(AQ1727,'[2]Harga &amp; Nama CSO'!$A$116:$S$136,19,FALSE),0)*AV1727</f>
        <v>0</v>
      </c>
      <c r="BO1726" s="55" t="e">
        <f>IFERROR(VLOOKUP(AQ1726,'[1]Harga &amp; Nama CSO'!$H$2:$N$22,2,FALSE),"")*AV1726</f>
        <v>#VALUE!</v>
      </c>
      <c r="BP1726" s="40"/>
      <c r="BQ1726" s="4"/>
      <c r="BR1726" s="61"/>
      <c r="BS1726" s="4"/>
      <c r="BT1726" s="57" t="e">
        <f t="shared" si="60"/>
        <v>#VALUE!</v>
      </c>
      <c r="BU1726" s="62"/>
      <c r="BV1726" s="8" t="e">
        <v>#VALUE!</v>
      </c>
      <c r="BW1726" s="58" t="e">
        <f>VLOOKUP(AQ1726,'[1]Harga &amp; Nama CSO'!$A$28:$D$31,4,0)*BQ1726</f>
        <v>#N/A</v>
      </c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44">
        <f>IFERROR(VLOOKUP(AQ1728,'[2]Harga &amp; Nama CSO'!$A$116:$S$136,19,FALSE),0)*AV1728</f>
        <v>0</v>
      </c>
      <c r="BO1727" s="55" t="e">
        <f>IFERROR(VLOOKUP(AQ1727,'[1]Harga &amp; Nama CSO'!$H$2:$N$22,2,FALSE),"")*AV1727</f>
        <v>#VALUE!</v>
      </c>
      <c r="BP1727" s="40"/>
      <c r="BQ1727" s="4"/>
      <c r="BR1727" s="61"/>
      <c r="BS1727" s="4"/>
      <c r="BT1727" s="57" t="e">
        <f t="shared" si="60"/>
        <v>#VALUE!</v>
      </c>
      <c r="BU1727" s="62"/>
      <c r="BV1727" s="8" t="e">
        <v>#VALUE!</v>
      </c>
      <c r="BW1727" s="58" t="e">
        <f>VLOOKUP(AQ1727,'[1]Harga &amp; Nama CSO'!$A$28:$D$31,4,0)*BQ1727</f>
        <v>#N/A</v>
      </c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44">
        <f>IFERROR(VLOOKUP(AQ1729,'[2]Harga &amp; Nama CSO'!$A$116:$S$136,19,FALSE),0)*AV1729</f>
        <v>0</v>
      </c>
      <c r="BO1728" s="55" t="e">
        <f>IFERROR(VLOOKUP(AQ1728,'[1]Harga &amp; Nama CSO'!$H$2:$N$22,2,FALSE),"")*AV1728</f>
        <v>#VALUE!</v>
      </c>
      <c r="BP1728" s="40"/>
      <c r="BQ1728" s="4"/>
      <c r="BR1728" s="61"/>
      <c r="BS1728" s="4"/>
      <c r="BT1728" s="57" t="e">
        <f t="shared" si="60"/>
        <v>#VALUE!</v>
      </c>
      <c r="BU1728" s="62"/>
      <c r="BV1728" s="8" t="e">
        <v>#VALUE!</v>
      </c>
      <c r="BW1728" s="58" t="e">
        <f>VLOOKUP(AQ1728,'[1]Harga &amp; Nama CSO'!$A$28:$D$31,4,0)*BQ1728</f>
        <v>#N/A</v>
      </c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44">
        <f>IFERROR(VLOOKUP(AQ1730,'[2]Harga &amp; Nama CSO'!$A$116:$S$136,19,FALSE),0)*AV1730</f>
        <v>0</v>
      </c>
      <c r="BO1729" s="55" t="e">
        <f>IFERROR(VLOOKUP(AQ1729,'[1]Harga &amp; Nama CSO'!$H$2:$N$22,2,FALSE),"")*AV1729</f>
        <v>#VALUE!</v>
      </c>
      <c r="BP1729" s="40"/>
      <c r="BQ1729" s="4"/>
      <c r="BR1729" s="61"/>
      <c r="BS1729" s="4"/>
      <c r="BT1729" s="57" t="e">
        <f t="shared" si="60"/>
        <v>#VALUE!</v>
      </c>
      <c r="BU1729" s="62"/>
      <c r="BV1729" s="8" t="e">
        <v>#VALUE!</v>
      </c>
      <c r="BW1729" s="58" t="e">
        <f>VLOOKUP(AQ1729,'[1]Harga &amp; Nama CSO'!$A$28:$D$31,4,0)*BQ1729</f>
        <v>#N/A</v>
      </c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44">
        <f>IFERROR(VLOOKUP(AQ1731,'[2]Harga &amp; Nama CSO'!$A$116:$S$136,19,FALSE),0)*AV1731</f>
        <v>0</v>
      </c>
      <c r="BO1730" s="55" t="e">
        <f>IFERROR(VLOOKUP(AQ1730,'[1]Harga &amp; Nama CSO'!$H$2:$N$22,2,FALSE),"")*AV1730</f>
        <v>#VALUE!</v>
      </c>
      <c r="BP1730" s="40"/>
      <c r="BQ1730" s="4"/>
      <c r="BR1730" s="61"/>
      <c r="BS1730" s="4"/>
      <c r="BT1730" s="57" t="e">
        <f t="shared" si="60"/>
        <v>#VALUE!</v>
      </c>
      <c r="BU1730" s="62"/>
      <c r="BV1730" s="8" t="e">
        <v>#VALUE!</v>
      </c>
      <c r="BW1730" s="58" t="e">
        <f>VLOOKUP(AQ1730,'[1]Harga &amp; Nama CSO'!$A$28:$D$31,4,0)*BQ1730</f>
        <v>#N/A</v>
      </c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44">
        <f>IFERROR(VLOOKUP(AQ1732,'[2]Harga &amp; Nama CSO'!$A$116:$S$136,19,FALSE),0)*AV1732</f>
        <v>0</v>
      </c>
      <c r="BO1731" s="55" t="e">
        <f>IFERROR(VLOOKUP(AQ1731,'[1]Harga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61">BO1731-BR1731</f>
        <v>#VALUE!</v>
      </c>
      <c r="BU1731" s="62"/>
      <c r="BV1731" s="8" t="e">
        <v>#VALUE!</v>
      </c>
      <c r="BW1731" s="58" t="e">
        <f>VLOOKUP(AQ1731,'[1]Harga &amp; Nama CSO'!$A$28:$D$31,4,0)*BQ1731</f>
        <v>#N/A</v>
      </c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44">
        <f>IFERROR(VLOOKUP(AQ1733,'[2]Harga &amp; Nama CSO'!$A$116:$S$136,19,FALSE),0)*AV1733</f>
        <v>0</v>
      </c>
      <c r="BO1732" s="55" t="e">
        <f>IFERROR(VLOOKUP(AQ1732,'[1]Harga &amp; Nama CSO'!$H$2:$N$22,2,FALSE),"")*AV1732</f>
        <v>#VALUE!</v>
      </c>
      <c r="BP1732" s="40"/>
      <c r="BQ1732" s="4"/>
      <c r="BR1732" s="61"/>
      <c r="BS1732" s="4"/>
      <c r="BT1732" s="57" t="e">
        <f t="shared" si="61"/>
        <v>#VALUE!</v>
      </c>
      <c r="BU1732" s="62"/>
      <c r="BV1732" s="8" t="e">
        <v>#VALUE!</v>
      </c>
      <c r="BW1732" s="58" t="e">
        <f>VLOOKUP(AQ1732,'[1]Harga &amp; Nama CSO'!$A$28:$D$31,4,0)*BQ1732</f>
        <v>#N/A</v>
      </c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44">
        <f>IFERROR(VLOOKUP(AQ1734,'[2]Harga &amp; Nama CSO'!$A$116:$S$136,19,FALSE),0)*AV1734</f>
        <v>0</v>
      </c>
      <c r="BO1733" s="55" t="e">
        <f>IFERROR(VLOOKUP(AQ1733,'[1]Harga &amp; Nama CSO'!$H$2:$N$22,2,FALSE),"")*AV1733</f>
        <v>#VALUE!</v>
      </c>
      <c r="BP1733" s="40"/>
      <c r="BQ1733" s="4"/>
      <c r="BR1733" s="61"/>
      <c r="BS1733" s="4"/>
      <c r="BT1733" s="57" t="e">
        <f t="shared" si="61"/>
        <v>#VALUE!</v>
      </c>
      <c r="BU1733" s="62"/>
      <c r="BV1733" s="8" t="e">
        <v>#VALUE!</v>
      </c>
      <c r="BW1733" s="58" t="e">
        <f>VLOOKUP(AQ1733,'[1]Harga &amp; Nama CSO'!$A$28:$D$31,4,0)*BQ1733</f>
        <v>#N/A</v>
      </c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44">
        <f>IFERROR(VLOOKUP(AQ1735,'[2]Harga &amp; Nama CSO'!$A$116:$S$136,19,FALSE),0)*AV1735</f>
        <v>0</v>
      </c>
      <c r="BO1734" s="55" t="e">
        <f>IFERROR(VLOOKUP(AQ1734,'[1]Harga &amp; Nama CSO'!$H$2:$N$22,2,FALSE),"")*AV1734</f>
        <v>#VALUE!</v>
      </c>
      <c r="BP1734" s="40"/>
      <c r="BQ1734" s="4"/>
      <c r="BR1734" s="61"/>
      <c r="BS1734" s="4"/>
      <c r="BT1734" s="57" t="e">
        <f t="shared" si="61"/>
        <v>#VALUE!</v>
      </c>
      <c r="BU1734" s="62"/>
      <c r="BV1734" s="8" t="e">
        <v>#VALUE!</v>
      </c>
      <c r="BW1734" s="58" t="e">
        <f>VLOOKUP(AQ1734,'[1]Harga &amp; Nama CSO'!$A$28:$D$31,4,0)*BQ1734</f>
        <v>#N/A</v>
      </c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44">
        <f>IFERROR(VLOOKUP(AQ1736,'[2]Harga &amp; Nama CSO'!$A$116:$S$136,19,FALSE),0)*AV1736</f>
        <v>0</v>
      </c>
      <c r="BO1735" s="55" t="e">
        <f>IFERROR(VLOOKUP(AQ1735,'[1]Harga &amp; Nama CSO'!$H$2:$N$22,2,FALSE),"")*AV1735</f>
        <v>#VALUE!</v>
      </c>
      <c r="BP1735" s="40"/>
      <c r="BQ1735" s="4"/>
      <c r="BR1735" s="61"/>
      <c r="BS1735" s="4"/>
      <c r="BT1735" s="57" t="e">
        <f t="shared" si="61"/>
        <v>#VALUE!</v>
      </c>
      <c r="BU1735" s="62"/>
      <c r="BV1735" s="8" t="e">
        <v>#VALUE!</v>
      </c>
      <c r="BW1735" s="58" t="e">
        <f>VLOOKUP(AQ1735,'[1]Harga &amp; Nama CSO'!$A$28:$D$31,4,0)*BQ1735</f>
        <v>#N/A</v>
      </c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44">
        <f>IFERROR(VLOOKUP(AQ1737,'[2]Harga &amp; Nama CSO'!$A$116:$S$136,19,FALSE),0)*AV1737</f>
        <v>0</v>
      </c>
      <c r="BO1736" s="55" t="e">
        <f>IFERROR(VLOOKUP(AQ1736,'[1]Harga &amp; Nama CSO'!$H$2:$N$22,2,FALSE),"")*AV1736</f>
        <v>#VALUE!</v>
      </c>
      <c r="BP1736" s="40"/>
      <c r="BQ1736" s="4"/>
      <c r="BR1736" s="61"/>
      <c r="BS1736" s="4"/>
      <c r="BT1736" s="57" t="e">
        <f t="shared" si="61"/>
        <v>#VALUE!</v>
      </c>
      <c r="BU1736" s="62"/>
      <c r="BV1736" s="8" t="e">
        <v>#VALUE!</v>
      </c>
      <c r="BW1736" s="58" t="e">
        <f>VLOOKUP(AQ1736,'[1]Harga &amp; Nama CSO'!$A$28:$D$31,4,0)*BQ1736</f>
        <v>#N/A</v>
      </c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44">
        <f>IFERROR(VLOOKUP(AQ1738,'[2]Harga &amp; Nama CSO'!$A$116:$S$136,19,FALSE),0)*AV1738</f>
        <v>0</v>
      </c>
      <c r="BO1737" s="55" t="e">
        <f>IFERROR(VLOOKUP(AQ1737,'[1]Harga &amp; Nama CSO'!$H$2:$N$22,2,FALSE),"")*AV1737</f>
        <v>#VALUE!</v>
      </c>
      <c r="BP1737" s="40"/>
      <c r="BQ1737" s="4"/>
      <c r="BR1737" s="61"/>
      <c r="BS1737" s="4"/>
      <c r="BT1737" s="57" t="e">
        <f t="shared" si="61"/>
        <v>#VALUE!</v>
      </c>
      <c r="BU1737" s="62"/>
      <c r="BV1737" s="8" t="e">
        <v>#VALUE!</v>
      </c>
      <c r="BW1737" s="58" t="e">
        <f>VLOOKUP(AQ1737,'[1]Harga &amp; Nama CSO'!$A$28:$D$31,4,0)*BQ1737</f>
        <v>#N/A</v>
      </c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44">
        <f>IFERROR(VLOOKUP(AQ1739,'[2]Harga &amp; Nama CSO'!$A$116:$S$136,19,FALSE),0)*AV1739</f>
        <v>0</v>
      </c>
      <c r="BO1738" s="55" t="e">
        <f>IFERROR(VLOOKUP(AQ1738,'[1]Harga &amp; Nama CSO'!$H$2:$N$22,2,FALSE),"")*AV1738</f>
        <v>#VALUE!</v>
      </c>
      <c r="BP1738" s="40"/>
      <c r="BQ1738" s="4"/>
      <c r="BR1738" s="61"/>
      <c r="BS1738" s="4"/>
      <c r="BT1738" s="57" t="e">
        <f t="shared" si="61"/>
        <v>#VALUE!</v>
      </c>
      <c r="BU1738" s="62"/>
      <c r="BV1738" s="8" t="e">
        <v>#VALUE!</v>
      </c>
      <c r="BW1738" s="58" t="e">
        <f>VLOOKUP(AQ1738,'[1]Harga &amp; Nama CSO'!$A$28:$D$31,4,0)*BQ1738</f>
        <v>#N/A</v>
      </c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44">
        <f>IFERROR(VLOOKUP(AQ1740,'[2]Harga &amp; Nama CSO'!$A$116:$S$136,19,FALSE),0)*AV1740</f>
        <v>0</v>
      </c>
      <c r="BO1739" s="55" t="e">
        <f>IFERROR(VLOOKUP(AQ1739,'[1]Harga &amp; Nama CSO'!$H$2:$N$22,2,FALSE),"")*AV1739</f>
        <v>#VALUE!</v>
      </c>
      <c r="BP1739" s="40"/>
      <c r="BQ1739" s="4"/>
      <c r="BR1739" s="61"/>
      <c r="BS1739" s="4"/>
      <c r="BT1739" s="57" t="e">
        <f t="shared" si="61"/>
        <v>#VALUE!</v>
      </c>
      <c r="BU1739" s="62"/>
      <c r="BV1739" s="8" t="e">
        <v>#VALUE!</v>
      </c>
      <c r="BW1739" s="58" t="e">
        <f>VLOOKUP(AQ1739,'[1]Harga &amp; Nama CSO'!$A$28:$D$31,4,0)*BQ1739</f>
        <v>#N/A</v>
      </c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44">
        <f>IFERROR(VLOOKUP(AQ1741,'[2]Harga &amp; Nama CSO'!$A$116:$S$136,19,FALSE),0)*AV1741</f>
        <v>0</v>
      </c>
      <c r="BO1740" s="55" t="e">
        <f>IFERROR(VLOOKUP(AQ1740,'[1]Harga &amp; Nama CSO'!$H$2:$N$22,2,FALSE),"")*AV1740</f>
        <v>#VALUE!</v>
      </c>
      <c r="BP1740" s="40"/>
      <c r="BQ1740" s="4"/>
      <c r="BR1740" s="61"/>
      <c r="BS1740" s="4"/>
      <c r="BT1740" s="57" t="e">
        <f t="shared" si="61"/>
        <v>#VALUE!</v>
      </c>
      <c r="BU1740" s="62"/>
      <c r="BV1740" s="8" t="e">
        <v>#VALUE!</v>
      </c>
      <c r="BW1740" s="58" t="e">
        <f>VLOOKUP(AQ1740,'[1]Harga &amp; Nama CSO'!$A$28:$D$31,4,0)*BQ1740</f>
        <v>#N/A</v>
      </c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44">
        <f>IFERROR(VLOOKUP(AQ1742,'[2]Harga &amp; Nama CSO'!$A$116:$S$136,19,FALSE),0)*AV1742</f>
        <v>0</v>
      </c>
      <c r="BO1741" s="55" t="e">
        <f>IFERROR(VLOOKUP(AQ1741,'[1]Harga &amp; Nama CSO'!$H$2:$N$22,2,FALSE),"")*AV1741</f>
        <v>#VALUE!</v>
      </c>
      <c r="BP1741" s="40"/>
      <c r="BQ1741" s="4"/>
      <c r="BR1741" s="61"/>
      <c r="BS1741" s="4"/>
      <c r="BT1741" s="57" t="e">
        <f t="shared" si="61"/>
        <v>#VALUE!</v>
      </c>
      <c r="BU1741" s="62"/>
      <c r="BV1741" s="8" t="e">
        <v>#VALUE!</v>
      </c>
      <c r="BW1741" s="58" t="e">
        <f>VLOOKUP(AQ1741,'[1]Harga &amp; Nama CSO'!$A$28:$D$31,4,0)*BQ1741</f>
        <v>#N/A</v>
      </c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44">
        <f>IFERROR(VLOOKUP(AQ1743,'[2]Harga &amp; Nama CSO'!$A$116:$S$136,19,FALSE),0)*AV1743</f>
        <v>0</v>
      </c>
      <c r="BO1742" s="55" t="e">
        <f>IFERROR(VLOOKUP(AQ1742,'[1]Harga &amp; Nama CSO'!$H$2:$N$22,2,FALSE),"")*AV1742</f>
        <v>#VALUE!</v>
      </c>
      <c r="BP1742" s="40"/>
      <c r="BQ1742" s="4"/>
      <c r="BR1742" s="61"/>
      <c r="BS1742" s="4"/>
      <c r="BT1742" s="57" t="e">
        <f t="shared" si="61"/>
        <v>#VALUE!</v>
      </c>
      <c r="BU1742" s="62"/>
      <c r="BV1742" s="8" t="e">
        <v>#VALUE!</v>
      </c>
      <c r="BW1742" s="58" t="e">
        <f>VLOOKUP(AQ1742,'[1]Harga &amp; Nama CSO'!$A$28:$D$31,4,0)*BQ1742</f>
        <v>#N/A</v>
      </c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44">
        <f>IFERROR(VLOOKUP(AQ1744,'[2]Harga &amp; Nama CSO'!$A$116:$S$136,19,FALSE),0)*AV1744</f>
        <v>0</v>
      </c>
      <c r="BO1743" s="55" t="e">
        <f>IFERROR(VLOOKUP(AQ1743,'[1]Harga &amp; Nama CSO'!$H$2:$N$22,2,FALSE),"")*AV1743</f>
        <v>#VALUE!</v>
      </c>
      <c r="BP1743" s="40"/>
      <c r="BQ1743" s="4"/>
      <c r="BR1743" s="61"/>
      <c r="BS1743" s="4"/>
      <c r="BT1743" s="57" t="e">
        <f t="shared" si="61"/>
        <v>#VALUE!</v>
      </c>
      <c r="BU1743" s="62"/>
      <c r="BV1743" s="8" t="e">
        <v>#VALUE!</v>
      </c>
      <c r="BW1743" s="58" t="e">
        <f>VLOOKUP(AQ1743,'[1]Harga &amp; Nama CSO'!$A$28:$D$31,4,0)*BQ1743</f>
        <v>#N/A</v>
      </c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44">
        <f>IFERROR(VLOOKUP(AQ1745,'[2]Harga &amp; Nama CSO'!$A$116:$S$136,19,FALSE),0)*AV1745</f>
        <v>0</v>
      </c>
      <c r="BO1744" s="55" t="e">
        <f>IFERROR(VLOOKUP(AQ1744,'[1]Harga &amp; Nama CSO'!$H$2:$N$22,2,FALSE),"")*AV1744</f>
        <v>#VALUE!</v>
      </c>
      <c r="BP1744" s="40"/>
      <c r="BQ1744" s="4"/>
      <c r="BR1744" s="61"/>
      <c r="BS1744" s="4"/>
      <c r="BT1744" s="57" t="e">
        <f t="shared" si="61"/>
        <v>#VALUE!</v>
      </c>
      <c r="BU1744" s="62"/>
      <c r="BV1744" s="8" t="e">
        <v>#VALUE!</v>
      </c>
      <c r="BW1744" s="58" t="e">
        <f>VLOOKUP(AQ1744,'[1]Harga &amp; Nama CSO'!$A$28:$D$31,4,0)*BQ1744</f>
        <v>#N/A</v>
      </c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44">
        <f>IFERROR(VLOOKUP(AQ1746,'[2]Harga &amp; Nama CSO'!$A$116:$S$136,19,FALSE),0)*AV1746</f>
        <v>0</v>
      </c>
      <c r="BO1745" s="55" t="e">
        <f>IFERROR(VLOOKUP(AQ1745,'[1]Harga &amp; Nama CSO'!$H$2:$N$22,2,FALSE),"")*AV1745</f>
        <v>#VALUE!</v>
      </c>
      <c r="BP1745" s="40"/>
      <c r="BQ1745" s="4"/>
      <c r="BR1745" s="61"/>
      <c r="BS1745" s="4"/>
      <c r="BT1745" s="57" t="e">
        <f t="shared" si="61"/>
        <v>#VALUE!</v>
      </c>
      <c r="BU1745" s="62"/>
      <c r="BV1745" s="8" t="e">
        <v>#VALUE!</v>
      </c>
      <c r="BW1745" s="58" t="e">
        <f>VLOOKUP(AQ1745,'[1]Harga &amp; Nama CSO'!$A$28:$D$31,4,0)*BQ1745</f>
        <v>#N/A</v>
      </c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44">
        <f>IFERROR(VLOOKUP(AQ1747,'[2]Harga &amp; Nama CSO'!$A$116:$S$136,19,FALSE),0)*AV1747</f>
        <v>0</v>
      </c>
      <c r="BO1746" s="55" t="e">
        <f>IFERROR(VLOOKUP(AQ1746,'[1]Harga &amp; Nama CSO'!$H$2:$N$22,2,FALSE),"")*AV1746</f>
        <v>#VALUE!</v>
      </c>
      <c r="BP1746" s="40"/>
      <c r="BQ1746" s="4"/>
      <c r="BR1746" s="61"/>
      <c r="BS1746" s="4"/>
      <c r="BT1746" s="57" t="e">
        <f t="shared" si="61"/>
        <v>#VALUE!</v>
      </c>
      <c r="BU1746" s="62"/>
      <c r="BV1746" s="8" t="e">
        <v>#VALUE!</v>
      </c>
      <c r="BW1746" s="58" t="e">
        <f>VLOOKUP(AQ1746,'[1]Harga &amp; Nama CSO'!$A$28:$D$31,4,0)*BQ1746</f>
        <v>#N/A</v>
      </c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44">
        <f>IFERROR(VLOOKUP(AQ1748,'[2]Harga &amp; Nama CSO'!$A$116:$S$136,19,FALSE),0)*AV1748</f>
        <v>0</v>
      </c>
      <c r="BO1747" s="55" t="e">
        <f>IFERROR(VLOOKUP(AQ1747,'[1]Harga &amp; Nama CSO'!$H$2:$N$22,2,FALSE),"")*AV1747</f>
        <v>#VALUE!</v>
      </c>
      <c r="BP1747" s="40"/>
      <c r="BQ1747" s="4"/>
      <c r="BR1747" s="61"/>
      <c r="BS1747" s="4"/>
      <c r="BT1747" s="57" t="e">
        <f t="shared" si="61"/>
        <v>#VALUE!</v>
      </c>
      <c r="BU1747" s="62"/>
      <c r="BV1747" s="8" t="e">
        <v>#VALUE!</v>
      </c>
      <c r="BW1747" s="58" t="e">
        <f>VLOOKUP(AQ1747,'[1]Harga &amp; Nama CSO'!$A$28:$D$31,4,0)*BQ1747</f>
        <v>#N/A</v>
      </c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44">
        <f>IFERROR(VLOOKUP(AQ1749,'[2]Harga &amp; Nama CSO'!$A$116:$S$136,19,FALSE),0)*AV1749</f>
        <v>0</v>
      </c>
      <c r="BO1748" s="55" t="e">
        <f>IFERROR(VLOOKUP(AQ1748,'[1]Harga &amp; Nama CSO'!$H$2:$N$22,2,FALSE),"")*AV1748</f>
        <v>#VALUE!</v>
      </c>
      <c r="BP1748" s="40"/>
      <c r="BQ1748" s="4"/>
      <c r="BR1748" s="61"/>
      <c r="BS1748" s="4"/>
      <c r="BT1748" s="57" t="e">
        <f t="shared" si="61"/>
        <v>#VALUE!</v>
      </c>
      <c r="BU1748" s="62"/>
      <c r="BV1748" s="8" t="e">
        <v>#VALUE!</v>
      </c>
      <c r="BW1748" s="58" t="e">
        <f>VLOOKUP(AQ1748,'[1]Harga &amp; Nama CSO'!$A$28:$D$31,4,0)*BQ1748</f>
        <v>#N/A</v>
      </c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44">
        <f>IFERROR(VLOOKUP(AQ1750,'[2]Harga &amp; Nama CSO'!$A$116:$S$136,19,FALSE),0)*AV1750</f>
        <v>0</v>
      </c>
      <c r="BO1749" s="55" t="e">
        <f>IFERROR(VLOOKUP(AQ1749,'[1]Harga &amp; Nama CSO'!$H$2:$N$22,2,FALSE),"")*AV1749</f>
        <v>#VALUE!</v>
      </c>
      <c r="BP1749" s="40"/>
      <c r="BQ1749" s="4"/>
      <c r="BR1749" s="61"/>
      <c r="BS1749" s="4"/>
      <c r="BT1749" s="57" t="e">
        <f t="shared" si="61"/>
        <v>#VALUE!</v>
      </c>
      <c r="BU1749" s="62"/>
      <c r="BV1749" s="8" t="e">
        <v>#VALUE!</v>
      </c>
      <c r="BW1749" s="58" t="e">
        <f>VLOOKUP(AQ1749,'[1]Harga &amp; Nama CSO'!$A$28:$D$31,4,0)*BQ1749</f>
        <v>#N/A</v>
      </c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44">
        <f>IFERROR(VLOOKUP(AQ1751,'[2]Harga &amp; Nama CSO'!$A$116:$S$136,19,FALSE),0)*AV1751</f>
        <v>0</v>
      </c>
      <c r="BO1750" s="55" t="e">
        <f>IFERROR(VLOOKUP(AQ1750,'[1]Harga &amp; Nama CSO'!$H$2:$N$22,2,FALSE),"")*AV1750</f>
        <v>#VALUE!</v>
      </c>
      <c r="BP1750" s="40"/>
      <c r="BQ1750" s="4"/>
      <c r="BR1750" s="61"/>
      <c r="BS1750" s="4"/>
      <c r="BT1750" s="57" t="e">
        <f t="shared" si="61"/>
        <v>#VALUE!</v>
      </c>
      <c r="BU1750" s="62"/>
      <c r="BV1750" s="8" t="e">
        <v>#VALUE!</v>
      </c>
      <c r="BW1750" s="58" t="e">
        <f>VLOOKUP(AQ1750,'[1]Harga &amp; Nama CSO'!$A$28:$D$31,4,0)*BQ1750</f>
        <v>#N/A</v>
      </c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44">
        <f>IFERROR(VLOOKUP(AQ1752,'[2]Harga &amp; Nama CSO'!$A$116:$S$136,19,FALSE),0)*AV1752</f>
        <v>0</v>
      </c>
      <c r="BO1751" s="55" t="e">
        <f>IFERROR(VLOOKUP(AQ1751,'[1]Harga &amp; Nama CSO'!$H$2:$N$22,2,FALSE),"")*AV1751</f>
        <v>#VALUE!</v>
      </c>
      <c r="BP1751" s="40"/>
      <c r="BQ1751" s="4"/>
      <c r="BR1751" s="61"/>
      <c r="BS1751" s="4"/>
      <c r="BT1751" s="57" t="e">
        <f t="shared" si="61"/>
        <v>#VALUE!</v>
      </c>
      <c r="BU1751" s="62"/>
      <c r="BV1751" s="8" t="e">
        <v>#VALUE!</v>
      </c>
      <c r="BW1751" s="58" t="e">
        <f>VLOOKUP(AQ1751,'[1]Harga &amp; Nama CSO'!$A$28:$D$31,4,0)*BQ1751</f>
        <v>#N/A</v>
      </c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44">
        <f>IFERROR(VLOOKUP(AQ1753,'[2]Harga &amp; Nama CSO'!$A$116:$S$136,19,FALSE),0)*AV1753</f>
        <v>0</v>
      </c>
      <c r="BO1752" s="55" t="e">
        <f>IFERROR(VLOOKUP(AQ1752,'[1]Harga &amp; Nama CSO'!$H$2:$N$22,2,FALSE),"")*AV1752</f>
        <v>#VALUE!</v>
      </c>
      <c r="BP1752" s="40"/>
      <c r="BQ1752" s="4"/>
      <c r="BR1752" s="61"/>
      <c r="BS1752" s="4"/>
      <c r="BT1752" s="57" t="e">
        <f t="shared" si="61"/>
        <v>#VALUE!</v>
      </c>
      <c r="BU1752" s="62"/>
      <c r="BV1752" s="8" t="e">
        <v>#VALUE!</v>
      </c>
      <c r="BW1752" s="58" t="e">
        <f>VLOOKUP(AQ1752,'[1]Harga &amp; Nama CSO'!$A$28:$D$31,4,0)*BQ1752</f>
        <v>#N/A</v>
      </c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44">
        <f>IFERROR(VLOOKUP(AQ1754,'[2]Harga &amp; Nama CSO'!$A$116:$S$136,19,FALSE),0)*AV1754</f>
        <v>0</v>
      </c>
      <c r="BO1753" s="55" t="e">
        <f>IFERROR(VLOOKUP(AQ1753,'[1]Harga &amp; Nama CSO'!$H$2:$N$22,2,FALSE),"")*AV1753</f>
        <v>#VALUE!</v>
      </c>
      <c r="BP1753" s="40"/>
      <c r="BQ1753" s="4"/>
      <c r="BR1753" s="61"/>
      <c r="BS1753" s="4"/>
      <c r="BT1753" s="57" t="e">
        <f t="shared" si="61"/>
        <v>#VALUE!</v>
      </c>
      <c r="BU1753" s="62"/>
      <c r="BV1753" s="8" t="e">
        <v>#VALUE!</v>
      </c>
      <c r="BW1753" s="58" t="e">
        <f>VLOOKUP(AQ1753,'[1]Harga &amp; Nama CSO'!$A$28:$D$31,4,0)*BQ1753</f>
        <v>#N/A</v>
      </c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44">
        <f>IFERROR(VLOOKUP(AQ1755,'[2]Harga &amp; Nama CSO'!$A$116:$S$136,19,FALSE),0)*AV1755</f>
        <v>0</v>
      </c>
      <c r="BO1754" s="55" t="e">
        <f>IFERROR(VLOOKUP(AQ1754,'[1]Harga &amp; Nama CSO'!$H$2:$N$22,2,FALSE),"")*AV1754</f>
        <v>#VALUE!</v>
      </c>
      <c r="BP1754" s="40"/>
      <c r="BQ1754" s="4"/>
      <c r="BR1754" s="61"/>
      <c r="BS1754" s="4"/>
      <c r="BT1754" s="57" t="e">
        <f t="shared" si="61"/>
        <v>#VALUE!</v>
      </c>
      <c r="BU1754" s="62"/>
      <c r="BV1754" s="8" t="e">
        <v>#VALUE!</v>
      </c>
      <c r="BW1754" s="58" t="e">
        <f>VLOOKUP(AQ1754,'[1]Harga &amp; Nama CSO'!$A$28:$D$31,4,0)*BQ1754</f>
        <v>#N/A</v>
      </c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44">
        <f>IFERROR(VLOOKUP(AQ1756,'[2]Harga &amp; Nama CSO'!$A$116:$S$136,19,FALSE),0)*AV1756</f>
        <v>0</v>
      </c>
      <c r="BO1755" s="55" t="e">
        <f>IFERROR(VLOOKUP(AQ1755,'[1]Harga &amp; Nama CSO'!$H$2:$N$22,2,FALSE),"")*AV1755</f>
        <v>#VALUE!</v>
      </c>
      <c r="BP1755" s="40"/>
      <c r="BQ1755" s="4"/>
      <c r="BR1755" s="61"/>
      <c r="BS1755" s="4"/>
      <c r="BT1755" s="57" t="e">
        <f t="shared" si="61"/>
        <v>#VALUE!</v>
      </c>
      <c r="BU1755" s="62"/>
      <c r="BV1755" s="8" t="e">
        <v>#VALUE!</v>
      </c>
      <c r="BW1755" s="58" t="e">
        <f>VLOOKUP(AQ1755,'[1]Harga &amp; Nama CSO'!$A$28:$D$31,4,0)*BQ1755</f>
        <v>#N/A</v>
      </c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44">
        <f>IFERROR(VLOOKUP(AQ1757,'[2]Harga &amp; Nama CSO'!$A$116:$S$136,19,FALSE),0)*AV1757</f>
        <v>0</v>
      </c>
      <c r="BO1756" s="55" t="e">
        <f>IFERROR(VLOOKUP(AQ1756,'[1]Harga &amp; Nama CSO'!$H$2:$N$22,2,FALSE),"")*AV1756</f>
        <v>#VALUE!</v>
      </c>
      <c r="BP1756" s="40"/>
      <c r="BQ1756" s="4"/>
      <c r="BR1756" s="61"/>
      <c r="BS1756" s="4"/>
      <c r="BT1756" s="57" t="e">
        <f t="shared" si="61"/>
        <v>#VALUE!</v>
      </c>
      <c r="BU1756" s="62"/>
      <c r="BV1756" s="8" t="e">
        <v>#VALUE!</v>
      </c>
      <c r="BW1756" s="58" t="e">
        <f>VLOOKUP(AQ1756,'[1]Harga &amp; Nama CSO'!$A$28:$D$31,4,0)*BQ1756</f>
        <v>#N/A</v>
      </c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44">
        <f>IFERROR(VLOOKUP(AQ1758,'[2]Harga &amp; Nama CSO'!$A$116:$S$136,19,FALSE),0)*AV1758</f>
        <v>0</v>
      </c>
      <c r="BO1757" s="55" t="e">
        <f>IFERROR(VLOOKUP(AQ1757,'[1]Harga &amp; Nama CSO'!$H$2:$N$22,2,FALSE),"")*AV1757</f>
        <v>#VALUE!</v>
      </c>
      <c r="BP1757" s="40"/>
      <c r="BQ1757" s="4"/>
      <c r="BR1757" s="61"/>
      <c r="BS1757" s="4"/>
      <c r="BT1757" s="57" t="e">
        <f t="shared" si="61"/>
        <v>#VALUE!</v>
      </c>
      <c r="BU1757" s="62"/>
      <c r="BV1757" s="8" t="e">
        <v>#VALUE!</v>
      </c>
      <c r="BW1757" s="58" t="e">
        <f>VLOOKUP(AQ1757,'[1]Harga &amp; Nama CSO'!$A$28:$D$31,4,0)*BQ1757</f>
        <v>#N/A</v>
      </c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44">
        <f>IFERROR(VLOOKUP(AQ1759,'[2]Harga &amp; Nama CSO'!$A$116:$S$136,19,FALSE),0)*AV1759</f>
        <v>0</v>
      </c>
      <c r="BO1758" s="55" t="e">
        <f>IFERROR(VLOOKUP(AQ1758,'[1]Harga &amp; Nama CSO'!$H$2:$N$22,2,FALSE),"")*AV1758</f>
        <v>#VALUE!</v>
      </c>
      <c r="BP1758" s="40"/>
      <c r="BQ1758" s="4"/>
      <c r="BR1758" s="61"/>
      <c r="BS1758" s="4"/>
      <c r="BT1758" s="57" t="e">
        <f t="shared" si="61"/>
        <v>#VALUE!</v>
      </c>
      <c r="BU1758" s="62"/>
      <c r="BV1758" s="8" t="e">
        <v>#VALUE!</v>
      </c>
      <c r="BW1758" s="58" t="e">
        <f>VLOOKUP(AQ1758,'[1]Harga &amp; Nama CSO'!$A$28:$D$31,4,0)*BQ1758</f>
        <v>#N/A</v>
      </c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44">
        <f>IFERROR(VLOOKUP(AQ1760,'[2]Harga &amp; Nama CSO'!$A$116:$S$136,19,FALSE),0)*AV1760</f>
        <v>0</v>
      </c>
      <c r="BO1759" s="55" t="e">
        <f>IFERROR(VLOOKUP(AQ1759,'[1]Harga &amp; Nama CSO'!$H$2:$N$22,2,FALSE),"")*AV1759</f>
        <v>#VALUE!</v>
      </c>
      <c r="BP1759" s="40"/>
      <c r="BQ1759" s="4"/>
      <c r="BR1759" s="61"/>
      <c r="BS1759" s="4"/>
      <c r="BT1759" s="57" t="e">
        <f t="shared" si="61"/>
        <v>#VALUE!</v>
      </c>
      <c r="BU1759" s="62"/>
      <c r="BV1759" s="8" t="e">
        <v>#VALUE!</v>
      </c>
      <c r="BW1759" s="58" t="e">
        <f>VLOOKUP(AQ1759,'[1]Harga &amp; Nama CSO'!$A$28:$D$31,4,0)*BQ1759</f>
        <v>#N/A</v>
      </c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44">
        <f>IFERROR(VLOOKUP(AQ1761,'[2]Harga &amp; Nama CSO'!$A$116:$S$136,19,FALSE),0)*AV1761</f>
        <v>0</v>
      </c>
      <c r="BO1760" s="55" t="e">
        <f>IFERROR(VLOOKUP(AQ1760,'[1]Harga &amp; Nama CSO'!$H$2:$N$22,2,FALSE),"")*AV1760</f>
        <v>#VALUE!</v>
      </c>
      <c r="BP1760" s="40"/>
      <c r="BQ1760" s="4"/>
      <c r="BR1760" s="61"/>
      <c r="BS1760" s="4"/>
      <c r="BT1760" s="57" t="e">
        <f t="shared" si="61"/>
        <v>#VALUE!</v>
      </c>
      <c r="BU1760" s="62"/>
      <c r="BV1760" s="8" t="e">
        <v>#VALUE!</v>
      </c>
      <c r="BW1760" s="58" t="e">
        <f>VLOOKUP(AQ1760,'[1]Harga &amp; Nama CSO'!$A$28:$D$31,4,0)*BQ1760</f>
        <v>#N/A</v>
      </c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44">
        <f>IFERROR(VLOOKUP(AQ1762,'[2]Harga &amp; Nama CSO'!$A$116:$S$136,19,FALSE),0)*AV1762</f>
        <v>0</v>
      </c>
      <c r="BO1761" s="55" t="e">
        <f>IFERROR(VLOOKUP(AQ1761,'[1]Harga &amp; Nama CSO'!$H$2:$N$22,2,FALSE),"")*AV1761</f>
        <v>#VALUE!</v>
      </c>
      <c r="BP1761" s="40"/>
      <c r="BQ1761" s="4"/>
      <c r="BR1761" s="61"/>
      <c r="BS1761" s="4"/>
      <c r="BT1761" s="57" t="e">
        <f t="shared" si="61"/>
        <v>#VALUE!</v>
      </c>
      <c r="BU1761" s="62"/>
      <c r="BV1761" s="8" t="e">
        <v>#VALUE!</v>
      </c>
      <c r="BW1761" s="58" t="e">
        <f>VLOOKUP(AQ1761,'[1]Harga &amp; Nama CSO'!$A$28:$D$31,4,0)*BQ1761</f>
        <v>#N/A</v>
      </c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44">
        <f>IFERROR(VLOOKUP(AQ1763,'[2]Harga &amp; Nama CSO'!$A$116:$S$136,19,FALSE),0)*AV1763</f>
        <v>0</v>
      </c>
      <c r="BO1762" s="55" t="e">
        <f>IFERROR(VLOOKUP(AQ1762,'[1]Harga &amp; Nama CSO'!$H$2:$N$22,2,FALSE),"")*AV1762</f>
        <v>#VALUE!</v>
      </c>
      <c r="BP1762" s="40"/>
      <c r="BQ1762" s="4"/>
      <c r="BR1762" s="61"/>
      <c r="BS1762" s="4"/>
      <c r="BT1762" s="57" t="e">
        <f t="shared" si="61"/>
        <v>#VALUE!</v>
      </c>
      <c r="BU1762" s="62"/>
      <c r="BV1762" s="8" t="e">
        <v>#VALUE!</v>
      </c>
      <c r="BW1762" s="58" t="e">
        <f>VLOOKUP(AQ1762,'[1]Harga &amp; Nama CSO'!$A$28:$D$31,4,0)*BQ1762</f>
        <v>#N/A</v>
      </c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44">
        <f>IFERROR(VLOOKUP(AQ1764,'[2]Harga &amp; Nama CSO'!$A$116:$S$136,19,FALSE),0)*AV1764</f>
        <v>0</v>
      </c>
      <c r="BO1763" s="55" t="e">
        <f>IFERROR(VLOOKUP(AQ1763,'[1]Harga &amp; Nama CSO'!$H$2:$N$22,2,FALSE),"")*AV1763</f>
        <v>#VALUE!</v>
      </c>
      <c r="BP1763" s="40"/>
      <c r="BQ1763" s="4"/>
      <c r="BR1763" s="61"/>
      <c r="BS1763" s="4"/>
      <c r="BT1763" s="57" t="e">
        <f t="shared" si="61"/>
        <v>#VALUE!</v>
      </c>
      <c r="BU1763" s="62"/>
      <c r="BV1763" s="8" t="e">
        <v>#VALUE!</v>
      </c>
      <c r="BW1763" s="58" t="e">
        <f>VLOOKUP(AQ1763,'[1]Harga &amp; Nama CSO'!$A$28:$D$31,4,0)*BQ1763</f>
        <v>#N/A</v>
      </c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44">
        <f>IFERROR(VLOOKUP(AQ1765,'[2]Harga &amp; Nama CSO'!$A$116:$S$136,19,FALSE),0)*AV1765</f>
        <v>0</v>
      </c>
      <c r="BO1764" s="55" t="e">
        <f>IFERROR(VLOOKUP(AQ1764,'[1]Harga &amp; Nama CSO'!$H$2:$N$22,2,FALSE),"")*AV1764</f>
        <v>#VALUE!</v>
      </c>
      <c r="BP1764" s="40"/>
      <c r="BQ1764" s="4"/>
      <c r="BR1764" s="61"/>
      <c r="BS1764" s="4"/>
      <c r="BT1764" s="57" t="e">
        <f t="shared" si="61"/>
        <v>#VALUE!</v>
      </c>
      <c r="BU1764" s="62"/>
      <c r="BV1764" s="8" t="e">
        <v>#VALUE!</v>
      </c>
      <c r="BW1764" s="58" t="e">
        <f>VLOOKUP(AQ1764,'[1]Harga &amp; Nama CSO'!$A$28:$D$31,4,0)*BQ1764</f>
        <v>#N/A</v>
      </c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44">
        <f>IFERROR(VLOOKUP(AQ1766,'[2]Harga &amp; Nama CSO'!$A$116:$S$136,19,FALSE),0)*AV1766</f>
        <v>0</v>
      </c>
      <c r="BO1765" s="55" t="e">
        <f>IFERROR(VLOOKUP(AQ1765,'[1]Harga &amp; Nama CSO'!$H$2:$N$22,2,FALSE),"")*AV1765</f>
        <v>#VALUE!</v>
      </c>
      <c r="BP1765" s="40"/>
      <c r="BQ1765" s="4"/>
      <c r="BR1765" s="61"/>
      <c r="BS1765" s="4"/>
      <c r="BT1765" s="57" t="e">
        <f t="shared" si="61"/>
        <v>#VALUE!</v>
      </c>
      <c r="BU1765" s="62"/>
      <c r="BV1765" s="8" t="e">
        <v>#VALUE!</v>
      </c>
      <c r="BW1765" s="58" t="e">
        <f>VLOOKUP(AQ1765,'[1]Harga &amp; Nama CSO'!$A$28:$D$31,4,0)*BQ1765</f>
        <v>#N/A</v>
      </c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44">
        <f>IFERROR(VLOOKUP(AQ1767,'[2]Harga &amp; Nama CSO'!$A$116:$S$136,19,FALSE),0)*AV1767</f>
        <v>0</v>
      </c>
      <c r="BO1766" s="55" t="e">
        <f>IFERROR(VLOOKUP(AQ1766,'[1]Harga &amp; Nama CSO'!$H$2:$N$22,2,FALSE),"")*AV1766</f>
        <v>#VALUE!</v>
      </c>
      <c r="BP1766" s="40"/>
      <c r="BQ1766" s="4"/>
      <c r="BR1766" s="61"/>
      <c r="BS1766" s="4"/>
      <c r="BT1766" s="57" t="e">
        <f t="shared" si="61"/>
        <v>#VALUE!</v>
      </c>
      <c r="BU1766" s="62"/>
      <c r="BV1766" s="8" t="e">
        <v>#VALUE!</v>
      </c>
      <c r="BW1766" s="58" t="e">
        <f>VLOOKUP(AQ1766,'[1]Harga &amp; Nama CSO'!$A$28:$D$31,4,0)*BQ1766</f>
        <v>#N/A</v>
      </c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44">
        <f>IFERROR(VLOOKUP(AQ1768,'[2]Harga &amp; Nama CSO'!$A$116:$S$136,19,FALSE),0)*AV1768</f>
        <v>0</v>
      </c>
      <c r="BO1767" s="55" t="e">
        <f>IFERROR(VLOOKUP(AQ1767,'[1]Harga &amp; Nama CSO'!$H$2:$N$22,2,FALSE),"")*AV1767</f>
        <v>#VALUE!</v>
      </c>
      <c r="BP1767" s="40"/>
      <c r="BQ1767" s="4"/>
      <c r="BR1767" s="61"/>
      <c r="BS1767" s="4"/>
      <c r="BT1767" s="57" t="e">
        <f t="shared" si="61"/>
        <v>#VALUE!</v>
      </c>
      <c r="BU1767" s="62"/>
      <c r="BV1767" s="8" t="e">
        <v>#VALUE!</v>
      </c>
      <c r="BW1767" s="58" t="e">
        <f>VLOOKUP(AQ1767,'[1]Harga &amp; Nama CSO'!$A$28:$D$31,4,0)*BQ1767</f>
        <v>#N/A</v>
      </c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44">
        <f>IFERROR(VLOOKUP(AQ1769,'[2]Harga &amp; Nama CSO'!$A$116:$S$136,19,FALSE),0)*AV1769</f>
        <v>0</v>
      </c>
      <c r="BO1768" s="55" t="e">
        <f>IFERROR(VLOOKUP(AQ1768,'[1]Harga &amp; Nama CSO'!$H$2:$N$22,2,FALSE),"")*AV1768</f>
        <v>#VALUE!</v>
      </c>
      <c r="BP1768" s="40"/>
      <c r="BQ1768" s="4"/>
      <c r="BR1768" s="61"/>
      <c r="BS1768" s="4"/>
      <c r="BT1768" s="57" t="e">
        <f t="shared" si="61"/>
        <v>#VALUE!</v>
      </c>
      <c r="BU1768" s="62"/>
      <c r="BV1768" s="8" t="e">
        <v>#VALUE!</v>
      </c>
      <c r="BW1768" s="58" t="e">
        <f>VLOOKUP(AQ1768,'[1]Harga &amp; Nama CSO'!$A$28:$D$31,4,0)*BQ1768</f>
        <v>#N/A</v>
      </c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44">
        <f>IFERROR(VLOOKUP(AQ1770,'[2]Harga &amp; Nama CSO'!$A$116:$S$136,19,FALSE),0)*AV1770</f>
        <v>0</v>
      </c>
      <c r="BO1769" s="55" t="e">
        <f>IFERROR(VLOOKUP(AQ1769,'[1]Harga &amp; Nama CSO'!$H$2:$N$22,2,FALSE),"")*AV1769</f>
        <v>#VALUE!</v>
      </c>
      <c r="BP1769" s="40"/>
      <c r="BQ1769" s="4"/>
      <c r="BR1769" s="61"/>
      <c r="BS1769" s="4"/>
      <c r="BT1769" s="57" t="e">
        <f t="shared" si="61"/>
        <v>#VALUE!</v>
      </c>
      <c r="BU1769" s="62"/>
      <c r="BV1769" s="8" t="e">
        <v>#VALUE!</v>
      </c>
      <c r="BW1769" s="58" t="e">
        <f>VLOOKUP(AQ1769,'[1]Harga &amp; Nama CSO'!$A$28:$D$31,4,0)*BQ1769</f>
        <v>#N/A</v>
      </c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44">
        <f>IFERROR(VLOOKUP(AQ1771,'[2]Harga &amp; Nama CSO'!$A$116:$S$136,19,FALSE),0)*AV1771</f>
        <v>0</v>
      </c>
      <c r="BO1770" s="55" t="e">
        <f>IFERROR(VLOOKUP(AQ1770,'[1]Harga &amp; Nama CSO'!$H$2:$N$22,2,FALSE),"")*AV1770</f>
        <v>#VALUE!</v>
      </c>
      <c r="BP1770" s="40"/>
      <c r="BQ1770" s="4"/>
      <c r="BR1770" s="61"/>
      <c r="BS1770" s="4"/>
      <c r="BT1770" s="57" t="e">
        <f t="shared" si="61"/>
        <v>#VALUE!</v>
      </c>
      <c r="BU1770" s="62"/>
      <c r="BV1770" s="8" t="e">
        <v>#VALUE!</v>
      </c>
      <c r="BW1770" s="58" t="e">
        <f>VLOOKUP(AQ1770,'[1]Harga &amp; Nama CSO'!$A$28:$D$31,4,0)*BQ1770</f>
        <v>#N/A</v>
      </c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44">
        <f>IFERROR(VLOOKUP(AQ1772,'[2]Harga &amp; Nama CSO'!$A$116:$S$136,19,FALSE),0)*AV1772</f>
        <v>0</v>
      </c>
      <c r="BO1771" s="55" t="e">
        <f>IFERROR(VLOOKUP(AQ1771,'[1]Harga &amp; Nama CSO'!$H$2:$N$22,2,FALSE),"")*AV1771</f>
        <v>#VALUE!</v>
      </c>
      <c r="BP1771" s="40"/>
      <c r="BQ1771" s="4"/>
      <c r="BR1771" s="61"/>
      <c r="BS1771" s="4"/>
      <c r="BT1771" s="57" t="e">
        <f t="shared" si="61"/>
        <v>#VALUE!</v>
      </c>
      <c r="BU1771" s="62"/>
      <c r="BV1771" s="8" t="e">
        <v>#VALUE!</v>
      </c>
      <c r="BW1771" s="58" t="e">
        <f>VLOOKUP(AQ1771,'[1]Harga &amp; Nama CSO'!$A$28:$D$31,4,0)*BQ1771</f>
        <v>#N/A</v>
      </c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44">
        <f>IFERROR(VLOOKUP(AQ1773,'[2]Harga &amp; Nama CSO'!$A$116:$S$136,19,FALSE),0)*AV1773</f>
        <v>0</v>
      </c>
      <c r="BO1772" s="55" t="e">
        <f>IFERROR(VLOOKUP(AQ1772,'[1]Harga &amp; Nama CSO'!$H$2:$N$22,2,FALSE),"")*AV1772</f>
        <v>#VALUE!</v>
      </c>
      <c r="BP1772" s="40"/>
      <c r="BQ1772" s="4"/>
      <c r="BR1772" s="61"/>
      <c r="BS1772" s="4"/>
      <c r="BT1772" s="57" t="e">
        <f t="shared" si="61"/>
        <v>#VALUE!</v>
      </c>
      <c r="BU1772" s="62"/>
      <c r="BV1772" s="8" t="e">
        <v>#VALUE!</v>
      </c>
      <c r="BW1772" s="58" t="e">
        <f>VLOOKUP(AQ1772,'[1]Harga &amp; Nama CSO'!$A$28:$D$31,4,0)*BQ1772</f>
        <v>#N/A</v>
      </c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44">
        <f>IFERROR(VLOOKUP(AQ1774,'[2]Harga &amp; Nama CSO'!$A$116:$S$136,19,FALSE),0)*AV1774</f>
        <v>0</v>
      </c>
      <c r="BO1773" s="55" t="e">
        <f>IFERROR(VLOOKUP(AQ1773,'[1]Harga &amp; Nama CSO'!$H$2:$N$22,2,FALSE),"")*AV1773</f>
        <v>#VALUE!</v>
      </c>
      <c r="BP1773" s="40"/>
      <c r="BQ1773" s="4"/>
      <c r="BR1773" s="61"/>
      <c r="BS1773" s="4"/>
      <c r="BT1773" s="57" t="e">
        <f t="shared" si="61"/>
        <v>#VALUE!</v>
      </c>
      <c r="BU1773" s="62"/>
      <c r="BV1773" s="8" t="e">
        <v>#VALUE!</v>
      </c>
      <c r="BW1773" s="58" t="e">
        <f>VLOOKUP(AQ1773,'[1]Harga &amp; Nama CSO'!$A$28:$D$31,4,0)*BQ1773</f>
        <v>#N/A</v>
      </c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44">
        <f>IFERROR(VLOOKUP(AQ1775,'[2]Harga &amp; Nama CSO'!$A$116:$S$136,19,FALSE),0)*AV1775</f>
        <v>0</v>
      </c>
      <c r="BO1774" s="55" t="e">
        <f>IFERROR(VLOOKUP(AQ1774,'[1]Harga &amp; Nama CSO'!$H$2:$N$22,2,FALSE),"")*AV1774</f>
        <v>#VALUE!</v>
      </c>
      <c r="BP1774" s="40"/>
      <c r="BQ1774" s="4"/>
      <c r="BR1774" s="61"/>
      <c r="BS1774" s="4"/>
      <c r="BT1774" s="57" t="e">
        <f t="shared" si="61"/>
        <v>#VALUE!</v>
      </c>
      <c r="BU1774" s="62"/>
      <c r="BV1774" s="8" t="e">
        <v>#VALUE!</v>
      </c>
      <c r="BW1774" s="58" t="e">
        <f>VLOOKUP(AQ1774,'[1]Harga &amp; Nama CSO'!$A$28:$D$31,4,0)*BQ1774</f>
        <v>#N/A</v>
      </c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44">
        <f>IFERROR(VLOOKUP(AQ1776,'[2]Harga &amp; Nama CSO'!$A$116:$S$136,19,FALSE),0)*AV1776</f>
        <v>0</v>
      </c>
      <c r="BO1775" s="55" t="e">
        <f>IFERROR(VLOOKUP(AQ1775,'[1]Harga &amp; Nama CSO'!$H$2:$N$22,2,FALSE),"")*AV1775</f>
        <v>#VALUE!</v>
      </c>
      <c r="BP1775" s="40"/>
      <c r="BQ1775" s="4"/>
      <c r="BR1775" s="61"/>
      <c r="BS1775" s="4"/>
      <c r="BT1775" s="57" t="e">
        <f t="shared" si="61"/>
        <v>#VALUE!</v>
      </c>
      <c r="BU1775" s="62"/>
      <c r="BV1775" s="8" t="e">
        <v>#VALUE!</v>
      </c>
      <c r="BW1775" s="58" t="e">
        <f>VLOOKUP(AQ1775,'[1]Harga &amp; Nama CSO'!$A$28:$D$31,4,0)*BQ1775</f>
        <v>#N/A</v>
      </c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44">
        <f>IFERROR(VLOOKUP(AQ1777,'[2]Harga &amp; Nama CSO'!$A$116:$S$136,19,FALSE),0)*AV1777</f>
        <v>0</v>
      </c>
      <c r="BO1776" s="55" t="e">
        <f>IFERROR(VLOOKUP(AQ1776,'[1]Harga &amp; Nama CSO'!$H$2:$N$22,2,FALSE),"")*AV1776</f>
        <v>#VALUE!</v>
      </c>
      <c r="BP1776" s="40"/>
      <c r="BQ1776" s="4"/>
      <c r="BR1776" s="61"/>
      <c r="BS1776" s="4"/>
      <c r="BT1776" s="57" t="e">
        <f t="shared" si="61"/>
        <v>#VALUE!</v>
      </c>
      <c r="BU1776" s="62"/>
      <c r="BV1776" s="8" t="e">
        <v>#VALUE!</v>
      </c>
      <c r="BW1776" s="58" t="e">
        <f>VLOOKUP(AQ1776,'[1]Harga &amp; Nama CSO'!$A$28:$D$31,4,0)*BQ1776</f>
        <v>#N/A</v>
      </c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44">
        <f>IFERROR(VLOOKUP(AQ1778,'[2]Harga &amp; Nama CSO'!$A$116:$S$136,19,FALSE),0)*AV1778</f>
        <v>0</v>
      </c>
      <c r="BO1777" s="55" t="e">
        <f>IFERROR(VLOOKUP(AQ1777,'[1]Harga &amp; Nama CSO'!$H$2:$N$22,2,FALSE),"")*AV1777</f>
        <v>#VALUE!</v>
      </c>
      <c r="BP1777" s="40"/>
      <c r="BQ1777" s="4"/>
      <c r="BR1777" s="61"/>
      <c r="BS1777" s="4"/>
      <c r="BT1777" s="57" t="e">
        <f t="shared" si="61"/>
        <v>#VALUE!</v>
      </c>
      <c r="BU1777" s="62"/>
      <c r="BV1777" s="8" t="e">
        <v>#VALUE!</v>
      </c>
      <c r="BW1777" s="58" t="e">
        <f>VLOOKUP(AQ1777,'[1]Harga &amp; Nama CSO'!$A$28:$D$31,4,0)*BQ1777</f>
        <v>#N/A</v>
      </c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44">
        <f>IFERROR(VLOOKUP(AQ1779,'[2]Harga &amp; Nama CSO'!$A$116:$S$136,19,FALSE),0)*AV1779</f>
        <v>0</v>
      </c>
      <c r="BO1778" s="55" t="e">
        <f>IFERROR(VLOOKUP(AQ1778,'[1]Harga &amp; Nama CSO'!$H$2:$N$22,2,FALSE),"")*AV1778</f>
        <v>#VALUE!</v>
      </c>
      <c r="BP1778" s="40"/>
      <c r="BQ1778" s="4"/>
      <c r="BR1778" s="61"/>
      <c r="BS1778" s="4"/>
      <c r="BT1778" s="57" t="e">
        <f t="shared" si="61"/>
        <v>#VALUE!</v>
      </c>
      <c r="BU1778" s="62"/>
      <c r="BV1778" s="8" t="e">
        <v>#VALUE!</v>
      </c>
      <c r="BW1778" s="58" t="e">
        <f>VLOOKUP(AQ1778,'[1]Harga &amp; Nama CSO'!$A$28:$D$31,4,0)*BQ1778</f>
        <v>#N/A</v>
      </c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44">
        <f>IFERROR(VLOOKUP(AQ1780,'[2]Harga &amp; Nama CSO'!$A$116:$S$136,19,FALSE),0)*AV1780</f>
        <v>0</v>
      </c>
      <c r="BO1779" s="55" t="e">
        <f>IFERROR(VLOOKUP(AQ1779,'[1]Harga &amp; Nama CSO'!$H$2:$N$22,2,FALSE),"")*AV1779</f>
        <v>#VALUE!</v>
      </c>
      <c r="BP1779" s="40"/>
      <c r="BQ1779" s="4"/>
      <c r="BR1779" s="61"/>
      <c r="BS1779" s="4"/>
      <c r="BT1779" s="57" t="e">
        <f t="shared" si="61"/>
        <v>#VALUE!</v>
      </c>
      <c r="BU1779" s="62"/>
      <c r="BV1779" s="8" t="e">
        <v>#VALUE!</v>
      </c>
      <c r="BW1779" s="58" t="e">
        <f>VLOOKUP(AQ1779,'[1]Harga &amp; Nama CSO'!$A$28:$D$31,4,0)*BQ1779</f>
        <v>#N/A</v>
      </c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44">
        <f>IFERROR(VLOOKUP(AQ1781,'[2]Harga &amp; Nama CSO'!$A$116:$S$136,19,FALSE),0)*AV1781</f>
        <v>0</v>
      </c>
      <c r="BO1780" s="55" t="e">
        <f>IFERROR(VLOOKUP(AQ1780,'[1]Harga &amp; Nama CSO'!$H$2:$N$22,2,FALSE),"")*AV1780</f>
        <v>#VALUE!</v>
      </c>
      <c r="BP1780" s="40"/>
      <c r="BQ1780" s="4"/>
      <c r="BR1780" s="61"/>
      <c r="BS1780" s="4"/>
      <c r="BT1780" s="57" t="e">
        <f t="shared" si="61"/>
        <v>#VALUE!</v>
      </c>
      <c r="BU1780" s="62"/>
      <c r="BV1780" s="8" t="e">
        <v>#VALUE!</v>
      </c>
      <c r="BW1780" s="58" t="e">
        <f>VLOOKUP(AQ1780,'[1]Harga &amp; Nama CSO'!$A$28:$D$31,4,0)*BQ1780</f>
        <v>#N/A</v>
      </c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44">
        <f>IFERROR(VLOOKUP(AQ1782,'[2]Harga &amp; Nama CSO'!$A$116:$S$136,19,FALSE),0)*AV1782</f>
        <v>0</v>
      </c>
      <c r="BO1781" s="55" t="e">
        <f>IFERROR(VLOOKUP(AQ1781,'[1]Harga &amp; Nama CSO'!$H$2:$N$22,2,FALSE),"")*AV1781</f>
        <v>#VALUE!</v>
      </c>
      <c r="BP1781" s="40"/>
      <c r="BQ1781" s="4"/>
      <c r="BR1781" s="61"/>
      <c r="BS1781" s="4"/>
      <c r="BT1781" s="57" t="e">
        <f t="shared" si="61"/>
        <v>#VALUE!</v>
      </c>
      <c r="BU1781" s="62"/>
      <c r="BV1781" s="8" t="e">
        <v>#VALUE!</v>
      </c>
      <c r="BW1781" s="58" t="e">
        <f>VLOOKUP(AQ1781,'[1]Harga &amp; Nama CSO'!$A$28:$D$31,4,0)*BQ1781</f>
        <v>#N/A</v>
      </c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44">
        <f>IFERROR(VLOOKUP(AQ1783,'[2]Harga &amp; Nama CSO'!$A$116:$S$136,19,FALSE),0)*AV1783</f>
        <v>0</v>
      </c>
      <c r="BO1782" s="55" t="e">
        <f>IFERROR(VLOOKUP(AQ1782,'[1]Harga &amp; Nama CSO'!$H$2:$N$22,2,FALSE),"")*AV1782</f>
        <v>#VALUE!</v>
      </c>
      <c r="BP1782" s="40"/>
      <c r="BQ1782" s="4"/>
      <c r="BR1782" s="61"/>
      <c r="BS1782" s="4"/>
      <c r="BT1782" s="57" t="e">
        <f t="shared" si="61"/>
        <v>#VALUE!</v>
      </c>
      <c r="BU1782" s="62"/>
      <c r="BV1782" s="8" t="e">
        <v>#VALUE!</v>
      </c>
      <c r="BW1782" s="58" t="e">
        <f>VLOOKUP(AQ1782,'[1]Harga &amp; Nama CSO'!$A$28:$D$31,4,0)*BQ1782</f>
        <v>#N/A</v>
      </c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44">
        <f>IFERROR(VLOOKUP(AQ1784,'[2]Harga &amp; Nama CSO'!$A$116:$S$136,19,FALSE),0)*AV1784</f>
        <v>0</v>
      </c>
      <c r="BO1783" s="55" t="e">
        <f>IFERROR(VLOOKUP(AQ1783,'[1]Harga &amp; Nama CSO'!$H$2:$N$22,2,FALSE),"")*AV1783</f>
        <v>#VALUE!</v>
      </c>
      <c r="BP1783" s="40"/>
      <c r="BQ1783" s="4"/>
      <c r="BR1783" s="61"/>
      <c r="BS1783" s="4"/>
      <c r="BT1783" s="57" t="e">
        <f t="shared" si="61"/>
        <v>#VALUE!</v>
      </c>
      <c r="BU1783" s="62"/>
      <c r="BV1783" s="8" t="e">
        <v>#VALUE!</v>
      </c>
      <c r="BW1783" s="58" t="e">
        <f>VLOOKUP(AQ1783,'[1]Harga &amp; Nama CSO'!$A$28:$D$31,4,0)*BQ1783</f>
        <v>#N/A</v>
      </c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44">
        <f>IFERROR(VLOOKUP(AQ1785,'[2]Harga &amp; Nama CSO'!$A$116:$S$136,19,FALSE),0)*AV1785</f>
        <v>0</v>
      </c>
      <c r="BO1784" s="55" t="e">
        <f>IFERROR(VLOOKUP(AQ1784,'[1]Harga &amp; Nama CSO'!$H$2:$N$22,2,FALSE),"")*AV1784</f>
        <v>#VALUE!</v>
      </c>
      <c r="BP1784" s="40"/>
      <c r="BQ1784" s="4"/>
      <c r="BR1784" s="61"/>
      <c r="BS1784" s="4"/>
      <c r="BT1784" s="57" t="e">
        <f t="shared" si="61"/>
        <v>#VALUE!</v>
      </c>
      <c r="BU1784" s="62"/>
      <c r="BV1784" s="8" t="e">
        <v>#VALUE!</v>
      </c>
      <c r="BW1784" s="58" t="e">
        <f>VLOOKUP(AQ1784,'[1]Harga &amp; Nama CSO'!$A$28:$D$31,4,0)*BQ1784</f>
        <v>#N/A</v>
      </c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44">
        <f>IFERROR(VLOOKUP(AQ1786,'[2]Harga &amp; Nama CSO'!$A$116:$S$136,19,FALSE),0)*AV1786</f>
        <v>0</v>
      </c>
      <c r="BO1785" s="55" t="e">
        <f>IFERROR(VLOOKUP(AQ1785,'[1]Harga &amp; Nama CSO'!$H$2:$N$22,2,FALSE),"")*AV1785</f>
        <v>#VALUE!</v>
      </c>
      <c r="BP1785" s="40"/>
      <c r="BQ1785" s="4"/>
      <c r="BR1785" s="61"/>
      <c r="BS1785" s="4"/>
      <c r="BT1785" s="57" t="e">
        <f t="shared" si="61"/>
        <v>#VALUE!</v>
      </c>
      <c r="BU1785" s="62"/>
      <c r="BV1785" s="8" t="e">
        <v>#VALUE!</v>
      </c>
      <c r="BW1785" s="58" t="e">
        <f>VLOOKUP(AQ1785,'[1]Harga &amp; Nama CSO'!$A$28:$D$31,4,0)*BQ1785</f>
        <v>#N/A</v>
      </c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44">
        <f>IFERROR(VLOOKUP(AQ1787,'[2]Harga &amp; Nama CSO'!$A$116:$S$136,19,FALSE),0)*AV1787</f>
        <v>0</v>
      </c>
      <c r="BO1786" s="55" t="e">
        <f>IFERROR(VLOOKUP(AQ1786,'[1]Harga &amp; Nama CSO'!$H$2:$N$22,2,FALSE),"")*AV1786</f>
        <v>#VALUE!</v>
      </c>
      <c r="BP1786" s="40"/>
      <c r="BQ1786" s="4"/>
      <c r="BR1786" s="61"/>
      <c r="BS1786" s="4"/>
      <c r="BT1786" s="57" t="e">
        <f t="shared" si="61"/>
        <v>#VALUE!</v>
      </c>
      <c r="BU1786" s="62"/>
      <c r="BV1786" s="8" t="e">
        <v>#VALUE!</v>
      </c>
      <c r="BW1786" s="58" t="e">
        <f>VLOOKUP(AQ1786,'[1]Harga &amp; Nama CSO'!$A$28:$D$31,4,0)*BQ1786</f>
        <v>#N/A</v>
      </c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44">
        <f>IFERROR(VLOOKUP(AQ1788,'[2]Harga &amp; Nama CSO'!$A$116:$S$136,19,FALSE),0)*AV1788</f>
        <v>0</v>
      </c>
      <c r="BO1787" s="55" t="e">
        <f>IFERROR(VLOOKUP(AQ1787,'[1]Harga &amp; Nama CSO'!$H$2:$N$22,2,FALSE),"")*AV1787</f>
        <v>#VALUE!</v>
      </c>
      <c r="BP1787" s="40"/>
      <c r="BQ1787" s="4"/>
      <c r="BR1787" s="61"/>
      <c r="BS1787" s="4"/>
      <c r="BT1787" s="57" t="e">
        <f t="shared" si="61"/>
        <v>#VALUE!</v>
      </c>
      <c r="BU1787" s="62"/>
      <c r="BV1787" s="8" t="e">
        <v>#VALUE!</v>
      </c>
      <c r="BW1787" s="58" t="e">
        <f>VLOOKUP(AQ1787,'[1]Harga &amp; Nama CSO'!$A$28:$D$31,4,0)*BQ1787</f>
        <v>#N/A</v>
      </c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44">
        <f>IFERROR(VLOOKUP(AQ1789,'[2]Harga &amp; Nama CSO'!$A$116:$S$136,19,FALSE),0)*AV1789</f>
        <v>0</v>
      </c>
      <c r="BO1788" s="55" t="e">
        <f>IFERROR(VLOOKUP(AQ1788,'[1]Harga &amp; Nama CSO'!$H$2:$N$22,2,FALSE),"")*AV1788</f>
        <v>#VALUE!</v>
      </c>
      <c r="BP1788" s="40"/>
      <c r="BQ1788" s="4"/>
      <c r="BR1788" s="61"/>
      <c r="BS1788" s="4"/>
      <c r="BT1788" s="57" t="e">
        <f t="shared" si="61"/>
        <v>#VALUE!</v>
      </c>
      <c r="BU1788" s="62"/>
      <c r="BV1788" s="8" t="e">
        <v>#VALUE!</v>
      </c>
      <c r="BW1788" s="58" t="e">
        <f>VLOOKUP(AQ1788,'[1]Harga &amp; Nama CSO'!$A$28:$D$31,4,0)*BQ1788</f>
        <v>#N/A</v>
      </c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44">
        <f>IFERROR(VLOOKUP(AQ1790,'[2]Harga &amp; Nama CSO'!$A$116:$S$136,19,FALSE),0)*AV1790</f>
        <v>0</v>
      </c>
      <c r="BO1789" s="55" t="e">
        <f>IFERROR(VLOOKUP(AQ1789,'[1]Harga &amp; Nama CSO'!$H$2:$N$22,2,FALSE),"")*AV1789</f>
        <v>#VALUE!</v>
      </c>
      <c r="BP1789" s="40"/>
      <c r="BQ1789" s="4"/>
      <c r="BR1789" s="61"/>
      <c r="BS1789" s="4"/>
      <c r="BT1789" s="57" t="e">
        <f t="shared" si="61"/>
        <v>#VALUE!</v>
      </c>
      <c r="BU1789" s="62"/>
      <c r="BV1789" s="8" t="e">
        <v>#VALUE!</v>
      </c>
      <c r="BW1789" s="58" t="e">
        <f>VLOOKUP(AQ1789,'[1]Harga &amp; Nama CSO'!$A$28:$D$31,4,0)*BQ1789</f>
        <v>#N/A</v>
      </c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44">
        <f>IFERROR(VLOOKUP(AQ1791,'[2]Harga &amp; Nama CSO'!$A$116:$S$136,19,FALSE),0)*AV1791</f>
        <v>0</v>
      </c>
      <c r="BO1790" s="55" t="e">
        <f>IFERROR(VLOOKUP(AQ1790,'[1]Harga &amp; Nama CSO'!$H$2:$N$22,2,FALSE),"")*AV1790</f>
        <v>#VALUE!</v>
      </c>
      <c r="BP1790" s="40"/>
      <c r="BQ1790" s="4"/>
      <c r="BR1790" s="61"/>
      <c r="BS1790" s="4"/>
      <c r="BT1790" s="57" t="e">
        <f t="shared" si="61"/>
        <v>#VALUE!</v>
      </c>
      <c r="BU1790" s="62"/>
      <c r="BV1790" s="8" t="e">
        <v>#VALUE!</v>
      </c>
      <c r="BW1790" s="58" t="e">
        <f>VLOOKUP(AQ1790,'[1]Harga &amp; Nama CSO'!$A$28:$D$31,4,0)*BQ1790</f>
        <v>#N/A</v>
      </c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44">
        <f>IFERROR(VLOOKUP(AQ1792,'[2]Harga &amp; Nama CSO'!$A$116:$S$136,19,FALSE),0)*AV1792</f>
        <v>0</v>
      </c>
      <c r="BO1791" s="55" t="e">
        <f>IFERROR(VLOOKUP(AQ1791,'[1]Harga &amp; Nama CSO'!$H$2:$N$22,2,FALSE),"")*AV1791</f>
        <v>#VALUE!</v>
      </c>
      <c r="BP1791" s="40"/>
      <c r="BQ1791" s="4"/>
      <c r="BR1791" s="61"/>
      <c r="BS1791" s="4"/>
      <c r="BT1791" s="57" t="e">
        <f t="shared" si="61"/>
        <v>#VALUE!</v>
      </c>
      <c r="BU1791" s="62"/>
      <c r="BV1791" s="8" t="e">
        <v>#VALUE!</v>
      </c>
      <c r="BW1791" s="58" t="e">
        <f>VLOOKUP(AQ1791,'[1]Harga &amp; Nama CSO'!$A$28:$D$31,4,0)*BQ1791</f>
        <v>#N/A</v>
      </c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44">
        <f>IFERROR(VLOOKUP(AQ1793,'[2]Harga &amp; Nama CSO'!$A$116:$S$136,19,FALSE),0)*AV1793</f>
        <v>0</v>
      </c>
      <c r="BO1792" s="55" t="e">
        <f>IFERROR(VLOOKUP(AQ1792,'[1]Harga &amp; Nama CSO'!$H$2:$N$22,2,FALSE),"")*AV1792</f>
        <v>#VALUE!</v>
      </c>
      <c r="BP1792" s="40"/>
      <c r="BQ1792" s="4"/>
      <c r="BR1792" s="61"/>
      <c r="BS1792" s="4"/>
      <c r="BT1792" s="57" t="e">
        <f t="shared" si="61"/>
        <v>#VALUE!</v>
      </c>
      <c r="BU1792" s="62"/>
      <c r="BV1792" s="8" t="e">
        <v>#VALUE!</v>
      </c>
      <c r="BW1792" s="58" t="e">
        <f>VLOOKUP(AQ1792,'[1]Harga &amp; Nama CSO'!$A$28:$D$31,4,0)*BQ1792</f>
        <v>#N/A</v>
      </c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44">
        <f>IFERROR(VLOOKUP(AQ1794,'[2]Harga &amp; Nama CSO'!$A$116:$S$136,19,FALSE),0)*AV1794</f>
        <v>0</v>
      </c>
      <c r="BO1793" s="55" t="e">
        <f>IFERROR(VLOOKUP(AQ1793,'[1]Harga &amp; Nama CSO'!$H$2:$N$22,2,FALSE),"")*AV1793</f>
        <v>#VALUE!</v>
      </c>
      <c r="BP1793" s="40"/>
      <c r="BQ1793" s="4"/>
      <c r="BR1793" s="61"/>
      <c r="BS1793" s="4"/>
      <c r="BT1793" s="57" t="e">
        <f t="shared" si="61"/>
        <v>#VALUE!</v>
      </c>
      <c r="BU1793" s="62"/>
      <c r="BV1793" s="8" t="e">
        <v>#VALUE!</v>
      </c>
      <c r="BW1793" s="58" t="e">
        <f>VLOOKUP(AQ1793,'[1]Harga &amp; Nama CSO'!$A$28:$D$31,4,0)*BQ1793</f>
        <v>#N/A</v>
      </c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44">
        <f>IFERROR(VLOOKUP(AQ1795,'[2]Harga &amp; Nama CSO'!$A$116:$S$136,19,FALSE),0)*AV1795</f>
        <v>0</v>
      </c>
      <c r="BO1794" s="55" t="e">
        <f>IFERROR(VLOOKUP(AQ1794,'[1]Harga &amp; Nama CSO'!$H$2:$N$22,2,FALSE),"")*AV1794</f>
        <v>#VALUE!</v>
      </c>
      <c r="BP1794" s="40"/>
      <c r="BQ1794" s="4"/>
      <c r="BR1794" s="61"/>
      <c r="BS1794" s="4"/>
      <c r="BT1794" s="57" t="e">
        <f t="shared" si="61"/>
        <v>#VALUE!</v>
      </c>
      <c r="BU1794" s="62"/>
      <c r="BV1794" s="8" t="e">
        <v>#VALUE!</v>
      </c>
      <c r="BW1794" s="58" t="e">
        <f>VLOOKUP(AQ1794,'[1]Harga &amp; Nama CSO'!$A$28:$D$31,4,0)*BQ1794</f>
        <v>#N/A</v>
      </c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44">
        <f>IFERROR(VLOOKUP(AQ1796,'[2]Harga &amp; Nama CSO'!$A$116:$S$136,19,FALSE),0)*AV1796</f>
        <v>0</v>
      </c>
      <c r="BO1795" s="55" t="e">
        <f>IFERROR(VLOOKUP(AQ1795,'[1]Harga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62">BO1795-BR1795</f>
        <v>#VALUE!</v>
      </c>
      <c r="BU1795" s="62"/>
      <c r="BV1795" s="8" t="e">
        <v>#VALUE!</v>
      </c>
      <c r="BW1795" s="58" t="e">
        <f>VLOOKUP(AQ1795,'[1]Harga &amp; Nama CSO'!$A$28:$D$31,4,0)*BQ1795</f>
        <v>#N/A</v>
      </c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44">
        <f>IFERROR(VLOOKUP(AQ1797,'[2]Harga &amp; Nama CSO'!$A$116:$S$136,19,FALSE),0)*AV1797</f>
        <v>0</v>
      </c>
      <c r="BO1796" s="55" t="e">
        <f>IFERROR(VLOOKUP(AQ1796,'[1]Harga &amp; Nama CSO'!$H$2:$N$22,2,FALSE),"")*AV1796</f>
        <v>#VALUE!</v>
      </c>
      <c r="BP1796" s="40"/>
      <c r="BQ1796" s="4"/>
      <c r="BR1796" s="61"/>
      <c r="BS1796" s="4"/>
      <c r="BT1796" s="57" t="e">
        <f t="shared" si="62"/>
        <v>#VALUE!</v>
      </c>
      <c r="BU1796" s="62"/>
      <c r="BV1796" s="8" t="e">
        <v>#VALUE!</v>
      </c>
      <c r="BW1796" s="58" t="e">
        <f>VLOOKUP(AQ1796,'[1]Harga &amp; Nama CSO'!$A$28:$D$31,4,0)*BQ1796</f>
        <v>#N/A</v>
      </c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44">
        <f>IFERROR(VLOOKUP(AQ1798,'[2]Harga &amp; Nama CSO'!$A$116:$S$136,19,FALSE),0)*AV1798</f>
        <v>0</v>
      </c>
      <c r="BO1797" s="55" t="e">
        <f>IFERROR(VLOOKUP(AQ1797,'[1]Harga &amp; Nama CSO'!$H$2:$N$22,2,FALSE),"")*AV1797</f>
        <v>#VALUE!</v>
      </c>
      <c r="BP1797" s="40"/>
      <c r="BQ1797" s="4"/>
      <c r="BR1797" s="61"/>
      <c r="BS1797" s="4"/>
      <c r="BT1797" s="57" t="e">
        <f t="shared" si="62"/>
        <v>#VALUE!</v>
      </c>
      <c r="BU1797" s="62"/>
      <c r="BV1797" s="8" t="e">
        <v>#VALUE!</v>
      </c>
      <c r="BW1797" s="58" t="e">
        <f>VLOOKUP(AQ1797,'[1]Harga &amp; Nama CSO'!$A$28:$D$31,4,0)*BQ1797</f>
        <v>#N/A</v>
      </c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44">
        <f>IFERROR(VLOOKUP(AQ1799,'[2]Harga &amp; Nama CSO'!$A$116:$S$136,19,FALSE),0)*AV1799</f>
        <v>0</v>
      </c>
      <c r="BO1798" s="55" t="e">
        <f>IFERROR(VLOOKUP(AQ1798,'[1]Harga &amp; Nama CSO'!$H$2:$N$22,2,FALSE),"")*AV1798</f>
        <v>#VALUE!</v>
      </c>
      <c r="BP1798" s="40"/>
      <c r="BQ1798" s="4"/>
      <c r="BR1798" s="61"/>
      <c r="BS1798" s="4"/>
      <c r="BT1798" s="57" t="e">
        <f t="shared" si="62"/>
        <v>#VALUE!</v>
      </c>
      <c r="BU1798" s="62"/>
      <c r="BV1798" s="8" t="e">
        <v>#VALUE!</v>
      </c>
      <c r="BW1798" s="58" t="e">
        <f>VLOOKUP(AQ1798,'[1]Harga &amp; Nama CSO'!$A$28:$D$31,4,0)*BQ1798</f>
        <v>#N/A</v>
      </c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44">
        <f>IFERROR(VLOOKUP(AQ1800,'[2]Harga &amp; Nama CSO'!$A$116:$S$136,19,FALSE),0)*AV1800</f>
        <v>0</v>
      </c>
      <c r="BO1799" s="55" t="e">
        <f>IFERROR(VLOOKUP(AQ1799,'[1]Harga &amp; Nama CSO'!$H$2:$N$22,2,FALSE),"")*AV1799</f>
        <v>#VALUE!</v>
      </c>
      <c r="BP1799" s="40"/>
      <c r="BQ1799" s="4"/>
      <c r="BR1799" s="61"/>
      <c r="BS1799" s="4"/>
      <c r="BT1799" s="57" t="e">
        <f t="shared" si="62"/>
        <v>#VALUE!</v>
      </c>
      <c r="BU1799" s="62"/>
      <c r="BV1799" s="8" t="e">
        <v>#VALUE!</v>
      </c>
      <c r="BW1799" s="58" t="e">
        <f>VLOOKUP(AQ1799,'[1]Harga &amp; Nama CSO'!$A$28:$D$31,4,0)*BQ1799</f>
        <v>#N/A</v>
      </c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44">
        <f>IFERROR(VLOOKUP(AQ1801,'[2]Harga &amp; Nama CSO'!$A$116:$S$136,19,FALSE),0)*AV1801</f>
        <v>0</v>
      </c>
      <c r="BO1800" s="55" t="e">
        <f>IFERROR(VLOOKUP(AQ1800,'[1]Harga &amp; Nama CSO'!$H$2:$N$22,2,FALSE),"")*AV1800</f>
        <v>#VALUE!</v>
      </c>
      <c r="BP1800" s="40"/>
      <c r="BQ1800" s="4"/>
      <c r="BR1800" s="61"/>
      <c r="BS1800" s="4"/>
      <c r="BT1800" s="57" t="e">
        <f t="shared" si="62"/>
        <v>#VALUE!</v>
      </c>
      <c r="BU1800" s="62"/>
      <c r="BV1800" s="8" t="e">
        <v>#VALUE!</v>
      </c>
      <c r="BW1800" s="58" t="e">
        <f>VLOOKUP(AQ1800,'[1]Harga &amp; Nama CSO'!$A$28:$D$31,4,0)*BQ1800</f>
        <v>#N/A</v>
      </c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44">
        <f>IFERROR(VLOOKUP(AQ1802,'[2]Harga &amp; Nama CSO'!$A$116:$S$136,19,FALSE),0)*AV1802</f>
        <v>0</v>
      </c>
      <c r="BO1801" s="55" t="e">
        <f>IFERROR(VLOOKUP(AQ1801,'[1]Harga &amp; Nama CSO'!$H$2:$N$22,2,FALSE),"")*AV1801</f>
        <v>#VALUE!</v>
      </c>
      <c r="BP1801" s="40"/>
      <c r="BQ1801" s="4"/>
      <c r="BR1801" s="61"/>
      <c r="BS1801" s="4"/>
      <c r="BT1801" s="57" t="e">
        <f t="shared" si="62"/>
        <v>#VALUE!</v>
      </c>
      <c r="BU1801" s="62"/>
      <c r="BV1801" s="8" t="e">
        <v>#VALUE!</v>
      </c>
      <c r="BW1801" s="58" t="e">
        <f>VLOOKUP(AQ1801,'[1]Harga &amp; Nama CSO'!$A$28:$D$31,4,0)*BQ1801</f>
        <v>#N/A</v>
      </c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44">
        <f>IFERROR(VLOOKUP(AQ1803,'[2]Harga &amp; Nama CSO'!$A$116:$S$136,19,FALSE),0)*AV1803</f>
        <v>0</v>
      </c>
      <c r="BO1802" s="55" t="e">
        <f>IFERROR(VLOOKUP(AQ1802,'[1]Harga &amp; Nama CSO'!$H$2:$N$22,2,FALSE),"")*AV1802</f>
        <v>#VALUE!</v>
      </c>
      <c r="BP1802" s="40"/>
      <c r="BQ1802" s="4"/>
      <c r="BR1802" s="61"/>
      <c r="BS1802" s="4"/>
      <c r="BT1802" s="57" t="e">
        <f t="shared" si="62"/>
        <v>#VALUE!</v>
      </c>
      <c r="BU1802" s="62"/>
      <c r="BV1802" s="8" t="e">
        <v>#VALUE!</v>
      </c>
      <c r="BW1802" s="58" t="e">
        <f>VLOOKUP(AQ1802,'[1]Harga &amp; Nama CSO'!$A$28:$D$31,4,0)*BQ1802</f>
        <v>#N/A</v>
      </c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20" priority="6" operator="lessThan">
      <formula>1</formula>
    </cfRule>
  </conditionalFormatting>
  <conditionalFormatting sqref="AF31:AF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19" priority="16" operator="lessThan">
      <formula>1</formula>
    </cfRule>
  </conditionalFormatting>
  <conditionalFormatting sqref="AJ4:AM7">
    <cfRule type="cellIs" dxfId="18" priority="36" operator="lessThan">
      <formula>1</formula>
    </cfRule>
  </conditionalFormatting>
  <conditionalFormatting sqref="AS214:AS1802">
    <cfRule type="duplicateValues" dxfId="5" priority="31"/>
  </conditionalFormatting>
  <conditionalFormatting sqref="BV3:BV1802">
    <cfRule type="cellIs" dxfId="4" priority="35" operator="lessThan">
      <formula>99999</formula>
    </cfRule>
  </conditionalFormatting>
  <conditionalFormatting sqref="BW3:BW1802">
    <cfRule type="cellIs" dxfId="3" priority="32" operator="lessThan">
      <formula>200000</formula>
    </cfRule>
    <cfRule type="cellIs" dxfId="2" priority="33" operator="lessThan">
      <formula>1</formula>
    </cfRule>
  </conditionalFormatting>
  <conditionalFormatting sqref="AS3:AS213">
    <cfRule type="duplicateValues" dxfId="1" priority="1"/>
  </conditionalFormatting>
  <conditionalFormatting sqref="AS72:AS84">
    <cfRule type="duplicateValues" dxfId="0" priority="2"/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2026-06-30T06:01:10Z</dcterms:modified>
</cp:coreProperties>
</file>