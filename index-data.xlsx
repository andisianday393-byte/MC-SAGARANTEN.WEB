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0" documentId="8_{ABB2A0BD-E4B1-43E1-9CF9-40AAE79A2E23}" xr6:coauthVersionLast="47" xr6:coauthVersionMax="47" xr10:uidLastSave="{00000000-0000-0000-0000-000000000000}"/>
  <bookViews>
    <workbookView xWindow="-110" yWindow="-110" windowWidth="19420" windowHeight="10300" firstSheet="1" activeTab="3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2" i="4" l="1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Q22" i="4"/>
  <c r="AI4" i="4"/>
  <c r="AJ4" i="4"/>
  <c r="AK4" i="4"/>
  <c r="AL4" i="4"/>
  <c r="AM4" i="4"/>
  <c r="AI5" i="4"/>
  <c r="AJ5" i="4"/>
  <c r="AK5" i="4"/>
  <c r="AL5" i="4"/>
  <c r="AM5" i="4"/>
  <c r="AI6" i="4"/>
  <c r="AJ6" i="4"/>
  <c r="AK6" i="4"/>
  <c r="AL6" i="4"/>
  <c r="AM6" i="4"/>
  <c r="AI7" i="4"/>
  <c r="AJ7" i="4"/>
  <c r="AK7" i="4"/>
  <c r="AL7" i="4"/>
  <c r="AM7" i="4"/>
  <c r="AI8" i="4"/>
  <c r="AJ8" i="4"/>
  <c r="AK8" i="4"/>
  <c r="AL8" i="4"/>
  <c r="AM8" i="4"/>
  <c r="AI9" i="4"/>
  <c r="AJ9" i="4"/>
  <c r="AK9" i="4"/>
  <c r="AL9" i="4"/>
  <c r="AM9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J3" i="4"/>
  <c r="AK3" i="4"/>
  <c r="AL3" i="4"/>
  <c r="AM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Q3" i="4"/>
  <c r="O6" i="8"/>
  <c r="O5" i="8"/>
  <c r="O4" i="8"/>
  <c r="O3" i="8"/>
  <c r="R4" i="8"/>
  <c r="S4" i="8"/>
  <c r="T4" i="8"/>
  <c r="U4" i="8"/>
  <c r="V4" i="8"/>
  <c r="R5" i="8"/>
  <c r="S5" i="8"/>
  <c r="T5" i="8"/>
  <c r="U5" i="8"/>
  <c r="V5" i="8"/>
  <c r="R6" i="8"/>
  <c r="S6" i="8"/>
  <c r="T6" i="8"/>
  <c r="U6" i="8"/>
  <c r="V6" i="8"/>
  <c r="R7" i="8"/>
  <c r="S7" i="8"/>
  <c r="T7" i="8"/>
  <c r="U7" i="8"/>
  <c r="V7" i="8"/>
  <c r="R8" i="8"/>
  <c r="S8" i="8"/>
  <c r="T8" i="8"/>
  <c r="U8" i="8"/>
  <c r="V8" i="8"/>
  <c r="R9" i="8"/>
  <c r="S9" i="8"/>
  <c r="T9" i="8"/>
  <c r="U9" i="8"/>
  <c r="V9" i="8"/>
  <c r="R10" i="8"/>
  <c r="S10" i="8"/>
  <c r="T10" i="8"/>
  <c r="U10" i="8"/>
  <c r="V10" i="8"/>
  <c r="R11" i="8"/>
  <c r="S11" i="8"/>
  <c r="T11" i="8"/>
  <c r="U11" i="8"/>
  <c r="V11" i="8"/>
  <c r="R12" i="8"/>
  <c r="S12" i="8"/>
  <c r="T12" i="8"/>
  <c r="U12" i="8"/>
  <c r="V12" i="8"/>
  <c r="R13" i="8"/>
  <c r="S13" i="8"/>
  <c r="T13" i="8"/>
  <c r="U13" i="8"/>
  <c r="V13" i="8"/>
  <c r="R14" i="8"/>
  <c r="S14" i="8"/>
  <c r="T14" i="8"/>
  <c r="U14" i="8"/>
  <c r="V14" i="8"/>
  <c r="R15" i="8"/>
  <c r="S15" i="8"/>
  <c r="T15" i="8"/>
  <c r="U15" i="8"/>
  <c r="V15" i="8"/>
  <c r="R16" i="8"/>
  <c r="S16" i="8"/>
  <c r="T16" i="8"/>
  <c r="U16" i="8"/>
  <c r="V16" i="8"/>
  <c r="R17" i="8"/>
  <c r="S17" i="8"/>
  <c r="T17" i="8"/>
  <c r="U17" i="8"/>
  <c r="V17" i="8"/>
  <c r="R18" i="8"/>
  <c r="S18" i="8"/>
  <c r="T18" i="8"/>
  <c r="U18" i="8"/>
  <c r="V18" i="8"/>
  <c r="R19" i="8"/>
  <c r="S19" i="8"/>
  <c r="T19" i="8"/>
  <c r="U19" i="8"/>
  <c r="V19" i="8"/>
  <c r="R20" i="8"/>
  <c r="S20" i="8"/>
  <c r="T20" i="8"/>
  <c r="U20" i="8"/>
  <c r="V20" i="8"/>
  <c r="R21" i="8"/>
  <c r="S21" i="8"/>
  <c r="T21" i="8"/>
  <c r="U21" i="8"/>
  <c r="V21" i="8"/>
  <c r="R22" i="8"/>
  <c r="S22" i="8"/>
  <c r="T22" i="8"/>
  <c r="U22" i="8"/>
  <c r="V22" i="8"/>
  <c r="B9" i="4" l="1"/>
  <c r="D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F14" i="4"/>
  <c r="B15" i="4"/>
  <c r="D15" i="4"/>
  <c r="F15" i="4"/>
  <c r="B16" i="4"/>
  <c r="D16" i="4"/>
  <c r="F16" i="4"/>
  <c r="B17" i="4"/>
  <c r="D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" i="4"/>
  <c r="D2" i="4"/>
  <c r="F2" i="4"/>
  <c r="B3" i="4"/>
  <c r="B6" i="4" s="1"/>
  <c r="D3" i="4"/>
  <c r="F3" i="4"/>
  <c r="B4" i="4"/>
  <c r="D4" i="4"/>
  <c r="F4" i="4"/>
  <c r="B5" i="4"/>
  <c r="D5" i="4"/>
  <c r="F5" i="4"/>
  <c r="F6" i="4"/>
  <c r="Y22" i="8"/>
  <c r="Y18" i="8"/>
  <c r="I17" i="4" s="1"/>
  <c r="Y14" i="8"/>
  <c r="I13" i="4" s="1"/>
  <c r="Y12" i="8"/>
  <c r="Y11" i="8"/>
  <c r="Y5" i="8"/>
  <c r="I3" i="4" s="1"/>
  <c r="Y6" i="8"/>
  <c r="I4" i="4" s="1"/>
  <c r="X22" i="8"/>
  <c r="H21" i="4" s="1"/>
  <c r="X18" i="8"/>
  <c r="H17" i="4" s="1"/>
  <c r="X14" i="8"/>
  <c r="H13" i="4" s="1"/>
  <c r="X12" i="8"/>
  <c r="Z12" i="8" s="1"/>
  <c r="X11" i="8"/>
  <c r="H10" i="4" s="1"/>
  <c r="X6" i="8"/>
  <c r="H4" i="4" s="1"/>
  <c r="X5" i="8"/>
  <c r="H3" i="4" s="1"/>
  <c r="W22" i="8"/>
  <c r="W18" i="8"/>
  <c r="AA18" i="8" s="1"/>
  <c r="AC18" i="8" s="1"/>
  <c r="W14" i="8"/>
  <c r="G13" i="4" s="1"/>
  <c r="W12" i="8"/>
  <c r="AA12" i="8" s="1"/>
  <c r="AC12" i="8" s="1"/>
  <c r="W11" i="8"/>
  <c r="W6" i="8"/>
  <c r="AA6" i="8" s="1"/>
  <c r="AC6" i="8" s="1"/>
  <c r="W5" i="8"/>
  <c r="G3" i="4" s="1"/>
  <c r="G6" i="4" s="1"/>
  <c r="AA5" i="8"/>
  <c r="AC5" i="8" s="1"/>
  <c r="AA10" i="8"/>
  <c r="AC10" i="8" s="1"/>
  <c r="AA13" i="8"/>
  <c r="AC13" i="8" s="1"/>
  <c r="AA14" i="8"/>
  <c r="AC14" i="8" s="1"/>
  <c r="AA17" i="8"/>
  <c r="AA22" i="8"/>
  <c r="AC22" i="8" s="1"/>
  <c r="Y7" i="8"/>
  <c r="Y8" i="8"/>
  <c r="Y9" i="8"/>
  <c r="Y10" i="8"/>
  <c r="Y13" i="8"/>
  <c r="Y15" i="8"/>
  <c r="I14" i="4" s="1"/>
  <c r="Y16" i="8"/>
  <c r="I15" i="4" s="1"/>
  <c r="Y17" i="8"/>
  <c r="Y19" i="8"/>
  <c r="Y20" i="8"/>
  <c r="I19" i="4" s="1"/>
  <c r="Y21" i="8"/>
  <c r="I20" i="4" s="1"/>
  <c r="Y4" i="8"/>
  <c r="W7" i="8"/>
  <c r="AA7" i="8" s="1"/>
  <c r="AC7" i="8" s="1"/>
  <c r="W8" i="8"/>
  <c r="AA8" i="8" s="1"/>
  <c r="AC8" i="8" s="1"/>
  <c r="W9" i="8"/>
  <c r="AA9" i="8" s="1"/>
  <c r="AC9" i="8" s="1"/>
  <c r="W10" i="8"/>
  <c r="W13" i="8"/>
  <c r="W15" i="8"/>
  <c r="AA15" i="8" s="1"/>
  <c r="AC15" i="8" s="1"/>
  <c r="W16" i="8"/>
  <c r="AA16" i="8" s="1"/>
  <c r="AC16" i="8" s="1"/>
  <c r="W17" i="8"/>
  <c r="W19" i="8"/>
  <c r="AA19" i="8" s="1"/>
  <c r="AC19" i="8" s="1"/>
  <c r="W20" i="8"/>
  <c r="AA20" i="8" s="1"/>
  <c r="AC20" i="8" s="1"/>
  <c r="W21" i="8"/>
  <c r="AA21" i="8" s="1"/>
  <c r="AC21" i="8" s="1"/>
  <c r="W4" i="8"/>
  <c r="AA4" i="8" s="1"/>
  <c r="X4" i="8"/>
  <c r="H2" i="4" s="1"/>
  <c r="Z4" i="8"/>
  <c r="X7" i="8"/>
  <c r="H5" i="4" s="1"/>
  <c r="X8" i="8"/>
  <c r="X9" i="8"/>
  <c r="Z9" i="8" s="1"/>
  <c r="X10" i="8"/>
  <c r="H9" i="4" s="1"/>
  <c r="X13" i="8"/>
  <c r="H12" i="4" s="1"/>
  <c r="X15" i="8"/>
  <c r="H14" i="4" s="1"/>
  <c r="X16" i="8"/>
  <c r="Z16" i="8" s="1"/>
  <c r="X17" i="8"/>
  <c r="H16" i="4" s="1"/>
  <c r="X19" i="8"/>
  <c r="H18" i="4" s="1"/>
  <c r="X20" i="8"/>
  <c r="H19" i="4" s="1"/>
  <c r="X21" i="8"/>
  <c r="H20" i="4" s="1"/>
  <c r="X23" i="8"/>
  <c r="V23" i="8"/>
  <c r="Z7" i="8"/>
  <c r="Z8" i="8"/>
  <c r="Z11" i="8"/>
  <c r="Z13" i="8"/>
  <c r="Z15" i="8"/>
  <c r="Z18" i="8"/>
  <c r="Z19" i="8"/>
  <c r="Z20" i="8"/>
  <c r="Z22" i="8"/>
  <c r="Z23" i="8"/>
  <c r="Z24" i="8"/>
  <c r="BN103" i="8"/>
  <c r="BS103" i="8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N102" i="8"/>
  <c r="BS102" i="8" s="1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N101" i="8"/>
  <c r="BS101" i="8" s="1"/>
  <c r="K100" i="5" s="1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AR101" i="8"/>
  <c r="BN100" i="8"/>
  <c r="BS100" i="8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 s="1"/>
  <c r="AR100" i="8"/>
  <c r="BN99" i="8"/>
  <c r="BS99" i="8"/>
  <c r="K98" i="5" s="1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AR99" i="8"/>
  <c r="D98" i="5" s="1"/>
  <c r="BN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AR98" i="8"/>
  <c r="D97" i="5" s="1"/>
  <c r="BN97" i="8"/>
  <c r="BS97" i="8" s="1"/>
  <c r="K96" i="5" s="1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 s="1"/>
  <c r="AR97" i="8"/>
  <c r="BN96" i="8"/>
  <c r="BS96" i="8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 s="1"/>
  <c r="AR96" i="8"/>
  <c r="BN95" i="8"/>
  <c r="BS95" i="8"/>
  <c r="K94" i="5" s="1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AR95" i="8"/>
  <c r="D94" i="5" s="1"/>
  <c r="BN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AR94" i="8"/>
  <c r="D93" i="5" s="1"/>
  <c r="BN93" i="8"/>
  <c r="BS93" i="8" s="1"/>
  <c r="K92" i="5" s="1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 s="1"/>
  <c r="AR9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F100" i="5"/>
  <c r="D100" i="5"/>
  <c r="D99" i="5"/>
  <c r="F98" i="5"/>
  <c r="F97" i="5"/>
  <c r="D96" i="5"/>
  <c r="I95" i="5"/>
  <c r="D95" i="5"/>
  <c r="F94" i="5"/>
  <c r="F93" i="5"/>
  <c r="D92" i="5"/>
  <c r="BN92" i="8"/>
  <c r="I91" i="5" s="1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 s="1"/>
  <c r="AR92" i="8"/>
  <c r="D91" i="5"/>
  <c r="BN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/>
  <c r="AR91" i="8"/>
  <c r="D90" i="5" s="1"/>
  <c r="BN90" i="8"/>
  <c r="I89" i="5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 s="1"/>
  <c r="AR90" i="8"/>
  <c r="D89" i="5"/>
  <c r="BN89" i="8"/>
  <c r="I88" i="5" s="1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 s="1"/>
  <c r="AR89" i="8"/>
  <c r="D88" i="5"/>
  <c r="BN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/>
  <c r="AR88" i="8"/>
  <c r="D87" i="5" s="1"/>
  <c r="BN87" i="8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 s="1"/>
  <c r="AR87" i="8"/>
  <c r="D86" i="5"/>
  <c r="BN86" i="8"/>
  <c r="I85" i="5" s="1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 s="1"/>
  <c r="AR86" i="8"/>
  <c r="D85" i="5"/>
  <c r="BN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 s="1"/>
  <c r="AR85" i="8"/>
  <c r="D84" i="5"/>
  <c r="BN84" i="8"/>
  <c r="I83" i="5" s="1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 s="1"/>
  <c r="AR84" i="8"/>
  <c r="D83" i="5"/>
  <c r="BN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/>
  <c r="AR83" i="8"/>
  <c r="D82" i="5" s="1"/>
  <c r="BN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 s="1"/>
  <c r="AR82" i="8"/>
  <c r="D81" i="5"/>
  <c r="BN81" i="8"/>
  <c r="BS81" i="8" s="1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 s="1"/>
  <c r="BN80" i="8"/>
  <c r="BS80" i="8" s="1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N79" i="8"/>
  <c r="BS79" i="8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AR79" i="8"/>
  <c r="BN78" i="8"/>
  <c r="BS78" i="8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N77" i="8"/>
  <c r="BS77" i="8" s="1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N76" i="8"/>
  <c r="BS76" i="8" s="1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N75" i="8"/>
  <c r="BS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N74" i="8"/>
  <c r="BS74" i="8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BN73" i="8"/>
  <c r="BS73" i="8" s="1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 s="1"/>
  <c r="BN72" i="8"/>
  <c r="BS72" i="8" s="1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AR72" i="8"/>
  <c r="BN71" i="8"/>
  <c r="BS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N70" i="8"/>
  <c r="BS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N69" i="8"/>
  <c r="BS69" i="8" s="1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N68" i="8"/>
  <c r="BS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N67" i="8"/>
  <c r="BS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BN66" i="8"/>
  <c r="BS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N65" i="8"/>
  <c r="BS65" i="8" s="1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N64" i="8"/>
  <c r="BS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AR64" i="8"/>
  <c r="BN63" i="8"/>
  <c r="BS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N62" i="8"/>
  <c r="BS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N61" i="8"/>
  <c r="BS61" i="8" s="1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 s="1"/>
  <c r="BN60" i="8"/>
  <c r="BS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N59" i="8"/>
  <c r="BS59" i="8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N58" i="8"/>
  <c r="BS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N57" i="8"/>
  <c r="BS57" i="8" s="1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BN56" i="8"/>
  <c r="BS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N55" i="8"/>
  <c r="BS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N54" i="8"/>
  <c r="BS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N53" i="8"/>
  <c r="BS53" i="8" s="1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N52" i="8"/>
  <c r="BS52" i="8" s="1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N51" i="8"/>
  <c r="BS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AR51" i="8"/>
  <c r="BN50" i="8"/>
  <c r="BS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AR50" i="8"/>
  <c r="BN49" i="8"/>
  <c r="BS49" i="8" s="1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AR49" i="8"/>
  <c r="D48" i="5" s="1"/>
  <c r="BN48" i="8"/>
  <c r="BS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 s="1"/>
  <c r="AR48" i="8"/>
  <c r="BN47" i="8"/>
  <c r="BS47" i="8"/>
  <c r="K46" i="5" s="1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AR47" i="8"/>
  <c r="BN46" i="8"/>
  <c r="I45" i="5" s="1"/>
  <c r="BS46" i="8"/>
  <c r="K45" i="5" s="1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AR46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 s="1"/>
  <c r="AR45" i="8"/>
  <c r="BN44" i="8"/>
  <c r="BS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 s="1"/>
  <c r="AR44" i="8"/>
  <c r="BN43" i="8"/>
  <c r="BS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AR43" i="8"/>
  <c r="BN42" i="8"/>
  <c r="BS42" i="8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AR42" i="8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AR41" i="8"/>
  <c r="BN40" i="8"/>
  <c r="BS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 s="1"/>
  <c r="AR40" i="8"/>
  <c r="BN39" i="8"/>
  <c r="I38" i="5" s="1"/>
  <c r="BS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BN38" i="8"/>
  <c r="BS38" i="8"/>
  <c r="K37" i="5" s="1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 s="1"/>
  <c r="AR38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 s="1"/>
  <c r="AR37" i="8"/>
  <c r="BN36" i="8"/>
  <c r="BS36" i="8"/>
  <c r="K35" i="5" s="1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 s="1"/>
  <c r="AR36" i="8"/>
  <c r="BN35" i="8"/>
  <c r="BS35" i="8"/>
  <c r="K34" i="5" s="1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AR35" i="8"/>
  <c r="BN34" i="8"/>
  <c r="BS34" i="8"/>
  <c r="K33" i="5" s="1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 s="1"/>
  <c r="AR34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 s="1"/>
  <c r="AR33" i="8"/>
  <c r="BN32" i="8"/>
  <c r="BS32" i="8"/>
  <c r="K31" i="5" s="1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 s="1"/>
  <c r="AR32" i="8"/>
  <c r="BN31" i="8"/>
  <c r="BS31" i="8"/>
  <c r="K30" i="5" s="1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N30" i="8"/>
  <c r="BS30" i="8"/>
  <c r="K29" i="5" s="1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 s="1"/>
  <c r="AR29" i="8"/>
  <c r="BN28" i="8"/>
  <c r="BS28" i="8"/>
  <c r="K27" i="5" s="1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 s="1"/>
  <c r="AR28" i="8"/>
  <c r="BN27" i="8"/>
  <c r="BS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N26" i="8"/>
  <c r="BS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N25" i="8"/>
  <c r="BS25" i="8" s="1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N24" i="8"/>
  <c r="BS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AR24" i="8"/>
  <c r="BN23" i="8"/>
  <c r="BS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N22" i="8"/>
  <c r="BS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BN21" i="8"/>
  <c r="BS21" i="8" s="1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N20" i="8"/>
  <c r="BS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N19" i="8"/>
  <c r="BS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N18" i="8"/>
  <c r="BS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N17" i="8"/>
  <c r="BS17" i="8" s="1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N16" i="8"/>
  <c r="BS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 s="1"/>
  <c r="AR16" i="8"/>
  <c r="BN15" i="8"/>
  <c r="BS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N14" i="8"/>
  <c r="BS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AR14" i="8"/>
  <c r="BN13" i="8"/>
  <c r="BS13" i="8" s="1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N12" i="8"/>
  <c r="BS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N11" i="8"/>
  <c r="BS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N10" i="8"/>
  <c r="BS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BN9" i="8"/>
  <c r="BS9" i="8" s="1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N8" i="8"/>
  <c r="BS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N7" i="8"/>
  <c r="BS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N6" i="8"/>
  <c r="BS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N5" i="8"/>
  <c r="BS5" i="8" s="1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BN4" i="8"/>
  <c r="BS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AR4" i="8"/>
  <c r="BN3" i="8"/>
  <c r="BS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AR3" i="8"/>
  <c r="D15" i="7"/>
  <c r="E15" i="7"/>
  <c r="F15" i="7"/>
  <c r="K95" i="5"/>
  <c r="BS90" i="8"/>
  <c r="K89" i="5"/>
  <c r="BS84" i="8"/>
  <c r="K83" i="5"/>
  <c r="BS89" i="8"/>
  <c r="K88" i="5"/>
  <c r="I94" i="5"/>
  <c r="BS86" i="8"/>
  <c r="K85" i="5" s="1"/>
  <c r="BS87" i="8"/>
  <c r="K86" i="5"/>
  <c r="I86" i="5"/>
  <c r="BS92" i="8"/>
  <c r="K91" i="5"/>
  <c r="BS82" i="8"/>
  <c r="K81" i="5" s="1"/>
  <c r="I81" i="5"/>
  <c r="I98" i="5"/>
  <c r="K99" i="5"/>
  <c r="I99" i="5"/>
  <c r="I100" i="5"/>
  <c r="K43" i="5"/>
  <c r="K42" i="5"/>
  <c r="K39" i="5"/>
  <c r="K38" i="5"/>
  <c r="I33" i="5"/>
  <c r="I2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2" i="5"/>
  <c r="F40" i="5"/>
  <c r="F38" i="5"/>
  <c r="F34" i="5"/>
  <c r="F30" i="5"/>
  <c r="F29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1" i="5"/>
  <c r="I37" i="5"/>
  <c r="F41" i="5"/>
  <c r="K41" i="5"/>
  <c r="I46" i="5"/>
  <c r="I43" i="5"/>
  <c r="I42" i="5"/>
  <c r="I39" i="5"/>
  <c r="I35" i="5"/>
  <c r="I34" i="5"/>
  <c r="I31" i="5"/>
  <c r="I30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V1802" i="8"/>
  <c r="BN1802" i="8"/>
  <c r="BS1802" i="8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V1801" i="8"/>
  <c r="BN1801" i="8"/>
  <c r="BS1801" i="8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V1800" i="8"/>
  <c r="BN1800" i="8"/>
  <c r="BS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V1799" i="8"/>
  <c r="BN1799" i="8"/>
  <c r="BS1799" i="8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V1798" i="8"/>
  <c r="BN1798" i="8"/>
  <c r="BS1798" i="8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V1797" i="8"/>
  <c r="BN1797" i="8"/>
  <c r="BS1797" i="8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V1796" i="8"/>
  <c r="BN1796" i="8"/>
  <c r="BS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V1795" i="8"/>
  <c r="BN1795" i="8"/>
  <c r="BS1795" i="8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V1794" i="8"/>
  <c r="BN1794" i="8"/>
  <c r="BS1794" i="8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V1793" i="8"/>
  <c r="BN1793" i="8"/>
  <c r="BS1793" i="8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V1792" i="8"/>
  <c r="BN1792" i="8"/>
  <c r="BS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V1791" i="8"/>
  <c r="BN1791" i="8"/>
  <c r="BS1791" i="8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V1790" i="8"/>
  <c r="BN1790" i="8"/>
  <c r="BS1790" i="8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V1789" i="8"/>
  <c r="BN1789" i="8"/>
  <c r="BS1789" i="8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V1788" i="8"/>
  <c r="BN1788" i="8"/>
  <c r="BS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V1787" i="8"/>
  <c r="BN1787" i="8"/>
  <c r="BS1787" i="8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V1786" i="8"/>
  <c r="BN1786" i="8"/>
  <c r="BS1786" i="8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V1785" i="8"/>
  <c r="BN1785" i="8"/>
  <c r="BS1785" i="8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V1784" i="8"/>
  <c r="BN1784" i="8"/>
  <c r="BS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V1783" i="8"/>
  <c r="BN1783" i="8"/>
  <c r="BS1783" i="8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V1782" i="8"/>
  <c r="BN1782" i="8"/>
  <c r="BS1782" i="8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V1781" i="8"/>
  <c r="BN1781" i="8"/>
  <c r="BS1781" i="8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V1780" i="8"/>
  <c r="BN1780" i="8"/>
  <c r="BS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V1779" i="8"/>
  <c r="BN1779" i="8"/>
  <c r="BS1779" i="8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V1778" i="8"/>
  <c r="BN1778" i="8"/>
  <c r="BS1778" i="8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V1777" i="8"/>
  <c r="BN1777" i="8"/>
  <c r="BS1777" i="8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V1776" i="8"/>
  <c r="BN1776" i="8"/>
  <c r="BS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V1775" i="8"/>
  <c r="BN1775" i="8"/>
  <c r="BS1775" i="8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V1774" i="8"/>
  <c r="BN1774" i="8"/>
  <c r="BS1774" i="8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V1773" i="8"/>
  <c r="BN1773" i="8"/>
  <c r="BS1773" i="8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V1772" i="8"/>
  <c r="BN1772" i="8"/>
  <c r="BS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V1771" i="8"/>
  <c r="BN1771" i="8"/>
  <c r="BS1771" i="8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V1770" i="8"/>
  <c r="BN1770" i="8"/>
  <c r="BS1770" i="8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V1769" i="8"/>
  <c r="BN1769" i="8"/>
  <c r="BS1769" i="8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V1768" i="8"/>
  <c r="BN1768" i="8"/>
  <c r="BS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V1767" i="8"/>
  <c r="BN1767" i="8"/>
  <c r="BS1767" i="8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V1766" i="8"/>
  <c r="BN1766" i="8"/>
  <c r="BS1766" i="8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V1765" i="8"/>
  <c r="BN1765" i="8"/>
  <c r="BS1765" i="8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V1764" i="8"/>
  <c r="BN1764" i="8"/>
  <c r="BS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V1763" i="8"/>
  <c r="BN1763" i="8"/>
  <c r="BS1763" i="8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V1762" i="8"/>
  <c r="BN1762" i="8"/>
  <c r="BS1762" i="8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V1761" i="8"/>
  <c r="BN1761" i="8"/>
  <c r="BS1761" i="8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V1760" i="8"/>
  <c r="BN1760" i="8"/>
  <c r="BS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V1759" i="8"/>
  <c r="BN1759" i="8"/>
  <c r="BS1759" i="8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V1758" i="8"/>
  <c r="BN1758" i="8"/>
  <c r="BS1758" i="8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V1757" i="8"/>
  <c r="BN1757" i="8"/>
  <c r="BS1757" i="8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V1756" i="8"/>
  <c r="BN1756" i="8"/>
  <c r="BS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V1755" i="8"/>
  <c r="BN1755" i="8"/>
  <c r="BS1755" i="8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V1754" i="8"/>
  <c r="BN1754" i="8"/>
  <c r="BS1754" i="8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V1753" i="8"/>
  <c r="BN1753" i="8"/>
  <c r="BS1753" i="8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V1752" i="8"/>
  <c r="BN1752" i="8"/>
  <c r="BS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V1751" i="8"/>
  <c r="BN1751" i="8"/>
  <c r="BS1751" i="8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V1750" i="8"/>
  <c r="BN1750" i="8"/>
  <c r="BS1750" i="8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V1749" i="8"/>
  <c r="BN1749" i="8"/>
  <c r="BS1749" i="8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V1748" i="8"/>
  <c r="BN1748" i="8"/>
  <c r="BS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V1747" i="8"/>
  <c r="BN1747" i="8"/>
  <c r="BS1747" i="8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V1746" i="8"/>
  <c r="BN1746" i="8"/>
  <c r="BS1746" i="8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V1745" i="8"/>
  <c r="BN1745" i="8"/>
  <c r="BS1745" i="8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V1744" i="8"/>
  <c r="BN1744" i="8"/>
  <c r="BS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V1743" i="8"/>
  <c r="BN1743" i="8"/>
  <c r="BS1743" i="8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V1742" i="8"/>
  <c r="BN1742" i="8"/>
  <c r="BS1742" i="8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V1741" i="8"/>
  <c r="BN1741" i="8"/>
  <c r="BS1741" i="8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V1740" i="8"/>
  <c r="BN1740" i="8"/>
  <c r="BS1740" i="8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V1739" i="8"/>
  <c r="BN1739" i="8"/>
  <c r="BS1739" i="8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V1738" i="8"/>
  <c r="BN1738" i="8"/>
  <c r="BS1738" i="8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V1737" i="8"/>
  <c r="BN1737" i="8"/>
  <c r="BS1737" i="8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V1736" i="8"/>
  <c r="BN1736" i="8"/>
  <c r="BS1736" i="8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V1735" i="8"/>
  <c r="BN1735" i="8"/>
  <c r="BS1735" i="8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V1734" i="8"/>
  <c r="BN1734" i="8"/>
  <c r="BS1734" i="8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V1733" i="8"/>
  <c r="BN1733" i="8"/>
  <c r="BS1733" i="8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V1732" i="8"/>
  <c r="BN1732" i="8"/>
  <c r="BS1732" i="8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V1731" i="8"/>
  <c r="BN1731" i="8"/>
  <c r="BS1731" i="8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V1730" i="8"/>
  <c r="BN1730" i="8"/>
  <c r="BS1730" i="8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V1729" i="8"/>
  <c r="BN1729" i="8"/>
  <c r="BS1729" i="8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V1728" i="8"/>
  <c r="BN1728" i="8"/>
  <c r="BS1728" i="8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V1727" i="8"/>
  <c r="BN1727" i="8"/>
  <c r="BS1727" i="8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V1726" i="8"/>
  <c r="BN1726" i="8"/>
  <c r="BS1726" i="8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V1725" i="8"/>
  <c r="BN1725" i="8"/>
  <c r="BS1725" i="8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V1724" i="8"/>
  <c r="BN1724" i="8"/>
  <c r="BS1724" i="8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V1723" i="8"/>
  <c r="BN1723" i="8"/>
  <c r="BS1723" i="8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V1722" i="8"/>
  <c r="BN1722" i="8"/>
  <c r="BS1722" i="8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V1721" i="8"/>
  <c r="BN1721" i="8"/>
  <c r="BS1721" i="8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V1720" i="8"/>
  <c r="BN1720" i="8"/>
  <c r="BS1720" i="8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V1719" i="8"/>
  <c r="BN1719" i="8"/>
  <c r="BS1719" i="8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V1718" i="8"/>
  <c r="BN1718" i="8"/>
  <c r="BS1718" i="8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V1717" i="8"/>
  <c r="BN1717" i="8"/>
  <c r="BS1717" i="8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V1716" i="8"/>
  <c r="BN1716" i="8"/>
  <c r="BS1716" i="8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V1715" i="8"/>
  <c r="BN1715" i="8"/>
  <c r="BS1715" i="8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V1714" i="8"/>
  <c r="BN1714" i="8"/>
  <c r="BS1714" i="8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V1713" i="8"/>
  <c r="BN1713" i="8"/>
  <c r="BS1713" i="8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V1712" i="8"/>
  <c r="BN1712" i="8"/>
  <c r="BS1712" i="8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V1711" i="8"/>
  <c r="BN1711" i="8"/>
  <c r="BS1711" i="8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V1710" i="8"/>
  <c r="BN1710" i="8"/>
  <c r="BS1710" i="8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V1709" i="8"/>
  <c r="BN1709" i="8"/>
  <c r="BS1709" i="8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V1708" i="8"/>
  <c r="BN1708" i="8"/>
  <c r="BS1708" i="8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V1707" i="8"/>
  <c r="BN1707" i="8"/>
  <c r="BS1707" i="8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V1706" i="8"/>
  <c r="BN1706" i="8"/>
  <c r="BS1706" i="8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V1705" i="8"/>
  <c r="BN1705" i="8"/>
  <c r="BS1705" i="8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V1704" i="8"/>
  <c r="BN1704" i="8"/>
  <c r="BS1704" i="8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V1703" i="8"/>
  <c r="BN1703" i="8"/>
  <c r="BS1703" i="8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V1702" i="8"/>
  <c r="BN1702" i="8"/>
  <c r="BS1702" i="8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V1701" i="8"/>
  <c r="BN1701" i="8"/>
  <c r="BS1701" i="8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V1700" i="8"/>
  <c r="BN1700" i="8"/>
  <c r="BS1700" i="8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V1699" i="8"/>
  <c r="BN1699" i="8"/>
  <c r="BS1699" i="8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V1698" i="8"/>
  <c r="BN1698" i="8"/>
  <c r="BS1698" i="8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V1697" i="8"/>
  <c r="BN1697" i="8"/>
  <c r="BS1697" i="8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V1696" i="8"/>
  <c r="BN1696" i="8"/>
  <c r="BS1696" i="8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V1695" i="8"/>
  <c r="BN1695" i="8"/>
  <c r="BS1695" i="8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V1694" i="8"/>
  <c r="BN1694" i="8"/>
  <c r="BS1694" i="8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V1693" i="8"/>
  <c r="BN1693" i="8"/>
  <c r="BS1693" i="8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V1692" i="8"/>
  <c r="BN1692" i="8"/>
  <c r="BS1692" i="8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V1691" i="8"/>
  <c r="BN1691" i="8"/>
  <c r="BS1691" i="8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V1690" i="8"/>
  <c r="BN1690" i="8"/>
  <c r="BS1690" i="8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V1689" i="8"/>
  <c r="BN1689" i="8"/>
  <c r="BS1689" i="8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V1688" i="8"/>
  <c r="BN1688" i="8"/>
  <c r="BS1688" i="8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V1687" i="8"/>
  <c r="BN1687" i="8"/>
  <c r="BS1687" i="8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V1686" i="8"/>
  <c r="BN1686" i="8"/>
  <c r="BS1686" i="8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V1685" i="8"/>
  <c r="BN1685" i="8"/>
  <c r="BS1685" i="8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V1684" i="8"/>
  <c r="BN1684" i="8"/>
  <c r="BS1684" i="8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V1683" i="8"/>
  <c r="BN1683" i="8"/>
  <c r="BS1683" i="8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V1682" i="8"/>
  <c r="BN1682" i="8"/>
  <c r="BS1682" i="8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V1681" i="8"/>
  <c r="BN1681" i="8"/>
  <c r="BS1681" i="8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V1680" i="8"/>
  <c r="BN1680" i="8"/>
  <c r="BS1680" i="8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V1679" i="8"/>
  <c r="BN1679" i="8"/>
  <c r="BS1679" i="8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V1678" i="8"/>
  <c r="BN1678" i="8"/>
  <c r="BS1678" i="8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V1677" i="8"/>
  <c r="BN1677" i="8"/>
  <c r="BS1677" i="8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V1676" i="8"/>
  <c r="BN1676" i="8"/>
  <c r="BS1676" i="8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V1675" i="8"/>
  <c r="BN1675" i="8"/>
  <c r="BS1675" i="8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V1674" i="8"/>
  <c r="BN1674" i="8"/>
  <c r="BS1674" i="8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V1673" i="8"/>
  <c r="BN1673" i="8"/>
  <c r="BS1673" i="8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V1672" i="8"/>
  <c r="BN1672" i="8"/>
  <c r="BS1672" i="8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V1671" i="8"/>
  <c r="BN1671" i="8"/>
  <c r="BS1671" i="8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V1670" i="8"/>
  <c r="BN1670" i="8"/>
  <c r="BS1670" i="8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V1669" i="8"/>
  <c r="BN1669" i="8"/>
  <c r="BS1669" i="8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V1668" i="8"/>
  <c r="BN1668" i="8"/>
  <c r="BS1668" i="8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V1667" i="8"/>
  <c r="BN1667" i="8"/>
  <c r="BS1667" i="8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V1666" i="8"/>
  <c r="BN1666" i="8"/>
  <c r="BS1666" i="8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V1665" i="8"/>
  <c r="BN1665" i="8"/>
  <c r="BS1665" i="8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V1664" i="8"/>
  <c r="BN1664" i="8"/>
  <c r="BS1664" i="8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V1663" i="8"/>
  <c r="BN1663" i="8"/>
  <c r="BS1663" i="8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V1662" i="8"/>
  <c r="BN1662" i="8"/>
  <c r="BS1662" i="8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V1661" i="8"/>
  <c r="BN1661" i="8"/>
  <c r="BS1661" i="8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V1660" i="8"/>
  <c r="BN1660" i="8"/>
  <c r="BS1660" i="8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V1659" i="8"/>
  <c r="BN1659" i="8"/>
  <c r="BS1659" i="8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V1658" i="8"/>
  <c r="BN1658" i="8"/>
  <c r="BS1658" i="8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V1657" i="8"/>
  <c r="BN1657" i="8"/>
  <c r="BS1657" i="8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V1656" i="8"/>
  <c r="BN1656" i="8"/>
  <c r="BS1656" i="8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V1655" i="8"/>
  <c r="BN1655" i="8"/>
  <c r="BS1655" i="8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V1654" i="8"/>
  <c r="BN1654" i="8"/>
  <c r="BS1654" i="8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V1653" i="8"/>
  <c r="BN1653" i="8"/>
  <c r="BS1653" i="8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V1652" i="8"/>
  <c r="BN1652" i="8"/>
  <c r="BS1652" i="8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V1651" i="8"/>
  <c r="BN1651" i="8"/>
  <c r="BS1651" i="8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V1650" i="8"/>
  <c r="BN1650" i="8"/>
  <c r="BS1650" i="8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V1649" i="8"/>
  <c r="BN1649" i="8"/>
  <c r="BS1649" i="8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V1648" i="8"/>
  <c r="BN1648" i="8"/>
  <c r="BS1648" i="8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V1647" i="8"/>
  <c r="BN1647" i="8"/>
  <c r="BS1647" i="8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V1646" i="8"/>
  <c r="BN1646" i="8"/>
  <c r="BS1646" i="8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V1645" i="8"/>
  <c r="BN1645" i="8"/>
  <c r="BS1645" i="8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V1644" i="8"/>
  <c r="BN1644" i="8"/>
  <c r="BS1644" i="8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V1643" i="8"/>
  <c r="BN1643" i="8"/>
  <c r="BS1643" i="8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V1642" i="8"/>
  <c r="BN1642" i="8"/>
  <c r="BS1642" i="8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V1641" i="8"/>
  <c r="BN1641" i="8"/>
  <c r="BS1641" i="8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V1640" i="8"/>
  <c r="BN1640" i="8"/>
  <c r="BS1640" i="8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V1639" i="8"/>
  <c r="BN1639" i="8"/>
  <c r="BS1639" i="8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V1638" i="8"/>
  <c r="BN1638" i="8"/>
  <c r="BS1638" i="8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V1637" i="8"/>
  <c r="BN1637" i="8"/>
  <c r="BS1637" i="8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V1636" i="8"/>
  <c r="BN1636" i="8"/>
  <c r="BS1636" i="8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V1635" i="8"/>
  <c r="BN1635" i="8"/>
  <c r="BS1635" i="8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V1634" i="8"/>
  <c r="BN1634" i="8"/>
  <c r="BS1634" i="8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V1633" i="8"/>
  <c r="BN1633" i="8"/>
  <c r="BS1633" i="8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V1632" i="8"/>
  <c r="BN1632" i="8"/>
  <c r="BS1632" i="8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V1631" i="8"/>
  <c r="BN1631" i="8"/>
  <c r="BS1631" i="8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V1630" i="8"/>
  <c r="BN1630" i="8"/>
  <c r="BS1630" i="8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V1629" i="8"/>
  <c r="BN1629" i="8"/>
  <c r="BS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V1628" i="8"/>
  <c r="BN1628" i="8"/>
  <c r="BS1628" i="8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V1627" i="8"/>
  <c r="BN1627" i="8"/>
  <c r="BS1627" i="8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V1626" i="8"/>
  <c r="BN1626" i="8"/>
  <c r="BS1626" i="8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V1625" i="8"/>
  <c r="BN1625" i="8"/>
  <c r="BS1625" i="8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V1624" i="8"/>
  <c r="BN1624" i="8"/>
  <c r="BS1624" i="8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V1623" i="8"/>
  <c r="BN1623" i="8"/>
  <c r="BS1623" i="8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V1622" i="8"/>
  <c r="BN1622" i="8"/>
  <c r="BS1622" i="8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V1621" i="8"/>
  <c r="BN1621" i="8"/>
  <c r="BS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V1620" i="8"/>
  <c r="BN1620" i="8"/>
  <c r="BS1620" i="8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V1619" i="8"/>
  <c r="BN1619" i="8"/>
  <c r="BS1619" i="8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V1618" i="8"/>
  <c r="BN1618" i="8"/>
  <c r="BS1618" i="8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V1617" i="8"/>
  <c r="BN1617" i="8"/>
  <c r="BS1617" i="8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V1616" i="8"/>
  <c r="BN1616" i="8"/>
  <c r="BS1616" i="8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V1615" i="8"/>
  <c r="BN1615" i="8"/>
  <c r="BS1615" i="8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V1614" i="8"/>
  <c r="BN1614" i="8"/>
  <c r="BS1614" i="8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V1613" i="8"/>
  <c r="BN1613" i="8"/>
  <c r="BS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V1612" i="8"/>
  <c r="BN1612" i="8"/>
  <c r="BS1612" i="8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V1611" i="8"/>
  <c r="BN1611" i="8"/>
  <c r="BS1611" i="8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V1610" i="8"/>
  <c r="BN1610" i="8"/>
  <c r="BS1610" i="8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V1609" i="8"/>
  <c r="BN1609" i="8"/>
  <c r="BS1609" i="8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V1608" i="8"/>
  <c r="BN1608" i="8"/>
  <c r="BS1608" i="8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V1607" i="8"/>
  <c r="BN1607" i="8"/>
  <c r="BS1607" i="8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V1606" i="8"/>
  <c r="BN1606" i="8"/>
  <c r="BS1606" i="8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V1605" i="8"/>
  <c r="BN1605" i="8"/>
  <c r="BS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V1604" i="8"/>
  <c r="BN1604" i="8"/>
  <c r="BS1604" i="8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V1603" i="8"/>
  <c r="BN1603" i="8"/>
  <c r="BS1603" i="8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V1602" i="8"/>
  <c r="BN1602" i="8"/>
  <c r="BS1602" i="8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V1601" i="8"/>
  <c r="BN1601" i="8"/>
  <c r="BS1601" i="8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V1600" i="8"/>
  <c r="BN1600" i="8"/>
  <c r="BS1600" i="8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V1599" i="8"/>
  <c r="BN1599" i="8"/>
  <c r="BS1599" i="8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V1598" i="8"/>
  <c r="BN1598" i="8"/>
  <c r="BS1598" i="8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V1597" i="8"/>
  <c r="BN1597" i="8"/>
  <c r="BS1597" i="8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V1596" i="8"/>
  <c r="BN1596" i="8"/>
  <c r="BS1596" i="8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V1595" i="8"/>
  <c r="BN1595" i="8"/>
  <c r="BS1595" i="8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V1594" i="8"/>
  <c r="BN1594" i="8"/>
  <c r="BS1594" i="8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V1593" i="8"/>
  <c r="BN1593" i="8"/>
  <c r="BS1593" i="8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V1592" i="8"/>
  <c r="BN1592" i="8"/>
  <c r="BS1592" i="8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V1591" i="8"/>
  <c r="BN1591" i="8"/>
  <c r="BS1591" i="8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V1590" i="8"/>
  <c r="BN1590" i="8"/>
  <c r="BS1590" i="8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V1589" i="8"/>
  <c r="BN1589" i="8"/>
  <c r="BS1589" i="8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V1588" i="8"/>
  <c r="BN1588" i="8"/>
  <c r="BS1588" i="8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V1587" i="8"/>
  <c r="BN1587" i="8"/>
  <c r="BS1587" i="8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V1586" i="8"/>
  <c r="BN1586" i="8"/>
  <c r="BS1586" i="8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V1585" i="8"/>
  <c r="BN1585" i="8"/>
  <c r="BS1585" i="8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V1584" i="8"/>
  <c r="BN1584" i="8"/>
  <c r="BS1584" i="8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V1583" i="8"/>
  <c r="BN1583" i="8"/>
  <c r="BS1583" i="8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V1582" i="8"/>
  <c r="BN1582" i="8"/>
  <c r="BS1582" i="8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V1581" i="8"/>
  <c r="BN1581" i="8"/>
  <c r="BS1581" i="8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V1580" i="8"/>
  <c r="BN1580" i="8"/>
  <c r="BS1580" i="8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V1579" i="8"/>
  <c r="BN1579" i="8"/>
  <c r="BS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V1578" i="8"/>
  <c r="BN1578" i="8"/>
  <c r="BS1578" i="8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V1577" i="8"/>
  <c r="BN1577" i="8"/>
  <c r="BS1577" i="8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V1576" i="8"/>
  <c r="BN1576" i="8"/>
  <c r="BS1576" i="8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V1575" i="8"/>
  <c r="BN1575" i="8"/>
  <c r="BS1575" i="8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V1574" i="8"/>
  <c r="BN1574" i="8"/>
  <c r="BS1574" i="8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V1573" i="8"/>
  <c r="BN1573" i="8"/>
  <c r="BS1573" i="8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V1572" i="8"/>
  <c r="BN1572" i="8"/>
  <c r="BS1572" i="8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V1571" i="8"/>
  <c r="BN1571" i="8"/>
  <c r="BS1571" i="8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V1570" i="8"/>
  <c r="BN1570" i="8"/>
  <c r="BS1570" i="8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V1569" i="8"/>
  <c r="BN1569" i="8"/>
  <c r="BS1569" i="8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V1568" i="8"/>
  <c r="BN1568" i="8"/>
  <c r="BS1568" i="8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V1567" i="8"/>
  <c r="BN1567" i="8"/>
  <c r="BS1567" i="8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V1566" i="8"/>
  <c r="BN1566" i="8"/>
  <c r="BS1566" i="8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V1565" i="8"/>
  <c r="BN1565" i="8"/>
  <c r="BS1565" i="8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V1564" i="8"/>
  <c r="BN1564" i="8"/>
  <c r="BS1564" i="8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V1563" i="8"/>
  <c r="BN1563" i="8"/>
  <c r="BS1563" i="8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V1562" i="8"/>
  <c r="BN1562" i="8"/>
  <c r="BS1562" i="8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V1561" i="8"/>
  <c r="BN1561" i="8"/>
  <c r="BS1561" i="8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V1560" i="8"/>
  <c r="BN1560" i="8"/>
  <c r="BS1560" i="8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V1559" i="8"/>
  <c r="BN1559" i="8"/>
  <c r="BS1559" i="8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V1558" i="8"/>
  <c r="BN1558" i="8"/>
  <c r="BS1558" i="8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V1557" i="8"/>
  <c r="BN1557" i="8"/>
  <c r="BS1557" i="8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V1556" i="8"/>
  <c r="BN1556" i="8"/>
  <c r="BS1556" i="8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V1555" i="8"/>
  <c r="BN1555" i="8"/>
  <c r="BS1555" i="8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V1554" i="8"/>
  <c r="BN1554" i="8"/>
  <c r="BS1554" i="8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V1553" i="8"/>
  <c r="BN1553" i="8"/>
  <c r="BS1553" i="8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V1552" i="8"/>
  <c r="BN1552" i="8"/>
  <c r="BS1552" i="8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V1551" i="8"/>
  <c r="BN1551" i="8"/>
  <c r="BS1551" i="8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V1550" i="8"/>
  <c r="BN1550" i="8"/>
  <c r="BS1550" i="8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V1549" i="8"/>
  <c r="BN1549" i="8"/>
  <c r="BS1549" i="8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V1548" i="8"/>
  <c r="BN1548" i="8"/>
  <c r="BS1548" i="8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V1547" i="8"/>
  <c r="BN1547" i="8"/>
  <c r="BS1547" i="8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V1546" i="8"/>
  <c r="BN1546" i="8"/>
  <c r="BS1546" i="8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V1545" i="8"/>
  <c r="BN1545" i="8"/>
  <c r="BS1545" i="8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V1544" i="8"/>
  <c r="BN1544" i="8"/>
  <c r="BS1544" i="8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V1543" i="8"/>
  <c r="BN1543" i="8"/>
  <c r="BS1543" i="8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V1542" i="8"/>
  <c r="BN1542" i="8"/>
  <c r="BS1542" i="8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V1541" i="8"/>
  <c r="BN1541" i="8"/>
  <c r="BS1541" i="8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V1540" i="8"/>
  <c r="BN1540" i="8"/>
  <c r="BS1540" i="8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V1539" i="8"/>
  <c r="BN1539" i="8"/>
  <c r="BS1539" i="8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V1538" i="8"/>
  <c r="BN1538" i="8"/>
  <c r="BS1538" i="8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V1537" i="8"/>
  <c r="BN1537" i="8"/>
  <c r="BS1537" i="8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V1536" i="8"/>
  <c r="BN1536" i="8"/>
  <c r="BS1536" i="8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V1535" i="8"/>
  <c r="BN1535" i="8"/>
  <c r="BS1535" i="8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V1534" i="8"/>
  <c r="BN1534" i="8"/>
  <c r="BS1534" i="8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V1533" i="8"/>
  <c r="BN1533" i="8"/>
  <c r="BS1533" i="8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V1532" i="8"/>
  <c r="BN1532" i="8"/>
  <c r="BS1532" i="8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V1531" i="8"/>
  <c r="BN1531" i="8"/>
  <c r="BS1531" i="8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V1530" i="8"/>
  <c r="BN1530" i="8"/>
  <c r="BS1530" i="8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V1529" i="8"/>
  <c r="BN1529" i="8"/>
  <c r="BS1529" i="8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V1528" i="8"/>
  <c r="BN1528" i="8"/>
  <c r="BS1528" i="8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V1527" i="8"/>
  <c r="BN1527" i="8"/>
  <c r="BS1527" i="8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V1526" i="8"/>
  <c r="BN1526" i="8"/>
  <c r="BS1526" i="8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V1525" i="8"/>
  <c r="BN1525" i="8"/>
  <c r="BS1525" i="8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V1524" i="8"/>
  <c r="BN1524" i="8"/>
  <c r="BS1524" i="8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V1523" i="8"/>
  <c r="BN1523" i="8"/>
  <c r="BS1523" i="8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V1522" i="8"/>
  <c r="BN1522" i="8"/>
  <c r="BS1522" i="8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V1521" i="8"/>
  <c r="BN1521" i="8"/>
  <c r="BS1521" i="8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V1520" i="8"/>
  <c r="BN1520" i="8"/>
  <c r="BS1520" i="8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V1519" i="8"/>
  <c r="BN1519" i="8"/>
  <c r="BS1519" i="8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V1518" i="8"/>
  <c r="BN1518" i="8"/>
  <c r="BS1518" i="8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V1517" i="8"/>
  <c r="BN1517" i="8"/>
  <c r="BS1517" i="8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V1516" i="8"/>
  <c r="BN1516" i="8"/>
  <c r="BS1516" i="8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V1515" i="8"/>
  <c r="BN1515" i="8"/>
  <c r="BS1515" i="8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V1514" i="8"/>
  <c r="BN1514" i="8"/>
  <c r="BS1514" i="8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V1513" i="8"/>
  <c r="BN1513" i="8"/>
  <c r="BS1513" i="8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V1512" i="8"/>
  <c r="BN1512" i="8"/>
  <c r="BS1512" i="8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V1511" i="8"/>
  <c r="BN1511" i="8"/>
  <c r="BS1511" i="8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V1510" i="8"/>
  <c r="BN1510" i="8"/>
  <c r="BS1510" i="8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V1509" i="8"/>
  <c r="BN1509" i="8"/>
  <c r="BS1509" i="8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V1508" i="8"/>
  <c r="BN1508" i="8"/>
  <c r="BS1508" i="8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V1507" i="8"/>
  <c r="BN1507" i="8"/>
  <c r="BS1507" i="8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V1506" i="8"/>
  <c r="BN1506" i="8"/>
  <c r="BS1506" i="8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V1505" i="8"/>
  <c r="BN1505" i="8"/>
  <c r="BS1505" i="8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V1504" i="8"/>
  <c r="BN1504" i="8"/>
  <c r="BS1504" i="8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V1503" i="8"/>
  <c r="BN1503" i="8"/>
  <c r="BS1503" i="8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V1502" i="8"/>
  <c r="BN1502" i="8"/>
  <c r="BS1502" i="8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V1501" i="8"/>
  <c r="BN1501" i="8"/>
  <c r="BS1501" i="8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V1500" i="8"/>
  <c r="BN1500" i="8"/>
  <c r="BS1500" i="8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V1499" i="8"/>
  <c r="BN1499" i="8"/>
  <c r="BS1499" i="8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V1498" i="8"/>
  <c r="BN1498" i="8"/>
  <c r="BS1498" i="8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V1497" i="8"/>
  <c r="BN1497" i="8"/>
  <c r="BS1497" i="8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V1496" i="8"/>
  <c r="BN1496" i="8"/>
  <c r="BS1496" i="8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V1495" i="8"/>
  <c r="BN1495" i="8"/>
  <c r="BS1495" i="8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V1494" i="8"/>
  <c r="BN1494" i="8"/>
  <c r="BS1494" i="8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V1493" i="8"/>
  <c r="BN1493" i="8"/>
  <c r="BS1493" i="8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V1492" i="8"/>
  <c r="BN1492" i="8"/>
  <c r="BS1492" i="8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V1491" i="8"/>
  <c r="BN1491" i="8"/>
  <c r="BS1491" i="8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V1490" i="8"/>
  <c r="BN1490" i="8"/>
  <c r="BS1490" i="8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V1489" i="8"/>
  <c r="BN1489" i="8"/>
  <c r="BS1489" i="8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V1488" i="8"/>
  <c r="BN1488" i="8"/>
  <c r="BS1488" i="8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V1487" i="8"/>
  <c r="BN1487" i="8"/>
  <c r="BS1487" i="8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V1486" i="8"/>
  <c r="BN1486" i="8"/>
  <c r="BS1486" i="8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V1485" i="8"/>
  <c r="BN1485" i="8"/>
  <c r="BS1485" i="8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V1484" i="8"/>
  <c r="BN1484" i="8"/>
  <c r="BS1484" i="8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V1483" i="8"/>
  <c r="BN1483" i="8"/>
  <c r="BS1483" i="8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V1482" i="8"/>
  <c r="BN1482" i="8"/>
  <c r="BS1482" i="8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V1481" i="8"/>
  <c r="BN1481" i="8"/>
  <c r="BS1481" i="8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V1480" i="8"/>
  <c r="BN1480" i="8"/>
  <c r="BS1480" i="8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V1479" i="8"/>
  <c r="BN1479" i="8"/>
  <c r="BS1479" i="8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V1478" i="8"/>
  <c r="BN1478" i="8"/>
  <c r="BS1478" i="8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V1477" i="8"/>
  <c r="BN1477" i="8"/>
  <c r="BS1477" i="8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V1476" i="8"/>
  <c r="BN1476" i="8"/>
  <c r="BS1476" i="8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V1475" i="8"/>
  <c r="BN1475" i="8"/>
  <c r="BS1475" i="8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V1474" i="8"/>
  <c r="BN1474" i="8"/>
  <c r="BS1474" i="8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V1473" i="8"/>
  <c r="BN1473" i="8"/>
  <c r="BS1473" i="8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V1472" i="8"/>
  <c r="BN1472" i="8"/>
  <c r="BS1472" i="8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V1471" i="8"/>
  <c r="BN1471" i="8"/>
  <c r="BS1471" i="8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V1470" i="8"/>
  <c r="BN1470" i="8"/>
  <c r="BS1470" i="8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V1469" i="8"/>
  <c r="BN1469" i="8"/>
  <c r="BS1469" i="8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V1468" i="8"/>
  <c r="BN1468" i="8"/>
  <c r="BS1468" i="8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V1467" i="8"/>
  <c r="BN1467" i="8"/>
  <c r="BS1467" i="8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V1466" i="8"/>
  <c r="BN1466" i="8"/>
  <c r="BS1466" i="8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V1465" i="8"/>
  <c r="BN1465" i="8"/>
  <c r="BS1465" i="8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V1464" i="8"/>
  <c r="BN1464" i="8"/>
  <c r="BS1464" i="8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V1463" i="8"/>
  <c r="BN1463" i="8"/>
  <c r="BS1463" i="8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V1462" i="8"/>
  <c r="BN1462" i="8"/>
  <c r="BS1462" i="8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V1461" i="8"/>
  <c r="BN1461" i="8"/>
  <c r="BS1461" i="8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V1460" i="8"/>
  <c r="BN1460" i="8"/>
  <c r="BS1460" i="8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V1459" i="8"/>
  <c r="BN1459" i="8"/>
  <c r="BS1459" i="8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V1458" i="8"/>
  <c r="BN1458" i="8"/>
  <c r="BS1458" i="8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V1457" i="8"/>
  <c r="BN1457" i="8"/>
  <c r="BS1457" i="8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V1456" i="8"/>
  <c r="BN1456" i="8"/>
  <c r="BS1456" i="8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V1455" i="8"/>
  <c r="BN1455" i="8"/>
  <c r="BS1455" i="8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V1454" i="8"/>
  <c r="BN1454" i="8"/>
  <c r="BS1454" i="8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V1453" i="8"/>
  <c r="BN1453" i="8"/>
  <c r="BS1453" i="8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V1452" i="8"/>
  <c r="BN1452" i="8"/>
  <c r="BS1452" i="8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V1451" i="8"/>
  <c r="BN1451" i="8"/>
  <c r="BS1451" i="8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V1450" i="8"/>
  <c r="BN1450" i="8"/>
  <c r="BS1450" i="8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V1449" i="8"/>
  <c r="BN1449" i="8"/>
  <c r="BS1449" i="8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V1448" i="8"/>
  <c r="BN1448" i="8"/>
  <c r="BS1448" i="8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V1447" i="8"/>
  <c r="BN1447" i="8"/>
  <c r="BS1447" i="8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V1446" i="8"/>
  <c r="BN1446" i="8"/>
  <c r="BS1446" i="8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V1445" i="8"/>
  <c r="BN1445" i="8"/>
  <c r="BS1445" i="8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V1444" i="8"/>
  <c r="BN1444" i="8"/>
  <c r="BS1444" i="8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V1443" i="8"/>
  <c r="BN1443" i="8"/>
  <c r="BS1443" i="8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V1442" i="8"/>
  <c r="BN1442" i="8"/>
  <c r="BS1442" i="8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V1441" i="8"/>
  <c r="BN1441" i="8"/>
  <c r="BS1441" i="8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V1440" i="8"/>
  <c r="BN1440" i="8"/>
  <c r="BS1440" i="8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V1439" i="8"/>
  <c r="BN1439" i="8"/>
  <c r="BS1439" i="8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V1438" i="8"/>
  <c r="BN1438" i="8"/>
  <c r="BS1438" i="8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V1437" i="8"/>
  <c r="BN1437" i="8"/>
  <c r="BS1437" i="8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V1436" i="8"/>
  <c r="BN1436" i="8"/>
  <c r="BS1436" i="8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V1435" i="8"/>
  <c r="BN1435" i="8"/>
  <c r="BS1435" i="8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V1434" i="8"/>
  <c r="BN1434" i="8"/>
  <c r="BS1434" i="8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V1433" i="8"/>
  <c r="BN1433" i="8"/>
  <c r="BS1433" i="8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V1432" i="8"/>
  <c r="BN1432" i="8"/>
  <c r="BS1432" i="8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V1431" i="8"/>
  <c r="BN1431" i="8"/>
  <c r="BS1431" i="8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V1430" i="8"/>
  <c r="BN1430" i="8"/>
  <c r="BS1430" i="8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V1429" i="8"/>
  <c r="BN1429" i="8"/>
  <c r="BS1429" i="8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V1428" i="8"/>
  <c r="BN1428" i="8"/>
  <c r="BS1428" i="8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V1427" i="8"/>
  <c r="BN1427" i="8"/>
  <c r="BS1427" i="8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V1426" i="8"/>
  <c r="BN1426" i="8"/>
  <c r="BS1426" i="8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V1425" i="8"/>
  <c r="BN1425" i="8"/>
  <c r="BS1425" i="8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V1424" i="8"/>
  <c r="BN1424" i="8"/>
  <c r="BS1424" i="8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V1423" i="8"/>
  <c r="BN1423" i="8"/>
  <c r="BS1423" i="8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V1422" i="8"/>
  <c r="BN1422" i="8"/>
  <c r="BS1422" i="8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V1421" i="8"/>
  <c r="BN1421" i="8"/>
  <c r="BS1421" i="8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V1420" i="8"/>
  <c r="BN1420" i="8"/>
  <c r="BS1420" i="8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V1419" i="8"/>
  <c r="BN1419" i="8"/>
  <c r="BS1419" i="8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V1418" i="8"/>
  <c r="BN1418" i="8"/>
  <c r="BS1418" i="8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V1417" i="8"/>
  <c r="BN1417" i="8"/>
  <c r="BS1417" i="8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V1416" i="8"/>
  <c r="BN1416" i="8"/>
  <c r="BS1416" i="8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V1415" i="8"/>
  <c r="BN1415" i="8"/>
  <c r="BS1415" i="8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V1414" i="8"/>
  <c r="BN1414" i="8"/>
  <c r="BS1414" i="8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V1413" i="8"/>
  <c r="BN1413" i="8"/>
  <c r="BS1413" i="8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V1412" i="8"/>
  <c r="BN1412" i="8"/>
  <c r="BS1412" i="8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V1411" i="8"/>
  <c r="BN1411" i="8"/>
  <c r="BS1411" i="8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V1410" i="8"/>
  <c r="BN1410" i="8"/>
  <c r="BS1410" i="8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V1409" i="8"/>
  <c r="BN1409" i="8"/>
  <c r="BS1409" i="8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V1408" i="8"/>
  <c r="BN1408" i="8"/>
  <c r="BS1408" i="8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V1407" i="8"/>
  <c r="BN1407" i="8"/>
  <c r="BS1407" i="8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V1406" i="8"/>
  <c r="BN1406" i="8"/>
  <c r="BS1406" i="8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V1405" i="8"/>
  <c r="BN1405" i="8"/>
  <c r="BS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V1404" i="8"/>
  <c r="BN1404" i="8"/>
  <c r="BS1404" i="8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V1403" i="8"/>
  <c r="BN1403" i="8"/>
  <c r="BS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V1402" i="8"/>
  <c r="BN1402" i="8"/>
  <c r="BS1402" i="8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V1401" i="8"/>
  <c r="BN1401" i="8"/>
  <c r="BS1401" i="8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V1400" i="8"/>
  <c r="BN1400" i="8"/>
  <c r="BS1400" i="8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V1399" i="8"/>
  <c r="BN1399" i="8"/>
  <c r="BS1399" i="8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V1398" i="8"/>
  <c r="BN1398" i="8"/>
  <c r="BS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V1397" i="8"/>
  <c r="BN1397" i="8"/>
  <c r="BS1397" i="8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V1396" i="8"/>
  <c r="BN1396" i="8"/>
  <c r="BS1396" i="8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V1395" i="8"/>
  <c r="BN1395" i="8"/>
  <c r="BS1395" i="8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V1394" i="8"/>
  <c r="BN1394" i="8"/>
  <c r="BS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V1393" i="8"/>
  <c r="BN1393" i="8"/>
  <c r="BS1393" i="8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V1392" i="8"/>
  <c r="BN1392" i="8"/>
  <c r="BS1392" i="8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V1391" i="8"/>
  <c r="BN1391" i="8"/>
  <c r="BS1391" i="8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V1390" i="8"/>
  <c r="BN1390" i="8"/>
  <c r="BS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V1389" i="8"/>
  <c r="BN1389" i="8"/>
  <c r="BS1389" i="8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V1388" i="8"/>
  <c r="BN1388" i="8"/>
  <c r="BS1388" i="8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V1387" i="8"/>
  <c r="BN1387" i="8"/>
  <c r="BS1387" i="8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V1386" i="8"/>
  <c r="BN1386" i="8"/>
  <c r="BS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V1385" i="8"/>
  <c r="BN1385" i="8"/>
  <c r="BS1385" i="8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V1384" i="8"/>
  <c r="BN1384" i="8"/>
  <c r="BS1384" i="8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V1383" i="8"/>
  <c r="BN1383" i="8"/>
  <c r="BS1383" i="8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V1382" i="8"/>
  <c r="BN1382" i="8"/>
  <c r="BS1382" i="8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V1381" i="8"/>
  <c r="BN1381" i="8"/>
  <c r="BS1381" i="8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V1380" i="8"/>
  <c r="BN1380" i="8"/>
  <c r="BS1380" i="8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V1379" i="8"/>
  <c r="BN1379" i="8"/>
  <c r="BS1379" i="8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V1378" i="8"/>
  <c r="BN1378" i="8"/>
  <c r="BS1378" i="8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V1377" i="8"/>
  <c r="BN1377" i="8"/>
  <c r="BS1377" i="8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V1376" i="8"/>
  <c r="BN1376" i="8"/>
  <c r="BS1376" i="8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V1375" i="8"/>
  <c r="BN1375" i="8"/>
  <c r="BS1375" i="8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V1374" i="8"/>
  <c r="BN1374" i="8"/>
  <c r="BS1374" i="8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V1373" i="8"/>
  <c r="BN1373" i="8"/>
  <c r="BS1373" i="8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V1372" i="8"/>
  <c r="BN1372" i="8"/>
  <c r="BS1372" i="8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V1371" i="8"/>
  <c r="BN1371" i="8"/>
  <c r="BS1371" i="8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V1370" i="8"/>
  <c r="BN1370" i="8"/>
  <c r="BS1370" i="8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V1369" i="8"/>
  <c r="BN1369" i="8"/>
  <c r="BS1369" i="8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V1368" i="8"/>
  <c r="BN1368" i="8"/>
  <c r="BS1368" i="8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V1367" i="8"/>
  <c r="BN1367" i="8"/>
  <c r="BS1367" i="8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V1366" i="8"/>
  <c r="BN1366" i="8"/>
  <c r="BS1366" i="8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V1365" i="8"/>
  <c r="BN1365" i="8"/>
  <c r="BS1365" i="8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V1364" i="8"/>
  <c r="BN1364" i="8"/>
  <c r="BS1364" i="8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V1363" i="8"/>
  <c r="BN1363" i="8"/>
  <c r="BS1363" i="8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V1362" i="8"/>
  <c r="BN1362" i="8"/>
  <c r="BS1362" i="8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V1361" i="8"/>
  <c r="BN1361" i="8"/>
  <c r="BS1361" i="8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V1360" i="8"/>
  <c r="BN1360" i="8"/>
  <c r="BS1360" i="8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V1359" i="8"/>
  <c r="BN1359" i="8"/>
  <c r="BS1359" i="8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V1358" i="8"/>
  <c r="BN1358" i="8"/>
  <c r="BS1358" i="8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V1357" i="8"/>
  <c r="BN1357" i="8"/>
  <c r="BS1357" i="8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V1356" i="8"/>
  <c r="BN1356" i="8"/>
  <c r="BS1356" i="8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V1355" i="8"/>
  <c r="BN1355" i="8"/>
  <c r="BS1355" i="8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V1354" i="8"/>
  <c r="BN1354" i="8"/>
  <c r="BS1354" i="8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V1353" i="8"/>
  <c r="BN1353" i="8"/>
  <c r="BS1353" i="8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V1352" i="8"/>
  <c r="BN1352" i="8"/>
  <c r="BS1352" i="8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V1351" i="8"/>
  <c r="BN1351" i="8"/>
  <c r="BS1351" i="8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V1350" i="8"/>
  <c r="BN1350" i="8"/>
  <c r="BS1350" i="8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V1349" i="8"/>
  <c r="BN1349" i="8"/>
  <c r="BS1349" i="8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V1348" i="8"/>
  <c r="BN1348" i="8"/>
  <c r="BS1348" i="8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V1347" i="8"/>
  <c r="BN1347" i="8"/>
  <c r="BS1347" i="8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V1346" i="8"/>
  <c r="BN1346" i="8"/>
  <c r="BS1346" i="8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V1345" i="8"/>
  <c r="BN1345" i="8"/>
  <c r="BS1345" i="8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V1344" i="8"/>
  <c r="BN1344" i="8"/>
  <c r="BS1344" i="8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V1343" i="8"/>
  <c r="BN1343" i="8"/>
  <c r="BS1343" i="8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V1342" i="8"/>
  <c r="BN1342" i="8"/>
  <c r="BS1342" i="8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V1341" i="8"/>
  <c r="BN1341" i="8"/>
  <c r="BS1341" i="8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V1340" i="8"/>
  <c r="BN1340" i="8"/>
  <c r="BS1340" i="8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V1339" i="8"/>
  <c r="BN1339" i="8"/>
  <c r="BS1339" i="8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V1338" i="8"/>
  <c r="BN1338" i="8"/>
  <c r="BS1338" i="8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V1337" i="8"/>
  <c r="BN1337" i="8"/>
  <c r="BS1337" i="8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V1336" i="8"/>
  <c r="BN1336" i="8"/>
  <c r="BS1336" i="8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V1335" i="8"/>
  <c r="BN1335" i="8"/>
  <c r="BS1335" i="8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V1334" i="8"/>
  <c r="BN1334" i="8"/>
  <c r="BS1334" i="8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V1333" i="8"/>
  <c r="BN1333" i="8"/>
  <c r="BS1333" i="8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V1332" i="8"/>
  <c r="BN1332" i="8"/>
  <c r="BS1332" i="8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V1331" i="8"/>
  <c r="BN1331" i="8"/>
  <c r="BS1331" i="8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V1330" i="8"/>
  <c r="BN1330" i="8"/>
  <c r="BS1330" i="8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V1329" i="8"/>
  <c r="BN1329" i="8"/>
  <c r="BS1329" i="8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V1328" i="8"/>
  <c r="BN1328" i="8"/>
  <c r="BS1328" i="8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V1327" i="8"/>
  <c r="BN1327" i="8"/>
  <c r="BS1327" i="8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V1326" i="8"/>
  <c r="BN1326" i="8"/>
  <c r="BS1326" i="8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V1325" i="8"/>
  <c r="BN1325" i="8"/>
  <c r="BS1325" i="8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V1324" i="8"/>
  <c r="BN1324" i="8"/>
  <c r="BS1324" i="8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V1323" i="8"/>
  <c r="BN1323" i="8"/>
  <c r="BS1323" i="8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V1322" i="8"/>
  <c r="BN1322" i="8"/>
  <c r="BS1322" i="8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V1321" i="8"/>
  <c r="BN1321" i="8"/>
  <c r="BS1321" i="8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V1320" i="8"/>
  <c r="BN1320" i="8"/>
  <c r="BS1320" i="8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V1319" i="8"/>
  <c r="BN1319" i="8"/>
  <c r="BS1319" i="8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V1318" i="8"/>
  <c r="BN1318" i="8"/>
  <c r="BS1318" i="8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V1317" i="8"/>
  <c r="BN1317" i="8"/>
  <c r="BS1317" i="8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V1316" i="8"/>
  <c r="BN1316" i="8"/>
  <c r="BS1316" i="8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V1315" i="8"/>
  <c r="BN1315" i="8"/>
  <c r="BS1315" i="8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V1314" i="8"/>
  <c r="BN1314" i="8"/>
  <c r="BS1314" i="8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V1313" i="8"/>
  <c r="BN1313" i="8"/>
  <c r="BS1313" i="8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V1312" i="8"/>
  <c r="BN1312" i="8"/>
  <c r="BS1312" i="8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V1311" i="8"/>
  <c r="BN1311" i="8"/>
  <c r="BS1311" i="8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V1310" i="8"/>
  <c r="BN1310" i="8"/>
  <c r="BS1310" i="8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V1309" i="8"/>
  <c r="BN1309" i="8"/>
  <c r="BS1309" i="8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V1308" i="8"/>
  <c r="BN1308" i="8"/>
  <c r="BS1308" i="8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V1307" i="8"/>
  <c r="BN1307" i="8"/>
  <c r="BS1307" i="8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V1306" i="8"/>
  <c r="BN1306" i="8"/>
  <c r="BS1306" i="8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V1305" i="8"/>
  <c r="BN1305" i="8"/>
  <c r="BS1305" i="8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V1304" i="8"/>
  <c r="BN1304" i="8"/>
  <c r="BS1304" i="8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V1303" i="8"/>
  <c r="BN1303" i="8"/>
  <c r="BS1303" i="8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V1302" i="8"/>
  <c r="BN1302" i="8"/>
  <c r="BS1302" i="8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V1301" i="8"/>
  <c r="BN1301" i="8"/>
  <c r="BS1301" i="8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V1300" i="8"/>
  <c r="BN1300" i="8"/>
  <c r="BS1300" i="8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V1299" i="8"/>
  <c r="BN1299" i="8"/>
  <c r="BS1299" i="8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V1298" i="8"/>
  <c r="BN1298" i="8"/>
  <c r="BS1298" i="8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V1297" i="8"/>
  <c r="BN1297" i="8"/>
  <c r="BS1297" i="8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V1296" i="8"/>
  <c r="BN1296" i="8"/>
  <c r="BS1296" i="8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V1295" i="8"/>
  <c r="BN1295" i="8"/>
  <c r="BS1295" i="8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V1294" i="8"/>
  <c r="BN1294" i="8"/>
  <c r="BS1294" i="8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V1293" i="8"/>
  <c r="BN1293" i="8"/>
  <c r="BS1293" i="8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V1292" i="8"/>
  <c r="BN1292" i="8"/>
  <c r="BS1292" i="8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V1291" i="8"/>
  <c r="BN1291" i="8"/>
  <c r="BS1291" i="8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V1290" i="8"/>
  <c r="BN1290" i="8"/>
  <c r="BS1290" i="8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V1289" i="8"/>
  <c r="BN1289" i="8"/>
  <c r="BS1289" i="8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V1288" i="8"/>
  <c r="BN1288" i="8"/>
  <c r="BS1288" i="8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V1287" i="8"/>
  <c r="BN1287" i="8"/>
  <c r="BS1287" i="8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V1286" i="8"/>
  <c r="BN1286" i="8"/>
  <c r="BS1286" i="8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V1285" i="8"/>
  <c r="BN1285" i="8"/>
  <c r="BS1285" i="8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V1284" i="8"/>
  <c r="BN1284" i="8"/>
  <c r="BS1284" i="8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V1283" i="8"/>
  <c r="BN1283" i="8"/>
  <c r="BS1283" i="8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V1282" i="8"/>
  <c r="BN1282" i="8"/>
  <c r="BS1282" i="8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V1281" i="8"/>
  <c r="BN1281" i="8"/>
  <c r="BS1281" i="8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V1280" i="8"/>
  <c r="BN1280" i="8"/>
  <c r="BS1280" i="8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V1279" i="8"/>
  <c r="BN1279" i="8"/>
  <c r="BS1279" i="8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V1278" i="8"/>
  <c r="BN1278" i="8"/>
  <c r="BS1278" i="8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V1277" i="8"/>
  <c r="BN1277" i="8"/>
  <c r="BS1277" i="8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V1276" i="8"/>
  <c r="BN1276" i="8"/>
  <c r="BS1276" i="8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V1275" i="8"/>
  <c r="BN1275" i="8"/>
  <c r="BS1275" i="8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V1274" i="8"/>
  <c r="BN1274" i="8"/>
  <c r="BS1274" i="8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V1273" i="8"/>
  <c r="BN1273" i="8"/>
  <c r="BS1273" i="8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V1272" i="8"/>
  <c r="BN1272" i="8"/>
  <c r="BS1272" i="8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V1271" i="8"/>
  <c r="BN1271" i="8"/>
  <c r="BS1271" i="8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V1270" i="8"/>
  <c r="BN1270" i="8"/>
  <c r="BS1270" i="8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V1269" i="8"/>
  <c r="BN1269" i="8"/>
  <c r="BS1269" i="8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V1268" i="8"/>
  <c r="BN1268" i="8"/>
  <c r="BS1268" i="8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V1267" i="8"/>
  <c r="BN1267" i="8"/>
  <c r="BS1267" i="8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V1266" i="8"/>
  <c r="BN1266" i="8"/>
  <c r="BS1266" i="8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V1265" i="8"/>
  <c r="BN1265" i="8"/>
  <c r="BS1265" i="8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V1264" i="8"/>
  <c r="BN1264" i="8"/>
  <c r="BS1264" i="8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V1263" i="8"/>
  <c r="BN1263" i="8"/>
  <c r="BS1263" i="8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V1262" i="8"/>
  <c r="BN1262" i="8"/>
  <c r="BS1262" i="8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V1261" i="8"/>
  <c r="BN1261" i="8"/>
  <c r="BS1261" i="8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V1260" i="8"/>
  <c r="BN1260" i="8"/>
  <c r="BS1260" i="8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V1259" i="8"/>
  <c r="BN1259" i="8"/>
  <c r="BS1259" i="8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V1258" i="8"/>
  <c r="BN1258" i="8"/>
  <c r="BS1258" i="8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V1257" i="8"/>
  <c r="BN1257" i="8"/>
  <c r="BS1257" i="8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V1256" i="8"/>
  <c r="BN1256" i="8"/>
  <c r="BS1256" i="8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V1255" i="8"/>
  <c r="BN1255" i="8"/>
  <c r="BS1255" i="8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V1254" i="8"/>
  <c r="BN1254" i="8"/>
  <c r="BS1254" i="8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V1253" i="8"/>
  <c r="BN1253" i="8"/>
  <c r="BS1253" i="8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V1252" i="8"/>
  <c r="BN1252" i="8"/>
  <c r="BS1252" i="8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V1251" i="8"/>
  <c r="BN1251" i="8"/>
  <c r="BS1251" i="8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V1250" i="8"/>
  <c r="BN1250" i="8"/>
  <c r="BS1250" i="8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V1249" i="8"/>
  <c r="BN1249" i="8"/>
  <c r="BS1249" i="8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V1248" i="8"/>
  <c r="BN1248" i="8"/>
  <c r="BS1248" i="8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V1247" i="8"/>
  <c r="BN1247" i="8"/>
  <c r="BS1247" i="8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V1246" i="8"/>
  <c r="BN1246" i="8"/>
  <c r="BS1246" i="8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V1245" i="8"/>
  <c r="BN1245" i="8"/>
  <c r="BS1245" i="8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V1244" i="8"/>
  <c r="BN1244" i="8"/>
  <c r="BS1244" i="8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V1243" i="8"/>
  <c r="BN1243" i="8"/>
  <c r="BS1243" i="8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V1242" i="8"/>
  <c r="BN1242" i="8"/>
  <c r="BS1242" i="8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V1241" i="8"/>
  <c r="BN1241" i="8"/>
  <c r="BS1241" i="8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V1240" i="8"/>
  <c r="BN1240" i="8"/>
  <c r="BS1240" i="8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V1239" i="8"/>
  <c r="BN1239" i="8"/>
  <c r="BS1239" i="8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V1238" i="8"/>
  <c r="BN1238" i="8"/>
  <c r="BS1238" i="8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V1237" i="8"/>
  <c r="BN1237" i="8"/>
  <c r="BS1237" i="8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V1236" i="8"/>
  <c r="BN1236" i="8"/>
  <c r="BS1236" i="8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V1235" i="8"/>
  <c r="BN1235" i="8"/>
  <c r="BS1235" i="8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V1234" i="8"/>
  <c r="BN1234" i="8"/>
  <c r="BS1234" i="8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V1233" i="8"/>
  <c r="BN1233" i="8"/>
  <c r="BS1233" i="8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V1232" i="8"/>
  <c r="BN1232" i="8"/>
  <c r="BS1232" i="8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V1231" i="8"/>
  <c r="BN1231" i="8"/>
  <c r="BS1231" i="8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V1230" i="8"/>
  <c r="BN1230" i="8"/>
  <c r="BS1230" i="8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V1229" i="8"/>
  <c r="BN1229" i="8"/>
  <c r="BS1229" i="8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V1228" i="8"/>
  <c r="BN1228" i="8"/>
  <c r="BS1228" i="8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V1227" i="8"/>
  <c r="BN1227" i="8"/>
  <c r="BS1227" i="8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V1226" i="8"/>
  <c r="BN1226" i="8"/>
  <c r="BS1226" i="8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V1225" i="8"/>
  <c r="BN1225" i="8"/>
  <c r="BS1225" i="8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V1224" i="8"/>
  <c r="BN1224" i="8"/>
  <c r="BS1224" i="8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V1223" i="8"/>
  <c r="BN1223" i="8"/>
  <c r="BS1223" i="8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V1222" i="8"/>
  <c r="BN1222" i="8"/>
  <c r="BS1222" i="8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V1221" i="8"/>
  <c r="BN1221" i="8"/>
  <c r="BS1221" i="8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V1220" i="8"/>
  <c r="BN1220" i="8"/>
  <c r="BS1220" i="8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V1219" i="8"/>
  <c r="BN1219" i="8"/>
  <c r="BS1219" i="8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V1218" i="8"/>
  <c r="BN1218" i="8"/>
  <c r="BS1218" i="8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V1217" i="8"/>
  <c r="BN1217" i="8"/>
  <c r="BS1217" i="8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V1216" i="8"/>
  <c r="BN1216" i="8"/>
  <c r="BS1216" i="8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V1215" i="8"/>
  <c r="BN1215" i="8"/>
  <c r="BS1215" i="8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V1214" i="8"/>
  <c r="BN1214" i="8"/>
  <c r="BS1214" i="8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V1213" i="8"/>
  <c r="BN1213" i="8"/>
  <c r="BS1213" i="8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V1212" i="8"/>
  <c r="BN1212" i="8"/>
  <c r="BS1212" i="8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V1211" i="8"/>
  <c r="BN1211" i="8"/>
  <c r="BS1211" i="8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V1210" i="8"/>
  <c r="BN1210" i="8"/>
  <c r="BS1210" i="8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V1209" i="8"/>
  <c r="BN1209" i="8"/>
  <c r="BS1209" i="8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V1208" i="8"/>
  <c r="BN1208" i="8"/>
  <c r="BS1208" i="8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V1207" i="8"/>
  <c r="BN1207" i="8"/>
  <c r="BS1207" i="8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V1206" i="8"/>
  <c r="BN1206" i="8"/>
  <c r="BS1206" i="8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V1205" i="8"/>
  <c r="BN1205" i="8"/>
  <c r="BS1205" i="8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V1204" i="8"/>
  <c r="BN1204" i="8"/>
  <c r="BS1204" i="8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V1203" i="8"/>
  <c r="BN1203" i="8"/>
  <c r="BS1203" i="8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V1202" i="8"/>
  <c r="BN1202" i="8"/>
  <c r="BS1202" i="8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V1201" i="8"/>
  <c r="BN1201" i="8"/>
  <c r="BS1201" i="8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V1200" i="8"/>
  <c r="BN1200" i="8"/>
  <c r="BS1200" i="8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V1199" i="8"/>
  <c r="BN1199" i="8"/>
  <c r="BS1199" i="8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V1198" i="8"/>
  <c r="BN1198" i="8"/>
  <c r="BS1198" i="8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V1197" i="8"/>
  <c r="BN1197" i="8"/>
  <c r="BS1197" i="8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V1196" i="8"/>
  <c r="BN1196" i="8"/>
  <c r="BS1196" i="8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V1195" i="8"/>
  <c r="BN1195" i="8"/>
  <c r="BS1195" i="8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V1194" i="8"/>
  <c r="BN1194" i="8"/>
  <c r="BS1194" i="8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V1193" i="8"/>
  <c r="BN1193" i="8"/>
  <c r="BS1193" i="8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V1192" i="8"/>
  <c r="BN1192" i="8"/>
  <c r="BS1192" i="8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V1191" i="8"/>
  <c r="BN1191" i="8"/>
  <c r="BS1191" i="8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V1190" i="8"/>
  <c r="BN1190" i="8"/>
  <c r="BS1190" i="8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V1189" i="8"/>
  <c r="BN1189" i="8"/>
  <c r="BS1189" i="8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V1188" i="8"/>
  <c r="BN1188" i="8"/>
  <c r="BS1188" i="8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V1187" i="8"/>
  <c r="BN1187" i="8"/>
  <c r="BS1187" i="8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V1186" i="8"/>
  <c r="BN1186" i="8"/>
  <c r="BS1186" i="8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V1185" i="8"/>
  <c r="BN1185" i="8"/>
  <c r="BS1185" i="8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V1184" i="8"/>
  <c r="BN1184" i="8"/>
  <c r="BS1184" i="8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V1183" i="8"/>
  <c r="BN1183" i="8"/>
  <c r="BS1183" i="8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V1182" i="8"/>
  <c r="BN1182" i="8"/>
  <c r="BS1182" i="8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V1181" i="8"/>
  <c r="BN1181" i="8"/>
  <c r="BS1181" i="8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V1180" i="8"/>
  <c r="BN1180" i="8"/>
  <c r="BS1180" i="8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V1179" i="8"/>
  <c r="BN1179" i="8"/>
  <c r="BS1179" i="8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V1178" i="8"/>
  <c r="BN1178" i="8"/>
  <c r="BS1178" i="8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V1177" i="8"/>
  <c r="BN1177" i="8"/>
  <c r="BS1177" i="8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V1176" i="8"/>
  <c r="BN1176" i="8"/>
  <c r="BS1176" i="8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V1175" i="8"/>
  <c r="BN1175" i="8"/>
  <c r="BS1175" i="8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V1174" i="8"/>
  <c r="BN1174" i="8"/>
  <c r="BS1174" i="8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V1173" i="8"/>
  <c r="BN1173" i="8"/>
  <c r="BS1173" i="8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V1172" i="8"/>
  <c r="BN1172" i="8"/>
  <c r="BS1172" i="8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V1171" i="8"/>
  <c r="BN1171" i="8"/>
  <c r="BS1171" i="8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V1170" i="8"/>
  <c r="BN1170" i="8"/>
  <c r="BS1170" i="8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V1169" i="8"/>
  <c r="BN1169" i="8"/>
  <c r="BS1169" i="8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V1168" i="8"/>
  <c r="BN1168" i="8"/>
  <c r="BS1168" i="8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V1167" i="8"/>
  <c r="BN1167" i="8"/>
  <c r="BS1167" i="8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V1166" i="8"/>
  <c r="BN1166" i="8"/>
  <c r="BS1166" i="8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V1165" i="8"/>
  <c r="BN1165" i="8"/>
  <c r="BS1165" i="8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V1164" i="8"/>
  <c r="BN1164" i="8"/>
  <c r="BS1164" i="8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V1163" i="8"/>
  <c r="BN1163" i="8"/>
  <c r="BS1163" i="8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V1162" i="8"/>
  <c r="BN1162" i="8"/>
  <c r="BS1162" i="8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V1161" i="8"/>
  <c r="BN1161" i="8"/>
  <c r="BS1161" i="8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V1160" i="8"/>
  <c r="BN1160" i="8"/>
  <c r="BS1160" i="8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V1159" i="8"/>
  <c r="BN1159" i="8"/>
  <c r="BS1159" i="8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V1158" i="8"/>
  <c r="BN1158" i="8"/>
  <c r="BS1158" i="8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V1157" i="8"/>
  <c r="BN1157" i="8"/>
  <c r="BS1157" i="8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V1156" i="8"/>
  <c r="BN1156" i="8"/>
  <c r="BS1156" i="8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V1155" i="8"/>
  <c r="BN1155" i="8"/>
  <c r="BS1155" i="8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V1154" i="8"/>
  <c r="BN1154" i="8"/>
  <c r="BS1154" i="8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V1153" i="8"/>
  <c r="BN1153" i="8"/>
  <c r="BS1153" i="8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V1152" i="8"/>
  <c r="BN1152" i="8"/>
  <c r="BS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V1151" i="8"/>
  <c r="BN1151" i="8"/>
  <c r="BS1151" i="8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V1150" i="8"/>
  <c r="BN1150" i="8"/>
  <c r="BS1150" i="8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V1149" i="8"/>
  <c r="BN1149" i="8"/>
  <c r="BS1149" i="8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V1148" i="8"/>
  <c r="BN1148" i="8"/>
  <c r="BS1148" i="8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V1147" i="8"/>
  <c r="BN1147" i="8"/>
  <c r="BS1147" i="8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V1146" i="8"/>
  <c r="BN1146" i="8"/>
  <c r="BS1146" i="8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V1145" i="8"/>
  <c r="BN1145" i="8"/>
  <c r="BS1145" i="8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V1144" i="8"/>
  <c r="BN1144" i="8"/>
  <c r="BS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V1143" i="8"/>
  <c r="BN1143" i="8"/>
  <c r="BS1143" i="8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V1142" i="8"/>
  <c r="BN1142" i="8"/>
  <c r="BS1142" i="8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V1141" i="8"/>
  <c r="BN1141" i="8"/>
  <c r="BS1141" i="8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V1140" i="8"/>
  <c r="BN1140" i="8"/>
  <c r="BS1140" i="8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V1139" i="8"/>
  <c r="BN1139" i="8"/>
  <c r="BS1139" i="8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V1138" i="8"/>
  <c r="BN1138" i="8"/>
  <c r="BS1138" i="8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V1137" i="8"/>
  <c r="BN1137" i="8"/>
  <c r="BS1137" i="8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V1136" i="8"/>
  <c r="BN1136" i="8"/>
  <c r="BS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V1135" i="8"/>
  <c r="BN1135" i="8"/>
  <c r="BS1135" i="8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V1134" i="8"/>
  <c r="BN1134" i="8"/>
  <c r="BS1134" i="8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V1133" i="8"/>
  <c r="BN1133" i="8"/>
  <c r="BS1133" i="8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V1132" i="8"/>
  <c r="BN1132" i="8"/>
  <c r="BS1132" i="8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V1131" i="8"/>
  <c r="BN1131" i="8"/>
  <c r="BS1131" i="8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V1130" i="8"/>
  <c r="BN1130" i="8"/>
  <c r="BS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V1129" i="8"/>
  <c r="BN1129" i="8"/>
  <c r="BS1129" i="8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V1128" i="8"/>
  <c r="BN1128" i="8"/>
  <c r="BS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V1127" i="8"/>
  <c r="BN1127" i="8"/>
  <c r="BS1127" i="8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V1126" i="8"/>
  <c r="BN1126" i="8"/>
  <c r="BS1126" i="8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V1125" i="8"/>
  <c r="BN1125" i="8"/>
  <c r="BS1125" i="8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V1124" i="8"/>
  <c r="BN1124" i="8"/>
  <c r="BS1124" i="8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V1123" i="8"/>
  <c r="BN1123" i="8"/>
  <c r="BS1123" i="8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V1122" i="8"/>
  <c r="BN1122" i="8"/>
  <c r="BS1122" i="8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V1121" i="8"/>
  <c r="BN1121" i="8"/>
  <c r="BS1121" i="8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V1120" i="8"/>
  <c r="BN1120" i="8"/>
  <c r="BS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V1119" i="8"/>
  <c r="BN1119" i="8"/>
  <c r="BS1119" i="8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V1118" i="8"/>
  <c r="BN1118" i="8"/>
  <c r="BS1118" i="8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V1117" i="8"/>
  <c r="BN1117" i="8"/>
  <c r="BS1117" i="8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V1116" i="8"/>
  <c r="BN1116" i="8"/>
  <c r="BS1116" i="8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V1115" i="8"/>
  <c r="BN1115" i="8"/>
  <c r="BS1115" i="8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V1114" i="8"/>
  <c r="BN1114" i="8"/>
  <c r="BS1114" i="8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V1113" i="8"/>
  <c r="BN1113" i="8"/>
  <c r="BS1113" i="8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V1112" i="8"/>
  <c r="BN1112" i="8"/>
  <c r="BS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V1111" i="8"/>
  <c r="BN1111" i="8"/>
  <c r="BS1111" i="8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V1110" i="8"/>
  <c r="BN1110" i="8"/>
  <c r="BS1110" i="8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V1109" i="8"/>
  <c r="BN1109" i="8"/>
  <c r="BS1109" i="8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V1108" i="8"/>
  <c r="BN1108" i="8"/>
  <c r="BS1108" i="8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V1107" i="8"/>
  <c r="BN1107" i="8"/>
  <c r="BS1107" i="8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V1106" i="8"/>
  <c r="BN1106" i="8"/>
  <c r="BS1106" i="8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V1105" i="8"/>
  <c r="BN1105" i="8"/>
  <c r="BS1105" i="8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V1104" i="8"/>
  <c r="BN1104" i="8"/>
  <c r="BS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V1103" i="8"/>
  <c r="BN1103" i="8"/>
  <c r="BS1103" i="8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V1102" i="8"/>
  <c r="BN1102" i="8"/>
  <c r="BS1102" i="8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V1101" i="8"/>
  <c r="BN1101" i="8"/>
  <c r="BS1101" i="8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V1100" i="8"/>
  <c r="BN1100" i="8"/>
  <c r="BS1100" i="8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V1099" i="8"/>
  <c r="BN1099" i="8"/>
  <c r="BS1099" i="8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V1098" i="8"/>
  <c r="BN1098" i="8"/>
  <c r="BS1098" i="8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V1097" i="8"/>
  <c r="BN1097" i="8"/>
  <c r="BS1097" i="8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V1096" i="8"/>
  <c r="BN1096" i="8"/>
  <c r="BS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V1095" i="8"/>
  <c r="BN1095" i="8"/>
  <c r="BS1095" i="8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V1094" i="8"/>
  <c r="BN1094" i="8"/>
  <c r="BS1094" i="8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V1093" i="8"/>
  <c r="BN1093" i="8"/>
  <c r="BS1093" i="8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V1092" i="8"/>
  <c r="BN1092" i="8"/>
  <c r="BS1092" i="8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V1091" i="8"/>
  <c r="BN1091" i="8"/>
  <c r="BS1091" i="8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V1090" i="8"/>
  <c r="BN1090" i="8"/>
  <c r="BS1090" i="8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V1089" i="8"/>
  <c r="BN1089" i="8"/>
  <c r="BS1089" i="8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V1088" i="8"/>
  <c r="BN1088" i="8"/>
  <c r="BS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V1087" i="8"/>
  <c r="BN1087" i="8"/>
  <c r="BS1087" i="8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V1086" i="8"/>
  <c r="BN1086" i="8"/>
  <c r="BS1086" i="8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V1085" i="8"/>
  <c r="BN1085" i="8"/>
  <c r="BS1085" i="8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V1084" i="8"/>
  <c r="BN1084" i="8"/>
  <c r="BS1084" i="8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V1083" i="8"/>
  <c r="BN1083" i="8"/>
  <c r="BS1083" i="8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V1082" i="8"/>
  <c r="BN1082" i="8"/>
  <c r="BS1082" i="8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V1081" i="8"/>
  <c r="BN1081" i="8"/>
  <c r="BS1081" i="8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V1080" i="8"/>
  <c r="BN1080" i="8"/>
  <c r="BS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V1079" i="8"/>
  <c r="BN1079" i="8"/>
  <c r="BS1079" i="8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V1078" i="8"/>
  <c r="BN1078" i="8"/>
  <c r="BS1078" i="8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V1077" i="8"/>
  <c r="BN1077" i="8"/>
  <c r="BS1077" i="8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V1076" i="8"/>
  <c r="BN1076" i="8"/>
  <c r="BS1076" i="8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V1075" i="8"/>
  <c r="BN1075" i="8"/>
  <c r="BS1075" i="8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V1074" i="8"/>
  <c r="BN1074" i="8"/>
  <c r="BS1074" i="8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V1073" i="8"/>
  <c r="BN1073" i="8"/>
  <c r="BS1073" i="8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V1072" i="8"/>
  <c r="BN1072" i="8"/>
  <c r="BS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V1071" i="8"/>
  <c r="BN1071" i="8"/>
  <c r="BS1071" i="8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V1070" i="8"/>
  <c r="BN1070" i="8"/>
  <c r="BS1070" i="8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V1069" i="8"/>
  <c r="BN1069" i="8"/>
  <c r="BS1069" i="8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V1068" i="8"/>
  <c r="BN1068" i="8"/>
  <c r="BS1068" i="8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V1067" i="8"/>
  <c r="BN1067" i="8"/>
  <c r="BS1067" i="8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V1066" i="8"/>
  <c r="BN1066" i="8"/>
  <c r="BS1066" i="8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V1065" i="8"/>
  <c r="BN1065" i="8"/>
  <c r="BS1065" i="8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V1064" i="8"/>
  <c r="BN1064" i="8"/>
  <c r="BS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V1063" i="8"/>
  <c r="BN1063" i="8"/>
  <c r="BS1063" i="8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V1062" i="8"/>
  <c r="BN1062" i="8"/>
  <c r="BS1062" i="8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V1061" i="8"/>
  <c r="BN1061" i="8"/>
  <c r="BS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V1060" i="8"/>
  <c r="BN1060" i="8"/>
  <c r="BS1060" i="8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V1059" i="8"/>
  <c r="BN1059" i="8"/>
  <c r="BS1059" i="8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V1058" i="8"/>
  <c r="BN1058" i="8"/>
  <c r="BS1058" i="8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V1057" i="8"/>
  <c r="BN1057" i="8"/>
  <c r="BS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V1056" i="8"/>
  <c r="BN1056" i="8"/>
  <c r="BS1056" i="8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V1055" i="8"/>
  <c r="BN1055" i="8"/>
  <c r="BS1055" i="8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V1054" i="8"/>
  <c r="BN1054" i="8"/>
  <c r="BS1054" i="8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V1053" i="8"/>
  <c r="BN1053" i="8"/>
  <c r="BS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V1052" i="8"/>
  <c r="BN1052" i="8"/>
  <c r="BS1052" i="8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V1051" i="8"/>
  <c r="BN1051" i="8"/>
  <c r="BS1051" i="8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V1050" i="8"/>
  <c r="BN1050" i="8"/>
  <c r="BS1050" i="8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V1049" i="8"/>
  <c r="BN1049" i="8"/>
  <c r="BS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V1048" i="8"/>
  <c r="BN1048" i="8"/>
  <c r="BS1048" i="8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V1047" i="8"/>
  <c r="BN1047" i="8"/>
  <c r="BS1047" i="8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V1046" i="8"/>
  <c r="BN1046" i="8"/>
  <c r="BS1046" i="8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V1045" i="8"/>
  <c r="BN1045" i="8"/>
  <c r="BS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V1044" i="8"/>
  <c r="BN1044" i="8"/>
  <c r="BS1044" i="8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V1043" i="8"/>
  <c r="BN1043" i="8"/>
  <c r="BS1043" i="8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V1042" i="8"/>
  <c r="BN1042" i="8"/>
  <c r="BS1042" i="8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V1041" i="8"/>
  <c r="BN1041" i="8"/>
  <c r="BS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V1040" i="8"/>
  <c r="BN1040" i="8"/>
  <c r="BS1040" i="8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V1039" i="8"/>
  <c r="BN1039" i="8"/>
  <c r="BS1039" i="8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V1038" i="8"/>
  <c r="BN1038" i="8"/>
  <c r="BS1038" i="8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V1037" i="8"/>
  <c r="BN1037" i="8"/>
  <c r="BS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V1036" i="8"/>
  <c r="BN1036" i="8"/>
  <c r="BS1036" i="8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V1035" i="8"/>
  <c r="BN1035" i="8"/>
  <c r="BS1035" i="8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V1034" i="8"/>
  <c r="BN1034" i="8"/>
  <c r="BS1034" i="8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V1033" i="8"/>
  <c r="BN1033" i="8"/>
  <c r="BS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V1032" i="8"/>
  <c r="BN1032" i="8"/>
  <c r="BS1032" i="8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V1031" i="8"/>
  <c r="BN1031" i="8"/>
  <c r="BS1031" i="8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V1030" i="8"/>
  <c r="BN1030" i="8"/>
  <c r="BS1030" i="8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V1029" i="8"/>
  <c r="BN1029" i="8"/>
  <c r="BS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V1028" i="8"/>
  <c r="BN1028" i="8"/>
  <c r="BS1028" i="8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V1027" i="8"/>
  <c r="BN1027" i="8"/>
  <c r="BS1027" i="8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V1026" i="8"/>
  <c r="BN1026" i="8"/>
  <c r="BS1026" i="8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V1025" i="8"/>
  <c r="BN1025" i="8"/>
  <c r="BS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V1024" i="8"/>
  <c r="BN1024" i="8"/>
  <c r="BS1024" i="8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V1023" i="8"/>
  <c r="BN1023" i="8"/>
  <c r="BS1023" i="8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V1022" i="8"/>
  <c r="BN1022" i="8"/>
  <c r="BS1022" i="8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V1021" i="8"/>
  <c r="BN1021" i="8"/>
  <c r="BS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V1020" i="8"/>
  <c r="BN1020" i="8"/>
  <c r="BS1020" i="8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V1019" i="8"/>
  <c r="BN1019" i="8"/>
  <c r="BS1019" i="8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V1018" i="8"/>
  <c r="BN1018" i="8"/>
  <c r="BS1018" i="8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V1017" i="8"/>
  <c r="BN1017" i="8"/>
  <c r="BS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V1016" i="8"/>
  <c r="BN1016" i="8"/>
  <c r="BS1016" i="8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V1015" i="8"/>
  <c r="BN1015" i="8"/>
  <c r="BS1015" i="8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V1014" i="8"/>
  <c r="BN1014" i="8"/>
  <c r="BS1014" i="8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V1013" i="8"/>
  <c r="BN1013" i="8"/>
  <c r="BS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V1012" i="8"/>
  <c r="BN1012" i="8"/>
  <c r="BS1012" i="8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V1011" i="8"/>
  <c r="BN1011" i="8"/>
  <c r="BS1011" i="8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V1010" i="8"/>
  <c r="BN1010" i="8"/>
  <c r="BS1010" i="8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V1009" i="8"/>
  <c r="BN1009" i="8"/>
  <c r="BS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V1008" i="8"/>
  <c r="BN1008" i="8"/>
  <c r="BS1008" i="8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V1007" i="8"/>
  <c r="BN1007" i="8"/>
  <c r="BS1007" i="8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V1006" i="8"/>
  <c r="BN1006" i="8"/>
  <c r="BS1006" i="8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V1005" i="8"/>
  <c r="BN1005" i="8"/>
  <c r="BS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V1004" i="8"/>
  <c r="BN1004" i="8"/>
  <c r="BS1004" i="8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V1003" i="8"/>
  <c r="BN1003" i="8"/>
  <c r="BS1003" i="8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V1002" i="8"/>
  <c r="BN1002" i="8"/>
  <c r="BS1002" i="8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V1001" i="8"/>
  <c r="BN1001" i="8"/>
  <c r="BS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V1000" i="8"/>
  <c r="BN1000" i="8"/>
  <c r="BS1000" i="8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V999" i="8"/>
  <c r="BN999" i="8"/>
  <c r="BS999" i="8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V998" i="8"/>
  <c r="BN998" i="8"/>
  <c r="BS998" i="8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V997" i="8"/>
  <c r="BN997" i="8"/>
  <c r="BS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V996" i="8"/>
  <c r="BN996" i="8"/>
  <c r="BS996" i="8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V995" i="8"/>
  <c r="BN995" i="8"/>
  <c r="BS995" i="8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V994" i="8"/>
  <c r="BN994" i="8"/>
  <c r="BS994" i="8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V993" i="8"/>
  <c r="BN993" i="8"/>
  <c r="BS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V992" i="8"/>
  <c r="BN992" i="8"/>
  <c r="BS992" i="8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V991" i="8"/>
  <c r="BN991" i="8"/>
  <c r="BS991" i="8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V990" i="8"/>
  <c r="BN990" i="8"/>
  <c r="BS990" i="8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V989" i="8"/>
  <c r="BN989" i="8"/>
  <c r="BS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V988" i="8"/>
  <c r="BN988" i="8"/>
  <c r="BS988" i="8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V987" i="8"/>
  <c r="BN987" i="8"/>
  <c r="BS987" i="8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V986" i="8"/>
  <c r="BN986" i="8"/>
  <c r="BS986" i="8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V985" i="8"/>
  <c r="BN985" i="8"/>
  <c r="BS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V984" i="8"/>
  <c r="BN984" i="8"/>
  <c r="BS984" i="8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V983" i="8"/>
  <c r="BN983" i="8"/>
  <c r="BS983" i="8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V982" i="8"/>
  <c r="BN982" i="8"/>
  <c r="BS982" i="8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V981" i="8"/>
  <c r="BN981" i="8"/>
  <c r="BS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V980" i="8"/>
  <c r="BN980" i="8"/>
  <c r="BS980" i="8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V979" i="8"/>
  <c r="BN979" i="8"/>
  <c r="BS979" i="8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V978" i="8"/>
  <c r="BN978" i="8"/>
  <c r="BS978" i="8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V977" i="8"/>
  <c r="BN977" i="8"/>
  <c r="BS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V976" i="8"/>
  <c r="BN976" i="8"/>
  <c r="BS976" i="8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V975" i="8"/>
  <c r="BN975" i="8"/>
  <c r="BS975" i="8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V974" i="8"/>
  <c r="BN974" i="8"/>
  <c r="BS974" i="8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V973" i="8"/>
  <c r="BN973" i="8"/>
  <c r="BS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V972" i="8"/>
  <c r="BN972" i="8"/>
  <c r="BS972" i="8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V971" i="8"/>
  <c r="BN971" i="8"/>
  <c r="BS971" i="8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V970" i="8"/>
  <c r="BN970" i="8"/>
  <c r="BS970" i="8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V969" i="8"/>
  <c r="BN969" i="8"/>
  <c r="BS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V968" i="8"/>
  <c r="BN968" i="8"/>
  <c r="BS968" i="8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V967" i="8"/>
  <c r="BN967" i="8"/>
  <c r="BS967" i="8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V966" i="8"/>
  <c r="BN966" i="8"/>
  <c r="BS966" i="8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V965" i="8"/>
  <c r="BN965" i="8"/>
  <c r="BS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V964" i="8"/>
  <c r="BN964" i="8"/>
  <c r="BS964" i="8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V963" i="8"/>
  <c r="BN963" i="8"/>
  <c r="BS963" i="8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V962" i="8"/>
  <c r="BN962" i="8"/>
  <c r="BS962" i="8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V961" i="8"/>
  <c r="BN961" i="8"/>
  <c r="BS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V960" i="8"/>
  <c r="BN960" i="8"/>
  <c r="BS960" i="8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V959" i="8"/>
  <c r="BN959" i="8"/>
  <c r="BS959" i="8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V958" i="8"/>
  <c r="BN958" i="8"/>
  <c r="BS958" i="8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V957" i="8"/>
  <c r="BN957" i="8"/>
  <c r="BS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V956" i="8"/>
  <c r="BN956" i="8"/>
  <c r="BS956" i="8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V955" i="8"/>
  <c r="BN955" i="8"/>
  <c r="BS955" i="8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V954" i="8"/>
  <c r="BN954" i="8"/>
  <c r="BS954" i="8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V953" i="8"/>
  <c r="BN953" i="8"/>
  <c r="BS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V952" i="8"/>
  <c r="BN952" i="8"/>
  <c r="BS952" i="8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V951" i="8"/>
  <c r="BN951" i="8"/>
  <c r="BS951" i="8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V950" i="8"/>
  <c r="BN950" i="8"/>
  <c r="BS950" i="8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V949" i="8"/>
  <c r="BN949" i="8"/>
  <c r="BS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V948" i="8"/>
  <c r="BN948" i="8"/>
  <c r="BS948" i="8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V947" i="8"/>
  <c r="BN947" i="8"/>
  <c r="BS947" i="8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V946" i="8"/>
  <c r="BN946" i="8"/>
  <c r="BS946" i="8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V945" i="8"/>
  <c r="BN945" i="8"/>
  <c r="BS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V944" i="8"/>
  <c r="BN944" i="8"/>
  <c r="BS944" i="8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V943" i="8"/>
  <c r="BN943" i="8"/>
  <c r="BS943" i="8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V942" i="8"/>
  <c r="BN942" i="8"/>
  <c r="BS942" i="8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V941" i="8"/>
  <c r="BN941" i="8"/>
  <c r="BS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V940" i="8"/>
  <c r="BN940" i="8"/>
  <c r="BS940" i="8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V939" i="8"/>
  <c r="BN939" i="8"/>
  <c r="BS939" i="8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V938" i="8"/>
  <c r="BN938" i="8"/>
  <c r="BS938" i="8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V937" i="8"/>
  <c r="BN937" i="8"/>
  <c r="BS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V936" i="8"/>
  <c r="BN936" i="8"/>
  <c r="BS936" i="8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V935" i="8"/>
  <c r="BN935" i="8"/>
  <c r="BS935" i="8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V934" i="8"/>
  <c r="BN934" i="8"/>
  <c r="BS934" i="8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V933" i="8"/>
  <c r="BN933" i="8"/>
  <c r="BS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V932" i="8"/>
  <c r="BN932" i="8"/>
  <c r="BS932" i="8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V931" i="8"/>
  <c r="BN931" i="8"/>
  <c r="BS931" i="8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V930" i="8"/>
  <c r="BN930" i="8"/>
  <c r="BS930" i="8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V929" i="8"/>
  <c r="BN929" i="8"/>
  <c r="BS929" i="8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V928" i="8"/>
  <c r="BN928" i="8"/>
  <c r="BS928" i="8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V927" i="8"/>
  <c r="BN927" i="8"/>
  <c r="BS927" i="8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V926" i="8"/>
  <c r="BN926" i="8"/>
  <c r="BS926" i="8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V925" i="8"/>
  <c r="BN925" i="8"/>
  <c r="BS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V924" i="8"/>
  <c r="BN924" i="8"/>
  <c r="BS924" i="8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V923" i="8"/>
  <c r="BN923" i="8"/>
  <c r="BS923" i="8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V922" i="8"/>
  <c r="BN922" i="8"/>
  <c r="BS922" i="8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V921" i="8"/>
  <c r="BN921" i="8"/>
  <c r="BS921" i="8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V920" i="8"/>
  <c r="BN920" i="8"/>
  <c r="BS920" i="8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V919" i="8"/>
  <c r="BN919" i="8"/>
  <c r="BS919" i="8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V918" i="8"/>
  <c r="BN918" i="8"/>
  <c r="BS918" i="8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V917" i="8"/>
  <c r="BN917" i="8"/>
  <c r="BS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V916" i="8"/>
  <c r="BN916" i="8"/>
  <c r="BS916" i="8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V915" i="8"/>
  <c r="BN915" i="8"/>
  <c r="BS915" i="8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V914" i="8"/>
  <c r="BN914" i="8"/>
  <c r="BS914" i="8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V913" i="8"/>
  <c r="BN913" i="8"/>
  <c r="BS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V912" i="8"/>
  <c r="BN912" i="8"/>
  <c r="BS912" i="8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V911" i="8"/>
  <c r="BN911" i="8"/>
  <c r="BS911" i="8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V910" i="8"/>
  <c r="BN910" i="8"/>
  <c r="BS910" i="8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V909" i="8"/>
  <c r="BN909" i="8"/>
  <c r="BS909" i="8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V908" i="8"/>
  <c r="BN908" i="8"/>
  <c r="BS908" i="8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V907" i="8"/>
  <c r="BN907" i="8"/>
  <c r="BS907" i="8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V906" i="8"/>
  <c r="BN906" i="8"/>
  <c r="BS906" i="8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V905" i="8"/>
  <c r="BN905" i="8"/>
  <c r="BS905" i="8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V904" i="8"/>
  <c r="BN904" i="8"/>
  <c r="BS904" i="8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V903" i="8"/>
  <c r="BN903" i="8"/>
  <c r="BS903" i="8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V902" i="8"/>
  <c r="BN902" i="8"/>
  <c r="BS902" i="8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V901" i="8"/>
  <c r="BN901" i="8"/>
  <c r="BS901" i="8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V900" i="8"/>
  <c r="BN900" i="8"/>
  <c r="BS900" i="8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V899" i="8"/>
  <c r="BN899" i="8"/>
  <c r="BS899" i="8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V898" i="8"/>
  <c r="BN898" i="8"/>
  <c r="BS898" i="8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V897" i="8"/>
  <c r="BN897" i="8"/>
  <c r="BS897" i="8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V896" i="8"/>
  <c r="BN896" i="8"/>
  <c r="BS896" i="8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V895" i="8"/>
  <c r="BN895" i="8"/>
  <c r="BS895" i="8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V894" i="8"/>
  <c r="BN894" i="8"/>
  <c r="BS894" i="8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V893" i="8"/>
  <c r="BN893" i="8"/>
  <c r="BS893" i="8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V892" i="8"/>
  <c r="BN892" i="8"/>
  <c r="BS892" i="8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V891" i="8"/>
  <c r="BN891" i="8"/>
  <c r="BS891" i="8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V890" i="8"/>
  <c r="BN890" i="8"/>
  <c r="BS890" i="8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V889" i="8"/>
  <c r="BN889" i="8"/>
  <c r="BS889" i="8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V888" i="8"/>
  <c r="BN888" i="8"/>
  <c r="BS888" i="8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V887" i="8"/>
  <c r="BN887" i="8"/>
  <c r="BS887" i="8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V886" i="8"/>
  <c r="BN886" i="8"/>
  <c r="BS886" i="8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V885" i="8"/>
  <c r="BN885" i="8"/>
  <c r="BS885" i="8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V884" i="8"/>
  <c r="BN884" i="8"/>
  <c r="BS884" i="8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V883" i="8"/>
  <c r="BN883" i="8"/>
  <c r="BS883" i="8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V882" i="8"/>
  <c r="BN882" i="8"/>
  <c r="BS882" i="8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V881" i="8"/>
  <c r="BN881" i="8"/>
  <c r="BS881" i="8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V880" i="8"/>
  <c r="BN880" i="8"/>
  <c r="BS880" i="8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V879" i="8"/>
  <c r="BN879" i="8"/>
  <c r="BS879" i="8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V878" i="8"/>
  <c r="BN878" i="8"/>
  <c r="BS878" i="8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V877" i="8"/>
  <c r="BN877" i="8"/>
  <c r="BS877" i="8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V876" i="8"/>
  <c r="BN876" i="8"/>
  <c r="BS876" i="8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V875" i="8"/>
  <c r="BN875" i="8"/>
  <c r="BS875" i="8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V874" i="8"/>
  <c r="BN874" i="8"/>
  <c r="BS874" i="8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V873" i="8"/>
  <c r="BN873" i="8"/>
  <c r="BS873" i="8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V872" i="8"/>
  <c r="BN872" i="8"/>
  <c r="BS872" i="8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V871" i="8"/>
  <c r="BN871" i="8"/>
  <c r="BS871" i="8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V870" i="8"/>
  <c r="BN870" i="8"/>
  <c r="BS870" i="8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V869" i="8"/>
  <c r="BN869" i="8"/>
  <c r="BS869" i="8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V868" i="8"/>
  <c r="BN868" i="8"/>
  <c r="BS868" i="8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V867" i="8"/>
  <c r="BN867" i="8"/>
  <c r="BS867" i="8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V866" i="8"/>
  <c r="BN866" i="8"/>
  <c r="BS866" i="8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V865" i="8"/>
  <c r="BN865" i="8"/>
  <c r="BS865" i="8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V864" i="8"/>
  <c r="BN864" i="8"/>
  <c r="BS864" i="8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V863" i="8"/>
  <c r="BN863" i="8"/>
  <c r="BS863" i="8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V862" i="8"/>
  <c r="BN862" i="8"/>
  <c r="BS862" i="8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V861" i="8"/>
  <c r="BN861" i="8"/>
  <c r="BS861" i="8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V860" i="8"/>
  <c r="BN860" i="8"/>
  <c r="BS860" i="8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V859" i="8"/>
  <c r="BN859" i="8"/>
  <c r="BS859" i="8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V858" i="8"/>
  <c r="BN858" i="8"/>
  <c r="BS858" i="8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V857" i="8"/>
  <c r="BN857" i="8"/>
  <c r="BS857" i="8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V856" i="8"/>
  <c r="BN856" i="8"/>
  <c r="BS856" i="8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V855" i="8"/>
  <c r="BN855" i="8"/>
  <c r="BS855" i="8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V854" i="8"/>
  <c r="BN854" i="8"/>
  <c r="BS854" i="8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V853" i="8"/>
  <c r="BN853" i="8"/>
  <c r="BS853" i="8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V852" i="8"/>
  <c r="BN852" i="8"/>
  <c r="BS852" i="8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V851" i="8"/>
  <c r="BN851" i="8"/>
  <c r="BS851" i="8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V850" i="8"/>
  <c r="BN850" i="8"/>
  <c r="BS850" i="8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V849" i="8"/>
  <c r="BN849" i="8"/>
  <c r="BS849" i="8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V848" i="8"/>
  <c r="BN848" i="8"/>
  <c r="BS848" i="8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V847" i="8"/>
  <c r="BN847" i="8"/>
  <c r="BS847" i="8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V846" i="8"/>
  <c r="BN846" i="8"/>
  <c r="BS846" i="8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V845" i="8"/>
  <c r="BN845" i="8"/>
  <c r="BS845" i="8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V844" i="8"/>
  <c r="BN844" i="8"/>
  <c r="BS844" i="8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V843" i="8"/>
  <c r="BN843" i="8"/>
  <c r="BS843" i="8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V842" i="8"/>
  <c r="BN842" i="8"/>
  <c r="BS842" i="8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V841" i="8"/>
  <c r="BN841" i="8"/>
  <c r="BS841" i="8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V840" i="8"/>
  <c r="BN840" i="8"/>
  <c r="BS840" i="8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V839" i="8"/>
  <c r="BN839" i="8"/>
  <c r="BS839" i="8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V838" i="8"/>
  <c r="BN838" i="8"/>
  <c r="BS838" i="8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V837" i="8"/>
  <c r="BN837" i="8"/>
  <c r="BS837" i="8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V836" i="8"/>
  <c r="BN836" i="8"/>
  <c r="BS836" i="8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V835" i="8"/>
  <c r="BN835" i="8"/>
  <c r="BS835" i="8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V834" i="8"/>
  <c r="BN834" i="8"/>
  <c r="BS834" i="8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V833" i="8"/>
  <c r="BN833" i="8"/>
  <c r="BS833" i="8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V832" i="8"/>
  <c r="BN832" i="8"/>
  <c r="BS832" i="8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V831" i="8"/>
  <c r="BN831" i="8"/>
  <c r="BS831" i="8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V830" i="8"/>
  <c r="BN830" i="8"/>
  <c r="BS830" i="8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V829" i="8"/>
  <c r="BN829" i="8"/>
  <c r="BS829" i="8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V828" i="8"/>
  <c r="BN828" i="8"/>
  <c r="BS828" i="8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V827" i="8"/>
  <c r="BN827" i="8"/>
  <c r="BS827" i="8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V826" i="8"/>
  <c r="BN826" i="8"/>
  <c r="BS826" i="8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V825" i="8"/>
  <c r="BN825" i="8"/>
  <c r="BS825" i="8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V824" i="8"/>
  <c r="BN824" i="8"/>
  <c r="BS824" i="8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V823" i="8"/>
  <c r="BN823" i="8"/>
  <c r="BS823" i="8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V822" i="8"/>
  <c r="BN822" i="8"/>
  <c r="BS822" i="8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V821" i="8"/>
  <c r="BN821" i="8"/>
  <c r="BS821" i="8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V820" i="8"/>
  <c r="BN820" i="8"/>
  <c r="BS820" i="8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V819" i="8"/>
  <c r="BN819" i="8"/>
  <c r="BS819" i="8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V818" i="8"/>
  <c r="BN818" i="8"/>
  <c r="BS818" i="8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V817" i="8"/>
  <c r="BN817" i="8"/>
  <c r="BS817" i="8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V816" i="8"/>
  <c r="BN816" i="8"/>
  <c r="BS816" i="8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V815" i="8"/>
  <c r="BN815" i="8"/>
  <c r="BS815" i="8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V814" i="8"/>
  <c r="BN814" i="8"/>
  <c r="BS814" i="8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V813" i="8"/>
  <c r="BN813" i="8"/>
  <c r="BS813" i="8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V812" i="8"/>
  <c r="BN812" i="8"/>
  <c r="BS812" i="8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V811" i="8"/>
  <c r="BN811" i="8"/>
  <c r="BS811" i="8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V810" i="8"/>
  <c r="BN810" i="8"/>
  <c r="BS810" i="8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V809" i="8"/>
  <c r="BN809" i="8"/>
  <c r="BS809" i="8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V808" i="8"/>
  <c r="BN808" i="8"/>
  <c r="BS808" i="8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V807" i="8"/>
  <c r="BN807" i="8"/>
  <c r="BS807" i="8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V806" i="8"/>
  <c r="BN806" i="8"/>
  <c r="BS806" i="8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V805" i="8"/>
  <c r="BN805" i="8"/>
  <c r="BS805" i="8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V804" i="8"/>
  <c r="BN804" i="8"/>
  <c r="BS804" i="8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V803" i="8"/>
  <c r="BN803" i="8"/>
  <c r="BS803" i="8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V802" i="8"/>
  <c r="BN802" i="8"/>
  <c r="BS802" i="8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V801" i="8"/>
  <c r="BN801" i="8"/>
  <c r="BS801" i="8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V800" i="8"/>
  <c r="BN800" i="8"/>
  <c r="BS800" i="8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V799" i="8"/>
  <c r="BN799" i="8"/>
  <c r="BS799" i="8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V798" i="8"/>
  <c r="BN798" i="8"/>
  <c r="BS798" i="8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V797" i="8"/>
  <c r="BN797" i="8"/>
  <c r="BS797" i="8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V796" i="8"/>
  <c r="BN796" i="8"/>
  <c r="BS796" i="8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V795" i="8"/>
  <c r="BN795" i="8"/>
  <c r="BS795" i="8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V794" i="8"/>
  <c r="BN794" i="8"/>
  <c r="BS794" i="8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V793" i="8"/>
  <c r="BN793" i="8"/>
  <c r="BS793" i="8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V792" i="8"/>
  <c r="BN792" i="8"/>
  <c r="BS792" i="8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V791" i="8"/>
  <c r="BN791" i="8"/>
  <c r="BS791" i="8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V790" i="8"/>
  <c r="BN790" i="8"/>
  <c r="BS790" i="8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V789" i="8"/>
  <c r="BN789" i="8"/>
  <c r="BS789" i="8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V788" i="8"/>
  <c r="BN788" i="8"/>
  <c r="BS788" i="8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V787" i="8"/>
  <c r="BN787" i="8"/>
  <c r="BS787" i="8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V786" i="8"/>
  <c r="BN786" i="8"/>
  <c r="BS786" i="8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V785" i="8"/>
  <c r="BN785" i="8"/>
  <c r="BS785" i="8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V784" i="8"/>
  <c r="BN784" i="8"/>
  <c r="BS784" i="8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V783" i="8"/>
  <c r="BN783" i="8"/>
  <c r="BS783" i="8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V782" i="8"/>
  <c r="BN782" i="8"/>
  <c r="BS782" i="8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V781" i="8"/>
  <c r="BN781" i="8"/>
  <c r="BS781" i="8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V780" i="8"/>
  <c r="BN780" i="8"/>
  <c r="BS780" i="8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V779" i="8"/>
  <c r="BN779" i="8"/>
  <c r="BS779" i="8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V778" i="8"/>
  <c r="BN778" i="8"/>
  <c r="BS778" i="8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V777" i="8"/>
  <c r="BN777" i="8"/>
  <c r="BS777" i="8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V776" i="8"/>
  <c r="BN776" i="8"/>
  <c r="BS776" i="8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V775" i="8"/>
  <c r="BN775" i="8"/>
  <c r="BS775" i="8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V774" i="8"/>
  <c r="BN774" i="8"/>
  <c r="BS774" i="8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V773" i="8"/>
  <c r="BN773" i="8"/>
  <c r="BS773" i="8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V772" i="8"/>
  <c r="BN772" i="8"/>
  <c r="BS772" i="8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V771" i="8"/>
  <c r="BN771" i="8"/>
  <c r="BS771" i="8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V770" i="8"/>
  <c r="BN770" i="8"/>
  <c r="BS770" i="8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V769" i="8"/>
  <c r="BN769" i="8"/>
  <c r="BS769" i="8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V768" i="8"/>
  <c r="BN768" i="8"/>
  <c r="BS768" i="8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V767" i="8"/>
  <c r="BN767" i="8"/>
  <c r="BS767" i="8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V766" i="8"/>
  <c r="BN766" i="8"/>
  <c r="BS766" i="8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V765" i="8"/>
  <c r="BN765" i="8"/>
  <c r="BS765" i="8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V764" i="8"/>
  <c r="BN764" i="8"/>
  <c r="BS764" i="8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V763" i="8"/>
  <c r="BN763" i="8"/>
  <c r="BS763" i="8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V762" i="8"/>
  <c r="BN762" i="8"/>
  <c r="BS762" i="8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V761" i="8"/>
  <c r="BN761" i="8"/>
  <c r="BS761" i="8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V760" i="8"/>
  <c r="BN760" i="8"/>
  <c r="BS760" i="8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V759" i="8"/>
  <c r="BN759" i="8"/>
  <c r="BS759" i="8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V758" i="8"/>
  <c r="BN758" i="8"/>
  <c r="BS758" i="8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V757" i="8"/>
  <c r="BN757" i="8"/>
  <c r="BS757" i="8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V756" i="8"/>
  <c r="BN756" i="8"/>
  <c r="BS756" i="8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V755" i="8"/>
  <c r="BN755" i="8"/>
  <c r="BS755" i="8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V754" i="8"/>
  <c r="BN754" i="8"/>
  <c r="BS754" i="8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V753" i="8"/>
  <c r="BN753" i="8"/>
  <c r="BS753" i="8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V752" i="8"/>
  <c r="BN752" i="8"/>
  <c r="BS752" i="8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V751" i="8"/>
  <c r="BN751" i="8"/>
  <c r="BS751" i="8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V750" i="8"/>
  <c r="BN750" i="8"/>
  <c r="BS750" i="8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V749" i="8"/>
  <c r="BN749" i="8"/>
  <c r="BS749" i="8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V748" i="8"/>
  <c r="BN748" i="8"/>
  <c r="BS748" i="8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V747" i="8"/>
  <c r="BN747" i="8"/>
  <c r="BS747" i="8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V746" i="8"/>
  <c r="BN746" i="8"/>
  <c r="BS746" i="8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V745" i="8"/>
  <c r="BN745" i="8"/>
  <c r="BS745" i="8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V744" i="8"/>
  <c r="BN744" i="8"/>
  <c r="BS744" i="8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V743" i="8"/>
  <c r="BN743" i="8"/>
  <c r="BS743" i="8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V742" i="8"/>
  <c r="BN742" i="8"/>
  <c r="BS742" i="8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V741" i="8"/>
  <c r="BN741" i="8"/>
  <c r="BS741" i="8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V740" i="8"/>
  <c r="BN740" i="8"/>
  <c r="BS740" i="8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V739" i="8"/>
  <c r="BN739" i="8"/>
  <c r="BS739" i="8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V738" i="8"/>
  <c r="BN738" i="8"/>
  <c r="BS738" i="8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V737" i="8"/>
  <c r="BN737" i="8"/>
  <c r="BS737" i="8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V736" i="8"/>
  <c r="BN736" i="8"/>
  <c r="BS736" i="8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V735" i="8"/>
  <c r="BN735" i="8"/>
  <c r="BS735" i="8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V734" i="8"/>
  <c r="BN734" i="8"/>
  <c r="BS734" i="8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V733" i="8"/>
  <c r="BN733" i="8"/>
  <c r="BS733" i="8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V732" i="8"/>
  <c r="BN732" i="8"/>
  <c r="BS732" i="8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V731" i="8"/>
  <c r="BN731" i="8"/>
  <c r="BS731" i="8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V730" i="8"/>
  <c r="BN730" i="8"/>
  <c r="BS730" i="8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V729" i="8"/>
  <c r="BN729" i="8"/>
  <c r="BS729" i="8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V728" i="8"/>
  <c r="BN728" i="8"/>
  <c r="BS728" i="8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V727" i="8"/>
  <c r="BN727" i="8"/>
  <c r="BS727" i="8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V726" i="8"/>
  <c r="BN726" i="8"/>
  <c r="BS726" i="8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V725" i="8"/>
  <c r="BN725" i="8"/>
  <c r="BS725" i="8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V724" i="8"/>
  <c r="BN724" i="8"/>
  <c r="BS724" i="8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V723" i="8"/>
  <c r="BN723" i="8"/>
  <c r="BS723" i="8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V722" i="8"/>
  <c r="BN722" i="8"/>
  <c r="BS722" i="8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V721" i="8"/>
  <c r="BN721" i="8"/>
  <c r="BS721" i="8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V720" i="8"/>
  <c r="BN720" i="8"/>
  <c r="BS720" i="8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V719" i="8"/>
  <c r="BN719" i="8"/>
  <c r="BS719" i="8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V718" i="8"/>
  <c r="BN718" i="8"/>
  <c r="BS718" i="8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V717" i="8"/>
  <c r="BN717" i="8"/>
  <c r="BS717" i="8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V716" i="8"/>
  <c r="BN716" i="8"/>
  <c r="BS716" i="8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V715" i="8"/>
  <c r="BN715" i="8"/>
  <c r="BS715" i="8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V714" i="8"/>
  <c r="BN714" i="8"/>
  <c r="BS714" i="8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V713" i="8"/>
  <c r="BN713" i="8"/>
  <c r="BS713" i="8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V712" i="8"/>
  <c r="BN712" i="8"/>
  <c r="BS712" i="8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V711" i="8"/>
  <c r="BN711" i="8"/>
  <c r="BS711" i="8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V710" i="8"/>
  <c r="BN710" i="8"/>
  <c r="BS710" i="8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V709" i="8"/>
  <c r="BN709" i="8"/>
  <c r="BS709" i="8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V708" i="8"/>
  <c r="BN708" i="8"/>
  <c r="BS708" i="8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V707" i="8"/>
  <c r="BN707" i="8"/>
  <c r="BS707" i="8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V706" i="8"/>
  <c r="BN706" i="8"/>
  <c r="BS706" i="8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V705" i="8"/>
  <c r="BN705" i="8"/>
  <c r="BS705" i="8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V704" i="8"/>
  <c r="BN704" i="8"/>
  <c r="BS704" i="8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V703" i="8"/>
  <c r="BN703" i="8"/>
  <c r="BS703" i="8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V702" i="8"/>
  <c r="BN702" i="8"/>
  <c r="BS702" i="8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V701" i="8"/>
  <c r="BN701" i="8"/>
  <c r="BS701" i="8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V700" i="8"/>
  <c r="BN700" i="8"/>
  <c r="BS700" i="8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V699" i="8"/>
  <c r="BN699" i="8"/>
  <c r="BS699" i="8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V698" i="8"/>
  <c r="BN698" i="8"/>
  <c r="BS698" i="8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V697" i="8"/>
  <c r="BN697" i="8"/>
  <c r="BS697" i="8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V696" i="8"/>
  <c r="BN696" i="8"/>
  <c r="BS696" i="8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V695" i="8"/>
  <c r="BN695" i="8"/>
  <c r="BS695" i="8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V694" i="8"/>
  <c r="BN694" i="8"/>
  <c r="BS694" i="8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V693" i="8"/>
  <c r="BN693" i="8"/>
  <c r="BS693" i="8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V692" i="8"/>
  <c r="BN692" i="8"/>
  <c r="BS692" i="8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V691" i="8"/>
  <c r="BN691" i="8"/>
  <c r="BS691" i="8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V690" i="8"/>
  <c r="BN690" i="8"/>
  <c r="BS690" i="8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V689" i="8"/>
  <c r="BN689" i="8"/>
  <c r="BS689" i="8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V688" i="8"/>
  <c r="BN688" i="8"/>
  <c r="BS688" i="8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V687" i="8"/>
  <c r="BN687" i="8"/>
  <c r="BS687" i="8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V686" i="8"/>
  <c r="BN686" i="8"/>
  <c r="BS686" i="8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V685" i="8"/>
  <c r="BN685" i="8"/>
  <c r="BS685" i="8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V684" i="8"/>
  <c r="BN684" i="8"/>
  <c r="BS684" i="8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V683" i="8"/>
  <c r="BN683" i="8"/>
  <c r="BS683" i="8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V682" i="8"/>
  <c r="BN682" i="8"/>
  <c r="BS682" i="8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V681" i="8"/>
  <c r="BN681" i="8"/>
  <c r="BS681" i="8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V680" i="8"/>
  <c r="BN680" i="8"/>
  <c r="BS680" i="8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V679" i="8"/>
  <c r="BN679" i="8"/>
  <c r="BS679" i="8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V678" i="8"/>
  <c r="BN678" i="8"/>
  <c r="BS678" i="8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V677" i="8"/>
  <c r="BN677" i="8"/>
  <c r="BS677" i="8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V676" i="8"/>
  <c r="BN676" i="8"/>
  <c r="BS676" i="8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V675" i="8"/>
  <c r="BN675" i="8"/>
  <c r="BS675" i="8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V674" i="8"/>
  <c r="BN674" i="8"/>
  <c r="BS674" i="8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V673" i="8"/>
  <c r="BN673" i="8"/>
  <c r="BS673" i="8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V672" i="8"/>
  <c r="BN672" i="8"/>
  <c r="BS672" i="8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V671" i="8"/>
  <c r="BN671" i="8"/>
  <c r="BS671" i="8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V670" i="8"/>
  <c r="BN670" i="8"/>
  <c r="BS670" i="8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V669" i="8"/>
  <c r="BN669" i="8"/>
  <c r="BS669" i="8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V668" i="8"/>
  <c r="BN668" i="8"/>
  <c r="BS668" i="8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V667" i="8"/>
  <c r="BN667" i="8"/>
  <c r="BS667" i="8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V666" i="8"/>
  <c r="BN666" i="8"/>
  <c r="BS666" i="8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V665" i="8"/>
  <c r="BN665" i="8"/>
  <c r="BS665" i="8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V664" i="8"/>
  <c r="BN664" i="8"/>
  <c r="BS664" i="8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V663" i="8"/>
  <c r="BN663" i="8"/>
  <c r="BS663" i="8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V662" i="8"/>
  <c r="BN662" i="8"/>
  <c r="BS662" i="8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V661" i="8"/>
  <c r="BN661" i="8"/>
  <c r="BS661" i="8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V660" i="8"/>
  <c r="BN660" i="8"/>
  <c r="BS660" i="8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V659" i="8"/>
  <c r="BN659" i="8"/>
  <c r="BS659" i="8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V658" i="8"/>
  <c r="BN658" i="8"/>
  <c r="BS658" i="8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V657" i="8"/>
  <c r="BN657" i="8"/>
  <c r="BS657" i="8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V656" i="8"/>
  <c r="BN656" i="8"/>
  <c r="BS656" i="8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V655" i="8"/>
  <c r="BN655" i="8"/>
  <c r="BS655" i="8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V654" i="8"/>
  <c r="BN654" i="8"/>
  <c r="BS654" i="8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V653" i="8"/>
  <c r="BN653" i="8"/>
  <c r="BS653" i="8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V652" i="8"/>
  <c r="BN652" i="8"/>
  <c r="BS652" i="8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V651" i="8"/>
  <c r="BN651" i="8"/>
  <c r="BS651" i="8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V650" i="8"/>
  <c r="BN650" i="8"/>
  <c r="BS650" i="8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V649" i="8"/>
  <c r="BN649" i="8"/>
  <c r="BS649" i="8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V648" i="8"/>
  <c r="BN648" i="8"/>
  <c r="BS648" i="8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V647" i="8"/>
  <c r="BN647" i="8"/>
  <c r="BS647" i="8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V646" i="8"/>
  <c r="BN646" i="8"/>
  <c r="BS646" i="8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V645" i="8"/>
  <c r="BN645" i="8"/>
  <c r="BS645" i="8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V644" i="8"/>
  <c r="BN644" i="8"/>
  <c r="BS644" i="8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V643" i="8"/>
  <c r="BN643" i="8"/>
  <c r="BS643" i="8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V642" i="8"/>
  <c r="BN642" i="8"/>
  <c r="BS642" i="8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V641" i="8"/>
  <c r="BN641" i="8"/>
  <c r="BS641" i="8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V640" i="8"/>
  <c r="BN640" i="8"/>
  <c r="BS640" i="8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V639" i="8"/>
  <c r="BN639" i="8"/>
  <c r="BS639" i="8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V638" i="8"/>
  <c r="BN638" i="8"/>
  <c r="BS638" i="8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V637" i="8"/>
  <c r="BN637" i="8"/>
  <c r="BS637" i="8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V636" i="8"/>
  <c r="BN636" i="8"/>
  <c r="BS636" i="8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V635" i="8"/>
  <c r="BN635" i="8"/>
  <c r="BS635" i="8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V634" i="8"/>
  <c r="BN634" i="8"/>
  <c r="BS634" i="8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V633" i="8"/>
  <c r="BN633" i="8"/>
  <c r="BS633" i="8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V632" i="8"/>
  <c r="BN632" i="8"/>
  <c r="BS632" i="8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V631" i="8"/>
  <c r="BN631" i="8"/>
  <c r="BS631" i="8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V630" i="8"/>
  <c r="BN630" i="8"/>
  <c r="BS630" i="8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V629" i="8"/>
  <c r="BN629" i="8"/>
  <c r="BS629" i="8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V628" i="8"/>
  <c r="BN628" i="8"/>
  <c r="BS628" i="8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V627" i="8"/>
  <c r="BN627" i="8"/>
  <c r="BS627" i="8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V626" i="8"/>
  <c r="BN626" i="8"/>
  <c r="BS626" i="8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V625" i="8"/>
  <c r="BN625" i="8"/>
  <c r="BS625" i="8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V624" i="8"/>
  <c r="BN624" i="8"/>
  <c r="BS624" i="8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V623" i="8"/>
  <c r="BN623" i="8"/>
  <c r="BS623" i="8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V622" i="8"/>
  <c r="BN622" i="8"/>
  <c r="BS622" i="8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V621" i="8"/>
  <c r="BN621" i="8"/>
  <c r="BS621" i="8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V620" i="8"/>
  <c r="BN620" i="8"/>
  <c r="BS620" i="8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V619" i="8"/>
  <c r="BN619" i="8"/>
  <c r="BS619" i="8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V618" i="8"/>
  <c r="BN618" i="8"/>
  <c r="BS618" i="8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V617" i="8"/>
  <c r="BN617" i="8"/>
  <c r="BS617" i="8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V616" i="8"/>
  <c r="BN616" i="8"/>
  <c r="BS616" i="8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V615" i="8"/>
  <c r="BN615" i="8"/>
  <c r="BS615" i="8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V614" i="8"/>
  <c r="BN614" i="8"/>
  <c r="BS614" i="8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V613" i="8"/>
  <c r="BN613" i="8"/>
  <c r="BS613" i="8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V612" i="8"/>
  <c r="BN612" i="8"/>
  <c r="BS612" i="8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V611" i="8"/>
  <c r="BN611" i="8"/>
  <c r="BS611" i="8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V610" i="8"/>
  <c r="BN610" i="8"/>
  <c r="BS610" i="8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V609" i="8"/>
  <c r="BN609" i="8"/>
  <c r="BS609" i="8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V608" i="8"/>
  <c r="BN608" i="8"/>
  <c r="BS608" i="8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V607" i="8"/>
  <c r="BN607" i="8"/>
  <c r="BS607" i="8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V606" i="8"/>
  <c r="BN606" i="8"/>
  <c r="BS606" i="8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V605" i="8"/>
  <c r="BN605" i="8"/>
  <c r="BS605" i="8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V604" i="8"/>
  <c r="BN604" i="8"/>
  <c r="BS604" i="8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V603" i="8"/>
  <c r="BN603" i="8"/>
  <c r="BS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V602" i="8"/>
  <c r="BN602" i="8"/>
  <c r="BS602" i="8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V601" i="8"/>
  <c r="BN601" i="8"/>
  <c r="BS601" i="8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V600" i="8"/>
  <c r="BN600" i="8"/>
  <c r="BS600" i="8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V599" i="8"/>
  <c r="BN599" i="8"/>
  <c r="BS599" i="8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V598" i="8"/>
  <c r="BN598" i="8"/>
  <c r="BS598" i="8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V597" i="8"/>
  <c r="BN597" i="8"/>
  <c r="BS597" i="8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V596" i="8"/>
  <c r="BN596" i="8"/>
  <c r="BS596" i="8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V595" i="8"/>
  <c r="BN595" i="8"/>
  <c r="BS595" i="8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V594" i="8"/>
  <c r="BN594" i="8"/>
  <c r="BS594" i="8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V593" i="8"/>
  <c r="BN593" i="8"/>
  <c r="BS593" i="8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V592" i="8"/>
  <c r="BN592" i="8"/>
  <c r="BS592" i="8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V591" i="8"/>
  <c r="BN591" i="8"/>
  <c r="BS591" i="8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V590" i="8"/>
  <c r="BN590" i="8"/>
  <c r="BS590" i="8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V589" i="8"/>
  <c r="BN589" i="8"/>
  <c r="BS589" i="8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V588" i="8"/>
  <c r="BN588" i="8"/>
  <c r="BS588" i="8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V587" i="8"/>
  <c r="BN587" i="8"/>
  <c r="BS587" i="8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V586" i="8"/>
  <c r="BN586" i="8"/>
  <c r="BS586" i="8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V585" i="8"/>
  <c r="BN585" i="8"/>
  <c r="BS585" i="8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V584" i="8"/>
  <c r="BN584" i="8"/>
  <c r="BS584" i="8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V583" i="8"/>
  <c r="BN583" i="8"/>
  <c r="BS583" i="8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V582" i="8"/>
  <c r="BN582" i="8"/>
  <c r="BS582" i="8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V581" i="8"/>
  <c r="BN581" i="8"/>
  <c r="BS581" i="8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V580" i="8"/>
  <c r="BN580" i="8"/>
  <c r="BS580" i="8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V579" i="8"/>
  <c r="BN579" i="8"/>
  <c r="BS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V578" i="8"/>
  <c r="BN578" i="8"/>
  <c r="BS578" i="8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V577" i="8"/>
  <c r="BN577" i="8"/>
  <c r="BS577" i="8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V576" i="8"/>
  <c r="BN576" i="8"/>
  <c r="BS576" i="8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V575" i="8"/>
  <c r="BN575" i="8"/>
  <c r="BS575" i="8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V574" i="8"/>
  <c r="BN574" i="8"/>
  <c r="BS574" i="8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V573" i="8"/>
  <c r="BN573" i="8"/>
  <c r="BS573" i="8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V572" i="8"/>
  <c r="BN572" i="8"/>
  <c r="BS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V571" i="8"/>
  <c r="BN571" i="8"/>
  <c r="BS571" i="8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V570" i="8"/>
  <c r="BN570" i="8"/>
  <c r="BS570" i="8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V569" i="8"/>
  <c r="BN569" i="8"/>
  <c r="BS569" i="8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V568" i="8"/>
  <c r="BN568" i="8"/>
  <c r="BS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V567" i="8"/>
  <c r="BN567" i="8"/>
  <c r="BS567" i="8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V566" i="8"/>
  <c r="BN566" i="8"/>
  <c r="BS566" i="8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V565" i="8"/>
  <c r="BN565" i="8"/>
  <c r="BS565" i="8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V564" i="8"/>
  <c r="BN564" i="8"/>
  <c r="BS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V563" i="8"/>
  <c r="BN563" i="8"/>
  <c r="BS563" i="8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V562" i="8"/>
  <c r="BN562" i="8"/>
  <c r="BS562" i="8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V561" i="8"/>
  <c r="BN561" i="8"/>
  <c r="BS561" i="8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V560" i="8"/>
  <c r="BN560" i="8"/>
  <c r="BS560" i="8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V559" i="8"/>
  <c r="BN559" i="8"/>
  <c r="BS559" i="8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V558" i="8"/>
  <c r="BN558" i="8"/>
  <c r="BS558" i="8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V557" i="8"/>
  <c r="BN557" i="8"/>
  <c r="BS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V556" i="8"/>
  <c r="BN556" i="8"/>
  <c r="BS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V555" i="8"/>
  <c r="BN555" i="8"/>
  <c r="BS555" i="8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V554" i="8"/>
  <c r="BN554" i="8"/>
  <c r="BS554" i="8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V553" i="8"/>
  <c r="BN553" i="8"/>
  <c r="BS553" i="8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V552" i="8"/>
  <c r="BN552" i="8"/>
  <c r="BS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V551" i="8"/>
  <c r="BN551" i="8"/>
  <c r="BS551" i="8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V550" i="8"/>
  <c r="BN550" i="8"/>
  <c r="BS550" i="8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V549" i="8"/>
  <c r="BN549" i="8"/>
  <c r="BS549" i="8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V548" i="8"/>
  <c r="BN548" i="8"/>
  <c r="BS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V547" i="8"/>
  <c r="BN547" i="8"/>
  <c r="BS547" i="8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V546" i="8"/>
  <c r="BN546" i="8"/>
  <c r="BS546" i="8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V545" i="8"/>
  <c r="BN545" i="8"/>
  <c r="BS545" i="8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V544" i="8"/>
  <c r="BN544" i="8"/>
  <c r="BS544" i="8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V543" i="8"/>
  <c r="BN543" i="8"/>
  <c r="BS543" i="8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V542" i="8"/>
  <c r="BN542" i="8"/>
  <c r="BS542" i="8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V541" i="8"/>
  <c r="BN541" i="8"/>
  <c r="BS541" i="8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V540" i="8"/>
  <c r="BN540" i="8"/>
  <c r="BS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V539" i="8"/>
  <c r="BN539" i="8"/>
  <c r="BS539" i="8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V538" i="8"/>
  <c r="BN538" i="8"/>
  <c r="BS538" i="8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V537" i="8"/>
  <c r="BN537" i="8"/>
  <c r="BS537" i="8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V536" i="8"/>
  <c r="BN536" i="8"/>
  <c r="BS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V535" i="8"/>
  <c r="BN535" i="8"/>
  <c r="BS535" i="8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V534" i="8"/>
  <c r="BN534" i="8"/>
  <c r="BS534" i="8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V533" i="8"/>
  <c r="BN533" i="8"/>
  <c r="BS533" i="8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V532" i="8"/>
  <c r="BN532" i="8"/>
  <c r="BS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V531" i="8"/>
  <c r="BN531" i="8"/>
  <c r="BS531" i="8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V530" i="8"/>
  <c r="BN530" i="8"/>
  <c r="BS530" i="8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V529" i="8"/>
  <c r="BN529" i="8"/>
  <c r="BS529" i="8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V528" i="8"/>
  <c r="BN528" i="8"/>
  <c r="BS528" i="8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V527" i="8"/>
  <c r="BN527" i="8"/>
  <c r="BS527" i="8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V526" i="8"/>
  <c r="BN526" i="8"/>
  <c r="BS526" i="8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V525" i="8"/>
  <c r="BN525" i="8"/>
  <c r="BS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V524" i="8"/>
  <c r="BN524" i="8"/>
  <c r="BS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V523" i="8"/>
  <c r="BN523" i="8"/>
  <c r="BS523" i="8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V522" i="8"/>
  <c r="BN522" i="8"/>
  <c r="BS522" i="8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V521" i="8"/>
  <c r="BN521" i="8"/>
  <c r="BS521" i="8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V520" i="8"/>
  <c r="BN520" i="8"/>
  <c r="BS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V519" i="8"/>
  <c r="BN519" i="8"/>
  <c r="BS519" i="8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V518" i="8"/>
  <c r="BN518" i="8"/>
  <c r="BS518" i="8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V517" i="8"/>
  <c r="BN517" i="8"/>
  <c r="BS517" i="8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V516" i="8"/>
  <c r="BN516" i="8"/>
  <c r="BS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V515" i="8"/>
  <c r="BN515" i="8"/>
  <c r="BS515" i="8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V514" i="8"/>
  <c r="BN514" i="8"/>
  <c r="BS514" i="8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V513" i="8"/>
  <c r="BN513" i="8"/>
  <c r="BS513" i="8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V512" i="8"/>
  <c r="BN512" i="8"/>
  <c r="BS512" i="8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V511" i="8"/>
  <c r="BN511" i="8"/>
  <c r="BS511" i="8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V510" i="8"/>
  <c r="BN510" i="8"/>
  <c r="BS510" i="8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V509" i="8"/>
  <c r="BN509" i="8"/>
  <c r="BS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V508" i="8"/>
  <c r="BN508" i="8"/>
  <c r="BS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V507" i="8"/>
  <c r="BN507" i="8"/>
  <c r="BS507" i="8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V506" i="8"/>
  <c r="BN506" i="8"/>
  <c r="BS506" i="8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V505" i="8"/>
  <c r="BN505" i="8"/>
  <c r="BS505" i="8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V504" i="8"/>
  <c r="BN504" i="8"/>
  <c r="BS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V503" i="8"/>
  <c r="BN503" i="8"/>
  <c r="BS503" i="8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V502" i="8"/>
  <c r="BN502" i="8"/>
  <c r="BS502" i="8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V501" i="8"/>
  <c r="BN501" i="8"/>
  <c r="BS501" i="8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V500" i="8"/>
  <c r="BN500" i="8"/>
  <c r="BS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V499" i="8"/>
  <c r="BN499" i="8"/>
  <c r="BS499" i="8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V498" i="8"/>
  <c r="BN498" i="8"/>
  <c r="BS498" i="8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V497" i="8"/>
  <c r="BN497" i="8"/>
  <c r="BS497" i="8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V496" i="8"/>
  <c r="BN496" i="8"/>
  <c r="BS496" i="8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V495" i="8"/>
  <c r="BN495" i="8"/>
  <c r="BS495" i="8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V494" i="8"/>
  <c r="BN494" i="8"/>
  <c r="BS494" i="8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V493" i="8"/>
  <c r="BN493" i="8"/>
  <c r="BS493" i="8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V492" i="8"/>
  <c r="BN492" i="8"/>
  <c r="BS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V491" i="8"/>
  <c r="BN491" i="8"/>
  <c r="BS491" i="8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V490" i="8"/>
  <c r="BN490" i="8"/>
  <c r="BS490" i="8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V489" i="8"/>
  <c r="BN489" i="8"/>
  <c r="BS489" i="8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V488" i="8"/>
  <c r="BN488" i="8"/>
  <c r="BS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V487" i="8"/>
  <c r="BN487" i="8"/>
  <c r="BS487" i="8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V486" i="8"/>
  <c r="BN486" i="8"/>
  <c r="BS486" i="8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V485" i="8"/>
  <c r="BN485" i="8"/>
  <c r="BS485" i="8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V484" i="8"/>
  <c r="BN484" i="8"/>
  <c r="BS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V483" i="8"/>
  <c r="BN483" i="8"/>
  <c r="BS483" i="8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V482" i="8"/>
  <c r="BN482" i="8"/>
  <c r="BS482" i="8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V481" i="8"/>
  <c r="BN481" i="8"/>
  <c r="BS481" i="8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V480" i="8"/>
  <c r="BN480" i="8"/>
  <c r="BS480" i="8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V479" i="8"/>
  <c r="BN479" i="8"/>
  <c r="BS479" i="8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V478" i="8"/>
  <c r="BN478" i="8"/>
  <c r="BS478" i="8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V477" i="8"/>
  <c r="BN477" i="8"/>
  <c r="BS477" i="8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V476" i="8"/>
  <c r="BN476" i="8"/>
  <c r="BS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V475" i="8"/>
  <c r="BN475" i="8"/>
  <c r="BS475" i="8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V474" i="8"/>
  <c r="BN474" i="8"/>
  <c r="BS474" i="8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V473" i="8"/>
  <c r="BN473" i="8"/>
  <c r="BS473" i="8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V472" i="8"/>
  <c r="BN472" i="8"/>
  <c r="BS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V471" i="8"/>
  <c r="BN471" i="8"/>
  <c r="BS471" i="8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V470" i="8"/>
  <c r="BN470" i="8"/>
  <c r="BS470" i="8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V469" i="8"/>
  <c r="BN469" i="8"/>
  <c r="BS469" i="8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V468" i="8"/>
  <c r="BN468" i="8"/>
  <c r="BS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V467" i="8"/>
  <c r="BN467" i="8"/>
  <c r="BS467" i="8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V466" i="8"/>
  <c r="BN466" i="8"/>
  <c r="BS466" i="8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V465" i="8"/>
  <c r="BN465" i="8"/>
  <c r="BS465" i="8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V464" i="8"/>
  <c r="BN464" i="8"/>
  <c r="BS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V463" i="8"/>
  <c r="BN463" i="8"/>
  <c r="BS463" i="8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V462" i="8"/>
  <c r="BN462" i="8"/>
  <c r="BS462" i="8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V461" i="8"/>
  <c r="BN461" i="8"/>
  <c r="BS461" i="8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V460" i="8"/>
  <c r="BN460" i="8"/>
  <c r="BS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V459" i="8"/>
  <c r="BN459" i="8"/>
  <c r="BS459" i="8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V458" i="8"/>
  <c r="BN458" i="8"/>
  <c r="BS458" i="8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V457" i="8"/>
  <c r="BN457" i="8"/>
  <c r="BS457" i="8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V456" i="8"/>
  <c r="BN456" i="8"/>
  <c r="BS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V455" i="8"/>
  <c r="BN455" i="8"/>
  <c r="BS455" i="8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V454" i="8"/>
  <c r="BN454" i="8"/>
  <c r="BS454" i="8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V453" i="8"/>
  <c r="BN453" i="8"/>
  <c r="BS453" i="8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V452" i="8"/>
  <c r="BN452" i="8"/>
  <c r="BS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V451" i="8"/>
  <c r="BN451" i="8"/>
  <c r="BS451" i="8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V450" i="8"/>
  <c r="BN450" i="8"/>
  <c r="BS450" i="8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V449" i="8"/>
  <c r="BN449" i="8"/>
  <c r="BS449" i="8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V448" i="8"/>
  <c r="BN448" i="8"/>
  <c r="BS448" i="8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V447" i="8"/>
  <c r="BN447" i="8"/>
  <c r="BS447" i="8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V446" i="8"/>
  <c r="BN446" i="8"/>
  <c r="BS446" i="8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V445" i="8"/>
  <c r="BN445" i="8"/>
  <c r="BS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V444" i="8"/>
  <c r="BN444" i="8"/>
  <c r="BS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V443" i="8"/>
  <c r="BN443" i="8"/>
  <c r="BS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V442" i="8"/>
  <c r="BN442" i="8"/>
  <c r="BS442" i="8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V441" i="8"/>
  <c r="BN441" i="8"/>
  <c r="BS441" i="8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V440" i="8"/>
  <c r="BN440" i="8"/>
  <c r="BS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V439" i="8"/>
  <c r="BN439" i="8"/>
  <c r="BS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V438" i="8"/>
  <c r="BN438" i="8"/>
  <c r="BS438" i="8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V437" i="8"/>
  <c r="BN437" i="8"/>
  <c r="BS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V436" i="8"/>
  <c r="BN436" i="8"/>
  <c r="BS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V435" i="8"/>
  <c r="BN435" i="8"/>
  <c r="BS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V434" i="8"/>
  <c r="BN434" i="8"/>
  <c r="BS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V433" i="8"/>
  <c r="BN433" i="8"/>
  <c r="BS433" i="8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V432" i="8"/>
  <c r="BN432" i="8"/>
  <c r="BS432" i="8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V431" i="8"/>
  <c r="BN431" i="8"/>
  <c r="BS431" i="8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V430" i="8"/>
  <c r="BN430" i="8"/>
  <c r="BS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V429" i="8"/>
  <c r="BN429" i="8"/>
  <c r="BS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V428" i="8"/>
  <c r="BN428" i="8"/>
  <c r="BS428" i="8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V427" i="8"/>
  <c r="BN427" i="8"/>
  <c r="BS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V426" i="8"/>
  <c r="BN426" i="8"/>
  <c r="BS426" i="8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V425" i="8"/>
  <c r="BN425" i="8"/>
  <c r="BS425" i="8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V424" i="8"/>
  <c r="BN424" i="8"/>
  <c r="BS424" i="8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V423" i="8"/>
  <c r="BN423" i="8"/>
  <c r="BS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V422" i="8"/>
  <c r="BN422" i="8"/>
  <c r="BS422" i="8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V421" i="8"/>
  <c r="BN421" i="8"/>
  <c r="BS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V420" i="8"/>
  <c r="BN420" i="8"/>
  <c r="BS420" i="8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V419" i="8"/>
  <c r="BN419" i="8"/>
  <c r="BS419" i="8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V418" i="8"/>
  <c r="BN418" i="8"/>
  <c r="BS418" i="8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V417" i="8"/>
  <c r="BN417" i="8"/>
  <c r="BS417" i="8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V416" i="8"/>
  <c r="BN416" i="8"/>
  <c r="BS416" i="8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V415" i="8"/>
  <c r="BN415" i="8"/>
  <c r="BS415" i="8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V414" i="8"/>
  <c r="BN414" i="8"/>
  <c r="BS414" i="8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V413" i="8"/>
  <c r="BN413" i="8"/>
  <c r="BS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V412" i="8"/>
  <c r="BN412" i="8"/>
  <c r="BS412" i="8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V411" i="8"/>
  <c r="BN411" i="8"/>
  <c r="BS411" i="8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V410" i="8"/>
  <c r="BN410" i="8"/>
  <c r="BS410" i="8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V409" i="8"/>
  <c r="BN409" i="8"/>
  <c r="BS409" i="8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V408" i="8"/>
  <c r="BN408" i="8"/>
  <c r="BS408" i="8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V407" i="8"/>
  <c r="BN407" i="8"/>
  <c r="BS407" i="8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V406" i="8"/>
  <c r="BN406" i="8"/>
  <c r="BS406" i="8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V405" i="8"/>
  <c r="BN405" i="8"/>
  <c r="BS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V404" i="8"/>
  <c r="BN404" i="8"/>
  <c r="BS404" i="8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V403" i="8"/>
  <c r="BN403" i="8"/>
  <c r="BS403" i="8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V402" i="8"/>
  <c r="BN402" i="8"/>
  <c r="BS402" i="8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V401" i="8"/>
  <c r="BN401" i="8"/>
  <c r="BS401" i="8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V400" i="8"/>
  <c r="BN400" i="8"/>
  <c r="BS400" i="8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V399" i="8"/>
  <c r="BN399" i="8"/>
  <c r="BS399" i="8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V398" i="8"/>
  <c r="BN398" i="8"/>
  <c r="BS398" i="8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V397" i="8"/>
  <c r="BN397" i="8"/>
  <c r="BS397" i="8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V396" i="8"/>
  <c r="BN396" i="8"/>
  <c r="BS396" i="8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V395" i="8"/>
  <c r="BN395" i="8"/>
  <c r="BS395" i="8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V394" i="8"/>
  <c r="BN394" i="8"/>
  <c r="BS394" i="8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V393" i="8"/>
  <c r="BN393" i="8"/>
  <c r="BS393" i="8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V392" i="8"/>
  <c r="BN392" i="8"/>
  <c r="BS392" i="8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V391" i="8"/>
  <c r="BN391" i="8"/>
  <c r="BS391" i="8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V390" i="8"/>
  <c r="BN390" i="8"/>
  <c r="BS390" i="8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V389" i="8"/>
  <c r="BN389" i="8"/>
  <c r="BS389" i="8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V388" i="8"/>
  <c r="BN388" i="8"/>
  <c r="BS388" i="8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V387" i="8"/>
  <c r="BN387" i="8"/>
  <c r="BS387" i="8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V386" i="8"/>
  <c r="BN386" i="8"/>
  <c r="BS386" i="8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V385" i="8"/>
  <c r="BN385" i="8"/>
  <c r="BS385" i="8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V384" i="8"/>
  <c r="BN384" i="8"/>
  <c r="BS384" i="8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V383" i="8"/>
  <c r="BN383" i="8"/>
  <c r="BS383" i="8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V382" i="8"/>
  <c r="BN382" i="8"/>
  <c r="BS382" i="8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V381" i="8"/>
  <c r="BN381" i="8"/>
  <c r="BS381" i="8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V380" i="8"/>
  <c r="BN380" i="8"/>
  <c r="BS380" i="8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V379" i="8"/>
  <c r="BN379" i="8"/>
  <c r="BS379" i="8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V378" i="8"/>
  <c r="BN378" i="8"/>
  <c r="BS378" i="8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V377" i="8"/>
  <c r="BN377" i="8"/>
  <c r="BS377" i="8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V376" i="8"/>
  <c r="BN376" i="8"/>
  <c r="BS376" i="8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V375" i="8"/>
  <c r="BN375" i="8"/>
  <c r="BS375" i="8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V374" i="8"/>
  <c r="BN374" i="8"/>
  <c r="BS374" i="8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V373" i="8"/>
  <c r="BN373" i="8"/>
  <c r="BS373" i="8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V372" i="8"/>
  <c r="BN372" i="8"/>
  <c r="BS372" i="8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V371" i="8"/>
  <c r="BN371" i="8"/>
  <c r="BS371" i="8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V370" i="8"/>
  <c r="BN370" i="8"/>
  <c r="BS370" i="8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V369" i="8"/>
  <c r="BN369" i="8"/>
  <c r="BS369" i="8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V368" i="8"/>
  <c r="BN368" i="8"/>
  <c r="BS368" i="8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V367" i="8"/>
  <c r="BN367" i="8"/>
  <c r="BS367" i="8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V366" i="8"/>
  <c r="BN366" i="8"/>
  <c r="BS366" i="8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V365" i="8"/>
  <c r="BN365" i="8"/>
  <c r="BS365" i="8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V364" i="8"/>
  <c r="BN364" i="8"/>
  <c r="BS364" i="8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V363" i="8"/>
  <c r="BN363" i="8"/>
  <c r="BS363" i="8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V362" i="8"/>
  <c r="BN362" i="8"/>
  <c r="BS362" i="8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V361" i="8"/>
  <c r="BN361" i="8"/>
  <c r="BS361" i="8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V360" i="8"/>
  <c r="BN360" i="8"/>
  <c r="BS360" i="8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V359" i="8"/>
  <c r="BN359" i="8"/>
  <c r="BS359" i="8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V358" i="8"/>
  <c r="BN358" i="8"/>
  <c r="BS358" i="8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V357" i="8"/>
  <c r="BN357" i="8"/>
  <c r="BS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V356" i="8"/>
  <c r="BN356" i="8"/>
  <c r="BS356" i="8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V355" i="8"/>
  <c r="BN355" i="8"/>
  <c r="BS355" i="8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V354" i="8"/>
  <c r="BN354" i="8"/>
  <c r="BS354" i="8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V353" i="8"/>
  <c r="BN353" i="8"/>
  <c r="BS353" i="8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V352" i="8"/>
  <c r="BN352" i="8"/>
  <c r="BS352" i="8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V351" i="8"/>
  <c r="BN351" i="8"/>
  <c r="BS351" i="8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V350" i="8"/>
  <c r="BN350" i="8"/>
  <c r="BS350" i="8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V349" i="8"/>
  <c r="BN349" i="8"/>
  <c r="BS349" i="8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V348" i="8"/>
  <c r="BN348" i="8"/>
  <c r="BS348" i="8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V347" i="8"/>
  <c r="BN347" i="8"/>
  <c r="BS347" i="8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V346" i="8"/>
  <c r="BN346" i="8"/>
  <c r="BS346" i="8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V345" i="8"/>
  <c r="BN345" i="8"/>
  <c r="BS345" i="8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V344" i="8"/>
  <c r="BN344" i="8"/>
  <c r="BS344" i="8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V343" i="8"/>
  <c r="BN343" i="8"/>
  <c r="BS343" i="8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V342" i="8"/>
  <c r="BN342" i="8"/>
  <c r="BS342" i="8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V341" i="8"/>
  <c r="BN341" i="8"/>
  <c r="BS341" i="8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V340" i="8"/>
  <c r="BN340" i="8"/>
  <c r="BS340" i="8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V339" i="8"/>
  <c r="BN339" i="8"/>
  <c r="BS339" i="8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V338" i="8"/>
  <c r="BN338" i="8"/>
  <c r="BS338" i="8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V337" i="8"/>
  <c r="BN337" i="8"/>
  <c r="BS337" i="8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V336" i="8"/>
  <c r="BN336" i="8"/>
  <c r="BS336" i="8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V335" i="8"/>
  <c r="BN335" i="8"/>
  <c r="BS335" i="8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V334" i="8"/>
  <c r="BN334" i="8"/>
  <c r="BS334" i="8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V333" i="8"/>
  <c r="BN333" i="8"/>
  <c r="BS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V332" i="8"/>
  <c r="BN332" i="8"/>
  <c r="BS332" i="8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V331" i="8"/>
  <c r="BN331" i="8"/>
  <c r="BS331" i="8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V330" i="8"/>
  <c r="BN330" i="8"/>
  <c r="BS330" i="8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V329" i="8"/>
  <c r="BN329" i="8"/>
  <c r="BS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V328" i="8"/>
  <c r="BN328" i="8"/>
  <c r="BS328" i="8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V327" i="8"/>
  <c r="BN327" i="8"/>
  <c r="BS327" i="8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V326" i="8"/>
  <c r="BN326" i="8"/>
  <c r="BS326" i="8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V325" i="8"/>
  <c r="BN325" i="8"/>
  <c r="BS325" i="8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V324" i="8"/>
  <c r="BN324" i="8"/>
  <c r="BS324" i="8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V323" i="8"/>
  <c r="BN323" i="8"/>
  <c r="BS323" i="8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V322" i="8"/>
  <c r="BN322" i="8"/>
  <c r="BS322" i="8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V321" i="8"/>
  <c r="BN321" i="8"/>
  <c r="BS321" i="8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V320" i="8"/>
  <c r="BN320" i="8"/>
  <c r="BS320" i="8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V319" i="8"/>
  <c r="BN319" i="8"/>
  <c r="BS319" i="8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V318" i="8"/>
  <c r="BN318" i="8"/>
  <c r="BS318" i="8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V317" i="8"/>
  <c r="BN317" i="8"/>
  <c r="BS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V316" i="8"/>
  <c r="BN316" i="8"/>
  <c r="BS316" i="8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V315" i="8"/>
  <c r="BN315" i="8"/>
  <c r="BS315" i="8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V314" i="8"/>
  <c r="BN314" i="8"/>
  <c r="BS314" i="8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V313" i="8"/>
  <c r="BN313" i="8"/>
  <c r="BS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V312" i="8"/>
  <c r="BN312" i="8"/>
  <c r="BS312" i="8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V311" i="8"/>
  <c r="BN311" i="8"/>
  <c r="BS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V310" i="8"/>
  <c r="BN310" i="8"/>
  <c r="BS310" i="8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V309" i="8"/>
  <c r="BN309" i="8"/>
  <c r="BS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V308" i="8"/>
  <c r="BN308" i="8"/>
  <c r="BS308" i="8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V307" i="8"/>
  <c r="BN307" i="8"/>
  <c r="BS307" i="8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V306" i="8"/>
  <c r="BN306" i="8"/>
  <c r="BS306" i="8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V305" i="8"/>
  <c r="BN305" i="8"/>
  <c r="BS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V304" i="8"/>
  <c r="BN304" i="8"/>
  <c r="BS304" i="8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V303" i="8"/>
  <c r="BN303" i="8"/>
  <c r="BS303" i="8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V302" i="8"/>
  <c r="BN302" i="8"/>
  <c r="BS302" i="8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V301" i="8"/>
  <c r="BN301" i="8"/>
  <c r="BS301" i="8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V300" i="8"/>
  <c r="BN300" i="8"/>
  <c r="BS300" i="8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V299" i="8"/>
  <c r="BN299" i="8"/>
  <c r="BS299" i="8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V298" i="8"/>
  <c r="BN298" i="8"/>
  <c r="BS298" i="8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V297" i="8"/>
  <c r="BN297" i="8"/>
  <c r="BS297" i="8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V296" i="8"/>
  <c r="BN296" i="8"/>
  <c r="BS296" i="8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V295" i="8"/>
  <c r="BN295" i="8"/>
  <c r="BS295" i="8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V294" i="8"/>
  <c r="BN294" i="8"/>
  <c r="BS294" i="8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V293" i="8"/>
  <c r="BN293" i="8"/>
  <c r="BS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V292" i="8"/>
  <c r="BN292" i="8"/>
  <c r="BS292" i="8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V291" i="8"/>
  <c r="BN291" i="8"/>
  <c r="BS291" i="8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V290" i="8"/>
  <c r="BN290" i="8"/>
  <c r="BS290" i="8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V289" i="8"/>
  <c r="BN289" i="8"/>
  <c r="BS289" i="8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V288" i="8"/>
  <c r="BN288" i="8"/>
  <c r="BS288" i="8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V287" i="8"/>
  <c r="BN287" i="8"/>
  <c r="BS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V286" i="8"/>
  <c r="BN286" i="8"/>
  <c r="BS286" i="8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V285" i="8"/>
  <c r="BN285" i="8"/>
  <c r="BS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V284" i="8"/>
  <c r="BN284" i="8"/>
  <c r="BS284" i="8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V283" i="8"/>
  <c r="BN283" i="8"/>
  <c r="BS283" i="8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V282" i="8"/>
  <c r="BN282" i="8"/>
  <c r="BS282" i="8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V281" i="8"/>
  <c r="BN281" i="8"/>
  <c r="BS281" i="8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V280" i="8"/>
  <c r="BN280" i="8"/>
  <c r="BS280" i="8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V279" i="8"/>
  <c r="BN279" i="8"/>
  <c r="BS279" i="8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V278" i="8"/>
  <c r="BN278" i="8"/>
  <c r="BS278" i="8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V277" i="8"/>
  <c r="BN277" i="8"/>
  <c r="BS277" i="8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V276" i="8"/>
  <c r="BN276" i="8"/>
  <c r="BS276" i="8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V275" i="8"/>
  <c r="BN275" i="8"/>
  <c r="BS275" i="8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V274" i="8"/>
  <c r="BN274" i="8"/>
  <c r="BS274" i="8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V273" i="8"/>
  <c r="BN273" i="8"/>
  <c r="BS273" i="8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V272" i="8"/>
  <c r="BN272" i="8"/>
  <c r="BS272" i="8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V271" i="8"/>
  <c r="BN271" i="8"/>
  <c r="BS271" i="8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V270" i="8"/>
  <c r="BN270" i="8"/>
  <c r="BS270" i="8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V269" i="8"/>
  <c r="BN269" i="8"/>
  <c r="BS269" i="8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V268" i="8"/>
  <c r="BN268" i="8"/>
  <c r="BS268" i="8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V267" i="8"/>
  <c r="BN267" i="8"/>
  <c r="BS267" i="8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V266" i="8"/>
  <c r="BN266" i="8"/>
  <c r="BS266" i="8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V265" i="8"/>
  <c r="BN265" i="8"/>
  <c r="BS265" i="8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V264" i="8"/>
  <c r="BN264" i="8"/>
  <c r="BS264" i="8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V263" i="8"/>
  <c r="BN263" i="8"/>
  <c r="BS263" i="8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V262" i="8"/>
  <c r="BN262" i="8"/>
  <c r="BS262" i="8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V261" i="8"/>
  <c r="BN261" i="8"/>
  <c r="BS261" i="8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V260" i="8"/>
  <c r="BN260" i="8"/>
  <c r="BS260" i="8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V259" i="8"/>
  <c r="BN259" i="8"/>
  <c r="BS259" i="8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V258" i="8"/>
  <c r="BN258" i="8"/>
  <c r="BS258" i="8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V257" i="8"/>
  <c r="BN257" i="8"/>
  <c r="BS257" i="8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V256" i="8"/>
  <c r="BN256" i="8"/>
  <c r="BS256" i="8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V255" i="8"/>
  <c r="BN255" i="8"/>
  <c r="BS255" i="8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V254" i="8"/>
  <c r="BN254" i="8"/>
  <c r="BS254" i="8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V253" i="8"/>
  <c r="BN253" i="8"/>
  <c r="BS253" i="8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V252" i="8"/>
  <c r="BN252" i="8"/>
  <c r="BS252" i="8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V251" i="8"/>
  <c r="BN251" i="8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/>
  <c r="AR251" i="8"/>
  <c r="D250" i="5"/>
  <c r="BV250" i="8"/>
  <c r="BN250" i="8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 s="1"/>
  <c r="AR250" i="8"/>
  <c r="D249" i="5" s="1"/>
  <c r="BV249" i="8"/>
  <c r="BN249" i="8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/>
  <c r="AR249" i="8"/>
  <c r="D248" i="5"/>
  <c r="BV248" i="8"/>
  <c r="BN248" i="8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 s="1"/>
  <c r="AR248" i="8"/>
  <c r="D247" i="5" s="1"/>
  <c r="BV247" i="8"/>
  <c r="BN247" i="8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/>
  <c r="AR247" i="8"/>
  <c r="D246" i="5" s="1"/>
  <c r="BV246" i="8"/>
  <c r="BN246" i="8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 s="1"/>
  <c r="AR246" i="8"/>
  <c r="D245" i="5" s="1"/>
  <c r="BV245" i="8"/>
  <c r="BN245" i="8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 s="1"/>
  <c r="AR245" i="8"/>
  <c r="D244" i="5"/>
  <c r="BV244" i="8"/>
  <c r="BN244" i="8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 s="1"/>
  <c r="AR244" i="8"/>
  <c r="D243" i="5" s="1"/>
  <c r="BV243" i="8"/>
  <c r="BN243" i="8"/>
  <c r="I242" i="5" s="1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/>
  <c r="AR243" i="8"/>
  <c r="D242" i="5" s="1"/>
  <c r="BV242" i="8"/>
  <c r="BN242" i="8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 s="1"/>
  <c r="BV241" i="8"/>
  <c r="BN241" i="8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/>
  <c r="AR241" i="8"/>
  <c r="D240" i="5"/>
  <c r="BV240" i="8"/>
  <c r="BN240" i="8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 s="1"/>
  <c r="AR240" i="8"/>
  <c r="D239" i="5" s="1"/>
  <c r="BV239" i="8"/>
  <c r="BN239" i="8"/>
  <c r="BS239" i="8" s="1"/>
  <c r="K238" i="5" s="1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/>
  <c r="AR239" i="8"/>
  <c r="D238" i="5" s="1"/>
  <c r="BV238" i="8"/>
  <c r="BN238" i="8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 s="1"/>
  <c r="AR238" i="8"/>
  <c r="D237" i="5" s="1"/>
  <c r="BV237" i="8"/>
  <c r="BN237" i="8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 s="1"/>
  <c r="AR237" i="8"/>
  <c r="D236" i="5"/>
  <c r="BV236" i="8"/>
  <c r="BN236" i="8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 s="1"/>
  <c r="AR236" i="8"/>
  <c r="D235" i="5" s="1"/>
  <c r="BV235" i="8"/>
  <c r="BN235" i="8"/>
  <c r="BS235" i="8" s="1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/>
  <c r="AR235" i="8"/>
  <c r="D234" i="5" s="1"/>
  <c r="BV234" i="8"/>
  <c r="BN234" i="8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 s="1"/>
  <c r="AR234" i="8"/>
  <c r="D233" i="5" s="1"/>
  <c r="BV233" i="8"/>
  <c r="BN233" i="8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/>
  <c r="AR233" i="8"/>
  <c r="D232" i="5"/>
  <c r="BV232" i="8"/>
  <c r="BN232" i="8"/>
  <c r="BS232" i="8" s="1"/>
  <c r="K231" i="5" s="1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 s="1"/>
  <c r="AR232" i="8"/>
  <c r="D231" i="5" s="1"/>
  <c r="BV231" i="8"/>
  <c r="BN231" i="8"/>
  <c r="I230" i="5" s="1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/>
  <c r="AR231" i="8"/>
  <c r="D230" i="5" s="1"/>
  <c r="BV230" i="8"/>
  <c r="BN230" i="8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 s="1"/>
  <c r="AR230" i="8"/>
  <c r="D229" i="5" s="1"/>
  <c r="BV229" i="8"/>
  <c r="BN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/>
  <c r="AR229" i="8"/>
  <c r="D228" i="5"/>
  <c r="BV228" i="8"/>
  <c r="BN228" i="8"/>
  <c r="BS228" i="8" s="1"/>
  <c r="K227" i="5" s="1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 s="1"/>
  <c r="AR228" i="8"/>
  <c r="D227" i="5" s="1"/>
  <c r="BV227" i="8"/>
  <c r="BN227" i="8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/>
  <c r="AR227" i="8"/>
  <c r="D226" i="5" s="1"/>
  <c r="BV226" i="8"/>
  <c r="BN226" i="8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 s="1"/>
  <c r="AR226" i="8"/>
  <c r="D225" i="5" s="1"/>
  <c r="BV225" i="8"/>
  <c r="BN225" i="8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/>
  <c r="AR225" i="8"/>
  <c r="D224" i="5"/>
  <c r="BV224" i="8"/>
  <c r="BN224" i="8"/>
  <c r="I223" i="5" s="1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 s="1"/>
  <c r="AR224" i="8"/>
  <c r="D223" i="5" s="1"/>
  <c r="BV223" i="8"/>
  <c r="BN223" i="8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/>
  <c r="AR223" i="8"/>
  <c r="D222" i="5" s="1"/>
  <c r="BV222" i="8"/>
  <c r="BN222" i="8"/>
  <c r="I221" i="5" s="1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/>
  <c r="BV221" i="8"/>
  <c r="BN221" i="8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 s="1"/>
  <c r="AR221" i="8"/>
  <c r="D220" i="5"/>
  <c r="BV220" i="8"/>
  <c r="BN220" i="8"/>
  <c r="I219" i="5" s="1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 s="1"/>
  <c r="BV219" i="8"/>
  <c r="BN219" i="8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/>
  <c r="AR219" i="8"/>
  <c r="D218" i="5"/>
  <c r="BV218" i="8"/>
  <c r="BN218" i="8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 s="1"/>
  <c r="AR218" i="8"/>
  <c r="D217" i="5" s="1"/>
  <c r="BV217" i="8"/>
  <c r="BN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/>
  <c r="AR217" i="8"/>
  <c r="D216" i="5"/>
  <c r="BV216" i="8"/>
  <c r="BN216" i="8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V215" i="8"/>
  <c r="BN215" i="8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/>
  <c r="AR215" i="8"/>
  <c r="D214" i="5" s="1"/>
  <c r="BV214" i="8"/>
  <c r="BN214" i="8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 s="1"/>
  <c r="AR214" i="8"/>
  <c r="D213" i="5" s="1"/>
  <c r="BV213" i="8"/>
  <c r="BN213" i="8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 s="1"/>
  <c r="AR213" i="8"/>
  <c r="D212" i="5"/>
  <c r="BV212" i="8"/>
  <c r="BN212" i="8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 s="1"/>
  <c r="AR212" i="8"/>
  <c r="D211" i="5" s="1"/>
  <c r="BV211" i="8"/>
  <c r="BN211" i="8"/>
  <c r="I210" i="5" s="1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/>
  <c r="AR211" i="8"/>
  <c r="D210" i="5" s="1"/>
  <c r="BV210" i="8"/>
  <c r="BN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 s="1"/>
  <c r="AR210" i="8"/>
  <c r="D209" i="5" s="1"/>
  <c r="BV209" i="8"/>
  <c r="BN209" i="8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/>
  <c r="AR209" i="8"/>
  <c r="D208" i="5"/>
  <c r="BV208" i="8"/>
  <c r="BN208" i="8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 s="1"/>
  <c r="AR208" i="8"/>
  <c r="D207" i="5" s="1"/>
  <c r="BV207" i="8"/>
  <c r="BN207" i="8"/>
  <c r="BS207" i="8" s="1"/>
  <c r="K206" i="5" s="1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/>
  <c r="AR207" i="8"/>
  <c r="D206" i="5" s="1"/>
  <c r="BV206" i="8"/>
  <c r="BN206" i="8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 s="1"/>
  <c r="AR206" i="8"/>
  <c r="D205" i="5" s="1"/>
  <c r="BV205" i="8"/>
  <c r="BN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 s="1"/>
  <c r="AR205" i="8"/>
  <c r="D204" i="5"/>
  <c r="BV204" i="8"/>
  <c r="BN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 s="1"/>
  <c r="AR204" i="8"/>
  <c r="D203" i="5" s="1"/>
  <c r="BV203" i="8"/>
  <c r="BN203" i="8"/>
  <c r="BS203" i="8" s="1"/>
  <c r="K202" i="5" s="1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/>
  <c r="AR203" i="8"/>
  <c r="D202" i="5" s="1"/>
  <c r="BV202" i="8"/>
  <c r="BN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 s="1"/>
  <c r="AR202" i="8"/>
  <c r="D201" i="5" s="1"/>
  <c r="BV201" i="8"/>
  <c r="BN201" i="8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/>
  <c r="AR201" i="8"/>
  <c r="D200" i="5"/>
  <c r="BV200" i="8"/>
  <c r="BN200" i="8"/>
  <c r="BS200" i="8" s="1"/>
  <c r="K199" i="5" s="1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 s="1"/>
  <c r="AR200" i="8"/>
  <c r="D199" i="5" s="1"/>
  <c r="BV199" i="8"/>
  <c r="BN199" i="8"/>
  <c r="I198" i="5" s="1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/>
  <c r="AR199" i="8"/>
  <c r="D198" i="5" s="1"/>
  <c r="BV198" i="8"/>
  <c r="BN198" i="8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 s="1"/>
  <c r="AR198" i="8"/>
  <c r="D197" i="5" s="1"/>
  <c r="BV197" i="8"/>
  <c r="BN197" i="8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/>
  <c r="AR197" i="8"/>
  <c r="D196" i="5"/>
  <c r="BV196" i="8"/>
  <c r="BN196" i="8"/>
  <c r="BS196" i="8" s="1"/>
  <c r="K195" i="5" s="1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 s="1"/>
  <c r="AR196" i="8"/>
  <c r="D195" i="5" s="1"/>
  <c r="BV195" i="8"/>
  <c r="BN195" i="8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/>
  <c r="AR195" i="8"/>
  <c r="D194" i="5" s="1"/>
  <c r="BV194" i="8"/>
  <c r="BN194" i="8"/>
  <c r="BS194" i="8" s="1"/>
  <c r="K193" i="5" s="1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 s="1"/>
  <c r="AR194" i="8"/>
  <c r="D193" i="5"/>
  <c r="BV193" i="8"/>
  <c r="BN193" i="8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 s="1"/>
  <c r="AR193" i="8"/>
  <c r="D192" i="5"/>
  <c r="BV192" i="8"/>
  <c r="BN192" i="8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/>
  <c r="AR192" i="8"/>
  <c r="D191" i="5" s="1"/>
  <c r="BV191" i="8"/>
  <c r="BN191" i="8"/>
  <c r="BS191" i="8" s="1"/>
  <c r="K190" i="5" s="1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/>
  <c r="AR191" i="8"/>
  <c r="D190" i="5"/>
  <c r="BV190" i="8"/>
  <c r="BN190" i="8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F189" i="5" s="1"/>
  <c r="AR190" i="8"/>
  <c r="D189" i="5" s="1"/>
  <c r="BV189" i="8"/>
  <c r="BN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F188" i="5"/>
  <c r="AR189" i="8"/>
  <c r="D188" i="5"/>
  <c r="BV188" i="8"/>
  <c r="BN188" i="8"/>
  <c r="I187" i="5" s="1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F187" i="5" s="1"/>
  <c r="AR188" i="8"/>
  <c r="D187" i="5" s="1"/>
  <c r="BV187" i="8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F186" i="5"/>
  <c r="AR187" i="8"/>
  <c r="D186" i="5" s="1"/>
  <c r="BV186" i="8"/>
  <c r="BN186" i="8"/>
  <c r="I185" i="5" s="1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F185" i="5" s="1"/>
  <c r="AR186" i="8"/>
  <c r="D185" i="5"/>
  <c r="BV185" i="8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F184" i="5" s="1"/>
  <c r="AR185" i="8"/>
  <c r="D184" i="5"/>
  <c r="BV184" i="8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F183" i="5"/>
  <c r="AR184" i="8"/>
  <c r="D183" i="5" s="1"/>
  <c r="BV183" i="8"/>
  <c r="BN183" i="8"/>
  <c r="I182" i="5" s="1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F182" i="5"/>
  <c r="AR183" i="8"/>
  <c r="D182" i="5"/>
  <c r="BV182" i="8"/>
  <c r="BN182" i="8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F181" i="5" s="1"/>
  <c r="AR182" i="8"/>
  <c r="D181" i="5" s="1"/>
  <c r="BV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F180" i="5"/>
  <c r="AR181" i="8"/>
  <c r="D180" i="5"/>
  <c r="BV180" i="8"/>
  <c r="BN180" i="8"/>
  <c r="BS180" i="8" s="1"/>
  <c r="K179" i="5" s="1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F179" i="5" s="1"/>
  <c r="AR180" i="8"/>
  <c r="D179" i="5" s="1"/>
  <c r="BV179" i="8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F178" i="5"/>
  <c r="AR179" i="8"/>
  <c r="D178" i="5" s="1"/>
  <c r="BV178" i="8"/>
  <c r="BN178" i="8"/>
  <c r="BS178" i="8" s="1"/>
  <c r="K177" i="5" s="1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F177" i="5" s="1"/>
  <c r="AR178" i="8"/>
  <c r="D177" i="5"/>
  <c r="BV177" i="8"/>
  <c r="BN177" i="8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F176" i="5" s="1"/>
  <c r="AR177" i="8"/>
  <c r="D176" i="5"/>
  <c r="BV176" i="8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F175" i="5"/>
  <c r="AR176" i="8"/>
  <c r="D175" i="5" s="1"/>
  <c r="BV175" i="8"/>
  <c r="BN175" i="8"/>
  <c r="BS175" i="8" s="1"/>
  <c r="K174" i="5" s="1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F174" i="5"/>
  <c r="AR175" i="8"/>
  <c r="D174" i="5"/>
  <c r="BV174" i="8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F173" i="5" s="1"/>
  <c r="AR174" i="8"/>
  <c r="D173" i="5" s="1"/>
  <c r="BV173" i="8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F172" i="5"/>
  <c r="AR173" i="8"/>
  <c r="D172" i="5"/>
  <c r="BV172" i="8"/>
  <c r="BN172" i="8"/>
  <c r="I171" i="5" s="1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F171" i="5" s="1"/>
  <c r="AR172" i="8"/>
  <c r="D171" i="5" s="1"/>
  <c r="BV171" i="8"/>
  <c r="BN171" i="8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F170" i="5"/>
  <c r="AR171" i="8"/>
  <c r="D170" i="5" s="1"/>
  <c r="BV170" i="8"/>
  <c r="BN170" i="8"/>
  <c r="I169" i="5" s="1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F169" i="5" s="1"/>
  <c r="AR170" i="8"/>
  <c r="D169" i="5"/>
  <c r="BV169" i="8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F168" i="5" s="1"/>
  <c r="AR169" i="8"/>
  <c r="D168" i="5"/>
  <c r="BV168" i="8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F167" i="5"/>
  <c r="AR168" i="8"/>
  <c r="D167" i="5" s="1"/>
  <c r="BV167" i="8"/>
  <c r="BN167" i="8"/>
  <c r="I166" i="5" s="1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F166" i="5"/>
  <c r="AR167" i="8"/>
  <c r="D166" i="5"/>
  <c r="BV166" i="8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F165" i="5" s="1"/>
  <c r="AR166" i="8"/>
  <c r="D165" i="5" s="1"/>
  <c r="BV165" i="8"/>
  <c r="BN165" i="8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F164" i="5"/>
  <c r="AR165" i="8"/>
  <c r="D164" i="5"/>
  <c r="BV164" i="8"/>
  <c r="BN164" i="8"/>
  <c r="BS164" i="8" s="1"/>
  <c r="K163" i="5" s="1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F163" i="5" s="1"/>
  <c r="AR164" i="8"/>
  <c r="D163" i="5" s="1"/>
  <c r="BV163" i="8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F162" i="5"/>
  <c r="AR163" i="8"/>
  <c r="D162" i="5" s="1"/>
  <c r="BV162" i="8"/>
  <c r="BN162" i="8"/>
  <c r="BS162" i="8" s="1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F161" i="5" s="1"/>
  <c r="AR162" i="8"/>
  <c r="D161" i="5"/>
  <c r="BV161" i="8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F160" i="5" s="1"/>
  <c r="AR161" i="8"/>
  <c r="D160" i="5"/>
  <c r="BV160" i="8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F159" i="5"/>
  <c r="AR160" i="8"/>
  <c r="D159" i="5" s="1"/>
  <c r="BV159" i="8"/>
  <c r="BN159" i="8"/>
  <c r="BS159" i="8" s="1"/>
  <c r="K158" i="5" s="1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F158" i="5"/>
  <c r="AR159" i="8"/>
  <c r="D158" i="5"/>
  <c r="BV158" i="8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F157" i="5" s="1"/>
  <c r="AR158" i="8"/>
  <c r="D157" i="5" s="1"/>
  <c r="BV157" i="8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F156" i="5"/>
  <c r="AR157" i="8"/>
  <c r="D156" i="5"/>
  <c r="BV156" i="8"/>
  <c r="BN156" i="8"/>
  <c r="I155" i="5" s="1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F155" i="5" s="1"/>
  <c r="AR156" i="8"/>
  <c r="D155" i="5" s="1"/>
  <c r="BV155" i="8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F154" i="5"/>
  <c r="AR155" i="8"/>
  <c r="D154" i="5" s="1"/>
  <c r="BV154" i="8"/>
  <c r="BN154" i="8"/>
  <c r="I153" i="5" s="1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F153" i="5" s="1"/>
  <c r="AR154" i="8"/>
  <c r="D153" i="5"/>
  <c r="BV153" i="8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F152" i="5" s="1"/>
  <c r="AR153" i="8"/>
  <c r="D152" i="5"/>
  <c r="BV152" i="8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F151" i="5"/>
  <c r="AR152" i="8"/>
  <c r="D151" i="5" s="1"/>
  <c r="BV151" i="8"/>
  <c r="BN151" i="8"/>
  <c r="I150" i="5" s="1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F150" i="5"/>
  <c r="AR151" i="8"/>
  <c r="D150" i="5"/>
  <c r="BV150" i="8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F149" i="5" s="1"/>
  <c r="AR150" i="8"/>
  <c r="D149" i="5" s="1"/>
  <c r="BV149" i="8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F148" i="5"/>
  <c r="AR149" i="8"/>
  <c r="D148" i="5"/>
  <c r="BV148" i="8"/>
  <c r="BN148" i="8"/>
  <c r="BS148" i="8" s="1"/>
  <c r="K147" i="5" s="1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F147" i="5" s="1"/>
  <c r="AR148" i="8"/>
  <c r="D147" i="5" s="1"/>
  <c r="BV147" i="8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F146" i="5"/>
  <c r="AR147" i="8"/>
  <c r="D146" i="5" s="1"/>
  <c r="BV146" i="8"/>
  <c r="BN146" i="8"/>
  <c r="BS146" i="8" s="1"/>
  <c r="K145" i="5" s="1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F145" i="5" s="1"/>
  <c r="AR146" i="8"/>
  <c r="D145" i="5"/>
  <c r="BV145" i="8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F144" i="5" s="1"/>
  <c r="AR145" i="8"/>
  <c r="D144" i="5"/>
  <c r="BV144" i="8"/>
  <c r="BN144" i="8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F143" i="5"/>
  <c r="AR144" i="8"/>
  <c r="D143" i="5" s="1"/>
  <c r="BV143" i="8"/>
  <c r="BN143" i="8"/>
  <c r="BS143" i="8" s="1"/>
  <c r="K142" i="5" s="1"/>
  <c r="BM143" i="8"/>
  <c r="BL143" i="8"/>
  <c r="BK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T143" i="8"/>
  <c r="F142" i="5"/>
  <c r="AR143" i="8"/>
  <c r="D142" i="5"/>
  <c r="BV142" i="8"/>
  <c r="BN142" i="8"/>
  <c r="BM142" i="8"/>
  <c r="BL142" i="8"/>
  <c r="BK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T142" i="8"/>
  <c r="F141" i="5" s="1"/>
  <c r="AR142" i="8"/>
  <c r="D141" i="5" s="1"/>
  <c r="BV141" i="8"/>
  <c r="BN141" i="8"/>
  <c r="BM141" i="8"/>
  <c r="BL141" i="8"/>
  <c r="BK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T141" i="8"/>
  <c r="F140" i="5"/>
  <c r="AR141" i="8"/>
  <c r="D140" i="5"/>
  <c r="BV140" i="8"/>
  <c r="BN140" i="8"/>
  <c r="I139" i="5" s="1"/>
  <c r="BM140" i="8"/>
  <c r="BL140" i="8"/>
  <c r="BK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T140" i="8"/>
  <c r="F139" i="5" s="1"/>
  <c r="AR140" i="8"/>
  <c r="D139" i="5" s="1"/>
  <c r="BV139" i="8"/>
  <c r="BN139" i="8"/>
  <c r="BM139" i="8"/>
  <c r="BL139" i="8"/>
  <c r="BK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T139" i="8"/>
  <c r="F138" i="5"/>
  <c r="AR139" i="8"/>
  <c r="D138" i="5" s="1"/>
  <c r="BV138" i="8"/>
  <c r="BN138" i="8"/>
  <c r="I137" i="5" s="1"/>
  <c r="BM138" i="8"/>
  <c r="BL138" i="8"/>
  <c r="BK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T138" i="8"/>
  <c r="F137" i="5" s="1"/>
  <c r="AR138" i="8"/>
  <c r="D137" i="5"/>
  <c r="BV137" i="8"/>
  <c r="BN137" i="8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F136" i="5" s="1"/>
  <c r="AR137" i="8"/>
  <c r="D136" i="5"/>
  <c r="BV136" i="8"/>
  <c r="BN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F135" i="5"/>
  <c r="AR136" i="8"/>
  <c r="D135" i="5" s="1"/>
  <c r="BV135" i="8"/>
  <c r="BN135" i="8"/>
  <c r="I134" i="5" s="1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F134" i="5"/>
  <c r="AR135" i="8"/>
  <c r="D134" i="5"/>
  <c r="BV134" i="8"/>
  <c r="BN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F133" i="5" s="1"/>
  <c r="AR134" i="8"/>
  <c r="D133" i="5" s="1"/>
  <c r="BV133" i="8"/>
  <c r="BN133" i="8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F132" i="5"/>
  <c r="AR133" i="8"/>
  <c r="D132" i="5"/>
  <c r="BV132" i="8"/>
  <c r="BN132" i="8"/>
  <c r="BS132" i="8" s="1"/>
  <c r="K131" i="5" s="1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F131" i="5" s="1"/>
  <c r="AR132" i="8"/>
  <c r="D131" i="5" s="1"/>
  <c r="BV131" i="8"/>
  <c r="BN131" i="8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F130" i="5"/>
  <c r="AR131" i="8"/>
  <c r="D130" i="5" s="1"/>
  <c r="BV130" i="8"/>
  <c r="BN130" i="8"/>
  <c r="BS130" i="8" s="1"/>
  <c r="K129" i="5" s="1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F129" i="5" s="1"/>
  <c r="AR130" i="8"/>
  <c r="D129" i="5"/>
  <c r="BV129" i="8"/>
  <c r="BN129" i="8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F128" i="5" s="1"/>
  <c r="AR129" i="8"/>
  <c r="D128" i="5"/>
  <c r="BV128" i="8"/>
  <c r="BN128" i="8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/>
  <c r="AR128" i="8"/>
  <c r="D127" i="5" s="1"/>
  <c r="BV127" i="8"/>
  <c r="K126" i="5"/>
  <c r="F126" i="5"/>
  <c r="D126" i="5"/>
  <c r="BV126" i="8"/>
  <c r="F125" i="5"/>
  <c r="D125" i="5"/>
  <c r="BV125" i="8"/>
  <c r="F124" i="5"/>
  <c r="D124" i="5"/>
  <c r="BV124" i="8"/>
  <c r="I123" i="5"/>
  <c r="F123" i="5"/>
  <c r="D123" i="5"/>
  <c r="BV123" i="8"/>
  <c r="F122" i="5"/>
  <c r="D122" i="5"/>
  <c r="BV122" i="8"/>
  <c r="I121" i="5"/>
  <c r="F121" i="5"/>
  <c r="D121" i="5"/>
  <c r="BV121" i="8"/>
  <c r="F120" i="5"/>
  <c r="D120" i="5"/>
  <c r="BV120" i="8"/>
  <c r="F119" i="5"/>
  <c r="D119" i="5"/>
  <c r="BV119" i="8"/>
  <c r="I118" i="5"/>
  <c r="F118" i="5"/>
  <c r="D118" i="5"/>
  <c r="BV118" i="8"/>
  <c r="F117" i="5"/>
  <c r="D117" i="5"/>
  <c r="BV117" i="8"/>
  <c r="F116" i="5"/>
  <c r="D116" i="5"/>
  <c r="BV116" i="8"/>
  <c r="F115" i="5"/>
  <c r="D115" i="5"/>
  <c r="BV115" i="8"/>
  <c r="F114" i="5"/>
  <c r="D114" i="5"/>
  <c r="BV114" i="8"/>
  <c r="F113" i="5"/>
  <c r="D113" i="5"/>
  <c r="BV113" i="8"/>
  <c r="F112" i="5"/>
  <c r="D112" i="5"/>
  <c r="BV112" i="8"/>
  <c r="F111" i="5"/>
  <c r="D111" i="5"/>
  <c r="BV111" i="8"/>
  <c r="F110" i="5"/>
  <c r="D110" i="5"/>
  <c r="BV110" i="8"/>
  <c r="F109" i="5"/>
  <c r="D109" i="5"/>
  <c r="BV109" i="8"/>
  <c r="F108" i="5"/>
  <c r="D108" i="5"/>
  <c r="BV108" i="8"/>
  <c r="F107" i="5"/>
  <c r="D107" i="5"/>
  <c r="BV107" i="8"/>
  <c r="F106" i="5"/>
  <c r="D106" i="5"/>
  <c r="BV106" i="8"/>
  <c r="F105" i="5"/>
  <c r="D105" i="5"/>
  <c r="BV105" i="8"/>
  <c r="F104" i="5"/>
  <c r="D104" i="5"/>
  <c r="BV104" i="8"/>
  <c r="F103" i="5"/>
  <c r="D103" i="5"/>
  <c r="BV103" i="8"/>
  <c r="F102" i="5"/>
  <c r="D102" i="5"/>
  <c r="BV102" i="8"/>
  <c r="F101" i="5"/>
  <c r="D101" i="5"/>
  <c r="BV101" i="8"/>
  <c r="BV100" i="8"/>
  <c r="BV99" i="8"/>
  <c r="BV98" i="8"/>
  <c r="BV97" i="8"/>
  <c r="BV96" i="8"/>
  <c r="BV95" i="8"/>
  <c r="BV94" i="8"/>
  <c r="BV93" i="8"/>
  <c r="BV92" i="8"/>
  <c r="BV91" i="8"/>
  <c r="BV90" i="8"/>
  <c r="BV89" i="8"/>
  <c r="BV88" i="8"/>
  <c r="BV87" i="8"/>
  <c r="BV86" i="8"/>
  <c r="BV85" i="8"/>
  <c r="BV84" i="8"/>
  <c r="BV83" i="8"/>
  <c r="BV82" i="8"/>
  <c r="BV81" i="8"/>
  <c r="F80" i="5"/>
  <c r="BV80" i="8"/>
  <c r="F79" i="5"/>
  <c r="D79" i="5"/>
  <c r="BV79" i="8"/>
  <c r="F78" i="5"/>
  <c r="D78" i="5"/>
  <c r="BV78" i="8"/>
  <c r="F77" i="5"/>
  <c r="D77" i="5"/>
  <c r="BV77" i="8"/>
  <c r="F76" i="5"/>
  <c r="D76" i="5"/>
  <c r="BV76" i="8"/>
  <c r="F75" i="5"/>
  <c r="D75" i="5"/>
  <c r="BV75" i="8"/>
  <c r="F74" i="5"/>
  <c r="D74" i="5"/>
  <c r="BV74" i="8"/>
  <c r="F73" i="5"/>
  <c r="D73" i="5"/>
  <c r="BV73" i="8"/>
  <c r="F72" i="5"/>
  <c r="BV72" i="8"/>
  <c r="F71" i="5"/>
  <c r="D71" i="5"/>
  <c r="BV71" i="8"/>
  <c r="F70" i="5"/>
  <c r="D70" i="5"/>
  <c r="BV70" i="8"/>
  <c r="F69" i="5"/>
  <c r="D69" i="5"/>
  <c r="BV69" i="8"/>
  <c r="F68" i="5"/>
  <c r="D68" i="5"/>
  <c r="BV68" i="8"/>
  <c r="F67" i="5"/>
  <c r="D67" i="5"/>
  <c r="BV67" i="8"/>
  <c r="F66" i="5"/>
  <c r="D66" i="5"/>
  <c r="BV66" i="8"/>
  <c r="F65" i="5"/>
  <c r="D65" i="5"/>
  <c r="BV65" i="8"/>
  <c r="F64" i="5"/>
  <c r="D64" i="5"/>
  <c r="BV64" i="8"/>
  <c r="F63" i="5"/>
  <c r="D63" i="5"/>
  <c r="BV63" i="8"/>
  <c r="F62" i="5"/>
  <c r="D62" i="5"/>
  <c r="BV62" i="8"/>
  <c r="F61" i="5"/>
  <c r="D61" i="5"/>
  <c r="BV61" i="8"/>
  <c r="F60" i="5"/>
  <c r="BV60" i="8"/>
  <c r="F59" i="5"/>
  <c r="D59" i="5"/>
  <c r="BV59" i="8"/>
  <c r="F58" i="5"/>
  <c r="D58" i="5"/>
  <c r="BV58" i="8"/>
  <c r="F57" i="5"/>
  <c r="D57" i="5"/>
  <c r="BV57" i="8"/>
  <c r="F56" i="5"/>
  <c r="D56" i="5"/>
  <c r="BV56" i="8"/>
  <c r="F55" i="5"/>
  <c r="D55" i="5"/>
  <c r="BV55" i="8"/>
  <c r="F54" i="5"/>
  <c r="D54" i="5"/>
  <c r="BV54" i="8"/>
  <c r="F53" i="5"/>
  <c r="D53" i="5"/>
  <c r="BV53" i="8"/>
  <c r="F52" i="5"/>
  <c r="D52" i="5"/>
  <c r="BV52" i="8"/>
  <c r="I51" i="5"/>
  <c r="F51" i="5"/>
  <c r="D51" i="5"/>
  <c r="BV51" i="8"/>
  <c r="I50" i="5"/>
  <c r="F50" i="5"/>
  <c r="D50" i="5"/>
  <c r="BV50" i="8"/>
  <c r="I49" i="5"/>
  <c r="F49" i="5"/>
  <c r="D49" i="5"/>
  <c r="BV49" i="8"/>
  <c r="I48" i="5"/>
  <c r="F48" i="5"/>
  <c r="BV48" i="8"/>
  <c r="I47" i="5"/>
  <c r="D47" i="5"/>
  <c r="BV47" i="8"/>
  <c r="D46" i="5"/>
  <c r="BV46" i="8"/>
  <c r="D45" i="5"/>
  <c r="BV45" i="8"/>
  <c r="D44" i="5"/>
  <c r="BV44" i="8"/>
  <c r="D43" i="5"/>
  <c r="BV43" i="8"/>
  <c r="D42" i="5"/>
  <c r="BV42" i="8"/>
  <c r="D41" i="5"/>
  <c r="BV41" i="8"/>
  <c r="D40" i="5"/>
  <c r="BV40" i="8"/>
  <c r="D39" i="5"/>
  <c r="BV39" i="8"/>
  <c r="D38" i="5"/>
  <c r="BV38" i="8"/>
  <c r="D37" i="5"/>
  <c r="BV37" i="8"/>
  <c r="D36" i="5"/>
  <c r="BV36" i="8"/>
  <c r="D35" i="5"/>
  <c r="BV35" i="8"/>
  <c r="D34" i="5"/>
  <c r="BV34" i="8"/>
  <c r="D33" i="5"/>
  <c r="BV33" i="8"/>
  <c r="D32" i="5"/>
  <c r="BV32" i="8"/>
  <c r="D31" i="5"/>
  <c r="BV31" i="8"/>
  <c r="D30" i="5"/>
  <c r="BV30" i="8"/>
  <c r="D29" i="5"/>
  <c r="BV29" i="8"/>
  <c r="D28" i="5"/>
  <c r="BV28" i="8"/>
  <c r="D27" i="5"/>
  <c r="BV27" i="8"/>
  <c r="D26" i="5"/>
  <c r="BV26" i="8"/>
  <c r="D25" i="5"/>
  <c r="BV25" i="8"/>
  <c r="F24" i="5"/>
  <c r="D24" i="5"/>
  <c r="BV24" i="8"/>
  <c r="I23" i="5"/>
  <c r="F23" i="5"/>
  <c r="D23" i="5"/>
  <c r="BV23" i="8"/>
  <c r="F22" i="5"/>
  <c r="D22" i="5"/>
  <c r="BV22" i="8"/>
  <c r="F21" i="5"/>
  <c r="D21" i="5"/>
  <c r="BV21" i="8"/>
  <c r="D20" i="5"/>
  <c r="BV20" i="8"/>
  <c r="K19" i="5"/>
  <c r="F19" i="5"/>
  <c r="D19" i="5"/>
  <c r="BV19" i="8"/>
  <c r="D18" i="5"/>
  <c r="BV18" i="8"/>
  <c r="D17" i="5"/>
  <c r="BV17" i="8"/>
  <c r="F16" i="5"/>
  <c r="D16" i="5"/>
  <c r="BV16" i="8"/>
  <c r="I15" i="5"/>
  <c r="D15" i="5"/>
  <c r="BV15" i="8"/>
  <c r="F14" i="5"/>
  <c r="D14" i="5"/>
  <c r="BV14" i="8"/>
  <c r="F13" i="5"/>
  <c r="D13" i="5"/>
  <c r="BV13" i="8"/>
  <c r="D12" i="5"/>
  <c r="BV12" i="8"/>
  <c r="K11" i="5"/>
  <c r="I11" i="5"/>
  <c r="F11" i="5"/>
  <c r="D11" i="5"/>
  <c r="BV11" i="8"/>
  <c r="F10" i="5"/>
  <c r="D10" i="5"/>
  <c r="BV10" i="8"/>
  <c r="I9" i="5"/>
  <c r="D9" i="5"/>
  <c r="BV9" i="8"/>
  <c r="D8" i="5"/>
  <c r="BV8" i="8"/>
  <c r="I7" i="5"/>
  <c r="F7" i="5"/>
  <c r="D7" i="5"/>
  <c r="BV7" i="8"/>
  <c r="D6" i="5"/>
  <c r="BV6" i="8"/>
  <c r="F5" i="5"/>
  <c r="D5" i="5"/>
  <c r="BV5" i="8"/>
  <c r="F4" i="5"/>
  <c r="D4" i="5"/>
  <c r="BV4" i="8"/>
  <c r="F3" i="5"/>
  <c r="D3" i="5"/>
  <c r="BV3" i="8"/>
  <c r="BU3" i="8" a="1"/>
  <c r="BU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J13" i="8"/>
  <c r="AL13" i="8"/>
  <c r="H3" i="6"/>
  <c r="AJ14" i="8"/>
  <c r="F4" i="6"/>
  <c r="AJ15" i="8"/>
  <c r="AL15" i="8"/>
  <c r="H5" i="6"/>
  <c r="AJ12" i="8"/>
  <c r="F2" i="6"/>
  <c r="AH13" i="8"/>
  <c r="AH14" i="8"/>
  <c r="D4" i="6"/>
  <c r="AH15" i="8"/>
  <c r="AH12" i="8"/>
  <c r="D2" i="6"/>
  <c r="B4" i="3"/>
  <c r="B2" i="3"/>
  <c r="C10" i="4"/>
  <c r="E10" i="4"/>
  <c r="G10" i="4"/>
  <c r="I10" i="4"/>
  <c r="C11" i="4"/>
  <c r="E11" i="4"/>
  <c r="I11" i="4"/>
  <c r="C12" i="4"/>
  <c r="E12" i="4"/>
  <c r="G12" i="4"/>
  <c r="I12" i="4"/>
  <c r="C13" i="4"/>
  <c r="E13" i="4"/>
  <c r="C14" i="4"/>
  <c r="E14" i="4"/>
  <c r="G14" i="4"/>
  <c r="C15" i="4"/>
  <c r="E15" i="4"/>
  <c r="G15" i="4"/>
  <c r="C16" i="4"/>
  <c r="E16" i="4"/>
  <c r="G16" i="4"/>
  <c r="I16" i="4"/>
  <c r="C17" i="4"/>
  <c r="E17" i="4"/>
  <c r="G17" i="4"/>
  <c r="C18" i="4"/>
  <c r="E18" i="4"/>
  <c r="G18" i="4"/>
  <c r="I18" i="4"/>
  <c r="C19" i="4"/>
  <c r="E19" i="4"/>
  <c r="G19" i="4"/>
  <c r="C20" i="4"/>
  <c r="E20" i="4"/>
  <c r="G20" i="4"/>
  <c r="C21" i="4"/>
  <c r="E21" i="4"/>
  <c r="G21" i="4"/>
  <c r="I21" i="4"/>
  <c r="E9" i="4"/>
  <c r="G9" i="4"/>
  <c r="I9" i="4"/>
  <c r="C9" i="4"/>
  <c r="C3" i="4"/>
  <c r="E3" i="4"/>
  <c r="C4" i="4"/>
  <c r="E4" i="4"/>
  <c r="G4" i="4"/>
  <c r="C5" i="4"/>
  <c r="E5" i="4"/>
  <c r="G5" i="4"/>
  <c r="I5" i="4"/>
  <c r="E2" i="4"/>
  <c r="G2" i="4"/>
  <c r="I2" i="4"/>
  <c r="C2" i="4"/>
  <c r="B3" i="3"/>
  <c r="C2" i="2"/>
  <c r="B2" i="2"/>
  <c r="D2" i="2"/>
  <c r="D23" i="2" s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G3" i="2" s="1"/>
  <c r="C4" i="2"/>
  <c r="C5" i="2"/>
  <c r="C6" i="2"/>
  <c r="C7" i="2"/>
  <c r="C8" i="2"/>
  <c r="C9" i="2"/>
  <c r="C10" i="2"/>
  <c r="C11" i="2"/>
  <c r="C12" i="2"/>
  <c r="C13" i="2"/>
  <c r="C14" i="2"/>
  <c r="G14" i="2" s="1"/>
  <c r="C15" i="2"/>
  <c r="G15" i="2" s="1"/>
  <c r="C16" i="2"/>
  <c r="C17" i="2"/>
  <c r="C18" i="2"/>
  <c r="C19" i="2"/>
  <c r="G19" i="2" s="1"/>
  <c r="C20" i="2"/>
  <c r="B10" i="2"/>
  <c r="D10" i="2"/>
  <c r="B13" i="2"/>
  <c r="G13" i="2" s="1"/>
  <c r="D13" i="2"/>
  <c r="B9" i="2"/>
  <c r="D9" i="2"/>
  <c r="G9" i="2" s="1"/>
  <c r="B17" i="2"/>
  <c r="D17" i="2"/>
  <c r="D3" i="2"/>
  <c r="D4" i="2"/>
  <c r="G4" i="2" s="1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G18" i="2" s="1"/>
  <c r="B6" i="2"/>
  <c r="B7" i="2"/>
  <c r="B8" i="2"/>
  <c r="B12" i="2"/>
  <c r="G12" i="2" s="1"/>
  <c r="B14" i="2"/>
  <c r="B4" i="2"/>
  <c r="B16" i="2"/>
  <c r="G16" i="2" s="1"/>
  <c r="B20" i="2"/>
  <c r="G20" i="2" s="1"/>
  <c r="F23" i="2"/>
  <c r="B3" i="2"/>
  <c r="B5" i="2"/>
  <c r="G5" i="2" s="1"/>
  <c r="B11" i="2"/>
  <c r="G11" i="2" s="1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I16" i="8"/>
  <c r="AK16" i="8"/>
  <c r="AG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D4" i="1" s="1"/>
  <c r="B5" i="1"/>
  <c r="D5" i="1" s="1"/>
  <c r="C5" i="1"/>
  <c r="B6" i="1"/>
  <c r="D6" i="1" s="1"/>
  <c r="C6" i="1"/>
  <c r="B7" i="1"/>
  <c r="D7" i="1" s="1"/>
  <c r="C7" i="1"/>
  <c r="B8" i="1"/>
  <c r="C8" i="1"/>
  <c r="D8" i="1" s="1"/>
  <c r="B9" i="1"/>
  <c r="C9" i="1"/>
  <c r="B10" i="1"/>
  <c r="D10" i="1" s="1"/>
  <c r="C10" i="1"/>
  <c r="B11" i="1"/>
  <c r="C11" i="1"/>
  <c r="B12" i="1"/>
  <c r="D12" i="1" s="1"/>
  <c r="C12" i="1"/>
  <c r="B13" i="1"/>
  <c r="C13" i="1"/>
  <c r="B14" i="1"/>
  <c r="C14" i="1"/>
  <c r="D14" i="1" s="1"/>
  <c r="B15" i="1"/>
  <c r="C15" i="1"/>
  <c r="B16" i="1"/>
  <c r="C16" i="1"/>
  <c r="D16" i="1" s="1"/>
  <c r="B17" i="1"/>
  <c r="C17" i="1"/>
  <c r="B18" i="1"/>
  <c r="D18" i="1" s="1"/>
  <c r="C18" i="1"/>
  <c r="B19" i="1"/>
  <c r="C19" i="1"/>
  <c r="B20" i="1"/>
  <c r="D20" i="1" s="1"/>
  <c r="C20" i="1"/>
  <c r="B21" i="1"/>
  <c r="C21" i="1"/>
  <c r="B3" i="1"/>
  <c r="D3" i="1" s="1"/>
  <c r="C3" i="1"/>
  <c r="AC17" i="8"/>
  <c r="U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S25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BS129" i="8"/>
  <c r="K128" i="5"/>
  <c r="I128" i="5"/>
  <c r="BS133" i="8"/>
  <c r="K132" i="5" s="1"/>
  <c r="I132" i="5"/>
  <c r="BS137" i="8"/>
  <c r="K136" i="5"/>
  <c r="I136" i="5"/>
  <c r="BS141" i="8"/>
  <c r="K140" i="5" s="1"/>
  <c r="I140" i="5"/>
  <c r="BS145" i="8"/>
  <c r="K144" i="5"/>
  <c r="I144" i="5"/>
  <c r="BS149" i="8"/>
  <c r="K148" i="5" s="1"/>
  <c r="I148" i="5"/>
  <c r="BS153" i="8"/>
  <c r="K152" i="5" s="1"/>
  <c r="I152" i="5"/>
  <c r="BS157" i="8"/>
  <c r="K156" i="5"/>
  <c r="I156" i="5"/>
  <c r="BS161" i="8"/>
  <c r="K160" i="5"/>
  <c r="I160" i="5"/>
  <c r="BS165" i="8"/>
  <c r="K164" i="5" s="1"/>
  <c r="I164" i="5"/>
  <c r="BS169" i="8"/>
  <c r="K168" i="5"/>
  <c r="I168" i="5"/>
  <c r="BS173" i="8"/>
  <c r="K172" i="5"/>
  <c r="I172" i="5"/>
  <c r="BS177" i="8"/>
  <c r="K176" i="5"/>
  <c r="I176" i="5"/>
  <c r="BS181" i="8"/>
  <c r="K180" i="5" s="1"/>
  <c r="I180" i="5"/>
  <c r="BS185" i="8"/>
  <c r="K184" i="5"/>
  <c r="I184" i="5"/>
  <c r="BS189" i="8"/>
  <c r="K188" i="5"/>
  <c r="I188" i="5"/>
  <c r="BS193" i="8"/>
  <c r="K192" i="5"/>
  <c r="I192" i="5"/>
  <c r="BS197" i="8"/>
  <c r="K196" i="5" s="1"/>
  <c r="I196" i="5"/>
  <c r="BS201" i="8"/>
  <c r="K200" i="5"/>
  <c r="I200" i="5"/>
  <c r="BS205" i="8"/>
  <c r="K204" i="5" s="1"/>
  <c r="I204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BS134" i="8"/>
  <c r="K133" i="5" s="1"/>
  <c r="I133" i="5"/>
  <c r="BS142" i="8"/>
  <c r="K141" i="5" s="1"/>
  <c r="I141" i="5"/>
  <c r="I145" i="5"/>
  <c r="BS150" i="8"/>
  <c r="K149" i="5" s="1"/>
  <c r="I149" i="5"/>
  <c r="BS158" i="8"/>
  <c r="K157" i="5"/>
  <c r="I157" i="5"/>
  <c r="K161" i="5"/>
  <c r="BS166" i="8"/>
  <c r="K165" i="5" s="1"/>
  <c r="I165" i="5"/>
  <c r="BS170" i="8"/>
  <c r="K169" i="5" s="1"/>
  <c r="BS174" i="8"/>
  <c r="K173" i="5"/>
  <c r="I173" i="5"/>
  <c r="BS182" i="8"/>
  <c r="K181" i="5" s="1"/>
  <c r="I181" i="5"/>
  <c r="BS190" i="8"/>
  <c r="K189" i="5"/>
  <c r="I189" i="5"/>
  <c r="BS198" i="8"/>
  <c r="K197" i="5" s="1"/>
  <c r="I197" i="5"/>
  <c r="BS202" i="8"/>
  <c r="K201" i="5"/>
  <c r="I201" i="5"/>
  <c r="BS206" i="8"/>
  <c r="K205" i="5"/>
  <c r="I205" i="5"/>
  <c r="BS210" i="8"/>
  <c r="K209" i="5"/>
  <c r="I209" i="5"/>
  <c r="BS214" i="8"/>
  <c r="K213" i="5" s="1"/>
  <c r="I213" i="5"/>
  <c r="BS218" i="8"/>
  <c r="K217" i="5"/>
  <c r="I217" i="5"/>
  <c r="BS222" i="8"/>
  <c r="K221" i="5" s="1"/>
  <c r="BS226" i="8"/>
  <c r="K225" i="5"/>
  <c r="I225" i="5"/>
  <c r="BS230" i="8"/>
  <c r="K229" i="5" s="1"/>
  <c r="I229" i="5"/>
  <c r="BS234" i="8"/>
  <c r="K233" i="5" s="1"/>
  <c r="I233" i="5"/>
  <c r="BS238" i="8"/>
  <c r="K237" i="5"/>
  <c r="I237" i="5"/>
  <c r="BS242" i="8"/>
  <c r="K241" i="5"/>
  <c r="I241" i="5"/>
  <c r="BS246" i="8"/>
  <c r="K245" i="5" s="1"/>
  <c r="I245" i="5"/>
  <c r="BS250" i="8"/>
  <c r="K249" i="5"/>
  <c r="I249" i="5"/>
  <c r="BS209" i="8"/>
  <c r="K208" i="5"/>
  <c r="I208" i="5"/>
  <c r="BS213" i="8"/>
  <c r="K212" i="5"/>
  <c r="I212" i="5"/>
  <c r="BS217" i="8"/>
  <c r="K216" i="5" s="1"/>
  <c r="I216" i="5"/>
  <c r="BS221" i="8"/>
  <c r="K220" i="5"/>
  <c r="I220" i="5"/>
  <c r="BS225" i="8"/>
  <c r="K224" i="5"/>
  <c r="I224" i="5"/>
  <c r="BS229" i="8"/>
  <c r="K228" i="5"/>
  <c r="I228" i="5"/>
  <c r="BS233" i="8"/>
  <c r="K232" i="5" s="1"/>
  <c r="I232" i="5"/>
  <c r="BS237" i="8"/>
  <c r="K236" i="5"/>
  <c r="I236" i="5"/>
  <c r="BS241" i="8"/>
  <c r="K240" i="5"/>
  <c r="I240" i="5"/>
  <c r="BS245" i="8"/>
  <c r="K244" i="5"/>
  <c r="I244" i="5"/>
  <c r="BS249" i="8"/>
  <c r="K248" i="5" s="1"/>
  <c r="I248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BS131" i="8"/>
  <c r="K130" i="5" s="1"/>
  <c r="I130" i="5"/>
  <c r="BS135" i="8"/>
  <c r="K134" i="5"/>
  <c r="BS139" i="8"/>
  <c r="K138" i="5"/>
  <c r="I138" i="5"/>
  <c r="I142" i="5"/>
  <c r="BS147" i="8"/>
  <c r="K146" i="5" s="1"/>
  <c r="I146" i="5"/>
  <c r="BS151" i="8"/>
  <c r="K150" i="5"/>
  <c r="BS155" i="8"/>
  <c r="K154" i="5"/>
  <c r="I154" i="5"/>
  <c r="I158" i="5"/>
  <c r="BS163" i="8"/>
  <c r="K162" i="5" s="1"/>
  <c r="I162" i="5"/>
  <c r="BS167" i="8"/>
  <c r="K166" i="5"/>
  <c r="BS171" i="8"/>
  <c r="K170" i="5"/>
  <c r="I170" i="5"/>
  <c r="I174" i="5"/>
  <c r="BS179" i="8"/>
  <c r="K178" i="5" s="1"/>
  <c r="I178" i="5"/>
  <c r="BS183" i="8"/>
  <c r="K182" i="5"/>
  <c r="BS187" i="8"/>
  <c r="K186" i="5"/>
  <c r="I186" i="5"/>
  <c r="I190" i="5"/>
  <c r="BS195" i="8"/>
  <c r="K194" i="5" s="1"/>
  <c r="I194" i="5"/>
  <c r="I202" i="5"/>
  <c r="I206" i="5"/>
  <c r="BS211" i="8"/>
  <c r="K210" i="5" s="1"/>
  <c r="BS215" i="8"/>
  <c r="K214" i="5"/>
  <c r="I214" i="5"/>
  <c r="BS219" i="8"/>
  <c r="K218" i="5"/>
  <c r="I218" i="5"/>
  <c r="BS223" i="8"/>
  <c r="K222" i="5"/>
  <c r="I222" i="5"/>
  <c r="BS227" i="8"/>
  <c r="K226" i="5" s="1"/>
  <c r="I226" i="5"/>
  <c r="BS231" i="8"/>
  <c r="K230" i="5"/>
  <c r="I234" i="5"/>
  <c r="I238" i="5"/>
  <c r="BS243" i="8"/>
  <c r="K242" i="5" s="1"/>
  <c r="BS247" i="8"/>
  <c r="K246" i="5"/>
  <c r="I246" i="5"/>
  <c r="BS251" i="8"/>
  <c r="K250" i="5"/>
  <c r="I250" i="5"/>
  <c r="K103" i="5"/>
  <c r="I103" i="5"/>
  <c r="K107" i="5"/>
  <c r="I107" i="5"/>
  <c r="K111" i="5"/>
  <c r="I111" i="5"/>
  <c r="K115" i="5"/>
  <c r="I115" i="5"/>
  <c r="K119" i="5"/>
  <c r="I119" i="5"/>
  <c r="K123" i="5"/>
  <c r="BS128" i="8"/>
  <c r="K127" i="5"/>
  <c r="I127" i="5"/>
  <c r="I131" i="5"/>
  <c r="BS136" i="8"/>
  <c r="K135" i="5"/>
  <c r="I135" i="5"/>
  <c r="BS140" i="8"/>
  <c r="K139" i="5" s="1"/>
  <c r="BS144" i="8"/>
  <c r="K143" i="5"/>
  <c r="I143" i="5"/>
  <c r="I147" i="5"/>
  <c r="BS152" i="8"/>
  <c r="K151" i="5"/>
  <c r="I151" i="5"/>
  <c r="BS156" i="8"/>
  <c r="K155" i="5" s="1"/>
  <c r="BS160" i="8"/>
  <c r="K159" i="5"/>
  <c r="I159" i="5"/>
  <c r="I163" i="5"/>
  <c r="BS168" i="8"/>
  <c r="K167" i="5"/>
  <c r="I167" i="5"/>
  <c r="BS172" i="8"/>
  <c r="K171" i="5" s="1"/>
  <c r="BS176" i="8"/>
  <c r="K175" i="5"/>
  <c r="I175" i="5"/>
  <c r="I179" i="5"/>
  <c r="BS184" i="8"/>
  <c r="K183" i="5"/>
  <c r="I183" i="5"/>
  <c r="BS188" i="8"/>
  <c r="K187" i="5" s="1"/>
  <c r="BS192" i="8"/>
  <c r="K191" i="5"/>
  <c r="I191" i="5"/>
  <c r="I195" i="5"/>
  <c r="I199" i="5"/>
  <c r="BS204" i="8"/>
  <c r="K203" i="5" s="1"/>
  <c r="I203" i="5"/>
  <c r="BS208" i="8"/>
  <c r="K207" i="5"/>
  <c r="I207" i="5"/>
  <c r="BS212" i="8"/>
  <c r="K211" i="5"/>
  <c r="I211" i="5"/>
  <c r="BS216" i="8"/>
  <c r="K215" i="5"/>
  <c r="I215" i="5"/>
  <c r="BS220" i="8"/>
  <c r="K219" i="5" s="1"/>
  <c r="BS224" i="8"/>
  <c r="K223" i="5"/>
  <c r="I227" i="5"/>
  <c r="I231" i="5"/>
  <c r="BS236" i="8"/>
  <c r="K235" i="5" s="1"/>
  <c r="I235" i="5"/>
  <c r="BS240" i="8"/>
  <c r="K239" i="5"/>
  <c r="I239" i="5"/>
  <c r="BS244" i="8"/>
  <c r="K243" i="5"/>
  <c r="I243" i="5"/>
  <c r="BS248" i="8"/>
  <c r="K247" i="5"/>
  <c r="I247" i="5"/>
  <c r="F5" i="6"/>
  <c r="C6" i="6"/>
  <c r="E6" i="6"/>
  <c r="G8" i="2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19" i="1"/>
  <c r="D15" i="1"/>
  <c r="AJ16" i="8"/>
  <c r="AL12" i="8"/>
  <c r="AH16" i="8"/>
  <c r="AL14" i="8"/>
  <c r="H4" i="6"/>
  <c r="K47" i="5"/>
  <c r="L26" i="8"/>
  <c r="G10" i="2"/>
  <c r="E6" i="4"/>
  <c r="BU20" i="8"/>
  <c r="BU63" i="8"/>
  <c r="BU105" i="8"/>
  <c r="BU148" i="8"/>
  <c r="BU191" i="8"/>
  <c r="BU233" i="8"/>
  <c r="BU276" i="8"/>
  <c r="BU324" i="8"/>
  <c r="BU380" i="8"/>
  <c r="BU437" i="8"/>
  <c r="BU506" i="8"/>
  <c r="BU582" i="8"/>
  <c r="BU657" i="8"/>
  <c r="BU757" i="8"/>
  <c r="BU860" i="8"/>
  <c r="BU960" i="8"/>
  <c r="BU1061" i="8"/>
  <c r="BU1190" i="8"/>
  <c r="BU1362" i="8"/>
  <c r="BU1642" i="8"/>
  <c r="BU36" i="8"/>
  <c r="BU79" i="8"/>
  <c r="BU121" i="8"/>
  <c r="BU164" i="8"/>
  <c r="BU207" i="8"/>
  <c r="BU249" i="8"/>
  <c r="BU292" i="8"/>
  <c r="BU345" i="8"/>
  <c r="BU401" i="8"/>
  <c r="BU458" i="8"/>
  <c r="BU534" i="8"/>
  <c r="BU612" i="8"/>
  <c r="BU693" i="8"/>
  <c r="BU796" i="8"/>
  <c r="BU897" i="8"/>
  <c r="BU997" i="8"/>
  <c r="BU1098" i="8"/>
  <c r="BU1248" i="8"/>
  <c r="BU1466" i="8"/>
  <c r="BU1753" i="8"/>
  <c r="K51" i="5"/>
  <c r="BU297" i="8"/>
  <c r="K15" i="5"/>
  <c r="K23" i="5"/>
  <c r="BU1800" i="8"/>
  <c r="BU1722" i="8"/>
  <c r="BU1618" i="8"/>
  <c r="BU1514" i="8"/>
  <c r="BU1416" i="8"/>
  <c r="BU1694" i="8"/>
  <c r="BU1566" i="8"/>
  <c r="BU1438" i="8"/>
  <c r="BU1316" i="8"/>
  <c r="BU1226" i="8"/>
  <c r="BU1152" i="8"/>
  <c r="BU1088" i="8"/>
  <c r="BU1034" i="8"/>
  <c r="BU985" i="8"/>
  <c r="BU934" i="8"/>
  <c r="BU884" i="8"/>
  <c r="BU833" i="8"/>
  <c r="BU784" i="8"/>
  <c r="BU732" i="8"/>
  <c r="BU682" i="8"/>
  <c r="BU640" i="8"/>
  <c r="BU601" i="8"/>
  <c r="BU564" i="8"/>
  <c r="BU526" i="8"/>
  <c r="BU486" i="8"/>
  <c r="BU452" i="8"/>
  <c r="BU422" i="8"/>
  <c r="BU394" i="8"/>
  <c r="BU366" i="8"/>
  <c r="BU337" i="8"/>
  <c r="BU309" i="8"/>
  <c r="BU287" i="8"/>
  <c r="BU265" i="8"/>
  <c r="BU244" i="8"/>
  <c r="BU223" i="8"/>
  <c r="BU201" i="8"/>
  <c r="BU180" i="8"/>
  <c r="BU159" i="8"/>
  <c r="BU137" i="8"/>
  <c r="BU116" i="8"/>
  <c r="BU95" i="8"/>
  <c r="BU73" i="8"/>
  <c r="BU52" i="8"/>
  <c r="BU31" i="8"/>
  <c r="BU1666" i="8"/>
  <c r="BU1544" i="8"/>
  <c r="BU1390" i="8"/>
  <c r="BU1288" i="8"/>
  <c r="BU1209" i="8"/>
  <c r="BU1134" i="8"/>
  <c r="BU1073" i="8"/>
  <c r="BU1024" i="8"/>
  <c r="BU974" i="8"/>
  <c r="BU921" i="8"/>
  <c r="BU870" i="8"/>
  <c r="BU821" i="8"/>
  <c r="BU769" i="8"/>
  <c r="BU720" i="8"/>
  <c r="BU670" i="8"/>
  <c r="BU629" i="8"/>
  <c r="BU592" i="8"/>
  <c r="BU554" i="8"/>
  <c r="BU516" i="8"/>
  <c r="BU478" i="8"/>
  <c r="BU444" i="8"/>
  <c r="BU416" i="8"/>
  <c r="BU388" i="8"/>
  <c r="BU358" i="8"/>
  <c r="BU330" i="8"/>
  <c r="BU303" i="8"/>
  <c r="BU281" i="8"/>
  <c r="BU260" i="8"/>
  <c r="BU239" i="8"/>
  <c r="BU217" i="8"/>
  <c r="BU196" i="8"/>
  <c r="BU175" i="8"/>
  <c r="BU153" i="8"/>
  <c r="BU132" i="8"/>
  <c r="BU111" i="8"/>
  <c r="BU89" i="8"/>
  <c r="BU68" i="8"/>
  <c r="BU47" i="8"/>
  <c r="BU25" i="8"/>
  <c r="BU4" i="8"/>
  <c r="BU41" i="8"/>
  <c r="BU84" i="8"/>
  <c r="BU127" i="8"/>
  <c r="BU169" i="8"/>
  <c r="BU212" i="8"/>
  <c r="BU255" i="8"/>
  <c r="BU352" i="8"/>
  <c r="BU409" i="8"/>
  <c r="BU469" i="8"/>
  <c r="BU544" i="8"/>
  <c r="BU620" i="8"/>
  <c r="BU708" i="8"/>
  <c r="BU806" i="8"/>
  <c r="BU910" i="8"/>
  <c r="BU1012" i="8"/>
  <c r="BU1265" i="8"/>
  <c r="BU1490" i="8"/>
  <c r="BU1792" i="8"/>
  <c r="K9" i="5"/>
  <c r="BU15" i="8"/>
  <c r="BU57" i="8"/>
  <c r="BU100" i="8"/>
  <c r="BU143" i="8"/>
  <c r="BU185" i="8"/>
  <c r="BU228" i="8"/>
  <c r="BU271" i="8"/>
  <c r="BU316" i="8"/>
  <c r="BU373" i="8"/>
  <c r="BU430" i="8"/>
  <c r="BU497" i="8"/>
  <c r="BU572" i="8"/>
  <c r="BU649" i="8"/>
  <c r="BU746" i="8"/>
  <c r="BU846" i="8"/>
  <c r="BU948" i="8"/>
  <c r="BU1049" i="8"/>
  <c r="BU1169" i="8"/>
  <c r="BU1338" i="8"/>
  <c r="BU1589" i="8"/>
  <c r="I3" i="5"/>
  <c r="K3" i="5"/>
  <c r="G17" i="2"/>
  <c r="D13" i="1"/>
  <c r="D11" i="1"/>
  <c r="D21" i="1"/>
  <c r="I19" i="5"/>
  <c r="E23" i="2"/>
  <c r="G7" i="2"/>
  <c r="G6" i="2"/>
  <c r="D17" i="1"/>
  <c r="D9" i="1"/>
  <c r="K2" i="5"/>
  <c r="I2" i="5"/>
  <c r="BU16" i="8"/>
  <c r="BU21" i="8"/>
  <c r="BU27" i="8"/>
  <c r="BU32" i="8"/>
  <c r="BU37" i="8"/>
  <c r="BU43" i="8"/>
  <c r="BU48" i="8"/>
  <c r="BU53" i="8"/>
  <c r="BU59" i="8"/>
  <c r="BU64" i="8"/>
  <c r="BU69" i="8"/>
  <c r="BU75" i="8"/>
  <c r="BU80" i="8"/>
  <c r="BU85" i="8"/>
  <c r="BU91" i="8"/>
  <c r="BU96" i="8"/>
  <c r="BU101" i="8"/>
  <c r="BU107" i="8"/>
  <c r="BU112" i="8"/>
  <c r="BU117" i="8"/>
  <c r="BU123" i="8"/>
  <c r="BU128" i="8"/>
  <c r="BU133" i="8"/>
  <c r="BU139" i="8"/>
  <c r="BU144" i="8"/>
  <c r="BU149" i="8"/>
  <c r="BU155" i="8"/>
  <c r="BU160" i="8"/>
  <c r="BU165" i="8"/>
  <c r="BU171" i="8"/>
  <c r="BU176" i="8"/>
  <c r="BU181" i="8"/>
  <c r="BU187" i="8"/>
  <c r="BU192" i="8"/>
  <c r="BU197" i="8"/>
  <c r="BU203" i="8"/>
  <c r="BU208" i="8"/>
  <c r="BU213" i="8"/>
  <c r="BU219" i="8"/>
  <c r="BU224" i="8"/>
  <c r="BU229" i="8"/>
  <c r="BU235" i="8"/>
  <c r="BU240" i="8"/>
  <c r="BU245" i="8"/>
  <c r="BU251" i="8"/>
  <c r="BU256" i="8"/>
  <c r="BU261" i="8"/>
  <c r="BU267" i="8"/>
  <c r="BU272" i="8"/>
  <c r="BU277" i="8"/>
  <c r="BU283" i="8"/>
  <c r="BU288" i="8"/>
  <c r="BU293" i="8"/>
  <c r="BU299" i="8"/>
  <c r="BU304" i="8"/>
  <c r="BU310" i="8"/>
  <c r="BU318" i="8"/>
  <c r="BU325" i="8"/>
  <c r="BU332" i="8"/>
  <c r="BU340" i="8"/>
  <c r="BU346" i="8"/>
  <c r="BU353" i="8"/>
  <c r="BU361" i="8"/>
  <c r="BU368" i="8"/>
  <c r="BU374" i="8"/>
  <c r="BU382" i="8"/>
  <c r="BU389" i="8"/>
  <c r="BU396" i="8"/>
  <c r="BU404" i="8"/>
  <c r="BU410" i="8"/>
  <c r="BU417" i="8"/>
  <c r="BU425" i="8"/>
  <c r="BU432" i="8"/>
  <c r="BU438" i="8"/>
  <c r="BU446" i="8"/>
  <c r="BU453" i="8"/>
  <c r="BU462" i="8"/>
  <c r="BU470" i="8"/>
  <c r="BU480" i="8"/>
  <c r="BU490" i="8"/>
  <c r="BU500" i="8"/>
  <c r="BU508" i="8"/>
  <c r="BU518" i="8"/>
  <c r="BU528" i="8"/>
  <c r="BU537" i="8"/>
  <c r="BU548" i="8"/>
  <c r="BU556" i="8"/>
  <c r="BU565" i="8"/>
  <c r="BU576" i="8"/>
  <c r="BU585" i="8"/>
  <c r="BU593" i="8"/>
  <c r="BU604" i="8"/>
  <c r="BU613" i="8"/>
  <c r="BU622" i="8"/>
  <c r="BU633" i="8"/>
  <c r="BU641" i="8"/>
  <c r="BU650" i="8"/>
  <c r="BU661" i="8"/>
  <c r="BU672" i="8"/>
  <c r="BU684" i="8"/>
  <c r="BU698" i="8"/>
  <c r="BU710" i="8"/>
  <c r="BU721" i="8"/>
  <c r="BU736" i="8"/>
  <c r="BU748" i="8"/>
  <c r="BU761" i="8"/>
  <c r="BU774" i="8"/>
  <c r="BU785" i="8"/>
  <c r="BU798" i="8"/>
  <c r="BU812" i="8"/>
  <c r="BU825" i="8"/>
  <c r="BU836" i="8"/>
  <c r="BU849" i="8"/>
  <c r="BU862" i="8"/>
  <c r="BU874" i="8"/>
  <c r="BU889" i="8"/>
  <c r="BU900" i="8"/>
  <c r="BU912" i="8"/>
  <c r="BU926" i="8"/>
  <c r="BU938" i="8"/>
  <c r="BU949" i="8"/>
  <c r="BU964" i="8"/>
  <c r="BU976" i="8"/>
  <c r="BU988" i="8"/>
  <c r="BU1002" i="8"/>
  <c r="BU1013" i="8"/>
  <c r="BU1025" i="8"/>
  <c r="BU1040" i="8"/>
  <c r="BU1052" i="8"/>
  <c r="BU1062" i="8"/>
  <c r="BU1077" i="8"/>
  <c r="BU1089" i="8"/>
  <c r="BU1102" i="8"/>
  <c r="BU1120" i="8"/>
  <c r="BU1137" i="8"/>
  <c r="BU1156" i="8"/>
  <c r="BU1177" i="8"/>
  <c r="BU1194" i="8"/>
  <c r="BU1212" i="8"/>
  <c r="BU1233" i="8"/>
  <c r="BU1252" i="8"/>
  <c r="BU1269" i="8"/>
  <c r="BU1296" i="8"/>
  <c r="BU1320" i="8"/>
  <c r="BU1344" i="8"/>
  <c r="BU1373" i="8"/>
  <c r="BU1396" i="8"/>
  <c r="BU1418" i="8"/>
  <c r="BU1448" i="8"/>
  <c r="BU1472" i="8"/>
  <c r="BU1496" i="8"/>
  <c r="BU1524" i="8"/>
  <c r="BU1546" i="8"/>
  <c r="BU1572" i="8"/>
  <c r="BU1600" i="8"/>
  <c r="BU1624" i="8"/>
  <c r="BU1646" i="8"/>
  <c r="BU1674" i="8"/>
  <c r="BU1700" i="8"/>
  <c r="BU1728" i="8"/>
  <c r="BU1765" i="8"/>
  <c r="K14" i="5"/>
  <c r="I14" i="5"/>
  <c r="I17" i="5"/>
  <c r="K17" i="5"/>
  <c r="BU1796" i="8"/>
  <c r="BU1786" i="8"/>
  <c r="BU1778" i="8"/>
  <c r="BU1768" i="8"/>
  <c r="BU1758" i="8"/>
  <c r="BU1749" i="8"/>
  <c r="BU1738" i="8"/>
  <c r="BU1730" i="8"/>
  <c r="BU1721" i="8"/>
  <c r="BU1710" i="8"/>
  <c r="BU1801" i="8"/>
  <c r="BU1789" i="8"/>
  <c r="BU1774" i="8"/>
  <c r="BU1764" i="8"/>
  <c r="BU1752" i="8"/>
  <c r="BU1737" i="8"/>
  <c r="BU1725" i="8"/>
  <c r="BU1714" i="8"/>
  <c r="BU1701" i="8"/>
  <c r="BU1693" i="8"/>
  <c r="BU1682" i="8"/>
  <c r="BU1673" i="8"/>
  <c r="BU1664" i="8"/>
  <c r="BU1653" i="8"/>
  <c r="BU1645" i="8"/>
  <c r="BU1636" i="8"/>
  <c r="BU1625" i="8"/>
  <c r="BU1616" i="8"/>
  <c r="BU1608" i="8"/>
  <c r="BU1597" i="8"/>
  <c r="BU1588" i="8"/>
  <c r="BU1578" i="8"/>
  <c r="BU1568" i="8"/>
  <c r="BU1560" i="8"/>
  <c r="BU1550" i="8"/>
  <c r="BU1540" i="8"/>
  <c r="BU1530" i="8"/>
  <c r="BU1522" i="8"/>
  <c r="BU1512" i="8"/>
  <c r="BU1502" i="8"/>
  <c r="BU1493" i="8"/>
  <c r="BU1482" i="8"/>
  <c r="BU1474" i="8"/>
  <c r="BU1465" i="8"/>
  <c r="BU1454" i="8"/>
  <c r="BU1445" i="8"/>
  <c r="BU1437" i="8"/>
  <c r="BU1426" i="8"/>
  <c r="BU1417" i="8"/>
  <c r="BU1408" i="8"/>
  <c r="BU1397" i="8"/>
  <c r="BU1389" i="8"/>
  <c r="BU1380" i="8"/>
  <c r="BU1369" i="8"/>
  <c r="BU1360" i="8"/>
  <c r="BU1352" i="8"/>
  <c r="BU1341" i="8"/>
  <c r="BU1332" i="8"/>
  <c r="BU1322" i="8"/>
  <c r="BU1312" i="8"/>
  <c r="BU1304" i="8"/>
  <c r="BU1294" i="8"/>
  <c r="BU1284" i="8"/>
  <c r="BU1274" i="8"/>
  <c r="BU1268" i="8"/>
  <c r="BU1260" i="8"/>
  <c r="BU1253" i="8"/>
  <c r="BU1246" i="8"/>
  <c r="BU1238" i="8"/>
  <c r="BU1232" i="8"/>
  <c r="BU1225" i="8"/>
  <c r="BU1217" i="8"/>
  <c r="BU1210" i="8"/>
  <c r="BU1204" i="8"/>
  <c r="BU1196" i="8"/>
  <c r="BU1189" i="8"/>
  <c r="BU1182" i="8"/>
  <c r="BU1174" i="8"/>
  <c r="BU1168" i="8"/>
  <c r="BU1161" i="8"/>
  <c r="BU1153" i="8"/>
  <c r="BU1146" i="8"/>
  <c r="BU1140" i="8"/>
  <c r="BU1132" i="8"/>
  <c r="BU1125" i="8"/>
  <c r="BU1118" i="8"/>
  <c r="BU1110" i="8"/>
  <c r="BU1794" i="8"/>
  <c r="BU1781" i="8"/>
  <c r="BU1770" i="8"/>
  <c r="BU1757" i="8"/>
  <c r="BU1744" i="8"/>
  <c r="BU1732" i="8"/>
  <c r="BU1717" i="8"/>
  <c r="BU1706" i="8"/>
  <c r="BU1696" i="8"/>
  <c r="BU1688" i="8"/>
  <c r="BU1678" i="8"/>
  <c r="BU1668" i="8"/>
  <c r="BU1658" i="8"/>
  <c r="BU1650" i="8"/>
  <c r="BU1640" i="8"/>
  <c r="BU1630" i="8"/>
  <c r="BU1621" i="8"/>
  <c r="BU1610" i="8"/>
  <c r="BU1602" i="8"/>
  <c r="BU1593" i="8"/>
  <c r="BU1582" i="8"/>
  <c r="BU1573" i="8"/>
  <c r="BU1565" i="8"/>
  <c r="BU1554" i="8"/>
  <c r="BU1545" i="8"/>
  <c r="BU1536" i="8"/>
  <c r="BU1525" i="8"/>
  <c r="BU1517" i="8"/>
  <c r="BU1508" i="8"/>
  <c r="BU1497" i="8"/>
  <c r="BU1488" i="8"/>
  <c r="BU1480" i="8"/>
  <c r="BU1469" i="8"/>
  <c r="BU1460" i="8"/>
  <c r="BU1450" i="8"/>
  <c r="BU1440" i="8"/>
  <c r="BU1432" i="8"/>
  <c r="BU1422" i="8"/>
  <c r="BU1412" i="8"/>
  <c r="BU1402" i="8"/>
  <c r="BU1394" i="8"/>
  <c r="BU1384" i="8"/>
  <c r="BU1374" i="8"/>
  <c r="BU1365" i="8"/>
  <c r="BU1354" i="8"/>
  <c r="BU1346" i="8"/>
  <c r="BU1337" i="8"/>
  <c r="BU1326" i="8"/>
  <c r="BU1317" i="8"/>
  <c r="BU1309" i="8"/>
  <c r="BU1298" i="8"/>
  <c r="BU1289" i="8"/>
  <c r="BU1280" i="8"/>
  <c r="BU1270" i="8"/>
  <c r="BU1264" i="8"/>
  <c r="BU1257" i="8"/>
  <c r="BU1249" i="8"/>
  <c r="BU1242" i="8"/>
  <c r="BU1236" i="8"/>
  <c r="BU1228" i="8"/>
  <c r="BU1221" i="8"/>
  <c r="BU1214" i="8"/>
  <c r="BU1206" i="8"/>
  <c r="BU1200" i="8"/>
  <c r="BU1193" i="8"/>
  <c r="BU1185" i="8"/>
  <c r="BU1178" i="8"/>
  <c r="BU1172" i="8"/>
  <c r="BU1164" i="8"/>
  <c r="BU1157" i="8"/>
  <c r="BU1150" i="8"/>
  <c r="BU1142" i="8"/>
  <c r="BU1136" i="8"/>
  <c r="BU1129" i="8"/>
  <c r="BU1121" i="8"/>
  <c r="BU1114" i="8"/>
  <c r="BU1108" i="8"/>
  <c r="BU1100" i="8"/>
  <c r="BU1093" i="8"/>
  <c r="BU1086" i="8"/>
  <c r="BU1078" i="8"/>
  <c r="BU1072" i="8"/>
  <c r="BU1065" i="8"/>
  <c r="BU1057" i="8"/>
  <c r="BU1050" i="8"/>
  <c r="BU1044" i="8"/>
  <c r="BU1036" i="8"/>
  <c r="BU1029" i="8"/>
  <c r="BU1022" i="8"/>
  <c r="BU1014" i="8"/>
  <c r="BU1008" i="8"/>
  <c r="BU1001" i="8"/>
  <c r="BU993" i="8"/>
  <c r="BU986" i="8"/>
  <c r="BU980" i="8"/>
  <c r="BU972" i="8"/>
  <c r="BU965" i="8"/>
  <c r="BU958" i="8"/>
  <c r="BU950" i="8"/>
  <c r="BU944" i="8"/>
  <c r="BU937" i="8"/>
  <c r="BU929" i="8"/>
  <c r="BU922" i="8"/>
  <c r="BU916" i="8"/>
  <c r="BU908" i="8"/>
  <c r="BU901" i="8"/>
  <c r="BU894" i="8"/>
  <c r="BU886" i="8"/>
  <c r="BU880" i="8"/>
  <c r="BU873" i="8"/>
  <c r="BU865" i="8"/>
  <c r="BU858" i="8"/>
  <c r="BU852" i="8"/>
  <c r="BU844" i="8"/>
  <c r="BU837" i="8"/>
  <c r="BU830" i="8"/>
  <c r="BU822" i="8"/>
  <c r="BU816" i="8"/>
  <c r="BU809" i="8"/>
  <c r="BU801" i="8"/>
  <c r="BU794" i="8"/>
  <c r="BU788" i="8"/>
  <c r="BU780" i="8"/>
  <c r="BU773" i="8"/>
  <c r="BU766" i="8"/>
  <c r="BU758" i="8"/>
  <c r="BU752" i="8"/>
  <c r="BU745" i="8"/>
  <c r="BU737" i="8"/>
  <c r="BU730" i="8"/>
  <c r="BU724" i="8"/>
  <c r="BU716" i="8"/>
  <c r="BU709" i="8"/>
  <c r="BU702" i="8"/>
  <c r="BU694" i="8"/>
  <c r="BU688" i="8"/>
  <c r="BU681" i="8"/>
  <c r="BU673" i="8"/>
  <c r="BU666" i="8"/>
  <c r="BU660" i="8"/>
  <c r="BU652" i="8"/>
  <c r="BU645" i="8"/>
  <c r="BU638" i="8"/>
  <c r="BU630" i="8"/>
  <c r="BU624" i="8"/>
  <c r="BU617" i="8"/>
  <c r="BU609" i="8"/>
  <c r="BU602" i="8"/>
  <c r="BU596" i="8"/>
  <c r="BU588" i="8"/>
  <c r="BU581" i="8"/>
  <c r="BU574" i="8"/>
  <c r="BU566" i="8"/>
  <c r="BU560" i="8"/>
  <c r="BU553" i="8"/>
  <c r="BU545" i="8"/>
  <c r="BU538" i="8"/>
  <c r="BU532" i="8"/>
  <c r="BU524" i="8"/>
  <c r="BU517" i="8"/>
  <c r="BU510" i="8"/>
  <c r="BU502" i="8"/>
  <c r="BU496" i="8"/>
  <c r="BU489" i="8"/>
  <c r="BU481" i="8"/>
  <c r="BU474" i="8"/>
  <c r="BU468" i="8"/>
  <c r="BU460" i="8"/>
  <c r="BU1785" i="8"/>
  <c r="BU1760" i="8"/>
  <c r="BU1736" i="8"/>
  <c r="BU1709" i="8"/>
  <c r="BU1689" i="8"/>
  <c r="BU1672" i="8"/>
  <c r="BU1652" i="8"/>
  <c r="BU1632" i="8"/>
  <c r="BU1614" i="8"/>
  <c r="BU1594" i="8"/>
  <c r="BU1576" i="8"/>
  <c r="BU1557" i="8"/>
  <c r="BU1538" i="8"/>
  <c r="BU1518" i="8"/>
  <c r="BU1501" i="8"/>
  <c r="BU1481" i="8"/>
  <c r="BU1461" i="8"/>
  <c r="BU1444" i="8"/>
  <c r="BU1424" i="8"/>
  <c r="BU1405" i="8"/>
  <c r="BU1386" i="8"/>
  <c r="BU1368" i="8"/>
  <c r="BU1348" i="8"/>
  <c r="BU1330" i="8"/>
  <c r="BU1310" i="8"/>
  <c r="BU1290" i="8"/>
  <c r="BU1273" i="8"/>
  <c r="BU1258" i="8"/>
  <c r="BU1244" i="8"/>
  <c r="BU1230" i="8"/>
  <c r="BU1216" i="8"/>
  <c r="BU1201" i="8"/>
  <c r="BU1188" i="8"/>
  <c r="BU1173" i="8"/>
  <c r="BU1158" i="8"/>
  <c r="BU1145" i="8"/>
  <c r="BU1130" i="8"/>
  <c r="BU1116" i="8"/>
  <c r="BU1104" i="8"/>
  <c r="BU1094" i="8"/>
  <c r="BU1084" i="8"/>
  <c r="BU1076" i="8"/>
  <c r="BU1066" i="8"/>
  <c r="BU1056" i="8"/>
  <c r="BU1046" i="8"/>
  <c r="BU1038" i="8"/>
  <c r="BU1028" i="8"/>
  <c r="BU1018" i="8"/>
  <c r="BU1009" i="8"/>
  <c r="BU998" i="8"/>
  <c r="BU990" i="8"/>
  <c r="BU981" i="8"/>
  <c r="BU970" i="8"/>
  <c r="BU961" i="8"/>
  <c r="BU953" i="8"/>
  <c r="BU942" i="8"/>
  <c r="BU933" i="8"/>
  <c r="BU924" i="8"/>
  <c r="BU913" i="8"/>
  <c r="BU905" i="8"/>
  <c r="BU896" i="8"/>
  <c r="BU885" i="8"/>
  <c r="BU876" i="8"/>
  <c r="BU868" i="8"/>
  <c r="BU857" i="8"/>
  <c r="BU848" i="8"/>
  <c r="BU838" i="8"/>
  <c r="BU828" i="8"/>
  <c r="BU820" i="8"/>
  <c r="BU810" i="8"/>
  <c r="BU800" i="8"/>
  <c r="BU790" i="8"/>
  <c r="BU782" i="8"/>
  <c r="BU772" i="8"/>
  <c r="BU762" i="8"/>
  <c r="BU753" i="8"/>
  <c r="BU742" i="8"/>
  <c r="BU734" i="8"/>
  <c r="BU725" i="8"/>
  <c r="BU714" i="8"/>
  <c r="BU705" i="8"/>
  <c r="BU697" i="8"/>
  <c r="BU686" i="8"/>
  <c r="BU677" i="8"/>
  <c r="BU668" i="8"/>
  <c r="BU17" i="8"/>
  <c r="BU23" i="8"/>
  <c r="BU28" i="8"/>
  <c r="BU33" i="8"/>
  <c r="BU39" i="8"/>
  <c r="BU44" i="8"/>
  <c r="BU49" i="8"/>
  <c r="BU55" i="8"/>
  <c r="BU60" i="8"/>
  <c r="BU65" i="8"/>
  <c r="BU71" i="8"/>
  <c r="BU76" i="8"/>
  <c r="BU81" i="8"/>
  <c r="BU87" i="8"/>
  <c r="BU92" i="8"/>
  <c r="BU97" i="8"/>
  <c r="BU103" i="8"/>
  <c r="BU108" i="8"/>
  <c r="BU113" i="8"/>
  <c r="BU119" i="8"/>
  <c r="BU124" i="8"/>
  <c r="BU129" i="8"/>
  <c r="BU135" i="8"/>
  <c r="BU140" i="8"/>
  <c r="BU145" i="8"/>
  <c r="BU151" i="8"/>
  <c r="BU156" i="8"/>
  <c r="BU161" i="8"/>
  <c r="BU167" i="8"/>
  <c r="BU172" i="8"/>
  <c r="BU177" i="8"/>
  <c r="BU183" i="8"/>
  <c r="BU188" i="8"/>
  <c r="BU193" i="8"/>
  <c r="BU199" i="8"/>
  <c r="BU204" i="8"/>
  <c r="BU209" i="8"/>
  <c r="BU215" i="8"/>
  <c r="BU220" i="8"/>
  <c r="BU225" i="8"/>
  <c r="BU231" i="8"/>
  <c r="BU236" i="8"/>
  <c r="BU241" i="8"/>
  <c r="BU247" i="8"/>
  <c r="BU252" i="8"/>
  <c r="BU257" i="8"/>
  <c r="BU263" i="8"/>
  <c r="BU268" i="8"/>
  <c r="BU273" i="8"/>
  <c r="BU279" i="8"/>
  <c r="BU284" i="8"/>
  <c r="BU289" i="8"/>
  <c r="BU295" i="8"/>
  <c r="BU300" i="8"/>
  <c r="BU305" i="8"/>
  <c r="BU313" i="8"/>
  <c r="BU320" i="8"/>
  <c r="BU326" i="8"/>
  <c r="BU334" i="8"/>
  <c r="BU341" i="8"/>
  <c r="BU348" i="8"/>
  <c r="BU356" i="8"/>
  <c r="BU362" i="8"/>
  <c r="BU369" i="8"/>
  <c r="BU377" i="8"/>
  <c r="BU384" i="8"/>
  <c r="BU390" i="8"/>
  <c r="BU398" i="8"/>
  <c r="BU405" i="8"/>
  <c r="BU412" i="8"/>
  <c r="BU420" i="8"/>
  <c r="BU426" i="8"/>
  <c r="BU433" i="8"/>
  <c r="BU441" i="8"/>
  <c r="BU448" i="8"/>
  <c r="BU454" i="8"/>
  <c r="BU464" i="8"/>
  <c r="BU473" i="8"/>
  <c r="BU484" i="8"/>
  <c r="BU492" i="8"/>
  <c r="BU501" i="8"/>
  <c r="BU512" i="8"/>
  <c r="BU521" i="8"/>
  <c r="BU529" i="8"/>
  <c r="BU540" i="8"/>
  <c r="BU549" i="8"/>
  <c r="BU558" i="8"/>
  <c r="BU569" i="8"/>
  <c r="BU577" i="8"/>
  <c r="BU586" i="8"/>
  <c r="BU597" i="8"/>
  <c r="BU606" i="8"/>
  <c r="BU614" i="8"/>
  <c r="BU625" i="8"/>
  <c r="BU634" i="8"/>
  <c r="BU644" i="8"/>
  <c r="BU654" i="8"/>
  <c r="BU662" i="8"/>
  <c r="BU676" i="8"/>
  <c r="BU689" i="8"/>
  <c r="BU700" i="8"/>
  <c r="BU713" i="8"/>
  <c r="BU726" i="8"/>
  <c r="BU740" i="8"/>
  <c r="BU750" i="8"/>
  <c r="BU764" i="8"/>
  <c r="BU777" i="8"/>
  <c r="BU789" i="8"/>
  <c r="BU804" i="8"/>
  <c r="BU814" i="8"/>
  <c r="BU826" i="8"/>
  <c r="BU841" i="8"/>
  <c r="BU853" i="8"/>
  <c r="BU864" i="8"/>
  <c r="BU878" i="8"/>
  <c r="BU890" i="8"/>
  <c r="BU902" i="8"/>
  <c r="BU917" i="8"/>
  <c r="BU928" i="8"/>
  <c r="BU940" i="8"/>
  <c r="BU954" i="8"/>
  <c r="BU966" i="8"/>
  <c r="BU977" i="8"/>
  <c r="BU992" i="8"/>
  <c r="BU1004" i="8"/>
  <c r="BU1017" i="8"/>
  <c r="BU1030" i="8"/>
  <c r="BU1041" i="8"/>
  <c r="BU1054" i="8"/>
  <c r="BU1068" i="8"/>
  <c r="BU1081" i="8"/>
  <c r="BU1092" i="8"/>
  <c r="BU1105" i="8"/>
  <c r="BU1124" i="8"/>
  <c r="BU1141" i="8"/>
  <c r="BU1162" i="8"/>
  <c r="BU1180" i="8"/>
  <c r="BU1198" i="8"/>
  <c r="BU1220" i="8"/>
  <c r="BU1237" i="8"/>
  <c r="BU1254" i="8"/>
  <c r="BU1277" i="8"/>
  <c r="BU1301" i="8"/>
  <c r="BU1325" i="8"/>
  <c r="BU1353" i="8"/>
  <c r="BU1376" i="8"/>
  <c r="BU1401" i="8"/>
  <c r="BU1429" i="8"/>
  <c r="BU1453" i="8"/>
  <c r="BU1476" i="8"/>
  <c r="BU1504" i="8"/>
  <c r="BU1529" i="8"/>
  <c r="BU1552" i="8"/>
  <c r="BU1581" i="8"/>
  <c r="BU1604" i="8"/>
  <c r="BU1629" i="8"/>
  <c r="BU1657" i="8"/>
  <c r="BU1680" i="8"/>
  <c r="BU1704" i="8"/>
  <c r="BU1742" i="8"/>
  <c r="BU1773" i="8"/>
  <c r="BU1802" i="8"/>
  <c r="K26" i="5"/>
  <c r="I26" i="5"/>
  <c r="BU3" i="8"/>
  <c r="BU19" i="8"/>
  <c r="BU24" i="8"/>
  <c r="BU29" i="8"/>
  <c r="BU35" i="8"/>
  <c r="BU40" i="8"/>
  <c r="BU45" i="8"/>
  <c r="BU51" i="8"/>
  <c r="BU56" i="8"/>
  <c r="BU61" i="8"/>
  <c r="BU67" i="8"/>
  <c r="BU72" i="8"/>
  <c r="BU77" i="8"/>
  <c r="BU83" i="8"/>
  <c r="BU88" i="8"/>
  <c r="BU93" i="8"/>
  <c r="BU99" i="8"/>
  <c r="BU104" i="8"/>
  <c r="BU109" i="8"/>
  <c r="BU115" i="8"/>
  <c r="BU120" i="8"/>
  <c r="BU125" i="8"/>
  <c r="BU131" i="8"/>
  <c r="BU136" i="8"/>
  <c r="BU141" i="8"/>
  <c r="BU147" i="8"/>
  <c r="BU152" i="8"/>
  <c r="BU157" i="8"/>
  <c r="BU163" i="8"/>
  <c r="BU168" i="8"/>
  <c r="BU173" i="8"/>
  <c r="BU179" i="8"/>
  <c r="BU184" i="8"/>
  <c r="BU189" i="8"/>
  <c r="BU195" i="8"/>
  <c r="BU200" i="8"/>
  <c r="BU205" i="8"/>
  <c r="BU211" i="8"/>
  <c r="BU216" i="8"/>
  <c r="BU221" i="8"/>
  <c r="BU227" i="8"/>
  <c r="BU232" i="8"/>
  <c r="BU237" i="8"/>
  <c r="BU243" i="8"/>
  <c r="BU248" i="8"/>
  <c r="BU253" i="8"/>
  <c r="BU259" i="8"/>
  <c r="BU264" i="8"/>
  <c r="BU269" i="8"/>
  <c r="BU275" i="8"/>
  <c r="BU280" i="8"/>
  <c r="BU285" i="8"/>
  <c r="BU291" i="8"/>
  <c r="BU296" i="8"/>
  <c r="BU301" i="8"/>
  <c r="BU308" i="8"/>
  <c r="BU314" i="8"/>
  <c r="BU321" i="8"/>
  <c r="BU329" i="8"/>
  <c r="BU336" i="8"/>
  <c r="BU342" i="8"/>
  <c r="BU350" i="8"/>
  <c r="BU357" i="8"/>
  <c r="BU364" i="8"/>
  <c r="BU372" i="8"/>
  <c r="BU378" i="8"/>
  <c r="BU385" i="8"/>
  <c r="BU393" i="8"/>
  <c r="BU400" i="8"/>
  <c r="BU406" i="8"/>
  <c r="BU414" i="8"/>
  <c r="BU421" i="8"/>
  <c r="BU428" i="8"/>
  <c r="BU436" i="8"/>
  <c r="BU442" i="8"/>
  <c r="BU449" i="8"/>
  <c r="BU457" i="8"/>
  <c r="BU465" i="8"/>
  <c r="BU476" i="8"/>
  <c r="BU485" i="8"/>
  <c r="BU494" i="8"/>
  <c r="BU505" i="8"/>
  <c r="BU513" i="8"/>
  <c r="BU522" i="8"/>
  <c r="BU533" i="8"/>
  <c r="BU542" i="8"/>
  <c r="BU550" i="8"/>
  <c r="BU561" i="8"/>
  <c r="BU570" i="8"/>
  <c r="BU580" i="8"/>
  <c r="BU590" i="8"/>
  <c r="BU598" i="8"/>
  <c r="BU608" i="8"/>
  <c r="BU618" i="8"/>
  <c r="BU628" i="8"/>
  <c r="BU636" i="8"/>
  <c r="BU646" i="8"/>
  <c r="BU656" i="8"/>
  <c r="BU665" i="8"/>
  <c r="BU678" i="8"/>
  <c r="BU692" i="8"/>
  <c r="BU704" i="8"/>
  <c r="BU718" i="8"/>
  <c r="BU729" i="8"/>
  <c r="BU741" i="8"/>
  <c r="BU756" i="8"/>
  <c r="BU768" i="8"/>
  <c r="BU778" i="8"/>
  <c r="BU793" i="8"/>
  <c r="BU805" i="8"/>
  <c r="BU817" i="8"/>
  <c r="BU832" i="8"/>
  <c r="BU842" i="8"/>
  <c r="BU854" i="8"/>
  <c r="BU869" i="8"/>
  <c r="BU881" i="8"/>
  <c r="BU892" i="8"/>
  <c r="BU906" i="8"/>
  <c r="BU918" i="8"/>
  <c r="BU932" i="8"/>
  <c r="BU945" i="8"/>
  <c r="BU956" i="8"/>
  <c r="BU969" i="8"/>
  <c r="BU982" i="8"/>
  <c r="BU996" i="8"/>
  <c r="BU1006" i="8"/>
  <c r="BU1020" i="8"/>
  <c r="BU1033" i="8"/>
  <c r="BU1045" i="8"/>
  <c r="BU1060" i="8"/>
  <c r="BU1070" i="8"/>
  <c r="BU1082" i="8"/>
  <c r="BU1097" i="8"/>
  <c r="BU1109" i="8"/>
  <c r="BU1126" i="8"/>
  <c r="BU1148" i="8"/>
  <c r="BU1166" i="8"/>
  <c r="BU1184" i="8"/>
  <c r="BU1205" i="8"/>
  <c r="BU1222" i="8"/>
  <c r="BU1241" i="8"/>
  <c r="BU1262" i="8"/>
  <c r="BU1282" i="8"/>
  <c r="BU1305" i="8"/>
  <c r="BU1333" i="8"/>
  <c r="BU1358" i="8"/>
  <c r="BU1381" i="8"/>
  <c r="BU1410" i="8"/>
  <c r="BU1433" i="8"/>
  <c r="BU1458" i="8"/>
  <c r="BU1486" i="8"/>
  <c r="BU1509" i="8"/>
  <c r="BU1533" i="8"/>
  <c r="BU1561" i="8"/>
  <c r="BU1586" i="8"/>
  <c r="BU1609" i="8"/>
  <c r="BU1637" i="8"/>
  <c r="BU1661" i="8"/>
  <c r="BU1685" i="8"/>
  <c r="BU1716" i="8"/>
  <c r="BU1746" i="8"/>
  <c r="BU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U1799" i="8"/>
  <c r="BU1795" i="8"/>
  <c r="BU1791" i="8"/>
  <c r="BU1787" i="8"/>
  <c r="BU1783" i="8"/>
  <c r="BU1779" i="8"/>
  <c r="BU1775" i="8"/>
  <c r="BU1771" i="8"/>
  <c r="BU1767" i="8"/>
  <c r="BU1763" i="8"/>
  <c r="BU1759" i="8"/>
  <c r="BU1755" i="8"/>
  <c r="BU1751" i="8"/>
  <c r="BU1747" i="8"/>
  <c r="BU1743" i="8"/>
  <c r="BU1739" i="8"/>
  <c r="BU1735" i="8"/>
  <c r="BU1731" i="8"/>
  <c r="BU1727" i="8"/>
  <c r="BU1723" i="8"/>
  <c r="BU1719" i="8"/>
  <c r="BU1715" i="8"/>
  <c r="BU1711" i="8"/>
  <c r="BU1707" i="8"/>
  <c r="BU1703" i="8"/>
  <c r="BU1699" i="8"/>
  <c r="BU1695" i="8"/>
  <c r="BU1691" i="8"/>
  <c r="BU1687" i="8"/>
  <c r="BU1683" i="8"/>
  <c r="BU1679" i="8"/>
  <c r="BU1675" i="8"/>
  <c r="BU1671" i="8"/>
  <c r="BU1667" i="8"/>
  <c r="BU1663" i="8"/>
  <c r="BU1659" i="8"/>
  <c r="BU1655" i="8"/>
  <c r="BU1651" i="8"/>
  <c r="BU1647" i="8"/>
  <c r="BU1643" i="8"/>
  <c r="BU1639" i="8"/>
  <c r="BU1635" i="8"/>
  <c r="BU1631" i="8"/>
  <c r="BU1627" i="8"/>
  <c r="BU1623" i="8"/>
  <c r="BU1619" i="8"/>
  <c r="BU1615" i="8"/>
  <c r="BU1611" i="8"/>
  <c r="BU1607" i="8"/>
  <c r="BU1603" i="8"/>
  <c r="BU1599" i="8"/>
  <c r="BU1595" i="8"/>
  <c r="BU1591" i="8"/>
  <c r="BU1587" i="8"/>
  <c r="BU1583" i="8"/>
  <c r="BU1579" i="8"/>
  <c r="BU1575" i="8"/>
  <c r="BU1571" i="8"/>
  <c r="BU1567" i="8"/>
  <c r="BU1563" i="8"/>
  <c r="BU1559" i="8"/>
  <c r="BU1555" i="8"/>
  <c r="BU1551" i="8"/>
  <c r="BU1547" i="8"/>
  <c r="BU1543" i="8"/>
  <c r="BU1539" i="8"/>
  <c r="BU1535" i="8"/>
  <c r="BU1531" i="8"/>
  <c r="BU1527" i="8"/>
  <c r="BU1523" i="8"/>
  <c r="BU1519" i="8"/>
  <c r="BU1515" i="8"/>
  <c r="BU1511" i="8"/>
  <c r="BU1507" i="8"/>
  <c r="BU1503" i="8"/>
  <c r="BU1499" i="8"/>
  <c r="BU1495" i="8"/>
  <c r="BU1491" i="8"/>
  <c r="BU1487" i="8"/>
  <c r="BU1483" i="8"/>
  <c r="BU1479" i="8"/>
  <c r="BU1475" i="8"/>
  <c r="BU1471" i="8"/>
  <c r="BU1467" i="8"/>
  <c r="BU1463" i="8"/>
  <c r="BU1459" i="8"/>
  <c r="BU1455" i="8"/>
  <c r="BU1451" i="8"/>
  <c r="BU1447" i="8"/>
  <c r="BU1443" i="8"/>
  <c r="BU1439" i="8"/>
  <c r="BU1435" i="8"/>
  <c r="BU1431" i="8"/>
  <c r="BU1427" i="8"/>
  <c r="BU1423" i="8"/>
  <c r="BU1419" i="8"/>
  <c r="BU1415" i="8"/>
  <c r="BU1411" i="8"/>
  <c r="BU1407" i="8"/>
  <c r="BU1403" i="8"/>
  <c r="BU1399" i="8"/>
  <c r="BU1395" i="8"/>
  <c r="BU1391" i="8"/>
  <c r="BU1387" i="8"/>
  <c r="BU1383" i="8"/>
  <c r="BU1379" i="8"/>
  <c r="BU1375" i="8"/>
  <c r="BU1371" i="8"/>
  <c r="BU1367" i="8"/>
  <c r="BU1363" i="8"/>
  <c r="BU1359" i="8"/>
  <c r="BU1355" i="8"/>
  <c r="BU1351" i="8"/>
  <c r="BU1347" i="8"/>
  <c r="BU1343" i="8"/>
  <c r="BU1339" i="8"/>
  <c r="BU1335" i="8"/>
  <c r="BU1331" i="8"/>
  <c r="BU1327" i="8"/>
  <c r="BU1323" i="8"/>
  <c r="BU1319" i="8"/>
  <c r="BU1315" i="8"/>
  <c r="BU1311" i="8"/>
  <c r="BU1307" i="8"/>
  <c r="BU1303" i="8"/>
  <c r="BU1299" i="8"/>
  <c r="BU1295" i="8"/>
  <c r="BU1291" i="8"/>
  <c r="BU1287" i="8"/>
  <c r="BU1283" i="8"/>
  <c r="BU1279" i="8"/>
  <c r="BU1275" i="8"/>
  <c r="BU1798" i="8"/>
  <c r="BU1793" i="8"/>
  <c r="BU1788" i="8"/>
  <c r="BU1782" i="8"/>
  <c r="BU1777" i="8"/>
  <c r="BU1772" i="8"/>
  <c r="BU1766" i="8"/>
  <c r="BU1761" i="8"/>
  <c r="BU1756" i="8"/>
  <c r="BU1750" i="8"/>
  <c r="BU1745" i="8"/>
  <c r="BU1740" i="8"/>
  <c r="BU1734" i="8"/>
  <c r="BU1729" i="8"/>
  <c r="BU1724" i="8"/>
  <c r="BU1718" i="8"/>
  <c r="BU1713" i="8"/>
  <c r="BU1708" i="8"/>
  <c r="BU1702" i="8"/>
  <c r="BU1697" i="8"/>
  <c r="BU1692" i="8"/>
  <c r="BU1686" i="8"/>
  <c r="BU1681" i="8"/>
  <c r="BU1676" i="8"/>
  <c r="BU1670" i="8"/>
  <c r="BU1665" i="8"/>
  <c r="BU1660" i="8"/>
  <c r="BU1654" i="8"/>
  <c r="BU1649" i="8"/>
  <c r="BU1644" i="8"/>
  <c r="BU1638" i="8"/>
  <c r="BU1633" i="8"/>
  <c r="BU1628" i="8"/>
  <c r="BU1622" i="8"/>
  <c r="BU1617" i="8"/>
  <c r="BU1612" i="8"/>
  <c r="BU1606" i="8"/>
  <c r="BU1601" i="8"/>
  <c r="BU1596" i="8"/>
  <c r="BU1590" i="8"/>
  <c r="BU1585" i="8"/>
  <c r="BU1580" i="8"/>
  <c r="BU1574" i="8"/>
  <c r="BU1569" i="8"/>
  <c r="BU1564" i="8"/>
  <c r="BU1558" i="8"/>
  <c r="BU1553" i="8"/>
  <c r="BU1548" i="8"/>
  <c r="BU1542" i="8"/>
  <c r="BU1537" i="8"/>
  <c r="BU1532" i="8"/>
  <c r="BU1526" i="8"/>
  <c r="BU1521" i="8"/>
  <c r="BU1516" i="8"/>
  <c r="BU1510" i="8"/>
  <c r="BU1505" i="8"/>
  <c r="BU1500" i="8"/>
  <c r="BU1494" i="8"/>
  <c r="BU1489" i="8"/>
  <c r="BU1484" i="8"/>
  <c r="BU1478" i="8"/>
  <c r="BU1473" i="8"/>
  <c r="BU1468" i="8"/>
  <c r="BU1462" i="8"/>
  <c r="BU1457" i="8"/>
  <c r="BU1452" i="8"/>
  <c r="BU1446" i="8"/>
  <c r="BU1441" i="8"/>
  <c r="BU1436" i="8"/>
  <c r="BU1430" i="8"/>
  <c r="BU1425" i="8"/>
  <c r="BU1420" i="8"/>
  <c r="BU1414" i="8"/>
  <c r="BU1409" i="8"/>
  <c r="BU1404" i="8"/>
  <c r="BU1398" i="8"/>
  <c r="BU1393" i="8"/>
  <c r="BU1388" i="8"/>
  <c r="BU1382" i="8"/>
  <c r="BU1377" i="8"/>
  <c r="BU1372" i="8"/>
  <c r="BU1366" i="8"/>
  <c r="BU1361" i="8"/>
  <c r="BU1356" i="8"/>
  <c r="BU1350" i="8"/>
  <c r="BU1345" i="8"/>
  <c r="BU1340" i="8"/>
  <c r="BU1334" i="8"/>
  <c r="BU1329" i="8"/>
  <c r="BU1324" i="8"/>
  <c r="BU1318" i="8"/>
  <c r="BU1313" i="8"/>
  <c r="BU1308" i="8"/>
  <c r="BU1302" i="8"/>
  <c r="BU1297" i="8"/>
  <c r="BU1292" i="8"/>
  <c r="BU1286" i="8"/>
  <c r="BU1281" i="8"/>
  <c r="BU1276" i="8"/>
  <c r="BU1271" i="8"/>
  <c r="BU1267" i="8"/>
  <c r="BU1263" i="8"/>
  <c r="BU1259" i="8"/>
  <c r="BU1255" i="8"/>
  <c r="BU1251" i="8"/>
  <c r="BU1247" i="8"/>
  <c r="BU1243" i="8"/>
  <c r="BU1239" i="8"/>
  <c r="BU1235" i="8"/>
  <c r="BU1231" i="8"/>
  <c r="BU1227" i="8"/>
  <c r="BU1223" i="8"/>
  <c r="BU1219" i="8"/>
  <c r="BU1215" i="8"/>
  <c r="BU1211" i="8"/>
  <c r="BU1207" i="8"/>
  <c r="BU1203" i="8"/>
  <c r="BU1199" i="8"/>
  <c r="BU1195" i="8"/>
  <c r="BU1191" i="8"/>
  <c r="BU1187" i="8"/>
  <c r="BU1183" i="8"/>
  <c r="BU1179" i="8"/>
  <c r="BU1175" i="8"/>
  <c r="BU1171" i="8"/>
  <c r="BU1167" i="8"/>
  <c r="BU1163" i="8"/>
  <c r="BU1159" i="8"/>
  <c r="BU1155" i="8"/>
  <c r="BU1151" i="8"/>
  <c r="BU1147" i="8"/>
  <c r="BU1143" i="8"/>
  <c r="BU1139" i="8"/>
  <c r="BU1135" i="8"/>
  <c r="BU1131" i="8"/>
  <c r="BU1127" i="8"/>
  <c r="BU1123" i="8"/>
  <c r="BU1119" i="8"/>
  <c r="BU1115" i="8"/>
  <c r="BU1111" i="8"/>
  <c r="BU1107" i="8"/>
  <c r="BU1103" i="8"/>
  <c r="BU1099" i="8"/>
  <c r="BU1095" i="8"/>
  <c r="BU1091" i="8"/>
  <c r="BU1087" i="8"/>
  <c r="BU1083" i="8"/>
  <c r="BU1079" i="8"/>
  <c r="BU1075" i="8"/>
  <c r="BU1071" i="8"/>
  <c r="BU1067" i="8"/>
  <c r="BU1063" i="8"/>
  <c r="BU1059" i="8"/>
  <c r="BU1055" i="8"/>
  <c r="BU1051" i="8"/>
  <c r="BU1047" i="8"/>
  <c r="BU1043" i="8"/>
  <c r="BU1039" i="8"/>
  <c r="BU1035" i="8"/>
  <c r="BU1031" i="8"/>
  <c r="BU1027" i="8"/>
  <c r="BU1023" i="8"/>
  <c r="BU1019" i="8"/>
  <c r="BU1015" i="8"/>
  <c r="BU1011" i="8"/>
  <c r="BU1007" i="8"/>
  <c r="BU1003" i="8"/>
  <c r="BU999" i="8"/>
  <c r="BU995" i="8"/>
  <c r="BU991" i="8"/>
  <c r="BU987" i="8"/>
  <c r="BU983" i="8"/>
  <c r="BU979" i="8"/>
  <c r="BU975" i="8"/>
  <c r="BU971" i="8"/>
  <c r="BU967" i="8"/>
  <c r="BU963" i="8"/>
  <c r="BU959" i="8"/>
  <c r="BU955" i="8"/>
  <c r="BU951" i="8"/>
  <c r="BU947" i="8"/>
  <c r="BU943" i="8"/>
  <c r="BU939" i="8"/>
  <c r="BU935" i="8"/>
  <c r="BU931" i="8"/>
  <c r="BU927" i="8"/>
  <c r="BU923" i="8"/>
  <c r="BU919" i="8"/>
  <c r="BU915" i="8"/>
  <c r="BU911" i="8"/>
  <c r="BU907" i="8"/>
  <c r="BU903" i="8"/>
  <c r="BU899" i="8"/>
  <c r="BU895" i="8"/>
  <c r="BU891" i="8"/>
  <c r="BU887" i="8"/>
  <c r="BU883" i="8"/>
  <c r="BU879" i="8"/>
  <c r="BU875" i="8"/>
  <c r="BU871" i="8"/>
  <c r="BU867" i="8"/>
  <c r="BU863" i="8"/>
  <c r="BU859" i="8"/>
  <c r="BU855" i="8"/>
  <c r="BU851" i="8"/>
  <c r="BU847" i="8"/>
  <c r="BU843" i="8"/>
  <c r="BU839" i="8"/>
  <c r="BU835" i="8"/>
  <c r="BU831" i="8"/>
  <c r="BU827" i="8"/>
  <c r="BU823" i="8"/>
  <c r="BU819" i="8"/>
  <c r="BU815" i="8"/>
  <c r="BU811" i="8"/>
  <c r="BU807" i="8"/>
  <c r="BU803" i="8"/>
  <c r="BU799" i="8"/>
  <c r="BU795" i="8"/>
  <c r="BU791" i="8"/>
  <c r="BU787" i="8"/>
  <c r="BU783" i="8"/>
  <c r="BU779" i="8"/>
  <c r="BU775" i="8"/>
  <c r="BU771" i="8"/>
  <c r="BU767" i="8"/>
  <c r="BU763" i="8"/>
  <c r="BU759" i="8"/>
  <c r="BU755" i="8"/>
  <c r="BU751" i="8"/>
  <c r="BU747" i="8"/>
  <c r="BU743" i="8"/>
  <c r="BU739" i="8"/>
  <c r="BU735" i="8"/>
  <c r="BU731" i="8"/>
  <c r="BU727" i="8"/>
  <c r="BU723" i="8"/>
  <c r="BU719" i="8"/>
  <c r="BU715" i="8"/>
  <c r="BU711" i="8"/>
  <c r="BU707" i="8"/>
  <c r="BU703" i="8"/>
  <c r="BU699" i="8"/>
  <c r="BU695" i="8"/>
  <c r="BU691" i="8"/>
  <c r="BU687" i="8"/>
  <c r="BU683" i="8"/>
  <c r="BU679" i="8"/>
  <c r="BU675" i="8"/>
  <c r="BU671" i="8"/>
  <c r="BU667" i="8"/>
  <c r="BU663" i="8"/>
  <c r="BU659" i="8"/>
  <c r="BU655" i="8"/>
  <c r="BU651" i="8"/>
  <c r="BU647" i="8"/>
  <c r="BU643" i="8"/>
  <c r="BU639" i="8"/>
  <c r="BU635" i="8"/>
  <c r="BU631" i="8"/>
  <c r="BU627" i="8"/>
  <c r="BU623" i="8"/>
  <c r="BU619" i="8"/>
  <c r="BU615" i="8"/>
  <c r="BU611" i="8"/>
  <c r="BU607" i="8"/>
  <c r="BU603" i="8"/>
  <c r="BU599" i="8"/>
  <c r="BU595" i="8"/>
  <c r="BU591" i="8"/>
  <c r="BU587" i="8"/>
  <c r="BU583" i="8"/>
  <c r="BU579" i="8"/>
  <c r="BU575" i="8"/>
  <c r="BU571" i="8"/>
  <c r="BU567" i="8"/>
  <c r="BU563" i="8"/>
  <c r="BU559" i="8"/>
  <c r="BU555" i="8"/>
  <c r="BU551" i="8"/>
  <c r="BU547" i="8"/>
  <c r="BU543" i="8"/>
  <c r="BU539" i="8"/>
  <c r="BU535" i="8"/>
  <c r="BU531" i="8"/>
  <c r="BU527" i="8"/>
  <c r="BU523" i="8"/>
  <c r="BU519" i="8"/>
  <c r="BU515" i="8"/>
  <c r="BU511" i="8"/>
  <c r="BU507" i="8"/>
  <c r="BU503" i="8"/>
  <c r="BU499" i="8"/>
  <c r="BU495" i="8"/>
  <c r="BU491" i="8"/>
  <c r="BU487" i="8"/>
  <c r="BU483" i="8"/>
  <c r="BU479" i="8"/>
  <c r="BU475" i="8"/>
  <c r="BU471" i="8"/>
  <c r="BU467" i="8"/>
  <c r="BU463" i="8"/>
  <c r="BU459" i="8"/>
  <c r="BU455" i="8"/>
  <c r="BU451" i="8"/>
  <c r="BU447" i="8"/>
  <c r="BU443" i="8"/>
  <c r="BU439" i="8"/>
  <c r="BU435" i="8"/>
  <c r="BU431" i="8"/>
  <c r="BU427" i="8"/>
  <c r="BU423" i="8"/>
  <c r="BU419" i="8"/>
  <c r="BU415" i="8"/>
  <c r="BU411" i="8"/>
  <c r="BU407" i="8"/>
  <c r="BU403" i="8"/>
  <c r="BU399" i="8"/>
  <c r="BU395" i="8"/>
  <c r="BU391" i="8"/>
  <c r="BU387" i="8"/>
  <c r="BU383" i="8"/>
  <c r="BU379" i="8"/>
  <c r="BU375" i="8"/>
  <c r="BU371" i="8"/>
  <c r="BU367" i="8"/>
  <c r="BU363" i="8"/>
  <c r="BU359" i="8"/>
  <c r="BU355" i="8"/>
  <c r="BU351" i="8"/>
  <c r="BU347" i="8"/>
  <c r="BU343" i="8"/>
  <c r="BU339" i="8"/>
  <c r="BU335" i="8"/>
  <c r="BU331" i="8"/>
  <c r="BU327" i="8"/>
  <c r="BU323" i="8"/>
  <c r="BU319" i="8"/>
  <c r="BU315" i="8"/>
  <c r="BU311" i="8"/>
  <c r="BU307" i="8"/>
  <c r="BU14" i="8"/>
  <c r="BU18" i="8"/>
  <c r="BU22" i="8"/>
  <c r="BU26" i="8"/>
  <c r="BU30" i="8"/>
  <c r="BU34" i="8"/>
  <c r="BU38" i="8"/>
  <c r="BU42" i="8"/>
  <c r="BU46" i="8"/>
  <c r="BU50" i="8"/>
  <c r="BU54" i="8"/>
  <c r="BU58" i="8"/>
  <c r="BU62" i="8"/>
  <c r="BU66" i="8"/>
  <c r="BU70" i="8"/>
  <c r="BU74" i="8"/>
  <c r="BU78" i="8"/>
  <c r="BU82" i="8"/>
  <c r="BU86" i="8"/>
  <c r="BU90" i="8"/>
  <c r="BU94" i="8"/>
  <c r="BU98" i="8"/>
  <c r="BU102" i="8"/>
  <c r="BU106" i="8"/>
  <c r="BU110" i="8"/>
  <c r="BU114" i="8"/>
  <c r="BU118" i="8"/>
  <c r="BU122" i="8"/>
  <c r="BU126" i="8"/>
  <c r="BU130" i="8"/>
  <c r="BU134" i="8"/>
  <c r="BU138" i="8"/>
  <c r="BU142" i="8"/>
  <c r="BU146" i="8"/>
  <c r="BU150" i="8"/>
  <c r="BU154" i="8"/>
  <c r="BU158" i="8"/>
  <c r="BU162" i="8"/>
  <c r="BU166" i="8"/>
  <c r="BU170" i="8"/>
  <c r="BU174" i="8"/>
  <c r="BU178" i="8"/>
  <c r="BU182" i="8"/>
  <c r="BU186" i="8"/>
  <c r="BU190" i="8"/>
  <c r="BU194" i="8"/>
  <c r="BU198" i="8"/>
  <c r="BU202" i="8"/>
  <c r="BU206" i="8"/>
  <c r="BU210" i="8"/>
  <c r="BU214" i="8"/>
  <c r="BU218" i="8"/>
  <c r="BU222" i="8"/>
  <c r="BU226" i="8"/>
  <c r="BU230" i="8"/>
  <c r="BU234" i="8"/>
  <c r="BU238" i="8"/>
  <c r="BU242" i="8"/>
  <c r="BU246" i="8"/>
  <c r="BU250" i="8"/>
  <c r="BU254" i="8"/>
  <c r="BU258" i="8"/>
  <c r="BU262" i="8"/>
  <c r="BU266" i="8"/>
  <c r="BU270" i="8"/>
  <c r="BU274" i="8"/>
  <c r="BU278" i="8"/>
  <c r="BU282" i="8"/>
  <c r="BU286" i="8"/>
  <c r="BU290" i="8"/>
  <c r="BU294" i="8"/>
  <c r="BU298" i="8"/>
  <c r="BU302" i="8"/>
  <c r="BU306" i="8"/>
  <c r="BU312" i="8"/>
  <c r="BU317" i="8"/>
  <c r="BU322" i="8"/>
  <c r="BU328" i="8"/>
  <c r="BU333" i="8"/>
  <c r="BU338" i="8"/>
  <c r="BU344" i="8"/>
  <c r="BU349" i="8"/>
  <c r="BU354" i="8"/>
  <c r="BU360" i="8"/>
  <c r="BU365" i="8"/>
  <c r="BU370" i="8"/>
  <c r="BU376" i="8"/>
  <c r="BU381" i="8"/>
  <c r="BU386" i="8"/>
  <c r="BU392" i="8"/>
  <c r="BU397" i="8"/>
  <c r="BU402" i="8"/>
  <c r="BU408" i="8"/>
  <c r="BU413" i="8"/>
  <c r="BU418" i="8"/>
  <c r="BU424" i="8"/>
  <c r="BU429" i="8"/>
  <c r="BU434" i="8"/>
  <c r="BU440" i="8"/>
  <c r="BU445" i="8"/>
  <c r="BU450" i="8"/>
  <c r="BU456" i="8"/>
  <c r="BU461" i="8"/>
  <c r="BU466" i="8"/>
  <c r="BU472" i="8"/>
  <c r="BU477" i="8"/>
  <c r="BU482" i="8"/>
  <c r="BU488" i="8"/>
  <c r="BU493" i="8"/>
  <c r="BU498" i="8"/>
  <c r="BU504" i="8"/>
  <c r="BU509" i="8"/>
  <c r="BU514" i="8"/>
  <c r="BU520" i="8"/>
  <c r="BU525" i="8"/>
  <c r="BU530" i="8"/>
  <c r="BU536" i="8"/>
  <c r="BU541" i="8"/>
  <c r="BU546" i="8"/>
  <c r="BU552" i="8"/>
  <c r="BU557" i="8"/>
  <c r="BU562" i="8"/>
  <c r="BU568" i="8"/>
  <c r="BU573" i="8"/>
  <c r="BU578" i="8"/>
  <c r="BU584" i="8"/>
  <c r="BU589" i="8"/>
  <c r="BU594" i="8"/>
  <c r="BU600" i="8"/>
  <c r="BU605" i="8"/>
  <c r="BU610" i="8"/>
  <c r="BU616" i="8"/>
  <c r="BU621" i="8"/>
  <c r="BU626" i="8"/>
  <c r="BU632" i="8"/>
  <c r="BU637" i="8"/>
  <c r="BU642" i="8"/>
  <c r="BU648" i="8"/>
  <c r="BU653" i="8"/>
  <c r="BU658" i="8"/>
  <c r="BU664" i="8"/>
  <c r="BU669" i="8"/>
  <c r="BU674" i="8"/>
  <c r="BU680" i="8"/>
  <c r="BU685" i="8"/>
  <c r="BU690" i="8"/>
  <c r="BU696" i="8"/>
  <c r="BU701" i="8"/>
  <c r="BU706" i="8"/>
  <c r="BU712" i="8"/>
  <c r="BU717" i="8"/>
  <c r="BU722" i="8"/>
  <c r="BU728" i="8"/>
  <c r="BU733" i="8"/>
  <c r="BU738" i="8"/>
  <c r="BU744" i="8"/>
  <c r="BU749" i="8"/>
  <c r="BU754" i="8"/>
  <c r="BU760" i="8"/>
  <c r="BU765" i="8"/>
  <c r="BU770" i="8"/>
  <c r="BU776" i="8"/>
  <c r="BU781" i="8"/>
  <c r="BU786" i="8"/>
  <c r="BU792" i="8"/>
  <c r="BU797" i="8"/>
  <c r="BU802" i="8"/>
  <c r="BU808" i="8"/>
  <c r="BU813" i="8"/>
  <c r="BU818" i="8"/>
  <c r="BU824" i="8"/>
  <c r="BU829" i="8"/>
  <c r="BU834" i="8"/>
  <c r="BU840" i="8"/>
  <c r="BU845" i="8"/>
  <c r="BU850" i="8"/>
  <c r="BU856" i="8"/>
  <c r="BU861" i="8"/>
  <c r="BU866" i="8"/>
  <c r="BU872" i="8"/>
  <c r="BU877" i="8"/>
  <c r="BU882" i="8"/>
  <c r="BU888" i="8"/>
  <c r="BU893" i="8"/>
  <c r="BU898" i="8"/>
  <c r="BU904" i="8"/>
  <c r="BU909" i="8"/>
  <c r="BU914" i="8"/>
  <c r="BU920" i="8"/>
  <c r="BU925" i="8"/>
  <c r="BU930" i="8"/>
  <c r="BU936" i="8"/>
  <c r="BU941" i="8"/>
  <c r="BU946" i="8"/>
  <c r="BU952" i="8"/>
  <c r="BU957" i="8"/>
  <c r="BU962" i="8"/>
  <c r="BU968" i="8"/>
  <c r="BU973" i="8"/>
  <c r="BU978" i="8"/>
  <c r="BU984" i="8"/>
  <c r="BU989" i="8"/>
  <c r="BU994" i="8"/>
  <c r="BU1000" i="8"/>
  <c r="BU1005" i="8"/>
  <c r="BU1010" i="8"/>
  <c r="BU1016" i="8"/>
  <c r="BU1021" i="8"/>
  <c r="BU1026" i="8"/>
  <c r="BU1032" i="8"/>
  <c r="BU1037" i="8"/>
  <c r="BU1042" i="8"/>
  <c r="BU1048" i="8"/>
  <c r="BU1053" i="8"/>
  <c r="BU1058" i="8"/>
  <c r="BU1064" i="8"/>
  <c r="BU1069" i="8"/>
  <c r="BU1074" i="8"/>
  <c r="BU1080" i="8"/>
  <c r="BU1085" i="8"/>
  <c r="BU1090" i="8"/>
  <c r="BU1096" i="8"/>
  <c r="BU1101" i="8"/>
  <c r="BU1106" i="8"/>
  <c r="BU1112" i="8"/>
  <c r="BU1117" i="8"/>
  <c r="BU1122" i="8"/>
  <c r="BU1128" i="8"/>
  <c r="BU1133" i="8"/>
  <c r="BU1138" i="8"/>
  <c r="BU1144" i="8"/>
  <c r="BU1149" i="8"/>
  <c r="BU1154" i="8"/>
  <c r="BU1160" i="8"/>
  <c r="BU1165" i="8"/>
  <c r="BU1170" i="8"/>
  <c r="BU1176" i="8"/>
  <c r="BU1181" i="8"/>
  <c r="BU1186" i="8"/>
  <c r="BU1192" i="8"/>
  <c r="BU1197" i="8"/>
  <c r="BU1202" i="8"/>
  <c r="BU1208" i="8"/>
  <c r="BU1213" i="8"/>
  <c r="BU1218" i="8"/>
  <c r="BU1224" i="8"/>
  <c r="BU1229" i="8"/>
  <c r="BU1234" i="8"/>
  <c r="BU1240" i="8"/>
  <c r="BU1245" i="8"/>
  <c r="BU1250" i="8"/>
  <c r="BU1256" i="8"/>
  <c r="BU1261" i="8"/>
  <c r="BU1266" i="8"/>
  <c r="BU1272" i="8"/>
  <c r="BU1278" i="8"/>
  <c r="BU1285" i="8"/>
  <c r="BU1293" i="8"/>
  <c r="BU1300" i="8"/>
  <c r="BU1306" i="8"/>
  <c r="BU1314" i="8"/>
  <c r="BU1321" i="8"/>
  <c r="BU1328" i="8"/>
  <c r="BU1336" i="8"/>
  <c r="BU1342" i="8"/>
  <c r="BU1349" i="8"/>
  <c r="BU1357" i="8"/>
  <c r="BU1364" i="8"/>
  <c r="BU1370" i="8"/>
  <c r="BU1378" i="8"/>
  <c r="BU1385" i="8"/>
  <c r="BU1392" i="8"/>
  <c r="BU1400" i="8"/>
  <c r="BU1406" i="8"/>
  <c r="BU1413" i="8"/>
  <c r="BU1421" i="8"/>
  <c r="BU1428" i="8"/>
  <c r="BU1434" i="8"/>
  <c r="BU1442" i="8"/>
  <c r="BU1449" i="8"/>
  <c r="BU1456" i="8"/>
  <c r="BU1464" i="8"/>
  <c r="BU1470" i="8"/>
  <c r="BU1477" i="8"/>
  <c r="BU1485" i="8"/>
  <c r="BU1492" i="8"/>
  <c r="BU1498" i="8"/>
  <c r="BU1506" i="8"/>
  <c r="BU1513" i="8"/>
  <c r="BU1520" i="8"/>
  <c r="BU1528" i="8"/>
  <c r="BU1534" i="8"/>
  <c r="BU1541" i="8"/>
  <c r="BU1549" i="8"/>
  <c r="BU1556" i="8"/>
  <c r="BU1562" i="8"/>
  <c r="BU1570" i="8"/>
  <c r="BU1577" i="8"/>
  <c r="BU1584" i="8"/>
  <c r="BU1592" i="8"/>
  <c r="BU1598" i="8"/>
  <c r="BU1605" i="8"/>
  <c r="BU1613" i="8"/>
  <c r="BU1620" i="8"/>
  <c r="BU1626" i="8"/>
  <c r="BU1634" i="8"/>
  <c r="BU1641" i="8"/>
  <c r="BU1648" i="8"/>
  <c r="BU1656" i="8"/>
  <c r="BU1662" i="8"/>
  <c r="BU1669" i="8"/>
  <c r="BU1677" i="8"/>
  <c r="BU1684" i="8"/>
  <c r="BU1690" i="8"/>
  <c r="BU1698" i="8"/>
  <c r="BU1705" i="8"/>
  <c r="BU1712" i="8"/>
  <c r="BU1720" i="8"/>
  <c r="BU1726" i="8"/>
  <c r="BU1733" i="8"/>
  <c r="BU1741" i="8"/>
  <c r="BU1748" i="8"/>
  <c r="BU1754" i="8"/>
  <c r="BU1762" i="8"/>
  <c r="BU1769" i="8"/>
  <c r="BU1776" i="8"/>
  <c r="BU1784" i="8"/>
  <c r="BU1790" i="8"/>
  <c r="BU1797" i="8"/>
  <c r="O7" i="8"/>
  <c r="B23" i="2"/>
  <c r="H2" i="6"/>
  <c r="H6" i="6"/>
  <c r="AL16" i="8"/>
  <c r="BU12" i="8"/>
  <c r="BU11" i="8"/>
  <c r="BU9" i="8"/>
  <c r="BU7" i="8"/>
  <c r="BU6" i="8"/>
  <c r="BU8" i="8"/>
  <c r="BU10" i="8"/>
  <c r="BU5" i="8"/>
  <c r="BU13" i="8"/>
  <c r="Z14" i="8" l="1"/>
  <c r="H6" i="4"/>
  <c r="Z6" i="8"/>
  <c r="C22" i="4"/>
  <c r="G11" i="4"/>
  <c r="G22" i="4" s="1"/>
  <c r="AA11" i="8"/>
  <c r="AC11" i="8" s="1"/>
  <c r="B6" i="3"/>
  <c r="J2" i="4"/>
  <c r="M2" i="4" s="1"/>
  <c r="J17" i="4"/>
  <c r="Z10" i="8"/>
  <c r="Z21" i="8"/>
  <c r="Z25" i="8" s="1"/>
  <c r="Z17" i="8"/>
  <c r="Z5" i="8"/>
  <c r="H15" i="4"/>
  <c r="K15" i="4" s="1"/>
  <c r="H11" i="4"/>
  <c r="K11" i="4" s="1"/>
  <c r="N11" i="4" s="1"/>
  <c r="J21" i="4"/>
  <c r="J14" i="4"/>
  <c r="I22" i="4"/>
  <c r="AC4" i="8"/>
  <c r="AA25" i="8"/>
  <c r="I6" i="4"/>
  <c r="K18" i="4"/>
  <c r="M18" i="4" s="1"/>
  <c r="K13" i="4"/>
  <c r="M13" i="4" s="1"/>
  <c r="K3" i="4"/>
  <c r="W25" i="8"/>
  <c r="K19" i="4"/>
  <c r="M19" i="4" s="1"/>
  <c r="K10" i="4"/>
  <c r="N10" i="4" s="1"/>
  <c r="Y25" i="8"/>
  <c r="K2" i="4"/>
  <c r="N2" i="4" s="1"/>
  <c r="D22" i="4"/>
  <c r="K9" i="4"/>
  <c r="N9" i="4" s="1"/>
  <c r="AC25" i="8"/>
  <c r="J19" i="4"/>
  <c r="J15" i="4"/>
  <c r="B22" i="4"/>
  <c r="K21" i="4"/>
  <c r="N21" i="4" s="1"/>
  <c r="K16" i="4"/>
  <c r="N16" i="4" s="1"/>
  <c r="K12" i="4"/>
  <c r="M12" i="4" s="1"/>
  <c r="E22" i="4"/>
  <c r="K4" i="4"/>
  <c r="N4" i="4" s="1"/>
  <c r="J3" i="4"/>
  <c r="M3" i="4" s="1"/>
  <c r="C6" i="4"/>
  <c r="K20" i="4"/>
  <c r="M20" i="4" s="1"/>
  <c r="K5" i="4"/>
  <c r="N5" i="4" s="1"/>
  <c r="J4" i="4"/>
  <c r="M4" i="4" s="1"/>
  <c r="J20" i="4"/>
  <c r="J16" i="4"/>
  <c r="J12" i="4"/>
  <c r="F22" i="4"/>
  <c r="N3" i="4"/>
  <c r="N12" i="4"/>
  <c r="K14" i="4"/>
  <c r="J18" i="4"/>
  <c r="J10" i="4"/>
  <c r="K17" i="4"/>
  <c r="D6" i="4"/>
  <c r="J13" i="4"/>
  <c r="J9" i="4"/>
  <c r="J11" i="4"/>
  <c r="J5" i="4"/>
  <c r="M5" i="4" s="1"/>
  <c r="G2" i="2"/>
  <c r="G23" i="2" s="1"/>
  <c r="C23" i="2"/>
  <c r="BS29" i="8"/>
  <c r="K28" i="5" s="1"/>
  <c r="I28" i="5"/>
  <c r="BS45" i="8"/>
  <c r="K44" i="5" s="1"/>
  <c r="I44" i="5"/>
  <c r="BS199" i="8"/>
  <c r="K198" i="5" s="1"/>
  <c r="I193" i="5"/>
  <c r="I129" i="5"/>
  <c r="BS154" i="8"/>
  <c r="K153" i="5" s="1"/>
  <c r="I177" i="5"/>
  <c r="BS138" i="8"/>
  <c r="K137" i="5" s="1"/>
  <c r="BS186" i="8"/>
  <c r="K185" i="5" s="1"/>
  <c r="I161" i="5"/>
  <c r="K121" i="5"/>
  <c r="BS94" i="8"/>
  <c r="K93" i="5" s="1"/>
  <c r="I93" i="5"/>
  <c r="BS41" i="8"/>
  <c r="K40" i="5" s="1"/>
  <c r="I40" i="5"/>
  <c r="I82" i="5"/>
  <c r="BS83" i="8"/>
  <c r="K82" i="5" s="1"/>
  <c r="BS37" i="8"/>
  <c r="K36" i="5" s="1"/>
  <c r="I36" i="5"/>
  <c r="I87" i="5"/>
  <c r="BS88" i="8"/>
  <c r="K87" i="5" s="1"/>
  <c r="BS91" i="8"/>
  <c r="K90" i="5" s="1"/>
  <c r="I90" i="5"/>
  <c r="BS98" i="8"/>
  <c r="K97" i="5" s="1"/>
  <c r="I97" i="5"/>
  <c r="BS33" i="8"/>
  <c r="K32" i="5" s="1"/>
  <c r="I32" i="5"/>
  <c r="BS85" i="8"/>
  <c r="K84" i="5" s="1"/>
  <c r="I84" i="5"/>
  <c r="I92" i="5"/>
  <c r="I96" i="5"/>
  <c r="N13" i="4" l="1"/>
  <c r="N6" i="4"/>
  <c r="M10" i="4"/>
  <c r="M15" i="4"/>
  <c r="N15" i="4"/>
  <c r="M9" i="4"/>
  <c r="H22" i="4"/>
  <c r="M6" i="4"/>
  <c r="N20" i="4"/>
  <c r="M16" i="4"/>
  <c r="N18" i="4"/>
  <c r="M11" i="4"/>
  <c r="N19" i="4"/>
  <c r="M21" i="4"/>
  <c r="K6" i="4"/>
  <c r="N14" i="4"/>
  <c r="M14" i="4"/>
  <c r="N17" i="4"/>
  <c r="M17" i="4"/>
  <c r="K22" i="4"/>
  <c r="J22" i="4"/>
  <c r="J6" i="4"/>
  <c r="M22" i="4" l="1"/>
  <c r="N2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<sst xmlns="http://schemas.openxmlformats.org/spreadsheetml/2006/main" count="1032" uniqueCount="215">
  <si>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</si>
  <si>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</si>
  <si>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</si>
  <si>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</si>
  <si>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</si>
  <si>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</si>
  <si>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</si>
  <si>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</si>
  <si>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</si>
  <si>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</si>
  <si>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</si>
  <si>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</si>
  <si>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</si>
  <si>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</si>
  <si>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</si>
  <si>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</si>
  <si>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</si>
  <si>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</si>
  <si>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</si>
  <si>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</si>
  <si>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</si>
  <si>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</si>
  <si>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</si>
  <si>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</si>
  <si>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</si>
  <si>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</si>
  <si>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</si>
  <si>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</si>
  <si>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</si>
  <si>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</si>
  <si>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</si>
  <si>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</si>
  <si>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</si>
  <si>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</si>
  <si>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</si>
  <si>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</si>
  <si>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</si>
  <si>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</si>
  <si>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</si>
  <si>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</si>
  <si>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</si>
  <si>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</si>
  <si>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</si>
  <si>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</si>
  <si>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</si>
  <si>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</si>
  <si>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</si>
  <si>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</si>
  <si>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</si>
  <si>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</si>
  <si>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</si>
  <si>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</si>
  <si>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</si>
  <si>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</si>
  <si>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</si>
  <si>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</si>
  <si>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</si>
  <si>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</si>
  <si>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</si>
  <si>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</si>
  <si>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</si>
  <si>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</si>
  <si>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</si>
  <si>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</si>
  <si>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</si>
  <si>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</si>
  <si>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</si>
  <si>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</si>
  <si>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</si>
  <si>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</si>
  <si>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</si>
  <si>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</si>
  <si>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</si>
  <si>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</si>
  <si>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</si>
  <si>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</si>
  <si>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</si>
  <si>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</si>
  <si>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</si>
  <si>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</si>
  <si>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</si>
  <si>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</si>
  <si>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</si>
  <si>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</si>
  <si>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</si>
  <si>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</si>
  <si>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</si>
  <si>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</si>
  <si>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</si>
  <si>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</si>
  <si>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</si>
  <si>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</si>
  <si>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</si>
  <si>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</si>
  <si>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</si>
  <si>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</si>
  <si>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</si>
  <si>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</si>
  <si>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</si>
  <si>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</si>
  <si>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</si>
  <si>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</si>
  <si>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</si>
  <si>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</si>
  <si>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</si>
  <si>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</si>
  <si>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</si>
  <si>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</si>
  <si>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</si>
  <si>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</si>
  <si>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</si>
  <si>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</si>
  <si>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</si>
  <si>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</si>
  <si>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</si>
  <si>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</si>
  <si>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</si>
  <si>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</si>
  <si>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</si>
  <si>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</si>
  <si>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</si>
  <si>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</si>
  <si>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</si>
  <si>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</si>
  <si>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</si>
  <si>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</si>
  <si>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</si>
  <si>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</si>
  <si>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</si>
  <si>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</si>
  <si>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</si>
  <si>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</si>
  <si>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</si>
  <si>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</si>
  <si>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</si>
  <si>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</si>
  <si>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</si>
  <si>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</si>
  <si>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</si>
  <si>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</si>
  <si>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</si>
  <si>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</si>
  <si>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</si>
  <si>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</si>
  <si>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</si>
  <si>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</si>
  <si>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</si>
  <si>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</si>
  <si>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</si>
  <si>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</si>
  <si>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</si>
  <si>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</si>
  <si>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</si>
  <si>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</si>
  <si>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</si>
  <si>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</si>
  <si>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</si>
  <si>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</si>
  <si>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</si>
  <si>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</si>
  <si>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</si>
  <si>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</si>
  <si>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</si>
  <si>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</si>
  <si>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</si>
  <si>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</si>
  <si>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</si>
  <si>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</si>
  <si>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</si>
  <si>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</si>
  <si>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</si>
  <si>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</si>
  <si>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</si>
  <si>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</si>
  <si>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</si>
  <si>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</si>
  <si>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</si>
  <si>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</si>
  <si>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</si>
  <si>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</si>
  <si>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</si>
  <si>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</si>
  <si>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</si>
  <si>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</si>
  <si>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</si>
  <si>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</si>
  <si>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Day 19 Andi</t>
  </si>
  <si>
    <t>Day 19 Parhan</t>
  </si>
  <si>
    <t>Day 19 Enden</t>
  </si>
  <si>
    <t>Day 19 Pebrian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</si>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</sst>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8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1773000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5673600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0</v>
      </c>
      <c r="C4">
        <f>index!C5</f>
        <v>2193</v>
      </c>
      <c r="D4" s="1">
        <f t="shared" ref="D4:D21" si="0">B4+C4</f>
        <v>2193</v>
      </c>
    </row>
    <row r="5" spans="1:4" x14ac:dyDescent="0.35">
      <c r="A5" t="s">
        <v>6</v>
      </c>
      <c r="B5">
        <f>index!B6</f>
        <v>1625</v>
      </c>
      <c r="C5">
        <f>index!C6</f>
        <v>725</v>
      </c>
      <c r="D5" s="1">
        <f t="shared" si="0"/>
        <v>2350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242</v>
      </c>
      <c r="D13" s="1">
        <f t="shared" si="0"/>
        <v>242</v>
      </c>
    </row>
    <row r="14" spans="1:4" x14ac:dyDescent="0.35">
      <c r="A14" t="s">
        <v>13</v>
      </c>
      <c r="B14">
        <f>index!B15</f>
        <v>126</v>
      </c>
      <c r="C14">
        <f>index!C15</f>
        <v>0</v>
      </c>
      <c r="D14" s="1">
        <f t="shared" si="0"/>
        <v>126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171</v>
      </c>
      <c r="D17" s="1">
        <f t="shared" si="0"/>
        <v>171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22</v>
      </c>
      <c r="C2">
        <f>index!H5</f>
        <v>0</v>
      </c>
      <c r="D2">
        <f>index!I5</f>
        <v>0</v>
      </c>
      <c r="E2">
        <f>index!J5</f>
        <v>0</v>
      </c>
      <c r="G2">
        <f>SUM(B2:F2)</f>
        <v>22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32</v>
      </c>
      <c r="C4">
        <f>index!H7</f>
        <v>100</v>
      </c>
      <c r="D4">
        <f>index!I7</f>
        <v>60</v>
      </c>
      <c r="E4">
        <f>index!J7</f>
        <v>188</v>
      </c>
      <c r="G4">
        <f t="shared" si="0"/>
        <v>380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125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787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169</v>
      </c>
      <c r="C10">
        <f>index!H13</f>
        <v>144</v>
      </c>
      <c r="D10">
        <f>index!I13</f>
        <v>138</v>
      </c>
      <c r="E10">
        <f>index!J13</f>
        <v>232</v>
      </c>
      <c r="G10">
        <f t="shared" si="0"/>
        <v>683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19</v>
      </c>
      <c r="D12">
        <f>index!I15</f>
        <v>26</v>
      </c>
      <c r="E12">
        <f>index!J15</f>
        <v>71</v>
      </c>
      <c r="G12">
        <f t="shared" si="0"/>
        <v>145</v>
      </c>
    </row>
    <row r="13" spans="1:7" x14ac:dyDescent="0.35">
      <c r="A13" t="s">
        <v>35</v>
      </c>
      <c r="B13">
        <f>index!G16</f>
        <v>74</v>
      </c>
      <c r="C13">
        <f>index!H16</f>
        <v>50</v>
      </c>
      <c r="D13">
        <f>index!I16</f>
        <v>60</v>
      </c>
      <c r="E13">
        <f>index!J16</f>
        <v>70</v>
      </c>
      <c r="G13">
        <f t="shared" si="0"/>
        <v>254</v>
      </c>
    </row>
    <row r="14" spans="1:7" x14ac:dyDescent="0.35">
      <c r="A14" t="s">
        <v>36</v>
      </c>
      <c r="B14">
        <f>index!G17</f>
        <v>51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184</v>
      </c>
    </row>
    <row r="15" spans="1:7" x14ac:dyDescent="0.35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15</v>
      </c>
      <c r="E18">
        <f>index!J21</f>
        <v>0</v>
      </c>
      <c r="G18">
        <f t="shared" si="0"/>
        <v>96</v>
      </c>
    </row>
    <row r="19" spans="1:7" x14ac:dyDescent="0.35">
      <c r="A19" t="s">
        <v>19</v>
      </c>
      <c r="B19">
        <f>index!G22</f>
        <v>259</v>
      </c>
      <c r="C19">
        <f>index!H22</f>
        <v>46</v>
      </c>
      <c r="D19">
        <f>index!I22</f>
        <v>101</v>
      </c>
      <c r="E19">
        <f>index!J22</f>
        <v>135</v>
      </c>
      <c r="G19">
        <f t="shared" si="0"/>
        <v>541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838</v>
      </c>
      <c r="C23">
        <f t="shared" ref="C23:G23" si="1">SUM(C2:C22)</f>
        <v>779</v>
      </c>
      <c r="D23">
        <f t="shared" si="1"/>
        <v>522</v>
      </c>
      <c r="E23">
        <f t="shared" si="1"/>
        <v>1155</v>
      </c>
      <c r="F23">
        <f t="shared" si="1"/>
        <v>0</v>
      </c>
      <c r="G23">
        <f t="shared" si="1"/>
        <v>3294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80</v>
      </c>
      <c r="B2">
        <f>index!O3</f>
        <v>53416000</v>
      </c>
    </row>
    <row r="3" spans="1:2" x14ac:dyDescent="0.35">
      <c r="A3" t="s">
        <v>40</v>
      </c>
      <c r="B3">
        <f>index!O4</f>
        <v>83829200</v>
      </c>
    </row>
    <row r="4" spans="1:2" x14ac:dyDescent="0.35">
      <c r="A4" t="s">
        <v>41</v>
      </c>
      <c r="B4">
        <f>index!O5</f>
        <v>73302100</v>
      </c>
    </row>
    <row r="5" spans="1:2" x14ac:dyDescent="0.35">
      <c r="A5" t="s">
        <v>42</v>
      </c>
      <c r="B5">
        <f>index!O6</f>
        <v>85748300</v>
      </c>
    </row>
    <row r="6" spans="1:2" x14ac:dyDescent="0.35">
      <c r="A6" t="s">
        <v>43</v>
      </c>
      <c r="B6">
        <f>SUM(B2:B5)</f>
        <v>296295600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2"/>
  <sheetViews>
    <sheetView tabSelected="1" workbookViewId="0"/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</cols>
  <sheetData>
    <row r="1" spans="1:39" x14ac:dyDescent="0.35">
      <c r="A1" t="s">
        <v>81</v>
      </c>
      <c r="B1" s="67" t="s">
        <v>186</v>
      </c>
      <c r="C1" t="s">
        <v>47</v>
      </c>
      <c r="D1" s="67" t="s">
        <v>187</v>
      </c>
      <c r="E1" t="s">
        <v>39</v>
      </c>
      <c r="F1" s="67" t="s">
        <v>188</v>
      </c>
      <c r="G1" t="s">
        <v>48</v>
      </c>
      <c r="H1" s="67" t="s">
        <v>189</v>
      </c>
      <c r="I1" t="s">
        <v>49</v>
      </c>
      <c r="J1" t="s">
        <v>178</v>
      </c>
      <c r="K1" t="s">
        <v>82</v>
      </c>
      <c r="L1" t="s">
        <v>83</v>
      </c>
      <c r="M1" t="s">
        <v>178</v>
      </c>
      <c r="N1" t="s">
        <v>84</v>
      </c>
      <c r="P1" t="s">
        <v>179</v>
      </c>
      <c r="Q1" t="s">
        <v>47</v>
      </c>
      <c r="V1" t="s">
        <v>39</v>
      </c>
      <c r="AA1" t="s">
        <v>48</v>
      </c>
      <c r="AF1" t="s">
        <v>49</v>
      </c>
    </row>
    <row r="2" spans="1:39" x14ac:dyDescent="0.35">
      <c r="A2" t="s">
        <v>4</v>
      </c>
      <c r="B2" s="71">
        <f>index!R4</f>
        <v>5</v>
      </c>
      <c r="C2">
        <f>index!S4</f>
        <v>15</v>
      </c>
      <c r="D2" s="71">
        <f>index!T4</f>
        <v>0</v>
      </c>
      <c r="E2">
        <f>index!U4</f>
        <v>0</v>
      </c>
      <c r="F2" s="71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1">
        <f>B2+D2+F2+H2</f>
        <v>5</v>
      </c>
      <c r="K2">
        <f>SUM(C2:I2)</f>
        <v>39</v>
      </c>
      <c r="L2">
        <v>11000</v>
      </c>
      <c r="M2">
        <f>J2*L2</f>
        <v>55000</v>
      </c>
      <c r="N2">
        <f>K2*L2</f>
        <v>429000</v>
      </c>
      <c r="P2" t="s">
        <v>175</v>
      </c>
      <c r="Q2" t="s">
        <v>180</v>
      </c>
      <c r="R2" t="s">
        <v>181</v>
      </c>
      <c r="S2" t="s">
        <v>182</v>
      </c>
      <c r="T2" t="s">
        <v>183</v>
      </c>
      <c r="U2" t="s">
        <v>184</v>
      </c>
      <c r="V2" t="s">
        <v>180</v>
      </c>
      <c r="W2" t="s">
        <v>181</v>
      </c>
      <c r="X2" t="s">
        <v>182</v>
      </c>
      <c r="Y2" t="s">
        <v>183</v>
      </c>
      <c r="Z2" t="s">
        <v>184</v>
      </c>
      <c r="AA2" t="s">
        <v>180</v>
      </c>
      <c r="AB2" t="s">
        <v>181</v>
      </c>
      <c r="AC2" t="s">
        <v>182</v>
      </c>
      <c r="AD2" t="s">
        <v>183</v>
      </c>
      <c r="AE2" t="s">
        <v>184</v>
      </c>
      <c r="AF2" t="s">
        <v>180</v>
      </c>
      <c r="AG2" t="s">
        <v>181</v>
      </c>
      <c r="AH2" t="s">
        <v>182</v>
      </c>
      <c r="AI2" t="s">
        <v>183</v>
      </c>
      <c r="AJ2" t="s">
        <v>184</v>
      </c>
      <c r="AK2" t="s">
        <v>185</v>
      </c>
      <c r="AL2" t="s">
        <v>83</v>
      </c>
      <c r="AM2" t="s">
        <v>38</v>
      </c>
    </row>
    <row r="3" spans="1:39" x14ac:dyDescent="0.35">
      <c r="A3" t="s">
        <v>29</v>
      </c>
      <c r="B3" s="71">
        <f>index!R5</f>
        <v>0</v>
      </c>
      <c r="C3">
        <f>index!S5</f>
        <v>25</v>
      </c>
      <c r="D3" s="71">
        <f>index!T5</f>
        <v>0</v>
      </c>
      <c r="E3">
        <f>index!U5</f>
        <v>25</v>
      </c>
      <c r="F3" s="71">
        <f>index!V5</f>
        <v>0</v>
      </c>
      <c r="G3">
        <f>index!W5</f>
        <v>50</v>
      </c>
      <c r="H3">
        <f>index!X5</f>
        <v>0</v>
      </c>
      <c r="I3">
        <f>index!Y5</f>
        <v>25</v>
      </c>
      <c r="J3" s="71">
        <f t="shared" ref="J3:J5" si="0">B3+D3+F3+H3</f>
        <v>0</v>
      </c>
      <c r="K3">
        <f t="shared" ref="K3:K5" si="1">SUM(C3:I3)</f>
        <v>125</v>
      </c>
      <c r="L3">
        <v>30000</v>
      </c>
      <c r="M3">
        <f t="shared" ref="M3:M5" si="2">J3*L3</f>
        <v>0</v>
      </c>
      <c r="N3">
        <f>K3*L3</f>
        <v>3750000</v>
      </c>
      <c r="P3" t="s">
        <v>4</v>
      </c>
      <c r="Q3">
        <f>index!DF4</f>
        <v>10</v>
      </c>
      <c r="R3">
        <f>index!DG4</f>
        <v>0</v>
      </c>
      <c r="S3">
        <f>index!DH4</f>
        <v>5</v>
      </c>
      <c r="T3">
        <f>index!DI4</f>
        <v>0</v>
      </c>
      <c r="U3">
        <f>index!DJ4</f>
        <v>15</v>
      </c>
      <c r="V3">
        <f>index!DK4</f>
        <v>0</v>
      </c>
      <c r="W3">
        <f>index!DL4</f>
        <v>0</v>
      </c>
      <c r="X3">
        <f>index!DM4</f>
        <v>0</v>
      </c>
      <c r="Y3">
        <f>index!DN4</f>
        <v>0</v>
      </c>
      <c r="Z3">
        <f>index!DO4</f>
        <v>0</v>
      </c>
      <c r="AA3">
        <f>index!DP4</f>
        <v>5</v>
      </c>
      <c r="AB3">
        <f>index!DQ4</f>
        <v>0</v>
      </c>
      <c r="AC3">
        <f>index!DR4</f>
        <v>0</v>
      </c>
      <c r="AD3">
        <f>index!DS4</f>
        <v>0</v>
      </c>
      <c r="AE3">
        <f>index!DT4</f>
        <v>5</v>
      </c>
      <c r="AF3">
        <f>index!DU4</f>
        <v>0</v>
      </c>
      <c r="AG3">
        <f>index!DV4</f>
        <v>0</v>
      </c>
      <c r="AH3">
        <f>index!DW4</f>
        <v>19</v>
      </c>
      <c r="AI3">
        <f>index!DX4</f>
        <v>0</v>
      </c>
      <c r="AJ3">
        <f>index!DY4</f>
        <v>19</v>
      </c>
      <c r="AK3">
        <f>index!DZ4</f>
        <v>39</v>
      </c>
      <c r="AL3">
        <f>index!EA4</f>
        <v>11000</v>
      </c>
      <c r="AM3">
        <f>index!EB4</f>
        <v>429000</v>
      </c>
    </row>
    <row r="4" spans="1:39" x14ac:dyDescent="0.35">
      <c r="A4" t="s">
        <v>30</v>
      </c>
      <c r="B4" s="71">
        <f>index!R6</f>
        <v>0</v>
      </c>
      <c r="C4">
        <f>index!S6</f>
        <v>250</v>
      </c>
      <c r="D4" s="71">
        <f>index!T6</f>
        <v>12</v>
      </c>
      <c r="E4">
        <f>index!U6</f>
        <v>238</v>
      </c>
      <c r="F4" s="71">
        <f>index!V6</f>
        <v>17</v>
      </c>
      <c r="G4">
        <f>index!W6</f>
        <v>291</v>
      </c>
      <c r="H4">
        <f>index!X6</f>
        <v>20</v>
      </c>
      <c r="I4">
        <f>index!Y6</f>
        <v>199</v>
      </c>
      <c r="J4" s="71">
        <f t="shared" si="0"/>
        <v>49</v>
      </c>
      <c r="K4">
        <f t="shared" si="1"/>
        <v>1027</v>
      </c>
      <c r="L4">
        <v>25000</v>
      </c>
      <c r="M4">
        <f t="shared" si="2"/>
        <v>1225000</v>
      </c>
      <c r="N4">
        <f>K4*L4</f>
        <v>25675000</v>
      </c>
      <c r="P4" t="s">
        <v>29</v>
      </c>
      <c r="Q4">
        <f>index!DF5</f>
        <v>0</v>
      </c>
      <c r="R4">
        <f>index!DG5</f>
        <v>0</v>
      </c>
      <c r="S4">
        <f>index!DH5</f>
        <v>0</v>
      </c>
      <c r="T4">
        <f>index!DI5</f>
        <v>0</v>
      </c>
      <c r="U4">
        <f>index!DJ5</f>
        <v>0</v>
      </c>
      <c r="V4">
        <f>index!DK5</f>
        <v>0</v>
      </c>
      <c r="W4">
        <f>index!DL5</f>
        <v>0</v>
      </c>
      <c r="X4">
        <f>index!DM5</f>
        <v>0</v>
      </c>
      <c r="Y4">
        <f>index!DN5</f>
        <v>0</v>
      </c>
      <c r="Z4">
        <f>index!DO5</f>
        <v>0</v>
      </c>
      <c r="AA4">
        <f>index!DP5</f>
        <v>0</v>
      </c>
      <c r="AB4">
        <f>index!DQ5</f>
        <v>0</v>
      </c>
      <c r="AC4">
        <f>index!DR5</f>
        <v>0</v>
      </c>
      <c r="AD4">
        <f>index!DS5</f>
        <v>0</v>
      </c>
      <c r="AE4">
        <f>index!DT5</f>
        <v>0</v>
      </c>
      <c r="AF4">
        <f>index!DU5</f>
        <v>0</v>
      </c>
      <c r="AG4">
        <f>index!DV5</f>
        <v>0</v>
      </c>
      <c r="AH4">
        <f>index!DW5</f>
        <v>0</v>
      </c>
      <c r="AI4">
        <f>index!DX5</f>
        <v>0</v>
      </c>
      <c r="AJ4">
        <f>index!DY5</f>
        <v>0</v>
      </c>
      <c r="AK4">
        <f>index!DZ5</f>
        <v>0</v>
      </c>
      <c r="AL4">
        <f>index!EA5</f>
        <v>30000</v>
      </c>
      <c r="AM4">
        <f>index!EB5</f>
        <v>0</v>
      </c>
    </row>
    <row r="5" spans="1:39" x14ac:dyDescent="0.35">
      <c r="A5" t="s">
        <v>7</v>
      </c>
      <c r="B5" s="71">
        <f>index!R7</f>
        <v>0</v>
      </c>
      <c r="C5">
        <f>index!S7</f>
        <v>0</v>
      </c>
      <c r="D5" s="71">
        <f>index!T7</f>
        <v>0</v>
      </c>
      <c r="E5">
        <f>index!U7</f>
        <v>0</v>
      </c>
      <c r="F5" s="71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1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30</v>
      </c>
      <c r="Q5">
        <f>index!DF6</f>
        <v>57</v>
      </c>
      <c r="R5">
        <f>index!DG6</f>
        <v>71</v>
      </c>
      <c r="S5">
        <f>index!DH6</f>
        <v>44</v>
      </c>
      <c r="T5">
        <f>index!DI6</f>
        <v>0</v>
      </c>
      <c r="U5">
        <f>index!DJ6</f>
        <v>172</v>
      </c>
      <c r="V5">
        <f>index!DK6</f>
        <v>19</v>
      </c>
      <c r="W5">
        <f>index!DL6</f>
        <v>10</v>
      </c>
      <c r="X5">
        <f>index!DM6</f>
        <v>65</v>
      </c>
      <c r="Y5">
        <f>index!DN6</f>
        <v>0</v>
      </c>
      <c r="Z5">
        <f>index!DO6</f>
        <v>94</v>
      </c>
      <c r="AA5">
        <f>index!DP6</f>
        <v>45</v>
      </c>
      <c r="AB5">
        <f>index!DQ6</f>
        <v>10</v>
      </c>
      <c r="AC5">
        <f>index!DR6</f>
        <v>65</v>
      </c>
      <c r="AD5">
        <f>index!DS6</f>
        <v>0</v>
      </c>
      <c r="AE5">
        <f>index!DT6</f>
        <v>120</v>
      </c>
      <c r="AF5">
        <f>index!DU6</f>
        <v>40</v>
      </c>
      <c r="AG5">
        <f>index!DV6</f>
        <v>23</v>
      </c>
      <c r="AH5">
        <f>index!DW6</f>
        <v>73</v>
      </c>
      <c r="AI5">
        <f>index!DX6</f>
        <v>0</v>
      </c>
      <c r="AJ5">
        <f>index!DY6</f>
        <v>136</v>
      </c>
      <c r="AK5">
        <f>index!DZ6</f>
        <v>522</v>
      </c>
      <c r="AL5">
        <f>index!EA6</f>
        <v>25000</v>
      </c>
      <c r="AM5">
        <f>index!EB6</f>
        <v>13050000</v>
      </c>
    </row>
    <row r="6" spans="1:39" x14ac:dyDescent="0.35">
      <c r="A6" t="s">
        <v>85</v>
      </c>
      <c r="B6" s="71">
        <f>SUM(B2:B5)</f>
        <v>5</v>
      </c>
      <c r="C6">
        <f>SUM(C2:C5)</f>
        <v>290</v>
      </c>
      <c r="D6" s="71">
        <f>SUM(D2:D5)</f>
        <v>12</v>
      </c>
      <c r="E6">
        <f t="shared" ref="E6:N6" si="3">SUM(E2:E5)</f>
        <v>263</v>
      </c>
      <c r="F6" s="71">
        <f>SUM(F2:F5)</f>
        <v>17</v>
      </c>
      <c r="G6">
        <f t="shared" si="3"/>
        <v>346</v>
      </c>
      <c r="H6">
        <f>SUM(H2:H5)</f>
        <v>20</v>
      </c>
      <c r="I6">
        <f t="shared" si="3"/>
        <v>243</v>
      </c>
      <c r="J6" s="71">
        <f>SUM(J2:J5)</f>
        <v>54</v>
      </c>
      <c r="K6">
        <f t="shared" si="3"/>
        <v>1191</v>
      </c>
      <c r="M6">
        <f>SUM(M2:M5)</f>
        <v>1280000</v>
      </c>
      <c r="N6">
        <f t="shared" si="3"/>
        <v>29854000</v>
      </c>
      <c r="P6" t="s">
        <v>7</v>
      </c>
      <c r="Q6">
        <f>index!DF7</f>
        <v>0</v>
      </c>
      <c r="R6">
        <f>index!DG7</f>
        <v>0</v>
      </c>
      <c r="S6">
        <f>index!DH7</f>
        <v>0</v>
      </c>
      <c r="T6">
        <f>index!DI7</f>
        <v>0</v>
      </c>
      <c r="U6">
        <f>index!DJ7</f>
        <v>0</v>
      </c>
      <c r="V6">
        <f>index!DK7</f>
        <v>0</v>
      </c>
      <c r="W6">
        <f>index!DL7</f>
        <v>0</v>
      </c>
      <c r="X6">
        <f>index!DM7</f>
        <v>0</v>
      </c>
      <c r="Y6">
        <f>index!DN7</f>
        <v>0</v>
      </c>
      <c r="Z6">
        <f>index!DO7</f>
        <v>0</v>
      </c>
      <c r="AA6">
        <f>index!DP7</f>
        <v>0</v>
      </c>
      <c r="AB6">
        <f>index!DQ7</f>
        <v>0</v>
      </c>
      <c r="AC6">
        <f>index!DR7</f>
        <v>0</v>
      </c>
      <c r="AD6">
        <f>index!DS7</f>
        <v>0</v>
      </c>
      <c r="AE6">
        <f>index!DT7</f>
        <v>0</v>
      </c>
      <c r="AF6">
        <f>index!DU7</f>
        <v>0</v>
      </c>
      <c r="AG6">
        <f>index!DV7</f>
        <v>0</v>
      </c>
      <c r="AH6">
        <f>index!DW7</f>
        <v>0</v>
      </c>
      <c r="AI6">
        <f>index!DX7</f>
        <v>0</v>
      </c>
      <c r="AJ6">
        <f>index!DY7</f>
        <v>0</v>
      </c>
      <c r="AK6">
        <f>index!DZ7</f>
        <v>0</v>
      </c>
      <c r="AL6">
        <f>index!EA7</f>
        <v>40000</v>
      </c>
      <c r="AM6">
        <f>index!EB7</f>
        <v>0</v>
      </c>
    </row>
    <row r="7" spans="1:39" s="46" customFormat="1" x14ac:dyDescent="0.35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P7"/>
      <c r="Q7">
        <f>index!DF8</f>
        <v>0</v>
      </c>
      <c r="R7">
        <f>index!DG8</f>
        <v>0</v>
      </c>
      <c r="S7">
        <f>index!DH8</f>
        <v>0</v>
      </c>
      <c r="T7">
        <f>index!DI8</f>
        <v>0</v>
      </c>
      <c r="U7">
        <f>index!DJ8</f>
        <v>0</v>
      </c>
      <c r="V7">
        <f>index!DK8</f>
        <v>0</v>
      </c>
      <c r="W7">
        <f>index!DL8</f>
        <v>0</v>
      </c>
      <c r="X7">
        <f>index!DM8</f>
        <v>0</v>
      </c>
      <c r="Y7">
        <f>index!DN8</f>
        <v>0</v>
      </c>
      <c r="Z7">
        <f>index!DO8</f>
        <v>0</v>
      </c>
      <c r="AA7">
        <f>index!DP8</f>
        <v>0</v>
      </c>
      <c r="AB7">
        <f>index!DQ8</f>
        <v>0</v>
      </c>
      <c r="AC7">
        <f>index!DR8</f>
        <v>0</v>
      </c>
      <c r="AD7">
        <f>index!DS8</f>
        <v>0</v>
      </c>
      <c r="AE7">
        <f>index!DT8</f>
        <v>0</v>
      </c>
      <c r="AF7">
        <f>index!DU8</f>
        <v>0</v>
      </c>
      <c r="AG7">
        <f>index!DV8</f>
        <v>0</v>
      </c>
      <c r="AH7">
        <f>index!DW8</f>
        <v>0</v>
      </c>
      <c r="AI7">
        <f>index!DX8</f>
        <v>0</v>
      </c>
      <c r="AJ7">
        <f>index!DY8</f>
        <v>0</v>
      </c>
      <c r="AK7">
        <f>index!DZ8</f>
        <v>0</v>
      </c>
      <c r="AL7">
        <f>index!EA8</f>
        <v>0</v>
      </c>
      <c r="AM7">
        <f>index!EB8</f>
        <v>0</v>
      </c>
    </row>
    <row r="8" spans="1:39" x14ac:dyDescent="0.35">
      <c r="A8" t="s">
        <v>86</v>
      </c>
      <c r="B8" s="67" t="s">
        <v>177</v>
      </c>
      <c r="C8" t="s">
        <v>47</v>
      </c>
      <c r="D8" s="67" t="s">
        <v>177</v>
      </c>
      <c r="E8" t="s">
        <v>39</v>
      </c>
      <c r="F8" s="67" t="s">
        <v>177</v>
      </c>
      <c r="G8" t="s">
        <v>48</v>
      </c>
      <c r="H8" s="67" t="s">
        <v>177</v>
      </c>
      <c r="I8" t="s">
        <v>49</v>
      </c>
      <c r="J8" t="s">
        <v>178</v>
      </c>
      <c r="K8" t="s">
        <v>82</v>
      </c>
      <c r="L8" t="s">
        <v>83</v>
      </c>
      <c r="M8" t="s">
        <v>178</v>
      </c>
      <c r="N8" t="s">
        <v>84</v>
      </c>
      <c r="Q8">
        <f>index!DF9</f>
        <v>0</v>
      </c>
      <c r="R8">
        <f>index!DG9</f>
        <v>0</v>
      </c>
      <c r="S8">
        <f>index!DH9</f>
        <v>0</v>
      </c>
      <c r="T8">
        <f>index!DI9</f>
        <v>0</v>
      </c>
      <c r="U8">
        <f>index!DJ9</f>
        <v>0</v>
      </c>
      <c r="V8">
        <f>index!DK9</f>
        <v>0</v>
      </c>
      <c r="W8">
        <f>index!DL9</f>
        <v>0</v>
      </c>
      <c r="X8">
        <f>index!DM9</f>
        <v>0</v>
      </c>
      <c r="Y8">
        <f>index!DN9</f>
        <v>0</v>
      </c>
      <c r="Z8">
        <f>index!DO9</f>
        <v>0</v>
      </c>
      <c r="AA8">
        <f>index!DP9</f>
        <v>0</v>
      </c>
      <c r="AB8">
        <f>index!DQ9</f>
        <v>0</v>
      </c>
      <c r="AC8">
        <f>index!DR9</f>
        <v>0</v>
      </c>
      <c r="AD8">
        <f>index!DS9</f>
        <v>0</v>
      </c>
      <c r="AE8">
        <f>index!DT9</f>
        <v>0</v>
      </c>
      <c r="AF8">
        <f>index!DU9</f>
        <v>0</v>
      </c>
      <c r="AG8">
        <f>index!DV9</f>
        <v>0</v>
      </c>
      <c r="AH8">
        <f>index!DW9</f>
        <v>0</v>
      </c>
      <c r="AI8">
        <f>index!DX9</f>
        <v>0</v>
      </c>
      <c r="AJ8">
        <f>index!DY9</f>
        <v>0</v>
      </c>
      <c r="AK8">
        <f>index!DZ9</f>
        <v>0</v>
      </c>
      <c r="AL8">
        <f>index!EA9</f>
        <v>0</v>
      </c>
      <c r="AM8">
        <f>index!EB9</f>
        <v>0</v>
      </c>
    </row>
    <row r="9" spans="1:39" x14ac:dyDescent="0.35">
      <c r="A9" t="s">
        <v>8</v>
      </c>
      <c r="B9" s="71">
        <f>index!R10</f>
        <v>25</v>
      </c>
      <c r="C9">
        <f>index!S10</f>
        <v>95</v>
      </c>
      <c r="D9" s="71">
        <f>index!T10</f>
        <v>0</v>
      </c>
      <c r="E9">
        <f>index!U10</f>
        <v>0</v>
      </c>
      <c r="F9" s="71">
        <f>index!V10</f>
        <v>0</v>
      </c>
      <c r="G9">
        <f>index!W10</f>
        <v>0</v>
      </c>
      <c r="H9">
        <f>index!X10</f>
        <v>0</v>
      </c>
      <c r="I9">
        <f>index!Y10</f>
        <v>0</v>
      </c>
      <c r="J9" s="71">
        <f>B9+D9+F9+H9</f>
        <v>25</v>
      </c>
      <c r="K9">
        <f>SUM(C9:I9)</f>
        <v>95</v>
      </c>
      <c r="L9">
        <v>600</v>
      </c>
      <c r="M9">
        <f>K9*L9</f>
        <v>57000</v>
      </c>
      <c r="N9">
        <f>K9*L9</f>
        <v>57000</v>
      </c>
      <c r="P9" t="s">
        <v>8</v>
      </c>
      <c r="Q9">
        <f>index!DF10</f>
        <v>20</v>
      </c>
      <c r="R9">
        <f>index!DG10</f>
        <v>50</v>
      </c>
      <c r="S9">
        <f>index!DH10</f>
        <v>25</v>
      </c>
      <c r="T9">
        <f>index!DI10</f>
        <v>0</v>
      </c>
      <c r="U9">
        <f>index!DJ10</f>
        <v>95</v>
      </c>
      <c r="V9">
        <f>index!DK10</f>
        <v>0</v>
      </c>
      <c r="W9">
        <f>index!DL10</f>
        <v>0</v>
      </c>
      <c r="X9">
        <f>index!DM10</f>
        <v>0</v>
      </c>
      <c r="Y9">
        <f>index!DN10</f>
        <v>0</v>
      </c>
      <c r="Z9">
        <f>index!DO10</f>
        <v>0</v>
      </c>
      <c r="AA9">
        <f>index!DP10</f>
        <v>0</v>
      </c>
      <c r="AB9">
        <f>index!DQ10</f>
        <v>0</v>
      </c>
      <c r="AC9">
        <f>index!DR10</f>
        <v>0</v>
      </c>
      <c r="AD9">
        <f>index!DS10</f>
        <v>0</v>
      </c>
      <c r="AE9">
        <f>index!DT10</f>
        <v>0</v>
      </c>
      <c r="AF9">
        <f>index!DU10</f>
        <v>0</v>
      </c>
      <c r="AG9">
        <f>index!DV10</f>
        <v>0</v>
      </c>
      <c r="AH9">
        <f>index!DW10</f>
        <v>0</v>
      </c>
      <c r="AI9">
        <f>index!DX10</f>
        <v>0</v>
      </c>
      <c r="AJ9">
        <f>index!DY10</f>
        <v>0</v>
      </c>
      <c r="AK9">
        <f>index!DZ10</f>
        <v>95</v>
      </c>
      <c r="AL9">
        <f>index!EA10</f>
        <v>600</v>
      </c>
      <c r="AM9">
        <f>index!EB10</f>
        <v>57000</v>
      </c>
    </row>
    <row r="10" spans="1:39" x14ac:dyDescent="0.35">
      <c r="A10" t="s">
        <v>31</v>
      </c>
      <c r="B10" s="71">
        <f>index!R11</f>
        <v>0</v>
      </c>
      <c r="C10">
        <f>index!S11</f>
        <v>0</v>
      </c>
      <c r="D10" s="71">
        <f>index!T11</f>
        <v>0</v>
      </c>
      <c r="E10">
        <f>index!U11</f>
        <v>27</v>
      </c>
      <c r="F10" s="71">
        <f>index!V11</f>
        <v>0</v>
      </c>
      <c r="G10">
        <f>index!W11</f>
        <v>21</v>
      </c>
      <c r="H10">
        <f>index!X11</f>
        <v>0</v>
      </c>
      <c r="I10">
        <f>index!Y11</f>
        <v>0</v>
      </c>
      <c r="J10" s="71">
        <f t="shared" ref="J10:J21" si="4">B10+D10+F10+H10</f>
        <v>0</v>
      </c>
      <c r="K10">
        <f t="shared" ref="K10:K21" si="5">SUM(C10:I10)</f>
        <v>48</v>
      </c>
      <c r="L10">
        <v>22500</v>
      </c>
      <c r="M10">
        <f t="shared" ref="M10:M21" si="6">K10*L10</f>
        <v>1080000</v>
      </c>
      <c r="N10">
        <f t="shared" ref="N10:N21" si="7">K10*L10</f>
        <v>1080000</v>
      </c>
      <c r="P10" t="s">
        <v>31</v>
      </c>
      <c r="Q10">
        <f>index!DF11</f>
        <v>0</v>
      </c>
      <c r="R10">
        <f>index!DG11</f>
        <v>0</v>
      </c>
      <c r="S10">
        <f>index!DH11</f>
        <v>0</v>
      </c>
      <c r="T10">
        <f>index!DI11</f>
        <v>0</v>
      </c>
      <c r="U10">
        <f>index!DJ11</f>
        <v>0</v>
      </c>
      <c r="V10">
        <f>index!DK11</f>
        <v>0</v>
      </c>
      <c r="W10">
        <f>index!DL11</f>
        <v>0</v>
      </c>
      <c r="X10">
        <f>index!DM11</f>
        <v>0</v>
      </c>
      <c r="Y10">
        <f>index!DN11</f>
        <v>0</v>
      </c>
      <c r="Z10">
        <f>index!DO11</f>
        <v>0</v>
      </c>
      <c r="AA10">
        <f>index!DP11</f>
        <v>0</v>
      </c>
      <c r="AB10">
        <f>index!DQ11</f>
        <v>0</v>
      </c>
      <c r="AC10">
        <f>index!DR11</f>
        <v>0</v>
      </c>
      <c r="AD10">
        <f>index!DS11</f>
        <v>0</v>
      </c>
      <c r="AE10">
        <f>index!DT11</f>
        <v>0</v>
      </c>
      <c r="AF10">
        <f>index!DU11</f>
        <v>0</v>
      </c>
      <c r="AG10">
        <f>index!DV11</f>
        <v>0</v>
      </c>
      <c r="AH10">
        <f>index!DW11</f>
        <v>0</v>
      </c>
      <c r="AI10">
        <f>index!DX11</f>
        <v>0</v>
      </c>
      <c r="AJ10">
        <f>index!DY11</f>
        <v>0</v>
      </c>
      <c r="AK10">
        <f>index!DZ11</f>
        <v>0</v>
      </c>
      <c r="AL10">
        <f>index!EA11</f>
        <v>22500</v>
      </c>
      <c r="AM10">
        <f>index!EB11</f>
        <v>0</v>
      </c>
    </row>
    <row r="11" spans="1:39" x14ac:dyDescent="0.35">
      <c r="A11" t="s">
        <v>32</v>
      </c>
      <c r="B11" s="71">
        <f>index!R12</f>
        <v>0</v>
      </c>
      <c r="C11">
        <f>index!S12</f>
        <v>68</v>
      </c>
      <c r="D11" s="71">
        <f>index!T12</f>
        <v>6</v>
      </c>
      <c r="E11">
        <f>index!U12</f>
        <v>221</v>
      </c>
      <c r="F11" s="71">
        <f>index!V12</f>
        <v>6</v>
      </c>
      <c r="G11">
        <f>index!W12</f>
        <v>52</v>
      </c>
      <c r="H11">
        <f>index!X12</f>
        <v>0</v>
      </c>
      <c r="I11">
        <f>index!Y12</f>
        <v>35</v>
      </c>
      <c r="J11" s="71">
        <f t="shared" si="4"/>
        <v>12</v>
      </c>
      <c r="K11">
        <f t="shared" si="5"/>
        <v>388</v>
      </c>
      <c r="L11">
        <v>13500</v>
      </c>
      <c r="M11">
        <f t="shared" si="6"/>
        <v>5238000</v>
      </c>
      <c r="N11">
        <f t="shared" si="7"/>
        <v>5238000</v>
      </c>
      <c r="P11" t="s">
        <v>32</v>
      </c>
      <c r="Q11">
        <f>index!DF12</f>
        <v>5</v>
      </c>
      <c r="R11">
        <f>index!DG12</f>
        <v>0</v>
      </c>
      <c r="S11">
        <f>index!DH12</f>
        <v>0</v>
      </c>
      <c r="T11">
        <f>index!DI12</f>
        <v>0</v>
      </c>
      <c r="U11">
        <f>index!DJ12</f>
        <v>5</v>
      </c>
      <c r="V11">
        <f>index!DK12</f>
        <v>30</v>
      </c>
      <c r="W11">
        <f>index!DL12</f>
        <v>70</v>
      </c>
      <c r="X11">
        <f>index!DM12</f>
        <v>10</v>
      </c>
      <c r="Y11">
        <f>index!DN12</f>
        <v>0</v>
      </c>
      <c r="Z11">
        <f>index!DO12</f>
        <v>110</v>
      </c>
      <c r="AA11">
        <f>index!DP12</f>
        <v>0</v>
      </c>
      <c r="AB11">
        <f>index!DQ12</f>
        <v>70</v>
      </c>
      <c r="AC11">
        <f>index!DR12</f>
        <v>10</v>
      </c>
      <c r="AD11">
        <f>index!DS12</f>
        <v>0</v>
      </c>
      <c r="AE11">
        <f>index!DT12</f>
        <v>80</v>
      </c>
      <c r="AF11">
        <f>index!DU12</f>
        <v>20</v>
      </c>
      <c r="AG11">
        <f>index!DV12</f>
        <v>0</v>
      </c>
      <c r="AH11">
        <f>index!DW12</f>
        <v>3</v>
      </c>
      <c r="AI11">
        <f>index!DX12</f>
        <v>0</v>
      </c>
      <c r="AJ11">
        <f>index!DY12</f>
        <v>23</v>
      </c>
      <c r="AK11">
        <f>index!DZ12</f>
        <v>218</v>
      </c>
      <c r="AL11">
        <f>index!EA12</f>
        <v>13500</v>
      </c>
      <c r="AM11">
        <f>index!EB12</f>
        <v>2943000</v>
      </c>
    </row>
    <row r="12" spans="1:39" x14ac:dyDescent="0.35">
      <c r="A12" t="s">
        <v>33</v>
      </c>
      <c r="B12" s="71">
        <f>index!R13</f>
        <v>0</v>
      </c>
      <c r="C12">
        <f>index!S13</f>
        <v>0</v>
      </c>
      <c r="D12" s="71">
        <f>index!T13</f>
        <v>0</v>
      </c>
      <c r="E12">
        <f>index!U13</f>
        <v>0</v>
      </c>
      <c r="F12" s="71">
        <f>index!V13</f>
        <v>0</v>
      </c>
      <c r="G12">
        <f>index!W13</f>
        <v>0</v>
      </c>
      <c r="H12">
        <f>index!X13</f>
        <v>0</v>
      </c>
      <c r="I12">
        <f>index!Y13</f>
        <v>0</v>
      </c>
      <c r="J12" s="71">
        <f t="shared" si="4"/>
        <v>0</v>
      </c>
      <c r="K12">
        <f t="shared" si="5"/>
        <v>0</v>
      </c>
      <c r="L12">
        <v>20000</v>
      </c>
      <c r="M12">
        <f t="shared" si="6"/>
        <v>0</v>
      </c>
      <c r="N12">
        <f t="shared" si="7"/>
        <v>0</v>
      </c>
      <c r="P12" t="s">
        <v>33</v>
      </c>
      <c r="Q12">
        <f>index!DF13</f>
        <v>0</v>
      </c>
      <c r="R12">
        <f>index!DG13</f>
        <v>0</v>
      </c>
      <c r="S12">
        <f>index!DH13</f>
        <v>0</v>
      </c>
      <c r="T12">
        <f>index!DI13</f>
        <v>0</v>
      </c>
      <c r="U12">
        <f>index!DJ13</f>
        <v>0</v>
      </c>
      <c r="V12">
        <f>index!DK13</f>
        <v>0</v>
      </c>
      <c r="W12">
        <f>index!DL13</f>
        <v>0</v>
      </c>
      <c r="X12">
        <f>index!DM13</f>
        <v>0</v>
      </c>
      <c r="Y12">
        <f>index!DN13</f>
        <v>0</v>
      </c>
      <c r="Z12">
        <f>index!DO13</f>
        <v>0</v>
      </c>
      <c r="AA12">
        <f>index!DP13</f>
        <v>0</v>
      </c>
      <c r="AB12">
        <f>index!DQ13</f>
        <v>0</v>
      </c>
      <c r="AC12">
        <f>index!DR13</f>
        <v>0</v>
      </c>
      <c r="AD12">
        <f>index!DS13</f>
        <v>0</v>
      </c>
      <c r="AE12">
        <f>index!DT13</f>
        <v>0</v>
      </c>
      <c r="AF12">
        <f>index!DU13</f>
        <v>0</v>
      </c>
      <c r="AG12">
        <f>index!DV13</f>
        <v>0</v>
      </c>
      <c r="AH12">
        <f>index!DW13</f>
        <v>0</v>
      </c>
      <c r="AI12">
        <f>index!DX13</f>
        <v>0</v>
      </c>
      <c r="AJ12">
        <f>index!DY13</f>
        <v>0</v>
      </c>
      <c r="AK12">
        <f>index!DZ13</f>
        <v>0</v>
      </c>
      <c r="AL12">
        <f>index!EA13</f>
        <v>20000</v>
      </c>
      <c r="AM12">
        <f>index!EB13</f>
        <v>0</v>
      </c>
    </row>
    <row r="13" spans="1:39" x14ac:dyDescent="0.35">
      <c r="A13" t="s">
        <v>34</v>
      </c>
      <c r="B13" s="71">
        <f>index!R14</f>
        <v>0</v>
      </c>
      <c r="C13">
        <f>index!S14</f>
        <v>15</v>
      </c>
      <c r="D13" s="71">
        <f>index!T14</f>
        <v>0</v>
      </c>
      <c r="E13">
        <f>index!U14</f>
        <v>53</v>
      </c>
      <c r="F13" s="71">
        <f>index!V14</f>
        <v>1</v>
      </c>
      <c r="G13">
        <f>index!W14</f>
        <v>52</v>
      </c>
      <c r="H13">
        <f>index!X14</f>
        <v>15</v>
      </c>
      <c r="I13">
        <f>index!Y14</f>
        <v>66</v>
      </c>
      <c r="J13" s="71">
        <f t="shared" si="4"/>
        <v>16</v>
      </c>
      <c r="K13">
        <f t="shared" si="5"/>
        <v>202</v>
      </c>
      <c r="L13">
        <v>15400</v>
      </c>
      <c r="M13">
        <f t="shared" si="6"/>
        <v>3110800</v>
      </c>
      <c r="N13">
        <f t="shared" si="7"/>
        <v>3110800</v>
      </c>
      <c r="P13" t="s">
        <v>34</v>
      </c>
      <c r="Q13">
        <f>index!DF14</f>
        <v>0</v>
      </c>
      <c r="R13">
        <f>index!DG14</f>
        <v>0</v>
      </c>
      <c r="S13">
        <f>index!DH14</f>
        <v>0</v>
      </c>
      <c r="T13">
        <f>index!DI14</f>
        <v>0</v>
      </c>
      <c r="U13">
        <f>index!DJ14</f>
        <v>0</v>
      </c>
      <c r="V13">
        <f>index!DK14</f>
        <v>0</v>
      </c>
      <c r="W13">
        <f>index!DL14</f>
        <v>0</v>
      </c>
      <c r="X13">
        <f>index!DM14</f>
        <v>20</v>
      </c>
      <c r="Y13">
        <f>index!DN14</f>
        <v>0</v>
      </c>
      <c r="Z13">
        <f>index!DO14</f>
        <v>20</v>
      </c>
      <c r="AA13">
        <f>index!DP14</f>
        <v>6</v>
      </c>
      <c r="AB13">
        <f>index!DQ14</f>
        <v>0</v>
      </c>
      <c r="AC13">
        <f>index!DR14</f>
        <v>20</v>
      </c>
      <c r="AD13">
        <f>index!DS14</f>
        <v>0</v>
      </c>
      <c r="AE13">
        <f>index!DT14</f>
        <v>26</v>
      </c>
      <c r="AF13">
        <f>index!DU14</f>
        <v>10</v>
      </c>
      <c r="AG13">
        <f>index!DV14</f>
        <v>5</v>
      </c>
      <c r="AH13">
        <f>index!DW14</f>
        <v>0</v>
      </c>
      <c r="AI13">
        <f>index!DX14</f>
        <v>0</v>
      </c>
      <c r="AJ13">
        <f>index!DY14</f>
        <v>15</v>
      </c>
      <c r="AK13">
        <f>index!DZ14</f>
        <v>61</v>
      </c>
      <c r="AL13">
        <f>index!EA14</f>
        <v>15400</v>
      </c>
      <c r="AM13">
        <f>index!EB14</f>
        <v>939400</v>
      </c>
    </row>
    <row r="14" spans="1:39" x14ac:dyDescent="0.35">
      <c r="A14" t="s">
        <v>35</v>
      </c>
      <c r="B14" s="71">
        <f>index!R15</f>
        <v>10</v>
      </c>
      <c r="C14">
        <f>index!S15</f>
        <v>40</v>
      </c>
      <c r="D14" s="71">
        <f>index!T15</f>
        <v>20</v>
      </c>
      <c r="E14">
        <f>index!U15</f>
        <v>150</v>
      </c>
      <c r="F14" s="71">
        <f>index!V15</f>
        <v>13</v>
      </c>
      <c r="G14">
        <f>index!W15</f>
        <v>115</v>
      </c>
      <c r="H14">
        <f>index!X15</f>
        <v>0</v>
      </c>
      <c r="I14">
        <f>index!Y15</f>
        <v>46</v>
      </c>
      <c r="J14" s="71">
        <f t="shared" si="4"/>
        <v>43</v>
      </c>
      <c r="K14">
        <f t="shared" si="5"/>
        <v>384</v>
      </c>
      <c r="L14">
        <v>17250</v>
      </c>
      <c r="M14">
        <f t="shared" si="6"/>
        <v>6624000</v>
      </c>
      <c r="N14">
        <f t="shared" si="7"/>
        <v>6624000</v>
      </c>
      <c r="P14" t="s">
        <v>35</v>
      </c>
      <c r="Q14">
        <f>index!DF15</f>
        <v>10</v>
      </c>
      <c r="R14">
        <f>index!DG15</f>
        <v>20</v>
      </c>
      <c r="S14">
        <f>index!DH15</f>
        <v>10</v>
      </c>
      <c r="T14">
        <f>index!DI15</f>
        <v>0</v>
      </c>
      <c r="U14">
        <f>index!DJ15</f>
        <v>40</v>
      </c>
      <c r="V14">
        <f>index!DK15</f>
        <v>15</v>
      </c>
      <c r="W14">
        <f>index!DL15</f>
        <v>70</v>
      </c>
      <c r="X14">
        <f>index!DM15</f>
        <v>65</v>
      </c>
      <c r="Y14">
        <f>index!DN15</f>
        <v>0</v>
      </c>
      <c r="Z14">
        <f>index!DO15</f>
        <v>150</v>
      </c>
      <c r="AA14">
        <f>index!DP15</f>
        <v>27</v>
      </c>
      <c r="AB14">
        <f>index!DQ15</f>
        <v>70</v>
      </c>
      <c r="AC14">
        <f>index!DR15</f>
        <v>65</v>
      </c>
      <c r="AD14">
        <f>index!DS15</f>
        <v>0</v>
      </c>
      <c r="AE14">
        <f>index!DT15</f>
        <v>162</v>
      </c>
      <c r="AF14">
        <f>index!DU15</f>
        <v>0</v>
      </c>
      <c r="AG14">
        <f>index!DV15</f>
        <v>26</v>
      </c>
      <c r="AH14">
        <f>index!DW15</f>
        <v>20</v>
      </c>
      <c r="AI14">
        <f>index!DX15</f>
        <v>0</v>
      </c>
      <c r="AJ14">
        <f>index!DY15</f>
        <v>46</v>
      </c>
      <c r="AK14">
        <f>index!DZ15</f>
        <v>398</v>
      </c>
      <c r="AL14">
        <f>index!EA15</f>
        <v>17250</v>
      </c>
      <c r="AM14">
        <f>index!EB15</f>
        <v>6865500</v>
      </c>
    </row>
    <row r="15" spans="1:39" x14ac:dyDescent="0.35">
      <c r="A15" t="s">
        <v>36</v>
      </c>
      <c r="B15" s="71">
        <f>index!R16</f>
        <v>10</v>
      </c>
      <c r="C15">
        <f>index!S16</f>
        <v>25</v>
      </c>
      <c r="D15" s="71">
        <f>index!T16</f>
        <v>8</v>
      </c>
      <c r="E15">
        <f>index!U16</f>
        <v>49</v>
      </c>
      <c r="F15" s="71">
        <f>index!V16</f>
        <v>0</v>
      </c>
      <c r="G15">
        <f>index!W16</f>
        <v>3</v>
      </c>
      <c r="H15">
        <f>index!X16</f>
        <v>0</v>
      </c>
      <c r="I15">
        <f>index!Y16</f>
        <v>18</v>
      </c>
      <c r="J15" s="71">
        <f t="shared" si="4"/>
        <v>18</v>
      </c>
      <c r="K15">
        <f t="shared" si="5"/>
        <v>103</v>
      </c>
      <c r="L15">
        <v>23800</v>
      </c>
      <c r="M15">
        <f t="shared" si="6"/>
        <v>2451400</v>
      </c>
      <c r="N15">
        <f t="shared" si="7"/>
        <v>2451400</v>
      </c>
      <c r="P15" t="s">
        <v>36</v>
      </c>
      <c r="Q15">
        <f>index!DF16</f>
        <v>0</v>
      </c>
      <c r="R15">
        <f>index!DG16</f>
        <v>15</v>
      </c>
      <c r="S15">
        <f>index!DH16</f>
        <v>10</v>
      </c>
      <c r="T15">
        <f>index!DI16</f>
        <v>0</v>
      </c>
      <c r="U15">
        <f>index!DJ16</f>
        <v>25</v>
      </c>
      <c r="V15">
        <f>index!DK16</f>
        <v>7</v>
      </c>
      <c r="W15">
        <f>index!DL16</f>
        <v>20</v>
      </c>
      <c r="X15">
        <f>index!DM16</f>
        <v>22</v>
      </c>
      <c r="Y15">
        <f>index!DN16</f>
        <v>0</v>
      </c>
      <c r="Z15">
        <f>index!DO16</f>
        <v>49</v>
      </c>
      <c r="AA15">
        <f>index!DP16</f>
        <v>0</v>
      </c>
      <c r="AB15">
        <f>index!DQ16</f>
        <v>20</v>
      </c>
      <c r="AC15">
        <f>index!DR16</f>
        <v>22</v>
      </c>
      <c r="AD15">
        <f>index!DS16</f>
        <v>0</v>
      </c>
      <c r="AE15">
        <f>index!DT16</f>
        <v>42</v>
      </c>
      <c r="AF15">
        <f>index!DU16</f>
        <v>2</v>
      </c>
      <c r="AG15">
        <f>index!DV16</f>
        <v>16</v>
      </c>
      <c r="AH15">
        <f>index!DW16</f>
        <v>0</v>
      </c>
      <c r="AI15">
        <f>index!DX16</f>
        <v>0</v>
      </c>
      <c r="AJ15">
        <f>index!DY16</f>
        <v>18</v>
      </c>
      <c r="AK15">
        <f>index!DZ16</f>
        <v>134</v>
      </c>
      <c r="AL15">
        <f>index!EA16</f>
        <v>23800</v>
      </c>
      <c r="AM15">
        <f>index!EB16</f>
        <v>3189200</v>
      </c>
    </row>
    <row r="16" spans="1:39" x14ac:dyDescent="0.35">
      <c r="A16" t="s">
        <v>15</v>
      </c>
      <c r="B16" s="71">
        <f>index!R17</f>
        <v>0</v>
      </c>
      <c r="C16">
        <f>index!S17</f>
        <v>0</v>
      </c>
      <c r="D16" s="71">
        <f>index!T17</f>
        <v>0</v>
      </c>
      <c r="E16">
        <f>index!U17</f>
        <v>19</v>
      </c>
      <c r="F16" s="71">
        <f>index!V17</f>
        <v>0</v>
      </c>
      <c r="G16">
        <f>index!W17</f>
        <v>3</v>
      </c>
      <c r="H16">
        <f>index!X17</f>
        <v>0</v>
      </c>
      <c r="I16">
        <f>index!Y17</f>
        <v>0</v>
      </c>
      <c r="J16" s="71">
        <f t="shared" si="4"/>
        <v>0</v>
      </c>
      <c r="K16">
        <f t="shared" si="5"/>
        <v>22</v>
      </c>
      <c r="L16">
        <v>30000</v>
      </c>
      <c r="M16">
        <f t="shared" si="6"/>
        <v>660000</v>
      </c>
      <c r="N16">
        <f t="shared" si="7"/>
        <v>660000</v>
      </c>
      <c r="P16" t="s">
        <v>15</v>
      </c>
      <c r="Q16">
        <f>index!DF17</f>
        <v>0</v>
      </c>
      <c r="R16">
        <f>index!DG17</f>
        <v>0</v>
      </c>
      <c r="S16">
        <f>index!DH17</f>
        <v>0</v>
      </c>
      <c r="T16">
        <f>index!DI17</f>
        <v>0</v>
      </c>
      <c r="U16">
        <f>index!DJ17</f>
        <v>0</v>
      </c>
      <c r="V16">
        <f>index!DK17</f>
        <v>3</v>
      </c>
      <c r="W16">
        <f>index!DL17</f>
        <v>16</v>
      </c>
      <c r="X16">
        <f>index!DM17</f>
        <v>0</v>
      </c>
      <c r="Y16">
        <f>index!DN17</f>
        <v>0</v>
      </c>
      <c r="Z16">
        <f>index!DO17</f>
        <v>19</v>
      </c>
      <c r="AA16">
        <f>index!DP17</f>
        <v>0</v>
      </c>
      <c r="AB16">
        <f>index!DQ17</f>
        <v>16</v>
      </c>
      <c r="AC16">
        <f>index!DR17</f>
        <v>0</v>
      </c>
      <c r="AD16">
        <f>index!DS17</f>
        <v>0</v>
      </c>
      <c r="AE16">
        <f>index!DT17</f>
        <v>16</v>
      </c>
      <c r="AF16">
        <f>index!DU17</f>
        <v>0</v>
      </c>
      <c r="AG16">
        <f>index!DV17</f>
        <v>0</v>
      </c>
      <c r="AH16">
        <f>index!DW17</f>
        <v>0</v>
      </c>
      <c r="AI16">
        <f>index!DX17</f>
        <v>0</v>
      </c>
      <c r="AJ16">
        <f>index!DY17</f>
        <v>0</v>
      </c>
      <c r="AK16">
        <f>index!DZ17</f>
        <v>35</v>
      </c>
      <c r="AL16">
        <f>index!EA17</f>
        <v>30000</v>
      </c>
      <c r="AM16">
        <f>index!EB17</f>
        <v>1050000</v>
      </c>
    </row>
    <row r="17" spans="1:39" x14ac:dyDescent="0.35">
      <c r="A17" t="s">
        <v>16</v>
      </c>
      <c r="B17" s="71">
        <f>index!R18</f>
        <v>0</v>
      </c>
      <c r="C17">
        <f>index!S18</f>
        <v>78</v>
      </c>
      <c r="D17" s="71">
        <f>index!T18</f>
        <v>6</v>
      </c>
      <c r="E17">
        <f>index!U18</f>
        <v>117</v>
      </c>
      <c r="F17" s="71">
        <f>index!V18</f>
        <v>6</v>
      </c>
      <c r="G17">
        <f>index!W18</f>
        <v>69</v>
      </c>
      <c r="H17">
        <f>index!X18</f>
        <v>15</v>
      </c>
      <c r="I17">
        <f>index!Y18</f>
        <v>63</v>
      </c>
      <c r="J17" s="71">
        <f t="shared" si="4"/>
        <v>27</v>
      </c>
      <c r="K17">
        <f t="shared" si="5"/>
        <v>354</v>
      </c>
      <c r="L17">
        <v>6900</v>
      </c>
      <c r="M17">
        <f t="shared" si="6"/>
        <v>2442600</v>
      </c>
      <c r="N17">
        <f t="shared" si="7"/>
        <v>2442600</v>
      </c>
      <c r="P17" t="s">
        <v>16</v>
      </c>
      <c r="Q17">
        <f>index!DF18</f>
        <v>0</v>
      </c>
      <c r="R17">
        <f>index!DG18</f>
        <v>0</v>
      </c>
      <c r="S17">
        <f>index!DH18</f>
        <v>0</v>
      </c>
      <c r="T17">
        <f>index!DI18</f>
        <v>0</v>
      </c>
      <c r="U17">
        <f>index!DJ18</f>
        <v>0</v>
      </c>
      <c r="V17">
        <f>index!DK18</f>
        <v>0</v>
      </c>
      <c r="W17">
        <f>index!DL18</f>
        <v>0</v>
      </c>
      <c r="X17">
        <f>index!DM18</f>
        <v>0</v>
      </c>
      <c r="Y17">
        <f>index!DN18</f>
        <v>0</v>
      </c>
      <c r="Z17">
        <f>index!DO18</f>
        <v>0</v>
      </c>
      <c r="AA17">
        <f>index!DP18</f>
        <v>0</v>
      </c>
      <c r="AB17">
        <f>index!DQ18</f>
        <v>0</v>
      </c>
      <c r="AC17">
        <f>index!DR18</f>
        <v>0</v>
      </c>
      <c r="AD17">
        <f>index!DS18</f>
        <v>0</v>
      </c>
      <c r="AE17">
        <f>index!DT18</f>
        <v>0</v>
      </c>
      <c r="AF17">
        <f>index!DU18</f>
        <v>0</v>
      </c>
      <c r="AG17">
        <f>index!DV18</f>
        <v>0</v>
      </c>
      <c r="AH17">
        <f>index!DW18</f>
        <v>0</v>
      </c>
      <c r="AI17">
        <f>index!DX18</f>
        <v>0</v>
      </c>
      <c r="AJ17">
        <f>index!DY18</f>
        <v>0</v>
      </c>
      <c r="AK17">
        <f>index!DZ18</f>
        <v>0</v>
      </c>
      <c r="AL17">
        <f>index!EA18</f>
        <v>6900</v>
      </c>
      <c r="AM17">
        <f>index!EB18</f>
        <v>0</v>
      </c>
    </row>
    <row r="18" spans="1:39" x14ac:dyDescent="0.35">
      <c r="A18" t="s">
        <v>17</v>
      </c>
      <c r="B18" s="71">
        <f>index!R19</f>
        <v>0</v>
      </c>
      <c r="C18">
        <f>index!S19</f>
        <v>0</v>
      </c>
      <c r="D18" s="71">
        <f>index!T19</f>
        <v>0</v>
      </c>
      <c r="E18">
        <f>index!U19</f>
        <v>0</v>
      </c>
      <c r="F18" s="71">
        <f>index!V19</f>
        <v>0</v>
      </c>
      <c r="G18">
        <f>index!W19</f>
        <v>0</v>
      </c>
      <c r="H18">
        <f>index!X19</f>
        <v>0</v>
      </c>
      <c r="I18">
        <f>index!Y19</f>
        <v>0</v>
      </c>
      <c r="J18" s="71">
        <f t="shared" si="4"/>
        <v>0</v>
      </c>
      <c r="K18">
        <f t="shared" si="5"/>
        <v>0</v>
      </c>
      <c r="L18">
        <v>7000</v>
      </c>
      <c r="M18">
        <f t="shared" si="6"/>
        <v>0</v>
      </c>
      <c r="N18">
        <f t="shared" si="7"/>
        <v>0</v>
      </c>
      <c r="P18" t="s">
        <v>17</v>
      </c>
      <c r="Q18">
        <f>index!DF19</f>
        <v>0</v>
      </c>
      <c r="R18">
        <f>index!DG19</f>
        <v>0</v>
      </c>
      <c r="S18">
        <f>index!DH19</f>
        <v>0</v>
      </c>
      <c r="T18">
        <f>index!DI19</f>
        <v>0</v>
      </c>
      <c r="U18">
        <f>index!DJ19</f>
        <v>0</v>
      </c>
      <c r="V18">
        <f>index!DK19</f>
        <v>0</v>
      </c>
      <c r="W18">
        <f>index!DL19</f>
        <v>0</v>
      </c>
      <c r="X18">
        <f>index!DM19</f>
        <v>0</v>
      </c>
      <c r="Y18">
        <f>index!DN19</f>
        <v>0</v>
      </c>
      <c r="Z18">
        <f>index!DO19</f>
        <v>0</v>
      </c>
      <c r="AA18">
        <f>index!DP19</f>
        <v>0</v>
      </c>
      <c r="AB18">
        <f>index!DQ19</f>
        <v>0</v>
      </c>
      <c r="AC18">
        <f>index!DR19</f>
        <v>0</v>
      </c>
      <c r="AD18">
        <f>index!DS19</f>
        <v>0</v>
      </c>
      <c r="AE18">
        <f>index!DT19</f>
        <v>0</v>
      </c>
      <c r="AF18">
        <f>index!DU19</f>
        <v>0</v>
      </c>
      <c r="AG18">
        <f>index!DV19</f>
        <v>0</v>
      </c>
      <c r="AH18">
        <f>index!DW19</f>
        <v>0</v>
      </c>
      <c r="AI18">
        <f>index!DX19</f>
        <v>0</v>
      </c>
      <c r="AJ18">
        <f>index!DY19</f>
        <v>0</v>
      </c>
      <c r="AK18">
        <f>index!DZ19</f>
        <v>0</v>
      </c>
      <c r="AL18">
        <f>index!EA19</f>
        <v>7000</v>
      </c>
      <c r="AM18">
        <f>index!EB19</f>
        <v>0</v>
      </c>
    </row>
    <row r="19" spans="1:39" x14ac:dyDescent="0.35">
      <c r="A19" t="s">
        <v>18</v>
      </c>
      <c r="B19" s="71">
        <f>index!R20</f>
        <v>0</v>
      </c>
      <c r="C19">
        <f>index!S20</f>
        <v>0</v>
      </c>
      <c r="D19" s="71">
        <f>index!T20</f>
        <v>0</v>
      </c>
      <c r="E19">
        <f>index!U20</f>
        <v>0</v>
      </c>
      <c r="F19" s="71">
        <f>index!V20</f>
        <v>0</v>
      </c>
      <c r="G19">
        <f>index!W20</f>
        <v>6</v>
      </c>
      <c r="H19">
        <f>index!X20</f>
        <v>0</v>
      </c>
      <c r="I19">
        <f>index!Y20</f>
        <v>6</v>
      </c>
      <c r="J19" s="71">
        <f t="shared" si="4"/>
        <v>0</v>
      </c>
      <c r="K19">
        <f t="shared" si="5"/>
        <v>12</v>
      </c>
      <c r="L19">
        <v>12000</v>
      </c>
      <c r="M19">
        <f t="shared" si="6"/>
        <v>144000</v>
      </c>
      <c r="N19">
        <f t="shared" si="7"/>
        <v>144000</v>
      </c>
      <c r="P19" t="s">
        <v>18</v>
      </c>
      <c r="Q19">
        <f>index!DF20</f>
        <v>0</v>
      </c>
      <c r="R19">
        <f>index!DG20</f>
        <v>0</v>
      </c>
      <c r="S19">
        <f>index!DH20</f>
        <v>0</v>
      </c>
      <c r="T19">
        <f>index!DI20</f>
        <v>0</v>
      </c>
      <c r="U19">
        <f>index!DJ20</f>
        <v>0</v>
      </c>
      <c r="V19">
        <f>index!DK20</f>
        <v>0</v>
      </c>
      <c r="W19">
        <f>index!DL20</f>
        <v>0</v>
      </c>
      <c r="X19">
        <f>index!DM20</f>
        <v>0</v>
      </c>
      <c r="Y19">
        <f>index!DN20</f>
        <v>0</v>
      </c>
      <c r="Z19">
        <f>index!DO20</f>
        <v>0</v>
      </c>
      <c r="AA19">
        <f>index!DP20</f>
        <v>0</v>
      </c>
      <c r="AB19">
        <f>index!DQ20</f>
        <v>0</v>
      </c>
      <c r="AC19">
        <f>index!DR20</f>
        <v>0</v>
      </c>
      <c r="AD19">
        <f>index!DS20</f>
        <v>0</v>
      </c>
      <c r="AE19">
        <f>index!DT20</f>
        <v>0</v>
      </c>
      <c r="AF19">
        <f>index!DU20</f>
        <v>0</v>
      </c>
      <c r="AG19">
        <f>index!DV20</f>
        <v>6</v>
      </c>
      <c r="AH19">
        <f>index!DW20</f>
        <v>0</v>
      </c>
      <c r="AI19">
        <f>index!DX20</f>
        <v>0</v>
      </c>
      <c r="AJ19">
        <f>index!DY20</f>
        <v>6</v>
      </c>
      <c r="AK19">
        <f>index!DZ20</f>
        <v>6</v>
      </c>
      <c r="AL19">
        <f>index!EA20</f>
        <v>12000</v>
      </c>
      <c r="AM19">
        <f>index!EB20</f>
        <v>72000</v>
      </c>
    </row>
    <row r="20" spans="1:39" x14ac:dyDescent="0.35">
      <c r="A20" t="s">
        <v>19</v>
      </c>
      <c r="B20" s="71">
        <f>index!R21</f>
        <v>0</v>
      </c>
      <c r="C20">
        <f>index!S21</f>
        <v>62</v>
      </c>
      <c r="D20" s="71">
        <f>index!T21</f>
        <v>14</v>
      </c>
      <c r="E20">
        <f>index!U21</f>
        <v>129</v>
      </c>
      <c r="F20" s="71">
        <f>index!V21</f>
        <v>15</v>
      </c>
      <c r="G20">
        <f>index!W21</f>
        <v>63</v>
      </c>
      <c r="H20">
        <f>index!X21</f>
        <v>0</v>
      </c>
      <c r="I20">
        <f>index!Y21</f>
        <v>26</v>
      </c>
      <c r="J20" s="71">
        <f t="shared" si="4"/>
        <v>29</v>
      </c>
      <c r="K20">
        <f t="shared" si="5"/>
        <v>309</v>
      </c>
      <c r="L20">
        <v>9600</v>
      </c>
      <c r="M20">
        <f t="shared" si="6"/>
        <v>2966400</v>
      </c>
      <c r="N20">
        <f t="shared" si="7"/>
        <v>2966400</v>
      </c>
      <c r="P20" t="s">
        <v>19</v>
      </c>
      <c r="Q20">
        <f>index!DF21</f>
        <v>30</v>
      </c>
      <c r="R20">
        <f>index!DG21</f>
        <v>6</v>
      </c>
      <c r="S20">
        <f>index!DH21</f>
        <v>26</v>
      </c>
      <c r="T20">
        <f>index!DI21</f>
        <v>0</v>
      </c>
      <c r="U20">
        <f>index!DJ21</f>
        <v>62</v>
      </c>
      <c r="V20">
        <f>index!DK21</f>
        <v>75</v>
      </c>
      <c r="W20">
        <f>index!DL21</f>
        <v>5</v>
      </c>
      <c r="X20">
        <f>index!DM21</f>
        <v>49</v>
      </c>
      <c r="Y20">
        <f>index!DN21</f>
        <v>0</v>
      </c>
      <c r="Z20">
        <f>index!DO21</f>
        <v>129</v>
      </c>
      <c r="AA20">
        <f>index!DP21</f>
        <v>12</v>
      </c>
      <c r="AB20">
        <f>index!DQ21</f>
        <v>5</v>
      </c>
      <c r="AC20">
        <f>index!DR21</f>
        <v>49</v>
      </c>
      <c r="AD20">
        <f>index!DS21</f>
        <v>0</v>
      </c>
      <c r="AE20">
        <f>index!DT21</f>
        <v>66</v>
      </c>
      <c r="AF20">
        <f>index!DU21</f>
        <v>8</v>
      </c>
      <c r="AG20">
        <f>index!DV21</f>
        <v>12</v>
      </c>
      <c r="AH20">
        <f>index!DW21</f>
        <v>6</v>
      </c>
      <c r="AI20">
        <f>index!DX21</f>
        <v>0</v>
      </c>
      <c r="AJ20">
        <f>index!DY21</f>
        <v>26</v>
      </c>
      <c r="AK20">
        <f>index!DZ21</f>
        <v>283</v>
      </c>
      <c r="AL20">
        <f>index!EA21</f>
        <v>9600</v>
      </c>
      <c r="AM20">
        <f>index!EB21</f>
        <v>2716800</v>
      </c>
    </row>
    <row r="21" spans="1:39" x14ac:dyDescent="0.35">
      <c r="A21" t="s">
        <v>20</v>
      </c>
      <c r="B21" s="71">
        <f>index!R22</f>
        <v>0</v>
      </c>
      <c r="C21">
        <f>index!S22</f>
        <v>0</v>
      </c>
      <c r="D21" s="71">
        <f>index!T22</f>
        <v>0</v>
      </c>
      <c r="E21">
        <f>index!U22</f>
        <v>0</v>
      </c>
      <c r="F21" s="71">
        <f>index!V22</f>
        <v>1</v>
      </c>
      <c r="G21">
        <f>index!W22</f>
        <v>1</v>
      </c>
      <c r="H21">
        <f>index!X22</f>
        <v>0</v>
      </c>
      <c r="I21">
        <f>index!Y22</f>
        <v>0</v>
      </c>
      <c r="J21" s="71">
        <f t="shared" si="4"/>
        <v>1</v>
      </c>
      <c r="K21">
        <f t="shared" si="5"/>
        <v>2</v>
      </c>
      <c r="L21">
        <v>13200</v>
      </c>
      <c r="M21">
        <f t="shared" si="6"/>
        <v>26400</v>
      </c>
      <c r="N21">
        <f t="shared" si="7"/>
        <v>26400</v>
      </c>
      <c r="P21" t="s">
        <v>20</v>
      </c>
      <c r="Q21">
        <f>index!DF22</f>
        <v>0</v>
      </c>
      <c r="R21">
        <f>index!DG22</f>
        <v>0</v>
      </c>
      <c r="S21">
        <f>index!DH22</f>
        <v>0</v>
      </c>
      <c r="T21">
        <f>index!DI22</f>
        <v>0</v>
      </c>
      <c r="U21">
        <f>index!DJ22</f>
        <v>0</v>
      </c>
      <c r="V21">
        <f>index!DK22</f>
        <v>0</v>
      </c>
      <c r="W21">
        <f>index!DL22</f>
        <v>0</v>
      </c>
      <c r="X21">
        <f>index!DM22</f>
        <v>0</v>
      </c>
      <c r="Y21">
        <f>index!DN22</f>
        <v>0</v>
      </c>
      <c r="Z21">
        <f>index!DO22</f>
        <v>0</v>
      </c>
      <c r="AA21">
        <f>index!DP22</f>
        <v>0</v>
      </c>
      <c r="AB21">
        <f>index!DQ22</f>
        <v>0</v>
      </c>
      <c r="AC21">
        <f>index!DR22</f>
        <v>0</v>
      </c>
      <c r="AD21">
        <f>index!DS22</f>
        <v>0</v>
      </c>
      <c r="AE21">
        <f>index!DT22</f>
        <v>0</v>
      </c>
      <c r="AF21">
        <f>index!DU22</f>
        <v>0</v>
      </c>
      <c r="AG21">
        <f>index!DV22</f>
        <v>0</v>
      </c>
      <c r="AH21">
        <f>index!DW22</f>
        <v>0</v>
      </c>
      <c r="AI21">
        <f>index!DX22</f>
        <v>0</v>
      </c>
      <c r="AJ21">
        <f>index!DY22</f>
        <v>0</v>
      </c>
      <c r="AK21">
        <f>index!DZ22</f>
        <v>0</v>
      </c>
      <c r="AL21">
        <f>index!EA22</f>
        <v>13200</v>
      </c>
      <c r="AM21">
        <f>index!EB22</f>
        <v>0</v>
      </c>
    </row>
    <row r="22" spans="1:39" x14ac:dyDescent="0.35">
      <c r="A22" t="s">
        <v>50</v>
      </c>
      <c r="B22" s="71">
        <f>SUM(B9:B21)</f>
        <v>45</v>
      </c>
      <c r="C22">
        <f>SUM(C9:C21)</f>
        <v>383</v>
      </c>
      <c r="D22" s="71">
        <f>SUM(D9:D21)</f>
        <v>54</v>
      </c>
      <c r="E22">
        <f t="shared" ref="E22:N22" si="8">SUM(E9:E21)</f>
        <v>765</v>
      </c>
      <c r="F22" s="71">
        <f>SUM(F9:F21)</f>
        <v>42</v>
      </c>
      <c r="G22">
        <f t="shared" si="8"/>
        <v>385</v>
      </c>
      <c r="H22">
        <f>SUM(H9:H21)</f>
        <v>30</v>
      </c>
      <c r="I22">
        <f t="shared" si="8"/>
        <v>260</v>
      </c>
      <c r="J22" s="71">
        <f>SUM(J9:J21)</f>
        <v>171</v>
      </c>
      <c r="K22">
        <f t="shared" si="8"/>
        <v>1919</v>
      </c>
      <c r="M22">
        <f>SUM(M9:M21)</f>
        <v>24800600</v>
      </c>
      <c r="N22">
        <f t="shared" si="8"/>
        <v>24800600</v>
      </c>
      <c r="P22" t="s">
        <v>50</v>
      </c>
      <c r="Q22">
        <f>index!DF23</f>
        <v>132</v>
      </c>
      <c r="R22">
        <f>index!DG23</f>
        <v>162</v>
      </c>
      <c r="S22">
        <f>index!DH23</f>
        <v>120</v>
      </c>
      <c r="T22">
        <f>index!DI23</f>
        <v>0</v>
      </c>
      <c r="U22">
        <f>index!DJ23</f>
        <v>414</v>
      </c>
      <c r="V22">
        <f>index!DK23</f>
        <v>149</v>
      </c>
      <c r="W22">
        <f>index!DL23</f>
        <v>191</v>
      </c>
      <c r="X22">
        <f>index!DM23</f>
        <v>231</v>
      </c>
      <c r="Y22">
        <f>index!DN23</f>
        <v>0</v>
      </c>
      <c r="Z22">
        <f>index!DO23</f>
        <v>571</v>
      </c>
      <c r="AA22">
        <f>index!DP23</f>
        <v>95</v>
      </c>
      <c r="AB22">
        <f>index!DQ23</f>
        <v>191</v>
      </c>
      <c r="AC22">
        <f>index!DR23</f>
        <v>231</v>
      </c>
      <c r="AD22">
        <f>index!DS23</f>
        <v>0</v>
      </c>
      <c r="AE22">
        <f>index!DT23</f>
        <v>517</v>
      </c>
      <c r="AF22">
        <f>index!DU23</f>
        <v>80</v>
      </c>
      <c r="AG22">
        <f>index!DV23</f>
        <v>88</v>
      </c>
      <c r="AH22">
        <f>index!DW23</f>
        <v>121</v>
      </c>
      <c r="AI22">
        <f>index!DX23</f>
        <v>0</v>
      </c>
      <c r="AJ22">
        <f>index!DY23</f>
        <v>289</v>
      </c>
      <c r="AK22">
        <f>index!DZ23</f>
        <v>1791</v>
      </c>
      <c r="AL22">
        <f>index!EA23</f>
        <v>0</v>
      </c>
      <c r="AM22">
        <f>index!EB23</f>
        <v>31311900</v>
      </c>
    </row>
  </sheetData>
  <mergeCells count="1">
    <mergeCell ref="A7:N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87</v>
      </c>
      <c r="B1" s="45" t="s">
        <v>88</v>
      </c>
      <c r="C1" s="37" t="s">
        <v>89</v>
      </c>
      <c r="D1" s="34" t="s">
        <v>90</v>
      </c>
      <c r="E1" s="35" t="s">
        <v>91</v>
      </c>
      <c r="F1" s="36" t="s">
        <v>92</v>
      </c>
      <c r="G1" s="35" t="s">
        <v>51</v>
      </c>
      <c r="H1" s="37" t="s">
        <v>93</v>
      </c>
      <c r="I1" s="38" t="s">
        <v>94</v>
      </c>
      <c r="J1" s="38" t="s">
        <v>95</v>
      </c>
      <c r="K1" s="38" t="s">
        <v>96</v>
      </c>
      <c r="L1" s="38" t="s">
        <v>97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index!BN3</f>
        <v>115800</v>
      </c>
      <c r="J2" s="44">
        <f>index!BQ3</f>
        <v>115800</v>
      </c>
      <c r="K2" s="44">
        <f>index!BS3</f>
        <v>0</v>
      </c>
      <c r="L2" s="40">
        <f>index!BT3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index!BN4</f>
        <v>118200</v>
      </c>
      <c r="J3" s="44">
        <f>index!BQ4</f>
        <v>118200</v>
      </c>
      <c r="K3" s="44">
        <f>index!BS4</f>
        <v>0</v>
      </c>
      <c r="L3" s="40">
        <f>index!BT4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index!BN5</f>
        <v>118200</v>
      </c>
      <c r="J4" s="44">
        <f>index!BQ5</f>
        <v>118200</v>
      </c>
      <c r="K4" s="44">
        <f>index!BS5</f>
        <v>0</v>
      </c>
      <c r="L4" s="40">
        <f>index!BT5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index!BN6</f>
        <v>115800</v>
      </c>
      <c r="J5" s="44">
        <f>index!BQ6</f>
        <v>115800</v>
      </c>
      <c r="K5" s="44">
        <f>index!BS6</f>
        <v>0</v>
      </c>
      <c r="L5" s="40">
        <f>index!BT6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index!BN7</f>
        <v>118200</v>
      </c>
      <c r="J6" s="44">
        <f>index!BQ7</f>
        <v>118200</v>
      </c>
      <c r="K6" s="44">
        <f>index!BS7</f>
        <v>0</v>
      </c>
      <c r="L6" s="40">
        <f>index!BT7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index!BN8</f>
        <v>118200</v>
      </c>
      <c r="J7" s="44">
        <f>index!BQ8</f>
        <v>118200</v>
      </c>
      <c r="K7" s="44">
        <f>index!BS8</f>
        <v>0</v>
      </c>
      <c r="L7" s="40">
        <f>index!BT8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index!BN9</f>
        <v>115800</v>
      </c>
      <c r="J8" s="44">
        <f>index!BQ9</f>
        <v>115800</v>
      </c>
      <c r="K8" s="44">
        <f>index!BS9</f>
        <v>0</v>
      </c>
      <c r="L8" s="40">
        <f>index!BT9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index!BN10</f>
        <v>115800</v>
      </c>
      <c r="J9" s="44">
        <f>index!BQ10</f>
        <v>115800</v>
      </c>
      <c r="K9" s="44">
        <f>index!BS10</f>
        <v>0</v>
      </c>
      <c r="L9" s="40">
        <f>index!BT10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index!BN11</f>
        <v>118200</v>
      </c>
      <c r="J10" s="44">
        <f>index!BQ11</f>
        <v>118200</v>
      </c>
      <c r="K10" s="44">
        <f>index!BS11</f>
        <v>0</v>
      </c>
      <c r="L10" s="40">
        <f>index!BT11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index!BN12</f>
        <v>115800</v>
      </c>
      <c r="J11" s="44">
        <f>index!BQ12</f>
        <v>115800</v>
      </c>
      <c r="K11" s="44">
        <f>index!BS12</f>
        <v>0</v>
      </c>
      <c r="L11" s="40">
        <f>index!BT12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index!BN13</f>
        <v>115800</v>
      </c>
      <c r="J12" s="44">
        <f>index!BQ13</f>
        <v>115800</v>
      </c>
      <c r="K12" s="44">
        <f>index!BS13</f>
        <v>0</v>
      </c>
      <c r="L12" s="40">
        <f>index!BT13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index!BN14</f>
        <v>162600</v>
      </c>
      <c r="J13" s="44">
        <f>index!BQ14</f>
        <v>162600</v>
      </c>
      <c r="K13" s="44">
        <f>index!BS14</f>
        <v>0</v>
      </c>
      <c r="L13" s="40">
        <f>index!BT14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index!BN15</f>
        <v>162600</v>
      </c>
      <c r="J14" s="44">
        <f>index!BQ15</f>
        <v>162600</v>
      </c>
      <c r="K14" s="44">
        <f>index!BS15</f>
        <v>0</v>
      </c>
      <c r="L14" s="40">
        <f>index!BT15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index!BN16</f>
        <v>162600</v>
      </c>
      <c r="J15" s="44">
        <f>index!BQ16</f>
        <v>162600</v>
      </c>
      <c r="K15" s="44">
        <f>index!BS16</f>
        <v>0</v>
      </c>
      <c r="L15" s="40">
        <f>index!BT16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index!BN17</f>
        <v>162600</v>
      </c>
      <c r="J16" s="44">
        <f>index!BQ17</f>
        <v>162600</v>
      </c>
      <c r="K16" s="44">
        <f>index!BS17</f>
        <v>0</v>
      </c>
      <c r="L16" s="40">
        <f>index!BT17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index!BN18</f>
        <v>162600</v>
      </c>
      <c r="J17" s="44">
        <f>index!BQ18</f>
        <v>162600</v>
      </c>
      <c r="K17" s="44">
        <f>index!BS18</f>
        <v>0</v>
      </c>
      <c r="L17" s="40">
        <f>index!BT18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index!BN19</f>
        <v>115800</v>
      </c>
      <c r="J18" s="44">
        <f>index!BQ19</f>
        <v>115800</v>
      </c>
      <c r="K18" s="44">
        <f>index!BS19</f>
        <v>0</v>
      </c>
      <c r="L18" s="40">
        <f>index!BT19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index!BN20</f>
        <v>115800</v>
      </c>
      <c r="J19" s="44">
        <f>index!BQ20</f>
        <v>115800</v>
      </c>
      <c r="K19" s="44">
        <f>index!BS20</f>
        <v>0</v>
      </c>
      <c r="L19" s="40">
        <f>index!BT20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index!BN21</f>
        <v>115800</v>
      </c>
      <c r="J20" s="44">
        <f>index!BQ21</f>
        <v>115800</v>
      </c>
      <c r="K20" s="44">
        <f>index!BS21</f>
        <v>0</v>
      </c>
      <c r="L20" s="40">
        <f>index!BT21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index!BN22</f>
        <v>115800</v>
      </c>
      <c r="J21" s="44">
        <f>index!BQ22</f>
        <v>115800</v>
      </c>
      <c r="K21" s="44">
        <f>index!BS22</f>
        <v>0</v>
      </c>
      <c r="L21" s="40">
        <f>index!BT22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index!BN23</f>
        <v>115800</v>
      </c>
      <c r="J22" s="44">
        <f>index!BQ23</f>
        <v>115800</v>
      </c>
      <c r="K22" s="44">
        <f>index!BS23</f>
        <v>0</v>
      </c>
      <c r="L22" s="40">
        <f>index!BT23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index!BN24</f>
        <v>115800</v>
      </c>
      <c r="J23" s="44">
        <f>index!BQ24</f>
        <v>115800</v>
      </c>
      <c r="K23" s="44">
        <f>index!BS24</f>
        <v>0</v>
      </c>
      <c r="L23" s="40">
        <f>index!BT24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index!BN25</f>
        <v>118200</v>
      </c>
      <c r="J24" s="44">
        <f>index!BQ25</f>
        <v>118200</v>
      </c>
      <c r="K24" s="44">
        <f>index!BS25</f>
        <v>0</v>
      </c>
      <c r="L24" s="40">
        <f>index!BT25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index!BN26</f>
        <v>115800</v>
      </c>
      <c r="J25" s="44">
        <f>index!BQ26</f>
        <v>115800</v>
      </c>
      <c r="K25" s="44">
        <f>index!BS26</f>
        <v>0</v>
      </c>
      <c r="L25" s="40">
        <f>index!BT26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index!BN27</f>
        <v>115800</v>
      </c>
      <c r="J26" s="44">
        <f>index!BQ27</f>
        <v>115800</v>
      </c>
      <c r="K26" s="44">
        <f>index!BS27</f>
        <v>0</v>
      </c>
      <c r="L26" s="40">
        <f>index!BT27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index!BN28</f>
        <v>118200</v>
      </c>
      <c r="J27" s="44">
        <f>index!BQ28</f>
        <v>118200</v>
      </c>
      <c r="K27" s="44">
        <f>index!BS28</f>
        <v>0</v>
      </c>
      <c r="L27" s="40">
        <f>index!BT28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index!BN29</f>
        <v>118200</v>
      </c>
      <c r="J28" s="44">
        <f>index!BQ29</f>
        <v>118200</v>
      </c>
      <c r="K28" s="44">
        <f>index!BS29</f>
        <v>0</v>
      </c>
      <c r="L28" s="40">
        <f>index!BT29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index!BN30</f>
        <v>118200</v>
      </c>
      <c r="J29" s="44">
        <f>index!BQ30</f>
        <v>118200</v>
      </c>
      <c r="K29" s="44">
        <f>index!BS30</f>
        <v>0</v>
      </c>
      <c r="L29" s="40">
        <f>index!BT30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index!BN31</f>
        <v>118200</v>
      </c>
      <c r="J30" s="44">
        <f>index!BQ31</f>
        <v>118200</v>
      </c>
      <c r="K30" s="44">
        <f>index!BS31</f>
        <v>0</v>
      </c>
      <c r="L30" s="40">
        <f>index!BT31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index!BN32</f>
        <v>118200</v>
      </c>
      <c r="J31" s="44">
        <f>index!BQ32</f>
        <v>118200</v>
      </c>
      <c r="K31" s="44">
        <f>index!BS32</f>
        <v>0</v>
      </c>
      <c r="L31" s="40">
        <f>index!BT32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index!BN33</f>
        <v>118200</v>
      </c>
      <c r="J32" s="44">
        <f>index!BQ33</f>
        <v>118200</v>
      </c>
      <c r="K32" s="44">
        <f>index!BS33</f>
        <v>0</v>
      </c>
      <c r="L32" s="40">
        <f>index!BT33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index!BN34</f>
        <v>118200</v>
      </c>
      <c r="J33" s="44">
        <f>index!BQ34</f>
        <v>118300</v>
      </c>
      <c r="K33" s="44">
        <f>index!BS34</f>
        <v>-100</v>
      </c>
      <c r="L33" s="40">
        <f>index!BT34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index!BN35</f>
        <v>162600</v>
      </c>
      <c r="J34" s="44">
        <f>index!BQ35</f>
        <v>162600</v>
      </c>
      <c r="K34" s="44">
        <f>index!BS35</f>
        <v>0</v>
      </c>
      <c r="L34" s="40">
        <f>index!BT35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index!BN36</f>
        <v>162600</v>
      </c>
      <c r="J35" s="44">
        <f>index!BQ36</f>
        <v>162600</v>
      </c>
      <c r="K35" s="44">
        <f>index!BS36</f>
        <v>0</v>
      </c>
      <c r="L35" s="40">
        <f>index!BT36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index!BN37</f>
        <v>118200</v>
      </c>
      <c r="J36" s="44">
        <f>index!BQ37</f>
        <v>118200</v>
      </c>
      <c r="K36" s="44">
        <f>index!BS37</f>
        <v>0</v>
      </c>
      <c r="L36" s="40">
        <f>index!BT37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index!BN38</f>
        <v>118200</v>
      </c>
      <c r="J37" s="44">
        <f>index!BQ38</f>
        <v>118200</v>
      </c>
      <c r="K37" s="44">
        <f>index!BS38</f>
        <v>0</v>
      </c>
      <c r="L37" s="40">
        <f>index!BT38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index!BN39</f>
        <v>118200</v>
      </c>
      <c r="J38" s="44">
        <f>index!BQ39</f>
        <v>118200</v>
      </c>
      <c r="K38" s="44">
        <f>index!BS39</f>
        <v>0</v>
      </c>
      <c r="L38" s="40">
        <f>index!BT39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index!BN40</f>
        <v>115800</v>
      </c>
      <c r="J39" s="44">
        <f>index!BQ40</f>
        <v>115800</v>
      </c>
      <c r="K39" s="44">
        <f>index!BS40</f>
        <v>0</v>
      </c>
      <c r="L39" s="40">
        <f>index!BT40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index!BN41</f>
        <v>115800</v>
      </c>
      <c r="J40" s="44">
        <f>index!BQ41</f>
        <v>115800</v>
      </c>
      <c r="K40" s="44">
        <f>index!BS41</f>
        <v>0</v>
      </c>
      <c r="L40" s="40">
        <f>index!BT41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index!BN42</f>
        <v>115800</v>
      </c>
      <c r="J41" s="44">
        <f>index!BQ42</f>
        <v>115800</v>
      </c>
      <c r="K41" s="44">
        <f>index!BS42</f>
        <v>0</v>
      </c>
      <c r="L41" s="40">
        <f>index!BT42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index!BN43</f>
        <v>115800</v>
      </c>
      <c r="J42" s="44">
        <f>index!BQ43</f>
        <v>115800</v>
      </c>
      <c r="K42" s="44">
        <f>index!BS43</f>
        <v>0</v>
      </c>
      <c r="L42" s="40">
        <f>index!BT43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index!BN44</f>
        <v>115800</v>
      </c>
      <c r="J43" s="44">
        <f>index!BQ44</f>
        <v>115800</v>
      </c>
      <c r="K43" s="44">
        <f>index!BS44</f>
        <v>0</v>
      </c>
      <c r="L43" s="40">
        <f>index!BT44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index!BN45</f>
        <v>118200</v>
      </c>
      <c r="J44" s="44">
        <f>index!BQ45</f>
        <v>118200</v>
      </c>
      <c r="K44" s="44">
        <f>index!BS45</f>
        <v>0</v>
      </c>
      <c r="L44" s="40">
        <f>index!BT45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index!BN46</f>
        <v>118200</v>
      </c>
      <c r="J45" s="44">
        <f>index!BQ46</f>
        <v>118200</v>
      </c>
      <c r="K45" s="44">
        <f>index!BS46</f>
        <v>0</v>
      </c>
      <c r="L45" s="40">
        <f>index!BT46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index!BN47</f>
        <v>118200</v>
      </c>
      <c r="J46" s="44">
        <f>index!BQ47</f>
        <v>118300</v>
      </c>
      <c r="K46" s="44">
        <f>index!BS47</f>
        <v>-100</v>
      </c>
      <c r="L46" s="40">
        <f>index!BT47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index!BN48</f>
        <v>115800</v>
      </c>
      <c r="J47" s="44">
        <f>index!BQ48</f>
        <v>115800</v>
      </c>
      <c r="K47" s="44">
        <f>index!BS48</f>
        <v>0</v>
      </c>
      <c r="L47" s="40">
        <f>index!BT48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index!BN49</f>
        <v>162600</v>
      </c>
      <c r="J48" s="44">
        <f>index!BQ49</f>
        <v>162600</v>
      </c>
      <c r="K48" s="44">
        <f>index!BS49</f>
        <v>0</v>
      </c>
      <c r="L48" s="40">
        <f>index!BT49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index!BN50</f>
        <v>162600</v>
      </c>
      <c r="J49" s="44">
        <f>index!BQ50</f>
        <v>162600</v>
      </c>
      <c r="K49" s="44">
        <f>index!BS50</f>
        <v>0</v>
      </c>
      <c r="L49" s="40">
        <f>index!BT50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index!BN51</f>
        <v>118200</v>
      </c>
      <c r="J50" s="44">
        <f>index!BQ51</f>
        <v>118200</v>
      </c>
      <c r="K50" s="44">
        <f>index!BS51</f>
        <v>0</v>
      </c>
      <c r="L50" s="40">
        <f>index!BT51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index!BN52</f>
        <v>118200</v>
      </c>
      <c r="J51" s="44">
        <f>index!BQ52</f>
        <v>118200</v>
      </c>
      <c r="K51" s="44">
        <f>index!BS52</f>
        <v>0</v>
      </c>
      <c r="L51" s="40">
        <f>index!BT52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index!BN53</f>
        <v>115800</v>
      </c>
      <c r="J52" s="44">
        <f>index!BQ53</f>
        <v>115800</v>
      </c>
      <c r="K52" s="44">
        <f>index!BS53</f>
        <v>0</v>
      </c>
      <c r="L52" s="40">
        <f>index!BT53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index!BN54</f>
        <v>115800</v>
      </c>
      <c r="J53" s="44">
        <f>index!BQ54</f>
        <v>115800</v>
      </c>
      <c r="K53" s="44">
        <f>index!BS54</f>
        <v>0</v>
      </c>
      <c r="L53" s="40">
        <f>index!BT54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index!BN55</f>
        <v>115800</v>
      </c>
      <c r="J54" s="44">
        <f>index!BQ55</f>
        <v>115800</v>
      </c>
      <c r="K54" s="44">
        <f>index!BS55</f>
        <v>0</v>
      </c>
      <c r="L54" s="40">
        <f>index!BT55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index!BN56</f>
        <v>115800</v>
      </c>
      <c r="J55" s="44">
        <f>index!BQ56</f>
        <v>115800</v>
      </c>
      <c r="K55" s="44">
        <f>index!BS56</f>
        <v>0</v>
      </c>
      <c r="L55" s="40">
        <f>index!BT56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index!BN57</f>
        <v>115800</v>
      </c>
      <c r="J56" s="44">
        <f>index!BQ57</f>
        <v>115800</v>
      </c>
      <c r="K56" s="44">
        <f>index!BS57</f>
        <v>0</v>
      </c>
      <c r="L56" s="40">
        <f>index!BT57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index!BN58</f>
        <v>115800</v>
      </c>
      <c r="J57" s="44">
        <f>index!BQ58</f>
        <v>115800</v>
      </c>
      <c r="K57" s="44">
        <f>index!BS58</f>
        <v>0</v>
      </c>
      <c r="L57" s="40">
        <f>index!BT58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index!BN59</f>
        <v>115800</v>
      </c>
      <c r="J58" s="44">
        <f>index!BQ59</f>
        <v>115800</v>
      </c>
      <c r="K58" s="44">
        <f>index!BS59</f>
        <v>0</v>
      </c>
      <c r="L58" s="40">
        <f>index!BT59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index!BN60</f>
        <v>115800</v>
      </c>
      <c r="J59" s="44">
        <f>index!BQ60</f>
        <v>115800</v>
      </c>
      <c r="K59" s="44">
        <f>index!BS60</f>
        <v>0</v>
      </c>
      <c r="L59" s="40">
        <f>index!BT60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index!BN61</f>
        <v>115800</v>
      </c>
      <c r="J60" s="44">
        <f>index!BQ61</f>
        <v>115800</v>
      </c>
      <c r="K60" s="44">
        <f>index!BS61</f>
        <v>0</v>
      </c>
      <c r="L60" s="40">
        <f>index!BT61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index!BN62</f>
        <v>115800</v>
      </c>
      <c r="J61" s="44">
        <f>index!BQ62</f>
        <v>115800</v>
      </c>
      <c r="K61" s="44">
        <f>index!BS62</f>
        <v>0</v>
      </c>
      <c r="L61" s="40">
        <f>index!BT62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index!BN63</f>
        <v>118200</v>
      </c>
      <c r="J62" s="44">
        <f>index!BQ63</f>
        <v>118200</v>
      </c>
      <c r="K62" s="44">
        <f>index!BS63</f>
        <v>0</v>
      </c>
      <c r="L62" s="40">
        <f>index!BT63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index!BN64</f>
        <v>118200</v>
      </c>
      <c r="J63" s="44">
        <f>index!BQ64</f>
        <v>118200</v>
      </c>
      <c r="K63" s="44">
        <f>index!BS64</f>
        <v>0</v>
      </c>
      <c r="L63" s="40">
        <f>index!BT64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index!BN65</f>
        <v>118200</v>
      </c>
      <c r="J64" s="44">
        <f>index!BQ65</f>
        <v>118200</v>
      </c>
      <c r="K64" s="44">
        <f>index!BS65</f>
        <v>0</v>
      </c>
      <c r="L64" s="40">
        <f>index!BT65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index!BN66</f>
        <v>118200</v>
      </c>
      <c r="J65" s="44">
        <f>index!BQ66</f>
        <v>118200</v>
      </c>
      <c r="K65" s="44">
        <f>index!BS66</f>
        <v>0</v>
      </c>
      <c r="L65" s="40">
        <f>index!BT66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index!BN67</f>
        <v>118200</v>
      </c>
      <c r="J66" s="44">
        <f>index!BQ67</f>
        <v>118200</v>
      </c>
      <c r="K66" s="44">
        <f>index!BS67</f>
        <v>0</v>
      </c>
      <c r="L66" s="40">
        <f>index!BT67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index!BN68</f>
        <v>115800</v>
      </c>
      <c r="J67" s="44">
        <f>index!BQ68</f>
        <v>115800</v>
      </c>
      <c r="K67" s="44">
        <f>index!BS68</f>
        <v>0</v>
      </c>
      <c r="L67" s="40">
        <f>index!BT68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index!BN69</f>
        <v>115800</v>
      </c>
      <c r="J68" s="44">
        <f>index!BQ69</f>
        <v>115800</v>
      </c>
      <c r="K68" s="44">
        <f>index!BS69</f>
        <v>0</v>
      </c>
      <c r="L68" s="40">
        <f>index!BT69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index!BN70</f>
        <v>115800</v>
      </c>
      <c r="J69" s="44">
        <f>index!BQ70</f>
        <v>115800</v>
      </c>
      <c r="K69" s="44">
        <f>index!BS70</f>
        <v>0</v>
      </c>
      <c r="L69" s="40">
        <f>index!BT70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index!BN71</f>
        <v>118200</v>
      </c>
      <c r="J70" s="44">
        <f>index!BQ71</f>
        <v>118200</v>
      </c>
      <c r="K70" s="44">
        <f>index!BS71</f>
        <v>0</v>
      </c>
      <c r="L70" s="40">
        <f>index!BT71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index!BN72</f>
        <v>118200</v>
      </c>
      <c r="J71" s="44">
        <f>index!BQ72</f>
        <v>118200</v>
      </c>
      <c r="K71" s="44">
        <f>index!BS72</f>
        <v>0</v>
      </c>
      <c r="L71" s="40">
        <f>index!BT72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index!BN73</f>
        <v>118200</v>
      </c>
      <c r="J72" s="44">
        <f>index!BQ73</f>
        <v>118200</v>
      </c>
      <c r="K72" s="44">
        <f>index!BS73</f>
        <v>0</v>
      </c>
      <c r="L72" s="40">
        <f>index!BT73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index!BN74</f>
        <v>118200</v>
      </c>
      <c r="J73" s="44">
        <f>index!BQ74</f>
        <v>118200</v>
      </c>
      <c r="K73" s="44">
        <f>index!BS74</f>
        <v>0</v>
      </c>
      <c r="L73" s="40">
        <f>index!BT74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index!BN75</f>
        <v>118200</v>
      </c>
      <c r="J74" s="44">
        <f>index!BQ75</f>
        <v>118200</v>
      </c>
      <c r="K74" s="44">
        <f>index!BS75</f>
        <v>0</v>
      </c>
      <c r="L74" s="40">
        <f>index!BT75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index!BN76</f>
        <v>162600</v>
      </c>
      <c r="J75" s="44">
        <f>index!BQ76</f>
        <v>162600</v>
      </c>
      <c r="K75" s="44">
        <f>index!BS76</f>
        <v>0</v>
      </c>
      <c r="L75" s="40">
        <f>index!BT76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index!BN77</f>
        <v>162600</v>
      </c>
      <c r="J76" s="44">
        <f>index!BQ77</f>
        <v>162600</v>
      </c>
      <c r="K76" s="44">
        <f>index!BS77</f>
        <v>0</v>
      </c>
      <c r="L76" s="40">
        <f>index!BT77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index!BN78</f>
        <v>118200</v>
      </c>
      <c r="J77" s="44">
        <f>index!BQ78</f>
        <v>118200</v>
      </c>
      <c r="K77" s="44">
        <f>index!BS78</f>
        <v>0</v>
      </c>
      <c r="L77" s="40">
        <f>index!BT78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index!BN79</f>
        <v>118200</v>
      </c>
      <c r="J78" s="44">
        <f>index!BQ79</f>
        <v>118200</v>
      </c>
      <c r="K78" s="44">
        <f>index!BS79</f>
        <v>0</v>
      </c>
      <c r="L78" s="40">
        <f>index!BT79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index!BN80</f>
        <v>115800</v>
      </c>
      <c r="J79" s="44">
        <f>index!BQ80</f>
        <v>115800</v>
      </c>
      <c r="K79" s="44">
        <f>index!BS80</f>
        <v>0</v>
      </c>
      <c r="L79" s="40">
        <f>index!BT80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index!BN81</f>
        <v>115800</v>
      </c>
      <c r="J80" s="44">
        <f>index!BQ81</f>
        <v>115800</v>
      </c>
      <c r="K80" s="44">
        <f>index!BS81</f>
        <v>0</v>
      </c>
      <c r="L80" s="40">
        <f>index!BT81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index!BN82</f>
        <v>115800</v>
      </c>
      <c r="J81" s="44">
        <f>index!BQ82</f>
        <v>115800</v>
      </c>
      <c r="K81" s="44">
        <f>index!BS82</f>
        <v>0</v>
      </c>
      <c r="L81" s="40">
        <f>index!BT82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index!BN83</f>
        <v>115800</v>
      </c>
      <c r="J82" s="44">
        <f>index!BQ83</f>
        <v>115800</v>
      </c>
      <c r="K82" s="44">
        <f>index!BS83</f>
        <v>0</v>
      </c>
      <c r="L82" s="40">
        <f>index!BT83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index!BN84</f>
        <v>115800</v>
      </c>
      <c r="J83" s="44">
        <f>index!BQ84</f>
        <v>115800</v>
      </c>
      <c r="K83" s="44">
        <f>index!BS84</f>
        <v>0</v>
      </c>
      <c r="L83" s="40">
        <f>index!BT84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index!BN85</f>
        <v>115800</v>
      </c>
      <c r="J84" s="44">
        <f>index!BQ85</f>
        <v>115800</v>
      </c>
      <c r="K84" s="44">
        <f>index!BS85</f>
        <v>0</v>
      </c>
      <c r="L84" s="40">
        <f>index!BT85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index!BN86</f>
        <v>115800</v>
      </c>
      <c r="J85" s="44">
        <f>index!BQ86</f>
        <v>115800</v>
      </c>
      <c r="K85" s="44">
        <f>index!BS86</f>
        <v>0</v>
      </c>
      <c r="L85" s="40">
        <f>index!BT86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index!BN87</f>
        <v>115800</v>
      </c>
      <c r="J86" s="44">
        <f>index!BQ87</f>
        <v>115800</v>
      </c>
      <c r="K86" s="44">
        <f>index!BS87</f>
        <v>0</v>
      </c>
      <c r="L86" s="40">
        <f>index!BT87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index!BN88</f>
        <v>115800</v>
      </c>
      <c r="J87" s="44">
        <f>index!BQ88</f>
        <v>115800</v>
      </c>
      <c r="K87" s="44">
        <f>index!BS88</f>
        <v>0</v>
      </c>
      <c r="L87" s="40">
        <f>index!BT88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index!BN89</f>
        <v>115800</v>
      </c>
      <c r="J88" s="44">
        <f>index!BQ89</f>
        <v>115800</v>
      </c>
      <c r="K88" s="44">
        <f>index!BS89</f>
        <v>0</v>
      </c>
      <c r="L88" s="40">
        <f>index!BT89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index!BN90</f>
        <v>115800</v>
      </c>
      <c r="J89" s="44">
        <f>index!BQ90</f>
        <v>115800</v>
      </c>
      <c r="K89" s="44">
        <f>index!BS90</f>
        <v>0</v>
      </c>
      <c r="L89" s="40">
        <f>index!BT90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index!BN91</f>
        <v>115800</v>
      </c>
      <c r="J90" s="44">
        <f>index!BQ91</f>
        <v>115800</v>
      </c>
      <c r="K90" s="44">
        <f>index!BS91</f>
        <v>0</v>
      </c>
      <c r="L90" s="40">
        <f>index!BT91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index!BN92</f>
        <v>115800</v>
      </c>
      <c r="J91" s="44">
        <f>index!BQ92</f>
        <v>115800</v>
      </c>
      <c r="K91" s="44">
        <f>index!BS92</f>
        <v>0</v>
      </c>
      <c r="L91" s="40">
        <f>index!BT92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index!BN93</f>
        <v>115800</v>
      </c>
      <c r="J92" s="44">
        <f>index!BQ93</f>
        <v>115800</v>
      </c>
      <c r="K92" s="44">
        <f>index!BS93</f>
        <v>0</v>
      </c>
      <c r="L92" s="40">
        <f>index!BT93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index!BN94</f>
        <v>115800</v>
      </c>
      <c r="J93" s="44">
        <f>index!BQ94</f>
        <v>115800</v>
      </c>
      <c r="K93" s="44">
        <f>index!BS94</f>
        <v>0</v>
      </c>
      <c r="L93" s="40">
        <f>index!BT94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index!BN95</f>
        <v>115800</v>
      </c>
      <c r="J94" s="44">
        <f>index!BQ95</f>
        <v>116000</v>
      </c>
      <c r="K94" s="44">
        <f>index!BS95</f>
        <v>-200</v>
      </c>
      <c r="L94" s="40">
        <f>index!BT95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index!BN96</f>
        <v>115800</v>
      </c>
      <c r="J95" s="44">
        <f>index!BQ96</f>
        <v>115800</v>
      </c>
      <c r="K95" s="44">
        <f>index!BS96</f>
        <v>0</v>
      </c>
      <c r="L95" s="40">
        <f>index!BT96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index!BN97</f>
        <v>118200</v>
      </c>
      <c r="J96" s="44">
        <f>index!BQ97</f>
        <v>118300</v>
      </c>
      <c r="K96" s="44">
        <f>index!BS97</f>
        <v>-100</v>
      </c>
      <c r="L96" s="40">
        <f>index!BT97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index!BN98</f>
        <v>118200</v>
      </c>
      <c r="J97" s="44">
        <f>index!BQ98</f>
        <v>118200</v>
      </c>
      <c r="K97" s="44">
        <f>index!BS98</f>
        <v>0</v>
      </c>
      <c r="L97" s="40">
        <f>index!BT98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index!BN99</f>
        <v>118200</v>
      </c>
      <c r="J98" s="44">
        <f>index!BQ99</f>
        <v>118200</v>
      </c>
      <c r="K98" s="44">
        <f>index!BS99</f>
        <v>0</v>
      </c>
      <c r="L98" s="40">
        <f>index!BT99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index!BN100</f>
        <v>118200</v>
      </c>
      <c r="J99" s="44">
        <f>index!BQ100</f>
        <v>118200</v>
      </c>
      <c r="K99" s="44">
        <f>index!BS100</f>
        <v>0</v>
      </c>
      <c r="L99" s="40">
        <f>index!BT100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index!BN101</f>
        <v>115800</v>
      </c>
      <c r="J100" s="44">
        <f>index!BQ101</f>
        <v>115800</v>
      </c>
      <c r="K100" s="44">
        <f>index!BS101</f>
        <v>0</v>
      </c>
      <c r="L100" s="40">
        <f>index!BT101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index!BN102</f>
        <v>115800</v>
      </c>
      <c r="J101" s="44">
        <f>index!BQ102</f>
        <v>115800</v>
      </c>
      <c r="K101" s="44">
        <f>index!BS102</f>
        <v>0</v>
      </c>
      <c r="L101" s="40">
        <f>index!BT102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index!BN103</f>
        <v>115800</v>
      </c>
      <c r="J102" s="44">
        <f>index!BQ103</f>
        <v>115800</v>
      </c>
      <c r="K102" s="44">
        <f>index!BS103</f>
        <v>0</v>
      </c>
      <c r="L102" s="40">
        <f>index!BT103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index!BN104</f>
        <v>162600</v>
      </c>
      <c r="J103" s="44">
        <f>index!BQ104</f>
        <v>162600</v>
      </c>
      <c r="K103" s="44">
        <f>index!BS104</f>
        <v>0</v>
      </c>
      <c r="L103" s="40">
        <f>index!BT104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index!BN105</f>
        <v>162600</v>
      </c>
      <c r="J104" s="44">
        <f>index!BQ105</f>
        <v>162600</v>
      </c>
      <c r="K104" s="44">
        <f>index!BS105</f>
        <v>0</v>
      </c>
      <c r="L104" s="40">
        <f>index!BT105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index!BN106</f>
        <v>162600</v>
      </c>
      <c r="J105" s="44">
        <f>index!BQ106</f>
        <v>162600</v>
      </c>
      <c r="K105" s="44">
        <f>index!BS106</f>
        <v>0</v>
      </c>
      <c r="L105" s="40">
        <f>index!BT106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index!BN107</f>
        <v>162600</v>
      </c>
      <c r="J106" s="44">
        <f>index!BQ107</f>
        <v>162600</v>
      </c>
      <c r="K106" s="44">
        <f>index!BS107</f>
        <v>0</v>
      </c>
      <c r="L106" s="40">
        <f>index!BT107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index!BN108</f>
        <v>162600</v>
      </c>
      <c r="J107" s="44">
        <f>index!BQ108</f>
        <v>162600</v>
      </c>
      <c r="K107" s="44">
        <f>index!BS108</f>
        <v>0</v>
      </c>
      <c r="L107" s="40">
        <f>index!BT108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index!BN109</f>
        <v>118200</v>
      </c>
      <c r="J108" s="44">
        <f>index!BQ109</f>
        <v>118200</v>
      </c>
      <c r="K108" s="44">
        <f>index!BS109</f>
        <v>0</v>
      </c>
      <c r="L108" s="40">
        <f>index!BT109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index!BN110</f>
        <v>115800</v>
      </c>
      <c r="J109" s="44">
        <f>index!BQ110</f>
        <v>115800</v>
      </c>
      <c r="K109" s="44">
        <f>index!BS110</f>
        <v>0</v>
      </c>
      <c r="L109" s="40">
        <f>index!BT110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index!BN111</f>
        <v>115800</v>
      </c>
      <c r="J110" s="44">
        <f>index!BQ111</f>
        <v>115800</v>
      </c>
      <c r="K110" s="44">
        <f>index!BS111</f>
        <v>0</v>
      </c>
      <c r="L110" s="40">
        <f>index!BT111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index!BN112</f>
        <v>115800</v>
      </c>
      <c r="J111" s="44">
        <f>index!BQ112</f>
        <v>115800</v>
      </c>
      <c r="K111" s="44">
        <f>index!BS112</f>
        <v>0</v>
      </c>
      <c r="L111" s="40">
        <f>index!BT112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index!BN113</f>
        <v>115800</v>
      </c>
      <c r="J112" s="44">
        <f>index!BQ113</f>
        <v>115800</v>
      </c>
      <c r="K112" s="44">
        <f>index!BS113</f>
        <v>0</v>
      </c>
      <c r="L112" s="40">
        <f>index!BT113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index!BN114</f>
        <v>118200</v>
      </c>
      <c r="J113" s="44">
        <f>index!BQ114</f>
        <v>118200</v>
      </c>
      <c r="K113" s="44">
        <f>index!BS114</f>
        <v>0</v>
      </c>
      <c r="L113" s="40">
        <f>index!BT114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index!BN115</f>
        <v>118200</v>
      </c>
      <c r="J114" s="44">
        <f>index!BQ115</f>
        <v>118200</v>
      </c>
      <c r="K114" s="44">
        <f>index!BS115</f>
        <v>0</v>
      </c>
      <c r="L114" s="40">
        <f>index!BT115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index!BN116</f>
        <v>118200</v>
      </c>
      <c r="J115" s="44">
        <f>index!BQ116</f>
        <v>118200</v>
      </c>
      <c r="K115" s="44">
        <f>index!BS116</f>
        <v>0</v>
      </c>
      <c r="L115" s="40">
        <f>index!BT116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index!BN117</f>
        <v>118200</v>
      </c>
      <c r="J116" s="44">
        <f>index!BQ117</f>
        <v>118200</v>
      </c>
      <c r="K116" s="44">
        <f>index!BS117</f>
        <v>0</v>
      </c>
      <c r="L116" s="40">
        <f>index!BT117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index!BN118</f>
        <v>118200</v>
      </c>
      <c r="J117" s="44">
        <f>index!BQ118</f>
        <v>118300</v>
      </c>
      <c r="K117" s="44">
        <f>index!BS118</f>
        <v>-100</v>
      </c>
      <c r="L117" s="40">
        <f>index!BT118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index!BN119</f>
        <v>115800</v>
      </c>
      <c r="J118" s="44">
        <f>index!BQ119</f>
        <v>115800</v>
      </c>
      <c r="K118" s="44">
        <f>index!BS119</f>
        <v>0</v>
      </c>
      <c r="L118" s="40">
        <f>index!BT119</f>
        <v>0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index!BN120</f>
        <v>115800</v>
      </c>
      <c r="J119" s="44">
        <f>index!BQ120</f>
        <v>115800</v>
      </c>
      <c r="K119" s="44">
        <f>index!BS120</f>
        <v>0</v>
      </c>
      <c r="L119" s="40">
        <f>index!BT120</f>
        <v>0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index!BN121</f>
        <v>115800</v>
      </c>
      <c r="J120" s="44">
        <f>index!BQ121</f>
        <v>115800</v>
      </c>
      <c r="K120" s="44">
        <f>index!BS121</f>
        <v>0</v>
      </c>
      <c r="L120" s="40">
        <f>index!BT121</f>
        <v>0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index!BN122</f>
        <v>115800</v>
      </c>
      <c r="J121" s="44">
        <f>index!BQ122</f>
        <v>115800</v>
      </c>
      <c r="K121" s="44">
        <f>index!BS122</f>
        <v>0</v>
      </c>
      <c r="L121" s="40">
        <f>index!BT122</f>
        <v>0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index!BN123</f>
        <v>118200</v>
      </c>
      <c r="J122" s="44">
        <f>index!BQ123</f>
        <v>118200</v>
      </c>
      <c r="K122" s="44">
        <f>index!BS123</f>
        <v>0</v>
      </c>
      <c r="L122" s="40">
        <f>index!BT123</f>
        <v>0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index!BN124</f>
        <v>118200</v>
      </c>
      <c r="J123" s="44">
        <f>index!BQ124</f>
        <v>118200</v>
      </c>
      <c r="K123" s="44">
        <f>index!BS124</f>
        <v>0</v>
      </c>
      <c r="L123" s="40">
        <f>index!BT124</f>
        <v>0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index!BN125</f>
        <v>118200</v>
      </c>
      <c r="J124" s="44">
        <f>index!BQ125</f>
        <v>118200</v>
      </c>
      <c r="K124" s="44">
        <f>index!BS125</f>
        <v>0</v>
      </c>
      <c r="L124" s="40">
        <f>index!BT125</f>
        <v>0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index!BN126</f>
        <v>118200</v>
      </c>
      <c r="J125" s="44">
        <f>index!BQ126</f>
        <v>118200</v>
      </c>
      <c r="K125" s="44">
        <f>index!BS126</f>
        <v>0</v>
      </c>
      <c r="L125" s="40">
        <f>index!BT126</f>
        <v>0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index!BN127</f>
        <v>118200</v>
      </c>
      <c r="J126" s="44">
        <f>index!BQ127</f>
        <v>118200</v>
      </c>
      <c r="K126" s="44">
        <f>index!BS127</f>
        <v>0</v>
      </c>
      <c r="L126" s="40">
        <f>index!BT127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 t="str">
        <f>index!AR128</f>
        <v/>
      </c>
      <c r="E127" s="31">
        <f>index!AS128</f>
        <v>0</v>
      </c>
      <c r="F127" s="31" t="e">
        <f>index!AT128</f>
        <v>#N/A</v>
      </c>
      <c r="G127" s="43">
        <f>index!AU128</f>
        <v>0</v>
      </c>
      <c r="H127" s="6">
        <f>index!AV128</f>
        <v>0</v>
      </c>
      <c r="I127" s="44" t="e">
        <f>index!BN128</f>
        <v>#VALUE!</v>
      </c>
      <c r="J127" s="44">
        <f>index!BQ128</f>
        <v>0</v>
      </c>
      <c r="K127" s="44" t="e">
        <f>index!BS128</f>
        <v>#VALUE!</v>
      </c>
      <c r="L127" s="40">
        <f>index!BT128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 t="str">
        <f>index!AR129</f>
        <v/>
      </c>
      <c r="E128" s="31">
        <f>index!AS129</f>
        <v>0</v>
      </c>
      <c r="F128" s="31" t="e">
        <f>index!AT129</f>
        <v>#N/A</v>
      </c>
      <c r="G128" s="43">
        <f>index!AU129</f>
        <v>0</v>
      </c>
      <c r="H128" s="6">
        <f>index!AV129</f>
        <v>0</v>
      </c>
      <c r="I128" s="44" t="e">
        <f>index!BN129</f>
        <v>#VALUE!</v>
      </c>
      <c r="J128" s="44">
        <f>index!BQ129</f>
        <v>0</v>
      </c>
      <c r="K128" s="44" t="e">
        <f>index!BS129</f>
        <v>#VALUE!</v>
      </c>
      <c r="L128" s="40">
        <f>index!BT129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 t="str">
        <f>index!AR130</f>
        <v/>
      </c>
      <c r="E129" s="31">
        <f>index!AS130</f>
        <v>0</v>
      </c>
      <c r="F129" s="31" t="e">
        <f>index!AT130</f>
        <v>#N/A</v>
      </c>
      <c r="G129" s="43">
        <f>index!AU130</f>
        <v>0</v>
      </c>
      <c r="H129" s="6">
        <f>index!AV130</f>
        <v>0</v>
      </c>
      <c r="I129" s="44" t="e">
        <f>index!BN130</f>
        <v>#VALUE!</v>
      </c>
      <c r="J129" s="44">
        <f>index!BQ130</f>
        <v>0</v>
      </c>
      <c r="K129" s="44" t="e">
        <f>index!BS130</f>
        <v>#VALUE!</v>
      </c>
      <c r="L129" s="40">
        <f>index!BT130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 t="str">
        <f>index!AR131</f>
        <v/>
      </c>
      <c r="E130" s="31">
        <f>index!AS131</f>
        <v>0</v>
      </c>
      <c r="F130" s="31" t="e">
        <f>index!AT131</f>
        <v>#N/A</v>
      </c>
      <c r="G130" s="43">
        <f>index!AU131</f>
        <v>0</v>
      </c>
      <c r="H130" s="6">
        <f>index!AV131</f>
        <v>0</v>
      </c>
      <c r="I130" s="44" t="e">
        <f>index!BN131</f>
        <v>#VALUE!</v>
      </c>
      <c r="J130" s="44">
        <f>index!BQ131</f>
        <v>0</v>
      </c>
      <c r="K130" s="44" t="e">
        <f>index!BS131</f>
        <v>#VALUE!</v>
      </c>
      <c r="L130" s="40">
        <f>index!BT131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 t="str">
        <f>index!AR132</f>
        <v/>
      </c>
      <c r="E131" s="31">
        <f>index!AS132</f>
        <v>0</v>
      </c>
      <c r="F131" s="31" t="e">
        <f>index!AT132</f>
        <v>#N/A</v>
      </c>
      <c r="G131" s="43">
        <f>index!AU132</f>
        <v>0</v>
      </c>
      <c r="H131" s="6">
        <f>index!AV132</f>
        <v>0</v>
      </c>
      <c r="I131" s="44" t="e">
        <f>index!BN132</f>
        <v>#VALUE!</v>
      </c>
      <c r="J131" s="44">
        <f>index!BQ132</f>
        <v>0</v>
      </c>
      <c r="K131" s="44" t="e">
        <f>index!BS132</f>
        <v>#VALUE!</v>
      </c>
      <c r="L131" s="40">
        <f>index!BT132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 t="str">
        <f>index!AR133</f>
        <v/>
      </c>
      <c r="E132" s="31">
        <f>index!AS133</f>
        <v>0</v>
      </c>
      <c r="F132" s="31" t="e">
        <f>index!AT133</f>
        <v>#N/A</v>
      </c>
      <c r="G132" s="43">
        <f>index!AU133</f>
        <v>0</v>
      </c>
      <c r="H132" s="6">
        <f>index!AV133</f>
        <v>0</v>
      </c>
      <c r="I132" s="44" t="e">
        <f>index!BN133</f>
        <v>#VALUE!</v>
      </c>
      <c r="J132" s="44">
        <f>index!BQ133</f>
        <v>0</v>
      </c>
      <c r="K132" s="44" t="e">
        <f>index!BS133</f>
        <v>#VALUE!</v>
      </c>
      <c r="L132" s="40">
        <f>index!BT133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 t="str">
        <f>index!AR134</f>
        <v/>
      </c>
      <c r="E133" s="31">
        <f>index!AS134</f>
        <v>0</v>
      </c>
      <c r="F133" s="31" t="e">
        <f>index!AT134</f>
        <v>#N/A</v>
      </c>
      <c r="G133" s="43">
        <f>index!AU134</f>
        <v>0</v>
      </c>
      <c r="H133" s="6">
        <f>index!AV134</f>
        <v>0</v>
      </c>
      <c r="I133" s="44" t="e">
        <f>index!BN134</f>
        <v>#VALUE!</v>
      </c>
      <c r="J133" s="44">
        <f>index!BQ134</f>
        <v>0</v>
      </c>
      <c r="K133" s="44" t="e">
        <f>index!BS134</f>
        <v>#VALUE!</v>
      </c>
      <c r="L133" s="40">
        <f>index!BT134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 t="str">
        <f>index!AR135</f>
        <v/>
      </c>
      <c r="E134" s="31">
        <f>index!AS135</f>
        <v>0</v>
      </c>
      <c r="F134" s="31" t="e">
        <f>index!AT135</f>
        <v>#N/A</v>
      </c>
      <c r="G134" s="43">
        <f>index!AU135</f>
        <v>0</v>
      </c>
      <c r="H134" s="6">
        <f>index!AV135</f>
        <v>0</v>
      </c>
      <c r="I134" s="44" t="e">
        <f>index!BN135</f>
        <v>#VALUE!</v>
      </c>
      <c r="J134" s="44">
        <f>index!BQ135</f>
        <v>0</v>
      </c>
      <c r="K134" s="44" t="e">
        <f>index!BS135</f>
        <v>#VALUE!</v>
      </c>
      <c r="L134" s="40">
        <f>index!BT135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 t="str">
        <f>index!AR136</f>
        <v/>
      </c>
      <c r="E135" s="31">
        <f>index!AS136</f>
        <v>0</v>
      </c>
      <c r="F135" s="31" t="e">
        <f>index!AT136</f>
        <v>#N/A</v>
      </c>
      <c r="G135" s="43">
        <f>index!AU136</f>
        <v>0</v>
      </c>
      <c r="H135" s="6">
        <f>index!AV136</f>
        <v>0</v>
      </c>
      <c r="I135" s="44" t="e">
        <f>index!BN136</f>
        <v>#VALUE!</v>
      </c>
      <c r="J135" s="44">
        <f>index!BQ136</f>
        <v>0</v>
      </c>
      <c r="K135" s="44" t="e">
        <f>index!BS136</f>
        <v>#VALUE!</v>
      </c>
      <c r="L135" s="40">
        <f>index!BT136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 t="str">
        <f>index!AR137</f>
        <v/>
      </c>
      <c r="E136" s="31">
        <f>index!AS137</f>
        <v>0</v>
      </c>
      <c r="F136" s="31" t="e">
        <f>index!AT137</f>
        <v>#N/A</v>
      </c>
      <c r="G136" s="43">
        <f>index!AU137</f>
        <v>0</v>
      </c>
      <c r="H136" s="6">
        <f>index!AV137</f>
        <v>0</v>
      </c>
      <c r="I136" s="44" t="e">
        <f>index!BN137</f>
        <v>#VALUE!</v>
      </c>
      <c r="J136" s="44">
        <f>index!BQ137</f>
        <v>0</v>
      </c>
      <c r="K136" s="44" t="e">
        <f>index!BS137</f>
        <v>#VALUE!</v>
      </c>
      <c r="L136" s="40">
        <f>index!BT137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 t="str">
        <f>index!AR138</f>
        <v/>
      </c>
      <c r="E137" s="31">
        <f>index!AS138</f>
        <v>0</v>
      </c>
      <c r="F137" s="31" t="e">
        <f>index!AT138</f>
        <v>#N/A</v>
      </c>
      <c r="G137" s="43">
        <f>index!AU138</f>
        <v>0</v>
      </c>
      <c r="H137" s="6">
        <f>index!AV138</f>
        <v>0</v>
      </c>
      <c r="I137" s="44" t="e">
        <f>index!BN138</f>
        <v>#VALUE!</v>
      </c>
      <c r="J137" s="44">
        <f>index!BQ138</f>
        <v>0</v>
      </c>
      <c r="K137" s="44" t="e">
        <f>index!BS138</f>
        <v>#VALUE!</v>
      </c>
      <c r="L137" s="40">
        <f>index!BT138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 t="str">
        <f>index!AR139</f>
        <v/>
      </c>
      <c r="E138" s="31">
        <f>index!AS139</f>
        <v>0</v>
      </c>
      <c r="F138" s="31" t="e">
        <f>index!AT139</f>
        <v>#N/A</v>
      </c>
      <c r="G138" s="43">
        <f>index!AU139</f>
        <v>0</v>
      </c>
      <c r="H138" s="6">
        <f>index!AV139</f>
        <v>0</v>
      </c>
      <c r="I138" s="44" t="e">
        <f>index!BN139</f>
        <v>#VALUE!</v>
      </c>
      <c r="J138" s="44">
        <f>index!BQ139</f>
        <v>0</v>
      </c>
      <c r="K138" s="44" t="e">
        <f>index!BS139</f>
        <v>#VALUE!</v>
      </c>
      <c r="L138" s="40">
        <f>index!BT139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 t="str">
        <f>index!AR140</f>
        <v/>
      </c>
      <c r="E139" s="31">
        <f>index!AS140</f>
        <v>0</v>
      </c>
      <c r="F139" s="31" t="e">
        <f>index!AT140</f>
        <v>#N/A</v>
      </c>
      <c r="G139" s="43">
        <f>index!AU140</f>
        <v>0</v>
      </c>
      <c r="H139" s="6">
        <f>index!AV140</f>
        <v>0</v>
      </c>
      <c r="I139" s="44" t="e">
        <f>index!BN140</f>
        <v>#VALUE!</v>
      </c>
      <c r="J139" s="44">
        <f>index!BQ140</f>
        <v>0</v>
      </c>
      <c r="K139" s="44" t="e">
        <f>index!BS140</f>
        <v>#VALUE!</v>
      </c>
      <c r="L139" s="40">
        <f>index!BT140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 t="str">
        <f>index!AR141</f>
        <v/>
      </c>
      <c r="E140" s="31">
        <f>index!AS141</f>
        <v>0</v>
      </c>
      <c r="F140" s="31" t="e">
        <f>index!AT141</f>
        <v>#N/A</v>
      </c>
      <c r="G140" s="43">
        <f>index!AU141</f>
        <v>0</v>
      </c>
      <c r="H140" s="6">
        <f>index!AV141</f>
        <v>0</v>
      </c>
      <c r="I140" s="44" t="e">
        <f>index!BN141</f>
        <v>#VALUE!</v>
      </c>
      <c r="J140" s="44">
        <f>index!BQ141</f>
        <v>0</v>
      </c>
      <c r="K140" s="44" t="e">
        <f>index!BS141</f>
        <v>#VALUE!</v>
      </c>
      <c r="L140" s="40">
        <f>index!BT141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 t="str">
        <f>index!AR142</f>
        <v/>
      </c>
      <c r="E141" s="31">
        <f>index!AS142</f>
        <v>0</v>
      </c>
      <c r="F141" s="31" t="e">
        <f>index!AT142</f>
        <v>#N/A</v>
      </c>
      <c r="G141" s="43">
        <f>index!AU142</f>
        <v>0</v>
      </c>
      <c r="H141" s="6">
        <f>index!AV142</f>
        <v>0</v>
      </c>
      <c r="I141" s="44" t="e">
        <f>index!BN142</f>
        <v>#VALUE!</v>
      </c>
      <c r="J141" s="44">
        <f>index!BQ142</f>
        <v>0</v>
      </c>
      <c r="K141" s="44" t="e">
        <f>index!BS142</f>
        <v>#VALUE!</v>
      </c>
      <c r="L141" s="40">
        <f>index!BT142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 t="str">
        <f>index!AR143</f>
        <v/>
      </c>
      <c r="E142" s="31">
        <f>index!AS143</f>
        <v>0</v>
      </c>
      <c r="F142" s="31" t="e">
        <f>index!AT143</f>
        <v>#N/A</v>
      </c>
      <c r="G142" s="43">
        <f>index!AU143</f>
        <v>0</v>
      </c>
      <c r="H142" s="6">
        <f>index!AV143</f>
        <v>0</v>
      </c>
      <c r="I142" s="44" t="e">
        <f>index!BN143</f>
        <v>#VALUE!</v>
      </c>
      <c r="J142" s="44">
        <f>index!BQ143</f>
        <v>0</v>
      </c>
      <c r="K142" s="44" t="e">
        <f>index!BS143</f>
        <v>#VALUE!</v>
      </c>
      <c r="L142" s="40">
        <f>index!BT143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 t="str">
        <f>index!AR144</f>
        <v/>
      </c>
      <c r="E143" s="31">
        <f>index!AS144</f>
        <v>0</v>
      </c>
      <c r="F143" s="31" t="e">
        <f>index!AT144</f>
        <v>#N/A</v>
      </c>
      <c r="G143" s="43">
        <f>index!AU144</f>
        <v>0</v>
      </c>
      <c r="H143" s="6">
        <f>index!AV144</f>
        <v>0</v>
      </c>
      <c r="I143" s="44" t="e">
        <f>index!BN144</f>
        <v>#VALUE!</v>
      </c>
      <c r="J143" s="44">
        <f>index!BQ144</f>
        <v>0</v>
      </c>
      <c r="K143" s="44" t="e">
        <f>index!BS144</f>
        <v>#VALUE!</v>
      </c>
      <c r="L143" s="40">
        <f>index!BT144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 t="str">
        <f>index!AR145</f>
        <v/>
      </c>
      <c r="E144" s="31">
        <f>index!AS145</f>
        <v>0</v>
      </c>
      <c r="F144" s="31" t="e">
        <f>index!AT145</f>
        <v>#N/A</v>
      </c>
      <c r="G144" s="43">
        <f>index!AU145</f>
        <v>0</v>
      </c>
      <c r="H144" s="6">
        <f>index!AV145</f>
        <v>0</v>
      </c>
      <c r="I144" s="44" t="e">
        <f>index!BN145</f>
        <v>#VALUE!</v>
      </c>
      <c r="J144" s="44">
        <f>index!BQ145</f>
        <v>0</v>
      </c>
      <c r="K144" s="44" t="e">
        <f>index!BS145</f>
        <v>#VALUE!</v>
      </c>
      <c r="L144" s="40">
        <f>index!BT145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 t="str">
        <f>index!AR146</f>
        <v/>
      </c>
      <c r="E145" s="31">
        <f>index!AS146</f>
        <v>0</v>
      </c>
      <c r="F145" s="31" t="e">
        <f>index!AT146</f>
        <v>#N/A</v>
      </c>
      <c r="G145" s="43">
        <f>index!AU146</f>
        <v>0</v>
      </c>
      <c r="H145" s="6">
        <f>index!AV146</f>
        <v>0</v>
      </c>
      <c r="I145" s="44" t="e">
        <f>index!BN146</f>
        <v>#VALUE!</v>
      </c>
      <c r="J145" s="44">
        <f>index!BQ146</f>
        <v>0</v>
      </c>
      <c r="K145" s="44" t="e">
        <f>index!BS146</f>
        <v>#VALUE!</v>
      </c>
      <c r="L145" s="40">
        <f>index!BT146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 t="str">
        <f>index!AR147</f>
        <v/>
      </c>
      <c r="E146" s="31">
        <f>index!AS147</f>
        <v>0</v>
      </c>
      <c r="F146" s="31" t="e">
        <f>index!AT147</f>
        <v>#N/A</v>
      </c>
      <c r="G146" s="43">
        <f>index!AU147</f>
        <v>0</v>
      </c>
      <c r="H146" s="6">
        <f>index!AV147</f>
        <v>0</v>
      </c>
      <c r="I146" s="44" t="e">
        <f>index!BN147</f>
        <v>#VALUE!</v>
      </c>
      <c r="J146" s="44">
        <f>index!BQ147</f>
        <v>0</v>
      </c>
      <c r="K146" s="44" t="e">
        <f>index!BS147</f>
        <v>#VALUE!</v>
      </c>
      <c r="L146" s="40">
        <f>index!BT147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 t="str">
        <f>index!AR148</f>
        <v/>
      </c>
      <c r="E147" s="31">
        <f>index!AS148</f>
        <v>0</v>
      </c>
      <c r="F147" s="31" t="e">
        <f>index!AT148</f>
        <v>#N/A</v>
      </c>
      <c r="G147" s="43">
        <f>index!AU148</f>
        <v>0</v>
      </c>
      <c r="H147" s="6">
        <f>index!AV148</f>
        <v>0</v>
      </c>
      <c r="I147" s="44" t="e">
        <f>index!BN148</f>
        <v>#VALUE!</v>
      </c>
      <c r="J147" s="44">
        <f>index!BQ148</f>
        <v>0</v>
      </c>
      <c r="K147" s="44" t="e">
        <f>index!BS148</f>
        <v>#VALUE!</v>
      </c>
      <c r="L147" s="40">
        <f>index!BT148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 t="str">
        <f>index!AR149</f>
        <v/>
      </c>
      <c r="E148" s="31">
        <f>index!AS149</f>
        <v>0</v>
      </c>
      <c r="F148" s="31" t="e">
        <f>index!AT149</f>
        <v>#N/A</v>
      </c>
      <c r="G148" s="43">
        <f>index!AU149</f>
        <v>0</v>
      </c>
      <c r="H148" s="6">
        <f>index!AV149</f>
        <v>0</v>
      </c>
      <c r="I148" s="44" t="e">
        <f>index!BN149</f>
        <v>#VALUE!</v>
      </c>
      <c r="J148" s="44">
        <f>index!BQ149</f>
        <v>0</v>
      </c>
      <c r="K148" s="44" t="e">
        <f>index!BS149</f>
        <v>#VALUE!</v>
      </c>
      <c r="L148" s="40">
        <f>index!BT149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 t="str">
        <f>index!AR150</f>
        <v/>
      </c>
      <c r="E149" s="31">
        <f>index!AS150</f>
        <v>0</v>
      </c>
      <c r="F149" s="31" t="e">
        <f>index!AT150</f>
        <v>#N/A</v>
      </c>
      <c r="G149" s="43">
        <f>index!AU150</f>
        <v>0</v>
      </c>
      <c r="H149" s="6">
        <f>index!AV150</f>
        <v>0</v>
      </c>
      <c r="I149" s="44" t="e">
        <f>index!BN150</f>
        <v>#VALUE!</v>
      </c>
      <c r="J149" s="44">
        <f>index!BQ150</f>
        <v>0</v>
      </c>
      <c r="K149" s="44" t="e">
        <f>index!BS150</f>
        <v>#VALUE!</v>
      </c>
      <c r="L149" s="40">
        <f>index!BT150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 t="str">
        <f>index!AR151</f>
        <v/>
      </c>
      <c r="E150" s="31">
        <f>index!AS151</f>
        <v>0</v>
      </c>
      <c r="F150" s="31" t="e">
        <f>index!AT151</f>
        <v>#N/A</v>
      </c>
      <c r="G150" s="43">
        <f>index!AU151</f>
        <v>0</v>
      </c>
      <c r="H150" s="6">
        <f>index!AV151</f>
        <v>0</v>
      </c>
      <c r="I150" s="44" t="e">
        <f>index!BN151</f>
        <v>#VALUE!</v>
      </c>
      <c r="J150" s="44">
        <f>index!BQ151</f>
        <v>0</v>
      </c>
      <c r="K150" s="44" t="e">
        <f>index!BS151</f>
        <v>#VALUE!</v>
      </c>
      <c r="L150" s="40">
        <f>index!BT151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 t="str">
        <f>index!AR152</f>
        <v/>
      </c>
      <c r="E151" s="31">
        <f>index!AS152</f>
        <v>0</v>
      </c>
      <c r="F151" s="31" t="e">
        <f>index!AT152</f>
        <v>#N/A</v>
      </c>
      <c r="G151" s="43">
        <f>index!AU152</f>
        <v>0</v>
      </c>
      <c r="H151" s="6">
        <f>index!AV152</f>
        <v>0</v>
      </c>
      <c r="I151" s="44" t="e">
        <f>index!BN152</f>
        <v>#VALUE!</v>
      </c>
      <c r="J151" s="44">
        <f>index!BQ152</f>
        <v>0</v>
      </c>
      <c r="K151" s="44" t="e">
        <f>index!BS152</f>
        <v>#VALUE!</v>
      </c>
      <c r="L151" s="40">
        <f>index!BT152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 t="str">
        <f>index!AR153</f>
        <v/>
      </c>
      <c r="E152" s="31">
        <f>index!AS153</f>
        <v>0</v>
      </c>
      <c r="F152" s="31" t="e">
        <f>index!AT153</f>
        <v>#N/A</v>
      </c>
      <c r="G152" s="43">
        <f>index!AU153</f>
        <v>0</v>
      </c>
      <c r="H152" s="6">
        <f>index!AV153</f>
        <v>0</v>
      </c>
      <c r="I152" s="44" t="e">
        <f>index!BN153</f>
        <v>#VALUE!</v>
      </c>
      <c r="J152" s="44">
        <f>index!BQ153</f>
        <v>0</v>
      </c>
      <c r="K152" s="44" t="e">
        <f>index!BS153</f>
        <v>#VALUE!</v>
      </c>
      <c r="L152" s="40">
        <f>index!BT153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 t="str">
        <f>index!AR154</f>
        <v/>
      </c>
      <c r="E153" s="31">
        <f>index!AS154</f>
        <v>0</v>
      </c>
      <c r="F153" s="31" t="e">
        <f>index!AT154</f>
        <v>#N/A</v>
      </c>
      <c r="G153" s="43">
        <f>index!AU154</f>
        <v>0</v>
      </c>
      <c r="H153" s="6">
        <f>index!AV154</f>
        <v>0</v>
      </c>
      <c r="I153" s="44" t="e">
        <f>index!BN154</f>
        <v>#VALUE!</v>
      </c>
      <c r="J153" s="44">
        <f>index!BQ154</f>
        <v>0</v>
      </c>
      <c r="K153" s="44" t="e">
        <f>index!BS154</f>
        <v>#VALUE!</v>
      </c>
      <c r="L153" s="40">
        <f>index!BT154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 t="str">
        <f>index!AR155</f>
        <v/>
      </c>
      <c r="E154" s="31">
        <f>index!AS155</f>
        <v>0</v>
      </c>
      <c r="F154" s="31" t="e">
        <f>index!AT155</f>
        <v>#N/A</v>
      </c>
      <c r="G154" s="43">
        <f>index!AU155</f>
        <v>0</v>
      </c>
      <c r="H154" s="6">
        <f>index!AV155</f>
        <v>0</v>
      </c>
      <c r="I154" s="44" t="e">
        <f>index!BN155</f>
        <v>#VALUE!</v>
      </c>
      <c r="J154" s="44">
        <f>index!BQ155</f>
        <v>0</v>
      </c>
      <c r="K154" s="44" t="e">
        <f>index!BS155</f>
        <v>#VALUE!</v>
      </c>
      <c r="L154" s="40">
        <f>index!BT155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 t="str">
        <f>index!AR156</f>
        <v/>
      </c>
      <c r="E155" s="31">
        <f>index!AS156</f>
        <v>0</v>
      </c>
      <c r="F155" s="31" t="e">
        <f>index!AT156</f>
        <v>#N/A</v>
      </c>
      <c r="G155" s="43">
        <f>index!AU156</f>
        <v>0</v>
      </c>
      <c r="H155" s="6">
        <f>index!AV156</f>
        <v>0</v>
      </c>
      <c r="I155" s="44" t="e">
        <f>index!BN156</f>
        <v>#VALUE!</v>
      </c>
      <c r="J155" s="44">
        <f>index!BQ156</f>
        <v>0</v>
      </c>
      <c r="K155" s="44" t="e">
        <f>index!BS156</f>
        <v>#VALUE!</v>
      </c>
      <c r="L155" s="40">
        <f>index!BT156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 t="str">
        <f>index!AR157</f>
        <v/>
      </c>
      <c r="E156" s="31">
        <f>index!AS157</f>
        <v>0</v>
      </c>
      <c r="F156" s="31" t="e">
        <f>index!AT157</f>
        <v>#N/A</v>
      </c>
      <c r="G156" s="43">
        <f>index!AU157</f>
        <v>0</v>
      </c>
      <c r="H156" s="6">
        <f>index!AV157</f>
        <v>0</v>
      </c>
      <c r="I156" s="44" t="e">
        <f>index!BN157</f>
        <v>#VALUE!</v>
      </c>
      <c r="J156" s="44">
        <f>index!BQ157</f>
        <v>0</v>
      </c>
      <c r="K156" s="44" t="e">
        <f>index!BS157</f>
        <v>#VALUE!</v>
      </c>
      <c r="L156" s="40">
        <f>index!BT157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 t="str">
        <f>index!AR158</f>
        <v/>
      </c>
      <c r="E157" s="31">
        <f>index!AS158</f>
        <v>0</v>
      </c>
      <c r="F157" s="31" t="e">
        <f>index!AT158</f>
        <v>#N/A</v>
      </c>
      <c r="G157" s="43">
        <f>index!AU158</f>
        <v>0</v>
      </c>
      <c r="H157" s="6">
        <f>index!AV158</f>
        <v>0</v>
      </c>
      <c r="I157" s="44" t="e">
        <f>index!BN158</f>
        <v>#VALUE!</v>
      </c>
      <c r="J157" s="44">
        <f>index!BQ158</f>
        <v>0</v>
      </c>
      <c r="K157" s="44" t="e">
        <f>index!BS158</f>
        <v>#VALUE!</v>
      </c>
      <c r="L157" s="40">
        <f>index!BT158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 t="str">
        <f>index!AR159</f>
        <v/>
      </c>
      <c r="E158" s="31">
        <f>index!AS159</f>
        <v>0</v>
      </c>
      <c r="F158" s="31" t="e">
        <f>index!AT159</f>
        <v>#N/A</v>
      </c>
      <c r="G158" s="43">
        <f>index!AU159</f>
        <v>0</v>
      </c>
      <c r="H158" s="6">
        <f>index!AV159</f>
        <v>0</v>
      </c>
      <c r="I158" s="44" t="e">
        <f>index!BN159</f>
        <v>#VALUE!</v>
      </c>
      <c r="J158" s="44">
        <f>index!BQ159</f>
        <v>0</v>
      </c>
      <c r="K158" s="44" t="e">
        <f>index!BS159</f>
        <v>#VALUE!</v>
      </c>
      <c r="L158" s="40">
        <f>index!BT159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 t="str">
        <f>index!AR160</f>
        <v/>
      </c>
      <c r="E159" s="31">
        <f>index!AS160</f>
        <v>0</v>
      </c>
      <c r="F159" s="31" t="e">
        <f>index!AT160</f>
        <v>#N/A</v>
      </c>
      <c r="G159" s="43">
        <f>index!AU160</f>
        <v>0</v>
      </c>
      <c r="H159" s="6">
        <f>index!AV160</f>
        <v>0</v>
      </c>
      <c r="I159" s="44" t="e">
        <f>index!BN160</f>
        <v>#VALUE!</v>
      </c>
      <c r="J159" s="44">
        <f>index!BQ160</f>
        <v>0</v>
      </c>
      <c r="K159" s="44" t="e">
        <f>index!BS160</f>
        <v>#VALUE!</v>
      </c>
      <c r="L159" s="40">
        <f>index!BT160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 t="str">
        <f>index!AR161</f>
        <v/>
      </c>
      <c r="E160" s="31">
        <f>index!AS161</f>
        <v>0</v>
      </c>
      <c r="F160" s="31" t="e">
        <f>index!AT161</f>
        <v>#N/A</v>
      </c>
      <c r="G160" s="43">
        <f>index!AU161</f>
        <v>0</v>
      </c>
      <c r="H160" s="6">
        <f>index!AV161</f>
        <v>0</v>
      </c>
      <c r="I160" s="44" t="e">
        <f>index!BN161</f>
        <v>#VALUE!</v>
      </c>
      <c r="J160" s="44">
        <f>index!BQ161</f>
        <v>0</v>
      </c>
      <c r="K160" s="44" t="e">
        <f>index!BS161</f>
        <v>#VALUE!</v>
      </c>
      <c r="L160" s="40">
        <f>index!BT161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 t="str">
        <f>index!AR162</f>
        <v/>
      </c>
      <c r="E161" s="31">
        <f>index!AS162</f>
        <v>0</v>
      </c>
      <c r="F161" s="31" t="e">
        <f>index!AT162</f>
        <v>#N/A</v>
      </c>
      <c r="G161" s="43">
        <f>index!AU162</f>
        <v>0</v>
      </c>
      <c r="H161" s="6">
        <f>index!AV162</f>
        <v>0</v>
      </c>
      <c r="I161" s="44" t="e">
        <f>index!BN162</f>
        <v>#VALUE!</v>
      </c>
      <c r="J161" s="44">
        <f>index!BQ162</f>
        <v>0</v>
      </c>
      <c r="K161" s="44" t="e">
        <f>index!BS162</f>
        <v>#VALUE!</v>
      </c>
      <c r="L161" s="40">
        <f>index!BT162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 t="str">
        <f>index!AR163</f>
        <v/>
      </c>
      <c r="E162" s="31">
        <f>index!AS163</f>
        <v>0</v>
      </c>
      <c r="F162" s="31" t="e">
        <f>index!AT163</f>
        <v>#N/A</v>
      </c>
      <c r="G162" s="43">
        <f>index!AU163</f>
        <v>0</v>
      </c>
      <c r="H162" s="6">
        <f>index!AV163</f>
        <v>0</v>
      </c>
      <c r="I162" s="44" t="e">
        <f>index!BN163</f>
        <v>#VALUE!</v>
      </c>
      <c r="J162" s="44">
        <f>index!BQ163</f>
        <v>0</v>
      </c>
      <c r="K162" s="44" t="e">
        <f>index!BS163</f>
        <v>#VALUE!</v>
      </c>
      <c r="L162" s="40">
        <f>index!BT163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 t="str">
        <f>index!AR164</f>
        <v/>
      </c>
      <c r="E163" s="31">
        <f>index!AS164</f>
        <v>0</v>
      </c>
      <c r="F163" s="31" t="e">
        <f>index!AT164</f>
        <v>#N/A</v>
      </c>
      <c r="G163" s="43">
        <f>index!AU164</f>
        <v>0</v>
      </c>
      <c r="H163" s="6">
        <f>index!AV164</f>
        <v>0</v>
      </c>
      <c r="I163" s="44" t="e">
        <f>index!BN164</f>
        <v>#VALUE!</v>
      </c>
      <c r="J163" s="44">
        <f>index!BQ164</f>
        <v>0</v>
      </c>
      <c r="K163" s="44" t="e">
        <f>index!BS164</f>
        <v>#VALUE!</v>
      </c>
      <c r="L163" s="40">
        <f>index!BT164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 t="str">
        <f>index!AR165</f>
        <v/>
      </c>
      <c r="E164" s="31">
        <f>index!AS165</f>
        <v>0</v>
      </c>
      <c r="F164" s="31" t="e">
        <f>index!AT165</f>
        <v>#N/A</v>
      </c>
      <c r="G164" s="43">
        <f>index!AU165</f>
        <v>0</v>
      </c>
      <c r="H164" s="6">
        <f>index!AV165</f>
        <v>0</v>
      </c>
      <c r="I164" s="44" t="e">
        <f>index!BN165</f>
        <v>#VALUE!</v>
      </c>
      <c r="J164" s="44">
        <f>index!BQ165</f>
        <v>0</v>
      </c>
      <c r="K164" s="44" t="e">
        <f>index!BS165</f>
        <v>#VALUE!</v>
      </c>
      <c r="L164" s="40">
        <f>index!BT165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 t="str">
        <f>index!AR166</f>
        <v/>
      </c>
      <c r="E165" s="31">
        <f>index!AS166</f>
        <v>0</v>
      </c>
      <c r="F165" s="31" t="e">
        <f>index!AT166</f>
        <v>#N/A</v>
      </c>
      <c r="G165" s="43">
        <f>index!AU166</f>
        <v>0</v>
      </c>
      <c r="H165" s="6">
        <f>index!AV166</f>
        <v>0</v>
      </c>
      <c r="I165" s="44" t="e">
        <f>index!BN166</f>
        <v>#VALUE!</v>
      </c>
      <c r="J165" s="44">
        <f>index!BQ166</f>
        <v>0</v>
      </c>
      <c r="K165" s="44" t="e">
        <f>index!BS166</f>
        <v>#VALUE!</v>
      </c>
      <c r="L165" s="40">
        <f>index!BT166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 t="str">
        <f>index!AR167</f>
        <v/>
      </c>
      <c r="E166" s="31">
        <f>index!AS167</f>
        <v>0</v>
      </c>
      <c r="F166" s="31" t="e">
        <f>index!AT167</f>
        <v>#N/A</v>
      </c>
      <c r="G166" s="43">
        <f>index!AU167</f>
        <v>0</v>
      </c>
      <c r="H166" s="6">
        <f>index!AV167</f>
        <v>0</v>
      </c>
      <c r="I166" s="44" t="e">
        <f>index!BN167</f>
        <v>#VALUE!</v>
      </c>
      <c r="J166" s="44">
        <f>index!BQ167</f>
        <v>0</v>
      </c>
      <c r="K166" s="44" t="e">
        <f>index!BS167</f>
        <v>#VALUE!</v>
      </c>
      <c r="L166" s="40">
        <f>index!BT167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 t="str">
        <f>index!AR168</f>
        <v/>
      </c>
      <c r="E167" s="31">
        <f>index!AS168</f>
        <v>0</v>
      </c>
      <c r="F167" s="31" t="e">
        <f>index!AT168</f>
        <v>#N/A</v>
      </c>
      <c r="G167" s="43">
        <f>index!AU168</f>
        <v>0</v>
      </c>
      <c r="H167" s="6">
        <f>index!AV168</f>
        <v>0</v>
      </c>
      <c r="I167" s="44" t="e">
        <f>index!BN168</f>
        <v>#VALUE!</v>
      </c>
      <c r="J167" s="44">
        <f>index!BQ168</f>
        <v>0</v>
      </c>
      <c r="K167" s="44" t="e">
        <f>index!BS168</f>
        <v>#VALUE!</v>
      </c>
      <c r="L167" s="40">
        <f>index!BT168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 t="str">
        <f>index!AR169</f>
        <v/>
      </c>
      <c r="E168" s="31">
        <f>index!AS169</f>
        <v>0</v>
      </c>
      <c r="F168" s="31" t="e">
        <f>index!AT169</f>
        <v>#N/A</v>
      </c>
      <c r="G168" s="43">
        <f>index!AU169</f>
        <v>0</v>
      </c>
      <c r="H168" s="6">
        <f>index!AV169</f>
        <v>0</v>
      </c>
      <c r="I168" s="44" t="e">
        <f>index!BN169</f>
        <v>#VALUE!</v>
      </c>
      <c r="J168" s="44">
        <f>index!BQ169</f>
        <v>0</v>
      </c>
      <c r="K168" s="44" t="e">
        <f>index!BS169</f>
        <v>#VALUE!</v>
      </c>
      <c r="L168" s="40">
        <f>index!BT169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 t="str">
        <f>index!AR170</f>
        <v/>
      </c>
      <c r="E169" s="31">
        <f>index!AS170</f>
        <v>0</v>
      </c>
      <c r="F169" s="31" t="e">
        <f>index!AT170</f>
        <v>#N/A</v>
      </c>
      <c r="G169" s="43">
        <f>index!AU170</f>
        <v>0</v>
      </c>
      <c r="H169" s="6">
        <f>index!AV170</f>
        <v>0</v>
      </c>
      <c r="I169" s="44" t="e">
        <f>index!BN170</f>
        <v>#VALUE!</v>
      </c>
      <c r="J169" s="44">
        <f>index!BQ170</f>
        <v>0</v>
      </c>
      <c r="K169" s="44" t="e">
        <f>index!BS170</f>
        <v>#VALUE!</v>
      </c>
      <c r="L169" s="40">
        <f>index!BT170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 t="str">
        <f>index!AR171</f>
        <v/>
      </c>
      <c r="E170" s="31">
        <f>index!AS171</f>
        <v>0</v>
      </c>
      <c r="F170" s="31" t="e">
        <f>index!AT171</f>
        <v>#N/A</v>
      </c>
      <c r="G170" s="43">
        <f>index!AU171</f>
        <v>0</v>
      </c>
      <c r="H170" s="6">
        <f>index!AV171</f>
        <v>0</v>
      </c>
      <c r="I170" s="44" t="e">
        <f>index!BN171</f>
        <v>#VALUE!</v>
      </c>
      <c r="J170" s="44">
        <f>index!BQ171</f>
        <v>0</v>
      </c>
      <c r="K170" s="44" t="e">
        <f>index!BS171</f>
        <v>#VALUE!</v>
      </c>
      <c r="L170" s="40">
        <f>index!BT171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 t="str">
        <f>index!AR172</f>
        <v/>
      </c>
      <c r="E171" s="31">
        <f>index!AS172</f>
        <v>0</v>
      </c>
      <c r="F171" s="31" t="e">
        <f>index!AT172</f>
        <v>#N/A</v>
      </c>
      <c r="G171" s="43">
        <f>index!AU172</f>
        <v>0</v>
      </c>
      <c r="H171" s="6">
        <f>index!AV172</f>
        <v>0</v>
      </c>
      <c r="I171" s="44" t="e">
        <f>index!BN172</f>
        <v>#VALUE!</v>
      </c>
      <c r="J171" s="44">
        <f>index!BQ172</f>
        <v>0</v>
      </c>
      <c r="K171" s="44" t="e">
        <f>index!BS172</f>
        <v>#VALUE!</v>
      </c>
      <c r="L171" s="40">
        <f>index!BT172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 t="str">
        <f>index!AR173</f>
        <v/>
      </c>
      <c r="E172" s="31">
        <f>index!AS173</f>
        <v>0</v>
      </c>
      <c r="F172" s="31" t="e">
        <f>index!AT173</f>
        <v>#N/A</v>
      </c>
      <c r="G172" s="43">
        <f>index!AU173</f>
        <v>0</v>
      </c>
      <c r="H172" s="6">
        <f>index!AV173</f>
        <v>0</v>
      </c>
      <c r="I172" s="44" t="e">
        <f>index!BN173</f>
        <v>#VALUE!</v>
      </c>
      <c r="J172" s="44">
        <f>index!BQ173</f>
        <v>0</v>
      </c>
      <c r="K172" s="44" t="e">
        <f>index!BS173</f>
        <v>#VALUE!</v>
      </c>
      <c r="L172" s="40">
        <f>index!BT173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 t="str">
        <f>index!AR174</f>
        <v/>
      </c>
      <c r="E173" s="31">
        <f>index!AS174</f>
        <v>0</v>
      </c>
      <c r="F173" s="31" t="e">
        <f>index!AT174</f>
        <v>#N/A</v>
      </c>
      <c r="G173" s="43">
        <f>index!AU174</f>
        <v>0</v>
      </c>
      <c r="H173" s="6">
        <f>index!AV174</f>
        <v>0</v>
      </c>
      <c r="I173" s="44" t="e">
        <f>index!BN174</f>
        <v>#VALUE!</v>
      </c>
      <c r="J173" s="44">
        <f>index!BQ174</f>
        <v>0</v>
      </c>
      <c r="K173" s="44" t="e">
        <f>index!BS174</f>
        <v>#VALUE!</v>
      </c>
      <c r="L173" s="40">
        <f>index!BT174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 t="str">
        <f>index!AR175</f>
        <v/>
      </c>
      <c r="E174" s="31">
        <f>index!AS175</f>
        <v>0</v>
      </c>
      <c r="F174" s="31" t="e">
        <f>index!AT175</f>
        <v>#N/A</v>
      </c>
      <c r="G174" s="43">
        <f>index!AU175</f>
        <v>0</v>
      </c>
      <c r="H174" s="6">
        <f>index!AV175</f>
        <v>0</v>
      </c>
      <c r="I174" s="44" t="e">
        <f>index!BN175</f>
        <v>#VALUE!</v>
      </c>
      <c r="J174" s="44">
        <f>index!BQ175</f>
        <v>0</v>
      </c>
      <c r="K174" s="44" t="e">
        <f>index!BS175</f>
        <v>#VALUE!</v>
      </c>
      <c r="L174" s="40">
        <f>index!BT175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 t="str">
        <f>index!AR176</f>
        <v/>
      </c>
      <c r="E175" s="31">
        <f>index!AS176</f>
        <v>0</v>
      </c>
      <c r="F175" s="31" t="e">
        <f>index!AT176</f>
        <v>#N/A</v>
      </c>
      <c r="G175" s="43">
        <f>index!AU176</f>
        <v>0</v>
      </c>
      <c r="H175" s="6">
        <f>index!AV176</f>
        <v>0</v>
      </c>
      <c r="I175" s="44" t="e">
        <f>index!BN176</f>
        <v>#VALUE!</v>
      </c>
      <c r="J175" s="44">
        <f>index!BQ176</f>
        <v>0</v>
      </c>
      <c r="K175" s="44" t="e">
        <f>index!BS176</f>
        <v>#VALUE!</v>
      </c>
      <c r="L175" s="40">
        <f>index!BT176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 t="str">
        <f>index!AR177</f>
        <v/>
      </c>
      <c r="E176" s="31">
        <f>index!AS177</f>
        <v>0</v>
      </c>
      <c r="F176" s="31" t="e">
        <f>index!AT177</f>
        <v>#N/A</v>
      </c>
      <c r="G176" s="43">
        <f>index!AU177</f>
        <v>0</v>
      </c>
      <c r="H176" s="6">
        <f>index!AV177</f>
        <v>0</v>
      </c>
      <c r="I176" s="44" t="e">
        <f>index!BN177</f>
        <v>#VALUE!</v>
      </c>
      <c r="J176" s="44">
        <f>index!BQ177</f>
        <v>0</v>
      </c>
      <c r="K176" s="44" t="e">
        <f>index!BS177</f>
        <v>#VALUE!</v>
      </c>
      <c r="L176" s="40">
        <f>index!BT177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 t="str">
        <f>index!AR178</f>
        <v/>
      </c>
      <c r="E177" s="31">
        <f>index!AS178</f>
        <v>0</v>
      </c>
      <c r="F177" s="31" t="e">
        <f>index!AT178</f>
        <v>#N/A</v>
      </c>
      <c r="G177" s="43">
        <f>index!AU178</f>
        <v>0</v>
      </c>
      <c r="H177" s="6">
        <f>index!AV178</f>
        <v>0</v>
      </c>
      <c r="I177" s="44" t="e">
        <f>index!BN178</f>
        <v>#VALUE!</v>
      </c>
      <c r="J177" s="44">
        <f>index!BQ178</f>
        <v>0</v>
      </c>
      <c r="K177" s="44" t="e">
        <f>index!BS178</f>
        <v>#VALUE!</v>
      </c>
      <c r="L177" s="40">
        <f>index!BT178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 t="str">
        <f>index!AR179</f>
        <v/>
      </c>
      <c r="E178" s="31">
        <f>index!AS179</f>
        <v>0</v>
      </c>
      <c r="F178" s="31" t="e">
        <f>index!AT179</f>
        <v>#N/A</v>
      </c>
      <c r="G178" s="43">
        <f>index!AU179</f>
        <v>0</v>
      </c>
      <c r="H178" s="6">
        <f>index!AV179</f>
        <v>0</v>
      </c>
      <c r="I178" s="44" t="e">
        <f>index!BN179</f>
        <v>#VALUE!</v>
      </c>
      <c r="J178" s="44">
        <f>index!BQ179</f>
        <v>0</v>
      </c>
      <c r="K178" s="44" t="e">
        <f>index!BS179</f>
        <v>#VALUE!</v>
      </c>
      <c r="L178" s="40">
        <f>index!BT179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 t="str">
        <f>index!AR180</f>
        <v/>
      </c>
      <c r="E179" s="31">
        <f>index!AS180</f>
        <v>0</v>
      </c>
      <c r="F179" s="31" t="e">
        <f>index!AT180</f>
        <v>#N/A</v>
      </c>
      <c r="G179" s="43">
        <f>index!AU180</f>
        <v>0</v>
      </c>
      <c r="H179" s="6">
        <f>index!AV180</f>
        <v>0</v>
      </c>
      <c r="I179" s="44" t="e">
        <f>index!BN180</f>
        <v>#VALUE!</v>
      </c>
      <c r="J179" s="44">
        <f>index!BQ180</f>
        <v>0</v>
      </c>
      <c r="K179" s="44" t="e">
        <f>index!BS180</f>
        <v>#VALUE!</v>
      </c>
      <c r="L179" s="40">
        <f>index!BT180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 t="str">
        <f>index!AR181</f>
        <v/>
      </c>
      <c r="E180" s="31">
        <f>index!AS181</f>
        <v>0</v>
      </c>
      <c r="F180" s="31" t="e">
        <f>index!AT181</f>
        <v>#N/A</v>
      </c>
      <c r="G180" s="43">
        <f>index!AU181</f>
        <v>0</v>
      </c>
      <c r="H180" s="6">
        <f>index!AV181</f>
        <v>0</v>
      </c>
      <c r="I180" s="44" t="e">
        <f>index!BN181</f>
        <v>#VALUE!</v>
      </c>
      <c r="J180" s="44">
        <f>index!BQ181</f>
        <v>0</v>
      </c>
      <c r="K180" s="44" t="e">
        <f>index!BS181</f>
        <v>#VALUE!</v>
      </c>
      <c r="L180" s="40">
        <f>index!BT181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 t="str">
        <f>index!AR182</f>
        <v/>
      </c>
      <c r="E181" s="31">
        <f>index!AS182</f>
        <v>0</v>
      </c>
      <c r="F181" s="31" t="e">
        <f>index!AT182</f>
        <v>#N/A</v>
      </c>
      <c r="G181" s="43">
        <f>index!AU182</f>
        <v>0</v>
      </c>
      <c r="H181" s="6">
        <f>index!AV182</f>
        <v>0</v>
      </c>
      <c r="I181" s="44" t="e">
        <f>index!BN182</f>
        <v>#VALUE!</v>
      </c>
      <c r="J181" s="44">
        <f>index!BQ182</f>
        <v>0</v>
      </c>
      <c r="K181" s="44" t="e">
        <f>index!BS182</f>
        <v>#VALUE!</v>
      </c>
      <c r="L181" s="40">
        <f>index!BT182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 t="str">
        <f>index!AR183</f>
        <v/>
      </c>
      <c r="E182" s="31">
        <f>index!AS183</f>
        <v>0</v>
      </c>
      <c r="F182" s="31" t="e">
        <f>index!AT183</f>
        <v>#N/A</v>
      </c>
      <c r="G182" s="43">
        <f>index!AU183</f>
        <v>0</v>
      </c>
      <c r="H182" s="6">
        <f>index!AV183</f>
        <v>0</v>
      </c>
      <c r="I182" s="44" t="e">
        <f>index!BN183</f>
        <v>#VALUE!</v>
      </c>
      <c r="J182" s="44">
        <f>index!BQ183</f>
        <v>0</v>
      </c>
      <c r="K182" s="44" t="e">
        <f>index!BS183</f>
        <v>#VALUE!</v>
      </c>
      <c r="L182" s="40">
        <f>index!BT183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 t="str">
        <f>index!AR184</f>
        <v/>
      </c>
      <c r="E183" s="31">
        <f>index!AS184</f>
        <v>0</v>
      </c>
      <c r="F183" s="31" t="e">
        <f>index!AT184</f>
        <v>#N/A</v>
      </c>
      <c r="G183" s="43">
        <f>index!AU184</f>
        <v>0</v>
      </c>
      <c r="H183" s="6">
        <f>index!AV184</f>
        <v>0</v>
      </c>
      <c r="I183" s="44" t="e">
        <f>index!BN184</f>
        <v>#VALUE!</v>
      </c>
      <c r="J183" s="44">
        <f>index!BQ184</f>
        <v>0</v>
      </c>
      <c r="K183" s="44" t="e">
        <f>index!BS184</f>
        <v>#VALUE!</v>
      </c>
      <c r="L183" s="40">
        <f>index!BT184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 t="str">
        <f>index!AR185</f>
        <v/>
      </c>
      <c r="E184" s="31">
        <f>index!AS185</f>
        <v>0</v>
      </c>
      <c r="F184" s="31" t="e">
        <f>index!AT185</f>
        <v>#N/A</v>
      </c>
      <c r="G184" s="43">
        <f>index!AU185</f>
        <v>0</v>
      </c>
      <c r="H184" s="6">
        <f>index!AV185</f>
        <v>0</v>
      </c>
      <c r="I184" s="44" t="e">
        <f>index!BN185</f>
        <v>#VALUE!</v>
      </c>
      <c r="J184" s="44">
        <f>index!BQ185</f>
        <v>0</v>
      </c>
      <c r="K184" s="44" t="e">
        <f>index!BS185</f>
        <v>#VALUE!</v>
      </c>
      <c r="L184" s="40">
        <f>index!BT185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 t="str">
        <f>index!AR186</f>
        <v/>
      </c>
      <c r="E185" s="31">
        <f>index!AS186</f>
        <v>0</v>
      </c>
      <c r="F185" s="31" t="e">
        <f>index!AT186</f>
        <v>#N/A</v>
      </c>
      <c r="G185" s="43">
        <f>index!AU186</f>
        <v>0</v>
      </c>
      <c r="H185" s="6">
        <f>index!AV186</f>
        <v>0</v>
      </c>
      <c r="I185" s="44" t="e">
        <f>index!BN186</f>
        <v>#VALUE!</v>
      </c>
      <c r="J185" s="44">
        <f>index!BQ186</f>
        <v>0</v>
      </c>
      <c r="K185" s="44" t="e">
        <f>index!BS186</f>
        <v>#VALUE!</v>
      </c>
      <c r="L185" s="40">
        <f>index!BT186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 t="str">
        <f>index!AR187</f>
        <v/>
      </c>
      <c r="E186" s="31">
        <f>index!AS187</f>
        <v>0</v>
      </c>
      <c r="F186" s="31" t="e">
        <f>index!AT187</f>
        <v>#N/A</v>
      </c>
      <c r="G186" s="43">
        <f>index!AU187</f>
        <v>0</v>
      </c>
      <c r="H186" s="6">
        <f>index!AV187</f>
        <v>0</v>
      </c>
      <c r="I186" s="44" t="e">
        <f>index!BN187</f>
        <v>#VALUE!</v>
      </c>
      <c r="J186" s="44">
        <f>index!BQ187</f>
        <v>0</v>
      </c>
      <c r="K186" s="44" t="e">
        <f>index!BS187</f>
        <v>#VALUE!</v>
      </c>
      <c r="L186" s="40">
        <f>index!BT187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 t="str">
        <f>index!AR188</f>
        <v/>
      </c>
      <c r="E187" s="31">
        <f>index!AS188</f>
        <v>0</v>
      </c>
      <c r="F187" s="31" t="e">
        <f>index!AT188</f>
        <v>#N/A</v>
      </c>
      <c r="G187" s="43">
        <f>index!AU188</f>
        <v>0</v>
      </c>
      <c r="H187" s="6">
        <f>index!AV188</f>
        <v>0</v>
      </c>
      <c r="I187" s="44" t="e">
        <f>index!BN188</f>
        <v>#VALUE!</v>
      </c>
      <c r="J187" s="44">
        <f>index!BQ188</f>
        <v>0</v>
      </c>
      <c r="K187" s="44" t="e">
        <f>index!BS188</f>
        <v>#VALUE!</v>
      </c>
      <c r="L187" s="40">
        <f>index!BT188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 t="str">
        <f>index!AR189</f>
        <v/>
      </c>
      <c r="E188" s="31">
        <f>index!AS189</f>
        <v>0</v>
      </c>
      <c r="F188" s="31" t="e">
        <f>index!AT189</f>
        <v>#N/A</v>
      </c>
      <c r="G188" s="43">
        <f>index!AU189</f>
        <v>0</v>
      </c>
      <c r="H188" s="6">
        <f>index!AV189</f>
        <v>0</v>
      </c>
      <c r="I188" s="44" t="e">
        <f>index!BN189</f>
        <v>#VALUE!</v>
      </c>
      <c r="J188" s="44">
        <f>index!BQ189</f>
        <v>0</v>
      </c>
      <c r="K188" s="44" t="e">
        <f>index!BS189</f>
        <v>#VALUE!</v>
      </c>
      <c r="L188" s="40">
        <f>index!BT189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 t="str">
        <f>index!AR190</f>
        <v/>
      </c>
      <c r="E189" s="31">
        <f>index!AS190</f>
        <v>0</v>
      </c>
      <c r="F189" s="31" t="e">
        <f>index!AT190</f>
        <v>#N/A</v>
      </c>
      <c r="G189" s="43">
        <f>index!AU190</f>
        <v>0</v>
      </c>
      <c r="H189" s="6">
        <f>index!AV190</f>
        <v>0</v>
      </c>
      <c r="I189" s="44" t="e">
        <f>index!BN190</f>
        <v>#VALUE!</v>
      </c>
      <c r="J189" s="44">
        <f>index!BQ190</f>
        <v>0</v>
      </c>
      <c r="K189" s="44" t="e">
        <f>index!BS190</f>
        <v>#VALUE!</v>
      </c>
      <c r="L189" s="40">
        <f>index!BT190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index!BN191</f>
        <v>#VALUE!</v>
      </c>
      <c r="J190" s="44">
        <f>index!BQ191</f>
        <v>0</v>
      </c>
      <c r="K190" s="44" t="e">
        <f>index!BS191</f>
        <v>#VALUE!</v>
      </c>
      <c r="L190" s="40">
        <f>index!BT191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index!BN192</f>
        <v>#VALUE!</v>
      </c>
      <c r="J191" s="44">
        <f>index!BQ192</f>
        <v>0</v>
      </c>
      <c r="K191" s="44" t="e">
        <f>index!BS192</f>
        <v>#VALUE!</v>
      </c>
      <c r="L191" s="40">
        <f>index!BT192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index!BN193</f>
        <v>#VALUE!</v>
      </c>
      <c r="J192" s="44">
        <f>index!BQ193</f>
        <v>0</v>
      </c>
      <c r="K192" s="44" t="e">
        <f>index!BS193</f>
        <v>#VALUE!</v>
      </c>
      <c r="L192" s="40">
        <f>index!BT193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index!BN194</f>
        <v>#VALUE!</v>
      </c>
      <c r="J193" s="44">
        <f>index!BQ194</f>
        <v>0</v>
      </c>
      <c r="K193" s="44" t="e">
        <f>index!BS194</f>
        <v>#VALUE!</v>
      </c>
      <c r="L193" s="40">
        <f>index!BT194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index!BN195</f>
        <v>#VALUE!</v>
      </c>
      <c r="J194" s="44">
        <f>index!BQ195</f>
        <v>0</v>
      </c>
      <c r="K194" s="44" t="e">
        <f>index!BS195</f>
        <v>#VALUE!</v>
      </c>
      <c r="L194" s="40">
        <f>index!BT195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index!BN196</f>
        <v>#VALUE!</v>
      </c>
      <c r="J195" s="44">
        <f>index!BQ196</f>
        <v>0</v>
      </c>
      <c r="K195" s="44" t="e">
        <f>index!BS196</f>
        <v>#VALUE!</v>
      </c>
      <c r="L195" s="40">
        <f>index!BT196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index!BN197</f>
        <v>#VALUE!</v>
      </c>
      <c r="J196" s="44">
        <f>index!BQ197</f>
        <v>0</v>
      </c>
      <c r="K196" s="44" t="e">
        <f>index!BS197</f>
        <v>#VALUE!</v>
      </c>
      <c r="L196" s="40">
        <f>index!BT197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index!BN198</f>
        <v>#VALUE!</v>
      </c>
      <c r="J197" s="44">
        <f>index!BQ198</f>
        <v>0</v>
      </c>
      <c r="K197" s="44" t="e">
        <f>index!BS198</f>
        <v>#VALUE!</v>
      </c>
      <c r="L197" s="40">
        <f>index!BT198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index!BN199</f>
        <v>#VALUE!</v>
      </c>
      <c r="J198" s="44">
        <f>index!BQ199</f>
        <v>0</v>
      </c>
      <c r="K198" s="44" t="e">
        <f>index!BS199</f>
        <v>#VALUE!</v>
      </c>
      <c r="L198" s="40">
        <f>index!BT199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index!BN200</f>
        <v>#VALUE!</v>
      </c>
      <c r="J199" s="44">
        <f>index!BQ200</f>
        <v>0</v>
      </c>
      <c r="K199" s="44" t="e">
        <f>index!BS200</f>
        <v>#VALUE!</v>
      </c>
      <c r="L199" s="40">
        <f>index!BT200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index!BN201</f>
        <v>#VALUE!</v>
      </c>
      <c r="J200" s="44">
        <f>index!BQ201</f>
        <v>0</v>
      </c>
      <c r="K200" s="44" t="e">
        <f>index!BS201</f>
        <v>#VALUE!</v>
      </c>
      <c r="L200" s="40">
        <f>index!BT201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index!BN202</f>
        <v>#VALUE!</v>
      </c>
      <c r="J201" s="44">
        <f>index!BQ202</f>
        <v>0</v>
      </c>
      <c r="K201" s="44" t="e">
        <f>index!BS202</f>
        <v>#VALUE!</v>
      </c>
      <c r="L201" s="40">
        <f>index!BT202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index!BN203</f>
        <v>#VALUE!</v>
      </c>
      <c r="J202" s="44">
        <f>index!BQ203</f>
        <v>0</v>
      </c>
      <c r="K202" s="44" t="e">
        <f>index!BS203</f>
        <v>#VALUE!</v>
      </c>
      <c r="L202" s="40">
        <f>index!BT203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index!BN204</f>
        <v>#VALUE!</v>
      </c>
      <c r="J203" s="44">
        <f>index!BQ204</f>
        <v>0</v>
      </c>
      <c r="K203" s="44" t="e">
        <f>index!BS204</f>
        <v>#VALUE!</v>
      </c>
      <c r="L203" s="40">
        <f>index!BT204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index!BN205</f>
        <v>#VALUE!</v>
      </c>
      <c r="J204" s="44">
        <f>index!BQ205</f>
        <v>0</v>
      </c>
      <c r="K204" s="44" t="e">
        <f>index!BS205</f>
        <v>#VALUE!</v>
      </c>
      <c r="L204" s="40">
        <f>index!BT205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index!BN206</f>
        <v>#VALUE!</v>
      </c>
      <c r="J205" s="44">
        <f>index!BQ206</f>
        <v>0</v>
      </c>
      <c r="K205" s="44" t="e">
        <f>index!BS206</f>
        <v>#VALUE!</v>
      </c>
      <c r="L205" s="40">
        <f>index!BT206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index!BN207</f>
        <v>#VALUE!</v>
      </c>
      <c r="J206" s="44">
        <f>index!BQ207</f>
        <v>0</v>
      </c>
      <c r="K206" s="44" t="e">
        <f>index!BS207</f>
        <v>#VALUE!</v>
      </c>
      <c r="L206" s="40">
        <f>index!BT207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index!BN208</f>
        <v>#VALUE!</v>
      </c>
      <c r="J207" s="44">
        <f>index!BQ208</f>
        <v>0</v>
      </c>
      <c r="K207" s="44" t="e">
        <f>index!BS208</f>
        <v>#VALUE!</v>
      </c>
      <c r="L207" s="40">
        <f>index!BT208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index!BN209</f>
        <v>#VALUE!</v>
      </c>
      <c r="J208" s="44">
        <f>index!BQ209</f>
        <v>0</v>
      </c>
      <c r="K208" s="44" t="e">
        <f>index!BS209</f>
        <v>#VALUE!</v>
      </c>
      <c r="L208" s="40">
        <f>index!BT209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index!BN210</f>
        <v>#VALUE!</v>
      </c>
      <c r="J209" s="44">
        <f>index!BQ210</f>
        <v>0</v>
      </c>
      <c r="K209" s="44" t="e">
        <f>index!BS210</f>
        <v>#VALUE!</v>
      </c>
      <c r="L209" s="40">
        <f>index!BT210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index!BN211</f>
        <v>#VALUE!</v>
      </c>
      <c r="J210" s="44">
        <f>index!BQ211</f>
        <v>0</v>
      </c>
      <c r="K210" s="44" t="e">
        <f>index!BS211</f>
        <v>#VALUE!</v>
      </c>
      <c r="L210" s="40">
        <f>index!BT211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index!BN212</f>
        <v>#VALUE!</v>
      </c>
      <c r="J211" s="44">
        <f>index!BQ212</f>
        <v>0</v>
      </c>
      <c r="K211" s="44" t="e">
        <f>index!BS212</f>
        <v>#VALUE!</v>
      </c>
      <c r="L211" s="40">
        <f>index!BT212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index!BN213</f>
        <v>#VALUE!</v>
      </c>
      <c r="J212" s="44">
        <f>index!BQ213</f>
        <v>0</v>
      </c>
      <c r="K212" s="44" t="e">
        <f>index!BS213</f>
        <v>#VALUE!</v>
      </c>
      <c r="L212" s="40">
        <f>index!BT213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index!BN214</f>
        <v>#VALUE!</v>
      </c>
      <c r="J213" s="44">
        <f>index!BQ214</f>
        <v>0</v>
      </c>
      <c r="K213" s="44" t="e">
        <f>index!BS214</f>
        <v>#VALUE!</v>
      </c>
      <c r="L213" s="40">
        <f>index!BT214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index!BN215</f>
        <v>#VALUE!</v>
      </c>
      <c r="J214" s="44">
        <f>index!BQ215</f>
        <v>0</v>
      </c>
      <c r="K214" s="44" t="e">
        <f>index!BS215</f>
        <v>#VALUE!</v>
      </c>
      <c r="L214" s="40">
        <f>index!BT215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index!BN216</f>
        <v>#VALUE!</v>
      </c>
      <c r="J215" s="44">
        <f>index!BQ216</f>
        <v>0</v>
      </c>
      <c r="K215" s="44" t="e">
        <f>index!BS216</f>
        <v>#VALUE!</v>
      </c>
      <c r="L215" s="40">
        <f>index!BT216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index!BN217</f>
        <v>#VALUE!</v>
      </c>
      <c r="J216" s="44">
        <f>index!BQ217</f>
        <v>0</v>
      </c>
      <c r="K216" s="44" t="e">
        <f>index!BS217</f>
        <v>#VALUE!</v>
      </c>
      <c r="L216" s="40">
        <f>index!BT217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index!BN218</f>
        <v>#VALUE!</v>
      </c>
      <c r="J217" s="44">
        <f>index!BQ218</f>
        <v>0</v>
      </c>
      <c r="K217" s="44" t="e">
        <f>index!BS218</f>
        <v>#VALUE!</v>
      </c>
      <c r="L217" s="40">
        <f>index!BT218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index!BN219</f>
        <v>#VALUE!</v>
      </c>
      <c r="J218" s="44">
        <f>index!BQ219</f>
        <v>0</v>
      </c>
      <c r="K218" s="44" t="e">
        <f>index!BS219</f>
        <v>#VALUE!</v>
      </c>
      <c r="L218" s="40">
        <f>index!BT219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index!BN220</f>
        <v>#VALUE!</v>
      </c>
      <c r="J219" s="44">
        <f>index!BQ220</f>
        <v>0</v>
      </c>
      <c r="K219" s="44" t="e">
        <f>index!BS220</f>
        <v>#VALUE!</v>
      </c>
      <c r="L219" s="40">
        <f>index!BT220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index!BN221</f>
        <v>#VALUE!</v>
      </c>
      <c r="J220" s="44">
        <f>index!BQ221</f>
        <v>0</v>
      </c>
      <c r="K220" s="44" t="e">
        <f>index!BS221</f>
        <v>#VALUE!</v>
      </c>
      <c r="L220" s="40">
        <f>index!BT221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index!BN222</f>
        <v>#VALUE!</v>
      </c>
      <c r="J221" s="44">
        <f>index!BQ222</f>
        <v>0</v>
      </c>
      <c r="K221" s="44" t="e">
        <f>index!BS222</f>
        <v>#VALUE!</v>
      </c>
      <c r="L221" s="40">
        <f>index!BT222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index!BN223</f>
        <v>#VALUE!</v>
      </c>
      <c r="J222" s="44">
        <f>index!BQ223</f>
        <v>0</v>
      </c>
      <c r="K222" s="44" t="e">
        <f>index!BS223</f>
        <v>#VALUE!</v>
      </c>
      <c r="L222" s="40">
        <f>index!BT223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index!BN224</f>
        <v>#VALUE!</v>
      </c>
      <c r="J223" s="44">
        <f>index!BQ224</f>
        <v>0</v>
      </c>
      <c r="K223" s="44" t="e">
        <f>index!BS224</f>
        <v>#VALUE!</v>
      </c>
      <c r="L223" s="40">
        <f>index!BT224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index!BN225</f>
        <v>#VALUE!</v>
      </c>
      <c r="J224" s="44">
        <f>index!BQ225</f>
        <v>0</v>
      </c>
      <c r="K224" s="44" t="e">
        <f>index!BS225</f>
        <v>#VALUE!</v>
      </c>
      <c r="L224" s="40">
        <f>index!BT225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index!BN226</f>
        <v>#VALUE!</v>
      </c>
      <c r="J225" s="44">
        <f>index!BQ226</f>
        <v>0</v>
      </c>
      <c r="K225" s="44" t="e">
        <f>index!BS226</f>
        <v>#VALUE!</v>
      </c>
      <c r="L225" s="40">
        <f>index!BT226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index!BN227</f>
        <v>#VALUE!</v>
      </c>
      <c r="J226" s="44">
        <f>index!BQ227</f>
        <v>0</v>
      </c>
      <c r="K226" s="44" t="e">
        <f>index!BS227</f>
        <v>#VALUE!</v>
      </c>
      <c r="L226" s="40">
        <f>index!BT227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index!BN228</f>
        <v>#VALUE!</v>
      </c>
      <c r="J227" s="44">
        <f>index!BQ228</f>
        <v>0</v>
      </c>
      <c r="K227" s="44" t="e">
        <f>index!BS228</f>
        <v>#VALUE!</v>
      </c>
      <c r="L227" s="40">
        <f>index!BT228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index!BN229</f>
        <v>#VALUE!</v>
      </c>
      <c r="J228" s="44">
        <f>index!BQ229</f>
        <v>0</v>
      </c>
      <c r="K228" s="44" t="e">
        <f>index!BS229</f>
        <v>#VALUE!</v>
      </c>
      <c r="L228" s="40">
        <f>index!BT229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index!BN230</f>
        <v>#VALUE!</v>
      </c>
      <c r="J229" s="44">
        <f>index!BQ230</f>
        <v>0</v>
      </c>
      <c r="K229" s="44" t="e">
        <f>index!BS230</f>
        <v>#VALUE!</v>
      </c>
      <c r="L229" s="40">
        <f>index!BT230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index!BN231</f>
        <v>#VALUE!</v>
      </c>
      <c r="J230" s="44">
        <f>index!BQ231</f>
        <v>0</v>
      </c>
      <c r="K230" s="44" t="e">
        <f>index!BS231</f>
        <v>#VALUE!</v>
      </c>
      <c r="L230" s="40">
        <f>index!BT231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index!BN232</f>
        <v>#VALUE!</v>
      </c>
      <c r="J231" s="44">
        <f>index!BQ232</f>
        <v>0</v>
      </c>
      <c r="K231" s="44" t="e">
        <f>index!BS232</f>
        <v>#VALUE!</v>
      </c>
      <c r="L231" s="40">
        <f>index!BT232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index!BN233</f>
        <v>#VALUE!</v>
      </c>
      <c r="J232" s="44">
        <f>index!BQ233</f>
        <v>0</v>
      </c>
      <c r="K232" s="44" t="e">
        <f>index!BS233</f>
        <v>#VALUE!</v>
      </c>
      <c r="L232" s="40">
        <f>index!BT233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index!BN234</f>
        <v>#VALUE!</v>
      </c>
      <c r="J233" s="44">
        <f>index!BQ234</f>
        <v>0</v>
      </c>
      <c r="K233" s="44" t="e">
        <f>index!BS234</f>
        <v>#VALUE!</v>
      </c>
      <c r="L233" s="40">
        <f>index!BT234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index!BN235</f>
        <v>#VALUE!</v>
      </c>
      <c r="J234" s="44">
        <f>index!BQ235</f>
        <v>0</v>
      </c>
      <c r="K234" s="44" t="e">
        <f>index!BS235</f>
        <v>#VALUE!</v>
      </c>
      <c r="L234" s="40">
        <f>index!BT235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index!BN236</f>
        <v>#VALUE!</v>
      </c>
      <c r="J235" s="44">
        <f>index!BQ236</f>
        <v>0</v>
      </c>
      <c r="K235" s="44" t="e">
        <f>index!BS236</f>
        <v>#VALUE!</v>
      </c>
      <c r="L235" s="40">
        <f>index!BT236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index!BN237</f>
        <v>#VALUE!</v>
      </c>
      <c r="J236" s="44">
        <f>index!BQ237</f>
        <v>0</v>
      </c>
      <c r="K236" s="44" t="e">
        <f>index!BS237</f>
        <v>#VALUE!</v>
      </c>
      <c r="L236" s="40">
        <f>index!BT237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index!BN238</f>
        <v>#VALUE!</v>
      </c>
      <c r="J237" s="44">
        <f>index!BQ238</f>
        <v>0</v>
      </c>
      <c r="K237" s="44" t="e">
        <f>index!BS238</f>
        <v>#VALUE!</v>
      </c>
      <c r="L237" s="40">
        <f>index!BT238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index!BN239</f>
        <v>#VALUE!</v>
      </c>
      <c r="J238" s="44">
        <f>index!BQ239</f>
        <v>0</v>
      </c>
      <c r="K238" s="44" t="e">
        <f>index!BS239</f>
        <v>#VALUE!</v>
      </c>
      <c r="L238" s="40">
        <f>index!BT239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index!BN240</f>
        <v>#VALUE!</v>
      </c>
      <c r="J239" s="44">
        <f>index!BQ240</f>
        <v>0</v>
      </c>
      <c r="K239" s="44" t="e">
        <f>index!BS240</f>
        <v>#VALUE!</v>
      </c>
      <c r="L239" s="40">
        <f>index!BT240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index!BN241</f>
        <v>#VALUE!</v>
      </c>
      <c r="J240" s="44">
        <f>index!BQ241</f>
        <v>0</v>
      </c>
      <c r="K240" s="44" t="e">
        <f>index!BS241</f>
        <v>#VALUE!</v>
      </c>
      <c r="L240" s="40">
        <f>index!BT241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index!BN242</f>
        <v>#VALUE!</v>
      </c>
      <c r="J241" s="44">
        <f>index!BQ242</f>
        <v>0</v>
      </c>
      <c r="K241" s="44" t="e">
        <f>index!BS242</f>
        <v>#VALUE!</v>
      </c>
      <c r="L241" s="40">
        <f>index!BT242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index!BN243</f>
        <v>#VALUE!</v>
      </c>
      <c r="J242" s="44">
        <f>index!BQ243</f>
        <v>0</v>
      </c>
      <c r="K242" s="44" t="e">
        <f>index!BS243</f>
        <v>#VALUE!</v>
      </c>
      <c r="L242" s="40">
        <f>index!BT243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index!BN244</f>
        <v>#VALUE!</v>
      </c>
      <c r="J243" s="44">
        <f>index!BQ244</f>
        <v>0</v>
      </c>
      <c r="K243" s="44" t="e">
        <f>index!BS244</f>
        <v>#VALUE!</v>
      </c>
      <c r="L243" s="40">
        <f>index!BT244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index!BN245</f>
        <v>#VALUE!</v>
      </c>
      <c r="J244" s="44">
        <f>index!BQ245</f>
        <v>0</v>
      </c>
      <c r="K244" s="44" t="e">
        <f>index!BS245</f>
        <v>#VALUE!</v>
      </c>
      <c r="L244" s="40">
        <f>index!BT245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index!BN246</f>
        <v>#VALUE!</v>
      </c>
      <c r="J245" s="44">
        <f>index!BQ246</f>
        <v>0</v>
      </c>
      <c r="K245" s="44" t="e">
        <f>index!BS246</f>
        <v>#VALUE!</v>
      </c>
      <c r="L245" s="40">
        <f>index!BT246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index!BN247</f>
        <v>#VALUE!</v>
      </c>
      <c r="J246" s="44">
        <f>index!BQ247</f>
        <v>0</v>
      </c>
      <c r="K246" s="44" t="e">
        <f>index!BS247</f>
        <v>#VALUE!</v>
      </c>
      <c r="L246" s="40">
        <f>index!BT247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index!BN248</f>
        <v>#VALUE!</v>
      </c>
      <c r="J247" s="44">
        <f>index!BQ248</f>
        <v>0</v>
      </c>
      <c r="K247" s="44" t="e">
        <f>index!BS248</f>
        <v>#VALUE!</v>
      </c>
      <c r="L247" s="40">
        <f>index!BT248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index!BN249</f>
        <v>#VALUE!</v>
      </c>
      <c r="J248" s="44">
        <f>index!BQ249</f>
        <v>0</v>
      </c>
      <c r="K248" s="44" t="e">
        <f>index!BS249</f>
        <v>#VALUE!</v>
      </c>
      <c r="L248" s="40">
        <f>index!BT249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index!BN250</f>
        <v>#VALUE!</v>
      </c>
      <c r="J249" s="44">
        <f>index!BQ250</f>
        <v>0</v>
      </c>
      <c r="K249" s="44" t="e">
        <f>index!BS250</f>
        <v>#VALUE!</v>
      </c>
      <c r="L249" s="40">
        <f>index!BT250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index!BN251</f>
        <v>#VALUE!</v>
      </c>
      <c r="J250" s="44">
        <f>index!BQ251</f>
        <v>0</v>
      </c>
      <c r="K250" s="44" t="e">
        <f>index!BS251</f>
        <v>#VALUE!</v>
      </c>
      <c r="L250" s="40">
        <f>index!BT251</f>
        <v>0</v>
      </c>
    </row>
  </sheetData>
  <conditionalFormatting sqref="E2:E250">
    <cfRule type="duplicateValues" dxfId="13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index!AG12</f>
        <v>50</v>
      </c>
      <c r="D2">
        <f>index!AH12</f>
        <v>750000</v>
      </c>
      <c r="E2">
        <f>index!AI12</f>
        <v>375000</v>
      </c>
      <c r="F2">
        <f>index!AJ12</f>
        <v>50</v>
      </c>
      <c r="G2">
        <f>index!AK12</f>
        <v>0</v>
      </c>
      <c r="H2">
        <f>index!AL12</f>
        <v>50</v>
      </c>
    </row>
    <row r="3" spans="1:8" x14ac:dyDescent="0.35">
      <c r="A3" t="s">
        <v>61</v>
      </c>
      <c r="B3" t="s">
        <v>54</v>
      </c>
      <c r="C3">
        <f>index!AG13</f>
        <v>50</v>
      </c>
      <c r="D3">
        <f>index!AH13</f>
        <v>750000</v>
      </c>
      <c r="E3">
        <f>index!AI13</f>
        <v>375000</v>
      </c>
      <c r="F3">
        <f>index!AJ13</f>
        <v>50</v>
      </c>
      <c r="G3">
        <f>index!AK13</f>
        <v>0</v>
      </c>
      <c r="H3">
        <f>index!AL13</f>
        <v>50</v>
      </c>
    </row>
    <row r="4" spans="1:8" x14ac:dyDescent="0.35">
      <c r="A4" t="s">
        <v>62</v>
      </c>
      <c r="B4" t="s">
        <v>41</v>
      </c>
      <c r="C4">
        <f>index!AG14</f>
        <v>50</v>
      </c>
      <c r="D4">
        <f>index!AH14</f>
        <v>750000</v>
      </c>
      <c r="E4">
        <f>index!AI14</f>
        <v>750000</v>
      </c>
      <c r="F4">
        <f>index!AJ14</f>
        <v>50</v>
      </c>
      <c r="G4">
        <f>index!AK14</f>
        <v>0</v>
      </c>
      <c r="H4">
        <f>index!AL14</f>
        <v>50</v>
      </c>
    </row>
    <row r="5" spans="1:8" x14ac:dyDescent="0.35">
      <c r="A5" t="s">
        <v>63</v>
      </c>
      <c r="B5" t="s">
        <v>42</v>
      </c>
      <c r="C5">
        <f>index!AG15</f>
        <v>50</v>
      </c>
      <c r="D5">
        <f>index!AH15</f>
        <v>750000</v>
      </c>
      <c r="E5">
        <f>index!AI15</f>
        <v>375000</v>
      </c>
      <c r="F5">
        <f>index!AJ15</f>
        <v>50</v>
      </c>
      <c r="G5">
        <f>index!AK15</f>
        <v>0</v>
      </c>
      <c r="H5">
        <f>index!AL15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1875000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121</v>
      </c>
      <c r="F1" s="3" t="s">
        <v>70</v>
      </c>
      <c r="G1" s="3" t="s">
        <v>66</v>
      </c>
      <c r="H1" s="3" t="s">
        <v>83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index!BY3</f>
        <v>HIFI IM3</v>
      </c>
      <c r="C2" s="6">
        <f>index!BZ3</f>
        <v>1</v>
      </c>
      <c r="D2" s="6" t="str">
        <f>index!CA3</f>
        <v>085882767329</v>
      </c>
      <c r="E2" s="6" t="str">
        <f>index!CB3</f>
        <v>89620100002033537644</v>
      </c>
      <c r="F2" s="6" t="str">
        <f>index!CC3</f>
        <v>355806671137009</v>
      </c>
      <c r="G2" s="6" t="str">
        <f>index!CD3</f>
        <v>PARHAN</v>
      </c>
      <c r="H2" s="6">
        <f>index!CE3</f>
        <v>0</v>
      </c>
      <c r="I2" s="65">
        <f>index!CF3</f>
        <v>46185</v>
      </c>
      <c r="J2" s="65">
        <f>index!CG3</f>
        <v>0</v>
      </c>
      <c r="K2" s="6" t="str">
        <f>index!CH3</f>
        <v>ON HAND DSE</v>
      </c>
      <c r="L2" s="6">
        <f>index!CI3</f>
        <v>0</v>
      </c>
    </row>
    <row r="3" spans="1:12" x14ac:dyDescent="0.35">
      <c r="A3" s="4">
        <v>2</v>
      </c>
      <c r="B3" s="6" t="str">
        <f>index!BY4</f>
        <v>HIFI IM3</v>
      </c>
      <c r="C3" s="6">
        <f>index!BZ4</f>
        <v>1</v>
      </c>
      <c r="D3" s="6" t="str">
        <f>index!CA4</f>
        <v>085882767330</v>
      </c>
      <c r="E3" s="6" t="str">
        <f>index!CB4</f>
        <v>89620100002033537651</v>
      </c>
      <c r="F3" s="6" t="str">
        <f>index!CC4</f>
        <v>355806671137223</v>
      </c>
      <c r="G3" s="6" t="str">
        <f>index!CD4</f>
        <v>ANDI</v>
      </c>
      <c r="H3" s="6">
        <f>index!CE4</f>
        <v>0</v>
      </c>
      <c r="I3" s="65">
        <f>index!CF4</f>
        <v>46185</v>
      </c>
      <c r="J3" s="65">
        <f>index!CG4</f>
        <v>0</v>
      </c>
      <c r="K3" s="6" t="str">
        <f>index!CH4</f>
        <v>ON HAND DSE</v>
      </c>
      <c r="L3" s="6">
        <f>index!CI4</f>
        <v>0</v>
      </c>
    </row>
    <row r="4" spans="1:12" x14ac:dyDescent="0.35">
      <c r="A4" s="4">
        <v>3</v>
      </c>
      <c r="B4" s="6" t="str">
        <f>index!BY5</f>
        <v>HIFI IM3</v>
      </c>
      <c r="C4" s="6">
        <f>index!BZ5</f>
        <v>1</v>
      </c>
      <c r="D4" s="6" t="str">
        <f>index!CA5</f>
        <v>085882767331</v>
      </c>
      <c r="E4" s="6" t="str">
        <f>index!CB5</f>
        <v>89620100002033537652</v>
      </c>
      <c r="F4" s="6" t="str">
        <f>index!CC5</f>
        <v>355806671159425</v>
      </c>
      <c r="G4" s="6" t="str">
        <f>index!CD5</f>
        <v>ENDEN</v>
      </c>
      <c r="H4" s="6">
        <f>index!CE5</f>
        <v>0</v>
      </c>
      <c r="I4" s="65">
        <f>index!CF5</f>
        <v>46185</v>
      </c>
      <c r="J4" s="65">
        <f>index!CG5</f>
        <v>0</v>
      </c>
      <c r="K4" s="6" t="str">
        <f>index!CH5</f>
        <v>ON HAND DSE</v>
      </c>
      <c r="L4" s="6">
        <f>index!CI5</f>
        <v>0</v>
      </c>
    </row>
    <row r="5" spans="1:12" x14ac:dyDescent="0.35">
      <c r="A5" s="4">
        <v>4</v>
      </c>
      <c r="B5" s="6" t="str">
        <f>index!BY6</f>
        <v>HIFI IM3</v>
      </c>
      <c r="C5" s="6">
        <f>index!BZ6</f>
        <v>1</v>
      </c>
      <c r="D5" s="6" t="str">
        <f>index!CA6</f>
        <v>085882767332</v>
      </c>
      <c r="E5" s="6" t="str">
        <f>index!CB6</f>
        <v>89620100002033537677</v>
      </c>
      <c r="F5" s="6" t="str">
        <f>index!CC6</f>
        <v>355806671159581</v>
      </c>
      <c r="G5" s="6" t="str">
        <f>index!CD6</f>
        <v>PEBRIAN</v>
      </c>
      <c r="H5" s="6">
        <f>index!CE6</f>
        <v>0</v>
      </c>
      <c r="I5" s="65">
        <f>index!CF6</f>
        <v>46185</v>
      </c>
      <c r="J5" s="65">
        <f>index!CG6</f>
        <v>0</v>
      </c>
      <c r="K5" s="6" t="str">
        <f>index!CH6</f>
        <v>ON HAND DSE</v>
      </c>
      <c r="L5" s="6">
        <f>index!CI6</f>
        <v>0</v>
      </c>
    </row>
    <row r="6" spans="1:12" x14ac:dyDescent="0.35">
      <c r="A6" s="4">
        <v>5</v>
      </c>
      <c r="B6" s="6" t="str">
        <f>index!BY7</f>
        <v>HIFI IM3</v>
      </c>
      <c r="C6" s="6">
        <f>index!BZ7</f>
        <v>1</v>
      </c>
      <c r="D6" s="6" t="str">
        <f>index!CA7</f>
        <v>085882768254</v>
      </c>
      <c r="E6" s="6" t="str">
        <f>index!CB7</f>
        <v>89620100002033543817</v>
      </c>
      <c r="F6" s="6" t="str">
        <f>index!CC7</f>
        <v>355806671162734</v>
      </c>
      <c r="G6" s="6">
        <f>index!CD7</f>
        <v>0</v>
      </c>
      <c r="H6" s="6">
        <f>index!CE7</f>
        <v>0</v>
      </c>
      <c r="I6" s="65">
        <f>index!CF7</f>
        <v>0</v>
      </c>
      <c r="J6" s="65">
        <f>index!CG7</f>
        <v>0</v>
      </c>
      <c r="K6" s="6" t="str">
        <f>index!CH7</f>
        <v>STOK GUDANG</v>
      </c>
      <c r="L6" s="6">
        <f>index!CI7</f>
        <v>0</v>
      </c>
    </row>
    <row r="7" spans="1:12" x14ac:dyDescent="0.35">
      <c r="A7" s="4">
        <v>6</v>
      </c>
      <c r="B7" s="6" t="str">
        <f>index!BY8</f>
        <v>HIFI IM3</v>
      </c>
      <c r="C7" s="6">
        <f>index!BZ8</f>
        <v>1</v>
      </c>
      <c r="D7" s="6" t="str">
        <f>index!CA8</f>
        <v>085882768256</v>
      </c>
      <c r="E7" s="6" t="str">
        <f>index!CB8</f>
        <v>89620100002033543833</v>
      </c>
      <c r="F7" s="6" t="str">
        <f>index!CC8</f>
        <v>355806671166644</v>
      </c>
      <c r="G7" s="6">
        <f>index!CD8</f>
        <v>0</v>
      </c>
      <c r="H7" s="6">
        <f>index!CE8</f>
        <v>0</v>
      </c>
      <c r="I7" s="65">
        <f>index!CF8</f>
        <v>0</v>
      </c>
      <c r="J7" s="65">
        <f>index!CG8</f>
        <v>0</v>
      </c>
      <c r="K7" s="6" t="str">
        <f>index!CH8</f>
        <v>STOK GUDANG</v>
      </c>
      <c r="L7" s="6">
        <f>index!CI8</f>
        <v>0</v>
      </c>
    </row>
    <row r="8" spans="1:12" x14ac:dyDescent="0.35">
      <c r="A8" s="4">
        <v>7</v>
      </c>
      <c r="B8" s="6" t="str">
        <f>index!BY9</f>
        <v>HIFI IM3</v>
      </c>
      <c r="C8" s="6">
        <f>index!BZ9</f>
        <v>1</v>
      </c>
      <c r="D8" s="6" t="str">
        <f>index!CA9</f>
        <v>085882768385</v>
      </c>
      <c r="E8" s="6" t="str">
        <f>index!CB9</f>
        <v>89620100002033544741</v>
      </c>
      <c r="F8" s="6" t="str">
        <f>index!CC9</f>
        <v>355806671205749</v>
      </c>
      <c r="G8" s="6">
        <f>index!CD9</f>
        <v>0</v>
      </c>
      <c r="H8" s="6">
        <f>index!CE9</f>
        <v>0</v>
      </c>
      <c r="I8" s="65">
        <f>index!CF9</f>
        <v>0</v>
      </c>
      <c r="J8" s="65">
        <f>index!CG9</f>
        <v>0</v>
      </c>
      <c r="K8" s="6" t="str">
        <f>index!CH9</f>
        <v>STOK GUDANG</v>
      </c>
      <c r="L8" s="6">
        <f>index!CI9</f>
        <v>0</v>
      </c>
    </row>
    <row r="9" spans="1:12" x14ac:dyDescent="0.35">
      <c r="A9" s="4">
        <v>8</v>
      </c>
      <c r="B9" s="6" t="str">
        <f>index!BY10</f>
        <v>HIFI IM3</v>
      </c>
      <c r="C9" s="6">
        <f>index!BZ10</f>
        <v>1</v>
      </c>
      <c r="D9" s="6" t="str">
        <f>index!CA10</f>
        <v>085882768387</v>
      </c>
      <c r="E9" s="6" t="str">
        <f>index!CB10</f>
        <v>89620100002033544766</v>
      </c>
      <c r="F9" s="6" t="str">
        <f>index!CC10</f>
        <v>355806671170737</v>
      </c>
      <c r="G9" s="6">
        <f>index!CD10</f>
        <v>0</v>
      </c>
      <c r="H9" s="6">
        <f>index!CE10</f>
        <v>0</v>
      </c>
      <c r="I9" s="65">
        <f>index!CF10</f>
        <v>0</v>
      </c>
      <c r="J9" s="65">
        <f>index!CG10</f>
        <v>0</v>
      </c>
      <c r="K9" s="6" t="str">
        <f>index!CH10</f>
        <v>STOK GUDANG</v>
      </c>
      <c r="L9" s="6">
        <f>index!CI10</f>
        <v>0</v>
      </c>
    </row>
    <row r="10" spans="1:12" x14ac:dyDescent="0.35">
      <c r="A10" s="4">
        <v>9</v>
      </c>
      <c r="B10" s="6" t="str">
        <f>index!BY11</f>
        <v>HIFI 3ID</v>
      </c>
      <c r="C10" s="6">
        <f>index!BZ11</f>
        <v>1</v>
      </c>
      <c r="D10" s="6" t="str">
        <f>index!CA11</f>
        <v>0895613208575</v>
      </c>
      <c r="E10" s="6" t="str">
        <f>index!CB11</f>
        <v>8962893000244846652</v>
      </c>
      <c r="F10" s="6" t="str">
        <f>index!CC11</f>
        <v>355806671150283</v>
      </c>
      <c r="G10" s="6">
        <f>index!CD11</f>
        <v>0</v>
      </c>
      <c r="H10" s="6">
        <f>index!CE11</f>
        <v>0</v>
      </c>
      <c r="I10" s="65">
        <f>index!CF11</f>
        <v>0</v>
      </c>
      <c r="J10" s="65">
        <f>index!CG11</f>
        <v>0</v>
      </c>
      <c r="K10" s="6" t="str">
        <f>index!CH11</f>
        <v>STOK GUDANG</v>
      </c>
      <c r="L10" s="6">
        <f>index!CI11</f>
        <v>0</v>
      </c>
    </row>
    <row r="11" spans="1:12" x14ac:dyDescent="0.35">
      <c r="A11" s="4">
        <v>10</v>
      </c>
      <c r="B11" s="6" t="str">
        <f>index!BY12</f>
        <v>HIFI 3ID</v>
      </c>
      <c r="C11" s="6">
        <f>index!BZ12</f>
        <v>1</v>
      </c>
      <c r="D11" s="6" t="str">
        <f>index!CA12</f>
        <v>0895613208576</v>
      </c>
      <c r="E11" s="6" t="str">
        <f>index!CB12</f>
        <v>8962893000244846653</v>
      </c>
      <c r="F11" s="6" t="str">
        <f>index!CC12</f>
        <v>355806671150689</v>
      </c>
      <c r="G11" s="6">
        <f>index!CD12</f>
        <v>0</v>
      </c>
      <c r="H11" s="6">
        <f>index!CE12</f>
        <v>0</v>
      </c>
      <c r="I11" s="65">
        <f>index!CF12</f>
        <v>0</v>
      </c>
      <c r="J11" s="65">
        <f>index!CG12</f>
        <v>0</v>
      </c>
      <c r="K11" s="6" t="str">
        <f>index!CH12</f>
        <v>STOK GUDANG</v>
      </c>
      <c r="L11" s="6">
        <f>index!CI12</f>
        <v>0</v>
      </c>
    </row>
    <row r="12" spans="1:12" x14ac:dyDescent="0.35">
      <c r="A12" s="4">
        <v>11</v>
      </c>
      <c r="B12" s="6" t="str">
        <f>index!BY13</f>
        <v>HIFI 3ID</v>
      </c>
      <c r="C12" s="6">
        <f>index!BZ13</f>
        <v>1</v>
      </c>
      <c r="D12" s="6" t="str">
        <f>index!CA13</f>
        <v>0895613208577</v>
      </c>
      <c r="E12" s="6" t="str">
        <f>index!CB13</f>
        <v>8962893000244846654</v>
      </c>
      <c r="F12" s="6" t="str">
        <f>index!CC13</f>
        <v>355806671131176</v>
      </c>
      <c r="G12" s="6">
        <f>index!CD13</f>
        <v>0</v>
      </c>
      <c r="H12" s="6">
        <f>index!CE13</f>
        <v>0</v>
      </c>
      <c r="I12" s="65">
        <f>index!CF13</f>
        <v>0</v>
      </c>
      <c r="J12" s="65">
        <f>index!CG13</f>
        <v>0</v>
      </c>
      <c r="K12" s="6" t="str">
        <f>index!CH13</f>
        <v>STOK GUDANG</v>
      </c>
      <c r="L12" s="6">
        <f>index!CI13</f>
        <v>0</v>
      </c>
    </row>
    <row r="13" spans="1:12" x14ac:dyDescent="0.35">
      <c r="A13" s="4">
        <v>12</v>
      </c>
      <c r="B13" s="6" t="str">
        <f>index!BY14</f>
        <v>HIFI 3ID</v>
      </c>
      <c r="C13" s="6">
        <f>index!BZ14</f>
        <v>1</v>
      </c>
      <c r="D13" s="6" t="str">
        <f>index!CA14</f>
        <v>0895613208578</v>
      </c>
      <c r="E13" s="6" t="str">
        <f>index!CB14</f>
        <v>8962893000244846655</v>
      </c>
      <c r="F13" s="6" t="str">
        <f>index!CC14</f>
        <v>355806671150630</v>
      </c>
      <c r="G13" s="6">
        <f>index!CD14</f>
        <v>0</v>
      </c>
      <c r="H13" s="6">
        <f>index!CE14</f>
        <v>0</v>
      </c>
      <c r="I13" s="65">
        <f>index!CF14</f>
        <v>0</v>
      </c>
      <c r="J13" s="65">
        <f>index!CG14</f>
        <v>0</v>
      </c>
      <c r="K13" s="6" t="str">
        <f>index!CH14</f>
        <v>STOK GUDANG</v>
      </c>
      <c r="L13" s="6">
        <f>index!CI14</f>
        <v>0</v>
      </c>
    </row>
    <row r="14" spans="1:12" x14ac:dyDescent="0.35">
      <c r="A14" s="4">
        <v>13</v>
      </c>
      <c r="B14" s="6" t="str">
        <f>index!BY15</f>
        <v>HIFI 3ID</v>
      </c>
      <c r="C14" s="6">
        <f>index!BZ15</f>
        <v>1</v>
      </c>
      <c r="D14" s="6" t="str">
        <f>index!CA15</f>
        <v>0895613208583</v>
      </c>
      <c r="E14" s="6" t="str">
        <f>index!CB15</f>
        <v>8962893000244846660</v>
      </c>
      <c r="F14" s="6" t="str">
        <f>index!CC15</f>
        <v>355806671150622</v>
      </c>
      <c r="G14" s="6">
        <f>index!CD15</f>
        <v>0</v>
      </c>
      <c r="H14" s="6">
        <f>index!CE15</f>
        <v>0</v>
      </c>
      <c r="I14" s="65">
        <f>index!CF15</f>
        <v>0</v>
      </c>
      <c r="J14" s="65">
        <f>index!CG15</f>
        <v>0</v>
      </c>
      <c r="K14" s="6" t="str">
        <f>index!CH15</f>
        <v>STOK GUDANG</v>
      </c>
      <c r="L14" s="6">
        <f>index!CI15</f>
        <v>0</v>
      </c>
    </row>
    <row r="15" spans="1:12" x14ac:dyDescent="0.35">
      <c r="A15" s="4">
        <v>14</v>
      </c>
      <c r="B15" s="6" t="str">
        <f>index!BY16</f>
        <v>HIFI 3ID</v>
      </c>
      <c r="C15" s="6">
        <f>index!BZ16</f>
        <v>1</v>
      </c>
      <c r="D15" s="6" t="str">
        <f>index!CA16</f>
        <v>0895613206960</v>
      </c>
      <c r="E15" s="6" t="str">
        <f>index!CB16</f>
        <v>8962893000244845180</v>
      </c>
      <c r="F15" s="6" t="str">
        <f>index!CC16</f>
        <v>355806670971960</v>
      </c>
      <c r="G15" s="6">
        <f>index!CD16</f>
        <v>0</v>
      </c>
      <c r="H15" s="6">
        <f>index!CE16</f>
        <v>0</v>
      </c>
      <c r="I15" s="65">
        <f>index!CF16</f>
        <v>0</v>
      </c>
      <c r="J15" s="65">
        <f>index!CG16</f>
        <v>0</v>
      </c>
      <c r="K15" s="6" t="str">
        <f>index!CH16</f>
        <v>STOK GUDANG</v>
      </c>
      <c r="L15" s="6">
        <f>index!CI16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index!CD17</f>
        <v>0</v>
      </c>
      <c r="H16" s="6">
        <f>index!CE17</f>
        <v>0</v>
      </c>
      <c r="I16" s="65">
        <f>index!CF17</f>
        <v>0</v>
      </c>
      <c r="J16" s="65">
        <f>index!CG17</f>
        <v>0</v>
      </c>
      <c r="K16" s="6">
        <f>index!CH17</f>
        <v>0</v>
      </c>
      <c r="L16" s="6">
        <f>index!CI17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index!CD18</f>
        <v>0</v>
      </c>
      <c r="H17" s="6">
        <f>index!CE18</f>
        <v>0</v>
      </c>
      <c r="I17" s="65">
        <f>index!CF18</f>
        <v>0</v>
      </c>
      <c r="J17" s="65">
        <f>index!CG18</f>
        <v>0</v>
      </c>
      <c r="K17" s="6">
        <f>index!CH18</f>
        <v>0</v>
      </c>
      <c r="L17" s="6">
        <f>index!CI18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B1802"/>
  <sheetViews>
    <sheetView topLeftCell="CY1" workbookViewId="0">
      <selection activeCell="DF4" sqref="DF4:EB23"/>
    </sheetView>
  </sheetViews>
  <sheetFormatPr defaultRowHeight="14.5" x14ac:dyDescent="0.35"/>
  <cols>
    <col min="15" max="15" width="13.54296875" bestFit="1" customWidth="1"/>
    <col min="18" max="18" width="8.7265625" bestFit="1" customWidth="1"/>
    <col min="29" max="29" width="9.453125" bestFit="1" customWidth="1"/>
    <col min="34" max="35" width="9.453125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84" max="84" width="10.90625" bestFit="1" customWidth="1"/>
    <col min="89" max="89" width="9.1796875" bestFit="1" customWidth="1"/>
    <col min="97" max="97" width="9.453125" bestFit="1" customWidth="1"/>
    <col min="107" max="107" width="9.453125" bestFit="1" customWidth="1"/>
    <col min="132" max="132" width="9.453125" bestFit="1" customWidth="1"/>
  </cols>
  <sheetData>
    <row r="1" spans="1:132" x14ac:dyDescent="0.35">
      <c r="A1" t="s">
        <v>74</v>
      </c>
      <c r="F1" t="s">
        <v>75</v>
      </c>
      <c r="N1" t="s">
        <v>77</v>
      </c>
      <c r="Q1" t="s">
        <v>78</v>
      </c>
      <c r="AO1" t="s">
        <v>100</v>
      </c>
      <c r="AP1"/>
      <c r="BD1"/>
      <c r="BI1"/>
      <c r="CK1" t="s">
        <v>173</v>
      </c>
    </row>
    <row r="2" spans="1:132" ht="42" x14ac:dyDescent="0.45">
      <c r="A2" s="77" t="s">
        <v>0</v>
      </c>
      <c r="B2" s="77" t="s">
        <v>1</v>
      </c>
      <c r="C2" s="77" t="s">
        <v>2</v>
      </c>
      <c r="D2" s="77" t="s">
        <v>3</v>
      </c>
      <c r="F2" s="79" t="s">
        <v>76</v>
      </c>
      <c r="G2" s="80"/>
      <c r="H2" s="80"/>
      <c r="I2" s="80"/>
      <c r="J2" s="80"/>
      <c r="K2" s="80"/>
      <c r="L2" s="81"/>
      <c r="N2" s="29" t="s">
        <v>37</v>
      </c>
      <c r="O2" s="30" t="s">
        <v>38</v>
      </c>
      <c r="Q2" s="25" t="s">
        <v>21</v>
      </c>
      <c r="R2" s="66" t="s">
        <v>169</v>
      </c>
      <c r="S2" s="26">
        <v>1</v>
      </c>
      <c r="T2" s="66" t="s">
        <v>169</v>
      </c>
      <c r="U2" s="26">
        <v>2</v>
      </c>
      <c r="V2" s="66" t="s">
        <v>169</v>
      </c>
      <c r="W2" s="26">
        <v>3</v>
      </c>
      <c r="X2" s="66" t="s">
        <v>169</v>
      </c>
      <c r="Y2" s="26">
        <v>4</v>
      </c>
      <c r="Z2" s="82" t="s">
        <v>170</v>
      </c>
      <c r="AA2" s="82" t="s">
        <v>44</v>
      </c>
      <c r="AB2" s="73" t="s">
        <v>45</v>
      </c>
      <c r="AC2" s="75" t="s">
        <v>46</v>
      </c>
      <c r="AE2" t="s">
        <v>51</v>
      </c>
      <c r="AO2" s="34" t="s">
        <v>87</v>
      </c>
      <c r="AP2" s="48" t="s">
        <v>88</v>
      </c>
      <c r="AQ2" s="49" t="s">
        <v>89</v>
      </c>
      <c r="AR2" s="34" t="s">
        <v>90</v>
      </c>
      <c r="AS2" s="35" t="s">
        <v>91</v>
      </c>
      <c r="AT2" s="36" t="s">
        <v>92</v>
      </c>
      <c r="AU2" s="35" t="s">
        <v>51</v>
      </c>
      <c r="AV2" s="37" t="s">
        <v>93</v>
      </c>
      <c r="AW2" s="38" t="s">
        <v>4</v>
      </c>
      <c r="AX2" s="38" t="s">
        <v>52</v>
      </c>
      <c r="AY2" s="38" t="s">
        <v>101</v>
      </c>
      <c r="AZ2" s="38" t="s">
        <v>7</v>
      </c>
      <c r="BA2" s="38" t="s">
        <v>8</v>
      </c>
      <c r="BB2" s="38" t="s">
        <v>113</v>
      </c>
      <c r="BC2" s="38" t="s">
        <v>102</v>
      </c>
      <c r="BD2" s="38" t="s">
        <v>103</v>
      </c>
      <c r="BE2" s="38" t="s">
        <v>104</v>
      </c>
      <c r="BF2" s="38" t="s">
        <v>114</v>
      </c>
      <c r="BG2" s="38" t="s">
        <v>115</v>
      </c>
      <c r="BH2" s="38" t="s">
        <v>116</v>
      </c>
      <c r="BI2" s="38" t="s">
        <v>105</v>
      </c>
      <c r="BJ2" s="38" t="s">
        <v>117</v>
      </c>
      <c r="BK2" s="38" t="s">
        <v>118</v>
      </c>
      <c r="BL2" s="38" t="s">
        <v>119</v>
      </c>
      <c r="BM2" s="38" t="s">
        <v>106</v>
      </c>
      <c r="BN2" s="50" t="s">
        <v>94</v>
      </c>
      <c r="BO2" s="48" t="s">
        <v>107</v>
      </c>
      <c r="BP2" s="49" t="s">
        <v>108</v>
      </c>
      <c r="BQ2" s="51" t="s">
        <v>95</v>
      </c>
      <c r="BR2" s="49" t="s">
        <v>120</v>
      </c>
      <c r="BS2" s="52" t="s">
        <v>96</v>
      </c>
      <c r="BT2" s="48" t="s">
        <v>97</v>
      </c>
      <c r="BU2" s="53" t="s">
        <v>109</v>
      </c>
      <c r="BV2" s="54" t="s">
        <v>110</v>
      </c>
      <c r="BX2" s="2" t="s">
        <v>64</v>
      </c>
      <c r="BY2" s="3" t="s">
        <v>67</v>
      </c>
      <c r="BZ2" s="3" t="s">
        <v>68</v>
      </c>
      <c r="CA2" s="3" t="s">
        <v>69</v>
      </c>
      <c r="CB2" s="3" t="s">
        <v>121</v>
      </c>
      <c r="CC2" s="3" t="s">
        <v>70</v>
      </c>
      <c r="CD2" s="3" t="s">
        <v>66</v>
      </c>
      <c r="CE2" s="3" t="s">
        <v>83</v>
      </c>
      <c r="CF2" s="2" t="s">
        <v>65</v>
      </c>
      <c r="CG2" s="3" t="s">
        <v>71</v>
      </c>
      <c r="CH2" s="3" t="s">
        <v>72</v>
      </c>
      <c r="CI2" s="3" t="s">
        <v>73</v>
      </c>
      <c r="DE2" t="s">
        <v>179</v>
      </c>
      <c r="DF2" t="s">
        <v>47</v>
      </c>
      <c r="DK2" t="s">
        <v>39</v>
      </c>
      <c r="DP2" t="s">
        <v>48</v>
      </c>
      <c r="DU2" t="s">
        <v>49</v>
      </c>
    </row>
    <row r="3" spans="1:132" x14ac:dyDescent="0.35">
      <c r="A3" s="78"/>
      <c r="B3" s="78"/>
      <c r="C3" s="78"/>
      <c r="D3" s="78"/>
      <c r="F3" s="15"/>
      <c r="G3" s="16"/>
      <c r="H3" s="17"/>
      <c r="I3" s="17"/>
      <c r="J3" s="17"/>
      <c r="K3" s="17"/>
      <c r="L3" s="18"/>
      <c r="N3" s="31" t="s">
        <v>39</v>
      </c>
      <c r="O3" s="33">
        <f>51266000+O9</f>
        <v>53416000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83"/>
      <c r="AA3" s="83"/>
      <c r="AB3" s="74"/>
      <c r="AC3" s="76"/>
      <c r="AF3" t="s">
        <v>5</v>
      </c>
      <c r="AG3" t="s">
        <v>52</v>
      </c>
      <c r="AH3" t="s">
        <v>171</v>
      </c>
      <c r="AI3" t="s">
        <v>102</v>
      </c>
      <c r="AJ3" t="s">
        <v>104</v>
      </c>
      <c r="AK3" t="s">
        <v>105</v>
      </c>
      <c r="AL3" t="s">
        <v>106</v>
      </c>
      <c r="AO3" s="39">
        <v>1</v>
      </c>
      <c r="AP3" s="40">
        <v>46176</v>
      </c>
      <c r="AQ3" s="41" t="s">
        <v>98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55">
        <f>IFERROR(VLOOKUP(AQ3,'[1]Harga &amp; Nama CSO'!$H$2:$N$22,2,FALSE),"")*AV3</f>
        <v>115800</v>
      </c>
      <c r="BO3" s="40">
        <v>46176</v>
      </c>
      <c r="BP3" s="39">
        <v>1</v>
      </c>
      <c r="BQ3" s="56">
        <v>115800</v>
      </c>
      <c r="BR3" s="39" t="s">
        <v>111</v>
      </c>
      <c r="BS3" s="57">
        <f t="shared" ref="BS3:BS66" si="0">BN3-BQ3</f>
        <v>0</v>
      </c>
      <c r="BT3" s="40">
        <v>46177</v>
      </c>
      <c r="BU3" s="9">
        <f t="array" ref="BU3:BU1802">SUMIF('[1]SALDO MOBO'!BB:BB,[1]SGR!BC3:BC1802,'[1]SALDO MOBO'!BE:BE)</f>
        <v>0</v>
      </c>
      <c r="BV3" s="58">
        <f>VLOOKUP(AQ3,'[1]Harga &amp; Nama CSO'!$A$28:$D$31,4,0)*BP3</f>
        <v>3</v>
      </c>
      <c r="BX3" s="4">
        <v>1</v>
      </c>
      <c r="BY3" s="6" t="s">
        <v>122</v>
      </c>
      <c r="BZ3" s="4">
        <v>1</v>
      </c>
      <c r="CA3" s="7" t="s">
        <v>123</v>
      </c>
      <c r="CB3" s="7" t="s">
        <v>124</v>
      </c>
      <c r="CC3" s="7" t="s">
        <v>125</v>
      </c>
      <c r="CD3" s="4" t="s">
        <v>165</v>
      </c>
      <c r="CE3" s="8"/>
      <c r="CF3" s="5">
        <v>46185</v>
      </c>
      <c r="CG3" s="5"/>
      <c r="CH3" s="4" t="s">
        <v>164</v>
      </c>
      <c r="CI3" s="5"/>
      <c r="CK3" s="68">
        <v>46192</v>
      </c>
      <c r="CU3" t="s">
        <v>175</v>
      </c>
      <c r="CV3" t="s">
        <v>47</v>
      </c>
      <c r="CW3" t="s">
        <v>39</v>
      </c>
      <c r="CX3" t="s">
        <v>48</v>
      </c>
      <c r="CY3" t="s">
        <v>49</v>
      </c>
      <c r="CZ3" t="s">
        <v>176</v>
      </c>
      <c r="DA3" t="s">
        <v>44</v>
      </c>
      <c r="DB3" t="s">
        <v>83</v>
      </c>
      <c r="DC3" t="s">
        <v>38</v>
      </c>
      <c r="DE3" t="s">
        <v>175</v>
      </c>
      <c r="DF3" t="s">
        <v>180</v>
      </c>
      <c r="DG3" t="s">
        <v>181</v>
      </c>
      <c r="DH3" t="s">
        <v>182</v>
      </c>
      <c r="DI3" t="s">
        <v>183</v>
      </c>
      <c r="DJ3" t="s">
        <v>184</v>
      </c>
      <c r="DK3" t="s">
        <v>180</v>
      </c>
      <c r="DL3" t="s">
        <v>181</v>
      </c>
      <c r="DM3" t="s">
        <v>182</v>
      </c>
      <c r="DN3" t="s">
        <v>183</v>
      </c>
      <c r="DO3" t="s">
        <v>184</v>
      </c>
      <c r="DP3" t="s">
        <v>180</v>
      </c>
      <c r="DQ3" t="s">
        <v>181</v>
      </c>
      <c r="DR3" t="s">
        <v>182</v>
      </c>
      <c r="DS3" t="s">
        <v>183</v>
      </c>
      <c r="DT3" t="s">
        <v>184</v>
      </c>
      <c r="DU3" t="s">
        <v>180</v>
      </c>
      <c r="DV3" t="s">
        <v>181</v>
      </c>
      <c r="DW3" t="s">
        <v>182</v>
      </c>
      <c r="DX3" t="s">
        <v>183</v>
      </c>
      <c r="DY3" t="s">
        <v>184</v>
      </c>
      <c r="DZ3" t="s">
        <v>185</v>
      </c>
      <c r="EA3" t="s">
        <v>83</v>
      </c>
      <c r="EB3" t="s">
        <v>38</v>
      </c>
    </row>
    <row r="4" spans="1:132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79823700+O10</f>
        <v>83829200</v>
      </c>
      <c r="Q4" s="20" t="s">
        <v>4</v>
      </c>
      <c r="R4" s="69">
        <f>CL6</f>
        <v>5</v>
      </c>
      <c r="S4" s="70">
        <f>CV4</f>
        <v>15</v>
      </c>
      <c r="T4" s="70">
        <f>CM6</f>
        <v>0</v>
      </c>
      <c r="U4" s="27">
        <f>CW4</f>
        <v>0</v>
      </c>
      <c r="V4" s="70">
        <f>CN6</f>
        <v>0</v>
      </c>
      <c r="W4" s="27">
        <f>CX4</f>
        <v>5</v>
      </c>
      <c r="X4" s="27">
        <f>CO6</f>
        <v>0</v>
      </c>
      <c r="Y4" s="27">
        <f>CY4</f>
        <v>19</v>
      </c>
      <c r="Z4" s="27">
        <f>R4+T4+V4+X4</f>
        <v>5</v>
      </c>
      <c r="AA4" s="70">
        <f>S4+U4+W4+Y4</f>
        <v>39</v>
      </c>
      <c r="AB4" s="4">
        <v>11000</v>
      </c>
      <c r="AC4" s="27">
        <f>AA4*AB4</f>
        <v>429000</v>
      </c>
      <c r="AE4" t="s">
        <v>53</v>
      </c>
      <c r="AF4">
        <v>50</v>
      </c>
      <c r="AG4">
        <v>144</v>
      </c>
      <c r="AH4">
        <v>27</v>
      </c>
      <c r="AI4">
        <v>111</v>
      </c>
      <c r="AJ4" s="64">
        <v>33</v>
      </c>
      <c r="AK4" s="64">
        <v>117</v>
      </c>
      <c r="AL4" s="64">
        <v>0</v>
      </c>
      <c r="AM4" s="64"/>
      <c r="AO4" s="39">
        <v>2</v>
      </c>
      <c r="AP4" s="40">
        <v>46176</v>
      </c>
      <c r="AQ4" s="41" t="s">
        <v>99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55">
        <f>IFERROR(VLOOKUP(AQ4,'[1]Harga &amp; Nama CSO'!$H$2:$N$22,2,FALSE),"")*AV4</f>
        <v>118200</v>
      </c>
      <c r="BO4" s="40">
        <v>46176</v>
      </c>
      <c r="BP4" s="39">
        <v>1</v>
      </c>
      <c r="BQ4" s="56">
        <v>118200</v>
      </c>
      <c r="BR4" s="39" t="s">
        <v>111</v>
      </c>
      <c r="BS4" s="57">
        <f t="shared" si="0"/>
        <v>0</v>
      </c>
      <c r="BT4" s="40">
        <v>46177</v>
      </c>
      <c r="BU4" s="8">
        <v>0</v>
      </c>
      <c r="BV4" s="58">
        <f>VLOOKUP(AQ4,'[1]Harga &amp; Nama CSO'!$A$28:$D$31,4,0)*BP4</f>
        <v>3</v>
      </c>
      <c r="BX4" s="4">
        <v>2</v>
      </c>
      <c r="BY4" s="6" t="s">
        <v>122</v>
      </c>
      <c r="BZ4" s="4">
        <v>1</v>
      </c>
      <c r="CA4" s="7" t="s">
        <v>127</v>
      </c>
      <c r="CB4" s="7" t="s">
        <v>128</v>
      </c>
      <c r="CC4" s="7" t="s">
        <v>129</v>
      </c>
      <c r="CD4" s="4" t="s">
        <v>22</v>
      </c>
      <c r="CE4" s="8"/>
      <c r="CF4" s="5">
        <v>46185</v>
      </c>
      <c r="CG4" s="5"/>
      <c r="CH4" s="4" t="s">
        <v>164</v>
      </c>
      <c r="CI4" s="5"/>
      <c r="CK4" t="s">
        <v>21</v>
      </c>
      <c r="CL4">
        <v>1</v>
      </c>
      <c r="CM4">
        <v>2</v>
      </c>
      <c r="CN4">
        <v>3</v>
      </c>
      <c r="CO4">
        <v>4</v>
      </c>
      <c r="CP4">
        <v>5</v>
      </c>
      <c r="CQ4" t="s">
        <v>174</v>
      </c>
      <c r="CR4" t="s">
        <v>45</v>
      </c>
      <c r="CS4" t="s">
        <v>46</v>
      </c>
      <c r="CU4" t="s">
        <v>4</v>
      </c>
      <c r="CV4">
        <v>15</v>
      </c>
      <c r="CW4">
        <v>0</v>
      </c>
      <c r="CX4">
        <v>5</v>
      </c>
      <c r="CY4">
        <v>19</v>
      </c>
      <c r="CZ4">
        <v>1</v>
      </c>
      <c r="DA4">
        <v>35</v>
      </c>
      <c r="DB4">
        <v>11000</v>
      </c>
      <c r="DC4">
        <v>385000</v>
      </c>
      <c r="DE4" t="s">
        <v>4</v>
      </c>
      <c r="DF4">
        <v>10</v>
      </c>
      <c r="DG4">
        <v>0</v>
      </c>
      <c r="DH4">
        <v>5</v>
      </c>
      <c r="DI4">
        <v>0</v>
      </c>
      <c r="DJ4">
        <v>15</v>
      </c>
      <c r="DK4">
        <v>0</v>
      </c>
      <c r="DL4">
        <v>0</v>
      </c>
      <c r="DM4">
        <v>0</v>
      </c>
      <c r="DN4">
        <v>0</v>
      </c>
      <c r="DO4">
        <v>0</v>
      </c>
      <c r="DP4">
        <v>5</v>
      </c>
      <c r="DQ4">
        <v>0</v>
      </c>
      <c r="DR4">
        <v>0</v>
      </c>
      <c r="DS4">
        <v>0</v>
      </c>
      <c r="DT4">
        <v>5</v>
      </c>
      <c r="DU4">
        <v>0</v>
      </c>
      <c r="DV4">
        <v>0</v>
      </c>
      <c r="DW4">
        <v>19</v>
      </c>
      <c r="DX4">
        <v>0</v>
      </c>
      <c r="DY4">
        <v>19</v>
      </c>
      <c r="DZ4">
        <v>39</v>
      </c>
      <c r="EA4">
        <v>11000</v>
      </c>
      <c r="EB4">
        <v>429000</v>
      </c>
    </row>
    <row r="5" spans="1:132" x14ac:dyDescent="0.35">
      <c r="A5" s="12" t="s">
        <v>5</v>
      </c>
      <c r="B5" s="13">
        <v>0</v>
      </c>
      <c r="C5" s="14">
        <v>2193</v>
      </c>
      <c r="D5" s="13">
        <f t="shared" ref="D5:D22" si="1">C5+B5</f>
        <v>2193</v>
      </c>
      <c r="F5" s="20" t="s">
        <v>4</v>
      </c>
      <c r="G5" s="21">
        <v>22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44</v>
      </c>
      <c r="N5" s="31" t="s">
        <v>41</v>
      </c>
      <c r="O5" s="33">
        <f>69483000+O11</f>
        <v>73302100</v>
      </c>
      <c r="Q5" s="20" t="s">
        <v>29</v>
      </c>
      <c r="R5" s="69">
        <f>CL7+AF20</f>
        <v>0</v>
      </c>
      <c r="S5" s="70">
        <f>CV5+AF5-25</f>
        <v>25</v>
      </c>
      <c r="T5" s="70">
        <f>CM7+AF19</f>
        <v>0</v>
      </c>
      <c r="U5" s="27">
        <f>CW5+AF4-25</f>
        <v>25</v>
      </c>
      <c r="V5" s="70">
        <f>CN7+AF21</f>
        <v>0</v>
      </c>
      <c r="W5" s="27">
        <f>CX5+AF6</f>
        <v>50</v>
      </c>
      <c r="X5" s="70">
        <f>CO7+AF22</f>
        <v>0</v>
      </c>
      <c r="Y5" s="27">
        <f>CY5+AF7+-25</f>
        <v>25</v>
      </c>
      <c r="Z5" s="27">
        <f t="shared" ref="Z5:Z24" si="2">R5+T5+V5+X5</f>
        <v>0</v>
      </c>
      <c r="AA5" s="70">
        <f t="shared" ref="AA5:AA22" si="3">S5+U5+W5+Y5</f>
        <v>125</v>
      </c>
      <c r="AB5" s="4">
        <v>30000</v>
      </c>
      <c r="AC5" s="27">
        <f t="shared" ref="AC5:AC22" si="4">AA5*AB5</f>
        <v>3750000</v>
      </c>
      <c r="AE5" t="s">
        <v>54</v>
      </c>
      <c r="AF5">
        <v>50</v>
      </c>
      <c r="AG5">
        <v>78</v>
      </c>
      <c r="AH5" s="28">
        <v>0</v>
      </c>
      <c r="AI5" s="28">
        <v>63</v>
      </c>
      <c r="AJ5" s="64">
        <v>15</v>
      </c>
      <c r="AK5" s="64">
        <v>78</v>
      </c>
      <c r="AL5" s="64">
        <v>0</v>
      </c>
      <c r="AM5" s="64"/>
      <c r="AO5" s="39">
        <v>3</v>
      </c>
      <c r="AP5" s="40">
        <v>46176</v>
      </c>
      <c r="AQ5" s="41" t="s">
        <v>99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55">
        <f>IFERROR(VLOOKUP(AQ5,'[1]Harga &amp; Nama CSO'!$H$2:$N$22,2,FALSE),"")*AV5</f>
        <v>118200</v>
      </c>
      <c r="BO5" s="40">
        <v>46176</v>
      </c>
      <c r="BP5" s="39">
        <v>1</v>
      </c>
      <c r="BQ5" s="56">
        <v>118200</v>
      </c>
      <c r="BR5" s="39" t="s">
        <v>111</v>
      </c>
      <c r="BS5" s="57">
        <f t="shared" si="0"/>
        <v>0</v>
      </c>
      <c r="BT5" s="40">
        <v>46177</v>
      </c>
      <c r="BU5" s="8">
        <v>0</v>
      </c>
      <c r="BV5" s="58">
        <f>VLOOKUP(AQ5,'[1]Harga &amp; Nama CSO'!$A$28:$D$31,4,0)*BP5</f>
        <v>3</v>
      </c>
      <c r="BX5" s="4">
        <v>3</v>
      </c>
      <c r="BY5" s="6" t="s">
        <v>122</v>
      </c>
      <c r="BZ5" s="4">
        <v>1</v>
      </c>
      <c r="CA5" s="7" t="s">
        <v>130</v>
      </c>
      <c r="CB5" s="7" t="s">
        <v>131</v>
      </c>
      <c r="CC5" s="7" t="s">
        <v>132</v>
      </c>
      <c r="CD5" s="4" t="s">
        <v>24</v>
      </c>
      <c r="CE5" s="8"/>
      <c r="CF5" s="5">
        <v>46185</v>
      </c>
      <c r="CG5" s="5"/>
      <c r="CH5" s="4" t="s">
        <v>164</v>
      </c>
      <c r="CI5" s="5"/>
      <c r="CL5" t="s">
        <v>22</v>
      </c>
      <c r="CM5" t="s">
        <v>23</v>
      </c>
      <c r="CN5" t="s">
        <v>24</v>
      </c>
      <c r="CO5" t="s">
        <v>25</v>
      </c>
      <c r="CP5" t="s">
        <v>26</v>
      </c>
      <c r="CU5" t="s">
        <v>29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30000</v>
      </c>
      <c r="DC5">
        <v>0</v>
      </c>
      <c r="DE5" t="s">
        <v>29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30000</v>
      </c>
      <c r="EB5">
        <v>0</v>
      </c>
    </row>
    <row r="6" spans="1:132" x14ac:dyDescent="0.35">
      <c r="A6" s="12" t="s">
        <v>6</v>
      </c>
      <c r="B6" s="13">
        <v>1625</v>
      </c>
      <c r="C6" s="14">
        <v>725</v>
      </c>
      <c r="D6" s="13">
        <f t="shared" si="1"/>
        <v>2350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5">SUM(G6:K6)</f>
        <v>0</v>
      </c>
      <c r="N6" s="4" t="s">
        <v>42</v>
      </c>
      <c r="O6" s="33">
        <f>81591600+O12</f>
        <v>85748300</v>
      </c>
      <c r="Q6" s="20" t="s">
        <v>30</v>
      </c>
      <c r="R6" s="69">
        <f>CL8+AG20</f>
        <v>0</v>
      </c>
      <c r="S6" s="70">
        <f>CV6+AG5</f>
        <v>250</v>
      </c>
      <c r="T6" s="70">
        <f>CM8+AG19</f>
        <v>12</v>
      </c>
      <c r="U6" s="27">
        <f>CW6+AG4</f>
        <v>238</v>
      </c>
      <c r="V6" s="70">
        <f>CN8+AG21</f>
        <v>17</v>
      </c>
      <c r="W6" s="27">
        <f>CX6+AG6</f>
        <v>291</v>
      </c>
      <c r="X6" s="70">
        <f>CO8+AG22</f>
        <v>20</v>
      </c>
      <c r="Y6" s="27">
        <f>CY6+AG7</f>
        <v>199</v>
      </c>
      <c r="Z6" s="27">
        <f t="shared" si="2"/>
        <v>49</v>
      </c>
      <c r="AA6" s="70">
        <f t="shared" si="3"/>
        <v>978</v>
      </c>
      <c r="AB6" s="4">
        <v>25000</v>
      </c>
      <c r="AC6" s="27">
        <f t="shared" si="4"/>
        <v>24450000</v>
      </c>
      <c r="AE6" t="s">
        <v>41</v>
      </c>
      <c r="AF6">
        <v>50</v>
      </c>
      <c r="AG6">
        <v>90</v>
      </c>
      <c r="AH6" s="28">
        <v>21</v>
      </c>
      <c r="AI6" s="28">
        <v>45</v>
      </c>
      <c r="AJ6" s="64">
        <v>45</v>
      </c>
      <c r="AK6" s="64">
        <v>69</v>
      </c>
      <c r="AL6" s="64">
        <v>0</v>
      </c>
      <c r="AM6" s="64"/>
      <c r="AO6" s="39">
        <v>4</v>
      </c>
      <c r="AP6" s="40">
        <v>46176</v>
      </c>
      <c r="AQ6" s="41" t="s">
        <v>98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55">
        <f>IFERROR(VLOOKUP(AQ6,'[1]Harga &amp; Nama CSO'!$H$2:$N$22,2,FALSE),"")*AV6</f>
        <v>115800</v>
      </c>
      <c r="BO6" s="40">
        <v>46176</v>
      </c>
      <c r="BP6" s="39">
        <v>1</v>
      </c>
      <c r="BQ6" s="59">
        <v>115800</v>
      </c>
      <c r="BR6" s="39" t="s">
        <v>111</v>
      </c>
      <c r="BS6" s="57">
        <f t="shared" si="0"/>
        <v>0</v>
      </c>
      <c r="BT6" s="40">
        <v>46177</v>
      </c>
      <c r="BU6" s="8">
        <v>0</v>
      </c>
      <c r="BV6" s="58">
        <f>VLOOKUP(AQ6,'[1]Harga &amp; Nama CSO'!$A$28:$D$31,4,0)*BP6</f>
        <v>3</v>
      </c>
      <c r="BX6" s="4">
        <v>4</v>
      </c>
      <c r="BY6" s="6" t="s">
        <v>122</v>
      </c>
      <c r="BZ6" s="4">
        <v>1</v>
      </c>
      <c r="CA6" s="7" t="s">
        <v>133</v>
      </c>
      <c r="CB6" s="7" t="s">
        <v>134</v>
      </c>
      <c r="CC6" s="7" t="s">
        <v>135</v>
      </c>
      <c r="CD6" s="4" t="s">
        <v>25</v>
      </c>
      <c r="CE6" s="8"/>
      <c r="CF6" s="5">
        <v>46185</v>
      </c>
      <c r="CG6" s="5"/>
      <c r="CH6" s="4" t="s">
        <v>164</v>
      </c>
      <c r="CI6" s="5"/>
      <c r="CK6" t="s">
        <v>4</v>
      </c>
      <c r="CL6" s="71">
        <v>5</v>
      </c>
      <c r="CM6" s="71">
        <v>0</v>
      </c>
      <c r="CN6" s="71">
        <v>0</v>
      </c>
      <c r="CO6" s="71">
        <v>0</v>
      </c>
      <c r="CP6" t="s">
        <v>28</v>
      </c>
      <c r="CQ6" t="s">
        <v>28</v>
      </c>
      <c r="CR6" s="1">
        <v>11000</v>
      </c>
      <c r="CS6" t="s">
        <v>28</v>
      </c>
      <c r="CU6" t="s">
        <v>30</v>
      </c>
      <c r="CV6">
        <v>172</v>
      </c>
      <c r="CW6">
        <v>94</v>
      </c>
      <c r="CX6">
        <v>201</v>
      </c>
      <c r="CY6">
        <v>136</v>
      </c>
      <c r="CZ6">
        <v>0</v>
      </c>
      <c r="DA6">
        <v>581</v>
      </c>
      <c r="DB6">
        <v>25000</v>
      </c>
      <c r="DC6">
        <v>14525000</v>
      </c>
      <c r="DE6" t="s">
        <v>30</v>
      </c>
      <c r="DF6">
        <v>57</v>
      </c>
      <c r="DG6">
        <v>71</v>
      </c>
      <c r="DH6">
        <v>44</v>
      </c>
      <c r="DI6">
        <v>0</v>
      </c>
      <c r="DJ6">
        <v>172</v>
      </c>
      <c r="DK6">
        <v>19</v>
      </c>
      <c r="DL6">
        <v>10</v>
      </c>
      <c r="DM6">
        <v>65</v>
      </c>
      <c r="DN6">
        <v>0</v>
      </c>
      <c r="DO6">
        <v>94</v>
      </c>
      <c r="DP6">
        <v>45</v>
      </c>
      <c r="DQ6">
        <v>10</v>
      </c>
      <c r="DR6">
        <v>65</v>
      </c>
      <c r="DS6">
        <v>0</v>
      </c>
      <c r="DT6">
        <v>120</v>
      </c>
      <c r="DU6">
        <v>40</v>
      </c>
      <c r="DV6">
        <v>23</v>
      </c>
      <c r="DW6">
        <v>73</v>
      </c>
      <c r="DX6">
        <v>0</v>
      </c>
      <c r="DY6">
        <v>136</v>
      </c>
      <c r="DZ6">
        <v>522</v>
      </c>
      <c r="EA6">
        <v>25000</v>
      </c>
      <c r="EB6">
        <v>13050000</v>
      </c>
    </row>
    <row r="7" spans="1:132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32</v>
      </c>
      <c r="H7" s="21">
        <v>100</v>
      </c>
      <c r="I7" s="21">
        <v>60</v>
      </c>
      <c r="J7" s="21">
        <v>188</v>
      </c>
      <c r="K7" s="21">
        <v>10</v>
      </c>
      <c r="L7" s="22">
        <f t="shared" si="5"/>
        <v>390</v>
      </c>
      <c r="N7" s="31" t="s">
        <v>43</v>
      </c>
      <c r="O7" s="8">
        <f>SUM(O3:O6)</f>
        <v>296295600</v>
      </c>
      <c r="Q7" s="20" t="s">
        <v>7</v>
      </c>
      <c r="R7" s="69">
        <f t="shared" ref="R7:R21" si="6">CL9</f>
        <v>0</v>
      </c>
      <c r="S7" s="70">
        <f t="shared" ref="S7:S21" si="7">CV7</f>
        <v>0</v>
      </c>
      <c r="T7" s="70">
        <f t="shared" ref="T7:T21" si="8">CM9</f>
        <v>0</v>
      </c>
      <c r="U7" s="27">
        <f t="shared" ref="U7:U21" si="9">CW7</f>
        <v>0</v>
      </c>
      <c r="V7" s="70">
        <f t="shared" ref="V7:V17" si="10">CN9</f>
        <v>0</v>
      </c>
      <c r="W7" s="27">
        <f t="shared" ref="W7:W21" si="11">CX7</f>
        <v>0</v>
      </c>
      <c r="X7" s="27">
        <f t="shared" ref="X7:X23" si="12">CO9</f>
        <v>0</v>
      </c>
      <c r="Y7" s="27">
        <f t="shared" ref="Y7:Y21" si="13">CY7</f>
        <v>0</v>
      </c>
      <c r="Z7" s="27">
        <f t="shared" si="2"/>
        <v>0</v>
      </c>
      <c r="AA7" s="70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v>50</v>
      </c>
      <c r="AG7">
        <v>63</v>
      </c>
      <c r="AH7" s="28">
        <v>0</v>
      </c>
      <c r="AI7" s="28">
        <v>12</v>
      </c>
      <c r="AJ7" s="64">
        <v>51</v>
      </c>
      <c r="AK7" s="64">
        <v>63</v>
      </c>
      <c r="AL7" s="64">
        <v>0</v>
      </c>
      <c r="AM7" s="64"/>
      <c r="AO7" s="39">
        <v>5</v>
      </c>
      <c r="AP7" s="40">
        <v>46176</v>
      </c>
      <c r="AQ7" s="41" t="s">
        <v>99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55">
        <f>IFERROR(VLOOKUP(AQ7,'[1]Harga &amp; Nama CSO'!$H$2:$N$22,2,FALSE),"")*AV7</f>
        <v>118200</v>
      </c>
      <c r="BO7" s="40">
        <v>46176</v>
      </c>
      <c r="BP7" s="39">
        <v>1</v>
      </c>
      <c r="BQ7" s="59">
        <v>118200</v>
      </c>
      <c r="BR7" s="39" t="s">
        <v>111</v>
      </c>
      <c r="BS7" s="57">
        <f t="shared" si="0"/>
        <v>0</v>
      </c>
      <c r="BT7" s="40">
        <v>46177</v>
      </c>
      <c r="BU7" s="8">
        <v>0</v>
      </c>
      <c r="BV7" s="58">
        <f>VLOOKUP(AQ7,'[1]Harga &amp; Nama CSO'!$A$28:$D$31,4,0)*BP7</f>
        <v>3</v>
      </c>
      <c r="BX7" s="4">
        <v>5</v>
      </c>
      <c r="BY7" s="6" t="s">
        <v>122</v>
      </c>
      <c r="BZ7" s="4">
        <v>1</v>
      </c>
      <c r="CA7" s="7" t="s">
        <v>136</v>
      </c>
      <c r="CB7" s="7" t="s">
        <v>137</v>
      </c>
      <c r="CC7" s="7" t="s">
        <v>138</v>
      </c>
      <c r="CD7" s="4"/>
      <c r="CE7" s="8"/>
      <c r="CF7" s="5"/>
      <c r="CG7" s="5"/>
      <c r="CH7" s="4" t="s">
        <v>126</v>
      </c>
      <c r="CI7" s="5"/>
      <c r="CK7" t="s">
        <v>29</v>
      </c>
      <c r="CL7" s="71">
        <v>0</v>
      </c>
      <c r="CM7" s="71">
        <v>0</v>
      </c>
      <c r="CN7" s="71">
        <v>0</v>
      </c>
      <c r="CO7" s="71">
        <v>0</v>
      </c>
      <c r="CP7" t="s">
        <v>28</v>
      </c>
      <c r="CQ7" t="s">
        <v>28</v>
      </c>
      <c r="CR7" s="1">
        <v>30000</v>
      </c>
      <c r="CS7" t="s">
        <v>28</v>
      </c>
      <c r="CU7" t="s">
        <v>7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30000</v>
      </c>
      <c r="DC7">
        <v>0</v>
      </c>
      <c r="DE7" t="s">
        <v>7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40000</v>
      </c>
      <c r="EB7">
        <v>0</v>
      </c>
    </row>
    <row r="8" spans="1:132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5"/>
        <v>20</v>
      </c>
      <c r="Q8" s="23"/>
      <c r="R8" s="69">
        <f t="shared" si="6"/>
        <v>0</v>
      </c>
      <c r="S8" s="70">
        <f t="shared" si="7"/>
        <v>0</v>
      </c>
      <c r="T8" s="70">
        <f t="shared" si="8"/>
        <v>0</v>
      </c>
      <c r="U8" s="27">
        <f t="shared" si="9"/>
        <v>0</v>
      </c>
      <c r="V8" s="70">
        <f t="shared" si="10"/>
        <v>0</v>
      </c>
      <c r="W8" s="27">
        <f t="shared" si="11"/>
        <v>0</v>
      </c>
      <c r="X8" s="27">
        <f t="shared" si="12"/>
        <v>0</v>
      </c>
      <c r="Y8" s="27">
        <f t="shared" si="13"/>
        <v>0</v>
      </c>
      <c r="Z8" s="27">
        <f t="shared" si="2"/>
        <v>0</v>
      </c>
      <c r="AA8" s="70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 t="s">
        <v>172</v>
      </c>
      <c r="AO8" s="39">
        <v>6</v>
      </c>
      <c r="AP8" s="40">
        <v>46176</v>
      </c>
      <c r="AQ8" s="41" t="s">
        <v>99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55">
        <f>IFERROR(VLOOKUP(AQ8,'[1]Harga &amp; Nama CSO'!$H$2:$N$22,2,FALSE),"")*AV8</f>
        <v>118200</v>
      </c>
      <c r="BO8" s="40">
        <v>46176</v>
      </c>
      <c r="BP8" s="39">
        <v>1</v>
      </c>
      <c r="BQ8" s="59">
        <v>118200</v>
      </c>
      <c r="BR8" s="39" t="s">
        <v>111</v>
      </c>
      <c r="BS8" s="57">
        <f t="shared" si="0"/>
        <v>0</v>
      </c>
      <c r="BT8" s="40">
        <v>46177</v>
      </c>
      <c r="BU8" s="8">
        <v>0</v>
      </c>
      <c r="BV8" s="58">
        <f>VLOOKUP(AQ8,'[1]Harga &amp; Nama CSO'!$A$28:$D$31,4,0)*BP8</f>
        <v>3</v>
      </c>
      <c r="BX8" s="4">
        <v>6</v>
      </c>
      <c r="BY8" s="6" t="s">
        <v>122</v>
      </c>
      <c r="BZ8" s="4">
        <v>1</v>
      </c>
      <c r="CA8" s="7" t="s">
        <v>139</v>
      </c>
      <c r="CB8" s="7" t="s">
        <v>140</v>
      </c>
      <c r="CC8" s="7" t="s">
        <v>141</v>
      </c>
      <c r="CD8" s="4"/>
      <c r="CE8" s="8"/>
      <c r="CF8" s="5"/>
      <c r="CG8" s="5"/>
      <c r="CH8" s="4" t="s">
        <v>126</v>
      </c>
      <c r="CI8" s="5"/>
      <c r="CK8" t="s">
        <v>30</v>
      </c>
      <c r="CL8" s="71">
        <v>0</v>
      </c>
      <c r="CM8" s="71">
        <v>6</v>
      </c>
      <c r="CN8" s="71">
        <v>11</v>
      </c>
      <c r="CO8" s="71">
        <v>5</v>
      </c>
      <c r="CP8" t="s">
        <v>28</v>
      </c>
      <c r="CQ8">
        <v>75</v>
      </c>
      <c r="CR8" s="1">
        <v>25000</v>
      </c>
      <c r="CS8" s="1">
        <v>1875000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C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</row>
    <row r="9" spans="1:132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5"/>
        <v>0</v>
      </c>
      <c r="N9" s="32"/>
      <c r="O9" s="1">
        <v>2150000</v>
      </c>
      <c r="Q9" s="20"/>
      <c r="R9" s="69">
        <f t="shared" si="6"/>
        <v>0</v>
      </c>
      <c r="S9" s="70">
        <f t="shared" si="7"/>
        <v>0</v>
      </c>
      <c r="T9" s="70">
        <f t="shared" si="8"/>
        <v>0</v>
      </c>
      <c r="U9" s="27">
        <f t="shared" si="9"/>
        <v>0</v>
      </c>
      <c r="V9" s="70">
        <f t="shared" si="10"/>
        <v>0</v>
      </c>
      <c r="W9" s="27">
        <f t="shared" si="11"/>
        <v>0</v>
      </c>
      <c r="X9" s="27">
        <f t="shared" si="12"/>
        <v>0</v>
      </c>
      <c r="Y9" s="27">
        <f t="shared" si="13"/>
        <v>0</v>
      </c>
      <c r="Z9" s="27">
        <f t="shared" si="2"/>
        <v>0</v>
      </c>
      <c r="AA9" s="70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98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55">
        <f>IFERROR(VLOOKUP(AQ9,'[1]Harga &amp; Nama CSO'!$H$2:$N$22,2,FALSE),"")*AV9</f>
        <v>115800</v>
      </c>
      <c r="BO9" s="40">
        <v>46177</v>
      </c>
      <c r="BP9" s="39">
        <v>1</v>
      </c>
      <c r="BQ9" s="59">
        <v>115800</v>
      </c>
      <c r="BR9" s="39" t="s">
        <v>111</v>
      </c>
      <c r="BS9" s="57">
        <f t="shared" si="0"/>
        <v>0</v>
      </c>
      <c r="BT9" s="40">
        <v>46178</v>
      </c>
      <c r="BU9" s="8">
        <v>0</v>
      </c>
      <c r="BV9" s="58">
        <f>VLOOKUP(AQ9,'[1]Harga &amp; Nama CSO'!$A$28:$D$31,4,0)*BP9</f>
        <v>3</v>
      </c>
      <c r="BX9" s="4">
        <v>7</v>
      </c>
      <c r="BY9" s="6" t="s">
        <v>122</v>
      </c>
      <c r="BZ9" s="4">
        <v>1</v>
      </c>
      <c r="CA9" s="7" t="s">
        <v>142</v>
      </c>
      <c r="CB9" s="7" t="s">
        <v>143</v>
      </c>
      <c r="CC9" s="7" t="s">
        <v>144</v>
      </c>
      <c r="CD9" s="4"/>
      <c r="CE9" s="8"/>
      <c r="CF9" s="5"/>
      <c r="CG9" s="5"/>
      <c r="CH9" s="4" t="s">
        <v>126</v>
      </c>
      <c r="CI9" s="5"/>
      <c r="CK9" t="s">
        <v>7</v>
      </c>
      <c r="CL9" s="71">
        <v>0</v>
      </c>
      <c r="CM9" s="71">
        <v>0</v>
      </c>
      <c r="CN9" s="71">
        <v>0</v>
      </c>
      <c r="CO9" s="71">
        <v>0</v>
      </c>
      <c r="CP9" t="s">
        <v>28</v>
      </c>
      <c r="CQ9" t="s">
        <v>28</v>
      </c>
      <c r="CR9" s="1">
        <v>40000</v>
      </c>
      <c r="CS9" t="s">
        <v>28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C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B9">
        <v>0</v>
      </c>
    </row>
    <row r="10" spans="1:132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5"/>
        <v>0</v>
      </c>
      <c r="O10" s="1">
        <v>4005500</v>
      </c>
      <c r="Q10" s="20" t="s">
        <v>8</v>
      </c>
      <c r="R10" s="69">
        <f t="shared" si="6"/>
        <v>25</v>
      </c>
      <c r="S10" s="70">
        <f t="shared" si="7"/>
        <v>95</v>
      </c>
      <c r="T10" s="70">
        <f t="shared" si="8"/>
        <v>0</v>
      </c>
      <c r="U10" s="27">
        <f t="shared" si="9"/>
        <v>0</v>
      </c>
      <c r="V10" s="70">
        <f t="shared" si="10"/>
        <v>0</v>
      </c>
      <c r="W10" s="27">
        <f t="shared" si="11"/>
        <v>0</v>
      </c>
      <c r="X10" s="27">
        <f t="shared" si="12"/>
        <v>0</v>
      </c>
      <c r="Y10" s="27">
        <f t="shared" si="13"/>
        <v>0</v>
      </c>
      <c r="Z10" s="27">
        <f t="shared" si="2"/>
        <v>25</v>
      </c>
      <c r="AA10" s="70">
        <f t="shared" si="3"/>
        <v>95</v>
      </c>
      <c r="AB10" s="4">
        <v>600</v>
      </c>
      <c r="AC10" s="27">
        <f t="shared" si="4"/>
        <v>57000</v>
      </c>
      <c r="AE10" t="s">
        <v>79</v>
      </c>
      <c r="AO10" s="39">
        <v>8</v>
      </c>
      <c r="AP10" s="40">
        <v>46177</v>
      </c>
      <c r="AQ10" s="41" t="s">
        <v>98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55">
        <f>IFERROR(VLOOKUP(AQ10,'[1]Harga &amp; Nama CSO'!$H$2:$N$22,2,FALSE),"")*AV10</f>
        <v>115800</v>
      </c>
      <c r="BO10" s="40">
        <v>46177</v>
      </c>
      <c r="BP10" s="39">
        <v>1</v>
      </c>
      <c r="BQ10" s="59">
        <v>115800</v>
      </c>
      <c r="BR10" s="39" t="s">
        <v>111</v>
      </c>
      <c r="BS10" s="57">
        <f t="shared" si="0"/>
        <v>0</v>
      </c>
      <c r="BT10" s="40">
        <v>46178</v>
      </c>
      <c r="BU10" s="9">
        <v>0</v>
      </c>
      <c r="BV10" s="58">
        <f>VLOOKUP(AQ10,'[1]Harga &amp; Nama CSO'!$A$28:$D$31,4,0)*BP10</f>
        <v>3</v>
      </c>
      <c r="BX10" s="4">
        <v>8</v>
      </c>
      <c r="BY10" s="6" t="s">
        <v>122</v>
      </c>
      <c r="BZ10" s="4">
        <v>1</v>
      </c>
      <c r="CA10" s="7" t="s">
        <v>145</v>
      </c>
      <c r="CB10" s="7" t="s">
        <v>146</v>
      </c>
      <c r="CC10" s="7" t="s">
        <v>147</v>
      </c>
      <c r="CD10" s="4"/>
      <c r="CE10" s="8"/>
      <c r="CF10" s="5"/>
      <c r="CG10" s="5"/>
      <c r="CH10" s="4" t="s">
        <v>126</v>
      </c>
      <c r="CI10" s="5"/>
      <c r="CL10" s="71">
        <v>0</v>
      </c>
      <c r="CM10" s="71">
        <v>0</v>
      </c>
      <c r="CN10" s="71">
        <v>0</v>
      </c>
      <c r="CO10" s="71">
        <v>0</v>
      </c>
      <c r="CP10" t="s">
        <v>28</v>
      </c>
      <c r="CQ10" t="s">
        <v>28</v>
      </c>
      <c r="CS10" t="s">
        <v>28</v>
      </c>
      <c r="CU10" t="s">
        <v>8</v>
      </c>
      <c r="CV10">
        <v>95</v>
      </c>
      <c r="CW10">
        <v>0</v>
      </c>
      <c r="CX10">
        <v>0</v>
      </c>
      <c r="CY10">
        <v>0</v>
      </c>
      <c r="CZ10">
        <v>0</v>
      </c>
      <c r="DA10">
        <v>70</v>
      </c>
      <c r="DB10">
        <v>600</v>
      </c>
      <c r="DC10">
        <v>42000</v>
      </c>
      <c r="DE10" t="s">
        <v>8</v>
      </c>
      <c r="DF10">
        <v>20</v>
      </c>
      <c r="DG10">
        <v>50</v>
      </c>
      <c r="DH10">
        <v>25</v>
      </c>
      <c r="DI10">
        <v>0</v>
      </c>
      <c r="DJ10">
        <v>95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95</v>
      </c>
      <c r="EA10">
        <v>600</v>
      </c>
      <c r="EB10">
        <v>57000</v>
      </c>
    </row>
    <row r="11" spans="1:132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125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5"/>
        <v>787</v>
      </c>
      <c r="O11" s="1">
        <v>3819100</v>
      </c>
      <c r="Q11" s="20" t="s">
        <v>31</v>
      </c>
      <c r="R11" s="69">
        <f>CL13+AH20</f>
        <v>0</v>
      </c>
      <c r="S11" s="70">
        <f>CV11+AH5</f>
        <v>0</v>
      </c>
      <c r="T11" s="70">
        <f>CM13+AH19</f>
        <v>0</v>
      </c>
      <c r="U11" s="27">
        <f>CW11+AH4</f>
        <v>27</v>
      </c>
      <c r="V11" s="70">
        <f>CN13+AH21</f>
        <v>0</v>
      </c>
      <c r="W11" s="27">
        <f>CX11+AH6</f>
        <v>21</v>
      </c>
      <c r="X11" s="70">
        <f>CO13+AH22</f>
        <v>0</v>
      </c>
      <c r="Y11" s="27">
        <f>CY11+AH7</f>
        <v>0</v>
      </c>
      <c r="Z11" s="27">
        <f t="shared" si="2"/>
        <v>0</v>
      </c>
      <c r="AA11" s="70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58</v>
      </c>
      <c r="AK11" t="s">
        <v>59</v>
      </c>
      <c r="AL11" t="s">
        <v>27</v>
      </c>
      <c r="AO11" s="39">
        <v>9</v>
      </c>
      <c r="AP11" s="40">
        <v>46177</v>
      </c>
      <c r="AQ11" s="41" t="s">
        <v>99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55">
        <f>IFERROR(VLOOKUP(AQ11,'[1]Harga &amp; Nama CSO'!$H$2:$N$22,2,FALSE),"")*AV11</f>
        <v>118200</v>
      </c>
      <c r="BO11" s="40">
        <v>46177</v>
      </c>
      <c r="BP11" s="39">
        <v>1</v>
      </c>
      <c r="BQ11" s="59">
        <v>118200</v>
      </c>
      <c r="BR11" s="39" t="s">
        <v>111</v>
      </c>
      <c r="BS11" s="57">
        <f t="shared" si="0"/>
        <v>0</v>
      </c>
      <c r="BT11" s="40">
        <v>46178</v>
      </c>
      <c r="BU11" s="9">
        <v>0</v>
      </c>
      <c r="BV11" s="58">
        <f>VLOOKUP(AQ11,'[1]Harga &amp; Nama CSO'!$A$28:$D$31,4,0)*BP11</f>
        <v>3</v>
      </c>
      <c r="BX11" s="4">
        <v>9</v>
      </c>
      <c r="BY11" s="6" t="s">
        <v>148</v>
      </c>
      <c r="BZ11" s="4">
        <v>1</v>
      </c>
      <c r="CA11" s="7" t="s">
        <v>149</v>
      </c>
      <c r="CB11" s="7" t="s">
        <v>150</v>
      </c>
      <c r="CC11" s="7" t="s">
        <v>151</v>
      </c>
      <c r="CD11" s="4"/>
      <c r="CE11" s="8"/>
      <c r="CF11" s="5"/>
      <c r="CG11" s="5"/>
      <c r="CH11" s="4" t="s">
        <v>126</v>
      </c>
      <c r="CI11" s="5"/>
      <c r="CL11" s="71">
        <v>0</v>
      </c>
      <c r="CM11" s="71">
        <v>0</v>
      </c>
      <c r="CN11" s="71">
        <v>0</v>
      </c>
      <c r="CO11" s="71">
        <v>0</v>
      </c>
      <c r="CP11" t="s">
        <v>28</v>
      </c>
      <c r="CQ11" t="s">
        <v>28</v>
      </c>
      <c r="CS11" t="s">
        <v>28</v>
      </c>
      <c r="CU11" t="s">
        <v>31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22500</v>
      </c>
      <c r="DC11">
        <v>0</v>
      </c>
      <c r="DE11" t="s">
        <v>31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22500</v>
      </c>
      <c r="EB11">
        <v>0</v>
      </c>
    </row>
    <row r="12" spans="1:132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5"/>
        <v>13</v>
      </c>
      <c r="O12" s="1">
        <v>4156700</v>
      </c>
      <c r="Q12" s="20" t="s">
        <v>32</v>
      </c>
      <c r="R12" s="69">
        <f>CL14+AI20</f>
        <v>0</v>
      </c>
      <c r="S12" s="70">
        <f>CV12+AI5</f>
        <v>68</v>
      </c>
      <c r="T12" s="70">
        <f>CM14+AI19</f>
        <v>6</v>
      </c>
      <c r="U12" s="27">
        <f>CW12+AI4</f>
        <v>221</v>
      </c>
      <c r="V12" s="70">
        <f>CN14+AI21</f>
        <v>6</v>
      </c>
      <c r="W12" s="27">
        <f>CX12+AI6</f>
        <v>52</v>
      </c>
      <c r="X12" s="70">
        <f>CO14+AI22</f>
        <v>0</v>
      </c>
      <c r="Y12" s="27">
        <f>CY12+AI7</f>
        <v>35</v>
      </c>
      <c r="Z12" s="27">
        <f t="shared" si="2"/>
        <v>12</v>
      </c>
      <c r="AA12" s="70">
        <f t="shared" si="3"/>
        <v>376</v>
      </c>
      <c r="AB12" s="4">
        <v>13500</v>
      </c>
      <c r="AC12" s="27">
        <f t="shared" si="4"/>
        <v>5076000</v>
      </c>
      <c r="AE12" t="s">
        <v>60</v>
      </c>
      <c r="AF12" t="s">
        <v>53</v>
      </c>
      <c r="AG12">
        <v>50</v>
      </c>
      <c r="AH12">
        <f>15000*AG12</f>
        <v>750000</v>
      </c>
      <c r="AI12">
        <v>375000</v>
      </c>
      <c r="AJ12">
        <f>AG12</f>
        <v>50</v>
      </c>
      <c r="AK12">
        <v>0</v>
      </c>
      <c r="AL12">
        <f>AJ12</f>
        <v>50</v>
      </c>
      <c r="AO12" s="39">
        <v>10</v>
      </c>
      <c r="AP12" s="40">
        <v>46177</v>
      </c>
      <c r="AQ12" s="41" t="s">
        <v>98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55">
        <f>IFERROR(VLOOKUP(AQ12,'[1]Harga &amp; Nama CSO'!$H$2:$N$22,2,FALSE),"")*AV12</f>
        <v>115800</v>
      </c>
      <c r="BO12" s="40">
        <v>46177</v>
      </c>
      <c r="BP12" s="39">
        <v>1</v>
      </c>
      <c r="BQ12" s="59">
        <v>115800</v>
      </c>
      <c r="BR12" s="39" t="s">
        <v>111</v>
      </c>
      <c r="BS12" s="57">
        <f t="shared" si="0"/>
        <v>0</v>
      </c>
      <c r="BT12" s="40">
        <v>46178</v>
      </c>
      <c r="BU12" s="9">
        <v>0</v>
      </c>
      <c r="BV12" s="58">
        <f>VLOOKUP(AQ12,'[1]Harga &amp; Nama CSO'!$A$28:$D$31,4,0)*BP12</f>
        <v>3</v>
      </c>
      <c r="BX12" s="4">
        <v>10</v>
      </c>
      <c r="BY12" s="6" t="s">
        <v>148</v>
      </c>
      <c r="BZ12" s="4">
        <v>1</v>
      </c>
      <c r="CA12" s="7" t="s">
        <v>152</v>
      </c>
      <c r="CB12" s="7" t="s">
        <v>153</v>
      </c>
      <c r="CC12" s="7" t="s">
        <v>154</v>
      </c>
      <c r="CD12" s="4"/>
      <c r="CE12" s="9"/>
      <c r="CF12" s="5"/>
      <c r="CG12" s="5"/>
      <c r="CH12" s="4" t="s">
        <v>126</v>
      </c>
      <c r="CI12" s="5"/>
      <c r="CK12" t="s">
        <v>8</v>
      </c>
      <c r="CL12" s="71">
        <v>25</v>
      </c>
      <c r="CM12" s="71">
        <v>0</v>
      </c>
      <c r="CN12" s="71">
        <v>0</v>
      </c>
      <c r="CO12" s="71">
        <v>0</v>
      </c>
      <c r="CP12" t="s">
        <v>28</v>
      </c>
      <c r="CQ12" t="s">
        <v>28</v>
      </c>
      <c r="CR12">
        <v>600</v>
      </c>
      <c r="CS12" t="s">
        <v>28</v>
      </c>
      <c r="CU12" t="s">
        <v>32</v>
      </c>
      <c r="CV12">
        <v>5</v>
      </c>
      <c r="CW12">
        <v>110</v>
      </c>
      <c r="CX12">
        <v>7</v>
      </c>
      <c r="CY12">
        <v>23</v>
      </c>
      <c r="CZ12">
        <v>26</v>
      </c>
      <c r="DA12">
        <v>171</v>
      </c>
      <c r="DB12">
        <v>13500</v>
      </c>
      <c r="DC12">
        <v>2308500</v>
      </c>
      <c r="DE12" t="s">
        <v>32</v>
      </c>
      <c r="DF12">
        <v>5</v>
      </c>
      <c r="DG12">
        <v>0</v>
      </c>
      <c r="DH12">
        <v>0</v>
      </c>
      <c r="DI12">
        <v>0</v>
      </c>
      <c r="DJ12">
        <v>5</v>
      </c>
      <c r="DK12">
        <v>30</v>
      </c>
      <c r="DL12">
        <v>70</v>
      </c>
      <c r="DM12">
        <v>10</v>
      </c>
      <c r="DN12">
        <v>0</v>
      </c>
      <c r="DO12">
        <v>110</v>
      </c>
      <c r="DP12">
        <v>0</v>
      </c>
      <c r="DQ12">
        <v>70</v>
      </c>
      <c r="DR12">
        <v>10</v>
      </c>
      <c r="DS12">
        <v>0</v>
      </c>
      <c r="DT12">
        <v>80</v>
      </c>
      <c r="DU12">
        <v>20</v>
      </c>
      <c r="DV12">
        <v>0</v>
      </c>
      <c r="DW12">
        <v>3</v>
      </c>
      <c r="DX12">
        <v>0</v>
      </c>
      <c r="DY12">
        <v>23</v>
      </c>
      <c r="DZ12">
        <v>218</v>
      </c>
      <c r="EA12">
        <v>13500</v>
      </c>
      <c r="EB12">
        <v>2943000</v>
      </c>
    </row>
    <row r="13" spans="1:132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169</v>
      </c>
      <c r="H13" s="21">
        <v>144</v>
      </c>
      <c r="I13" s="21">
        <v>138</v>
      </c>
      <c r="J13" s="21">
        <v>232</v>
      </c>
      <c r="K13" s="21">
        <v>18</v>
      </c>
      <c r="L13" s="22">
        <f t="shared" si="5"/>
        <v>701</v>
      </c>
      <c r="Q13" s="20" t="s">
        <v>33</v>
      </c>
      <c r="R13" s="69">
        <f t="shared" si="6"/>
        <v>0</v>
      </c>
      <c r="S13" s="70">
        <f t="shared" si="7"/>
        <v>0</v>
      </c>
      <c r="T13" s="70">
        <f t="shared" si="8"/>
        <v>0</v>
      </c>
      <c r="U13" s="27">
        <f t="shared" si="9"/>
        <v>0</v>
      </c>
      <c r="V13" s="70">
        <f t="shared" si="10"/>
        <v>0</v>
      </c>
      <c r="W13" s="27">
        <f t="shared" si="11"/>
        <v>0</v>
      </c>
      <c r="X13" s="27">
        <f t="shared" si="12"/>
        <v>0</v>
      </c>
      <c r="Y13" s="27">
        <f t="shared" si="13"/>
        <v>0</v>
      </c>
      <c r="Z13" s="27">
        <f t="shared" si="2"/>
        <v>0</v>
      </c>
      <c r="AA13" s="70">
        <f t="shared" si="3"/>
        <v>0</v>
      </c>
      <c r="AB13" s="4">
        <v>20000</v>
      </c>
      <c r="AC13" s="27">
        <f t="shared" si="4"/>
        <v>0</v>
      </c>
      <c r="AE13" t="s">
        <v>61</v>
      </c>
      <c r="AF13" t="s">
        <v>54</v>
      </c>
      <c r="AG13">
        <v>50</v>
      </c>
      <c r="AH13">
        <f t="shared" ref="AH13:AH15" si="14">15000*AG13</f>
        <v>750000</v>
      </c>
      <c r="AI13">
        <v>375000</v>
      </c>
      <c r="AJ13">
        <f t="shared" ref="AJ13:AJ15" si="15">AG13</f>
        <v>50</v>
      </c>
      <c r="AK13">
        <v>0</v>
      </c>
      <c r="AL13">
        <f t="shared" ref="AL13:AL15" si="16">AJ13</f>
        <v>50</v>
      </c>
      <c r="AO13" s="39">
        <v>11</v>
      </c>
      <c r="AP13" s="40">
        <v>46177</v>
      </c>
      <c r="AQ13" s="41" t="s">
        <v>98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55">
        <f>IFERROR(VLOOKUP(AQ13,'[1]Harga &amp; Nama CSO'!$H$2:$N$22,2,FALSE),"")*AV13</f>
        <v>115800</v>
      </c>
      <c r="BO13" s="40">
        <v>46177</v>
      </c>
      <c r="BP13" s="39">
        <v>1</v>
      </c>
      <c r="BQ13" s="59">
        <v>115800</v>
      </c>
      <c r="BR13" s="39" t="s">
        <v>111</v>
      </c>
      <c r="BS13" s="57">
        <f t="shared" si="0"/>
        <v>0</v>
      </c>
      <c r="BT13" s="40">
        <v>46178</v>
      </c>
      <c r="BU13" s="9">
        <v>0</v>
      </c>
      <c r="BV13" s="58">
        <f>VLOOKUP(AQ13,'[1]Harga &amp; Nama CSO'!$A$28:$D$31,4,0)*BP13</f>
        <v>3</v>
      </c>
      <c r="BX13" s="4">
        <v>11</v>
      </c>
      <c r="BY13" s="6" t="s">
        <v>148</v>
      </c>
      <c r="BZ13" s="4">
        <v>1</v>
      </c>
      <c r="CA13" s="7" t="s">
        <v>155</v>
      </c>
      <c r="CB13" s="7" t="s">
        <v>156</v>
      </c>
      <c r="CC13" s="7" t="s">
        <v>157</v>
      </c>
      <c r="CD13" s="4"/>
      <c r="CE13" s="9"/>
      <c r="CF13" s="5"/>
      <c r="CG13" s="5"/>
      <c r="CH13" s="4" t="s">
        <v>126</v>
      </c>
      <c r="CI13" s="5"/>
      <c r="CK13" t="s">
        <v>31</v>
      </c>
      <c r="CL13" s="71">
        <v>0</v>
      </c>
      <c r="CM13" s="71">
        <v>0</v>
      </c>
      <c r="CN13" s="71">
        <v>0</v>
      </c>
      <c r="CO13" s="71">
        <v>0</v>
      </c>
      <c r="CP13" t="s">
        <v>28</v>
      </c>
      <c r="CQ13" t="s">
        <v>28</v>
      </c>
      <c r="CR13" s="1">
        <v>22500</v>
      </c>
      <c r="CS13" t="s">
        <v>28</v>
      </c>
      <c r="CU13" t="s">
        <v>33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20000</v>
      </c>
      <c r="DC13">
        <v>0</v>
      </c>
      <c r="DE13" t="s">
        <v>33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20000</v>
      </c>
      <c r="EB13">
        <v>0</v>
      </c>
    </row>
    <row r="14" spans="1:132" x14ac:dyDescent="0.35">
      <c r="A14" s="12" t="s">
        <v>12</v>
      </c>
      <c r="B14" s="13">
        <v>0</v>
      </c>
      <c r="C14" s="14">
        <v>242</v>
      </c>
      <c r="D14" s="13">
        <f t="shared" si="1"/>
        <v>242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5"/>
        <v>0</v>
      </c>
      <c r="Q14" s="20" t="s">
        <v>34</v>
      </c>
      <c r="R14" s="69">
        <f>CL16+AJ20</f>
        <v>0</v>
      </c>
      <c r="S14" s="70">
        <f>CV14+AJ5</f>
        <v>15</v>
      </c>
      <c r="T14" s="70">
        <f>CM16+AJ19</f>
        <v>0</v>
      </c>
      <c r="U14" s="27">
        <f>CW14+AJ4</f>
        <v>53</v>
      </c>
      <c r="V14" s="70">
        <f>CN16+AJ21</f>
        <v>1</v>
      </c>
      <c r="W14" s="27">
        <f>CX14+AJ6</f>
        <v>52</v>
      </c>
      <c r="X14" s="70">
        <f>CO16+AJ22</f>
        <v>15</v>
      </c>
      <c r="Y14" s="27">
        <f>CY14+AJ7</f>
        <v>66</v>
      </c>
      <c r="Z14" s="27">
        <f t="shared" si="2"/>
        <v>16</v>
      </c>
      <c r="AA14" s="70">
        <f t="shared" si="3"/>
        <v>186</v>
      </c>
      <c r="AB14" s="4">
        <v>15400</v>
      </c>
      <c r="AC14" s="27">
        <f t="shared" si="4"/>
        <v>2864400</v>
      </c>
      <c r="AE14" t="s">
        <v>62</v>
      </c>
      <c r="AF14" t="s">
        <v>41</v>
      </c>
      <c r="AG14">
        <v>50</v>
      </c>
      <c r="AH14">
        <f t="shared" si="14"/>
        <v>750000</v>
      </c>
      <c r="AI14">
        <v>750000</v>
      </c>
      <c r="AJ14">
        <f t="shared" si="15"/>
        <v>50</v>
      </c>
      <c r="AK14">
        <v>0</v>
      </c>
      <c r="AL14">
        <f t="shared" si="16"/>
        <v>50</v>
      </c>
      <c r="AO14" s="39">
        <v>12</v>
      </c>
      <c r="AP14" s="40">
        <v>46177</v>
      </c>
      <c r="AQ14" s="41" t="s">
        <v>112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55">
        <f>IFERROR(VLOOKUP(AQ14,'[1]Harga &amp; Nama CSO'!$H$2:$N$22,2,FALSE),"")*AV14</f>
        <v>162600</v>
      </c>
      <c r="BO14" s="40">
        <v>46178</v>
      </c>
      <c r="BP14" s="39">
        <v>1</v>
      </c>
      <c r="BQ14" s="59">
        <v>162600</v>
      </c>
      <c r="BR14" s="39" t="s">
        <v>111</v>
      </c>
      <c r="BS14" s="57">
        <f t="shared" si="0"/>
        <v>0</v>
      </c>
      <c r="BT14" s="40">
        <v>46181</v>
      </c>
      <c r="BU14" s="9">
        <v>0</v>
      </c>
      <c r="BV14" s="58">
        <f>VLOOKUP(AQ14,'[1]Harga &amp; Nama CSO'!$A$28:$D$31,4,0)*BP14</f>
        <v>3</v>
      </c>
      <c r="BX14" s="4">
        <v>12</v>
      </c>
      <c r="BY14" s="6" t="s">
        <v>148</v>
      </c>
      <c r="BZ14" s="4">
        <v>1</v>
      </c>
      <c r="CA14" s="7" t="s">
        <v>158</v>
      </c>
      <c r="CB14" s="7" t="s">
        <v>159</v>
      </c>
      <c r="CC14" s="7" t="s">
        <v>160</v>
      </c>
      <c r="CD14" s="4"/>
      <c r="CE14" s="9"/>
      <c r="CF14" s="5"/>
      <c r="CG14" s="5"/>
      <c r="CH14" s="4" t="s">
        <v>126</v>
      </c>
      <c r="CI14" s="5"/>
      <c r="CK14" t="s">
        <v>32</v>
      </c>
      <c r="CL14" s="71">
        <v>0</v>
      </c>
      <c r="CM14" s="71">
        <v>0</v>
      </c>
      <c r="CN14" s="71">
        <v>0</v>
      </c>
      <c r="CO14" s="71">
        <v>0</v>
      </c>
      <c r="CP14" t="s">
        <v>28</v>
      </c>
      <c r="CQ14" t="s">
        <v>28</v>
      </c>
      <c r="CR14" s="1">
        <v>13500</v>
      </c>
      <c r="CS14" t="s">
        <v>28</v>
      </c>
      <c r="CU14" t="s">
        <v>34</v>
      </c>
      <c r="CV14">
        <v>0</v>
      </c>
      <c r="CW14">
        <v>20</v>
      </c>
      <c r="CX14">
        <v>7</v>
      </c>
      <c r="CY14">
        <v>15</v>
      </c>
      <c r="CZ14">
        <v>15</v>
      </c>
      <c r="DA14">
        <v>56</v>
      </c>
      <c r="DB14">
        <v>14500</v>
      </c>
      <c r="DC14">
        <v>812000</v>
      </c>
      <c r="DE14" t="s">
        <v>34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20</v>
      </c>
      <c r="DN14">
        <v>0</v>
      </c>
      <c r="DO14">
        <v>20</v>
      </c>
      <c r="DP14">
        <v>6</v>
      </c>
      <c r="DQ14">
        <v>0</v>
      </c>
      <c r="DR14">
        <v>20</v>
      </c>
      <c r="DS14">
        <v>0</v>
      </c>
      <c r="DT14">
        <v>26</v>
      </c>
      <c r="DU14">
        <v>10</v>
      </c>
      <c r="DV14">
        <v>5</v>
      </c>
      <c r="DW14">
        <v>0</v>
      </c>
      <c r="DX14">
        <v>0</v>
      </c>
      <c r="DY14">
        <v>15</v>
      </c>
      <c r="DZ14">
        <v>61</v>
      </c>
      <c r="EA14">
        <v>15400</v>
      </c>
      <c r="EB14">
        <v>939400</v>
      </c>
    </row>
    <row r="15" spans="1:132" x14ac:dyDescent="0.35">
      <c r="A15" s="12" t="s">
        <v>13</v>
      </c>
      <c r="B15" s="13">
        <v>126</v>
      </c>
      <c r="C15" s="14">
        <v>0</v>
      </c>
      <c r="D15" s="13">
        <f t="shared" si="1"/>
        <v>126</v>
      </c>
      <c r="F15" s="20" t="s">
        <v>34</v>
      </c>
      <c r="G15" s="21">
        <v>29</v>
      </c>
      <c r="H15" s="21">
        <v>19</v>
      </c>
      <c r="I15" s="21">
        <v>26</v>
      </c>
      <c r="J15" s="21">
        <v>71</v>
      </c>
      <c r="K15" s="21">
        <v>0</v>
      </c>
      <c r="L15" s="22">
        <f t="shared" si="5"/>
        <v>145</v>
      </c>
      <c r="Q15" s="20" t="s">
        <v>35</v>
      </c>
      <c r="R15" s="69">
        <f t="shared" si="6"/>
        <v>10</v>
      </c>
      <c r="S15" s="70">
        <f t="shared" si="7"/>
        <v>40</v>
      </c>
      <c r="T15" s="70">
        <f t="shared" si="8"/>
        <v>20</v>
      </c>
      <c r="U15" s="27">
        <f t="shared" si="9"/>
        <v>150</v>
      </c>
      <c r="V15" s="70">
        <f t="shared" si="10"/>
        <v>13</v>
      </c>
      <c r="W15" s="27">
        <f t="shared" si="11"/>
        <v>115</v>
      </c>
      <c r="X15" s="27">
        <f t="shared" si="12"/>
        <v>0</v>
      </c>
      <c r="Y15" s="27">
        <f t="shared" si="13"/>
        <v>46</v>
      </c>
      <c r="Z15" s="27">
        <f t="shared" si="2"/>
        <v>43</v>
      </c>
      <c r="AA15" s="70">
        <f t="shared" si="3"/>
        <v>351</v>
      </c>
      <c r="AB15" s="4">
        <v>17250</v>
      </c>
      <c r="AC15" s="27">
        <f t="shared" si="4"/>
        <v>6054750</v>
      </c>
      <c r="AE15" t="s">
        <v>63</v>
      </c>
      <c r="AF15" t="s">
        <v>42</v>
      </c>
      <c r="AG15">
        <v>50</v>
      </c>
      <c r="AH15">
        <f t="shared" si="14"/>
        <v>750000</v>
      </c>
      <c r="AI15">
        <v>375000</v>
      </c>
      <c r="AJ15">
        <f t="shared" si="15"/>
        <v>50</v>
      </c>
      <c r="AK15">
        <v>0</v>
      </c>
      <c r="AL15">
        <f t="shared" si="16"/>
        <v>50</v>
      </c>
      <c r="AO15" s="39">
        <v>13</v>
      </c>
      <c r="AP15" s="40">
        <v>46177</v>
      </c>
      <c r="AQ15" s="41" t="s">
        <v>112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55">
        <f>IFERROR(VLOOKUP(AQ15,'[1]Harga &amp; Nama CSO'!$H$2:$N$22,2,FALSE),"")*AV15</f>
        <v>162600</v>
      </c>
      <c r="BO15" s="40">
        <v>46178</v>
      </c>
      <c r="BP15" s="39">
        <v>1</v>
      </c>
      <c r="BQ15" s="59">
        <v>162600</v>
      </c>
      <c r="BR15" s="39" t="s">
        <v>111</v>
      </c>
      <c r="BS15" s="57">
        <f t="shared" si="0"/>
        <v>0</v>
      </c>
      <c r="BT15" s="40">
        <v>46181</v>
      </c>
      <c r="BU15" s="9">
        <v>0</v>
      </c>
      <c r="BV15" s="58">
        <f>VLOOKUP(AQ15,'[1]Harga &amp; Nama CSO'!$A$28:$D$31,4,0)*BP15</f>
        <v>3</v>
      </c>
      <c r="BX15" s="4">
        <v>13</v>
      </c>
      <c r="BY15" s="6" t="s">
        <v>148</v>
      </c>
      <c r="BZ15" s="4">
        <v>1</v>
      </c>
      <c r="CA15" s="7" t="s">
        <v>161</v>
      </c>
      <c r="CB15" s="7" t="s">
        <v>162</v>
      </c>
      <c r="CC15" s="7" t="s">
        <v>163</v>
      </c>
      <c r="CD15" s="4"/>
      <c r="CE15" s="8"/>
      <c r="CF15" s="5"/>
      <c r="CG15" s="5"/>
      <c r="CH15" s="4" t="s">
        <v>126</v>
      </c>
      <c r="CI15" s="5"/>
      <c r="CK15" t="s">
        <v>33</v>
      </c>
      <c r="CL15" s="71">
        <v>0</v>
      </c>
      <c r="CM15" s="71">
        <v>0</v>
      </c>
      <c r="CN15" s="71">
        <v>0</v>
      </c>
      <c r="CO15" s="71">
        <v>0</v>
      </c>
      <c r="CP15" t="s">
        <v>28</v>
      </c>
      <c r="CQ15" t="s">
        <v>28</v>
      </c>
      <c r="CR15" s="1">
        <v>20000</v>
      </c>
      <c r="CS15" t="s">
        <v>28</v>
      </c>
      <c r="CU15" t="s">
        <v>35</v>
      </c>
      <c r="CV15">
        <v>40</v>
      </c>
      <c r="CW15">
        <v>150</v>
      </c>
      <c r="CX15">
        <v>115</v>
      </c>
      <c r="CY15">
        <v>46</v>
      </c>
      <c r="CZ15">
        <v>15</v>
      </c>
      <c r="DA15">
        <v>323</v>
      </c>
      <c r="DB15">
        <v>17250</v>
      </c>
      <c r="DC15">
        <v>5571750</v>
      </c>
      <c r="DE15" t="s">
        <v>35</v>
      </c>
      <c r="DF15">
        <v>10</v>
      </c>
      <c r="DG15">
        <v>20</v>
      </c>
      <c r="DH15">
        <v>10</v>
      </c>
      <c r="DI15">
        <v>0</v>
      </c>
      <c r="DJ15">
        <v>40</v>
      </c>
      <c r="DK15">
        <v>15</v>
      </c>
      <c r="DL15">
        <v>70</v>
      </c>
      <c r="DM15">
        <v>65</v>
      </c>
      <c r="DN15">
        <v>0</v>
      </c>
      <c r="DO15">
        <v>150</v>
      </c>
      <c r="DP15">
        <v>27</v>
      </c>
      <c r="DQ15">
        <v>70</v>
      </c>
      <c r="DR15">
        <v>65</v>
      </c>
      <c r="DS15">
        <v>0</v>
      </c>
      <c r="DT15">
        <v>162</v>
      </c>
      <c r="DU15">
        <v>0</v>
      </c>
      <c r="DV15">
        <v>26</v>
      </c>
      <c r="DW15">
        <v>20</v>
      </c>
      <c r="DX15">
        <v>0</v>
      </c>
      <c r="DY15">
        <v>46</v>
      </c>
      <c r="DZ15">
        <v>398</v>
      </c>
      <c r="EA15">
        <v>17250</v>
      </c>
      <c r="EB15">
        <v>6865500</v>
      </c>
    </row>
    <row r="16" spans="1:132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74</v>
      </c>
      <c r="H16" s="21">
        <v>50</v>
      </c>
      <c r="I16" s="21">
        <v>60</v>
      </c>
      <c r="J16" s="21">
        <v>70</v>
      </c>
      <c r="K16" s="21">
        <v>18</v>
      </c>
      <c r="L16" s="22">
        <f t="shared" si="5"/>
        <v>272</v>
      </c>
      <c r="Q16" s="20" t="s">
        <v>36</v>
      </c>
      <c r="R16" s="69">
        <f t="shared" si="6"/>
        <v>10</v>
      </c>
      <c r="S16" s="70">
        <f t="shared" si="7"/>
        <v>25</v>
      </c>
      <c r="T16" s="70">
        <f t="shared" si="8"/>
        <v>8</v>
      </c>
      <c r="U16" s="27">
        <f t="shared" si="9"/>
        <v>49</v>
      </c>
      <c r="V16" s="70">
        <f t="shared" si="10"/>
        <v>0</v>
      </c>
      <c r="W16" s="27">
        <f t="shared" si="11"/>
        <v>3</v>
      </c>
      <c r="X16" s="27">
        <f t="shared" si="12"/>
        <v>0</v>
      </c>
      <c r="Y16" s="27">
        <f t="shared" si="13"/>
        <v>18</v>
      </c>
      <c r="Z16" s="27">
        <f t="shared" si="2"/>
        <v>18</v>
      </c>
      <c r="AA16" s="70">
        <f t="shared" si="3"/>
        <v>95</v>
      </c>
      <c r="AB16" s="4">
        <v>23800</v>
      </c>
      <c r="AC16" s="27">
        <f t="shared" si="4"/>
        <v>2261000</v>
      </c>
      <c r="AG16">
        <f>SUM(AG12:AG15)</f>
        <v>200</v>
      </c>
      <c r="AH16">
        <f t="shared" ref="AH16:AL16" si="17">SUM(AH12:AH15)</f>
        <v>3000000</v>
      </c>
      <c r="AI16">
        <f t="shared" si="17"/>
        <v>1875000</v>
      </c>
      <c r="AJ16">
        <f t="shared" si="17"/>
        <v>200</v>
      </c>
      <c r="AK16">
        <f t="shared" si="17"/>
        <v>0</v>
      </c>
      <c r="AL16">
        <f t="shared" si="17"/>
        <v>200</v>
      </c>
      <c r="AO16" s="39">
        <v>14</v>
      </c>
      <c r="AP16" s="40">
        <v>46177</v>
      </c>
      <c r="AQ16" s="41" t="s">
        <v>112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55">
        <f>IFERROR(VLOOKUP(AQ16,'[1]Harga &amp; Nama CSO'!$H$2:$N$22,2,FALSE),"")*AV16</f>
        <v>162600</v>
      </c>
      <c r="BO16" s="40">
        <v>46178</v>
      </c>
      <c r="BP16" s="39">
        <v>1</v>
      </c>
      <c r="BQ16" s="59">
        <v>162600</v>
      </c>
      <c r="BR16" s="39" t="s">
        <v>111</v>
      </c>
      <c r="BS16" s="57">
        <f t="shared" si="0"/>
        <v>0</v>
      </c>
      <c r="BT16" s="40">
        <v>46181</v>
      </c>
      <c r="BU16" s="9">
        <v>0</v>
      </c>
      <c r="BV16" s="58">
        <f>VLOOKUP(AQ16,'[1]Harga &amp; Nama CSO'!$A$28:$D$31,4,0)*BP16</f>
        <v>3</v>
      </c>
      <c r="BX16" s="4">
        <v>14</v>
      </c>
      <c r="BY16" s="6" t="s">
        <v>148</v>
      </c>
      <c r="BZ16" s="4">
        <v>1</v>
      </c>
      <c r="CA16" s="7" t="s">
        <v>166</v>
      </c>
      <c r="CB16" s="7" t="s">
        <v>167</v>
      </c>
      <c r="CC16" s="7" t="s">
        <v>168</v>
      </c>
      <c r="CD16" s="4"/>
      <c r="CE16" s="9"/>
      <c r="CF16" s="5"/>
      <c r="CG16" s="10"/>
      <c r="CH16" s="4" t="s">
        <v>126</v>
      </c>
      <c r="CI16" s="10"/>
      <c r="CK16" t="s">
        <v>34</v>
      </c>
      <c r="CL16" s="71">
        <v>0</v>
      </c>
      <c r="CM16" s="71">
        <v>0</v>
      </c>
      <c r="CN16" s="71">
        <v>1</v>
      </c>
      <c r="CO16" s="71">
        <v>0</v>
      </c>
      <c r="CP16" t="s">
        <v>28</v>
      </c>
      <c r="CQ16" t="s">
        <v>28</v>
      </c>
      <c r="CR16" s="1">
        <v>15400</v>
      </c>
      <c r="CS16" t="s">
        <v>28</v>
      </c>
      <c r="CU16" t="s">
        <v>36</v>
      </c>
      <c r="CV16">
        <v>25</v>
      </c>
      <c r="CW16">
        <v>49</v>
      </c>
      <c r="CX16">
        <v>3</v>
      </c>
      <c r="CY16">
        <v>18</v>
      </c>
      <c r="CZ16">
        <v>15</v>
      </c>
      <c r="DA16">
        <v>92</v>
      </c>
      <c r="DB16">
        <v>23000</v>
      </c>
      <c r="DC16">
        <v>2116000</v>
      </c>
      <c r="DE16" t="s">
        <v>36</v>
      </c>
      <c r="DF16">
        <v>0</v>
      </c>
      <c r="DG16">
        <v>15</v>
      </c>
      <c r="DH16">
        <v>10</v>
      </c>
      <c r="DI16">
        <v>0</v>
      </c>
      <c r="DJ16">
        <v>25</v>
      </c>
      <c r="DK16">
        <v>7</v>
      </c>
      <c r="DL16">
        <v>20</v>
      </c>
      <c r="DM16">
        <v>22</v>
      </c>
      <c r="DN16">
        <v>0</v>
      </c>
      <c r="DO16">
        <v>49</v>
      </c>
      <c r="DP16">
        <v>0</v>
      </c>
      <c r="DQ16">
        <v>20</v>
      </c>
      <c r="DR16">
        <v>22</v>
      </c>
      <c r="DS16">
        <v>0</v>
      </c>
      <c r="DT16">
        <v>42</v>
      </c>
      <c r="DU16">
        <v>2</v>
      </c>
      <c r="DV16">
        <v>16</v>
      </c>
      <c r="DW16">
        <v>0</v>
      </c>
      <c r="DX16">
        <v>0</v>
      </c>
      <c r="DY16">
        <v>18</v>
      </c>
      <c r="DZ16">
        <v>134</v>
      </c>
      <c r="EA16">
        <v>23800</v>
      </c>
      <c r="EB16">
        <v>3189200</v>
      </c>
    </row>
    <row r="17" spans="1:132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51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5"/>
        <v>200</v>
      </c>
      <c r="Q17" s="20" t="s">
        <v>15</v>
      </c>
      <c r="R17" s="69">
        <f t="shared" si="6"/>
        <v>0</v>
      </c>
      <c r="S17" s="70">
        <f t="shared" si="7"/>
        <v>0</v>
      </c>
      <c r="T17" s="70">
        <f t="shared" si="8"/>
        <v>0</v>
      </c>
      <c r="U17" s="27">
        <f t="shared" si="9"/>
        <v>19</v>
      </c>
      <c r="V17" s="70">
        <f t="shared" si="10"/>
        <v>0</v>
      </c>
      <c r="W17" s="27">
        <f t="shared" si="11"/>
        <v>3</v>
      </c>
      <c r="X17" s="27">
        <f t="shared" si="12"/>
        <v>0</v>
      </c>
      <c r="Y17" s="27">
        <f t="shared" si="13"/>
        <v>0</v>
      </c>
      <c r="Z17" s="27">
        <f t="shared" si="2"/>
        <v>0</v>
      </c>
      <c r="AA17" s="70">
        <f t="shared" si="3"/>
        <v>22</v>
      </c>
      <c r="AB17" s="4">
        <v>30000</v>
      </c>
      <c r="AC17" s="27">
        <f t="shared" si="4"/>
        <v>660000</v>
      </c>
      <c r="AO17" s="39">
        <v>15</v>
      </c>
      <c r="AP17" s="40">
        <v>46177</v>
      </c>
      <c r="AQ17" s="41" t="s">
        <v>112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55">
        <f>IFERROR(VLOOKUP(AQ17,'[1]Harga &amp; Nama CSO'!$H$2:$N$22,2,FALSE),"")*AV17</f>
        <v>162600</v>
      </c>
      <c r="BO17" s="40">
        <v>46178</v>
      </c>
      <c r="BP17" s="39">
        <v>1</v>
      </c>
      <c r="BQ17" s="59">
        <v>162600</v>
      </c>
      <c r="BR17" s="39" t="s">
        <v>111</v>
      </c>
      <c r="BS17" s="57">
        <f t="shared" si="0"/>
        <v>0</v>
      </c>
      <c r="BT17" s="40">
        <v>46181</v>
      </c>
      <c r="BU17" s="9">
        <v>0</v>
      </c>
      <c r="BV17" s="58">
        <f>VLOOKUP(AQ17,'[1]Harga &amp; Nama CSO'!$A$28:$D$31,4,0)*BP17</f>
        <v>3</v>
      </c>
      <c r="BX17" s="4">
        <v>15</v>
      </c>
      <c r="BY17" s="6"/>
      <c r="BZ17" s="4"/>
      <c r="CA17" s="7"/>
      <c r="CB17" s="7"/>
      <c r="CC17" s="7"/>
      <c r="CD17" s="4"/>
      <c r="CE17" s="9"/>
      <c r="CF17" s="5"/>
      <c r="CG17" s="10"/>
      <c r="CH17" s="4"/>
      <c r="CI17" s="10"/>
      <c r="CK17" t="s">
        <v>35</v>
      </c>
      <c r="CL17" s="71">
        <v>10</v>
      </c>
      <c r="CM17" s="71">
        <v>20</v>
      </c>
      <c r="CN17" s="71">
        <v>13</v>
      </c>
      <c r="CO17" s="71">
        <v>0</v>
      </c>
      <c r="CP17" t="s">
        <v>28</v>
      </c>
      <c r="CQ17">
        <v>5</v>
      </c>
      <c r="CR17" s="1">
        <v>17250</v>
      </c>
      <c r="CS17" s="1">
        <v>86250</v>
      </c>
      <c r="CU17" t="s">
        <v>15</v>
      </c>
      <c r="CV17">
        <v>0</v>
      </c>
      <c r="CW17">
        <v>19</v>
      </c>
      <c r="CX17">
        <v>3</v>
      </c>
      <c r="CY17">
        <v>0</v>
      </c>
      <c r="CZ17">
        <v>2</v>
      </c>
      <c r="DA17">
        <v>24</v>
      </c>
      <c r="DB17">
        <v>30000</v>
      </c>
      <c r="DC17">
        <v>720000</v>
      </c>
      <c r="DE17" t="s">
        <v>15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3</v>
      </c>
      <c r="DL17">
        <v>16</v>
      </c>
      <c r="DM17">
        <v>0</v>
      </c>
      <c r="DN17">
        <v>0</v>
      </c>
      <c r="DO17">
        <v>19</v>
      </c>
      <c r="DP17">
        <v>0</v>
      </c>
      <c r="DQ17">
        <v>16</v>
      </c>
      <c r="DR17">
        <v>0</v>
      </c>
      <c r="DS17">
        <v>0</v>
      </c>
      <c r="DT17">
        <v>16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35</v>
      </c>
      <c r="EA17">
        <v>30000</v>
      </c>
      <c r="EB17">
        <v>1050000</v>
      </c>
    </row>
    <row r="18" spans="1:132" x14ac:dyDescent="0.35">
      <c r="A18" s="12" t="s">
        <v>16</v>
      </c>
      <c r="B18" s="13">
        <v>0</v>
      </c>
      <c r="C18" s="14">
        <v>171</v>
      </c>
      <c r="D18" s="13">
        <f t="shared" si="1"/>
        <v>171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5"/>
        <v>96</v>
      </c>
      <c r="Q18" s="20" t="s">
        <v>16</v>
      </c>
      <c r="R18" s="69">
        <f>CL20+AK20</f>
        <v>0</v>
      </c>
      <c r="S18" s="70">
        <f>CV18+AK5</f>
        <v>78</v>
      </c>
      <c r="T18" s="70">
        <f>CM20+AK19</f>
        <v>6</v>
      </c>
      <c r="U18" s="27">
        <f>CW18+AK4</f>
        <v>117</v>
      </c>
      <c r="V18" s="70">
        <f>CN20+AK21</f>
        <v>6</v>
      </c>
      <c r="W18" s="27">
        <f>CX18+AK6</f>
        <v>69</v>
      </c>
      <c r="X18" s="70">
        <f>CO20+AK22</f>
        <v>15</v>
      </c>
      <c r="Y18" s="27">
        <f>CY18+AK7</f>
        <v>63</v>
      </c>
      <c r="Z18" s="27">
        <f t="shared" si="2"/>
        <v>27</v>
      </c>
      <c r="AA18" s="70">
        <f t="shared" si="3"/>
        <v>327</v>
      </c>
      <c r="AB18" s="4">
        <v>6900</v>
      </c>
      <c r="AC18" s="27">
        <f t="shared" si="4"/>
        <v>2256300</v>
      </c>
      <c r="AF18" t="s">
        <v>5</v>
      </c>
      <c r="AG18" t="s">
        <v>52</v>
      </c>
      <c r="AH18" t="s">
        <v>171</v>
      </c>
      <c r="AI18" t="s">
        <v>102</v>
      </c>
      <c r="AJ18" t="s">
        <v>104</v>
      </c>
      <c r="AK18" t="s">
        <v>105</v>
      </c>
      <c r="AL18" t="s">
        <v>106</v>
      </c>
      <c r="AO18" s="39">
        <v>16</v>
      </c>
      <c r="AP18" s="40">
        <v>46177</v>
      </c>
      <c r="AQ18" s="41" t="s">
        <v>112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55">
        <f>IFERROR(VLOOKUP(AQ18,'[1]Harga &amp; Nama CSO'!$H$2:$N$22,2,FALSE),"")*AV18</f>
        <v>162600</v>
      </c>
      <c r="BO18" s="40">
        <v>46178</v>
      </c>
      <c r="BP18" s="39">
        <v>1</v>
      </c>
      <c r="BQ18" s="59">
        <v>162600</v>
      </c>
      <c r="BR18" s="39" t="s">
        <v>111</v>
      </c>
      <c r="BS18" s="57">
        <f t="shared" si="0"/>
        <v>0</v>
      </c>
      <c r="BT18" s="40">
        <v>46181</v>
      </c>
      <c r="BU18" s="9">
        <v>0</v>
      </c>
      <c r="BV18" s="58">
        <f>VLOOKUP(AQ18,'[1]Harga &amp; Nama CSO'!$A$28:$D$31,4,0)*BP18</f>
        <v>3</v>
      </c>
      <c r="BX18" s="4">
        <v>16</v>
      </c>
      <c r="BY18" s="6"/>
      <c r="BZ18" s="4"/>
      <c r="CA18" s="7"/>
      <c r="CB18" s="7"/>
      <c r="CC18" s="7"/>
      <c r="CD18" s="4"/>
      <c r="CE18" s="9"/>
      <c r="CF18" s="5"/>
      <c r="CG18" s="10"/>
      <c r="CH18" s="4"/>
      <c r="CI18" s="10"/>
      <c r="CK18" t="s">
        <v>36</v>
      </c>
      <c r="CL18" s="71">
        <v>10</v>
      </c>
      <c r="CM18" s="71">
        <v>8</v>
      </c>
      <c r="CN18" s="71">
        <v>0</v>
      </c>
      <c r="CO18" s="71">
        <v>0</v>
      </c>
      <c r="CP18" t="s">
        <v>28</v>
      </c>
      <c r="CQ18" t="s">
        <v>28</v>
      </c>
      <c r="CR18" s="1">
        <v>23800</v>
      </c>
      <c r="CS18" t="s">
        <v>28</v>
      </c>
      <c r="CU18" t="s">
        <v>16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6900</v>
      </c>
      <c r="DC18">
        <v>0</v>
      </c>
      <c r="DE18" t="s">
        <v>16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6900</v>
      </c>
      <c r="EB18">
        <v>0</v>
      </c>
    </row>
    <row r="19" spans="1:132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5"/>
        <v>0</v>
      </c>
      <c r="Q19" s="20" t="s">
        <v>17</v>
      </c>
      <c r="R19" s="69">
        <f t="shared" si="6"/>
        <v>0</v>
      </c>
      <c r="S19" s="70">
        <f t="shared" si="7"/>
        <v>0</v>
      </c>
      <c r="T19" s="70">
        <f t="shared" si="8"/>
        <v>0</v>
      </c>
      <c r="U19" s="27">
        <f t="shared" si="9"/>
        <v>0</v>
      </c>
      <c r="V19" s="27">
        <f t="shared" ref="V19:V23" si="18">CN21</f>
        <v>0</v>
      </c>
      <c r="W19" s="27">
        <f t="shared" si="11"/>
        <v>0</v>
      </c>
      <c r="X19" s="27">
        <f t="shared" si="12"/>
        <v>0</v>
      </c>
      <c r="Y19" s="27">
        <f t="shared" si="13"/>
        <v>0</v>
      </c>
      <c r="Z19" s="27">
        <f t="shared" si="2"/>
        <v>0</v>
      </c>
      <c r="AA19" s="70">
        <f t="shared" si="3"/>
        <v>0</v>
      </c>
      <c r="AB19" s="4">
        <v>7000</v>
      </c>
      <c r="AC19" s="27">
        <f t="shared" si="4"/>
        <v>0</v>
      </c>
      <c r="AE19" t="s">
        <v>53</v>
      </c>
      <c r="AG19">
        <v>6</v>
      </c>
      <c r="AI19">
        <v>6</v>
      </c>
      <c r="AJ19" s="64"/>
      <c r="AK19" s="64">
        <v>6</v>
      </c>
      <c r="AL19" s="64"/>
      <c r="AO19" s="39">
        <v>17</v>
      </c>
      <c r="AP19" s="40">
        <v>46177</v>
      </c>
      <c r="AQ19" s="41" t="s">
        <v>98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55">
        <f>IFERROR(VLOOKUP(AQ19,'[1]Harga &amp; Nama CSO'!$H$2:$N$22,2,FALSE),"")*AV19</f>
        <v>115800</v>
      </c>
      <c r="BO19" s="40">
        <v>46178</v>
      </c>
      <c r="BP19" s="39">
        <v>1</v>
      </c>
      <c r="BQ19" s="59">
        <v>115800</v>
      </c>
      <c r="BR19" s="39" t="s">
        <v>111</v>
      </c>
      <c r="BS19" s="57">
        <f t="shared" si="0"/>
        <v>0</v>
      </c>
      <c r="BT19" s="40">
        <v>46181</v>
      </c>
      <c r="BU19" s="9">
        <v>0</v>
      </c>
      <c r="BV19" s="58">
        <f>VLOOKUP(AQ19,'[1]Harga &amp; Nama CSO'!$A$28:$D$31,4,0)*BP19</f>
        <v>3</v>
      </c>
      <c r="CK19" t="s">
        <v>15</v>
      </c>
      <c r="CL19" s="71">
        <v>0</v>
      </c>
      <c r="CM19" s="71">
        <v>0</v>
      </c>
      <c r="CN19" s="71">
        <v>0</v>
      </c>
      <c r="CO19" s="71">
        <v>0</v>
      </c>
      <c r="CP19" t="s">
        <v>28</v>
      </c>
      <c r="CQ19" t="s">
        <v>28</v>
      </c>
      <c r="CR19" s="1">
        <v>30000</v>
      </c>
      <c r="CS19" t="s">
        <v>28</v>
      </c>
      <c r="CU19" t="s">
        <v>17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7000</v>
      </c>
      <c r="DC19">
        <v>0</v>
      </c>
      <c r="DE19" t="s">
        <v>17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7000</v>
      </c>
      <c r="EB19">
        <v>0</v>
      </c>
    </row>
    <row r="20" spans="1:132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5"/>
        <v>1</v>
      </c>
      <c r="Q20" s="20" t="s">
        <v>18</v>
      </c>
      <c r="R20" s="69">
        <f t="shared" si="6"/>
        <v>0</v>
      </c>
      <c r="S20" s="70">
        <f t="shared" si="7"/>
        <v>0</v>
      </c>
      <c r="T20" s="70">
        <f t="shared" si="8"/>
        <v>0</v>
      </c>
      <c r="U20" s="27">
        <f t="shared" si="9"/>
        <v>0</v>
      </c>
      <c r="V20" s="27">
        <f t="shared" si="18"/>
        <v>0</v>
      </c>
      <c r="W20" s="27">
        <f t="shared" si="11"/>
        <v>6</v>
      </c>
      <c r="X20" s="27">
        <f t="shared" si="12"/>
        <v>0</v>
      </c>
      <c r="Y20" s="27">
        <f t="shared" si="13"/>
        <v>6</v>
      </c>
      <c r="Z20" s="27">
        <f t="shared" si="2"/>
        <v>0</v>
      </c>
      <c r="AA20" s="70">
        <f t="shared" si="3"/>
        <v>12</v>
      </c>
      <c r="AB20" s="4">
        <v>12000</v>
      </c>
      <c r="AC20" s="27">
        <f t="shared" si="4"/>
        <v>144000</v>
      </c>
      <c r="AE20" t="s">
        <v>54</v>
      </c>
      <c r="AH20" s="28"/>
      <c r="AI20" s="28"/>
      <c r="AJ20" s="64"/>
      <c r="AK20" s="64"/>
      <c r="AL20" s="64"/>
      <c r="AO20" s="39">
        <v>18</v>
      </c>
      <c r="AP20" s="40">
        <v>46178</v>
      </c>
      <c r="AQ20" s="41" t="s">
        <v>98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55">
        <f>IFERROR(VLOOKUP(AQ20,'[1]Harga &amp; Nama CSO'!$H$2:$N$22,2,FALSE),"")*AV20</f>
        <v>115800</v>
      </c>
      <c r="BO20" s="40">
        <v>46178</v>
      </c>
      <c r="BP20" s="39">
        <v>1</v>
      </c>
      <c r="BQ20" s="59">
        <v>115800</v>
      </c>
      <c r="BR20" s="39" t="s">
        <v>111</v>
      </c>
      <c r="BS20" s="57">
        <f t="shared" si="0"/>
        <v>0</v>
      </c>
      <c r="BT20" s="40">
        <v>46181</v>
      </c>
      <c r="BU20" s="8">
        <v>0</v>
      </c>
      <c r="BV20" s="58">
        <f>VLOOKUP(AQ20,'[1]Harga &amp; Nama CSO'!$A$28:$D$31,4,0)*BP20</f>
        <v>3</v>
      </c>
      <c r="CK20" t="s">
        <v>16</v>
      </c>
      <c r="CL20" s="71">
        <v>0</v>
      </c>
      <c r="CM20" s="71">
        <v>0</v>
      </c>
      <c r="CN20" s="71">
        <v>0</v>
      </c>
      <c r="CO20" s="71">
        <v>0</v>
      </c>
      <c r="CP20" t="s">
        <v>28</v>
      </c>
      <c r="CQ20" t="s">
        <v>28</v>
      </c>
      <c r="CR20" s="1">
        <v>6900</v>
      </c>
      <c r="CS20" t="s">
        <v>28</v>
      </c>
      <c r="CU20" t="s">
        <v>18</v>
      </c>
      <c r="CV20">
        <v>0</v>
      </c>
      <c r="CW20">
        <v>0</v>
      </c>
      <c r="CX20">
        <v>6</v>
      </c>
      <c r="CY20">
        <v>6</v>
      </c>
      <c r="CZ20">
        <v>0</v>
      </c>
      <c r="DA20">
        <v>12</v>
      </c>
      <c r="DB20">
        <v>12000</v>
      </c>
      <c r="DC20">
        <v>144000</v>
      </c>
      <c r="DE20" t="s">
        <v>18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6</v>
      </c>
      <c r="DW20">
        <v>0</v>
      </c>
      <c r="DX20">
        <v>0</v>
      </c>
      <c r="DY20">
        <v>6</v>
      </c>
      <c r="DZ20">
        <v>6</v>
      </c>
      <c r="EA20">
        <v>12000</v>
      </c>
      <c r="EB20">
        <v>72000</v>
      </c>
    </row>
    <row r="21" spans="1:132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70</v>
      </c>
      <c r="I21" s="21">
        <v>15</v>
      </c>
      <c r="J21" s="21">
        <v>0</v>
      </c>
      <c r="K21" s="21">
        <v>0</v>
      </c>
      <c r="L21" s="22">
        <f t="shared" si="5"/>
        <v>96</v>
      </c>
      <c r="Q21" s="20" t="s">
        <v>19</v>
      </c>
      <c r="R21" s="69">
        <f t="shared" si="6"/>
        <v>0</v>
      </c>
      <c r="S21" s="70">
        <f t="shared" si="7"/>
        <v>62</v>
      </c>
      <c r="T21" s="70">
        <f t="shared" si="8"/>
        <v>14</v>
      </c>
      <c r="U21" s="27">
        <f t="shared" si="9"/>
        <v>129</v>
      </c>
      <c r="V21" s="27">
        <f t="shared" si="18"/>
        <v>15</v>
      </c>
      <c r="W21" s="27">
        <f t="shared" si="11"/>
        <v>63</v>
      </c>
      <c r="X21" s="27">
        <f t="shared" si="12"/>
        <v>0</v>
      </c>
      <c r="Y21" s="27">
        <f t="shared" si="13"/>
        <v>26</v>
      </c>
      <c r="Z21" s="27">
        <f t="shared" si="2"/>
        <v>29</v>
      </c>
      <c r="AA21" s="70">
        <f t="shared" si="3"/>
        <v>280</v>
      </c>
      <c r="AB21" s="4">
        <v>9600</v>
      </c>
      <c r="AC21" s="27">
        <f t="shared" si="4"/>
        <v>2688000</v>
      </c>
      <c r="AE21" t="s">
        <v>41</v>
      </c>
      <c r="AG21">
        <v>6</v>
      </c>
      <c r="AH21" s="28"/>
      <c r="AI21" s="28">
        <v>6</v>
      </c>
      <c r="AJ21" s="64"/>
      <c r="AK21" s="64">
        <v>6</v>
      </c>
      <c r="AL21" s="64"/>
      <c r="AO21" s="39">
        <v>19</v>
      </c>
      <c r="AP21" s="40">
        <v>46181</v>
      </c>
      <c r="AQ21" s="41" t="s">
        <v>98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55">
        <f>IFERROR(VLOOKUP(AQ21,'[1]Harga &amp; Nama CSO'!$H$2:$N$22,2,FALSE),"")*AV21</f>
        <v>115800</v>
      </c>
      <c r="BO21" s="40">
        <v>46181</v>
      </c>
      <c r="BP21" s="39">
        <v>1</v>
      </c>
      <c r="BQ21" s="59">
        <v>115800</v>
      </c>
      <c r="BR21" s="39" t="s">
        <v>111</v>
      </c>
      <c r="BS21" s="57">
        <f t="shared" si="0"/>
        <v>0</v>
      </c>
      <c r="BT21" s="40">
        <v>46182</v>
      </c>
      <c r="BU21" s="8">
        <v>0</v>
      </c>
      <c r="BV21" s="58">
        <f>VLOOKUP(AQ21,'[1]Harga &amp; Nama CSO'!$A$28:$D$31,4,0)*BP21</f>
        <v>3</v>
      </c>
      <c r="CK21" t="s">
        <v>17</v>
      </c>
      <c r="CL21" s="71">
        <v>0</v>
      </c>
      <c r="CM21" s="71">
        <v>0</v>
      </c>
      <c r="CN21" s="71">
        <v>0</v>
      </c>
      <c r="CO21" s="71">
        <v>0</v>
      </c>
      <c r="CP21" t="s">
        <v>28</v>
      </c>
      <c r="CQ21" t="s">
        <v>28</v>
      </c>
      <c r="CR21" s="1">
        <v>7000</v>
      </c>
      <c r="CS21" t="s">
        <v>28</v>
      </c>
      <c r="CU21" t="s">
        <v>19</v>
      </c>
      <c r="CV21">
        <v>62</v>
      </c>
      <c r="CW21">
        <v>129</v>
      </c>
      <c r="CX21">
        <v>63</v>
      </c>
      <c r="CY21">
        <v>26</v>
      </c>
      <c r="CZ21">
        <v>2</v>
      </c>
      <c r="DA21">
        <v>253</v>
      </c>
      <c r="DB21">
        <v>9600</v>
      </c>
      <c r="DC21">
        <v>2428800</v>
      </c>
      <c r="DE21" t="s">
        <v>19</v>
      </c>
      <c r="DF21">
        <v>30</v>
      </c>
      <c r="DG21">
        <v>6</v>
      </c>
      <c r="DH21">
        <v>26</v>
      </c>
      <c r="DI21">
        <v>0</v>
      </c>
      <c r="DJ21">
        <v>62</v>
      </c>
      <c r="DK21">
        <v>75</v>
      </c>
      <c r="DL21">
        <v>5</v>
      </c>
      <c r="DM21">
        <v>49</v>
      </c>
      <c r="DN21">
        <v>0</v>
      </c>
      <c r="DO21">
        <v>129</v>
      </c>
      <c r="DP21">
        <v>12</v>
      </c>
      <c r="DQ21">
        <v>5</v>
      </c>
      <c r="DR21">
        <v>49</v>
      </c>
      <c r="DS21">
        <v>0</v>
      </c>
      <c r="DT21">
        <v>66</v>
      </c>
      <c r="DU21">
        <v>8</v>
      </c>
      <c r="DV21">
        <v>12</v>
      </c>
      <c r="DW21">
        <v>6</v>
      </c>
      <c r="DX21">
        <v>0</v>
      </c>
      <c r="DY21">
        <v>26</v>
      </c>
      <c r="DZ21">
        <v>283</v>
      </c>
      <c r="EA21">
        <v>9600</v>
      </c>
      <c r="EB21">
        <v>2716800</v>
      </c>
    </row>
    <row r="22" spans="1:132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259</v>
      </c>
      <c r="H22" s="21">
        <v>46</v>
      </c>
      <c r="I22" s="21">
        <v>101</v>
      </c>
      <c r="J22" s="21">
        <v>135</v>
      </c>
      <c r="K22" s="21">
        <v>12</v>
      </c>
      <c r="L22" s="22">
        <f t="shared" si="5"/>
        <v>553</v>
      </c>
      <c r="Q22" s="20" t="s">
        <v>20</v>
      </c>
      <c r="R22" s="69">
        <f>CL24+AL20</f>
        <v>0</v>
      </c>
      <c r="S22" s="70">
        <f>CV22+AL4</f>
        <v>0</v>
      </c>
      <c r="T22" s="70">
        <f>CM24+AL19</f>
        <v>0</v>
      </c>
      <c r="U22" s="27">
        <f>CW22+AL4</f>
        <v>0</v>
      </c>
      <c r="V22" s="70">
        <f>CN24+AL21</f>
        <v>1</v>
      </c>
      <c r="W22" s="27">
        <f>CX22+AL6</f>
        <v>1</v>
      </c>
      <c r="X22" s="70">
        <f>CO24+AL22</f>
        <v>0</v>
      </c>
      <c r="Y22" s="27">
        <f>CY22+AL7</f>
        <v>0</v>
      </c>
      <c r="Z22" s="27">
        <f t="shared" si="2"/>
        <v>1</v>
      </c>
      <c r="AA22" s="70">
        <f t="shared" si="3"/>
        <v>1</v>
      </c>
      <c r="AB22" s="4">
        <v>13200</v>
      </c>
      <c r="AC22" s="27">
        <f t="shared" si="4"/>
        <v>13200</v>
      </c>
      <c r="AE22" t="s">
        <v>42</v>
      </c>
      <c r="AG22">
        <v>15</v>
      </c>
      <c r="AH22" s="28"/>
      <c r="AI22" s="28"/>
      <c r="AJ22" s="64">
        <v>15</v>
      </c>
      <c r="AK22" s="64">
        <v>15</v>
      </c>
      <c r="AL22" s="64"/>
      <c r="AO22" s="39">
        <v>20</v>
      </c>
      <c r="AP22" s="40">
        <v>46181</v>
      </c>
      <c r="AQ22" s="41" t="s">
        <v>98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55">
        <f>IFERROR(VLOOKUP(AQ22,'[1]Harga &amp; Nama CSO'!$H$2:$N$22,2,FALSE),"")*AV22</f>
        <v>115800</v>
      </c>
      <c r="BO22" s="40">
        <v>46181</v>
      </c>
      <c r="BP22" s="39">
        <v>1</v>
      </c>
      <c r="BQ22" s="59">
        <v>115800</v>
      </c>
      <c r="BR22" s="39" t="s">
        <v>111</v>
      </c>
      <c r="BS22" s="57">
        <f t="shared" si="0"/>
        <v>0</v>
      </c>
      <c r="BT22" s="40">
        <v>46182</v>
      </c>
      <c r="BU22" s="8">
        <v>0</v>
      </c>
      <c r="BV22" s="58">
        <f>VLOOKUP(AQ22,'[1]Harga &amp; Nama CSO'!$A$28:$D$31,4,0)*BP22</f>
        <v>3</v>
      </c>
      <c r="CK22" t="s">
        <v>18</v>
      </c>
      <c r="CL22" s="71">
        <v>0</v>
      </c>
      <c r="CM22" s="71">
        <v>0</v>
      </c>
      <c r="CN22" s="71">
        <v>0</v>
      </c>
      <c r="CO22" s="71">
        <v>0</v>
      </c>
      <c r="CP22" t="s">
        <v>28</v>
      </c>
      <c r="CQ22" t="s">
        <v>28</v>
      </c>
      <c r="CR22" s="1">
        <v>12000</v>
      </c>
      <c r="CS22" t="s">
        <v>28</v>
      </c>
      <c r="CU22" t="s">
        <v>20</v>
      </c>
      <c r="CV22">
        <v>0</v>
      </c>
      <c r="CW22">
        <v>0</v>
      </c>
      <c r="CX22">
        <v>1</v>
      </c>
      <c r="CY22">
        <v>0</v>
      </c>
      <c r="CZ22">
        <v>0</v>
      </c>
      <c r="DA22">
        <v>0</v>
      </c>
      <c r="DB22">
        <v>13200</v>
      </c>
      <c r="DC22">
        <v>0</v>
      </c>
      <c r="DE22" t="s">
        <v>20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13200</v>
      </c>
      <c r="EB22">
        <v>0</v>
      </c>
    </row>
    <row r="23" spans="1:132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5"/>
        <v>81</v>
      </c>
      <c r="Q23" s="20"/>
      <c r="R23" s="20"/>
      <c r="S23" s="27">
        <v>0</v>
      </c>
      <c r="T23" s="27"/>
      <c r="U23" s="27">
        <v>0</v>
      </c>
      <c r="V23" s="27">
        <f t="shared" si="18"/>
        <v>0</v>
      </c>
      <c r="W23" s="27">
        <v>0</v>
      </c>
      <c r="X23" s="27">
        <f t="shared" si="12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172</v>
      </c>
      <c r="AO23" s="39">
        <v>21</v>
      </c>
      <c r="AP23" s="40">
        <v>46181</v>
      </c>
      <c r="AQ23" s="41" t="s">
        <v>98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55">
        <f>IFERROR(VLOOKUP(AQ23,'[1]Harga &amp; Nama CSO'!$H$2:$N$22,2,FALSE),"")*AV23</f>
        <v>115800</v>
      </c>
      <c r="BO23" s="40">
        <v>46181</v>
      </c>
      <c r="BP23" s="39">
        <v>1</v>
      </c>
      <c r="BQ23" s="59">
        <v>115800</v>
      </c>
      <c r="BR23" s="39" t="s">
        <v>111</v>
      </c>
      <c r="BS23" s="57">
        <f t="shared" si="0"/>
        <v>0</v>
      </c>
      <c r="BT23" s="40">
        <v>46182</v>
      </c>
      <c r="BU23" s="8">
        <v>0</v>
      </c>
      <c r="BV23" s="58">
        <f>VLOOKUP(AQ23,'[1]Harga &amp; Nama CSO'!$A$28:$D$31,4,0)*BP23</f>
        <v>3</v>
      </c>
      <c r="CK23" t="s">
        <v>19</v>
      </c>
      <c r="CL23" s="71">
        <v>0</v>
      </c>
      <c r="CM23" s="71">
        <v>14</v>
      </c>
      <c r="CN23" s="71">
        <v>15</v>
      </c>
      <c r="CO23" s="71">
        <v>0</v>
      </c>
      <c r="CP23" t="s">
        <v>28</v>
      </c>
      <c r="CQ23">
        <v>24</v>
      </c>
      <c r="CR23" s="1">
        <v>9600</v>
      </c>
      <c r="CS23" s="1">
        <v>230400</v>
      </c>
      <c r="CU23" t="s">
        <v>50</v>
      </c>
      <c r="CV23">
        <v>364</v>
      </c>
      <c r="CW23">
        <v>523</v>
      </c>
      <c r="CX23">
        <v>370</v>
      </c>
      <c r="CY23">
        <v>284</v>
      </c>
      <c r="CZ23">
        <v>76</v>
      </c>
      <c r="DA23">
        <v>1617</v>
      </c>
      <c r="DC23">
        <v>29053050</v>
      </c>
      <c r="DE23" t="s">
        <v>50</v>
      </c>
      <c r="DF23">
        <v>132</v>
      </c>
      <c r="DG23">
        <v>162</v>
      </c>
      <c r="DH23">
        <v>120</v>
      </c>
      <c r="DI23">
        <v>0</v>
      </c>
      <c r="DJ23">
        <v>414</v>
      </c>
      <c r="DK23">
        <v>149</v>
      </c>
      <c r="DL23">
        <v>191</v>
      </c>
      <c r="DM23">
        <v>231</v>
      </c>
      <c r="DN23">
        <v>0</v>
      </c>
      <c r="DO23">
        <v>571</v>
      </c>
      <c r="DP23">
        <v>95</v>
      </c>
      <c r="DQ23">
        <v>191</v>
      </c>
      <c r="DR23">
        <v>231</v>
      </c>
      <c r="DS23">
        <v>0</v>
      </c>
      <c r="DT23">
        <v>517</v>
      </c>
      <c r="DU23">
        <v>80</v>
      </c>
      <c r="DV23">
        <v>88</v>
      </c>
      <c r="DW23">
        <v>121</v>
      </c>
      <c r="DX23">
        <v>0</v>
      </c>
      <c r="DY23">
        <v>289</v>
      </c>
      <c r="DZ23">
        <v>1791</v>
      </c>
      <c r="EB23">
        <v>31311900</v>
      </c>
    </row>
    <row r="24" spans="1:132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5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98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55">
        <f>IFERROR(VLOOKUP(AQ24,'[1]Harga &amp; Nama CSO'!$H$2:$N$22,2,FALSE),"")*AV24</f>
        <v>115800</v>
      </c>
      <c r="BO24" s="40">
        <v>46181</v>
      </c>
      <c r="BP24" s="39">
        <v>1</v>
      </c>
      <c r="BQ24" s="59">
        <v>115800</v>
      </c>
      <c r="BR24" s="39" t="s">
        <v>111</v>
      </c>
      <c r="BS24" s="57">
        <f t="shared" si="0"/>
        <v>0</v>
      </c>
      <c r="BT24" s="40">
        <v>46182</v>
      </c>
      <c r="BU24" s="8">
        <v>0</v>
      </c>
      <c r="BV24" s="58">
        <f>VLOOKUP(AQ24,'[1]Harga &amp; Nama CSO'!$A$28:$D$31,4,0)*BP24</f>
        <v>3</v>
      </c>
      <c r="CK24" t="s">
        <v>20</v>
      </c>
      <c r="CL24" s="71">
        <v>0</v>
      </c>
      <c r="CM24" s="71">
        <v>0</v>
      </c>
      <c r="CN24" s="71">
        <v>1</v>
      </c>
      <c r="CO24" s="71">
        <v>0</v>
      </c>
      <c r="CP24" t="s">
        <v>28</v>
      </c>
      <c r="CQ24" t="s">
        <v>28</v>
      </c>
      <c r="CR24" s="1">
        <v>13200</v>
      </c>
      <c r="CS24" t="s">
        <v>28</v>
      </c>
    </row>
    <row r="25" spans="1:132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5"/>
        <v>0</v>
      </c>
      <c r="Q25" s="23" t="s">
        <v>50</v>
      </c>
      <c r="R25" s="23"/>
      <c r="S25" s="19">
        <f>SUM(S4:S24)</f>
        <v>673</v>
      </c>
      <c r="T25" s="19"/>
      <c r="U25" s="19">
        <f t="shared" ref="U25:AC25" si="19">SUM(U4:U24)</f>
        <v>1028</v>
      </c>
      <c r="V25" s="19"/>
      <c r="W25" s="19">
        <f t="shared" si="19"/>
        <v>731</v>
      </c>
      <c r="X25" s="19"/>
      <c r="Y25" s="19">
        <f t="shared" si="19"/>
        <v>503</v>
      </c>
      <c r="Z25" s="19">
        <f>SUM(Z4:Z24)</f>
        <v>225</v>
      </c>
      <c r="AA25" s="19">
        <f t="shared" si="19"/>
        <v>2935</v>
      </c>
      <c r="AB25" s="19"/>
      <c r="AC25" s="19">
        <f t="shared" si="19"/>
        <v>51783650</v>
      </c>
      <c r="AO25" s="39">
        <v>23</v>
      </c>
      <c r="AP25" s="40">
        <v>46181</v>
      </c>
      <c r="AQ25" s="41" t="s">
        <v>99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55">
        <f>IFERROR(VLOOKUP(AQ25,'[1]Harga &amp; Nama CSO'!$H$2:$N$22,2,FALSE),"")*AV25</f>
        <v>118200</v>
      </c>
      <c r="BO25" s="40">
        <v>46181</v>
      </c>
      <c r="BP25" s="39">
        <v>1</v>
      </c>
      <c r="BQ25" s="59">
        <v>118200</v>
      </c>
      <c r="BR25" s="39" t="s">
        <v>111</v>
      </c>
      <c r="BS25" s="57">
        <f t="shared" si="0"/>
        <v>0</v>
      </c>
      <c r="BT25" s="40">
        <v>46182</v>
      </c>
      <c r="BU25" s="8">
        <v>0</v>
      </c>
      <c r="BV25" s="58">
        <f>VLOOKUP(AQ25,'[1]Harga &amp; Nama CSO'!$A$28:$D$31,4,0)*BP25</f>
        <v>3</v>
      </c>
      <c r="CL25" s="71">
        <v>0</v>
      </c>
      <c r="CM25" s="71">
        <v>0</v>
      </c>
      <c r="CN25" s="71">
        <v>0</v>
      </c>
      <c r="CO25" s="71">
        <v>0</v>
      </c>
      <c r="CP25" t="s">
        <v>28</v>
      </c>
      <c r="CQ25" t="s">
        <v>28</v>
      </c>
      <c r="CS25" t="s">
        <v>28</v>
      </c>
    </row>
    <row r="26" spans="1:132" x14ac:dyDescent="0.35">
      <c r="F26" s="23" t="s">
        <v>27</v>
      </c>
      <c r="G26" s="24">
        <f t="shared" ref="G26:K26" si="20">SUM(G5:G25)</f>
        <v>838</v>
      </c>
      <c r="H26" s="24">
        <f t="shared" si="20"/>
        <v>779</v>
      </c>
      <c r="I26" s="24">
        <f t="shared" si="20"/>
        <v>522</v>
      </c>
      <c r="J26" s="24">
        <f t="shared" si="20"/>
        <v>1155</v>
      </c>
      <c r="K26" s="24">
        <f t="shared" si="20"/>
        <v>105</v>
      </c>
      <c r="L26" s="24">
        <f>SUM(L5:L25)</f>
        <v>3399</v>
      </c>
      <c r="AO26" s="39">
        <v>24</v>
      </c>
      <c r="AP26" s="40">
        <v>46181</v>
      </c>
      <c r="AQ26" s="41" t="s">
        <v>98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55">
        <f>IFERROR(VLOOKUP(AQ26,'[1]Harga &amp; Nama CSO'!$H$2:$N$22,2,FALSE),"")*AV26</f>
        <v>115800</v>
      </c>
      <c r="BO26" s="40">
        <v>46181</v>
      </c>
      <c r="BP26" s="39">
        <v>1</v>
      </c>
      <c r="BQ26" s="59">
        <v>115800</v>
      </c>
      <c r="BR26" s="39" t="s">
        <v>111</v>
      </c>
      <c r="BS26" s="57">
        <f t="shared" si="0"/>
        <v>0</v>
      </c>
      <c r="BT26" s="40">
        <v>46182</v>
      </c>
      <c r="BU26" s="8">
        <v>0</v>
      </c>
      <c r="BV26" s="58">
        <f>VLOOKUP(AQ26,'[1]Harga &amp; Nama CSO'!$A$28:$D$31,4,0)*BP26</f>
        <v>3</v>
      </c>
      <c r="CL26" s="71">
        <v>0</v>
      </c>
      <c r="CM26" s="71">
        <v>0</v>
      </c>
      <c r="CN26" s="71">
        <v>0</v>
      </c>
      <c r="CO26" s="71">
        <v>0</v>
      </c>
      <c r="CP26" t="s">
        <v>28</v>
      </c>
      <c r="CQ26" t="s">
        <v>28</v>
      </c>
      <c r="CS26" t="s">
        <v>28</v>
      </c>
    </row>
    <row r="27" spans="1:132" x14ac:dyDescent="0.35">
      <c r="AO27" s="39">
        <v>25</v>
      </c>
      <c r="AP27" s="40">
        <v>46181</v>
      </c>
      <c r="AQ27" s="41" t="s">
        <v>98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55">
        <f>IFERROR(VLOOKUP(AQ27,'[1]Harga &amp; Nama CSO'!$H$2:$N$22,2,FALSE),"")*AV27</f>
        <v>115800</v>
      </c>
      <c r="BO27" s="40">
        <v>46181</v>
      </c>
      <c r="BP27" s="39">
        <v>1</v>
      </c>
      <c r="BQ27" s="59">
        <v>115800</v>
      </c>
      <c r="BR27" s="39" t="s">
        <v>111</v>
      </c>
      <c r="BS27" s="57">
        <f t="shared" si="0"/>
        <v>0</v>
      </c>
      <c r="BT27" s="40">
        <v>46182</v>
      </c>
      <c r="BU27" s="8">
        <v>0</v>
      </c>
      <c r="BV27" s="58">
        <f>VLOOKUP(AQ27,'[1]Harga &amp; Nama CSO'!$A$28:$D$31,4,0)*BP27</f>
        <v>3</v>
      </c>
      <c r="CK27" t="s">
        <v>27</v>
      </c>
      <c r="CL27">
        <v>16</v>
      </c>
      <c r="CM27">
        <v>40</v>
      </c>
      <c r="CN27">
        <v>33</v>
      </c>
      <c r="CO27">
        <v>15</v>
      </c>
      <c r="CP27" t="s">
        <v>28</v>
      </c>
      <c r="CQ27">
        <v>104</v>
      </c>
      <c r="CS27" s="1">
        <v>2191650</v>
      </c>
    </row>
    <row r="28" spans="1:132" x14ac:dyDescent="0.35">
      <c r="AO28" s="39">
        <v>26</v>
      </c>
      <c r="AP28" s="40">
        <v>46181</v>
      </c>
      <c r="AQ28" s="41" t="s">
        <v>99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55">
        <f>IFERROR(VLOOKUP(AQ28,'[1]Harga &amp; Nama CSO'!$H$2:$N$22,2,FALSE),"")*AV28</f>
        <v>118200</v>
      </c>
      <c r="BO28" s="40">
        <v>46181</v>
      </c>
      <c r="BP28" s="39">
        <v>1</v>
      </c>
      <c r="BQ28" s="59">
        <v>118200</v>
      </c>
      <c r="BR28" s="39" t="s">
        <v>111</v>
      </c>
      <c r="BS28" s="57">
        <f t="shared" si="0"/>
        <v>0</v>
      </c>
      <c r="BT28" s="40">
        <v>46182</v>
      </c>
      <c r="BU28" s="8">
        <v>0</v>
      </c>
      <c r="BV28" s="58">
        <f>VLOOKUP(AQ28,'[1]Harga &amp; Nama CSO'!$A$28:$D$31,4,0)*BP28</f>
        <v>3</v>
      </c>
    </row>
    <row r="29" spans="1:132" x14ac:dyDescent="0.35">
      <c r="AO29" s="39">
        <v>27</v>
      </c>
      <c r="AP29" s="40">
        <v>46181</v>
      </c>
      <c r="AQ29" s="41" t="s">
        <v>99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55">
        <f>IFERROR(VLOOKUP(AQ29,'[1]Harga &amp; Nama CSO'!$H$2:$N$22,2,FALSE),"")*AV29</f>
        <v>118200</v>
      </c>
      <c r="BO29" s="40">
        <v>46181</v>
      </c>
      <c r="BP29" s="39">
        <v>1</v>
      </c>
      <c r="BQ29" s="59">
        <v>118200</v>
      </c>
      <c r="BR29" s="39" t="s">
        <v>111</v>
      </c>
      <c r="BS29" s="57">
        <f t="shared" si="0"/>
        <v>0</v>
      </c>
      <c r="BT29" s="40">
        <v>46182</v>
      </c>
      <c r="BU29" s="8">
        <v>0</v>
      </c>
      <c r="BV29" s="58">
        <f>VLOOKUP(AQ29,'[1]Harga &amp; Nama CSO'!$A$28:$D$31,4,0)*BP29</f>
        <v>3</v>
      </c>
    </row>
    <row r="30" spans="1:132" x14ac:dyDescent="0.35">
      <c r="AO30" s="39">
        <v>28</v>
      </c>
      <c r="AP30" s="40">
        <v>46181</v>
      </c>
      <c r="AQ30" s="41" t="s">
        <v>99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55">
        <f>IFERROR(VLOOKUP(AQ30,'[1]Harga &amp; Nama CSO'!$H$2:$N$22,2,FALSE),"")*AV30</f>
        <v>118200</v>
      </c>
      <c r="BO30" s="40">
        <v>46181</v>
      </c>
      <c r="BP30" s="39">
        <v>1</v>
      </c>
      <c r="BQ30" s="59">
        <v>118200</v>
      </c>
      <c r="BR30" s="39" t="s">
        <v>111</v>
      </c>
      <c r="BS30" s="57">
        <f t="shared" si="0"/>
        <v>0</v>
      </c>
      <c r="BT30" s="40">
        <v>46182</v>
      </c>
      <c r="BU30" s="8">
        <v>0</v>
      </c>
      <c r="BV30" s="58">
        <f>VLOOKUP(AQ30,'[1]Harga &amp; Nama CSO'!$A$28:$D$31,4,0)*BP30</f>
        <v>3</v>
      </c>
    </row>
    <row r="31" spans="1:132" x14ac:dyDescent="0.35">
      <c r="AO31" s="39">
        <v>29</v>
      </c>
      <c r="AP31" s="40">
        <v>46181</v>
      </c>
      <c r="AQ31" s="41" t="s">
        <v>99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55">
        <f>IFERROR(VLOOKUP(AQ31,'[1]Harga &amp; Nama CSO'!$H$2:$N$22,2,FALSE),"")*AV31</f>
        <v>118200</v>
      </c>
      <c r="BO31" s="40">
        <v>46181</v>
      </c>
      <c r="BP31" s="39">
        <v>1</v>
      </c>
      <c r="BQ31" s="59">
        <v>118200</v>
      </c>
      <c r="BR31" s="39" t="s">
        <v>111</v>
      </c>
      <c r="BS31" s="57">
        <f t="shared" si="0"/>
        <v>0</v>
      </c>
      <c r="BT31" s="40">
        <v>46182</v>
      </c>
      <c r="BU31" s="8">
        <v>0</v>
      </c>
      <c r="BV31" s="58">
        <f>VLOOKUP(AQ31,'[1]Harga &amp; Nama CSO'!$A$28:$D$31,4,0)*BP31</f>
        <v>3</v>
      </c>
    </row>
    <row r="32" spans="1:132" x14ac:dyDescent="0.35">
      <c r="AO32" s="39">
        <v>30</v>
      </c>
      <c r="AP32" s="40">
        <v>46181</v>
      </c>
      <c r="AQ32" s="41" t="s">
        <v>99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55">
        <f>IFERROR(VLOOKUP(AQ32,'[1]Harga &amp; Nama CSO'!$H$2:$N$22,2,FALSE),"")*AV32</f>
        <v>118200</v>
      </c>
      <c r="BO32" s="40">
        <v>46181</v>
      </c>
      <c r="BP32" s="39">
        <v>1</v>
      </c>
      <c r="BQ32" s="59">
        <v>118200</v>
      </c>
      <c r="BR32" s="39" t="s">
        <v>111</v>
      </c>
      <c r="BS32" s="57">
        <f t="shared" si="0"/>
        <v>0</v>
      </c>
      <c r="BT32" s="40">
        <v>46182</v>
      </c>
      <c r="BU32" s="8">
        <v>0</v>
      </c>
      <c r="BV32" s="58">
        <f>VLOOKUP(AQ32,'[1]Harga &amp; Nama CSO'!$A$28:$D$31,4,0)*BP32</f>
        <v>3</v>
      </c>
    </row>
    <row r="33" spans="41:74" x14ac:dyDescent="0.35">
      <c r="AO33" s="39">
        <v>31</v>
      </c>
      <c r="AP33" s="40">
        <v>46181</v>
      </c>
      <c r="AQ33" s="41" t="s">
        <v>99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55">
        <f>IFERROR(VLOOKUP(AQ33,'[1]Harga &amp; Nama CSO'!$H$2:$N$22,2,FALSE),"")*AV33</f>
        <v>118200</v>
      </c>
      <c r="BO33" s="40">
        <v>46181</v>
      </c>
      <c r="BP33" s="39">
        <v>1</v>
      </c>
      <c r="BQ33" s="59">
        <v>118200</v>
      </c>
      <c r="BR33" s="39" t="s">
        <v>111</v>
      </c>
      <c r="BS33" s="57">
        <f t="shared" si="0"/>
        <v>0</v>
      </c>
      <c r="BT33" s="40">
        <v>46182</v>
      </c>
      <c r="BU33" s="8">
        <v>0</v>
      </c>
      <c r="BV33" s="58">
        <f>VLOOKUP(AQ33,'[1]Harga &amp; Nama CSO'!$A$28:$D$31,4,0)*BP33</f>
        <v>3</v>
      </c>
    </row>
    <row r="34" spans="41:74" x14ac:dyDescent="0.35">
      <c r="AO34" s="39">
        <v>32</v>
      </c>
      <c r="AP34" s="40">
        <v>46181</v>
      </c>
      <c r="AQ34" s="41" t="s">
        <v>99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55">
        <f>IFERROR(VLOOKUP(AQ34,'[1]Harga &amp; Nama CSO'!$H$2:$N$22,2,FALSE),"")*AV34</f>
        <v>118200</v>
      </c>
      <c r="BO34" s="40">
        <v>46181</v>
      </c>
      <c r="BP34" s="39">
        <v>1</v>
      </c>
      <c r="BQ34" s="59">
        <v>118300</v>
      </c>
      <c r="BR34" s="39" t="s">
        <v>111</v>
      </c>
      <c r="BS34" s="57">
        <f t="shared" si="0"/>
        <v>-100</v>
      </c>
      <c r="BT34" s="40">
        <v>46182</v>
      </c>
      <c r="BU34" s="8">
        <v>0</v>
      </c>
      <c r="BV34" s="58">
        <f>VLOOKUP(AQ34,'[1]Harga &amp; Nama CSO'!$A$28:$D$31,4,0)*BP34</f>
        <v>3</v>
      </c>
    </row>
    <row r="35" spans="41:74" x14ac:dyDescent="0.35">
      <c r="AO35" s="39">
        <v>33</v>
      </c>
      <c r="AP35" s="40">
        <v>46182</v>
      </c>
      <c r="AQ35" s="41" t="s">
        <v>112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55">
        <f>IFERROR(VLOOKUP(AQ35,'[1]Harga &amp; Nama CSO'!$H$2:$N$22,2,FALSE),"")*AV35</f>
        <v>162600</v>
      </c>
      <c r="BO35" s="40">
        <v>46182</v>
      </c>
      <c r="BP35" s="39">
        <v>1</v>
      </c>
      <c r="BQ35" s="59">
        <v>162600</v>
      </c>
      <c r="BR35" s="39" t="s">
        <v>111</v>
      </c>
      <c r="BS35" s="57">
        <f t="shared" si="0"/>
        <v>0</v>
      </c>
      <c r="BT35" s="40">
        <v>46183</v>
      </c>
      <c r="BU35" s="8">
        <v>0</v>
      </c>
      <c r="BV35" s="58">
        <f>VLOOKUP(AQ35,'[1]Harga &amp; Nama CSO'!$A$28:$D$31,4,0)*BP35</f>
        <v>3</v>
      </c>
    </row>
    <row r="36" spans="41:74" x14ac:dyDescent="0.35">
      <c r="AO36" s="39">
        <v>34</v>
      </c>
      <c r="AP36" s="40">
        <v>46182</v>
      </c>
      <c r="AQ36" s="41" t="s">
        <v>112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55">
        <f>IFERROR(VLOOKUP(AQ36,'[1]Harga &amp; Nama CSO'!$H$2:$N$22,2,FALSE),"")*AV36</f>
        <v>162600</v>
      </c>
      <c r="BO36" s="40">
        <v>46182</v>
      </c>
      <c r="BP36" s="39">
        <v>1</v>
      </c>
      <c r="BQ36" s="59">
        <v>162600</v>
      </c>
      <c r="BR36" s="39" t="s">
        <v>111</v>
      </c>
      <c r="BS36" s="57">
        <f t="shared" si="0"/>
        <v>0</v>
      </c>
      <c r="BT36" s="40">
        <v>46183</v>
      </c>
      <c r="BU36" s="8">
        <v>0</v>
      </c>
      <c r="BV36" s="58">
        <f>VLOOKUP(AQ36,'[1]Harga &amp; Nama CSO'!$A$28:$D$31,4,0)*BP36</f>
        <v>3</v>
      </c>
    </row>
    <row r="37" spans="41:74" x14ac:dyDescent="0.35">
      <c r="AO37" s="39">
        <v>35</v>
      </c>
      <c r="AP37" s="40">
        <v>46182</v>
      </c>
      <c r="AQ37" s="41" t="s">
        <v>99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55">
        <f>IFERROR(VLOOKUP(AQ37,'[1]Harga &amp; Nama CSO'!$H$2:$N$22,2,FALSE),"")*AV37</f>
        <v>118200</v>
      </c>
      <c r="BO37" s="40">
        <v>46182</v>
      </c>
      <c r="BP37" s="39">
        <v>1</v>
      </c>
      <c r="BQ37" s="59">
        <v>118200</v>
      </c>
      <c r="BR37" s="39" t="s">
        <v>111</v>
      </c>
      <c r="BS37" s="57">
        <f t="shared" si="0"/>
        <v>0</v>
      </c>
      <c r="BT37" s="40">
        <v>46183</v>
      </c>
      <c r="BU37" s="8">
        <v>0</v>
      </c>
      <c r="BV37" s="58">
        <f>VLOOKUP(AQ37,'[1]Harga &amp; Nama CSO'!$A$28:$D$31,4,0)*BP37</f>
        <v>3</v>
      </c>
    </row>
    <row r="38" spans="41:74" x14ac:dyDescent="0.35">
      <c r="AO38" s="39">
        <v>36</v>
      </c>
      <c r="AP38" s="40">
        <v>46182</v>
      </c>
      <c r="AQ38" s="41" t="s">
        <v>99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55">
        <f>IFERROR(VLOOKUP(AQ38,'[1]Harga &amp; Nama CSO'!$H$2:$N$22,2,FALSE),"")*AV38</f>
        <v>118200</v>
      </c>
      <c r="BO38" s="40">
        <v>46182</v>
      </c>
      <c r="BP38" s="39">
        <v>1</v>
      </c>
      <c r="BQ38" s="59">
        <v>118200</v>
      </c>
      <c r="BR38" s="39" t="s">
        <v>111</v>
      </c>
      <c r="BS38" s="57">
        <f t="shared" si="0"/>
        <v>0</v>
      </c>
      <c r="BT38" s="40">
        <v>46183</v>
      </c>
      <c r="BU38" s="8">
        <v>0</v>
      </c>
      <c r="BV38" s="58">
        <f>VLOOKUP(AQ38,'[1]Harga &amp; Nama CSO'!$A$28:$D$31,4,0)*BP38</f>
        <v>3</v>
      </c>
    </row>
    <row r="39" spans="41:74" x14ac:dyDescent="0.35">
      <c r="AO39" s="39">
        <v>37</v>
      </c>
      <c r="AP39" s="40">
        <v>46182</v>
      </c>
      <c r="AQ39" s="41" t="s">
        <v>99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55">
        <f>IFERROR(VLOOKUP(AQ39,'[1]Harga &amp; Nama CSO'!$H$2:$N$22,2,FALSE),"")*AV39</f>
        <v>118200</v>
      </c>
      <c r="BO39" s="40">
        <v>46182</v>
      </c>
      <c r="BP39" s="39">
        <v>1</v>
      </c>
      <c r="BQ39" s="59">
        <v>118200</v>
      </c>
      <c r="BR39" s="39" t="s">
        <v>111</v>
      </c>
      <c r="BS39" s="57">
        <f t="shared" si="0"/>
        <v>0</v>
      </c>
      <c r="BT39" s="40">
        <v>46183</v>
      </c>
      <c r="BU39" s="8">
        <v>0</v>
      </c>
      <c r="BV39" s="58">
        <f>VLOOKUP(AQ39,'[1]Harga &amp; Nama CSO'!$A$28:$D$31,4,0)*BP39</f>
        <v>3</v>
      </c>
    </row>
    <row r="40" spans="41:74" x14ac:dyDescent="0.35">
      <c r="AO40" s="39">
        <v>38</v>
      </c>
      <c r="AP40" s="40">
        <v>46182</v>
      </c>
      <c r="AQ40" s="41" t="s">
        <v>98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55">
        <f>IFERROR(VLOOKUP(AQ40,'[1]Harga &amp; Nama CSO'!$H$2:$N$22,2,FALSE),"")*AV40</f>
        <v>115800</v>
      </c>
      <c r="BO40" s="40">
        <v>46182</v>
      </c>
      <c r="BP40" s="39">
        <v>1</v>
      </c>
      <c r="BQ40" s="59">
        <v>115800</v>
      </c>
      <c r="BR40" s="39" t="s">
        <v>111</v>
      </c>
      <c r="BS40" s="57">
        <f t="shared" si="0"/>
        <v>0</v>
      </c>
      <c r="BT40" s="40">
        <v>46183</v>
      </c>
      <c r="BU40" s="8">
        <v>0</v>
      </c>
      <c r="BV40" s="58">
        <f>VLOOKUP(AQ40,'[1]Harga &amp; Nama CSO'!$A$28:$D$31,4,0)*BP40</f>
        <v>3</v>
      </c>
    </row>
    <row r="41" spans="41:74" x14ac:dyDescent="0.35">
      <c r="AO41" s="39">
        <v>39</v>
      </c>
      <c r="AP41" s="40">
        <v>46182</v>
      </c>
      <c r="AQ41" s="41" t="s">
        <v>98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55">
        <f>IFERROR(VLOOKUP(AQ41,'[1]Harga &amp; Nama CSO'!$H$2:$N$22,2,FALSE),"")*AV41</f>
        <v>115800</v>
      </c>
      <c r="BO41" s="40">
        <v>46182</v>
      </c>
      <c r="BP41" s="39">
        <v>1</v>
      </c>
      <c r="BQ41" s="59">
        <v>115800</v>
      </c>
      <c r="BR41" s="39" t="s">
        <v>111</v>
      </c>
      <c r="BS41" s="57">
        <f t="shared" si="0"/>
        <v>0</v>
      </c>
      <c r="BT41" s="40">
        <v>46183</v>
      </c>
      <c r="BU41" s="8">
        <v>0</v>
      </c>
      <c r="BV41" s="58">
        <f>VLOOKUP(AQ41,'[1]Harga &amp; Nama CSO'!$A$28:$D$31,4,0)*BP41</f>
        <v>3</v>
      </c>
    </row>
    <row r="42" spans="41:74" x14ac:dyDescent="0.35">
      <c r="AO42" s="39">
        <v>40</v>
      </c>
      <c r="AP42" s="40">
        <v>46182</v>
      </c>
      <c r="AQ42" s="41" t="s">
        <v>98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55">
        <f>IFERROR(VLOOKUP(AQ42,'[1]Harga &amp; Nama CSO'!$H$2:$N$22,2,FALSE),"")*AV42</f>
        <v>115800</v>
      </c>
      <c r="BO42" s="40">
        <v>46182</v>
      </c>
      <c r="BP42" s="39">
        <v>1</v>
      </c>
      <c r="BQ42" s="59">
        <v>115800</v>
      </c>
      <c r="BR42" s="39" t="s">
        <v>111</v>
      </c>
      <c r="BS42" s="57">
        <f t="shared" si="0"/>
        <v>0</v>
      </c>
      <c r="BT42" s="40">
        <v>46183</v>
      </c>
      <c r="BU42" s="8">
        <v>0</v>
      </c>
      <c r="BV42" s="58">
        <f>VLOOKUP(AQ42,'[1]Harga &amp; Nama CSO'!$A$28:$D$31,4,0)*BP42</f>
        <v>3</v>
      </c>
    </row>
    <row r="43" spans="41:74" x14ac:dyDescent="0.35">
      <c r="AO43" s="39">
        <v>41</v>
      </c>
      <c r="AP43" s="40">
        <v>46182</v>
      </c>
      <c r="AQ43" s="41" t="s">
        <v>98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55">
        <f>IFERROR(VLOOKUP(AQ43,'[1]Harga &amp; Nama CSO'!$H$2:$N$22,2,FALSE),"")*AV43</f>
        <v>115800</v>
      </c>
      <c r="BO43" s="40">
        <v>46182</v>
      </c>
      <c r="BP43" s="39">
        <v>1</v>
      </c>
      <c r="BQ43" s="59">
        <v>115800</v>
      </c>
      <c r="BR43" s="39" t="s">
        <v>111</v>
      </c>
      <c r="BS43" s="57">
        <f t="shared" si="0"/>
        <v>0</v>
      </c>
      <c r="BT43" s="40">
        <v>46183</v>
      </c>
      <c r="BU43" s="8">
        <v>0</v>
      </c>
      <c r="BV43" s="58">
        <f>VLOOKUP(AQ43,'[1]Harga &amp; Nama CSO'!$A$28:$D$31,4,0)*BP43</f>
        <v>3</v>
      </c>
    </row>
    <row r="44" spans="41:74" x14ac:dyDescent="0.35">
      <c r="AO44" s="39">
        <v>42</v>
      </c>
      <c r="AP44" s="40">
        <v>46182</v>
      </c>
      <c r="AQ44" s="41" t="s">
        <v>98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55">
        <f>IFERROR(VLOOKUP(AQ44,'[1]Harga &amp; Nama CSO'!$H$2:$N$22,2,FALSE),"")*AV44</f>
        <v>115800</v>
      </c>
      <c r="BO44" s="40">
        <v>46182</v>
      </c>
      <c r="BP44" s="39">
        <v>1</v>
      </c>
      <c r="BQ44" s="59">
        <v>115800</v>
      </c>
      <c r="BR44" s="39" t="s">
        <v>111</v>
      </c>
      <c r="BS44" s="57">
        <f t="shared" si="0"/>
        <v>0</v>
      </c>
      <c r="BT44" s="40">
        <v>46183</v>
      </c>
      <c r="BU44" s="8">
        <v>0</v>
      </c>
      <c r="BV44" s="58">
        <f>VLOOKUP(AQ44,'[1]Harga &amp; Nama CSO'!$A$28:$D$31,4,0)*BP44</f>
        <v>3</v>
      </c>
    </row>
    <row r="45" spans="41:74" x14ac:dyDescent="0.35">
      <c r="AO45" s="39">
        <v>43</v>
      </c>
      <c r="AP45" s="40">
        <v>46182</v>
      </c>
      <c r="AQ45" s="41" t="s">
        <v>99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55">
        <f>IFERROR(VLOOKUP(AQ45,'[1]Harga &amp; Nama CSO'!$H$2:$N$22,2,FALSE),"")*AV45</f>
        <v>118200</v>
      </c>
      <c r="BO45" s="40">
        <v>46182</v>
      </c>
      <c r="BP45" s="39">
        <v>1</v>
      </c>
      <c r="BQ45" s="59">
        <v>118200</v>
      </c>
      <c r="BR45" s="39" t="s">
        <v>111</v>
      </c>
      <c r="BS45" s="57">
        <f t="shared" si="0"/>
        <v>0</v>
      </c>
      <c r="BT45" s="40">
        <v>46183</v>
      </c>
      <c r="BU45" s="8">
        <v>0</v>
      </c>
      <c r="BV45" s="58">
        <f>VLOOKUP(AQ45,'[1]Harga &amp; Nama CSO'!$A$28:$D$31,4,0)*BP45</f>
        <v>3</v>
      </c>
    </row>
    <row r="46" spans="41:74" x14ac:dyDescent="0.35">
      <c r="AO46" s="39">
        <v>44</v>
      </c>
      <c r="AP46" s="40">
        <v>46182</v>
      </c>
      <c r="AQ46" s="41" t="s">
        <v>99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55">
        <f>IFERROR(VLOOKUP(AQ46,'[1]Harga &amp; Nama CSO'!$H$2:$N$22,2,FALSE),"")*AV46</f>
        <v>118200</v>
      </c>
      <c r="BO46" s="40">
        <v>46182</v>
      </c>
      <c r="BP46" s="39">
        <v>1</v>
      </c>
      <c r="BQ46" s="59">
        <v>118200</v>
      </c>
      <c r="BR46" s="39" t="s">
        <v>111</v>
      </c>
      <c r="BS46" s="57">
        <f t="shared" si="0"/>
        <v>0</v>
      </c>
      <c r="BT46" s="40">
        <v>46183</v>
      </c>
      <c r="BU46" s="8">
        <v>0</v>
      </c>
      <c r="BV46" s="58">
        <f>VLOOKUP(AQ46,'[1]Harga &amp; Nama CSO'!$A$28:$D$31,4,0)*BP46</f>
        <v>3</v>
      </c>
    </row>
    <row r="47" spans="41:74" x14ac:dyDescent="0.35">
      <c r="AO47" s="39">
        <v>45</v>
      </c>
      <c r="AP47" s="40">
        <v>46182</v>
      </c>
      <c r="AQ47" s="41" t="s">
        <v>99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55">
        <f>IFERROR(VLOOKUP(AQ47,'[1]Harga &amp; Nama CSO'!$H$2:$N$22,2,FALSE),"")*AV47</f>
        <v>118200</v>
      </c>
      <c r="BO47" s="40">
        <v>46182</v>
      </c>
      <c r="BP47" s="39">
        <v>1</v>
      </c>
      <c r="BQ47" s="59">
        <v>118300</v>
      </c>
      <c r="BR47" s="39" t="s">
        <v>111</v>
      </c>
      <c r="BS47" s="57">
        <f t="shared" si="0"/>
        <v>-100</v>
      </c>
      <c r="BT47" s="40">
        <v>46183</v>
      </c>
      <c r="BU47" s="8">
        <v>0</v>
      </c>
      <c r="BV47" s="58">
        <f>VLOOKUP(AQ47,'[1]Harga &amp; Nama CSO'!$A$28:$D$31,4,0)*BP47</f>
        <v>3</v>
      </c>
    </row>
    <row r="48" spans="41:74" x14ac:dyDescent="0.35">
      <c r="AO48" s="39">
        <v>46</v>
      </c>
      <c r="AP48" s="40">
        <v>46183</v>
      </c>
      <c r="AQ48" s="41" t="s">
        <v>98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55">
        <f>IFERROR(VLOOKUP(AQ48,'[1]Harga &amp; Nama CSO'!$H$2:$N$22,2,FALSE),"")*AV48</f>
        <v>115800</v>
      </c>
      <c r="BO48" s="40">
        <v>46183</v>
      </c>
      <c r="BP48" s="39">
        <v>1</v>
      </c>
      <c r="BQ48" s="55">
        <v>115800</v>
      </c>
      <c r="BR48" s="39" t="s">
        <v>111</v>
      </c>
      <c r="BS48" s="57">
        <f t="shared" si="0"/>
        <v>0</v>
      </c>
      <c r="BT48" s="40">
        <v>46184</v>
      </c>
      <c r="BU48" s="8">
        <v>0</v>
      </c>
      <c r="BV48" s="58">
        <f>VLOOKUP(AQ48,'[1]Harga &amp; Nama CSO'!$A$28:$D$31,4,0)*BP48</f>
        <v>3</v>
      </c>
    </row>
    <row r="49" spans="41:74" x14ac:dyDescent="0.35">
      <c r="AO49" s="39">
        <v>47</v>
      </c>
      <c r="AP49" s="40">
        <v>46183</v>
      </c>
      <c r="AQ49" s="41" t="s">
        <v>112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55">
        <f>IFERROR(VLOOKUP(AQ49,'[1]Harga &amp; Nama CSO'!$H$2:$N$22,2,FALSE),"")*AV49</f>
        <v>162600</v>
      </c>
      <c r="BO49" s="40">
        <v>46183</v>
      </c>
      <c r="BP49" s="39">
        <v>1</v>
      </c>
      <c r="BQ49" s="55">
        <v>162600</v>
      </c>
      <c r="BR49" s="39" t="s">
        <v>111</v>
      </c>
      <c r="BS49" s="57">
        <f t="shared" si="0"/>
        <v>0</v>
      </c>
      <c r="BT49" s="40">
        <v>46184</v>
      </c>
      <c r="BU49" s="8">
        <v>0</v>
      </c>
      <c r="BV49" s="58">
        <f>VLOOKUP(AQ49,'[1]Harga &amp; Nama CSO'!$A$28:$D$31,4,0)*BP49</f>
        <v>3</v>
      </c>
    </row>
    <row r="50" spans="41:74" x14ac:dyDescent="0.35">
      <c r="AO50" s="39">
        <v>48</v>
      </c>
      <c r="AP50" s="40">
        <v>46183</v>
      </c>
      <c r="AQ50" s="41" t="s">
        <v>112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55">
        <f>IFERROR(VLOOKUP(AQ50,'[1]Harga &amp; Nama CSO'!$H$2:$N$22,2,FALSE),"")*AV50</f>
        <v>162600</v>
      </c>
      <c r="BO50" s="40">
        <v>46183</v>
      </c>
      <c r="BP50" s="39">
        <v>1</v>
      </c>
      <c r="BQ50" s="55">
        <v>162600</v>
      </c>
      <c r="BR50" s="39" t="s">
        <v>111</v>
      </c>
      <c r="BS50" s="57">
        <f t="shared" si="0"/>
        <v>0</v>
      </c>
      <c r="BT50" s="40">
        <v>46184</v>
      </c>
      <c r="BU50" s="8">
        <v>0</v>
      </c>
      <c r="BV50" s="58">
        <f>VLOOKUP(AQ50,'[1]Harga &amp; Nama CSO'!$A$28:$D$31,4,0)*BP50</f>
        <v>3</v>
      </c>
    </row>
    <row r="51" spans="41:74" x14ac:dyDescent="0.35">
      <c r="AO51" s="39">
        <v>49</v>
      </c>
      <c r="AP51" s="40">
        <v>46183</v>
      </c>
      <c r="AQ51" s="41" t="s">
        <v>99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55">
        <f>IFERROR(VLOOKUP(AQ51,'[1]Harga &amp; Nama CSO'!$H$2:$N$22,2,FALSE),"")*AV51</f>
        <v>118200</v>
      </c>
      <c r="BO51" s="40">
        <v>46183</v>
      </c>
      <c r="BP51" s="39">
        <v>1</v>
      </c>
      <c r="BQ51" s="55">
        <v>118200</v>
      </c>
      <c r="BR51" s="39" t="s">
        <v>111</v>
      </c>
      <c r="BS51" s="57">
        <f t="shared" si="0"/>
        <v>0</v>
      </c>
      <c r="BT51" s="40">
        <v>46184</v>
      </c>
      <c r="BU51" s="8">
        <v>0</v>
      </c>
      <c r="BV51" s="58">
        <f>VLOOKUP(AQ51,'[1]Harga &amp; Nama CSO'!$A$28:$D$31,4,0)*BP51</f>
        <v>3</v>
      </c>
    </row>
    <row r="52" spans="41:74" x14ac:dyDescent="0.35">
      <c r="AO52" s="39">
        <v>50</v>
      </c>
      <c r="AP52" s="40">
        <v>46183</v>
      </c>
      <c r="AQ52" s="41" t="s">
        <v>99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55">
        <f>IFERROR(VLOOKUP(AQ52,'[1]Harga &amp; Nama CSO'!$H$2:$N$22,2,FALSE),"")*AV52</f>
        <v>118200</v>
      </c>
      <c r="BO52" s="40">
        <v>46183</v>
      </c>
      <c r="BP52" s="39">
        <v>1</v>
      </c>
      <c r="BQ52" s="55">
        <v>118200</v>
      </c>
      <c r="BR52" s="39" t="s">
        <v>111</v>
      </c>
      <c r="BS52" s="57">
        <f t="shared" si="0"/>
        <v>0</v>
      </c>
      <c r="BT52" s="40">
        <v>46184</v>
      </c>
      <c r="BU52" s="8">
        <v>0</v>
      </c>
      <c r="BV52" s="58">
        <f>VLOOKUP(AQ52,'[1]Harga &amp; Nama CSO'!$A$28:$D$31,4,0)*BP52</f>
        <v>3</v>
      </c>
    </row>
    <row r="53" spans="41:74" x14ac:dyDescent="0.35">
      <c r="AO53" s="39">
        <v>51</v>
      </c>
      <c r="AP53" s="40">
        <v>46183</v>
      </c>
      <c r="AQ53" s="41" t="s">
        <v>98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55">
        <f>IFERROR(VLOOKUP(AQ53,'[1]Harga &amp; Nama CSO'!$H$2:$N$22,2,FALSE),"")*AV53</f>
        <v>115800</v>
      </c>
      <c r="BO53" s="40">
        <v>46183</v>
      </c>
      <c r="BP53" s="39">
        <v>1</v>
      </c>
      <c r="BQ53" s="55">
        <v>115800</v>
      </c>
      <c r="BR53" s="39" t="s">
        <v>111</v>
      </c>
      <c r="BS53" s="57">
        <f t="shared" si="0"/>
        <v>0</v>
      </c>
      <c r="BT53" s="40">
        <v>46184</v>
      </c>
      <c r="BU53" s="8">
        <v>0</v>
      </c>
      <c r="BV53" s="58">
        <f>VLOOKUP(AQ53,'[1]Harga &amp; Nama CSO'!$A$28:$D$31,4,0)*BP53</f>
        <v>3</v>
      </c>
    </row>
    <row r="54" spans="41:74" x14ac:dyDescent="0.35">
      <c r="AO54" s="39">
        <v>52</v>
      </c>
      <c r="AP54" s="40">
        <v>46183</v>
      </c>
      <c r="AQ54" s="41" t="s">
        <v>98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55">
        <f>IFERROR(VLOOKUP(AQ54,'[1]Harga &amp; Nama CSO'!$H$2:$N$22,2,FALSE),"")*AV54</f>
        <v>115800</v>
      </c>
      <c r="BO54" s="40">
        <v>46183</v>
      </c>
      <c r="BP54" s="39">
        <v>1</v>
      </c>
      <c r="BQ54" s="55">
        <v>115800</v>
      </c>
      <c r="BR54" s="39" t="s">
        <v>111</v>
      </c>
      <c r="BS54" s="57">
        <f t="shared" si="0"/>
        <v>0</v>
      </c>
      <c r="BT54" s="40">
        <v>46184</v>
      </c>
      <c r="BU54" s="8">
        <v>0</v>
      </c>
      <c r="BV54" s="58">
        <f>VLOOKUP(AQ54,'[1]Harga &amp; Nama CSO'!$A$28:$D$31,4,0)*BP54</f>
        <v>3</v>
      </c>
    </row>
    <row r="55" spans="41:74" x14ac:dyDescent="0.35">
      <c r="AO55" s="39">
        <v>53</v>
      </c>
      <c r="AP55" s="40">
        <v>46183</v>
      </c>
      <c r="AQ55" s="41" t="s">
        <v>98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55">
        <f>IFERROR(VLOOKUP(AQ55,'[1]Harga &amp; Nama CSO'!$H$2:$N$22,2,FALSE),"")*AV55</f>
        <v>115800</v>
      </c>
      <c r="BO55" s="40">
        <v>46183</v>
      </c>
      <c r="BP55" s="39">
        <v>1</v>
      </c>
      <c r="BQ55" s="55">
        <v>115800</v>
      </c>
      <c r="BR55" s="39" t="s">
        <v>111</v>
      </c>
      <c r="BS55" s="57">
        <f t="shared" si="0"/>
        <v>0</v>
      </c>
      <c r="BT55" s="40">
        <v>46184</v>
      </c>
      <c r="BU55" s="8">
        <v>0</v>
      </c>
      <c r="BV55" s="58">
        <f>VLOOKUP(AQ55,'[1]Harga &amp; Nama CSO'!$A$28:$D$31,4,0)*BP55</f>
        <v>3</v>
      </c>
    </row>
    <row r="56" spans="41:74" x14ac:dyDescent="0.35">
      <c r="AO56" s="39">
        <v>54</v>
      </c>
      <c r="AP56" s="40">
        <v>46183</v>
      </c>
      <c r="AQ56" s="41" t="s">
        <v>98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55">
        <f>IFERROR(VLOOKUP(AQ56,'[1]Harga &amp; Nama CSO'!$H$2:$N$22,2,FALSE),"")*AV56</f>
        <v>115800</v>
      </c>
      <c r="BO56" s="40">
        <v>46183</v>
      </c>
      <c r="BP56" s="39">
        <v>1</v>
      </c>
      <c r="BQ56" s="55">
        <v>115800</v>
      </c>
      <c r="BR56" s="39" t="s">
        <v>111</v>
      </c>
      <c r="BS56" s="57">
        <f t="shared" si="0"/>
        <v>0</v>
      </c>
      <c r="BT56" s="40">
        <v>46184</v>
      </c>
      <c r="BU56" s="8">
        <v>0</v>
      </c>
      <c r="BV56" s="58">
        <f>VLOOKUP(AQ56,'[1]Harga &amp; Nama CSO'!$A$28:$D$31,4,0)*BP56</f>
        <v>3</v>
      </c>
    </row>
    <row r="57" spans="41:74" x14ac:dyDescent="0.35">
      <c r="AO57" s="39">
        <v>55</v>
      </c>
      <c r="AP57" s="40">
        <v>46183</v>
      </c>
      <c r="AQ57" s="41" t="s">
        <v>98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55">
        <f>IFERROR(VLOOKUP(AQ57,'[1]Harga &amp; Nama CSO'!$H$2:$N$22,2,FALSE),"")*AV57</f>
        <v>115800</v>
      </c>
      <c r="BO57" s="40">
        <v>46183</v>
      </c>
      <c r="BP57" s="39">
        <v>1</v>
      </c>
      <c r="BQ57" s="55">
        <v>115800</v>
      </c>
      <c r="BR57" s="39" t="s">
        <v>111</v>
      </c>
      <c r="BS57" s="57">
        <f t="shared" si="0"/>
        <v>0</v>
      </c>
      <c r="BT57" s="40">
        <v>46184</v>
      </c>
      <c r="BU57" s="8">
        <v>0</v>
      </c>
      <c r="BV57" s="58">
        <f>VLOOKUP(AQ57,'[1]Harga &amp; Nama CSO'!$A$28:$D$31,4,0)*BP57</f>
        <v>3</v>
      </c>
    </row>
    <row r="58" spans="41:74" x14ac:dyDescent="0.35">
      <c r="AO58" s="39">
        <v>56</v>
      </c>
      <c r="AP58" s="40">
        <v>46183</v>
      </c>
      <c r="AQ58" s="41" t="s">
        <v>98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55">
        <f>IFERROR(VLOOKUP(AQ58,'[1]Harga &amp; Nama CSO'!$H$2:$N$22,2,FALSE),"")*AV58</f>
        <v>115800</v>
      </c>
      <c r="BO58" s="40">
        <v>46183</v>
      </c>
      <c r="BP58" s="39">
        <v>1</v>
      </c>
      <c r="BQ58" s="55">
        <v>115800</v>
      </c>
      <c r="BR58" s="39" t="s">
        <v>111</v>
      </c>
      <c r="BS58" s="57">
        <f t="shared" si="0"/>
        <v>0</v>
      </c>
      <c r="BT58" s="40">
        <v>46184</v>
      </c>
      <c r="BU58" s="8">
        <v>0</v>
      </c>
      <c r="BV58" s="58">
        <f>VLOOKUP(AQ58,'[1]Harga &amp; Nama CSO'!$A$28:$D$31,4,0)*BP58</f>
        <v>3</v>
      </c>
    </row>
    <row r="59" spans="41:74" x14ac:dyDescent="0.35">
      <c r="AO59" s="39">
        <v>57</v>
      </c>
      <c r="AP59" s="40">
        <v>46183</v>
      </c>
      <c r="AQ59" s="41" t="s">
        <v>98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55">
        <f>IFERROR(VLOOKUP(AQ59,'[1]Harga &amp; Nama CSO'!$H$2:$N$22,2,FALSE),"")*AV59</f>
        <v>115800</v>
      </c>
      <c r="BO59" s="40">
        <v>46183</v>
      </c>
      <c r="BP59" s="39">
        <v>1</v>
      </c>
      <c r="BQ59" s="55">
        <v>115800</v>
      </c>
      <c r="BR59" s="39" t="s">
        <v>111</v>
      </c>
      <c r="BS59" s="57">
        <f t="shared" si="0"/>
        <v>0</v>
      </c>
      <c r="BT59" s="40">
        <v>46184</v>
      </c>
      <c r="BU59" s="8">
        <v>0</v>
      </c>
      <c r="BV59" s="58">
        <f>VLOOKUP(AQ59,'[1]Harga &amp; Nama CSO'!$A$28:$D$31,4,0)*BP59</f>
        <v>3</v>
      </c>
    </row>
    <row r="60" spans="41:74" x14ac:dyDescent="0.35">
      <c r="AO60" s="39">
        <v>58</v>
      </c>
      <c r="AP60" s="40">
        <v>46183</v>
      </c>
      <c r="AQ60" s="41" t="s">
        <v>98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55">
        <f>IFERROR(VLOOKUP(AQ60,'[1]Harga &amp; Nama CSO'!$H$2:$N$22,2,FALSE),"")*AV60</f>
        <v>115800</v>
      </c>
      <c r="BO60" s="40">
        <v>46183</v>
      </c>
      <c r="BP60" s="39">
        <v>1</v>
      </c>
      <c r="BQ60" s="55">
        <v>115800</v>
      </c>
      <c r="BR60" s="39" t="s">
        <v>111</v>
      </c>
      <c r="BS60" s="57">
        <f t="shared" si="0"/>
        <v>0</v>
      </c>
      <c r="BT60" s="40">
        <v>46184</v>
      </c>
      <c r="BU60" s="8">
        <v>0</v>
      </c>
      <c r="BV60" s="58">
        <f>VLOOKUP(AQ60,'[1]Harga &amp; Nama CSO'!$A$28:$D$31,4,0)*BP60</f>
        <v>3</v>
      </c>
    </row>
    <row r="61" spans="41:74" x14ac:dyDescent="0.35">
      <c r="AO61" s="39">
        <v>59</v>
      </c>
      <c r="AP61" s="40">
        <v>46183</v>
      </c>
      <c r="AQ61" s="41" t="s">
        <v>98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55">
        <f>IFERROR(VLOOKUP(AQ61,'[1]Harga &amp; Nama CSO'!$H$2:$N$22,2,FALSE),"")*AV61</f>
        <v>115800</v>
      </c>
      <c r="BO61" s="40">
        <v>46183</v>
      </c>
      <c r="BP61" s="39">
        <v>1</v>
      </c>
      <c r="BQ61" s="55">
        <v>115800</v>
      </c>
      <c r="BR61" s="39" t="s">
        <v>111</v>
      </c>
      <c r="BS61" s="57">
        <f t="shared" si="0"/>
        <v>0</v>
      </c>
      <c r="BT61" s="40">
        <v>46184</v>
      </c>
      <c r="BU61" s="8">
        <v>0</v>
      </c>
      <c r="BV61" s="58">
        <f>VLOOKUP(AQ61,'[1]Harga &amp; Nama CSO'!$A$28:$D$31,4,0)*BP61</f>
        <v>3</v>
      </c>
    </row>
    <row r="62" spans="41:74" x14ac:dyDescent="0.35">
      <c r="AO62" s="39">
        <v>60</v>
      </c>
      <c r="AP62" s="40">
        <v>46183</v>
      </c>
      <c r="AQ62" s="41" t="s">
        <v>98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55">
        <f>IFERROR(VLOOKUP(AQ62,'[1]Harga &amp; Nama CSO'!$H$2:$N$22,2,FALSE),"")*AV62</f>
        <v>115800</v>
      </c>
      <c r="BO62" s="40">
        <v>46183</v>
      </c>
      <c r="BP62" s="39">
        <v>1</v>
      </c>
      <c r="BQ62" s="55">
        <v>115800</v>
      </c>
      <c r="BR62" s="39" t="s">
        <v>111</v>
      </c>
      <c r="BS62" s="57">
        <f t="shared" si="0"/>
        <v>0</v>
      </c>
      <c r="BT62" s="40">
        <v>46184</v>
      </c>
      <c r="BU62" s="8">
        <v>0</v>
      </c>
      <c r="BV62" s="58">
        <f>VLOOKUP(AQ62,'[1]Harga &amp; Nama CSO'!$A$28:$D$31,4,0)*BP62</f>
        <v>3</v>
      </c>
    </row>
    <row r="63" spans="41:74" x14ac:dyDescent="0.35">
      <c r="AO63" s="39">
        <v>61</v>
      </c>
      <c r="AP63" s="40">
        <v>46183</v>
      </c>
      <c r="AQ63" s="41" t="s">
        <v>99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55">
        <f>IFERROR(VLOOKUP(AQ63,'[1]Harga &amp; Nama CSO'!$H$2:$N$22,2,FALSE),"")*AV63</f>
        <v>118200</v>
      </c>
      <c r="BO63" s="40">
        <v>46183</v>
      </c>
      <c r="BP63" s="39">
        <v>1</v>
      </c>
      <c r="BQ63" s="55">
        <v>118200</v>
      </c>
      <c r="BR63" s="39" t="s">
        <v>111</v>
      </c>
      <c r="BS63" s="57">
        <f t="shared" si="0"/>
        <v>0</v>
      </c>
      <c r="BT63" s="40">
        <v>46184</v>
      </c>
      <c r="BU63" s="8">
        <v>0</v>
      </c>
      <c r="BV63" s="58">
        <f>VLOOKUP(AQ63,'[1]Harga &amp; Nama CSO'!$A$28:$D$31,4,0)*BP63</f>
        <v>3</v>
      </c>
    </row>
    <row r="64" spans="41:74" x14ac:dyDescent="0.35">
      <c r="AO64" s="39">
        <v>62</v>
      </c>
      <c r="AP64" s="40">
        <v>46183</v>
      </c>
      <c r="AQ64" s="41" t="s">
        <v>99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55">
        <f>IFERROR(VLOOKUP(AQ64,'[1]Harga &amp; Nama CSO'!$H$2:$N$22,2,FALSE),"")*AV64</f>
        <v>118200</v>
      </c>
      <c r="BO64" s="40">
        <v>46183</v>
      </c>
      <c r="BP64" s="39">
        <v>1</v>
      </c>
      <c r="BQ64" s="55">
        <v>118200</v>
      </c>
      <c r="BR64" s="39" t="s">
        <v>111</v>
      </c>
      <c r="BS64" s="57">
        <f t="shared" si="0"/>
        <v>0</v>
      </c>
      <c r="BT64" s="40">
        <v>46184</v>
      </c>
      <c r="BU64" s="8">
        <v>0</v>
      </c>
      <c r="BV64" s="58">
        <f>VLOOKUP(AQ64,'[1]Harga &amp; Nama CSO'!$A$28:$D$31,4,0)*BP64</f>
        <v>3</v>
      </c>
    </row>
    <row r="65" spans="41:74" x14ac:dyDescent="0.35">
      <c r="AO65" s="39">
        <v>63</v>
      </c>
      <c r="AP65" s="40">
        <v>46183</v>
      </c>
      <c r="AQ65" s="41" t="s">
        <v>99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55">
        <f>IFERROR(VLOOKUP(AQ65,'[1]Harga &amp; Nama CSO'!$H$2:$N$22,2,FALSE),"")*AV65</f>
        <v>118200</v>
      </c>
      <c r="BO65" s="40">
        <v>46183</v>
      </c>
      <c r="BP65" s="39">
        <v>1</v>
      </c>
      <c r="BQ65" s="55">
        <v>118200</v>
      </c>
      <c r="BR65" s="39" t="s">
        <v>111</v>
      </c>
      <c r="BS65" s="57">
        <f t="shared" si="0"/>
        <v>0</v>
      </c>
      <c r="BT65" s="40">
        <v>46184</v>
      </c>
      <c r="BU65" s="8">
        <v>0</v>
      </c>
      <c r="BV65" s="58">
        <f>VLOOKUP(AQ65,'[1]Harga &amp; Nama CSO'!$A$28:$D$31,4,0)*BP65</f>
        <v>3</v>
      </c>
    </row>
    <row r="66" spans="41:74" x14ac:dyDescent="0.35">
      <c r="AO66" s="39">
        <v>64</v>
      </c>
      <c r="AP66" s="40">
        <v>46183</v>
      </c>
      <c r="AQ66" s="41" t="s">
        <v>99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55">
        <f>IFERROR(VLOOKUP(AQ66,'[1]Harga &amp; Nama CSO'!$H$2:$N$22,2,FALSE),"")*AV66</f>
        <v>118200</v>
      </c>
      <c r="BO66" s="40">
        <v>46183</v>
      </c>
      <c r="BP66" s="39">
        <v>1</v>
      </c>
      <c r="BQ66" s="55">
        <v>118200</v>
      </c>
      <c r="BR66" s="39" t="s">
        <v>111</v>
      </c>
      <c r="BS66" s="57">
        <f t="shared" si="0"/>
        <v>0</v>
      </c>
      <c r="BT66" s="40">
        <v>46184</v>
      </c>
      <c r="BU66" s="8">
        <v>0</v>
      </c>
      <c r="BV66" s="58">
        <f>VLOOKUP(AQ66,'[1]Harga &amp; Nama CSO'!$A$28:$D$31,4,0)*BP66</f>
        <v>3</v>
      </c>
    </row>
    <row r="67" spans="41:74" x14ac:dyDescent="0.35">
      <c r="AO67" s="39">
        <v>65</v>
      </c>
      <c r="AP67" s="40">
        <v>46183</v>
      </c>
      <c r="AQ67" s="41" t="s">
        <v>99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55">
        <f>IFERROR(VLOOKUP(AQ67,'[1]Harga &amp; Nama CSO'!$H$2:$N$22,2,FALSE),"")*AV67</f>
        <v>118200</v>
      </c>
      <c r="BO67" s="40">
        <v>46183</v>
      </c>
      <c r="BP67" s="39">
        <v>1</v>
      </c>
      <c r="BQ67" s="55">
        <v>118200</v>
      </c>
      <c r="BR67" s="39" t="s">
        <v>111</v>
      </c>
      <c r="BS67" s="57">
        <f t="shared" ref="BS67:BS127" si="21">BN67-BQ67</f>
        <v>0</v>
      </c>
      <c r="BT67" s="40">
        <v>46184</v>
      </c>
      <c r="BU67" s="8">
        <v>0</v>
      </c>
      <c r="BV67" s="58">
        <f>VLOOKUP(AQ67,'[1]Harga &amp; Nama CSO'!$A$28:$D$31,4,0)*BP67</f>
        <v>3</v>
      </c>
    </row>
    <row r="68" spans="41:74" x14ac:dyDescent="0.35">
      <c r="AO68" s="39">
        <v>66</v>
      </c>
      <c r="AP68" s="40">
        <v>46184</v>
      </c>
      <c r="AQ68" s="41" t="s">
        <v>98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55">
        <f>IFERROR(VLOOKUP(AQ68,'[1]Harga &amp; Nama CSO'!$H$2:$N$22,2,FALSE),"")*AV68</f>
        <v>115800</v>
      </c>
      <c r="BO68" s="40">
        <v>46184</v>
      </c>
      <c r="BP68" s="39">
        <v>1</v>
      </c>
      <c r="BQ68" s="59">
        <v>115800</v>
      </c>
      <c r="BR68" s="39" t="s">
        <v>111</v>
      </c>
      <c r="BS68" s="57">
        <f t="shared" si="21"/>
        <v>0</v>
      </c>
      <c r="BT68" s="40">
        <v>46185</v>
      </c>
      <c r="BU68" s="8">
        <v>0</v>
      </c>
      <c r="BV68" s="58">
        <f>VLOOKUP(AQ68,'[1]Harga &amp; Nama CSO'!$A$28:$D$31,4,0)*BP68</f>
        <v>3</v>
      </c>
    </row>
    <row r="69" spans="41:74" x14ac:dyDescent="0.35">
      <c r="AO69" s="39">
        <v>67</v>
      </c>
      <c r="AP69" s="40">
        <v>46184</v>
      </c>
      <c r="AQ69" s="41" t="s">
        <v>98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55">
        <f>IFERROR(VLOOKUP(AQ69,'[1]Harga &amp; Nama CSO'!$H$2:$N$22,2,FALSE),"")*AV69</f>
        <v>115800</v>
      </c>
      <c r="BO69" s="40">
        <v>46184</v>
      </c>
      <c r="BP69" s="39">
        <v>1</v>
      </c>
      <c r="BQ69" s="59">
        <v>115800</v>
      </c>
      <c r="BR69" s="39" t="s">
        <v>111</v>
      </c>
      <c r="BS69" s="57">
        <f t="shared" si="21"/>
        <v>0</v>
      </c>
      <c r="BT69" s="40">
        <v>46185</v>
      </c>
      <c r="BU69" s="8">
        <v>0</v>
      </c>
      <c r="BV69" s="58">
        <f>VLOOKUP(AQ69,'[1]Harga &amp; Nama CSO'!$A$28:$D$31,4,0)*BP69</f>
        <v>3</v>
      </c>
    </row>
    <row r="70" spans="41:74" x14ac:dyDescent="0.35">
      <c r="AO70" s="39">
        <v>68</v>
      </c>
      <c r="AP70" s="40">
        <v>46184</v>
      </c>
      <c r="AQ70" s="41" t="s">
        <v>98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55">
        <f>IFERROR(VLOOKUP(AQ70,'[1]Harga &amp; Nama CSO'!$H$2:$N$22,2,FALSE),"")*AV70</f>
        <v>115800</v>
      </c>
      <c r="BO70" s="40">
        <v>46184</v>
      </c>
      <c r="BP70" s="39">
        <v>1</v>
      </c>
      <c r="BQ70" s="59">
        <v>115800</v>
      </c>
      <c r="BR70" s="39" t="s">
        <v>111</v>
      </c>
      <c r="BS70" s="57">
        <f t="shared" si="21"/>
        <v>0</v>
      </c>
      <c r="BT70" s="40">
        <v>46185</v>
      </c>
      <c r="BU70" s="8">
        <v>0</v>
      </c>
      <c r="BV70" s="58">
        <f>VLOOKUP(AQ70,'[1]Harga &amp; Nama CSO'!$A$28:$D$31,4,0)*BP70</f>
        <v>3</v>
      </c>
    </row>
    <row r="71" spans="41:74" x14ac:dyDescent="0.35">
      <c r="AO71" s="39">
        <v>69</v>
      </c>
      <c r="AP71" s="40">
        <v>46184</v>
      </c>
      <c r="AQ71" s="41" t="s">
        <v>99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55">
        <f>IFERROR(VLOOKUP(AQ71,'[1]Harga &amp; Nama CSO'!$H$2:$N$22,2,FALSE),"")*AV71</f>
        <v>118200</v>
      </c>
      <c r="BO71" s="40">
        <v>46184</v>
      </c>
      <c r="BP71" s="39">
        <v>1</v>
      </c>
      <c r="BQ71" s="59">
        <v>118200</v>
      </c>
      <c r="BR71" s="39" t="s">
        <v>111</v>
      </c>
      <c r="BS71" s="57">
        <f t="shared" si="21"/>
        <v>0</v>
      </c>
      <c r="BT71" s="40">
        <v>46185</v>
      </c>
      <c r="BU71" s="8">
        <v>0</v>
      </c>
      <c r="BV71" s="58">
        <f>VLOOKUP(AQ71,'[1]Harga &amp; Nama CSO'!$A$28:$D$31,4,0)*BP71</f>
        <v>3</v>
      </c>
    </row>
    <row r="72" spans="41:74" x14ac:dyDescent="0.35">
      <c r="AO72" s="39">
        <v>70</v>
      </c>
      <c r="AP72" s="40">
        <v>46184</v>
      </c>
      <c r="AQ72" s="41" t="s">
        <v>99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55">
        <f>IFERROR(VLOOKUP(AQ72,'[1]Harga &amp; Nama CSO'!$H$2:$N$22,2,FALSE),"")*AV72</f>
        <v>118200</v>
      </c>
      <c r="BO72" s="40">
        <v>46184</v>
      </c>
      <c r="BP72" s="39">
        <v>1</v>
      </c>
      <c r="BQ72" s="59">
        <v>118200</v>
      </c>
      <c r="BR72" s="39" t="s">
        <v>111</v>
      </c>
      <c r="BS72" s="57">
        <f t="shared" si="21"/>
        <v>0</v>
      </c>
      <c r="BT72" s="40">
        <v>46185</v>
      </c>
      <c r="BU72" s="8">
        <v>0</v>
      </c>
      <c r="BV72" s="58">
        <f>VLOOKUP(AQ72,'[1]Harga &amp; Nama CSO'!$A$28:$D$31,4,0)*BP72</f>
        <v>3</v>
      </c>
    </row>
    <row r="73" spans="41:74" x14ac:dyDescent="0.35">
      <c r="AO73" s="39">
        <v>71</v>
      </c>
      <c r="AP73" s="40">
        <v>46184</v>
      </c>
      <c r="AQ73" s="41" t="s">
        <v>99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55">
        <f>IFERROR(VLOOKUP(AQ73,'[1]Harga &amp; Nama CSO'!$H$2:$N$22,2,FALSE),"")*AV73</f>
        <v>118200</v>
      </c>
      <c r="BO73" s="40">
        <v>46184</v>
      </c>
      <c r="BP73" s="39">
        <v>1</v>
      </c>
      <c r="BQ73" s="59">
        <v>118200</v>
      </c>
      <c r="BR73" s="39" t="s">
        <v>111</v>
      </c>
      <c r="BS73" s="57">
        <f t="shared" si="21"/>
        <v>0</v>
      </c>
      <c r="BT73" s="40">
        <v>46185</v>
      </c>
      <c r="BU73" s="8">
        <v>0</v>
      </c>
      <c r="BV73" s="58">
        <f>VLOOKUP(AQ73,'[1]Harga &amp; Nama CSO'!$A$28:$D$31,4,0)*BP73</f>
        <v>3</v>
      </c>
    </row>
    <row r="74" spans="41:74" x14ac:dyDescent="0.35">
      <c r="AO74" s="39">
        <v>72</v>
      </c>
      <c r="AP74" s="40">
        <v>46184</v>
      </c>
      <c r="AQ74" s="41" t="s">
        <v>99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55">
        <f>IFERROR(VLOOKUP(AQ74,'[1]Harga &amp; Nama CSO'!$H$2:$N$22,2,FALSE),"")*AV74</f>
        <v>118200</v>
      </c>
      <c r="BO74" s="40">
        <v>46184</v>
      </c>
      <c r="BP74" s="39">
        <v>1</v>
      </c>
      <c r="BQ74" s="59">
        <v>118200</v>
      </c>
      <c r="BR74" s="39" t="s">
        <v>111</v>
      </c>
      <c r="BS74" s="57">
        <f t="shared" si="21"/>
        <v>0</v>
      </c>
      <c r="BT74" s="40">
        <v>46185</v>
      </c>
      <c r="BU74" s="8">
        <v>0</v>
      </c>
      <c r="BV74" s="58">
        <f>VLOOKUP(AQ74,'[1]Harga &amp; Nama CSO'!$A$28:$D$31,4,0)*BP74</f>
        <v>3</v>
      </c>
    </row>
    <row r="75" spans="41:74" x14ac:dyDescent="0.35">
      <c r="AO75" s="39">
        <v>73</v>
      </c>
      <c r="AP75" s="40">
        <v>46184</v>
      </c>
      <c r="AQ75" s="41" t="s">
        <v>99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55">
        <f>IFERROR(VLOOKUP(AQ75,'[1]Harga &amp; Nama CSO'!$H$2:$N$22,2,FALSE),"")*AV75</f>
        <v>118200</v>
      </c>
      <c r="BO75" s="40">
        <v>46184</v>
      </c>
      <c r="BP75" s="39">
        <v>1</v>
      </c>
      <c r="BQ75" s="59">
        <v>118200</v>
      </c>
      <c r="BR75" s="39" t="s">
        <v>111</v>
      </c>
      <c r="BS75" s="57">
        <f t="shared" si="21"/>
        <v>0</v>
      </c>
      <c r="BT75" s="40">
        <v>46185</v>
      </c>
      <c r="BU75" s="8">
        <v>0</v>
      </c>
      <c r="BV75" s="58">
        <f>VLOOKUP(AQ75,'[1]Harga &amp; Nama CSO'!$A$28:$D$31,4,0)*BP75</f>
        <v>3</v>
      </c>
    </row>
    <row r="76" spans="41:74" x14ac:dyDescent="0.35">
      <c r="AO76" s="39">
        <v>74</v>
      </c>
      <c r="AP76" s="40">
        <v>46184</v>
      </c>
      <c r="AQ76" s="41" t="s">
        <v>112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55">
        <f>IFERROR(VLOOKUP(AQ76,'[1]Harga &amp; Nama CSO'!$H$2:$N$22,2,FALSE),"")*AV76</f>
        <v>162600</v>
      </c>
      <c r="BO76" s="40">
        <v>46184</v>
      </c>
      <c r="BP76" s="39">
        <v>1</v>
      </c>
      <c r="BQ76" s="59">
        <v>162600</v>
      </c>
      <c r="BR76" s="39" t="s">
        <v>111</v>
      </c>
      <c r="BS76" s="57">
        <f t="shared" si="21"/>
        <v>0</v>
      </c>
      <c r="BT76" s="40">
        <v>46185</v>
      </c>
      <c r="BU76" s="8">
        <v>0</v>
      </c>
      <c r="BV76" s="58">
        <f>VLOOKUP(AQ76,'[1]Harga &amp; Nama CSO'!$A$28:$D$31,4,0)*BP76</f>
        <v>3</v>
      </c>
    </row>
    <row r="77" spans="41:74" x14ac:dyDescent="0.35">
      <c r="AO77" s="39">
        <v>75</v>
      </c>
      <c r="AP77" s="40">
        <v>46184</v>
      </c>
      <c r="AQ77" s="41" t="s">
        <v>112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55">
        <f>IFERROR(VLOOKUP(AQ77,'[1]Harga &amp; Nama CSO'!$H$2:$N$22,2,FALSE),"")*AV77</f>
        <v>162600</v>
      </c>
      <c r="BO77" s="40">
        <v>46184</v>
      </c>
      <c r="BP77" s="39">
        <v>1</v>
      </c>
      <c r="BQ77" s="59">
        <v>162600</v>
      </c>
      <c r="BR77" s="39" t="s">
        <v>111</v>
      </c>
      <c r="BS77" s="57">
        <f t="shared" si="21"/>
        <v>0</v>
      </c>
      <c r="BT77" s="40">
        <v>46185</v>
      </c>
      <c r="BU77" s="8">
        <v>0</v>
      </c>
      <c r="BV77" s="58">
        <f>VLOOKUP(AQ77,'[1]Harga &amp; Nama CSO'!$A$28:$D$31,4,0)*BP77</f>
        <v>3</v>
      </c>
    </row>
    <row r="78" spans="41:74" x14ac:dyDescent="0.35">
      <c r="AO78" s="39">
        <v>76</v>
      </c>
      <c r="AP78" s="40">
        <v>46184</v>
      </c>
      <c r="AQ78" s="41" t="s">
        <v>99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55">
        <f>IFERROR(VLOOKUP(AQ78,'[1]Harga &amp; Nama CSO'!$H$2:$N$22,2,FALSE),"")*AV78</f>
        <v>118200</v>
      </c>
      <c r="BO78" s="40">
        <v>46184</v>
      </c>
      <c r="BP78" s="39">
        <v>1</v>
      </c>
      <c r="BQ78" s="59">
        <v>118200</v>
      </c>
      <c r="BR78" s="39" t="s">
        <v>111</v>
      </c>
      <c r="BS78" s="57">
        <f>BN78-BQ78</f>
        <v>0</v>
      </c>
      <c r="BT78" s="40">
        <v>46185</v>
      </c>
      <c r="BU78" s="8">
        <v>0</v>
      </c>
      <c r="BV78" s="58">
        <f>VLOOKUP(AQ78,'[1]Harga &amp; Nama CSO'!$A$28:$D$31,4,0)*BP78</f>
        <v>3</v>
      </c>
    </row>
    <row r="79" spans="41:74" x14ac:dyDescent="0.35">
      <c r="AO79" s="39">
        <v>77</v>
      </c>
      <c r="AP79" s="40">
        <v>46184</v>
      </c>
      <c r="AQ79" s="41" t="s">
        <v>99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55">
        <f>IFERROR(VLOOKUP(AQ79,'[1]Harga &amp; Nama CSO'!$H$2:$N$22,2,FALSE),"")*AV79</f>
        <v>118200</v>
      </c>
      <c r="BO79" s="40">
        <v>46184</v>
      </c>
      <c r="BP79" s="39">
        <v>1</v>
      </c>
      <c r="BQ79" s="59">
        <v>118200</v>
      </c>
      <c r="BR79" s="39" t="s">
        <v>111</v>
      </c>
      <c r="BS79" s="57">
        <f t="shared" si="21"/>
        <v>0</v>
      </c>
      <c r="BT79" s="40">
        <v>46185</v>
      </c>
      <c r="BU79" s="8">
        <v>0</v>
      </c>
      <c r="BV79" s="58">
        <f>VLOOKUP(AQ79,'[1]Harga &amp; Nama CSO'!$A$28:$D$31,4,0)*BP79</f>
        <v>3</v>
      </c>
    </row>
    <row r="80" spans="41:74" x14ac:dyDescent="0.35">
      <c r="AO80" s="39">
        <v>78</v>
      </c>
      <c r="AP80" s="40">
        <v>46185</v>
      </c>
      <c r="AQ80" s="41" t="s">
        <v>98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55">
        <f>IFERROR(VLOOKUP(AQ80,'[1]Harga &amp; Nama CSO'!$H$2:$N$22,2,FALSE),"")*AV80</f>
        <v>115800</v>
      </c>
      <c r="BO80" s="40">
        <v>46186</v>
      </c>
      <c r="BP80" s="39">
        <v>1</v>
      </c>
      <c r="BQ80" s="59">
        <v>115800</v>
      </c>
      <c r="BR80" s="39" t="s">
        <v>111</v>
      </c>
      <c r="BS80" s="57">
        <f t="shared" si="21"/>
        <v>0</v>
      </c>
      <c r="BT80" s="40">
        <v>46188</v>
      </c>
      <c r="BU80" s="8">
        <v>0</v>
      </c>
      <c r="BV80" s="58">
        <f>VLOOKUP(AQ80,'[1]Harga &amp; Nama CSO'!$A$28:$D$31,4,0)*BP80</f>
        <v>3</v>
      </c>
    </row>
    <row r="81" spans="41:74" x14ac:dyDescent="0.35">
      <c r="AO81" s="39">
        <v>79</v>
      </c>
      <c r="AP81" s="40">
        <v>46185</v>
      </c>
      <c r="AQ81" s="41" t="s">
        <v>98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55">
        <f>IFERROR(VLOOKUP(AQ81,'[1]Harga &amp; Nama CSO'!$H$2:$N$22,2,FALSE),"")*AV81</f>
        <v>115800</v>
      </c>
      <c r="BO81" s="40">
        <v>46186</v>
      </c>
      <c r="BP81" s="39">
        <v>1</v>
      </c>
      <c r="BQ81" s="59">
        <v>115800</v>
      </c>
      <c r="BR81" s="39" t="s">
        <v>111</v>
      </c>
      <c r="BS81" s="57">
        <f t="shared" si="21"/>
        <v>0</v>
      </c>
      <c r="BT81" s="40">
        <v>46188</v>
      </c>
      <c r="BU81" s="8">
        <v>0</v>
      </c>
      <c r="BV81" s="58">
        <f>VLOOKUP(AQ81,'[1]Harga &amp; Nama CSO'!$A$28:$D$31,4,0)*BP81</f>
        <v>3</v>
      </c>
    </row>
    <row r="82" spans="41:74" x14ac:dyDescent="0.35">
      <c r="AO82" s="39">
        <v>80</v>
      </c>
      <c r="AP82" s="40">
        <v>46185</v>
      </c>
      <c r="AQ82" s="41" t="s">
        <v>98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55">
        <f>IFERROR(VLOOKUP(AQ82,'[1]Harga &amp; Nama CSO'!$H$2:$N$22,2,FALSE),"")*AV82</f>
        <v>115800</v>
      </c>
      <c r="BO82" s="40">
        <v>46186</v>
      </c>
      <c r="BP82" s="39">
        <v>1</v>
      </c>
      <c r="BQ82" s="59">
        <v>115800</v>
      </c>
      <c r="BR82" s="39" t="s">
        <v>111</v>
      </c>
      <c r="BS82" s="57">
        <f t="shared" si="21"/>
        <v>0</v>
      </c>
      <c r="BT82" s="40">
        <v>46188</v>
      </c>
      <c r="BU82" s="8">
        <v>0</v>
      </c>
      <c r="BV82" s="58">
        <f>VLOOKUP(AQ82,'[1]Harga &amp; Nama CSO'!$A$28:$D$31,4,0)*BP82</f>
        <v>3</v>
      </c>
    </row>
    <row r="83" spans="41:74" x14ac:dyDescent="0.35">
      <c r="AO83" s="39">
        <v>81</v>
      </c>
      <c r="AP83" s="40">
        <v>46185</v>
      </c>
      <c r="AQ83" s="41" t="s">
        <v>98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55">
        <f>IFERROR(VLOOKUP(AQ83,'[1]Harga &amp; Nama CSO'!$H$2:$N$22,2,FALSE),"")*AV83</f>
        <v>115800</v>
      </c>
      <c r="BO83" s="40">
        <v>46186</v>
      </c>
      <c r="BP83" s="39">
        <v>1</v>
      </c>
      <c r="BQ83" s="59">
        <v>115800</v>
      </c>
      <c r="BR83" s="39" t="s">
        <v>111</v>
      </c>
      <c r="BS83" s="57">
        <f t="shared" si="21"/>
        <v>0</v>
      </c>
      <c r="BT83" s="40">
        <v>46188</v>
      </c>
      <c r="BU83" s="8">
        <v>0</v>
      </c>
      <c r="BV83" s="58">
        <f>VLOOKUP(AQ83,'[1]Harga &amp; Nama CSO'!$A$28:$D$31,4,0)*BP83</f>
        <v>3</v>
      </c>
    </row>
    <row r="84" spans="41:74" x14ac:dyDescent="0.35">
      <c r="AO84" s="39">
        <v>82</v>
      </c>
      <c r="AP84" s="40">
        <v>46185</v>
      </c>
      <c r="AQ84" s="41" t="s">
        <v>98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55">
        <f>IFERROR(VLOOKUP(AQ84,'[1]Harga &amp; Nama CSO'!$H$2:$N$22,2,FALSE),"")*AV84</f>
        <v>115800</v>
      </c>
      <c r="BO84" s="40">
        <v>46186</v>
      </c>
      <c r="BP84" s="39">
        <v>1</v>
      </c>
      <c r="BQ84" s="59">
        <v>115800</v>
      </c>
      <c r="BR84" s="39" t="s">
        <v>111</v>
      </c>
      <c r="BS84" s="57">
        <f t="shared" si="21"/>
        <v>0</v>
      </c>
      <c r="BT84" s="40">
        <v>46188</v>
      </c>
      <c r="BU84" s="8">
        <v>0</v>
      </c>
      <c r="BV84" s="58">
        <f>VLOOKUP(AQ84,'[1]Harga &amp; Nama CSO'!$A$28:$D$31,4,0)*BP84</f>
        <v>3</v>
      </c>
    </row>
    <row r="85" spans="41:74" x14ac:dyDescent="0.35">
      <c r="AO85" s="39">
        <v>83</v>
      </c>
      <c r="AP85" s="40">
        <v>46185</v>
      </c>
      <c r="AQ85" s="41" t="s">
        <v>98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55">
        <f>IFERROR(VLOOKUP(AQ85,'[1]Harga &amp; Nama CSO'!$H$2:$N$22,2,FALSE),"")*AV85</f>
        <v>115800</v>
      </c>
      <c r="BO85" s="40">
        <v>46186</v>
      </c>
      <c r="BP85" s="39">
        <v>1</v>
      </c>
      <c r="BQ85" s="59">
        <v>115800</v>
      </c>
      <c r="BR85" s="39" t="s">
        <v>111</v>
      </c>
      <c r="BS85" s="57">
        <f t="shared" si="21"/>
        <v>0</v>
      </c>
      <c r="BT85" s="40">
        <v>46188</v>
      </c>
      <c r="BU85" s="8">
        <v>0</v>
      </c>
      <c r="BV85" s="58">
        <f>VLOOKUP(AQ85,'[1]Harga &amp; Nama CSO'!$A$28:$D$31,4,0)*BP85</f>
        <v>3</v>
      </c>
    </row>
    <row r="86" spans="41:74" x14ac:dyDescent="0.35">
      <c r="AO86" s="39">
        <v>84</v>
      </c>
      <c r="AP86" s="40">
        <v>46185</v>
      </c>
      <c r="AQ86" s="41" t="s">
        <v>98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55">
        <f>IFERROR(VLOOKUP(AQ86,'[1]Harga &amp; Nama CSO'!$H$2:$N$22,2,FALSE),"")*AV86</f>
        <v>115800</v>
      </c>
      <c r="BO86" s="40">
        <v>46186</v>
      </c>
      <c r="BP86" s="39">
        <v>1</v>
      </c>
      <c r="BQ86" s="59">
        <v>115800</v>
      </c>
      <c r="BR86" s="39" t="s">
        <v>111</v>
      </c>
      <c r="BS86" s="57">
        <f t="shared" si="21"/>
        <v>0</v>
      </c>
      <c r="BT86" s="40">
        <v>46188</v>
      </c>
      <c r="BU86" s="8">
        <v>0</v>
      </c>
      <c r="BV86" s="58">
        <f>VLOOKUP(AQ86,'[1]Harga &amp; Nama CSO'!$A$28:$D$31,4,0)*BP86</f>
        <v>3</v>
      </c>
    </row>
    <row r="87" spans="41:74" x14ac:dyDescent="0.35">
      <c r="AO87" s="39">
        <v>85</v>
      </c>
      <c r="AP87" s="40">
        <v>46185</v>
      </c>
      <c r="AQ87" s="41" t="s">
        <v>98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55">
        <f>IFERROR(VLOOKUP(AQ87,'[1]Harga &amp; Nama CSO'!$H$2:$N$22,2,FALSE),"")*AV87</f>
        <v>115800</v>
      </c>
      <c r="BO87" s="40">
        <v>46186</v>
      </c>
      <c r="BP87" s="39">
        <v>1</v>
      </c>
      <c r="BQ87" s="59">
        <v>115800</v>
      </c>
      <c r="BR87" s="39" t="s">
        <v>111</v>
      </c>
      <c r="BS87" s="57">
        <f t="shared" si="21"/>
        <v>0</v>
      </c>
      <c r="BT87" s="40">
        <v>46188</v>
      </c>
      <c r="BU87" s="8">
        <v>0</v>
      </c>
      <c r="BV87" s="58">
        <f>VLOOKUP(AQ87,'[1]Harga &amp; Nama CSO'!$A$28:$D$31,4,0)*BP87</f>
        <v>3</v>
      </c>
    </row>
    <row r="88" spans="41:74" x14ac:dyDescent="0.35">
      <c r="AO88" s="39">
        <v>86</v>
      </c>
      <c r="AP88" s="60">
        <v>46186</v>
      </c>
      <c r="AQ88" s="41" t="s">
        <v>98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55">
        <f>IFERROR(VLOOKUP(AQ88,'[1]Harga &amp; Nama CSO'!$H$2:$N$22,2,FALSE),"")*AV88</f>
        <v>115800</v>
      </c>
      <c r="BO88" s="40">
        <v>46186</v>
      </c>
      <c r="BP88" s="39">
        <v>1</v>
      </c>
      <c r="BQ88" s="59">
        <v>115800</v>
      </c>
      <c r="BR88" s="39" t="s">
        <v>111</v>
      </c>
      <c r="BS88" s="57">
        <f t="shared" si="21"/>
        <v>0</v>
      </c>
      <c r="BT88" s="40">
        <v>46188</v>
      </c>
      <c r="BU88" s="8">
        <v>0</v>
      </c>
      <c r="BV88" s="58">
        <f>VLOOKUP(AQ88,'[1]Harga &amp; Nama CSO'!$A$28:$D$31,4,0)*BP88</f>
        <v>3</v>
      </c>
    </row>
    <row r="89" spans="41:74" x14ac:dyDescent="0.35">
      <c r="AO89" s="39">
        <v>87</v>
      </c>
      <c r="AP89" s="60">
        <v>46186</v>
      </c>
      <c r="AQ89" s="41" t="s">
        <v>98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55">
        <f>IFERROR(VLOOKUP(AQ89,'[1]Harga &amp; Nama CSO'!$H$2:$N$22,2,FALSE),"")*AV89</f>
        <v>115800</v>
      </c>
      <c r="BO89" s="40">
        <v>46186</v>
      </c>
      <c r="BP89" s="39">
        <v>1</v>
      </c>
      <c r="BQ89" s="59">
        <v>115800</v>
      </c>
      <c r="BR89" s="39" t="s">
        <v>111</v>
      </c>
      <c r="BS89" s="57">
        <f t="shared" si="21"/>
        <v>0</v>
      </c>
      <c r="BT89" s="40">
        <v>46188</v>
      </c>
      <c r="BU89" s="8">
        <v>0</v>
      </c>
      <c r="BV89" s="58">
        <f>VLOOKUP(AQ89,'[1]Harga &amp; Nama CSO'!$A$28:$D$31,4,0)*BP89</f>
        <v>3</v>
      </c>
    </row>
    <row r="90" spans="41:74" x14ac:dyDescent="0.35">
      <c r="AO90" s="39">
        <v>88</v>
      </c>
      <c r="AP90" s="60">
        <v>46186</v>
      </c>
      <c r="AQ90" s="41" t="s">
        <v>98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55">
        <f>IFERROR(VLOOKUP(AQ90,'[1]Harga &amp; Nama CSO'!$H$2:$N$22,2,FALSE),"")*AV90</f>
        <v>115800</v>
      </c>
      <c r="BO90" s="40">
        <v>46186</v>
      </c>
      <c r="BP90" s="39">
        <v>1</v>
      </c>
      <c r="BQ90" s="59">
        <v>115800</v>
      </c>
      <c r="BR90" s="39" t="s">
        <v>111</v>
      </c>
      <c r="BS90" s="57">
        <f t="shared" si="21"/>
        <v>0</v>
      </c>
      <c r="BT90" s="40">
        <v>46188</v>
      </c>
      <c r="BU90" s="8">
        <v>0</v>
      </c>
      <c r="BV90" s="58">
        <f>VLOOKUP(AQ90,'[1]Harga &amp; Nama CSO'!$A$28:$D$31,4,0)*BP90</f>
        <v>3</v>
      </c>
    </row>
    <row r="91" spans="41:74" x14ac:dyDescent="0.35">
      <c r="AO91" s="39">
        <v>89</v>
      </c>
      <c r="AP91" s="60">
        <v>46186</v>
      </c>
      <c r="AQ91" s="41" t="s">
        <v>98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55">
        <f>IFERROR(VLOOKUP(AQ91,'[1]Harga &amp; Nama CSO'!$H$2:$N$22,2,FALSE),"")*AV91</f>
        <v>115800</v>
      </c>
      <c r="BO91" s="40">
        <v>46186</v>
      </c>
      <c r="BP91" s="39">
        <v>1</v>
      </c>
      <c r="BQ91" s="59">
        <v>115800</v>
      </c>
      <c r="BR91" s="39" t="s">
        <v>111</v>
      </c>
      <c r="BS91" s="57">
        <f t="shared" si="21"/>
        <v>0</v>
      </c>
      <c r="BT91" s="40">
        <v>46188</v>
      </c>
      <c r="BU91" s="8">
        <v>0</v>
      </c>
      <c r="BV91" s="58">
        <f>VLOOKUP(AQ91,'[1]Harga &amp; Nama CSO'!$A$28:$D$31,4,0)*BP91</f>
        <v>3</v>
      </c>
    </row>
    <row r="92" spans="41:74" x14ac:dyDescent="0.35">
      <c r="AO92" s="39">
        <v>90</v>
      </c>
      <c r="AP92" s="60">
        <v>46186</v>
      </c>
      <c r="AQ92" s="41" t="s">
        <v>98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55">
        <f>IFERROR(VLOOKUP(AQ92,'[1]Harga &amp; Nama CSO'!$H$2:$N$22,2,FALSE),"")*AV92</f>
        <v>115800</v>
      </c>
      <c r="BO92" s="40">
        <v>46186</v>
      </c>
      <c r="BP92" s="39">
        <v>1</v>
      </c>
      <c r="BQ92" s="59">
        <v>115800</v>
      </c>
      <c r="BR92" s="39" t="s">
        <v>111</v>
      </c>
      <c r="BS92" s="57">
        <f t="shared" si="21"/>
        <v>0</v>
      </c>
      <c r="BT92" s="40">
        <v>46188</v>
      </c>
      <c r="BU92" s="8">
        <v>0</v>
      </c>
      <c r="BV92" s="58">
        <f>VLOOKUP(AQ92,'[1]Harga &amp; Nama CSO'!$A$28:$D$31,4,0)*BP92</f>
        <v>3</v>
      </c>
    </row>
    <row r="93" spans="41:74" x14ac:dyDescent="0.35">
      <c r="AO93" s="39">
        <v>91</v>
      </c>
      <c r="AP93" s="60">
        <v>46188</v>
      </c>
      <c r="AQ93" s="41" t="s">
        <v>98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55">
        <f>IFERROR(VLOOKUP(AQ93,'[1]Harga &amp; Nama CSO'!$H$2:$N$22,2,FALSE),"")*AV93</f>
        <v>115800</v>
      </c>
      <c r="BO93" s="40">
        <v>46188</v>
      </c>
      <c r="BP93" s="39">
        <v>1</v>
      </c>
      <c r="BQ93" s="59">
        <v>115800</v>
      </c>
      <c r="BR93" s="39" t="s">
        <v>111</v>
      </c>
      <c r="BS93" s="57">
        <f t="shared" si="21"/>
        <v>0</v>
      </c>
      <c r="BT93" s="40">
        <v>46190</v>
      </c>
      <c r="BU93" s="8">
        <v>0</v>
      </c>
      <c r="BV93" s="58">
        <f>VLOOKUP(AQ93,'[1]Harga &amp; Nama CSO'!$A$28:$D$31,4,0)*BP93</f>
        <v>3</v>
      </c>
    </row>
    <row r="94" spans="41:74" x14ac:dyDescent="0.35">
      <c r="AO94" s="39">
        <v>92</v>
      </c>
      <c r="AP94" s="60">
        <v>46188</v>
      </c>
      <c r="AQ94" s="41" t="s">
        <v>98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55">
        <f>IFERROR(VLOOKUP(AQ94,'[1]Harga &amp; Nama CSO'!$H$2:$N$22,2,FALSE),"")*AV94</f>
        <v>115800</v>
      </c>
      <c r="BO94" s="40">
        <v>46188</v>
      </c>
      <c r="BP94" s="39">
        <v>1</v>
      </c>
      <c r="BQ94" s="59">
        <v>115800</v>
      </c>
      <c r="BR94" s="39" t="s">
        <v>111</v>
      </c>
      <c r="BS94" s="57">
        <f t="shared" si="21"/>
        <v>0</v>
      </c>
      <c r="BT94" s="40">
        <v>46190</v>
      </c>
      <c r="BU94" s="8">
        <v>0</v>
      </c>
      <c r="BV94" s="58">
        <f>VLOOKUP(AQ94,'[1]Harga &amp; Nama CSO'!$A$28:$D$31,4,0)*BP94</f>
        <v>3</v>
      </c>
    </row>
    <row r="95" spans="41:74" x14ac:dyDescent="0.35">
      <c r="AO95" s="39">
        <v>93</v>
      </c>
      <c r="AP95" s="60">
        <v>46188</v>
      </c>
      <c r="AQ95" s="41" t="s">
        <v>98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55">
        <f>IFERROR(VLOOKUP(AQ95,'[1]Harga &amp; Nama CSO'!$H$2:$N$22,2,FALSE),"")*AV95</f>
        <v>115800</v>
      </c>
      <c r="BO95" s="40">
        <v>46188</v>
      </c>
      <c r="BP95" s="39">
        <v>1</v>
      </c>
      <c r="BQ95" s="59">
        <v>116000</v>
      </c>
      <c r="BR95" s="39" t="s">
        <v>111</v>
      </c>
      <c r="BS95" s="57">
        <f t="shared" si="21"/>
        <v>-200</v>
      </c>
      <c r="BT95" s="40">
        <v>46190</v>
      </c>
      <c r="BU95" s="8">
        <v>0</v>
      </c>
      <c r="BV95" s="58">
        <f>VLOOKUP(AQ95,'[1]Harga &amp; Nama CSO'!$A$28:$D$31,4,0)*BP95</f>
        <v>3</v>
      </c>
    </row>
    <row r="96" spans="41:74" x14ac:dyDescent="0.35">
      <c r="AO96" s="39">
        <v>94</v>
      </c>
      <c r="AP96" s="60">
        <v>46188</v>
      </c>
      <c r="AQ96" s="41" t="s">
        <v>98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55">
        <f>IFERROR(VLOOKUP(AQ96,'[1]Harga &amp; Nama CSO'!$H$2:$N$22,2,FALSE),"")*AV96</f>
        <v>115800</v>
      </c>
      <c r="BO96" s="40">
        <v>46188</v>
      </c>
      <c r="BP96" s="39">
        <v>1</v>
      </c>
      <c r="BQ96" s="59">
        <v>115800</v>
      </c>
      <c r="BR96" s="39" t="s">
        <v>111</v>
      </c>
      <c r="BS96" s="57">
        <f t="shared" si="21"/>
        <v>0</v>
      </c>
      <c r="BT96" s="40">
        <v>46190</v>
      </c>
      <c r="BU96" s="8">
        <v>0</v>
      </c>
      <c r="BV96" s="58">
        <f>VLOOKUP(AQ96,'[1]Harga &amp; Nama CSO'!$A$28:$D$31,4,0)*BP96</f>
        <v>3</v>
      </c>
    </row>
    <row r="97" spans="41:74" x14ac:dyDescent="0.35">
      <c r="AO97" s="39">
        <v>95</v>
      </c>
      <c r="AP97" s="60">
        <v>46188</v>
      </c>
      <c r="AQ97" s="41" t="s">
        <v>99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55">
        <f>IFERROR(VLOOKUP(AQ97,'[1]Harga &amp; Nama CSO'!$H$2:$N$22,2,FALSE),"")*AV97</f>
        <v>118200</v>
      </c>
      <c r="BO97" s="40">
        <v>46188</v>
      </c>
      <c r="BP97" s="39">
        <v>1</v>
      </c>
      <c r="BQ97" s="59">
        <v>118300</v>
      </c>
      <c r="BR97" s="39" t="s">
        <v>111</v>
      </c>
      <c r="BS97" s="57">
        <f t="shared" si="21"/>
        <v>-100</v>
      </c>
      <c r="BT97" s="40">
        <v>46190</v>
      </c>
      <c r="BU97" s="8">
        <v>0</v>
      </c>
      <c r="BV97" s="58">
        <f>VLOOKUP(AQ97,'[1]Harga &amp; Nama CSO'!$A$28:$D$31,4,0)*BP97</f>
        <v>3</v>
      </c>
    </row>
    <row r="98" spans="41:74" x14ac:dyDescent="0.35">
      <c r="AO98" s="39">
        <v>96</v>
      </c>
      <c r="AP98" s="60">
        <v>46188</v>
      </c>
      <c r="AQ98" s="41" t="s">
        <v>99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55">
        <f>IFERROR(VLOOKUP(AQ98,'[1]Harga &amp; Nama CSO'!$H$2:$N$22,2,FALSE),"")*AV98</f>
        <v>118200</v>
      </c>
      <c r="BO98" s="40">
        <v>46188</v>
      </c>
      <c r="BP98" s="39">
        <v>1</v>
      </c>
      <c r="BQ98" s="59">
        <v>118200</v>
      </c>
      <c r="BR98" s="39" t="s">
        <v>111</v>
      </c>
      <c r="BS98" s="57">
        <f t="shared" si="21"/>
        <v>0</v>
      </c>
      <c r="BT98" s="40">
        <v>46190</v>
      </c>
      <c r="BU98" s="8">
        <v>0</v>
      </c>
      <c r="BV98" s="58">
        <f>VLOOKUP(AQ98,'[1]Harga &amp; Nama CSO'!$A$28:$D$31,4,0)*BP98</f>
        <v>3</v>
      </c>
    </row>
    <row r="99" spans="41:74" x14ac:dyDescent="0.35">
      <c r="AO99" s="39">
        <v>97</v>
      </c>
      <c r="AP99" s="60">
        <v>46188</v>
      </c>
      <c r="AQ99" s="41" t="s">
        <v>99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55">
        <f>IFERROR(VLOOKUP(AQ99,'[1]Harga &amp; Nama CSO'!$H$2:$N$22,2,FALSE),"")*AV99</f>
        <v>118200</v>
      </c>
      <c r="BO99" s="40">
        <v>46188</v>
      </c>
      <c r="BP99" s="39">
        <v>1</v>
      </c>
      <c r="BQ99" s="59">
        <v>118200</v>
      </c>
      <c r="BR99" s="39" t="s">
        <v>111</v>
      </c>
      <c r="BS99" s="57">
        <f t="shared" si="21"/>
        <v>0</v>
      </c>
      <c r="BT99" s="40">
        <v>46190</v>
      </c>
      <c r="BU99" s="8">
        <v>0</v>
      </c>
      <c r="BV99" s="58">
        <f>VLOOKUP(AQ99,'[1]Harga &amp; Nama CSO'!$A$28:$D$31,4,0)*BP99</f>
        <v>3</v>
      </c>
    </row>
    <row r="100" spans="41:74" x14ac:dyDescent="0.35">
      <c r="AO100" s="39">
        <v>98</v>
      </c>
      <c r="AP100" s="60">
        <v>46188</v>
      </c>
      <c r="AQ100" s="41" t="s">
        <v>99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55">
        <f>IFERROR(VLOOKUP(AQ100,'[1]Harga &amp; Nama CSO'!$H$2:$N$22,2,FALSE),"")*AV100</f>
        <v>118200</v>
      </c>
      <c r="BO100" s="40">
        <v>46188</v>
      </c>
      <c r="BP100" s="39">
        <v>1</v>
      </c>
      <c r="BQ100" s="59">
        <v>118200</v>
      </c>
      <c r="BR100" s="39" t="s">
        <v>111</v>
      </c>
      <c r="BS100" s="57">
        <f t="shared" si="21"/>
        <v>0</v>
      </c>
      <c r="BT100" s="40">
        <v>46190</v>
      </c>
      <c r="BU100" s="8">
        <v>0</v>
      </c>
      <c r="BV100" s="58">
        <f>VLOOKUP(AQ100,'[1]Harga &amp; Nama CSO'!$A$28:$D$31,4,0)*BP100</f>
        <v>3</v>
      </c>
    </row>
    <row r="101" spans="41:74" x14ac:dyDescent="0.35">
      <c r="AO101" s="39">
        <v>99</v>
      </c>
      <c r="AP101" s="60">
        <v>46188</v>
      </c>
      <c r="AQ101" s="41" t="s">
        <v>98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55">
        <f>IFERROR(VLOOKUP(AQ101,'[1]Harga &amp; Nama CSO'!$H$2:$N$22,2,FALSE),"")*AV101</f>
        <v>115800</v>
      </c>
      <c r="BO101" s="40">
        <v>46188</v>
      </c>
      <c r="BP101" s="39">
        <v>1</v>
      </c>
      <c r="BQ101" s="59">
        <v>115800</v>
      </c>
      <c r="BR101" s="39" t="s">
        <v>111</v>
      </c>
      <c r="BS101" s="57">
        <f t="shared" si="21"/>
        <v>0</v>
      </c>
      <c r="BT101" s="40">
        <v>46190</v>
      </c>
      <c r="BU101" s="8">
        <v>0</v>
      </c>
      <c r="BV101" s="58">
        <f>VLOOKUP(AQ101,'[1]Harga &amp; Nama CSO'!$A$28:$D$31,4,0)*BP101</f>
        <v>3</v>
      </c>
    </row>
    <row r="102" spans="41:74" x14ac:dyDescent="0.35">
      <c r="AO102" s="39">
        <v>100</v>
      </c>
      <c r="AP102" s="60">
        <v>46189</v>
      </c>
      <c r="AQ102" s="41" t="s">
        <v>98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55">
        <f>IFERROR(VLOOKUP(AQ102,'[1]Harga &amp; Nama CSO'!$H$2:$N$22,2,FALSE),"")*AV102</f>
        <v>115800</v>
      </c>
      <c r="BO102" s="40">
        <v>46188</v>
      </c>
      <c r="BP102" s="39">
        <v>1</v>
      </c>
      <c r="BQ102" s="59">
        <v>115800</v>
      </c>
      <c r="BR102" s="39" t="s">
        <v>111</v>
      </c>
      <c r="BS102" s="57">
        <f t="shared" si="21"/>
        <v>0</v>
      </c>
      <c r="BT102" s="40">
        <v>46190</v>
      </c>
      <c r="BU102" s="8">
        <v>0</v>
      </c>
      <c r="BV102" s="58">
        <f>VLOOKUP(AQ102,'[1]Harga &amp; Nama CSO'!$A$28:$D$31,4,0)*BP102</f>
        <v>3</v>
      </c>
    </row>
    <row r="103" spans="41:74" x14ac:dyDescent="0.35">
      <c r="AO103" s="39">
        <v>101</v>
      </c>
      <c r="AP103" s="60">
        <v>46189</v>
      </c>
      <c r="AQ103" s="41" t="s">
        <v>98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55">
        <f>IFERROR(VLOOKUP(AQ103,'[1]Harga &amp; Nama CSO'!$H$2:$N$22,2,FALSE),"")*AV103</f>
        <v>115800</v>
      </c>
      <c r="BO103" s="40">
        <v>46188</v>
      </c>
      <c r="BP103" s="39">
        <v>1</v>
      </c>
      <c r="BQ103" s="59">
        <v>115800</v>
      </c>
      <c r="BR103" s="39" t="s">
        <v>111</v>
      </c>
      <c r="BS103" s="57">
        <f t="shared" si="21"/>
        <v>0</v>
      </c>
      <c r="BT103" s="40">
        <v>46190</v>
      </c>
      <c r="BU103" s="8">
        <v>0</v>
      </c>
      <c r="BV103" s="58">
        <f>VLOOKUP(AQ103,'[1]Harga &amp; Nama CSO'!$A$28:$D$31,4,0)*BP103</f>
        <v>3</v>
      </c>
    </row>
    <row r="104" spans="41:74" x14ac:dyDescent="0.35">
      <c r="AO104" s="39">
        <v>102</v>
      </c>
      <c r="AP104" s="60">
        <v>46190</v>
      </c>
      <c r="AQ104" s="41" t="s">
        <v>112</v>
      </c>
      <c r="AR104" s="42" t="s">
        <v>190</v>
      </c>
      <c r="AS104" s="31">
        <v>17769760</v>
      </c>
      <c r="AT104" s="31" t="s">
        <v>200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55">
        <v>162600</v>
      </c>
      <c r="BO104" s="40">
        <v>46190</v>
      </c>
      <c r="BP104" s="39">
        <v>1</v>
      </c>
      <c r="BQ104" s="59">
        <v>162600</v>
      </c>
      <c r="BR104" s="39" t="s">
        <v>111</v>
      </c>
      <c r="BS104" s="57">
        <v>0</v>
      </c>
      <c r="BT104" s="60">
        <v>46191</v>
      </c>
      <c r="BU104" s="8">
        <v>0</v>
      </c>
      <c r="BV104" s="58">
        <f>VLOOKUP(AQ104,'[1]Harga &amp; Nama CSO'!$A$28:$D$31,4,0)*BP104</f>
        <v>3</v>
      </c>
    </row>
    <row r="105" spans="41:74" x14ac:dyDescent="0.35">
      <c r="AO105" s="39">
        <v>103</v>
      </c>
      <c r="AP105" s="60">
        <v>46190</v>
      </c>
      <c r="AQ105" s="41" t="s">
        <v>112</v>
      </c>
      <c r="AR105" s="42" t="s">
        <v>190</v>
      </c>
      <c r="AS105" s="31">
        <v>17228538</v>
      </c>
      <c r="AT105" s="31" t="s">
        <v>201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55">
        <v>162600</v>
      </c>
      <c r="BO105" s="40">
        <v>46190</v>
      </c>
      <c r="BP105" s="39">
        <v>1</v>
      </c>
      <c r="BQ105" s="59">
        <v>162600</v>
      </c>
      <c r="BR105" s="39" t="s">
        <v>111</v>
      </c>
      <c r="BS105" s="57">
        <v>0</v>
      </c>
      <c r="BT105" s="60">
        <v>46191</v>
      </c>
      <c r="BU105" s="8">
        <v>0</v>
      </c>
      <c r="BV105" s="58">
        <f>VLOOKUP(AQ105,'[1]Harga &amp; Nama CSO'!$A$28:$D$31,4,0)*BP105</f>
        <v>3</v>
      </c>
    </row>
    <row r="106" spans="41:74" x14ac:dyDescent="0.35">
      <c r="AO106" s="39">
        <v>104</v>
      </c>
      <c r="AP106" s="60">
        <v>46190</v>
      </c>
      <c r="AQ106" s="41" t="s">
        <v>112</v>
      </c>
      <c r="AR106" s="42" t="s">
        <v>190</v>
      </c>
      <c r="AS106" s="31">
        <v>17253618</v>
      </c>
      <c r="AT106" s="31" t="s">
        <v>202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55">
        <v>162600</v>
      </c>
      <c r="BO106" s="40">
        <v>46190</v>
      </c>
      <c r="BP106" s="39">
        <v>1</v>
      </c>
      <c r="BQ106" s="59">
        <v>162600</v>
      </c>
      <c r="BR106" s="39" t="s">
        <v>111</v>
      </c>
      <c r="BS106" s="57">
        <v>0</v>
      </c>
      <c r="BT106" s="60">
        <v>46191</v>
      </c>
      <c r="BU106" s="8">
        <v>0</v>
      </c>
      <c r="BV106" s="58">
        <f>VLOOKUP(AQ106,'[1]Harga &amp; Nama CSO'!$A$28:$D$31,4,0)*BP106</f>
        <v>3</v>
      </c>
    </row>
    <row r="107" spans="41:74" x14ac:dyDescent="0.35">
      <c r="AO107" s="39">
        <v>105</v>
      </c>
      <c r="AP107" s="60">
        <v>46190</v>
      </c>
      <c r="AQ107" s="41" t="s">
        <v>112</v>
      </c>
      <c r="AR107" s="42" t="s">
        <v>190</v>
      </c>
      <c r="AS107" s="31">
        <v>1339357</v>
      </c>
      <c r="AT107" s="31" t="s">
        <v>203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55">
        <v>162600</v>
      </c>
      <c r="BO107" s="40">
        <v>46190</v>
      </c>
      <c r="BP107" s="39">
        <v>1</v>
      </c>
      <c r="BQ107" s="59">
        <v>162600</v>
      </c>
      <c r="BR107" s="39" t="s">
        <v>111</v>
      </c>
      <c r="BS107" s="57">
        <v>0</v>
      </c>
      <c r="BT107" s="60">
        <v>46191</v>
      </c>
      <c r="BU107" s="8">
        <v>0</v>
      </c>
      <c r="BV107" s="58">
        <f>VLOOKUP(AQ107,'[1]Harga &amp; Nama CSO'!$A$28:$D$31,4,0)*BP107</f>
        <v>3</v>
      </c>
    </row>
    <row r="108" spans="41:74" x14ac:dyDescent="0.35">
      <c r="AO108" s="39">
        <v>106</v>
      </c>
      <c r="AP108" s="60">
        <v>46190</v>
      </c>
      <c r="AQ108" s="41" t="s">
        <v>112</v>
      </c>
      <c r="AR108" s="42" t="s">
        <v>190</v>
      </c>
      <c r="AS108" s="31">
        <v>1555650</v>
      </c>
      <c r="AT108" s="31" t="s">
        <v>204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55">
        <v>162600</v>
      </c>
      <c r="BO108" s="40">
        <v>46190</v>
      </c>
      <c r="BP108" s="39">
        <v>1</v>
      </c>
      <c r="BQ108" s="59">
        <v>162600</v>
      </c>
      <c r="BR108" s="39" t="s">
        <v>111</v>
      </c>
      <c r="BS108" s="57">
        <v>0</v>
      </c>
      <c r="BT108" s="60">
        <v>46191</v>
      </c>
      <c r="BU108" s="8">
        <v>0</v>
      </c>
      <c r="BV108" s="58">
        <f>VLOOKUP(AQ108,'[1]Harga &amp; Nama CSO'!$A$28:$D$31,4,0)*BP108</f>
        <v>3</v>
      </c>
    </row>
    <row r="109" spans="41:74" x14ac:dyDescent="0.35">
      <c r="AO109" s="39">
        <v>107</v>
      </c>
      <c r="AP109" s="60">
        <v>46190</v>
      </c>
      <c r="AQ109" s="41" t="s">
        <v>99</v>
      </c>
      <c r="AR109" s="42" t="s">
        <v>190</v>
      </c>
      <c r="AS109" s="31">
        <v>17680707</v>
      </c>
      <c r="AT109" s="31" t="s">
        <v>205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55">
        <v>118200</v>
      </c>
      <c r="BO109" s="40">
        <v>46190</v>
      </c>
      <c r="BP109" s="39">
        <v>1</v>
      </c>
      <c r="BQ109" s="59">
        <v>118200</v>
      </c>
      <c r="BR109" s="39" t="s">
        <v>111</v>
      </c>
      <c r="BS109" s="57">
        <v>0</v>
      </c>
      <c r="BT109" s="60">
        <v>46191</v>
      </c>
      <c r="BU109" s="8">
        <v>0</v>
      </c>
      <c r="BV109" s="58">
        <f>VLOOKUP(AQ109,'[1]Harga &amp; Nama CSO'!$A$28:$D$31,4,0)*BP109</f>
        <v>3</v>
      </c>
    </row>
    <row r="110" spans="41:74" x14ac:dyDescent="0.35">
      <c r="AO110" s="39">
        <v>108</v>
      </c>
      <c r="AP110" s="60">
        <v>46190</v>
      </c>
      <c r="AQ110" s="41" t="s">
        <v>98</v>
      </c>
      <c r="AR110" s="42" t="s">
        <v>190</v>
      </c>
      <c r="AS110" s="31">
        <v>1287387</v>
      </c>
      <c r="AT110" s="31" t="s">
        <v>206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55">
        <v>115800</v>
      </c>
      <c r="BO110" s="40">
        <v>46190</v>
      </c>
      <c r="BP110" s="39">
        <v>1</v>
      </c>
      <c r="BQ110" s="59">
        <v>115800</v>
      </c>
      <c r="BR110" s="39" t="s">
        <v>111</v>
      </c>
      <c r="BS110" s="57">
        <v>0</v>
      </c>
      <c r="BT110" s="60">
        <v>46191</v>
      </c>
      <c r="BU110" s="8">
        <v>0</v>
      </c>
      <c r="BV110" s="58">
        <f>VLOOKUP(AQ110,'[1]Harga &amp; Nama CSO'!$A$28:$D$31,4,0)*BP110</f>
        <v>3</v>
      </c>
    </row>
    <row r="111" spans="41:74" x14ac:dyDescent="0.35">
      <c r="AO111" s="39">
        <v>109</v>
      </c>
      <c r="AP111" s="60">
        <v>46191</v>
      </c>
      <c r="AQ111" s="41" t="s">
        <v>98</v>
      </c>
      <c r="AR111" s="42" t="s">
        <v>190</v>
      </c>
      <c r="AS111" s="31">
        <v>17704547</v>
      </c>
      <c r="AT111" s="31" t="s">
        <v>207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55">
        <v>115800</v>
      </c>
      <c r="BO111" s="40">
        <v>46191</v>
      </c>
      <c r="BP111" s="39">
        <v>1</v>
      </c>
      <c r="BQ111" s="59">
        <v>115800</v>
      </c>
      <c r="BR111" s="39" t="s">
        <v>111</v>
      </c>
      <c r="BS111" s="57">
        <v>0</v>
      </c>
      <c r="BT111" s="60">
        <v>46192</v>
      </c>
      <c r="BU111" s="8">
        <v>0</v>
      </c>
      <c r="BV111" s="58">
        <f>VLOOKUP(AQ111,'[1]Harga &amp; Nama CSO'!$A$28:$D$31,4,0)*BP111</f>
        <v>3</v>
      </c>
    </row>
    <row r="112" spans="41:74" x14ac:dyDescent="0.35">
      <c r="AO112" s="39">
        <v>110</v>
      </c>
      <c r="AP112" s="60">
        <v>46191</v>
      </c>
      <c r="AQ112" s="41" t="s">
        <v>98</v>
      </c>
      <c r="AR112" s="42" t="s">
        <v>190</v>
      </c>
      <c r="AS112" s="31">
        <v>17730702</v>
      </c>
      <c r="AT112" s="31" t="s">
        <v>208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55">
        <v>115800</v>
      </c>
      <c r="BO112" s="40">
        <v>46191</v>
      </c>
      <c r="BP112" s="39">
        <v>1</v>
      </c>
      <c r="BQ112" s="59">
        <v>115800</v>
      </c>
      <c r="BR112" s="39" t="s">
        <v>111</v>
      </c>
      <c r="BS112" s="57">
        <v>0</v>
      </c>
      <c r="BT112" s="60">
        <v>46192</v>
      </c>
      <c r="BU112" s="8">
        <v>0</v>
      </c>
      <c r="BV112" s="58">
        <f>VLOOKUP(AQ112,'[1]Harga &amp; Nama CSO'!$A$28:$D$31,4,0)*BP112</f>
        <v>3</v>
      </c>
    </row>
    <row r="113" spans="41:74" x14ac:dyDescent="0.35">
      <c r="AO113" s="39">
        <v>111</v>
      </c>
      <c r="AP113" s="60">
        <v>46191</v>
      </c>
      <c r="AQ113" s="41" t="s">
        <v>98</v>
      </c>
      <c r="AR113" s="42" t="s">
        <v>190</v>
      </c>
      <c r="AS113" s="31">
        <v>17255674</v>
      </c>
      <c r="AT113" s="31" t="s">
        <v>209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55">
        <v>115800</v>
      </c>
      <c r="BO113" s="40">
        <v>46191</v>
      </c>
      <c r="BP113" s="39">
        <v>1</v>
      </c>
      <c r="BQ113" s="59">
        <v>115800</v>
      </c>
      <c r="BR113" s="39" t="s">
        <v>111</v>
      </c>
      <c r="BS113" s="57">
        <v>0</v>
      </c>
      <c r="BT113" s="60">
        <v>46192</v>
      </c>
      <c r="BU113" s="8">
        <v>0</v>
      </c>
      <c r="BV113" s="58">
        <f>VLOOKUP(AQ113,'[1]Harga &amp; Nama CSO'!$A$28:$D$31,4,0)*BP113</f>
        <v>3</v>
      </c>
    </row>
    <row r="114" spans="41:74" x14ac:dyDescent="0.35">
      <c r="AO114" s="39">
        <v>112</v>
      </c>
      <c r="AP114" s="60">
        <v>46191</v>
      </c>
      <c r="AQ114" s="41" t="s">
        <v>99</v>
      </c>
      <c r="AR114" s="42" t="s">
        <v>190</v>
      </c>
      <c r="AS114" s="31">
        <v>17260963</v>
      </c>
      <c r="AT114" s="31" t="s">
        <v>210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55">
        <v>118200</v>
      </c>
      <c r="BO114" s="40">
        <v>46191</v>
      </c>
      <c r="BP114" s="39">
        <v>1</v>
      </c>
      <c r="BQ114" s="59">
        <v>118200</v>
      </c>
      <c r="BR114" s="39" t="s">
        <v>111</v>
      </c>
      <c r="BS114" s="57">
        <v>0</v>
      </c>
      <c r="BT114" s="60">
        <v>46192</v>
      </c>
      <c r="BU114" s="8">
        <v>0</v>
      </c>
      <c r="BV114" s="58">
        <f>VLOOKUP(AQ114,'[1]Harga &amp; Nama CSO'!$A$28:$D$31,4,0)*BP114</f>
        <v>3</v>
      </c>
    </row>
    <row r="115" spans="41:74" x14ac:dyDescent="0.35">
      <c r="AO115" s="39">
        <v>113</v>
      </c>
      <c r="AP115" s="60">
        <v>46191</v>
      </c>
      <c r="AQ115" s="41" t="s">
        <v>99</v>
      </c>
      <c r="AR115" s="42" t="s">
        <v>190</v>
      </c>
      <c r="AS115" s="42">
        <v>17650936</v>
      </c>
      <c r="AT115" s="31" t="s">
        <v>211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55">
        <v>118200</v>
      </c>
      <c r="BO115" s="40">
        <v>46191</v>
      </c>
      <c r="BP115" s="39">
        <v>1</v>
      </c>
      <c r="BQ115" s="59">
        <v>118200</v>
      </c>
      <c r="BR115" s="39" t="s">
        <v>111</v>
      </c>
      <c r="BS115" s="57">
        <v>0</v>
      </c>
      <c r="BT115" s="60">
        <v>46192</v>
      </c>
      <c r="BU115" s="8">
        <v>0</v>
      </c>
      <c r="BV115" s="58">
        <f>VLOOKUP(AQ115,'[1]Harga &amp; Nama CSO'!$A$28:$D$31,4,0)*BP115</f>
        <v>3</v>
      </c>
    </row>
    <row r="116" spans="41:74" x14ac:dyDescent="0.35">
      <c r="AO116" s="39">
        <v>114</v>
      </c>
      <c r="AP116" s="60">
        <v>46191</v>
      </c>
      <c r="AQ116" s="41" t="s">
        <v>99</v>
      </c>
      <c r="AR116" s="42" t="s">
        <v>190</v>
      </c>
      <c r="AS116" s="42">
        <v>17782547</v>
      </c>
      <c r="AT116" s="31" t="s">
        <v>212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55">
        <v>118200</v>
      </c>
      <c r="BO116" s="40">
        <v>46191</v>
      </c>
      <c r="BP116" s="39">
        <v>1</v>
      </c>
      <c r="BQ116" s="59">
        <v>118200</v>
      </c>
      <c r="BR116" s="39" t="s">
        <v>111</v>
      </c>
      <c r="BS116" s="57">
        <v>0</v>
      </c>
      <c r="BT116" s="60">
        <v>46192</v>
      </c>
      <c r="BU116" s="8">
        <v>0</v>
      </c>
      <c r="BV116" s="58">
        <f>VLOOKUP(AQ116,'[1]Harga &amp; Nama CSO'!$A$28:$D$31,4,0)*BP116</f>
        <v>3</v>
      </c>
    </row>
    <row r="117" spans="41:74" x14ac:dyDescent="0.35">
      <c r="AO117" s="39">
        <v>115</v>
      </c>
      <c r="AP117" s="60">
        <v>46191</v>
      </c>
      <c r="AQ117" s="41" t="s">
        <v>99</v>
      </c>
      <c r="AR117" s="42" t="s">
        <v>190</v>
      </c>
      <c r="AS117" s="42">
        <v>17740819</v>
      </c>
      <c r="AT117" s="31" t="s">
        <v>213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55">
        <v>118200</v>
      </c>
      <c r="BO117" s="40">
        <v>46191</v>
      </c>
      <c r="BP117" s="39">
        <v>1</v>
      </c>
      <c r="BQ117" s="59">
        <v>118200</v>
      </c>
      <c r="BR117" s="39" t="s">
        <v>111</v>
      </c>
      <c r="BS117" s="57">
        <v>0</v>
      </c>
      <c r="BT117" s="60">
        <v>46192</v>
      </c>
      <c r="BU117" s="8">
        <v>0</v>
      </c>
      <c r="BV117" s="58">
        <f>VLOOKUP(AQ117,'[1]Harga &amp; Nama CSO'!$A$28:$D$31,4,0)*BP117</f>
        <v>3</v>
      </c>
    </row>
    <row r="118" spans="41:74" x14ac:dyDescent="0.35">
      <c r="AO118" s="39">
        <v>116</v>
      </c>
      <c r="AP118" s="60">
        <v>46191</v>
      </c>
      <c r="AQ118" s="41" t="s">
        <v>99</v>
      </c>
      <c r="AR118" s="42" t="s">
        <v>190</v>
      </c>
      <c r="AS118" s="42">
        <v>17787814</v>
      </c>
      <c r="AT118" s="31" t="s">
        <v>214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55">
        <v>118200</v>
      </c>
      <c r="BO118" s="40">
        <v>46191</v>
      </c>
      <c r="BP118" s="39">
        <v>1</v>
      </c>
      <c r="BQ118" s="59">
        <v>118300</v>
      </c>
      <c r="BR118" s="39" t="s">
        <v>111</v>
      </c>
      <c r="BS118" s="57">
        <v>-100</v>
      </c>
      <c r="BT118" s="60">
        <v>46192</v>
      </c>
      <c r="BU118" s="8">
        <v>0</v>
      </c>
      <c r="BV118" s="58">
        <f>VLOOKUP(AQ118,'[1]Harga &amp; Nama CSO'!$A$28:$D$31,4,0)*BP118</f>
        <v>3</v>
      </c>
    </row>
    <row r="119" spans="41:74" x14ac:dyDescent="0.35">
      <c r="AO119" s="39">
        <v>117</v>
      </c>
      <c r="AP119" s="60">
        <v>46192</v>
      </c>
      <c r="AQ119" s="41" t="s">
        <v>98</v>
      </c>
      <c r="AR119" s="42" t="s">
        <v>190</v>
      </c>
      <c r="AS119" s="42">
        <v>17753565</v>
      </c>
      <c r="AT119" s="31" t="s">
        <v>191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55">
        <v>115800</v>
      </c>
      <c r="BO119" s="40">
        <v>46192</v>
      </c>
      <c r="BP119" s="39">
        <v>1</v>
      </c>
      <c r="BQ119" s="59">
        <v>115800</v>
      </c>
      <c r="BR119" s="39" t="s">
        <v>111</v>
      </c>
      <c r="BS119" s="57">
        <v>0</v>
      </c>
      <c r="BT119" s="60"/>
      <c r="BU119" s="8">
        <v>0</v>
      </c>
      <c r="BV119" s="58">
        <f>VLOOKUP(AQ119,'[1]Harga &amp; Nama CSO'!$A$28:$D$31,4,0)*BP119</f>
        <v>3</v>
      </c>
    </row>
    <row r="120" spans="41:74" x14ac:dyDescent="0.35">
      <c r="AO120" s="39">
        <v>118</v>
      </c>
      <c r="AP120" s="60">
        <v>46192</v>
      </c>
      <c r="AQ120" s="41" t="s">
        <v>98</v>
      </c>
      <c r="AR120" s="42" t="s">
        <v>190</v>
      </c>
      <c r="AS120" s="42">
        <v>17778250</v>
      </c>
      <c r="AT120" s="31" t="s">
        <v>192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55">
        <v>115800</v>
      </c>
      <c r="BO120" s="40">
        <v>46192</v>
      </c>
      <c r="BP120" s="39">
        <v>1</v>
      </c>
      <c r="BQ120" s="59">
        <v>115800</v>
      </c>
      <c r="BR120" s="39" t="s">
        <v>111</v>
      </c>
      <c r="BS120" s="57">
        <v>0</v>
      </c>
      <c r="BT120" s="60"/>
      <c r="BU120" s="8">
        <v>0</v>
      </c>
      <c r="BV120" s="58">
        <f>VLOOKUP(AQ120,'[1]Harga &amp; Nama CSO'!$A$28:$D$31,4,0)*BP120</f>
        <v>3</v>
      </c>
    </row>
    <row r="121" spans="41:74" x14ac:dyDescent="0.35">
      <c r="AO121" s="39">
        <v>119</v>
      </c>
      <c r="AP121" s="60">
        <v>46192</v>
      </c>
      <c r="AQ121" s="41" t="s">
        <v>98</v>
      </c>
      <c r="AR121" s="42" t="s">
        <v>190</v>
      </c>
      <c r="AS121" s="42">
        <v>17472458</v>
      </c>
      <c r="AT121" s="31" t="s">
        <v>193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55">
        <v>115800</v>
      </c>
      <c r="BO121" s="40">
        <v>46192</v>
      </c>
      <c r="BP121" s="39">
        <v>1</v>
      </c>
      <c r="BQ121" s="59">
        <v>115800</v>
      </c>
      <c r="BR121" s="39" t="s">
        <v>111</v>
      </c>
      <c r="BS121" s="57">
        <v>0</v>
      </c>
      <c r="BT121" s="60"/>
      <c r="BU121" s="8">
        <v>0</v>
      </c>
      <c r="BV121" s="58">
        <f>VLOOKUP(AQ121,'[1]Harga &amp; Nama CSO'!$A$28:$D$31,4,0)*BP121</f>
        <v>3</v>
      </c>
    </row>
    <row r="122" spans="41:74" x14ac:dyDescent="0.35">
      <c r="AO122" s="39">
        <v>120</v>
      </c>
      <c r="AP122" s="60">
        <v>46192</v>
      </c>
      <c r="AQ122" s="41" t="s">
        <v>98</v>
      </c>
      <c r="AR122" s="42" t="s">
        <v>190</v>
      </c>
      <c r="AS122" s="42">
        <v>17690910</v>
      </c>
      <c r="AT122" s="31" t="s">
        <v>194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55">
        <v>115800</v>
      </c>
      <c r="BO122" s="40">
        <v>46192</v>
      </c>
      <c r="BP122" s="39">
        <v>1</v>
      </c>
      <c r="BQ122" s="59">
        <v>115800</v>
      </c>
      <c r="BR122" s="39" t="s">
        <v>111</v>
      </c>
      <c r="BS122" s="57">
        <v>0</v>
      </c>
      <c r="BT122" s="60"/>
      <c r="BU122" s="8">
        <v>0</v>
      </c>
      <c r="BV122" s="58">
        <f>VLOOKUP(AQ122,'[1]Harga &amp; Nama CSO'!$A$28:$D$31,4,0)*BP122</f>
        <v>3</v>
      </c>
    </row>
    <row r="123" spans="41:74" x14ac:dyDescent="0.35">
      <c r="AO123" s="39">
        <v>121</v>
      </c>
      <c r="AP123" s="60">
        <v>46192</v>
      </c>
      <c r="AQ123" s="41" t="s">
        <v>99</v>
      </c>
      <c r="AR123" s="42" t="s">
        <v>190</v>
      </c>
      <c r="AS123" s="42">
        <v>17203857</v>
      </c>
      <c r="AT123" s="31" t="s">
        <v>195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55">
        <v>118200</v>
      </c>
      <c r="BO123" s="40">
        <v>46192</v>
      </c>
      <c r="BP123" s="39">
        <v>1</v>
      </c>
      <c r="BQ123" s="59">
        <v>118200</v>
      </c>
      <c r="BR123" s="39" t="s">
        <v>111</v>
      </c>
      <c r="BS123" s="57">
        <v>0</v>
      </c>
      <c r="BT123" s="60"/>
      <c r="BU123" s="8">
        <v>0</v>
      </c>
      <c r="BV123" s="58">
        <f>VLOOKUP(AQ123,'[1]Harga &amp; Nama CSO'!$A$28:$D$31,4,0)*BP123</f>
        <v>3</v>
      </c>
    </row>
    <row r="124" spans="41:74" x14ac:dyDescent="0.35">
      <c r="AO124" s="39">
        <v>122</v>
      </c>
      <c r="AP124" s="60">
        <v>46192</v>
      </c>
      <c r="AQ124" s="41" t="s">
        <v>99</v>
      </c>
      <c r="AR124" s="42" t="s">
        <v>190</v>
      </c>
      <c r="AS124" s="42">
        <v>17031830</v>
      </c>
      <c r="AT124" s="31" t="s">
        <v>196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55">
        <v>118200</v>
      </c>
      <c r="BO124" s="40">
        <v>46192</v>
      </c>
      <c r="BP124" s="39">
        <v>1</v>
      </c>
      <c r="BQ124" s="59">
        <v>118200</v>
      </c>
      <c r="BR124" s="39" t="s">
        <v>111</v>
      </c>
      <c r="BS124" s="57">
        <v>0</v>
      </c>
      <c r="BT124" s="60"/>
      <c r="BU124" s="8">
        <v>0</v>
      </c>
      <c r="BV124" s="58">
        <f>VLOOKUP(AQ124,'[1]Harga &amp; Nama CSO'!$A$28:$D$31,4,0)*BP124</f>
        <v>3</v>
      </c>
    </row>
    <row r="125" spans="41:74" x14ac:dyDescent="0.35">
      <c r="AO125" s="39">
        <v>123</v>
      </c>
      <c r="AP125" s="60">
        <v>46192</v>
      </c>
      <c r="AQ125" s="41" t="s">
        <v>99</v>
      </c>
      <c r="AR125" s="42" t="s">
        <v>190</v>
      </c>
      <c r="AS125" s="42">
        <v>17651007</v>
      </c>
      <c r="AT125" s="31" t="s">
        <v>197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55">
        <v>118200</v>
      </c>
      <c r="BO125" s="40">
        <v>46192</v>
      </c>
      <c r="BP125" s="39">
        <v>1</v>
      </c>
      <c r="BQ125" s="59">
        <v>118200</v>
      </c>
      <c r="BR125" s="39" t="s">
        <v>111</v>
      </c>
      <c r="BS125" s="57">
        <v>0</v>
      </c>
      <c r="BT125" s="60"/>
      <c r="BU125" s="8">
        <v>0</v>
      </c>
      <c r="BV125" s="58">
        <f>VLOOKUP(AQ125,'[1]Harga &amp; Nama CSO'!$A$28:$D$31,4,0)*BP125</f>
        <v>3</v>
      </c>
    </row>
    <row r="126" spans="41:74" x14ac:dyDescent="0.35">
      <c r="AO126" s="39">
        <v>124</v>
      </c>
      <c r="AP126" s="60">
        <v>46192</v>
      </c>
      <c r="AQ126" s="41" t="s">
        <v>99</v>
      </c>
      <c r="AR126" s="42" t="s">
        <v>190</v>
      </c>
      <c r="AS126" s="42">
        <v>1554005</v>
      </c>
      <c r="AT126" s="31" t="s">
        <v>198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55">
        <v>118200</v>
      </c>
      <c r="BO126" s="40">
        <v>46192</v>
      </c>
      <c r="BP126" s="39">
        <v>1</v>
      </c>
      <c r="BQ126" s="59">
        <v>118200</v>
      </c>
      <c r="BR126" s="39" t="s">
        <v>111</v>
      </c>
      <c r="BS126" s="57">
        <v>0</v>
      </c>
      <c r="BT126" s="60"/>
      <c r="BU126" s="8">
        <v>0</v>
      </c>
      <c r="BV126" s="58">
        <f>VLOOKUP(AQ126,'[1]Harga &amp; Nama CSO'!$A$28:$D$31,4,0)*BP126</f>
        <v>3</v>
      </c>
    </row>
    <row r="127" spans="41:74" x14ac:dyDescent="0.35">
      <c r="AO127" s="39">
        <v>125</v>
      </c>
      <c r="AP127" s="60">
        <v>46192</v>
      </c>
      <c r="AQ127" s="41" t="s">
        <v>99</v>
      </c>
      <c r="AR127" s="42" t="s">
        <v>190</v>
      </c>
      <c r="AS127" s="42">
        <v>17659685</v>
      </c>
      <c r="AT127" s="31" t="s">
        <v>199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55">
        <v>118200</v>
      </c>
      <c r="BO127" s="40">
        <v>46192</v>
      </c>
      <c r="BP127" s="39">
        <v>1</v>
      </c>
      <c r="BQ127" s="59">
        <v>118200</v>
      </c>
      <c r="BR127" s="39" t="s">
        <v>111</v>
      </c>
      <c r="BS127" s="57">
        <v>0</v>
      </c>
      <c r="BT127" s="60"/>
      <c r="BU127" s="8">
        <v>0</v>
      </c>
      <c r="BV127" s="58">
        <f>VLOOKUP(AQ127,'[1]Harga &amp; Nama CSO'!$A$28:$D$31,4,0)*BP127</f>
        <v>3</v>
      </c>
    </row>
    <row r="128" spans="41:74" x14ac:dyDescent="0.35">
      <c r="AO128" s="39">
        <v>126</v>
      </c>
      <c r="AP128" s="60"/>
      <c r="AQ128" s="41"/>
      <c r="AR128" s="42" t="str">
        <f>IFERROR(VLOOKUP(AU128,[1]SUMMARY!$A$3:$B$7,2,FALSE),"")</f>
        <v/>
      </c>
      <c r="AS128" s="42"/>
      <c r="AT128" s="31" t="e">
        <f>VLOOKUP(AS128,[1]OUTLET!$B:$C,2,0)</f>
        <v>#N/A</v>
      </c>
      <c r="AU128" s="42"/>
      <c r="AV128" s="6"/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0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0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0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55" t="e">
        <f>IFERROR(VLOOKUP(AQ128,'[1]Harga &amp; Nama CSO'!$H$2:$N$22,2,FALSE),"")*AV128</f>
        <v>#VALUE!</v>
      </c>
      <c r="BO128" s="40"/>
      <c r="BP128" s="39"/>
      <c r="BQ128" s="59"/>
      <c r="BR128" s="39"/>
      <c r="BS128" s="57" t="e">
        <f t="shared" ref="BS119:BS130" si="22">BN128-BQ128</f>
        <v>#VALUE!</v>
      </c>
      <c r="BT128" s="60"/>
      <c r="BU128" s="8">
        <v>0</v>
      </c>
      <c r="BV128" s="58" t="e">
        <f>VLOOKUP(AQ128,'[1]Harga &amp; Nama CSO'!$A$28:$D$31,4,0)*BP128</f>
        <v>#N/A</v>
      </c>
    </row>
    <row r="129" spans="41:74" x14ac:dyDescent="0.35">
      <c r="AO129" s="39">
        <v>127</v>
      </c>
      <c r="AP129" s="60"/>
      <c r="AQ129" s="41"/>
      <c r="AR129" s="42" t="str">
        <f>IFERROR(VLOOKUP(AU129,[1]SUMMARY!$A$3:$B$7,2,FALSE),"")</f>
        <v/>
      </c>
      <c r="AS129" s="42"/>
      <c r="AT129" s="31" t="e">
        <f>VLOOKUP(AS129,[1]OUTLET!$B:$C,2,0)</f>
        <v>#N/A</v>
      </c>
      <c r="AU129" s="42"/>
      <c r="AV129" s="6"/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0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0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0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55" t="e">
        <f>IFERROR(VLOOKUP(AQ129,'[1]Harga &amp; Nama CSO'!$H$2:$N$22,2,FALSE),"")*AV129</f>
        <v>#VALUE!</v>
      </c>
      <c r="BO129" s="40"/>
      <c r="BP129" s="39"/>
      <c r="BQ129" s="59"/>
      <c r="BR129" s="39"/>
      <c r="BS129" s="57" t="e">
        <f t="shared" si="22"/>
        <v>#VALUE!</v>
      </c>
      <c r="BT129" s="60"/>
      <c r="BU129" s="8">
        <v>0</v>
      </c>
      <c r="BV129" s="58" t="e">
        <f>VLOOKUP(AQ129,'[1]Harga &amp; Nama CSO'!$A$28:$D$31,4,0)*BP129</f>
        <v>#N/A</v>
      </c>
    </row>
    <row r="130" spans="41:74" x14ac:dyDescent="0.35">
      <c r="AO130" s="39">
        <v>128</v>
      </c>
      <c r="AP130" s="60"/>
      <c r="AQ130" s="41"/>
      <c r="AR130" s="42" t="str">
        <f>IFERROR(VLOOKUP(AU130,[1]SUMMARY!$A$3:$B$7,2,FALSE),"")</f>
        <v/>
      </c>
      <c r="AS130" s="42"/>
      <c r="AT130" s="31" t="e">
        <f>VLOOKUP(AS130,[1]OUTLET!$B:$C,2,0)</f>
        <v>#N/A</v>
      </c>
      <c r="AU130" s="42"/>
      <c r="AV130" s="6"/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0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0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0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55" t="e">
        <f>IFERROR(VLOOKUP(AQ130,'[1]Harga &amp; Nama CSO'!$H$2:$N$22,2,FALSE),"")*AV130</f>
        <v>#VALUE!</v>
      </c>
      <c r="BO130" s="40"/>
      <c r="BP130" s="39"/>
      <c r="BQ130" s="59"/>
      <c r="BR130" s="39"/>
      <c r="BS130" s="57" t="e">
        <f t="shared" si="22"/>
        <v>#VALUE!</v>
      </c>
      <c r="BT130" s="60"/>
      <c r="BU130" s="8">
        <v>0</v>
      </c>
      <c r="BV130" s="58" t="e">
        <f>VLOOKUP(AQ130,'[1]Harga &amp; Nama CSO'!$A$28:$D$31,4,0)*BP130</f>
        <v>#N/A</v>
      </c>
    </row>
    <row r="131" spans="41:74" x14ac:dyDescent="0.35">
      <c r="AO131" s="39">
        <v>129</v>
      </c>
      <c r="AP131" s="60"/>
      <c r="AQ131" s="41"/>
      <c r="AR131" s="42" t="str">
        <f>IFERROR(VLOOKUP(AU131,[1]SUMMARY!$A$3:$B$7,2,FALSE),"")</f>
        <v/>
      </c>
      <c r="AS131" s="42"/>
      <c r="AT131" s="31" t="e">
        <f>VLOOKUP(AS131,[1]OUTLET!$B:$C,2,0)</f>
        <v>#N/A</v>
      </c>
      <c r="AU131" s="42"/>
      <c r="AV131" s="6"/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0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0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0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55" t="e">
        <f>IFERROR(VLOOKUP(AQ131,'[1]Harga &amp; Nama CSO'!$H$2:$N$22,2,FALSE),"")*AV131</f>
        <v>#VALUE!</v>
      </c>
      <c r="BO131" s="40"/>
      <c r="BP131" s="39"/>
      <c r="BQ131" s="59"/>
      <c r="BR131" s="39"/>
      <c r="BS131" s="57" t="e">
        <f t="shared" ref="BS131:BS194" si="23">BN131-BQ131</f>
        <v>#VALUE!</v>
      </c>
      <c r="BT131" s="60"/>
      <c r="BU131" s="8">
        <v>0</v>
      </c>
      <c r="BV131" s="58" t="e">
        <f>VLOOKUP(AQ131,'[1]Harga &amp; Nama CSO'!$A$28:$D$31,4,0)*BP131</f>
        <v>#N/A</v>
      </c>
    </row>
    <row r="132" spans="41:74" x14ac:dyDescent="0.35">
      <c r="AO132" s="39">
        <v>130</v>
      </c>
      <c r="AP132" s="60"/>
      <c r="AQ132" s="41"/>
      <c r="AR132" s="42" t="str">
        <f>IFERROR(VLOOKUP(AU132,[1]SUMMARY!$A$3:$B$7,2,FALSE),"")</f>
        <v/>
      </c>
      <c r="AS132" s="42"/>
      <c r="AT132" s="31" t="e">
        <f>VLOOKUP(AS132,[1]OUTLET!$B:$C,2,0)</f>
        <v>#N/A</v>
      </c>
      <c r="AU132" s="42"/>
      <c r="AV132" s="6"/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0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0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0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55" t="e">
        <f>IFERROR(VLOOKUP(AQ132,'[1]Harga &amp; Nama CSO'!$H$2:$N$22,2,FALSE),"")*AV132</f>
        <v>#VALUE!</v>
      </c>
      <c r="BO132" s="40"/>
      <c r="BP132" s="39"/>
      <c r="BQ132" s="59"/>
      <c r="BR132" s="39"/>
      <c r="BS132" s="57" t="e">
        <f t="shared" si="23"/>
        <v>#VALUE!</v>
      </c>
      <c r="BT132" s="60"/>
      <c r="BU132" s="8">
        <v>0</v>
      </c>
      <c r="BV132" s="58" t="e">
        <f>VLOOKUP(AQ132,'[1]Harga &amp; Nama CSO'!$A$28:$D$31,4,0)*BP132</f>
        <v>#N/A</v>
      </c>
    </row>
    <row r="133" spans="41:74" x14ac:dyDescent="0.35">
      <c r="AO133" s="39">
        <v>131</v>
      </c>
      <c r="AP133" s="60"/>
      <c r="AQ133" s="41"/>
      <c r="AR133" s="42" t="str">
        <f>IFERROR(VLOOKUP(AU133,[1]SUMMARY!$A$3:$B$7,2,FALSE),"")</f>
        <v/>
      </c>
      <c r="AS133" s="42"/>
      <c r="AT133" s="31" t="e">
        <f>VLOOKUP(AS133,[1]OUTLET!$B:$C,2,0)</f>
        <v>#N/A</v>
      </c>
      <c r="AU133" s="42"/>
      <c r="AV133" s="6"/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0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0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0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55" t="e">
        <f>IFERROR(VLOOKUP(AQ133,'[1]Harga &amp; Nama CSO'!$H$2:$N$22,2,FALSE),"")*AV133</f>
        <v>#VALUE!</v>
      </c>
      <c r="BO133" s="40"/>
      <c r="BP133" s="39"/>
      <c r="BQ133" s="59"/>
      <c r="BR133" s="39"/>
      <c r="BS133" s="57" t="e">
        <f t="shared" si="23"/>
        <v>#VALUE!</v>
      </c>
      <c r="BT133" s="60"/>
      <c r="BU133" s="8">
        <v>0</v>
      </c>
      <c r="BV133" s="58" t="e">
        <f>VLOOKUP(AQ133,'[1]Harga &amp; Nama CSO'!$A$28:$D$31,4,0)*BP133</f>
        <v>#N/A</v>
      </c>
    </row>
    <row r="134" spans="41:74" x14ac:dyDescent="0.35">
      <c r="AO134" s="39">
        <v>132</v>
      </c>
      <c r="AP134" s="60"/>
      <c r="AQ134" s="41"/>
      <c r="AR134" s="42" t="str">
        <f>IFERROR(VLOOKUP(AU134,[1]SUMMARY!$A$3:$B$7,2,FALSE),"")</f>
        <v/>
      </c>
      <c r="AS134" s="42"/>
      <c r="AT134" s="31" t="e">
        <f>VLOOKUP(AS134,[1]OUTLET!$B:$C,2,0)</f>
        <v>#N/A</v>
      </c>
      <c r="AU134" s="42"/>
      <c r="AV134" s="6"/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0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0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0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55" t="e">
        <f>IFERROR(VLOOKUP(AQ134,'[1]Harga &amp; Nama CSO'!$H$2:$N$22,2,FALSE),"")*AV134</f>
        <v>#VALUE!</v>
      </c>
      <c r="BO134" s="40"/>
      <c r="BP134" s="39"/>
      <c r="BQ134" s="59"/>
      <c r="BR134" s="39"/>
      <c r="BS134" s="57" t="e">
        <f t="shared" si="23"/>
        <v>#VALUE!</v>
      </c>
      <c r="BT134" s="60"/>
      <c r="BU134" s="8">
        <v>0</v>
      </c>
      <c r="BV134" s="58" t="e">
        <f>VLOOKUP(AQ134,'[1]Harga &amp; Nama CSO'!$A$28:$D$31,4,0)*BP134</f>
        <v>#N/A</v>
      </c>
    </row>
    <row r="135" spans="41:74" x14ac:dyDescent="0.35">
      <c r="AO135" s="39">
        <v>133</v>
      </c>
      <c r="AP135" s="60"/>
      <c r="AQ135" s="41"/>
      <c r="AR135" s="42" t="str">
        <f>IFERROR(VLOOKUP(AU135,[1]SUMMARY!$A$3:$B$7,2,FALSE),"")</f>
        <v/>
      </c>
      <c r="AS135" s="42"/>
      <c r="AT135" s="31" t="e">
        <f>VLOOKUP(AS135,[1]OUTLET!$B:$C,2,0)</f>
        <v>#N/A</v>
      </c>
      <c r="AU135" s="42"/>
      <c r="AV135" s="6"/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0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0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0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55" t="e">
        <f>IFERROR(VLOOKUP(AQ135,'[1]Harga &amp; Nama CSO'!$H$2:$N$22,2,FALSE),"")*AV135</f>
        <v>#VALUE!</v>
      </c>
      <c r="BO135" s="40"/>
      <c r="BP135" s="39"/>
      <c r="BQ135" s="59"/>
      <c r="BR135" s="39"/>
      <c r="BS135" s="57" t="e">
        <f t="shared" si="23"/>
        <v>#VALUE!</v>
      </c>
      <c r="BT135" s="60"/>
      <c r="BU135" s="8">
        <v>0</v>
      </c>
      <c r="BV135" s="58" t="e">
        <f>VLOOKUP(AQ135,'[1]Harga &amp; Nama CSO'!$A$28:$D$31,4,0)*BP135</f>
        <v>#N/A</v>
      </c>
    </row>
    <row r="136" spans="41:74" x14ac:dyDescent="0.35">
      <c r="AO136" s="39">
        <v>134</v>
      </c>
      <c r="AP136" s="60"/>
      <c r="AQ136" s="41"/>
      <c r="AR136" s="42" t="str">
        <f>IFERROR(VLOOKUP(AU136,[1]SUMMARY!$A$3:$B$7,2,FALSE),"")</f>
        <v/>
      </c>
      <c r="AS136" s="42"/>
      <c r="AT136" s="31" t="e">
        <f>VLOOKUP(AS136,[1]OUTLET!$B:$C,2,0)</f>
        <v>#N/A</v>
      </c>
      <c r="AU136" s="42"/>
      <c r="AV136" s="39"/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0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0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0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55" t="e">
        <f>IFERROR(VLOOKUP(AQ136,'[1]Harga &amp; Nama CSO'!$H$2:$N$22,2,FALSE),"")*AV136</f>
        <v>#VALUE!</v>
      </c>
      <c r="BO136" s="40"/>
      <c r="BP136" s="39"/>
      <c r="BQ136" s="59"/>
      <c r="BR136" s="39"/>
      <c r="BS136" s="57" t="e">
        <f t="shared" si="23"/>
        <v>#VALUE!</v>
      </c>
      <c r="BT136" s="60"/>
      <c r="BU136" s="8">
        <v>0</v>
      </c>
      <c r="BV136" s="58" t="e">
        <f>VLOOKUP(AQ136,'[1]Harga &amp; Nama CSO'!$A$28:$D$31,4,0)*BP136</f>
        <v>#N/A</v>
      </c>
    </row>
    <row r="137" spans="41:74" x14ac:dyDescent="0.35">
      <c r="AO137" s="39">
        <v>135</v>
      </c>
      <c r="AP137" s="60"/>
      <c r="AQ137" s="41"/>
      <c r="AR137" s="42" t="str">
        <f>IFERROR(VLOOKUP(AU137,[1]SUMMARY!$A$3:$B$7,2,FALSE),"")</f>
        <v/>
      </c>
      <c r="AS137" s="42"/>
      <c r="AT137" s="31" t="e">
        <f>VLOOKUP(AS137,[1]OUTLET!$B:$C,2,0)</f>
        <v>#N/A</v>
      </c>
      <c r="AU137" s="42"/>
      <c r="AV137" s="39"/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0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0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0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55" t="e">
        <f>IFERROR(VLOOKUP(AQ137,'[1]Harga &amp; Nama CSO'!$H$2:$N$22,2,FALSE),"")*AV137</f>
        <v>#VALUE!</v>
      </c>
      <c r="BO137" s="40"/>
      <c r="BP137" s="39"/>
      <c r="BQ137" s="59"/>
      <c r="BR137" s="39"/>
      <c r="BS137" s="57" t="e">
        <f t="shared" si="23"/>
        <v>#VALUE!</v>
      </c>
      <c r="BT137" s="60"/>
      <c r="BU137" s="8">
        <v>0</v>
      </c>
      <c r="BV137" s="58" t="e">
        <f>VLOOKUP(AQ137,'[1]Harga &amp; Nama CSO'!$A$28:$D$31,4,0)*BP137</f>
        <v>#N/A</v>
      </c>
    </row>
    <row r="138" spans="41:74" x14ac:dyDescent="0.35">
      <c r="AO138" s="39">
        <v>136</v>
      </c>
      <c r="AP138" s="60"/>
      <c r="AQ138" s="41"/>
      <c r="AR138" s="42" t="str">
        <f>IFERROR(VLOOKUP(AU138,[1]SUMMARY!$A$3:$B$7,2,FALSE),"")</f>
        <v/>
      </c>
      <c r="AS138" s="42"/>
      <c r="AT138" s="31" t="e">
        <f>VLOOKUP(AS138,[1]OUTLET!$B:$C,2,0)</f>
        <v>#N/A</v>
      </c>
      <c r="AU138" s="42"/>
      <c r="AV138" s="39"/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0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0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0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55" t="e">
        <f>IFERROR(VLOOKUP(AQ138,'[1]Harga &amp; Nama CSO'!$H$2:$N$22,2,FALSE),"")*AV138</f>
        <v>#VALUE!</v>
      </c>
      <c r="BO138" s="40"/>
      <c r="BP138" s="39"/>
      <c r="BQ138" s="59"/>
      <c r="BR138" s="39"/>
      <c r="BS138" s="57" t="e">
        <f t="shared" si="23"/>
        <v>#VALUE!</v>
      </c>
      <c r="BT138" s="60"/>
      <c r="BU138" s="8">
        <v>0</v>
      </c>
      <c r="BV138" s="58" t="e">
        <f>VLOOKUP(AQ138,'[1]Harga &amp; Nama CSO'!$A$28:$D$31,4,0)*BP138</f>
        <v>#N/A</v>
      </c>
    </row>
    <row r="139" spans="41:74" x14ac:dyDescent="0.35">
      <c r="AO139" s="39">
        <v>137</v>
      </c>
      <c r="AP139" s="60"/>
      <c r="AQ139" s="41"/>
      <c r="AR139" s="42" t="str">
        <f>IFERROR(VLOOKUP(AU139,[1]SUMMARY!$A$3:$B$7,2,FALSE),"")</f>
        <v/>
      </c>
      <c r="AS139" s="42"/>
      <c r="AT139" s="31" t="e">
        <f>VLOOKUP(AS139,[1]OUTLET!$B:$C,2,0)</f>
        <v>#N/A</v>
      </c>
      <c r="AU139" s="42"/>
      <c r="AV139" s="39"/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0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0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0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55" t="e">
        <f>IFERROR(VLOOKUP(AQ139,'[1]Harga &amp; Nama CSO'!$H$2:$N$22,2,FALSE),"")*AV139</f>
        <v>#VALUE!</v>
      </c>
      <c r="BO139" s="40"/>
      <c r="BP139" s="39"/>
      <c r="BQ139" s="59"/>
      <c r="BR139" s="39"/>
      <c r="BS139" s="57" t="e">
        <f t="shared" si="23"/>
        <v>#VALUE!</v>
      </c>
      <c r="BT139" s="60"/>
      <c r="BU139" s="8">
        <v>0</v>
      </c>
      <c r="BV139" s="58" t="e">
        <f>VLOOKUP(AQ139,'[1]Harga &amp; Nama CSO'!$A$28:$D$31,4,0)*BP139</f>
        <v>#N/A</v>
      </c>
    </row>
    <row r="140" spans="41:74" x14ac:dyDescent="0.35">
      <c r="AO140" s="39">
        <v>138</v>
      </c>
      <c r="AP140" s="60"/>
      <c r="AQ140" s="41"/>
      <c r="AR140" s="42" t="str">
        <f>IFERROR(VLOOKUP(AU140,[1]SUMMARY!$A$3:$B$7,2,FALSE),"")</f>
        <v/>
      </c>
      <c r="AS140" s="42"/>
      <c r="AT140" s="31" t="e">
        <f>VLOOKUP(AS140,[1]OUTLET!$B:$C,2,0)</f>
        <v>#N/A</v>
      </c>
      <c r="AU140" s="42"/>
      <c r="AV140" s="39"/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0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0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0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55" t="e">
        <f>IFERROR(VLOOKUP(AQ140,'[1]Harga &amp; Nama CSO'!$H$2:$N$22,2,FALSE),"")*AV140</f>
        <v>#VALUE!</v>
      </c>
      <c r="BO140" s="40"/>
      <c r="BP140" s="39"/>
      <c r="BQ140" s="59"/>
      <c r="BR140" s="39"/>
      <c r="BS140" s="57" t="e">
        <f t="shared" si="23"/>
        <v>#VALUE!</v>
      </c>
      <c r="BT140" s="60"/>
      <c r="BU140" s="8">
        <v>0</v>
      </c>
      <c r="BV140" s="58" t="e">
        <f>VLOOKUP(AQ140,'[1]Harga &amp; Nama CSO'!$A$28:$D$31,4,0)*BP140</f>
        <v>#N/A</v>
      </c>
    </row>
    <row r="141" spans="41:74" x14ac:dyDescent="0.35">
      <c r="AO141" s="39">
        <v>139</v>
      </c>
      <c r="AP141" s="60"/>
      <c r="AQ141" s="41"/>
      <c r="AR141" s="42" t="str">
        <f>IFERROR(VLOOKUP(AU141,[1]SUMMARY!$A$3:$B$7,2,FALSE),"")</f>
        <v/>
      </c>
      <c r="AS141" s="42"/>
      <c r="AT141" s="31" t="e">
        <f>VLOOKUP(AS141,[1]OUTLET!$B:$C,2,0)</f>
        <v>#N/A</v>
      </c>
      <c r="AU141" s="42"/>
      <c r="AV141" s="39"/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0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0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0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55" t="e">
        <f>IFERROR(VLOOKUP(AQ141,'[1]Harga &amp; Nama CSO'!$H$2:$N$22,2,FALSE),"")*AV141</f>
        <v>#VALUE!</v>
      </c>
      <c r="BO141" s="40"/>
      <c r="BP141" s="39"/>
      <c r="BQ141" s="59"/>
      <c r="BR141" s="39"/>
      <c r="BS141" s="57" t="e">
        <f t="shared" si="23"/>
        <v>#VALUE!</v>
      </c>
      <c r="BT141" s="60"/>
      <c r="BU141" s="8">
        <v>0</v>
      </c>
      <c r="BV141" s="58" t="e">
        <f>VLOOKUP(AQ141,'[1]Harga &amp; Nama CSO'!$A$28:$D$31,4,0)*BP141</f>
        <v>#N/A</v>
      </c>
    </row>
    <row r="142" spans="41:74" x14ac:dyDescent="0.35">
      <c r="AO142" s="39">
        <v>140</v>
      </c>
      <c r="AP142" s="60"/>
      <c r="AQ142" s="41"/>
      <c r="AR142" s="42" t="str">
        <f>IFERROR(VLOOKUP(AU142,[1]SUMMARY!$A$3:$B$7,2,FALSE),"")</f>
        <v/>
      </c>
      <c r="AS142" s="42"/>
      <c r="AT142" s="31" t="e">
        <f>VLOOKUP(AS142,[1]OUTLET!$B:$C,2,0)</f>
        <v>#N/A</v>
      </c>
      <c r="AU142" s="42"/>
      <c r="AV142" s="39"/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0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0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0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55" t="e">
        <f>IFERROR(VLOOKUP(AQ142,'[1]Harga &amp; Nama CSO'!$H$2:$N$22,2,FALSE),"")*AV142</f>
        <v>#VALUE!</v>
      </c>
      <c r="BO142" s="40"/>
      <c r="BP142" s="39"/>
      <c r="BQ142" s="59"/>
      <c r="BR142" s="39"/>
      <c r="BS142" s="57" t="e">
        <f t="shared" si="23"/>
        <v>#VALUE!</v>
      </c>
      <c r="BT142" s="60"/>
      <c r="BU142" s="8">
        <v>0</v>
      </c>
      <c r="BV142" s="58" t="e">
        <f>VLOOKUP(AQ142,'[1]Harga &amp; Nama CSO'!$A$28:$D$31,4,0)*BP142</f>
        <v>#N/A</v>
      </c>
    </row>
    <row r="143" spans="41:74" x14ac:dyDescent="0.35">
      <c r="AO143" s="39">
        <v>141</v>
      </c>
      <c r="AP143" s="60"/>
      <c r="AQ143" s="41"/>
      <c r="AR143" s="42" t="str">
        <f>IFERROR(VLOOKUP(AU143,[1]SUMMARY!$A$3:$B$7,2,FALSE),"")</f>
        <v/>
      </c>
      <c r="AS143" s="42"/>
      <c r="AT143" s="31" t="e">
        <f>VLOOKUP(AS143,[1]OUTLET!$B:$C,2,0)</f>
        <v>#N/A</v>
      </c>
      <c r="AU143" s="42"/>
      <c r="AV143" s="39"/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0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0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0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55" t="e">
        <f>IFERROR(VLOOKUP(AQ143,'[1]Harga &amp; Nama CSO'!$H$2:$N$22,2,FALSE),"")*AV143</f>
        <v>#VALUE!</v>
      </c>
      <c r="BO143" s="40"/>
      <c r="BP143" s="39"/>
      <c r="BQ143" s="59"/>
      <c r="BR143" s="39"/>
      <c r="BS143" s="57" t="e">
        <f t="shared" si="23"/>
        <v>#VALUE!</v>
      </c>
      <c r="BT143" s="60"/>
      <c r="BU143" s="8">
        <v>0</v>
      </c>
      <c r="BV143" s="58" t="e">
        <f>VLOOKUP(AQ143,'[1]Harga &amp; Nama CSO'!$A$28:$D$31,4,0)*BP143</f>
        <v>#N/A</v>
      </c>
    </row>
    <row r="144" spans="41:74" x14ac:dyDescent="0.35">
      <c r="AO144" s="39">
        <v>142</v>
      </c>
      <c r="AP144" s="60"/>
      <c r="AQ144" s="41"/>
      <c r="AR144" s="42" t="str">
        <f>IFERROR(VLOOKUP(AU144,[1]SUMMARY!$A$3:$B$7,2,FALSE),"")</f>
        <v/>
      </c>
      <c r="AS144" s="42"/>
      <c r="AT144" s="31" t="e">
        <f>VLOOKUP(AS144,[1]OUTLET!$B:$C,2,0)</f>
        <v>#N/A</v>
      </c>
      <c r="AU144" s="42"/>
      <c r="AV144" s="39"/>
      <c r="AW144" s="44">
        <f>IFERROR(VLOOKUP(AQ144,'[1]Harga &amp; Nama CSO'!$A$116:$L$136,2,FALSE),0)*AV144</f>
        <v>0</v>
      </c>
      <c r="AX144" s="44">
        <f>IFERROR(VLOOKUP(AQ144,'[1]Harga &amp; Nama CSO'!$A$116:$L$136,3,FALSE),0)*AV144</f>
        <v>0</v>
      </c>
      <c r="AY144" s="44">
        <f>IFERROR(VLOOKUP(AQ144,'[1]Harga &amp; Nama CSO'!$A$116:$L$136,4,FALSE),0)*AV144</f>
        <v>0</v>
      </c>
      <c r="AZ144" s="44">
        <f>IFERROR(VLOOKUP(AQ144,'[1]Harga &amp; Nama CSO'!$A$116:$L$136,5,FALSE),0)*AV144</f>
        <v>0</v>
      </c>
      <c r="BA144" s="44">
        <f>IFERROR(VLOOKUP(AQ144,'[1]Harga &amp; Nama CSO'!$A$116:$L$136,6,FALSE),0)*AV144</f>
        <v>0</v>
      </c>
      <c r="BB144" s="44">
        <f>IFERROR(VLOOKUP(AQ144,'[1]Harga &amp; Nama CSO'!$A$116:$L$136,7,FALSE),0)*AV144</f>
        <v>0</v>
      </c>
      <c r="BC144" s="44">
        <f>IFERROR(VLOOKUP(AQ144,'[1]Harga &amp; Nama CSO'!$A$116:$L$136,8,FALSE),0)*AV144</f>
        <v>0</v>
      </c>
      <c r="BD144" s="44">
        <f>IFERROR(VLOOKUP(AQ144,'[1]Harga &amp; Nama CSO'!$A$116:$L$136,9,FALSE),0)*AV144</f>
        <v>0</v>
      </c>
      <c r="BE144" s="44">
        <f>IFERROR(VLOOKUP(AQ144,'[1]Harga &amp; Nama CSO'!$A$116:$L$136,10,FALSE),0)*AV144</f>
        <v>0</v>
      </c>
      <c r="BF144" s="44">
        <f>IFERROR(VLOOKUP(AQ144,'[1]Harga &amp; Nama CSO'!$A$116:$L$136,11,FALSE),0)*AV144</f>
        <v>0</v>
      </c>
      <c r="BG144" s="44">
        <f>IFERROR(VLOOKUP(AQ144,'[1]Harga &amp; Nama CSO'!$A$116:$L$136,12,FALSE),0)*AV144</f>
        <v>0</v>
      </c>
      <c r="BH144" s="44">
        <f>IFERROR(VLOOKUP(AQ144,'[1]Harga &amp; Nama CSO'!$A$116:$R$136,13,FALSE),0)*AV144</f>
        <v>0</v>
      </c>
      <c r="BI144" s="44">
        <f>IFERROR(VLOOKUP(AQ144,'[1]Harga &amp; Nama CSO'!$A$116:$R$136,14,FALSE),0)*AV144</f>
        <v>0</v>
      </c>
      <c r="BJ144" s="44">
        <f>IFERROR(VLOOKUP(AQ144,'[1]Harga &amp; Nama CSO'!$A$116:$R$136,15,FALSE),0)*AV144</f>
        <v>0</v>
      </c>
      <c r="BK144" s="44">
        <f>IFERROR(VLOOKUP(AQ144,'[1]Harga &amp; Nama CSO'!$A$116:$R$136,16,FALSE),0)*AV144</f>
        <v>0</v>
      </c>
      <c r="BL144" s="44">
        <f>IFERROR(VLOOKUP(AQ144,'[1]Harga &amp; Nama CSO'!$A$116:$R$136,17,FALSE),0)*AV144</f>
        <v>0</v>
      </c>
      <c r="BM144" s="44">
        <f>IFERROR(VLOOKUP(AQ144,'[1]Harga &amp; Nama CSO'!$A$116:$R$136,18,FALSE),0)*AV144</f>
        <v>0</v>
      </c>
      <c r="BN144" s="55" t="e">
        <f>IFERROR(VLOOKUP(AQ144,'[1]Harga &amp; Nama CSO'!$H$2:$N$22,2,FALSE),"")*AV144</f>
        <v>#VALUE!</v>
      </c>
      <c r="BO144" s="40"/>
      <c r="BP144" s="39"/>
      <c r="BQ144" s="59"/>
      <c r="BR144" s="39"/>
      <c r="BS144" s="57" t="e">
        <f t="shared" si="23"/>
        <v>#VALUE!</v>
      </c>
      <c r="BT144" s="60"/>
      <c r="BU144" s="8">
        <v>0</v>
      </c>
      <c r="BV144" s="58" t="e">
        <f>VLOOKUP(AQ144,'[1]Harga &amp; Nama CSO'!$A$28:$D$31,4,0)*BP144</f>
        <v>#N/A</v>
      </c>
    </row>
    <row r="145" spans="41:74" x14ac:dyDescent="0.35">
      <c r="AO145" s="39">
        <v>143</v>
      </c>
      <c r="AP145" s="60"/>
      <c r="AQ145" s="41"/>
      <c r="AR145" s="42" t="str">
        <f>IFERROR(VLOOKUP(AU145,[1]SUMMARY!$A$3:$B$7,2,FALSE),"")</f>
        <v/>
      </c>
      <c r="AS145" s="42"/>
      <c r="AT145" s="31" t="e">
        <f>VLOOKUP(AS145,[1]OUTLET!$B:$C,2,0)</f>
        <v>#N/A</v>
      </c>
      <c r="AU145" s="61"/>
      <c r="AV145" s="39"/>
      <c r="AW145" s="44">
        <f>IFERROR(VLOOKUP(AQ145,'[1]Harga &amp; Nama CSO'!$A$116:$L$136,2,FALSE),0)*AV145</f>
        <v>0</v>
      </c>
      <c r="AX145" s="44">
        <f>IFERROR(VLOOKUP(AQ145,'[1]Harga &amp; Nama CSO'!$A$116:$L$136,3,FALSE),0)*AV145</f>
        <v>0</v>
      </c>
      <c r="AY145" s="44">
        <f>IFERROR(VLOOKUP(AQ145,'[1]Harga &amp; Nama CSO'!$A$116:$L$136,4,FALSE),0)*AV145</f>
        <v>0</v>
      </c>
      <c r="AZ145" s="44">
        <f>IFERROR(VLOOKUP(AQ145,'[1]Harga &amp; Nama CSO'!$A$116:$L$136,5,FALSE),0)*AV145</f>
        <v>0</v>
      </c>
      <c r="BA145" s="44">
        <f>IFERROR(VLOOKUP(AQ145,'[1]Harga &amp; Nama CSO'!$A$116:$L$136,6,FALSE),0)*AV145</f>
        <v>0</v>
      </c>
      <c r="BB145" s="44">
        <f>IFERROR(VLOOKUP(AQ145,'[1]Harga &amp; Nama CSO'!$A$116:$L$136,7,FALSE),0)*AV145</f>
        <v>0</v>
      </c>
      <c r="BC145" s="44">
        <f>IFERROR(VLOOKUP(AQ145,'[1]Harga &amp; Nama CSO'!$A$116:$L$136,8,FALSE),0)*AV145</f>
        <v>0</v>
      </c>
      <c r="BD145" s="44">
        <f>IFERROR(VLOOKUP(AQ145,'[1]Harga &amp; Nama CSO'!$A$116:$L$136,9,FALSE),0)*AV145</f>
        <v>0</v>
      </c>
      <c r="BE145" s="44">
        <f>IFERROR(VLOOKUP(AQ145,'[1]Harga &amp; Nama CSO'!$A$116:$L$136,10,FALSE),0)*AV145</f>
        <v>0</v>
      </c>
      <c r="BF145" s="44">
        <f>IFERROR(VLOOKUP(AQ145,'[1]Harga &amp; Nama CSO'!$A$116:$L$136,11,FALSE),0)*AV145</f>
        <v>0</v>
      </c>
      <c r="BG145" s="44">
        <f>IFERROR(VLOOKUP(AQ145,'[1]Harga &amp; Nama CSO'!$A$116:$L$136,12,FALSE),0)*AV145</f>
        <v>0</v>
      </c>
      <c r="BH145" s="44">
        <f>IFERROR(VLOOKUP(AQ145,'[1]Harga &amp; Nama CSO'!$A$116:$R$136,13,FALSE),0)*AV145</f>
        <v>0</v>
      </c>
      <c r="BI145" s="44">
        <f>IFERROR(VLOOKUP(AQ145,'[1]Harga &amp; Nama CSO'!$A$116:$R$136,14,FALSE),0)*AV145</f>
        <v>0</v>
      </c>
      <c r="BJ145" s="44">
        <f>IFERROR(VLOOKUP(AQ145,'[1]Harga &amp; Nama CSO'!$A$116:$R$136,15,FALSE),0)*AV145</f>
        <v>0</v>
      </c>
      <c r="BK145" s="44">
        <f>IFERROR(VLOOKUP(AQ145,'[1]Harga &amp; Nama CSO'!$A$116:$R$136,16,FALSE),0)*AV145</f>
        <v>0</v>
      </c>
      <c r="BL145" s="44">
        <f>IFERROR(VLOOKUP(AQ145,'[1]Harga &amp; Nama CSO'!$A$116:$R$136,17,FALSE),0)*AV145</f>
        <v>0</v>
      </c>
      <c r="BM145" s="44">
        <f>IFERROR(VLOOKUP(AQ145,'[1]Harga &amp; Nama CSO'!$A$116:$R$136,18,FALSE),0)*AV145</f>
        <v>0</v>
      </c>
      <c r="BN145" s="55" t="e">
        <f>IFERROR(VLOOKUP(AQ145,'[1]Harga &amp; Nama CSO'!$H$2:$N$22,2,FALSE),"")*AV145</f>
        <v>#VALUE!</v>
      </c>
      <c r="BO145" s="40"/>
      <c r="BP145" s="39"/>
      <c r="BQ145" s="59"/>
      <c r="BR145" s="39"/>
      <c r="BS145" s="57" t="e">
        <f t="shared" si="23"/>
        <v>#VALUE!</v>
      </c>
      <c r="BT145" s="60"/>
      <c r="BU145" s="8">
        <v>0</v>
      </c>
      <c r="BV145" s="58" t="e">
        <f>VLOOKUP(AQ145,'[1]Harga &amp; Nama CSO'!$A$28:$D$31,4,0)*BP145</f>
        <v>#N/A</v>
      </c>
    </row>
    <row r="146" spans="41:74" x14ac:dyDescent="0.35">
      <c r="AO146" s="39">
        <v>144</v>
      </c>
      <c r="AP146" s="60"/>
      <c r="AQ146" s="41"/>
      <c r="AR146" s="42" t="str">
        <f>IFERROR(VLOOKUP(AU146,[1]SUMMARY!$A$3:$B$7,2,FALSE),"")</f>
        <v/>
      </c>
      <c r="AS146" s="42"/>
      <c r="AT146" s="31" t="e">
        <f>VLOOKUP(AS146,[1]OUTLET!$B:$C,2,0)</f>
        <v>#N/A</v>
      </c>
      <c r="AU146" s="42"/>
      <c r="AV146" s="39"/>
      <c r="AW146" s="44">
        <f>IFERROR(VLOOKUP(AQ146,'[1]Harga &amp; Nama CSO'!$A$116:$L$136,2,FALSE),0)*AV146</f>
        <v>0</v>
      </c>
      <c r="AX146" s="44">
        <f>IFERROR(VLOOKUP(AQ146,'[1]Harga &amp; Nama CSO'!$A$116:$L$136,3,FALSE),0)*AV146</f>
        <v>0</v>
      </c>
      <c r="AY146" s="44">
        <f>IFERROR(VLOOKUP(AQ146,'[1]Harga &amp; Nama CSO'!$A$116:$L$136,4,FALSE),0)*AV146</f>
        <v>0</v>
      </c>
      <c r="AZ146" s="44">
        <f>IFERROR(VLOOKUP(AQ146,'[1]Harga &amp; Nama CSO'!$A$116:$L$136,5,FALSE),0)*AV146</f>
        <v>0</v>
      </c>
      <c r="BA146" s="44">
        <f>IFERROR(VLOOKUP(AQ146,'[1]Harga &amp; Nama CSO'!$A$116:$L$136,6,FALSE),0)*AV146</f>
        <v>0</v>
      </c>
      <c r="BB146" s="44">
        <f>IFERROR(VLOOKUP(AQ146,'[1]Harga &amp; Nama CSO'!$A$116:$L$136,7,FALSE),0)*AV146</f>
        <v>0</v>
      </c>
      <c r="BC146" s="44">
        <f>IFERROR(VLOOKUP(AQ146,'[1]Harga &amp; Nama CSO'!$A$116:$L$136,8,FALSE),0)*AV146</f>
        <v>0</v>
      </c>
      <c r="BD146" s="44">
        <f>IFERROR(VLOOKUP(AQ146,'[1]Harga &amp; Nama CSO'!$A$116:$L$136,9,FALSE),0)*AV146</f>
        <v>0</v>
      </c>
      <c r="BE146" s="44">
        <f>IFERROR(VLOOKUP(AQ146,'[1]Harga &amp; Nama CSO'!$A$116:$L$136,10,FALSE),0)*AV146</f>
        <v>0</v>
      </c>
      <c r="BF146" s="44">
        <f>IFERROR(VLOOKUP(AQ146,'[1]Harga &amp; Nama CSO'!$A$116:$L$136,11,FALSE),0)*AV146</f>
        <v>0</v>
      </c>
      <c r="BG146" s="44">
        <f>IFERROR(VLOOKUP(AQ146,'[1]Harga &amp; Nama CSO'!$A$116:$L$136,12,FALSE),0)*AV146</f>
        <v>0</v>
      </c>
      <c r="BH146" s="44">
        <f>IFERROR(VLOOKUP(AQ146,'[1]Harga &amp; Nama CSO'!$A$116:$R$136,13,FALSE),0)*AV146</f>
        <v>0</v>
      </c>
      <c r="BI146" s="44">
        <f>IFERROR(VLOOKUP(AQ146,'[1]Harga &amp; Nama CSO'!$A$116:$R$136,14,FALSE),0)*AV146</f>
        <v>0</v>
      </c>
      <c r="BJ146" s="44">
        <f>IFERROR(VLOOKUP(AQ146,'[1]Harga &amp; Nama CSO'!$A$116:$R$136,15,FALSE),0)*AV146</f>
        <v>0</v>
      </c>
      <c r="BK146" s="44">
        <f>IFERROR(VLOOKUP(AQ146,'[1]Harga &amp; Nama CSO'!$A$116:$R$136,16,FALSE),0)*AV146</f>
        <v>0</v>
      </c>
      <c r="BL146" s="44">
        <f>IFERROR(VLOOKUP(AQ146,'[1]Harga &amp; Nama CSO'!$A$116:$R$136,17,FALSE),0)*AV146</f>
        <v>0</v>
      </c>
      <c r="BM146" s="44">
        <f>IFERROR(VLOOKUP(AQ146,'[1]Harga &amp; Nama CSO'!$A$116:$R$136,18,FALSE),0)*AV146</f>
        <v>0</v>
      </c>
      <c r="BN146" s="55" t="e">
        <f>IFERROR(VLOOKUP(AQ146,'[1]Harga &amp; Nama CSO'!$H$2:$N$22,2,FALSE),"")*AV146</f>
        <v>#VALUE!</v>
      </c>
      <c r="BO146" s="40"/>
      <c r="BP146" s="39"/>
      <c r="BQ146" s="59"/>
      <c r="BR146" s="39"/>
      <c r="BS146" s="57" t="e">
        <f t="shared" si="23"/>
        <v>#VALUE!</v>
      </c>
      <c r="BT146" s="60"/>
      <c r="BU146" s="8">
        <v>0</v>
      </c>
      <c r="BV146" s="58" t="e">
        <f>VLOOKUP(AQ146,'[1]Harga &amp; Nama CSO'!$A$28:$D$31,4,0)*BP146</f>
        <v>#N/A</v>
      </c>
    </row>
    <row r="147" spans="41:74" x14ac:dyDescent="0.35">
      <c r="AO147" s="39">
        <v>145</v>
      </c>
      <c r="AP147" s="60"/>
      <c r="AQ147" s="41"/>
      <c r="AR147" s="42" t="str">
        <f>IFERROR(VLOOKUP(AU147,[1]SUMMARY!$A$3:$B$7,2,FALSE),"")</f>
        <v/>
      </c>
      <c r="AS147" s="42"/>
      <c r="AT147" s="31" t="e">
        <f>VLOOKUP(AS147,[1]OUTLET!$B:$C,2,0)</f>
        <v>#N/A</v>
      </c>
      <c r="AU147" s="42"/>
      <c r="AV147" s="39"/>
      <c r="AW147" s="44">
        <f>IFERROR(VLOOKUP(AQ147,'[1]Harga &amp; Nama CSO'!$A$116:$L$136,2,FALSE),0)*AV147</f>
        <v>0</v>
      </c>
      <c r="AX147" s="44">
        <f>IFERROR(VLOOKUP(AQ147,'[1]Harga &amp; Nama CSO'!$A$116:$L$136,3,FALSE),0)*AV147</f>
        <v>0</v>
      </c>
      <c r="AY147" s="44">
        <f>IFERROR(VLOOKUP(AQ147,'[1]Harga &amp; Nama CSO'!$A$116:$L$136,4,FALSE),0)*AV147</f>
        <v>0</v>
      </c>
      <c r="AZ147" s="44">
        <f>IFERROR(VLOOKUP(AQ147,'[1]Harga &amp; Nama CSO'!$A$116:$L$136,5,FALSE),0)*AV147</f>
        <v>0</v>
      </c>
      <c r="BA147" s="44">
        <f>IFERROR(VLOOKUP(AQ147,'[1]Harga &amp; Nama CSO'!$A$116:$L$136,6,FALSE),0)*AV147</f>
        <v>0</v>
      </c>
      <c r="BB147" s="44">
        <f>IFERROR(VLOOKUP(AQ147,'[1]Harga &amp; Nama CSO'!$A$116:$L$136,7,FALSE),0)*AV147</f>
        <v>0</v>
      </c>
      <c r="BC147" s="44">
        <f>IFERROR(VLOOKUP(AQ147,'[1]Harga &amp; Nama CSO'!$A$116:$L$136,8,FALSE),0)*AV147</f>
        <v>0</v>
      </c>
      <c r="BD147" s="44">
        <f>IFERROR(VLOOKUP(AQ147,'[1]Harga &amp; Nama CSO'!$A$116:$L$136,9,FALSE),0)*AV147</f>
        <v>0</v>
      </c>
      <c r="BE147" s="44">
        <f>IFERROR(VLOOKUP(AQ147,'[1]Harga &amp; Nama CSO'!$A$116:$L$136,10,FALSE),0)*AV147</f>
        <v>0</v>
      </c>
      <c r="BF147" s="44">
        <f>IFERROR(VLOOKUP(AQ147,'[1]Harga &amp; Nama CSO'!$A$116:$L$136,11,FALSE),0)*AV147</f>
        <v>0</v>
      </c>
      <c r="BG147" s="44">
        <f>IFERROR(VLOOKUP(AQ147,'[1]Harga &amp; Nama CSO'!$A$116:$L$136,12,FALSE),0)*AV147</f>
        <v>0</v>
      </c>
      <c r="BH147" s="44">
        <f>IFERROR(VLOOKUP(AQ147,'[1]Harga &amp; Nama CSO'!$A$116:$R$136,13,FALSE),0)*AV147</f>
        <v>0</v>
      </c>
      <c r="BI147" s="44">
        <f>IFERROR(VLOOKUP(AQ147,'[1]Harga &amp; Nama CSO'!$A$116:$R$136,14,FALSE),0)*AV147</f>
        <v>0</v>
      </c>
      <c r="BJ147" s="44">
        <f>IFERROR(VLOOKUP(AQ147,'[1]Harga &amp; Nama CSO'!$A$116:$R$136,15,FALSE),0)*AV147</f>
        <v>0</v>
      </c>
      <c r="BK147" s="44">
        <f>IFERROR(VLOOKUP(AQ147,'[1]Harga &amp; Nama CSO'!$A$116:$R$136,16,FALSE),0)*AV147</f>
        <v>0</v>
      </c>
      <c r="BL147" s="44">
        <f>IFERROR(VLOOKUP(AQ147,'[1]Harga &amp; Nama CSO'!$A$116:$R$136,17,FALSE),0)*AV147</f>
        <v>0</v>
      </c>
      <c r="BM147" s="44">
        <f>IFERROR(VLOOKUP(AQ147,'[1]Harga &amp; Nama CSO'!$A$116:$R$136,18,FALSE),0)*AV147</f>
        <v>0</v>
      </c>
      <c r="BN147" s="55" t="e">
        <f>IFERROR(VLOOKUP(AQ147,'[1]Harga &amp; Nama CSO'!$H$2:$N$22,2,FALSE),"")*AV147</f>
        <v>#VALUE!</v>
      </c>
      <c r="BO147" s="40"/>
      <c r="BP147" s="39"/>
      <c r="BQ147" s="59"/>
      <c r="BR147" s="39"/>
      <c r="BS147" s="57" t="e">
        <f t="shared" si="23"/>
        <v>#VALUE!</v>
      </c>
      <c r="BT147" s="60"/>
      <c r="BU147" s="8">
        <v>0</v>
      </c>
      <c r="BV147" s="58" t="e">
        <f>VLOOKUP(AQ147,'[1]Harga &amp; Nama CSO'!$A$28:$D$31,4,0)*BP147</f>
        <v>#N/A</v>
      </c>
    </row>
    <row r="148" spans="41:74" x14ac:dyDescent="0.35">
      <c r="AO148" s="39">
        <v>146</v>
      </c>
      <c r="AP148" s="60"/>
      <c r="AQ148" s="41"/>
      <c r="AR148" s="42" t="str">
        <f>IFERROR(VLOOKUP(AU148,[1]SUMMARY!$A$3:$B$7,2,FALSE),"")</f>
        <v/>
      </c>
      <c r="AS148" s="42"/>
      <c r="AT148" s="31" t="e">
        <f>VLOOKUP(AS148,[1]OUTLET!$B:$C,2,0)</f>
        <v>#N/A</v>
      </c>
      <c r="AU148" s="42"/>
      <c r="AV148" s="39"/>
      <c r="AW148" s="44">
        <f>IFERROR(VLOOKUP(AQ148,'[1]Harga &amp; Nama CSO'!$A$116:$L$136,2,FALSE),0)*AV148</f>
        <v>0</v>
      </c>
      <c r="AX148" s="44">
        <f>IFERROR(VLOOKUP(AQ148,'[1]Harga &amp; Nama CSO'!$A$116:$L$136,3,FALSE),0)*AV148</f>
        <v>0</v>
      </c>
      <c r="AY148" s="44">
        <f>IFERROR(VLOOKUP(AQ148,'[1]Harga &amp; Nama CSO'!$A$116:$L$136,4,FALSE),0)*AV148</f>
        <v>0</v>
      </c>
      <c r="AZ148" s="44">
        <f>IFERROR(VLOOKUP(AQ148,'[1]Harga &amp; Nama CSO'!$A$116:$L$136,5,FALSE),0)*AV148</f>
        <v>0</v>
      </c>
      <c r="BA148" s="44">
        <f>IFERROR(VLOOKUP(AQ148,'[1]Harga &amp; Nama CSO'!$A$116:$L$136,6,FALSE),0)*AV148</f>
        <v>0</v>
      </c>
      <c r="BB148" s="44">
        <f>IFERROR(VLOOKUP(AQ148,'[1]Harga &amp; Nama CSO'!$A$116:$L$136,7,FALSE),0)*AV148</f>
        <v>0</v>
      </c>
      <c r="BC148" s="44">
        <f>IFERROR(VLOOKUP(AQ148,'[1]Harga &amp; Nama CSO'!$A$116:$L$136,8,FALSE),0)*AV148</f>
        <v>0</v>
      </c>
      <c r="BD148" s="44">
        <f>IFERROR(VLOOKUP(AQ148,'[1]Harga &amp; Nama CSO'!$A$116:$L$136,9,FALSE),0)*AV148</f>
        <v>0</v>
      </c>
      <c r="BE148" s="44">
        <f>IFERROR(VLOOKUP(AQ148,'[1]Harga &amp; Nama CSO'!$A$116:$L$136,10,FALSE),0)*AV148</f>
        <v>0</v>
      </c>
      <c r="BF148" s="44">
        <f>IFERROR(VLOOKUP(AQ148,'[1]Harga &amp; Nama CSO'!$A$116:$L$136,11,FALSE),0)*AV148</f>
        <v>0</v>
      </c>
      <c r="BG148" s="44">
        <f>IFERROR(VLOOKUP(AQ148,'[1]Harga &amp; Nama CSO'!$A$116:$L$136,12,FALSE),0)*AV148</f>
        <v>0</v>
      </c>
      <c r="BH148" s="44">
        <f>IFERROR(VLOOKUP(AQ148,'[1]Harga &amp; Nama CSO'!$A$116:$R$136,13,FALSE),0)*AV148</f>
        <v>0</v>
      </c>
      <c r="BI148" s="44">
        <f>IFERROR(VLOOKUP(AQ148,'[1]Harga &amp; Nama CSO'!$A$116:$R$136,14,FALSE),0)*AV148</f>
        <v>0</v>
      </c>
      <c r="BJ148" s="44">
        <f>IFERROR(VLOOKUP(AQ148,'[1]Harga &amp; Nama CSO'!$A$116:$R$136,15,FALSE),0)*AV148</f>
        <v>0</v>
      </c>
      <c r="BK148" s="44">
        <f>IFERROR(VLOOKUP(AQ148,'[1]Harga &amp; Nama CSO'!$A$116:$R$136,16,FALSE),0)*AV148</f>
        <v>0</v>
      </c>
      <c r="BL148" s="44">
        <f>IFERROR(VLOOKUP(AQ148,'[1]Harga &amp; Nama CSO'!$A$116:$R$136,17,FALSE),0)*AV148</f>
        <v>0</v>
      </c>
      <c r="BM148" s="44">
        <f>IFERROR(VLOOKUP(AQ148,'[1]Harga &amp; Nama CSO'!$A$116:$R$136,18,FALSE),0)*AV148</f>
        <v>0</v>
      </c>
      <c r="BN148" s="55" t="e">
        <f>IFERROR(VLOOKUP(AQ148,'[1]Harga &amp; Nama CSO'!$H$2:$N$22,2,FALSE),"")*AV148</f>
        <v>#VALUE!</v>
      </c>
      <c r="BO148" s="40"/>
      <c r="BP148" s="39"/>
      <c r="BQ148" s="59"/>
      <c r="BR148" s="39"/>
      <c r="BS148" s="57" t="e">
        <f t="shared" si="23"/>
        <v>#VALUE!</v>
      </c>
      <c r="BT148" s="60"/>
      <c r="BU148" s="8">
        <v>0</v>
      </c>
      <c r="BV148" s="58" t="e">
        <f>VLOOKUP(AQ148,'[1]Harga &amp; Nama CSO'!$A$28:$D$31,4,0)*BP148</f>
        <v>#N/A</v>
      </c>
    </row>
    <row r="149" spans="41:74" x14ac:dyDescent="0.35">
      <c r="AO149" s="39">
        <v>147</v>
      </c>
      <c r="AP149" s="60"/>
      <c r="AQ149" s="41"/>
      <c r="AR149" s="42" t="str">
        <f>IFERROR(VLOOKUP(AU149,[1]SUMMARY!$A$3:$B$7,2,FALSE),"")</f>
        <v/>
      </c>
      <c r="AS149" s="42"/>
      <c r="AT149" s="31" t="e">
        <f>VLOOKUP(AS149,[1]OUTLET!$B:$C,2,0)</f>
        <v>#N/A</v>
      </c>
      <c r="AU149" s="61"/>
      <c r="AV149" s="39"/>
      <c r="AW149" s="44">
        <f>IFERROR(VLOOKUP(AQ149,'[1]Harga &amp; Nama CSO'!$A$116:$L$136,2,FALSE),0)*AV149</f>
        <v>0</v>
      </c>
      <c r="AX149" s="44">
        <f>IFERROR(VLOOKUP(AQ149,'[1]Harga &amp; Nama CSO'!$A$116:$L$136,3,FALSE),0)*AV149</f>
        <v>0</v>
      </c>
      <c r="AY149" s="44">
        <f>IFERROR(VLOOKUP(AQ149,'[1]Harga &amp; Nama CSO'!$A$116:$L$136,4,FALSE),0)*AV149</f>
        <v>0</v>
      </c>
      <c r="AZ149" s="44">
        <f>IFERROR(VLOOKUP(AQ149,'[1]Harga &amp; Nama CSO'!$A$116:$L$136,5,FALSE),0)*AV149</f>
        <v>0</v>
      </c>
      <c r="BA149" s="44">
        <f>IFERROR(VLOOKUP(AQ149,'[1]Harga &amp; Nama CSO'!$A$116:$L$136,6,FALSE),0)*AV149</f>
        <v>0</v>
      </c>
      <c r="BB149" s="44">
        <f>IFERROR(VLOOKUP(AQ149,'[1]Harga &amp; Nama CSO'!$A$116:$L$136,7,FALSE),0)*AV149</f>
        <v>0</v>
      </c>
      <c r="BC149" s="44">
        <f>IFERROR(VLOOKUP(AQ149,'[1]Harga &amp; Nama CSO'!$A$116:$L$136,8,FALSE),0)*AV149</f>
        <v>0</v>
      </c>
      <c r="BD149" s="44">
        <f>IFERROR(VLOOKUP(AQ149,'[1]Harga &amp; Nama CSO'!$A$116:$L$136,9,FALSE),0)*AV149</f>
        <v>0</v>
      </c>
      <c r="BE149" s="44">
        <f>IFERROR(VLOOKUP(AQ149,'[1]Harga &amp; Nama CSO'!$A$116:$L$136,10,FALSE),0)*AV149</f>
        <v>0</v>
      </c>
      <c r="BF149" s="44">
        <f>IFERROR(VLOOKUP(AQ149,'[1]Harga &amp; Nama CSO'!$A$116:$L$136,11,FALSE),0)*AV149</f>
        <v>0</v>
      </c>
      <c r="BG149" s="44">
        <f>IFERROR(VLOOKUP(AQ149,'[1]Harga &amp; Nama CSO'!$A$116:$L$136,12,FALSE),0)*AV149</f>
        <v>0</v>
      </c>
      <c r="BH149" s="44">
        <f>IFERROR(VLOOKUP(AQ149,'[1]Harga &amp; Nama CSO'!$A$116:$R$136,13,FALSE),0)*AV149</f>
        <v>0</v>
      </c>
      <c r="BI149" s="44">
        <f>IFERROR(VLOOKUP(AQ149,'[1]Harga &amp; Nama CSO'!$A$116:$R$136,14,FALSE),0)*AV149</f>
        <v>0</v>
      </c>
      <c r="BJ149" s="44">
        <f>IFERROR(VLOOKUP(AQ149,'[1]Harga &amp; Nama CSO'!$A$116:$R$136,15,FALSE),0)*AV149</f>
        <v>0</v>
      </c>
      <c r="BK149" s="44">
        <f>IFERROR(VLOOKUP(AQ149,'[1]Harga &amp; Nama CSO'!$A$116:$R$136,16,FALSE),0)*AV149</f>
        <v>0</v>
      </c>
      <c r="BL149" s="44">
        <f>IFERROR(VLOOKUP(AQ149,'[1]Harga &amp; Nama CSO'!$A$116:$R$136,17,FALSE),0)*AV149</f>
        <v>0</v>
      </c>
      <c r="BM149" s="44">
        <f>IFERROR(VLOOKUP(AQ149,'[1]Harga &amp; Nama CSO'!$A$116:$R$136,18,FALSE),0)*AV149</f>
        <v>0</v>
      </c>
      <c r="BN149" s="55" t="e">
        <f>IFERROR(VLOOKUP(AQ149,'[1]Harga &amp; Nama CSO'!$H$2:$N$22,2,FALSE),"")*AV149</f>
        <v>#VALUE!</v>
      </c>
      <c r="BO149" s="40"/>
      <c r="BP149" s="39"/>
      <c r="BQ149" s="59"/>
      <c r="BR149" s="39"/>
      <c r="BS149" s="57" t="e">
        <f t="shared" si="23"/>
        <v>#VALUE!</v>
      </c>
      <c r="BT149" s="60"/>
      <c r="BU149" s="8">
        <v>0</v>
      </c>
      <c r="BV149" s="58" t="e">
        <f>VLOOKUP(AQ149,'[1]Harga &amp; Nama CSO'!$A$28:$D$31,4,0)*BP149</f>
        <v>#N/A</v>
      </c>
    </row>
    <row r="150" spans="41:74" x14ac:dyDescent="0.35">
      <c r="AO150" s="39">
        <v>148</v>
      </c>
      <c r="AP150" s="60"/>
      <c r="AQ150" s="41"/>
      <c r="AR150" s="42" t="str">
        <f>IFERROR(VLOOKUP(AU150,[1]SUMMARY!$A$3:$B$7,2,FALSE),"")</f>
        <v/>
      </c>
      <c r="AS150" s="42"/>
      <c r="AT150" s="31" t="e">
        <f>VLOOKUP(AS150,[1]OUTLET!$B:$C,2,0)</f>
        <v>#N/A</v>
      </c>
      <c r="AU150" s="42"/>
      <c r="AV150" s="39"/>
      <c r="AW150" s="44">
        <f>IFERROR(VLOOKUP(AQ150,'[1]Harga &amp; Nama CSO'!$A$116:$L$136,2,FALSE),0)*AV150</f>
        <v>0</v>
      </c>
      <c r="AX150" s="44">
        <f>IFERROR(VLOOKUP(AQ150,'[1]Harga &amp; Nama CSO'!$A$116:$L$136,3,FALSE),0)*AV150</f>
        <v>0</v>
      </c>
      <c r="AY150" s="44">
        <f>IFERROR(VLOOKUP(AQ150,'[1]Harga &amp; Nama CSO'!$A$116:$L$136,4,FALSE),0)*AV150</f>
        <v>0</v>
      </c>
      <c r="AZ150" s="44">
        <f>IFERROR(VLOOKUP(AQ150,'[1]Harga &amp; Nama CSO'!$A$116:$L$136,5,FALSE),0)*AV150</f>
        <v>0</v>
      </c>
      <c r="BA150" s="44">
        <f>IFERROR(VLOOKUP(AQ150,'[1]Harga &amp; Nama CSO'!$A$116:$L$136,6,FALSE),0)*AV150</f>
        <v>0</v>
      </c>
      <c r="BB150" s="44">
        <f>IFERROR(VLOOKUP(AQ150,'[1]Harga &amp; Nama CSO'!$A$116:$L$136,7,FALSE),0)*AV150</f>
        <v>0</v>
      </c>
      <c r="BC150" s="44">
        <f>IFERROR(VLOOKUP(AQ150,'[1]Harga &amp; Nama CSO'!$A$116:$L$136,8,FALSE),0)*AV150</f>
        <v>0</v>
      </c>
      <c r="BD150" s="44">
        <f>IFERROR(VLOOKUP(AQ150,'[1]Harga &amp; Nama CSO'!$A$116:$L$136,9,FALSE),0)*AV150</f>
        <v>0</v>
      </c>
      <c r="BE150" s="44">
        <f>IFERROR(VLOOKUP(AQ150,'[1]Harga &amp; Nama CSO'!$A$116:$L$136,10,FALSE),0)*AV150</f>
        <v>0</v>
      </c>
      <c r="BF150" s="44">
        <f>IFERROR(VLOOKUP(AQ150,'[1]Harga &amp; Nama CSO'!$A$116:$L$136,11,FALSE),0)*AV150</f>
        <v>0</v>
      </c>
      <c r="BG150" s="44">
        <f>IFERROR(VLOOKUP(AQ150,'[1]Harga &amp; Nama CSO'!$A$116:$L$136,12,FALSE),0)*AV150</f>
        <v>0</v>
      </c>
      <c r="BH150" s="44">
        <f>IFERROR(VLOOKUP(AQ150,'[1]Harga &amp; Nama CSO'!$A$116:$R$136,13,FALSE),0)*AV150</f>
        <v>0</v>
      </c>
      <c r="BI150" s="44">
        <f>IFERROR(VLOOKUP(AQ150,'[1]Harga &amp; Nama CSO'!$A$116:$R$136,14,FALSE),0)*AV150</f>
        <v>0</v>
      </c>
      <c r="BJ150" s="44">
        <f>IFERROR(VLOOKUP(AQ150,'[1]Harga &amp; Nama CSO'!$A$116:$R$136,15,FALSE),0)*AV150</f>
        <v>0</v>
      </c>
      <c r="BK150" s="44">
        <f>IFERROR(VLOOKUP(AQ150,'[1]Harga &amp; Nama CSO'!$A$116:$R$136,16,FALSE),0)*AV150</f>
        <v>0</v>
      </c>
      <c r="BL150" s="44">
        <f>IFERROR(VLOOKUP(AQ150,'[1]Harga &amp; Nama CSO'!$A$116:$R$136,17,FALSE),0)*AV150</f>
        <v>0</v>
      </c>
      <c r="BM150" s="44">
        <f>IFERROR(VLOOKUP(AQ150,'[1]Harga &amp; Nama CSO'!$A$116:$R$136,18,FALSE),0)*AV150</f>
        <v>0</v>
      </c>
      <c r="BN150" s="55" t="e">
        <f>IFERROR(VLOOKUP(AQ150,'[1]Harga &amp; Nama CSO'!$H$2:$N$22,2,FALSE),"")*AV150</f>
        <v>#VALUE!</v>
      </c>
      <c r="BO150" s="40"/>
      <c r="BP150" s="39"/>
      <c r="BQ150" s="59"/>
      <c r="BR150" s="39"/>
      <c r="BS150" s="57" t="e">
        <f t="shared" si="23"/>
        <v>#VALUE!</v>
      </c>
      <c r="BT150" s="60"/>
      <c r="BU150" s="8">
        <v>0</v>
      </c>
      <c r="BV150" s="58" t="e">
        <f>VLOOKUP(AQ150,'[1]Harga &amp; Nama CSO'!$A$28:$D$31,4,0)*BP150</f>
        <v>#N/A</v>
      </c>
    </row>
    <row r="151" spans="41:74" x14ac:dyDescent="0.35">
      <c r="AO151" s="39">
        <v>149</v>
      </c>
      <c r="AP151" s="60"/>
      <c r="AQ151" s="41"/>
      <c r="AR151" s="42" t="str">
        <f>IFERROR(VLOOKUP(AU151,[1]SUMMARY!$A$3:$B$7,2,FALSE),"")</f>
        <v/>
      </c>
      <c r="AS151" s="31"/>
      <c r="AT151" s="31" t="e">
        <f>VLOOKUP(AS151,[1]OUTLET!$B:$C,2,0)</f>
        <v>#N/A</v>
      </c>
      <c r="AU151" s="31"/>
      <c r="AV151" s="39"/>
      <c r="AW151" s="44">
        <f>IFERROR(VLOOKUP(AQ151,'[1]Harga &amp; Nama CSO'!$A$116:$L$136,2,FALSE),0)*AV151</f>
        <v>0</v>
      </c>
      <c r="AX151" s="44">
        <f>IFERROR(VLOOKUP(AQ151,'[1]Harga &amp; Nama CSO'!$A$116:$L$136,3,FALSE),0)*AV151</f>
        <v>0</v>
      </c>
      <c r="AY151" s="44">
        <f>IFERROR(VLOOKUP(AQ151,'[1]Harga &amp; Nama CSO'!$A$116:$L$136,4,FALSE),0)*AV151</f>
        <v>0</v>
      </c>
      <c r="AZ151" s="44">
        <f>IFERROR(VLOOKUP(AQ151,'[1]Harga &amp; Nama CSO'!$A$116:$L$136,5,FALSE),0)*AV151</f>
        <v>0</v>
      </c>
      <c r="BA151" s="44">
        <f>IFERROR(VLOOKUP(AQ151,'[1]Harga &amp; Nama CSO'!$A$116:$L$136,6,FALSE),0)*AV151</f>
        <v>0</v>
      </c>
      <c r="BB151" s="44">
        <f>IFERROR(VLOOKUP(AQ151,'[1]Harga &amp; Nama CSO'!$A$116:$L$136,7,FALSE),0)*AV151</f>
        <v>0</v>
      </c>
      <c r="BC151" s="44">
        <f>IFERROR(VLOOKUP(AQ151,'[1]Harga &amp; Nama CSO'!$A$116:$L$136,8,FALSE),0)*AV151</f>
        <v>0</v>
      </c>
      <c r="BD151" s="44">
        <f>IFERROR(VLOOKUP(AQ151,'[1]Harga &amp; Nama CSO'!$A$116:$L$136,9,FALSE),0)*AV151</f>
        <v>0</v>
      </c>
      <c r="BE151" s="44">
        <f>IFERROR(VLOOKUP(AQ151,'[1]Harga &amp; Nama CSO'!$A$116:$L$136,10,FALSE),0)*AV151</f>
        <v>0</v>
      </c>
      <c r="BF151" s="44">
        <f>IFERROR(VLOOKUP(AQ151,'[1]Harga &amp; Nama CSO'!$A$116:$L$136,11,FALSE),0)*AV151</f>
        <v>0</v>
      </c>
      <c r="BG151" s="44">
        <f>IFERROR(VLOOKUP(AQ151,'[1]Harga &amp; Nama CSO'!$A$116:$L$136,12,FALSE),0)*AV151</f>
        <v>0</v>
      </c>
      <c r="BH151" s="44">
        <f>IFERROR(VLOOKUP(AQ151,'[1]Harga &amp; Nama CSO'!$A$116:$R$136,13,FALSE),0)*AV151</f>
        <v>0</v>
      </c>
      <c r="BI151" s="44">
        <f>IFERROR(VLOOKUP(AQ151,'[1]Harga &amp; Nama CSO'!$A$116:$R$136,14,FALSE),0)*AV151</f>
        <v>0</v>
      </c>
      <c r="BJ151" s="44">
        <f>IFERROR(VLOOKUP(AQ151,'[1]Harga &amp; Nama CSO'!$A$116:$R$136,15,FALSE),0)*AV151</f>
        <v>0</v>
      </c>
      <c r="BK151" s="44">
        <f>IFERROR(VLOOKUP(AQ151,'[1]Harga &amp; Nama CSO'!$A$116:$R$136,16,FALSE),0)*AV151</f>
        <v>0</v>
      </c>
      <c r="BL151" s="44">
        <f>IFERROR(VLOOKUP(AQ151,'[1]Harga &amp; Nama CSO'!$A$116:$R$136,17,FALSE),0)*AV151</f>
        <v>0</v>
      </c>
      <c r="BM151" s="44">
        <f>IFERROR(VLOOKUP(AQ151,'[1]Harga &amp; Nama CSO'!$A$116:$R$136,18,FALSE),0)*AV151</f>
        <v>0</v>
      </c>
      <c r="BN151" s="55" t="e">
        <f>IFERROR(VLOOKUP(AQ151,'[1]Harga &amp; Nama CSO'!$H$2:$N$22,2,FALSE),"")*AV151</f>
        <v>#VALUE!</v>
      </c>
      <c r="BO151" s="40"/>
      <c r="BP151" s="39"/>
      <c r="BQ151" s="59"/>
      <c r="BR151" s="39"/>
      <c r="BS151" s="57" t="e">
        <f t="shared" si="23"/>
        <v>#VALUE!</v>
      </c>
      <c r="BT151" s="60"/>
      <c r="BU151" s="8">
        <v>0</v>
      </c>
      <c r="BV151" s="58" t="e">
        <f>VLOOKUP(AQ151,'[1]Harga &amp; Nama CSO'!$A$28:$D$31,4,0)*BP151</f>
        <v>#N/A</v>
      </c>
    </row>
    <row r="152" spans="41:74" x14ac:dyDescent="0.35">
      <c r="AO152" s="39">
        <v>150</v>
      </c>
      <c r="AP152" s="60"/>
      <c r="AQ152" s="41"/>
      <c r="AR152" s="42" t="str">
        <f>IFERROR(VLOOKUP(AU152,[1]SUMMARY!$A$3:$B$7,2,FALSE),"")</f>
        <v/>
      </c>
      <c r="AS152" s="42"/>
      <c r="AT152" s="31" t="e">
        <f>VLOOKUP(AS152,[1]OUTLET!$B:$C,2,0)</f>
        <v>#N/A</v>
      </c>
      <c r="AU152" s="42"/>
      <c r="AV152" s="39"/>
      <c r="AW152" s="44">
        <f>IFERROR(VLOOKUP(AQ152,'[1]Harga &amp; Nama CSO'!$A$116:$L$136,2,FALSE),0)*AV152</f>
        <v>0</v>
      </c>
      <c r="AX152" s="44">
        <f>IFERROR(VLOOKUP(AQ152,'[1]Harga &amp; Nama CSO'!$A$116:$L$136,3,FALSE),0)*AV152</f>
        <v>0</v>
      </c>
      <c r="AY152" s="44">
        <f>IFERROR(VLOOKUP(AQ152,'[1]Harga &amp; Nama CSO'!$A$116:$L$136,4,FALSE),0)*AV152</f>
        <v>0</v>
      </c>
      <c r="AZ152" s="44">
        <f>IFERROR(VLOOKUP(AQ152,'[1]Harga &amp; Nama CSO'!$A$116:$L$136,5,FALSE),0)*AV152</f>
        <v>0</v>
      </c>
      <c r="BA152" s="44">
        <f>IFERROR(VLOOKUP(AQ152,'[1]Harga &amp; Nama CSO'!$A$116:$L$136,6,FALSE),0)*AV152</f>
        <v>0</v>
      </c>
      <c r="BB152" s="44">
        <f>IFERROR(VLOOKUP(AQ152,'[1]Harga &amp; Nama CSO'!$A$116:$L$136,7,FALSE),0)*AV152</f>
        <v>0</v>
      </c>
      <c r="BC152" s="44">
        <f>IFERROR(VLOOKUP(AQ152,'[1]Harga &amp; Nama CSO'!$A$116:$L$136,8,FALSE),0)*AV152</f>
        <v>0</v>
      </c>
      <c r="BD152" s="44">
        <f>IFERROR(VLOOKUP(AQ152,'[1]Harga &amp; Nama CSO'!$A$116:$L$136,9,FALSE),0)*AV152</f>
        <v>0</v>
      </c>
      <c r="BE152" s="44">
        <f>IFERROR(VLOOKUP(AQ152,'[1]Harga &amp; Nama CSO'!$A$116:$L$136,10,FALSE),0)*AV152</f>
        <v>0</v>
      </c>
      <c r="BF152" s="44">
        <f>IFERROR(VLOOKUP(AQ152,'[1]Harga &amp; Nama CSO'!$A$116:$L$136,11,FALSE),0)*AV152</f>
        <v>0</v>
      </c>
      <c r="BG152" s="44">
        <f>IFERROR(VLOOKUP(AQ152,'[1]Harga &amp; Nama CSO'!$A$116:$L$136,12,FALSE),0)*AV152</f>
        <v>0</v>
      </c>
      <c r="BH152" s="44">
        <f>IFERROR(VLOOKUP(AQ152,'[1]Harga &amp; Nama CSO'!$A$116:$R$136,13,FALSE),0)*AV152</f>
        <v>0</v>
      </c>
      <c r="BI152" s="44">
        <f>IFERROR(VLOOKUP(AQ152,'[1]Harga &amp; Nama CSO'!$A$116:$R$136,14,FALSE),0)*AV152</f>
        <v>0</v>
      </c>
      <c r="BJ152" s="44">
        <f>IFERROR(VLOOKUP(AQ152,'[1]Harga &amp; Nama CSO'!$A$116:$R$136,15,FALSE),0)*AV152</f>
        <v>0</v>
      </c>
      <c r="BK152" s="44">
        <f>IFERROR(VLOOKUP(AQ152,'[1]Harga &amp; Nama CSO'!$A$116:$R$136,16,FALSE),0)*AV152</f>
        <v>0</v>
      </c>
      <c r="BL152" s="44">
        <f>IFERROR(VLOOKUP(AQ152,'[1]Harga &amp; Nama CSO'!$A$116:$R$136,17,FALSE),0)*AV152</f>
        <v>0</v>
      </c>
      <c r="BM152" s="44">
        <f>IFERROR(VLOOKUP(AQ152,'[1]Harga &amp; Nama CSO'!$A$116:$R$136,18,FALSE),0)*AV152</f>
        <v>0</v>
      </c>
      <c r="BN152" s="55" t="e">
        <f>IFERROR(VLOOKUP(AQ152,'[1]Harga &amp; Nama CSO'!$H$2:$N$22,2,FALSE),"")*AV152</f>
        <v>#VALUE!</v>
      </c>
      <c r="BO152" s="40"/>
      <c r="BP152" s="39"/>
      <c r="BQ152" s="59"/>
      <c r="BR152" s="39"/>
      <c r="BS152" s="57" t="e">
        <f t="shared" si="23"/>
        <v>#VALUE!</v>
      </c>
      <c r="BT152" s="60"/>
      <c r="BU152" s="8">
        <v>0</v>
      </c>
      <c r="BV152" s="58" t="e">
        <f>VLOOKUP(AQ152,'[1]Harga &amp; Nama CSO'!$A$28:$D$31,4,0)*BP152</f>
        <v>#N/A</v>
      </c>
    </row>
    <row r="153" spans="41:74" x14ac:dyDescent="0.35">
      <c r="AO153" s="39">
        <v>151</v>
      </c>
      <c r="AP153" s="60"/>
      <c r="AQ153" s="41"/>
      <c r="AR153" s="42" t="str">
        <f>IFERROR(VLOOKUP(AU153,[1]SUMMARY!$A$3:$B$7,2,FALSE),"")</f>
        <v/>
      </c>
      <c r="AS153" s="42"/>
      <c r="AT153" s="31" t="e">
        <f>VLOOKUP(AS153,[1]OUTLET!$B:$C,2,0)</f>
        <v>#N/A</v>
      </c>
      <c r="AU153" s="42"/>
      <c r="AV153" s="39"/>
      <c r="AW153" s="44">
        <f>IFERROR(VLOOKUP(AQ153,'[1]Harga &amp; Nama CSO'!$A$116:$L$136,2,FALSE),0)*AV153</f>
        <v>0</v>
      </c>
      <c r="AX153" s="44">
        <f>IFERROR(VLOOKUP(AQ153,'[1]Harga &amp; Nama CSO'!$A$116:$L$136,3,FALSE),0)*AV153</f>
        <v>0</v>
      </c>
      <c r="AY153" s="44">
        <f>IFERROR(VLOOKUP(AQ153,'[1]Harga &amp; Nama CSO'!$A$116:$L$136,4,FALSE),0)*AV153</f>
        <v>0</v>
      </c>
      <c r="AZ153" s="44">
        <f>IFERROR(VLOOKUP(AQ153,'[1]Harga &amp; Nama CSO'!$A$116:$L$136,5,FALSE),0)*AV153</f>
        <v>0</v>
      </c>
      <c r="BA153" s="44">
        <f>IFERROR(VLOOKUP(AQ153,'[1]Harga &amp; Nama CSO'!$A$116:$L$136,6,FALSE),0)*AV153</f>
        <v>0</v>
      </c>
      <c r="BB153" s="44">
        <f>IFERROR(VLOOKUP(AQ153,'[1]Harga &amp; Nama CSO'!$A$116:$L$136,7,FALSE),0)*AV153</f>
        <v>0</v>
      </c>
      <c r="BC153" s="44">
        <f>IFERROR(VLOOKUP(AQ153,'[1]Harga &amp; Nama CSO'!$A$116:$L$136,8,FALSE),0)*AV153</f>
        <v>0</v>
      </c>
      <c r="BD153" s="44">
        <f>IFERROR(VLOOKUP(AQ153,'[1]Harga &amp; Nama CSO'!$A$116:$L$136,9,FALSE),0)*AV153</f>
        <v>0</v>
      </c>
      <c r="BE153" s="44">
        <f>IFERROR(VLOOKUP(AQ153,'[1]Harga &amp; Nama CSO'!$A$116:$L$136,10,FALSE),0)*AV153</f>
        <v>0</v>
      </c>
      <c r="BF153" s="44">
        <f>IFERROR(VLOOKUP(AQ153,'[1]Harga &amp; Nama CSO'!$A$116:$L$136,11,FALSE),0)*AV153</f>
        <v>0</v>
      </c>
      <c r="BG153" s="44">
        <f>IFERROR(VLOOKUP(AQ153,'[1]Harga &amp; Nama CSO'!$A$116:$L$136,12,FALSE),0)*AV153</f>
        <v>0</v>
      </c>
      <c r="BH153" s="44">
        <f>IFERROR(VLOOKUP(AQ153,'[1]Harga &amp; Nama CSO'!$A$116:$R$136,13,FALSE),0)*AV153</f>
        <v>0</v>
      </c>
      <c r="BI153" s="44">
        <f>IFERROR(VLOOKUP(AQ153,'[1]Harga &amp; Nama CSO'!$A$116:$R$136,14,FALSE),0)*AV153</f>
        <v>0</v>
      </c>
      <c r="BJ153" s="44">
        <f>IFERROR(VLOOKUP(AQ153,'[1]Harga &amp; Nama CSO'!$A$116:$R$136,15,FALSE),0)*AV153</f>
        <v>0</v>
      </c>
      <c r="BK153" s="44">
        <f>IFERROR(VLOOKUP(AQ153,'[1]Harga &amp; Nama CSO'!$A$116:$R$136,16,FALSE),0)*AV153</f>
        <v>0</v>
      </c>
      <c r="BL153" s="44">
        <f>IFERROR(VLOOKUP(AQ153,'[1]Harga &amp; Nama CSO'!$A$116:$R$136,17,FALSE),0)*AV153</f>
        <v>0</v>
      </c>
      <c r="BM153" s="44">
        <f>IFERROR(VLOOKUP(AQ153,'[1]Harga &amp; Nama CSO'!$A$116:$R$136,18,FALSE),0)*AV153</f>
        <v>0</v>
      </c>
      <c r="BN153" s="55" t="e">
        <f>IFERROR(VLOOKUP(AQ153,'[1]Harga &amp; Nama CSO'!$H$2:$N$22,2,FALSE),"")*AV153</f>
        <v>#VALUE!</v>
      </c>
      <c r="BO153" s="40"/>
      <c r="BP153" s="39"/>
      <c r="BQ153" s="59"/>
      <c r="BR153" s="39"/>
      <c r="BS153" s="57" t="e">
        <f t="shared" si="23"/>
        <v>#VALUE!</v>
      </c>
      <c r="BT153" s="60"/>
      <c r="BU153" s="8">
        <v>0</v>
      </c>
      <c r="BV153" s="58" t="e">
        <f>VLOOKUP(AQ153,'[1]Harga &amp; Nama CSO'!$A$28:$D$31,4,0)*BP153</f>
        <v>#N/A</v>
      </c>
    </row>
    <row r="154" spans="41:74" x14ac:dyDescent="0.35">
      <c r="AO154" s="39">
        <v>152</v>
      </c>
      <c r="AP154" s="60"/>
      <c r="AQ154" s="41"/>
      <c r="AR154" s="42" t="str">
        <f>IFERROR(VLOOKUP(AU154,[1]SUMMARY!$A$3:$B$7,2,FALSE),"")</f>
        <v/>
      </c>
      <c r="AS154" s="42"/>
      <c r="AT154" s="31" t="e">
        <f>VLOOKUP(AS154,[1]OUTLET!$B:$C,2,0)</f>
        <v>#N/A</v>
      </c>
      <c r="AU154" s="42"/>
      <c r="AV154" s="39"/>
      <c r="AW154" s="44">
        <f>IFERROR(VLOOKUP(AQ154,'[1]Harga &amp; Nama CSO'!$A$116:$L$136,2,FALSE),0)*AV154</f>
        <v>0</v>
      </c>
      <c r="AX154" s="44">
        <f>IFERROR(VLOOKUP(AQ154,'[1]Harga &amp; Nama CSO'!$A$116:$L$136,3,FALSE),0)*AV154</f>
        <v>0</v>
      </c>
      <c r="AY154" s="44">
        <f>IFERROR(VLOOKUP(AQ154,'[1]Harga &amp; Nama CSO'!$A$116:$L$136,4,FALSE),0)*AV154</f>
        <v>0</v>
      </c>
      <c r="AZ154" s="44">
        <f>IFERROR(VLOOKUP(AQ154,'[1]Harga &amp; Nama CSO'!$A$116:$L$136,5,FALSE),0)*AV154</f>
        <v>0</v>
      </c>
      <c r="BA154" s="44">
        <f>IFERROR(VLOOKUP(AQ154,'[1]Harga &amp; Nama CSO'!$A$116:$L$136,6,FALSE),0)*AV154</f>
        <v>0</v>
      </c>
      <c r="BB154" s="44">
        <f>IFERROR(VLOOKUP(AQ154,'[1]Harga &amp; Nama CSO'!$A$116:$L$136,7,FALSE),0)*AV154</f>
        <v>0</v>
      </c>
      <c r="BC154" s="44">
        <f>IFERROR(VLOOKUP(AQ154,'[1]Harga &amp; Nama CSO'!$A$116:$L$136,8,FALSE),0)*AV154</f>
        <v>0</v>
      </c>
      <c r="BD154" s="44">
        <f>IFERROR(VLOOKUP(AQ154,'[1]Harga &amp; Nama CSO'!$A$116:$L$136,9,FALSE),0)*AV154</f>
        <v>0</v>
      </c>
      <c r="BE154" s="44">
        <f>IFERROR(VLOOKUP(AQ154,'[1]Harga &amp; Nama CSO'!$A$116:$L$136,10,FALSE),0)*AV154</f>
        <v>0</v>
      </c>
      <c r="BF154" s="44">
        <f>IFERROR(VLOOKUP(AQ154,'[1]Harga &amp; Nama CSO'!$A$116:$L$136,11,FALSE),0)*AV154</f>
        <v>0</v>
      </c>
      <c r="BG154" s="44">
        <f>IFERROR(VLOOKUP(AQ154,'[1]Harga &amp; Nama CSO'!$A$116:$L$136,12,FALSE),0)*AV154</f>
        <v>0</v>
      </c>
      <c r="BH154" s="44">
        <f>IFERROR(VLOOKUP(AQ154,'[1]Harga &amp; Nama CSO'!$A$116:$R$136,13,FALSE),0)*AV154</f>
        <v>0</v>
      </c>
      <c r="BI154" s="44">
        <f>IFERROR(VLOOKUP(AQ154,'[1]Harga &amp; Nama CSO'!$A$116:$R$136,14,FALSE),0)*AV154</f>
        <v>0</v>
      </c>
      <c r="BJ154" s="44">
        <f>IFERROR(VLOOKUP(AQ154,'[1]Harga &amp; Nama CSO'!$A$116:$R$136,15,FALSE),0)*AV154</f>
        <v>0</v>
      </c>
      <c r="BK154" s="44">
        <f>IFERROR(VLOOKUP(AQ154,'[1]Harga &amp; Nama CSO'!$A$116:$R$136,16,FALSE),0)*AV154</f>
        <v>0</v>
      </c>
      <c r="BL154" s="44">
        <f>IFERROR(VLOOKUP(AQ154,'[1]Harga &amp; Nama CSO'!$A$116:$R$136,17,FALSE),0)*AV154</f>
        <v>0</v>
      </c>
      <c r="BM154" s="44">
        <f>IFERROR(VLOOKUP(AQ154,'[1]Harga &amp; Nama CSO'!$A$116:$R$136,18,FALSE),0)*AV154</f>
        <v>0</v>
      </c>
      <c r="BN154" s="55" t="e">
        <f>IFERROR(VLOOKUP(AQ154,'[1]Harga &amp; Nama CSO'!$H$2:$N$22,2,FALSE),"")*AV154</f>
        <v>#VALUE!</v>
      </c>
      <c r="BO154" s="40"/>
      <c r="BP154" s="39"/>
      <c r="BQ154" s="59"/>
      <c r="BR154" s="39"/>
      <c r="BS154" s="57" t="e">
        <f t="shared" si="23"/>
        <v>#VALUE!</v>
      </c>
      <c r="BT154" s="60"/>
      <c r="BU154" s="8">
        <v>0</v>
      </c>
      <c r="BV154" s="58" t="e">
        <f>VLOOKUP(AQ154,'[1]Harga &amp; Nama CSO'!$A$28:$D$31,4,0)*BP154</f>
        <v>#N/A</v>
      </c>
    </row>
    <row r="155" spans="41:74" x14ac:dyDescent="0.35">
      <c r="AO155" s="39">
        <v>153</v>
      </c>
      <c r="AP155" s="60"/>
      <c r="AQ155" s="41"/>
      <c r="AR155" s="42" t="str">
        <f>IFERROR(VLOOKUP(AU155,[1]SUMMARY!$A$3:$B$7,2,FALSE),"")</f>
        <v/>
      </c>
      <c r="AS155" s="42"/>
      <c r="AT155" s="31" t="e">
        <f>VLOOKUP(AS155,[1]OUTLET!$B:$C,2,0)</f>
        <v>#N/A</v>
      </c>
      <c r="AU155" s="42"/>
      <c r="AV155" s="39"/>
      <c r="AW155" s="44">
        <f>IFERROR(VLOOKUP(AQ155,'[1]Harga &amp; Nama CSO'!$A$116:$L$136,2,FALSE),0)*AV155</f>
        <v>0</v>
      </c>
      <c r="AX155" s="44">
        <f>IFERROR(VLOOKUP(AQ155,'[1]Harga &amp; Nama CSO'!$A$116:$L$136,3,FALSE),0)*AV155</f>
        <v>0</v>
      </c>
      <c r="AY155" s="44">
        <f>IFERROR(VLOOKUP(AQ155,'[1]Harga &amp; Nama CSO'!$A$116:$L$136,4,FALSE),0)*AV155</f>
        <v>0</v>
      </c>
      <c r="AZ155" s="44">
        <f>IFERROR(VLOOKUP(AQ155,'[1]Harga &amp; Nama CSO'!$A$116:$L$136,5,FALSE),0)*AV155</f>
        <v>0</v>
      </c>
      <c r="BA155" s="44">
        <f>IFERROR(VLOOKUP(AQ155,'[1]Harga &amp; Nama CSO'!$A$116:$L$136,6,FALSE),0)*AV155</f>
        <v>0</v>
      </c>
      <c r="BB155" s="44">
        <f>IFERROR(VLOOKUP(AQ155,'[1]Harga &amp; Nama CSO'!$A$116:$L$136,7,FALSE),0)*AV155</f>
        <v>0</v>
      </c>
      <c r="BC155" s="44">
        <f>IFERROR(VLOOKUP(AQ155,'[1]Harga &amp; Nama CSO'!$A$116:$L$136,8,FALSE),0)*AV155</f>
        <v>0</v>
      </c>
      <c r="BD155" s="44">
        <f>IFERROR(VLOOKUP(AQ155,'[1]Harga &amp; Nama CSO'!$A$116:$L$136,9,FALSE),0)*AV155</f>
        <v>0</v>
      </c>
      <c r="BE155" s="44">
        <f>IFERROR(VLOOKUP(AQ155,'[1]Harga &amp; Nama CSO'!$A$116:$L$136,10,FALSE),0)*AV155</f>
        <v>0</v>
      </c>
      <c r="BF155" s="44">
        <f>IFERROR(VLOOKUP(AQ155,'[1]Harga &amp; Nama CSO'!$A$116:$L$136,11,FALSE),0)*AV155</f>
        <v>0</v>
      </c>
      <c r="BG155" s="44">
        <f>IFERROR(VLOOKUP(AQ155,'[1]Harga &amp; Nama CSO'!$A$116:$L$136,12,FALSE),0)*AV155</f>
        <v>0</v>
      </c>
      <c r="BH155" s="44">
        <f>IFERROR(VLOOKUP(AQ155,'[1]Harga &amp; Nama CSO'!$A$116:$R$136,13,FALSE),0)*AV155</f>
        <v>0</v>
      </c>
      <c r="BI155" s="44">
        <f>IFERROR(VLOOKUP(AQ155,'[1]Harga &amp; Nama CSO'!$A$116:$R$136,14,FALSE),0)*AV155</f>
        <v>0</v>
      </c>
      <c r="BJ155" s="44">
        <f>IFERROR(VLOOKUP(AQ155,'[1]Harga &amp; Nama CSO'!$A$116:$R$136,15,FALSE),0)*AV155</f>
        <v>0</v>
      </c>
      <c r="BK155" s="44">
        <f>IFERROR(VLOOKUP(AQ155,'[1]Harga &amp; Nama CSO'!$A$116:$R$136,16,FALSE),0)*AV155</f>
        <v>0</v>
      </c>
      <c r="BL155" s="44">
        <f>IFERROR(VLOOKUP(AQ155,'[1]Harga &amp; Nama CSO'!$A$116:$R$136,17,FALSE),0)*AV155</f>
        <v>0</v>
      </c>
      <c r="BM155" s="44">
        <f>IFERROR(VLOOKUP(AQ155,'[1]Harga &amp; Nama CSO'!$A$116:$R$136,18,FALSE),0)*AV155</f>
        <v>0</v>
      </c>
      <c r="BN155" s="55" t="e">
        <f>IFERROR(VLOOKUP(AQ155,'[1]Harga &amp; Nama CSO'!$H$2:$N$22,2,FALSE),"")*AV155</f>
        <v>#VALUE!</v>
      </c>
      <c r="BO155" s="40"/>
      <c r="BP155" s="39"/>
      <c r="BQ155" s="59"/>
      <c r="BR155" s="39"/>
      <c r="BS155" s="57" t="e">
        <f t="shared" si="23"/>
        <v>#VALUE!</v>
      </c>
      <c r="BT155" s="60"/>
      <c r="BU155" s="8">
        <v>0</v>
      </c>
      <c r="BV155" s="58" t="e">
        <f>VLOOKUP(AQ155,'[1]Harga &amp; Nama CSO'!$A$28:$D$31,4,0)*BP155</f>
        <v>#N/A</v>
      </c>
    </row>
    <row r="156" spans="41:74" x14ac:dyDescent="0.35">
      <c r="AO156" s="39">
        <v>154</v>
      </c>
      <c r="AP156" s="60"/>
      <c r="AQ156" s="41"/>
      <c r="AR156" s="42" t="str">
        <f>IFERROR(VLOOKUP(AU156,[1]SUMMARY!$A$3:$B$7,2,FALSE),"")</f>
        <v/>
      </c>
      <c r="AS156" s="42"/>
      <c r="AT156" s="31" t="e">
        <f>VLOOKUP(AS156,[1]OUTLET!$B:$C,2,0)</f>
        <v>#N/A</v>
      </c>
      <c r="AU156" s="42"/>
      <c r="AV156" s="39"/>
      <c r="AW156" s="44">
        <f>IFERROR(VLOOKUP(AQ156,'[1]Harga &amp; Nama CSO'!$A$116:$L$136,2,FALSE),0)*AV156</f>
        <v>0</v>
      </c>
      <c r="AX156" s="44">
        <f>IFERROR(VLOOKUP(AQ156,'[1]Harga &amp; Nama CSO'!$A$116:$L$136,3,FALSE),0)*AV156</f>
        <v>0</v>
      </c>
      <c r="AY156" s="44">
        <f>IFERROR(VLOOKUP(AQ156,'[1]Harga &amp; Nama CSO'!$A$116:$L$136,4,FALSE),0)*AV156</f>
        <v>0</v>
      </c>
      <c r="AZ156" s="44">
        <f>IFERROR(VLOOKUP(AQ156,'[1]Harga &amp; Nama CSO'!$A$116:$L$136,5,FALSE),0)*AV156</f>
        <v>0</v>
      </c>
      <c r="BA156" s="44">
        <f>IFERROR(VLOOKUP(AQ156,'[1]Harga &amp; Nama CSO'!$A$116:$L$136,6,FALSE),0)*AV156</f>
        <v>0</v>
      </c>
      <c r="BB156" s="44">
        <f>IFERROR(VLOOKUP(AQ156,'[1]Harga &amp; Nama CSO'!$A$116:$L$136,7,FALSE),0)*AV156</f>
        <v>0</v>
      </c>
      <c r="BC156" s="44">
        <f>IFERROR(VLOOKUP(AQ156,'[1]Harga &amp; Nama CSO'!$A$116:$L$136,8,FALSE),0)*AV156</f>
        <v>0</v>
      </c>
      <c r="BD156" s="44">
        <f>IFERROR(VLOOKUP(AQ156,'[1]Harga &amp; Nama CSO'!$A$116:$L$136,9,FALSE),0)*AV156</f>
        <v>0</v>
      </c>
      <c r="BE156" s="44">
        <f>IFERROR(VLOOKUP(AQ156,'[1]Harga &amp; Nama CSO'!$A$116:$L$136,10,FALSE),0)*AV156</f>
        <v>0</v>
      </c>
      <c r="BF156" s="44">
        <f>IFERROR(VLOOKUP(AQ156,'[1]Harga &amp; Nama CSO'!$A$116:$L$136,11,FALSE),0)*AV156</f>
        <v>0</v>
      </c>
      <c r="BG156" s="44">
        <f>IFERROR(VLOOKUP(AQ156,'[1]Harga &amp; Nama CSO'!$A$116:$L$136,12,FALSE),0)*AV156</f>
        <v>0</v>
      </c>
      <c r="BH156" s="44">
        <f>IFERROR(VLOOKUP(AQ156,'[1]Harga &amp; Nama CSO'!$A$116:$R$136,13,FALSE),0)*AV156</f>
        <v>0</v>
      </c>
      <c r="BI156" s="44">
        <f>IFERROR(VLOOKUP(AQ156,'[1]Harga &amp; Nama CSO'!$A$116:$R$136,14,FALSE),0)*AV156</f>
        <v>0</v>
      </c>
      <c r="BJ156" s="44">
        <f>IFERROR(VLOOKUP(AQ156,'[1]Harga &amp; Nama CSO'!$A$116:$R$136,15,FALSE),0)*AV156</f>
        <v>0</v>
      </c>
      <c r="BK156" s="44">
        <f>IFERROR(VLOOKUP(AQ156,'[1]Harga &amp; Nama CSO'!$A$116:$R$136,16,FALSE),0)*AV156</f>
        <v>0</v>
      </c>
      <c r="BL156" s="44">
        <f>IFERROR(VLOOKUP(AQ156,'[1]Harga &amp; Nama CSO'!$A$116:$R$136,17,FALSE),0)*AV156</f>
        <v>0</v>
      </c>
      <c r="BM156" s="44">
        <f>IFERROR(VLOOKUP(AQ156,'[1]Harga &amp; Nama CSO'!$A$116:$R$136,18,FALSE),0)*AV156</f>
        <v>0</v>
      </c>
      <c r="BN156" s="55" t="e">
        <f>IFERROR(VLOOKUP(AQ156,'[1]Harga &amp; Nama CSO'!$H$2:$N$22,2,FALSE),"")*AV156</f>
        <v>#VALUE!</v>
      </c>
      <c r="BO156" s="40"/>
      <c r="BP156" s="39"/>
      <c r="BQ156" s="59"/>
      <c r="BR156" s="39"/>
      <c r="BS156" s="57" t="e">
        <f t="shared" si="23"/>
        <v>#VALUE!</v>
      </c>
      <c r="BT156" s="60"/>
      <c r="BU156" s="8">
        <v>0</v>
      </c>
      <c r="BV156" s="58" t="e">
        <f>VLOOKUP(AQ156,'[1]Harga &amp; Nama CSO'!$A$28:$D$31,4,0)*BP156</f>
        <v>#N/A</v>
      </c>
    </row>
    <row r="157" spans="41:74" x14ac:dyDescent="0.35">
      <c r="AO157" s="39">
        <v>155</v>
      </c>
      <c r="AP157" s="60"/>
      <c r="AQ157" s="41"/>
      <c r="AR157" s="42" t="str">
        <f>IFERROR(VLOOKUP(AU157,[1]SUMMARY!$A$3:$B$7,2,FALSE),"")</f>
        <v/>
      </c>
      <c r="AS157" s="42"/>
      <c r="AT157" s="31" t="e">
        <f>VLOOKUP(AS157,[1]OUTLET!$B:$C,2,0)</f>
        <v>#N/A</v>
      </c>
      <c r="AU157" s="42"/>
      <c r="AV157" s="39"/>
      <c r="AW157" s="44">
        <f>IFERROR(VLOOKUP(AQ157,'[1]Harga &amp; Nama CSO'!$A$116:$L$136,2,FALSE),0)*AV157</f>
        <v>0</v>
      </c>
      <c r="AX157" s="44">
        <f>IFERROR(VLOOKUP(AQ157,'[1]Harga &amp; Nama CSO'!$A$116:$L$136,3,FALSE),0)*AV157</f>
        <v>0</v>
      </c>
      <c r="AY157" s="44">
        <f>IFERROR(VLOOKUP(AQ157,'[1]Harga &amp; Nama CSO'!$A$116:$L$136,4,FALSE),0)*AV157</f>
        <v>0</v>
      </c>
      <c r="AZ157" s="44">
        <f>IFERROR(VLOOKUP(AQ157,'[1]Harga &amp; Nama CSO'!$A$116:$L$136,5,FALSE),0)*AV157</f>
        <v>0</v>
      </c>
      <c r="BA157" s="44">
        <f>IFERROR(VLOOKUP(AQ157,'[1]Harga &amp; Nama CSO'!$A$116:$L$136,6,FALSE),0)*AV157</f>
        <v>0</v>
      </c>
      <c r="BB157" s="44">
        <f>IFERROR(VLOOKUP(AQ157,'[1]Harga &amp; Nama CSO'!$A$116:$L$136,7,FALSE),0)*AV157</f>
        <v>0</v>
      </c>
      <c r="BC157" s="44">
        <f>IFERROR(VLOOKUP(AQ157,'[1]Harga &amp; Nama CSO'!$A$116:$L$136,8,FALSE),0)*AV157</f>
        <v>0</v>
      </c>
      <c r="BD157" s="44">
        <f>IFERROR(VLOOKUP(AQ157,'[1]Harga &amp; Nama CSO'!$A$116:$L$136,9,FALSE),0)*AV157</f>
        <v>0</v>
      </c>
      <c r="BE157" s="44">
        <f>IFERROR(VLOOKUP(AQ157,'[1]Harga &amp; Nama CSO'!$A$116:$L$136,10,FALSE),0)*AV157</f>
        <v>0</v>
      </c>
      <c r="BF157" s="44">
        <f>IFERROR(VLOOKUP(AQ157,'[1]Harga &amp; Nama CSO'!$A$116:$L$136,11,FALSE),0)*AV157</f>
        <v>0</v>
      </c>
      <c r="BG157" s="44">
        <f>IFERROR(VLOOKUP(AQ157,'[1]Harga &amp; Nama CSO'!$A$116:$L$136,12,FALSE),0)*AV157</f>
        <v>0</v>
      </c>
      <c r="BH157" s="44">
        <f>IFERROR(VLOOKUP(AQ157,'[1]Harga &amp; Nama CSO'!$A$116:$R$136,13,FALSE),0)*AV157</f>
        <v>0</v>
      </c>
      <c r="BI157" s="44">
        <f>IFERROR(VLOOKUP(AQ157,'[1]Harga &amp; Nama CSO'!$A$116:$R$136,14,FALSE),0)*AV157</f>
        <v>0</v>
      </c>
      <c r="BJ157" s="44">
        <f>IFERROR(VLOOKUP(AQ157,'[1]Harga &amp; Nama CSO'!$A$116:$R$136,15,FALSE),0)*AV157</f>
        <v>0</v>
      </c>
      <c r="BK157" s="44">
        <f>IFERROR(VLOOKUP(AQ157,'[1]Harga &amp; Nama CSO'!$A$116:$R$136,16,FALSE),0)*AV157</f>
        <v>0</v>
      </c>
      <c r="BL157" s="44">
        <f>IFERROR(VLOOKUP(AQ157,'[1]Harga &amp; Nama CSO'!$A$116:$R$136,17,FALSE),0)*AV157</f>
        <v>0</v>
      </c>
      <c r="BM157" s="44">
        <f>IFERROR(VLOOKUP(AQ157,'[1]Harga &amp; Nama CSO'!$A$116:$R$136,18,FALSE),0)*AV157</f>
        <v>0</v>
      </c>
      <c r="BN157" s="55" t="e">
        <f>IFERROR(VLOOKUP(AQ157,'[1]Harga &amp; Nama CSO'!$H$2:$N$22,2,FALSE),"")*AV157</f>
        <v>#VALUE!</v>
      </c>
      <c r="BO157" s="40"/>
      <c r="BP157" s="39"/>
      <c r="BQ157" s="59"/>
      <c r="BR157" s="39"/>
      <c r="BS157" s="57" t="e">
        <f t="shared" si="23"/>
        <v>#VALUE!</v>
      </c>
      <c r="BT157" s="60"/>
      <c r="BU157" s="8">
        <v>0</v>
      </c>
      <c r="BV157" s="58" t="e">
        <f>VLOOKUP(AQ157,'[1]Harga &amp; Nama CSO'!$A$28:$D$31,4,0)*BP157</f>
        <v>#N/A</v>
      </c>
    </row>
    <row r="158" spans="41:74" x14ac:dyDescent="0.35">
      <c r="AO158" s="39">
        <v>156</v>
      </c>
      <c r="AP158" s="60"/>
      <c r="AQ158" s="41"/>
      <c r="AR158" s="42" t="str">
        <f>IFERROR(VLOOKUP(AU158,[1]SUMMARY!$A$3:$B$7,2,FALSE),"")</f>
        <v/>
      </c>
      <c r="AS158" s="42"/>
      <c r="AT158" s="31" t="e">
        <f>VLOOKUP(AS158,[1]OUTLET!$B:$C,2,0)</f>
        <v>#N/A</v>
      </c>
      <c r="AU158" s="42"/>
      <c r="AV158" s="39"/>
      <c r="AW158" s="44">
        <f>IFERROR(VLOOKUP(AQ158,'[1]Harga &amp; Nama CSO'!$A$116:$L$136,2,FALSE),0)*AV158</f>
        <v>0</v>
      </c>
      <c r="AX158" s="44">
        <f>IFERROR(VLOOKUP(AQ158,'[1]Harga &amp; Nama CSO'!$A$116:$L$136,3,FALSE),0)*AV158</f>
        <v>0</v>
      </c>
      <c r="AY158" s="44">
        <f>IFERROR(VLOOKUP(AQ158,'[1]Harga &amp; Nama CSO'!$A$116:$L$136,4,FALSE),0)*AV158</f>
        <v>0</v>
      </c>
      <c r="AZ158" s="44">
        <f>IFERROR(VLOOKUP(AQ158,'[1]Harga &amp; Nama CSO'!$A$116:$L$136,5,FALSE),0)*AV158</f>
        <v>0</v>
      </c>
      <c r="BA158" s="44">
        <f>IFERROR(VLOOKUP(AQ158,'[1]Harga &amp; Nama CSO'!$A$116:$L$136,6,FALSE),0)*AV158</f>
        <v>0</v>
      </c>
      <c r="BB158" s="44">
        <f>IFERROR(VLOOKUP(AQ158,'[1]Harga &amp; Nama CSO'!$A$116:$L$136,7,FALSE),0)*AV158</f>
        <v>0</v>
      </c>
      <c r="BC158" s="44">
        <f>IFERROR(VLOOKUP(AQ158,'[1]Harga &amp; Nama CSO'!$A$116:$L$136,8,FALSE),0)*AV158</f>
        <v>0</v>
      </c>
      <c r="BD158" s="44">
        <f>IFERROR(VLOOKUP(AQ158,'[1]Harga &amp; Nama CSO'!$A$116:$L$136,9,FALSE),0)*AV158</f>
        <v>0</v>
      </c>
      <c r="BE158" s="44">
        <f>IFERROR(VLOOKUP(AQ158,'[1]Harga &amp; Nama CSO'!$A$116:$L$136,10,FALSE),0)*AV158</f>
        <v>0</v>
      </c>
      <c r="BF158" s="44">
        <f>IFERROR(VLOOKUP(AQ158,'[1]Harga &amp; Nama CSO'!$A$116:$L$136,11,FALSE),0)*AV158</f>
        <v>0</v>
      </c>
      <c r="BG158" s="44">
        <f>IFERROR(VLOOKUP(AQ158,'[1]Harga &amp; Nama CSO'!$A$116:$L$136,12,FALSE),0)*AV158</f>
        <v>0</v>
      </c>
      <c r="BH158" s="44">
        <f>IFERROR(VLOOKUP(AQ158,'[1]Harga &amp; Nama CSO'!$A$116:$R$136,13,FALSE),0)*AV158</f>
        <v>0</v>
      </c>
      <c r="BI158" s="44">
        <f>IFERROR(VLOOKUP(AQ158,'[1]Harga &amp; Nama CSO'!$A$116:$R$136,14,FALSE),0)*AV158</f>
        <v>0</v>
      </c>
      <c r="BJ158" s="44">
        <f>IFERROR(VLOOKUP(AQ158,'[1]Harga &amp; Nama CSO'!$A$116:$R$136,15,FALSE),0)*AV158</f>
        <v>0</v>
      </c>
      <c r="BK158" s="44">
        <f>IFERROR(VLOOKUP(AQ158,'[1]Harga &amp; Nama CSO'!$A$116:$R$136,16,FALSE),0)*AV158</f>
        <v>0</v>
      </c>
      <c r="BL158" s="44">
        <f>IFERROR(VLOOKUP(AQ158,'[1]Harga &amp; Nama CSO'!$A$116:$R$136,17,FALSE),0)*AV158</f>
        <v>0</v>
      </c>
      <c r="BM158" s="44">
        <f>IFERROR(VLOOKUP(AQ158,'[1]Harga &amp; Nama CSO'!$A$116:$R$136,18,FALSE),0)*AV158</f>
        <v>0</v>
      </c>
      <c r="BN158" s="55" t="e">
        <f>IFERROR(VLOOKUP(AQ158,'[1]Harga &amp; Nama CSO'!$H$2:$N$22,2,FALSE),"")*AV158</f>
        <v>#VALUE!</v>
      </c>
      <c r="BO158" s="40"/>
      <c r="BP158" s="39"/>
      <c r="BQ158" s="59"/>
      <c r="BR158" s="39"/>
      <c r="BS158" s="57" t="e">
        <f t="shared" si="23"/>
        <v>#VALUE!</v>
      </c>
      <c r="BT158" s="60"/>
      <c r="BU158" s="8">
        <v>0</v>
      </c>
      <c r="BV158" s="58" t="e">
        <f>VLOOKUP(AQ158,'[1]Harga &amp; Nama CSO'!$A$28:$D$31,4,0)*BP158</f>
        <v>#N/A</v>
      </c>
    </row>
    <row r="159" spans="41:74" x14ac:dyDescent="0.35">
      <c r="AO159" s="39">
        <v>157</v>
      </c>
      <c r="AP159" s="60"/>
      <c r="AQ159" s="41"/>
      <c r="AR159" s="42" t="str">
        <f>IFERROR(VLOOKUP(AU159,[1]SUMMARY!$A$3:$B$7,2,FALSE),"")</f>
        <v/>
      </c>
      <c r="AS159" s="42"/>
      <c r="AT159" s="31" t="e">
        <f>VLOOKUP(AS159,[1]OUTLET!$B:$C,2,0)</f>
        <v>#N/A</v>
      </c>
      <c r="AU159" s="42"/>
      <c r="AV159" s="39"/>
      <c r="AW159" s="44">
        <f>IFERROR(VLOOKUP(AQ159,'[1]Harga &amp; Nama CSO'!$A$116:$L$136,2,FALSE),0)*AV159</f>
        <v>0</v>
      </c>
      <c r="AX159" s="44">
        <f>IFERROR(VLOOKUP(AQ159,'[1]Harga &amp; Nama CSO'!$A$116:$L$136,3,FALSE),0)*AV159</f>
        <v>0</v>
      </c>
      <c r="AY159" s="44">
        <f>IFERROR(VLOOKUP(AQ159,'[1]Harga &amp; Nama CSO'!$A$116:$L$136,4,FALSE),0)*AV159</f>
        <v>0</v>
      </c>
      <c r="AZ159" s="44">
        <f>IFERROR(VLOOKUP(AQ159,'[1]Harga &amp; Nama CSO'!$A$116:$L$136,5,FALSE),0)*AV159</f>
        <v>0</v>
      </c>
      <c r="BA159" s="44">
        <f>IFERROR(VLOOKUP(AQ159,'[1]Harga &amp; Nama CSO'!$A$116:$L$136,6,FALSE),0)*AV159</f>
        <v>0</v>
      </c>
      <c r="BB159" s="44">
        <f>IFERROR(VLOOKUP(AQ159,'[1]Harga &amp; Nama CSO'!$A$116:$L$136,7,FALSE),0)*AV159</f>
        <v>0</v>
      </c>
      <c r="BC159" s="44">
        <f>IFERROR(VLOOKUP(AQ159,'[1]Harga &amp; Nama CSO'!$A$116:$L$136,8,FALSE),0)*AV159</f>
        <v>0</v>
      </c>
      <c r="BD159" s="44">
        <f>IFERROR(VLOOKUP(AQ159,'[1]Harga &amp; Nama CSO'!$A$116:$L$136,9,FALSE),0)*AV159</f>
        <v>0</v>
      </c>
      <c r="BE159" s="44">
        <f>IFERROR(VLOOKUP(AQ159,'[1]Harga &amp; Nama CSO'!$A$116:$L$136,10,FALSE),0)*AV159</f>
        <v>0</v>
      </c>
      <c r="BF159" s="44">
        <f>IFERROR(VLOOKUP(AQ159,'[1]Harga &amp; Nama CSO'!$A$116:$L$136,11,FALSE),0)*AV159</f>
        <v>0</v>
      </c>
      <c r="BG159" s="44">
        <f>IFERROR(VLOOKUP(AQ159,'[1]Harga &amp; Nama CSO'!$A$116:$L$136,12,FALSE),0)*AV159</f>
        <v>0</v>
      </c>
      <c r="BH159" s="44">
        <f>IFERROR(VLOOKUP(AQ159,'[1]Harga &amp; Nama CSO'!$A$116:$R$136,13,FALSE),0)*AV159</f>
        <v>0</v>
      </c>
      <c r="BI159" s="44">
        <f>IFERROR(VLOOKUP(AQ159,'[1]Harga &amp; Nama CSO'!$A$116:$R$136,14,FALSE),0)*AV159</f>
        <v>0</v>
      </c>
      <c r="BJ159" s="44">
        <f>IFERROR(VLOOKUP(AQ159,'[1]Harga &amp; Nama CSO'!$A$116:$R$136,15,FALSE),0)*AV159</f>
        <v>0</v>
      </c>
      <c r="BK159" s="44">
        <f>IFERROR(VLOOKUP(AQ159,'[1]Harga &amp; Nama CSO'!$A$116:$R$136,16,FALSE),0)*AV159</f>
        <v>0</v>
      </c>
      <c r="BL159" s="44">
        <f>IFERROR(VLOOKUP(AQ159,'[1]Harga &amp; Nama CSO'!$A$116:$R$136,17,FALSE),0)*AV159</f>
        <v>0</v>
      </c>
      <c r="BM159" s="44">
        <f>IFERROR(VLOOKUP(AQ159,'[1]Harga &amp; Nama CSO'!$A$116:$R$136,18,FALSE),0)*AV159</f>
        <v>0</v>
      </c>
      <c r="BN159" s="55" t="e">
        <f>IFERROR(VLOOKUP(AQ159,'[1]Harga &amp; Nama CSO'!$H$2:$N$22,2,FALSE),"")*AV159</f>
        <v>#VALUE!</v>
      </c>
      <c r="BO159" s="40"/>
      <c r="BP159" s="39"/>
      <c r="BQ159" s="59"/>
      <c r="BR159" s="39"/>
      <c r="BS159" s="57" t="e">
        <f t="shared" si="23"/>
        <v>#VALUE!</v>
      </c>
      <c r="BT159" s="60"/>
      <c r="BU159" s="8">
        <v>0</v>
      </c>
      <c r="BV159" s="58" t="e">
        <f>VLOOKUP(AQ159,'[1]Harga &amp; Nama CSO'!$A$28:$D$31,4,0)*BP159</f>
        <v>#N/A</v>
      </c>
    </row>
    <row r="160" spans="41:74" x14ac:dyDescent="0.35">
      <c r="AO160" s="39">
        <v>158</v>
      </c>
      <c r="AP160" s="60"/>
      <c r="AQ160" s="41"/>
      <c r="AR160" s="42" t="str">
        <f>IFERROR(VLOOKUP(AU160,[1]SUMMARY!$A$3:$B$7,2,FALSE),"")</f>
        <v/>
      </c>
      <c r="AS160" s="42"/>
      <c r="AT160" s="31" t="e">
        <f>VLOOKUP(AS160,[1]OUTLET!$B:$C,2,0)</f>
        <v>#N/A</v>
      </c>
      <c r="AU160" s="42"/>
      <c r="AV160" s="39"/>
      <c r="AW160" s="44">
        <f>IFERROR(VLOOKUP(AQ160,'[1]Harga &amp; Nama CSO'!$A$116:$L$136,2,FALSE),0)*AV160</f>
        <v>0</v>
      </c>
      <c r="AX160" s="44">
        <f>IFERROR(VLOOKUP(AQ160,'[1]Harga &amp; Nama CSO'!$A$116:$L$136,3,FALSE),0)*AV160</f>
        <v>0</v>
      </c>
      <c r="AY160" s="44">
        <f>IFERROR(VLOOKUP(AQ160,'[1]Harga &amp; Nama CSO'!$A$116:$L$136,4,FALSE),0)*AV160</f>
        <v>0</v>
      </c>
      <c r="AZ160" s="44">
        <f>IFERROR(VLOOKUP(AQ160,'[1]Harga &amp; Nama CSO'!$A$116:$L$136,5,FALSE),0)*AV160</f>
        <v>0</v>
      </c>
      <c r="BA160" s="44">
        <f>IFERROR(VLOOKUP(AQ160,'[1]Harga &amp; Nama CSO'!$A$116:$L$136,6,FALSE),0)*AV160</f>
        <v>0</v>
      </c>
      <c r="BB160" s="44">
        <f>IFERROR(VLOOKUP(AQ160,'[1]Harga &amp; Nama CSO'!$A$116:$L$136,7,FALSE),0)*AV160</f>
        <v>0</v>
      </c>
      <c r="BC160" s="44">
        <f>IFERROR(VLOOKUP(AQ160,'[1]Harga &amp; Nama CSO'!$A$116:$L$136,8,FALSE),0)*AV160</f>
        <v>0</v>
      </c>
      <c r="BD160" s="44">
        <f>IFERROR(VLOOKUP(AQ160,'[1]Harga &amp; Nama CSO'!$A$116:$L$136,9,FALSE),0)*AV160</f>
        <v>0</v>
      </c>
      <c r="BE160" s="44">
        <f>IFERROR(VLOOKUP(AQ160,'[1]Harga &amp; Nama CSO'!$A$116:$L$136,10,FALSE),0)*AV160</f>
        <v>0</v>
      </c>
      <c r="BF160" s="44">
        <f>IFERROR(VLOOKUP(AQ160,'[1]Harga &amp; Nama CSO'!$A$116:$L$136,11,FALSE),0)*AV160</f>
        <v>0</v>
      </c>
      <c r="BG160" s="44">
        <f>IFERROR(VLOOKUP(AQ160,'[1]Harga &amp; Nama CSO'!$A$116:$L$136,12,FALSE),0)*AV160</f>
        <v>0</v>
      </c>
      <c r="BH160" s="44">
        <f>IFERROR(VLOOKUP(AQ160,'[1]Harga &amp; Nama CSO'!$A$116:$R$136,13,FALSE),0)*AV160</f>
        <v>0</v>
      </c>
      <c r="BI160" s="44">
        <f>IFERROR(VLOOKUP(AQ160,'[1]Harga &amp; Nama CSO'!$A$116:$R$136,14,FALSE),0)*AV160</f>
        <v>0</v>
      </c>
      <c r="BJ160" s="44">
        <f>IFERROR(VLOOKUP(AQ160,'[1]Harga &amp; Nama CSO'!$A$116:$R$136,15,FALSE),0)*AV160</f>
        <v>0</v>
      </c>
      <c r="BK160" s="44">
        <f>IFERROR(VLOOKUP(AQ160,'[1]Harga &amp; Nama CSO'!$A$116:$R$136,16,FALSE),0)*AV160</f>
        <v>0</v>
      </c>
      <c r="BL160" s="44">
        <f>IFERROR(VLOOKUP(AQ160,'[1]Harga &amp; Nama CSO'!$A$116:$R$136,17,FALSE),0)*AV160</f>
        <v>0</v>
      </c>
      <c r="BM160" s="44">
        <f>IFERROR(VLOOKUP(AQ160,'[1]Harga &amp; Nama CSO'!$A$116:$R$136,18,FALSE),0)*AV160</f>
        <v>0</v>
      </c>
      <c r="BN160" s="55" t="e">
        <f>IFERROR(VLOOKUP(AQ160,'[1]Harga &amp; Nama CSO'!$H$2:$N$22,2,FALSE),"")*AV160</f>
        <v>#VALUE!</v>
      </c>
      <c r="BO160" s="40"/>
      <c r="BP160" s="39"/>
      <c r="BQ160" s="59"/>
      <c r="BR160" s="39"/>
      <c r="BS160" s="57" t="e">
        <f t="shared" si="23"/>
        <v>#VALUE!</v>
      </c>
      <c r="BT160" s="60"/>
      <c r="BU160" s="8">
        <v>0</v>
      </c>
      <c r="BV160" s="58" t="e">
        <f>VLOOKUP(AQ160,'[1]Harga &amp; Nama CSO'!$A$28:$D$31,4,0)*BP160</f>
        <v>#N/A</v>
      </c>
    </row>
    <row r="161" spans="41:74" x14ac:dyDescent="0.35">
      <c r="AO161" s="39">
        <v>159</v>
      </c>
      <c r="AP161" s="60"/>
      <c r="AQ161" s="41"/>
      <c r="AR161" s="42" t="str">
        <f>IFERROR(VLOOKUP(AU161,[1]SUMMARY!$A$3:$B$7,2,FALSE),"")</f>
        <v/>
      </c>
      <c r="AS161" s="42"/>
      <c r="AT161" s="31" t="e">
        <f>VLOOKUP(AS161,[1]OUTLET!$B:$C,2,0)</f>
        <v>#N/A</v>
      </c>
      <c r="AU161" s="42"/>
      <c r="AV161" s="39"/>
      <c r="AW161" s="44">
        <f>IFERROR(VLOOKUP(AQ161,'[1]Harga &amp; Nama CSO'!$A$116:$L$136,2,FALSE),0)*AV161</f>
        <v>0</v>
      </c>
      <c r="AX161" s="44">
        <f>IFERROR(VLOOKUP(AQ161,'[1]Harga &amp; Nama CSO'!$A$116:$L$136,3,FALSE),0)*AV161</f>
        <v>0</v>
      </c>
      <c r="AY161" s="44">
        <f>IFERROR(VLOOKUP(AQ161,'[1]Harga &amp; Nama CSO'!$A$116:$L$136,4,FALSE),0)*AV161</f>
        <v>0</v>
      </c>
      <c r="AZ161" s="44">
        <f>IFERROR(VLOOKUP(AQ161,'[1]Harga &amp; Nama CSO'!$A$116:$L$136,5,FALSE),0)*AV161</f>
        <v>0</v>
      </c>
      <c r="BA161" s="44">
        <f>IFERROR(VLOOKUP(AQ161,'[1]Harga &amp; Nama CSO'!$A$116:$L$136,6,FALSE),0)*AV161</f>
        <v>0</v>
      </c>
      <c r="BB161" s="44">
        <f>IFERROR(VLOOKUP(AQ161,'[1]Harga &amp; Nama CSO'!$A$116:$L$136,7,FALSE),0)*AV161</f>
        <v>0</v>
      </c>
      <c r="BC161" s="44">
        <f>IFERROR(VLOOKUP(AQ161,'[1]Harga &amp; Nama CSO'!$A$116:$L$136,8,FALSE),0)*AV161</f>
        <v>0</v>
      </c>
      <c r="BD161" s="44">
        <f>IFERROR(VLOOKUP(AQ161,'[1]Harga &amp; Nama CSO'!$A$116:$L$136,9,FALSE),0)*AV161</f>
        <v>0</v>
      </c>
      <c r="BE161" s="44">
        <f>IFERROR(VLOOKUP(AQ161,'[1]Harga &amp; Nama CSO'!$A$116:$L$136,10,FALSE),0)*AV161</f>
        <v>0</v>
      </c>
      <c r="BF161" s="44">
        <f>IFERROR(VLOOKUP(AQ161,'[1]Harga &amp; Nama CSO'!$A$116:$L$136,11,FALSE),0)*AV161</f>
        <v>0</v>
      </c>
      <c r="BG161" s="44">
        <f>IFERROR(VLOOKUP(AQ161,'[1]Harga &amp; Nama CSO'!$A$116:$L$136,12,FALSE),0)*AV161</f>
        <v>0</v>
      </c>
      <c r="BH161" s="44">
        <f>IFERROR(VLOOKUP(AQ161,'[1]Harga &amp; Nama CSO'!$A$116:$R$136,13,FALSE),0)*AV161</f>
        <v>0</v>
      </c>
      <c r="BI161" s="44">
        <f>IFERROR(VLOOKUP(AQ161,'[1]Harga &amp; Nama CSO'!$A$116:$R$136,14,FALSE),0)*AV161</f>
        <v>0</v>
      </c>
      <c r="BJ161" s="44">
        <f>IFERROR(VLOOKUP(AQ161,'[1]Harga &amp; Nama CSO'!$A$116:$R$136,15,FALSE),0)*AV161</f>
        <v>0</v>
      </c>
      <c r="BK161" s="44">
        <f>IFERROR(VLOOKUP(AQ161,'[1]Harga &amp; Nama CSO'!$A$116:$R$136,16,FALSE),0)*AV161</f>
        <v>0</v>
      </c>
      <c r="BL161" s="44">
        <f>IFERROR(VLOOKUP(AQ161,'[1]Harga &amp; Nama CSO'!$A$116:$R$136,17,FALSE),0)*AV161</f>
        <v>0</v>
      </c>
      <c r="BM161" s="44">
        <f>IFERROR(VLOOKUP(AQ161,'[1]Harga &amp; Nama CSO'!$A$116:$R$136,18,FALSE),0)*AV161</f>
        <v>0</v>
      </c>
      <c r="BN161" s="55" t="e">
        <f>IFERROR(VLOOKUP(AQ161,'[1]Harga &amp; Nama CSO'!$H$2:$N$22,2,FALSE),"")*AV161</f>
        <v>#VALUE!</v>
      </c>
      <c r="BO161" s="40"/>
      <c r="BP161" s="39"/>
      <c r="BQ161" s="59"/>
      <c r="BR161" s="39"/>
      <c r="BS161" s="57" t="e">
        <f t="shared" si="23"/>
        <v>#VALUE!</v>
      </c>
      <c r="BT161" s="60"/>
      <c r="BU161" s="8">
        <v>0</v>
      </c>
      <c r="BV161" s="58" t="e">
        <f>VLOOKUP(AQ161,'[1]Harga &amp; Nama CSO'!$A$28:$D$31,4,0)*BP161</f>
        <v>#N/A</v>
      </c>
    </row>
    <row r="162" spans="41:74" x14ac:dyDescent="0.35">
      <c r="AO162" s="39">
        <v>160</v>
      </c>
      <c r="AP162" s="60"/>
      <c r="AQ162" s="41"/>
      <c r="AR162" s="42" t="str">
        <f>IFERROR(VLOOKUP(AU162,[1]SUMMARY!$A$3:$B$7,2,FALSE),"")</f>
        <v/>
      </c>
      <c r="AS162" s="42"/>
      <c r="AT162" s="31" t="e">
        <f>VLOOKUP(AS162,[1]OUTLET!$B:$C,2,0)</f>
        <v>#N/A</v>
      </c>
      <c r="AU162" s="42"/>
      <c r="AV162" s="39"/>
      <c r="AW162" s="44">
        <f>IFERROR(VLOOKUP(AQ162,'[1]Harga &amp; Nama CSO'!$A$116:$L$136,2,FALSE),0)*AV162</f>
        <v>0</v>
      </c>
      <c r="AX162" s="44">
        <f>IFERROR(VLOOKUP(AQ162,'[1]Harga &amp; Nama CSO'!$A$116:$L$136,3,FALSE),0)*AV162</f>
        <v>0</v>
      </c>
      <c r="AY162" s="44">
        <f>IFERROR(VLOOKUP(AQ162,'[1]Harga &amp; Nama CSO'!$A$116:$L$136,4,FALSE),0)*AV162</f>
        <v>0</v>
      </c>
      <c r="AZ162" s="44">
        <f>IFERROR(VLOOKUP(AQ162,'[1]Harga &amp; Nama CSO'!$A$116:$L$136,5,FALSE),0)*AV162</f>
        <v>0</v>
      </c>
      <c r="BA162" s="44">
        <f>IFERROR(VLOOKUP(AQ162,'[1]Harga &amp; Nama CSO'!$A$116:$L$136,6,FALSE),0)*AV162</f>
        <v>0</v>
      </c>
      <c r="BB162" s="44">
        <f>IFERROR(VLOOKUP(AQ162,'[1]Harga &amp; Nama CSO'!$A$116:$L$136,7,FALSE),0)*AV162</f>
        <v>0</v>
      </c>
      <c r="BC162" s="44">
        <f>IFERROR(VLOOKUP(AQ162,'[1]Harga &amp; Nama CSO'!$A$116:$L$136,8,FALSE),0)*AV162</f>
        <v>0</v>
      </c>
      <c r="BD162" s="44">
        <f>IFERROR(VLOOKUP(AQ162,'[1]Harga &amp; Nama CSO'!$A$116:$L$136,9,FALSE),0)*AV162</f>
        <v>0</v>
      </c>
      <c r="BE162" s="44">
        <f>IFERROR(VLOOKUP(AQ162,'[1]Harga &amp; Nama CSO'!$A$116:$L$136,10,FALSE),0)*AV162</f>
        <v>0</v>
      </c>
      <c r="BF162" s="44">
        <f>IFERROR(VLOOKUP(AQ162,'[1]Harga &amp; Nama CSO'!$A$116:$L$136,11,FALSE),0)*AV162</f>
        <v>0</v>
      </c>
      <c r="BG162" s="44">
        <f>IFERROR(VLOOKUP(AQ162,'[1]Harga &amp; Nama CSO'!$A$116:$L$136,12,FALSE),0)*AV162</f>
        <v>0</v>
      </c>
      <c r="BH162" s="44">
        <f>IFERROR(VLOOKUP(AQ162,'[1]Harga &amp; Nama CSO'!$A$116:$R$136,13,FALSE),0)*AV162</f>
        <v>0</v>
      </c>
      <c r="BI162" s="44">
        <f>IFERROR(VLOOKUP(AQ162,'[1]Harga &amp; Nama CSO'!$A$116:$R$136,14,FALSE),0)*AV162</f>
        <v>0</v>
      </c>
      <c r="BJ162" s="44">
        <f>IFERROR(VLOOKUP(AQ162,'[1]Harga &amp; Nama CSO'!$A$116:$R$136,15,FALSE),0)*AV162</f>
        <v>0</v>
      </c>
      <c r="BK162" s="44">
        <f>IFERROR(VLOOKUP(AQ162,'[1]Harga &amp; Nama CSO'!$A$116:$R$136,16,FALSE),0)*AV162</f>
        <v>0</v>
      </c>
      <c r="BL162" s="44">
        <f>IFERROR(VLOOKUP(AQ162,'[1]Harga &amp; Nama CSO'!$A$116:$R$136,17,FALSE),0)*AV162</f>
        <v>0</v>
      </c>
      <c r="BM162" s="44">
        <f>IFERROR(VLOOKUP(AQ162,'[1]Harga &amp; Nama CSO'!$A$116:$R$136,18,FALSE),0)*AV162</f>
        <v>0</v>
      </c>
      <c r="BN162" s="55" t="e">
        <f>IFERROR(VLOOKUP(AQ162,'[1]Harga &amp; Nama CSO'!$H$2:$N$22,2,FALSE),"")*AV162</f>
        <v>#VALUE!</v>
      </c>
      <c r="BO162" s="40"/>
      <c r="BP162" s="39"/>
      <c r="BQ162" s="59"/>
      <c r="BR162" s="39"/>
      <c r="BS162" s="57" t="e">
        <f t="shared" si="23"/>
        <v>#VALUE!</v>
      </c>
      <c r="BT162" s="60"/>
      <c r="BU162" s="8">
        <v>0</v>
      </c>
      <c r="BV162" s="58" t="e">
        <f>VLOOKUP(AQ162,'[1]Harga &amp; Nama CSO'!$A$28:$D$31,4,0)*BP162</f>
        <v>#N/A</v>
      </c>
    </row>
    <row r="163" spans="41:74" x14ac:dyDescent="0.35">
      <c r="AO163" s="39">
        <v>161</v>
      </c>
      <c r="AP163" s="60"/>
      <c r="AQ163" s="41"/>
      <c r="AR163" s="42" t="str">
        <f>IFERROR(VLOOKUP(AU163,[1]SUMMARY!$A$3:$B$7,2,FALSE),"")</f>
        <v/>
      </c>
      <c r="AS163" s="42"/>
      <c r="AT163" s="31" t="e">
        <f>VLOOKUP(AS163,[1]OUTLET!$B:$C,2,0)</f>
        <v>#N/A</v>
      </c>
      <c r="AU163" s="42"/>
      <c r="AV163" s="39"/>
      <c r="AW163" s="44">
        <f>IFERROR(VLOOKUP(AQ163,'[1]Harga &amp; Nama CSO'!$A$116:$L$136,2,FALSE),0)*AV163</f>
        <v>0</v>
      </c>
      <c r="AX163" s="44">
        <f>IFERROR(VLOOKUP(AQ163,'[1]Harga &amp; Nama CSO'!$A$116:$L$136,3,FALSE),0)*AV163</f>
        <v>0</v>
      </c>
      <c r="AY163" s="44">
        <f>IFERROR(VLOOKUP(AQ163,'[1]Harga &amp; Nama CSO'!$A$116:$L$136,4,FALSE),0)*AV163</f>
        <v>0</v>
      </c>
      <c r="AZ163" s="44">
        <f>IFERROR(VLOOKUP(AQ163,'[1]Harga &amp; Nama CSO'!$A$116:$L$136,5,FALSE),0)*AV163</f>
        <v>0</v>
      </c>
      <c r="BA163" s="44">
        <f>IFERROR(VLOOKUP(AQ163,'[1]Harga &amp; Nama CSO'!$A$116:$L$136,6,FALSE),0)*AV163</f>
        <v>0</v>
      </c>
      <c r="BB163" s="44">
        <f>IFERROR(VLOOKUP(AQ163,'[1]Harga &amp; Nama CSO'!$A$116:$L$136,7,FALSE),0)*AV163</f>
        <v>0</v>
      </c>
      <c r="BC163" s="44">
        <f>IFERROR(VLOOKUP(AQ163,'[1]Harga &amp; Nama CSO'!$A$116:$L$136,8,FALSE),0)*AV163</f>
        <v>0</v>
      </c>
      <c r="BD163" s="44">
        <f>IFERROR(VLOOKUP(AQ163,'[1]Harga &amp; Nama CSO'!$A$116:$L$136,9,FALSE),0)*AV163</f>
        <v>0</v>
      </c>
      <c r="BE163" s="44">
        <f>IFERROR(VLOOKUP(AQ163,'[1]Harga &amp; Nama CSO'!$A$116:$L$136,10,FALSE),0)*AV163</f>
        <v>0</v>
      </c>
      <c r="BF163" s="44">
        <f>IFERROR(VLOOKUP(AQ163,'[1]Harga &amp; Nama CSO'!$A$116:$L$136,11,FALSE),0)*AV163</f>
        <v>0</v>
      </c>
      <c r="BG163" s="44">
        <f>IFERROR(VLOOKUP(AQ163,'[1]Harga &amp; Nama CSO'!$A$116:$L$136,12,FALSE),0)*AV163</f>
        <v>0</v>
      </c>
      <c r="BH163" s="44">
        <f>IFERROR(VLOOKUP(AQ163,'[1]Harga &amp; Nama CSO'!$A$116:$R$136,13,FALSE),0)*AV163</f>
        <v>0</v>
      </c>
      <c r="BI163" s="44">
        <f>IFERROR(VLOOKUP(AQ163,'[1]Harga &amp; Nama CSO'!$A$116:$R$136,14,FALSE),0)*AV163</f>
        <v>0</v>
      </c>
      <c r="BJ163" s="44">
        <f>IFERROR(VLOOKUP(AQ163,'[1]Harga &amp; Nama CSO'!$A$116:$R$136,15,FALSE),0)*AV163</f>
        <v>0</v>
      </c>
      <c r="BK163" s="44">
        <f>IFERROR(VLOOKUP(AQ163,'[1]Harga &amp; Nama CSO'!$A$116:$R$136,16,FALSE),0)*AV163</f>
        <v>0</v>
      </c>
      <c r="BL163" s="44">
        <f>IFERROR(VLOOKUP(AQ163,'[1]Harga &amp; Nama CSO'!$A$116:$R$136,17,FALSE),0)*AV163</f>
        <v>0</v>
      </c>
      <c r="BM163" s="44">
        <f>IFERROR(VLOOKUP(AQ163,'[1]Harga &amp; Nama CSO'!$A$116:$R$136,18,FALSE),0)*AV163</f>
        <v>0</v>
      </c>
      <c r="BN163" s="55" t="e">
        <f>IFERROR(VLOOKUP(AQ163,'[1]Harga &amp; Nama CSO'!$H$2:$N$22,2,FALSE),"")*AV163</f>
        <v>#VALUE!</v>
      </c>
      <c r="BO163" s="40"/>
      <c r="BP163" s="39"/>
      <c r="BQ163" s="59"/>
      <c r="BR163" s="39"/>
      <c r="BS163" s="57" t="e">
        <f t="shared" si="23"/>
        <v>#VALUE!</v>
      </c>
      <c r="BT163" s="60"/>
      <c r="BU163" s="8">
        <v>0</v>
      </c>
      <c r="BV163" s="58" t="e">
        <f>VLOOKUP(AQ163,'[1]Harga &amp; Nama CSO'!$A$28:$D$31,4,0)*BP163</f>
        <v>#N/A</v>
      </c>
    </row>
    <row r="164" spans="41:74" x14ac:dyDescent="0.35">
      <c r="AO164" s="39">
        <v>162</v>
      </c>
      <c r="AP164" s="60"/>
      <c r="AQ164" s="41"/>
      <c r="AR164" s="42" t="str">
        <f>IFERROR(VLOOKUP(AU164,[1]SUMMARY!$A$3:$B$7,2,FALSE),"")</f>
        <v/>
      </c>
      <c r="AS164" s="42"/>
      <c r="AT164" s="31" t="e">
        <f>VLOOKUP(AS164,[1]OUTLET!$B:$C,2,0)</f>
        <v>#N/A</v>
      </c>
      <c r="AU164" s="42"/>
      <c r="AV164" s="39"/>
      <c r="AW164" s="44">
        <f>IFERROR(VLOOKUP(AQ164,'[1]Harga &amp; Nama CSO'!$A$116:$L$136,2,FALSE),0)*AV164</f>
        <v>0</v>
      </c>
      <c r="AX164" s="44">
        <f>IFERROR(VLOOKUP(AQ164,'[1]Harga &amp; Nama CSO'!$A$116:$L$136,3,FALSE),0)*AV164</f>
        <v>0</v>
      </c>
      <c r="AY164" s="44">
        <f>IFERROR(VLOOKUP(AQ164,'[1]Harga &amp; Nama CSO'!$A$116:$L$136,4,FALSE),0)*AV164</f>
        <v>0</v>
      </c>
      <c r="AZ164" s="44">
        <f>IFERROR(VLOOKUP(AQ164,'[1]Harga &amp; Nama CSO'!$A$116:$L$136,5,FALSE),0)*AV164</f>
        <v>0</v>
      </c>
      <c r="BA164" s="44">
        <f>IFERROR(VLOOKUP(AQ164,'[1]Harga &amp; Nama CSO'!$A$116:$L$136,6,FALSE),0)*AV164</f>
        <v>0</v>
      </c>
      <c r="BB164" s="44">
        <f>IFERROR(VLOOKUP(AQ164,'[1]Harga &amp; Nama CSO'!$A$116:$L$136,7,FALSE),0)*AV164</f>
        <v>0</v>
      </c>
      <c r="BC164" s="44">
        <f>IFERROR(VLOOKUP(AQ164,'[1]Harga &amp; Nama CSO'!$A$116:$L$136,8,FALSE),0)*AV164</f>
        <v>0</v>
      </c>
      <c r="BD164" s="44">
        <f>IFERROR(VLOOKUP(AQ164,'[1]Harga &amp; Nama CSO'!$A$116:$L$136,9,FALSE),0)*AV164</f>
        <v>0</v>
      </c>
      <c r="BE164" s="44">
        <f>IFERROR(VLOOKUP(AQ164,'[1]Harga &amp; Nama CSO'!$A$116:$L$136,10,FALSE),0)*AV164</f>
        <v>0</v>
      </c>
      <c r="BF164" s="44">
        <f>IFERROR(VLOOKUP(AQ164,'[1]Harga &amp; Nama CSO'!$A$116:$L$136,11,FALSE),0)*AV164</f>
        <v>0</v>
      </c>
      <c r="BG164" s="44">
        <f>IFERROR(VLOOKUP(AQ164,'[1]Harga &amp; Nama CSO'!$A$116:$L$136,12,FALSE),0)*AV164</f>
        <v>0</v>
      </c>
      <c r="BH164" s="44">
        <f>IFERROR(VLOOKUP(AQ164,'[1]Harga &amp; Nama CSO'!$A$116:$R$136,13,FALSE),0)*AV164</f>
        <v>0</v>
      </c>
      <c r="BI164" s="44">
        <f>IFERROR(VLOOKUP(AQ164,'[1]Harga &amp; Nama CSO'!$A$116:$R$136,14,FALSE),0)*AV164</f>
        <v>0</v>
      </c>
      <c r="BJ164" s="44">
        <f>IFERROR(VLOOKUP(AQ164,'[1]Harga &amp; Nama CSO'!$A$116:$R$136,15,FALSE),0)*AV164</f>
        <v>0</v>
      </c>
      <c r="BK164" s="44">
        <f>IFERROR(VLOOKUP(AQ164,'[1]Harga &amp; Nama CSO'!$A$116:$R$136,16,FALSE),0)*AV164</f>
        <v>0</v>
      </c>
      <c r="BL164" s="44">
        <f>IFERROR(VLOOKUP(AQ164,'[1]Harga &amp; Nama CSO'!$A$116:$R$136,17,FALSE),0)*AV164</f>
        <v>0</v>
      </c>
      <c r="BM164" s="44">
        <f>IFERROR(VLOOKUP(AQ164,'[1]Harga &amp; Nama CSO'!$A$116:$R$136,18,FALSE),0)*AV164</f>
        <v>0</v>
      </c>
      <c r="BN164" s="55" t="e">
        <f>IFERROR(VLOOKUP(AQ164,'[1]Harga &amp; Nama CSO'!$H$2:$N$22,2,FALSE),"")*AV164</f>
        <v>#VALUE!</v>
      </c>
      <c r="BO164" s="40"/>
      <c r="BP164" s="39"/>
      <c r="BQ164" s="59"/>
      <c r="BR164" s="39"/>
      <c r="BS164" s="57" t="e">
        <f t="shared" si="23"/>
        <v>#VALUE!</v>
      </c>
      <c r="BT164" s="60"/>
      <c r="BU164" s="8">
        <v>0</v>
      </c>
      <c r="BV164" s="58" t="e">
        <f>VLOOKUP(AQ164,'[1]Harga &amp; Nama CSO'!$A$28:$D$31,4,0)*BP164</f>
        <v>#N/A</v>
      </c>
    </row>
    <row r="165" spans="41:74" x14ac:dyDescent="0.35">
      <c r="AO165" s="39">
        <v>163</v>
      </c>
      <c r="AP165" s="60"/>
      <c r="AQ165" s="41"/>
      <c r="AR165" s="42" t="str">
        <f>IFERROR(VLOOKUP(AU165,[1]SUMMARY!$A$3:$B$7,2,FALSE),"")</f>
        <v/>
      </c>
      <c r="AS165" s="42"/>
      <c r="AT165" s="31" t="e">
        <f>VLOOKUP(AS165,[1]OUTLET!$B:$C,2,0)</f>
        <v>#N/A</v>
      </c>
      <c r="AU165" s="42"/>
      <c r="AV165" s="39"/>
      <c r="AW165" s="44">
        <f>IFERROR(VLOOKUP(AQ165,'[1]Harga &amp; Nama CSO'!$A$116:$L$136,2,FALSE),0)*AV165</f>
        <v>0</v>
      </c>
      <c r="AX165" s="44">
        <f>IFERROR(VLOOKUP(AQ165,'[1]Harga &amp; Nama CSO'!$A$116:$L$136,3,FALSE),0)*AV165</f>
        <v>0</v>
      </c>
      <c r="AY165" s="44">
        <f>IFERROR(VLOOKUP(AQ165,'[1]Harga &amp; Nama CSO'!$A$116:$L$136,4,FALSE),0)*AV165</f>
        <v>0</v>
      </c>
      <c r="AZ165" s="44">
        <f>IFERROR(VLOOKUP(AQ165,'[1]Harga &amp; Nama CSO'!$A$116:$L$136,5,FALSE),0)*AV165</f>
        <v>0</v>
      </c>
      <c r="BA165" s="44">
        <f>IFERROR(VLOOKUP(AQ165,'[1]Harga &amp; Nama CSO'!$A$116:$L$136,6,FALSE),0)*AV165</f>
        <v>0</v>
      </c>
      <c r="BB165" s="44">
        <f>IFERROR(VLOOKUP(AQ165,'[1]Harga &amp; Nama CSO'!$A$116:$L$136,7,FALSE),0)*AV165</f>
        <v>0</v>
      </c>
      <c r="BC165" s="44">
        <f>IFERROR(VLOOKUP(AQ165,'[1]Harga &amp; Nama CSO'!$A$116:$L$136,8,FALSE),0)*AV165</f>
        <v>0</v>
      </c>
      <c r="BD165" s="44">
        <f>IFERROR(VLOOKUP(AQ165,'[1]Harga &amp; Nama CSO'!$A$116:$L$136,9,FALSE),0)*AV165</f>
        <v>0</v>
      </c>
      <c r="BE165" s="44">
        <f>IFERROR(VLOOKUP(AQ165,'[1]Harga &amp; Nama CSO'!$A$116:$L$136,10,FALSE),0)*AV165</f>
        <v>0</v>
      </c>
      <c r="BF165" s="44">
        <f>IFERROR(VLOOKUP(AQ165,'[1]Harga &amp; Nama CSO'!$A$116:$L$136,11,FALSE),0)*AV165</f>
        <v>0</v>
      </c>
      <c r="BG165" s="44">
        <f>IFERROR(VLOOKUP(AQ165,'[1]Harga &amp; Nama CSO'!$A$116:$L$136,12,FALSE),0)*AV165</f>
        <v>0</v>
      </c>
      <c r="BH165" s="44">
        <f>IFERROR(VLOOKUP(AQ165,'[1]Harga &amp; Nama CSO'!$A$116:$R$136,13,FALSE),0)*AV165</f>
        <v>0</v>
      </c>
      <c r="BI165" s="44">
        <f>IFERROR(VLOOKUP(AQ165,'[1]Harga &amp; Nama CSO'!$A$116:$R$136,14,FALSE),0)*AV165</f>
        <v>0</v>
      </c>
      <c r="BJ165" s="44">
        <f>IFERROR(VLOOKUP(AQ165,'[1]Harga &amp; Nama CSO'!$A$116:$R$136,15,FALSE),0)*AV165</f>
        <v>0</v>
      </c>
      <c r="BK165" s="44">
        <f>IFERROR(VLOOKUP(AQ165,'[1]Harga &amp; Nama CSO'!$A$116:$R$136,16,FALSE),0)*AV165</f>
        <v>0</v>
      </c>
      <c r="BL165" s="44">
        <f>IFERROR(VLOOKUP(AQ165,'[1]Harga &amp; Nama CSO'!$A$116:$R$136,17,FALSE),0)*AV165</f>
        <v>0</v>
      </c>
      <c r="BM165" s="44">
        <f>IFERROR(VLOOKUP(AQ165,'[1]Harga &amp; Nama CSO'!$A$116:$R$136,18,FALSE),0)*AV165</f>
        <v>0</v>
      </c>
      <c r="BN165" s="55" t="e">
        <f>IFERROR(VLOOKUP(AQ165,'[1]Harga &amp; Nama CSO'!$H$2:$N$22,2,FALSE),"")*AV165</f>
        <v>#VALUE!</v>
      </c>
      <c r="BO165" s="40"/>
      <c r="BP165" s="39"/>
      <c r="BQ165" s="59"/>
      <c r="BR165" s="39"/>
      <c r="BS165" s="57" t="e">
        <f t="shared" si="23"/>
        <v>#VALUE!</v>
      </c>
      <c r="BT165" s="60"/>
      <c r="BU165" s="8">
        <v>0</v>
      </c>
      <c r="BV165" s="58" t="e">
        <f>VLOOKUP(AQ165,'[1]Harga &amp; Nama CSO'!$A$28:$D$31,4,0)*BP165</f>
        <v>#N/A</v>
      </c>
    </row>
    <row r="166" spans="41:74" x14ac:dyDescent="0.35">
      <c r="AO166" s="39">
        <v>164</v>
      </c>
      <c r="AP166" s="60"/>
      <c r="AQ166" s="41"/>
      <c r="AR166" s="42" t="str">
        <f>IFERROR(VLOOKUP(AU166,[1]SUMMARY!$A$3:$B$7,2,FALSE),"")</f>
        <v/>
      </c>
      <c r="AS166" s="42"/>
      <c r="AT166" s="31" t="e">
        <f>VLOOKUP(AS166,[1]OUTLET!$B:$C,2,0)</f>
        <v>#N/A</v>
      </c>
      <c r="AU166" s="42"/>
      <c r="AV166" s="39"/>
      <c r="AW166" s="44">
        <f>IFERROR(VLOOKUP(AQ166,'[1]Harga &amp; Nama CSO'!$A$116:$L$136,2,FALSE),0)*AV166</f>
        <v>0</v>
      </c>
      <c r="AX166" s="44">
        <f>IFERROR(VLOOKUP(AQ166,'[1]Harga &amp; Nama CSO'!$A$116:$L$136,3,FALSE),0)*AV166</f>
        <v>0</v>
      </c>
      <c r="AY166" s="44">
        <f>IFERROR(VLOOKUP(AQ166,'[1]Harga &amp; Nama CSO'!$A$116:$L$136,4,FALSE),0)*AV166</f>
        <v>0</v>
      </c>
      <c r="AZ166" s="44">
        <f>IFERROR(VLOOKUP(AQ166,'[1]Harga &amp; Nama CSO'!$A$116:$L$136,5,FALSE),0)*AV166</f>
        <v>0</v>
      </c>
      <c r="BA166" s="44">
        <f>IFERROR(VLOOKUP(AQ166,'[1]Harga &amp; Nama CSO'!$A$116:$L$136,6,FALSE),0)*AV166</f>
        <v>0</v>
      </c>
      <c r="BB166" s="44">
        <f>IFERROR(VLOOKUP(AQ166,'[1]Harga &amp; Nama CSO'!$A$116:$L$136,7,FALSE),0)*AV166</f>
        <v>0</v>
      </c>
      <c r="BC166" s="44">
        <f>IFERROR(VLOOKUP(AQ166,'[1]Harga &amp; Nama CSO'!$A$116:$L$136,8,FALSE),0)*AV166</f>
        <v>0</v>
      </c>
      <c r="BD166" s="44">
        <f>IFERROR(VLOOKUP(AQ166,'[1]Harga &amp; Nama CSO'!$A$116:$L$136,9,FALSE),0)*AV166</f>
        <v>0</v>
      </c>
      <c r="BE166" s="44">
        <f>IFERROR(VLOOKUP(AQ166,'[1]Harga &amp; Nama CSO'!$A$116:$L$136,10,FALSE),0)*AV166</f>
        <v>0</v>
      </c>
      <c r="BF166" s="44">
        <f>IFERROR(VLOOKUP(AQ166,'[1]Harga &amp; Nama CSO'!$A$116:$L$136,11,FALSE),0)*AV166</f>
        <v>0</v>
      </c>
      <c r="BG166" s="44">
        <f>IFERROR(VLOOKUP(AQ166,'[1]Harga &amp; Nama CSO'!$A$116:$L$136,12,FALSE),0)*AV166</f>
        <v>0</v>
      </c>
      <c r="BH166" s="44">
        <f>IFERROR(VLOOKUP(AQ166,'[1]Harga &amp; Nama CSO'!$A$116:$R$136,13,FALSE),0)*AV166</f>
        <v>0</v>
      </c>
      <c r="BI166" s="44">
        <f>IFERROR(VLOOKUP(AQ166,'[1]Harga &amp; Nama CSO'!$A$116:$R$136,14,FALSE),0)*AV166</f>
        <v>0</v>
      </c>
      <c r="BJ166" s="44">
        <f>IFERROR(VLOOKUP(AQ166,'[1]Harga &amp; Nama CSO'!$A$116:$R$136,15,FALSE),0)*AV166</f>
        <v>0</v>
      </c>
      <c r="BK166" s="44">
        <f>IFERROR(VLOOKUP(AQ166,'[1]Harga &amp; Nama CSO'!$A$116:$R$136,16,FALSE),0)*AV166</f>
        <v>0</v>
      </c>
      <c r="BL166" s="44">
        <f>IFERROR(VLOOKUP(AQ166,'[1]Harga &amp; Nama CSO'!$A$116:$R$136,17,FALSE),0)*AV166</f>
        <v>0</v>
      </c>
      <c r="BM166" s="44">
        <f>IFERROR(VLOOKUP(AQ166,'[1]Harga &amp; Nama CSO'!$A$116:$R$136,18,FALSE),0)*AV166</f>
        <v>0</v>
      </c>
      <c r="BN166" s="55" t="e">
        <f>IFERROR(VLOOKUP(AQ166,'[1]Harga &amp; Nama CSO'!$H$2:$N$22,2,FALSE),"")*AV166</f>
        <v>#VALUE!</v>
      </c>
      <c r="BO166" s="40"/>
      <c r="BP166" s="39"/>
      <c r="BQ166" s="59"/>
      <c r="BR166" s="39"/>
      <c r="BS166" s="57" t="e">
        <f t="shared" si="23"/>
        <v>#VALUE!</v>
      </c>
      <c r="BT166" s="60"/>
      <c r="BU166" s="8">
        <v>0</v>
      </c>
      <c r="BV166" s="58" t="e">
        <f>VLOOKUP(AQ166,'[1]Harga &amp; Nama CSO'!$A$28:$D$31,4,0)*BP166</f>
        <v>#N/A</v>
      </c>
    </row>
    <row r="167" spans="41:74" x14ac:dyDescent="0.35">
      <c r="AO167" s="39">
        <v>165</v>
      </c>
      <c r="AP167" s="60"/>
      <c r="AQ167" s="41"/>
      <c r="AR167" s="42" t="str">
        <f>IFERROR(VLOOKUP(AU167,[1]SUMMARY!$A$3:$B$7,2,FALSE),"")</f>
        <v/>
      </c>
      <c r="AS167" s="42"/>
      <c r="AT167" s="31" t="e">
        <f>VLOOKUP(AS167,[1]OUTLET!$B:$C,2,0)</f>
        <v>#N/A</v>
      </c>
      <c r="AU167" s="42"/>
      <c r="AV167" s="39"/>
      <c r="AW167" s="44">
        <f>IFERROR(VLOOKUP(AQ167,'[1]Harga &amp; Nama CSO'!$A$116:$L$136,2,FALSE),0)*AV167</f>
        <v>0</v>
      </c>
      <c r="AX167" s="44">
        <f>IFERROR(VLOOKUP(AQ167,'[1]Harga &amp; Nama CSO'!$A$116:$L$136,3,FALSE),0)*AV167</f>
        <v>0</v>
      </c>
      <c r="AY167" s="44">
        <f>IFERROR(VLOOKUP(AQ167,'[1]Harga &amp; Nama CSO'!$A$116:$L$136,4,FALSE),0)*AV167</f>
        <v>0</v>
      </c>
      <c r="AZ167" s="44">
        <f>IFERROR(VLOOKUP(AQ167,'[1]Harga &amp; Nama CSO'!$A$116:$L$136,5,FALSE),0)*AV167</f>
        <v>0</v>
      </c>
      <c r="BA167" s="44">
        <f>IFERROR(VLOOKUP(AQ167,'[1]Harga &amp; Nama CSO'!$A$116:$L$136,6,FALSE),0)*AV167</f>
        <v>0</v>
      </c>
      <c r="BB167" s="44">
        <f>IFERROR(VLOOKUP(AQ167,'[1]Harga &amp; Nama CSO'!$A$116:$L$136,7,FALSE),0)*AV167</f>
        <v>0</v>
      </c>
      <c r="BC167" s="44">
        <f>IFERROR(VLOOKUP(AQ167,'[1]Harga &amp; Nama CSO'!$A$116:$L$136,8,FALSE),0)*AV167</f>
        <v>0</v>
      </c>
      <c r="BD167" s="44">
        <f>IFERROR(VLOOKUP(AQ167,'[1]Harga &amp; Nama CSO'!$A$116:$L$136,9,FALSE),0)*AV167</f>
        <v>0</v>
      </c>
      <c r="BE167" s="44">
        <f>IFERROR(VLOOKUP(AQ167,'[1]Harga &amp; Nama CSO'!$A$116:$L$136,10,FALSE),0)*AV167</f>
        <v>0</v>
      </c>
      <c r="BF167" s="44">
        <f>IFERROR(VLOOKUP(AQ167,'[1]Harga &amp; Nama CSO'!$A$116:$L$136,11,FALSE),0)*AV167</f>
        <v>0</v>
      </c>
      <c r="BG167" s="44">
        <f>IFERROR(VLOOKUP(AQ167,'[1]Harga &amp; Nama CSO'!$A$116:$L$136,12,FALSE),0)*AV167</f>
        <v>0</v>
      </c>
      <c r="BH167" s="44">
        <f>IFERROR(VLOOKUP(AQ167,'[1]Harga &amp; Nama CSO'!$A$116:$R$136,13,FALSE),0)*AV167</f>
        <v>0</v>
      </c>
      <c r="BI167" s="44">
        <f>IFERROR(VLOOKUP(AQ167,'[1]Harga &amp; Nama CSO'!$A$116:$R$136,14,FALSE),0)*AV167</f>
        <v>0</v>
      </c>
      <c r="BJ167" s="44">
        <f>IFERROR(VLOOKUP(AQ167,'[1]Harga &amp; Nama CSO'!$A$116:$R$136,15,FALSE),0)*AV167</f>
        <v>0</v>
      </c>
      <c r="BK167" s="44">
        <f>IFERROR(VLOOKUP(AQ167,'[1]Harga &amp; Nama CSO'!$A$116:$R$136,16,FALSE),0)*AV167</f>
        <v>0</v>
      </c>
      <c r="BL167" s="44">
        <f>IFERROR(VLOOKUP(AQ167,'[1]Harga &amp; Nama CSO'!$A$116:$R$136,17,FALSE),0)*AV167</f>
        <v>0</v>
      </c>
      <c r="BM167" s="44">
        <f>IFERROR(VLOOKUP(AQ167,'[1]Harga &amp; Nama CSO'!$A$116:$R$136,18,FALSE),0)*AV167</f>
        <v>0</v>
      </c>
      <c r="BN167" s="55" t="e">
        <f>IFERROR(VLOOKUP(AQ167,'[1]Harga &amp; Nama CSO'!$H$2:$N$22,2,FALSE),"")*AV167</f>
        <v>#VALUE!</v>
      </c>
      <c r="BO167" s="40"/>
      <c r="BP167" s="39"/>
      <c r="BQ167" s="59"/>
      <c r="BR167" s="39"/>
      <c r="BS167" s="57" t="e">
        <f t="shared" si="23"/>
        <v>#VALUE!</v>
      </c>
      <c r="BT167" s="60"/>
      <c r="BU167" s="8">
        <v>0</v>
      </c>
      <c r="BV167" s="58" t="e">
        <f>VLOOKUP(AQ167,'[1]Harga &amp; Nama CSO'!$A$28:$D$31,4,0)*BP167</f>
        <v>#N/A</v>
      </c>
    </row>
    <row r="168" spans="41:74" x14ac:dyDescent="0.35">
      <c r="AO168" s="39">
        <v>166</v>
      </c>
      <c r="AP168" s="60"/>
      <c r="AQ168" s="41"/>
      <c r="AR168" s="42" t="str">
        <f>IFERROR(VLOOKUP(AU168,[1]SUMMARY!$A$3:$B$7,2,FALSE),"")</f>
        <v/>
      </c>
      <c r="AS168" s="42"/>
      <c r="AT168" s="31" t="e">
        <f>VLOOKUP(AS168,[1]OUTLET!$B:$C,2,0)</f>
        <v>#N/A</v>
      </c>
      <c r="AU168" s="42"/>
      <c r="AV168" s="39"/>
      <c r="AW168" s="44">
        <f>IFERROR(VLOOKUP(AQ168,'[1]Harga &amp; Nama CSO'!$A$116:$L$136,2,FALSE),0)*AV168</f>
        <v>0</v>
      </c>
      <c r="AX168" s="44">
        <f>IFERROR(VLOOKUP(AQ168,'[1]Harga &amp; Nama CSO'!$A$116:$L$136,3,FALSE),0)*AV168</f>
        <v>0</v>
      </c>
      <c r="AY168" s="44">
        <f>IFERROR(VLOOKUP(AQ168,'[1]Harga &amp; Nama CSO'!$A$116:$L$136,4,FALSE),0)*AV168</f>
        <v>0</v>
      </c>
      <c r="AZ168" s="44">
        <f>IFERROR(VLOOKUP(AQ168,'[1]Harga &amp; Nama CSO'!$A$116:$L$136,5,FALSE),0)*AV168</f>
        <v>0</v>
      </c>
      <c r="BA168" s="44">
        <f>IFERROR(VLOOKUP(AQ168,'[1]Harga &amp; Nama CSO'!$A$116:$L$136,6,FALSE),0)*AV168</f>
        <v>0</v>
      </c>
      <c r="BB168" s="44">
        <f>IFERROR(VLOOKUP(AQ168,'[1]Harga &amp; Nama CSO'!$A$116:$L$136,7,FALSE),0)*AV168</f>
        <v>0</v>
      </c>
      <c r="BC168" s="44">
        <f>IFERROR(VLOOKUP(AQ168,'[1]Harga &amp; Nama CSO'!$A$116:$L$136,8,FALSE),0)*AV168</f>
        <v>0</v>
      </c>
      <c r="BD168" s="44">
        <f>IFERROR(VLOOKUP(AQ168,'[1]Harga &amp; Nama CSO'!$A$116:$L$136,9,FALSE),0)*AV168</f>
        <v>0</v>
      </c>
      <c r="BE168" s="44">
        <f>IFERROR(VLOOKUP(AQ168,'[1]Harga &amp; Nama CSO'!$A$116:$L$136,10,FALSE),0)*AV168</f>
        <v>0</v>
      </c>
      <c r="BF168" s="44">
        <f>IFERROR(VLOOKUP(AQ168,'[1]Harga &amp; Nama CSO'!$A$116:$L$136,11,FALSE),0)*AV168</f>
        <v>0</v>
      </c>
      <c r="BG168" s="44">
        <f>IFERROR(VLOOKUP(AQ168,'[1]Harga &amp; Nama CSO'!$A$116:$L$136,12,FALSE),0)*AV168</f>
        <v>0</v>
      </c>
      <c r="BH168" s="44">
        <f>IFERROR(VLOOKUP(AQ168,'[1]Harga &amp; Nama CSO'!$A$116:$R$136,13,FALSE),0)*AV168</f>
        <v>0</v>
      </c>
      <c r="BI168" s="44">
        <f>IFERROR(VLOOKUP(AQ168,'[1]Harga &amp; Nama CSO'!$A$116:$R$136,14,FALSE),0)*AV168</f>
        <v>0</v>
      </c>
      <c r="BJ168" s="44">
        <f>IFERROR(VLOOKUP(AQ168,'[1]Harga &amp; Nama CSO'!$A$116:$R$136,15,FALSE),0)*AV168</f>
        <v>0</v>
      </c>
      <c r="BK168" s="44">
        <f>IFERROR(VLOOKUP(AQ168,'[1]Harga &amp; Nama CSO'!$A$116:$R$136,16,FALSE),0)*AV168</f>
        <v>0</v>
      </c>
      <c r="BL168" s="44">
        <f>IFERROR(VLOOKUP(AQ168,'[1]Harga &amp; Nama CSO'!$A$116:$R$136,17,FALSE),0)*AV168</f>
        <v>0</v>
      </c>
      <c r="BM168" s="44">
        <f>IFERROR(VLOOKUP(AQ168,'[1]Harga &amp; Nama CSO'!$A$116:$R$136,18,FALSE),0)*AV168</f>
        <v>0</v>
      </c>
      <c r="BN168" s="55" t="e">
        <f>IFERROR(VLOOKUP(AQ168,'[1]Harga &amp; Nama CSO'!$H$2:$N$22,2,FALSE),"")*AV168</f>
        <v>#VALUE!</v>
      </c>
      <c r="BO168" s="40"/>
      <c r="BP168" s="39"/>
      <c r="BQ168" s="59"/>
      <c r="BR168" s="39"/>
      <c r="BS168" s="57" t="e">
        <f t="shared" si="23"/>
        <v>#VALUE!</v>
      </c>
      <c r="BT168" s="60"/>
      <c r="BU168" s="8">
        <v>0</v>
      </c>
      <c r="BV168" s="58" t="e">
        <f>VLOOKUP(AQ168,'[1]Harga &amp; Nama CSO'!$A$28:$D$31,4,0)*BP168</f>
        <v>#N/A</v>
      </c>
    </row>
    <row r="169" spans="41:74" x14ac:dyDescent="0.35">
      <c r="AO169" s="39">
        <v>167</v>
      </c>
      <c r="AP169" s="60"/>
      <c r="AQ169" s="41"/>
      <c r="AR169" s="42" t="str">
        <f>IFERROR(VLOOKUP(AU169,[1]SUMMARY!$A$3:$B$7,2,FALSE),"")</f>
        <v/>
      </c>
      <c r="AS169" s="42"/>
      <c r="AT169" s="31" t="e">
        <f>VLOOKUP(AS169,[1]OUTLET!$B:$C,2,0)</f>
        <v>#N/A</v>
      </c>
      <c r="AU169" s="42"/>
      <c r="AV169" s="39"/>
      <c r="AW169" s="44">
        <f>IFERROR(VLOOKUP(AQ169,'[1]Harga &amp; Nama CSO'!$A$116:$L$136,2,FALSE),0)*AV169</f>
        <v>0</v>
      </c>
      <c r="AX169" s="44">
        <f>IFERROR(VLOOKUP(AQ169,'[1]Harga &amp; Nama CSO'!$A$116:$L$136,3,FALSE),0)*AV169</f>
        <v>0</v>
      </c>
      <c r="AY169" s="44">
        <f>IFERROR(VLOOKUP(AQ169,'[1]Harga &amp; Nama CSO'!$A$116:$L$136,4,FALSE),0)*AV169</f>
        <v>0</v>
      </c>
      <c r="AZ169" s="44">
        <f>IFERROR(VLOOKUP(AQ169,'[1]Harga &amp; Nama CSO'!$A$116:$L$136,5,FALSE),0)*AV169</f>
        <v>0</v>
      </c>
      <c r="BA169" s="44">
        <f>IFERROR(VLOOKUP(AQ169,'[1]Harga &amp; Nama CSO'!$A$116:$L$136,6,FALSE),0)*AV169</f>
        <v>0</v>
      </c>
      <c r="BB169" s="44">
        <f>IFERROR(VLOOKUP(AQ169,'[1]Harga &amp; Nama CSO'!$A$116:$L$136,7,FALSE),0)*AV169</f>
        <v>0</v>
      </c>
      <c r="BC169" s="44">
        <f>IFERROR(VLOOKUP(AQ169,'[1]Harga &amp; Nama CSO'!$A$116:$L$136,8,FALSE),0)*AV169</f>
        <v>0</v>
      </c>
      <c r="BD169" s="44">
        <f>IFERROR(VLOOKUP(AQ169,'[1]Harga &amp; Nama CSO'!$A$116:$L$136,9,FALSE),0)*AV169</f>
        <v>0</v>
      </c>
      <c r="BE169" s="44">
        <f>IFERROR(VLOOKUP(AQ169,'[1]Harga &amp; Nama CSO'!$A$116:$L$136,10,FALSE),0)*AV169</f>
        <v>0</v>
      </c>
      <c r="BF169" s="44">
        <f>IFERROR(VLOOKUP(AQ169,'[1]Harga &amp; Nama CSO'!$A$116:$L$136,11,FALSE),0)*AV169</f>
        <v>0</v>
      </c>
      <c r="BG169" s="44">
        <f>IFERROR(VLOOKUP(AQ169,'[1]Harga &amp; Nama CSO'!$A$116:$L$136,12,FALSE),0)*AV169</f>
        <v>0</v>
      </c>
      <c r="BH169" s="44">
        <f>IFERROR(VLOOKUP(AQ169,'[1]Harga &amp; Nama CSO'!$A$116:$R$136,13,FALSE),0)*AV169</f>
        <v>0</v>
      </c>
      <c r="BI169" s="44">
        <f>IFERROR(VLOOKUP(AQ169,'[1]Harga &amp; Nama CSO'!$A$116:$R$136,14,FALSE),0)*AV169</f>
        <v>0</v>
      </c>
      <c r="BJ169" s="44">
        <f>IFERROR(VLOOKUP(AQ169,'[1]Harga &amp; Nama CSO'!$A$116:$R$136,15,FALSE),0)*AV169</f>
        <v>0</v>
      </c>
      <c r="BK169" s="44">
        <f>IFERROR(VLOOKUP(AQ169,'[1]Harga &amp; Nama CSO'!$A$116:$R$136,16,FALSE),0)*AV169</f>
        <v>0</v>
      </c>
      <c r="BL169" s="44">
        <f>IFERROR(VLOOKUP(AQ169,'[1]Harga &amp; Nama CSO'!$A$116:$R$136,17,FALSE),0)*AV169</f>
        <v>0</v>
      </c>
      <c r="BM169" s="44">
        <f>IFERROR(VLOOKUP(AQ169,'[1]Harga &amp; Nama CSO'!$A$116:$R$136,18,FALSE),0)*AV169</f>
        <v>0</v>
      </c>
      <c r="BN169" s="55" t="e">
        <f>IFERROR(VLOOKUP(AQ169,'[1]Harga &amp; Nama CSO'!$H$2:$N$22,2,FALSE),"")*AV169</f>
        <v>#VALUE!</v>
      </c>
      <c r="BO169" s="40"/>
      <c r="BP169" s="39"/>
      <c r="BQ169" s="59"/>
      <c r="BR169" s="39"/>
      <c r="BS169" s="57" t="e">
        <f t="shared" si="23"/>
        <v>#VALUE!</v>
      </c>
      <c r="BT169" s="60"/>
      <c r="BU169" s="8">
        <v>0</v>
      </c>
      <c r="BV169" s="58" t="e">
        <f>VLOOKUP(AQ169,'[1]Harga &amp; Nama CSO'!$A$28:$D$31,4,0)*BP169</f>
        <v>#N/A</v>
      </c>
    </row>
    <row r="170" spans="41:74" x14ac:dyDescent="0.35">
      <c r="AO170" s="39">
        <v>168</v>
      </c>
      <c r="AP170" s="60"/>
      <c r="AQ170" s="41"/>
      <c r="AR170" s="42" t="str">
        <f>IFERROR(VLOOKUP(AU170,[1]SUMMARY!$A$3:$B$7,2,FALSE),"")</f>
        <v/>
      </c>
      <c r="AS170" s="42"/>
      <c r="AT170" s="31" t="e">
        <f>VLOOKUP(AS170,[1]OUTLET!$B:$C,2,0)</f>
        <v>#N/A</v>
      </c>
      <c r="AU170" s="42"/>
      <c r="AV170" s="39"/>
      <c r="AW170" s="44">
        <f>IFERROR(VLOOKUP(AQ170,'[1]Harga &amp; Nama CSO'!$A$116:$L$136,2,FALSE),0)*AV170</f>
        <v>0</v>
      </c>
      <c r="AX170" s="44">
        <f>IFERROR(VLOOKUP(AQ170,'[1]Harga &amp; Nama CSO'!$A$116:$L$136,3,FALSE),0)*AV170</f>
        <v>0</v>
      </c>
      <c r="AY170" s="44">
        <f>IFERROR(VLOOKUP(AQ170,'[1]Harga &amp; Nama CSO'!$A$116:$L$136,4,FALSE),0)*AV170</f>
        <v>0</v>
      </c>
      <c r="AZ170" s="44">
        <f>IFERROR(VLOOKUP(AQ170,'[1]Harga &amp; Nama CSO'!$A$116:$L$136,5,FALSE),0)*AV170</f>
        <v>0</v>
      </c>
      <c r="BA170" s="44">
        <f>IFERROR(VLOOKUP(AQ170,'[1]Harga &amp; Nama CSO'!$A$116:$L$136,6,FALSE),0)*AV170</f>
        <v>0</v>
      </c>
      <c r="BB170" s="44">
        <f>IFERROR(VLOOKUP(AQ170,'[1]Harga &amp; Nama CSO'!$A$116:$L$136,7,FALSE),0)*AV170</f>
        <v>0</v>
      </c>
      <c r="BC170" s="44">
        <f>IFERROR(VLOOKUP(AQ170,'[1]Harga &amp; Nama CSO'!$A$116:$L$136,8,FALSE),0)*AV170</f>
        <v>0</v>
      </c>
      <c r="BD170" s="44">
        <f>IFERROR(VLOOKUP(AQ170,'[1]Harga &amp; Nama CSO'!$A$116:$L$136,9,FALSE),0)*AV170</f>
        <v>0</v>
      </c>
      <c r="BE170" s="44">
        <f>IFERROR(VLOOKUP(AQ170,'[1]Harga &amp; Nama CSO'!$A$116:$L$136,10,FALSE),0)*AV170</f>
        <v>0</v>
      </c>
      <c r="BF170" s="44">
        <f>IFERROR(VLOOKUP(AQ170,'[1]Harga &amp; Nama CSO'!$A$116:$L$136,11,FALSE),0)*AV170</f>
        <v>0</v>
      </c>
      <c r="BG170" s="44">
        <f>IFERROR(VLOOKUP(AQ170,'[1]Harga &amp; Nama CSO'!$A$116:$L$136,12,FALSE),0)*AV170</f>
        <v>0</v>
      </c>
      <c r="BH170" s="44">
        <f>IFERROR(VLOOKUP(AQ170,'[1]Harga &amp; Nama CSO'!$A$116:$R$136,13,FALSE),0)*AV170</f>
        <v>0</v>
      </c>
      <c r="BI170" s="44">
        <f>IFERROR(VLOOKUP(AQ170,'[1]Harga &amp; Nama CSO'!$A$116:$R$136,14,FALSE),0)*AV170</f>
        <v>0</v>
      </c>
      <c r="BJ170" s="44">
        <f>IFERROR(VLOOKUP(AQ170,'[1]Harga &amp; Nama CSO'!$A$116:$R$136,15,FALSE),0)*AV170</f>
        <v>0</v>
      </c>
      <c r="BK170" s="44">
        <f>IFERROR(VLOOKUP(AQ170,'[1]Harga &amp; Nama CSO'!$A$116:$R$136,16,FALSE),0)*AV170</f>
        <v>0</v>
      </c>
      <c r="BL170" s="44">
        <f>IFERROR(VLOOKUP(AQ170,'[1]Harga &amp; Nama CSO'!$A$116:$R$136,17,FALSE),0)*AV170</f>
        <v>0</v>
      </c>
      <c r="BM170" s="44">
        <f>IFERROR(VLOOKUP(AQ170,'[1]Harga &amp; Nama CSO'!$A$116:$R$136,18,FALSE),0)*AV170</f>
        <v>0</v>
      </c>
      <c r="BN170" s="55" t="e">
        <f>IFERROR(VLOOKUP(AQ170,'[1]Harga &amp; Nama CSO'!$H$2:$N$22,2,FALSE),"")*AV170</f>
        <v>#VALUE!</v>
      </c>
      <c r="BO170" s="40"/>
      <c r="BP170" s="39"/>
      <c r="BQ170" s="59"/>
      <c r="BR170" s="39"/>
      <c r="BS170" s="57" t="e">
        <f t="shared" si="23"/>
        <v>#VALUE!</v>
      </c>
      <c r="BT170" s="60"/>
      <c r="BU170" s="8">
        <v>0</v>
      </c>
      <c r="BV170" s="58" t="e">
        <f>VLOOKUP(AQ170,'[1]Harga &amp; Nama CSO'!$A$28:$D$31,4,0)*BP170</f>
        <v>#N/A</v>
      </c>
    </row>
    <row r="171" spans="41:74" x14ac:dyDescent="0.35">
      <c r="AO171" s="39">
        <v>169</v>
      </c>
      <c r="AP171" s="60"/>
      <c r="AQ171" s="41"/>
      <c r="AR171" s="42" t="str">
        <f>IFERROR(VLOOKUP(AU171,[1]SUMMARY!$A$3:$B$7,2,FALSE),"")</f>
        <v/>
      </c>
      <c r="AS171" s="42"/>
      <c r="AT171" s="31" t="e">
        <f>VLOOKUP(AS171,[1]OUTLET!$B:$C,2,0)</f>
        <v>#N/A</v>
      </c>
      <c r="AU171" s="42"/>
      <c r="AV171" s="39"/>
      <c r="AW171" s="44">
        <f>IFERROR(VLOOKUP(AQ171,'[1]Harga &amp; Nama CSO'!$A$116:$L$136,2,FALSE),0)*AV171</f>
        <v>0</v>
      </c>
      <c r="AX171" s="44">
        <f>IFERROR(VLOOKUP(AQ171,'[1]Harga &amp; Nama CSO'!$A$116:$L$136,3,FALSE),0)*AV171</f>
        <v>0</v>
      </c>
      <c r="AY171" s="44">
        <f>IFERROR(VLOOKUP(AQ171,'[1]Harga &amp; Nama CSO'!$A$116:$L$136,4,FALSE),0)*AV171</f>
        <v>0</v>
      </c>
      <c r="AZ171" s="44">
        <f>IFERROR(VLOOKUP(AQ171,'[1]Harga &amp; Nama CSO'!$A$116:$L$136,5,FALSE),0)*AV171</f>
        <v>0</v>
      </c>
      <c r="BA171" s="44">
        <f>IFERROR(VLOOKUP(AQ171,'[1]Harga &amp; Nama CSO'!$A$116:$L$136,6,FALSE),0)*AV171</f>
        <v>0</v>
      </c>
      <c r="BB171" s="44">
        <f>IFERROR(VLOOKUP(AQ171,'[1]Harga &amp; Nama CSO'!$A$116:$L$136,7,FALSE),0)*AV171</f>
        <v>0</v>
      </c>
      <c r="BC171" s="44">
        <f>IFERROR(VLOOKUP(AQ171,'[1]Harga &amp; Nama CSO'!$A$116:$L$136,8,FALSE),0)*AV171</f>
        <v>0</v>
      </c>
      <c r="BD171" s="44">
        <f>IFERROR(VLOOKUP(AQ171,'[1]Harga &amp; Nama CSO'!$A$116:$L$136,9,FALSE),0)*AV171</f>
        <v>0</v>
      </c>
      <c r="BE171" s="44">
        <f>IFERROR(VLOOKUP(AQ171,'[1]Harga &amp; Nama CSO'!$A$116:$L$136,10,FALSE),0)*AV171</f>
        <v>0</v>
      </c>
      <c r="BF171" s="44">
        <f>IFERROR(VLOOKUP(AQ171,'[1]Harga &amp; Nama CSO'!$A$116:$L$136,11,FALSE),0)*AV171</f>
        <v>0</v>
      </c>
      <c r="BG171" s="44">
        <f>IFERROR(VLOOKUP(AQ171,'[1]Harga &amp; Nama CSO'!$A$116:$L$136,12,FALSE),0)*AV171</f>
        <v>0</v>
      </c>
      <c r="BH171" s="44">
        <f>IFERROR(VLOOKUP(AQ171,'[1]Harga &amp; Nama CSO'!$A$116:$R$136,13,FALSE),0)*AV171</f>
        <v>0</v>
      </c>
      <c r="BI171" s="44">
        <f>IFERROR(VLOOKUP(AQ171,'[1]Harga &amp; Nama CSO'!$A$116:$R$136,14,FALSE),0)*AV171</f>
        <v>0</v>
      </c>
      <c r="BJ171" s="44">
        <f>IFERROR(VLOOKUP(AQ171,'[1]Harga &amp; Nama CSO'!$A$116:$R$136,15,FALSE),0)*AV171</f>
        <v>0</v>
      </c>
      <c r="BK171" s="44">
        <f>IFERROR(VLOOKUP(AQ171,'[1]Harga &amp; Nama CSO'!$A$116:$R$136,16,FALSE),0)*AV171</f>
        <v>0</v>
      </c>
      <c r="BL171" s="44">
        <f>IFERROR(VLOOKUP(AQ171,'[1]Harga &amp; Nama CSO'!$A$116:$R$136,17,FALSE),0)*AV171</f>
        <v>0</v>
      </c>
      <c r="BM171" s="44">
        <f>IFERROR(VLOOKUP(AQ171,'[1]Harga &amp; Nama CSO'!$A$116:$R$136,18,FALSE),0)*AV171</f>
        <v>0</v>
      </c>
      <c r="BN171" s="55" t="e">
        <f>IFERROR(VLOOKUP(AQ171,'[1]Harga &amp; Nama CSO'!$H$2:$N$22,2,FALSE),"")*AV171</f>
        <v>#VALUE!</v>
      </c>
      <c r="BO171" s="40"/>
      <c r="BP171" s="39"/>
      <c r="BQ171" s="59"/>
      <c r="BR171" s="39"/>
      <c r="BS171" s="57" t="e">
        <f t="shared" si="23"/>
        <v>#VALUE!</v>
      </c>
      <c r="BT171" s="60"/>
      <c r="BU171" s="8">
        <v>0</v>
      </c>
      <c r="BV171" s="58" t="e">
        <f>VLOOKUP(AQ171,'[1]Harga &amp; Nama CSO'!$A$28:$D$31,4,0)*BP171</f>
        <v>#N/A</v>
      </c>
    </row>
    <row r="172" spans="41:74" x14ac:dyDescent="0.35">
      <c r="AO172" s="39">
        <v>170</v>
      </c>
      <c r="AP172" s="60"/>
      <c r="AQ172" s="41"/>
      <c r="AR172" s="42" t="str">
        <f>IFERROR(VLOOKUP(AU172,[1]SUMMARY!$A$3:$B$7,2,FALSE),"")</f>
        <v/>
      </c>
      <c r="AS172" s="42"/>
      <c r="AT172" s="31" t="e">
        <f>VLOOKUP(AS172,[1]OUTLET!$B:$C,2,0)</f>
        <v>#N/A</v>
      </c>
      <c r="AU172" s="42"/>
      <c r="AV172" s="39"/>
      <c r="AW172" s="44">
        <f>IFERROR(VLOOKUP(AQ172,'[1]Harga &amp; Nama CSO'!$A$116:$L$136,2,FALSE),0)*AV172</f>
        <v>0</v>
      </c>
      <c r="AX172" s="44">
        <f>IFERROR(VLOOKUP(AQ172,'[1]Harga &amp; Nama CSO'!$A$116:$L$136,3,FALSE),0)*AV172</f>
        <v>0</v>
      </c>
      <c r="AY172" s="44">
        <f>IFERROR(VLOOKUP(AQ172,'[1]Harga &amp; Nama CSO'!$A$116:$L$136,4,FALSE),0)*AV172</f>
        <v>0</v>
      </c>
      <c r="AZ172" s="44">
        <f>IFERROR(VLOOKUP(AQ172,'[1]Harga &amp; Nama CSO'!$A$116:$L$136,5,FALSE),0)*AV172</f>
        <v>0</v>
      </c>
      <c r="BA172" s="44">
        <f>IFERROR(VLOOKUP(AQ172,'[1]Harga &amp; Nama CSO'!$A$116:$L$136,6,FALSE),0)*AV172</f>
        <v>0</v>
      </c>
      <c r="BB172" s="44">
        <f>IFERROR(VLOOKUP(AQ172,'[1]Harga &amp; Nama CSO'!$A$116:$L$136,7,FALSE),0)*AV172</f>
        <v>0</v>
      </c>
      <c r="BC172" s="44">
        <f>IFERROR(VLOOKUP(AQ172,'[1]Harga &amp; Nama CSO'!$A$116:$L$136,8,FALSE),0)*AV172</f>
        <v>0</v>
      </c>
      <c r="BD172" s="44">
        <f>IFERROR(VLOOKUP(AQ172,'[1]Harga &amp; Nama CSO'!$A$116:$L$136,9,FALSE),0)*AV172</f>
        <v>0</v>
      </c>
      <c r="BE172" s="44">
        <f>IFERROR(VLOOKUP(AQ172,'[1]Harga &amp; Nama CSO'!$A$116:$L$136,10,FALSE),0)*AV172</f>
        <v>0</v>
      </c>
      <c r="BF172" s="44">
        <f>IFERROR(VLOOKUP(AQ172,'[1]Harga &amp; Nama CSO'!$A$116:$L$136,11,FALSE),0)*AV172</f>
        <v>0</v>
      </c>
      <c r="BG172" s="44">
        <f>IFERROR(VLOOKUP(AQ172,'[1]Harga &amp; Nama CSO'!$A$116:$L$136,12,FALSE),0)*AV172</f>
        <v>0</v>
      </c>
      <c r="BH172" s="44">
        <f>IFERROR(VLOOKUP(AQ172,'[1]Harga &amp; Nama CSO'!$A$116:$R$136,13,FALSE),0)*AV172</f>
        <v>0</v>
      </c>
      <c r="BI172" s="44">
        <f>IFERROR(VLOOKUP(AQ172,'[1]Harga &amp; Nama CSO'!$A$116:$R$136,14,FALSE),0)*AV172</f>
        <v>0</v>
      </c>
      <c r="BJ172" s="44">
        <f>IFERROR(VLOOKUP(AQ172,'[1]Harga &amp; Nama CSO'!$A$116:$R$136,15,FALSE),0)*AV172</f>
        <v>0</v>
      </c>
      <c r="BK172" s="44">
        <f>IFERROR(VLOOKUP(AQ172,'[1]Harga &amp; Nama CSO'!$A$116:$R$136,16,FALSE),0)*AV172</f>
        <v>0</v>
      </c>
      <c r="BL172" s="44">
        <f>IFERROR(VLOOKUP(AQ172,'[1]Harga &amp; Nama CSO'!$A$116:$R$136,17,FALSE),0)*AV172</f>
        <v>0</v>
      </c>
      <c r="BM172" s="44">
        <f>IFERROR(VLOOKUP(AQ172,'[1]Harga &amp; Nama CSO'!$A$116:$R$136,18,FALSE),0)*AV172</f>
        <v>0</v>
      </c>
      <c r="BN172" s="55" t="e">
        <f>IFERROR(VLOOKUP(AQ172,'[1]Harga &amp; Nama CSO'!$H$2:$N$22,2,FALSE),"")*AV172</f>
        <v>#VALUE!</v>
      </c>
      <c r="BO172" s="40"/>
      <c r="BP172" s="39"/>
      <c r="BQ172" s="59"/>
      <c r="BR172" s="39"/>
      <c r="BS172" s="57" t="e">
        <f t="shared" si="23"/>
        <v>#VALUE!</v>
      </c>
      <c r="BT172" s="60"/>
      <c r="BU172" s="8">
        <v>0</v>
      </c>
      <c r="BV172" s="58" t="e">
        <f>VLOOKUP(AQ172,'[1]Harga &amp; Nama CSO'!$A$28:$D$31,4,0)*BP172</f>
        <v>#N/A</v>
      </c>
    </row>
    <row r="173" spans="41:74" x14ac:dyDescent="0.35">
      <c r="AO173" s="39">
        <v>171</v>
      </c>
      <c r="AP173" s="60"/>
      <c r="AQ173" s="41"/>
      <c r="AR173" s="42" t="str">
        <f>IFERROR(VLOOKUP(AU173,[1]SUMMARY!$A$3:$B$7,2,FALSE),"")</f>
        <v/>
      </c>
      <c r="AS173" s="42"/>
      <c r="AT173" s="31" t="e">
        <f>VLOOKUP(AS173,[1]OUTLET!$B:$C,2,0)</f>
        <v>#N/A</v>
      </c>
      <c r="AU173" s="42"/>
      <c r="AV173" s="39"/>
      <c r="AW173" s="44">
        <f>IFERROR(VLOOKUP(AQ173,'[1]Harga &amp; Nama CSO'!$A$116:$L$136,2,FALSE),0)*AV173</f>
        <v>0</v>
      </c>
      <c r="AX173" s="44">
        <f>IFERROR(VLOOKUP(AQ173,'[1]Harga &amp; Nama CSO'!$A$116:$L$136,3,FALSE),0)*AV173</f>
        <v>0</v>
      </c>
      <c r="AY173" s="44">
        <f>IFERROR(VLOOKUP(AQ173,'[1]Harga &amp; Nama CSO'!$A$116:$L$136,4,FALSE),0)*AV173</f>
        <v>0</v>
      </c>
      <c r="AZ173" s="44">
        <f>IFERROR(VLOOKUP(AQ173,'[1]Harga &amp; Nama CSO'!$A$116:$L$136,5,FALSE),0)*AV173</f>
        <v>0</v>
      </c>
      <c r="BA173" s="44">
        <f>IFERROR(VLOOKUP(AQ173,'[1]Harga &amp; Nama CSO'!$A$116:$L$136,6,FALSE),0)*AV173</f>
        <v>0</v>
      </c>
      <c r="BB173" s="44">
        <f>IFERROR(VLOOKUP(AQ173,'[1]Harga &amp; Nama CSO'!$A$116:$L$136,7,FALSE),0)*AV173</f>
        <v>0</v>
      </c>
      <c r="BC173" s="44">
        <f>IFERROR(VLOOKUP(AQ173,'[1]Harga &amp; Nama CSO'!$A$116:$L$136,8,FALSE),0)*AV173</f>
        <v>0</v>
      </c>
      <c r="BD173" s="44">
        <f>IFERROR(VLOOKUP(AQ173,'[1]Harga &amp; Nama CSO'!$A$116:$L$136,9,FALSE),0)*AV173</f>
        <v>0</v>
      </c>
      <c r="BE173" s="44">
        <f>IFERROR(VLOOKUP(AQ173,'[1]Harga &amp; Nama CSO'!$A$116:$L$136,10,FALSE),0)*AV173</f>
        <v>0</v>
      </c>
      <c r="BF173" s="44">
        <f>IFERROR(VLOOKUP(AQ173,'[1]Harga &amp; Nama CSO'!$A$116:$L$136,11,FALSE),0)*AV173</f>
        <v>0</v>
      </c>
      <c r="BG173" s="44">
        <f>IFERROR(VLOOKUP(AQ173,'[1]Harga &amp; Nama CSO'!$A$116:$L$136,12,FALSE),0)*AV173</f>
        <v>0</v>
      </c>
      <c r="BH173" s="44">
        <f>IFERROR(VLOOKUP(AQ173,'[1]Harga &amp; Nama CSO'!$A$116:$R$136,13,FALSE),0)*AV173</f>
        <v>0</v>
      </c>
      <c r="BI173" s="44">
        <f>IFERROR(VLOOKUP(AQ173,'[1]Harga &amp; Nama CSO'!$A$116:$R$136,14,FALSE),0)*AV173</f>
        <v>0</v>
      </c>
      <c r="BJ173" s="44">
        <f>IFERROR(VLOOKUP(AQ173,'[1]Harga &amp; Nama CSO'!$A$116:$R$136,15,FALSE),0)*AV173</f>
        <v>0</v>
      </c>
      <c r="BK173" s="44">
        <f>IFERROR(VLOOKUP(AQ173,'[1]Harga &amp; Nama CSO'!$A$116:$R$136,16,FALSE),0)*AV173</f>
        <v>0</v>
      </c>
      <c r="BL173" s="44">
        <f>IFERROR(VLOOKUP(AQ173,'[1]Harga &amp; Nama CSO'!$A$116:$R$136,17,FALSE),0)*AV173</f>
        <v>0</v>
      </c>
      <c r="BM173" s="44">
        <f>IFERROR(VLOOKUP(AQ173,'[1]Harga &amp; Nama CSO'!$A$116:$R$136,18,FALSE),0)*AV173</f>
        <v>0</v>
      </c>
      <c r="BN173" s="55" t="e">
        <f>IFERROR(VLOOKUP(AQ173,'[1]Harga &amp; Nama CSO'!$H$2:$N$22,2,FALSE),"")*AV173</f>
        <v>#VALUE!</v>
      </c>
      <c r="BO173" s="40"/>
      <c r="BP173" s="39"/>
      <c r="BQ173" s="59"/>
      <c r="BR173" s="39"/>
      <c r="BS173" s="57" t="e">
        <f t="shared" si="23"/>
        <v>#VALUE!</v>
      </c>
      <c r="BT173" s="60"/>
      <c r="BU173" s="8">
        <v>0</v>
      </c>
      <c r="BV173" s="58" t="e">
        <f>VLOOKUP(AQ173,'[1]Harga &amp; Nama CSO'!$A$28:$D$31,4,0)*BP173</f>
        <v>#N/A</v>
      </c>
    </row>
    <row r="174" spans="41:74" x14ac:dyDescent="0.35">
      <c r="AO174" s="39">
        <v>172</v>
      </c>
      <c r="AP174" s="60"/>
      <c r="AQ174" s="41"/>
      <c r="AR174" s="42" t="str">
        <f>IFERROR(VLOOKUP(AU174,[1]SUMMARY!$A$3:$B$7,2,FALSE),"")</f>
        <v/>
      </c>
      <c r="AS174" s="42"/>
      <c r="AT174" s="31" t="e">
        <f>VLOOKUP(AS174,[1]OUTLET!$B:$C,2,0)</f>
        <v>#N/A</v>
      </c>
      <c r="AU174" s="42"/>
      <c r="AV174" s="39"/>
      <c r="AW174" s="44">
        <f>IFERROR(VLOOKUP(AQ174,'[1]Harga &amp; Nama CSO'!$A$116:$L$136,2,FALSE),0)*AV174</f>
        <v>0</v>
      </c>
      <c r="AX174" s="44">
        <f>IFERROR(VLOOKUP(AQ174,'[1]Harga &amp; Nama CSO'!$A$116:$L$136,3,FALSE),0)*AV174</f>
        <v>0</v>
      </c>
      <c r="AY174" s="44">
        <f>IFERROR(VLOOKUP(AQ174,'[1]Harga &amp; Nama CSO'!$A$116:$L$136,4,FALSE),0)*AV174</f>
        <v>0</v>
      </c>
      <c r="AZ174" s="44">
        <f>IFERROR(VLOOKUP(AQ174,'[1]Harga &amp; Nama CSO'!$A$116:$L$136,5,FALSE),0)*AV174</f>
        <v>0</v>
      </c>
      <c r="BA174" s="44">
        <f>IFERROR(VLOOKUP(AQ174,'[1]Harga &amp; Nama CSO'!$A$116:$L$136,6,FALSE),0)*AV174</f>
        <v>0</v>
      </c>
      <c r="BB174" s="44">
        <f>IFERROR(VLOOKUP(AQ174,'[1]Harga &amp; Nama CSO'!$A$116:$L$136,7,FALSE),0)*AV174</f>
        <v>0</v>
      </c>
      <c r="BC174" s="44">
        <f>IFERROR(VLOOKUP(AQ174,'[1]Harga &amp; Nama CSO'!$A$116:$L$136,8,FALSE),0)*AV174</f>
        <v>0</v>
      </c>
      <c r="BD174" s="44">
        <f>IFERROR(VLOOKUP(AQ174,'[1]Harga &amp; Nama CSO'!$A$116:$L$136,9,FALSE),0)*AV174</f>
        <v>0</v>
      </c>
      <c r="BE174" s="44">
        <f>IFERROR(VLOOKUP(AQ174,'[1]Harga &amp; Nama CSO'!$A$116:$L$136,10,FALSE),0)*AV174</f>
        <v>0</v>
      </c>
      <c r="BF174" s="44">
        <f>IFERROR(VLOOKUP(AQ174,'[1]Harga &amp; Nama CSO'!$A$116:$L$136,11,FALSE),0)*AV174</f>
        <v>0</v>
      </c>
      <c r="BG174" s="44">
        <f>IFERROR(VLOOKUP(AQ174,'[1]Harga &amp; Nama CSO'!$A$116:$L$136,12,FALSE),0)*AV174</f>
        <v>0</v>
      </c>
      <c r="BH174" s="44">
        <f>IFERROR(VLOOKUP(AQ174,'[1]Harga &amp; Nama CSO'!$A$116:$R$136,13,FALSE),0)*AV174</f>
        <v>0</v>
      </c>
      <c r="BI174" s="44">
        <f>IFERROR(VLOOKUP(AQ174,'[1]Harga &amp; Nama CSO'!$A$116:$R$136,14,FALSE),0)*AV174</f>
        <v>0</v>
      </c>
      <c r="BJ174" s="44">
        <f>IFERROR(VLOOKUP(AQ174,'[1]Harga &amp; Nama CSO'!$A$116:$R$136,15,FALSE),0)*AV174</f>
        <v>0</v>
      </c>
      <c r="BK174" s="44">
        <f>IFERROR(VLOOKUP(AQ174,'[1]Harga &amp; Nama CSO'!$A$116:$R$136,16,FALSE),0)*AV174</f>
        <v>0</v>
      </c>
      <c r="BL174" s="44">
        <f>IFERROR(VLOOKUP(AQ174,'[1]Harga &amp; Nama CSO'!$A$116:$R$136,17,FALSE),0)*AV174</f>
        <v>0</v>
      </c>
      <c r="BM174" s="44">
        <f>IFERROR(VLOOKUP(AQ174,'[1]Harga &amp; Nama CSO'!$A$116:$R$136,18,FALSE),0)*AV174</f>
        <v>0</v>
      </c>
      <c r="BN174" s="55" t="e">
        <f>IFERROR(VLOOKUP(AQ174,'[1]Harga &amp; Nama CSO'!$H$2:$N$22,2,FALSE),"")*AV174</f>
        <v>#VALUE!</v>
      </c>
      <c r="BO174" s="40"/>
      <c r="BP174" s="39"/>
      <c r="BQ174" s="59"/>
      <c r="BR174" s="39"/>
      <c r="BS174" s="57" t="e">
        <f t="shared" si="23"/>
        <v>#VALUE!</v>
      </c>
      <c r="BT174" s="60"/>
      <c r="BU174" s="8">
        <v>0</v>
      </c>
      <c r="BV174" s="58" t="e">
        <f>VLOOKUP(AQ174,'[1]Harga &amp; Nama CSO'!$A$28:$D$31,4,0)*BP174</f>
        <v>#N/A</v>
      </c>
    </row>
    <row r="175" spans="41:74" x14ac:dyDescent="0.35">
      <c r="AO175" s="39">
        <v>173</v>
      </c>
      <c r="AP175" s="60"/>
      <c r="AQ175" s="41"/>
      <c r="AR175" s="42" t="str">
        <f>IFERROR(VLOOKUP(AU175,[1]SUMMARY!$A$3:$B$7,2,FALSE),"")</f>
        <v/>
      </c>
      <c r="AS175" s="42"/>
      <c r="AT175" s="31" t="e">
        <f>VLOOKUP(AS175,[1]OUTLET!$B:$C,2,0)</f>
        <v>#N/A</v>
      </c>
      <c r="AU175" s="42"/>
      <c r="AV175" s="39"/>
      <c r="AW175" s="44">
        <f>IFERROR(VLOOKUP(AQ175,'[1]Harga &amp; Nama CSO'!$A$116:$L$136,2,FALSE),0)*AV175</f>
        <v>0</v>
      </c>
      <c r="AX175" s="44">
        <f>IFERROR(VLOOKUP(AQ175,'[1]Harga &amp; Nama CSO'!$A$116:$L$136,3,FALSE),0)*AV175</f>
        <v>0</v>
      </c>
      <c r="AY175" s="44">
        <f>IFERROR(VLOOKUP(AQ175,'[1]Harga &amp; Nama CSO'!$A$116:$L$136,4,FALSE),0)*AV175</f>
        <v>0</v>
      </c>
      <c r="AZ175" s="44">
        <f>IFERROR(VLOOKUP(AQ175,'[1]Harga &amp; Nama CSO'!$A$116:$L$136,5,FALSE),0)*AV175</f>
        <v>0</v>
      </c>
      <c r="BA175" s="44">
        <f>IFERROR(VLOOKUP(AQ175,'[1]Harga &amp; Nama CSO'!$A$116:$L$136,6,FALSE),0)*AV175</f>
        <v>0</v>
      </c>
      <c r="BB175" s="44">
        <f>IFERROR(VLOOKUP(AQ175,'[1]Harga &amp; Nama CSO'!$A$116:$L$136,7,FALSE),0)*AV175</f>
        <v>0</v>
      </c>
      <c r="BC175" s="44">
        <f>IFERROR(VLOOKUP(AQ175,'[1]Harga &amp; Nama CSO'!$A$116:$L$136,8,FALSE),0)*AV175</f>
        <v>0</v>
      </c>
      <c r="BD175" s="44">
        <f>IFERROR(VLOOKUP(AQ175,'[1]Harga &amp; Nama CSO'!$A$116:$L$136,9,FALSE),0)*AV175</f>
        <v>0</v>
      </c>
      <c r="BE175" s="44">
        <f>IFERROR(VLOOKUP(AQ175,'[1]Harga &amp; Nama CSO'!$A$116:$L$136,10,FALSE),0)*AV175</f>
        <v>0</v>
      </c>
      <c r="BF175" s="44">
        <f>IFERROR(VLOOKUP(AQ175,'[1]Harga &amp; Nama CSO'!$A$116:$L$136,11,FALSE),0)*AV175</f>
        <v>0</v>
      </c>
      <c r="BG175" s="44">
        <f>IFERROR(VLOOKUP(AQ175,'[1]Harga &amp; Nama CSO'!$A$116:$L$136,12,FALSE),0)*AV175</f>
        <v>0</v>
      </c>
      <c r="BH175" s="44">
        <f>IFERROR(VLOOKUP(AQ175,'[1]Harga &amp; Nama CSO'!$A$116:$R$136,13,FALSE),0)*AV175</f>
        <v>0</v>
      </c>
      <c r="BI175" s="44">
        <f>IFERROR(VLOOKUP(AQ175,'[1]Harga &amp; Nama CSO'!$A$116:$R$136,14,FALSE),0)*AV175</f>
        <v>0</v>
      </c>
      <c r="BJ175" s="44">
        <f>IFERROR(VLOOKUP(AQ175,'[1]Harga &amp; Nama CSO'!$A$116:$R$136,15,FALSE),0)*AV175</f>
        <v>0</v>
      </c>
      <c r="BK175" s="44">
        <f>IFERROR(VLOOKUP(AQ175,'[1]Harga &amp; Nama CSO'!$A$116:$R$136,16,FALSE),0)*AV175</f>
        <v>0</v>
      </c>
      <c r="BL175" s="44">
        <f>IFERROR(VLOOKUP(AQ175,'[1]Harga &amp; Nama CSO'!$A$116:$R$136,17,FALSE),0)*AV175</f>
        <v>0</v>
      </c>
      <c r="BM175" s="44">
        <f>IFERROR(VLOOKUP(AQ175,'[1]Harga &amp; Nama CSO'!$A$116:$R$136,18,FALSE),0)*AV175</f>
        <v>0</v>
      </c>
      <c r="BN175" s="55" t="e">
        <f>IFERROR(VLOOKUP(AQ175,'[1]Harga &amp; Nama CSO'!$H$2:$N$22,2,FALSE),"")*AV175</f>
        <v>#VALUE!</v>
      </c>
      <c r="BO175" s="40"/>
      <c r="BP175" s="39"/>
      <c r="BQ175" s="59"/>
      <c r="BR175" s="39"/>
      <c r="BS175" s="57" t="e">
        <f t="shared" si="23"/>
        <v>#VALUE!</v>
      </c>
      <c r="BT175" s="60"/>
      <c r="BU175" s="8">
        <v>0</v>
      </c>
      <c r="BV175" s="58" t="e">
        <f>VLOOKUP(AQ175,'[1]Harga &amp; Nama CSO'!$A$28:$D$31,4,0)*BP175</f>
        <v>#N/A</v>
      </c>
    </row>
    <row r="176" spans="41:74" x14ac:dyDescent="0.35">
      <c r="AO176" s="39">
        <v>174</v>
      </c>
      <c r="AP176" s="60"/>
      <c r="AQ176" s="41"/>
      <c r="AR176" s="42" t="str">
        <f>IFERROR(VLOOKUP(AU176,[1]SUMMARY!$A$3:$B$7,2,FALSE),"")</f>
        <v/>
      </c>
      <c r="AS176" s="42"/>
      <c r="AT176" s="31" t="e">
        <f>VLOOKUP(AS176,[1]OUTLET!$B:$C,2,0)</f>
        <v>#N/A</v>
      </c>
      <c r="AU176" s="42"/>
      <c r="AV176" s="39"/>
      <c r="AW176" s="44">
        <f>IFERROR(VLOOKUP(AQ176,'[1]Harga &amp; Nama CSO'!$A$116:$L$136,2,FALSE),0)*AV176</f>
        <v>0</v>
      </c>
      <c r="AX176" s="44">
        <f>IFERROR(VLOOKUP(AQ176,'[1]Harga &amp; Nama CSO'!$A$116:$L$136,3,FALSE),0)*AV176</f>
        <v>0</v>
      </c>
      <c r="AY176" s="44">
        <f>IFERROR(VLOOKUP(AQ176,'[1]Harga &amp; Nama CSO'!$A$116:$L$136,4,FALSE),0)*AV176</f>
        <v>0</v>
      </c>
      <c r="AZ176" s="44">
        <f>IFERROR(VLOOKUP(AQ176,'[1]Harga &amp; Nama CSO'!$A$116:$L$136,5,FALSE),0)*AV176</f>
        <v>0</v>
      </c>
      <c r="BA176" s="44">
        <f>IFERROR(VLOOKUP(AQ176,'[1]Harga &amp; Nama CSO'!$A$116:$L$136,6,FALSE),0)*AV176</f>
        <v>0</v>
      </c>
      <c r="BB176" s="44">
        <f>IFERROR(VLOOKUP(AQ176,'[1]Harga &amp; Nama CSO'!$A$116:$L$136,7,FALSE),0)*AV176</f>
        <v>0</v>
      </c>
      <c r="BC176" s="44">
        <f>IFERROR(VLOOKUP(AQ176,'[1]Harga &amp; Nama CSO'!$A$116:$L$136,8,FALSE),0)*AV176</f>
        <v>0</v>
      </c>
      <c r="BD176" s="44">
        <f>IFERROR(VLOOKUP(AQ176,'[1]Harga &amp; Nama CSO'!$A$116:$L$136,9,FALSE),0)*AV176</f>
        <v>0</v>
      </c>
      <c r="BE176" s="44">
        <f>IFERROR(VLOOKUP(AQ176,'[1]Harga &amp; Nama CSO'!$A$116:$L$136,10,FALSE),0)*AV176</f>
        <v>0</v>
      </c>
      <c r="BF176" s="44">
        <f>IFERROR(VLOOKUP(AQ176,'[1]Harga &amp; Nama CSO'!$A$116:$L$136,11,FALSE),0)*AV176</f>
        <v>0</v>
      </c>
      <c r="BG176" s="44">
        <f>IFERROR(VLOOKUP(AQ176,'[1]Harga &amp; Nama CSO'!$A$116:$L$136,12,FALSE),0)*AV176</f>
        <v>0</v>
      </c>
      <c r="BH176" s="44">
        <f>IFERROR(VLOOKUP(AQ176,'[1]Harga &amp; Nama CSO'!$A$116:$R$136,13,FALSE),0)*AV176</f>
        <v>0</v>
      </c>
      <c r="BI176" s="44">
        <f>IFERROR(VLOOKUP(AQ176,'[1]Harga &amp; Nama CSO'!$A$116:$R$136,14,FALSE),0)*AV176</f>
        <v>0</v>
      </c>
      <c r="BJ176" s="44">
        <f>IFERROR(VLOOKUP(AQ176,'[1]Harga &amp; Nama CSO'!$A$116:$R$136,15,FALSE),0)*AV176</f>
        <v>0</v>
      </c>
      <c r="BK176" s="44">
        <f>IFERROR(VLOOKUP(AQ176,'[1]Harga &amp; Nama CSO'!$A$116:$R$136,16,FALSE),0)*AV176</f>
        <v>0</v>
      </c>
      <c r="BL176" s="44">
        <f>IFERROR(VLOOKUP(AQ176,'[1]Harga &amp; Nama CSO'!$A$116:$R$136,17,FALSE),0)*AV176</f>
        <v>0</v>
      </c>
      <c r="BM176" s="44">
        <f>IFERROR(VLOOKUP(AQ176,'[1]Harga &amp; Nama CSO'!$A$116:$R$136,18,FALSE),0)*AV176</f>
        <v>0</v>
      </c>
      <c r="BN176" s="55" t="e">
        <f>IFERROR(VLOOKUP(AQ176,'[1]Harga &amp; Nama CSO'!$H$2:$N$22,2,FALSE),"")*AV176</f>
        <v>#VALUE!</v>
      </c>
      <c r="BO176" s="40"/>
      <c r="BP176" s="39"/>
      <c r="BQ176" s="59"/>
      <c r="BR176" s="39"/>
      <c r="BS176" s="57" t="e">
        <f t="shared" si="23"/>
        <v>#VALUE!</v>
      </c>
      <c r="BT176" s="60"/>
      <c r="BU176" s="8">
        <v>0</v>
      </c>
      <c r="BV176" s="58" t="e">
        <f>VLOOKUP(AQ176,'[1]Harga &amp; Nama CSO'!$A$28:$D$31,4,0)*BP176</f>
        <v>#N/A</v>
      </c>
    </row>
    <row r="177" spans="41:74" x14ac:dyDescent="0.35">
      <c r="AO177" s="39">
        <v>175</v>
      </c>
      <c r="AP177" s="60"/>
      <c r="AQ177" s="41"/>
      <c r="AR177" s="42" t="str">
        <f>IFERROR(VLOOKUP(AU177,[1]SUMMARY!$A$3:$B$7,2,FALSE),"")</f>
        <v/>
      </c>
      <c r="AS177" s="42"/>
      <c r="AT177" s="31" t="e">
        <f>VLOOKUP(AS177,[1]OUTLET!$B:$C,2,0)</f>
        <v>#N/A</v>
      </c>
      <c r="AU177" s="42"/>
      <c r="AV177" s="39"/>
      <c r="AW177" s="44">
        <f>IFERROR(VLOOKUP(AQ177,'[1]Harga &amp; Nama CSO'!$A$116:$L$136,2,FALSE),0)*AV177</f>
        <v>0</v>
      </c>
      <c r="AX177" s="44">
        <f>IFERROR(VLOOKUP(AQ177,'[1]Harga &amp; Nama CSO'!$A$116:$L$136,3,FALSE),0)*AV177</f>
        <v>0</v>
      </c>
      <c r="AY177" s="44">
        <f>IFERROR(VLOOKUP(AQ177,'[1]Harga &amp; Nama CSO'!$A$116:$L$136,4,FALSE),0)*AV177</f>
        <v>0</v>
      </c>
      <c r="AZ177" s="44">
        <f>IFERROR(VLOOKUP(AQ177,'[1]Harga &amp; Nama CSO'!$A$116:$L$136,5,FALSE),0)*AV177</f>
        <v>0</v>
      </c>
      <c r="BA177" s="44">
        <f>IFERROR(VLOOKUP(AQ177,'[1]Harga &amp; Nama CSO'!$A$116:$L$136,6,FALSE),0)*AV177</f>
        <v>0</v>
      </c>
      <c r="BB177" s="44">
        <f>IFERROR(VLOOKUP(AQ177,'[1]Harga &amp; Nama CSO'!$A$116:$L$136,7,FALSE),0)*AV177</f>
        <v>0</v>
      </c>
      <c r="BC177" s="44">
        <f>IFERROR(VLOOKUP(AQ177,'[1]Harga &amp; Nama CSO'!$A$116:$L$136,8,FALSE),0)*AV177</f>
        <v>0</v>
      </c>
      <c r="BD177" s="44">
        <f>IFERROR(VLOOKUP(AQ177,'[1]Harga &amp; Nama CSO'!$A$116:$L$136,9,FALSE),0)*AV177</f>
        <v>0</v>
      </c>
      <c r="BE177" s="44">
        <f>IFERROR(VLOOKUP(AQ177,'[1]Harga &amp; Nama CSO'!$A$116:$L$136,10,FALSE),0)*AV177</f>
        <v>0</v>
      </c>
      <c r="BF177" s="44">
        <f>IFERROR(VLOOKUP(AQ177,'[1]Harga &amp; Nama CSO'!$A$116:$L$136,11,FALSE),0)*AV177</f>
        <v>0</v>
      </c>
      <c r="BG177" s="44">
        <f>IFERROR(VLOOKUP(AQ177,'[1]Harga &amp; Nama CSO'!$A$116:$L$136,12,FALSE),0)*AV177</f>
        <v>0</v>
      </c>
      <c r="BH177" s="44">
        <f>IFERROR(VLOOKUP(AQ177,'[1]Harga &amp; Nama CSO'!$A$116:$R$136,13,FALSE),0)*AV177</f>
        <v>0</v>
      </c>
      <c r="BI177" s="44">
        <f>IFERROR(VLOOKUP(AQ177,'[1]Harga &amp; Nama CSO'!$A$116:$R$136,14,FALSE),0)*AV177</f>
        <v>0</v>
      </c>
      <c r="BJ177" s="44">
        <f>IFERROR(VLOOKUP(AQ177,'[1]Harga &amp; Nama CSO'!$A$116:$R$136,15,FALSE),0)*AV177</f>
        <v>0</v>
      </c>
      <c r="BK177" s="44">
        <f>IFERROR(VLOOKUP(AQ177,'[1]Harga &amp; Nama CSO'!$A$116:$R$136,16,FALSE),0)*AV177</f>
        <v>0</v>
      </c>
      <c r="BL177" s="44">
        <f>IFERROR(VLOOKUP(AQ177,'[1]Harga &amp; Nama CSO'!$A$116:$R$136,17,FALSE),0)*AV177</f>
        <v>0</v>
      </c>
      <c r="BM177" s="44">
        <f>IFERROR(VLOOKUP(AQ177,'[1]Harga &amp; Nama CSO'!$A$116:$R$136,18,FALSE),0)*AV177</f>
        <v>0</v>
      </c>
      <c r="BN177" s="55" t="e">
        <f>IFERROR(VLOOKUP(AQ177,'[1]Harga &amp; Nama CSO'!$H$2:$N$22,2,FALSE),"")*AV177</f>
        <v>#VALUE!</v>
      </c>
      <c r="BO177" s="40"/>
      <c r="BP177" s="39"/>
      <c r="BQ177" s="59"/>
      <c r="BR177" s="39"/>
      <c r="BS177" s="57" t="e">
        <f t="shared" si="23"/>
        <v>#VALUE!</v>
      </c>
      <c r="BT177" s="60"/>
      <c r="BU177" s="8">
        <v>0</v>
      </c>
      <c r="BV177" s="58" t="e">
        <f>VLOOKUP(AQ177,'[1]Harga &amp; Nama CSO'!$A$28:$D$31,4,0)*BP177</f>
        <v>#N/A</v>
      </c>
    </row>
    <row r="178" spans="41:74" x14ac:dyDescent="0.35">
      <c r="AO178" s="39">
        <v>176</v>
      </c>
      <c r="AP178" s="60"/>
      <c r="AQ178" s="41"/>
      <c r="AR178" s="42" t="str">
        <f>IFERROR(VLOOKUP(AU178,[1]SUMMARY!$A$3:$B$7,2,FALSE),"")</f>
        <v/>
      </c>
      <c r="AS178" s="42"/>
      <c r="AT178" s="31" t="e">
        <f>VLOOKUP(AS178,[1]OUTLET!$B:$C,2,0)</f>
        <v>#N/A</v>
      </c>
      <c r="AU178" s="42"/>
      <c r="AV178" s="39"/>
      <c r="AW178" s="44">
        <f>IFERROR(VLOOKUP(AQ178,'[1]Harga &amp; Nama CSO'!$A$116:$L$136,2,FALSE),0)*AV178</f>
        <v>0</v>
      </c>
      <c r="AX178" s="44">
        <f>IFERROR(VLOOKUP(AQ178,'[1]Harga &amp; Nama CSO'!$A$116:$L$136,3,FALSE),0)*AV178</f>
        <v>0</v>
      </c>
      <c r="AY178" s="44">
        <f>IFERROR(VLOOKUP(AQ178,'[1]Harga &amp; Nama CSO'!$A$116:$L$136,4,FALSE),0)*AV178</f>
        <v>0</v>
      </c>
      <c r="AZ178" s="44">
        <f>IFERROR(VLOOKUP(AQ178,'[1]Harga &amp; Nama CSO'!$A$116:$L$136,5,FALSE),0)*AV178</f>
        <v>0</v>
      </c>
      <c r="BA178" s="44">
        <f>IFERROR(VLOOKUP(AQ178,'[1]Harga &amp; Nama CSO'!$A$116:$L$136,6,FALSE),0)*AV178</f>
        <v>0</v>
      </c>
      <c r="BB178" s="44">
        <f>IFERROR(VLOOKUP(AQ178,'[1]Harga &amp; Nama CSO'!$A$116:$L$136,7,FALSE),0)*AV178</f>
        <v>0</v>
      </c>
      <c r="BC178" s="44">
        <f>IFERROR(VLOOKUP(AQ178,'[1]Harga &amp; Nama CSO'!$A$116:$L$136,8,FALSE),0)*AV178</f>
        <v>0</v>
      </c>
      <c r="BD178" s="44">
        <f>IFERROR(VLOOKUP(AQ178,'[1]Harga &amp; Nama CSO'!$A$116:$L$136,9,FALSE),0)*AV178</f>
        <v>0</v>
      </c>
      <c r="BE178" s="44">
        <f>IFERROR(VLOOKUP(AQ178,'[1]Harga &amp; Nama CSO'!$A$116:$L$136,10,FALSE),0)*AV178</f>
        <v>0</v>
      </c>
      <c r="BF178" s="44">
        <f>IFERROR(VLOOKUP(AQ178,'[1]Harga &amp; Nama CSO'!$A$116:$L$136,11,FALSE),0)*AV178</f>
        <v>0</v>
      </c>
      <c r="BG178" s="44">
        <f>IFERROR(VLOOKUP(AQ178,'[1]Harga &amp; Nama CSO'!$A$116:$L$136,12,FALSE),0)*AV178</f>
        <v>0</v>
      </c>
      <c r="BH178" s="44">
        <f>IFERROR(VLOOKUP(AQ178,'[1]Harga &amp; Nama CSO'!$A$116:$R$136,13,FALSE),0)*AV178</f>
        <v>0</v>
      </c>
      <c r="BI178" s="44">
        <f>IFERROR(VLOOKUP(AQ178,'[1]Harga &amp; Nama CSO'!$A$116:$R$136,14,FALSE),0)*AV178</f>
        <v>0</v>
      </c>
      <c r="BJ178" s="44">
        <f>IFERROR(VLOOKUP(AQ178,'[1]Harga &amp; Nama CSO'!$A$116:$R$136,15,FALSE),0)*AV178</f>
        <v>0</v>
      </c>
      <c r="BK178" s="44">
        <f>IFERROR(VLOOKUP(AQ178,'[1]Harga &amp; Nama CSO'!$A$116:$R$136,16,FALSE),0)*AV178</f>
        <v>0</v>
      </c>
      <c r="BL178" s="44">
        <f>IFERROR(VLOOKUP(AQ178,'[1]Harga &amp; Nama CSO'!$A$116:$R$136,17,FALSE),0)*AV178</f>
        <v>0</v>
      </c>
      <c r="BM178" s="44">
        <f>IFERROR(VLOOKUP(AQ178,'[1]Harga &amp; Nama CSO'!$A$116:$R$136,18,FALSE),0)*AV178</f>
        <v>0</v>
      </c>
      <c r="BN178" s="55" t="e">
        <f>IFERROR(VLOOKUP(AQ178,'[1]Harga &amp; Nama CSO'!$H$2:$N$22,2,FALSE),"")*AV178</f>
        <v>#VALUE!</v>
      </c>
      <c r="BO178" s="40"/>
      <c r="BP178" s="39"/>
      <c r="BQ178" s="59"/>
      <c r="BR178" s="39"/>
      <c r="BS178" s="57" t="e">
        <f t="shared" si="23"/>
        <v>#VALUE!</v>
      </c>
      <c r="BT178" s="60"/>
      <c r="BU178" s="8">
        <v>0</v>
      </c>
      <c r="BV178" s="58" t="e">
        <f>VLOOKUP(AQ178,'[1]Harga &amp; Nama CSO'!$A$28:$D$31,4,0)*BP178</f>
        <v>#N/A</v>
      </c>
    </row>
    <row r="179" spans="41:74" x14ac:dyDescent="0.35">
      <c r="AO179" s="39">
        <v>177</v>
      </c>
      <c r="AP179" s="60"/>
      <c r="AQ179" s="41"/>
      <c r="AR179" s="42" t="str">
        <f>IFERROR(VLOOKUP(AU179,[1]SUMMARY!$A$3:$B$7,2,FALSE),"")</f>
        <v/>
      </c>
      <c r="AS179" s="42"/>
      <c r="AT179" s="31" t="e">
        <f>VLOOKUP(AS179,[1]OUTLET!$B:$C,2,0)</f>
        <v>#N/A</v>
      </c>
      <c r="AU179" s="42"/>
      <c r="AV179" s="39"/>
      <c r="AW179" s="44">
        <f>IFERROR(VLOOKUP(AQ179,'[1]Harga &amp; Nama CSO'!$A$116:$L$136,2,FALSE),0)*AV179</f>
        <v>0</v>
      </c>
      <c r="AX179" s="44">
        <f>IFERROR(VLOOKUP(AQ179,'[1]Harga &amp; Nama CSO'!$A$116:$L$136,3,FALSE),0)*AV179</f>
        <v>0</v>
      </c>
      <c r="AY179" s="44">
        <f>IFERROR(VLOOKUP(AQ179,'[1]Harga &amp; Nama CSO'!$A$116:$L$136,4,FALSE),0)*AV179</f>
        <v>0</v>
      </c>
      <c r="AZ179" s="44">
        <f>IFERROR(VLOOKUP(AQ179,'[1]Harga &amp; Nama CSO'!$A$116:$L$136,5,FALSE),0)*AV179</f>
        <v>0</v>
      </c>
      <c r="BA179" s="44">
        <f>IFERROR(VLOOKUP(AQ179,'[1]Harga &amp; Nama CSO'!$A$116:$L$136,6,FALSE),0)*AV179</f>
        <v>0</v>
      </c>
      <c r="BB179" s="44">
        <f>IFERROR(VLOOKUP(AQ179,'[1]Harga &amp; Nama CSO'!$A$116:$L$136,7,FALSE),0)*AV179</f>
        <v>0</v>
      </c>
      <c r="BC179" s="44">
        <f>IFERROR(VLOOKUP(AQ179,'[1]Harga &amp; Nama CSO'!$A$116:$L$136,8,FALSE),0)*AV179</f>
        <v>0</v>
      </c>
      <c r="BD179" s="44">
        <f>IFERROR(VLOOKUP(AQ179,'[1]Harga &amp; Nama CSO'!$A$116:$L$136,9,FALSE),0)*AV179</f>
        <v>0</v>
      </c>
      <c r="BE179" s="44">
        <f>IFERROR(VLOOKUP(AQ179,'[1]Harga &amp; Nama CSO'!$A$116:$L$136,10,FALSE),0)*AV179</f>
        <v>0</v>
      </c>
      <c r="BF179" s="44">
        <f>IFERROR(VLOOKUP(AQ179,'[1]Harga &amp; Nama CSO'!$A$116:$L$136,11,FALSE),0)*AV179</f>
        <v>0</v>
      </c>
      <c r="BG179" s="44">
        <f>IFERROR(VLOOKUP(AQ179,'[1]Harga &amp; Nama CSO'!$A$116:$L$136,12,FALSE),0)*AV179</f>
        <v>0</v>
      </c>
      <c r="BH179" s="44">
        <f>IFERROR(VLOOKUP(AQ179,'[1]Harga &amp; Nama CSO'!$A$116:$R$136,13,FALSE),0)*AV179</f>
        <v>0</v>
      </c>
      <c r="BI179" s="44">
        <f>IFERROR(VLOOKUP(AQ179,'[1]Harga &amp; Nama CSO'!$A$116:$R$136,14,FALSE),0)*AV179</f>
        <v>0</v>
      </c>
      <c r="BJ179" s="44">
        <f>IFERROR(VLOOKUP(AQ179,'[1]Harga &amp; Nama CSO'!$A$116:$R$136,15,FALSE),0)*AV179</f>
        <v>0</v>
      </c>
      <c r="BK179" s="44">
        <f>IFERROR(VLOOKUP(AQ179,'[1]Harga &amp; Nama CSO'!$A$116:$R$136,16,FALSE),0)*AV179</f>
        <v>0</v>
      </c>
      <c r="BL179" s="44">
        <f>IFERROR(VLOOKUP(AQ179,'[1]Harga &amp; Nama CSO'!$A$116:$R$136,17,FALSE),0)*AV179</f>
        <v>0</v>
      </c>
      <c r="BM179" s="44">
        <f>IFERROR(VLOOKUP(AQ179,'[1]Harga &amp; Nama CSO'!$A$116:$R$136,18,FALSE),0)*AV179</f>
        <v>0</v>
      </c>
      <c r="BN179" s="55" t="e">
        <f>IFERROR(VLOOKUP(AQ179,'[1]Harga &amp; Nama CSO'!$H$2:$N$22,2,FALSE),"")*AV179</f>
        <v>#VALUE!</v>
      </c>
      <c r="BO179" s="40"/>
      <c r="BP179" s="39"/>
      <c r="BQ179" s="59"/>
      <c r="BR179" s="39"/>
      <c r="BS179" s="57" t="e">
        <f t="shared" si="23"/>
        <v>#VALUE!</v>
      </c>
      <c r="BT179" s="60"/>
      <c r="BU179" s="8">
        <v>0</v>
      </c>
      <c r="BV179" s="58" t="e">
        <f>VLOOKUP(AQ179,'[1]Harga &amp; Nama CSO'!$A$28:$D$31,4,0)*BP179</f>
        <v>#N/A</v>
      </c>
    </row>
    <row r="180" spans="41:74" x14ac:dyDescent="0.35">
      <c r="AO180" s="39">
        <v>178</v>
      </c>
      <c r="AP180" s="60"/>
      <c r="AQ180" s="41"/>
      <c r="AR180" s="42" t="str">
        <f>IFERROR(VLOOKUP(AU180,[1]SUMMARY!$A$3:$B$7,2,FALSE),"")</f>
        <v/>
      </c>
      <c r="AS180" s="42"/>
      <c r="AT180" s="31" t="e">
        <f>VLOOKUP(AS180,[1]OUTLET!$B:$C,2,0)</f>
        <v>#N/A</v>
      </c>
      <c r="AU180" s="42"/>
      <c r="AV180" s="39"/>
      <c r="AW180" s="44">
        <f>IFERROR(VLOOKUP(AQ180,'[1]Harga &amp; Nama CSO'!$A$116:$L$136,2,FALSE),0)*AV180</f>
        <v>0</v>
      </c>
      <c r="AX180" s="44">
        <f>IFERROR(VLOOKUP(AQ180,'[1]Harga &amp; Nama CSO'!$A$116:$L$136,3,FALSE),0)*AV180</f>
        <v>0</v>
      </c>
      <c r="AY180" s="44">
        <f>IFERROR(VLOOKUP(AQ180,'[1]Harga &amp; Nama CSO'!$A$116:$L$136,4,FALSE),0)*AV180</f>
        <v>0</v>
      </c>
      <c r="AZ180" s="44">
        <f>IFERROR(VLOOKUP(AQ180,'[1]Harga &amp; Nama CSO'!$A$116:$L$136,5,FALSE),0)*AV180</f>
        <v>0</v>
      </c>
      <c r="BA180" s="44">
        <f>IFERROR(VLOOKUP(AQ180,'[1]Harga &amp; Nama CSO'!$A$116:$L$136,6,FALSE),0)*AV180</f>
        <v>0</v>
      </c>
      <c r="BB180" s="44">
        <f>IFERROR(VLOOKUP(AQ180,'[1]Harga &amp; Nama CSO'!$A$116:$L$136,7,FALSE),0)*AV180</f>
        <v>0</v>
      </c>
      <c r="BC180" s="44">
        <f>IFERROR(VLOOKUP(AQ180,'[1]Harga &amp; Nama CSO'!$A$116:$L$136,8,FALSE),0)*AV180</f>
        <v>0</v>
      </c>
      <c r="BD180" s="44">
        <f>IFERROR(VLOOKUP(AQ180,'[1]Harga &amp; Nama CSO'!$A$116:$L$136,9,FALSE),0)*AV180</f>
        <v>0</v>
      </c>
      <c r="BE180" s="44">
        <f>IFERROR(VLOOKUP(AQ180,'[1]Harga &amp; Nama CSO'!$A$116:$L$136,10,FALSE),0)*AV180</f>
        <v>0</v>
      </c>
      <c r="BF180" s="44">
        <f>IFERROR(VLOOKUP(AQ180,'[1]Harga &amp; Nama CSO'!$A$116:$L$136,11,FALSE),0)*AV180</f>
        <v>0</v>
      </c>
      <c r="BG180" s="44">
        <f>IFERROR(VLOOKUP(AQ180,'[1]Harga &amp; Nama CSO'!$A$116:$L$136,12,FALSE),0)*AV180</f>
        <v>0</v>
      </c>
      <c r="BH180" s="44">
        <f>IFERROR(VLOOKUP(AQ180,'[1]Harga &amp; Nama CSO'!$A$116:$R$136,13,FALSE),0)*AV180</f>
        <v>0</v>
      </c>
      <c r="BI180" s="44">
        <f>IFERROR(VLOOKUP(AQ180,'[1]Harga &amp; Nama CSO'!$A$116:$R$136,14,FALSE),0)*AV180</f>
        <v>0</v>
      </c>
      <c r="BJ180" s="44">
        <f>IFERROR(VLOOKUP(AQ180,'[1]Harga &amp; Nama CSO'!$A$116:$R$136,15,FALSE),0)*AV180</f>
        <v>0</v>
      </c>
      <c r="BK180" s="44">
        <f>IFERROR(VLOOKUP(AQ180,'[1]Harga &amp; Nama CSO'!$A$116:$R$136,16,FALSE),0)*AV180</f>
        <v>0</v>
      </c>
      <c r="BL180" s="44">
        <f>IFERROR(VLOOKUP(AQ180,'[1]Harga &amp; Nama CSO'!$A$116:$R$136,17,FALSE),0)*AV180</f>
        <v>0</v>
      </c>
      <c r="BM180" s="44">
        <f>IFERROR(VLOOKUP(AQ180,'[1]Harga &amp; Nama CSO'!$A$116:$R$136,18,FALSE),0)*AV180</f>
        <v>0</v>
      </c>
      <c r="BN180" s="55" t="e">
        <f>IFERROR(VLOOKUP(AQ180,'[1]Harga &amp; Nama CSO'!$H$2:$N$22,2,FALSE),"")*AV180</f>
        <v>#VALUE!</v>
      </c>
      <c r="BO180" s="40"/>
      <c r="BP180" s="39"/>
      <c r="BQ180" s="59"/>
      <c r="BR180" s="39"/>
      <c r="BS180" s="57" t="e">
        <f t="shared" si="23"/>
        <v>#VALUE!</v>
      </c>
      <c r="BT180" s="60"/>
      <c r="BU180" s="8">
        <v>0</v>
      </c>
      <c r="BV180" s="58" t="e">
        <f>VLOOKUP(AQ180,'[1]Harga &amp; Nama CSO'!$A$28:$D$31,4,0)*BP180</f>
        <v>#N/A</v>
      </c>
    </row>
    <row r="181" spans="41:74" x14ac:dyDescent="0.35">
      <c r="AO181" s="39">
        <v>179</v>
      </c>
      <c r="AP181" s="60"/>
      <c r="AQ181" s="41"/>
      <c r="AR181" s="42" t="str">
        <f>IFERROR(VLOOKUP(AU181,[1]SUMMARY!$A$3:$B$7,2,FALSE),"")</f>
        <v/>
      </c>
      <c r="AS181" s="42"/>
      <c r="AT181" s="31" t="e">
        <f>VLOOKUP(AS181,[1]OUTLET!$B:$C,2,0)</f>
        <v>#N/A</v>
      </c>
      <c r="AU181" s="31"/>
      <c r="AV181" s="39"/>
      <c r="AW181" s="44">
        <f>IFERROR(VLOOKUP(AQ181,'[1]Harga &amp; Nama CSO'!$A$116:$L$136,2,FALSE),0)*AV181</f>
        <v>0</v>
      </c>
      <c r="AX181" s="44">
        <f>IFERROR(VLOOKUP(AQ181,'[1]Harga &amp; Nama CSO'!$A$116:$L$136,3,FALSE),0)*AV181</f>
        <v>0</v>
      </c>
      <c r="AY181" s="44">
        <f>IFERROR(VLOOKUP(AQ181,'[1]Harga &amp; Nama CSO'!$A$116:$L$136,4,FALSE),0)*AV181</f>
        <v>0</v>
      </c>
      <c r="AZ181" s="44">
        <f>IFERROR(VLOOKUP(AQ181,'[1]Harga &amp; Nama CSO'!$A$116:$L$136,5,FALSE),0)*AV181</f>
        <v>0</v>
      </c>
      <c r="BA181" s="44">
        <f>IFERROR(VLOOKUP(AQ181,'[1]Harga &amp; Nama CSO'!$A$116:$L$136,6,FALSE),0)*AV181</f>
        <v>0</v>
      </c>
      <c r="BB181" s="44">
        <f>IFERROR(VLOOKUP(AQ181,'[1]Harga &amp; Nama CSO'!$A$116:$L$136,7,FALSE),0)*AV181</f>
        <v>0</v>
      </c>
      <c r="BC181" s="44">
        <f>IFERROR(VLOOKUP(AQ181,'[1]Harga &amp; Nama CSO'!$A$116:$L$136,8,FALSE),0)*AV181</f>
        <v>0</v>
      </c>
      <c r="BD181" s="44">
        <f>IFERROR(VLOOKUP(AQ181,'[1]Harga &amp; Nama CSO'!$A$116:$L$136,9,FALSE),0)*AV181</f>
        <v>0</v>
      </c>
      <c r="BE181" s="44">
        <f>IFERROR(VLOOKUP(AQ181,'[1]Harga &amp; Nama CSO'!$A$116:$L$136,10,FALSE),0)*AV181</f>
        <v>0</v>
      </c>
      <c r="BF181" s="44">
        <f>IFERROR(VLOOKUP(AQ181,'[1]Harga &amp; Nama CSO'!$A$116:$L$136,11,FALSE),0)*AV181</f>
        <v>0</v>
      </c>
      <c r="BG181" s="44">
        <f>IFERROR(VLOOKUP(AQ181,'[1]Harga &amp; Nama CSO'!$A$116:$L$136,12,FALSE),0)*AV181</f>
        <v>0</v>
      </c>
      <c r="BH181" s="44">
        <f>IFERROR(VLOOKUP(AQ181,'[1]Harga &amp; Nama CSO'!$A$116:$R$136,13,FALSE),0)*AV181</f>
        <v>0</v>
      </c>
      <c r="BI181" s="44">
        <f>IFERROR(VLOOKUP(AQ181,'[1]Harga &amp; Nama CSO'!$A$116:$R$136,14,FALSE),0)*AV181</f>
        <v>0</v>
      </c>
      <c r="BJ181" s="44">
        <f>IFERROR(VLOOKUP(AQ181,'[1]Harga &amp; Nama CSO'!$A$116:$R$136,15,FALSE),0)*AV181</f>
        <v>0</v>
      </c>
      <c r="BK181" s="44">
        <f>IFERROR(VLOOKUP(AQ181,'[1]Harga &amp; Nama CSO'!$A$116:$R$136,16,FALSE),0)*AV181</f>
        <v>0</v>
      </c>
      <c r="BL181" s="44">
        <f>IFERROR(VLOOKUP(AQ181,'[1]Harga &amp; Nama CSO'!$A$116:$R$136,17,FALSE),0)*AV181</f>
        <v>0</v>
      </c>
      <c r="BM181" s="44">
        <f>IFERROR(VLOOKUP(AQ181,'[1]Harga &amp; Nama CSO'!$A$116:$R$136,18,FALSE),0)*AV181</f>
        <v>0</v>
      </c>
      <c r="BN181" s="55" t="e">
        <f>IFERROR(VLOOKUP(AQ181,'[1]Harga &amp; Nama CSO'!$H$2:$N$22,2,FALSE),"")*AV181</f>
        <v>#VALUE!</v>
      </c>
      <c r="BO181" s="40"/>
      <c r="BP181" s="39"/>
      <c r="BQ181" s="59"/>
      <c r="BR181" s="39"/>
      <c r="BS181" s="57" t="e">
        <f t="shared" si="23"/>
        <v>#VALUE!</v>
      </c>
      <c r="BT181" s="60"/>
      <c r="BU181" s="8">
        <v>0</v>
      </c>
      <c r="BV181" s="58" t="e">
        <f>VLOOKUP(AQ181,'[1]Harga &amp; Nama CSO'!$A$28:$D$31,4,0)*BP181</f>
        <v>#N/A</v>
      </c>
    </row>
    <row r="182" spans="41:74" x14ac:dyDescent="0.35">
      <c r="AO182" s="39">
        <v>180</v>
      </c>
      <c r="AP182" s="60"/>
      <c r="AQ182" s="41"/>
      <c r="AR182" s="42" t="str">
        <f>IFERROR(VLOOKUP(AU182,[1]SUMMARY!$A$3:$B$7,2,FALSE),"")</f>
        <v/>
      </c>
      <c r="AS182" s="42"/>
      <c r="AT182" s="31" t="e">
        <f>VLOOKUP(AS182,[1]OUTLET!$B:$C,2,0)</f>
        <v>#N/A</v>
      </c>
      <c r="AU182" s="31"/>
      <c r="AV182" s="39"/>
      <c r="AW182" s="44">
        <f>IFERROR(VLOOKUP(AQ182,'[1]Harga &amp; Nama CSO'!$A$116:$L$136,2,FALSE),0)*AV182</f>
        <v>0</v>
      </c>
      <c r="AX182" s="44">
        <f>IFERROR(VLOOKUP(AQ182,'[1]Harga &amp; Nama CSO'!$A$116:$L$136,3,FALSE),0)*AV182</f>
        <v>0</v>
      </c>
      <c r="AY182" s="44">
        <f>IFERROR(VLOOKUP(AQ182,'[1]Harga &amp; Nama CSO'!$A$116:$L$136,4,FALSE),0)*AV182</f>
        <v>0</v>
      </c>
      <c r="AZ182" s="44">
        <f>IFERROR(VLOOKUP(AQ182,'[1]Harga &amp; Nama CSO'!$A$116:$L$136,5,FALSE),0)*AV182</f>
        <v>0</v>
      </c>
      <c r="BA182" s="44">
        <f>IFERROR(VLOOKUP(AQ182,'[1]Harga &amp; Nama CSO'!$A$116:$L$136,6,FALSE),0)*AV182</f>
        <v>0</v>
      </c>
      <c r="BB182" s="44">
        <f>IFERROR(VLOOKUP(AQ182,'[1]Harga &amp; Nama CSO'!$A$116:$L$136,7,FALSE),0)*AV182</f>
        <v>0</v>
      </c>
      <c r="BC182" s="44">
        <f>IFERROR(VLOOKUP(AQ182,'[1]Harga &amp; Nama CSO'!$A$116:$L$136,8,FALSE),0)*AV182</f>
        <v>0</v>
      </c>
      <c r="BD182" s="44">
        <f>IFERROR(VLOOKUP(AQ182,'[1]Harga &amp; Nama CSO'!$A$116:$L$136,9,FALSE),0)*AV182</f>
        <v>0</v>
      </c>
      <c r="BE182" s="44">
        <f>IFERROR(VLOOKUP(AQ182,'[1]Harga &amp; Nama CSO'!$A$116:$L$136,10,FALSE),0)*AV182</f>
        <v>0</v>
      </c>
      <c r="BF182" s="44">
        <f>IFERROR(VLOOKUP(AQ182,'[1]Harga &amp; Nama CSO'!$A$116:$L$136,11,FALSE),0)*AV182</f>
        <v>0</v>
      </c>
      <c r="BG182" s="44">
        <f>IFERROR(VLOOKUP(AQ182,'[1]Harga &amp; Nama CSO'!$A$116:$L$136,12,FALSE),0)*AV182</f>
        <v>0</v>
      </c>
      <c r="BH182" s="44">
        <f>IFERROR(VLOOKUP(AQ182,'[1]Harga &amp; Nama CSO'!$A$116:$R$136,13,FALSE),0)*AV182</f>
        <v>0</v>
      </c>
      <c r="BI182" s="44">
        <f>IFERROR(VLOOKUP(AQ182,'[1]Harga &amp; Nama CSO'!$A$116:$R$136,14,FALSE),0)*AV182</f>
        <v>0</v>
      </c>
      <c r="BJ182" s="44">
        <f>IFERROR(VLOOKUP(AQ182,'[1]Harga &amp; Nama CSO'!$A$116:$R$136,15,FALSE),0)*AV182</f>
        <v>0</v>
      </c>
      <c r="BK182" s="44">
        <f>IFERROR(VLOOKUP(AQ182,'[1]Harga &amp; Nama CSO'!$A$116:$R$136,16,FALSE),0)*AV182</f>
        <v>0</v>
      </c>
      <c r="BL182" s="44">
        <f>IFERROR(VLOOKUP(AQ182,'[1]Harga &amp; Nama CSO'!$A$116:$R$136,17,FALSE),0)*AV182</f>
        <v>0</v>
      </c>
      <c r="BM182" s="44">
        <f>IFERROR(VLOOKUP(AQ182,'[1]Harga &amp; Nama CSO'!$A$116:$R$136,18,FALSE),0)*AV182</f>
        <v>0</v>
      </c>
      <c r="BN182" s="55" t="e">
        <f>IFERROR(VLOOKUP(AQ182,'[1]Harga &amp; Nama CSO'!$H$2:$N$22,2,FALSE),"")*AV182</f>
        <v>#VALUE!</v>
      </c>
      <c r="BO182" s="40"/>
      <c r="BP182" s="39"/>
      <c r="BQ182" s="59"/>
      <c r="BR182" s="39"/>
      <c r="BS182" s="57" t="e">
        <f t="shared" si="23"/>
        <v>#VALUE!</v>
      </c>
      <c r="BT182" s="60"/>
      <c r="BU182" s="8">
        <v>0</v>
      </c>
      <c r="BV182" s="58" t="e">
        <f>VLOOKUP(AQ182,'[1]Harga &amp; Nama CSO'!$A$28:$D$31,4,0)*BP182</f>
        <v>#N/A</v>
      </c>
    </row>
    <row r="183" spans="41:74" x14ac:dyDescent="0.35">
      <c r="AO183" s="39">
        <v>181</v>
      </c>
      <c r="AP183" s="60"/>
      <c r="AQ183" s="41"/>
      <c r="AR183" s="42" t="str">
        <f>IFERROR(VLOOKUP(AU183,[1]SUMMARY!$A$3:$B$7,2,FALSE),"")</f>
        <v/>
      </c>
      <c r="AS183" s="42"/>
      <c r="AT183" s="31" t="e">
        <f>VLOOKUP(AS183,[1]OUTLET!$B:$C,2,0)</f>
        <v>#N/A</v>
      </c>
      <c r="AU183" s="31"/>
      <c r="AV183" s="39"/>
      <c r="AW183" s="44">
        <f>IFERROR(VLOOKUP(AQ183,'[1]Harga &amp; Nama CSO'!$A$116:$L$136,2,FALSE),0)*AV183</f>
        <v>0</v>
      </c>
      <c r="AX183" s="44">
        <f>IFERROR(VLOOKUP(AQ183,'[1]Harga &amp; Nama CSO'!$A$116:$L$136,3,FALSE),0)*AV183</f>
        <v>0</v>
      </c>
      <c r="AY183" s="44">
        <f>IFERROR(VLOOKUP(AQ183,'[1]Harga &amp; Nama CSO'!$A$116:$L$136,4,FALSE),0)*AV183</f>
        <v>0</v>
      </c>
      <c r="AZ183" s="44">
        <f>IFERROR(VLOOKUP(AQ183,'[1]Harga &amp; Nama CSO'!$A$116:$L$136,5,FALSE),0)*AV183</f>
        <v>0</v>
      </c>
      <c r="BA183" s="44">
        <f>IFERROR(VLOOKUP(AQ183,'[1]Harga &amp; Nama CSO'!$A$116:$L$136,6,FALSE),0)*AV183</f>
        <v>0</v>
      </c>
      <c r="BB183" s="44">
        <f>IFERROR(VLOOKUP(AQ183,'[1]Harga &amp; Nama CSO'!$A$116:$L$136,7,FALSE),0)*AV183</f>
        <v>0</v>
      </c>
      <c r="BC183" s="44">
        <f>IFERROR(VLOOKUP(AQ183,'[1]Harga &amp; Nama CSO'!$A$116:$L$136,8,FALSE),0)*AV183</f>
        <v>0</v>
      </c>
      <c r="BD183" s="44">
        <f>IFERROR(VLOOKUP(AQ183,'[1]Harga &amp; Nama CSO'!$A$116:$L$136,9,FALSE),0)*AV183</f>
        <v>0</v>
      </c>
      <c r="BE183" s="44">
        <f>IFERROR(VLOOKUP(AQ183,'[1]Harga &amp; Nama CSO'!$A$116:$L$136,10,FALSE),0)*AV183</f>
        <v>0</v>
      </c>
      <c r="BF183" s="44">
        <f>IFERROR(VLOOKUP(AQ183,'[1]Harga &amp; Nama CSO'!$A$116:$L$136,11,FALSE),0)*AV183</f>
        <v>0</v>
      </c>
      <c r="BG183" s="44">
        <f>IFERROR(VLOOKUP(AQ183,'[1]Harga &amp; Nama CSO'!$A$116:$L$136,12,FALSE),0)*AV183</f>
        <v>0</v>
      </c>
      <c r="BH183" s="44">
        <f>IFERROR(VLOOKUP(AQ183,'[1]Harga &amp; Nama CSO'!$A$116:$R$136,13,FALSE),0)*AV183</f>
        <v>0</v>
      </c>
      <c r="BI183" s="44">
        <f>IFERROR(VLOOKUP(AQ183,'[1]Harga &amp; Nama CSO'!$A$116:$R$136,14,FALSE),0)*AV183</f>
        <v>0</v>
      </c>
      <c r="BJ183" s="44">
        <f>IFERROR(VLOOKUP(AQ183,'[1]Harga &amp; Nama CSO'!$A$116:$R$136,15,FALSE),0)*AV183</f>
        <v>0</v>
      </c>
      <c r="BK183" s="44">
        <f>IFERROR(VLOOKUP(AQ183,'[1]Harga &amp; Nama CSO'!$A$116:$R$136,16,FALSE),0)*AV183</f>
        <v>0</v>
      </c>
      <c r="BL183" s="44">
        <f>IFERROR(VLOOKUP(AQ183,'[1]Harga &amp; Nama CSO'!$A$116:$R$136,17,FALSE),0)*AV183</f>
        <v>0</v>
      </c>
      <c r="BM183" s="44">
        <f>IFERROR(VLOOKUP(AQ183,'[1]Harga &amp; Nama CSO'!$A$116:$R$136,18,FALSE),0)*AV183</f>
        <v>0</v>
      </c>
      <c r="BN183" s="55" t="e">
        <f>IFERROR(VLOOKUP(AQ183,'[1]Harga &amp; Nama CSO'!$H$2:$N$22,2,FALSE),"")*AV183</f>
        <v>#VALUE!</v>
      </c>
      <c r="BO183" s="40"/>
      <c r="BP183" s="39"/>
      <c r="BQ183" s="59"/>
      <c r="BR183" s="39"/>
      <c r="BS183" s="57" t="e">
        <f t="shared" si="23"/>
        <v>#VALUE!</v>
      </c>
      <c r="BT183" s="60"/>
      <c r="BU183" s="8">
        <v>0</v>
      </c>
      <c r="BV183" s="58" t="e">
        <f>VLOOKUP(AQ183,'[1]Harga &amp; Nama CSO'!$A$28:$D$31,4,0)*BP183</f>
        <v>#N/A</v>
      </c>
    </row>
    <row r="184" spans="41:74" x14ac:dyDescent="0.35">
      <c r="AO184" s="39">
        <v>182</v>
      </c>
      <c r="AP184" s="60"/>
      <c r="AQ184" s="41"/>
      <c r="AR184" s="42" t="str">
        <f>IFERROR(VLOOKUP(AU184,[1]SUMMARY!$A$3:$B$7,2,FALSE),"")</f>
        <v/>
      </c>
      <c r="AS184" s="42"/>
      <c r="AT184" s="31" t="e">
        <f>VLOOKUP(AS184,[1]OUTLET!$B:$C,2,0)</f>
        <v>#N/A</v>
      </c>
      <c r="AU184" s="31"/>
      <c r="AV184" s="39"/>
      <c r="AW184" s="44">
        <f>IFERROR(VLOOKUP(AQ184,'[1]Harga &amp; Nama CSO'!$A$116:$L$136,2,FALSE),0)*AV184</f>
        <v>0</v>
      </c>
      <c r="AX184" s="44">
        <f>IFERROR(VLOOKUP(AQ184,'[1]Harga &amp; Nama CSO'!$A$116:$L$136,3,FALSE),0)*AV184</f>
        <v>0</v>
      </c>
      <c r="AY184" s="44">
        <f>IFERROR(VLOOKUP(AQ184,'[1]Harga &amp; Nama CSO'!$A$116:$L$136,4,FALSE),0)*AV184</f>
        <v>0</v>
      </c>
      <c r="AZ184" s="44">
        <f>IFERROR(VLOOKUP(AQ184,'[1]Harga &amp; Nama CSO'!$A$116:$L$136,5,FALSE),0)*AV184</f>
        <v>0</v>
      </c>
      <c r="BA184" s="44">
        <f>IFERROR(VLOOKUP(AQ184,'[1]Harga &amp; Nama CSO'!$A$116:$L$136,6,FALSE),0)*AV184</f>
        <v>0</v>
      </c>
      <c r="BB184" s="44">
        <f>IFERROR(VLOOKUP(AQ184,'[1]Harga &amp; Nama CSO'!$A$116:$L$136,7,FALSE),0)*AV184</f>
        <v>0</v>
      </c>
      <c r="BC184" s="44">
        <f>IFERROR(VLOOKUP(AQ184,'[1]Harga &amp; Nama CSO'!$A$116:$L$136,8,FALSE),0)*AV184</f>
        <v>0</v>
      </c>
      <c r="BD184" s="44">
        <f>IFERROR(VLOOKUP(AQ184,'[1]Harga &amp; Nama CSO'!$A$116:$L$136,9,FALSE),0)*AV184</f>
        <v>0</v>
      </c>
      <c r="BE184" s="44">
        <f>IFERROR(VLOOKUP(AQ184,'[1]Harga &amp; Nama CSO'!$A$116:$L$136,10,FALSE),0)*AV184</f>
        <v>0</v>
      </c>
      <c r="BF184" s="44">
        <f>IFERROR(VLOOKUP(AQ184,'[1]Harga &amp; Nama CSO'!$A$116:$L$136,11,FALSE),0)*AV184</f>
        <v>0</v>
      </c>
      <c r="BG184" s="44">
        <f>IFERROR(VLOOKUP(AQ184,'[1]Harga &amp; Nama CSO'!$A$116:$L$136,12,FALSE),0)*AV184</f>
        <v>0</v>
      </c>
      <c r="BH184" s="44">
        <f>IFERROR(VLOOKUP(AQ184,'[1]Harga &amp; Nama CSO'!$A$116:$R$136,13,FALSE),0)*AV184</f>
        <v>0</v>
      </c>
      <c r="BI184" s="44">
        <f>IFERROR(VLOOKUP(AQ184,'[1]Harga &amp; Nama CSO'!$A$116:$R$136,14,FALSE),0)*AV184</f>
        <v>0</v>
      </c>
      <c r="BJ184" s="44">
        <f>IFERROR(VLOOKUP(AQ184,'[1]Harga &amp; Nama CSO'!$A$116:$R$136,15,FALSE),0)*AV184</f>
        <v>0</v>
      </c>
      <c r="BK184" s="44">
        <f>IFERROR(VLOOKUP(AQ184,'[1]Harga &amp; Nama CSO'!$A$116:$R$136,16,FALSE),0)*AV184</f>
        <v>0</v>
      </c>
      <c r="BL184" s="44">
        <f>IFERROR(VLOOKUP(AQ184,'[1]Harga &amp; Nama CSO'!$A$116:$R$136,17,FALSE),0)*AV184</f>
        <v>0</v>
      </c>
      <c r="BM184" s="44">
        <f>IFERROR(VLOOKUP(AQ184,'[1]Harga &amp; Nama CSO'!$A$116:$R$136,18,FALSE),0)*AV184</f>
        <v>0</v>
      </c>
      <c r="BN184" s="55" t="e">
        <f>IFERROR(VLOOKUP(AQ184,'[1]Harga &amp; Nama CSO'!$H$2:$N$22,2,FALSE),"")*AV184</f>
        <v>#VALUE!</v>
      </c>
      <c r="BO184" s="40"/>
      <c r="BP184" s="39"/>
      <c r="BQ184" s="59"/>
      <c r="BR184" s="39"/>
      <c r="BS184" s="57" t="e">
        <f t="shared" si="23"/>
        <v>#VALUE!</v>
      </c>
      <c r="BT184" s="60"/>
      <c r="BU184" s="8">
        <v>0</v>
      </c>
      <c r="BV184" s="58" t="e">
        <f>VLOOKUP(AQ184,'[1]Harga &amp; Nama CSO'!$A$28:$D$31,4,0)*BP184</f>
        <v>#N/A</v>
      </c>
    </row>
    <row r="185" spans="41:74" x14ac:dyDescent="0.35">
      <c r="AO185" s="39">
        <v>183</v>
      </c>
      <c r="AP185" s="60"/>
      <c r="AQ185" s="41"/>
      <c r="AR185" s="42" t="str">
        <f>IFERROR(VLOOKUP(AU185,[1]SUMMARY!$A$3:$B$7,2,FALSE),"")</f>
        <v/>
      </c>
      <c r="AS185" s="42"/>
      <c r="AT185" s="31" t="e">
        <f>VLOOKUP(AS185,[1]OUTLET!$B:$C,2,0)</f>
        <v>#N/A</v>
      </c>
      <c r="AU185" s="31"/>
      <c r="AV185" s="39"/>
      <c r="AW185" s="44">
        <f>IFERROR(VLOOKUP(AQ185,'[1]Harga &amp; Nama CSO'!$A$116:$L$136,2,FALSE),0)*AV185</f>
        <v>0</v>
      </c>
      <c r="AX185" s="44">
        <f>IFERROR(VLOOKUP(AQ185,'[1]Harga &amp; Nama CSO'!$A$116:$L$136,3,FALSE),0)*AV185</f>
        <v>0</v>
      </c>
      <c r="AY185" s="44">
        <f>IFERROR(VLOOKUP(AQ185,'[1]Harga &amp; Nama CSO'!$A$116:$L$136,4,FALSE),0)*AV185</f>
        <v>0</v>
      </c>
      <c r="AZ185" s="44">
        <f>IFERROR(VLOOKUP(AQ185,'[1]Harga &amp; Nama CSO'!$A$116:$L$136,5,FALSE),0)*AV185</f>
        <v>0</v>
      </c>
      <c r="BA185" s="44">
        <f>IFERROR(VLOOKUP(AQ185,'[1]Harga &amp; Nama CSO'!$A$116:$L$136,6,FALSE),0)*AV185</f>
        <v>0</v>
      </c>
      <c r="BB185" s="44">
        <f>IFERROR(VLOOKUP(AQ185,'[1]Harga &amp; Nama CSO'!$A$116:$L$136,7,FALSE),0)*AV185</f>
        <v>0</v>
      </c>
      <c r="BC185" s="44">
        <f>IFERROR(VLOOKUP(AQ185,'[1]Harga &amp; Nama CSO'!$A$116:$L$136,8,FALSE),0)*AV185</f>
        <v>0</v>
      </c>
      <c r="BD185" s="44">
        <f>IFERROR(VLOOKUP(AQ185,'[1]Harga &amp; Nama CSO'!$A$116:$L$136,9,FALSE),0)*AV185</f>
        <v>0</v>
      </c>
      <c r="BE185" s="44">
        <f>IFERROR(VLOOKUP(AQ185,'[1]Harga &amp; Nama CSO'!$A$116:$L$136,10,FALSE),0)*AV185</f>
        <v>0</v>
      </c>
      <c r="BF185" s="44">
        <f>IFERROR(VLOOKUP(AQ185,'[1]Harga &amp; Nama CSO'!$A$116:$L$136,11,FALSE),0)*AV185</f>
        <v>0</v>
      </c>
      <c r="BG185" s="44">
        <f>IFERROR(VLOOKUP(AQ185,'[1]Harga &amp; Nama CSO'!$A$116:$L$136,12,FALSE),0)*AV185</f>
        <v>0</v>
      </c>
      <c r="BH185" s="44">
        <f>IFERROR(VLOOKUP(AQ185,'[1]Harga &amp; Nama CSO'!$A$116:$R$136,13,FALSE),0)*AV185</f>
        <v>0</v>
      </c>
      <c r="BI185" s="44">
        <f>IFERROR(VLOOKUP(AQ185,'[1]Harga &amp; Nama CSO'!$A$116:$R$136,14,FALSE),0)*AV185</f>
        <v>0</v>
      </c>
      <c r="BJ185" s="44">
        <f>IFERROR(VLOOKUP(AQ185,'[1]Harga &amp; Nama CSO'!$A$116:$R$136,15,FALSE),0)*AV185</f>
        <v>0</v>
      </c>
      <c r="BK185" s="44">
        <f>IFERROR(VLOOKUP(AQ185,'[1]Harga &amp; Nama CSO'!$A$116:$R$136,16,FALSE),0)*AV185</f>
        <v>0</v>
      </c>
      <c r="BL185" s="44">
        <f>IFERROR(VLOOKUP(AQ185,'[1]Harga &amp; Nama CSO'!$A$116:$R$136,17,FALSE),0)*AV185</f>
        <v>0</v>
      </c>
      <c r="BM185" s="44">
        <f>IFERROR(VLOOKUP(AQ185,'[1]Harga &amp; Nama CSO'!$A$116:$R$136,18,FALSE),0)*AV185</f>
        <v>0</v>
      </c>
      <c r="BN185" s="55" t="e">
        <f>IFERROR(VLOOKUP(AQ185,'[1]Harga &amp; Nama CSO'!$H$2:$N$22,2,FALSE),"")*AV185</f>
        <v>#VALUE!</v>
      </c>
      <c r="BO185" s="40"/>
      <c r="BP185" s="39"/>
      <c r="BQ185" s="59"/>
      <c r="BR185" s="39"/>
      <c r="BS185" s="57" t="e">
        <f t="shared" si="23"/>
        <v>#VALUE!</v>
      </c>
      <c r="BT185" s="60"/>
      <c r="BU185" s="8">
        <v>0</v>
      </c>
      <c r="BV185" s="58" t="e">
        <f>VLOOKUP(AQ185,'[1]Harga &amp; Nama CSO'!$A$28:$D$31,4,0)*BP185</f>
        <v>#N/A</v>
      </c>
    </row>
    <row r="186" spans="41:74" x14ac:dyDescent="0.35">
      <c r="AO186" s="39">
        <v>184</v>
      </c>
      <c r="AP186" s="60"/>
      <c r="AQ186" s="41"/>
      <c r="AR186" s="42" t="str">
        <f>IFERROR(VLOOKUP(AU186,[1]SUMMARY!$A$3:$B$7,2,FALSE),"")</f>
        <v/>
      </c>
      <c r="AS186" s="42"/>
      <c r="AT186" s="31" t="e">
        <f>VLOOKUP(AS186,[1]OUTLET!$B:$C,2,0)</f>
        <v>#N/A</v>
      </c>
      <c r="AU186" s="31"/>
      <c r="AV186" s="39"/>
      <c r="AW186" s="44">
        <f>IFERROR(VLOOKUP(AQ186,'[1]Harga &amp; Nama CSO'!$A$116:$L$136,2,FALSE),0)*AV186</f>
        <v>0</v>
      </c>
      <c r="AX186" s="44">
        <f>IFERROR(VLOOKUP(AQ186,'[1]Harga &amp; Nama CSO'!$A$116:$L$136,3,FALSE),0)*AV186</f>
        <v>0</v>
      </c>
      <c r="AY186" s="44">
        <f>IFERROR(VLOOKUP(AQ186,'[1]Harga &amp; Nama CSO'!$A$116:$L$136,4,FALSE),0)*AV186</f>
        <v>0</v>
      </c>
      <c r="AZ186" s="44">
        <f>IFERROR(VLOOKUP(AQ186,'[1]Harga &amp; Nama CSO'!$A$116:$L$136,5,FALSE),0)*AV186</f>
        <v>0</v>
      </c>
      <c r="BA186" s="44">
        <f>IFERROR(VLOOKUP(AQ186,'[1]Harga &amp; Nama CSO'!$A$116:$L$136,6,FALSE),0)*AV186</f>
        <v>0</v>
      </c>
      <c r="BB186" s="44">
        <f>IFERROR(VLOOKUP(AQ186,'[1]Harga &amp; Nama CSO'!$A$116:$L$136,7,FALSE),0)*AV186</f>
        <v>0</v>
      </c>
      <c r="BC186" s="44">
        <f>IFERROR(VLOOKUP(AQ186,'[1]Harga &amp; Nama CSO'!$A$116:$L$136,8,FALSE),0)*AV186</f>
        <v>0</v>
      </c>
      <c r="BD186" s="44">
        <f>IFERROR(VLOOKUP(AQ186,'[1]Harga &amp; Nama CSO'!$A$116:$L$136,9,FALSE),0)*AV186</f>
        <v>0</v>
      </c>
      <c r="BE186" s="44">
        <f>IFERROR(VLOOKUP(AQ186,'[1]Harga &amp; Nama CSO'!$A$116:$L$136,10,FALSE),0)*AV186</f>
        <v>0</v>
      </c>
      <c r="BF186" s="44">
        <f>IFERROR(VLOOKUP(AQ186,'[1]Harga &amp; Nama CSO'!$A$116:$L$136,11,FALSE),0)*AV186</f>
        <v>0</v>
      </c>
      <c r="BG186" s="44">
        <f>IFERROR(VLOOKUP(AQ186,'[1]Harga &amp; Nama CSO'!$A$116:$L$136,12,FALSE),0)*AV186</f>
        <v>0</v>
      </c>
      <c r="BH186" s="44">
        <f>IFERROR(VLOOKUP(AQ186,'[1]Harga &amp; Nama CSO'!$A$116:$R$136,13,FALSE),0)*AV186</f>
        <v>0</v>
      </c>
      <c r="BI186" s="44">
        <f>IFERROR(VLOOKUP(AQ186,'[1]Harga &amp; Nama CSO'!$A$116:$R$136,14,FALSE),0)*AV186</f>
        <v>0</v>
      </c>
      <c r="BJ186" s="44">
        <f>IFERROR(VLOOKUP(AQ186,'[1]Harga &amp; Nama CSO'!$A$116:$R$136,15,FALSE),0)*AV186</f>
        <v>0</v>
      </c>
      <c r="BK186" s="44">
        <f>IFERROR(VLOOKUP(AQ186,'[1]Harga &amp; Nama CSO'!$A$116:$R$136,16,FALSE),0)*AV186</f>
        <v>0</v>
      </c>
      <c r="BL186" s="44">
        <f>IFERROR(VLOOKUP(AQ186,'[1]Harga &amp; Nama CSO'!$A$116:$R$136,17,FALSE),0)*AV186</f>
        <v>0</v>
      </c>
      <c r="BM186" s="44">
        <f>IFERROR(VLOOKUP(AQ186,'[1]Harga &amp; Nama CSO'!$A$116:$R$136,18,FALSE),0)*AV186</f>
        <v>0</v>
      </c>
      <c r="BN186" s="55" t="e">
        <f>IFERROR(VLOOKUP(AQ186,'[1]Harga &amp; Nama CSO'!$H$2:$N$22,2,FALSE),"")*AV186</f>
        <v>#VALUE!</v>
      </c>
      <c r="BO186" s="40"/>
      <c r="BP186" s="39"/>
      <c r="BQ186" s="59"/>
      <c r="BR186" s="39"/>
      <c r="BS186" s="57" t="e">
        <f t="shared" si="23"/>
        <v>#VALUE!</v>
      </c>
      <c r="BT186" s="60"/>
      <c r="BU186" s="8">
        <v>0</v>
      </c>
      <c r="BV186" s="58" t="e">
        <f>VLOOKUP(AQ186,'[1]Harga &amp; Nama CSO'!$A$28:$D$31,4,0)*BP186</f>
        <v>#N/A</v>
      </c>
    </row>
    <row r="187" spans="41:74" x14ac:dyDescent="0.35">
      <c r="AO187" s="39">
        <v>185</v>
      </c>
      <c r="AP187" s="60"/>
      <c r="AQ187" s="41"/>
      <c r="AR187" s="42" t="str">
        <f>IFERROR(VLOOKUP(AU187,[1]SUMMARY!$A$3:$B$7,2,FALSE),"")</f>
        <v/>
      </c>
      <c r="AS187" s="42"/>
      <c r="AT187" s="31" t="e">
        <f>VLOOKUP(AS187,[1]OUTLET!$B:$C,2,0)</f>
        <v>#N/A</v>
      </c>
      <c r="AU187" s="42"/>
      <c r="AV187" s="39"/>
      <c r="AW187" s="44">
        <f>IFERROR(VLOOKUP(AQ187,'[1]Harga &amp; Nama CSO'!$A$116:$L$136,2,FALSE),0)*AV187</f>
        <v>0</v>
      </c>
      <c r="AX187" s="44">
        <f>IFERROR(VLOOKUP(AQ187,'[1]Harga &amp; Nama CSO'!$A$116:$L$136,3,FALSE),0)*AV187</f>
        <v>0</v>
      </c>
      <c r="AY187" s="44">
        <f>IFERROR(VLOOKUP(AQ187,'[1]Harga &amp; Nama CSO'!$A$116:$L$136,4,FALSE),0)*AV187</f>
        <v>0</v>
      </c>
      <c r="AZ187" s="44">
        <f>IFERROR(VLOOKUP(AQ187,'[1]Harga &amp; Nama CSO'!$A$116:$L$136,5,FALSE),0)*AV187</f>
        <v>0</v>
      </c>
      <c r="BA187" s="44">
        <f>IFERROR(VLOOKUP(AQ187,'[1]Harga &amp; Nama CSO'!$A$116:$L$136,6,FALSE),0)*AV187</f>
        <v>0</v>
      </c>
      <c r="BB187" s="44">
        <f>IFERROR(VLOOKUP(AQ187,'[1]Harga &amp; Nama CSO'!$A$116:$L$136,7,FALSE),0)*AV187</f>
        <v>0</v>
      </c>
      <c r="BC187" s="44">
        <f>IFERROR(VLOOKUP(AQ187,'[1]Harga &amp; Nama CSO'!$A$116:$L$136,8,FALSE),0)*AV187</f>
        <v>0</v>
      </c>
      <c r="BD187" s="44">
        <f>IFERROR(VLOOKUP(AQ187,'[1]Harga &amp; Nama CSO'!$A$116:$L$136,9,FALSE),0)*AV187</f>
        <v>0</v>
      </c>
      <c r="BE187" s="44">
        <f>IFERROR(VLOOKUP(AQ187,'[1]Harga &amp; Nama CSO'!$A$116:$L$136,10,FALSE),0)*AV187</f>
        <v>0</v>
      </c>
      <c r="BF187" s="44">
        <f>IFERROR(VLOOKUP(AQ187,'[1]Harga &amp; Nama CSO'!$A$116:$L$136,11,FALSE),0)*AV187</f>
        <v>0</v>
      </c>
      <c r="BG187" s="44">
        <f>IFERROR(VLOOKUP(AQ187,'[1]Harga &amp; Nama CSO'!$A$116:$L$136,12,FALSE),0)*AV187</f>
        <v>0</v>
      </c>
      <c r="BH187" s="44">
        <f>IFERROR(VLOOKUP(AQ187,'[1]Harga &amp; Nama CSO'!$A$116:$R$136,13,FALSE),0)*AV187</f>
        <v>0</v>
      </c>
      <c r="BI187" s="44">
        <f>IFERROR(VLOOKUP(AQ187,'[1]Harga &amp; Nama CSO'!$A$116:$R$136,14,FALSE),0)*AV187</f>
        <v>0</v>
      </c>
      <c r="BJ187" s="44">
        <f>IFERROR(VLOOKUP(AQ187,'[1]Harga &amp; Nama CSO'!$A$116:$R$136,15,FALSE),0)*AV187</f>
        <v>0</v>
      </c>
      <c r="BK187" s="44">
        <f>IFERROR(VLOOKUP(AQ187,'[1]Harga &amp; Nama CSO'!$A$116:$R$136,16,FALSE),0)*AV187</f>
        <v>0</v>
      </c>
      <c r="BL187" s="44">
        <f>IFERROR(VLOOKUP(AQ187,'[1]Harga &amp; Nama CSO'!$A$116:$R$136,17,FALSE),0)*AV187</f>
        <v>0</v>
      </c>
      <c r="BM187" s="44">
        <f>IFERROR(VLOOKUP(AQ187,'[1]Harga &amp; Nama CSO'!$A$116:$R$136,18,FALSE),0)*AV187</f>
        <v>0</v>
      </c>
      <c r="BN187" s="55" t="e">
        <f>IFERROR(VLOOKUP(AQ187,'[1]Harga &amp; Nama CSO'!$H$2:$N$22,2,FALSE),"")*AV187</f>
        <v>#VALUE!</v>
      </c>
      <c r="BO187" s="40"/>
      <c r="BP187" s="39"/>
      <c r="BQ187" s="59"/>
      <c r="BR187" s="39"/>
      <c r="BS187" s="57" t="e">
        <f t="shared" si="23"/>
        <v>#VALUE!</v>
      </c>
      <c r="BT187" s="60"/>
      <c r="BU187" s="8">
        <v>0</v>
      </c>
      <c r="BV187" s="58" t="e">
        <f>VLOOKUP(AQ187,'[1]Harga &amp; Nama CSO'!$A$28:$D$31,4,0)*BP187</f>
        <v>#N/A</v>
      </c>
    </row>
    <row r="188" spans="41:74" x14ac:dyDescent="0.35">
      <c r="AO188" s="39">
        <v>186</v>
      </c>
      <c r="AP188" s="60"/>
      <c r="AQ188" s="41"/>
      <c r="AR188" s="42" t="str">
        <f>IFERROR(VLOOKUP(AU188,[1]SUMMARY!$A$3:$B$7,2,FALSE),"")</f>
        <v/>
      </c>
      <c r="AS188" s="42"/>
      <c r="AT188" s="31" t="e">
        <f>VLOOKUP(AS188,[1]OUTLET!$B:$C,2,0)</f>
        <v>#N/A</v>
      </c>
      <c r="AU188" s="42"/>
      <c r="AV188" s="39"/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0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55" t="e">
        <f>IFERROR(VLOOKUP(AQ188,'[1]Harga &amp; Nama CSO'!$H$2:$N$22,2,FALSE),"")*AV188</f>
        <v>#VALUE!</v>
      </c>
      <c r="BO188" s="40"/>
      <c r="BP188" s="39"/>
      <c r="BQ188" s="59"/>
      <c r="BR188" s="39"/>
      <c r="BS188" s="57" t="e">
        <f t="shared" si="23"/>
        <v>#VALUE!</v>
      </c>
      <c r="BT188" s="60"/>
      <c r="BU188" s="8">
        <v>0</v>
      </c>
      <c r="BV188" s="58" t="e">
        <f>VLOOKUP(AQ188,'[1]Harga &amp; Nama CSO'!$A$28:$D$31,4,0)*BP188</f>
        <v>#N/A</v>
      </c>
    </row>
    <row r="189" spans="41:74" x14ac:dyDescent="0.35">
      <c r="AO189" s="39">
        <v>187</v>
      </c>
      <c r="AP189" s="60"/>
      <c r="AQ189" s="41"/>
      <c r="AR189" s="42" t="str">
        <f>IFERROR(VLOOKUP(AU189,[1]SUMMARY!$A$3:$B$7,2,FALSE),"")</f>
        <v/>
      </c>
      <c r="AS189" s="42"/>
      <c r="AT189" s="31" t="e">
        <f>VLOOKUP(AS189,[1]OUTLET!$B:$C,2,0)</f>
        <v>#N/A</v>
      </c>
      <c r="AU189" s="42"/>
      <c r="AV189" s="39"/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0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55" t="e">
        <f>IFERROR(VLOOKUP(AQ189,'[1]Harga &amp; Nama CSO'!$H$2:$N$22,2,FALSE),"")*AV189</f>
        <v>#VALUE!</v>
      </c>
      <c r="BO189" s="40"/>
      <c r="BP189" s="39"/>
      <c r="BQ189" s="59"/>
      <c r="BR189" s="39"/>
      <c r="BS189" s="57" t="e">
        <f t="shared" si="23"/>
        <v>#VALUE!</v>
      </c>
      <c r="BT189" s="60"/>
      <c r="BU189" s="8">
        <v>0</v>
      </c>
      <c r="BV189" s="58" t="e">
        <f>VLOOKUP(AQ189,'[1]Harga &amp; Nama CSO'!$A$28:$D$31,4,0)*BP189</f>
        <v>#N/A</v>
      </c>
    </row>
    <row r="190" spans="41:74" x14ac:dyDescent="0.35">
      <c r="AO190" s="39">
        <v>188</v>
      </c>
      <c r="AP190" s="60"/>
      <c r="AQ190" s="41"/>
      <c r="AR190" s="42" t="str">
        <f>IFERROR(VLOOKUP(AU190,[1]SUMMARY!$A$3:$B$7,2,FALSE),"")</f>
        <v/>
      </c>
      <c r="AS190" s="42"/>
      <c r="AT190" s="31" t="e">
        <f>VLOOKUP(AS190,[1]OUTLET!$B:$C,2,0)</f>
        <v>#N/A</v>
      </c>
      <c r="AU190" s="42"/>
      <c r="AV190" s="39"/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0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55" t="e">
        <f>IFERROR(VLOOKUP(AQ190,'[1]Harga &amp; Nama CSO'!$H$2:$N$22,2,FALSE),"")*AV190</f>
        <v>#VALUE!</v>
      </c>
      <c r="BO190" s="40"/>
      <c r="BP190" s="39"/>
      <c r="BQ190" s="59"/>
      <c r="BR190" s="39"/>
      <c r="BS190" s="57" t="e">
        <f t="shared" si="23"/>
        <v>#VALUE!</v>
      </c>
      <c r="BT190" s="60"/>
      <c r="BU190" s="8">
        <v>0</v>
      </c>
      <c r="BV190" s="58" t="e">
        <f>VLOOKUP(AQ190,'[1]Harga &amp; Nama CSO'!$A$28:$D$31,4,0)*BP190</f>
        <v>#N/A</v>
      </c>
    </row>
    <row r="191" spans="41:74" x14ac:dyDescent="0.35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55" t="e">
        <f>IFERROR(VLOOKUP(AQ191,'[1]Harga &amp; Nama CSO'!$H$2:$N$22,2,FALSE),"")*AV191</f>
        <v>#VALUE!</v>
      </c>
      <c r="BO191" s="40"/>
      <c r="BP191" s="39"/>
      <c r="BQ191" s="59"/>
      <c r="BR191" s="39"/>
      <c r="BS191" s="57" t="e">
        <f t="shared" si="23"/>
        <v>#VALUE!</v>
      </c>
      <c r="BT191" s="60"/>
      <c r="BU191" s="8">
        <v>0</v>
      </c>
      <c r="BV191" s="58" t="e">
        <f>VLOOKUP(AQ191,'[1]Harga &amp; Nama CSO'!$A$28:$D$31,4,0)*BP191</f>
        <v>#N/A</v>
      </c>
    </row>
    <row r="192" spans="41:74" x14ac:dyDescent="0.35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55" t="e">
        <f>IFERROR(VLOOKUP(AQ192,'[1]Harga &amp; Nama CSO'!$H$2:$N$22,2,FALSE),"")*AV192</f>
        <v>#VALUE!</v>
      </c>
      <c r="BO192" s="40"/>
      <c r="BP192" s="39"/>
      <c r="BQ192" s="59"/>
      <c r="BR192" s="39"/>
      <c r="BS192" s="57" t="e">
        <f t="shared" si="23"/>
        <v>#VALUE!</v>
      </c>
      <c r="BT192" s="60"/>
      <c r="BU192" s="8">
        <v>0</v>
      </c>
      <c r="BV192" s="58" t="e">
        <f>VLOOKUP(AQ192,'[1]Harga &amp; Nama CSO'!$A$28:$D$31,4,0)*BP192</f>
        <v>#N/A</v>
      </c>
    </row>
    <row r="193" spans="41:74" x14ac:dyDescent="0.35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55" t="e">
        <f>IFERROR(VLOOKUP(AQ193,'[1]Harga &amp; Nama CSO'!$H$2:$N$22,2,FALSE),"")*AV193</f>
        <v>#VALUE!</v>
      </c>
      <c r="BO193" s="40"/>
      <c r="BP193" s="39"/>
      <c r="BQ193" s="59"/>
      <c r="BR193" s="39"/>
      <c r="BS193" s="57" t="e">
        <f t="shared" si="23"/>
        <v>#VALUE!</v>
      </c>
      <c r="BT193" s="60"/>
      <c r="BU193" s="8">
        <v>0</v>
      </c>
      <c r="BV193" s="58" t="e">
        <f>VLOOKUP(AQ193,'[1]Harga &amp; Nama CSO'!$A$28:$D$31,4,0)*BP193</f>
        <v>#N/A</v>
      </c>
    </row>
    <row r="194" spans="41:74" x14ac:dyDescent="0.35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55" t="e">
        <f>IFERROR(VLOOKUP(AQ194,'[1]Harga &amp; Nama CSO'!$H$2:$N$22,2,FALSE),"")*AV194</f>
        <v>#VALUE!</v>
      </c>
      <c r="BO194" s="40"/>
      <c r="BP194" s="39"/>
      <c r="BQ194" s="59"/>
      <c r="BR194" s="39"/>
      <c r="BS194" s="57" t="e">
        <f t="shared" si="23"/>
        <v>#VALUE!</v>
      </c>
      <c r="BT194" s="60"/>
      <c r="BU194" s="8">
        <v>0</v>
      </c>
      <c r="BV194" s="58" t="e">
        <f>VLOOKUP(AQ194,'[1]Harga &amp; Nama CSO'!$A$28:$D$31,4,0)*BP194</f>
        <v>#N/A</v>
      </c>
    </row>
    <row r="195" spans="41:74" x14ac:dyDescent="0.35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55" t="e">
        <f>IFERROR(VLOOKUP(AQ195,'[1]Harga &amp; Nama CSO'!$H$2:$N$22,2,FALSE),"")*AV195</f>
        <v>#VALUE!</v>
      </c>
      <c r="BO195" s="40"/>
      <c r="BP195" s="39"/>
      <c r="BQ195" s="59"/>
      <c r="BR195" s="39"/>
      <c r="BS195" s="57" t="e">
        <f t="shared" ref="BS195:BS258" si="24">BN195-BQ195</f>
        <v>#VALUE!</v>
      </c>
      <c r="BT195" s="60"/>
      <c r="BU195" s="8">
        <v>0</v>
      </c>
      <c r="BV195" s="58" t="e">
        <f>VLOOKUP(AQ195,'[1]Harga &amp; Nama CSO'!$A$28:$D$31,4,0)*BP195</f>
        <v>#N/A</v>
      </c>
    </row>
    <row r="196" spans="41:74" x14ac:dyDescent="0.35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55" t="e">
        <f>IFERROR(VLOOKUP(AQ196,'[1]Harga &amp; Nama CSO'!$H$2:$N$22,2,FALSE),"")*AV196</f>
        <v>#VALUE!</v>
      </c>
      <c r="BO196" s="40"/>
      <c r="BP196" s="39"/>
      <c r="BQ196" s="59"/>
      <c r="BR196" s="39"/>
      <c r="BS196" s="57" t="e">
        <f t="shared" si="24"/>
        <v>#VALUE!</v>
      </c>
      <c r="BT196" s="60"/>
      <c r="BU196" s="8">
        <v>0</v>
      </c>
      <c r="BV196" s="58" t="e">
        <f>VLOOKUP(AQ196,'[1]Harga &amp; Nama CSO'!$A$28:$D$31,4,0)*BP196</f>
        <v>#N/A</v>
      </c>
    </row>
    <row r="197" spans="41:74" x14ac:dyDescent="0.35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55" t="e">
        <f>IFERROR(VLOOKUP(AQ197,'[1]Harga &amp; Nama CSO'!$H$2:$N$22,2,FALSE),"")*AV197</f>
        <v>#VALUE!</v>
      </c>
      <c r="BO197" s="40"/>
      <c r="BP197" s="39"/>
      <c r="BQ197" s="59"/>
      <c r="BR197" s="39"/>
      <c r="BS197" s="57" t="e">
        <f t="shared" si="24"/>
        <v>#VALUE!</v>
      </c>
      <c r="BT197" s="60"/>
      <c r="BU197" s="8">
        <v>0</v>
      </c>
      <c r="BV197" s="58" t="e">
        <f>VLOOKUP(AQ197,'[1]Harga &amp; Nama CSO'!$A$28:$D$31,4,0)*BP197</f>
        <v>#N/A</v>
      </c>
    </row>
    <row r="198" spans="41:74" x14ac:dyDescent="0.35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55" t="e">
        <f>IFERROR(VLOOKUP(AQ198,'[1]Harga &amp; Nama CSO'!$H$2:$N$22,2,FALSE),"")*AV198</f>
        <v>#VALUE!</v>
      </c>
      <c r="BO198" s="40"/>
      <c r="BP198" s="39"/>
      <c r="BQ198" s="59"/>
      <c r="BR198" s="39"/>
      <c r="BS198" s="57" t="e">
        <f t="shared" si="24"/>
        <v>#VALUE!</v>
      </c>
      <c r="BT198" s="60"/>
      <c r="BU198" s="8">
        <v>0</v>
      </c>
      <c r="BV198" s="58" t="e">
        <f>VLOOKUP(AQ198,'[1]Harga &amp; Nama CSO'!$A$28:$D$31,4,0)*BP198</f>
        <v>#N/A</v>
      </c>
    </row>
    <row r="199" spans="41:74" x14ac:dyDescent="0.35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55" t="e">
        <f>IFERROR(VLOOKUP(AQ199,'[1]Harga &amp; Nama CSO'!$H$2:$N$22,2,FALSE),"")*AV199</f>
        <v>#VALUE!</v>
      </c>
      <c r="BO199" s="40"/>
      <c r="BP199" s="39"/>
      <c r="BQ199" s="59"/>
      <c r="BR199" s="39"/>
      <c r="BS199" s="57" t="e">
        <f t="shared" si="24"/>
        <v>#VALUE!</v>
      </c>
      <c r="BT199" s="60"/>
      <c r="BU199" s="8">
        <v>0</v>
      </c>
      <c r="BV199" s="58" t="e">
        <f>VLOOKUP(AQ199,'[1]Harga &amp; Nama CSO'!$A$28:$D$31,4,0)*BP199</f>
        <v>#N/A</v>
      </c>
    </row>
    <row r="200" spans="41:74" x14ac:dyDescent="0.35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55" t="e">
        <f>IFERROR(VLOOKUP(AQ200,'[1]Harga &amp; Nama CSO'!$H$2:$N$22,2,FALSE),"")*AV200</f>
        <v>#VALUE!</v>
      </c>
      <c r="BO200" s="40"/>
      <c r="BP200" s="39"/>
      <c r="BQ200" s="59"/>
      <c r="BR200" s="39"/>
      <c r="BS200" s="57" t="e">
        <f t="shared" si="24"/>
        <v>#VALUE!</v>
      </c>
      <c r="BT200" s="60"/>
      <c r="BU200" s="8">
        <v>0</v>
      </c>
      <c r="BV200" s="58" t="e">
        <f>VLOOKUP(AQ200,'[1]Harga &amp; Nama CSO'!$A$28:$D$31,4,0)*BP200</f>
        <v>#N/A</v>
      </c>
    </row>
    <row r="201" spans="41:74" x14ac:dyDescent="0.35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55" t="e">
        <f>IFERROR(VLOOKUP(AQ201,'[1]Harga &amp; Nama CSO'!$H$2:$N$22,2,FALSE),"")*AV201</f>
        <v>#VALUE!</v>
      </c>
      <c r="BO201" s="40"/>
      <c r="BP201" s="39"/>
      <c r="BQ201" s="59"/>
      <c r="BR201" s="39"/>
      <c r="BS201" s="57" t="e">
        <f t="shared" si="24"/>
        <v>#VALUE!</v>
      </c>
      <c r="BT201" s="60"/>
      <c r="BU201" s="8">
        <v>0</v>
      </c>
      <c r="BV201" s="58" t="e">
        <f>VLOOKUP(AQ201,'[1]Harga &amp; Nama CSO'!$A$28:$D$31,4,0)*BP201</f>
        <v>#N/A</v>
      </c>
    </row>
    <row r="202" spans="41:74" x14ac:dyDescent="0.35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55" t="e">
        <f>IFERROR(VLOOKUP(AQ202,'[1]Harga &amp; Nama CSO'!$H$2:$N$22,2,FALSE),"")*AV202</f>
        <v>#VALUE!</v>
      </c>
      <c r="BO202" s="40"/>
      <c r="BP202" s="39"/>
      <c r="BQ202" s="59"/>
      <c r="BR202" s="39"/>
      <c r="BS202" s="57" t="e">
        <f t="shared" si="24"/>
        <v>#VALUE!</v>
      </c>
      <c r="BT202" s="60"/>
      <c r="BU202" s="8">
        <v>0</v>
      </c>
      <c r="BV202" s="58" t="e">
        <f>VLOOKUP(AQ202,'[1]Harga &amp; Nama CSO'!$A$28:$D$31,4,0)*BP202</f>
        <v>#N/A</v>
      </c>
    </row>
    <row r="203" spans="41:74" x14ac:dyDescent="0.35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55" t="e">
        <f>IFERROR(VLOOKUP(AQ203,'[1]Harga &amp; Nama CSO'!$H$2:$N$22,2,FALSE),"")*AV203</f>
        <v>#VALUE!</v>
      </c>
      <c r="BO203" s="40"/>
      <c r="BP203" s="39"/>
      <c r="BQ203" s="59"/>
      <c r="BR203" s="39"/>
      <c r="BS203" s="57" t="e">
        <f t="shared" si="24"/>
        <v>#VALUE!</v>
      </c>
      <c r="BT203" s="60"/>
      <c r="BU203" s="8">
        <v>0</v>
      </c>
      <c r="BV203" s="58" t="e">
        <f>VLOOKUP(AQ203,'[1]Harga &amp; Nama CSO'!$A$28:$D$31,4,0)*BP203</f>
        <v>#N/A</v>
      </c>
    </row>
    <row r="204" spans="41:74" x14ac:dyDescent="0.35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55" t="e">
        <f>IFERROR(VLOOKUP(AQ204,'[1]Harga &amp; Nama CSO'!$H$2:$N$22,2,FALSE),"")*AV204</f>
        <v>#VALUE!</v>
      </c>
      <c r="BO204" s="40"/>
      <c r="BP204" s="39"/>
      <c r="BQ204" s="59"/>
      <c r="BR204" s="39"/>
      <c r="BS204" s="57" t="e">
        <f t="shared" si="24"/>
        <v>#VALUE!</v>
      </c>
      <c r="BT204" s="60"/>
      <c r="BU204" s="8">
        <v>0</v>
      </c>
      <c r="BV204" s="58" t="e">
        <f>VLOOKUP(AQ204,'[1]Harga &amp; Nama CSO'!$A$28:$D$31,4,0)*BP204</f>
        <v>#N/A</v>
      </c>
    </row>
    <row r="205" spans="41:74" x14ac:dyDescent="0.35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55" t="e">
        <f>IFERROR(VLOOKUP(AQ205,'[1]Harga &amp; Nama CSO'!$H$2:$N$22,2,FALSE),"")*AV205</f>
        <v>#VALUE!</v>
      </c>
      <c r="BO205" s="40"/>
      <c r="BP205" s="39"/>
      <c r="BQ205" s="59"/>
      <c r="BR205" s="39"/>
      <c r="BS205" s="57" t="e">
        <f t="shared" si="24"/>
        <v>#VALUE!</v>
      </c>
      <c r="BT205" s="60"/>
      <c r="BU205" s="8">
        <v>0</v>
      </c>
      <c r="BV205" s="58" t="e">
        <f>VLOOKUP(AQ205,'[1]Harga &amp; Nama CSO'!$A$28:$D$31,4,0)*BP205</f>
        <v>#N/A</v>
      </c>
    </row>
    <row r="206" spans="41:74" x14ac:dyDescent="0.35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55" t="e">
        <f>IFERROR(VLOOKUP(AQ206,'[1]Harga &amp; Nama CSO'!$H$2:$N$22,2,FALSE),"")*AV206</f>
        <v>#VALUE!</v>
      </c>
      <c r="BO206" s="40"/>
      <c r="BP206" s="39"/>
      <c r="BQ206" s="59"/>
      <c r="BR206" s="39"/>
      <c r="BS206" s="57" t="e">
        <f t="shared" si="24"/>
        <v>#VALUE!</v>
      </c>
      <c r="BT206" s="60"/>
      <c r="BU206" s="8">
        <v>0</v>
      </c>
      <c r="BV206" s="58" t="e">
        <f>VLOOKUP(AQ206,'[1]Harga &amp; Nama CSO'!$A$28:$D$31,4,0)*BP206</f>
        <v>#N/A</v>
      </c>
    </row>
    <row r="207" spans="41:74" x14ac:dyDescent="0.35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55" t="e">
        <f>IFERROR(VLOOKUP(AQ207,'[1]Harga &amp; Nama CSO'!$H$2:$N$22,2,FALSE),"")*AV207</f>
        <v>#VALUE!</v>
      </c>
      <c r="BO207" s="40"/>
      <c r="BP207" s="39"/>
      <c r="BQ207" s="59"/>
      <c r="BR207" s="39"/>
      <c r="BS207" s="57" t="e">
        <f t="shared" si="24"/>
        <v>#VALUE!</v>
      </c>
      <c r="BT207" s="60"/>
      <c r="BU207" s="8">
        <v>0</v>
      </c>
      <c r="BV207" s="58" t="e">
        <f>VLOOKUP(AQ207,'[1]Harga &amp; Nama CSO'!$A$28:$D$31,4,0)*BP207</f>
        <v>#N/A</v>
      </c>
    </row>
    <row r="208" spans="41:74" x14ac:dyDescent="0.35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55" t="e">
        <f>IFERROR(VLOOKUP(AQ208,'[1]Harga &amp; Nama CSO'!$H$2:$N$22,2,FALSE),"")*AV208</f>
        <v>#VALUE!</v>
      </c>
      <c r="BO208" s="40"/>
      <c r="BP208" s="39"/>
      <c r="BQ208" s="59"/>
      <c r="BR208" s="39"/>
      <c r="BS208" s="57" t="e">
        <f t="shared" si="24"/>
        <v>#VALUE!</v>
      </c>
      <c r="BT208" s="60"/>
      <c r="BU208" s="8">
        <v>0</v>
      </c>
      <c r="BV208" s="58" t="e">
        <f>VLOOKUP(AQ208,'[1]Harga &amp; Nama CSO'!$A$28:$D$31,4,0)*BP208</f>
        <v>#N/A</v>
      </c>
    </row>
    <row r="209" spans="41:74" x14ac:dyDescent="0.35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55" t="e">
        <f>IFERROR(VLOOKUP(AQ209,'[1]Harga &amp; Nama CSO'!$H$2:$N$22,2,FALSE),"")*AV209</f>
        <v>#VALUE!</v>
      </c>
      <c r="BO209" s="40"/>
      <c r="BP209" s="39"/>
      <c r="BQ209" s="59"/>
      <c r="BR209" s="39"/>
      <c r="BS209" s="57" t="e">
        <f t="shared" si="24"/>
        <v>#VALUE!</v>
      </c>
      <c r="BT209" s="60"/>
      <c r="BU209" s="8">
        <v>0</v>
      </c>
      <c r="BV209" s="58" t="e">
        <f>VLOOKUP(AQ209,'[1]Harga &amp; Nama CSO'!$A$28:$D$31,4,0)*BP209</f>
        <v>#N/A</v>
      </c>
    </row>
    <row r="210" spans="41:74" x14ac:dyDescent="0.35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55" t="e">
        <f>IFERROR(VLOOKUP(AQ210,'[1]Harga &amp; Nama CSO'!$H$2:$N$22,2,FALSE),"")*AV210</f>
        <v>#VALUE!</v>
      </c>
      <c r="BO210" s="40"/>
      <c r="BP210" s="39"/>
      <c r="BQ210" s="59"/>
      <c r="BR210" s="39"/>
      <c r="BS210" s="57" t="e">
        <f t="shared" si="24"/>
        <v>#VALUE!</v>
      </c>
      <c r="BT210" s="60"/>
      <c r="BU210" s="8">
        <v>0</v>
      </c>
      <c r="BV210" s="58" t="e">
        <f>VLOOKUP(AQ210,'[1]Harga &amp; Nama CSO'!$A$28:$D$31,4,0)*BP210</f>
        <v>#N/A</v>
      </c>
    </row>
    <row r="211" spans="41:74" x14ac:dyDescent="0.35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55" t="e">
        <f>IFERROR(VLOOKUP(AQ211,'[1]Harga &amp; Nama CSO'!$H$2:$N$22,2,FALSE),"")*AV211</f>
        <v>#VALUE!</v>
      </c>
      <c r="BO211" s="40"/>
      <c r="BP211" s="39"/>
      <c r="BQ211" s="59"/>
      <c r="BR211" s="39"/>
      <c r="BS211" s="57" t="e">
        <f t="shared" si="24"/>
        <v>#VALUE!</v>
      </c>
      <c r="BT211" s="60"/>
      <c r="BU211" s="8">
        <v>0</v>
      </c>
      <c r="BV211" s="58" t="e">
        <f>VLOOKUP(AQ211,'[1]Harga &amp; Nama CSO'!$A$28:$D$31,4,0)*BP211</f>
        <v>#N/A</v>
      </c>
    </row>
    <row r="212" spans="41:74" x14ac:dyDescent="0.35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55" t="e">
        <f>IFERROR(VLOOKUP(AQ212,'[1]Harga &amp; Nama CSO'!$H$2:$N$22,2,FALSE),"")*AV212</f>
        <v>#VALUE!</v>
      </c>
      <c r="BO212" s="40"/>
      <c r="BP212" s="39"/>
      <c r="BQ212" s="59"/>
      <c r="BR212" s="39"/>
      <c r="BS212" s="57" t="e">
        <f t="shared" si="24"/>
        <v>#VALUE!</v>
      </c>
      <c r="BT212" s="60"/>
      <c r="BU212" s="8">
        <v>0</v>
      </c>
      <c r="BV212" s="58" t="e">
        <f>VLOOKUP(AQ212,'[1]Harga &amp; Nama CSO'!$A$28:$D$31,4,0)*BP212</f>
        <v>#N/A</v>
      </c>
    </row>
    <row r="213" spans="41:74" x14ac:dyDescent="0.35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55" t="e">
        <f>IFERROR(VLOOKUP(AQ213,'[1]Harga &amp; Nama CSO'!$H$2:$N$22,2,FALSE),"")*AV213</f>
        <v>#VALUE!</v>
      </c>
      <c r="BO213" s="40"/>
      <c r="BP213" s="39"/>
      <c r="BQ213" s="59"/>
      <c r="BR213" s="39"/>
      <c r="BS213" s="57" t="e">
        <f t="shared" si="24"/>
        <v>#VALUE!</v>
      </c>
      <c r="BT213" s="60"/>
      <c r="BU213" s="8">
        <v>0</v>
      </c>
      <c r="BV213" s="58" t="e">
        <f>VLOOKUP(AQ213,'[1]Harga &amp; Nama CSO'!$A$28:$D$31,4,0)*BP213</f>
        <v>#N/A</v>
      </c>
    </row>
    <row r="214" spans="41:74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55" t="e">
        <f>IFERROR(VLOOKUP(AQ214,'[1]Harga &amp; Nama CSO'!$H$2:$N$22,2,FALSE),"")*AV214</f>
        <v>#VALUE!</v>
      </c>
      <c r="BO214" s="40"/>
      <c r="BP214" s="39"/>
      <c r="BQ214" s="59"/>
      <c r="BR214" s="39"/>
      <c r="BS214" s="57" t="e">
        <f t="shared" si="24"/>
        <v>#VALUE!</v>
      </c>
      <c r="BT214" s="60"/>
      <c r="BU214" s="8">
        <v>0</v>
      </c>
      <c r="BV214" s="58" t="e">
        <f>VLOOKUP(AQ214,'[1]Harga &amp; Nama CSO'!$A$28:$D$31,4,0)*BP214</f>
        <v>#N/A</v>
      </c>
    </row>
    <row r="215" spans="41:74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55" t="e">
        <f>IFERROR(VLOOKUP(AQ215,'[1]Harga &amp; Nama CSO'!$H$2:$N$22,2,FALSE),"")*AV215</f>
        <v>#VALUE!</v>
      </c>
      <c r="BO215" s="40"/>
      <c r="BP215" s="39"/>
      <c r="BQ215" s="59"/>
      <c r="BR215" s="39"/>
      <c r="BS215" s="57" t="e">
        <f t="shared" si="24"/>
        <v>#VALUE!</v>
      </c>
      <c r="BT215" s="60"/>
      <c r="BU215" s="8">
        <v>0</v>
      </c>
      <c r="BV215" s="58" t="e">
        <f>VLOOKUP(AQ215,'[1]Harga &amp; Nama CSO'!$A$28:$D$31,4,0)*BP215</f>
        <v>#N/A</v>
      </c>
    </row>
    <row r="216" spans="41:74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55" t="e">
        <f>IFERROR(VLOOKUP(AQ216,'[1]Harga &amp; Nama CSO'!$H$2:$N$22,2,FALSE),"")*AV216</f>
        <v>#VALUE!</v>
      </c>
      <c r="BO216" s="40"/>
      <c r="BP216" s="39"/>
      <c r="BQ216" s="59"/>
      <c r="BR216" s="39"/>
      <c r="BS216" s="57" t="e">
        <f t="shared" si="24"/>
        <v>#VALUE!</v>
      </c>
      <c r="BT216" s="60"/>
      <c r="BU216" s="8">
        <v>0</v>
      </c>
      <c r="BV216" s="58" t="e">
        <f>VLOOKUP(AQ216,'[1]Harga &amp; Nama CSO'!$A$28:$D$31,4,0)*BP216</f>
        <v>#N/A</v>
      </c>
    </row>
    <row r="217" spans="41:74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55" t="e">
        <f>IFERROR(VLOOKUP(AQ217,'[1]Harga &amp; Nama CSO'!$H$2:$N$22,2,FALSE),"")*AV217</f>
        <v>#VALUE!</v>
      </c>
      <c r="BO217" s="40"/>
      <c r="BP217" s="39"/>
      <c r="BQ217" s="59"/>
      <c r="BR217" s="39"/>
      <c r="BS217" s="57" t="e">
        <f t="shared" si="24"/>
        <v>#VALUE!</v>
      </c>
      <c r="BT217" s="60"/>
      <c r="BU217" s="8">
        <v>0</v>
      </c>
      <c r="BV217" s="58" t="e">
        <f>VLOOKUP(AQ217,'[1]Harga &amp; Nama CSO'!$A$28:$D$31,4,0)*BP217</f>
        <v>#N/A</v>
      </c>
    </row>
    <row r="218" spans="41:74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55" t="e">
        <f>IFERROR(VLOOKUP(AQ218,'[1]Harga &amp; Nama CSO'!$H$2:$N$22,2,FALSE),"")*AV218</f>
        <v>#VALUE!</v>
      </c>
      <c r="BO218" s="40"/>
      <c r="BP218" s="39"/>
      <c r="BQ218" s="59"/>
      <c r="BR218" s="39"/>
      <c r="BS218" s="57" t="e">
        <f t="shared" si="24"/>
        <v>#VALUE!</v>
      </c>
      <c r="BT218" s="60"/>
      <c r="BU218" s="8">
        <v>0</v>
      </c>
      <c r="BV218" s="58" t="e">
        <f>VLOOKUP(AQ218,'[1]Harga &amp; Nama CSO'!$A$28:$D$31,4,0)*BP218</f>
        <v>#N/A</v>
      </c>
    </row>
    <row r="219" spans="41:74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55" t="e">
        <f>IFERROR(VLOOKUP(AQ219,'[1]Harga &amp; Nama CSO'!$H$2:$N$22,2,FALSE),"")*AV219</f>
        <v>#VALUE!</v>
      </c>
      <c r="BO219" s="40"/>
      <c r="BP219" s="39"/>
      <c r="BQ219" s="59"/>
      <c r="BR219" s="39"/>
      <c r="BS219" s="57" t="e">
        <f t="shared" si="24"/>
        <v>#VALUE!</v>
      </c>
      <c r="BT219" s="60"/>
      <c r="BU219" s="8">
        <v>0</v>
      </c>
      <c r="BV219" s="58" t="e">
        <f>VLOOKUP(AQ219,'[1]Harga &amp; Nama CSO'!$A$28:$D$31,4,0)*BP219</f>
        <v>#N/A</v>
      </c>
    </row>
    <row r="220" spans="41:74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55" t="e">
        <f>IFERROR(VLOOKUP(AQ220,'[1]Harga &amp; Nama CSO'!$H$2:$N$22,2,FALSE),"")*AV220</f>
        <v>#VALUE!</v>
      </c>
      <c r="BO220" s="40"/>
      <c r="BP220" s="39"/>
      <c r="BQ220" s="59"/>
      <c r="BR220" s="39"/>
      <c r="BS220" s="57" t="e">
        <f t="shared" si="24"/>
        <v>#VALUE!</v>
      </c>
      <c r="BT220" s="60"/>
      <c r="BU220" s="8">
        <v>0</v>
      </c>
      <c r="BV220" s="58" t="e">
        <f>VLOOKUP(AQ220,'[1]Harga &amp; Nama CSO'!$A$28:$D$31,4,0)*BP220</f>
        <v>#N/A</v>
      </c>
    </row>
    <row r="221" spans="41:74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55" t="e">
        <f>IFERROR(VLOOKUP(AQ221,'[1]Harga &amp; Nama CSO'!$H$2:$N$22,2,FALSE),"")*AV221</f>
        <v>#VALUE!</v>
      </c>
      <c r="BO221" s="40"/>
      <c r="BP221" s="39"/>
      <c r="BQ221" s="59"/>
      <c r="BR221" s="39"/>
      <c r="BS221" s="57" t="e">
        <f t="shared" si="24"/>
        <v>#VALUE!</v>
      </c>
      <c r="BT221" s="60"/>
      <c r="BU221" s="8">
        <v>0</v>
      </c>
      <c r="BV221" s="58" t="e">
        <f>VLOOKUP(AQ221,'[1]Harga &amp; Nama CSO'!$A$28:$D$31,4,0)*BP221</f>
        <v>#N/A</v>
      </c>
    </row>
    <row r="222" spans="41:74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55" t="e">
        <f>IFERROR(VLOOKUP(AQ222,'[1]Harga &amp; Nama CSO'!$H$2:$N$22,2,FALSE),"")*AV222</f>
        <v>#VALUE!</v>
      </c>
      <c r="BO222" s="40"/>
      <c r="BP222" s="39"/>
      <c r="BQ222" s="59"/>
      <c r="BR222" s="39"/>
      <c r="BS222" s="57" t="e">
        <f t="shared" si="24"/>
        <v>#VALUE!</v>
      </c>
      <c r="BT222" s="60"/>
      <c r="BU222" s="8">
        <v>0</v>
      </c>
      <c r="BV222" s="58" t="e">
        <f>VLOOKUP(AQ222,'[1]Harga &amp; Nama CSO'!$A$28:$D$31,4,0)*BP222</f>
        <v>#N/A</v>
      </c>
    </row>
    <row r="223" spans="41:74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55" t="e">
        <f>IFERROR(VLOOKUP(AQ223,'[1]Harga &amp; Nama CSO'!$H$2:$N$22,2,FALSE),"")*AV223</f>
        <v>#VALUE!</v>
      </c>
      <c r="BO223" s="40"/>
      <c r="BP223" s="39"/>
      <c r="BQ223" s="59"/>
      <c r="BR223" s="39"/>
      <c r="BS223" s="57" t="e">
        <f t="shared" si="24"/>
        <v>#VALUE!</v>
      </c>
      <c r="BT223" s="60"/>
      <c r="BU223" s="8">
        <v>0</v>
      </c>
      <c r="BV223" s="58" t="e">
        <f>VLOOKUP(AQ223,'[1]Harga &amp; Nama CSO'!$A$28:$D$31,4,0)*BP223</f>
        <v>#N/A</v>
      </c>
    </row>
    <row r="224" spans="41:74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55" t="e">
        <f>IFERROR(VLOOKUP(AQ224,'[1]Harga &amp; Nama CSO'!$H$2:$N$22,2,FALSE),"")*AV224</f>
        <v>#VALUE!</v>
      </c>
      <c r="BO224" s="40"/>
      <c r="BP224" s="39"/>
      <c r="BQ224" s="59"/>
      <c r="BR224" s="39"/>
      <c r="BS224" s="57" t="e">
        <f t="shared" si="24"/>
        <v>#VALUE!</v>
      </c>
      <c r="BT224" s="60"/>
      <c r="BU224" s="8">
        <v>0</v>
      </c>
      <c r="BV224" s="58" t="e">
        <f>VLOOKUP(AQ224,'[1]Harga &amp; Nama CSO'!$A$28:$D$31,4,0)*BP224</f>
        <v>#N/A</v>
      </c>
    </row>
    <row r="225" spans="41:74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55" t="e">
        <f>IFERROR(VLOOKUP(AQ225,'[1]Harga &amp; Nama CSO'!$H$2:$N$22,2,FALSE),"")*AV225</f>
        <v>#VALUE!</v>
      </c>
      <c r="BO225" s="40"/>
      <c r="BP225" s="39"/>
      <c r="BQ225" s="59"/>
      <c r="BR225" s="39"/>
      <c r="BS225" s="57" t="e">
        <f t="shared" si="24"/>
        <v>#VALUE!</v>
      </c>
      <c r="BT225" s="60"/>
      <c r="BU225" s="8">
        <v>0</v>
      </c>
      <c r="BV225" s="58" t="e">
        <f>VLOOKUP(AQ225,'[1]Harga &amp; Nama CSO'!$A$28:$D$31,4,0)*BP225</f>
        <v>#N/A</v>
      </c>
    </row>
    <row r="226" spans="41:74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55" t="e">
        <f>IFERROR(VLOOKUP(AQ226,'[1]Harga &amp; Nama CSO'!$H$2:$N$22,2,FALSE),"")*AV226</f>
        <v>#VALUE!</v>
      </c>
      <c r="BO226" s="40"/>
      <c r="BP226" s="39"/>
      <c r="BQ226" s="59"/>
      <c r="BR226" s="39"/>
      <c r="BS226" s="57" t="e">
        <f t="shared" si="24"/>
        <v>#VALUE!</v>
      </c>
      <c r="BT226" s="60"/>
      <c r="BU226" s="8">
        <v>0</v>
      </c>
      <c r="BV226" s="58" t="e">
        <f>VLOOKUP(AQ226,'[1]Harga &amp; Nama CSO'!$A$28:$D$31,4,0)*BP226</f>
        <v>#N/A</v>
      </c>
    </row>
    <row r="227" spans="41:74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55" t="e">
        <f>IFERROR(VLOOKUP(AQ227,'[1]Harga &amp; Nama CSO'!$H$2:$N$22,2,FALSE),"")*AV227</f>
        <v>#VALUE!</v>
      </c>
      <c r="BO227" s="40"/>
      <c r="BP227" s="39"/>
      <c r="BQ227" s="59"/>
      <c r="BR227" s="39"/>
      <c r="BS227" s="57" t="e">
        <f t="shared" si="24"/>
        <v>#VALUE!</v>
      </c>
      <c r="BT227" s="60"/>
      <c r="BU227" s="8">
        <v>0</v>
      </c>
      <c r="BV227" s="58" t="e">
        <f>VLOOKUP(AQ227,'[1]Harga &amp; Nama CSO'!$A$28:$D$31,4,0)*BP227</f>
        <v>#N/A</v>
      </c>
    </row>
    <row r="228" spans="41:74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55" t="e">
        <f>IFERROR(VLOOKUP(AQ228,'[1]Harga &amp; Nama CSO'!$H$2:$N$22,2,FALSE),"")*AV228</f>
        <v>#VALUE!</v>
      </c>
      <c r="BO228" s="40"/>
      <c r="BP228" s="39"/>
      <c r="BQ228" s="59"/>
      <c r="BR228" s="39"/>
      <c r="BS228" s="57" t="e">
        <f t="shared" si="24"/>
        <v>#VALUE!</v>
      </c>
      <c r="BT228" s="60"/>
      <c r="BU228" s="8">
        <v>0</v>
      </c>
      <c r="BV228" s="58" t="e">
        <f>VLOOKUP(AQ228,'[1]Harga &amp; Nama CSO'!$A$28:$D$31,4,0)*BP228</f>
        <v>#N/A</v>
      </c>
    </row>
    <row r="229" spans="41:74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55" t="e">
        <f>IFERROR(VLOOKUP(AQ229,'[1]Harga &amp; Nama CSO'!$H$2:$N$22,2,FALSE),"")*AV229</f>
        <v>#VALUE!</v>
      </c>
      <c r="BO229" s="40"/>
      <c r="BP229" s="39"/>
      <c r="BQ229" s="59"/>
      <c r="BR229" s="39"/>
      <c r="BS229" s="57" t="e">
        <f t="shared" si="24"/>
        <v>#VALUE!</v>
      </c>
      <c r="BT229" s="60"/>
      <c r="BU229" s="8">
        <v>0</v>
      </c>
      <c r="BV229" s="58" t="e">
        <f>VLOOKUP(AQ229,'[1]Harga &amp; Nama CSO'!$A$28:$D$31,4,0)*BP229</f>
        <v>#N/A</v>
      </c>
    </row>
    <row r="230" spans="41:74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55" t="e">
        <f>IFERROR(VLOOKUP(AQ230,'[1]Harga &amp; Nama CSO'!$H$2:$N$22,2,FALSE),"")*AV230</f>
        <v>#VALUE!</v>
      </c>
      <c r="BO230" s="40"/>
      <c r="BP230" s="39"/>
      <c r="BQ230" s="59"/>
      <c r="BR230" s="39"/>
      <c r="BS230" s="57" t="e">
        <f t="shared" si="24"/>
        <v>#VALUE!</v>
      </c>
      <c r="BT230" s="60"/>
      <c r="BU230" s="8">
        <v>0</v>
      </c>
      <c r="BV230" s="58" t="e">
        <f>VLOOKUP(AQ230,'[1]Harga &amp; Nama CSO'!$A$28:$D$31,4,0)*BP230</f>
        <v>#N/A</v>
      </c>
    </row>
    <row r="231" spans="41:74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55" t="e">
        <f>IFERROR(VLOOKUP(AQ231,'[1]Harga &amp; Nama CSO'!$H$2:$N$22,2,FALSE),"")*AV231</f>
        <v>#VALUE!</v>
      </c>
      <c r="BO231" s="40"/>
      <c r="BP231" s="39"/>
      <c r="BQ231" s="59"/>
      <c r="BR231" s="39"/>
      <c r="BS231" s="57" t="e">
        <f t="shared" si="24"/>
        <v>#VALUE!</v>
      </c>
      <c r="BT231" s="60"/>
      <c r="BU231" s="8">
        <v>0</v>
      </c>
      <c r="BV231" s="58" t="e">
        <f>VLOOKUP(AQ231,'[1]Harga &amp; Nama CSO'!$A$28:$D$31,4,0)*BP231</f>
        <v>#N/A</v>
      </c>
    </row>
    <row r="232" spans="41:74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55" t="e">
        <f>IFERROR(VLOOKUP(AQ232,'[1]Harga &amp; Nama CSO'!$H$2:$N$22,2,FALSE),"")*AV232</f>
        <v>#VALUE!</v>
      </c>
      <c r="BO232" s="40"/>
      <c r="BP232" s="39"/>
      <c r="BQ232" s="59"/>
      <c r="BR232" s="39"/>
      <c r="BS232" s="57" t="e">
        <f t="shared" si="24"/>
        <v>#VALUE!</v>
      </c>
      <c r="BT232" s="60"/>
      <c r="BU232" s="8">
        <v>0</v>
      </c>
      <c r="BV232" s="58" t="e">
        <f>VLOOKUP(AQ232,'[1]Harga &amp; Nama CSO'!$A$28:$D$31,4,0)*BP232</f>
        <v>#N/A</v>
      </c>
    </row>
    <row r="233" spans="41:74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55" t="e">
        <f>IFERROR(VLOOKUP(AQ233,'[1]Harga &amp; Nama CSO'!$H$2:$N$22,2,FALSE),"")*AV233</f>
        <v>#VALUE!</v>
      </c>
      <c r="BO233" s="40"/>
      <c r="BP233" s="39"/>
      <c r="BQ233" s="59"/>
      <c r="BR233" s="39"/>
      <c r="BS233" s="57" t="e">
        <f t="shared" si="24"/>
        <v>#VALUE!</v>
      </c>
      <c r="BT233" s="60"/>
      <c r="BU233" s="8">
        <v>0</v>
      </c>
      <c r="BV233" s="58" t="e">
        <f>VLOOKUP(AQ233,'[1]Harga &amp; Nama CSO'!$A$28:$D$31,4,0)*BP233</f>
        <v>#N/A</v>
      </c>
    </row>
    <row r="234" spans="41:74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55" t="e">
        <f>IFERROR(VLOOKUP(AQ234,'[1]Harga &amp; Nama CSO'!$H$2:$N$22,2,FALSE),"")*AV234</f>
        <v>#VALUE!</v>
      </c>
      <c r="BO234" s="40"/>
      <c r="BP234" s="39"/>
      <c r="BQ234" s="59"/>
      <c r="BR234" s="39"/>
      <c r="BS234" s="57" t="e">
        <f t="shared" si="24"/>
        <v>#VALUE!</v>
      </c>
      <c r="BT234" s="60"/>
      <c r="BU234" s="8">
        <v>0</v>
      </c>
      <c r="BV234" s="58" t="e">
        <f>VLOOKUP(AQ234,'[1]Harga &amp; Nama CSO'!$A$28:$D$31,4,0)*BP234</f>
        <v>#N/A</v>
      </c>
    </row>
    <row r="235" spans="41:74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55" t="e">
        <f>IFERROR(VLOOKUP(AQ235,'[1]Harga &amp; Nama CSO'!$H$2:$N$22,2,FALSE),"")*AV235</f>
        <v>#VALUE!</v>
      </c>
      <c r="BO235" s="40"/>
      <c r="BP235" s="39"/>
      <c r="BQ235" s="59"/>
      <c r="BR235" s="39"/>
      <c r="BS235" s="57" t="e">
        <f t="shared" si="24"/>
        <v>#VALUE!</v>
      </c>
      <c r="BT235" s="60"/>
      <c r="BU235" s="8">
        <v>0</v>
      </c>
      <c r="BV235" s="58" t="e">
        <f>VLOOKUP(AQ235,'[1]Harga &amp; Nama CSO'!$A$28:$D$31,4,0)*BP235</f>
        <v>#N/A</v>
      </c>
    </row>
    <row r="236" spans="41:74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55" t="e">
        <f>IFERROR(VLOOKUP(AQ236,'[1]Harga &amp; Nama CSO'!$H$2:$N$22,2,FALSE),"")*AV236</f>
        <v>#VALUE!</v>
      </c>
      <c r="BO236" s="40"/>
      <c r="BP236" s="39"/>
      <c r="BQ236" s="59"/>
      <c r="BR236" s="39"/>
      <c r="BS236" s="57" t="e">
        <f t="shared" si="24"/>
        <v>#VALUE!</v>
      </c>
      <c r="BT236" s="60"/>
      <c r="BU236" s="8">
        <v>0</v>
      </c>
      <c r="BV236" s="58" t="e">
        <f>VLOOKUP(AQ236,'[1]Harga &amp; Nama CSO'!$A$28:$D$31,4,0)*BP236</f>
        <v>#N/A</v>
      </c>
    </row>
    <row r="237" spans="41:74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55" t="e">
        <f>IFERROR(VLOOKUP(AQ237,'[1]Harga &amp; Nama CSO'!$H$2:$N$22,2,FALSE),"")*AV237</f>
        <v>#VALUE!</v>
      </c>
      <c r="BO237" s="40"/>
      <c r="BP237" s="39"/>
      <c r="BQ237" s="59"/>
      <c r="BR237" s="39"/>
      <c r="BS237" s="57" t="e">
        <f t="shared" si="24"/>
        <v>#VALUE!</v>
      </c>
      <c r="BT237" s="60"/>
      <c r="BU237" s="8">
        <v>0</v>
      </c>
      <c r="BV237" s="58" t="e">
        <f>VLOOKUP(AQ237,'[1]Harga &amp; Nama CSO'!$A$28:$D$31,4,0)*BP237</f>
        <v>#N/A</v>
      </c>
    </row>
    <row r="238" spans="41:74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55" t="e">
        <f>IFERROR(VLOOKUP(AQ238,'[1]Harga &amp; Nama CSO'!$H$2:$N$22,2,FALSE),"")*AV238</f>
        <v>#VALUE!</v>
      </c>
      <c r="BO238" s="40"/>
      <c r="BP238" s="39"/>
      <c r="BQ238" s="59"/>
      <c r="BR238" s="39"/>
      <c r="BS238" s="57" t="e">
        <f t="shared" si="24"/>
        <v>#VALUE!</v>
      </c>
      <c r="BT238" s="60"/>
      <c r="BU238" s="8">
        <v>0</v>
      </c>
      <c r="BV238" s="58" t="e">
        <f>VLOOKUP(AQ238,'[1]Harga &amp; Nama CSO'!$A$28:$D$31,4,0)*BP238</f>
        <v>#N/A</v>
      </c>
    </row>
    <row r="239" spans="41:74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55" t="e">
        <f>IFERROR(VLOOKUP(AQ239,'[1]Harga &amp; Nama CSO'!$H$2:$N$22,2,FALSE),"")*AV239</f>
        <v>#VALUE!</v>
      </c>
      <c r="BO239" s="40"/>
      <c r="BP239" s="39"/>
      <c r="BQ239" s="59"/>
      <c r="BR239" s="39"/>
      <c r="BS239" s="57" t="e">
        <f t="shared" si="24"/>
        <v>#VALUE!</v>
      </c>
      <c r="BT239" s="60"/>
      <c r="BU239" s="8">
        <v>0</v>
      </c>
      <c r="BV239" s="58" t="e">
        <f>VLOOKUP(AQ239,'[1]Harga &amp; Nama CSO'!$A$28:$D$31,4,0)*BP239</f>
        <v>#N/A</v>
      </c>
    </row>
    <row r="240" spans="41:74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55" t="e">
        <f>IFERROR(VLOOKUP(AQ240,'[1]Harga &amp; Nama CSO'!$H$2:$N$22,2,FALSE),"")*AV240</f>
        <v>#VALUE!</v>
      </c>
      <c r="BO240" s="40"/>
      <c r="BP240" s="39"/>
      <c r="BQ240" s="59"/>
      <c r="BR240" s="39"/>
      <c r="BS240" s="57" t="e">
        <f t="shared" si="24"/>
        <v>#VALUE!</v>
      </c>
      <c r="BT240" s="60"/>
      <c r="BU240" s="8">
        <v>0</v>
      </c>
      <c r="BV240" s="58" t="e">
        <f>VLOOKUP(AQ240,'[1]Harga &amp; Nama CSO'!$A$28:$D$31,4,0)*BP240</f>
        <v>#N/A</v>
      </c>
    </row>
    <row r="241" spans="41:74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55" t="e">
        <f>IFERROR(VLOOKUP(AQ241,'[1]Harga &amp; Nama CSO'!$H$2:$N$22,2,FALSE),"")*AV241</f>
        <v>#VALUE!</v>
      </c>
      <c r="BO241" s="40"/>
      <c r="BP241" s="39"/>
      <c r="BQ241" s="59"/>
      <c r="BR241" s="39"/>
      <c r="BS241" s="57" t="e">
        <f t="shared" si="24"/>
        <v>#VALUE!</v>
      </c>
      <c r="BT241" s="60"/>
      <c r="BU241" s="8">
        <v>0</v>
      </c>
      <c r="BV241" s="58" t="e">
        <f>VLOOKUP(AQ241,'[1]Harga &amp; Nama CSO'!$A$28:$D$31,4,0)*BP241</f>
        <v>#N/A</v>
      </c>
    </row>
    <row r="242" spans="41:74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55" t="e">
        <f>IFERROR(VLOOKUP(AQ242,'[1]Harga &amp; Nama CSO'!$H$2:$N$22,2,FALSE),"")*AV242</f>
        <v>#VALUE!</v>
      </c>
      <c r="BO242" s="40"/>
      <c r="BP242" s="39"/>
      <c r="BQ242" s="59"/>
      <c r="BR242" s="39"/>
      <c r="BS242" s="57" t="e">
        <f t="shared" si="24"/>
        <v>#VALUE!</v>
      </c>
      <c r="BT242" s="60"/>
      <c r="BU242" s="8">
        <v>0</v>
      </c>
      <c r="BV242" s="58" t="e">
        <f>VLOOKUP(AQ242,'[1]Harga &amp; Nama CSO'!$A$28:$D$31,4,0)*BP242</f>
        <v>#N/A</v>
      </c>
    </row>
    <row r="243" spans="41:74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55" t="e">
        <f>IFERROR(VLOOKUP(AQ243,'[1]Harga &amp; Nama CSO'!$H$2:$N$22,2,FALSE),"")*AV243</f>
        <v>#VALUE!</v>
      </c>
      <c r="BO243" s="40"/>
      <c r="BP243" s="39"/>
      <c r="BQ243" s="59"/>
      <c r="BR243" s="39"/>
      <c r="BS243" s="57" t="e">
        <f t="shared" si="24"/>
        <v>#VALUE!</v>
      </c>
      <c r="BT243" s="60"/>
      <c r="BU243" s="8">
        <v>0</v>
      </c>
      <c r="BV243" s="58" t="e">
        <f>VLOOKUP(AQ243,'[1]Harga &amp; Nama CSO'!$A$28:$D$31,4,0)*BP243</f>
        <v>#N/A</v>
      </c>
    </row>
    <row r="244" spans="41:74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55" t="e">
        <f>IFERROR(VLOOKUP(AQ244,'[1]Harga &amp; Nama CSO'!$H$2:$N$22,2,FALSE),"")*AV244</f>
        <v>#VALUE!</v>
      </c>
      <c r="BO244" s="40"/>
      <c r="BP244" s="39"/>
      <c r="BQ244" s="59"/>
      <c r="BR244" s="39"/>
      <c r="BS244" s="57" t="e">
        <f t="shared" si="24"/>
        <v>#VALUE!</v>
      </c>
      <c r="BT244" s="60"/>
      <c r="BU244" s="8">
        <v>0</v>
      </c>
      <c r="BV244" s="58" t="e">
        <f>VLOOKUP(AQ244,'[1]Harga &amp; Nama CSO'!$A$28:$D$31,4,0)*BP244</f>
        <v>#N/A</v>
      </c>
    </row>
    <row r="245" spans="41:74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55" t="e">
        <f>IFERROR(VLOOKUP(AQ245,'[1]Harga &amp; Nama CSO'!$H$2:$N$22,2,FALSE),"")*AV245</f>
        <v>#VALUE!</v>
      </c>
      <c r="BO245" s="40"/>
      <c r="BP245" s="39"/>
      <c r="BQ245" s="59"/>
      <c r="BR245" s="39"/>
      <c r="BS245" s="57" t="e">
        <f t="shared" si="24"/>
        <v>#VALUE!</v>
      </c>
      <c r="BT245" s="60"/>
      <c r="BU245" s="8">
        <v>0</v>
      </c>
      <c r="BV245" s="58" t="e">
        <f>VLOOKUP(AQ245,'[1]Harga &amp; Nama CSO'!$A$28:$D$31,4,0)*BP245</f>
        <v>#N/A</v>
      </c>
    </row>
    <row r="246" spans="41:74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55" t="e">
        <f>IFERROR(VLOOKUP(AQ246,'[1]Harga &amp; Nama CSO'!$H$2:$N$22,2,FALSE),"")*AV246</f>
        <v>#VALUE!</v>
      </c>
      <c r="BO246" s="40"/>
      <c r="BP246" s="39"/>
      <c r="BQ246" s="59"/>
      <c r="BR246" s="39"/>
      <c r="BS246" s="57" t="e">
        <f t="shared" si="24"/>
        <v>#VALUE!</v>
      </c>
      <c r="BT246" s="60"/>
      <c r="BU246" s="8">
        <v>0</v>
      </c>
      <c r="BV246" s="58" t="e">
        <f>VLOOKUP(AQ246,'[1]Harga &amp; Nama CSO'!$A$28:$D$31,4,0)*BP246</f>
        <v>#N/A</v>
      </c>
    </row>
    <row r="247" spans="41:74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55" t="e">
        <f>IFERROR(VLOOKUP(AQ247,'[1]Harga &amp; Nama CSO'!$H$2:$N$22,2,FALSE),"")*AV247</f>
        <v>#VALUE!</v>
      </c>
      <c r="BO247" s="40"/>
      <c r="BP247" s="39"/>
      <c r="BQ247" s="59"/>
      <c r="BR247" s="39"/>
      <c r="BS247" s="57" t="e">
        <f t="shared" si="24"/>
        <v>#VALUE!</v>
      </c>
      <c r="BT247" s="60"/>
      <c r="BU247" s="8">
        <v>0</v>
      </c>
      <c r="BV247" s="58" t="e">
        <f>VLOOKUP(AQ247,'[1]Harga &amp; Nama CSO'!$A$28:$D$31,4,0)*BP247</f>
        <v>#N/A</v>
      </c>
    </row>
    <row r="248" spans="41:74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55" t="e">
        <f>IFERROR(VLOOKUP(AQ248,'[1]Harga &amp; Nama CSO'!$H$2:$N$22,2,FALSE),"")*AV248</f>
        <v>#VALUE!</v>
      </c>
      <c r="BO248" s="40"/>
      <c r="BP248" s="39"/>
      <c r="BQ248" s="59"/>
      <c r="BR248" s="39"/>
      <c r="BS248" s="57" t="e">
        <f t="shared" si="24"/>
        <v>#VALUE!</v>
      </c>
      <c r="BT248" s="60"/>
      <c r="BU248" s="8">
        <v>0</v>
      </c>
      <c r="BV248" s="58" t="e">
        <f>VLOOKUP(AQ248,'[1]Harga &amp; Nama CSO'!$A$28:$D$31,4,0)*BP248</f>
        <v>#N/A</v>
      </c>
    </row>
    <row r="249" spans="41:74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55" t="e">
        <f>IFERROR(VLOOKUP(AQ249,'[1]Harga &amp; Nama CSO'!$H$2:$N$22,2,FALSE),"")*AV249</f>
        <v>#VALUE!</v>
      </c>
      <c r="BO249" s="40"/>
      <c r="BP249" s="39"/>
      <c r="BQ249" s="59"/>
      <c r="BR249" s="39"/>
      <c r="BS249" s="57" t="e">
        <f t="shared" si="24"/>
        <v>#VALUE!</v>
      </c>
      <c r="BT249" s="60"/>
      <c r="BU249" s="8">
        <v>0</v>
      </c>
      <c r="BV249" s="58" t="e">
        <f>VLOOKUP(AQ249,'[1]Harga &amp; Nama CSO'!$A$28:$D$31,4,0)*BP249</f>
        <v>#N/A</v>
      </c>
    </row>
    <row r="250" spans="41:74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55" t="e">
        <f>IFERROR(VLOOKUP(AQ250,'[1]Harga &amp; Nama CSO'!$H$2:$N$22,2,FALSE),"")*AV250</f>
        <v>#VALUE!</v>
      </c>
      <c r="BO250" s="40"/>
      <c r="BP250" s="39"/>
      <c r="BQ250" s="59"/>
      <c r="BR250" s="39"/>
      <c r="BS250" s="57" t="e">
        <f t="shared" si="24"/>
        <v>#VALUE!</v>
      </c>
      <c r="BT250" s="60"/>
      <c r="BU250" s="8">
        <v>0</v>
      </c>
      <c r="BV250" s="58" t="e">
        <f>VLOOKUP(AQ250,'[1]Harga &amp; Nama CSO'!$A$28:$D$31,4,0)*BP250</f>
        <v>#N/A</v>
      </c>
    </row>
    <row r="251" spans="41:74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55" t="e">
        <f>IFERROR(VLOOKUP(AQ251,'[1]Harga &amp; Nama CSO'!$H$2:$N$22,2,FALSE),"")*AV251</f>
        <v>#VALUE!</v>
      </c>
      <c r="BO251" s="40"/>
      <c r="BP251" s="39"/>
      <c r="BQ251" s="59"/>
      <c r="BR251" s="39"/>
      <c r="BS251" s="57" t="e">
        <f t="shared" si="24"/>
        <v>#VALUE!</v>
      </c>
      <c r="BT251" s="60"/>
      <c r="BU251" s="8">
        <v>0</v>
      </c>
      <c r="BV251" s="58" t="e">
        <f>VLOOKUP(AQ251,'[1]Harga &amp; Nama CSO'!$A$28:$D$31,4,0)*BP251</f>
        <v>#N/A</v>
      </c>
    </row>
    <row r="252" spans="41:74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55" t="e">
        <f>IFERROR(VLOOKUP(AQ252,'[1]Harga &amp; Nama CSO'!$H$2:$N$22,2,FALSE),"")*AV252</f>
        <v>#VALUE!</v>
      </c>
      <c r="BO252" s="40"/>
      <c r="BP252" s="39"/>
      <c r="BQ252" s="59"/>
      <c r="BR252" s="39"/>
      <c r="BS252" s="57" t="e">
        <f t="shared" si="24"/>
        <v>#VALUE!</v>
      </c>
      <c r="BT252" s="60"/>
      <c r="BU252" s="8">
        <v>0</v>
      </c>
      <c r="BV252" s="58" t="e">
        <f>VLOOKUP(AQ252,'[1]Harga &amp; Nama CSO'!$A$28:$D$31,4,0)*BP252</f>
        <v>#N/A</v>
      </c>
    </row>
    <row r="253" spans="41:74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55" t="e">
        <f>IFERROR(VLOOKUP(AQ253,'[1]Harga &amp; Nama CSO'!$H$2:$N$22,2,FALSE),"")*AV253</f>
        <v>#VALUE!</v>
      </c>
      <c r="BO253" s="40"/>
      <c r="BP253" s="39"/>
      <c r="BQ253" s="59"/>
      <c r="BR253" s="39"/>
      <c r="BS253" s="57" t="e">
        <f t="shared" si="24"/>
        <v>#VALUE!</v>
      </c>
      <c r="BT253" s="60"/>
      <c r="BU253" s="8">
        <v>0</v>
      </c>
      <c r="BV253" s="58" t="e">
        <f>VLOOKUP(AQ253,'[1]Harga &amp; Nama CSO'!$A$28:$D$31,4,0)*BP253</f>
        <v>#N/A</v>
      </c>
    </row>
    <row r="254" spans="41:74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55" t="e">
        <f>IFERROR(VLOOKUP(AQ254,'[1]Harga &amp; Nama CSO'!$H$2:$N$22,2,FALSE),"")*AV254</f>
        <v>#VALUE!</v>
      </c>
      <c r="BO254" s="40"/>
      <c r="BP254" s="39"/>
      <c r="BQ254" s="59"/>
      <c r="BR254" s="39"/>
      <c r="BS254" s="57" t="e">
        <f t="shared" si="24"/>
        <v>#VALUE!</v>
      </c>
      <c r="BT254" s="60"/>
      <c r="BU254" s="8">
        <v>0</v>
      </c>
      <c r="BV254" s="58" t="e">
        <f>VLOOKUP(AQ254,'[1]Harga &amp; Nama CSO'!$A$28:$D$31,4,0)*BP254</f>
        <v>#N/A</v>
      </c>
    </row>
    <row r="255" spans="41:74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55" t="e">
        <f>IFERROR(VLOOKUP(AQ255,'[1]Harga &amp; Nama CSO'!$H$2:$N$22,2,FALSE),"")*AV255</f>
        <v>#VALUE!</v>
      </c>
      <c r="BO255" s="40"/>
      <c r="BP255" s="39"/>
      <c r="BQ255" s="59"/>
      <c r="BR255" s="39"/>
      <c r="BS255" s="57" t="e">
        <f t="shared" si="24"/>
        <v>#VALUE!</v>
      </c>
      <c r="BT255" s="60"/>
      <c r="BU255" s="8">
        <v>0</v>
      </c>
      <c r="BV255" s="58" t="e">
        <f>VLOOKUP(AQ255,'[1]Harga &amp; Nama CSO'!$A$28:$D$31,4,0)*BP255</f>
        <v>#N/A</v>
      </c>
    </row>
    <row r="256" spans="41:74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55" t="e">
        <f>IFERROR(VLOOKUP(AQ256,'[1]Harga &amp; Nama CSO'!$H$2:$N$22,2,FALSE),"")*AV256</f>
        <v>#VALUE!</v>
      </c>
      <c r="BO256" s="40"/>
      <c r="BP256" s="39"/>
      <c r="BQ256" s="59"/>
      <c r="BR256" s="39"/>
      <c r="BS256" s="57" t="e">
        <f t="shared" si="24"/>
        <v>#VALUE!</v>
      </c>
      <c r="BT256" s="60"/>
      <c r="BU256" s="8">
        <v>0</v>
      </c>
      <c r="BV256" s="58" t="e">
        <f>VLOOKUP(AQ256,'[1]Harga &amp; Nama CSO'!$A$28:$D$31,4,0)*BP256</f>
        <v>#N/A</v>
      </c>
    </row>
    <row r="257" spans="41:74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55" t="e">
        <f>IFERROR(VLOOKUP(AQ257,'[1]Harga &amp; Nama CSO'!$H$2:$N$22,2,FALSE),"")*AV257</f>
        <v>#VALUE!</v>
      </c>
      <c r="BO257" s="40"/>
      <c r="BP257" s="39"/>
      <c r="BQ257" s="59"/>
      <c r="BR257" s="39"/>
      <c r="BS257" s="57" t="e">
        <f t="shared" si="24"/>
        <v>#VALUE!</v>
      </c>
      <c r="BT257" s="60"/>
      <c r="BU257" s="8">
        <v>0</v>
      </c>
      <c r="BV257" s="58" t="e">
        <f>VLOOKUP(AQ257,'[1]Harga &amp; Nama CSO'!$A$28:$D$31,4,0)*BP257</f>
        <v>#N/A</v>
      </c>
    </row>
    <row r="258" spans="41:74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55" t="e">
        <f>IFERROR(VLOOKUP(AQ258,'[1]Harga &amp; Nama CSO'!$H$2:$N$22,2,FALSE),"")*AV258</f>
        <v>#VALUE!</v>
      </c>
      <c r="BO258" s="40"/>
      <c r="BP258" s="39"/>
      <c r="BQ258" s="59"/>
      <c r="BR258" s="39"/>
      <c r="BS258" s="57" t="e">
        <f t="shared" si="24"/>
        <v>#VALUE!</v>
      </c>
      <c r="BT258" s="60"/>
      <c r="BU258" s="8">
        <v>0</v>
      </c>
      <c r="BV258" s="58" t="e">
        <f>VLOOKUP(AQ258,'[1]Harga &amp; Nama CSO'!$A$28:$D$31,4,0)*BP258</f>
        <v>#N/A</v>
      </c>
    </row>
    <row r="259" spans="41:74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55" t="e">
        <f>IFERROR(VLOOKUP(AQ259,'[1]Harga &amp; Nama CSO'!$H$2:$N$22,2,FALSE),"")*AV259</f>
        <v>#VALUE!</v>
      </c>
      <c r="BO259" s="40"/>
      <c r="BP259" s="39"/>
      <c r="BQ259" s="59"/>
      <c r="BR259" s="39"/>
      <c r="BS259" s="57" t="e">
        <f t="shared" ref="BS259:BS322" si="25">BN259-BQ259</f>
        <v>#VALUE!</v>
      </c>
      <c r="BT259" s="60"/>
      <c r="BU259" s="8">
        <v>0</v>
      </c>
      <c r="BV259" s="58" t="e">
        <f>VLOOKUP(AQ259,'[1]Harga &amp; Nama CSO'!$A$28:$D$31,4,0)*BP259</f>
        <v>#N/A</v>
      </c>
    </row>
    <row r="260" spans="41:74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55" t="e">
        <f>IFERROR(VLOOKUP(AQ260,'[1]Harga &amp; Nama CSO'!$H$2:$N$22,2,FALSE),"")*AV260</f>
        <v>#VALUE!</v>
      </c>
      <c r="BO260" s="40"/>
      <c r="BP260" s="39"/>
      <c r="BQ260" s="59"/>
      <c r="BR260" s="39"/>
      <c r="BS260" s="57" t="e">
        <f t="shared" si="25"/>
        <v>#VALUE!</v>
      </c>
      <c r="BT260" s="60"/>
      <c r="BU260" s="8">
        <v>0</v>
      </c>
      <c r="BV260" s="58" t="e">
        <f>VLOOKUP(AQ260,'[1]Harga &amp; Nama CSO'!$A$28:$D$31,4,0)*BP260</f>
        <v>#N/A</v>
      </c>
    </row>
    <row r="261" spans="41:74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55" t="e">
        <f>IFERROR(VLOOKUP(AQ261,'[1]Harga &amp; Nama CSO'!$H$2:$N$22,2,FALSE),"")*AV261</f>
        <v>#VALUE!</v>
      </c>
      <c r="BO261" s="40"/>
      <c r="BP261" s="39"/>
      <c r="BQ261" s="59"/>
      <c r="BR261" s="39"/>
      <c r="BS261" s="57" t="e">
        <f t="shared" si="25"/>
        <v>#VALUE!</v>
      </c>
      <c r="BT261" s="60"/>
      <c r="BU261" s="8">
        <v>0</v>
      </c>
      <c r="BV261" s="58" t="e">
        <f>VLOOKUP(AQ261,'[1]Harga &amp; Nama CSO'!$A$28:$D$31,4,0)*BP261</f>
        <v>#N/A</v>
      </c>
    </row>
    <row r="262" spans="41:74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55" t="e">
        <f>IFERROR(VLOOKUP(AQ262,'[1]Harga &amp; Nama CSO'!$H$2:$N$22,2,FALSE),"")*AV262</f>
        <v>#VALUE!</v>
      </c>
      <c r="BO262" s="40"/>
      <c r="BP262" s="39"/>
      <c r="BQ262" s="59"/>
      <c r="BR262" s="39"/>
      <c r="BS262" s="57" t="e">
        <f t="shared" si="25"/>
        <v>#VALUE!</v>
      </c>
      <c r="BT262" s="60"/>
      <c r="BU262" s="8">
        <v>0</v>
      </c>
      <c r="BV262" s="58" t="e">
        <f>VLOOKUP(AQ262,'[1]Harga &amp; Nama CSO'!$A$28:$D$31,4,0)*BP262</f>
        <v>#N/A</v>
      </c>
    </row>
    <row r="263" spans="41:74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55" t="e">
        <f>IFERROR(VLOOKUP(AQ263,'[1]Harga &amp; Nama CSO'!$H$2:$N$22,2,FALSE),"")*AV263</f>
        <v>#VALUE!</v>
      </c>
      <c r="BO263" s="40"/>
      <c r="BP263" s="39"/>
      <c r="BQ263" s="59"/>
      <c r="BR263" s="39"/>
      <c r="BS263" s="57" t="e">
        <f t="shared" si="25"/>
        <v>#VALUE!</v>
      </c>
      <c r="BT263" s="60"/>
      <c r="BU263" s="8">
        <v>0</v>
      </c>
      <c r="BV263" s="58" t="e">
        <f>VLOOKUP(AQ263,'[1]Harga &amp; Nama CSO'!$A$28:$D$31,4,0)*BP263</f>
        <v>#N/A</v>
      </c>
    </row>
    <row r="264" spans="41:74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55" t="e">
        <f>IFERROR(VLOOKUP(AQ264,'[1]Harga &amp; Nama CSO'!$H$2:$N$22,2,FALSE),"")*AV264</f>
        <v>#VALUE!</v>
      </c>
      <c r="BO264" s="40"/>
      <c r="BP264" s="39"/>
      <c r="BQ264" s="59"/>
      <c r="BR264" s="39"/>
      <c r="BS264" s="57" t="e">
        <f t="shared" si="25"/>
        <v>#VALUE!</v>
      </c>
      <c r="BT264" s="60"/>
      <c r="BU264" s="8">
        <v>0</v>
      </c>
      <c r="BV264" s="58" t="e">
        <f>VLOOKUP(AQ264,'[1]Harga &amp; Nama CSO'!$A$28:$D$31,4,0)*BP264</f>
        <v>#N/A</v>
      </c>
    </row>
    <row r="265" spans="41:74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55" t="e">
        <f>IFERROR(VLOOKUP(AQ265,'[1]Harga &amp; Nama CSO'!$H$2:$N$22,2,FALSE),"")*AV265</f>
        <v>#VALUE!</v>
      </c>
      <c r="BO265" s="40"/>
      <c r="BP265" s="39"/>
      <c r="BQ265" s="59"/>
      <c r="BR265" s="39"/>
      <c r="BS265" s="57" t="e">
        <f t="shared" si="25"/>
        <v>#VALUE!</v>
      </c>
      <c r="BT265" s="60"/>
      <c r="BU265" s="8">
        <v>0</v>
      </c>
      <c r="BV265" s="58" t="e">
        <f>VLOOKUP(AQ265,'[1]Harga &amp; Nama CSO'!$A$28:$D$31,4,0)*BP265</f>
        <v>#N/A</v>
      </c>
    </row>
    <row r="266" spans="41:74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55" t="e">
        <f>IFERROR(VLOOKUP(AQ266,'[1]Harga &amp; Nama CSO'!$H$2:$N$22,2,FALSE),"")*AV266</f>
        <v>#VALUE!</v>
      </c>
      <c r="BO266" s="40"/>
      <c r="BP266" s="39"/>
      <c r="BQ266" s="59"/>
      <c r="BR266" s="39"/>
      <c r="BS266" s="57" t="e">
        <f t="shared" si="25"/>
        <v>#VALUE!</v>
      </c>
      <c r="BT266" s="60"/>
      <c r="BU266" s="8">
        <v>0</v>
      </c>
      <c r="BV266" s="58" t="e">
        <f>VLOOKUP(AQ266,'[1]Harga &amp; Nama CSO'!$A$28:$D$31,4,0)*BP266</f>
        <v>#N/A</v>
      </c>
    </row>
    <row r="267" spans="41:74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55" t="e">
        <f>IFERROR(VLOOKUP(AQ267,'[1]Harga &amp; Nama CSO'!$H$2:$N$22,2,FALSE),"")*AV267</f>
        <v>#VALUE!</v>
      </c>
      <c r="BO267" s="40"/>
      <c r="BP267" s="39"/>
      <c r="BQ267" s="59"/>
      <c r="BR267" s="39"/>
      <c r="BS267" s="57" t="e">
        <f t="shared" si="25"/>
        <v>#VALUE!</v>
      </c>
      <c r="BT267" s="60"/>
      <c r="BU267" s="8">
        <v>0</v>
      </c>
      <c r="BV267" s="58" t="e">
        <f>VLOOKUP(AQ267,'[1]Harga &amp; Nama CSO'!$A$28:$D$31,4,0)*BP267</f>
        <v>#N/A</v>
      </c>
    </row>
    <row r="268" spans="41:74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55" t="e">
        <f>IFERROR(VLOOKUP(AQ268,'[1]Harga &amp; Nama CSO'!$H$2:$N$22,2,FALSE),"")*AV268</f>
        <v>#VALUE!</v>
      </c>
      <c r="BO268" s="40"/>
      <c r="BP268" s="39"/>
      <c r="BQ268" s="59"/>
      <c r="BR268" s="39"/>
      <c r="BS268" s="57" t="e">
        <f t="shared" si="25"/>
        <v>#VALUE!</v>
      </c>
      <c r="BT268" s="60"/>
      <c r="BU268" s="8">
        <v>0</v>
      </c>
      <c r="BV268" s="58" t="e">
        <f>VLOOKUP(AQ268,'[1]Harga &amp; Nama CSO'!$A$28:$D$31,4,0)*BP268</f>
        <v>#N/A</v>
      </c>
    </row>
    <row r="269" spans="41:74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55" t="e">
        <f>IFERROR(VLOOKUP(AQ269,'[1]Harga &amp; Nama CSO'!$H$2:$N$22,2,FALSE),"")*AV269</f>
        <v>#VALUE!</v>
      </c>
      <c r="BO269" s="40"/>
      <c r="BP269" s="39"/>
      <c r="BQ269" s="59"/>
      <c r="BR269" s="39"/>
      <c r="BS269" s="57" t="e">
        <f t="shared" si="25"/>
        <v>#VALUE!</v>
      </c>
      <c r="BT269" s="60"/>
      <c r="BU269" s="8">
        <v>0</v>
      </c>
      <c r="BV269" s="58" t="e">
        <f>VLOOKUP(AQ269,'[1]Harga &amp; Nama CSO'!$A$28:$D$31,4,0)*BP269</f>
        <v>#N/A</v>
      </c>
    </row>
    <row r="270" spans="41:74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55" t="e">
        <f>IFERROR(VLOOKUP(AQ270,'[1]Harga &amp; Nama CSO'!$H$2:$N$22,2,FALSE),"")*AV270</f>
        <v>#VALUE!</v>
      </c>
      <c r="BO270" s="40"/>
      <c r="BP270" s="39"/>
      <c r="BQ270" s="59"/>
      <c r="BR270" s="39"/>
      <c r="BS270" s="57" t="e">
        <f t="shared" si="25"/>
        <v>#VALUE!</v>
      </c>
      <c r="BT270" s="60"/>
      <c r="BU270" s="8">
        <v>0</v>
      </c>
      <c r="BV270" s="58" t="e">
        <f>VLOOKUP(AQ270,'[1]Harga &amp; Nama CSO'!$A$28:$D$31,4,0)*BP270</f>
        <v>#N/A</v>
      </c>
    </row>
    <row r="271" spans="41:74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55" t="e">
        <f>IFERROR(VLOOKUP(AQ271,'[1]Harga &amp; Nama CSO'!$H$2:$N$22,2,FALSE),"")*AV271</f>
        <v>#VALUE!</v>
      </c>
      <c r="BO271" s="40"/>
      <c r="BP271" s="39"/>
      <c r="BQ271" s="59"/>
      <c r="BR271" s="39"/>
      <c r="BS271" s="57" t="e">
        <f t="shared" si="25"/>
        <v>#VALUE!</v>
      </c>
      <c r="BT271" s="60"/>
      <c r="BU271" s="8">
        <v>0</v>
      </c>
      <c r="BV271" s="58" t="e">
        <f>VLOOKUP(AQ271,'[1]Harga &amp; Nama CSO'!$A$28:$D$31,4,0)*BP271</f>
        <v>#N/A</v>
      </c>
    </row>
    <row r="272" spans="41:74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55" t="e">
        <f>IFERROR(VLOOKUP(AQ272,'[1]Harga &amp; Nama CSO'!$H$2:$N$22,2,FALSE),"")*AV272</f>
        <v>#VALUE!</v>
      </c>
      <c r="BO272" s="40"/>
      <c r="BP272" s="39"/>
      <c r="BQ272" s="59"/>
      <c r="BR272" s="39"/>
      <c r="BS272" s="57" t="e">
        <f t="shared" si="25"/>
        <v>#VALUE!</v>
      </c>
      <c r="BT272" s="60"/>
      <c r="BU272" s="8">
        <v>0</v>
      </c>
      <c r="BV272" s="58" t="e">
        <f>VLOOKUP(AQ272,'[1]Harga &amp; Nama CSO'!$A$28:$D$31,4,0)*BP272</f>
        <v>#N/A</v>
      </c>
    </row>
    <row r="273" spans="41:74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55" t="e">
        <f>IFERROR(VLOOKUP(AQ273,'[1]Harga &amp; Nama CSO'!$H$2:$N$22,2,FALSE),"")*AV273</f>
        <v>#VALUE!</v>
      </c>
      <c r="BO273" s="40"/>
      <c r="BP273" s="39"/>
      <c r="BQ273" s="59"/>
      <c r="BR273" s="39"/>
      <c r="BS273" s="57" t="e">
        <f t="shared" si="25"/>
        <v>#VALUE!</v>
      </c>
      <c r="BT273" s="60"/>
      <c r="BU273" s="8">
        <v>0</v>
      </c>
      <c r="BV273" s="58" t="e">
        <f>VLOOKUP(AQ273,'[1]Harga &amp; Nama CSO'!$A$28:$D$31,4,0)*BP273</f>
        <v>#N/A</v>
      </c>
    </row>
    <row r="274" spans="41:74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55" t="e">
        <f>IFERROR(VLOOKUP(AQ274,'[1]Harga &amp; Nama CSO'!$H$2:$N$22,2,FALSE),"")*AV274</f>
        <v>#VALUE!</v>
      </c>
      <c r="BO274" s="40"/>
      <c r="BP274" s="39"/>
      <c r="BQ274" s="59"/>
      <c r="BR274" s="39"/>
      <c r="BS274" s="57" t="e">
        <f t="shared" si="25"/>
        <v>#VALUE!</v>
      </c>
      <c r="BT274" s="60"/>
      <c r="BU274" s="8">
        <v>0</v>
      </c>
      <c r="BV274" s="58" t="e">
        <f>VLOOKUP(AQ274,'[1]Harga &amp; Nama CSO'!$A$28:$D$31,4,0)*BP274</f>
        <v>#N/A</v>
      </c>
    </row>
    <row r="275" spans="41:74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55" t="e">
        <f>IFERROR(VLOOKUP(AQ275,'[1]Harga &amp; Nama CSO'!$H$2:$N$22,2,FALSE),"")*AV275</f>
        <v>#VALUE!</v>
      </c>
      <c r="BO275" s="40"/>
      <c r="BP275" s="39"/>
      <c r="BQ275" s="59"/>
      <c r="BR275" s="39"/>
      <c r="BS275" s="57" t="e">
        <f t="shared" si="25"/>
        <v>#VALUE!</v>
      </c>
      <c r="BT275" s="60"/>
      <c r="BU275" s="8">
        <v>0</v>
      </c>
      <c r="BV275" s="58" t="e">
        <f>VLOOKUP(AQ275,'[1]Harga &amp; Nama CSO'!$A$28:$D$31,4,0)*BP275</f>
        <v>#N/A</v>
      </c>
    </row>
    <row r="276" spans="41:74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55" t="e">
        <f>IFERROR(VLOOKUP(AQ276,'[1]Harga &amp; Nama CSO'!$H$2:$N$22,2,FALSE),"")*AV276</f>
        <v>#VALUE!</v>
      </c>
      <c r="BO276" s="40"/>
      <c r="BP276" s="39"/>
      <c r="BQ276" s="59"/>
      <c r="BR276" s="39"/>
      <c r="BS276" s="57" t="e">
        <f t="shared" si="25"/>
        <v>#VALUE!</v>
      </c>
      <c r="BT276" s="60"/>
      <c r="BU276" s="8">
        <v>0</v>
      </c>
      <c r="BV276" s="58" t="e">
        <f>VLOOKUP(AQ276,'[1]Harga &amp; Nama CSO'!$A$28:$D$31,4,0)*BP276</f>
        <v>#N/A</v>
      </c>
    </row>
    <row r="277" spans="41:74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55" t="e">
        <f>IFERROR(VLOOKUP(AQ277,'[1]Harga &amp; Nama CSO'!$H$2:$N$22,2,FALSE),"")*AV277</f>
        <v>#VALUE!</v>
      </c>
      <c r="BO277" s="40"/>
      <c r="BP277" s="39"/>
      <c r="BQ277" s="59"/>
      <c r="BR277" s="39"/>
      <c r="BS277" s="57" t="e">
        <f t="shared" si="25"/>
        <v>#VALUE!</v>
      </c>
      <c r="BT277" s="60"/>
      <c r="BU277" s="8">
        <v>0</v>
      </c>
      <c r="BV277" s="58" t="e">
        <f>VLOOKUP(AQ277,'[1]Harga &amp; Nama CSO'!$A$28:$D$31,4,0)*BP277</f>
        <v>#N/A</v>
      </c>
    </row>
    <row r="278" spans="41:74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55" t="e">
        <f>IFERROR(VLOOKUP(AQ278,'[1]Harga &amp; Nama CSO'!$H$2:$N$22,2,FALSE),"")*AV278</f>
        <v>#VALUE!</v>
      </c>
      <c r="BO278" s="40"/>
      <c r="BP278" s="39"/>
      <c r="BQ278" s="59"/>
      <c r="BR278" s="39"/>
      <c r="BS278" s="57" t="e">
        <f t="shared" si="25"/>
        <v>#VALUE!</v>
      </c>
      <c r="BT278" s="60"/>
      <c r="BU278" s="8">
        <v>0</v>
      </c>
      <c r="BV278" s="58" t="e">
        <f>VLOOKUP(AQ278,'[1]Harga &amp; Nama CSO'!$A$28:$D$31,4,0)*BP278</f>
        <v>#N/A</v>
      </c>
    </row>
    <row r="279" spans="41:74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55" t="e">
        <f>IFERROR(VLOOKUP(AQ279,'[1]Harga &amp; Nama CSO'!$H$2:$N$22,2,FALSE),"")*AV279</f>
        <v>#VALUE!</v>
      </c>
      <c r="BO279" s="40"/>
      <c r="BP279" s="39"/>
      <c r="BQ279" s="59"/>
      <c r="BR279" s="39"/>
      <c r="BS279" s="57" t="e">
        <f t="shared" si="25"/>
        <v>#VALUE!</v>
      </c>
      <c r="BT279" s="60"/>
      <c r="BU279" s="8">
        <v>0</v>
      </c>
      <c r="BV279" s="58" t="e">
        <f>VLOOKUP(AQ279,'[1]Harga &amp; Nama CSO'!$A$28:$D$31,4,0)*BP279</f>
        <v>#N/A</v>
      </c>
    </row>
    <row r="280" spans="41:74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55" t="e">
        <f>IFERROR(VLOOKUP(AQ280,'[1]Harga &amp; Nama CSO'!$H$2:$N$22,2,FALSE),"")*AV280</f>
        <v>#VALUE!</v>
      </c>
      <c r="BO280" s="40"/>
      <c r="BP280" s="39"/>
      <c r="BQ280" s="59"/>
      <c r="BR280" s="39"/>
      <c r="BS280" s="57" t="e">
        <f t="shared" si="25"/>
        <v>#VALUE!</v>
      </c>
      <c r="BT280" s="60"/>
      <c r="BU280" s="8">
        <v>0</v>
      </c>
      <c r="BV280" s="58" t="e">
        <f>VLOOKUP(AQ280,'[1]Harga &amp; Nama CSO'!$A$28:$D$31,4,0)*BP280</f>
        <v>#N/A</v>
      </c>
    </row>
    <row r="281" spans="41:74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55" t="e">
        <f>IFERROR(VLOOKUP(AQ281,'[1]Harga &amp; Nama CSO'!$H$2:$N$22,2,FALSE),"")*AV281</f>
        <v>#VALUE!</v>
      </c>
      <c r="BO281" s="40"/>
      <c r="BP281" s="39"/>
      <c r="BQ281" s="59"/>
      <c r="BR281" s="39"/>
      <c r="BS281" s="57" t="e">
        <f t="shared" si="25"/>
        <v>#VALUE!</v>
      </c>
      <c r="BT281" s="60"/>
      <c r="BU281" s="8">
        <v>0</v>
      </c>
      <c r="BV281" s="58" t="e">
        <f>VLOOKUP(AQ281,'[1]Harga &amp; Nama CSO'!$A$28:$D$31,4,0)*BP281</f>
        <v>#N/A</v>
      </c>
    </row>
    <row r="282" spans="41:74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55" t="e">
        <f>IFERROR(VLOOKUP(AQ282,'[1]Harga &amp; Nama CSO'!$H$2:$N$22,2,FALSE),"")*AV282</f>
        <v>#VALUE!</v>
      </c>
      <c r="BO282" s="40"/>
      <c r="BP282" s="39"/>
      <c r="BQ282" s="59"/>
      <c r="BR282" s="39"/>
      <c r="BS282" s="57" t="e">
        <f t="shared" si="25"/>
        <v>#VALUE!</v>
      </c>
      <c r="BT282" s="60"/>
      <c r="BU282" s="8">
        <v>0</v>
      </c>
      <c r="BV282" s="58" t="e">
        <f>VLOOKUP(AQ282,'[1]Harga &amp; Nama CSO'!$A$28:$D$31,4,0)*BP282</f>
        <v>#N/A</v>
      </c>
    </row>
    <row r="283" spans="41:74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55" t="e">
        <f>IFERROR(VLOOKUP(AQ283,'[1]Harga &amp; Nama CSO'!$H$2:$N$22,2,FALSE),"")*AV283</f>
        <v>#VALUE!</v>
      </c>
      <c r="BO283" s="40"/>
      <c r="BP283" s="39"/>
      <c r="BQ283" s="59"/>
      <c r="BR283" s="39"/>
      <c r="BS283" s="57" t="e">
        <f t="shared" si="25"/>
        <v>#VALUE!</v>
      </c>
      <c r="BT283" s="60"/>
      <c r="BU283" s="8">
        <v>0</v>
      </c>
      <c r="BV283" s="58" t="e">
        <f>VLOOKUP(AQ283,'[1]Harga &amp; Nama CSO'!$A$28:$D$31,4,0)*BP283</f>
        <v>#N/A</v>
      </c>
    </row>
    <row r="284" spans="41:74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55" t="e">
        <f>IFERROR(VLOOKUP(AQ284,'[1]Harga &amp; Nama CSO'!$H$2:$N$22,2,FALSE),"")*AV284</f>
        <v>#VALUE!</v>
      </c>
      <c r="BO284" s="40"/>
      <c r="BP284" s="39"/>
      <c r="BQ284" s="59"/>
      <c r="BR284" s="39"/>
      <c r="BS284" s="57" t="e">
        <f t="shared" si="25"/>
        <v>#VALUE!</v>
      </c>
      <c r="BT284" s="60"/>
      <c r="BU284" s="8">
        <v>0</v>
      </c>
      <c r="BV284" s="58" t="e">
        <f>VLOOKUP(AQ284,'[1]Harga &amp; Nama CSO'!$A$28:$D$31,4,0)*BP284</f>
        <v>#N/A</v>
      </c>
    </row>
    <row r="285" spans="41:74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55" t="e">
        <f>IFERROR(VLOOKUP(AQ285,'[1]Harga &amp; Nama CSO'!$H$2:$N$22,2,FALSE),"")*AV285</f>
        <v>#VALUE!</v>
      </c>
      <c r="BO285" s="40"/>
      <c r="BP285" s="39"/>
      <c r="BQ285" s="59"/>
      <c r="BR285" s="39"/>
      <c r="BS285" s="57" t="e">
        <f t="shared" si="25"/>
        <v>#VALUE!</v>
      </c>
      <c r="BT285" s="60"/>
      <c r="BU285" s="8">
        <v>0</v>
      </c>
      <c r="BV285" s="58" t="e">
        <f>VLOOKUP(AQ285,'[1]Harga &amp; Nama CSO'!$A$28:$D$31,4,0)*BP285</f>
        <v>#N/A</v>
      </c>
    </row>
    <row r="286" spans="41:74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55" t="e">
        <f>IFERROR(VLOOKUP(AQ286,'[1]Harga &amp; Nama CSO'!$H$2:$N$22,2,FALSE),"")*AV286</f>
        <v>#VALUE!</v>
      </c>
      <c r="BO286" s="40"/>
      <c r="BP286" s="39"/>
      <c r="BQ286" s="59"/>
      <c r="BR286" s="39"/>
      <c r="BS286" s="57" t="e">
        <f t="shared" si="25"/>
        <v>#VALUE!</v>
      </c>
      <c r="BT286" s="60"/>
      <c r="BU286" s="8">
        <v>0</v>
      </c>
      <c r="BV286" s="58" t="e">
        <f>VLOOKUP(AQ286,'[1]Harga &amp; Nama CSO'!$A$28:$D$31,4,0)*BP286</f>
        <v>#N/A</v>
      </c>
    </row>
    <row r="287" spans="41:74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55" t="e">
        <f>IFERROR(VLOOKUP(AQ287,'[1]Harga &amp; Nama CSO'!$H$2:$N$22,2,FALSE),"")*AV287</f>
        <v>#VALUE!</v>
      </c>
      <c r="BO287" s="40"/>
      <c r="BP287" s="39"/>
      <c r="BQ287" s="59"/>
      <c r="BR287" s="39"/>
      <c r="BS287" s="57" t="e">
        <f t="shared" si="25"/>
        <v>#VALUE!</v>
      </c>
      <c r="BT287" s="60"/>
      <c r="BU287" s="8">
        <v>0</v>
      </c>
      <c r="BV287" s="58" t="e">
        <f>VLOOKUP(AQ287,'[1]Harga &amp; Nama CSO'!$A$28:$D$31,4,0)*BP287</f>
        <v>#N/A</v>
      </c>
    </row>
    <row r="288" spans="41:74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55" t="e">
        <f>IFERROR(VLOOKUP(AQ288,'[1]Harga &amp; Nama CSO'!$H$2:$N$22,2,FALSE),"")*AV288</f>
        <v>#VALUE!</v>
      </c>
      <c r="BO288" s="40"/>
      <c r="BP288" s="39"/>
      <c r="BQ288" s="59"/>
      <c r="BR288" s="39"/>
      <c r="BS288" s="57" t="e">
        <f t="shared" si="25"/>
        <v>#VALUE!</v>
      </c>
      <c r="BT288" s="60"/>
      <c r="BU288" s="8">
        <v>0</v>
      </c>
      <c r="BV288" s="58" t="e">
        <f>VLOOKUP(AQ288,'[1]Harga &amp; Nama CSO'!$A$28:$D$31,4,0)*BP288</f>
        <v>#N/A</v>
      </c>
    </row>
    <row r="289" spans="41:74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55" t="e">
        <f>IFERROR(VLOOKUP(AQ289,'[1]Harga &amp; Nama CSO'!$H$2:$N$22,2,FALSE),"")*AV289</f>
        <v>#VALUE!</v>
      </c>
      <c r="BO289" s="40"/>
      <c r="BP289" s="39"/>
      <c r="BQ289" s="59"/>
      <c r="BR289" s="39"/>
      <c r="BS289" s="57" t="e">
        <f t="shared" si="25"/>
        <v>#VALUE!</v>
      </c>
      <c r="BT289" s="60"/>
      <c r="BU289" s="8">
        <v>0</v>
      </c>
      <c r="BV289" s="58" t="e">
        <f>VLOOKUP(AQ289,'[1]Harga &amp; Nama CSO'!$A$28:$D$31,4,0)*BP289</f>
        <v>#N/A</v>
      </c>
    </row>
    <row r="290" spans="41:74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55" t="e">
        <f>IFERROR(VLOOKUP(AQ290,'[1]Harga &amp; Nama CSO'!$H$2:$N$22,2,FALSE),"")*AV290</f>
        <v>#VALUE!</v>
      </c>
      <c r="BO290" s="40"/>
      <c r="BP290" s="39"/>
      <c r="BQ290" s="59"/>
      <c r="BR290" s="39"/>
      <c r="BS290" s="57" t="e">
        <f t="shared" si="25"/>
        <v>#VALUE!</v>
      </c>
      <c r="BT290" s="60"/>
      <c r="BU290" s="8">
        <v>0</v>
      </c>
      <c r="BV290" s="58" t="e">
        <f>VLOOKUP(AQ290,'[1]Harga &amp; Nama CSO'!$A$28:$D$31,4,0)*BP290</f>
        <v>#N/A</v>
      </c>
    </row>
    <row r="291" spans="41:74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55" t="e">
        <f>IFERROR(VLOOKUP(AQ291,'[1]Harga &amp; Nama CSO'!$H$2:$N$22,2,FALSE),"")*AV291</f>
        <v>#VALUE!</v>
      </c>
      <c r="BO291" s="40"/>
      <c r="BP291" s="39"/>
      <c r="BQ291" s="59"/>
      <c r="BR291" s="39"/>
      <c r="BS291" s="57" t="e">
        <f t="shared" si="25"/>
        <v>#VALUE!</v>
      </c>
      <c r="BT291" s="60"/>
      <c r="BU291" s="8">
        <v>0</v>
      </c>
      <c r="BV291" s="58" t="e">
        <f>VLOOKUP(AQ291,'[1]Harga &amp; Nama CSO'!$A$28:$D$31,4,0)*BP291</f>
        <v>#N/A</v>
      </c>
    </row>
    <row r="292" spans="41:74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55" t="e">
        <f>IFERROR(VLOOKUP(AQ292,'[1]Harga &amp; Nama CSO'!$H$2:$N$22,2,FALSE),"")*AV292</f>
        <v>#VALUE!</v>
      </c>
      <c r="BO292" s="40"/>
      <c r="BP292" s="39"/>
      <c r="BQ292" s="59"/>
      <c r="BR292" s="39"/>
      <c r="BS292" s="57" t="e">
        <f t="shared" si="25"/>
        <v>#VALUE!</v>
      </c>
      <c r="BT292" s="60"/>
      <c r="BU292" s="8">
        <v>0</v>
      </c>
      <c r="BV292" s="58" t="e">
        <f>VLOOKUP(AQ292,'[1]Harga &amp; Nama CSO'!$A$28:$D$31,4,0)*BP292</f>
        <v>#N/A</v>
      </c>
    </row>
    <row r="293" spans="41:74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55" t="e">
        <f>IFERROR(VLOOKUP(AQ293,'[1]Harga &amp; Nama CSO'!$H$2:$N$22,2,FALSE),"")*AV293</f>
        <v>#VALUE!</v>
      </c>
      <c r="BO293" s="40"/>
      <c r="BP293" s="39"/>
      <c r="BQ293" s="59"/>
      <c r="BR293" s="39"/>
      <c r="BS293" s="57" t="e">
        <f t="shared" si="25"/>
        <v>#VALUE!</v>
      </c>
      <c r="BT293" s="60"/>
      <c r="BU293" s="8">
        <v>0</v>
      </c>
      <c r="BV293" s="58" t="e">
        <f>VLOOKUP(AQ293,'[1]Harga &amp; Nama CSO'!$A$28:$D$31,4,0)*BP293</f>
        <v>#N/A</v>
      </c>
    </row>
    <row r="294" spans="41:74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55" t="e">
        <f>IFERROR(VLOOKUP(AQ294,'[1]Harga &amp; Nama CSO'!$H$2:$N$22,2,FALSE),"")*AV294</f>
        <v>#VALUE!</v>
      </c>
      <c r="BO294" s="40"/>
      <c r="BP294" s="39"/>
      <c r="BQ294" s="59"/>
      <c r="BR294" s="39"/>
      <c r="BS294" s="57" t="e">
        <f t="shared" si="25"/>
        <v>#VALUE!</v>
      </c>
      <c r="BT294" s="60"/>
      <c r="BU294" s="8">
        <v>0</v>
      </c>
      <c r="BV294" s="58" t="e">
        <f>VLOOKUP(AQ294,'[1]Harga &amp; Nama CSO'!$A$28:$D$31,4,0)*BP294</f>
        <v>#N/A</v>
      </c>
    </row>
    <row r="295" spans="41:74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55" t="e">
        <f>IFERROR(VLOOKUP(AQ295,'[1]Harga &amp; Nama CSO'!$H$2:$N$22,2,FALSE),"")*AV295</f>
        <v>#VALUE!</v>
      </c>
      <c r="BO295" s="40"/>
      <c r="BP295" s="39"/>
      <c r="BQ295" s="59"/>
      <c r="BR295" s="39"/>
      <c r="BS295" s="57" t="e">
        <f t="shared" si="25"/>
        <v>#VALUE!</v>
      </c>
      <c r="BT295" s="60"/>
      <c r="BU295" s="8">
        <v>0</v>
      </c>
      <c r="BV295" s="58" t="e">
        <f>VLOOKUP(AQ295,'[1]Harga &amp; Nama CSO'!$A$28:$D$31,4,0)*BP295</f>
        <v>#N/A</v>
      </c>
    </row>
    <row r="296" spans="41:74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55" t="e">
        <f>IFERROR(VLOOKUP(AQ296,'[1]Harga &amp; Nama CSO'!$H$2:$N$22,2,FALSE),"")*AV296</f>
        <v>#VALUE!</v>
      </c>
      <c r="BO296" s="40"/>
      <c r="BP296" s="39"/>
      <c r="BQ296" s="59"/>
      <c r="BR296" s="39"/>
      <c r="BS296" s="57" t="e">
        <f t="shared" si="25"/>
        <v>#VALUE!</v>
      </c>
      <c r="BT296" s="60"/>
      <c r="BU296" s="8">
        <v>0</v>
      </c>
      <c r="BV296" s="58" t="e">
        <f>VLOOKUP(AQ296,'[1]Harga &amp; Nama CSO'!$A$28:$D$31,4,0)*BP296</f>
        <v>#N/A</v>
      </c>
    </row>
    <row r="297" spans="41:74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55" t="e">
        <f>IFERROR(VLOOKUP(AQ297,'[1]Harga &amp; Nama CSO'!$H$2:$N$22,2,FALSE),"")*AV297</f>
        <v>#VALUE!</v>
      </c>
      <c r="BO297" s="40"/>
      <c r="BP297" s="39"/>
      <c r="BQ297" s="59"/>
      <c r="BR297" s="39"/>
      <c r="BS297" s="57" t="e">
        <f t="shared" si="25"/>
        <v>#VALUE!</v>
      </c>
      <c r="BT297" s="60"/>
      <c r="BU297" s="8">
        <v>0</v>
      </c>
      <c r="BV297" s="58" t="e">
        <f>VLOOKUP(AQ297,'[1]Harga &amp; Nama CSO'!$A$28:$D$31,4,0)*BP297</f>
        <v>#N/A</v>
      </c>
    </row>
    <row r="298" spans="41:74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55" t="e">
        <f>IFERROR(VLOOKUP(AQ298,'[1]Harga &amp; Nama CSO'!$H$2:$N$22,2,FALSE),"")*AV298</f>
        <v>#VALUE!</v>
      </c>
      <c r="BO298" s="40"/>
      <c r="BP298" s="39"/>
      <c r="BQ298" s="59"/>
      <c r="BR298" s="39"/>
      <c r="BS298" s="57" t="e">
        <f t="shared" si="25"/>
        <v>#VALUE!</v>
      </c>
      <c r="BT298" s="60"/>
      <c r="BU298" s="8">
        <v>0</v>
      </c>
      <c r="BV298" s="58" t="e">
        <f>VLOOKUP(AQ298,'[1]Harga &amp; Nama CSO'!$A$28:$D$31,4,0)*BP298</f>
        <v>#N/A</v>
      </c>
    </row>
    <row r="299" spans="41:74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55" t="e">
        <f>IFERROR(VLOOKUP(AQ299,'[1]Harga &amp; Nama CSO'!$H$2:$N$22,2,FALSE),"")*AV299</f>
        <v>#VALUE!</v>
      </c>
      <c r="BO299" s="40"/>
      <c r="BP299" s="39"/>
      <c r="BQ299" s="59"/>
      <c r="BR299" s="39"/>
      <c r="BS299" s="57" t="e">
        <f t="shared" si="25"/>
        <v>#VALUE!</v>
      </c>
      <c r="BT299" s="60"/>
      <c r="BU299" s="8">
        <v>0</v>
      </c>
      <c r="BV299" s="58" t="e">
        <f>VLOOKUP(AQ299,'[1]Harga &amp; Nama CSO'!$A$28:$D$31,4,0)*BP299</f>
        <v>#N/A</v>
      </c>
    </row>
    <row r="300" spans="41:74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55" t="e">
        <f>IFERROR(VLOOKUP(AQ300,'[1]Harga &amp; Nama CSO'!$H$2:$N$22,2,FALSE),"")*AV300</f>
        <v>#VALUE!</v>
      </c>
      <c r="BO300" s="40"/>
      <c r="BP300" s="39"/>
      <c r="BQ300" s="59"/>
      <c r="BR300" s="39"/>
      <c r="BS300" s="57" t="e">
        <f t="shared" si="25"/>
        <v>#VALUE!</v>
      </c>
      <c r="BT300" s="60"/>
      <c r="BU300" s="8">
        <v>0</v>
      </c>
      <c r="BV300" s="58" t="e">
        <f>VLOOKUP(AQ300,'[1]Harga &amp; Nama CSO'!$A$28:$D$31,4,0)*BP300</f>
        <v>#N/A</v>
      </c>
    </row>
    <row r="301" spans="41:74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55" t="e">
        <f>IFERROR(VLOOKUP(AQ301,'[1]Harga &amp; Nama CSO'!$H$2:$N$22,2,FALSE),"")*AV301</f>
        <v>#VALUE!</v>
      </c>
      <c r="BO301" s="40"/>
      <c r="BP301" s="39"/>
      <c r="BQ301" s="59"/>
      <c r="BR301" s="39"/>
      <c r="BS301" s="57" t="e">
        <f t="shared" si="25"/>
        <v>#VALUE!</v>
      </c>
      <c r="BT301" s="60"/>
      <c r="BU301" s="8">
        <v>0</v>
      </c>
      <c r="BV301" s="58" t="e">
        <f>VLOOKUP(AQ301,'[1]Harga &amp; Nama CSO'!$A$28:$D$31,4,0)*BP301</f>
        <v>#N/A</v>
      </c>
    </row>
    <row r="302" spans="41:74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55" t="e">
        <f>IFERROR(VLOOKUP(AQ302,'[1]Harga &amp; Nama CSO'!$H$2:$N$22,2,FALSE),"")*AV302</f>
        <v>#VALUE!</v>
      </c>
      <c r="BO302" s="40"/>
      <c r="BP302" s="39"/>
      <c r="BQ302" s="59"/>
      <c r="BR302" s="39"/>
      <c r="BS302" s="57" t="e">
        <f t="shared" si="25"/>
        <v>#VALUE!</v>
      </c>
      <c r="BT302" s="60"/>
      <c r="BU302" s="8">
        <v>0</v>
      </c>
      <c r="BV302" s="58" t="e">
        <f>VLOOKUP(AQ302,'[1]Harga &amp; Nama CSO'!$A$28:$D$31,4,0)*BP302</f>
        <v>#N/A</v>
      </c>
    </row>
    <row r="303" spans="41:74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55" t="e">
        <f>IFERROR(VLOOKUP(AQ303,'[1]Harga &amp; Nama CSO'!$H$2:$N$22,2,FALSE),"")*AV303</f>
        <v>#VALUE!</v>
      </c>
      <c r="BO303" s="40"/>
      <c r="BP303" s="39"/>
      <c r="BQ303" s="59"/>
      <c r="BR303" s="39"/>
      <c r="BS303" s="57" t="e">
        <f t="shared" si="25"/>
        <v>#VALUE!</v>
      </c>
      <c r="BT303" s="60"/>
      <c r="BU303" s="8">
        <v>0</v>
      </c>
      <c r="BV303" s="58" t="e">
        <f>VLOOKUP(AQ303,'[1]Harga &amp; Nama CSO'!$A$28:$D$31,4,0)*BP303</f>
        <v>#N/A</v>
      </c>
    </row>
    <row r="304" spans="41:74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55" t="e">
        <f>IFERROR(VLOOKUP(AQ304,'[1]Harga &amp; Nama CSO'!$H$2:$N$22,2,FALSE),"")*AV304</f>
        <v>#VALUE!</v>
      </c>
      <c r="BO304" s="40"/>
      <c r="BP304" s="39"/>
      <c r="BQ304" s="59"/>
      <c r="BR304" s="39"/>
      <c r="BS304" s="57" t="e">
        <f t="shared" si="25"/>
        <v>#VALUE!</v>
      </c>
      <c r="BT304" s="60"/>
      <c r="BU304" s="8">
        <v>0</v>
      </c>
      <c r="BV304" s="58" t="e">
        <f>VLOOKUP(AQ304,'[1]Harga &amp; Nama CSO'!$A$28:$D$31,4,0)*BP304</f>
        <v>#N/A</v>
      </c>
    </row>
    <row r="305" spans="41:74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55" t="e">
        <f>IFERROR(VLOOKUP(AQ305,'[1]Harga &amp; Nama CSO'!$H$2:$N$22,2,FALSE),"")*AV305</f>
        <v>#VALUE!</v>
      </c>
      <c r="BO305" s="40"/>
      <c r="BP305" s="39"/>
      <c r="BQ305" s="59"/>
      <c r="BR305" s="39"/>
      <c r="BS305" s="57" t="e">
        <f t="shared" si="25"/>
        <v>#VALUE!</v>
      </c>
      <c r="BT305" s="60"/>
      <c r="BU305" s="8">
        <v>0</v>
      </c>
      <c r="BV305" s="58" t="e">
        <f>VLOOKUP(AQ305,'[1]Harga &amp; Nama CSO'!$A$28:$D$31,4,0)*BP305</f>
        <v>#N/A</v>
      </c>
    </row>
    <row r="306" spans="41:74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55" t="e">
        <f>IFERROR(VLOOKUP(AQ306,'[1]Harga &amp; Nama CSO'!$H$2:$N$22,2,FALSE),"")*AV306</f>
        <v>#VALUE!</v>
      </c>
      <c r="BO306" s="40"/>
      <c r="BP306" s="39"/>
      <c r="BQ306" s="59"/>
      <c r="BR306" s="39"/>
      <c r="BS306" s="57" t="e">
        <f t="shared" si="25"/>
        <v>#VALUE!</v>
      </c>
      <c r="BT306" s="60"/>
      <c r="BU306" s="8">
        <v>0</v>
      </c>
      <c r="BV306" s="58" t="e">
        <f>VLOOKUP(AQ306,'[1]Harga &amp; Nama CSO'!$A$28:$D$31,4,0)*BP306</f>
        <v>#N/A</v>
      </c>
    </row>
    <row r="307" spans="41:74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55" t="e">
        <f>IFERROR(VLOOKUP(AQ307,'[1]Harga &amp; Nama CSO'!$H$2:$N$22,2,FALSE),"")*AV307</f>
        <v>#VALUE!</v>
      </c>
      <c r="BO307" s="40"/>
      <c r="BP307" s="39"/>
      <c r="BQ307" s="59"/>
      <c r="BR307" s="39"/>
      <c r="BS307" s="57" t="e">
        <f t="shared" si="25"/>
        <v>#VALUE!</v>
      </c>
      <c r="BT307" s="60"/>
      <c r="BU307" s="8">
        <v>0</v>
      </c>
      <c r="BV307" s="58" t="e">
        <f>VLOOKUP(AQ307,'[1]Harga &amp; Nama CSO'!$A$28:$D$31,4,0)*BP307</f>
        <v>#N/A</v>
      </c>
    </row>
    <row r="308" spans="41:74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55" t="e">
        <f>IFERROR(VLOOKUP(AQ308,'[1]Harga &amp; Nama CSO'!$H$2:$N$22,2,FALSE),"")*AV308</f>
        <v>#VALUE!</v>
      </c>
      <c r="BO308" s="40"/>
      <c r="BP308" s="39"/>
      <c r="BQ308" s="59"/>
      <c r="BR308" s="39"/>
      <c r="BS308" s="57" t="e">
        <f t="shared" si="25"/>
        <v>#VALUE!</v>
      </c>
      <c r="BT308" s="60"/>
      <c r="BU308" s="8">
        <v>0</v>
      </c>
      <c r="BV308" s="58" t="e">
        <f>VLOOKUP(AQ308,'[1]Harga &amp; Nama CSO'!$A$28:$D$31,4,0)*BP308</f>
        <v>#N/A</v>
      </c>
    </row>
    <row r="309" spans="41:74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55" t="e">
        <f>IFERROR(VLOOKUP(AQ309,'[1]Harga &amp; Nama CSO'!$H$2:$N$22,2,FALSE),"")*AV309</f>
        <v>#VALUE!</v>
      </c>
      <c r="BO309" s="40"/>
      <c r="BP309" s="39"/>
      <c r="BQ309" s="59"/>
      <c r="BR309" s="39"/>
      <c r="BS309" s="57" t="e">
        <f t="shared" si="25"/>
        <v>#VALUE!</v>
      </c>
      <c r="BT309" s="60"/>
      <c r="BU309" s="8">
        <v>0</v>
      </c>
      <c r="BV309" s="58" t="e">
        <f>VLOOKUP(AQ309,'[1]Harga &amp; Nama CSO'!$A$28:$D$31,4,0)*BP309</f>
        <v>#N/A</v>
      </c>
    </row>
    <row r="310" spans="41:74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55" t="e">
        <f>IFERROR(VLOOKUP(AQ310,'[1]Harga &amp; Nama CSO'!$H$2:$N$22,2,FALSE),"")*AV310</f>
        <v>#VALUE!</v>
      </c>
      <c r="BO310" s="40"/>
      <c r="BP310" s="39"/>
      <c r="BQ310" s="59"/>
      <c r="BR310" s="39"/>
      <c r="BS310" s="57" t="e">
        <f t="shared" si="25"/>
        <v>#VALUE!</v>
      </c>
      <c r="BT310" s="60"/>
      <c r="BU310" s="8">
        <v>0</v>
      </c>
      <c r="BV310" s="58" t="e">
        <f>VLOOKUP(AQ310,'[1]Harga &amp; Nama CSO'!$A$28:$D$31,4,0)*BP310</f>
        <v>#N/A</v>
      </c>
    </row>
    <row r="311" spans="41:74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55" t="e">
        <f>IFERROR(VLOOKUP(AQ311,'[1]Harga &amp; Nama CSO'!$H$2:$N$22,2,FALSE),"")*AV311</f>
        <v>#VALUE!</v>
      </c>
      <c r="BO311" s="40"/>
      <c r="BP311" s="39"/>
      <c r="BQ311" s="59"/>
      <c r="BR311" s="39"/>
      <c r="BS311" s="57" t="e">
        <f t="shared" si="25"/>
        <v>#VALUE!</v>
      </c>
      <c r="BT311" s="60"/>
      <c r="BU311" s="8">
        <v>0</v>
      </c>
      <c r="BV311" s="58" t="e">
        <f>VLOOKUP(AQ311,'[1]Harga &amp; Nama CSO'!$A$28:$D$31,4,0)*BP311</f>
        <v>#N/A</v>
      </c>
    </row>
    <row r="312" spans="41:74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55" t="e">
        <f>IFERROR(VLOOKUP(AQ312,'[1]Harga &amp; Nama CSO'!$H$2:$N$22,2,FALSE),"")*AV312</f>
        <v>#VALUE!</v>
      </c>
      <c r="BO312" s="40"/>
      <c r="BP312" s="39"/>
      <c r="BQ312" s="59"/>
      <c r="BR312" s="39"/>
      <c r="BS312" s="57" t="e">
        <f t="shared" si="25"/>
        <v>#VALUE!</v>
      </c>
      <c r="BT312" s="60"/>
      <c r="BU312" s="8">
        <v>0</v>
      </c>
      <c r="BV312" s="58" t="e">
        <f>VLOOKUP(AQ312,'[1]Harga &amp; Nama CSO'!$A$28:$D$31,4,0)*BP312</f>
        <v>#N/A</v>
      </c>
    </row>
    <row r="313" spans="41:74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55" t="e">
        <f>IFERROR(VLOOKUP(AQ313,'[1]Harga &amp; Nama CSO'!$H$2:$N$22,2,FALSE),"")*AV313</f>
        <v>#VALUE!</v>
      </c>
      <c r="BO313" s="40"/>
      <c r="BP313" s="39"/>
      <c r="BQ313" s="59"/>
      <c r="BR313" s="39"/>
      <c r="BS313" s="57" t="e">
        <f t="shared" si="25"/>
        <v>#VALUE!</v>
      </c>
      <c r="BT313" s="60"/>
      <c r="BU313" s="8">
        <v>0</v>
      </c>
      <c r="BV313" s="58" t="e">
        <f>VLOOKUP(AQ313,'[1]Harga &amp; Nama CSO'!$A$28:$D$31,4,0)*BP313</f>
        <v>#N/A</v>
      </c>
    </row>
    <row r="314" spans="41:74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55" t="e">
        <f>IFERROR(VLOOKUP(AQ314,'[1]Harga &amp; Nama CSO'!$H$2:$N$22,2,FALSE),"")*AV314</f>
        <v>#VALUE!</v>
      </c>
      <c r="BO314" s="40"/>
      <c r="BP314" s="39"/>
      <c r="BQ314" s="59"/>
      <c r="BR314" s="39"/>
      <c r="BS314" s="57" t="e">
        <f t="shared" si="25"/>
        <v>#VALUE!</v>
      </c>
      <c r="BT314" s="60"/>
      <c r="BU314" s="8">
        <v>0</v>
      </c>
      <c r="BV314" s="58" t="e">
        <f>VLOOKUP(AQ314,'[1]Harga &amp; Nama CSO'!$A$28:$D$31,4,0)*BP314</f>
        <v>#N/A</v>
      </c>
    </row>
    <row r="315" spans="41:74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55" t="e">
        <f>IFERROR(VLOOKUP(AQ315,'[1]Harga &amp; Nama CSO'!$H$2:$N$22,2,FALSE),"")*AV315</f>
        <v>#VALUE!</v>
      </c>
      <c r="BO315" s="40"/>
      <c r="BP315" s="39"/>
      <c r="BQ315" s="59"/>
      <c r="BR315" s="39"/>
      <c r="BS315" s="57" t="e">
        <f t="shared" si="25"/>
        <v>#VALUE!</v>
      </c>
      <c r="BT315" s="60"/>
      <c r="BU315" s="8">
        <v>0</v>
      </c>
      <c r="BV315" s="58" t="e">
        <f>VLOOKUP(AQ315,'[1]Harga &amp; Nama CSO'!$A$28:$D$31,4,0)*BP315</f>
        <v>#N/A</v>
      </c>
    </row>
    <row r="316" spans="41:74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55" t="e">
        <f>IFERROR(VLOOKUP(AQ316,'[1]Harga &amp; Nama CSO'!$H$2:$N$22,2,FALSE),"")*AV316</f>
        <v>#VALUE!</v>
      </c>
      <c r="BO316" s="40"/>
      <c r="BP316" s="39"/>
      <c r="BQ316" s="59"/>
      <c r="BR316" s="39"/>
      <c r="BS316" s="57" t="e">
        <f t="shared" si="25"/>
        <v>#VALUE!</v>
      </c>
      <c r="BT316" s="60"/>
      <c r="BU316" s="8">
        <v>0</v>
      </c>
      <c r="BV316" s="58" t="e">
        <f>VLOOKUP(AQ316,'[1]Harga &amp; Nama CSO'!$A$28:$D$31,4,0)*BP316</f>
        <v>#N/A</v>
      </c>
    </row>
    <row r="317" spans="41:74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55" t="e">
        <f>IFERROR(VLOOKUP(AQ317,'[1]Harga &amp; Nama CSO'!$H$2:$N$22,2,FALSE),"")*AV317</f>
        <v>#VALUE!</v>
      </c>
      <c r="BO317" s="40"/>
      <c r="BP317" s="39"/>
      <c r="BQ317" s="59"/>
      <c r="BR317" s="39"/>
      <c r="BS317" s="57" t="e">
        <f t="shared" si="25"/>
        <v>#VALUE!</v>
      </c>
      <c r="BT317" s="60"/>
      <c r="BU317" s="8">
        <v>0</v>
      </c>
      <c r="BV317" s="58" t="e">
        <f>VLOOKUP(AQ317,'[1]Harga &amp; Nama CSO'!$A$28:$D$31,4,0)*BP317</f>
        <v>#N/A</v>
      </c>
    </row>
    <row r="318" spans="41:74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55" t="e">
        <f>IFERROR(VLOOKUP(AQ318,'[1]Harga &amp; Nama CSO'!$H$2:$N$22,2,FALSE),"")*AV318</f>
        <v>#VALUE!</v>
      </c>
      <c r="BO318" s="40"/>
      <c r="BP318" s="39"/>
      <c r="BQ318" s="59"/>
      <c r="BR318" s="39"/>
      <c r="BS318" s="57" t="e">
        <f t="shared" si="25"/>
        <v>#VALUE!</v>
      </c>
      <c r="BT318" s="60"/>
      <c r="BU318" s="8">
        <v>0</v>
      </c>
      <c r="BV318" s="58" t="e">
        <f>VLOOKUP(AQ318,'[1]Harga &amp; Nama CSO'!$A$28:$D$31,4,0)*BP318</f>
        <v>#N/A</v>
      </c>
    </row>
    <row r="319" spans="41:74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55" t="e">
        <f>IFERROR(VLOOKUP(AQ319,'[1]Harga &amp; Nama CSO'!$H$2:$N$22,2,FALSE),"")*AV319</f>
        <v>#VALUE!</v>
      </c>
      <c r="BO319" s="40"/>
      <c r="BP319" s="39"/>
      <c r="BQ319" s="59"/>
      <c r="BR319" s="39"/>
      <c r="BS319" s="57" t="e">
        <f t="shared" si="25"/>
        <v>#VALUE!</v>
      </c>
      <c r="BT319" s="60"/>
      <c r="BU319" s="8">
        <v>0</v>
      </c>
      <c r="BV319" s="58" t="e">
        <f>VLOOKUP(AQ319,'[1]Harga &amp; Nama CSO'!$A$28:$D$31,4,0)*BP319</f>
        <v>#N/A</v>
      </c>
    </row>
    <row r="320" spans="41:74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55" t="e">
        <f>IFERROR(VLOOKUP(AQ320,'[1]Harga &amp; Nama CSO'!$H$2:$N$22,2,FALSE),"")*AV320</f>
        <v>#VALUE!</v>
      </c>
      <c r="BO320" s="40"/>
      <c r="BP320" s="39"/>
      <c r="BQ320" s="59"/>
      <c r="BR320" s="39"/>
      <c r="BS320" s="57" t="e">
        <f t="shared" si="25"/>
        <v>#VALUE!</v>
      </c>
      <c r="BT320" s="60"/>
      <c r="BU320" s="8">
        <v>0</v>
      </c>
      <c r="BV320" s="58" t="e">
        <f>VLOOKUP(AQ320,'[1]Harga &amp; Nama CSO'!$A$28:$D$31,4,0)*BP320</f>
        <v>#N/A</v>
      </c>
    </row>
    <row r="321" spans="41:74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55" t="e">
        <f>IFERROR(VLOOKUP(AQ321,'[1]Harga &amp; Nama CSO'!$H$2:$N$22,2,FALSE),"")*AV321</f>
        <v>#VALUE!</v>
      </c>
      <c r="BO321" s="40"/>
      <c r="BP321" s="39"/>
      <c r="BQ321" s="59"/>
      <c r="BR321" s="39"/>
      <c r="BS321" s="57" t="e">
        <f t="shared" si="25"/>
        <v>#VALUE!</v>
      </c>
      <c r="BT321" s="60"/>
      <c r="BU321" s="8">
        <v>0</v>
      </c>
      <c r="BV321" s="58" t="e">
        <f>VLOOKUP(AQ321,'[1]Harga &amp; Nama CSO'!$A$28:$D$31,4,0)*BP321</f>
        <v>#N/A</v>
      </c>
    </row>
    <row r="322" spans="41:74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55" t="e">
        <f>IFERROR(VLOOKUP(AQ322,'[1]Harga &amp; Nama CSO'!$H$2:$N$22,2,FALSE),"")*AV322</f>
        <v>#VALUE!</v>
      </c>
      <c r="BO322" s="40"/>
      <c r="BP322" s="39"/>
      <c r="BQ322" s="59"/>
      <c r="BR322" s="39"/>
      <c r="BS322" s="57" t="e">
        <f t="shared" si="25"/>
        <v>#VALUE!</v>
      </c>
      <c r="BT322" s="60"/>
      <c r="BU322" s="8">
        <v>0</v>
      </c>
      <c r="BV322" s="58" t="e">
        <f>VLOOKUP(AQ322,'[1]Harga &amp; Nama CSO'!$A$28:$D$31,4,0)*BP322</f>
        <v>#N/A</v>
      </c>
    </row>
    <row r="323" spans="41:74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55" t="e">
        <f>IFERROR(VLOOKUP(AQ323,'[1]Harga &amp; Nama CSO'!$H$2:$N$22,2,FALSE),"")*AV323</f>
        <v>#VALUE!</v>
      </c>
      <c r="BO323" s="40"/>
      <c r="BP323" s="39"/>
      <c r="BQ323" s="59"/>
      <c r="BR323" s="39"/>
      <c r="BS323" s="57" t="e">
        <f t="shared" ref="BS323:BS386" si="26">BN323-BQ323</f>
        <v>#VALUE!</v>
      </c>
      <c r="BT323" s="60"/>
      <c r="BU323" s="8">
        <v>0</v>
      </c>
      <c r="BV323" s="58" t="e">
        <f>VLOOKUP(AQ323,'[1]Harga &amp; Nama CSO'!$A$28:$D$31,4,0)*BP323</f>
        <v>#N/A</v>
      </c>
    </row>
    <row r="324" spans="41:74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55" t="e">
        <f>IFERROR(VLOOKUP(AQ324,'[1]Harga &amp; Nama CSO'!$H$2:$N$22,2,FALSE),"")*AV324</f>
        <v>#VALUE!</v>
      </c>
      <c r="BO324" s="40"/>
      <c r="BP324" s="39"/>
      <c r="BQ324" s="59"/>
      <c r="BR324" s="39"/>
      <c r="BS324" s="57" t="e">
        <f t="shared" si="26"/>
        <v>#VALUE!</v>
      </c>
      <c r="BT324" s="60"/>
      <c r="BU324" s="8">
        <v>0</v>
      </c>
      <c r="BV324" s="58" t="e">
        <f>VLOOKUP(AQ324,'[1]Harga &amp; Nama CSO'!$A$28:$D$31,4,0)*BP324</f>
        <v>#N/A</v>
      </c>
    </row>
    <row r="325" spans="41:74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55" t="e">
        <f>IFERROR(VLOOKUP(AQ325,'[1]Harga &amp; Nama CSO'!$H$2:$N$22,2,FALSE),"")*AV325</f>
        <v>#VALUE!</v>
      </c>
      <c r="BO325" s="40"/>
      <c r="BP325" s="39"/>
      <c r="BQ325" s="59"/>
      <c r="BR325" s="39"/>
      <c r="BS325" s="57" t="e">
        <f t="shared" si="26"/>
        <v>#VALUE!</v>
      </c>
      <c r="BT325" s="60"/>
      <c r="BU325" s="8">
        <v>0</v>
      </c>
      <c r="BV325" s="58" t="e">
        <f>VLOOKUP(AQ325,'[1]Harga &amp; Nama CSO'!$A$28:$D$31,4,0)*BP325</f>
        <v>#N/A</v>
      </c>
    </row>
    <row r="326" spans="41:74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55" t="e">
        <f>IFERROR(VLOOKUP(AQ326,'[1]Harga &amp; Nama CSO'!$H$2:$N$22,2,FALSE),"")*AV326</f>
        <v>#VALUE!</v>
      </c>
      <c r="BO326" s="40"/>
      <c r="BP326" s="39"/>
      <c r="BQ326" s="59"/>
      <c r="BR326" s="39"/>
      <c r="BS326" s="57" t="e">
        <f t="shared" si="26"/>
        <v>#VALUE!</v>
      </c>
      <c r="BT326" s="60"/>
      <c r="BU326" s="8">
        <v>0</v>
      </c>
      <c r="BV326" s="58" t="e">
        <f>VLOOKUP(AQ326,'[1]Harga &amp; Nama CSO'!$A$28:$D$31,4,0)*BP326</f>
        <v>#N/A</v>
      </c>
    </row>
    <row r="327" spans="41:74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55" t="e">
        <f>IFERROR(VLOOKUP(AQ327,'[1]Harga &amp; Nama CSO'!$H$2:$N$22,2,FALSE),"")*AV327</f>
        <v>#VALUE!</v>
      </c>
      <c r="BO327" s="40"/>
      <c r="BP327" s="39"/>
      <c r="BQ327" s="59"/>
      <c r="BR327" s="39"/>
      <c r="BS327" s="57" t="e">
        <f t="shared" si="26"/>
        <v>#VALUE!</v>
      </c>
      <c r="BT327" s="60"/>
      <c r="BU327" s="8">
        <v>0</v>
      </c>
      <c r="BV327" s="58" t="e">
        <f>VLOOKUP(AQ327,'[1]Harga &amp; Nama CSO'!$A$28:$D$31,4,0)*BP327</f>
        <v>#N/A</v>
      </c>
    </row>
    <row r="328" spans="41:74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55" t="e">
        <f>IFERROR(VLOOKUP(AQ328,'[1]Harga &amp; Nama CSO'!$H$2:$N$22,2,FALSE),"")*AV328</f>
        <v>#VALUE!</v>
      </c>
      <c r="BO328" s="40"/>
      <c r="BP328" s="39"/>
      <c r="BQ328" s="59"/>
      <c r="BR328" s="39"/>
      <c r="BS328" s="57" t="e">
        <f t="shared" si="26"/>
        <v>#VALUE!</v>
      </c>
      <c r="BT328" s="60"/>
      <c r="BU328" s="8">
        <v>0</v>
      </c>
      <c r="BV328" s="58" t="e">
        <f>VLOOKUP(AQ328,'[1]Harga &amp; Nama CSO'!$A$28:$D$31,4,0)*BP328</f>
        <v>#N/A</v>
      </c>
    </row>
    <row r="329" spans="41:74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55" t="e">
        <f>IFERROR(VLOOKUP(AQ329,'[1]Harga &amp; Nama CSO'!$H$2:$N$22,2,FALSE),"")*AV329</f>
        <v>#VALUE!</v>
      </c>
      <c r="BO329" s="40"/>
      <c r="BP329" s="39"/>
      <c r="BQ329" s="59"/>
      <c r="BR329" s="39"/>
      <c r="BS329" s="57" t="e">
        <f t="shared" si="26"/>
        <v>#VALUE!</v>
      </c>
      <c r="BT329" s="60"/>
      <c r="BU329" s="8">
        <v>0</v>
      </c>
      <c r="BV329" s="58" t="e">
        <f>VLOOKUP(AQ329,'[1]Harga &amp; Nama CSO'!$A$28:$D$31,4,0)*BP329</f>
        <v>#N/A</v>
      </c>
    </row>
    <row r="330" spans="41:74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55" t="e">
        <f>IFERROR(VLOOKUP(AQ330,'[1]Harga &amp; Nama CSO'!$H$2:$N$22,2,FALSE),"")*AV330</f>
        <v>#VALUE!</v>
      </c>
      <c r="BO330" s="40"/>
      <c r="BP330" s="39"/>
      <c r="BQ330" s="59"/>
      <c r="BR330" s="39"/>
      <c r="BS330" s="57" t="e">
        <f t="shared" si="26"/>
        <v>#VALUE!</v>
      </c>
      <c r="BT330" s="60"/>
      <c r="BU330" s="8">
        <v>0</v>
      </c>
      <c r="BV330" s="58" t="e">
        <f>VLOOKUP(AQ330,'[1]Harga &amp; Nama CSO'!$A$28:$D$31,4,0)*BP330</f>
        <v>#N/A</v>
      </c>
    </row>
    <row r="331" spans="41:74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55" t="e">
        <f>IFERROR(VLOOKUP(AQ331,'[1]Harga &amp; Nama CSO'!$H$2:$N$22,2,FALSE),"")*AV331</f>
        <v>#VALUE!</v>
      </c>
      <c r="BO331" s="40"/>
      <c r="BP331" s="39"/>
      <c r="BQ331" s="59"/>
      <c r="BR331" s="39"/>
      <c r="BS331" s="57" t="e">
        <f t="shared" si="26"/>
        <v>#VALUE!</v>
      </c>
      <c r="BT331" s="60"/>
      <c r="BU331" s="8">
        <v>0</v>
      </c>
      <c r="BV331" s="58" t="e">
        <f>VLOOKUP(AQ331,'[1]Harga &amp; Nama CSO'!$A$28:$D$31,4,0)*BP331</f>
        <v>#N/A</v>
      </c>
    </row>
    <row r="332" spans="41:74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55" t="e">
        <f>IFERROR(VLOOKUP(AQ332,'[1]Harga &amp; Nama CSO'!$H$2:$N$22,2,FALSE),"")*AV332</f>
        <v>#VALUE!</v>
      </c>
      <c r="BO332" s="40"/>
      <c r="BP332" s="39"/>
      <c r="BQ332" s="59"/>
      <c r="BR332" s="39"/>
      <c r="BS332" s="57" t="e">
        <f t="shared" si="26"/>
        <v>#VALUE!</v>
      </c>
      <c r="BT332" s="60"/>
      <c r="BU332" s="8">
        <v>0</v>
      </c>
      <c r="BV332" s="58" t="e">
        <f>VLOOKUP(AQ332,'[1]Harga &amp; Nama CSO'!$A$28:$D$31,4,0)*BP332</f>
        <v>#N/A</v>
      </c>
    </row>
    <row r="333" spans="41:74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55" t="e">
        <f>IFERROR(VLOOKUP(AQ333,'[1]Harga &amp; Nama CSO'!$H$2:$N$22,2,FALSE),"")*AV333</f>
        <v>#VALUE!</v>
      </c>
      <c r="BO333" s="40"/>
      <c r="BP333" s="39"/>
      <c r="BQ333" s="59"/>
      <c r="BR333" s="39"/>
      <c r="BS333" s="57" t="e">
        <f t="shared" si="26"/>
        <v>#VALUE!</v>
      </c>
      <c r="BT333" s="60"/>
      <c r="BU333" s="8">
        <v>0</v>
      </c>
      <c r="BV333" s="58" t="e">
        <f>VLOOKUP(AQ333,'[1]Harga &amp; Nama CSO'!$A$28:$D$31,4,0)*BP333</f>
        <v>#N/A</v>
      </c>
    </row>
    <row r="334" spans="41:74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55" t="e">
        <f>IFERROR(VLOOKUP(AQ334,'[1]Harga &amp; Nama CSO'!$H$2:$N$22,2,FALSE),"")*AV334</f>
        <v>#VALUE!</v>
      </c>
      <c r="BO334" s="40"/>
      <c r="BP334" s="39"/>
      <c r="BQ334" s="59"/>
      <c r="BR334" s="39"/>
      <c r="BS334" s="57" t="e">
        <f t="shared" si="26"/>
        <v>#VALUE!</v>
      </c>
      <c r="BT334" s="60"/>
      <c r="BU334" s="8">
        <v>0</v>
      </c>
      <c r="BV334" s="58" t="e">
        <f>VLOOKUP(AQ334,'[1]Harga &amp; Nama CSO'!$A$28:$D$31,4,0)*BP334</f>
        <v>#N/A</v>
      </c>
    </row>
    <row r="335" spans="41:74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55" t="e">
        <f>IFERROR(VLOOKUP(AQ335,'[1]Harga &amp; Nama CSO'!$H$2:$N$22,2,FALSE),"")*AV335</f>
        <v>#VALUE!</v>
      </c>
      <c r="BO335" s="40"/>
      <c r="BP335" s="39"/>
      <c r="BQ335" s="59"/>
      <c r="BR335" s="39"/>
      <c r="BS335" s="57" t="e">
        <f t="shared" si="26"/>
        <v>#VALUE!</v>
      </c>
      <c r="BT335" s="60"/>
      <c r="BU335" s="8">
        <v>0</v>
      </c>
      <c r="BV335" s="58" t="e">
        <f>VLOOKUP(AQ335,'[1]Harga &amp; Nama CSO'!$A$28:$D$31,4,0)*BP335</f>
        <v>#N/A</v>
      </c>
    </row>
    <row r="336" spans="41:74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55" t="e">
        <f>IFERROR(VLOOKUP(AQ336,'[1]Harga &amp; Nama CSO'!$H$2:$N$22,2,FALSE),"")*AV336</f>
        <v>#VALUE!</v>
      </c>
      <c r="BO336" s="40"/>
      <c r="BP336" s="39"/>
      <c r="BQ336" s="59"/>
      <c r="BR336" s="39"/>
      <c r="BS336" s="57" t="e">
        <f t="shared" si="26"/>
        <v>#VALUE!</v>
      </c>
      <c r="BT336" s="60"/>
      <c r="BU336" s="8">
        <v>0</v>
      </c>
      <c r="BV336" s="58" t="e">
        <f>VLOOKUP(AQ336,'[1]Harga &amp; Nama CSO'!$A$28:$D$31,4,0)*BP336</f>
        <v>#N/A</v>
      </c>
    </row>
    <row r="337" spans="41:74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55" t="e">
        <f>IFERROR(VLOOKUP(AQ337,'[1]Harga &amp; Nama CSO'!$H$2:$N$22,2,FALSE),"")*AV337</f>
        <v>#VALUE!</v>
      </c>
      <c r="BO337" s="40"/>
      <c r="BP337" s="39"/>
      <c r="BQ337" s="59"/>
      <c r="BR337" s="39"/>
      <c r="BS337" s="57" t="e">
        <f t="shared" si="26"/>
        <v>#VALUE!</v>
      </c>
      <c r="BT337" s="60"/>
      <c r="BU337" s="8">
        <v>0</v>
      </c>
      <c r="BV337" s="58" t="e">
        <f>VLOOKUP(AQ337,'[1]Harga &amp; Nama CSO'!$A$28:$D$31,4,0)*BP337</f>
        <v>#N/A</v>
      </c>
    </row>
    <row r="338" spans="41:74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55" t="e">
        <f>IFERROR(VLOOKUP(AQ338,'[1]Harga &amp; Nama CSO'!$H$2:$N$22,2,FALSE),"")*AV338</f>
        <v>#VALUE!</v>
      </c>
      <c r="BO338" s="40"/>
      <c r="BP338" s="39"/>
      <c r="BQ338" s="59"/>
      <c r="BR338" s="39"/>
      <c r="BS338" s="57" t="e">
        <f t="shared" si="26"/>
        <v>#VALUE!</v>
      </c>
      <c r="BT338" s="60"/>
      <c r="BU338" s="8">
        <v>0</v>
      </c>
      <c r="BV338" s="58" t="e">
        <f>VLOOKUP(AQ338,'[1]Harga &amp; Nama CSO'!$A$28:$D$31,4,0)*BP338</f>
        <v>#N/A</v>
      </c>
    </row>
    <row r="339" spans="41:74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55" t="e">
        <f>IFERROR(VLOOKUP(AQ339,'[1]Harga &amp; Nama CSO'!$H$2:$N$22,2,FALSE),"")*AV339</f>
        <v>#VALUE!</v>
      </c>
      <c r="BO339" s="40"/>
      <c r="BP339" s="39"/>
      <c r="BQ339" s="59"/>
      <c r="BR339" s="39"/>
      <c r="BS339" s="57" t="e">
        <f t="shared" si="26"/>
        <v>#VALUE!</v>
      </c>
      <c r="BT339" s="60"/>
      <c r="BU339" s="8">
        <v>0</v>
      </c>
      <c r="BV339" s="58" t="e">
        <f>VLOOKUP(AQ339,'[1]Harga &amp; Nama CSO'!$A$28:$D$31,4,0)*BP339</f>
        <v>#N/A</v>
      </c>
    </row>
    <row r="340" spans="41:74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55" t="e">
        <f>IFERROR(VLOOKUP(AQ340,'[1]Harga &amp; Nama CSO'!$H$2:$N$22,2,FALSE),"")*AV340</f>
        <v>#VALUE!</v>
      </c>
      <c r="BO340" s="40"/>
      <c r="BP340" s="39"/>
      <c r="BQ340" s="59"/>
      <c r="BR340" s="39"/>
      <c r="BS340" s="57" t="e">
        <f t="shared" si="26"/>
        <v>#VALUE!</v>
      </c>
      <c r="BT340" s="60"/>
      <c r="BU340" s="8">
        <v>0</v>
      </c>
      <c r="BV340" s="58" t="e">
        <f>VLOOKUP(AQ340,'[1]Harga &amp; Nama CSO'!$A$28:$D$31,4,0)*BP340</f>
        <v>#N/A</v>
      </c>
    </row>
    <row r="341" spans="41:74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55" t="e">
        <f>IFERROR(VLOOKUP(AQ341,'[1]Harga &amp; Nama CSO'!$H$2:$N$22,2,FALSE),"")*AV341</f>
        <v>#VALUE!</v>
      </c>
      <c r="BO341" s="40"/>
      <c r="BP341" s="39"/>
      <c r="BQ341" s="59"/>
      <c r="BR341" s="39"/>
      <c r="BS341" s="57" t="e">
        <f t="shared" si="26"/>
        <v>#VALUE!</v>
      </c>
      <c r="BT341" s="60"/>
      <c r="BU341" s="8">
        <v>0</v>
      </c>
      <c r="BV341" s="58" t="e">
        <f>VLOOKUP(AQ341,'[1]Harga &amp; Nama CSO'!$A$28:$D$31,4,0)*BP341</f>
        <v>#N/A</v>
      </c>
    </row>
    <row r="342" spans="41:74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55" t="e">
        <f>IFERROR(VLOOKUP(AQ342,'[1]Harga &amp; Nama CSO'!$H$2:$N$22,2,FALSE),"")*AV342</f>
        <v>#VALUE!</v>
      </c>
      <c r="BO342" s="40"/>
      <c r="BP342" s="39"/>
      <c r="BQ342" s="59"/>
      <c r="BR342" s="39"/>
      <c r="BS342" s="57" t="e">
        <f t="shared" si="26"/>
        <v>#VALUE!</v>
      </c>
      <c r="BT342" s="60"/>
      <c r="BU342" s="8">
        <v>0</v>
      </c>
      <c r="BV342" s="58" t="e">
        <f>VLOOKUP(AQ342,'[1]Harga &amp; Nama CSO'!$A$28:$D$31,4,0)*BP342</f>
        <v>#N/A</v>
      </c>
    </row>
    <row r="343" spans="41:74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55" t="e">
        <f>IFERROR(VLOOKUP(AQ343,'[1]Harga &amp; Nama CSO'!$H$2:$N$22,2,FALSE),"")*AV343</f>
        <v>#VALUE!</v>
      </c>
      <c r="BO343" s="40"/>
      <c r="BP343" s="39"/>
      <c r="BQ343" s="59"/>
      <c r="BR343" s="39"/>
      <c r="BS343" s="57" t="e">
        <f t="shared" si="26"/>
        <v>#VALUE!</v>
      </c>
      <c r="BT343" s="60"/>
      <c r="BU343" s="8">
        <v>0</v>
      </c>
      <c r="BV343" s="58" t="e">
        <f>VLOOKUP(AQ343,'[1]Harga &amp; Nama CSO'!$A$28:$D$31,4,0)*BP343</f>
        <v>#N/A</v>
      </c>
    </row>
    <row r="344" spans="41:74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55" t="e">
        <f>IFERROR(VLOOKUP(AQ344,'[1]Harga &amp; Nama CSO'!$H$2:$N$22,2,FALSE),"")*AV344</f>
        <v>#VALUE!</v>
      </c>
      <c r="BO344" s="40"/>
      <c r="BP344" s="39"/>
      <c r="BQ344" s="59"/>
      <c r="BR344" s="39"/>
      <c r="BS344" s="57" t="e">
        <f t="shared" si="26"/>
        <v>#VALUE!</v>
      </c>
      <c r="BT344" s="60"/>
      <c r="BU344" s="8">
        <v>0</v>
      </c>
      <c r="BV344" s="58" t="e">
        <f>VLOOKUP(AQ344,'[1]Harga &amp; Nama CSO'!$A$28:$D$31,4,0)*BP344</f>
        <v>#N/A</v>
      </c>
    </row>
    <row r="345" spans="41:74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55" t="e">
        <f>IFERROR(VLOOKUP(AQ345,'[1]Harga &amp; Nama CSO'!$H$2:$N$22,2,FALSE),"")*AV345</f>
        <v>#VALUE!</v>
      </c>
      <c r="BO345" s="40"/>
      <c r="BP345" s="39"/>
      <c r="BQ345" s="59"/>
      <c r="BR345" s="39"/>
      <c r="BS345" s="57" t="e">
        <f t="shared" si="26"/>
        <v>#VALUE!</v>
      </c>
      <c r="BT345" s="60"/>
      <c r="BU345" s="8">
        <v>0</v>
      </c>
      <c r="BV345" s="58" t="e">
        <f>VLOOKUP(AQ345,'[1]Harga &amp; Nama CSO'!$A$28:$D$31,4,0)*BP345</f>
        <v>#N/A</v>
      </c>
    </row>
    <row r="346" spans="41:74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55" t="e">
        <f>IFERROR(VLOOKUP(AQ346,'[1]Harga &amp; Nama CSO'!$H$2:$N$22,2,FALSE),"")*AV346</f>
        <v>#VALUE!</v>
      </c>
      <c r="BO346" s="40"/>
      <c r="BP346" s="39"/>
      <c r="BQ346" s="59"/>
      <c r="BR346" s="39"/>
      <c r="BS346" s="57" t="e">
        <f t="shared" si="26"/>
        <v>#VALUE!</v>
      </c>
      <c r="BT346" s="60"/>
      <c r="BU346" s="8">
        <v>0</v>
      </c>
      <c r="BV346" s="58" t="e">
        <f>VLOOKUP(AQ346,'[1]Harga &amp; Nama CSO'!$A$28:$D$31,4,0)*BP346</f>
        <v>#N/A</v>
      </c>
    </row>
    <row r="347" spans="41:74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55" t="e">
        <f>IFERROR(VLOOKUP(AQ347,'[1]Harga &amp; Nama CSO'!$H$2:$N$22,2,FALSE),"")*AV347</f>
        <v>#VALUE!</v>
      </c>
      <c r="BO347" s="40"/>
      <c r="BP347" s="39"/>
      <c r="BQ347" s="59"/>
      <c r="BR347" s="39"/>
      <c r="BS347" s="57" t="e">
        <f t="shared" si="26"/>
        <v>#VALUE!</v>
      </c>
      <c r="BT347" s="60"/>
      <c r="BU347" s="8">
        <v>0</v>
      </c>
      <c r="BV347" s="58" t="e">
        <f>VLOOKUP(AQ347,'[1]Harga &amp; Nama CSO'!$A$28:$D$31,4,0)*BP347</f>
        <v>#N/A</v>
      </c>
    </row>
    <row r="348" spans="41:74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55" t="e">
        <f>IFERROR(VLOOKUP(AQ348,'[1]Harga &amp; Nama CSO'!$H$2:$N$22,2,FALSE),"")*AV348</f>
        <v>#VALUE!</v>
      </c>
      <c r="BO348" s="40"/>
      <c r="BP348" s="39"/>
      <c r="BQ348" s="59"/>
      <c r="BR348" s="39"/>
      <c r="BS348" s="57" t="e">
        <f t="shared" si="26"/>
        <v>#VALUE!</v>
      </c>
      <c r="BT348" s="60"/>
      <c r="BU348" s="8">
        <v>0</v>
      </c>
      <c r="BV348" s="58" t="e">
        <f>VLOOKUP(AQ348,'[1]Harga &amp; Nama CSO'!$A$28:$D$31,4,0)*BP348</f>
        <v>#N/A</v>
      </c>
    </row>
    <row r="349" spans="41:74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55" t="e">
        <f>IFERROR(VLOOKUP(AQ349,'[1]Harga &amp; Nama CSO'!$H$2:$N$22,2,FALSE),"")*AV349</f>
        <v>#VALUE!</v>
      </c>
      <c r="BO349" s="40"/>
      <c r="BP349" s="39"/>
      <c r="BQ349" s="59"/>
      <c r="BR349" s="39"/>
      <c r="BS349" s="57" t="e">
        <f t="shared" si="26"/>
        <v>#VALUE!</v>
      </c>
      <c r="BT349" s="60"/>
      <c r="BU349" s="8">
        <v>0</v>
      </c>
      <c r="BV349" s="58" t="e">
        <f>VLOOKUP(AQ349,'[1]Harga &amp; Nama CSO'!$A$28:$D$31,4,0)*BP349</f>
        <v>#N/A</v>
      </c>
    </row>
    <row r="350" spans="41:74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55" t="e">
        <f>IFERROR(VLOOKUP(AQ350,'[1]Harga &amp; Nama CSO'!$H$2:$N$22,2,FALSE),"")*AV350</f>
        <v>#VALUE!</v>
      </c>
      <c r="BO350" s="40"/>
      <c r="BP350" s="39"/>
      <c r="BQ350" s="59"/>
      <c r="BR350" s="39"/>
      <c r="BS350" s="57" t="e">
        <f t="shared" si="26"/>
        <v>#VALUE!</v>
      </c>
      <c r="BT350" s="60"/>
      <c r="BU350" s="8">
        <v>0</v>
      </c>
      <c r="BV350" s="58" t="e">
        <f>VLOOKUP(AQ350,'[1]Harga &amp; Nama CSO'!$A$28:$D$31,4,0)*BP350</f>
        <v>#N/A</v>
      </c>
    </row>
    <row r="351" spans="41:74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55" t="e">
        <f>IFERROR(VLOOKUP(AQ351,'[1]Harga &amp; Nama CSO'!$H$2:$N$22,2,FALSE),"")*AV351</f>
        <v>#VALUE!</v>
      </c>
      <c r="BO351" s="40"/>
      <c r="BP351" s="39"/>
      <c r="BQ351" s="59"/>
      <c r="BR351" s="39"/>
      <c r="BS351" s="57" t="e">
        <f t="shared" si="26"/>
        <v>#VALUE!</v>
      </c>
      <c r="BT351" s="60"/>
      <c r="BU351" s="8">
        <v>0</v>
      </c>
      <c r="BV351" s="58" t="e">
        <f>VLOOKUP(AQ351,'[1]Harga &amp; Nama CSO'!$A$28:$D$31,4,0)*BP351</f>
        <v>#N/A</v>
      </c>
    </row>
    <row r="352" spans="41:74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55" t="e">
        <f>IFERROR(VLOOKUP(AQ352,'[1]Harga &amp; Nama CSO'!$H$2:$N$22,2,FALSE),"")*AV352</f>
        <v>#VALUE!</v>
      </c>
      <c r="BO352" s="40"/>
      <c r="BP352" s="39"/>
      <c r="BQ352" s="59"/>
      <c r="BR352" s="39"/>
      <c r="BS352" s="57" t="e">
        <f t="shared" si="26"/>
        <v>#VALUE!</v>
      </c>
      <c r="BT352" s="60"/>
      <c r="BU352" s="8">
        <v>0</v>
      </c>
      <c r="BV352" s="58" t="e">
        <f>VLOOKUP(AQ352,'[1]Harga &amp; Nama CSO'!$A$28:$D$31,4,0)*BP352</f>
        <v>#N/A</v>
      </c>
    </row>
    <row r="353" spans="41:74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55" t="e">
        <f>IFERROR(VLOOKUP(AQ353,'[1]Harga &amp; Nama CSO'!$H$2:$N$22,2,FALSE),"")*AV353</f>
        <v>#VALUE!</v>
      </c>
      <c r="BO353" s="40"/>
      <c r="BP353" s="39"/>
      <c r="BQ353" s="59"/>
      <c r="BR353" s="39"/>
      <c r="BS353" s="57" t="e">
        <f t="shared" si="26"/>
        <v>#VALUE!</v>
      </c>
      <c r="BT353" s="60"/>
      <c r="BU353" s="8">
        <v>0</v>
      </c>
      <c r="BV353" s="58" t="e">
        <f>VLOOKUP(AQ353,'[1]Harga &amp; Nama CSO'!$A$28:$D$31,4,0)*BP353</f>
        <v>#N/A</v>
      </c>
    </row>
    <row r="354" spans="41:74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55" t="e">
        <f>IFERROR(VLOOKUP(AQ354,'[1]Harga &amp; Nama CSO'!$H$2:$N$22,2,FALSE),"")*AV354</f>
        <v>#VALUE!</v>
      </c>
      <c r="BO354" s="40"/>
      <c r="BP354" s="39"/>
      <c r="BQ354" s="59"/>
      <c r="BR354" s="39"/>
      <c r="BS354" s="57" t="e">
        <f t="shared" si="26"/>
        <v>#VALUE!</v>
      </c>
      <c r="BT354" s="60"/>
      <c r="BU354" s="8">
        <v>0</v>
      </c>
      <c r="BV354" s="58" t="e">
        <f>VLOOKUP(AQ354,'[1]Harga &amp; Nama CSO'!$A$28:$D$31,4,0)*BP354</f>
        <v>#N/A</v>
      </c>
    </row>
    <row r="355" spans="41:74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55" t="e">
        <f>IFERROR(VLOOKUP(AQ355,'[1]Harga &amp; Nama CSO'!$H$2:$N$22,2,FALSE),"")*AV355</f>
        <v>#VALUE!</v>
      </c>
      <c r="BO355" s="40"/>
      <c r="BP355" s="39"/>
      <c r="BQ355" s="59"/>
      <c r="BR355" s="39"/>
      <c r="BS355" s="57" t="e">
        <f t="shared" si="26"/>
        <v>#VALUE!</v>
      </c>
      <c r="BT355" s="60"/>
      <c r="BU355" s="8">
        <v>0</v>
      </c>
      <c r="BV355" s="58" t="e">
        <f>VLOOKUP(AQ355,'[1]Harga &amp; Nama CSO'!$A$28:$D$31,4,0)*BP355</f>
        <v>#N/A</v>
      </c>
    </row>
    <row r="356" spans="41:74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55" t="e">
        <f>IFERROR(VLOOKUP(AQ356,'[1]Harga &amp; Nama CSO'!$H$2:$N$22,2,FALSE),"")*AV356</f>
        <v>#VALUE!</v>
      </c>
      <c r="BO356" s="40"/>
      <c r="BP356" s="39"/>
      <c r="BQ356" s="59"/>
      <c r="BR356" s="39"/>
      <c r="BS356" s="57" t="e">
        <f t="shared" si="26"/>
        <v>#VALUE!</v>
      </c>
      <c r="BT356" s="60"/>
      <c r="BU356" s="8">
        <v>0</v>
      </c>
      <c r="BV356" s="58" t="e">
        <f>VLOOKUP(AQ356,'[1]Harga &amp; Nama CSO'!$A$28:$D$31,4,0)*BP356</f>
        <v>#N/A</v>
      </c>
    </row>
    <row r="357" spans="41:74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55" t="e">
        <f>IFERROR(VLOOKUP(AQ357,'[1]Harga &amp; Nama CSO'!$H$2:$N$22,2,FALSE),"")*AV357</f>
        <v>#VALUE!</v>
      </c>
      <c r="BO357" s="40"/>
      <c r="BP357" s="39"/>
      <c r="BQ357" s="59"/>
      <c r="BR357" s="39"/>
      <c r="BS357" s="57" t="e">
        <f t="shared" si="26"/>
        <v>#VALUE!</v>
      </c>
      <c r="BT357" s="60"/>
      <c r="BU357" s="8">
        <v>0</v>
      </c>
      <c r="BV357" s="58" t="e">
        <f>VLOOKUP(AQ357,'[1]Harga &amp; Nama CSO'!$A$28:$D$31,4,0)*BP357</f>
        <v>#N/A</v>
      </c>
    </row>
    <row r="358" spans="41:74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55" t="e">
        <f>IFERROR(VLOOKUP(AQ358,'[1]Harga &amp; Nama CSO'!$H$2:$N$22,2,FALSE),"")*AV358</f>
        <v>#VALUE!</v>
      </c>
      <c r="BO358" s="40"/>
      <c r="BP358" s="39"/>
      <c r="BQ358" s="59"/>
      <c r="BR358" s="39"/>
      <c r="BS358" s="57" t="e">
        <f t="shared" si="26"/>
        <v>#VALUE!</v>
      </c>
      <c r="BT358" s="60"/>
      <c r="BU358" s="8">
        <v>0</v>
      </c>
      <c r="BV358" s="58" t="e">
        <f>VLOOKUP(AQ358,'[1]Harga &amp; Nama CSO'!$A$28:$D$31,4,0)*BP358</f>
        <v>#N/A</v>
      </c>
    </row>
    <row r="359" spans="41:74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55" t="e">
        <f>IFERROR(VLOOKUP(AQ359,'[1]Harga &amp; Nama CSO'!$H$2:$N$22,2,FALSE),"")*AV359</f>
        <v>#VALUE!</v>
      </c>
      <c r="BO359" s="40"/>
      <c r="BP359" s="39"/>
      <c r="BQ359" s="59"/>
      <c r="BR359" s="39"/>
      <c r="BS359" s="57" t="e">
        <f t="shared" si="26"/>
        <v>#VALUE!</v>
      </c>
      <c r="BT359" s="60"/>
      <c r="BU359" s="8">
        <v>0</v>
      </c>
      <c r="BV359" s="58" t="e">
        <f>VLOOKUP(AQ359,'[1]Harga &amp; Nama CSO'!$A$28:$D$31,4,0)*BP359</f>
        <v>#N/A</v>
      </c>
    </row>
    <row r="360" spans="41:74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55" t="e">
        <f>IFERROR(VLOOKUP(AQ360,'[1]Harga &amp; Nama CSO'!$H$2:$N$22,2,FALSE),"")*AV360</f>
        <v>#VALUE!</v>
      </c>
      <c r="BO360" s="40"/>
      <c r="BP360" s="39"/>
      <c r="BQ360" s="59"/>
      <c r="BR360" s="39"/>
      <c r="BS360" s="57" t="e">
        <f t="shared" si="26"/>
        <v>#VALUE!</v>
      </c>
      <c r="BT360" s="60"/>
      <c r="BU360" s="8">
        <v>0</v>
      </c>
      <c r="BV360" s="58" t="e">
        <f>VLOOKUP(AQ360,'[1]Harga &amp; Nama CSO'!$A$28:$D$31,4,0)*BP360</f>
        <v>#N/A</v>
      </c>
    </row>
    <row r="361" spans="41:74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55" t="e">
        <f>IFERROR(VLOOKUP(AQ361,'[1]Harga &amp; Nama CSO'!$H$2:$N$22,2,FALSE),"")*AV361</f>
        <v>#VALUE!</v>
      </c>
      <c r="BO361" s="40"/>
      <c r="BP361" s="39"/>
      <c r="BQ361" s="59"/>
      <c r="BR361" s="39"/>
      <c r="BS361" s="57" t="e">
        <f t="shared" si="26"/>
        <v>#VALUE!</v>
      </c>
      <c r="BT361" s="60"/>
      <c r="BU361" s="8">
        <v>0</v>
      </c>
      <c r="BV361" s="58" t="e">
        <f>VLOOKUP(AQ361,'[1]Harga &amp; Nama CSO'!$A$28:$D$31,4,0)*BP361</f>
        <v>#N/A</v>
      </c>
    </row>
    <row r="362" spans="41:74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55" t="e">
        <f>IFERROR(VLOOKUP(AQ362,'[1]Harga &amp; Nama CSO'!$H$2:$N$22,2,FALSE),"")*AV362</f>
        <v>#VALUE!</v>
      </c>
      <c r="BO362" s="40"/>
      <c r="BP362" s="39"/>
      <c r="BQ362" s="59"/>
      <c r="BR362" s="39"/>
      <c r="BS362" s="57" t="e">
        <f t="shared" si="26"/>
        <v>#VALUE!</v>
      </c>
      <c r="BT362" s="60"/>
      <c r="BU362" s="8">
        <v>0</v>
      </c>
      <c r="BV362" s="58" t="e">
        <f>VLOOKUP(AQ362,'[1]Harga &amp; Nama CSO'!$A$28:$D$31,4,0)*BP362</f>
        <v>#N/A</v>
      </c>
    </row>
    <row r="363" spans="41:74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55" t="e">
        <f>IFERROR(VLOOKUP(AQ363,'[1]Harga &amp; Nama CSO'!$H$2:$N$22,2,FALSE),"")*AV363</f>
        <v>#VALUE!</v>
      </c>
      <c r="BO363" s="40"/>
      <c r="BP363" s="39"/>
      <c r="BQ363" s="59"/>
      <c r="BR363" s="39"/>
      <c r="BS363" s="57" t="e">
        <f t="shared" si="26"/>
        <v>#VALUE!</v>
      </c>
      <c r="BT363" s="60"/>
      <c r="BU363" s="8">
        <v>0</v>
      </c>
      <c r="BV363" s="58" t="e">
        <f>VLOOKUP(AQ363,'[1]Harga &amp; Nama CSO'!$A$28:$D$31,4,0)*BP363</f>
        <v>#N/A</v>
      </c>
    </row>
    <row r="364" spans="41:74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55" t="e">
        <f>IFERROR(VLOOKUP(AQ364,'[1]Harga &amp; Nama CSO'!$H$2:$N$22,2,FALSE),"")*AV364</f>
        <v>#VALUE!</v>
      </c>
      <c r="BO364" s="40"/>
      <c r="BP364" s="39"/>
      <c r="BQ364" s="59"/>
      <c r="BR364" s="39"/>
      <c r="BS364" s="57" t="e">
        <f t="shared" si="26"/>
        <v>#VALUE!</v>
      </c>
      <c r="BT364" s="60"/>
      <c r="BU364" s="8">
        <v>0</v>
      </c>
      <c r="BV364" s="58" t="e">
        <f>VLOOKUP(AQ364,'[1]Harga &amp; Nama CSO'!$A$28:$D$31,4,0)*BP364</f>
        <v>#N/A</v>
      </c>
    </row>
    <row r="365" spans="41:74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55" t="e">
        <f>IFERROR(VLOOKUP(AQ365,'[1]Harga &amp; Nama CSO'!$H$2:$N$22,2,FALSE),"")*AV365</f>
        <v>#VALUE!</v>
      </c>
      <c r="BO365" s="40"/>
      <c r="BP365" s="39"/>
      <c r="BQ365" s="59"/>
      <c r="BR365" s="39"/>
      <c r="BS365" s="57" t="e">
        <f t="shared" si="26"/>
        <v>#VALUE!</v>
      </c>
      <c r="BT365" s="60"/>
      <c r="BU365" s="8">
        <v>0</v>
      </c>
      <c r="BV365" s="58" t="e">
        <f>VLOOKUP(AQ365,'[1]Harga &amp; Nama CSO'!$A$28:$D$31,4,0)*BP365</f>
        <v>#N/A</v>
      </c>
    </row>
    <row r="366" spans="41:74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55" t="e">
        <f>IFERROR(VLOOKUP(AQ366,'[1]Harga &amp; Nama CSO'!$H$2:$N$22,2,FALSE),"")*AV366</f>
        <v>#VALUE!</v>
      </c>
      <c r="BO366" s="40"/>
      <c r="BP366" s="39"/>
      <c r="BQ366" s="59"/>
      <c r="BR366" s="39"/>
      <c r="BS366" s="57" t="e">
        <f t="shared" si="26"/>
        <v>#VALUE!</v>
      </c>
      <c r="BT366" s="60"/>
      <c r="BU366" s="8">
        <v>0</v>
      </c>
      <c r="BV366" s="58" t="e">
        <f>VLOOKUP(AQ366,'[1]Harga &amp; Nama CSO'!$A$28:$D$31,4,0)*BP366</f>
        <v>#N/A</v>
      </c>
    </row>
    <row r="367" spans="41:74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55" t="e">
        <f>IFERROR(VLOOKUP(AQ367,'[1]Harga &amp; Nama CSO'!$H$2:$N$22,2,FALSE),"")*AV367</f>
        <v>#VALUE!</v>
      </c>
      <c r="BO367" s="40"/>
      <c r="BP367" s="39"/>
      <c r="BQ367" s="59"/>
      <c r="BR367" s="39"/>
      <c r="BS367" s="57" t="e">
        <f t="shared" si="26"/>
        <v>#VALUE!</v>
      </c>
      <c r="BT367" s="60"/>
      <c r="BU367" s="8">
        <v>0</v>
      </c>
      <c r="BV367" s="58" t="e">
        <f>VLOOKUP(AQ367,'[1]Harga &amp; Nama CSO'!$A$28:$D$31,4,0)*BP367</f>
        <v>#N/A</v>
      </c>
    </row>
    <row r="368" spans="41:74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55" t="e">
        <f>IFERROR(VLOOKUP(AQ368,'[1]Harga &amp; Nama CSO'!$H$2:$N$22,2,FALSE),"")*AV368</f>
        <v>#VALUE!</v>
      </c>
      <c r="BO368" s="40"/>
      <c r="BP368" s="39"/>
      <c r="BQ368" s="59"/>
      <c r="BR368" s="39"/>
      <c r="BS368" s="57" t="e">
        <f t="shared" si="26"/>
        <v>#VALUE!</v>
      </c>
      <c r="BT368" s="60"/>
      <c r="BU368" s="8">
        <v>0</v>
      </c>
      <c r="BV368" s="58" t="e">
        <f>VLOOKUP(AQ368,'[1]Harga &amp; Nama CSO'!$A$28:$D$31,4,0)*BP368</f>
        <v>#N/A</v>
      </c>
    </row>
    <row r="369" spans="41:74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55" t="e">
        <f>IFERROR(VLOOKUP(AQ369,'[1]Harga &amp; Nama CSO'!$H$2:$N$22,2,FALSE),"")*AV369</f>
        <v>#VALUE!</v>
      </c>
      <c r="BO369" s="40"/>
      <c r="BP369" s="39"/>
      <c r="BQ369" s="59"/>
      <c r="BR369" s="39"/>
      <c r="BS369" s="57" t="e">
        <f t="shared" si="26"/>
        <v>#VALUE!</v>
      </c>
      <c r="BT369" s="60"/>
      <c r="BU369" s="8">
        <v>0</v>
      </c>
      <c r="BV369" s="58" t="e">
        <f>VLOOKUP(AQ369,'[1]Harga &amp; Nama CSO'!$A$28:$D$31,4,0)*BP369</f>
        <v>#N/A</v>
      </c>
    </row>
    <row r="370" spans="41:74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55" t="e">
        <f>IFERROR(VLOOKUP(AQ370,'[1]Harga &amp; Nama CSO'!$H$2:$N$22,2,FALSE),"")*AV370</f>
        <v>#VALUE!</v>
      </c>
      <c r="BO370" s="40"/>
      <c r="BP370" s="39"/>
      <c r="BQ370" s="59"/>
      <c r="BR370" s="39"/>
      <c r="BS370" s="57" t="e">
        <f t="shared" si="26"/>
        <v>#VALUE!</v>
      </c>
      <c r="BT370" s="60"/>
      <c r="BU370" s="8">
        <v>0</v>
      </c>
      <c r="BV370" s="58" t="e">
        <f>VLOOKUP(AQ370,'[1]Harga &amp; Nama CSO'!$A$28:$D$31,4,0)*BP370</f>
        <v>#N/A</v>
      </c>
    </row>
    <row r="371" spans="41:74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55" t="e">
        <f>IFERROR(VLOOKUP(AQ371,'[1]Harga &amp; Nama CSO'!$H$2:$N$22,2,FALSE),"")*AV371</f>
        <v>#VALUE!</v>
      </c>
      <c r="BO371" s="40"/>
      <c r="BP371" s="39"/>
      <c r="BQ371" s="59"/>
      <c r="BR371" s="39"/>
      <c r="BS371" s="57" t="e">
        <f t="shared" si="26"/>
        <v>#VALUE!</v>
      </c>
      <c r="BT371" s="60"/>
      <c r="BU371" s="8">
        <v>0</v>
      </c>
      <c r="BV371" s="58" t="e">
        <f>VLOOKUP(AQ371,'[1]Harga &amp; Nama CSO'!$A$28:$D$31,4,0)*BP371</f>
        <v>#N/A</v>
      </c>
    </row>
    <row r="372" spans="41:74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55" t="e">
        <f>IFERROR(VLOOKUP(AQ372,'[1]Harga &amp; Nama CSO'!$H$2:$N$22,2,FALSE),"")*AV372</f>
        <v>#VALUE!</v>
      </c>
      <c r="BO372" s="40"/>
      <c r="BP372" s="39"/>
      <c r="BQ372" s="59"/>
      <c r="BR372" s="39"/>
      <c r="BS372" s="57" t="e">
        <f t="shared" si="26"/>
        <v>#VALUE!</v>
      </c>
      <c r="BT372" s="60"/>
      <c r="BU372" s="8">
        <v>0</v>
      </c>
      <c r="BV372" s="58" t="e">
        <f>VLOOKUP(AQ372,'[1]Harga &amp; Nama CSO'!$A$28:$D$31,4,0)*BP372</f>
        <v>#N/A</v>
      </c>
    </row>
    <row r="373" spans="41:74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55" t="e">
        <f>IFERROR(VLOOKUP(AQ373,'[1]Harga &amp; Nama CSO'!$H$2:$N$22,2,FALSE),"")*AV373</f>
        <v>#VALUE!</v>
      </c>
      <c r="BO373" s="40"/>
      <c r="BP373" s="39"/>
      <c r="BQ373" s="59"/>
      <c r="BR373" s="39"/>
      <c r="BS373" s="57" t="e">
        <f t="shared" si="26"/>
        <v>#VALUE!</v>
      </c>
      <c r="BT373" s="60"/>
      <c r="BU373" s="8">
        <v>0</v>
      </c>
      <c r="BV373" s="58" t="e">
        <f>VLOOKUP(AQ373,'[1]Harga &amp; Nama CSO'!$A$28:$D$31,4,0)*BP373</f>
        <v>#N/A</v>
      </c>
    </row>
    <row r="374" spans="41:74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55" t="e">
        <f>IFERROR(VLOOKUP(AQ374,'[1]Harga &amp; Nama CSO'!$H$2:$N$22,2,FALSE),"")*AV374</f>
        <v>#VALUE!</v>
      </c>
      <c r="BO374" s="40"/>
      <c r="BP374" s="39"/>
      <c r="BQ374" s="59"/>
      <c r="BR374" s="39"/>
      <c r="BS374" s="57" t="e">
        <f t="shared" si="26"/>
        <v>#VALUE!</v>
      </c>
      <c r="BT374" s="60"/>
      <c r="BU374" s="8">
        <v>0</v>
      </c>
      <c r="BV374" s="58" t="e">
        <f>VLOOKUP(AQ374,'[1]Harga &amp; Nama CSO'!$A$28:$D$31,4,0)*BP374</f>
        <v>#N/A</v>
      </c>
    </row>
    <row r="375" spans="41:74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55" t="e">
        <f>IFERROR(VLOOKUP(AQ375,'[1]Harga &amp; Nama CSO'!$H$2:$N$22,2,FALSE),"")*AV375</f>
        <v>#VALUE!</v>
      </c>
      <c r="BO375" s="40"/>
      <c r="BP375" s="39"/>
      <c r="BQ375" s="59"/>
      <c r="BR375" s="39"/>
      <c r="BS375" s="57" t="e">
        <f t="shared" si="26"/>
        <v>#VALUE!</v>
      </c>
      <c r="BT375" s="60"/>
      <c r="BU375" s="8">
        <v>0</v>
      </c>
      <c r="BV375" s="58" t="e">
        <f>VLOOKUP(AQ375,'[1]Harga &amp; Nama CSO'!$A$28:$D$31,4,0)*BP375</f>
        <v>#N/A</v>
      </c>
    </row>
    <row r="376" spans="41:74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55" t="e">
        <f>IFERROR(VLOOKUP(AQ376,'[1]Harga &amp; Nama CSO'!$H$2:$N$22,2,FALSE),"")*AV376</f>
        <v>#VALUE!</v>
      </c>
      <c r="BO376" s="40"/>
      <c r="BP376" s="39"/>
      <c r="BQ376" s="59"/>
      <c r="BR376" s="39"/>
      <c r="BS376" s="57" t="e">
        <f t="shared" si="26"/>
        <v>#VALUE!</v>
      </c>
      <c r="BT376" s="60"/>
      <c r="BU376" s="8">
        <v>0</v>
      </c>
      <c r="BV376" s="58" t="e">
        <f>VLOOKUP(AQ376,'[1]Harga &amp; Nama CSO'!$A$28:$D$31,4,0)*BP376</f>
        <v>#N/A</v>
      </c>
    </row>
    <row r="377" spans="41:74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55" t="e">
        <f>IFERROR(VLOOKUP(AQ377,'[1]Harga &amp; Nama CSO'!$H$2:$N$22,2,FALSE),"")*AV377</f>
        <v>#VALUE!</v>
      </c>
      <c r="BO377" s="40"/>
      <c r="BP377" s="39"/>
      <c r="BQ377" s="59"/>
      <c r="BR377" s="39"/>
      <c r="BS377" s="57" t="e">
        <f t="shared" si="26"/>
        <v>#VALUE!</v>
      </c>
      <c r="BT377" s="60"/>
      <c r="BU377" s="8">
        <v>0</v>
      </c>
      <c r="BV377" s="58" t="e">
        <f>VLOOKUP(AQ377,'[1]Harga &amp; Nama CSO'!$A$28:$D$31,4,0)*BP377</f>
        <v>#N/A</v>
      </c>
    </row>
    <row r="378" spans="41:74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55" t="e">
        <f>IFERROR(VLOOKUP(AQ378,'[1]Harga &amp; Nama CSO'!$H$2:$N$22,2,FALSE),"")*AV378</f>
        <v>#VALUE!</v>
      </c>
      <c r="BO378" s="40"/>
      <c r="BP378" s="39"/>
      <c r="BQ378" s="59"/>
      <c r="BR378" s="39"/>
      <c r="BS378" s="57" t="e">
        <f t="shared" si="26"/>
        <v>#VALUE!</v>
      </c>
      <c r="BT378" s="60"/>
      <c r="BU378" s="8">
        <v>0</v>
      </c>
      <c r="BV378" s="58" t="e">
        <f>VLOOKUP(AQ378,'[1]Harga &amp; Nama CSO'!$A$28:$D$31,4,0)*BP378</f>
        <v>#N/A</v>
      </c>
    </row>
    <row r="379" spans="41:74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55" t="e">
        <f>IFERROR(VLOOKUP(AQ379,'[1]Harga &amp; Nama CSO'!$H$2:$N$22,2,FALSE),"")*AV379</f>
        <v>#VALUE!</v>
      </c>
      <c r="BO379" s="40"/>
      <c r="BP379" s="39"/>
      <c r="BQ379" s="59"/>
      <c r="BR379" s="39"/>
      <c r="BS379" s="57" t="e">
        <f t="shared" si="26"/>
        <v>#VALUE!</v>
      </c>
      <c r="BT379" s="60"/>
      <c r="BU379" s="8">
        <v>0</v>
      </c>
      <c r="BV379" s="58" t="e">
        <f>VLOOKUP(AQ379,'[1]Harga &amp; Nama CSO'!$A$28:$D$31,4,0)*BP379</f>
        <v>#N/A</v>
      </c>
    </row>
    <row r="380" spans="41:74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55" t="e">
        <f>IFERROR(VLOOKUP(AQ380,'[1]Harga &amp; Nama CSO'!$H$2:$N$22,2,FALSE),"")*AV380</f>
        <v>#VALUE!</v>
      </c>
      <c r="BO380" s="40"/>
      <c r="BP380" s="39"/>
      <c r="BQ380" s="59"/>
      <c r="BR380" s="39"/>
      <c r="BS380" s="57" t="e">
        <f t="shared" si="26"/>
        <v>#VALUE!</v>
      </c>
      <c r="BT380" s="60"/>
      <c r="BU380" s="8">
        <v>0</v>
      </c>
      <c r="BV380" s="58" t="e">
        <f>VLOOKUP(AQ380,'[1]Harga &amp; Nama CSO'!$A$28:$D$31,4,0)*BP380</f>
        <v>#N/A</v>
      </c>
    </row>
    <row r="381" spans="41:74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55" t="e">
        <f>IFERROR(VLOOKUP(AQ381,'[1]Harga &amp; Nama CSO'!$H$2:$N$22,2,FALSE),"")*AV381</f>
        <v>#VALUE!</v>
      </c>
      <c r="BO381" s="40"/>
      <c r="BP381" s="39"/>
      <c r="BQ381" s="59"/>
      <c r="BR381" s="39"/>
      <c r="BS381" s="57" t="e">
        <f t="shared" si="26"/>
        <v>#VALUE!</v>
      </c>
      <c r="BT381" s="60"/>
      <c r="BU381" s="8">
        <v>0</v>
      </c>
      <c r="BV381" s="58" t="e">
        <f>VLOOKUP(AQ381,'[1]Harga &amp; Nama CSO'!$A$28:$D$31,4,0)*BP381</f>
        <v>#N/A</v>
      </c>
    </row>
    <row r="382" spans="41:74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55" t="e">
        <f>IFERROR(VLOOKUP(AQ382,'[1]Harga &amp; Nama CSO'!$H$2:$N$22,2,FALSE),"")*AV382</f>
        <v>#VALUE!</v>
      </c>
      <c r="BO382" s="40"/>
      <c r="BP382" s="39"/>
      <c r="BQ382" s="59"/>
      <c r="BR382" s="39"/>
      <c r="BS382" s="57" t="e">
        <f t="shared" si="26"/>
        <v>#VALUE!</v>
      </c>
      <c r="BT382" s="60"/>
      <c r="BU382" s="8">
        <v>0</v>
      </c>
      <c r="BV382" s="58" t="e">
        <f>VLOOKUP(AQ382,'[1]Harga &amp; Nama CSO'!$A$28:$D$31,4,0)*BP382</f>
        <v>#N/A</v>
      </c>
    </row>
    <row r="383" spans="41:74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55" t="e">
        <f>IFERROR(VLOOKUP(AQ383,'[1]Harga &amp; Nama CSO'!$H$2:$N$22,2,FALSE),"")*AV383</f>
        <v>#VALUE!</v>
      </c>
      <c r="BO383" s="40"/>
      <c r="BP383" s="39"/>
      <c r="BQ383" s="59"/>
      <c r="BR383" s="39"/>
      <c r="BS383" s="57" t="e">
        <f t="shared" si="26"/>
        <v>#VALUE!</v>
      </c>
      <c r="BT383" s="60"/>
      <c r="BU383" s="8">
        <v>0</v>
      </c>
      <c r="BV383" s="58" t="e">
        <f>VLOOKUP(AQ383,'[1]Harga &amp; Nama CSO'!$A$28:$D$31,4,0)*BP383</f>
        <v>#N/A</v>
      </c>
    </row>
    <row r="384" spans="41:74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55" t="e">
        <f>IFERROR(VLOOKUP(AQ384,'[1]Harga &amp; Nama CSO'!$H$2:$N$22,2,FALSE),"")*AV384</f>
        <v>#VALUE!</v>
      </c>
      <c r="BO384" s="40"/>
      <c r="BP384" s="39"/>
      <c r="BQ384" s="59"/>
      <c r="BR384" s="39"/>
      <c r="BS384" s="57" t="e">
        <f t="shared" si="26"/>
        <v>#VALUE!</v>
      </c>
      <c r="BT384" s="60"/>
      <c r="BU384" s="8">
        <v>0</v>
      </c>
      <c r="BV384" s="58" t="e">
        <f>VLOOKUP(AQ384,'[1]Harga &amp; Nama CSO'!$A$28:$D$31,4,0)*BP384</f>
        <v>#N/A</v>
      </c>
    </row>
    <row r="385" spans="41:74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55" t="e">
        <f>IFERROR(VLOOKUP(AQ385,'[1]Harga &amp; Nama CSO'!$H$2:$N$22,2,FALSE),"")*AV385</f>
        <v>#VALUE!</v>
      </c>
      <c r="BO385" s="40"/>
      <c r="BP385" s="39"/>
      <c r="BQ385" s="59"/>
      <c r="BR385" s="39"/>
      <c r="BS385" s="57" t="e">
        <f t="shared" si="26"/>
        <v>#VALUE!</v>
      </c>
      <c r="BT385" s="60"/>
      <c r="BU385" s="8">
        <v>0</v>
      </c>
      <c r="BV385" s="58" t="e">
        <f>VLOOKUP(AQ385,'[1]Harga &amp; Nama CSO'!$A$28:$D$31,4,0)*BP385</f>
        <v>#N/A</v>
      </c>
    </row>
    <row r="386" spans="41:74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55" t="e">
        <f>IFERROR(VLOOKUP(AQ386,'[1]Harga &amp; Nama CSO'!$H$2:$N$22,2,FALSE),"")*AV386</f>
        <v>#VALUE!</v>
      </c>
      <c r="BO386" s="40"/>
      <c r="BP386" s="39"/>
      <c r="BQ386" s="59"/>
      <c r="BR386" s="39"/>
      <c r="BS386" s="57" t="e">
        <f t="shared" si="26"/>
        <v>#VALUE!</v>
      </c>
      <c r="BT386" s="60"/>
      <c r="BU386" s="8">
        <v>0</v>
      </c>
      <c r="BV386" s="58" t="e">
        <f>VLOOKUP(AQ386,'[1]Harga &amp; Nama CSO'!$A$28:$D$31,4,0)*BP386</f>
        <v>#N/A</v>
      </c>
    </row>
    <row r="387" spans="41:74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55" t="e">
        <f>IFERROR(VLOOKUP(AQ387,'[1]Harga &amp; Nama CSO'!$H$2:$N$22,2,FALSE),"")*AV387</f>
        <v>#VALUE!</v>
      </c>
      <c r="BO387" s="40"/>
      <c r="BP387" s="39"/>
      <c r="BQ387" s="59"/>
      <c r="BR387" s="39"/>
      <c r="BS387" s="57" t="e">
        <f t="shared" ref="BS387:BS450" si="27">BN387-BQ387</f>
        <v>#VALUE!</v>
      </c>
      <c r="BT387" s="60"/>
      <c r="BU387" s="8">
        <v>0</v>
      </c>
      <c r="BV387" s="58" t="e">
        <f>VLOOKUP(AQ387,'[1]Harga &amp; Nama CSO'!$A$28:$D$31,4,0)*BP387</f>
        <v>#N/A</v>
      </c>
    </row>
    <row r="388" spans="41:74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55" t="e">
        <f>IFERROR(VLOOKUP(AQ388,'[1]Harga &amp; Nama CSO'!$H$2:$N$22,2,FALSE),"")*AV388</f>
        <v>#VALUE!</v>
      </c>
      <c r="BO388" s="40"/>
      <c r="BP388" s="39"/>
      <c r="BQ388" s="59"/>
      <c r="BR388" s="39"/>
      <c r="BS388" s="57" t="e">
        <f t="shared" si="27"/>
        <v>#VALUE!</v>
      </c>
      <c r="BT388" s="60"/>
      <c r="BU388" s="8">
        <v>0</v>
      </c>
      <c r="BV388" s="58" t="e">
        <f>VLOOKUP(AQ388,'[1]Harga &amp; Nama CSO'!$A$28:$D$31,4,0)*BP388</f>
        <v>#N/A</v>
      </c>
    </row>
    <row r="389" spans="41:74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55" t="e">
        <f>IFERROR(VLOOKUP(AQ389,'[1]Harga &amp; Nama CSO'!$H$2:$N$22,2,FALSE),"")*AV389</f>
        <v>#VALUE!</v>
      </c>
      <c r="BO389" s="40"/>
      <c r="BP389" s="39"/>
      <c r="BQ389" s="59"/>
      <c r="BR389" s="39"/>
      <c r="BS389" s="57" t="e">
        <f t="shared" si="27"/>
        <v>#VALUE!</v>
      </c>
      <c r="BT389" s="60"/>
      <c r="BU389" s="8">
        <v>0</v>
      </c>
      <c r="BV389" s="58" t="e">
        <f>VLOOKUP(AQ389,'[1]Harga &amp; Nama CSO'!$A$28:$D$31,4,0)*BP389</f>
        <v>#N/A</v>
      </c>
    </row>
    <row r="390" spans="41:74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55" t="e">
        <f>IFERROR(VLOOKUP(AQ390,'[1]Harga &amp; Nama CSO'!$H$2:$N$22,2,FALSE),"")*AV390</f>
        <v>#VALUE!</v>
      </c>
      <c r="BO390" s="40"/>
      <c r="BP390" s="39"/>
      <c r="BQ390" s="59"/>
      <c r="BR390" s="39"/>
      <c r="BS390" s="57" t="e">
        <f t="shared" si="27"/>
        <v>#VALUE!</v>
      </c>
      <c r="BT390" s="60"/>
      <c r="BU390" s="8">
        <v>0</v>
      </c>
      <c r="BV390" s="58" t="e">
        <f>VLOOKUP(AQ390,'[1]Harga &amp; Nama CSO'!$A$28:$D$31,4,0)*BP390</f>
        <v>#N/A</v>
      </c>
    </row>
    <row r="391" spans="41:74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55" t="e">
        <f>IFERROR(VLOOKUP(AQ391,'[1]Harga &amp; Nama CSO'!$H$2:$N$22,2,FALSE),"")*AV391</f>
        <v>#VALUE!</v>
      </c>
      <c r="BO391" s="40"/>
      <c r="BP391" s="39"/>
      <c r="BQ391" s="59"/>
      <c r="BR391" s="39"/>
      <c r="BS391" s="57" t="e">
        <f t="shared" si="27"/>
        <v>#VALUE!</v>
      </c>
      <c r="BT391" s="60"/>
      <c r="BU391" s="8">
        <v>0</v>
      </c>
      <c r="BV391" s="58" t="e">
        <f>VLOOKUP(AQ391,'[1]Harga &amp; Nama CSO'!$A$28:$D$31,4,0)*BP391</f>
        <v>#N/A</v>
      </c>
    </row>
    <row r="392" spans="41:74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55" t="e">
        <f>IFERROR(VLOOKUP(AQ392,'[1]Harga &amp; Nama CSO'!$H$2:$N$22,2,FALSE),"")*AV392</f>
        <v>#VALUE!</v>
      </c>
      <c r="BO392" s="40"/>
      <c r="BP392" s="39"/>
      <c r="BQ392" s="59"/>
      <c r="BR392" s="39"/>
      <c r="BS392" s="57" t="e">
        <f t="shared" si="27"/>
        <v>#VALUE!</v>
      </c>
      <c r="BT392" s="60"/>
      <c r="BU392" s="8">
        <v>0</v>
      </c>
      <c r="BV392" s="58" t="e">
        <f>VLOOKUP(AQ392,'[1]Harga &amp; Nama CSO'!$A$28:$D$31,4,0)*BP392</f>
        <v>#N/A</v>
      </c>
    </row>
    <row r="393" spans="41:74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55" t="e">
        <f>IFERROR(VLOOKUP(AQ393,'[1]Harga &amp; Nama CSO'!$H$2:$N$22,2,FALSE),"")*AV393</f>
        <v>#VALUE!</v>
      </c>
      <c r="BO393" s="40"/>
      <c r="BP393" s="39"/>
      <c r="BQ393" s="59"/>
      <c r="BR393" s="39"/>
      <c r="BS393" s="57" t="e">
        <f t="shared" si="27"/>
        <v>#VALUE!</v>
      </c>
      <c r="BT393" s="60"/>
      <c r="BU393" s="8">
        <v>0</v>
      </c>
      <c r="BV393" s="58" t="e">
        <f>VLOOKUP(AQ393,'[1]Harga &amp; Nama CSO'!$A$28:$D$31,4,0)*BP393</f>
        <v>#N/A</v>
      </c>
    </row>
    <row r="394" spans="41:74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55" t="e">
        <f>IFERROR(VLOOKUP(AQ394,'[1]Harga &amp; Nama CSO'!$H$2:$N$22,2,FALSE),"")*AV394</f>
        <v>#VALUE!</v>
      </c>
      <c r="BO394" s="40"/>
      <c r="BP394" s="39"/>
      <c r="BQ394" s="59"/>
      <c r="BR394" s="39"/>
      <c r="BS394" s="57" t="e">
        <f t="shared" si="27"/>
        <v>#VALUE!</v>
      </c>
      <c r="BT394" s="60"/>
      <c r="BU394" s="8">
        <v>0</v>
      </c>
      <c r="BV394" s="58" t="e">
        <f>VLOOKUP(AQ394,'[1]Harga &amp; Nama CSO'!$A$28:$D$31,4,0)*BP394</f>
        <v>#N/A</v>
      </c>
    </row>
    <row r="395" spans="41:74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55" t="e">
        <f>IFERROR(VLOOKUP(AQ395,'[1]Harga &amp; Nama CSO'!$H$2:$N$22,2,FALSE),"")*AV395</f>
        <v>#VALUE!</v>
      </c>
      <c r="BO395" s="40"/>
      <c r="BP395" s="39"/>
      <c r="BQ395" s="59"/>
      <c r="BR395" s="39"/>
      <c r="BS395" s="57" t="e">
        <f t="shared" si="27"/>
        <v>#VALUE!</v>
      </c>
      <c r="BT395" s="60"/>
      <c r="BU395" s="8">
        <v>0</v>
      </c>
      <c r="BV395" s="58" t="e">
        <f>VLOOKUP(AQ395,'[1]Harga &amp; Nama CSO'!$A$28:$D$31,4,0)*BP395</f>
        <v>#N/A</v>
      </c>
    </row>
    <row r="396" spans="41:74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55" t="e">
        <f>IFERROR(VLOOKUP(AQ396,'[1]Harga &amp; Nama CSO'!$H$2:$N$22,2,FALSE),"")*AV396</f>
        <v>#VALUE!</v>
      </c>
      <c r="BO396" s="40"/>
      <c r="BP396" s="39"/>
      <c r="BQ396" s="59"/>
      <c r="BR396" s="39"/>
      <c r="BS396" s="57" t="e">
        <f t="shared" si="27"/>
        <v>#VALUE!</v>
      </c>
      <c r="BT396" s="60"/>
      <c r="BU396" s="8">
        <v>0</v>
      </c>
      <c r="BV396" s="58" t="e">
        <f>VLOOKUP(AQ396,'[1]Harga &amp; Nama CSO'!$A$28:$D$31,4,0)*BP396</f>
        <v>#N/A</v>
      </c>
    </row>
    <row r="397" spans="41:74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55" t="e">
        <f>IFERROR(VLOOKUP(AQ397,'[1]Harga &amp; Nama CSO'!$H$2:$N$22,2,FALSE),"")*AV397</f>
        <v>#VALUE!</v>
      </c>
      <c r="BO397" s="40"/>
      <c r="BP397" s="39"/>
      <c r="BQ397" s="59"/>
      <c r="BR397" s="39"/>
      <c r="BS397" s="57" t="e">
        <f t="shared" si="27"/>
        <v>#VALUE!</v>
      </c>
      <c r="BT397" s="60"/>
      <c r="BU397" s="8">
        <v>0</v>
      </c>
      <c r="BV397" s="58" t="e">
        <f>VLOOKUP(AQ397,'[1]Harga &amp; Nama CSO'!$A$28:$D$31,4,0)*BP397</f>
        <v>#N/A</v>
      </c>
    </row>
    <row r="398" spans="41:74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55" t="e">
        <f>IFERROR(VLOOKUP(AQ398,'[1]Harga &amp; Nama CSO'!$H$2:$N$22,2,FALSE),"")*AV398</f>
        <v>#VALUE!</v>
      </c>
      <c r="BO398" s="40"/>
      <c r="BP398" s="39"/>
      <c r="BQ398" s="59"/>
      <c r="BR398" s="39"/>
      <c r="BS398" s="57" t="e">
        <f t="shared" si="27"/>
        <v>#VALUE!</v>
      </c>
      <c r="BT398" s="60"/>
      <c r="BU398" s="8">
        <v>0</v>
      </c>
      <c r="BV398" s="58" t="e">
        <f>VLOOKUP(AQ398,'[1]Harga &amp; Nama CSO'!$A$28:$D$31,4,0)*BP398</f>
        <v>#N/A</v>
      </c>
    </row>
    <row r="399" spans="41:74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55" t="e">
        <f>IFERROR(VLOOKUP(AQ399,'[1]Harga &amp; Nama CSO'!$H$2:$N$22,2,FALSE),"")*AV399</f>
        <v>#VALUE!</v>
      </c>
      <c r="BO399" s="40"/>
      <c r="BP399" s="39"/>
      <c r="BQ399" s="59"/>
      <c r="BR399" s="39"/>
      <c r="BS399" s="57" t="e">
        <f t="shared" si="27"/>
        <v>#VALUE!</v>
      </c>
      <c r="BT399" s="60"/>
      <c r="BU399" s="8">
        <v>0</v>
      </c>
      <c r="BV399" s="58" t="e">
        <f>VLOOKUP(AQ399,'[1]Harga &amp; Nama CSO'!$A$28:$D$31,4,0)*BP399</f>
        <v>#N/A</v>
      </c>
    </row>
    <row r="400" spans="41:74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55" t="e">
        <f>IFERROR(VLOOKUP(AQ400,'[1]Harga &amp; Nama CSO'!$H$2:$N$22,2,FALSE),"")*AV400</f>
        <v>#VALUE!</v>
      </c>
      <c r="BO400" s="40"/>
      <c r="BP400" s="39"/>
      <c r="BQ400" s="59"/>
      <c r="BR400" s="39"/>
      <c r="BS400" s="57" t="e">
        <f t="shared" si="27"/>
        <v>#VALUE!</v>
      </c>
      <c r="BT400" s="60"/>
      <c r="BU400" s="8">
        <v>0</v>
      </c>
      <c r="BV400" s="58" t="e">
        <f>VLOOKUP(AQ400,'[1]Harga &amp; Nama CSO'!$A$28:$D$31,4,0)*BP400</f>
        <v>#N/A</v>
      </c>
    </row>
    <row r="401" spans="41:74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55" t="e">
        <f>IFERROR(VLOOKUP(AQ401,'[1]Harga &amp; Nama CSO'!$H$2:$N$22,2,FALSE),"")*AV401</f>
        <v>#VALUE!</v>
      </c>
      <c r="BO401" s="40"/>
      <c r="BP401" s="39"/>
      <c r="BQ401" s="59"/>
      <c r="BR401" s="39"/>
      <c r="BS401" s="57" t="e">
        <f t="shared" si="27"/>
        <v>#VALUE!</v>
      </c>
      <c r="BT401" s="60"/>
      <c r="BU401" s="8">
        <v>0</v>
      </c>
      <c r="BV401" s="58" t="e">
        <f>VLOOKUP(AQ401,'[1]Harga &amp; Nama CSO'!$A$28:$D$31,4,0)*BP401</f>
        <v>#N/A</v>
      </c>
    </row>
    <row r="402" spans="41:74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55" t="e">
        <f>IFERROR(VLOOKUP(AQ402,'[1]Harga &amp; Nama CSO'!$H$2:$N$22,2,FALSE),"")*AV402</f>
        <v>#VALUE!</v>
      </c>
      <c r="BO402" s="40"/>
      <c r="BP402" s="39"/>
      <c r="BQ402" s="59"/>
      <c r="BR402" s="39"/>
      <c r="BS402" s="57" t="e">
        <f t="shared" si="27"/>
        <v>#VALUE!</v>
      </c>
      <c r="BT402" s="60"/>
      <c r="BU402" s="8">
        <v>0</v>
      </c>
      <c r="BV402" s="58" t="e">
        <f>VLOOKUP(AQ402,'[1]Harga &amp; Nama CSO'!$A$28:$D$31,4,0)*BP402</f>
        <v>#N/A</v>
      </c>
    </row>
    <row r="403" spans="41:74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55" t="e">
        <f>IFERROR(VLOOKUP(AQ403,'[1]Harga &amp; Nama CSO'!$H$2:$N$22,2,FALSE),"")*AV403</f>
        <v>#VALUE!</v>
      </c>
      <c r="BO403" s="40"/>
      <c r="BP403" s="39"/>
      <c r="BQ403" s="59"/>
      <c r="BR403" s="39"/>
      <c r="BS403" s="57" t="e">
        <f t="shared" si="27"/>
        <v>#VALUE!</v>
      </c>
      <c r="BT403" s="60"/>
      <c r="BU403" s="8">
        <v>0</v>
      </c>
      <c r="BV403" s="58" t="e">
        <f>VLOOKUP(AQ403,'[1]Harga &amp; Nama CSO'!$A$28:$D$31,4,0)*BP403</f>
        <v>#N/A</v>
      </c>
    </row>
    <row r="404" spans="41:74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55" t="e">
        <f>IFERROR(VLOOKUP(AQ404,'[1]Harga &amp; Nama CSO'!$H$2:$N$22,2,FALSE),"")*AV404</f>
        <v>#VALUE!</v>
      </c>
      <c r="BO404" s="40"/>
      <c r="BP404" s="39"/>
      <c r="BQ404" s="59"/>
      <c r="BR404" s="39"/>
      <c r="BS404" s="57" t="e">
        <f t="shared" si="27"/>
        <v>#VALUE!</v>
      </c>
      <c r="BT404" s="60"/>
      <c r="BU404" s="8">
        <v>0</v>
      </c>
      <c r="BV404" s="58" t="e">
        <f>VLOOKUP(AQ404,'[1]Harga &amp; Nama CSO'!$A$28:$D$31,4,0)*BP404</f>
        <v>#N/A</v>
      </c>
    </row>
    <row r="405" spans="41:74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55" t="e">
        <f>IFERROR(VLOOKUP(AQ405,'[1]Harga &amp; Nama CSO'!$H$2:$N$22,2,FALSE),"")*AV405</f>
        <v>#VALUE!</v>
      </c>
      <c r="BO405" s="40"/>
      <c r="BP405" s="39"/>
      <c r="BQ405" s="59"/>
      <c r="BR405" s="39"/>
      <c r="BS405" s="57" t="e">
        <f t="shared" si="27"/>
        <v>#VALUE!</v>
      </c>
      <c r="BT405" s="60"/>
      <c r="BU405" s="8">
        <v>0</v>
      </c>
      <c r="BV405" s="58" t="e">
        <f>VLOOKUP(AQ405,'[1]Harga &amp; Nama CSO'!$A$28:$D$31,4,0)*BP405</f>
        <v>#N/A</v>
      </c>
    </row>
    <row r="406" spans="41:74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55" t="e">
        <f>IFERROR(VLOOKUP(AQ406,'[1]Harga &amp; Nama CSO'!$H$2:$N$22,2,FALSE),"")*AV406</f>
        <v>#VALUE!</v>
      </c>
      <c r="BO406" s="40"/>
      <c r="BP406" s="39"/>
      <c r="BQ406" s="59"/>
      <c r="BR406" s="39"/>
      <c r="BS406" s="57" t="e">
        <f t="shared" si="27"/>
        <v>#VALUE!</v>
      </c>
      <c r="BT406" s="60"/>
      <c r="BU406" s="8">
        <v>0</v>
      </c>
      <c r="BV406" s="58" t="e">
        <f>VLOOKUP(AQ406,'[1]Harga &amp; Nama CSO'!$A$28:$D$31,4,0)*BP406</f>
        <v>#N/A</v>
      </c>
    </row>
    <row r="407" spans="41:74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55" t="e">
        <f>IFERROR(VLOOKUP(AQ407,'[1]Harga &amp; Nama CSO'!$H$2:$N$22,2,FALSE),"")*AV407</f>
        <v>#VALUE!</v>
      </c>
      <c r="BO407" s="40"/>
      <c r="BP407" s="39"/>
      <c r="BQ407" s="59"/>
      <c r="BR407" s="39"/>
      <c r="BS407" s="57" t="e">
        <f t="shared" si="27"/>
        <v>#VALUE!</v>
      </c>
      <c r="BT407" s="60"/>
      <c r="BU407" s="8">
        <v>0</v>
      </c>
      <c r="BV407" s="58" t="e">
        <f>VLOOKUP(AQ407,'[1]Harga &amp; Nama CSO'!$A$28:$D$31,4,0)*BP407</f>
        <v>#N/A</v>
      </c>
    </row>
    <row r="408" spans="41:74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55" t="e">
        <f>IFERROR(VLOOKUP(AQ408,'[1]Harga &amp; Nama CSO'!$H$2:$N$22,2,FALSE),"")*AV408</f>
        <v>#VALUE!</v>
      </c>
      <c r="BO408" s="40"/>
      <c r="BP408" s="39"/>
      <c r="BQ408" s="59"/>
      <c r="BR408" s="39"/>
      <c r="BS408" s="57" t="e">
        <f t="shared" si="27"/>
        <v>#VALUE!</v>
      </c>
      <c r="BT408" s="60"/>
      <c r="BU408" s="8">
        <v>0</v>
      </c>
      <c r="BV408" s="58" t="e">
        <f>VLOOKUP(AQ408,'[1]Harga &amp; Nama CSO'!$A$28:$D$31,4,0)*BP408</f>
        <v>#N/A</v>
      </c>
    </row>
    <row r="409" spans="41:74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55" t="e">
        <f>IFERROR(VLOOKUP(AQ409,'[1]Harga &amp; Nama CSO'!$H$2:$N$22,2,FALSE),"")*AV409</f>
        <v>#VALUE!</v>
      </c>
      <c r="BO409" s="40"/>
      <c r="BP409" s="39"/>
      <c r="BQ409" s="59"/>
      <c r="BR409" s="39"/>
      <c r="BS409" s="57" t="e">
        <f t="shared" si="27"/>
        <v>#VALUE!</v>
      </c>
      <c r="BT409" s="60"/>
      <c r="BU409" s="8">
        <v>0</v>
      </c>
      <c r="BV409" s="58" t="e">
        <f>VLOOKUP(AQ409,'[1]Harga &amp; Nama CSO'!$A$28:$D$31,4,0)*BP409</f>
        <v>#N/A</v>
      </c>
    </row>
    <row r="410" spans="41:74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55" t="e">
        <f>IFERROR(VLOOKUP(AQ410,'[1]Harga &amp; Nama CSO'!$H$2:$N$22,2,FALSE),"")*AV410</f>
        <v>#VALUE!</v>
      </c>
      <c r="BO410" s="40"/>
      <c r="BP410" s="39"/>
      <c r="BQ410" s="59"/>
      <c r="BR410" s="39"/>
      <c r="BS410" s="57" t="e">
        <f t="shared" si="27"/>
        <v>#VALUE!</v>
      </c>
      <c r="BT410" s="60"/>
      <c r="BU410" s="8">
        <v>0</v>
      </c>
      <c r="BV410" s="58" t="e">
        <f>VLOOKUP(AQ410,'[1]Harga &amp; Nama CSO'!$A$28:$D$31,4,0)*BP410</f>
        <v>#N/A</v>
      </c>
    </row>
    <row r="411" spans="41:74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55" t="e">
        <f>IFERROR(VLOOKUP(AQ411,'[1]Harga &amp; Nama CSO'!$H$2:$N$22,2,FALSE),"")*AV411</f>
        <v>#VALUE!</v>
      </c>
      <c r="BO411" s="40"/>
      <c r="BP411" s="39"/>
      <c r="BQ411" s="59"/>
      <c r="BR411" s="39"/>
      <c r="BS411" s="57" t="e">
        <f t="shared" si="27"/>
        <v>#VALUE!</v>
      </c>
      <c r="BT411" s="60"/>
      <c r="BU411" s="8">
        <v>0</v>
      </c>
      <c r="BV411" s="58" t="e">
        <f>VLOOKUP(AQ411,'[1]Harga &amp; Nama CSO'!$A$28:$D$31,4,0)*BP411</f>
        <v>#N/A</v>
      </c>
    </row>
    <row r="412" spans="41:74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55" t="e">
        <f>IFERROR(VLOOKUP(AQ412,'[1]Harga &amp; Nama CSO'!$H$2:$N$22,2,FALSE),"")*AV412</f>
        <v>#VALUE!</v>
      </c>
      <c r="BO412" s="40"/>
      <c r="BP412" s="39"/>
      <c r="BQ412" s="59"/>
      <c r="BR412" s="39"/>
      <c r="BS412" s="57" t="e">
        <f t="shared" si="27"/>
        <v>#VALUE!</v>
      </c>
      <c r="BT412" s="60"/>
      <c r="BU412" s="8">
        <v>0</v>
      </c>
      <c r="BV412" s="58" t="e">
        <f>VLOOKUP(AQ412,'[1]Harga &amp; Nama CSO'!$A$28:$D$31,4,0)*BP412</f>
        <v>#N/A</v>
      </c>
    </row>
    <row r="413" spans="41:74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55" t="e">
        <f>IFERROR(VLOOKUP(AQ413,'[1]Harga &amp; Nama CSO'!$H$2:$N$22,2,FALSE),"")*AV413</f>
        <v>#VALUE!</v>
      </c>
      <c r="BO413" s="40"/>
      <c r="BP413" s="39"/>
      <c r="BQ413" s="59"/>
      <c r="BR413" s="39"/>
      <c r="BS413" s="57" t="e">
        <f t="shared" si="27"/>
        <v>#VALUE!</v>
      </c>
      <c r="BT413" s="60"/>
      <c r="BU413" s="8">
        <v>0</v>
      </c>
      <c r="BV413" s="58" t="e">
        <f>VLOOKUP(AQ413,'[1]Harga &amp; Nama CSO'!$A$28:$D$31,4,0)*BP413</f>
        <v>#N/A</v>
      </c>
    </row>
    <row r="414" spans="41:74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55" t="e">
        <f>IFERROR(VLOOKUP(AQ414,'[1]Harga &amp; Nama CSO'!$H$2:$N$22,2,FALSE),"")*AV414</f>
        <v>#VALUE!</v>
      </c>
      <c r="BO414" s="40"/>
      <c r="BP414" s="39"/>
      <c r="BQ414" s="59"/>
      <c r="BR414" s="39"/>
      <c r="BS414" s="57" t="e">
        <f t="shared" si="27"/>
        <v>#VALUE!</v>
      </c>
      <c r="BT414" s="60"/>
      <c r="BU414" s="8">
        <v>0</v>
      </c>
      <c r="BV414" s="58" t="e">
        <f>VLOOKUP(AQ414,'[1]Harga &amp; Nama CSO'!$A$28:$D$31,4,0)*BP414</f>
        <v>#N/A</v>
      </c>
    </row>
    <row r="415" spans="41:74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55" t="e">
        <f>IFERROR(VLOOKUP(AQ415,'[1]Harga &amp; Nama CSO'!$H$2:$N$22,2,FALSE),"")*AV415</f>
        <v>#VALUE!</v>
      </c>
      <c r="BO415" s="40"/>
      <c r="BP415" s="39"/>
      <c r="BQ415" s="59"/>
      <c r="BR415" s="39"/>
      <c r="BS415" s="57" t="e">
        <f t="shared" si="27"/>
        <v>#VALUE!</v>
      </c>
      <c r="BT415" s="60"/>
      <c r="BU415" s="8">
        <v>0</v>
      </c>
      <c r="BV415" s="58" t="e">
        <f>VLOOKUP(AQ415,'[1]Harga &amp; Nama CSO'!$A$28:$D$31,4,0)*BP415</f>
        <v>#N/A</v>
      </c>
    </row>
    <row r="416" spans="41:74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55" t="e">
        <f>IFERROR(VLOOKUP(AQ416,'[1]Harga &amp; Nama CSO'!$H$2:$N$22,2,FALSE),"")*AV416</f>
        <v>#VALUE!</v>
      </c>
      <c r="BO416" s="40"/>
      <c r="BP416" s="39"/>
      <c r="BQ416" s="59"/>
      <c r="BR416" s="39"/>
      <c r="BS416" s="57" t="e">
        <f t="shared" si="27"/>
        <v>#VALUE!</v>
      </c>
      <c r="BT416" s="60"/>
      <c r="BU416" s="8">
        <v>0</v>
      </c>
      <c r="BV416" s="58" t="e">
        <f>VLOOKUP(AQ416,'[1]Harga &amp; Nama CSO'!$A$28:$D$31,4,0)*BP416</f>
        <v>#N/A</v>
      </c>
    </row>
    <row r="417" spans="41:74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55" t="e">
        <f>IFERROR(VLOOKUP(AQ417,'[1]Harga &amp; Nama CSO'!$H$2:$N$22,2,FALSE),"")*AV417</f>
        <v>#VALUE!</v>
      </c>
      <c r="BO417" s="40"/>
      <c r="BP417" s="39"/>
      <c r="BQ417" s="59"/>
      <c r="BR417" s="39"/>
      <c r="BS417" s="57" t="e">
        <f t="shared" si="27"/>
        <v>#VALUE!</v>
      </c>
      <c r="BT417" s="60"/>
      <c r="BU417" s="8">
        <v>0</v>
      </c>
      <c r="BV417" s="58" t="e">
        <f>VLOOKUP(AQ417,'[1]Harga &amp; Nama CSO'!$A$28:$D$31,4,0)*BP417</f>
        <v>#N/A</v>
      </c>
    </row>
    <row r="418" spans="41:74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55" t="e">
        <f>IFERROR(VLOOKUP(AQ418,'[1]Harga &amp; Nama CSO'!$H$2:$N$22,2,FALSE),"")*AV418</f>
        <v>#VALUE!</v>
      </c>
      <c r="BO418" s="40"/>
      <c r="BP418" s="39"/>
      <c r="BQ418" s="59"/>
      <c r="BR418" s="39"/>
      <c r="BS418" s="57" t="e">
        <f t="shared" si="27"/>
        <v>#VALUE!</v>
      </c>
      <c r="BT418" s="60"/>
      <c r="BU418" s="8">
        <v>0</v>
      </c>
      <c r="BV418" s="58" t="e">
        <f>VLOOKUP(AQ418,'[1]Harga &amp; Nama CSO'!$A$28:$D$31,4,0)*BP418</f>
        <v>#N/A</v>
      </c>
    </row>
    <row r="419" spans="41:74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55" t="e">
        <f>IFERROR(VLOOKUP(AQ419,'[1]Harga &amp; Nama CSO'!$H$2:$N$22,2,FALSE),"")*AV419</f>
        <v>#VALUE!</v>
      </c>
      <c r="BO419" s="40"/>
      <c r="BP419" s="39"/>
      <c r="BQ419" s="59"/>
      <c r="BR419" s="39"/>
      <c r="BS419" s="57" t="e">
        <f t="shared" si="27"/>
        <v>#VALUE!</v>
      </c>
      <c r="BT419" s="60"/>
      <c r="BU419" s="8">
        <v>0</v>
      </c>
      <c r="BV419" s="58" t="e">
        <f>VLOOKUP(AQ419,'[1]Harga &amp; Nama CSO'!$A$28:$D$31,4,0)*BP419</f>
        <v>#N/A</v>
      </c>
    </row>
    <row r="420" spans="41:74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55" t="e">
        <f>IFERROR(VLOOKUP(AQ420,'[1]Harga &amp; Nama CSO'!$H$2:$N$22,2,FALSE),"")*AV420</f>
        <v>#VALUE!</v>
      </c>
      <c r="BO420" s="40"/>
      <c r="BP420" s="39"/>
      <c r="BQ420" s="59"/>
      <c r="BR420" s="39"/>
      <c r="BS420" s="57" t="e">
        <f t="shared" si="27"/>
        <v>#VALUE!</v>
      </c>
      <c r="BT420" s="60"/>
      <c r="BU420" s="8">
        <v>0</v>
      </c>
      <c r="BV420" s="58" t="e">
        <f>VLOOKUP(AQ420,'[1]Harga &amp; Nama CSO'!$A$28:$D$31,4,0)*BP420</f>
        <v>#N/A</v>
      </c>
    </row>
    <row r="421" spans="41:74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55" t="e">
        <f>IFERROR(VLOOKUP(AQ421,'[1]Harga &amp; Nama CSO'!$H$2:$N$22,2,FALSE),"")*AV421</f>
        <v>#VALUE!</v>
      </c>
      <c r="BO421" s="40"/>
      <c r="BP421" s="39"/>
      <c r="BQ421" s="59"/>
      <c r="BR421" s="39"/>
      <c r="BS421" s="57" t="e">
        <f t="shared" si="27"/>
        <v>#VALUE!</v>
      </c>
      <c r="BT421" s="60"/>
      <c r="BU421" s="8">
        <v>0</v>
      </c>
      <c r="BV421" s="58" t="e">
        <f>VLOOKUP(AQ421,'[1]Harga &amp; Nama CSO'!$A$28:$D$31,4,0)*BP421</f>
        <v>#N/A</v>
      </c>
    </row>
    <row r="422" spans="41:74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55" t="e">
        <f>IFERROR(VLOOKUP(AQ422,'[1]Harga &amp; Nama CSO'!$H$2:$N$22,2,FALSE),"")*AV422</f>
        <v>#VALUE!</v>
      </c>
      <c r="BO422" s="40"/>
      <c r="BP422" s="39"/>
      <c r="BQ422" s="59"/>
      <c r="BR422" s="39"/>
      <c r="BS422" s="57" t="e">
        <f t="shared" si="27"/>
        <v>#VALUE!</v>
      </c>
      <c r="BT422" s="60"/>
      <c r="BU422" s="8">
        <v>0</v>
      </c>
      <c r="BV422" s="58" t="e">
        <f>VLOOKUP(AQ422,'[1]Harga &amp; Nama CSO'!$A$28:$D$31,4,0)*BP422</f>
        <v>#N/A</v>
      </c>
    </row>
    <row r="423" spans="41:74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55" t="e">
        <f>IFERROR(VLOOKUP(AQ423,'[1]Harga &amp; Nama CSO'!$H$2:$N$22,2,FALSE),"")*AV423</f>
        <v>#VALUE!</v>
      </c>
      <c r="BO423" s="40"/>
      <c r="BP423" s="39"/>
      <c r="BQ423" s="59"/>
      <c r="BR423" s="39"/>
      <c r="BS423" s="57" t="e">
        <f t="shared" si="27"/>
        <v>#VALUE!</v>
      </c>
      <c r="BT423" s="60"/>
      <c r="BU423" s="8">
        <v>0</v>
      </c>
      <c r="BV423" s="58" t="e">
        <f>VLOOKUP(AQ423,'[1]Harga &amp; Nama CSO'!$A$28:$D$31,4,0)*BP423</f>
        <v>#N/A</v>
      </c>
    </row>
    <row r="424" spans="41:74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55" t="e">
        <f>IFERROR(VLOOKUP(AQ424,'[1]Harga &amp; Nama CSO'!$H$2:$N$22,2,FALSE),"")*AV424</f>
        <v>#VALUE!</v>
      </c>
      <c r="BO424" s="40"/>
      <c r="BP424" s="39"/>
      <c r="BQ424" s="59"/>
      <c r="BR424" s="39"/>
      <c r="BS424" s="57" t="e">
        <f t="shared" si="27"/>
        <v>#VALUE!</v>
      </c>
      <c r="BT424" s="60"/>
      <c r="BU424" s="8">
        <v>0</v>
      </c>
      <c r="BV424" s="58" t="e">
        <f>VLOOKUP(AQ424,'[1]Harga &amp; Nama CSO'!$A$28:$D$31,4,0)*BP424</f>
        <v>#N/A</v>
      </c>
    </row>
    <row r="425" spans="41:74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55" t="e">
        <f>IFERROR(VLOOKUP(AQ425,'[1]Harga &amp; Nama CSO'!$H$2:$N$22,2,FALSE),"")*AV425</f>
        <v>#VALUE!</v>
      </c>
      <c r="BO425" s="40"/>
      <c r="BP425" s="39"/>
      <c r="BQ425" s="59"/>
      <c r="BR425" s="39"/>
      <c r="BS425" s="57" t="e">
        <f t="shared" si="27"/>
        <v>#VALUE!</v>
      </c>
      <c r="BT425" s="60"/>
      <c r="BU425" s="8">
        <v>0</v>
      </c>
      <c r="BV425" s="58" t="e">
        <f>VLOOKUP(AQ425,'[1]Harga &amp; Nama CSO'!$A$28:$D$31,4,0)*BP425</f>
        <v>#N/A</v>
      </c>
    </row>
    <row r="426" spans="41:74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55" t="e">
        <f>IFERROR(VLOOKUP(AQ426,'[1]Harga &amp; Nama CSO'!$H$2:$N$22,2,FALSE),"")*AV426</f>
        <v>#VALUE!</v>
      </c>
      <c r="BO426" s="40"/>
      <c r="BP426" s="39"/>
      <c r="BQ426" s="59"/>
      <c r="BR426" s="39"/>
      <c r="BS426" s="57" t="e">
        <f t="shared" si="27"/>
        <v>#VALUE!</v>
      </c>
      <c r="BT426" s="60"/>
      <c r="BU426" s="8">
        <v>0</v>
      </c>
      <c r="BV426" s="58" t="e">
        <f>VLOOKUP(AQ426,'[1]Harga &amp; Nama CSO'!$A$28:$D$31,4,0)*BP426</f>
        <v>#N/A</v>
      </c>
    </row>
    <row r="427" spans="41:74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55" t="e">
        <f>IFERROR(VLOOKUP(AQ427,'[1]Harga &amp; Nama CSO'!$H$2:$N$22,2,FALSE),"")*AV427</f>
        <v>#VALUE!</v>
      </c>
      <c r="BO427" s="40"/>
      <c r="BP427" s="39"/>
      <c r="BQ427" s="59"/>
      <c r="BR427" s="39"/>
      <c r="BS427" s="57" t="e">
        <f t="shared" si="27"/>
        <v>#VALUE!</v>
      </c>
      <c r="BT427" s="60"/>
      <c r="BU427" s="8">
        <v>0</v>
      </c>
      <c r="BV427" s="58" t="e">
        <f>VLOOKUP(AQ427,'[1]Harga &amp; Nama CSO'!$A$28:$D$31,4,0)*BP427</f>
        <v>#N/A</v>
      </c>
    </row>
    <row r="428" spans="41:74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55" t="e">
        <f>IFERROR(VLOOKUP(AQ428,'[1]Harga &amp; Nama CSO'!$H$2:$N$22,2,FALSE),"")*AV428</f>
        <v>#VALUE!</v>
      </c>
      <c r="BO428" s="40"/>
      <c r="BP428" s="39"/>
      <c r="BQ428" s="59"/>
      <c r="BR428" s="39"/>
      <c r="BS428" s="57" t="e">
        <f t="shared" si="27"/>
        <v>#VALUE!</v>
      </c>
      <c r="BT428" s="60"/>
      <c r="BU428" s="8">
        <v>0</v>
      </c>
      <c r="BV428" s="58" t="e">
        <f>VLOOKUP(AQ428,'[1]Harga &amp; Nama CSO'!$A$28:$D$31,4,0)*BP428</f>
        <v>#N/A</v>
      </c>
    </row>
    <row r="429" spans="41:74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55" t="e">
        <f>IFERROR(VLOOKUP(AQ429,'[1]Harga &amp; Nama CSO'!$H$2:$N$22,2,FALSE),"")*AV429</f>
        <v>#VALUE!</v>
      </c>
      <c r="BO429" s="40"/>
      <c r="BP429" s="39"/>
      <c r="BQ429" s="59"/>
      <c r="BR429" s="39"/>
      <c r="BS429" s="57" t="e">
        <f t="shared" si="27"/>
        <v>#VALUE!</v>
      </c>
      <c r="BT429" s="60"/>
      <c r="BU429" s="8">
        <v>0</v>
      </c>
      <c r="BV429" s="58" t="e">
        <f>VLOOKUP(AQ429,'[1]Harga &amp; Nama CSO'!$A$28:$D$31,4,0)*BP429</f>
        <v>#N/A</v>
      </c>
    </row>
    <row r="430" spans="41:74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55" t="e">
        <f>IFERROR(VLOOKUP(AQ430,'[1]Harga &amp; Nama CSO'!$H$2:$N$22,2,FALSE),"")*AV430</f>
        <v>#VALUE!</v>
      </c>
      <c r="BO430" s="40"/>
      <c r="BP430" s="39"/>
      <c r="BQ430" s="59"/>
      <c r="BR430" s="39"/>
      <c r="BS430" s="57" t="e">
        <f t="shared" si="27"/>
        <v>#VALUE!</v>
      </c>
      <c r="BT430" s="60"/>
      <c r="BU430" s="8">
        <v>0</v>
      </c>
      <c r="BV430" s="58" t="e">
        <f>VLOOKUP(AQ430,'[1]Harga &amp; Nama CSO'!$A$28:$D$31,4,0)*BP430</f>
        <v>#N/A</v>
      </c>
    </row>
    <row r="431" spans="41:74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55" t="e">
        <f>IFERROR(VLOOKUP(AQ431,'[1]Harga &amp; Nama CSO'!$H$2:$N$22,2,FALSE),"")*AV431</f>
        <v>#VALUE!</v>
      </c>
      <c r="BO431" s="40"/>
      <c r="BP431" s="39"/>
      <c r="BQ431" s="59"/>
      <c r="BR431" s="39"/>
      <c r="BS431" s="57" t="e">
        <f t="shared" si="27"/>
        <v>#VALUE!</v>
      </c>
      <c r="BT431" s="60"/>
      <c r="BU431" s="8">
        <v>0</v>
      </c>
      <c r="BV431" s="58" t="e">
        <f>VLOOKUP(AQ431,'[1]Harga &amp; Nama CSO'!$A$28:$D$31,4,0)*BP431</f>
        <v>#N/A</v>
      </c>
    </row>
    <row r="432" spans="41:74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55" t="e">
        <f>IFERROR(VLOOKUP(AQ432,'[1]Harga &amp; Nama CSO'!$H$2:$N$22,2,FALSE),"")*AV432</f>
        <v>#VALUE!</v>
      </c>
      <c r="BO432" s="40"/>
      <c r="BP432" s="39"/>
      <c r="BQ432" s="59"/>
      <c r="BR432" s="39"/>
      <c r="BS432" s="57" t="e">
        <f t="shared" si="27"/>
        <v>#VALUE!</v>
      </c>
      <c r="BT432" s="60"/>
      <c r="BU432" s="8">
        <v>0</v>
      </c>
      <c r="BV432" s="58" t="e">
        <f>VLOOKUP(AQ432,'[1]Harga &amp; Nama CSO'!$A$28:$D$31,4,0)*BP432</f>
        <v>#N/A</v>
      </c>
    </row>
    <row r="433" spans="41:74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55" t="e">
        <f>IFERROR(VLOOKUP(AQ433,'[1]Harga &amp; Nama CSO'!$H$2:$N$22,2,FALSE),"")*AV433</f>
        <v>#VALUE!</v>
      </c>
      <c r="BO433" s="40"/>
      <c r="BP433" s="39"/>
      <c r="BQ433" s="59"/>
      <c r="BR433" s="39"/>
      <c r="BS433" s="57" t="e">
        <f t="shared" si="27"/>
        <v>#VALUE!</v>
      </c>
      <c r="BT433" s="60"/>
      <c r="BU433" s="8">
        <v>0</v>
      </c>
      <c r="BV433" s="58" t="e">
        <f>VLOOKUP(AQ433,'[1]Harga &amp; Nama CSO'!$A$28:$D$31,4,0)*BP433</f>
        <v>#N/A</v>
      </c>
    </row>
    <row r="434" spans="41:74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55" t="e">
        <f>IFERROR(VLOOKUP(AQ434,'[1]Harga &amp; Nama CSO'!$H$2:$N$22,2,FALSE),"")*AV434</f>
        <v>#VALUE!</v>
      </c>
      <c r="BO434" s="40"/>
      <c r="BP434" s="39"/>
      <c r="BQ434" s="59"/>
      <c r="BR434" s="39"/>
      <c r="BS434" s="57" t="e">
        <f t="shared" si="27"/>
        <v>#VALUE!</v>
      </c>
      <c r="BT434" s="60"/>
      <c r="BU434" s="8">
        <v>0</v>
      </c>
      <c r="BV434" s="58" t="e">
        <f>VLOOKUP(AQ434,'[1]Harga &amp; Nama CSO'!$A$28:$D$31,4,0)*BP434</f>
        <v>#N/A</v>
      </c>
    </row>
    <row r="435" spans="41:74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55" t="e">
        <f>IFERROR(VLOOKUP(AQ435,'[1]Harga &amp; Nama CSO'!$H$2:$N$22,2,FALSE),"")*AV435</f>
        <v>#VALUE!</v>
      </c>
      <c r="BO435" s="40"/>
      <c r="BP435" s="39"/>
      <c r="BQ435" s="59"/>
      <c r="BR435" s="39"/>
      <c r="BS435" s="57" t="e">
        <f t="shared" si="27"/>
        <v>#VALUE!</v>
      </c>
      <c r="BT435" s="60"/>
      <c r="BU435" s="8">
        <v>0</v>
      </c>
      <c r="BV435" s="58" t="e">
        <f>VLOOKUP(AQ435,'[1]Harga &amp; Nama CSO'!$A$28:$D$31,4,0)*BP435</f>
        <v>#N/A</v>
      </c>
    </row>
    <row r="436" spans="41:74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55" t="e">
        <f>IFERROR(VLOOKUP(AQ436,'[1]Harga &amp; Nama CSO'!$H$2:$N$22,2,FALSE),"")*AV436</f>
        <v>#VALUE!</v>
      </c>
      <c r="BO436" s="40"/>
      <c r="BP436" s="39"/>
      <c r="BQ436" s="59"/>
      <c r="BR436" s="39"/>
      <c r="BS436" s="57" t="e">
        <f t="shared" si="27"/>
        <v>#VALUE!</v>
      </c>
      <c r="BT436" s="60"/>
      <c r="BU436" s="8">
        <v>0</v>
      </c>
      <c r="BV436" s="58" t="e">
        <f>VLOOKUP(AQ436,'[1]Harga &amp; Nama CSO'!$A$28:$D$31,4,0)*BP436</f>
        <v>#N/A</v>
      </c>
    </row>
    <row r="437" spans="41:74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55" t="e">
        <f>IFERROR(VLOOKUP(AQ437,'[1]Harga &amp; Nama CSO'!$H$2:$N$22,2,FALSE),"")*AV437</f>
        <v>#VALUE!</v>
      </c>
      <c r="BO437" s="40"/>
      <c r="BP437" s="39"/>
      <c r="BQ437" s="59"/>
      <c r="BR437" s="39"/>
      <c r="BS437" s="57" t="e">
        <f t="shared" si="27"/>
        <v>#VALUE!</v>
      </c>
      <c r="BT437" s="60"/>
      <c r="BU437" s="8">
        <v>0</v>
      </c>
      <c r="BV437" s="58" t="e">
        <f>VLOOKUP(AQ437,'[1]Harga &amp; Nama CSO'!$A$28:$D$31,4,0)*BP437</f>
        <v>#N/A</v>
      </c>
    </row>
    <row r="438" spans="41:74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55" t="e">
        <f>IFERROR(VLOOKUP(AQ438,'[1]Harga &amp; Nama CSO'!$H$2:$N$22,2,FALSE),"")*AV438</f>
        <v>#VALUE!</v>
      </c>
      <c r="BO438" s="40"/>
      <c r="BP438" s="39"/>
      <c r="BQ438" s="59"/>
      <c r="BR438" s="39"/>
      <c r="BS438" s="57" t="e">
        <f t="shared" si="27"/>
        <v>#VALUE!</v>
      </c>
      <c r="BT438" s="60"/>
      <c r="BU438" s="8">
        <v>0</v>
      </c>
      <c r="BV438" s="58" t="e">
        <f>VLOOKUP(AQ438,'[1]Harga &amp; Nama CSO'!$A$28:$D$31,4,0)*BP438</f>
        <v>#N/A</v>
      </c>
    </row>
    <row r="439" spans="41:74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55" t="e">
        <f>IFERROR(VLOOKUP(AQ439,'[1]Harga &amp; Nama CSO'!$H$2:$N$22,2,FALSE),"")*AV439</f>
        <v>#VALUE!</v>
      </c>
      <c r="BO439" s="40"/>
      <c r="BP439" s="39"/>
      <c r="BQ439" s="59"/>
      <c r="BR439" s="39"/>
      <c r="BS439" s="57" t="e">
        <f t="shared" si="27"/>
        <v>#VALUE!</v>
      </c>
      <c r="BT439" s="60"/>
      <c r="BU439" s="8">
        <v>0</v>
      </c>
      <c r="BV439" s="58" t="e">
        <f>VLOOKUP(AQ439,'[1]Harga &amp; Nama CSO'!$A$28:$D$31,4,0)*BP439</f>
        <v>#N/A</v>
      </c>
    </row>
    <row r="440" spans="41:74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55" t="e">
        <f>IFERROR(VLOOKUP(AQ440,'[1]Harga &amp; Nama CSO'!$H$2:$N$22,2,FALSE),"")*AV440</f>
        <v>#VALUE!</v>
      </c>
      <c r="BO440" s="40"/>
      <c r="BP440" s="39"/>
      <c r="BQ440" s="59"/>
      <c r="BR440" s="39"/>
      <c r="BS440" s="57" t="e">
        <f t="shared" si="27"/>
        <v>#VALUE!</v>
      </c>
      <c r="BT440" s="60"/>
      <c r="BU440" s="8">
        <v>0</v>
      </c>
      <c r="BV440" s="58" t="e">
        <f>VLOOKUP(AQ440,'[1]Harga &amp; Nama CSO'!$A$28:$D$31,4,0)*BP440</f>
        <v>#N/A</v>
      </c>
    </row>
    <row r="441" spans="41:74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55" t="e">
        <f>IFERROR(VLOOKUP(AQ441,'[1]Harga &amp; Nama CSO'!$H$2:$N$22,2,FALSE),"")*AV441</f>
        <v>#VALUE!</v>
      </c>
      <c r="BO441" s="40"/>
      <c r="BP441" s="39"/>
      <c r="BQ441" s="59"/>
      <c r="BR441" s="39"/>
      <c r="BS441" s="57" t="e">
        <f t="shared" si="27"/>
        <v>#VALUE!</v>
      </c>
      <c r="BT441" s="60"/>
      <c r="BU441" s="8">
        <v>0</v>
      </c>
      <c r="BV441" s="58" t="e">
        <f>VLOOKUP(AQ441,'[1]Harga &amp; Nama CSO'!$A$28:$D$31,4,0)*BP441</f>
        <v>#N/A</v>
      </c>
    </row>
    <row r="442" spans="41:74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55" t="e">
        <f>IFERROR(VLOOKUP(AQ442,'[1]Harga &amp; Nama CSO'!$H$2:$N$22,2,FALSE),"")*AV442</f>
        <v>#VALUE!</v>
      </c>
      <c r="BO442" s="40"/>
      <c r="BP442" s="39"/>
      <c r="BQ442" s="59"/>
      <c r="BR442" s="39"/>
      <c r="BS442" s="57" t="e">
        <f t="shared" si="27"/>
        <v>#VALUE!</v>
      </c>
      <c r="BT442" s="60"/>
      <c r="BU442" s="8">
        <v>0</v>
      </c>
      <c r="BV442" s="58" t="e">
        <f>VLOOKUP(AQ442,'[1]Harga &amp; Nama CSO'!$A$28:$D$31,4,0)*BP442</f>
        <v>#N/A</v>
      </c>
    </row>
    <row r="443" spans="41:74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55" t="e">
        <f>IFERROR(VLOOKUP(AQ443,'[1]Harga &amp; Nama CSO'!$H$2:$N$22,2,FALSE),"")*AV443</f>
        <v>#VALUE!</v>
      </c>
      <c r="BO443" s="40"/>
      <c r="BP443" s="39"/>
      <c r="BQ443" s="59"/>
      <c r="BR443" s="39"/>
      <c r="BS443" s="57" t="e">
        <f t="shared" si="27"/>
        <v>#VALUE!</v>
      </c>
      <c r="BT443" s="60"/>
      <c r="BU443" s="8">
        <v>0</v>
      </c>
      <c r="BV443" s="58" t="e">
        <f>VLOOKUP(AQ443,'[1]Harga &amp; Nama CSO'!$A$28:$D$31,4,0)*BP443</f>
        <v>#N/A</v>
      </c>
    </row>
    <row r="444" spans="41:74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55" t="e">
        <f>IFERROR(VLOOKUP(AQ444,'[1]Harga &amp; Nama CSO'!$H$2:$N$22,2,FALSE),"")*AV444</f>
        <v>#VALUE!</v>
      </c>
      <c r="BO444" s="40"/>
      <c r="BP444" s="39"/>
      <c r="BQ444" s="59"/>
      <c r="BR444" s="39"/>
      <c r="BS444" s="57" t="e">
        <f t="shared" si="27"/>
        <v>#VALUE!</v>
      </c>
      <c r="BT444" s="60"/>
      <c r="BU444" s="8">
        <v>0</v>
      </c>
      <c r="BV444" s="58" t="e">
        <f>VLOOKUP(AQ444,'[1]Harga &amp; Nama CSO'!$A$28:$D$31,4,0)*BP444</f>
        <v>#N/A</v>
      </c>
    </row>
    <row r="445" spans="41:74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55" t="e">
        <f>IFERROR(VLOOKUP(AQ445,'[1]Harga &amp; Nama CSO'!$H$2:$N$22,2,FALSE),"")*AV445</f>
        <v>#VALUE!</v>
      </c>
      <c r="BO445" s="40"/>
      <c r="BP445" s="39"/>
      <c r="BQ445" s="59"/>
      <c r="BR445" s="39"/>
      <c r="BS445" s="57" t="e">
        <f t="shared" si="27"/>
        <v>#VALUE!</v>
      </c>
      <c r="BT445" s="60"/>
      <c r="BU445" s="8">
        <v>0</v>
      </c>
      <c r="BV445" s="58" t="e">
        <f>VLOOKUP(AQ445,'[1]Harga &amp; Nama CSO'!$A$28:$D$31,4,0)*BP445</f>
        <v>#N/A</v>
      </c>
    </row>
    <row r="446" spans="41:74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55" t="e">
        <f>IFERROR(VLOOKUP(AQ446,'[1]Harga &amp; Nama CSO'!$H$2:$N$22,2,FALSE),"")*AV446</f>
        <v>#VALUE!</v>
      </c>
      <c r="BO446" s="40"/>
      <c r="BP446" s="39"/>
      <c r="BQ446" s="59"/>
      <c r="BR446" s="39"/>
      <c r="BS446" s="57" t="e">
        <f t="shared" si="27"/>
        <v>#VALUE!</v>
      </c>
      <c r="BT446" s="60"/>
      <c r="BU446" s="8">
        <v>0</v>
      </c>
      <c r="BV446" s="58" t="e">
        <f>VLOOKUP(AQ446,'[1]Harga &amp; Nama CSO'!$A$28:$D$31,4,0)*BP446</f>
        <v>#N/A</v>
      </c>
    </row>
    <row r="447" spans="41:74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55" t="e">
        <f>IFERROR(VLOOKUP(AQ447,'[1]Harga &amp; Nama CSO'!$H$2:$N$22,2,FALSE),"")*AV447</f>
        <v>#VALUE!</v>
      </c>
      <c r="BO447" s="40"/>
      <c r="BP447" s="39"/>
      <c r="BQ447" s="59"/>
      <c r="BR447" s="39"/>
      <c r="BS447" s="57" t="e">
        <f t="shared" si="27"/>
        <v>#VALUE!</v>
      </c>
      <c r="BT447" s="60"/>
      <c r="BU447" s="8">
        <v>0</v>
      </c>
      <c r="BV447" s="58" t="e">
        <f>VLOOKUP(AQ447,'[1]Harga &amp; Nama CSO'!$A$28:$D$31,4,0)*BP447</f>
        <v>#N/A</v>
      </c>
    </row>
    <row r="448" spans="41:74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55" t="e">
        <f>IFERROR(VLOOKUP(AQ448,'[1]Harga &amp; Nama CSO'!$H$2:$N$22,2,FALSE),"")*AV448</f>
        <v>#VALUE!</v>
      </c>
      <c r="BO448" s="40"/>
      <c r="BP448" s="39"/>
      <c r="BQ448" s="59"/>
      <c r="BR448" s="39"/>
      <c r="BS448" s="57" t="e">
        <f t="shared" si="27"/>
        <v>#VALUE!</v>
      </c>
      <c r="BT448" s="60"/>
      <c r="BU448" s="8">
        <v>0</v>
      </c>
      <c r="BV448" s="58" t="e">
        <f>VLOOKUP(AQ448,'[1]Harga &amp; Nama CSO'!$A$28:$D$31,4,0)*BP448</f>
        <v>#N/A</v>
      </c>
    </row>
    <row r="449" spans="41:74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55" t="e">
        <f>IFERROR(VLOOKUP(AQ449,'[1]Harga &amp; Nama CSO'!$H$2:$N$22,2,FALSE),"")*AV449</f>
        <v>#VALUE!</v>
      </c>
      <c r="BO449" s="40"/>
      <c r="BP449" s="39"/>
      <c r="BQ449" s="59"/>
      <c r="BR449" s="39"/>
      <c r="BS449" s="57" t="e">
        <f t="shared" si="27"/>
        <v>#VALUE!</v>
      </c>
      <c r="BT449" s="60"/>
      <c r="BU449" s="8">
        <v>0</v>
      </c>
      <c r="BV449" s="58" t="e">
        <f>VLOOKUP(AQ449,'[1]Harga &amp; Nama CSO'!$A$28:$D$31,4,0)*BP449</f>
        <v>#N/A</v>
      </c>
    </row>
    <row r="450" spans="41:74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55" t="e">
        <f>IFERROR(VLOOKUP(AQ450,'[1]Harga &amp; Nama CSO'!$H$2:$N$22,2,FALSE),"")*AV450</f>
        <v>#VALUE!</v>
      </c>
      <c r="BO450" s="40"/>
      <c r="BP450" s="39"/>
      <c r="BQ450" s="59"/>
      <c r="BR450" s="39"/>
      <c r="BS450" s="57" t="e">
        <f t="shared" si="27"/>
        <v>#VALUE!</v>
      </c>
      <c r="BT450" s="60"/>
      <c r="BU450" s="8">
        <v>0</v>
      </c>
      <c r="BV450" s="58" t="e">
        <f>VLOOKUP(AQ450,'[1]Harga &amp; Nama CSO'!$A$28:$D$31,4,0)*BP450</f>
        <v>#N/A</v>
      </c>
    </row>
    <row r="451" spans="41:74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55" t="e">
        <f>IFERROR(VLOOKUP(AQ451,'[1]Harga &amp; Nama CSO'!$H$2:$N$22,2,FALSE),"")*AV451</f>
        <v>#VALUE!</v>
      </c>
      <c r="BO451" s="40"/>
      <c r="BP451" s="39"/>
      <c r="BQ451" s="59"/>
      <c r="BR451" s="39"/>
      <c r="BS451" s="57" t="e">
        <f t="shared" ref="BS451:BS514" si="28">BN451-BQ451</f>
        <v>#VALUE!</v>
      </c>
      <c r="BT451" s="60"/>
      <c r="BU451" s="8">
        <v>0</v>
      </c>
      <c r="BV451" s="58" t="e">
        <f>VLOOKUP(AQ451,'[1]Harga &amp; Nama CSO'!$A$28:$D$31,4,0)*BP451</f>
        <v>#N/A</v>
      </c>
    </row>
    <row r="452" spans="41:74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55" t="e">
        <f>IFERROR(VLOOKUP(AQ452,'[1]Harga &amp; Nama CSO'!$H$2:$N$22,2,FALSE),"")*AV452</f>
        <v>#VALUE!</v>
      </c>
      <c r="BO452" s="40"/>
      <c r="BP452" s="39"/>
      <c r="BQ452" s="59"/>
      <c r="BR452" s="39"/>
      <c r="BS452" s="57" t="e">
        <f t="shared" si="28"/>
        <v>#VALUE!</v>
      </c>
      <c r="BT452" s="60"/>
      <c r="BU452" s="8">
        <v>0</v>
      </c>
      <c r="BV452" s="58" t="e">
        <f>VLOOKUP(AQ452,'[1]Harga &amp; Nama CSO'!$A$28:$D$31,4,0)*BP452</f>
        <v>#N/A</v>
      </c>
    </row>
    <row r="453" spans="41:74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55" t="e">
        <f>IFERROR(VLOOKUP(AQ453,'[1]Harga &amp; Nama CSO'!$H$2:$N$22,2,FALSE),"")*AV453</f>
        <v>#VALUE!</v>
      </c>
      <c r="BO453" s="40"/>
      <c r="BP453" s="39"/>
      <c r="BQ453" s="59"/>
      <c r="BR453" s="39"/>
      <c r="BS453" s="57" t="e">
        <f t="shared" si="28"/>
        <v>#VALUE!</v>
      </c>
      <c r="BT453" s="60"/>
      <c r="BU453" s="8">
        <v>0</v>
      </c>
      <c r="BV453" s="58" t="e">
        <f>VLOOKUP(AQ453,'[1]Harga &amp; Nama CSO'!$A$28:$D$31,4,0)*BP453</f>
        <v>#N/A</v>
      </c>
    </row>
    <row r="454" spans="41:74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55" t="e">
        <f>IFERROR(VLOOKUP(AQ454,'[1]Harga &amp; Nama CSO'!$H$2:$N$22,2,FALSE),"")*AV454</f>
        <v>#VALUE!</v>
      </c>
      <c r="BO454" s="40"/>
      <c r="BP454" s="39"/>
      <c r="BQ454" s="59"/>
      <c r="BR454" s="39"/>
      <c r="BS454" s="57" t="e">
        <f t="shared" si="28"/>
        <v>#VALUE!</v>
      </c>
      <c r="BT454" s="60"/>
      <c r="BU454" s="8">
        <v>0</v>
      </c>
      <c r="BV454" s="58" t="e">
        <f>VLOOKUP(AQ454,'[1]Harga &amp; Nama CSO'!$A$28:$D$31,4,0)*BP454</f>
        <v>#N/A</v>
      </c>
    </row>
    <row r="455" spans="41:74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55" t="e">
        <f>IFERROR(VLOOKUP(AQ455,'[1]Harga &amp; Nama CSO'!$H$2:$N$22,2,FALSE),"")*AV455</f>
        <v>#VALUE!</v>
      </c>
      <c r="BO455" s="40"/>
      <c r="BP455" s="39"/>
      <c r="BQ455" s="59"/>
      <c r="BR455" s="39"/>
      <c r="BS455" s="57" t="e">
        <f t="shared" si="28"/>
        <v>#VALUE!</v>
      </c>
      <c r="BT455" s="60"/>
      <c r="BU455" s="8">
        <v>0</v>
      </c>
      <c r="BV455" s="58" t="e">
        <f>VLOOKUP(AQ455,'[1]Harga &amp; Nama CSO'!$A$28:$D$31,4,0)*BP455</f>
        <v>#N/A</v>
      </c>
    </row>
    <row r="456" spans="41:74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55" t="e">
        <f>IFERROR(VLOOKUP(AQ456,'[1]Harga &amp; Nama CSO'!$H$2:$N$22,2,FALSE),"")*AV456</f>
        <v>#VALUE!</v>
      </c>
      <c r="BO456" s="40"/>
      <c r="BP456" s="39"/>
      <c r="BQ456" s="59"/>
      <c r="BR456" s="39"/>
      <c r="BS456" s="57" t="e">
        <f t="shared" si="28"/>
        <v>#VALUE!</v>
      </c>
      <c r="BT456" s="60"/>
      <c r="BU456" s="8">
        <v>0</v>
      </c>
      <c r="BV456" s="58" t="e">
        <f>VLOOKUP(AQ456,'[1]Harga &amp; Nama CSO'!$A$28:$D$31,4,0)*BP456</f>
        <v>#N/A</v>
      </c>
    </row>
    <row r="457" spans="41:74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55" t="e">
        <f>IFERROR(VLOOKUP(AQ457,'[1]Harga &amp; Nama CSO'!$H$2:$N$22,2,FALSE),"")*AV457</f>
        <v>#VALUE!</v>
      </c>
      <c r="BO457" s="40"/>
      <c r="BP457" s="39"/>
      <c r="BQ457" s="59"/>
      <c r="BR457" s="39"/>
      <c r="BS457" s="57" t="e">
        <f t="shared" si="28"/>
        <v>#VALUE!</v>
      </c>
      <c r="BT457" s="60"/>
      <c r="BU457" s="8">
        <v>0</v>
      </c>
      <c r="BV457" s="58" t="e">
        <f>VLOOKUP(AQ457,'[1]Harga &amp; Nama CSO'!$A$28:$D$31,4,0)*BP457</f>
        <v>#N/A</v>
      </c>
    </row>
    <row r="458" spans="41:74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55" t="e">
        <f>IFERROR(VLOOKUP(AQ458,'[1]Harga &amp; Nama CSO'!$H$2:$N$22,2,FALSE),"")*AV458</f>
        <v>#VALUE!</v>
      </c>
      <c r="BO458" s="40"/>
      <c r="BP458" s="39"/>
      <c r="BQ458" s="59"/>
      <c r="BR458" s="39"/>
      <c r="BS458" s="57" t="e">
        <f t="shared" si="28"/>
        <v>#VALUE!</v>
      </c>
      <c r="BT458" s="60"/>
      <c r="BU458" s="8">
        <v>0</v>
      </c>
      <c r="BV458" s="58" t="e">
        <f>VLOOKUP(AQ458,'[1]Harga &amp; Nama CSO'!$A$28:$D$31,4,0)*BP458</f>
        <v>#N/A</v>
      </c>
    </row>
    <row r="459" spans="41:74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55" t="e">
        <f>IFERROR(VLOOKUP(AQ459,'[1]Harga &amp; Nama CSO'!$H$2:$N$22,2,FALSE),"")*AV459</f>
        <v>#VALUE!</v>
      </c>
      <c r="BO459" s="40"/>
      <c r="BP459" s="39"/>
      <c r="BQ459" s="59"/>
      <c r="BR459" s="39"/>
      <c r="BS459" s="57" t="e">
        <f t="shared" si="28"/>
        <v>#VALUE!</v>
      </c>
      <c r="BT459" s="60"/>
      <c r="BU459" s="8">
        <v>0</v>
      </c>
      <c r="BV459" s="58" t="e">
        <f>VLOOKUP(AQ459,'[1]Harga &amp; Nama CSO'!$A$28:$D$31,4,0)*BP459</f>
        <v>#N/A</v>
      </c>
    </row>
    <row r="460" spans="41:74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55" t="e">
        <f>IFERROR(VLOOKUP(AQ460,'[1]Harga &amp; Nama CSO'!$H$2:$N$22,2,FALSE),"")*AV460</f>
        <v>#VALUE!</v>
      </c>
      <c r="BO460" s="40"/>
      <c r="BP460" s="39"/>
      <c r="BQ460" s="59"/>
      <c r="BR460" s="39"/>
      <c r="BS460" s="57" t="e">
        <f t="shared" si="28"/>
        <v>#VALUE!</v>
      </c>
      <c r="BT460" s="60"/>
      <c r="BU460" s="8">
        <v>0</v>
      </c>
      <c r="BV460" s="58" t="e">
        <f>VLOOKUP(AQ460,'[1]Harga &amp; Nama CSO'!$A$28:$D$31,4,0)*BP460</f>
        <v>#N/A</v>
      </c>
    </row>
    <row r="461" spans="41:74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55" t="e">
        <f>IFERROR(VLOOKUP(AQ461,'[1]Harga &amp; Nama CSO'!$H$2:$N$22,2,FALSE),"")*AV461</f>
        <v>#VALUE!</v>
      </c>
      <c r="BO461" s="40"/>
      <c r="BP461" s="39"/>
      <c r="BQ461" s="59"/>
      <c r="BR461" s="39"/>
      <c r="BS461" s="57" t="e">
        <f t="shared" si="28"/>
        <v>#VALUE!</v>
      </c>
      <c r="BT461" s="60"/>
      <c r="BU461" s="8">
        <v>0</v>
      </c>
      <c r="BV461" s="58" t="e">
        <f>VLOOKUP(AQ461,'[1]Harga &amp; Nama CSO'!$A$28:$D$31,4,0)*BP461</f>
        <v>#N/A</v>
      </c>
    </row>
    <row r="462" spans="41:74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55" t="e">
        <f>IFERROR(VLOOKUP(AQ462,'[1]Harga &amp; Nama CSO'!$H$2:$N$22,2,FALSE),"")*AV462</f>
        <v>#VALUE!</v>
      </c>
      <c r="BO462" s="40"/>
      <c r="BP462" s="39"/>
      <c r="BQ462" s="59"/>
      <c r="BR462" s="39"/>
      <c r="BS462" s="57" t="e">
        <f t="shared" si="28"/>
        <v>#VALUE!</v>
      </c>
      <c r="BT462" s="60"/>
      <c r="BU462" s="8">
        <v>0</v>
      </c>
      <c r="BV462" s="58" t="e">
        <f>VLOOKUP(AQ462,'[1]Harga &amp; Nama CSO'!$A$28:$D$31,4,0)*BP462</f>
        <v>#N/A</v>
      </c>
    </row>
    <row r="463" spans="41:74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55" t="e">
        <f>IFERROR(VLOOKUP(AQ463,'[1]Harga &amp; Nama CSO'!$H$2:$N$22,2,FALSE),"")*AV463</f>
        <v>#VALUE!</v>
      </c>
      <c r="BO463" s="40"/>
      <c r="BP463" s="39"/>
      <c r="BQ463" s="59"/>
      <c r="BR463" s="39"/>
      <c r="BS463" s="57" t="e">
        <f t="shared" si="28"/>
        <v>#VALUE!</v>
      </c>
      <c r="BT463" s="60"/>
      <c r="BU463" s="8">
        <v>0</v>
      </c>
      <c r="BV463" s="58" t="e">
        <f>VLOOKUP(AQ463,'[1]Harga &amp; Nama CSO'!$A$28:$D$31,4,0)*BP463</f>
        <v>#N/A</v>
      </c>
    </row>
    <row r="464" spans="41:74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55" t="e">
        <f>IFERROR(VLOOKUP(AQ464,'[1]Harga &amp; Nama CSO'!$H$2:$N$22,2,FALSE),"")*AV464</f>
        <v>#VALUE!</v>
      </c>
      <c r="BO464" s="40"/>
      <c r="BP464" s="39"/>
      <c r="BQ464" s="59"/>
      <c r="BR464" s="39"/>
      <c r="BS464" s="57" t="e">
        <f t="shared" si="28"/>
        <v>#VALUE!</v>
      </c>
      <c r="BT464" s="60"/>
      <c r="BU464" s="8">
        <v>0</v>
      </c>
      <c r="BV464" s="58" t="e">
        <f>VLOOKUP(AQ464,'[1]Harga &amp; Nama CSO'!$A$28:$D$31,4,0)*BP464</f>
        <v>#N/A</v>
      </c>
    </row>
    <row r="465" spans="41:74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55" t="e">
        <f>IFERROR(VLOOKUP(AQ465,'[1]Harga &amp; Nama CSO'!$H$2:$N$22,2,FALSE),"")*AV465</f>
        <v>#VALUE!</v>
      </c>
      <c r="BO465" s="40"/>
      <c r="BP465" s="39"/>
      <c r="BQ465" s="59"/>
      <c r="BR465" s="39"/>
      <c r="BS465" s="57" t="e">
        <f t="shared" si="28"/>
        <v>#VALUE!</v>
      </c>
      <c r="BT465" s="60"/>
      <c r="BU465" s="8">
        <v>0</v>
      </c>
      <c r="BV465" s="58" t="e">
        <f>VLOOKUP(AQ465,'[1]Harga &amp; Nama CSO'!$A$28:$D$31,4,0)*BP465</f>
        <v>#N/A</v>
      </c>
    </row>
    <row r="466" spans="41:74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55" t="e">
        <f>IFERROR(VLOOKUP(AQ466,'[1]Harga &amp; Nama CSO'!$H$2:$N$22,2,FALSE),"")*AV466</f>
        <v>#VALUE!</v>
      </c>
      <c r="BO466" s="40"/>
      <c r="BP466" s="39"/>
      <c r="BQ466" s="59"/>
      <c r="BR466" s="39"/>
      <c r="BS466" s="57" t="e">
        <f t="shared" si="28"/>
        <v>#VALUE!</v>
      </c>
      <c r="BT466" s="60"/>
      <c r="BU466" s="8">
        <v>0</v>
      </c>
      <c r="BV466" s="58" t="e">
        <f>VLOOKUP(AQ466,'[1]Harga &amp; Nama CSO'!$A$28:$D$31,4,0)*BP466</f>
        <v>#N/A</v>
      </c>
    </row>
    <row r="467" spans="41:74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55" t="e">
        <f>IFERROR(VLOOKUP(AQ467,'[1]Harga &amp; Nama CSO'!$H$2:$N$22,2,FALSE),"")*AV467</f>
        <v>#VALUE!</v>
      </c>
      <c r="BO467" s="40"/>
      <c r="BP467" s="39"/>
      <c r="BQ467" s="59"/>
      <c r="BR467" s="39"/>
      <c r="BS467" s="57" t="e">
        <f t="shared" si="28"/>
        <v>#VALUE!</v>
      </c>
      <c r="BT467" s="60"/>
      <c r="BU467" s="8">
        <v>0</v>
      </c>
      <c r="BV467" s="58" t="e">
        <f>VLOOKUP(AQ467,'[1]Harga &amp; Nama CSO'!$A$28:$D$31,4,0)*BP467</f>
        <v>#N/A</v>
      </c>
    </row>
    <row r="468" spans="41:74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55" t="e">
        <f>IFERROR(VLOOKUP(AQ468,'[1]Harga &amp; Nama CSO'!$H$2:$N$22,2,FALSE),"")*AV468</f>
        <v>#VALUE!</v>
      </c>
      <c r="BO468" s="40"/>
      <c r="BP468" s="39"/>
      <c r="BQ468" s="59"/>
      <c r="BR468" s="39"/>
      <c r="BS468" s="57" t="e">
        <f t="shared" si="28"/>
        <v>#VALUE!</v>
      </c>
      <c r="BT468" s="60"/>
      <c r="BU468" s="8">
        <v>0</v>
      </c>
      <c r="BV468" s="58" t="e">
        <f>VLOOKUP(AQ468,'[1]Harga &amp; Nama CSO'!$A$28:$D$31,4,0)*BP468</f>
        <v>#N/A</v>
      </c>
    </row>
    <row r="469" spans="41:74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55" t="e">
        <f>IFERROR(VLOOKUP(AQ469,'[1]Harga &amp; Nama CSO'!$H$2:$N$22,2,FALSE),"")*AV469</f>
        <v>#VALUE!</v>
      </c>
      <c r="BO469" s="40"/>
      <c r="BP469" s="39"/>
      <c r="BQ469" s="59"/>
      <c r="BR469" s="39"/>
      <c r="BS469" s="57" t="e">
        <f t="shared" si="28"/>
        <v>#VALUE!</v>
      </c>
      <c r="BT469" s="60"/>
      <c r="BU469" s="8">
        <v>0</v>
      </c>
      <c r="BV469" s="58" t="e">
        <f>VLOOKUP(AQ469,'[1]Harga &amp; Nama CSO'!$A$28:$D$31,4,0)*BP469</f>
        <v>#N/A</v>
      </c>
    </row>
    <row r="470" spans="41:74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55" t="e">
        <f>IFERROR(VLOOKUP(AQ470,'[1]Harga &amp; Nama CSO'!$H$2:$N$22,2,FALSE),"")*AV470</f>
        <v>#VALUE!</v>
      </c>
      <c r="BO470" s="40"/>
      <c r="BP470" s="39"/>
      <c r="BQ470" s="59"/>
      <c r="BR470" s="39"/>
      <c r="BS470" s="57" t="e">
        <f t="shared" si="28"/>
        <v>#VALUE!</v>
      </c>
      <c r="BT470" s="60"/>
      <c r="BU470" s="8">
        <v>0</v>
      </c>
      <c r="BV470" s="58" t="e">
        <f>VLOOKUP(AQ470,'[1]Harga &amp; Nama CSO'!$A$28:$D$31,4,0)*BP470</f>
        <v>#N/A</v>
      </c>
    </row>
    <row r="471" spans="41:74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55" t="e">
        <f>IFERROR(VLOOKUP(AQ471,'[1]Harga &amp; Nama CSO'!$H$2:$N$22,2,FALSE),"")*AV471</f>
        <v>#VALUE!</v>
      </c>
      <c r="BO471" s="40"/>
      <c r="BP471" s="39"/>
      <c r="BQ471" s="59"/>
      <c r="BR471" s="39"/>
      <c r="BS471" s="57" t="e">
        <f t="shared" si="28"/>
        <v>#VALUE!</v>
      </c>
      <c r="BT471" s="60"/>
      <c r="BU471" s="8">
        <v>0</v>
      </c>
      <c r="BV471" s="58" t="e">
        <f>VLOOKUP(AQ471,'[1]Harga &amp; Nama CSO'!$A$28:$D$31,4,0)*BP471</f>
        <v>#N/A</v>
      </c>
    </row>
    <row r="472" spans="41:74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55" t="e">
        <f>IFERROR(VLOOKUP(AQ472,'[1]Harga &amp; Nama CSO'!$H$2:$N$22,2,FALSE),"")*AV472</f>
        <v>#VALUE!</v>
      </c>
      <c r="BO472" s="40"/>
      <c r="BP472" s="39"/>
      <c r="BQ472" s="59"/>
      <c r="BR472" s="39"/>
      <c r="BS472" s="57" t="e">
        <f t="shared" si="28"/>
        <v>#VALUE!</v>
      </c>
      <c r="BT472" s="60"/>
      <c r="BU472" s="8">
        <v>0</v>
      </c>
      <c r="BV472" s="58" t="e">
        <f>VLOOKUP(AQ472,'[1]Harga &amp; Nama CSO'!$A$28:$D$31,4,0)*BP472</f>
        <v>#N/A</v>
      </c>
    </row>
    <row r="473" spans="41:74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55" t="e">
        <f>IFERROR(VLOOKUP(AQ473,'[1]Harga &amp; Nama CSO'!$H$2:$N$22,2,FALSE),"")*AV473</f>
        <v>#VALUE!</v>
      </c>
      <c r="BO473" s="40"/>
      <c r="BP473" s="39"/>
      <c r="BQ473" s="59"/>
      <c r="BR473" s="39"/>
      <c r="BS473" s="57" t="e">
        <f t="shared" si="28"/>
        <v>#VALUE!</v>
      </c>
      <c r="BT473" s="60"/>
      <c r="BU473" s="8">
        <v>0</v>
      </c>
      <c r="BV473" s="58" t="e">
        <f>VLOOKUP(AQ473,'[1]Harga &amp; Nama CSO'!$A$28:$D$31,4,0)*BP473</f>
        <v>#N/A</v>
      </c>
    </row>
    <row r="474" spans="41:74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55" t="e">
        <f>IFERROR(VLOOKUP(AQ474,'[1]Harga &amp; Nama CSO'!$H$2:$N$22,2,FALSE),"")*AV474</f>
        <v>#VALUE!</v>
      </c>
      <c r="BO474" s="40"/>
      <c r="BP474" s="39"/>
      <c r="BQ474" s="59"/>
      <c r="BR474" s="39"/>
      <c r="BS474" s="57" t="e">
        <f t="shared" si="28"/>
        <v>#VALUE!</v>
      </c>
      <c r="BT474" s="60"/>
      <c r="BU474" s="8">
        <v>0</v>
      </c>
      <c r="BV474" s="58" t="e">
        <f>VLOOKUP(AQ474,'[1]Harga &amp; Nama CSO'!$A$28:$D$31,4,0)*BP474</f>
        <v>#N/A</v>
      </c>
    </row>
    <row r="475" spans="41:74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55" t="e">
        <f>IFERROR(VLOOKUP(AQ475,'[1]Harga &amp; Nama CSO'!$H$2:$N$22,2,FALSE),"")*AV475</f>
        <v>#VALUE!</v>
      </c>
      <c r="BO475" s="40"/>
      <c r="BP475" s="39"/>
      <c r="BQ475" s="59"/>
      <c r="BR475" s="39"/>
      <c r="BS475" s="57" t="e">
        <f t="shared" si="28"/>
        <v>#VALUE!</v>
      </c>
      <c r="BT475" s="60"/>
      <c r="BU475" s="8">
        <v>0</v>
      </c>
      <c r="BV475" s="58" t="e">
        <f>VLOOKUP(AQ475,'[1]Harga &amp; Nama CSO'!$A$28:$D$31,4,0)*BP475</f>
        <v>#N/A</v>
      </c>
    </row>
    <row r="476" spans="41:74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55" t="e">
        <f>IFERROR(VLOOKUP(AQ476,'[1]Harga &amp; Nama CSO'!$H$2:$N$22,2,FALSE),"")*AV476</f>
        <v>#VALUE!</v>
      </c>
      <c r="BO476" s="40"/>
      <c r="BP476" s="39"/>
      <c r="BQ476" s="59"/>
      <c r="BR476" s="39"/>
      <c r="BS476" s="57" t="e">
        <f t="shared" si="28"/>
        <v>#VALUE!</v>
      </c>
      <c r="BT476" s="60"/>
      <c r="BU476" s="8">
        <v>0</v>
      </c>
      <c r="BV476" s="58" t="e">
        <f>VLOOKUP(AQ476,'[1]Harga &amp; Nama CSO'!$A$28:$D$31,4,0)*BP476</f>
        <v>#N/A</v>
      </c>
    </row>
    <row r="477" spans="41:74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55" t="e">
        <f>IFERROR(VLOOKUP(AQ477,'[1]Harga &amp; Nama CSO'!$H$2:$N$22,2,FALSE),"")*AV477</f>
        <v>#VALUE!</v>
      </c>
      <c r="BO477" s="40"/>
      <c r="BP477" s="39"/>
      <c r="BQ477" s="59"/>
      <c r="BR477" s="39"/>
      <c r="BS477" s="57" t="e">
        <f t="shared" si="28"/>
        <v>#VALUE!</v>
      </c>
      <c r="BT477" s="60"/>
      <c r="BU477" s="8">
        <v>0</v>
      </c>
      <c r="BV477" s="58" t="e">
        <f>VLOOKUP(AQ477,'[1]Harga &amp; Nama CSO'!$A$28:$D$31,4,0)*BP477</f>
        <v>#N/A</v>
      </c>
    </row>
    <row r="478" spans="41:74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55" t="e">
        <f>IFERROR(VLOOKUP(AQ478,'[1]Harga &amp; Nama CSO'!$H$2:$N$22,2,FALSE),"")*AV478</f>
        <v>#VALUE!</v>
      </c>
      <c r="BO478" s="40"/>
      <c r="BP478" s="39"/>
      <c r="BQ478" s="59"/>
      <c r="BR478" s="39"/>
      <c r="BS478" s="57" t="e">
        <f t="shared" si="28"/>
        <v>#VALUE!</v>
      </c>
      <c r="BT478" s="60"/>
      <c r="BU478" s="8">
        <v>0</v>
      </c>
      <c r="BV478" s="58" t="e">
        <f>VLOOKUP(AQ478,'[1]Harga &amp; Nama CSO'!$A$28:$D$31,4,0)*BP478</f>
        <v>#N/A</v>
      </c>
    </row>
    <row r="479" spans="41:74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55" t="e">
        <f>IFERROR(VLOOKUP(AQ479,'[1]Harga &amp; Nama CSO'!$H$2:$N$22,2,FALSE),"")*AV479</f>
        <v>#VALUE!</v>
      </c>
      <c r="BO479" s="40"/>
      <c r="BP479" s="39"/>
      <c r="BQ479" s="59"/>
      <c r="BR479" s="39"/>
      <c r="BS479" s="57" t="e">
        <f t="shared" si="28"/>
        <v>#VALUE!</v>
      </c>
      <c r="BT479" s="60"/>
      <c r="BU479" s="8">
        <v>0</v>
      </c>
      <c r="BV479" s="58" t="e">
        <f>VLOOKUP(AQ479,'[1]Harga &amp; Nama CSO'!$A$28:$D$31,4,0)*BP479</f>
        <v>#N/A</v>
      </c>
    </row>
    <row r="480" spans="41:74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55" t="e">
        <f>IFERROR(VLOOKUP(AQ480,'[1]Harga &amp; Nama CSO'!$H$2:$N$22,2,FALSE),"")*AV480</f>
        <v>#VALUE!</v>
      </c>
      <c r="BO480" s="40"/>
      <c r="BP480" s="39"/>
      <c r="BQ480" s="59"/>
      <c r="BR480" s="39"/>
      <c r="BS480" s="57" t="e">
        <f t="shared" si="28"/>
        <v>#VALUE!</v>
      </c>
      <c r="BT480" s="60"/>
      <c r="BU480" s="8">
        <v>0</v>
      </c>
      <c r="BV480" s="58" t="e">
        <f>VLOOKUP(AQ480,'[1]Harga &amp; Nama CSO'!$A$28:$D$31,4,0)*BP480</f>
        <v>#N/A</v>
      </c>
    </row>
    <row r="481" spans="41:74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55" t="e">
        <f>IFERROR(VLOOKUP(AQ481,'[1]Harga &amp; Nama CSO'!$H$2:$N$22,2,FALSE),"")*AV481</f>
        <v>#VALUE!</v>
      </c>
      <c r="BO481" s="40"/>
      <c r="BP481" s="39"/>
      <c r="BQ481" s="59"/>
      <c r="BR481" s="39"/>
      <c r="BS481" s="57" t="e">
        <f t="shared" si="28"/>
        <v>#VALUE!</v>
      </c>
      <c r="BT481" s="60"/>
      <c r="BU481" s="8">
        <v>0</v>
      </c>
      <c r="BV481" s="58" t="e">
        <f>VLOOKUP(AQ481,'[1]Harga &amp; Nama CSO'!$A$28:$D$31,4,0)*BP481</f>
        <v>#N/A</v>
      </c>
    </row>
    <row r="482" spans="41:74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55" t="e">
        <f>IFERROR(VLOOKUP(AQ482,'[1]Harga &amp; Nama CSO'!$H$2:$N$22,2,FALSE),"")*AV482</f>
        <v>#VALUE!</v>
      </c>
      <c r="BO482" s="40"/>
      <c r="BP482" s="39"/>
      <c r="BQ482" s="59"/>
      <c r="BR482" s="39"/>
      <c r="BS482" s="57" t="e">
        <f t="shared" si="28"/>
        <v>#VALUE!</v>
      </c>
      <c r="BT482" s="60"/>
      <c r="BU482" s="8">
        <v>0</v>
      </c>
      <c r="BV482" s="58" t="e">
        <f>VLOOKUP(AQ482,'[1]Harga &amp; Nama CSO'!$A$28:$D$31,4,0)*BP482</f>
        <v>#N/A</v>
      </c>
    </row>
    <row r="483" spans="41:74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55" t="e">
        <f>IFERROR(VLOOKUP(AQ483,'[1]Harga &amp; Nama CSO'!$H$2:$N$22,2,FALSE),"")*AV483</f>
        <v>#VALUE!</v>
      </c>
      <c r="BO483" s="40"/>
      <c r="BP483" s="39"/>
      <c r="BQ483" s="59"/>
      <c r="BR483" s="39"/>
      <c r="BS483" s="57" t="e">
        <f t="shared" si="28"/>
        <v>#VALUE!</v>
      </c>
      <c r="BT483" s="60"/>
      <c r="BU483" s="8">
        <v>0</v>
      </c>
      <c r="BV483" s="58" t="e">
        <f>VLOOKUP(AQ483,'[1]Harga &amp; Nama CSO'!$A$28:$D$31,4,0)*BP483</f>
        <v>#N/A</v>
      </c>
    </row>
    <row r="484" spans="41:74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55" t="e">
        <f>IFERROR(VLOOKUP(AQ484,'[1]Harga &amp; Nama CSO'!$H$2:$N$22,2,FALSE),"")*AV484</f>
        <v>#VALUE!</v>
      </c>
      <c r="BO484" s="40"/>
      <c r="BP484" s="39"/>
      <c r="BQ484" s="59"/>
      <c r="BR484" s="39"/>
      <c r="BS484" s="57" t="e">
        <f t="shared" si="28"/>
        <v>#VALUE!</v>
      </c>
      <c r="BT484" s="60"/>
      <c r="BU484" s="8">
        <v>0</v>
      </c>
      <c r="BV484" s="58" t="e">
        <f>VLOOKUP(AQ484,'[1]Harga &amp; Nama CSO'!$A$28:$D$31,4,0)*BP484</f>
        <v>#N/A</v>
      </c>
    </row>
    <row r="485" spans="41:74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55" t="e">
        <f>IFERROR(VLOOKUP(AQ485,'[1]Harga &amp; Nama CSO'!$H$2:$N$22,2,FALSE),"")*AV485</f>
        <v>#VALUE!</v>
      </c>
      <c r="BO485" s="40"/>
      <c r="BP485" s="39"/>
      <c r="BQ485" s="59"/>
      <c r="BR485" s="39"/>
      <c r="BS485" s="57" t="e">
        <f t="shared" si="28"/>
        <v>#VALUE!</v>
      </c>
      <c r="BT485" s="60"/>
      <c r="BU485" s="8">
        <v>0</v>
      </c>
      <c r="BV485" s="58" t="e">
        <f>VLOOKUP(AQ485,'[1]Harga &amp; Nama CSO'!$A$28:$D$31,4,0)*BP485</f>
        <v>#N/A</v>
      </c>
    </row>
    <row r="486" spans="41:74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55" t="e">
        <f>IFERROR(VLOOKUP(AQ486,'[1]Harga &amp; Nama CSO'!$H$2:$N$22,2,FALSE),"")*AV486</f>
        <v>#VALUE!</v>
      </c>
      <c r="BO486" s="40"/>
      <c r="BP486" s="39"/>
      <c r="BQ486" s="59"/>
      <c r="BR486" s="39"/>
      <c r="BS486" s="57" t="e">
        <f t="shared" si="28"/>
        <v>#VALUE!</v>
      </c>
      <c r="BT486" s="60"/>
      <c r="BU486" s="8">
        <v>0</v>
      </c>
      <c r="BV486" s="58" t="e">
        <f>VLOOKUP(AQ486,'[1]Harga &amp; Nama CSO'!$A$28:$D$31,4,0)*BP486</f>
        <v>#N/A</v>
      </c>
    </row>
    <row r="487" spans="41:74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55" t="e">
        <f>IFERROR(VLOOKUP(AQ487,'[1]Harga &amp; Nama CSO'!$H$2:$N$22,2,FALSE),"")*AV487</f>
        <v>#VALUE!</v>
      </c>
      <c r="BO487" s="40"/>
      <c r="BP487" s="39"/>
      <c r="BQ487" s="59"/>
      <c r="BR487" s="39"/>
      <c r="BS487" s="57" t="e">
        <f t="shared" si="28"/>
        <v>#VALUE!</v>
      </c>
      <c r="BT487" s="60"/>
      <c r="BU487" s="8">
        <v>0</v>
      </c>
      <c r="BV487" s="58" t="e">
        <f>VLOOKUP(AQ487,'[1]Harga &amp; Nama CSO'!$A$28:$D$31,4,0)*BP487</f>
        <v>#N/A</v>
      </c>
    </row>
    <row r="488" spans="41:74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55" t="e">
        <f>IFERROR(VLOOKUP(AQ488,'[1]Harga &amp; Nama CSO'!$H$2:$N$22,2,FALSE),"")*AV488</f>
        <v>#VALUE!</v>
      </c>
      <c r="BO488" s="40"/>
      <c r="BP488" s="39"/>
      <c r="BQ488" s="59"/>
      <c r="BR488" s="39"/>
      <c r="BS488" s="57" t="e">
        <f t="shared" si="28"/>
        <v>#VALUE!</v>
      </c>
      <c r="BT488" s="60"/>
      <c r="BU488" s="8">
        <v>0</v>
      </c>
      <c r="BV488" s="58" t="e">
        <f>VLOOKUP(AQ488,'[1]Harga &amp; Nama CSO'!$A$28:$D$31,4,0)*BP488</f>
        <v>#N/A</v>
      </c>
    </row>
    <row r="489" spans="41:74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55" t="e">
        <f>IFERROR(VLOOKUP(AQ489,'[1]Harga &amp; Nama CSO'!$H$2:$N$22,2,FALSE),"")*AV489</f>
        <v>#VALUE!</v>
      </c>
      <c r="BO489" s="40"/>
      <c r="BP489" s="39"/>
      <c r="BQ489" s="59"/>
      <c r="BR489" s="39"/>
      <c r="BS489" s="57" t="e">
        <f t="shared" si="28"/>
        <v>#VALUE!</v>
      </c>
      <c r="BT489" s="60"/>
      <c r="BU489" s="8">
        <v>0</v>
      </c>
      <c r="BV489" s="58" t="e">
        <f>VLOOKUP(AQ489,'[1]Harga &amp; Nama CSO'!$A$28:$D$31,4,0)*BP489</f>
        <v>#N/A</v>
      </c>
    </row>
    <row r="490" spans="41:74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55" t="e">
        <f>IFERROR(VLOOKUP(AQ490,'[1]Harga &amp; Nama CSO'!$H$2:$N$22,2,FALSE),"")*AV490</f>
        <v>#VALUE!</v>
      </c>
      <c r="BO490" s="40"/>
      <c r="BP490" s="39"/>
      <c r="BQ490" s="59"/>
      <c r="BR490" s="39"/>
      <c r="BS490" s="57" t="e">
        <f t="shared" si="28"/>
        <v>#VALUE!</v>
      </c>
      <c r="BT490" s="60"/>
      <c r="BU490" s="8">
        <v>0</v>
      </c>
      <c r="BV490" s="58" t="e">
        <f>VLOOKUP(AQ490,'[1]Harga &amp; Nama CSO'!$A$28:$D$31,4,0)*BP490</f>
        <v>#N/A</v>
      </c>
    </row>
    <row r="491" spans="41:74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55" t="e">
        <f>IFERROR(VLOOKUP(AQ491,'[1]Harga &amp; Nama CSO'!$H$2:$N$22,2,FALSE),"")*AV491</f>
        <v>#VALUE!</v>
      </c>
      <c r="BO491" s="40"/>
      <c r="BP491" s="39"/>
      <c r="BQ491" s="59"/>
      <c r="BR491" s="39"/>
      <c r="BS491" s="57" t="e">
        <f t="shared" si="28"/>
        <v>#VALUE!</v>
      </c>
      <c r="BT491" s="60"/>
      <c r="BU491" s="8">
        <v>0</v>
      </c>
      <c r="BV491" s="58" t="e">
        <f>VLOOKUP(AQ491,'[1]Harga &amp; Nama CSO'!$A$28:$D$31,4,0)*BP491</f>
        <v>#N/A</v>
      </c>
    </row>
    <row r="492" spans="41:74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55" t="e">
        <f>IFERROR(VLOOKUP(AQ492,'[1]Harga &amp; Nama CSO'!$H$2:$N$22,2,FALSE),"")*AV492</f>
        <v>#VALUE!</v>
      </c>
      <c r="BO492" s="40"/>
      <c r="BP492" s="39"/>
      <c r="BQ492" s="59"/>
      <c r="BR492" s="39"/>
      <c r="BS492" s="57" t="e">
        <f t="shared" si="28"/>
        <v>#VALUE!</v>
      </c>
      <c r="BT492" s="60"/>
      <c r="BU492" s="8">
        <v>0</v>
      </c>
      <c r="BV492" s="58" t="e">
        <f>VLOOKUP(AQ492,'[1]Harga &amp; Nama CSO'!$A$28:$D$31,4,0)*BP492</f>
        <v>#N/A</v>
      </c>
    </row>
    <row r="493" spans="41:74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55" t="e">
        <f>IFERROR(VLOOKUP(AQ493,'[1]Harga &amp; Nama CSO'!$H$2:$N$22,2,FALSE),"")*AV493</f>
        <v>#VALUE!</v>
      </c>
      <c r="BO493" s="40"/>
      <c r="BP493" s="39"/>
      <c r="BQ493" s="59"/>
      <c r="BR493" s="39"/>
      <c r="BS493" s="57" t="e">
        <f t="shared" si="28"/>
        <v>#VALUE!</v>
      </c>
      <c r="BT493" s="60"/>
      <c r="BU493" s="8">
        <v>0</v>
      </c>
      <c r="BV493" s="58" t="e">
        <f>VLOOKUP(AQ493,'[1]Harga &amp; Nama CSO'!$A$28:$D$31,4,0)*BP493</f>
        <v>#N/A</v>
      </c>
    </row>
    <row r="494" spans="41:74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55" t="e">
        <f>IFERROR(VLOOKUP(AQ494,'[1]Harga &amp; Nama CSO'!$H$2:$N$22,2,FALSE),"")*AV494</f>
        <v>#VALUE!</v>
      </c>
      <c r="BO494" s="40"/>
      <c r="BP494" s="39"/>
      <c r="BQ494" s="59"/>
      <c r="BR494" s="39"/>
      <c r="BS494" s="57" t="e">
        <f t="shared" si="28"/>
        <v>#VALUE!</v>
      </c>
      <c r="BT494" s="60"/>
      <c r="BU494" s="8">
        <v>0</v>
      </c>
      <c r="BV494" s="58" t="e">
        <f>VLOOKUP(AQ494,'[1]Harga &amp; Nama CSO'!$A$28:$D$31,4,0)*BP494</f>
        <v>#N/A</v>
      </c>
    </row>
    <row r="495" spans="41:74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55" t="e">
        <f>IFERROR(VLOOKUP(AQ495,'[1]Harga &amp; Nama CSO'!$H$2:$N$22,2,FALSE),"")*AV495</f>
        <v>#VALUE!</v>
      </c>
      <c r="BO495" s="40"/>
      <c r="BP495" s="39"/>
      <c r="BQ495" s="59"/>
      <c r="BR495" s="39"/>
      <c r="BS495" s="57" t="e">
        <f t="shared" si="28"/>
        <v>#VALUE!</v>
      </c>
      <c r="BT495" s="60"/>
      <c r="BU495" s="8">
        <v>0</v>
      </c>
      <c r="BV495" s="58" t="e">
        <f>VLOOKUP(AQ495,'[1]Harga &amp; Nama CSO'!$A$28:$D$31,4,0)*BP495</f>
        <v>#N/A</v>
      </c>
    </row>
    <row r="496" spans="41:74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55" t="e">
        <f>IFERROR(VLOOKUP(AQ496,'[1]Harga &amp; Nama CSO'!$H$2:$N$22,2,FALSE),"")*AV496</f>
        <v>#VALUE!</v>
      </c>
      <c r="BO496" s="40"/>
      <c r="BP496" s="39"/>
      <c r="BQ496" s="59"/>
      <c r="BR496" s="39"/>
      <c r="BS496" s="57" t="e">
        <f t="shared" si="28"/>
        <v>#VALUE!</v>
      </c>
      <c r="BT496" s="60"/>
      <c r="BU496" s="8">
        <v>0</v>
      </c>
      <c r="BV496" s="58" t="e">
        <f>VLOOKUP(AQ496,'[1]Harga &amp; Nama CSO'!$A$28:$D$31,4,0)*BP496</f>
        <v>#N/A</v>
      </c>
    </row>
    <row r="497" spans="41:74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55" t="e">
        <f>IFERROR(VLOOKUP(AQ497,'[1]Harga &amp; Nama CSO'!$H$2:$N$22,2,FALSE),"")*AV497</f>
        <v>#VALUE!</v>
      </c>
      <c r="BO497" s="40"/>
      <c r="BP497" s="39"/>
      <c r="BQ497" s="59"/>
      <c r="BR497" s="39"/>
      <c r="BS497" s="57" t="e">
        <f t="shared" si="28"/>
        <v>#VALUE!</v>
      </c>
      <c r="BT497" s="60"/>
      <c r="BU497" s="8">
        <v>0</v>
      </c>
      <c r="BV497" s="58" t="e">
        <f>VLOOKUP(AQ497,'[1]Harga &amp; Nama CSO'!$A$28:$D$31,4,0)*BP497</f>
        <v>#N/A</v>
      </c>
    </row>
    <row r="498" spans="41:74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55" t="e">
        <f>IFERROR(VLOOKUP(AQ498,'[1]Harga &amp; Nama CSO'!$H$2:$N$22,2,FALSE),"")*AV498</f>
        <v>#VALUE!</v>
      </c>
      <c r="BO498" s="40"/>
      <c r="BP498" s="39"/>
      <c r="BQ498" s="59"/>
      <c r="BR498" s="39"/>
      <c r="BS498" s="57" t="e">
        <f t="shared" si="28"/>
        <v>#VALUE!</v>
      </c>
      <c r="BT498" s="60"/>
      <c r="BU498" s="8">
        <v>0</v>
      </c>
      <c r="BV498" s="58" t="e">
        <f>VLOOKUP(AQ498,'[1]Harga &amp; Nama CSO'!$A$28:$D$31,4,0)*BP498</f>
        <v>#N/A</v>
      </c>
    </row>
    <row r="499" spans="41:74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55" t="e">
        <f>IFERROR(VLOOKUP(AQ499,'[1]Harga &amp; Nama CSO'!$H$2:$N$22,2,FALSE),"")*AV499</f>
        <v>#VALUE!</v>
      </c>
      <c r="BO499" s="40"/>
      <c r="BP499" s="39"/>
      <c r="BQ499" s="59"/>
      <c r="BR499" s="39"/>
      <c r="BS499" s="57" t="e">
        <f t="shared" si="28"/>
        <v>#VALUE!</v>
      </c>
      <c r="BT499" s="60"/>
      <c r="BU499" s="8">
        <v>0</v>
      </c>
      <c r="BV499" s="58" t="e">
        <f>VLOOKUP(AQ499,'[1]Harga &amp; Nama CSO'!$A$28:$D$31,4,0)*BP499</f>
        <v>#N/A</v>
      </c>
    </row>
    <row r="500" spans="41:74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55" t="e">
        <f>IFERROR(VLOOKUP(AQ500,'[1]Harga &amp; Nama CSO'!$H$2:$N$22,2,FALSE),"")*AV500</f>
        <v>#VALUE!</v>
      </c>
      <c r="BO500" s="40"/>
      <c r="BP500" s="39"/>
      <c r="BQ500" s="59"/>
      <c r="BR500" s="39"/>
      <c r="BS500" s="57" t="e">
        <f t="shared" si="28"/>
        <v>#VALUE!</v>
      </c>
      <c r="BT500" s="60"/>
      <c r="BU500" s="8">
        <v>0</v>
      </c>
      <c r="BV500" s="58" t="e">
        <f>VLOOKUP(AQ500,'[1]Harga &amp; Nama CSO'!$A$28:$D$31,4,0)*BP500</f>
        <v>#N/A</v>
      </c>
    </row>
    <row r="501" spans="41:74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55" t="e">
        <f>IFERROR(VLOOKUP(AQ501,'[1]Harga &amp; Nama CSO'!$H$2:$N$22,2,FALSE),"")*AV501</f>
        <v>#VALUE!</v>
      </c>
      <c r="BO501" s="40"/>
      <c r="BP501" s="39"/>
      <c r="BQ501" s="59"/>
      <c r="BR501" s="39"/>
      <c r="BS501" s="57" t="e">
        <f t="shared" si="28"/>
        <v>#VALUE!</v>
      </c>
      <c r="BT501" s="60"/>
      <c r="BU501" s="8">
        <v>0</v>
      </c>
      <c r="BV501" s="58" t="e">
        <f>VLOOKUP(AQ501,'[1]Harga &amp; Nama CSO'!$A$28:$D$31,4,0)*BP501</f>
        <v>#N/A</v>
      </c>
    </row>
    <row r="502" spans="41:74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55" t="e">
        <f>IFERROR(VLOOKUP(AQ502,'[1]Harga &amp; Nama CSO'!$H$2:$N$22,2,FALSE),"")*AV502</f>
        <v>#VALUE!</v>
      </c>
      <c r="BO502" s="40"/>
      <c r="BP502" s="39"/>
      <c r="BQ502" s="59"/>
      <c r="BR502" s="39"/>
      <c r="BS502" s="57" t="e">
        <f t="shared" si="28"/>
        <v>#VALUE!</v>
      </c>
      <c r="BT502" s="60"/>
      <c r="BU502" s="8">
        <v>0</v>
      </c>
      <c r="BV502" s="58" t="e">
        <f>VLOOKUP(AQ502,'[1]Harga &amp; Nama CSO'!$A$28:$D$31,4,0)*BP502</f>
        <v>#N/A</v>
      </c>
    </row>
    <row r="503" spans="41:74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55" t="e">
        <f>IFERROR(VLOOKUP(AQ503,'[1]Harga &amp; Nama CSO'!$H$2:$N$22,2,FALSE),"")*AV503</f>
        <v>#VALUE!</v>
      </c>
      <c r="BO503" s="40"/>
      <c r="BP503" s="39"/>
      <c r="BQ503" s="59"/>
      <c r="BR503" s="39"/>
      <c r="BS503" s="57" t="e">
        <f t="shared" si="28"/>
        <v>#VALUE!</v>
      </c>
      <c r="BT503" s="60"/>
      <c r="BU503" s="8">
        <v>0</v>
      </c>
      <c r="BV503" s="58" t="e">
        <f>VLOOKUP(AQ503,'[1]Harga &amp; Nama CSO'!$A$28:$D$31,4,0)*BP503</f>
        <v>#N/A</v>
      </c>
    </row>
    <row r="504" spans="41:74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55" t="e">
        <f>IFERROR(VLOOKUP(AQ504,'[1]Harga &amp; Nama CSO'!$H$2:$N$22,2,FALSE),"")*AV504</f>
        <v>#VALUE!</v>
      </c>
      <c r="BO504" s="40"/>
      <c r="BP504" s="39"/>
      <c r="BQ504" s="59"/>
      <c r="BR504" s="39"/>
      <c r="BS504" s="57" t="e">
        <f t="shared" si="28"/>
        <v>#VALUE!</v>
      </c>
      <c r="BT504" s="60"/>
      <c r="BU504" s="8">
        <v>0</v>
      </c>
      <c r="BV504" s="58" t="e">
        <f>VLOOKUP(AQ504,'[1]Harga &amp; Nama CSO'!$A$28:$D$31,4,0)*BP504</f>
        <v>#N/A</v>
      </c>
    </row>
    <row r="505" spans="41:74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55" t="e">
        <f>IFERROR(VLOOKUP(AQ505,'[1]Harga &amp; Nama CSO'!$H$2:$N$22,2,FALSE),"")*AV505</f>
        <v>#VALUE!</v>
      </c>
      <c r="BO505" s="40"/>
      <c r="BP505" s="39"/>
      <c r="BQ505" s="59"/>
      <c r="BR505" s="39"/>
      <c r="BS505" s="57" t="e">
        <f t="shared" si="28"/>
        <v>#VALUE!</v>
      </c>
      <c r="BT505" s="60"/>
      <c r="BU505" s="8">
        <v>0</v>
      </c>
      <c r="BV505" s="58" t="e">
        <f>VLOOKUP(AQ505,'[1]Harga &amp; Nama CSO'!$A$28:$D$31,4,0)*BP505</f>
        <v>#N/A</v>
      </c>
    </row>
    <row r="506" spans="41:74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55" t="e">
        <f>IFERROR(VLOOKUP(AQ506,'[1]Harga &amp; Nama CSO'!$H$2:$N$22,2,FALSE),"")*AV506</f>
        <v>#VALUE!</v>
      </c>
      <c r="BO506" s="40"/>
      <c r="BP506" s="39"/>
      <c r="BQ506" s="59"/>
      <c r="BR506" s="39"/>
      <c r="BS506" s="57" t="e">
        <f t="shared" si="28"/>
        <v>#VALUE!</v>
      </c>
      <c r="BT506" s="60"/>
      <c r="BU506" s="8">
        <v>0</v>
      </c>
      <c r="BV506" s="58" t="e">
        <f>VLOOKUP(AQ506,'[1]Harga &amp; Nama CSO'!$A$28:$D$31,4,0)*BP506</f>
        <v>#N/A</v>
      </c>
    </row>
    <row r="507" spans="41:74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55" t="e">
        <f>IFERROR(VLOOKUP(AQ507,'[1]Harga &amp; Nama CSO'!$H$2:$N$22,2,FALSE),"")*AV507</f>
        <v>#VALUE!</v>
      </c>
      <c r="BO507" s="40"/>
      <c r="BP507" s="39"/>
      <c r="BQ507" s="59"/>
      <c r="BR507" s="39"/>
      <c r="BS507" s="57" t="e">
        <f t="shared" si="28"/>
        <v>#VALUE!</v>
      </c>
      <c r="BT507" s="60"/>
      <c r="BU507" s="8">
        <v>0</v>
      </c>
      <c r="BV507" s="58" t="e">
        <f>VLOOKUP(AQ507,'[1]Harga &amp; Nama CSO'!$A$28:$D$31,4,0)*BP507</f>
        <v>#N/A</v>
      </c>
    </row>
    <row r="508" spans="41:74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55" t="e">
        <f>IFERROR(VLOOKUP(AQ508,'[1]Harga &amp; Nama CSO'!$H$2:$N$22,2,FALSE),"")*AV508</f>
        <v>#VALUE!</v>
      </c>
      <c r="BO508" s="40"/>
      <c r="BP508" s="39"/>
      <c r="BQ508" s="59"/>
      <c r="BR508" s="39"/>
      <c r="BS508" s="57" t="e">
        <f t="shared" si="28"/>
        <v>#VALUE!</v>
      </c>
      <c r="BT508" s="60"/>
      <c r="BU508" s="8">
        <v>0</v>
      </c>
      <c r="BV508" s="58" t="e">
        <f>VLOOKUP(AQ508,'[1]Harga &amp; Nama CSO'!$A$28:$D$31,4,0)*BP508</f>
        <v>#N/A</v>
      </c>
    </row>
    <row r="509" spans="41:74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55" t="e">
        <f>IFERROR(VLOOKUP(AQ509,'[1]Harga &amp; Nama CSO'!$H$2:$N$22,2,FALSE),"")*AV509</f>
        <v>#VALUE!</v>
      </c>
      <c r="BO509" s="40"/>
      <c r="BP509" s="39"/>
      <c r="BQ509" s="59"/>
      <c r="BR509" s="39"/>
      <c r="BS509" s="57" t="e">
        <f t="shared" si="28"/>
        <v>#VALUE!</v>
      </c>
      <c r="BT509" s="60"/>
      <c r="BU509" s="8">
        <v>0</v>
      </c>
      <c r="BV509" s="58" t="e">
        <f>VLOOKUP(AQ509,'[1]Harga &amp; Nama CSO'!$A$28:$D$31,4,0)*BP509</f>
        <v>#N/A</v>
      </c>
    </row>
    <row r="510" spans="41:74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55" t="e">
        <f>IFERROR(VLOOKUP(AQ510,'[1]Harga &amp; Nama CSO'!$H$2:$N$22,2,FALSE),"")*AV510</f>
        <v>#VALUE!</v>
      </c>
      <c r="BO510" s="40"/>
      <c r="BP510" s="39"/>
      <c r="BQ510" s="59"/>
      <c r="BR510" s="39"/>
      <c r="BS510" s="57" t="e">
        <f t="shared" si="28"/>
        <v>#VALUE!</v>
      </c>
      <c r="BT510" s="60"/>
      <c r="BU510" s="8">
        <v>0</v>
      </c>
      <c r="BV510" s="58" t="e">
        <f>VLOOKUP(AQ510,'[1]Harga &amp; Nama CSO'!$A$28:$D$31,4,0)*BP510</f>
        <v>#N/A</v>
      </c>
    </row>
    <row r="511" spans="41:74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55" t="e">
        <f>IFERROR(VLOOKUP(AQ511,'[1]Harga &amp; Nama CSO'!$H$2:$N$22,2,FALSE),"")*AV511</f>
        <v>#VALUE!</v>
      </c>
      <c r="BO511" s="40"/>
      <c r="BP511" s="39"/>
      <c r="BQ511" s="59"/>
      <c r="BR511" s="39"/>
      <c r="BS511" s="57" t="e">
        <f t="shared" si="28"/>
        <v>#VALUE!</v>
      </c>
      <c r="BT511" s="60"/>
      <c r="BU511" s="8">
        <v>0</v>
      </c>
      <c r="BV511" s="58" t="e">
        <f>VLOOKUP(AQ511,'[1]Harga &amp; Nama CSO'!$A$28:$D$31,4,0)*BP511</f>
        <v>#N/A</v>
      </c>
    </row>
    <row r="512" spans="41:74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55" t="e">
        <f>IFERROR(VLOOKUP(AQ512,'[1]Harga &amp; Nama CSO'!$H$2:$N$22,2,FALSE),"")*AV512</f>
        <v>#VALUE!</v>
      </c>
      <c r="BO512" s="40"/>
      <c r="BP512" s="39"/>
      <c r="BQ512" s="59"/>
      <c r="BR512" s="39"/>
      <c r="BS512" s="57" t="e">
        <f t="shared" si="28"/>
        <v>#VALUE!</v>
      </c>
      <c r="BT512" s="60"/>
      <c r="BU512" s="8">
        <v>0</v>
      </c>
      <c r="BV512" s="58" t="e">
        <f>VLOOKUP(AQ512,'[1]Harga &amp; Nama CSO'!$A$28:$D$31,4,0)*BP512</f>
        <v>#N/A</v>
      </c>
    </row>
    <row r="513" spans="41:74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55" t="e">
        <f>IFERROR(VLOOKUP(AQ513,'[1]Harga &amp; Nama CSO'!$H$2:$N$22,2,FALSE),"")*AV513</f>
        <v>#VALUE!</v>
      </c>
      <c r="BO513" s="40"/>
      <c r="BP513" s="39"/>
      <c r="BQ513" s="59"/>
      <c r="BR513" s="39"/>
      <c r="BS513" s="57" t="e">
        <f t="shared" si="28"/>
        <v>#VALUE!</v>
      </c>
      <c r="BT513" s="60"/>
      <c r="BU513" s="8">
        <v>0</v>
      </c>
      <c r="BV513" s="58" t="e">
        <f>VLOOKUP(AQ513,'[1]Harga &amp; Nama CSO'!$A$28:$D$31,4,0)*BP513</f>
        <v>#N/A</v>
      </c>
    </row>
    <row r="514" spans="41:74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55" t="e">
        <f>IFERROR(VLOOKUP(AQ514,'[1]Harga &amp; Nama CSO'!$H$2:$N$22,2,FALSE),"")*AV514</f>
        <v>#VALUE!</v>
      </c>
      <c r="BO514" s="40"/>
      <c r="BP514" s="39"/>
      <c r="BQ514" s="59"/>
      <c r="BR514" s="39"/>
      <c r="BS514" s="57" t="e">
        <f t="shared" si="28"/>
        <v>#VALUE!</v>
      </c>
      <c r="BT514" s="60"/>
      <c r="BU514" s="8">
        <v>0</v>
      </c>
      <c r="BV514" s="58" t="e">
        <f>VLOOKUP(AQ514,'[1]Harga &amp; Nama CSO'!$A$28:$D$31,4,0)*BP514</f>
        <v>#N/A</v>
      </c>
    </row>
    <row r="515" spans="41:74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55" t="e">
        <f>IFERROR(VLOOKUP(AQ515,'[1]Harga &amp; Nama CSO'!$H$2:$N$22,2,FALSE),"")*AV515</f>
        <v>#VALUE!</v>
      </c>
      <c r="BO515" s="40"/>
      <c r="BP515" s="39"/>
      <c r="BQ515" s="59"/>
      <c r="BR515" s="39"/>
      <c r="BS515" s="57" t="e">
        <f t="shared" ref="BS515:BS578" si="29">BN515-BQ515</f>
        <v>#VALUE!</v>
      </c>
      <c r="BT515" s="60"/>
      <c r="BU515" s="8">
        <v>0</v>
      </c>
      <c r="BV515" s="58" t="e">
        <f>VLOOKUP(AQ515,'[1]Harga &amp; Nama CSO'!$A$28:$D$31,4,0)*BP515</f>
        <v>#N/A</v>
      </c>
    </row>
    <row r="516" spans="41:74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55" t="e">
        <f>IFERROR(VLOOKUP(AQ516,'[1]Harga &amp; Nama CSO'!$H$2:$N$22,2,FALSE),"")*AV516</f>
        <v>#VALUE!</v>
      </c>
      <c r="BO516" s="40"/>
      <c r="BP516" s="39"/>
      <c r="BQ516" s="59"/>
      <c r="BR516" s="39"/>
      <c r="BS516" s="57" t="e">
        <f t="shared" si="29"/>
        <v>#VALUE!</v>
      </c>
      <c r="BT516" s="60"/>
      <c r="BU516" s="8">
        <v>0</v>
      </c>
      <c r="BV516" s="58" t="e">
        <f>VLOOKUP(AQ516,'[1]Harga &amp; Nama CSO'!$A$28:$D$31,4,0)*BP516</f>
        <v>#N/A</v>
      </c>
    </row>
    <row r="517" spans="41:74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55" t="e">
        <f>IFERROR(VLOOKUP(AQ517,'[1]Harga &amp; Nama CSO'!$H$2:$N$22,2,FALSE),"")*AV517</f>
        <v>#VALUE!</v>
      </c>
      <c r="BO517" s="40"/>
      <c r="BP517" s="39"/>
      <c r="BQ517" s="59"/>
      <c r="BR517" s="39"/>
      <c r="BS517" s="57" t="e">
        <f t="shared" si="29"/>
        <v>#VALUE!</v>
      </c>
      <c r="BT517" s="60"/>
      <c r="BU517" s="8">
        <v>0</v>
      </c>
      <c r="BV517" s="58" t="e">
        <f>VLOOKUP(AQ517,'[1]Harga &amp; Nama CSO'!$A$28:$D$31,4,0)*BP517</f>
        <v>#N/A</v>
      </c>
    </row>
    <row r="518" spans="41:74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55" t="e">
        <f>IFERROR(VLOOKUP(AQ518,'[1]Harga &amp; Nama CSO'!$H$2:$N$22,2,FALSE),"")*AV518</f>
        <v>#VALUE!</v>
      </c>
      <c r="BO518" s="40"/>
      <c r="BP518" s="39"/>
      <c r="BQ518" s="59"/>
      <c r="BR518" s="39"/>
      <c r="BS518" s="57" t="e">
        <f t="shared" si="29"/>
        <v>#VALUE!</v>
      </c>
      <c r="BT518" s="60"/>
      <c r="BU518" s="8">
        <v>0</v>
      </c>
      <c r="BV518" s="58" t="e">
        <f>VLOOKUP(AQ518,'[1]Harga &amp; Nama CSO'!$A$28:$D$31,4,0)*BP518</f>
        <v>#N/A</v>
      </c>
    </row>
    <row r="519" spans="41:74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55" t="e">
        <f>IFERROR(VLOOKUP(AQ519,'[1]Harga &amp; Nama CSO'!$H$2:$N$22,2,FALSE),"")*AV519</f>
        <v>#VALUE!</v>
      </c>
      <c r="BO519" s="40"/>
      <c r="BP519" s="39"/>
      <c r="BQ519" s="59"/>
      <c r="BR519" s="39"/>
      <c r="BS519" s="57" t="e">
        <f t="shared" si="29"/>
        <v>#VALUE!</v>
      </c>
      <c r="BT519" s="60"/>
      <c r="BU519" s="8">
        <v>0</v>
      </c>
      <c r="BV519" s="58" t="e">
        <f>VLOOKUP(AQ519,'[1]Harga &amp; Nama CSO'!$A$28:$D$31,4,0)*BP519</f>
        <v>#N/A</v>
      </c>
    </row>
    <row r="520" spans="41:74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55" t="e">
        <f>IFERROR(VLOOKUP(AQ520,'[1]Harga &amp; Nama CSO'!$H$2:$N$22,2,FALSE),"")*AV520</f>
        <v>#VALUE!</v>
      </c>
      <c r="BO520" s="40"/>
      <c r="BP520" s="39"/>
      <c r="BQ520" s="59"/>
      <c r="BR520" s="39"/>
      <c r="BS520" s="57" t="e">
        <f t="shared" si="29"/>
        <v>#VALUE!</v>
      </c>
      <c r="BT520" s="60"/>
      <c r="BU520" s="8">
        <v>0</v>
      </c>
      <c r="BV520" s="58" t="e">
        <f>VLOOKUP(AQ520,'[1]Harga &amp; Nama CSO'!$A$28:$D$31,4,0)*BP520</f>
        <v>#N/A</v>
      </c>
    </row>
    <row r="521" spans="41:74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55" t="e">
        <f>IFERROR(VLOOKUP(AQ521,'[1]Harga &amp; Nama CSO'!$H$2:$N$22,2,FALSE),"")*AV521</f>
        <v>#VALUE!</v>
      </c>
      <c r="BO521" s="40"/>
      <c r="BP521" s="39"/>
      <c r="BQ521" s="59"/>
      <c r="BR521" s="39"/>
      <c r="BS521" s="57" t="e">
        <f t="shared" si="29"/>
        <v>#VALUE!</v>
      </c>
      <c r="BT521" s="60"/>
      <c r="BU521" s="8">
        <v>0</v>
      </c>
      <c r="BV521" s="58" t="e">
        <f>VLOOKUP(AQ521,'[1]Harga &amp; Nama CSO'!$A$28:$D$31,4,0)*BP521</f>
        <v>#N/A</v>
      </c>
    </row>
    <row r="522" spans="41:74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55" t="e">
        <f>IFERROR(VLOOKUP(AQ522,'[1]Harga &amp; Nama CSO'!$H$2:$N$22,2,FALSE),"")*AV522</f>
        <v>#VALUE!</v>
      </c>
      <c r="BO522" s="40"/>
      <c r="BP522" s="39"/>
      <c r="BQ522" s="59"/>
      <c r="BR522" s="39"/>
      <c r="BS522" s="57" t="e">
        <f t="shared" si="29"/>
        <v>#VALUE!</v>
      </c>
      <c r="BT522" s="60"/>
      <c r="BU522" s="8">
        <v>0</v>
      </c>
      <c r="BV522" s="58" t="e">
        <f>VLOOKUP(AQ522,'[1]Harga &amp; Nama CSO'!$A$28:$D$31,4,0)*BP522</f>
        <v>#N/A</v>
      </c>
    </row>
    <row r="523" spans="41:74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55" t="e">
        <f>IFERROR(VLOOKUP(AQ523,'[1]Harga &amp; Nama CSO'!$H$2:$N$22,2,FALSE),"")*AV523</f>
        <v>#VALUE!</v>
      </c>
      <c r="BO523" s="40"/>
      <c r="BP523" s="39"/>
      <c r="BQ523" s="59"/>
      <c r="BR523" s="39"/>
      <c r="BS523" s="57" t="e">
        <f t="shared" si="29"/>
        <v>#VALUE!</v>
      </c>
      <c r="BT523" s="60"/>
      <c r="BU523" s="8">
        <v>0</v>
      </c>
      <c r="BV523" s="58" t="e">
        <f>VLOOKUP(AQ523,'[1]Harga &amp; Nama CSO'!$A$28:$D$31,4,0)*BP523</f>
        <v>#N/A</v>
      </c>
    </row>
    <row r="524" spans="41:74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55" t="e">
        <f>IFERROR(VLOOKUP(AQ524,'[1]Harga &amp; Nama CSO'!$H$2:$N$22,2,FALSE),"")*AV524</f>
        <v>#VALUE!</v>
      </c>
      <c r="BO524" s="40"/>
      <c r="BP524" s="39"/>
      <c r="BQ524" s="59"/>
      <c r="BR524" s="39"/>
      <c r="BS524" s="57" t="e">
        <f t="shared" si="29"/>
        <v>#VALUE!</v>
      </c>
      <c r="BT524" s="60"/>
      <c r="BU524" s="8">
        <v>0</v>
      </c>
      <c r="BV524" s="58" t="e">
        <f>VLOOKUP(AQ524,'[1]Harga &amp; Nama CSO'!$A$28:$D$31,4,0)*BP524</f>
        <v>#N/A</v>
      </c>
    </row>
    <row r="525" spans="41:74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55" t="e">
        <f>IFERROR(VLOOKUP(AQ525,'[1]Harga &amp; Nama CSO'!$H$2:$N$22,2,FALSE),"")*AV525</f>
        <v>#VALUE!</v>
      </c>
      <c r="BO525" s="40"/>
      <c r="BP525" s="39"/>
      <c r="BQ525" s="59"/>
      <c r="BR525" s="39"/>
      <c r="BS525" s="57" t="e">
        <f t="shared" si="29"/>
        <v>#VALUE!</v>
      </c>
      <c r="BT525" s="60"/>
      <c r="BU525" s="8">
        <v>0</v>
      </c>
      <c r="BV525" s="58" t="e">
        <f>VLOOKUP(AQ525,'[1]Harga &amp; Nama CSO'!$A$28:$D$31,4,0)*BP525</f>
        <v>#N/A</v>
      </c>
    </row>
    <row r="526" spans="41:74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55" t="e">
        <f>IFERROR(VLOOKUP(AQ526,'[1]Harga &amp; Nama CSO'!$H$2:$N$22,2,FALSE),"")*AV526</f>
        <v>#VALUE!</v>
      </c>
      <c r="BO526" s="40"/>
      <c r="BP526" s="39"/>
      <c r="BQ526" s="59"/>
      <c r="BR526" s="39"/>
      <c r="BS526" s="57" t="e">
        <f t="shared" si="29"/>
        <v>#VALUE!</v>
      </c>
      <c r="BT526" s="60"/>
      <c r="BU526" s="8">
        <v>0</v>
      </c>
      <c r="BV526" s="58" t="e">
        <f>VLOOKUP(AQ526,'[1]Harga &amp; Nama CSO'!$A$28:$D$31,4,0)*BP526</f>
        <v>#N/A</v>
      </c>
    </row>
    <row r="527" spans="41:74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55" t="e">
        <f>IFERROR(VLOOKUP(AQ527,'[1]Harga &amp; Nama CSO'!$H$2:$N$22,2,FALSE),"")*AV527</f>
        <v>#VALUE!</v>
      </c>
      <c r="BO527" s="40"/>
      <c r="BP527" s="39"/>
      <c r="BQ527" s="59"/>
      <c r="BR527" s="39"/>
      <c r="BS527" s="57" t="e">
        <f t="shared" si="29"/>
        <v>#VALUE!</v>
      </c>
      <c r="BT527" s="60"/>
      <c r="BU527" s="8">
        <v>0</v>
      </c>
      <c r="BV527" s="58" t="e">
        <f>VLOOKUP(AQ527,'[1]Harga &amp; Nama CSO'!$A$28:$D$31,4,0)*BP527</f>
        <v>#N/A</v>
      </c>
    </row>
    <row r="528" spans="41:74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55" t="e">
        <f>IFERROR(VLOOKUP(AQ528,'[1]Harga &amp; Nama CSO'!$H$2:$N$22,2,FALSE),"")*AV528</f>
        <v>#VALUE!</v>
      </c>
      <c r="BO528" s="40"/>
      <c r="BP528" s="39"/>
      <c r="BQ528" s="59"/>
      <c r="BR528" s="39"/>
      <c r="BS528" s="57" t="e">
        <f t="shared" si="29"/>
        <v>#VALUE!</v>
      </c>
      <c r="BT528" s="60"/>
      <c r="BU528" s="8">
        <v>0</v>
      </c>
      <c r="BV528" s="58" t="e">
        <f>VLOOKUP(AQ528,'[1]Harga &amp; Nama CSO'!$A$28:$D$31,4,0)*BP528</f>
        <v>#N/A</v>
      </c>
    </row>
    <row r="529" spans="41:74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55" t="e">
        <f>IFERROR(VLOOKUP(AQ529,'[1]Harga &amp; Nama CSO'!$H$2:$N$22,2,FALSE),"")*AV529</f>
        <v>#VALUE!</v>
      </c>
      <c r="BO529" s="40"/>
      <c r="BP529" s="39"/>
      <c r="BQ529" s="59"/>
      <c r="BR529" s="39"/>
      <c r="BS529" s="57" t="e">
        <f t="shared" si="29"/>
        <v>#VALUE!</v>
      </c>
      <c r="BT529" s="60"/>
      <c r="BU529" s="8">
        <v>0</v>
      </c>
      <c r="BV529" s="58" t="e">
        <f>VLOOKUP(AQ529,'[1]Harga &amp; Nama CSO'!$A$28:$D$31,4,0)*BP529</f>
        <v>#N/A</v>
      </c>
    </row>
    <row r="530" spans="41:74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55" t="e">
        <f>IFERROR(VLOOKUP(AQ530,'[1]Harga &amp; Nama CSO'!$H$2:$N$22,2,FALSE),"")*AV530</f>
        <v>#VALUE!</v>
      </c>
      <c r="BO530" s="40"/>
      <c r="BP530" s="39"/>
      <c r="BQ530" s="59"/>
      <c r="BR530" s="39"/>
      <c r="BS530" s="57" t="e">
        <f t="shared" si="29"/>
        <v>#VALUE!</v>
      </c>
      <c r="BT530" s="60"/>
      <c r="BU530" s="8">
        <v>0</v>
      </c>
      <c r="BV530" s="58" t="e">
        <f>VLOOKUP(AQ530,'[1]Harga &amp; Nama CSO'!$A$28:$D$31,4,0)*BP530</f>
        <v>#N/A</v>
      </c>
    </row>
    <row r="531" spans="41:74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55" t="e">
        <f>IFERROR(VLOOKUP(AQ531,'[1]Harga &amp; Nama CSO'!$H$2:$N$22,2,FALSE),"")*AV531</f>
        <v>#VALUE!</v>
      </c>
      <c r="BO531" s="40"/>
      <c r="BP531" s="39"/>
      <c r="BQ531" s="59"/>
      <c r="BR531" s="39"/>
      <c r="BS531" s="57" t="e">
        <f t="shared" si="29"/>
        <v>#VALUE!</v>
      </c>
      <c r="BT531" s="60"/>
      <c r="BU531" s="8">
        <v>0</v>
      </c>
      <c r="BV531" s="58" t="e">
        <f>VLOOKUP(AQ531,'[1]Harga &amp; Nama CSO'!$A$28:$D$31,4,0)*BP531</f>
        <v>#N/A</v>
      </c>
    </row>
    <row r="532" spans="41:74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55" t="e">
        <f>IFERROR(VLOOKUP(AQ532,'[1]Harga &amp; Nama CSO'!$H$2:$N$22,2,FALSE),"")*AV532</f>
        <v>#VALUE!</v>
      </c>
      <c r="BO532" s="40"/>
      <c r="BP532" s="39"/>
      <c r="BQ532" s="59"/>
      <c r="BR532" s="39"/>
      <c r="BS532" s="57" t="e">
        <f t="shared" si="29"/>
        <v>#VALUE!</v>
      </c>
      <c r="BT532" s="60"/>
      <c r="BU532" s="8">
        <v>0</v>
      </c>
      <c r="BV532" s="58" t="e">
        <f>VLOOKUP(AQ532,'[1]Harga &amp; Nama CSO'!$A$28:$D$31,4,0)*BP532</f>
        <v>#N/A</v>
      </c>
    </row>
    <row r="533" spans="41:74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55" t="e">
        <f>IFERROR(VLOOKUP(AQ533,'[1]Harga &amp; Nama CSO'!$H$2:$N$22,2,FALSE),"")*AV533</f>
        <v>#VALUE!</v>
      </c>
      <c r="BO533" s="40"/>
      <c r="BP533" s="39"/>
      <c r="BQ533" s="59"/>
      <c r="BR533" s="39"/>
      <c r="BS533" s="57" t="e">
        <f t="shared" si="29"/>
        <v>#VALUE!</v>
      </c>
      <c r="BT533" s="60"/>
      <c r="BU533" s="8">
        <v>0</v>
      </c>
      <c r="BV533" s="58" t="e">
        <f>VLOOKUP(AQ533,'[1]Harga &amp; Nama CSO'!$A$28:$D$31,4,0)*BP533</f>
        <v>#N/A</v>
      </c>
    </row>
    <row r="534" spans="41:74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55" t="e">
        <f>IFERROR(VLOOKUP(AQ534,'[1]Harga &amp; Nama CSO'!$H$2:$N$22,2,FALSE),"")*AV534</f>
        <v>#VALUE!</v>
      </c>
      <c r="BO534" s="40"/>
      <c r="BP534" s="39"/>
      <c r="BQ534" s="59"/>
      <c r="BR534" s="39"/>
      <c r="BS534" s="57" t="e">
        <f t="shared" si="29"/>
        <v>#VALUE!</v>
      </c>
      <c r="BT534" s="60"/>
      <c r="BU534" s="8">
        <v>0</v>
      </c>
      <c r="BV534" s="58" t="e">
        <f>VLOOKUP(AQ534,'[1]Harga &amp; Nama CSO'!$A$28:$D$31,4,0)*BP534</f>
        <v>#N/A</v>
      </c>
    </row>
    <row r="535" spans="41:74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55" t="e">
        <f>IFERROR(VLOOKUP(AQ535,'[1]Harga &amp; Nama CSO'!$H$2:$N$22,2,FALSE),"")*AV535</f>
        <v>#VALUE!</v>
      </c>
      <c r="BO535" s="40"/>
      <c r="BP535" s="39"/>
      <c r="BQ535" s="59"/>
      <c r="BR535" s="39"/>
      <c r="BS535" s="57" t="e">
        <f t="shared" si="29"/>
        <v>#VALUE!</v>
      </c>
      <c r="BT535" s="60"/>
      <c r="BU535" s="8">
        <v>0</v>
      </c>
      <c r="BV535" s="58" t="e">
        <f>VLOOKUP(AQ535,'[1]Harga &amp; Nama CSO'!$A$28:$D$31,4,0)*BP535</f>
        <v>#N/A</v>
      </c>
    </row>
    <row r="536" spans="41:74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55" t="e">
        <f>IFERROR(VLOOKUP(AQ536,'[1]Harga &amp; Nama CSO'!$H$2:$N$22,2,FALSE),"")*AV536</f>
        <v>#VALUE!</v>
      </c>
      <c r="BO536" s="40"/>
      <c r="BP536" s="39"/>
      <c r="BQ536" s="59"/>
      <c r="BR536" s="39"/>
      <c r="BS536" s="57" t="e">
        <f t="shared" si="29"/>
        <v>#VALUE!</v>
      </c>
      <c r="BT536" s="60"/>
      <c r="BU536" s="8">
        <v>0</v>
      </c>
      <c r="BV536" s="58" t="e">
        <f>VLOOKUP(AQ536,'[1]Harga &amp; Nama CSO'!$A$28:$D$31,4,0)*BP536</f>
        <v>#N/A</v>
      </c>
    </row>
    <row r="537" spans="41:74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55" t="e">
        <f>IFERROR(VLOOKUP(AQ537,'[1]Harga &amp; Nama CSO'!$H$2:$N$22,2,FALSE),"")*AV537</f>
        <v>#VALUE!</v>
      </c>
      <c r="BO537" s="40"/>
      <c r="BP537" s="39"/>
      <c r="BQ537" s="59"/>
      <c r="BR537" s="39"/>
      <c r="BS537" s="57" t="e">
        <f t="shared" si="29"/>
        <v>#VALUE!</v>
      </c>
      <c r="BT537" s="60"/>
      <c r="BU537" s="8">
        <v>0</v>
      </c>
      <c r="BV537" s="58" t="e">
        <f>VLOOKUP(AQ537,'[1]Harga &amp; Nama CSO'!$A$28:$D$31,4,0)*BP537</f>
        <v>#N/A</v>
      </c>
    </row>
    <row r="538" spans="41:74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55" t="e">
        <f>IFERROR(VLOOKUP(AQ538,'[1]Harga &amp; Nama CSO'!$H$2:$N$22,2,FALSE),"")*AV538</f>
        <v>#VALUE!</v>
      </c>
      <c r="BO538" s="40"/>
      <c r="BP538" s="39"/>
      <c r="BQ538" s="59"/>
      <c r="BR538" s="39"/>
      <c r="BS538" s="57" t="e">
        <f t="shared" si="29"/>
        <v>#VALUE!</v>
      </c>
      <c r="BT538" s="60"/>
      <c r="BU538" s="8">
        <v>0</v>
      </c>
      <c r="BV538" s="58" t="e">
        <f>VLOOKUP(AQ538,'[1]Harga &amp; Nama CSO'!$A$28:$D$31,4,0)*BP538</f>
        <v>#N/A</v>
      </c>
    </row>
    <row r="539" spans="41:74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55" t="e">
        <f>IFERROR(VLOOKUP(AQ539,'[1]Harga &amp; Nama CSO'!$H$2:$N$22,2,FALSE),"")*AV539</f>
        <v>#VALUE!</v>
      </c>
      <c r="BO539" s="40"/>
      <c r="BP539" s="39"/>
      <c r="BQ539" s="59"/>
      <c r="BR539" s="39"/>
      <c r="BS539" s="57" t="e">
        <f t="shared" si="29"/>
        <v>#VALUE!</v>
      </c>
      <c r="BT539" s="60"/>
      <c r="BU539" s="8">
        <v>0</v>
      </c>
      <c r="BV539" s="58" t="e">
        <f>VLOOKUP(AQ539,'[1]Harga &amp; Nama CSO'!$A$28:$D$31,4,0)*BP539</f>
        <v>#N/A</v>
      </c>
    </row>
    <row r="540" spans="41:74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55" t="e">
        <f>IFERROR(VLOOKUP(AQ540,'[1]Harga &amp; Nama CSO'!$H$2:$N$22,2,FALSE),"")*AV540</f>
        <v>#VALUE!</v>
      </c>
      <c r="BO540" s="40"/>
      <c r="BP540" s="39"/>
      <c r="BQ540" s="59"/>
      <c r="BR540" s="39"/>
      <c r="BS540" s="57" t="e">
        <f t="shared" si="29"/>
        <v>#VALUE!</v>
      </c>
      <c r="BT540" s="60"/>
      <c r="BU540" s="8">
        <v>0</v>
      </c>
      <c r="BV540" s="58" t="e">
        <f>VLOOKUP(AQ540,'[1]Harga &amp; Nama CSO'!$A$28:$D$31,4,0)*BP540</f>
        <v>#N/A</v>
      </c>
    </row>
    <row r="541" spans="41:74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55" t="e">
        <f>IFERROR(VLOOKUP(AQ541,'[1]Harga &amp; Nama CSO'!$H$2:$N$22,2,FALSE),"")*AV541</f>
        <v>#VALUE!</v>
      </c>
      <c r="BO541" s="40"/>
      <c r="BP541" s="39"/>
      <c r="BQ541" s="59"/>
      <c r="BR541" s="39"/>
      <c r="BS541" s="57" t="e">
        <f t="shared" si="29"/>
        <v>#VALUE!</v>
      </c>
      <c r="BT541" s="60"/>
      <c r="BU541" s="8">
        <v>0</v>
      </c>
      <c r="BV541" s="58" t="e">
        <f>VLOOKUP(AQ541,'[1]Harga &amp; Nama CSO'!$A$28:$D$31,4,0)*BP541</f>
        <v>#N/A</v>
      </c>
    </row>
    <row r="542" spans="41:74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55" t="e">
        <f>IFERROR(VLOOKUP(AQ542,'[1]Harga &amp; Nama CSO'!$H$2:$N$22,2,FALSE),"")*AV542</f>
        <v>#VALUE!</v>
      </c>
      <c r="BO542" s="40"/>
      <c r="BP542" s="39"/>
      <c r="BQ542" s="59"/>
      <c r="BR542" s="39"/>
      <c r="BS542" s="57" t="e">
        <f t="shared" si="29"/>
        <v>#VALUE!</v>
      </c>
      <c r="BT542" s="60"/>
      <c r="BU542" s="8">
        <v>0</v>
      </c>
      <c r="BV542" s="58" t="e">
        <f>VLOOKUP(AQ542,'[1]Harga &amp; Nama CSO'!$A$28:$D$31,4,0)*BP542</f>
        <v>#N/A</v>
      </c>
    </row>
    <row r="543" spans="41:74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55" t="e">
        <f>IFERROR(VLOOKUP(AQ543,'[1]Harga &amp; Nama CSO'!$H$2:$N$22,2,FALSE),"")*AV543</f>
        <v>#VALUE!</v>
      </c>
      <c r="BO543" s="40"/>
      <c r="BP543" s="39"/>
      <c r="BQ543" s="59"/>
      <c r="BR543" s="39"/>
      <c r="BS543" s="57" t="e">
        <f t="shared" si="29"/>
        <v>#VALUE!</v>
      </c>
      <c r="BT543" s="60"/>
      <c r="BU543" s="8">
        <v>0</v>
      </c>
      <c r="BV543" s="58" t="e">
        <f>VLOOKUP(AQ543,'[1]Harga &amp; Nama CSO'!$A$28:$D$31,4,0)*BP543</f>
        <v>#N/A</v>
      </c>
    </row>
    <row r="544" spans="41:74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55" t="e">
        <f>IFERROR(VLOOKUP(AQ544,'[1]Harga &amp; Nama CSO'!$H$2:$N$22,2,FALSE),"")*AV544</f>
        <v>#VALUE!</v>
      </c>
      <c r="BO544" s="40"/>
      <c r="BP544" s="39"/>
      <c r="BQ544" s="59"/>
      <c r="BR544" s="39"/>
      <c r="BS544" s="57" t="e">
        <f t="shared" si="29"/>
        <v>#VALUE!</v>
      </c>
      <c r="BT544" s="60"/>
      <c r="BU544" s="8">
        <v>0</v>
      </c>
      <c r="BV544" s="58" t="e">
        <f>VLOOKUP(AQ544,'[1]Harga &amp; Nama CSO'!$A$28:$D$31,4,0)*BP544</f>
        <v>#N/A</v>
      </c>
    </row>
    <row r="545" spans="41:74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55" t="e">
        <f>IFERROR(VLOOKUP(AQ545,'[1]Harga &amp; Nama CSO'!$H$2:$N$22,2,FALSE),"")*AV545</f>
        <v>#VALUE!</v>
      </c>
      <c r="BO545" s="40"/>
      <c r="BP545" s="39"/>
      <c r="BQ545" s="59"/>
      <c r="BR545" s="39"/>
      <c r="BS545" s="57" t="e">
        <f t="shared" si="29"/>
        <v>#VALUE!</v>
      </c>
      <c r="BT545" s="60"/>
      <c r="BU545" s="8">
        <v>0</v>
      </c>
      <c r="BV545" s="58" t="e">
        <f>VLOOKUP(AQ545,'[1]Harga &amp; Nama CSO'!$A$28:$D$31,4,0)*BP545</f>
        <v>#N/A</v>
      </c>
    </row>
    <row r="546" spans="41:74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55" t="e">
        <f>IFERROR(VLOOKUP(AQ546,'[1]Harga &amp; Nama CSO'!$H$2:$N$22,2,FALSE),"")*AV546</f>
        <v>#VALUE!</v>
      </c>
      <c r="BO546" s="40"/>
      <c r="BP546" s="39"/>
      <c r="BQ546" s="59"/>
      <c r="BR546" s="39"/>
      <c r="BS546" s="57" t="e">
        <f t="shared" si="29"/>
        <v>#VALUE!</v>
      </c>
      <c r="BT546" s="60"/>
      <c r="BU546" s="8">
        <v>0</v>
      </c>
      <c r="BV546" s="58" t="e">
        <f>VLOOKUP(AQ546,'[1]Harga &amp; Nama CSO'!$A$28:$D$31,4,0)*BP546</f>
        <v>#N/A</v>
      </c>
    </row>
    <row r="547" spans="41:74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55" t="e">
        <f>IFERROR(VLOOKUP(AQ547,'[1]Harga &amp; Nama CSO'!$H$2:$N$22,2,FALSE),"")*AV547</f>
        <v>#VALUE!</v>
      </c>
      <c r="BO547" s="40"/>
      <c r="BP547" s="39"/>
      <c r="BQ547" s="59"/>
      <c r="BR547" s="39"/>
      <c r="BS547" s="57" t="e">
        <f t="shared" si="29"/>
        <v>#VALUE!</v>
      </c>
      <c r="BT547" s="60"/>
      <c r="BU547" s="8">
        <v>0</v>
      </c>
      <c r="BV547" s="58" t="e">
        <f>VLOOKUP(AQ547,'[1]Harga &amp; Nama CSO'!$A$28:$D$31,4,0)*BP547</f>
        <v>#N/A</v>
      </c>
    </row>
    <row r="548" spans="41:74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55" t="e">
        <f>IFERROR(VLOOKUP(AQ548,'[1]Harga &amp; Nama CSO'!$H$2:$N$22,2,FALSE),"")*AV548</f>
        <v>#VALUE!</v>
      </c>
      <c r="BO548" s="40"/>
      <c r="BP548" s="39"/>
      <c r="BQ548" s="59"/>
      <c r="BR548" s="39"/>
      <c r="BS548" s="57" t="e">
        <f t="shared" si="29"/>
        <v>#VALUE!</v>
      </c>
      <c r="BT548" s="60"/>
      <c r="BU548" s="8">
        <v>0</v>
      </c>
      <c r="BV548" s="58" t="e">
        <f>VLOOKUP(AQ548,'[1]Harga &amp; Nama CSO'!$A$28:$D$31,4,0)*BP548</f>
        <v>#N/A</v>
      </c>
    </row>
    <row r="549" spans="41:74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55" t="e">
        <f>IFERROR(VLOOKUP(AQ549,'[1]Harga &amp; Nama CSO'!$H$2:$N$22,2,FALSE),"")*AV549</f>
        <v>#VALUE!</v>
      </c>
      <c r="BO549" s="40"/>
      <c r="BP549" s="39"/>
      <c r="BQ549" s="59"/>
      <c r="BR549" s="39"/>
      <c r="BS549" s="57" t="e">
        <f t="shared" si="29"/>
        <v>#VALUE!</v>
      </c>
      <c r="BT549" s="60"/>
      <c r="BU549" s="8">
        <v>0</v>
      </c>
      <c r="BV549" s="58" t="e">
        <f>VLOOKUP(AQ549,'[1]Harga &amp; Nama CSO'!$A$28:$D$31,4,0)*BP549</f>
        <v>#N/A</v>
      </c>
    </row>
    <row r="550" spans="41:74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55" t="e">
        <f>IFERROR(VLOOKUP(AQ550,'[1]Harga &amp; Nama CSO'!$H$2:$N$22,2,FALSE),"")*AV550</f>
        <v>#VALUE!</v>
      </c>
      <c r="BO550" s="40"/>
      <c r="BP550" s="39"/>
      <c r="BQ550" s="59"/>
      <c r="BR550" s="39"/>
      <c r="BS550" s="57" t="e">
        <f t="shared" si="29"/>
        <v>#VALUE!</v>
      </c>
      <c r="BT550" s="60"/>
      <c r="BU550" s="8">
        <v>0</v>
      </c>
      <c r="BV550" s="58" t="e">
        <f>VLOOKUP(AQ550,'[1]Harga &amp; Nama CSO'!$A$28:$D$31,4,0)*BP550</f>
        <v>#N/A</v>
      </c>
    </row>
    <row r="551" spans="41:74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55" t="e">
        <f>IFERROR(VLOOKUP(AQ551,'[1]Harga &amp; Nama CSO'!$H$2:$N$22,2,FALSE),"")*AV551</f>
        <v>#VALUE!</v>
      </c>
      <c r="BO551" s="40"/>
      <c r="BP551" s="39"/>
      <c r="BQ551" s="59"/>
      <c r="BR551" s="39"/>
      <c r="BS551" s="57" t="e">
        <f t="shared" si="29"/>
        <v>#VALUE!</v>
      </c>
      <c r="BT551" s="60"/>
      <c r="BU551" s="8">
        <v>0</v>
      </c>
      <c r="BV551" s="58" t="e">
        <f>VLOOKUP(AQ551,'[1]Harga &amp; Nama CSO'!$A$28:$D$31,4,0)*BP551</f>
        <v>#N/A</v>
      </c>
    </row>
    <row r="552" spans="41:74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55" t="e">
        <f>IFERROR(VLOOKUP(AQ552,'[1]Harga &amp; Nama CSO'!$H$2:$N$22,2,FALSE),"")*AV552</f>
        <v>#VALUE!</v>
      </c>
      <c r="BO552" s="40"/>
      <c r="BP552" s="39"/>
      <c r="BQ552" s="59"/>
      <c r="BR552" s="39"/>
      <c r="BS552" s="57" t="e">
        <f t="shared" si="29"/>
        <v>#VALUE!</v>
      </c>
      <c r="BT552" s="60"/>
      <c r="BU552" s="8">
        <v>0</v>
      </c>
      <c r="BV552" s="58" t="e">
        <f>VLOOKUP(AQ552,'[1]Harga &amp; Nama CSO'!$A$28:$D$31,4,0)*BP552</f>
        <v>#N/A</v>
      </c>
    </row>
    <row r="553" spans="41:74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55" t="e">
        <f>IFERROR(VLOOKUP(AQ553,'[1]Harga &amp; Nama CSO'!$H$2:$N$22,2,FALSE),"")*AV553</f>
        <v>#VALUE!</v>
      </c>
      <c r="BO553" s="40"/>
      <c r="BP553" s="39"/>
      <c r="BQ553" s="59"/>
      <c r="BR553" s="39"/>
      <c r="BS553" s="57" t="e">
        <f t="shared" si="29"/>
        <v>#VALUE!</v>
      </c>
      <c r="BT553" s="60"/>
      <c r="BU553" s="8">
        <v>0</v>
      </c>
      <c r="BV553" s="58" t="e">
        <f>VLOOKUP(AQ553,'[1]Harga &amp; Nama CSO'!$A$28:$D$31,4,0)*BP553</f>
        <v>#N/A</v>
      </c>
    </row>
    <row r="554" spans="41:74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55" t="e">
        <f>IFERROR(VLOOKUP(AQ554,'[1]Harga &amp; Nama CSO'!$H$2:$N$22,2,FALSE),"")*AV554</f>
        <v>#VALUE!</v>
      </c>
      <c r="BO554" s="40"/>
      <c r="BP554" s="39"/>
      <c r="BQ554" s="59"/>
      <c r="BR554" s="39"/>
      <c r="BS554" s="57" t="e">
        <f t="shared" si="29"/>
        <v>#VALUE!</v>
      </c>
      <c r="BT554" s="60"/>
      <c r="BU554" s="8">
        <v>0</v>
      </c>
      <c r="BV554" s="58" t="e">
        <f>VLOOKUP(AQ554,'[1]Harga &amp; Nama CSO'!$A$28:$D$31,4,0)*BP554</f>
        <v>#N/A</v>
      </c>
    </row>
    <row r="555" spans="41:74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55" t="e">
        <f>IFERROR(VLOOKUP(AQ555,'[1]Harga &amp; Nama CSO'!$H$2:$N$22,2,FALSE),"")*AV555</f>
        <v>#VALUE!</v>
      </c>
      <c r="BO555" s="40"/>
      <c r="BP555" s="39"/>
      <c r="BQ555" s="59"/>
      <c r="BR555" s="39"/>
      <c r="BS555" s="57" t="e">
        <f t="shared" si="29"/>
        <v>#VALUE!</v>
      </c>
      <c r="BT555" s="60"/>
      <c r="BU555" s="8">
        <v>0</v>
      </c>
      <c r="BV555" s="58" t="e">
        <f>VLOOKUP(AQ555,'[1]Harga &amp; Nama CSO'!$A$28:$D$31,4,0)*BP555</f>
        <v>#N/A</v>
      </c>
    </row>
    <row r="556" spans="41:74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55" t="e">
        <f>IFERROR(VLOOKUP(AQ556,'[1]Harga &amp; Nama CSO'!$H$2:$N$22,2,FALSE),"")*AV556</f>
        <v>#VALUE!</v>
      </c>
      <c r="BO556" s="40"/>
      <c r="BP556" s="39"/>
      <c r="BQ556" s="59"/>
      <c r="BR556" s="39"/>
      <c r="BS556" s="57" t="e">
        <f t="shared" si="29"/>
        <v>#VALUE!</v>
      </c>
      <c r="BT556" s="60"/>
      <c r="BU556" s="8">
        <v>0</v>
      </c>
      <c r="BV556" s="58" t="e">
        <f>VLOOKUP(AQ556,'[1]Harga &amp; Nama CSO'!$A$28:$D$31,4,0)*BP556</f>
        <v>#N/A</v>
      </c>
    </row>
    <row r="557" spans="41:74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55" t="e">
        <f>IFERROR(VLOOKUP(AQ557,'[1]Harga &amp; Nama CSO'!$H$2:$N$22,2,FALSE),"")*AV557</f>
        <v>#VALUE!</v>
      </c>
      <c r="BO557" s="40"/>
      <c r="BP557" s="39"/>
      <c r="BQ557" s="59"/>
      <c r="BR557" s="39"/>
      <c r="BS557" s="57" t="e">
        <f t="shared" si="29"/>
        <v>#VALUE!</v>
      </c>
      <c r="BT557" s="60"/>
      <c r="BU557" s="8">
        <v>0</v>
      </c>
      <c r="BV557" s="58" t="e">
        <f>VLOOKUP(AQ557,'[1]Harga &amp; Nama CSO'!$A$28:$D$31,4,0)*BP557</f>
        <v>#N/A</v>
      </c>
    </row>
    <row r="558" spans="41:74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55" t="e">
        <f>IFERROR(VLOOKUP(AQ558,'[1]Harga &amp; Nama CSO'!$H$2:$N$22,2,FALSE),"")*AV558</f>
        <v>#VALUE!</v>
      </c>
      <c r="BO558" s="40"/>
      <c r="BP558" s="39"/>
      <c r="BQ558" s="59"/>
      <c r="BR558" s="39"/>
      <c r="BS558" s="57" t="e">
        <f t="shared" si="29"/>
        <v>#VALUE!</v>
      </c>
      <c r="BT558" s="60"/>
      <c r="BU558" s="8">
        <v>0</v>
      </c>
      <c r="BV558" s="58" t="e">
        <f>VLOOKUP(AQ558,'[1]Harga &amp; Nama CSO'!$A$28:$D$31,4,0)*BP558</f>
        <v>#N/A</v>
      </c>
    </row>
    <row r="559" spans="41:74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55" t="e">
        <f>IFERROR(VLOOKUP(AQ559,'[1]Harga &amp; Nama CSO'!$H$2:$N$22,2,FALSE),"")*AV559</f>
        <v>#VALUE!</v>
      </c>
      <c r="BO559" s="40"/>
      <c r="BP559" s="39"/>
      <c r="BQ559" s="59"/>
      <c r="BR559" s="39"/>
      <c r="BS559" s="57" t="e">
        <f t="shared" si="29"/>
        <v>#VALUE!</v>
      </c>
      <c r="BT559" s="60"/>
      <c r="BU559" s="8">
        <v>0</v>
      </c>
      <c r="BV559" s="58" t="e">
        <f>VLOOKUP(AQ559,'[1]Harga &amp; Nama CSO'!$A$28:$D$31,4,0)*BP559</f>
        <v>#N/A</v>
      </c>
    </row>
    <row r="560" spans="41:74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55" t="e">
        <f>IFERROR(VLOOKUP(AQ560,'[1]Harga &amp; Nama CSO'!$H$2:$N$22,2,FALSE),"")*AV560</f>
        <v>#VALUE!</v>
      </c>
      <c r="BO560" s="40"/>
      <c r="BP560" s="39"/>
      <c r="BQ560" s="59"/>
      <c r="BR560" s="39"/>
      <c r="BS560" s="57" t="e">
        <f t="shared" si="29"/>
        <v>#VALUE!</v>
      </c>
      <c r="BT560" s="60"/>
      <c r="BU560" s="8">
        <v>0</v>
      </c>
      <c r="BV560" s="58" t="e">
        <f>VLOOKUP(AQ560,'[1]Harga &amp; Nama CSO'!$A$28:$D$31,4,0)*BP560</f>
        <v>#N/A</v>
      </c>
    </row>
    <row r="561" spans="41:74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55" t="e">
        <f>IFERROR(VLOOKUP(AQ561,'[1]Harga &amp; Nama CSO'!$H$2:$N$22,2,FALSE),"")*AV561</f>
        <v>#VALUE!</v>
      </c>
      <c r="BO561" s="40"/>
      <c r="BP561" s="39"/>
      <c r="BQ561" s="59"/>
      <c r="BR561" s="39"/>
      <c r="BS561" s="57" t="e">
        <f t="shared" si="29"/>
        <v>#VALUE!</v>
      </c>
      <c r="BT561" s="60"/>
      <c r="BU561" s="8">
        <v>0</v>
      </c>
      <c r="BV561" s="58" t="e">
        <f>VLOOKUP(AQ561,'[1]Harga &amp; Nama CSO'!$A$28:$D$31,4,0)*BP561</f>
        <v>#N/A</v>
      </c>
    </row>
    <row r="562" spans="41:74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55" t="e">
        <f>IFERROR(VLOOKUP(AQ562,'[1]Harga &amp; Nama CSO'!$H$2:$N$22,2,FALSE),"")*AV562</f>
        <v>#VALUE!</v>
      </c>
      <c r="BO562" s="40"/>
      <c r="BP562" s="39"/>
      <c r="BQ562" s="59"/>
      <c r="BR562" s="39"/>
      <c r="BS562" s="57" t="e">
        <f t="shared" si="29"/>
        <v>#VALUE!</v>
      </c>
      <c r="BT562" s="60"/>
      <c r="BU562" s="8">
        <v>0</v>
      </c>
      <c r="BV562" s="58" t="e">
        <f>VLOOKUP(AQ562,'[1]Harga &amp; Nama CSO'!$A$28:$D$31,4,0)*BP562</f>
        <v>#N/A</v>
      </c>
    </row>
    <row r="563" spans="41:74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55" t="e">
        <f>IFERROR(VLOOKUP(AQ563,'[1]Harga &amp; Nama CSO'!$H$2:$N$22,2,FALSE),"")*AV563</f>
        <v>#VALUE!</v>
      </c>
      <c r="BO563" s="40"/>
      <c r="BP563" s="39"/>
      <c r="BQ563" s="59"/>
      <c r="BR563" s="39"/>
      <c r="BS563" s="57" t="e">
        <f t="shared" si="29"/>
        <v>#VALUE!</v>
      </c>
      <c r="BT563" s="60"/>
      <c r="BU563" s="8">
        <v>0</v>
      </c>
      <c r="BV563" s="58" t="e">
        <f>VLOOKUP(AQ563,'[1]Harga &amp; Nama CSO'!$A$28:$D$31,4,0)*BP563</f>
        <v>#N/A</v>
      </c>
    </row>
    <row r="564" spans="41:74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55" t="e">
        <f>IFERROR(VLOOKUP(AQ564,'[1]Harga &amp; Nama CSO'!$H$2:$N$22,2,FALSE),"")*AV564</f>
        <v>#VALUE!</v>
      </c>
      <c r="BO564" s="40"/>
      <c r="BP564" s="39"/>
      <c r="BQ564" s="59"/>
      <c r="BR564" s="39"/>
      <c r="BS564" s="57" t="e">
        <f t="shared" si="29"/>
        <v>#VALUE!</v>
      </c>
      <c r="BT564" s="60"/>
      <c r="BU564" s="8">
        <v>0</v>
      </c>
      <c r="BV564" s="58" t="e">
        <f>VLOOKUP(AQ564,'[1]Harga &amp; Nama CSO'!$A$28:$D$31,4,0)*BP564</f>
        <v>#N/A</v>
      </c>
    </row>
    <row r="565" spans="41:74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55" t="e">
        <f>IFERROR(VLOOKUP(AQ565,'[1]Harga &amp; Nama CSO'!$H$2:$N$22,2,FALSE),"")*AV565</f>
        <v>#VALUE!</v>
      </c>
      <c r="BO565" s="40"/>
      <c r="BP565" s="39"/>
      <c r="BQ565" s="59"/>
      <c r="BR565" s="39"/>
      <c r="BS565" s="57" t="e">
        <f t="shared" si="29"/>
        <v>#VALUE!</v>
      </c>
      <c r="BT565" s="60"/>
      <c r="BU565" s="8">
        <v>0</v>
      </c>
      <c r="BV565" s="58" t="e">
        <f>VLOOKUP(AQ565,'[1]Harga &amp; Nama CSO'!$A$28:$D$31,4,0)*BP565</f>
        <v>#N/A</v>
      </c>
    </row>
    <row r="566" spans="41:74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55" t="e">
        <f>IFERROR(VLOOKUP(AQ566,'[1]Harga &amp; Nama CSO'!$H$2:$N$22,2,FALSE),"")*AV566</f>
        <v>#VALUE!</v>
      </c>
      <c r="BO566" s="40"/>
      <c r="BP566" s="39"/>
      <c r="BQ566" s="59"/>
      <c r="BR566" s="39"/>
      <c r="BS566" s="57" t="e">
        <f t="shared" si="29"/>
        <v>#VALUE!</v>
      </c>
      <c r="BT566" s="60"/>
      <c r="BU566" s="8">
        <v>0</v>
      </c>
      <c r="BV566" s="58" t="e">
        <f>VLOOKUP(AQ566,'[1]Harga &amp; Nama CSO'!$A$28:$D$31,4,0)*BP566</f>
        <v>#N/A</v>
      </c>
    </row>
    <row r="567" spans="41:74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55" t="e">
        <f>IFERROR(VLOOKUP(AQ567,'[1]Harga &amp; Nama CSO'!$H$2:$N$22,2,FALSE),"")*AV567</f>
        <v>#VALUE!</v>
      </c>
      <c r="BO567" s="40"/>
      <c r="BP567" s="39"/>
      <c r="BQ567" s="59"/>
      <c r="BR567" s="39"/>
      <c r="BS567" s="57" t="e">
        <f t="shared" si="29"/>
        <v>#VALUE!</v>
      </c>
      <c r="BT567" s="60"/>
      <c r="BU567" s="8">
        <v>0</v>
      </c>
      <c r="BV567" s="58" t="e">
        <f>VLOOKUP(AQ567,'[1]Harga &amp; Nama CSO'!$A$28:$D$31,4,0)*BP567</f>
        <v>#N/A</v>
      </c>
    </row>
    <row r="568" spans="41:74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55" t="e">
        <f>IFERROR(VLOOKUP(AQ568,'[1]Harga &amp; Nama CSO'!$H$2:$N$22,2,FALSE),"")*AV568</f>
        <v>#VALUE!</v>
      </c>
      <c r="BO568" s="40"/>
      <c r="BP568" s="39"/>
      <c r="BQ568" s="59"/>
      <c r="BR568" s="39"/>
      <c r="BS568" s="57" t="e">
        <f t="shared" si="29"/>
        <v>#VALUE!</v>
      </c>
      <c r="BT568" s="60"/>
      <c r="BU568" s="8">
        <v>0</v>
      </c>
      <c r="BV568" s="58" t="e">
        <f>VLOOKUP(AQ568,'[1]Harga &amp; Nama CSO'!$A$28:$D$31,4,0)*BP568</f>
        <v>#N/A</v>
      </c>
    </row>
    <row r="569" spans="41:74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55" t="e">
        <f>IFERROR(VLOOKUP(AQ569,'[1]Harga &amp; Nama CSO'!$H$2:$N$22,2,FALSE),"")*AV569</f>
        <v>#VALUE!</v>
      </c>
      <c r="BO569" s="40"/>
      <c r="BP569" s="39"/>
      <c r="BQ569" s="59"/>
      <c r="BR569" s="39"/>
      <c r="BS569" s="57" t="e">
        <f t="shared" si="29"/>
        <v>#VALUE!</v>
      </c>
      <c r="BT569" s="60"/>
      <c r="BU569" s="8">
        <v>0</v>
      </c>
      <c r="BV569" s="58" t="e">
        <f>VLOOKUP(AQ569,'[1]Harga &amp; Nama CSO'!$A$28:$D$31,4,0)*BP569</f>
        <v>#N/A</v>
      </c>
    </row>
    <row r="570" spans="41:74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55" t="e">
        <f>IFERROR(VLOOKUP(AQ570,'[1]Harga &amp; Nama CSO'!$H$2:$N$22,2,FALSE),"")*AV570</f>
        <v>#VALUE!</v>
      </c>
      <c r="BO570" s="40"/>
      <c r="BP570" s="39"/>
      <c r="BQ570" s="59"/>
      <c r="BR570" s="39"/>
      <c r="BS570" s="57" t="e">
        <f t="shared" si="29"/>
        <v>#VALUE!</v>
      </c>
      <c r="BT570" s="60"/>
      <c r="BU570" s="8">
        <v>0</v>
      </c>
      <c r="BV570" s="58" t="e">
        <f>VLOOKUP(AQ570,'[1]Harga &amp; Nama CSO'!$A$28:$D$31,4,0)*BP570</f>
        <v>#N/A</v>
      </c>
    </row>
    <row r="571" spans="41:74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55" t="e">
        <f>IFERROR(VLOOKUP(AQ571,'[1]Harga &amp; Nama CSO'!$H$2:$N$22,2,FALSE),"")*AV571</f>
        <v>#VALUE!</v>
      </c>
      <c r="BO571" s="40"/>
      <c r="BP571" s="39"/>
      <c r="BQ571" s="59"/>
      <c r="BR571" s="39"/>
      <c r="BS571" s="57" t="e">
        <f t="shared" si="29"/>
        <v>#VALUE!</v>
      </c>
      <c r="BT571" s="60"/>
      <c r="BU571" s="8">
        <v>0</v>
      </c>
      <c r="BV571" s="58" t="e">
        <f>VLOOKUP(AQ571,'[1]Harga &amp; Nama CSO'!$A$28:$D$31,4,0)*BP571</f>
        <v>#N/A</v>
      </c>
    </row>
    <row r="572" spans="41:74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55" t="e">
        <f>IFERROR(VLOOKUP(AQ572,'[1]Harga &amp; Nama CSO'!$H$2:$N$22,2,FALSE),"")*AV572</f>
        <v>#VALUE!</v>
      </c>
      <c r="BO572" s="40"/>
      <c r="BP572" s="39"/>
      <c r="BQ572" s="59"/>
      <c r="BR572" s="39"/>
      <c r="BS572" s="57" t="e">
        <f t="shared" si="29"/>
        <v>#VALUE!</v>
      </c>
      <c r="BT572" s="60"/>
      <c r="BU572" s="8">
        <v>0</v>
      </c>
      <c r="BV572" s="58" t="e">
        <f>VLOOKUP(AQ572,'[1]Harga &amp; Nama CSO'!$A$28:$D$31,4,0)*BP572</f>
        <v>#N/A</v>
      </c>
    </row>
    <row r="573" spans="41:74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55" t="e">
        <f>IFERROR(VLOOKUP(AQ573,'[1]Harga &amp; Nama CSO'!$H$2:$N$22,2,FALSE),"")*AV573</f>
        <v>#VALUE!</v>
      </c>
      <c r="BO573" s="40"/>
      <c r="BP573" s="39"/>
      <c r="BQ573" s="59"/>
      <c r="BR573" s="39"/>
      <c r="BS573" s="57" t="e">
        <f t="shared" si="29"/>
        <v>#VALUE!</v>
      </c>
      <c r="BT573" s="60"/>
      <c r="BU573" s="8">
        <v>0</v>
      </c>
      <c r="BV573" s="58" t="e">
        <f>VLOOKUP(AQ573,'[1]Harga &amp; Nama CSO'!$A$28:$D$31,4,0)*BP573</f>
        <v>#N/A</v>
      </c>
    </row>
    <row r="574" spans="41:74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55" t="e">
        <f>IFERROR(VLOOKUP(AQ574,'[1]Harga &amp; Nama CSO'!$H$2:$N$22,2,FALSE),"")*AV574</f>
        <v>#VALUE!</v>
      </c>
      <c r="BO574" s="40"/>
      <c r="BP574" s="39"/>
      <c r="BQ574" s="59"/>
      <c r="BR574" s="39"/>
      <c r="BS574" s="57" t="e">
        <f t="shared" si="29"/>
        <v>#VALUE!</v>
      </c>
      <c r="BT574" s="60"/>
      <c r="BU574" s="8">
        <v>0</v>
      </c>
      <c r="BV574" s="58" t="e">
        <f>VLOOKUP(AQ574,'[1]Harga &amp; Nama CSO'!$A$28:$D$31,4,0)*BP574</f>
        <v>#N/A</v>
      </c>
    </row>
    <row r="575" spans="41:74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55" t="e">
        <f>IFERROR(VLOOKUP(AQ575,'[1]Harga &amp; Nama CSO'!$H$2:$N$22,2,FALSE),"")*AV575</f>
        <v>#VALUE!</v>
      </c>
      <c r="BO575" s="40"/>
      <c r="BP575" s="39"/>
      <c r="BQ575" s="59"/>
      <c r="BR575" s="39"/>
      <c r="BS575" s="57" t="e">
        <f t="shared" si="29"/>
        <v>#VALUE!</v>
      </c>
      <c r="BT575" s="60"/>
      <c r="BU575" s="8">
        <v>0</v>
      </c>
      <c r="BV575" s="58" t="e">
        <f>VLOOKUP(AQ575,'[1]Harga &amp; Nama CSO'!$A$28:$D$31,4,0)*BP575</f>
        <v>#N/A</v>
      </c>
    </row>
    <row r="576" spans="41:74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55" t="e">
        <f>IFERROR(VLOOKUP(AQ576,'[1]Harga &amp; Nama CSO'!$H$2:$N$22,2,FALSE),"")*AV576</f>
        <v>#VALUE!</v>
      </c>
      <c r="BO576" s="40"/>
      <c r="BP576" s="39"/>
      <c r="BQ576" s="59"/>
      <c r="BR576" s="39"/>
      <c r="BS576" s="57" t="e">
        <f t="shared" si="29"/>
        <v>#VALUE!</v>
      </c>
      <c r="BT576" s="60"/>
      <c r="BU576" s="8">
        <v>0</v>
      </c>
      <c r="BV576" s="58" t="e">
        <f>VLOOKUP(AQ576,'[1]Harga &amp; Nama CSO'!$A$28:$D$31,4,0)*BP576</f>
        <v>#N/A</v>
      </c>
    </row>
    <row r="577" spans="41:74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55" t="e">
        <f>IFERROR(VLOOKUP(AQ577,'[1]Harga &amp; Nama CSO'!$H$2:$N$22,2,FALSE),"")*AV577</f>
        <v>#VALUE!</v>
      </c>
      <c r="BO577" s="40"/>
      <c r="BP577" s="39"/>
      <c r="BQ577" s="59"/>
      <c r="BR577" s="39"/>
      <c r="BS577" s="57" t="e">
        <f t="shared" si="29"/>
        <v>#VALUE!</v>
      </c>
      <c r="BT577" s="60"/>
      <c r="BU577" s="8">
        <v>0</v>
      </c>
      <c r="BV577" s="58" t="e">
        <f>VLOOKUP(AQ577,'[1]Harga &amp; Nama CSO'!$A$28:$D$31,4,0)*BP577</f>
        <v>#N/A</v>
      </c>
    </row>
    <row r="578" spans="41:74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55" t="e">
        <f>IFERROR(VLOOKUP(AQ578,'[1]Harga &amp; Nama CSO'!$H$2:$N$22,2,FALSE),"")*AV578</f>
        <v>#VALUE!</v>
      </c>
      <c r="BO578" s="40"/>
      <c r="BP578" s="39"/>
      <c r="BQ578" s="59"/>
      <c r="BR578" s="39"/>
      <c r="BS578" s="57" t="e">
        <f t="shared" si="29"/>
        <v>#VALUE!</v>
      </c>
      <c r="BT578" s="60"/>
      <c r="BU578" s="8">
        <v>0</v>
      </c>
      <c r="BV578" s="58" t="e">
        <f>VLOOKUP(AQ578,'[1]Harga &amp; Nama CSO'!$A$28:$D$31,4,0)*BP578</f>
        <v>#N/A</v>
      </c>
    </row>
    <row r="579" spans="41:74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55" t="e">
        <f>IFERROR(VLOOKUP(AQ579,'[1]Harga &amp; Nama CSO'!$H$2:$N$22,2,FALSE),"")*AV579</f>
        <v>#VALUE!</v>
      </c>
      <c r="BO579" s="40"/>
      <c r="BP579" s="39"/>
      <c r="BQ579" s="59"/>
      <c r="BR579" s="39"/>
      <c r="BS579" s="57" t="e">
        <f t="shared" ref="BS579:BS642" si="30">BN579-BQ579</f>
        <v>#VALUE!</v>
      </c>
      <c r="BT579" s="60"/>
      <c r="BU579" s="8">
        <v>0</v>
      </c>
      <c r="BV579" s="58" t="e">
        <f>VLOOKUP(AQ579,'[1]Harga &amp; Nama CSO'!$A$28:$D$31,4,0)*BP579</f>
        <v>#N/A</v>
      </c>
    </row>
    <row r="580" spans="41:74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55" t="e">
        <f>IFERROR(VLOOKUP(AQ580,'[1]Harga &amp; Nama CSO'!$H$2:$N$22,2,FALSE),"")*AV580</f>
        <v>#VALUE!</v>
      </c>
      <c r="BO580" s="40"/>
      <c r="BP580" s="39"/>
      <c r="BQ580" s="59"/>
      <c r="BR580" s="39"/>
      <c r="BS580" s="57" t="e">
        <f t="shared" si="30"/>
        <v>#VALUE!</v>
      </c>
      <c r="BT580" s="60"/>
      <c r="BU580" s="8">
        <v>0</v>
      </c>
      <c r="BV580" s="58" t="e">
        <f>VLOOKUP(AQ580,'[1]Harga &amp; Nama CSO'!$A$28:$D$31,4,0)*BP580</f>
        <v>#N/A</v>
      </c>
    </row>
    <row r="581" spans="41:74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55" t="e">
        <f>IFERROR(VLOOKUP(AQ581,'[1]Harga &amp; Nama CSO'!$H$2:$N$22,2,FALSE),"")*AV581</f>
        <v>#VALUE!</v>
      </c>
      <c r="BO581" s="40"/>
      <c r="BP581" s="39"/>
      <c r="BQ581" s="59"/>
      <c r="BR581" s="39"/>
      <c r="BS581" s="57" t="e">
        <f t="shared" si="30"/>
        <v>#VALUE!</v>
      </c>
      <c r="BT581" s="60"/>
      <c r="BU581" s="8">
        <v>0</v>
      </c>
      <c r="BV581" s="58" t="e">
        <f>VLOOKUP(AQ581,'[1]Harga &amp; Nama CSO'!$A$28:$D$31,4,0)*BP581</f>
        <v>#N/A</v>
      </c>
    </row>
    <row r="582" spans="41:74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55" t="e">
        <f>IFERROR(VLOOKUP(AQ582,'[1]Harga &amp; Nama CSO'!$H$2:$N$22,2,FALSE),"")*AV582</f>
        <v>#VALUE!</v>
      </c>
      <c r="BO582" s="40"/>
      <c r="BP582" s="39"/>
      <c r="BQ582" s="59"/>
      <c r="BR582" s="39"/>
      <c r="BS582" s="57" t="e">
        <f t="shared" si="30"/>
        <v>#VALUE!</v>
      </c>
      <c r="BT582" s="60"/>
      <c r="BU582" s="8">
        <v>0</v>
      </c>
      <c r="BV582" s="58" t="e">
        <f>VLOOKUP(AQ582,'[1]Harga &amp; Nama CSO'!$A$28:$D$31,4,0)*BP582</f>
        <v>#N/A</v>
      </c>
    </row>
    <row r="583" spans="41:74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55" t="e">
        <f>IFERROR(VLOOKUP(AQ583,'[1]Harga &amp; Nama CSO'!$H$2:$N$22,2,FALSE),"")*AV583</f>
        <v>#VALUE!</v>
      </c>
      <c r="BO583" s="40"/>
      <c r="BP583" s="39"/>
      <c r="BQ583" s="59"/>
      <c r="BR583" s="39"/>
      <c r="BS583" s="57" t="e">
        <f t="shared" si="30"/>
        <v>#VALUE!</v>
      </c>
      <c r="BT583" s="60"/>
      <c r="BU583" s="8">
        <v>0</v>
      </c>
      <c r="BV583" s="58" t="e">
        <f>VLOOKUP(AQ583,'[1]Harga &amp; Nama CSO'!$A$28:$D$31,4,0)*BP583</f>
        <v>#N/A</v>
      </c>
    </row>
    <row r="584" spans="41:74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55" t="e">
        <f>IFERROR(VLOOKUP(AQ584,'[1]Harga &amp; Nama CSO'!$H$2:$N$22,2,FALSE),"")*AV584</f>
        <v>#VALUE!</v>
      </c>
      <c r="BO584" s="40"/>
      <c r="BP584" s="39"/>
      <c r="BQ584" s="59"/>
      <c r="BR584" s="39"/>
      <c r="BS584" s="57" t="e">
        <f t="shared" si="30"/>
        <v>#VALUE!</v>
      </c>
      <c r="BT584" s="60"/>
      <c r="BU584" s="8">
        <v>0</v>
      </c>
      <c r="BV584" s="58" t="e">
        <f>VLOOKUP(AQ584,'[1]Harga &amp; Nama CSO'!$A$28:$D$31,4,0)*BP584</f>
        <v>#N/A</v>
      </c>
    </row>
    <row r="585" spans="41:74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55" t="e">
        <f>IFERROR(VLOOKUP(AQ585,'[1]Harga &amp; Nama CSO'!$H$2:$N$22,2,FALSE),"")*AV585</f>
        <v>#VALUE!</v>
      </c>
      <c r="BO585" s="40"/>
      <c r="BP585" s="39"/>
      <c r="BQ585" s="59"/>
      <c r="BR585" s="39"/>
      <c r="BS585" s="57" t="e">
        <f t="shared" si="30"/>
        <v>#VALUE!</v>
      </c>
      <c r="BT585" s="60"/>
      <c r="BU585" s="8">
        <v>0</v>
      </c>
      <c r="BV585" s="58" t="e">
        <f>VLOOKUP(AQ585,'[1]Harga &amp; Nama CSO'!$A$28:$D$31,4,0)*BP585</f>
        <v>#N/A</v>
      </c>
    </row>
    <row r="586" spans="41:74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55" t="e">
        <f>IFERROR(VLOOKUP(AQ586,'[1]Harga &amp; Nama CSO'!$H$2:$N$22,2,FALSE),"")*AV586</f>
        <v>#VALUE!</v>
      </c>
      <c r="BO586" s="40"/>
      <c r="BP586" s="39"/>
      <c r="BQ586" s="59"/>
      <c r="BR586" s="39"/>
      <c r="BS586" s="57" t="e">
        <f t="shared" si="30"/>
        <v>#VALUE!</v>
      </c>
      <c r="BT586" s="60"/>
      <c r="BU586" s="8">
        <v>0</v>
      </c>
      <c r="BV586" s="58" t="e">
        <f>VLOOKUP(AQ586,'[1]Harga &amp; Nama CSO'!$A$28:$D$31,4,0)*BP586</f>
        <v>#N/A</v>
      </c>
    </row>
    <row r="587" spans="41:74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55" t="e">
        <f>IFERROR(VLOOKUP(AQ587,'[1]Harga &amp; Nama CSO'!$H$2:$N$22,2,FALSE),"")*AV587</f>
        <v>#VALUE!</v>
      </c>
      <c r="BO587" s="40"/>
      <c r="BP587" s="39"/>
      <c r="BQ587" s="59"/>
      <c r="BR587" s="39"/>
      <c r="BS587" s="57" t="e">
        <f t="shared" si="30"/>
        <v>#VALUE!</v>
      </c>
      <c r="BT587" s="60"/>
      <c r="BU587" s="8">
        <v>0</v>
      </c>
      <c r="BV587" s="58" t="e">
        <f>VLOOKUP(AQ587,'[1]Harga &amp; Nama CSO'!$A$28:$D$31,4,0)*BP587</f>
        <v>#N/A</v>
      </c>
    </row>
    <row r="588" spans="41:74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55" t="e">
        <f>IFERROR(VLOOKUP(AQ588,'[1]Harga &amp; Nama CSO'!$H$2:$N$22,2,FALSE),"")*AV588</f>
        <v>#VALUE!</v>
      </c>
      <c r="BO588" s="40"/>
      <c r="BP588" s="4"/>
      <c r="BQ588" s="62"/>
      <c r="BR588" s="4"/>
      <c r="BS588" s="57" t="e">
        <f t="shared" si="30"/>
        <v>#VALUE!</v>
      </c>
      <c r="BT588" s="63"/>
      <c r="BU588" s="8">
        <v>0</v>
      </c>
      <c r="BV588" s="58" t="e">
        <f>VLOOKUP(AQ588,'[1]Harga &amp; Nama CSO'!$A$28:$D$31,4,0)*BP588</f>
        <v>#N/A</v>
      </c>
    </row>
    <row r="589" spans="41:74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55" t="e">
        <f>IFERROR(VLOOKUP(AQ589,'[1]Harga &amp; Nama CSO'!$H$2:$N$22,2,FALSE),"")*AV589</f>
        <v>#VALUE!</v>
      </c>
      <c r="BO589" s="40"/>
      <c r="BP589" s="4"/>
      <c r="BQ589" s="62"/>
      <c r="BR589" s="4"/>
      <c r="BS589" s="57" t="e">
        <f t="shared" si="30"/>
        <v>#VALUE!</v>
      </c>
      <c r="BT589" s="63"/>
      <c r="BU589" s="8">
        <v>0</v>
      </c>
      <c r="BV589" s="58" t="e">
        <f>VLOOKUP(AQ589,'[1]Harga &amp; Nama CSO'!$A$28:$D$31,4,0)*BP589</f>
        <v>#N/A</v>
      </c>
    </row>
    <row r="590" spans="41:74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55" t="e">
        <f>IFERROR(VLOOKUP(AQ590,'[1]Harga &amp; Nama CSO'!$H$2:$N$22,2,FALSE),"")*AV590</f>
        <v>#VALUE!</v>
      </c>
      <c r="BO590" s="40"/>
      <c r="BP590" s="4"/>
      <c r="BQ590" s="62"/>
      <c r="BR590" s="4"/>
      <c r="BS590" s="57" t="e">
        <f t="shared" si="30"/>
        <v>#VALUE!</v>
      </c>
      <c r="BT590" s="63"/>
      <c r="BU590" s="8">
        <v>0</v>
      </c>
      <c r="BV590" s="58" t="e">
        <f>VLOOKUP(AQ590,'[1]Harga &amp; Nama CSO'!$A$28:$D$31,4,0)*BP590</f>
        <v>#N/A</v>
      </c>
    </row>
    <row r="591" spans="41:74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55" t="e">
        <f>IFERROR(VLOOKUP(AQ591,'[1]Harga &amp; Nama CSO'!$H$2:$N$22,2,FALSE),"")*AV591</f>
        <v>#VALUE!</v>
      </c>
      <c r="BO591" s="40"/>
      <c r="BP591" s="4"/>
      <c r="BQ591" s="62"/>
      <c r="BR591" s="4"/>
      <c r="BS591" s="57" t="e">
        <f t="shared" si="30"/>
        <v>#VALUE!</v>
      </c>
      <c r="BT591" s="63"/>
      <c r="BU591" s="8">
        <v>0</v>
      </c>
      <c r="BV591" s="58" t="e">
        <f>VLOOKUP(AQ591,'[1]Harga &amp; Nama CSO'!$A$28:$D$31,4,0)*BP591</f>
        <v>#N/A</v>
      </c>
    </row>
    <row r="592" spans="41:74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55" t="e">
        <f>IFERROR(VLOOKUP(AQ592,'[1]Harga &amp; Nama CSO'!$H$2:$N$22,2,FALSE),"")*AV592</f>
        <v>#VALUE!</v>
      </c>
      <c r="BO592" s="40"/>
      <c r="BP592" s="4"/>
      <c r="BQ592" s="62"/>
      <c r="BR592" s="4"/>
      <c r="BS592" s="57" t="e">
        <f t="shared" si="30"/>
        <v>#VALUE!</v>
      </c>
      <c r="BT592" s="63"/>
      <c r="BU592" s="8">
        <v>0</v>
      </c>
      <c r="BV592" s="58" t="e">
        <f>VLOOKUP(AQ592,'[1]Harga &amp; Nama CSO'!$A$28:$D$31,4,0)*BP592</f>
        <v>#N/A</v>
      </c>
    </row>
    <row r="593" spans="41:74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55" t="e">
        <f>IFERROR(VLOOKUP(AQ593,'[1]Harga &amp; Nama CSO'!$H$2:$N$22,2,FALSE),"")*AV593</f>
        <v>#VALUE!</v>
      </c>
      <c r="BO593" s="40"/>
      <c r="BP593" s="4"/>
      <c r="BQ593" s="62"/>
      <c r="BR593" s="4"/>
      <c r="BS593" s="57" t="e">
        <f t="shared" si="30"/>
        <v>#VALUE!</v>
      </c>
      <c r="BT593" s="63"/>
      <c r="BU593" s="8">
        <v>0</v>
      </c>
      <c r="BV593" s="58" t="e">
        <f>VLOOKUP(AQ593,'[1]Harga &amp; Nama CSO'!$A$28:$D$31,4,0)*BP593</f>
        <v>#N/A</v>
      </c>
    </row>
    <row r="594" spans="41:74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55" t="e">
        <f>IFERROR(VLOOKUP(AQ594,'[1]Harga &amp; Nama CSO'!$H$2:$N$22,2,FALSE),"")*AV594</f>
        <v>#VALUE!</v>
      </c>
      <c r="BO594" s="40"/>
      <c r="BP594" s="4"/>
      <c r="BQ594" s="62"/>
      <c r="BR594" s="4"/>
      <c r="BS594" s="57" t="e">
        <f t="shared" si="30"/>
        <v>#VALUE!</v>
      </c>
      <c r="BT594" s="63"/>
      <c r="BU594" s="8">
        <v>0</v>
      </c>
      <c r="BV594" s="58" t="e">
        <f>VLOOKUP(AQ594,'[1]Harga &amp; Nama CSO'!$A$28:$D$31,4,0)*BP594</f>
        <v>#N/A</v>
      </c>
    </row>
    <row r="595" spans="41:74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55" t="e">
        <f>IFERROR(VLOOKUP(AQ595,'[1]Harga &amp; Nama CSO'!$H$2:$N$22,2,FALSE),"")*AV595</f>
        <v>#VALUE!</v>
      </c>
      <c r="BO595" s="40"/>
      <c r="BP595" s="4"/>
      <c r="BQ595" s="62"/>
      <c r="BR595" s="4"/>
      <c r="BS595" s="57" t="e">
        <f t="shared" si="30"/>
        <v>#VALUE!</v>
      </c>
      <c r="BT595" s="63"/>
      <c r="BU595" s="8">
        <v>0</v>
      </c>
      <c r="BV595" s="58" t="e">
        <f>VLOOKUP(AQ595,'[1]Harga &amp; Nama CSO'!$A$28:$D$31,4,0)*BP595</f>
        <v>#N/A</v>
      </c>
    </row>
    <row r="596" spans="41:74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55" t="e">
        <f>IFERROR(VLOOKUP(AQ596,'[1]Harga &amp; Nama CSO'!$H$2:$N$22,2,FALSE),"")*AV596</f>
        <v>#VALUE!</v>
      </c>
      <c r="BO596" s="40"/>
      <c r="BP596" s="4"/>
      <c r="BQ596" s="62"/>
      <c r="BR596" s="4"/>
      <c r="BS596" s="57" t="e">
        <f t="shared" si="30"/>
        <v>#VALUE!</v>
      </c>
      <c r="BT596" s="63"/>
      <c r="BU596" s="8">
        <v>0</v>
      </c>
      <c r="BV596" s="58" t="e">
        <f>VLOOKUP(AQ596,'[1]Harga &amp; Nama CSO'!$A$28:$D$31,4,0)*BP596</f>
        <v>#N/A</v>
      </c>
    </row>
    <row r="597" spans="41:74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55" t="e">
        <f>IFERROR(VLOOKUP(AQ597,'[1]Harga &amp; Nama CSO'!$H$2:$N$22,2,FALSE),"")*AV597</f>
        <v>#VALUE!</v>
      </c>
      <c r="BO597" s="40"/>
      <c r="BP597" s="4"/>
      <c r="BQ597" s="62"/>
      <c r="BR597" s="4"/>
      <c r="BS597" s="57" t="e">
        <f t="shared" si="30"/>
        <v>#VALUE!</v>
      </c>
      <c r="BT597" s="63"/>
      <c r="BU597" s="8">
        <v>0</v>
      </c>
      <c r="BV597" s="58" t="e">
        <f>VLOOKUP(AQ597,'[1]Harga &amp; Nama CSO'!$A$28:$D$31,4,0)*BP597</f>
        <v>#N/A</v>
      </c>
    </row>
    <row r="598" spans="41:74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55" t="e">
        <f>IFERROR(VLOOKUP(AQ598,'[1]Harga &amp; Nama CSO'!$H$2:$N$22,2,FALSE),"")*AV598</f>
        <v>#VALUE!</v>
      </c>
      <c r="BO598" s="40"/>
      <c r="BP598" s="4"/>
      <c r="BQ598" s="62"/>
      <c r="BR598" s="4"/>
      <c r="BS598" s="57" t="e">
        <f t="shared" si="30"/>
        <v>#VALUE!</v>
      </c>
      <c r="BT598" s="63"/>
      <c r="BU598" s="8">
        <v>0</v>
      </c>
      <c r="BV598" s="58" t="e">
        <f>VLOOKUP(AQ598,'[1]Harga &amp; Nama CSO'!$A$28:$D$31,4,0)*BP598</f>
        <v>#N/A</v>
      </c>
    </row>
    <row r="599" spans="41:74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55" t="e">
        <f>IFERROR(VLOOKUP(AQ599,'[1]Harga &amp; Nama CSO'!$H$2:$N$22,2,FALSE),"")*AV599</f>
        <v>#VALUE!</v>
      </c>
      <c r="BO599" s="40"/>
      <c r="BP599" s="4"/>
      <c r="BQ599" s="62"/>
      <c r="BR599" s="4"/>
      <c r="BS599" s="57" t="e">
        <f t="shared" si="30"/>
        <v>#VALUE!</v>
      </c>
      <c r="BT599" s="63"/>
      <c r="BU599" s="8">
        <v>0</v>
      </c>
      <c r="BV599" s="58" t="e">
        <f>VLOOKUP(AQ599,'[1]Harga &amp; Nama CSO'!$A$28:$D$31,4,0)*BP599</f>
        <v>#N/A</v>
      </c>
    </row>
    <row r="600" spans="41:74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55" t="e">
        <f>IFERROR(VLOOKUP(AQ600,'[1]Harga &amp; Nama CSO'!$H$2:$N$22,2,FALSE),"")*AV600</f>
        <v>#VALUE!</v>
      </c>
      <c r="BO600" s="40"/>
      <c r="BP600" s="4"/>
      <c r="BQ600" s="62"/>
      <c r="BR600" s="4"/>
      <c r="BS600" s="57" t="e">
        <f t="shared" si="30"/>
        <v>#VALUE!</v>
      </c>
      <c r="BT600" s="63"/>
      <c r="BU600" s="8">
        <v>0</v>
      </c>
      <c r="BV600" s="58" t="e">
        <f>VLOOKUP(AQ600,'[1]Harga &amp; Nama CSO'!$A$28:$D$31,4,0)*BP600</f>
        <v>#N/A</v>
      </c>
    </row>
    <row r="601" spans="41:74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55" t="e">
        <f>IFERROR(VLOOKUP(AQ601,'[1]Harga &amp; Nama CSO'!$H$2:$N$22,2,FALSE),"")*AV601</f>
        <v>#VALUE!</v>
      </c>
      <c r="BO601" s="40"/>
      <c r="BP601" s="4"/>
      <c r="BQ601" s="62"/>
      <c r="BR601" s="4"/>
      <c r="BS601" s="57" t="e">
        <f t="shared" si="30"/>
        <v>#VALUE!</v>
      </c>
      <c r="BT601" s="63"/>
      <c r="BU601" s="8">
        <v>0</v>
      </c>
      <c r="BV601" s="58" t="e">
        <f>VLOOKUP(AQ601,'[1]Harga &amp; Nama CSO'!$A$28:$D$31,4,0)*BP601</f>
        <v>#N/A</v>
      </c>
    </row>
    <row r="602" spans="41:74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55" t="e">
        <f>IFERROR(VLOOKUP(AQ602,'[1]Harga &amp; Nama CSO'!$H$2:$N$22,2,FALSE),"")*AV602</f>
        <v>#VALUE!</v>
      </c>
      <c r="BO602" s="40"/>
      <c r="BP602" s="4"/>
      <c r="BQ602" s="62"/>
      <c r="BR602" s="4"/>
      <c r="BS602" s="57" t="e">
        <f t="shared" si="30"/>
        <v>#VALUE!</v>
      </c>
      <c r="BT602" s="63"/>
      <c r="BU602" s="8">
        <v>0</v>
      </c>
      <c r="BV602" s="58" t="e">
        <f>VLOOKUP(AQ602,'[1]Harga &amp; Nama CSO'!$A$28:$D$31,4,0)*BP602</f>
        <v>#N/A</v>
      </c>
    </row>
    <row r="603" spans="41:74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55" t="e">
        <f>IFERROR(VLOOKUP(AQ603,'[1]Harga &amp; Nama CSO'!$H$2:$N$22,2,FALSE),"")*AV603</f>
        <v>#VALUE!</v>
      </c>
      <c r="BO603" s="40"/>
      <c r="BP603" s="4"/>
      <c r="BQ603" s="62"/>
      <c r="BR603" s="4"/>
      <c r="BS603" s="57" t="e">
        <f t="shared" si="30"/>
        <v>#VALUE!</v>
      </c>
      <c r="BT603" s="63"/>
      <c r="BU603" s="8">
        <v>0</v>
      </c>
      <c r="BV603" s="58" t="e">
        <f>VLOOKUP(AQ603,'[1]Harga &amp; Nama CSO'!$A$28:$D$31,4,0)*BP603</f>
        <v>#N/A</v>
      </c>
    </row>
    <row r="604" spans="41:74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55" t="e">
        <f>IFERROR(VLOOKUP(AQ604,'[1]Harga &amp; Nama CSO'!$H$2:$N$22,2,FALSE),"")*AV604</f>
        <v>#VALUE!</v>
      </c>
      <c r="BO604" s="40"/>
      <c r="BP604" s="4"/>
      <c r="BQ604" s="62"/>
      <c r="BR604" s="4"/>
      <c r="BS604" s="57" t="e">
        <f t="shared" si="30"/>
        <v>#VALUE!</v>
      </c>
      <c r="BT604" s="63"/>
      <c r="BU604" s="8">
        <v>0</v>
      </c>
      <c r="BV604" s="58" t="e">
        <f>VLOOKUP(AQ604,'[1]Harga &amp; Nama CSO'!$A$28:$D$31,4,0)*BP604</f>
        <v>#N/A</v>
      </c>
    </row>
    <row r="605" spans="41:74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55" t="e">
        <f>IFERROR(VLOOKUP(AQ605,'[1]Harga &amp; Nama CSO'!$H$2:$N$22,2,FALSE),"")*AV605</f>
        <v>#VALUE!</v>
      </c>
      <c r="BO605" s="40"/>
      <c r="BP605" s="4"/>
      <c r="BQ605" s="62"/>
      <c r="BR605" s="4"/>
      <c r="BS605" s="57" t="e">
        <f t="shared" si="30"/>
        <v>#VALUE!</v>
      </c>
      <c r="BT605" s="63"/>
      <c r="BU605" s="8">
        <v>0</v>
      </c>
      <c r="BV605" s="58" t="e">
        <f>VLOOKUP(AQ605,'[1]Harga &amp; Nama CSO'!$A$28:$D$31,4,0)*BP605</f>
        <v>#N/A</v>
      </c>
    </row>
    <row r="606" spans="41:74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55" t="e">
        <f>IFERROR(VLOOKUP(AQ606,'[1]Harga &amp; Nama CSO'!$H$2:$N$22,2,FALSE),"")*AV606</f>
        <v>#VALUE!</v>
      </c>
      <c r="BO606" s="40"/>
      <c r="BP606" s="4"/>
      <c r="BQ606" s="62"/>
      <c r="BR606" s="4"/>
      <c r="BS606" s="57" t="e">
        <f t="shared" si="30"/>
        <v>#VALUE!</v>
      </c>
      <c r="BT606" s="63"/>
      <c r="BU606" s="8">
        <v>0</v>
      </c>
      <c r="BV606" s="58" t="e">
        <f>VLOOKUP(AQ606,'[1]Harga &amp; Nama CSO'!$A$28:$D$31,4,0)*BP606</f>
        <v>#N/A</v>
      </c>
    </row>
    <row r="607" spans="41:74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55" t="e">
        <f>IFERROR(VLOOKUP(AQ607,'[1]Harga &amp; Nama CSO'!$H$2:$N$22,2,FALSE),"")*AV607</f>
        <v>#VALUE!</v>
      </c>
      <c r="BO607" s="40"/>
      <c r="BP607" s="4"/>
      <c r="BQ607" s="62"/>
      <c r="BR607" s="4"/>
      <c r="BS607" s="57" t="e">
        <f t="shared" si="30"/>
        <v>#VALUE!</v>
      </c>
      <c r="BT607" s="63"/>
      <c r="BU607" s="8">
        <v>0</v>
      </c>
      <c r="BV607" s="58" t="e">
        <f>VLOOKUP(AQ607,'[1]Harga &amp; Nama CSO'!$A$28:$D$31,4,0)*BP607</f>
        <v>#N/A</v>
      </c>
    </row>
    <row r="608" spans="41:74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55" t="e">
        <f>IFERROR(VLOOKUP(AQ608,'[1]Harga &amp; Nama CSO'!$H$2:$N$22,2,FALSE),"")*AV608</f>
        <v>#VALUE!</v>
      </c>
      <c r="BO608" s="40"/>
      <c r="BP608" s="4"/>
      <c r="BQ608" s="62"/>
      <c r="BR608" s="4"/>
      <c r="BS608" s="57" t="e">
        <f t="shared" si="30"/>
        <v>#VALUE!</v>
      </c>
      <c r="BT608" s="63"/>
      <c r="BU608" s="8">
        <v>0</v>
      </c>
      <c r="BV608" s="58" t="e">
        <f>VLOOKUP(AQ608,'[1]Harga &amp; Nama CSO'!$A$28:$D$31,4,0)*BP608</f>
        <v>#N/A</v>
      </c>
    </row>
    <row r="609" spans="41:74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55" t="e">
        <f>IFERROR(VLOOKUP(AQ609,'[1]Harga &amp; Nama CSO'!$H$2:$N$22,2,FALSE),"")*AV609</f>
        <v>#VALUE!</v>
      </c>
      <c r="BO609" s="40"/>
      <c r="BP609" s="4"/>
      <c r="BQ609" s="62"/>
      <c r="BR609" s="4"/>
      <c r="BS609" s="57" t="e">
        <f t="shared" si="30"/>
        <v>#VALUE!</v>
      </c>
      <c r="BT609" s="63"/>
      <c r="BU609" s="8">
        <v>0</v>
      </c>
      <c r="BV609" s="58" t="e">
        <f>VLOOKUP(AQ609,'[1]Harga &amp; Nama CSO'!$A$28:$D$31,4,0)*BP609</f>
        <v>#N/A</v>
      </c>
    </row>
    <row r="610" spans="41:74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55" t="e">
        <f>IFERROR(VLOOKUP(AQ610,'[1]Harga &amp; Nama CSO'!$H$2:$N$22,2,FALSE),"")*AV610</f>
        <v>#VALUE!</v>
      </c>
      <c r="BO610" s="40"/>
      <c r="BP610" s="4"/>
      <c r="BQ610" s="62"/>
      <c r="BR610" s="4"/>
      <c r="BS610" s="57" t="e">
        <f t="shared" si="30"/>
        <v>#VALUE!</v>
      </c>
      <c r="BT610" s="63"/>
      <c r="BU610" s="8">
        <v>0</v>
      </c>
      <c r="BV610" s="58" t="e">
        <f>VLOOKUP(AQ610,'[1]Harga &amp; Nama CSO'!$A$28:$D$31,4,0)*BP610</f>
        <v>#N/A</v>
      </c>
    </row>
    <row r="611" spans="41:74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55" t="e">
        <f>IFERROR(VLOOKUP(AQ611,'[1]Harga &amp; Nama CSO'!$H$2:$N$22,2,FALSE),"")*AV611</f>
        <v>#VALUE!</v>
      </c>
      <c r="BO611" s="40"/>
      <c r="BP611" s="4"/>
      <c r="BQ611" s="62"/>
      <c r="BR611" s="4"/>
      <c r="BS611" s="57" t="e">
        <f t="shared" si="30"/>
        <v>#VALUE!</v>
      </c>
      <c r="BT611" s="63"/>
      <c r="BU611" s="8">
        <v>0</v>
      </c>
      <c r="BV611" s="58" t="e">
        <f>VLOOKUP(AQ611,'[1]Harga &amp; Nama CSO'!$A$28:$D$31,4,0)*BP611</f>
        <v>#N/A</v>
      </c>
    </row>
    <row r="612" spans="41:74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55" t="e">
        <f>IFERROR(VLOOKUP(AQ612,'[1]Harga &amp; Nama CSO'!$H$2:$N$22,2,FALSE),"")*AV612</f>
        <v>#VALUE!</v>
      </c>
      <c r="BO612" s="40"/>
      <c r="BP612" s="4"/>
      <c r="BQ612" s="62"/>
      <c r="BR612" s="4"/>
      <c r="BS612" s="57" t="e">
        <f t="shared" si="30"/>
        <v>#VALUE!</v>
      </c>
      <c r="BT612" s="63"/>
      <c r="BU612" s="8">
        <v>0</v>
      </c>
      <c r="BV612" s="58" t="e">
        <f>VLOOKUP(AQ612,'[1]Harga &amp; Nama CSO'!$A$28:$D$31,4,0)*BP612</f>
        <v>#N/A</v>
      </c>
    </row>
    <row r="613" spans="41:74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55" t="e">
        <f>IFERROR(VLOOKUP(AQ613,'[1]Harga &amp; Nama CSO'!$H$2:$N$22,2,FALSE),"")*AV613</f>
        <v>#VALUE!</v>
      </c>
      <c r="BO613" s="40"/>
      <c r="BP613" s="4"/>
      <c r="BQ613" s="62"/>
      <c r="BR613" s="4"/>
      <c r="BS613" s="57" t="e">
        <f t="shared" si="30"/>
        <v>#VALUE!</v>
      </c>
      <c r="BT613" s="63"/>
      <c r="BU613" s="8">
        <v>0</v>
      </c>
      <c r="BV613" s="58" t="e">
        <f>VLOOKUP(AQ613,'[1]Harga &amp; Nama CSO'!$A$28:$D$31,4,0)*BP613</f>
        <v>#N/A</v>
      </c>
    </row>
    <row r="614" spans="41:74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55" t="e">
        <f>IFERROR(VLOOKUP(AQ614,'[1]Harga &amp; Nama CSO'!$H$2:$N$22,2,FALSE),"")*AV614</f>
        <v>#VALUE!</v>
      </c>
      <c r="BO614" s="40"/>
      <c r="BP614" s="4"/>
      <c r="BQ614" s="62"/>
      <c r="BR614" s="4"/>
      <c r="BS614" s="57" t="e">
        <f t="shared" si="30"/>
        <v>#VALUE!</v>
      </c>
      <c r="BT614" s="63"/>
      <c r="BU614" s="8">
        <v>0</v>
      </c>
      <c r="BV614" s="58" t="e">
        <f>VLOOKUP(AQ614,'[1]Harga &amp; Nama CSO'!$A$28:$D$31,4,0)*BP614</f>
        <v>#N/A</v>
      </c>
    </row>
    <row r="615" spans="41:74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55" t="e">
        <f>IFERROR(VLOOKUP(AQ615,'[1]Harga &amp; Nama CSO'!$H$2:$N$22,2,FALSE),"")*AV615</f>
        <v>#VALUE!</v>
      </c>
      <c r="BO615" s="40"/>
      <c r="BP615" s="4"/>
      <c r="BQ615" s="62"/>
      <c r="BR615" s="4"/>
      <c r="BS615" s="57" t="e">
        <f t="shared" si="30"/>
        <v>#VALUE!</v>
      </c>
      <c r="BT615" s="63"/>
      <c r="BU615" s="8">
        <v>0</v>
      </c>
      <c r="BV615" s="58" t="e">
        <f>VLOOKUP(AQ615,'[1]Harga &amp; Nama CSO'!$A$28:$D$31,4,0)*BP615</f>
        <v>#N/A</v>
      </c>
    </row>
    <row r="616" spans="41:74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55" t="e">
        <f>IFERROR(VLOOKUP(AQ616,'[1]Harga &amp; Nama CSO'!$H$2:$N$22,2,FALSE),"")*AV616</f>
        <v>#VALUE!</v>
      </c>
      <c r="BO616" s="40"/>
      <c r="BP616" s="4"/>
      <c r="BQ616" s="62"/>
      <c r="BR616" s="4"/>
      <c r="BS616" s="57" t="e">
        <f t="shared" si="30"/>
        <v>#VALUE!</v>
      </c>
      <c r="BT616" s="63"/>
      <c r="BU616" s="8">
        <v>0</v>
      </c>
      <c r="BV616" s="58" t="e">
        <f>VLOOKUP(AQ616,'[1]Harga &amp; Nama CSO'!$A$28:$D$31,4,0)*BP616</f>
        <v>#N/A</v>
      </c>
    </row>
    <row r="617" spans="41:74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55" t="e">
        <f>IFERROR(VLOOKUP(AQ617,'[1]Harga &amp; Nama CSO'!$H$2:$N$22,2,FALSE),"")*AV617</f>
        <v>#VALUE!</v>
      </c>
      <c r="BO617" s="40"/>
      <c r="BP617" s="4"/>
      <c r="BQ617" s="62"/>
      <c r="BR617" s="4"/>
      <c r="BS617" s="57" t="e">
        <f t="shared" si="30"/>
        <v>#VALUE!</v>
      </c>
      <c r="BT617" s="63"/>
      <c r="BU617" s="8">
        <v>0</v>
      </c>
      <c r="BV617" s="58" t="e">
        <f>VLOOKUP(AQ617,'[1]Harga &amp; Nama CSO'!$A$28:$D$31,4,0)*BP617</f>
        <v>#N/A</v>
      </c>
    </row>
    <row r="618" spans="41:74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55" t="e">
        <f>IFERROR(VLOOKUP(AQ618,'[1]Harga &amp; Nama CSO'!$H$2:$N$22,2,FALSE),"")*AV618</f>
        <v>#VALUE!</v>
      </c>
      <c r="BO618" s="40"/>
      <c r="BP618" s="4"/>
      <c r="BQ618" s="62"/>
      <c r="BR618" s="4"/>
      <c r="BS618" s="57" t="e">
        <f t="shared" si="30"/>
        <v>#VALUE!</v>
      </c>
      <c r="BT618" s="63"/>
      <c r="BU618" s="8">
        <v>0</v>
      </c>
      <c r="BV618" s="58" t="e">
        <f>VLOOKUP(AQ618,'[1]Harga &amp; Nama CSO'!$A$28:$D$31,4,0)*BP618</f>
        <v>#N/A</v>
      </c>
    </row>
    <row r="619" spans="41:74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55" t="e">
        <f>IFERROR(VLOOKUP(AQ619,'[1]Harga &amp; Nama CSO'!$H$2:$N$22,2,FALSE),"")*AV619</f>
        <v>#VALUE!</v>
      </c>
      <c r="BO619" s="40"/>
      <c r="BP619" s="4"/>
      <c r="BQ619" s="62"/>
      <c r="BR619" s="4"/>
      <c r="BS619" s="57" t="e">
        <f t="shared" si="30"/>
        <v>#VALUE!</v>
      </c>
      <c r="BT619" s="63"/>
      <c r="BU619" s="8">
        <v>0</v>
      </c>
      <c r="BV619" s="58" t="e">
        <f>VLOOKUP(AQ619,'[1]Harga &amp; Nama CSO'!$A$28:$D$31,4,0)*BP619</f>
        <v>#N/A</v>
      </c>
    </row>
    <row r="620" spans="41:74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55" t="e">
        <f>IFERROR(VLOOKUP(AQ620,'[1]Harga &amp; Nama CSO'!$H$2:$N$22,2,FALSE),"")*AV620</f>
        <v>#VALUE!</v>
      </c>
      <c r="BO620" s="40"/>
      <c r="BP620" s="4"/>
      <c r="BQ620" s="62"/>
      <c r="BR620" s="4"/>
      <c r="BS620" s="57" t="e">
        <f t="shared" si="30"/>
        <v>#VALUE!</v>
      </c>
      <c r="BT620" s="63"/>
      <c r="BU620" s="8">
        <v>0</v>
      </c>
      <c r="BV620" s="58" t="e">
        <f>VLOOKUP(AQ620,'[1]Harga &amp; Nama CSO'!$A$28:$D$31,4,0)*BP620</f>
        <v>#N/A</v>
      </c>
    </row>
    <row r="621" spans="41:74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55" t="e">
        <f>IFERROR(VLOOKUP(AQ621,'[1]Harga &amp; Nama CSO'!$H$2:$N$22,2,FALSE),"")*AV621</f>
        <v>#VALUE!</v>
      </c>
      <c r="BO621" s="40"/>
      <c r="BP621" s="4"/>
      <c r="BQ621" s="62"/>
      <c r="BR621" s="4"/>
      <c r="BS621" s="57" t="e">
        <f t="shared" si="30"/>
        <v>#VALUE!</v>
      </c>
      <c r="BT621" s="63"/>
      <c r="BU621" s="8">
        <v>0</v>
      </c>
      <c r="BV621" s="58" t="e">
        <f>VLOOKUP(AQ621,'[1]Harga &amp; Nama CSO'!$A$28:$D$31,4,0)*BP621</f>
        <v>#N/A</v>
      </c>
    </row>
    <row r="622" spans="41:74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55" t="e">
        <f>IFERROR(VLOOKUP(AQ622,'[1]Harga &amp; Nama CSO'!$H$2:$N$22,2,FALSE),"")*AV622</f>
        <v>#VALUE!</v>
      </c>
      <c r="BO622" s="40"/>
      <c r="BP622" s="4"/>
      <c r="BQ622" s="62"/>
      <c r="BR622" s="4"/>
      <c r="BS622" s="57" t="e">
        <f t="shared" si="30"/>
        <v>#VALUE!</v>
      </c>
      <c r="BT622" s="63"/>
      <c r="BU622" s="8">
        <v>0</v>
      </c>
      <c r="BV622" s="58" t="e">
        <f>VLOOKUP(AQ622,'[1]Harga &amp; Nama CSO'!$A$28:$D$31,4,0)*BP622</f>
        <v>#N/A</v>
      </c>
    </row>
    <row r="623" spans="41:74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55" t="e">
        <f>IFERROR(VLOOKUP(AQ623,'[1]Harga &amp; Nama CSO'!$H$2:$N$22,2,FALSE),"")*AV623</f>
        <v>#VALUE!</v>
      </c>
      <c r="BO623" s="40"/>
      <c r="BP623" s="4"/>
      <c r="BQ623" s="62"/>
      <c r="BR623" s="4"/>
      <c r="BS623" s="57" t="e">
        <f t="shared" si="30"/>
        <v>#VALUE!</v>
      </c>
      <c r="BT623" s="63"/>
      <c r="BU623" s="8">
        <v>0</v>
      </c>
      <c r="BV623" s="58" t="e">
        <f>VLOOKUP(AQ623,'[1]Harga &amp; Nama CSO'!$A$28:$D$31,4,0)*BP623</f>
        <v>#N/A</v>
      </c>
    </row>
    <row r="624" spans="41:74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55" t="e">
        <f>IFERROR(VLOOKUP(AQ624,'[1]Harga &amp; Nama CSO'!$H$2:$N$22,2,FALSE),"")*AV624</f>
        <v>#VALUE!</v>
      </c>
      <c r="BO624" s="40"/>
      <c r="BP624" s="4"/>
      <c r="BQ624" s="62"/>
      <c r="BR624" s="4"/>
      <c r="BS624" s="57" t="e">
        <f t="shared" si="30"/>
        <v>#VALUE!</v>
      </c>
      <c r="BT624" s="63"/>
      <c r="BU624" s="8">
        <v>0</v>
      </c>
      <c r="BV624" s="58" t="e">
        <f>VLOOKUP(AQ624,'[1]Harga &amp; Nama CSO'!$A$28:$D$31,4,0)*BP624</f>
        <v>#N/A</v>
      </c>
    </row>
    <row r="625" spans="41:74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55" t="e">
        <f>IFERROR(VLOOKUP(AQ625,'[1]Harga &amp; Nama CSO'!$H$2:$N$22,2,FALSE),"")*AV625</f>
        <v>#VALUE!</v>
      </c>
      <c r="BO625" s="40"/>
      <c r="BP625" s="4"/>
      <c r="BQ625" s="62"/>
      <c r="BR625" s="4"/>
      <c r="BS625" s="57" t="e">
        <f t="shared" si="30"/>
        <v>#VALUE!</v>
      </c>
      <c r="BT625" s="63"/>
      <c r="BU625" s="8">
        <v>0</v>
      </c>
      <c r="BV625" s="58" t="e">
        <f>VLOOKUP(AQ625,'[1]Harga &amp; Nama CSO'!$A$28:$D$31,4,0)*BP625</f>
        <v>#N/A</v>
      </c>
    </row>
    <row r="626" spans="41:74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55" t="e">
        <f>IFERROR(VLOOKUP(AQ626,'[1]Harga &amp; Nama CSO'!$H$2:$N$22,2,FALSE),"")*AV626</f>
        <v>#VALUE!</v>
      </c>
      <c r="BO626" s="40"/>
      <c r="BP626" s="4"/>
      <c r="BQ626" s="62"/>
      <c r="BR626" s="4"/>
      <c r="BS626" s="57" t="e">
        <f t="shared" si="30"/>
        <v>#VALUE!</v>
      </c>
      <c r="BT626" s="63"/>
      <c r="BU626" s="8">
        <v>0</v>
      </c>
      <c r="BV626" s="58" t="e">
        <f>VLOOKUP(AQ626,'[1]Harga &amp; Nama CSO'!$A$28:$D$31,4,0)*BP626</f>
        <v>#N/A</v>
      </c>
    </row>
    <row r="627" spans="41:74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55" t="e">
        <f>IFERROR(VLOOKUP(AQ627,'[1]Harga &amp; Nama CSO'!$H$2:$N$22,2,FALSE),"")*AV627</f>
        <v>#VALUE!</v>
      </c>
      <c r="BO627" s="40"/>
      <c r="BP627" s="4"/>
      <c r="BQ627" s="62"/>
      <c r="BR627" s="4"/>
      <c r="BS627" s="57" t="e">
        <f t="shared" si="30"/>
        <v>#VALUE!</v>
      </c>
      <c r="BT627" s="63"/>
      <c r="BU627" s="8">
        <v>0</v>
      </c>
      <c r="BV627" s="58" t="e">
        <f>VLOOKUP(AQ627,'[1]Harga &amp; Nama CSO'!$A$28:$D$31,4,0)*BP627</f>
        <v>#N/A</v>
      </c>
    </row>
    <row r="628" spans="41:74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55" t="e">
        <f>IFERROR(VLOOKUP(AQ628,'[1]Harga &amp; Nama CSO'!$H$2:$N$22,2,FALSE),"")*AV628</f>
        <v>#VALUE!</v>
      </c>
      <c r="BO628" s="40"/>
      <c r="BP628" s="4"/>
      <c r="BQ628" s="62"/>
      <c r="BR628" s="4"/>
      <c r="BS628" s="57" t="e">
        <f t="shared" si="30"/>
        <v>#VALUE!</v>
      </c>
      <c r="BT628" s="63"/>
      <c r="BU628" s="8">
        <v>0</v>
      </c>
      <c r="BV628" s="58" t="e">
        <f>VLOOKUP(AQ628,'[1]Harga &amp; Nama CSO'!$A$28:$D$31,4,0)*BP628</f>
        <v>#N/A</v>
      </c>
    </row>
    <row r="629" spans="41:74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55" t="e">
        <f>IFERROR(VLOOKUP(AQ629,'[1]Harga &amp; Nama CSO'!$H$2:$N$22,2,FALSE),"")*AV629</f>
        <v>#VALUE!</v>
      </c>
      <c r="BO629" s="40"/>
      <c r="BP629" s="4"/>
      <c r="BQ629" s="62"/>
      <c r="BR629" s="4"/>
      <c r="BS629" s="57" t="e">
        <f t="shared" si="30"/>
        <v>#VALUE!</v>
      </c>
      <c r="BT629" s="63"/>
      <c r="BU629" s="8">
        <v>0</v>
      </c>
      <c r="BV629" s="58" t="e">
        <f>VLOOKUP(AQ629,'[1]Harga &amp; Nama CSO'!$A$28:$D$31,4,0)*BP629</f>
        <v>#N/A</v>
      </c>
    </row>
    <row r="630" spans="41:74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55" t="e">
        <f>IFERROR(VLOOKUP(AQ630,'[1]Harga &amp; Nama CSO'!$H$2:$N$22,2,FALSE),"")*AV630</f>
        <v>#VALUE!</v>
      </c>
      <c r="BO630" s="40"/>
      <c r="BP630" s="4"/>
      <c r="BQ630" s="62"/>
      <c r="BR630" s="4"/>
      <c r="BS630" s="57" t="e">
        <f t="shared" si="30"/>
        <v>#VALUE!</v>
      </c>
      <c r="BT630" s="63"/>
      <c r="BU630" s="8">
        <v>0</v>
      </c>
      <c r="BV630" s="58" t="e">
        <f>VLOOKUP(AQ630,'[1]Harga &amp; Nama CSO'!$A$28:$D$31,4,0)*BP630</f>
        <v>#N/A</v>
      </c>
    </row>
    <row r="631" spans="41:74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55" t="e">
        <f>IFERROR(VLOOKUP(AQ631,'[1]Harga &amp; Nama CSO'!$H$2:$N$22,2,FALSE),"")*AV631</f>
        <v>#VALUE!</v>
      </c>
      <c r="BO631" s="40"/>
      <c r="BP631" s="4"/>
      <c r="BQ631" s="62"/>
      <c r="BR631" s="4"/>
      <c r="BS631" s="57" t="e">
        <f t="shared" si="30"/>
        <v>#VALUE!</v>
      </c>
      <c r="BT631" s="63"/>
      <c r="BU631" s="8">
        <v>0</v>
      </c>
      <c r="BV631" s="58" t="e">
        <f>VLOOKUP(AQ631,'[1]Harga &amp; Nama CSO'!$A$28:$D$31,4,0)*BP631</f>
        <v>#N/A</v>
      </c>
    </row>
    <row r="632" spans="41:74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55" t="e">
        <f>IFERROR(VLOOKUP(AQ632,'[1]Harga &amp; Nama CSO'!$H$2:$N$22,2,FALSE),"")*AV632</f>
        <v>#VALUE!</v>
      </c>
      <c r="BO632" s="40"/>
      <c r="BP632" s="4"/>
      <c r="BQ632" s="62"/>
      <c r="BR632" s="4"/>
      <c r="BS632" s="57" t="e">
        <f t="shared" si="30"/>
        <v>#VALUE!</v>
      </c>
      <c r="BT632" s="63"/>
      <c r="BU632" s="8">
        <v>0</v>
      </c>
      <c r="BV632" s="58" t="e">
        <f>VLOOKUP(AQ632,'[1]Harga &amp; Nama CSO'!$A$28:$D$31,4,0)*BP632</f>
        <v>#N/A</v>
      </c>
    </row>
    <row r="633" spans="41:74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55" t="e">
        <f>IFERROR(VLOOKUP(AQ633,'[1]Harga &amp; Nama CSO'!$H$2:$N$22,2,FALSE),"")*AV633</f>
        <v>#VALUE!</v>
      </c>
      <c r="BO633" s="40"/>
      <c r="BP633" s="4"/>
      <c r="BQ633" s="62"/>
      <c r="BR633" s="4"/>
      <c r="BS633" s="57" t="e">
        <f t="shared" si="30"/>
        <v>#VALUE!</v>
      </c>
      <c r="BT633" s="63"/>
      <c r="BU633" s="8">
        <v>0</v>
      </c>
      <c r="BV633" s="58" t="e">
        <f>VLOOKUP(AQ633,'[1]Harga &amp; Nama CSO'!$A$28:$D$31,4,0)*BP633</f>
        <v>#N/A</v>
      </c>
    </row>
    <row r="634" spans="41:74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55" t="e">
        <f>IFERROR(VLOOKUP(AQ634,'[1]Harga &amp; Nama CSO'!$H$2:$N$22,2,FALSE),"")*AV634</f>
        <v>#VALUE!</v>
      </c>
      <c r="BO634" s="40"/>
      <c r="BP634" s="4"/>
      <c r="BQ634" s="62"/>
      <c r="BR634" s="4"/>
      <c r="BS634" s="57" t="e">
        <f t="shared" si="30"/>
        <v>#VALUE!</v>
      </c>
      <c r="BT634" s="63"/>
      <c r="BU634" s="8">
        <v>0</v>
      </c>
      <c r="BV634" s="58" t="e">
        <f>VLOOKUP(AQ634,'[1]Harga &amp; Nama CSO'!$A$28:$D$31,4,0)*BP634</f>
        <v>#N/A</v>
      </c>
    </row>
    <row r="635" spans="41:74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55" t="e">
        <f>IFERROR(VLOOKUP(AQ635,'[1]Harga &amp; Nama CSO'!$H$2:$N$22,2,FALSE),"")*AV635</f>
        <v>#VALUE!</v>
      </c>
      <c r="BO635" s="40"/>
      <c r="BP635" s="4"/>
      <c r="BQ635" s="62"/>
      <c r="BR635" s="4"/>
      <c r="BS635" s="57" t="e">
        <f t="shared" si="30"/>
        <v>#VALUE!</v>
      </c>
      <c r="BT635" s="63"/>
      <c r="BU635" s="8">
        <v>0</v>
      </c>
      <c r="BV635" s="58" t="e">
        <f>VLOOKUP(AQ635,'[1]Harga &amp; Nama CSO'!$A$28:$D$31,4,0)*BP635</f>
        <v>#N/A</v>
      </c>
    </row>
    <row r="636" spans="41:74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55" t="e">
        <f>IFERROR(VLOOKUP(AQ636,'[1]Harga &amp; Nama CSO'!$H$2:$N$22,2,FALSE),"")*AV636</f>
        <v>#VALUE!</v>
      </c>
      <c r="BO636" s="40"/>
      <c r="BP636" s="4"/>
      <c r="BQ636" s="62"/>
      <c r="BR636" s="4"/>
      <c r="BS636" s="57" t="e">
        <f t="shared" si="30"/>
        <v>#VALUE!</v>
      </c>
      <c r="BT636" s="63"/>
      <c r="BU636" s="8">
        <v>0</v>
      </c>
      <c r="BV636" s="58" t="e">
        <f>VLOOKUP(AQ636,'[1]Harga &amp; Nama CSO'!$A$28:$D$31,4,0)*BP636</f>
        <v>#N/A</v>
      </c>
    </row>
    <row r="637" spans="41:74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55" t="e">
        <f>IFERROR(VLOOKUP(AQ637,'[1]Harga &amp; Nama CSO'!$H$2:$N$22,2,FALSE),"")*AV637</f>
        <v>#VALUE!</v>
      </c>
      <c r="BO637" s="40"/>
      <c r="BP637" s="4"/>
      <c r="BQ637" s="62"/>
      <c r="BR637" s="4"/>
      <c r="BS637" s="57" t="e">
        <f t="shared" si="30"/>
        <v>#VALUE!</v>
      </c>
      <c r="BT637" s="63"/>
      <c r="BU637" s="8">
        <v>0</v>
      </c>
      <c r="BV637" s="58" t="e">
        <f>VLOOKUP(AQ637,'[1]Harga &amp; Nama CSO'!$A$28:$D$31,4,0)*BP637</f>
        <v>#N/A</v>
      </c>
    </row>
    <row r="638" spans="41:74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55" t="e">
        <f>IFERROR(VLOOKUP(AQ638,'[1]Harga &amp; Nama CSO'!$H$2:$N$22,2,FALSE),"")*AV638</f>
        <v>#VALUE!</v>
      </c>
      <c r="BO638" s="40"/>
      <c r="BP638" s="4"/>
      <c r="BQ638" s="62"/>
      <c r="BR638" s="4"/>
      <c r="BS638" s="57" t="e">
        <f t="shared" si="30"/>
        <v>#VALUE!</v>
      </c>
      <c r="BT638" s="63"/>
      <c r="BU638" s="8">
        <v>0</v>
      </c>
      <c r="BV638" s="58" t="e">
        <f>VLOOKUP(AQ638,'[1]Harga &amp; Nama CSO'!$A$28:$D$31,4,0)*BP638</f>
        <v>#N/A</v>
      </c>
    </row>
    <row r="639" spans="41:74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55" t="e">
        <f>IFERROR(VLOOKUP(AQ639,'[1]Harga &amp; Nama CSO'!$H$2:$N$22,2,FALSE),"")*AV639</f>
        <v>#VALUE!</v>
      </c>
      <c r="BO639" s="40"/>
      <c r="BP639" s="4"/>
      <c r="BQ639" s="62"/>
      <c r="BR639" s="4"/>
      <c r="BS639" s="57" t="e">
        <f t="shared" si="30"/>
        <v>#VALUE!</v>
      </c>
      <c r="BT639" s="63"/>
      <c r="BU639" s="8">
        <v>0</v>
      </c>
      <c r="BV639" s="58" t="e">
        <f>VLOOKUP(AQ639,'[1]Harga &amp; Nama CSO'!$A$28:$D$31,4,0)*BP639</f>
        <v>#N/A</v>
      </c>
    </row>
    <row r="640" spans="41:74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55" t="e">
        <f>IFERROR(VLOOKUP(AQ640,'[1]Harga &amp; Nama CSO'!$H$2:$N$22,2,FALSE),"")*AV640</f>
        <v>#VALUE!</v>
      </c>
      <c r="BO640" s="40"/>
      <c r="BP640" s="4"/>
      <c r="BQ640" s="62"/>
      <c r="BR640" s="4"/>
      <c r="BS640" s="57" t="e">
        <f t="shared" si="30"/>
        <v>#VALUE!</v>
      </c>
      <c r="BT640" s="63"/>
      <c r="BU640" s="8">
        <v>0</v>
      </c>
      <c r="BV640" s="58" t="e">
        <f>VLOOKUP(AQ640,'[1]Harga &amp; Nama CSO'!$A$28:$D$31,4,0)*BP640</f>
        <v>#N/A</v>
      </c>
    </row>
    <row r="641" spans="41:74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55" t="e">
        <f>IFERROR(VLOOKUP(AQ641,'[1]Harga &amp; Nama CSO'!$H$2:$N$22,2,FALSE),"")*AV641</f>
        <v>#VALUE!</v>
      </c>
      <c r="BO641" s="40"/>
      <c r="BP641" s="4"/>
      <c r="BQ641" s="62"/>
      <c r="BR641" s="4"/>
      <c r="BS641" s="57" t="e">
        <f t="shared" si="30"/>
        <v>#VALUE!</v>
      </c>
      <c r="BT641" s="63"/>
      <c r="BU641" s="8">
        <v>0</v>
      </c>
      <c r="BV641" s="58" t="e">
        <f>VLOOKUP(AQ641,'[1]Harga &amp; Nama CSO'!$A$28:$D$31,4,0)*BP641</f>
        <v>#N/A</v>
      </c>
    </row>
    <row r="642" spans="41:74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55" t="e">
        <f>IFERROR(VLOOKUP(AQ642,'[1]Harga &amp; Nama CSO'!$H$2:$N$22,2,FALSE),"")*AV642</f>
        <v>#VALUE!</v>
      </c>
      <c r="BO642" s="40"/>
      <c r="BP642" s="4"/>
      <c r="BQ642" s="62"/>
      <c r="BR642" s="4"/>
      <c r="BS642" s="57" t="e">
        <f t="shared" si="30"/>
        <v>#VALUE!</v>
      </c>
      <c r="BT642" s="63"/>
      <c r="BU642" s="8">
        <v>0</v>
      </c>
      <c r="BV642" s="58" t="e">
        <f>VLOOKUP(AQ642,'[1]Harga &amp; Nama CSO'!$A$28:$D$31,4,0)*BP642</f>
        <v>#N/A</v>
      </c>
    </row>
    <row r="643" spans="41:74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55" t="e">
        <f>IFERROR(VLOOKUP(AQ643,'[1]Harga &amp; Nama CSO'!$H$2:$N$22,2,FALSE),"")*AV643</f>
        <v>#VALUE!</v>
      </c>
      <c r="BO643" s="40"/>
      <c r="BP643" s="4"/>
      <c r="BQ643" s="62"/>
      <c r="BR643" s="4"/>
      <c r="BS643" s="57" t="e">
        <f t="shared" ref="BS643:BS706" si="31">BN643-BQ643</f>
        <v>#VALUE!</v>
      </c>
      <c r="BT643" s="63"/>
      <c r="BU643" s="8">
        <v>0</v>
      </c>
      <c r="BV643" s="58" t="e">
        <f>VLOOKUP(AQ643,'[1]Harga &amp; Nama CSO'!$A$28:$D$31,4,0)*BP643</f>
        <v>#N/A</v>
      </c>
    </row>
    <row r="644" spans="41:74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55" t="e">
        <f>IFERROR(VLOOKUP(AQ644,'[1]Harga &amp; Nama CSO'!$H$2:$N$22,2,FALSE),"")*AV644</f>
        <v>#VALUE!</v>
      </c>
      <c r="BO644" s="40"/>
      <c r="BP644" s="4"/>
      <c r="BQ644" s="62"/>
      <c r="BR644" s="4"/>
      <c r="BS644" s="57" t="e">
        <f t="shared" si="31"/>
        <v>#VALUE!</v>
      </c>
      <c r="BT644" s="63"/>
      <c r="BU644" s="8">
        <v>0</v>
      </c>
      <c r="BV644" s="58" t="e">
        <f>VLOOKUP(AQ644,'[1]Harga &amp; Nama CSO'!$A$28:$D$31,4,0)*BP644</f>
        <v>#N/A</v>
      </c>
    </row>
    <row r="645" spans="41:74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55" t="e">
        <f>IFERROR(VLOOKUP(AQ645,'[1]Harga &amp; Nama CSO'!$H$2:$N$22,2,FALSE),"")*AV645</f>
        <v>#VALUE!</v>
      </c>
      <c r="BO645" s="40"/>
      <c r="BP645" s="4"/>
      <c r="BQ645" s="62"/>
      <c r="BR645" s="4"/>
      <c r="BS645" s="57" t="e">
        <f t="shared" si="31"/>
        <v>#VALUE!</v>
      </c>
      <c r="BT645" s="63"/>
      <c r="BU645" s="8">
        <v>0</v>
      </c>
      <c r="BV645" s="58" t="e">
        <f>VLOOKUP(AQ645,'[1]Harga &amp; Nama CSO'!$A$28:$D$31,4,0)*BP645</f>
        <v>#N/A</v>
      </c>
    </row>
    <row r="646" spans="41:74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55" t="e">
        <f>IFERROR(VLOOKUP(AQ646,'[1]Harga &amp; Nama CSO'!$H$2:$N$22,2,FALSE),"")*AV646</f>
        <v>#VALUE!</v>
      </c>
      <c r="BO646" s="40"/>
      <c r="BP646" s="4"/>
      <c r="BQ646" s="62"/>
      <c r="BR646" s="4"/>
      <c r="BS646" s="57" t="e">
        <f t="shared" si="31"/>
        <v>#VALUE!</v>
      </c>
      <c r="BT646" s="63"/>
      <c r="BU646" s="8">
        <v>0</v>
      </c>
      <c r="BV646" s="58" t="e">
        <f>VLOOKUP(AQ646,'[1]Harga &amp; Nama CSO'!$A$28:$D$31,4,0)*BP646</f>
        <v>#N/A</v>
      </c>
    </row>
    <row r="647" spans="41:74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55" t="e">
        <f>IFERROR(VLOOKUP(AQ647,'[1]Harga &amp; Nama CSO'!$H$2:$N$22,2,FALSE),"")*AV647</f>
        <v>#VALUE!</v>
      </c>
      <c r="BO647" s="40"/>
      <c r="BP647" s="4"/>
      <c r="BQ647" s="62"/>
      <c r="BR647" s="4"/>
      <c r="BS647" s="57" t="e">
        <f t="shared" si="31"/>
        <v>#VALUE!</v>
      </c>
      <c r="BT647" s="63"/>
      <c r="BU647" s="8">
        <v>0</v>
      </c>
      <c r="BV647" s="58" t="e">
        <f>VLOOKUP(AQ647,'[1]Harga &amp; Nama CSO'!$A$28:$D$31,4,0)*BP647</f>
        <v>#N/A</v>
      </c>
    </row>
    <row r="648" spans="41:74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55" t="e">
        <f>IFERROR(VLOOKUP(AQ648,'[1]Harga &amp; Nama CSO'!$H$2:$N$22,2,FALSE),"")*AV648</f>
        <v>#VALUE!</v>
      </c>
      <c r="BO648" s="40"/>
      <c r="BP648" s="4"/>
      <c r="BQ648" s="62"/>
      <c r="BR648" s="4"/>
      <c r="BS648" s="57" t="e">
        <f t="shared" si="31"/>
        <v>#VALUE!</v>
      </c>
      <c r="BT648" s="63"/>
      <c r="BU648" s="8">
        <v>0</v>
      </c>
      <c r="BV648" s="58" t="e">
        <f>VLOOKUP(AQ648,'[1]Harga &amp; Nama CSO'!$A$28:$D$31,4,0)*BP648</f>
        <v>#N/A</v>
      </c>
    </row>
    <row r="649" spans="41:74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55" t="e">
        <f>IFERROR(VLOOKUP(AQ649,'[1]Harga &amp; Nama CSO'!$H$2:$N$22,2,FALSE),"")*AV649</f>
        <v>#VALUE!</v>
      </c>
      <c r="BO649" s="40"/>
      <c r="BP649" s="4"/>
      <c r="BQ649" s="62"/>
      <c r="BR649" s="4"/>
      <c r="BS649" s="57" t="e">
        <f t="shared" si="31"/>
        <v>#VALUE!</v>
      </c>
      <c r="BT649" s="63"/>
      <c r="BU649" s="8">
        <v>0</v>
      </c>
      <c r="BV649" s="58" t="e">
        <f>VLOOKUP(AQ649,'[1]Harga &amp; Nama CSO'!$A$28:$D$31,4,0)*BP649</f>
        <v>#N/A</v>
      </c>
    </row>
    <row r="650" spans="41:74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55" t="e">
        <f>IFERROR(VLOOKUP(AQ650,'[1]Harga &amp; Nama CSO'!$H$2:$N$22,2,FALSE),"")*AV650</f>
        <v>#VALUE!</v>
      </c>
      <c r="BO650" s="40"/>
      <c r="BP650" s="4"/>
      <c r="BQ650" s="62"/>
      <c r="BR650" s="4"/>
      <c r="BS650" s="57" t="e">
        <f t="shared" si="31"/>
        <v>#VALUE!</v>
      </c>
      <c r="BT650" s="63"/>
      <c r="BU650" s="8">
        <v>0</v>
      </c>
      <c r="BV650" s="58" t="e">
        <f>VLOOKUP(AQ650,'[1]Harga &amp; Nama CSO'!$A$28:$D$31,4,0)*BP650</f>
        <v>#N/A</v>
      </c>
    </row>
    <row r="651" spans="41:74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55" t="e">
        <f>IFERROR(VLOOKUP(AQ651,'[1]Harga &amp; Nama CSO'!$H$2:$N$22,2,FALSE),"")*AV651</f>
        <v>#VALUE!</v>
      </c>
      <c r="BO651" s="40"/>
      <c r="BP651" s="4"/>
      <c r="BQ651" s="62"/>
      <c r="BR651" s="4"/>
      <c r="BS651" s="57" t="e">
        <f t="shared" si="31"/>
        <v>#VALUE!</v>
      </c>
      <c r="BT651" s="63"/>
      <c r="BU651" s="8">
        <v>0</v>
      </c>
      <c r="BV651" s="58" t="e">
        <f>VLOOKUP(AQ651,'[1]Harga &amp; Nama CSO'!$A$28:$D$31,4,0)*BP651</f>
        <v>#N/A</v>
      </c>
    </row>
    <row r="652" spans="41:74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55" t="e">
        <f>IFERROR(VLOOKUP(AQ652,'[1]Harga &amp; Nama CSO'!$H$2:$N$22,2,FALSE),"")*AV652</f>
        <v>#VALUE!</v>
      </c>
      <c r="BO652" s="40"/>
      <c r="BP652" s="4"/>
      <c r="BQ652" s="62"/>
      <c r="BR652" s="4"/>
      <c r="BS652" s="57" t="e">
        <f t="shared" si="31"/>
        <v>#VALUE!</v>
      </c>
      <c r="BT652" s="63"/>
      <c r="BU652" s="8">
        <v>0</v>
      </c>
      <c r="BV652" s="58" t="e">
        <f>VLOOKUP(AQ652,'[1]Harga &amp; Nama CSO'!$A$28:$D$31,4,0)*BP652</f>
        <v>#N/A</v>
      </c>
    </row>
    <row r="653" spans="41:74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55" t="e">
        <f>IFERROR(VLOOKUP(AQ653,'[1]Harga &amp; Nama CSO'!$H$2:$N$22,2,FALSE),"")*AV653</f>
        <v>#VALUE!</v>
      </c>
      <c r="BO653" s="40"/>
      <c r="BP653" s="4"/>
      <c r="BQ653" s="62"/>
      <c r="BR653" s="4"/>
      <c r="BS653" s="57" t="e">
        <f t="shared" si="31"/>
        <v>#VALUE!</v>
      </c>
      <c r="BT653" s="63"/>
      <c r="BU653" s="8">
        <v>0</v>
      </c>
      <c r="BV653" s="58" t="e">
        <f>VLOOKUP(AQ653,'[1]Harga &amp; Nama CSO'!$A$28:$D$31,4,0)*BP653</f>
        <v>#N/A</v>
      </c>
    </row>
    <row r="654" spans="41:74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55" t="e">
        <f>IFERROR(VLOOKUP(AQ654,'[1]Harga &amp; Nama CSO'!$H$2:$N$22,2,FALSE),"")*AV654</f>
        <v>#VALUE!</v>
      </c>
      <c r="BO654" s="40"/>
      <c r="BP654" s="4"/>
      <c r="BQ654" s="62"/>
      <c r="BR654" s="4"/>
      <c r="BS654" s="57" t="e">
        <f t="shared" si="31"/>
        <v>#VALUE!</v>
      </c>
      <c r="BT654" s="63"/>
      <c r="BU654" s="8">
        <v>0</v>
      </c>
      <c r="BV654" s="58" t="e">
        <f>VLOOKUP(AQ654,'[1]Harga &amp; Nama CSO'!$A$28:$D$31,4,0)*BP654</f>
        <v>#N/A</v>
      </c>
    </row>
    <row r="655" spans="41:74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55" t="e">
        <f>IFERROR(VLOOKUP(AQ655,'[1]Harga &amp; Nama CSO'!$H$2:$N$22,2,FALSE),"")*AV655</f>
        <v>#VALUE!</v>
      </c>
      <c r="BO655" s="40"/>
      <c r="BP655" s="4"/>
      <c r="BQ655" s="62"/>
      <c r="BR655" s="4"/>
      <c r="BS655" s="57" t="e">
        <f t="shared" si="31"/>
        <v>#VALUE!</v>
      </c>
      <c r="BT655" s="63"/>
      <c r="BU655" s="8">
        <v>0</v>
      </c>
      <c r="BV655" s="58" t="e">
        <f>VLOOKUP(AQ655,'[1]Harga &amp; Nama CSO'!$A$28:$D$31,4,0)*BP655</f>
        <v>#N/A</v>
      </c>
    </row>
    <row r="656" spans="41:74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55" t="e">
        <f>IFERROR(VLOOKUP(AQ656,'[1]Harga &amp; Nama CSO'!$H$2:$N$22,2,FALSE),"")*AV656</f>
        <v>#VALUE!</v>
      </c>
      <c r="BO656" s="40"/>
      <c r="BP656" s="4"/>
      <c r="BQ656" s="62"/>
      <c r="BR656" s="4"/>
      <c r="BS656" s="57" t="e">
        <f t="shared" si="31"/>
        <v>#VALUE!</v>
      </c>
      <c r="BT656" s="63"/>
      <c r="BU656" s="8">
        <v>0</v>
      </c>
      <c r="BV656" s="58" t="e">
        <f>VLOOKUP(AQ656,'[1]Harga &amp; Nama CSO'!$A$28:$D$31,4,0)*BP656</f>
        <v>#N/A</v>
      </c>
    </row>
    <row r="657" spans="41:74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55" t="e">
        <f>IFERROR(VLOOKUP(AQ657,'[1]Harga &amp; Nama CSO'!$H$2:$N$22,2,FALSE),"")*AV657</f>
        <v>#VALUE!</v>
      </c>
      <c r="BO657" s="40"/>
      <c r="BP657" s="4"/>
      <c r="BQ657" s="62"/>
      <c r="BR657" s="4"/>
      <c r="BS657" s="57" t="e">
        <f t="shared" si="31"/>
        <v>#VALUE!</v>
      </c>
      <c r="BT657" s="63"/>
      <c r="BU657" s="8">
        <v>0</v>
      </c>
      <c r="BV657" s="58" t="e">
        <f>VLOOKUP(AQ657,'[1]Harga &amp; Nama CSO'!$A$28:$D$31,4,0)*BP657</f>
        <v>#N/A</v>
      </c>
    </row>
    <row r="658" spans="41:74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55" t="e">
        <f>IFERROR(VLOOKUP(AQ658,'[1]Harga &amp; Nama CSO'!$H$2:$N$22,2,FALSE),"")*AV658</f>
        <v>#VALUE!</v>
      </c>
      <c r="BO658" s="40"/>
      <c r="BP658" s="4"/>
      <c r="BQ658" s="62"/>
      <c r="BR658" s="4"/>
      <c r="BS658" s="57" t="e">
        <f t="shared" si="31"/>
        <v>#VALUE!</v>
      </c>
      <c r="BT658" s="63"/>
      <c r="BU658" s="8">
        <v>0</v>
      </c>
      <c r="BV658" s="58" t="e">
        <f>VLOOKUP(AQ658,'[1]Harga &amp; Nama CSO'!$A$28:$D$31,4,0)*BP658</f>
        <v>#N/A</v>
      </c>
    </row>
    <row r="659" spans="41:74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55" t="e">
        <f>IFERROR(VLOOKUP(AQ659,'[1]Harga &amp; Nama CSO'!$H$2:$N$22,2,FALSE),"")*AV659</f>
        <v>#VALUE!</v>
      </c>
      <c r="BO659" s="40"/>
      <c r="BP659" s="4"/>
      <c r="BQ659" s="62"/>
      <c r="BR659" s="4"/>
      <c r="BS659" s="57" t="e">
        <f t="shared" si="31"/>
        <v>#VALUE!</v>
      </c>
      <c r="BT659" s="63"/>
      <c r="BU659" s="8">
        <v>0</v>
      </c>
      <c r="BV659" s="58" t="e">
        <f>VLOOKUP(AQ659,'[1]Harga &amp; Nama CSO'!$A$28:$D$31,4,0)*BP659</f>
        <v>#N/A</v>
      </c>
    </row>
    <row r="660" spans="41:74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55" t="e">
        <f>IFERROR(VLOOKUP(AQ660,'[1]Harga &amp; Nama CSO'!$H$2:$N$22,2,FALSE),"")*AV660</f>
        <v>#VALUE!</v>
      </c>
      <c r="BO660" s="40"/>
      <c r="BP660" s="4"/>
      <c r="BQ660" s="62"/>
      <c r="BR660" s="4"/>
      <c r="BS660" s="57" t="e">
        <f t="shared" si="31"/>
        <v>#VALUE!</v>
      </c>
      <c r="BT660" s="63"/>
      <c r="BU660" s="8">
        <v>0</v>
      </c>
      <c r="BV660" s="58" t="e">
        <f>VLOOKUP(AQ660,'[1]Harga &amp; Nama CSO'!$A$28:$D$31,4,0)*BP660</f>
        <v>#N/A</v>
      </c>
    </row>
    <row r="661" spans="41:74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55" t="e">
        <f>IFERROR(VLOOKUP(AQ661,'[1]Harga &amp; Nama CSO'!$H$2:$N$22,2,FALSE),"")*AV661</f>
        <v>#VALUE!</v>
      </c>
      <c r="BO661" s="40"/>
      <c r="BP661" s="4"/>
      <c r="BQ661" s="62"/>
      <c r="BR661" s="4"/>
      <c r="BS661" s="57" t="e">
        <f t="shared" si="31"/>
        <v>#VALUE!</v>
      </c>
      <c r="BT661" s="63"/>
      <c r="BU661" s="8">
        <v>0</v>
      </c>
      <c r="BV661" s="58" t="e">
        <f>VLOOKUP(AQ661,'[1]Harga &amp; Nama CSO'!$A$28:$D$31,4,0)*BP661</f>
        <v>#N/A</v>
      </c>
    </row>
    <row r="662" spans="41:74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55" t="e">
        <f>IFERROR(VLOOKUP(AQ662,'[1]Harga &amp; Nama CSO'!$H$2:$N$22,2,FALSE),"")*AV662</f>
        <v>#VALUE!</v>
      </c>
      <c r="BO662" s="40"/>
      <c r="BP662" s="4"/>
      <c r="BQ662" s="62"/>
      <c r="BR662" s="4"/>
      <c r="BS662" s="57" t="e">
        <f t="shared" si="31"/>
        <v>#VALUE!</v>
      </c>
      <c r="BT662" s="63"/>
      <c r="BU662" s="8">
        <v>0</v>
      </c>
      <c r="BV662" s="58" t="e">
        <f>VLOOKUP(AQ662,'[1]Harga &amp; Nama CSO'!$A$28:$D$31,4,0)*BP662</f>
        <v>#N/A</v>
      </c>
    </row>
    <row r="663" spans="41:74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55" t="e">
        <f>IFERROR(VLOOKUP(AQ663,'[1]Harga &amp; Nama CSO'!$H$2:$N$22,2,FALSE),"")*AV663</f>
        <v>#VALUE!</v>
      </c>
      <c r="BO663" s="40"/>
      <c r="BP663" s="4"/>
      <c r="BQ663" s="62"/>
      <c r="BR663" s="4"/>
      <c r="BS663" s="57" t="e">
        <f t="shared" si="31"/>
        <v>#VALUE!</v>
      </c>
      <c r="BT663" s="63"/>
      <c r="BU663" s="8">
        <v>0</v>
      </c>
      <c r="BV663" s="58" t="e">
        <f>VLOOKUP(AQ663,'[1]Harga &amp; Nama CSO'!$A$28:$D$31,4,0)*BP663</f>
        <v>#N/A</v>
      </c>
    </row>
    <row r="664" spans="41:74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55" t="e">
        <f>IFERROR(VLOOKUP(AQ664,'[1]Harga &amp; Nama CSO'!$H$2:$N$22,2,FALSE),"")*AV664</f>
        <v>#VALUE!</v>
      </c>
      <c r="BO664" s="40"/>
      <c r="BP664" s="4"/>
      <c r="BQ664" s="62"/>
      <c r="BR664" s="4"/>
      <c r="BS664" s="57" t="e">
        <f t="shared" si="31"/>
        <v>#VALUE!</v>
      </c>
      <c r="BT664" s="63"/>
      <c r="BU664" s="8">
        <v>0</v>
      </c>
      <c r="BV664" s="58" t="e">
        <f>VLOOKUP(AQ664,'[1]Harga &amp; Nama CSO'!$A$28:$D$31,4,0)*BP664</f>
        <v>#N/A</v>
      </c>
    </row>
    <row r="665" spans="41:74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55" t="e">
        <f>IFERROR(VLOOKUP(AQ665,'[1]Harga &amp; Nama CSO'!$H$2:$N$22,2,FALSE),"")*AV665</f>
        <v>#VALUE!</v>
      </c>
      <c r="BO665" s="40"/>
      <c r="BP665" s="4"/>
      <c r="BQ665" s="62"/>
      <c r="BR665" s="4"/>
      <c r="BS665" s="57" t="e">
        <f t="shared" si="31"/>
        <v>#VALUE!</v>
      </c>
      <c r="BT665" s="63"/>
      <c r="BU665" s="8">
        <v>0</v>
      </c>
      <c r="BV665" s="58" t="e">
        <f>VLOOKUP(AQ665,'[1]Harga &amp; Nama CSO'!$A$28:$D$31,4,0)*BP665</f>
        <v>#N/A</v>
      </c>
    </row>
    <row r="666" spans="41:74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55" t="e">
        <f>IFERROR(VLOOKUP(AQ666,'[1]Harga &amp; Nama CSO'!$H$2:$N$22,2,FALSE),"")*AV666</f>
        <v>#VALUE!</v>
      </c>
      <c r="BO666" s="40"/>
      <c r="BP666" s="4"/>
      <c r="BQ666" s="62"/>
      <c r="BR666" s="4"/>
      <c r="BS666" s="57" t="e">
        <f t="shared" si="31"/>
        <v>#VALUE!</v>
      </c>
      <c r="BT666" s="63"/>
      <c r="BU666" s="8">
        <v>0</v>
      </c>
      <c r="BV666" s="58" t="e">
        <f>VLOOKUP(AQ666,'[1]Harga &amp; Nama CSO'!$A$28:$D$31,4,0)*BP666</f>
        <v>#N/A</v>
      </c>
    </row>
    <row r="667" spans="41:74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55" t="e">
        <f>IFERROR(VLOOKUP(AQ667,'[1]Harga &amp; Nama CSO'!$H$2:$N$22,2,FALSE),"")*AV667</f>
        <v>#VALUE!</v>
      </c>
      <c r="BO667" s="40"/>
      <c r="BP667" s="4"/>
      <c r="BQ667" s="62"/>
      <c r="BR667" s="4"/>
      <c r="BS667" s="57" t="e">
        <f t="shared" si="31"/>
        <v>#VALUE!</v>
      </c>
      <c r="BT667" s="63"/>
      <c r="BU667" s="8">
        <v>0</v>
      </c>
      <c r="BV667" s="58" t="e">
        <f>VLOOKUP(AQ667,'[1]Harga &amp; Nama CSO'!$A$28:$D$31,4,0)*BP667</f>
        <v>#N/A</v>
      </c>
    </row>
    <row r="668" spans="41:74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55" t="e">
        <f>IFERROR(VLOOKUP(AQ668,'[1]Harga &amp; Nama CSO'!$H$2:$N$22,2,FALSE),"")*AV668</f>
        <v>#VALUE!</v>
      </c>
      <c r="BO668" s="40"/>
      <c r="BP668" s="4"/>
      <c r="BQ668" s="62"/>
      <c r="BR668" s="4"/>
      <c r="BS668" s="57" t="e">
        <f t="shared" si="31"/>
        <v>#VALUE!</v>
      </c>
      <c r="BT668" s="63"/>
      <c r="BU668" s="8">
        <v>0</v>
      </c>
      <c r="BV668" s="58" t="e">
        <f>VLOOKUP(AQ668,'[1]Harga &amp; Nama CSO'!$A$28:$D$31,4,0)*BP668</f>
        <v>#N/A</v>
      </c>
    </row>
    <row r="669" spans="41:74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55" t="e">
        <f>IFERROR(VLOOKUP(AQ669,'[1]Harga &amp; Nama CSO'!$H$2:$N$22,2,FALSE),"")*AV669</f>
        <v>#VALUE!</v>
      </c>
      <c r="BO669" s="40"/>
      <c r="BP669" s="4"/>
      <c r="BQ669" s="62"/>
      <c r="BR669" s="4"/>
      <c r="BS669" s="57" t="e">
        <f t="shared" si="31"/>
        <v>#VALUE!</v>
      </c>
      <c r="BT669" s="63"/>
      <c r="BU669" s="8">
        <v>0</v>
      </c>
      <c r="BV669" s="58" t="e">
        <f>VLOOKUP(AQ669,'[1]Harga &amp; Nama CSO'!$A$28:$D$31,4,0)*BP669</f>
        <v>#N/A</v>
      </c>
    </row>
    <row r="670" spans="41:74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55" t="e">
        <f>IFERROR(VLOOKUP(AQ670,'[1]Harga &amp; Nama CSO'!$H$2:$N$22,2,FALSE),"")*AV670</f>
        <v>#VALUE!</v>
      </c>
      <c r="BO670" s="40"/>
      <c r="BP670" s="4"/>
      <c r="BQ670" s="62"/>
      <c r="BR670" s="4"/>
      <c r="BS670" s="57" t="e">
        <f t="shared" si="31"/>
        <v>#VALUE!</v>
      </c>
      <c r="BT670" s="63"/>
      <c r="BU670" s="8">
        <v>0</v>
      </c>
      <c r="BV670" s="58" t="e">
        <f>VLOOKUP(AQ670,'[1]Harga &amp; Nama CSO'!$A$28:$D$31,4,0)*BP670</f>
        <v>#N/A</v>
      </c>
    </row>
    <row r="671" spans="41:74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55" t="e">
        <f>IFERROR(VLOOKUP(AQ671,'[1]Harga &amp; Nama CSO'!$H$2:$N$22,2,FALSE),"")*AV671</f>
        <v>#VALUE!</v>
      </c>
      <c r="BO671" s="40"/>
      <c r="BP671" s="4"/>
      <c r="BQ671" s="62"/>
      <c r="BR671" s="4"/>
      <c r="BS671" s="57" t="e">
        <f t="shared" si="31"/>
        <v>#VALUE!</v>
      </c>
      <c r="BT671" s="63"/>
      <c r="BU671" s="8">
        <v>0</v>
      </c>
      <c r="BV671" s="58" t="e">
        <f>VLOOKUP(AQ671,'[1]Harga &amp; Nama CSO'!$A$28:$D$31,4,0)*BP671</f>
        <v>#N/A</v>
      </c>
    </row>
    <row r="672" spans="41:74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55" t="e">
        <f>IFERROR(VLOOKUP(AQ672,'[1]Harga &amp; Nama CSO'!$H$2:$N$22,2,FALSE),"")*AV672</f>
        <v>#VALUE!</v>
      </c>
      <c r="BO672" s="40"/>
      <c r="BP672" s="4"/>
      <c r="BQ672" s="62"/>
      <c r="BR672" s="4"/>
      <c r="BS672" s="57" t="e">
        <f t="shared" si="31"/>
        <v>#VALUE!</v>
      </c>
      <c r="BT672" s="63"/>
      <c r="BU672" s="8">
        <v>0</v>
      </c>
      <c r="BV672" s="58" t="e">
        <f>VLOOKUP(AQ672,'[1]Harga &amp; Nama CSO'!$A$28:$D$31,4,0)*BP672</f>
        <v>#N/A</v>
      </c>
    </row>
    <row r="673" spans="41:74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55" t="e">
        <f>IFERROR(VLOOKUP(AQ673,'[1]Harga &amp; Nama CSO'!$H$2:$N$22,2,FALSE),"")*AV673</f>
        <v>#VALUE!</v>
      </c>
      <c r="BO673" s="40"/>
      <c r="BP673" s="4"/>
      <c r="BQ673" s="62"/>
      <c r="BR673" s="4"/>
      <c r="BS673" s="57" t="e">
        <f t="shared" si="31"/>
        <v>#VALUE!</v>
      </c>
      <c r="BT673" s="63"/>
      <c r="BU673" s="8">
        <v>0</v>
      </c>
      <c r="BV673" s="58" t="e">
        <f>VLOOKUP(AQ673,'[1]Harga &amp; Nama CSO'!$A$28:$D$31,4,0)*BP673</f>
        <v>#N/A</v>
      </c>
    </row>
    <row r="674" spans="41:74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55" t="e">
        <f>IFERROR(VLOOKUP(AQ674,'[1]Harga &amp; Nama CSO'!$H$2:$N$22,2,FALSE),"")*AV674</f>
        <v>#VALUE!</v>
      </c>
      <c r="BO674" s="40"/>
      <c r="BP674" s="4"/>
      <c r="BQ674" s="62"/>
      <c r="BR674" s="4"/>
      <c r="BS674" s="57" t="e">
        <f t="shared" si="31"/>
        <v>#VALUE!</v>
      </c>
      <c r="BT674" s="63"/>
      <c r="BU674" s="8">
        <v>0</v>
      </c>
      <c r="BV674" s="58" t="e">
        <f>VLOOKUP(AQ674,'[1]Harga &amp; Nama CSO'!$A$28:$D$31,4,0)*BP674</f>
        <v>#N/A</v>
      </c>
    </row>
    <row r="675" spans="41:74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55" t="e">
        <f>IFERROR(VLOOKUP(AQ675,'[1]Harga &amp; Nama CSO'!$H$2:$N$22,2,FALSE),"")*AV675</f>
        <v>#VALUE!</v>
      </c>
      <c r="BO675" s="40"/>
      <c r="BP675" s="4"/>
      <c r="BQ675" s="62"/>
      <c r="BR675" s="4"/>
      <c r="BS675" s="57" t="e">
        <f t="shared" si="31"/>
        <v>#VALUE!</v>
      </c>
      <c r="BT675" s="63"/>
      <c r="BU675" s="8">
        <v>0</v>
      </c>
      <c r="BV675" s="58" t="e">
        <f>VLOOKUP(AQ675,'[1]Harga &amp; Nama CSO'!$A$28:$D$31,4,0)*BP675</f>
        <v>#N/A</v>
      </c>
    </row>
    <row r="676" spans="41:74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55" t="e">
        <f>IFERROR(VLOOKUP(AQ676,'[1]Harga &amp; Nama CSO'!$H$2:$N$22,2,FALSE),"")*AV676</f>
        <v>#VALUE!</v>
      </c>
      <c r="BO676" s="40"/>
      <c r="BP676" s="4"/>
      <c r="BQ676" s="62"/>
      <c r="BR676" s="4"/>
      <c r="BS676" s="57" t="e">
        <f t="shared" si="31"/>
        <v>#VALUE!</v>
      </c>
      <c r="BT676" s="63"/>
      <c r="BU676" s="8">
        <v>0</v>
      </c>
      <c r="BV676" s="58" t="e">
        <f>VLOOKUP(AQ676,'[1]Harga &amp; Nama CSO'!$A$28:$D$31,4,0)*BP676</f>
        <v>#N/A</v>
      </c>
    </row>
    <row r="677" spans="41:74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55" t="e">
        <f>IFERROR(VLOOKUP(AQ677,'[1]Harga &amp; Nama CSO'!$H$2:$N$22,2,FALSE),"")*AV677</f>
        <v>#VALUE!</v>
      </c>
      <c r="BO677" s="40"/>
      <c r="BP677" s="4"/>
      <c r="BQ677" s="62"/>
      <c r="BR677" s="4"/>
      <c r="BS677" s="57" t="e">
        <f t="shared" si="31"/>
        <v>#VALUE!</v>
      </c>
      <c r="BT677" s="63"/>
      <c r="BU677" s="8">
        <v>0</v>
      </c>
      <c r="BV677" s="58" t="e">
        <f>VLOOKUP(AQ677,'[1]Harga &amp; Nama CSO'!$A$28:$D$31,4,0)*BP677</f>
        <v>#N/A</v>
      </c>
    </row>
    <row r="678" spans="41:74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55" t="e">
        <f>IFERROR(VLOOKUP(AQ678,'[1]Harga &amp; Nama CSO'!$H$2:$N$22,2,FALSE),"")*AV678</f>
        <v>#VALUE!</v>
      </c>
      <c r="BO678" s="40"/>
      <c r="BP678" s="4"/>
      <c r="BQ678" s="62"/>
      <c r="BR678" s="4"/>
      <c r="BS678" s="57" t="e">
        <f t="shared" si="31"/>
        <v>#VALUE!</v>
      </c>
      <c r="BT678" s="63"/>
      <c r="BU678" s="8">
        <v>0</v>
      </c>
      <c r="BV678" s="58" t="e">
        <f>VLOOKUP(AQ678,'[1]Harga &amp; Nama CSO'!$A$28:$D$31,4,0)*BP678</f>
        <v>#N/A</v>
      </c>
    </row>
    <row r="679" spans="41:74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55" t="e">
        <f>IFERROR(VLOOKUP(AQ679,'[1]Harga &amp; Nama CSO'!$H$2:$N$22,2,FALSE),"")*AV679</f>
        <v>#VALUE!</v>
      </c>
      <c r="BO679" s="40"/>
      <c r="BP679" s="4"/>
      <c r="BQ679" s="62"/>
      <c r="BR679" s="4"/>
      <c r="BS679" s="57" t="e">
        <f t="shared" si="31"/>
        <v>#VALUE!</v>
      </c>
      <c r="BT679" s="63"/>
      <c r="BU679" s="8">
        <v>0</v>
      </c>
      <c r="BV679" s="58" t="e">
        <f>VLOOKUP(AQ679,'[1]Harga &amp; Nama CSO'!$A$28:$D$31,4,0)*BP679</f>
        <v>#N/A</v>
      </c>
    </row>
    <row r="680" spans="41:74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55" t="e">
        <f>IFERROR(VLOOKUP(AQ680,'[1]Harga &amp; Nama CSO'!$H$2:$N$22,2,FALSE),"")*AV680</f>
        <v>#VALUE!</v>
      </c>
      <c r="BO680" s="40"/>
      <c r="BP680" s="4"/>
      <c r="BQ680" s="62"/>
      <c r="BR680" s="4"/>
      <c r="BS680" s="57" t="e">
        <f t="shared" si="31"/>
        <v>#VALUE!</v>
      </c>
      <c r="BT680" s="63"/>
      <c r="BU680" s="8">
        <v>0</v>
      </c>
      <c r="BV680" s="58" t="e">
        <f>VLOOKUP(AQ680,'[1]Harga &amp; Nama CSO'!$A$28:$D$31,4,0)*BP680</f>
        <v>#N/A</v>
      </c>
    </row>
    <row r="681" spans="41:74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55" t="e">
        <f>IFERROR(VLOOKUP(AQ681,'[1]Harga &amp; Nama CSO'!$H$2:$N$22,2,FALSE),"")*AV681</f>
        <v>#VALUE!</v>
      </c>
      <c r="BO681" s="40"/>
      <c r="BP681" s="4"/>
      <c r="BQ681" s="62"/>
      <c r="BR681" s="4"/>
      <c r="BS681" s="57" t="e">
        <f t="shared" si="31"/>
        <v>#VALUE!</v>
      </c>
      <c r="BT681" s="63"/>
      <c r="BU681" s="8">
        <v>0</v>
      </c>
      <c r="BV681" s="58" t="e">
        <f>VLOOKUP(AQ681,'[1]Harga &amp; Nama CSO'!$A$28:$D$31,4,0)*BP681</f>
        <v>#N/A</v>
      </c>
    </row>
    <row r="682" spans="41:74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55" t="e">
        <f>IFERROR(VLOOKUP(AQ682,'[1]Harga &amp; Nama CSO'!$H$2:$N$22,2,FALSE),"")*AV682</f>
        <v>#VALUE!</v>
      </c>
      <c r="BO682" s="40"/>
      <c r="BP682" s="4"/>
      <c r="BQ682" s="62"/>
      <c r="BR682" s="4"/>
      <c r="BS682" s="57" t="e">
        <f t="shared" si="31"/>
        <v>#VALUE!</v>
      </c>
      <c r="BT682" s="63"/>
      <c r="BU682" s="8">
        <v>0</v>
      </c>
      <c r="BV682" s="58" t="e">
        <f>VLOOKUP(AQ682,'[1]Harga &amp; Nama CSO'!$A$28:$D$31,4,0)*BP682</f>
        <v>#N/A</v>
      </c>
    </row>
    <row r="683" spans="41:74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55" t="e">
        <f>IFERROR(VLOOKUP(AQ683,'[1]Harga &amp; Nama CSO'!$H$2:$N$22,2,FALSE),"")*AV683</f>
        <v>#VALUE!</v>
      </c>
      <c r="BO683" s="40"/>
      <c r="BP683" s="4"/>
      <c r="BQ683" s="62"/>
      <c r="BR683" s="4"/>
      <c r="BS683" s="57" t="e">
        <f t="shared" si="31"/>
        <v>#VALUE!</v>
      </c>
      <c r="BT683" s="63"/>
      <c r="BU683" s="8">
        <v>0</v>
      </c>
      <c r="BV683" s="58" t="e">
        <f>VLOOKUP(AQ683,'[1]Harga &amp; Nama CSO'!$A$28:$D$31,4,0)*BP683</f>
        <v>#N/A</v>
      </c>
    </row>
    <row r="684" spans="41:74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55" t="e">
        <f>IFERROR(VLOOKUP(AQ684,'[1]Harga &amp; Nama CSO'!$H$2:$N$22,2,FALSE),"")*AV684</f>
        <v>#VALUE!</v>
      </c>
      <c r="BO684" s="40"/>
      <c r="BP684" s="4"/>
      <c r="BQ684" s="62"/>
      <c r="BR684" s="4"/>
      <c r="BS684" s="57" t="e">
        <f t="shared" si="31"/>
        <v>#VALUE!</v>
      </c>
      <c r="BT684" s="63"/>
      <c r="BU684" s="8">
        <v>0</v>
      </c>
      <c r="BV684" s="58" t="e">
        <f>VLOOKUP(AQ684,'[1]Harga &amp; Nama CSO'!$A$28:$D$31,4,0)*BP684</f>
        <v>#N/A</v>
      </c>
    </row>
    <row r="685" spans="41:74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55" t="e">
        <f>IFERROR(VLOOKUP(AQ685,'[1]Harga &amp; Nama CSO'!$H$2:$N$22,2,FALSE),"")*AV685</f>
        <v>#VALUE!</v>
      </c>
      <c r="BO685" s="40"/>
      <c r="BP685" s="4"/>
      <c r="BQ685" s="62"/>
      <c r="BR685" s="4"/>
      <c r="BS685" s="57" t="e">
        <f t="shared" si="31"/>
        <v>#VALUE!</v>
      </c>
      <c r="BT685" s="63"/>
      <c r="BU685" s="8">
        <v>0</v>
      </c>
      <c r="BV685" s="58" t="e">
        <f>VLOOKUP(AQ685,'[1]Harga &amp; Nama CSO'!$A$28:$D$31,4,0)*BP685</f>
        <v>#N/A</v>
      </c>
    </row>
    <row r="686" spans="41:74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55" t="e">
        <f>IFERROR(VLOOKUP(AQ686,'[1]Harga &amp; Nama CSO'!$H$2:$N$22,2,FALSE),"")*AV686</f>
        <v>#VALUE!</v>
      </c>
      <c r="BO686" s="40"/>
      <c r="BP686" s="4"/>
      <c r="BQ686" s="62"/>
      <c r="BR686" s="4"/>
      <c r="BS686" s="57" t="e">
        <f t="shared" si="31"/>
        <v>#VALUE!</v>
      </c>
      <c r="BT686" s="63"/>
      <c r="BU686" s="8">
        <v>0</v>
      </c>
      <c r="BV686" s="58" t="e">
        <f>VLOOKUP(AQ686,'[1]Harga &amp; Nama CSO'!$A$28:$D$31,4,0)*BP686</f>
        <v>#N/A</v>
      </c>
    </row>
    <row r="687" spans="41:74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55" t="e">
        <f>IFERROR(VLOOKUP(AQ687,'[1]Harga &amp; Nama CSO'!$H$2:$N$22,2,FALSE),"")*AV687</f>
        <v>#VALUE!</v>
      </c>
      <c r="BO687" s="40"/>
      <c r="BP687" s="4"/>
      <c r="BQ687" s="62"/>
      <c r="BR687" s="4"/>
      <c r="BS687" s="57" t="e">
        <f t="shared" si="31"/>
        <v>#VALUE!</v>
      </c>
      <c r="BT687" s="63"/>
      <c r="BU687" s="8">
        <v>0</v>
      </c>
      <c r="BV687" s="58" t="e">
        <f>VLOOKUP(AQ687,'[1]Harga &amp; Nama CSO'!$A$28:$D$31,4,0)*BP687</f>
        <v>#N/A</v>
      </c>
    </row>
    <row r="688" spans="41:74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55" t="e">
        <f>IFERROR(VLOOKUP(AQ688,'[1]Harga &amp; Nama CSO'!$H$2:$N$22,2,FALSE),"")*AV688</f>
        <v>#VALUE!</v>
      </c>
      <c r="BO688" s="40"/>
      <c r="BP688" s="4"/>
      <c r="BQ688" s="62"/>
      <c r="BR688" s="4"/>
      <c r="BS688" s="57" t="e">
        <f t="shared" si="31"/>
        <v>#VALUE!</v>
      </c>
      <c r="BT688" s="63"/>
      <c r="BU688" s="8">
        <v>0</v>
      </c>
      <c r="BV688" s="58" t="e">
        <f>VLOOKUP(AQ688,'[1]Harga &amp; Nama CSO'!$A$28:$D$31,4,0)*BP688</f>
        <v>#N/A</v>
      </c>
    </row>
    <row r="689" spans="41:74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55" t="e">
        <f>IFERROR(VLOOKUP(AQ689,'[1]Harga &amp; Nama CSO'!$H$2:$N$22,2,FALSE),"")*AV689</f>
        <v>#VALUE!</v>
      </c>
      <c r="BO689" s="40"/>
      <c r="BP689" s="4"/>
      <c r="BQ689" s="62"/>
      <c r="BR689" s="4"/>
      <c r="BS689" s="57" t="e">
        <f t="shared" si="31"/>
        <v>#VALUE!</v>
      </c>
      <c r="BT689" s="63"/>
      <c r="BU689" s="8">
        <v>0</v>
      </c>
      <c r="BV689" s="58" t="e">
        <f>VLOOKUP(AQ689,'[1]Harga &amp; Nama CSO'!$A$28:$D$31,4,0)*BP689</f>
        <v>#N/A</v>
      </c>
    </row>
    <row r="690" spans="41:74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55" t="e">
        <f>IFERROR(VLOOKUP(AQ690,'[1]Harga &amp; Nama CSO'!$H$2:$N$22,2,FALSE),"")*AV690</f>
        <v>#VALUE!</v>
      </c>
      <c r="BO690" s="40"/>
      <c r="BP690" s="4"/>
      <c r="BQ690" s="62"/>
      <c r="BR690" s="4"/>
      <c r="BS690" s="57" t="e">
        <f t="shared" si="31"/>
        <v>#VALUE!</v>
      </c>
      <c r="BT690" s="63"/>
      <c r="BU690" s="8">
        <v>0</v>
      </c>
      <c r="BV690" s="58" t="e">
        <f>VLOOKUP(AQ690,'[1]Harga &amp; Nama CSO'!$A$28:$D$31,4,0)*BP690</f>
        <v>#N/A</v>
      </c>
    </row>
    <row r="691" spans="41:74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55" t="e">
        <f>IFERROR(VLOOKUP(AQ691,'[1]Harga &amp; Nama CSO'!$H$2:$N$22,2,FALSE),"")*AV691</f>
        <v>#VALUE!</v>
      </c>
      <c r="BO691" s="40"/>
      <c r="BP691" s="4"/>
      <c r="BQ691" s="62"/>
      <c r="BR691" s="4"/>
      <c r="BS691" s="57" t="e">
        <f t="shared" si="31"/>
        <v>#VALUE!</v>
      </c>
      <c r="BT691" s="63"/>
      <c r="BU691" s="8">
        <v>0</v>
      </c>
      <c r="BV691" s="58" t="e">
        <f>VLOOKUP(AQ691,'[1]Harga &amp; Nama CSO'!$A$28:$D$31,4,0)*BP691</f>
        <v>#N/A</v>
      </c>
    </row>
    <row r="692" spans="41:74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55" t="e">
        <f>IFERROR(VLOOKUP(AQ692,'[1]Harga &amp; Nama CSO'!$H$2:$N$22,2,FALSE),"")*AV692</f>
        <v>#VALUE!</v>
      </c>
      <c r="BO692" s="40"/>
      <c r="BP692" s="4"/>
      <c r="BQ692" s="62"/>
      <c r="BR692" s="4"/>
      <c r="BS692" s="57" t="e">
        <f t="shared" si="31"/>
        <v>#VALUE!</v>
      </c>
      <c r="BT692" s="63"/>
      <c r="BU692" s="8">
        <v>0</v>
      </c>
      <c r="BV692" s="58" t="e">
        <f>VLOOKUP(AQ692,'[1]Harga &amp; Nama CSO'!$A$28:$D$31,4,0)*BP692</f>
        <v>#N/A</v>
      </c>
    </row>
    <row r="693" spans="41:74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55" t="e">
        <f>IFERROR(VLOOKUP(AQ693,'[1]Harga &amp; Nama CSO'!$H$2:$N$22,2,FALSE),"")*AV693</f>
        <v>#VALUE!</v>
      </c>
      <c r="BO693" s="40"/>
      <c r="BP693" s="4"/>
      <c r="BQ693" s="62"/>
      <c r="BR693" s="4"/>
      <c r="BS693" s="57" t="e">
        <f t="shared" si="31"/>
        <v>#VALUE!</v>
      </c>
      <c r="BT693" s="63"/>
      <c r="BU693" s="8">
        <v>0</v>
      </c>
      <c r="BV693" s="58" t="e">
        <f>VLOOKUP(AQ693,'[1]Harga &amp; Nama CSO'!$A$28:$D$31,4,0)*BP693</f>
        <v>#N/A</v>
      </c>
    </row>
    <row r="694" spans="41:74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55" t="e">
        <f>IFERROR(VLOOKUP(AQ694,'[1]Harga &amp; Nama CSO'!$H$2:$N$22,2,FALSE),"")*AV694</f>
        <v>#VALUE!</v>
      </c>
      <c r="BO694" s="40"/>
      <c r="BP694" s="4"/>
      <c r="BQ694" s="62"/>
      <c r="BR694" s="4"/>
      <c r="BS694" s="57" t="e">
        <f t="shared" si="31"/>
        <v>#VALUE!</v>
      </c>
      <c r="BT694" s="63"/>
      <c r="BU694" s="8">
        <v>0</v>
      </c>
      <c r="BV694" s="58" t="e">
        <f>VLOOKUP(AQ694,'[1]Harga &amp; Nama CSO'!$A$28:$D$31,4,0)*BP694</f>
        <v>#N/A</v>
      </c>
    </row>
    <row r="695" spans="41:74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55" t="e">
        <f>IFERROR(VLOOKUP(AQ695,'[1]Harga &amp; Nama CSO'!$H$2:$N$22,2,FALSE),"")*AV695</f>
        <v>#VALUE!</v>
      </c>
      <c r="BO695" s="40"/>
      <c r="BP695" s="4"/>
      <c r="BQ695" s="62"/>
      <c r="BR695" s="4"/>
      <c r="BS695" s="57" t="e">
        <f t="shared" si="31"/>
        <v>#VALUE!</v>
      </c>
      <c r="BT695" s="63"/>
      <c r="BU695" s="8">
        <v>0</v>
      </c>
      <c r="BV695" s="58" t="e">
        <f>VLOOKUP(AQ695,'[1]Harga &amp; Nama CSO'!$A$28:$D$31,4,0)*BP695</f>
        <v>#N/A</v>
      </c>
    </row>
    <row r="696" spans="41:74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55" t="e">
        <f>IFERROR(VLOOKUP(AQ696,'[1]Harga &amp; Nama CSO'!$H$2:$N$22,2,FALSE),"")*AV696</f>
        <v>#VALUE!</v>
      </c>
      <c r="BO696" s="40"/>
      <c r="BP696" s="4"/>
      <c r="BQ696" s="62"/>
      <c r="BR696" s="4"/>
      <c r="BS696" s="57" t="e">
        <f t="shared" si="31"/>
        <v>#VALUE!</v>
      </c>
      <c r="BT696" s="63"/>
      <c r="BU696" s="8">
        <v>0</v>
      </c>
      <c r="BV696" s="58" t="e">
        <f>VLOOKUP(AQ696,'[1]Harga &amp; Nama CSO'!$A$28:$D$31,4,0)*BP696</f>
        <v>#N/A</v>
      </c>
    </row>
    <row r="697" spans="41:74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55" t="e">
        <f>IFERROR(VLOOKUP(AQ697,'[1]Harga &amp; Nama CSO'!$H$2:$N$22,2,FALSE),"")*AV697</f>
        <v>#VALUE!</v>
      </c>
      <c r="BO697" s="40"/>
      <c r="BP697" s="4"/>
      <c r="BQ697" s="62"/>
      <c r="BR697" s="4"/>
      <c r="BS697" s="57" t="e">
        <f t="shared" si="31"/>
        <v>#VALUE!</v>
      </c>
      <c r="BT697" s="63"/>
      <c r="BU697" s="8">
        <v>0</v>
      </c>
      <c r="BV697" s="58" t="e">
        <f>VLOOKUP(AQ697,'[1]Harga &amp; Nama CSO'!$A$28:$D$31,4,0)*BP697</f>
        <v>#N/A</v>
      </c>
    </row>
    <row r="698" spans="41:74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55" t="e">
        <f>IFERROR(VLOOKUP(AQ698,'[1]Harga &amp; Nama CSO'!$H$2:$N$22,2,FALSE),"")*AV698</f>
        <v>#VALUE!</v>
      </c>
      <c r="BO698" s="40"/>
      <c r="BP698" s="4"/>
      <c r="BQ698" s="62"/>
      <c r="BR698" s="4"/>
      <c r="BS698" s="57" t="e">
        <f t="shared" si="31"/>
        <v>#VALUE!</v>
      </c>
      <c r="BT698" s="63"/>
      <c r="BU698" s="8">
        <v>0</v>
      </c>
      <c r="BV698" s="58" t="e">
        <f>VLOOKUP(AQ698,'[1]Harga &amp; Nama CSO'!$A$28:$D$31,4,0)*BP698</f>
        <v>#N/A</v>
      </c>
    </row>
    <row r="699" spans="41:74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55" t="e">
        <f>IFERROR(VLOOKUP(AQ699,'[1]Harga &amp; Nama CSO'!$H$2:$N$22,2,FALSE),"")*AV699</f>
        <v>#VALUE!</v>
      </c>
      <c r="BO699" s="40"/>
      <c r="BP699" s="4"/>
      <c r="BQ699" s="62"/>
      <c r="BR699" s="4"/>
      <c r="BS699" s="57" t="e">
        <f t="shared" si="31"/>
        <v>#VALUE!</v>
      </c>
      <c r="BT699" s="63"/>
      <c r="BU699" s="8">
        <v>0</v>
      </c>
      <c r="BV699" s="58" t="e">
        <f>VLOOKUP(AQ699,'[1]Harga &amp; Nama CSO'!$A$28:$D$31,4,0)*BP699</f>
        <v>#N/A</v>
      </c>
    </row>
    <row r="700" spans="41:74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55" t="e">
        <f>IFERROR(VLOOKUP(AQ700,'[1]Harga &amp; Nama CSO'!$H$2:$N$22,2,FALSE),"")*AV700</f>
        <v>#VALUE!</v>
      </c>
      <c r="BO700" s="40"/>
      <c r="BP700" s="4"/>
      <c r="BQ700" s="62"/>
      <c r="BR700" s="4"/>
      <c r="BS700" s="57" t="e">
        <f t="shared" si="31"/>
        <v>#VALUE!</v>
      </c>
      <c r="BT700" s="63"/>
      <c r="BU700" s="8">
        <v>0</v>
      </c>
      <c r="BV700" s="58" t="e">
        <f>VLOOKUP(AQ700,'[1]Harga &amp; Nama CSO'!$A$28:$D$31,4,0)*BP700</f>
        <v>#N/A</v>
      </c>
    </row>
    <row r="701" spans="41:74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55" t="e">
        <f>IFERROR(VLOOKUP(AQ701,'[1]Harga &amp; Nama CSO'!$H$2:$N$22,2,FALSE),"")*AV701</f>
        <v>#VALUE!</v>
      </c>
      <c r="BO701" s="40"/>
      <c r="BP701" s="4"/>
      <c r="BQ701" s="62"/>
      <c r="BR701" s="4"/>
      <c r="BS701" s="57" t="e">
        <f t="shared" si="31"/>
        <v>#VALUE!</v>
      </c>
      <c r="BT701" s="63"/>
      <c r="BU701" s="8">
        <v>0</v>
      </c>
      <c r="BV701" s="58" t="e">
        <f>VLOOKUP(AQ701,'[1]Harga &amp; Nama CSO'!$A$28:$D$31,4,0)*BP701</f>
        <v>#N/A</v>
      </c>
    </row>
    <row r="702" spans="41:74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55" t="e">
        <f>IFERROR(VLOOKUP(AQ702,'[1]Harga &amp; Nama CSO'!$H$2:$N$22,2,FALSE),"")*AV702</f>
        <v>#VALUE!</v>
      </c>
      <c r="BO702" s="40"/>
      <c r="BP702" s="4"/>
      <c r="BQ702" s="62"/>
      <c r="BR702" s="4"/>
      <c r="BS702" s="57" t="e">
        <f t="shared" si="31"/>
        <v>#VALUE!</v>
      </c>
      <c r="BT702" s="63"/>
      <c r="BU702" s="8">
        <v>0</v>
      </c>
      <c r="BV702" s="58" t="e">
        <f>VLOOKUP(AQ702,'[1]Harga &amp; Nama CSO'!$A$28:$D$31,4,0)*BP702</f>
        <v>#N/A</v>
      </c>
    </row>
    <row r="703" spans="41:74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55" t="e">
        <f>IFERROR(VLOOKUP(AQ703,'[1]Harga &amp; Nama CSO'!$H$2:$N$22,2,FALSE),"")*AV703</f>
        <v>#VALUE!</v>
      </c>
      <c r="BO703" s="40"/>
      <c r="BP703" s="4"/>
      <c r="BQ703" s="62"/>
      <c r="BR703" s="4"/>
      <c r="BS703" s="57" t="e">
        <f t="shared" si="31"/>
        <v>#VALUE!</v>
      </c>
      <c r="BT703" s="63"/>
      <c r="BU703" s="8">
        <v>0</v>
      </c>
      <c r="BV703" s="58" t="e">
        <f>VLOOKUP(AQ703,'[1]Harga &amp; Nama CSO'!$A$28:$D$31,4,0)*BP703</f>
        <v>#N/A</v>
      </c>
    </row>
    <row r="704" spans="41:74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55" t="e">
        <f>IFERROR(VLOOKUP(AQ704,'[1]Harga &amp; Nama CSO'!$H$2:$N$22,2,FALSE),"")*AV704</f>
        <v>#VALUE!</v>
      </c>
      <c r="BO704" s="40"/>
      <c r="BP704" s="4"/>
      <c r="BQ704" s="62"/>
      <c r="BR704" s="4"/>
      <c r="BS704" s="57" t="e">
        <f t="shared" si="31"/>
        <v>#VALUE!</v>
      </c>
      <c r="BT704" s="63"/>
      <c r="BU704" s="8">
        <v>0</v>
      </c>
      <c r="BV704" s="58" t="e">
        <f>VLOOKUP(AQ704,'[1]Harga &amp; Nama CSO'!$A$28:$D$31,4,0)*BP704</f>
        <v>#N/A</v>
      </c>
    </row>
    <row r="705" spans="41:74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55" t="e">
        <f>IFERROR(VLOOKUP(AQ705,'[1]Harga &amp; Nama CSO'!$H$2:$N$22,2,FALSE),"")*AV705</f>
        <v>#VALUE!</v>
      </c>
      <c r="BO705" s="40"/>
      <c r="BP705" s="4"/>
      <c r="BQ705" s="62"/>
      <c r="BR705" s="4"/>
      <c r="BS705" s="57" t="e">
        <f t="shared" si="31"/>
        <v>#VALUE!</v>
      </c>
      <c r="BT705" s="63"/>
      <c r="BU705" s="8">
        <v>0</v>
      </c>
      <c r="BV705" s="58" t="e">
        <f>VLOOKUP(AQ705,'[1]Harga &amp; Nama CSO'!$A$28:$D$31,4,0)*BP705</f>
        <v>#N/A</v>
      </c>
    </row>
    <row r="706" spans="41:74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55" t="e">
        <f>IFERROR(VLOOKUP(AQ706,'[1]Harga &amp; Nama CSO'!$H$2:$N$22,2,FALSE),"")*AV706</f>
        <v>#VALUE!</v>
      </c>
      <c r="BO706" s="40"/>
      <c r="BP706" s="4"/>
      <c r="BQ706" s="62"/>
      <c r="BR706" s="4"/>
      <c r="BS706" s="57" t="e">
        <f t="shared" si="31"/>
        <v>#VALUE!</v>
      </c>
      <c r="BT706" s="63"/>
      <c r="BU706" s="8">
        <v>0</v>
      </c>
      <c r="BV706" s="58" t="e">
        <f>VLOOKUP(AQ706,'[1]Harga &amp; Nama CSO'!$A$28:$D$31,4,0)*BP706</f>
        <v>#N/A</v>
      </c>
    </row>
    <row r="707" spans="41:74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55" t="e">
        <f>IFERROR(VLOOKUP(AQ707,'[1]Harga &amp; Nama CSO'!$H$2:$N$22,2,FALSE),"")*AV707</f>
        <v>#VALUE!</v>
      </c>
      <c r="BO707" s="40"/>
      <c r="BP707" s="4"/>
      <c r="BQ707" s="62"/>
      <c r="BR707" s="4"/>
      <c r="BS707" s="57" t="e">
        <f t="shared" ref="BS707:BS770" si="32">BN707-BQ707</f>
        <v>#VALUE!</v>
      </c>
      <c r="BT707" s="63"/>
      <c r="BU707" s="8">
        <v>0</v>
      </c>
      <c r="BV707" s="58" t="e">
        <f>VLOOKUP(AQ707,'[1]Harga &amp; Nama CSO'!$A$28:$D$31,4,0)*BP707</f>
        <v>#N/A</v>
      </c>
    </row>
    <row r="708" spans="41:74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55" t="e">
        <f>IFERROR(VLOOKUP(AQ708,'[1]Harga &amp; Nama CSO'!$H$2:$N$22,2,FALSE),"")*AV708</f>
        <v>#VALUE!</v>
      </c>
      <c r="BO708" s="40"/>
      <c r="BP708" s="4"/>
      <c r="BQ708" s="62"/>
      <c r="BR708" s="4"/>
      <c r="BS708" s="57" t="e">
        <f t="shared" si="32"/>
        <v>#VALUE!</v>
      </c>
      <c r="BT708" s="63"/>
      <c r="BU708" s="8">
        <v>0</v>
      </c>
      <c r="BV708" s="58" t="e">
        <f>VLOOKUP(AQ708,'[1]Harga &amp; Nama CSO'!$A$28:$D$31,4,0)*BP708</f>
        <v>#N/A</v>
      </c>
    </row>
    <row r="709" spans="41:74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55" t="e">
        <f>IFERROR(VLOOKUP(AQ709,'[1]Harga &amp; Nama CSO'!$H$2:$N$22,2,FALSE),"")*AV709</f>
        <v>#VALUE!</v>
      </c>
      <c r="BO709" s="40"/>
      <c r="BP709" s="4"/>
      <c r="BQ709" s="62"/>
      <c r="BR709" s="4"/>
      <c r="BS709" s="57" t="e">
        <f t="shared" si="32"/>
        <v>#VALUE!</v>
      </c>
      <c r="BT709" s="63"/>
      <c r="BU709" s="8">
        <v>0</v>
      </c>
      <c r="BV709" s="58" t="e">
        <f>VLOOKUP(AQ709,'[1]Harga &amp; Nama CSO'!$A$28:$D$31,4,0)*BP709</f>
        <v>#N/A</v>
      </c>
    </row>
    <row r="710" spans="41:74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55" t="e">
        <f>IFERROR(VLOOKUP(AQ710,'[1]Harga &amp; Nama CSO'!$H$2:$N$22,2,FALSE),"")*AV710</f>
        <v>#VALUE!</v>
      </c>
      <c r="BO710" s="40"/>
      <c r="BP710" s="4"/>
      <c r="BQ710" s="62"/>
      <c r="BR710" s="4"/>
      <c r="BS710" s="57" t="e">
        <f t="shared" si="32"/>
        <v>#VALUE!</v>
      </c>
      <c r="BT710" s="63"/>
      <c r="BU710" s="8">
        <v>0</v>
      </c>
      <c r="BV710" s="58" t="e">
        <f>VLOOKUP(AQ710,'[1]Harga &amp; Nama CSO'!$A$28:$D$31,4,0)*BP710</f>
        <v>#N/A</v>
      </c>
    </row>
    <row r="711" spans="41:74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55" t="e">
        <f>IFERROR(VLOOKUP(AQ711,'[1]Harga &amp; Nama CSO'!$H$2:$N$22,2,FALSE),"")*AV711</f>
        <v>#VALUE!</v>
      </c>
      <c r="BO711" s="40"/>
      <c r="BP711" s="4"/>
      <c r="BQ711" s="62"/>
      <c r="BR711" s="4"/>
      <c r="BS711" s="57" t="e">
        <f t="shared" si="32"/>
        <v>#VALUE!</v>
      </c>
      <c r="BT711" s="63"/>
      <c r="BU711" s="8">
        <v>0</v>
      </c>
      <c r="BV711" s="58" t="e">
        <f>VLOOKUP(AQ711,'[1]Harga &amp; Nama CSO'!$A$28:$D$31,4,0)*BP711</f>
        <v>#N/A</v>
      </c>
    </row>
    <row r="712" spans="41:74" x14ac:dyDescent="0.35">
      <c r="AO712" s="39">
        <v>710</v>
      </c>
      <c r="AP712" s="63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55" t="e">
        <f>IFERROR(VLOOKUP(AQ712,'[1]Harga &amp; Nama CSO'!$H$2:$N$22,2,FALSE),"")*AV712</f>
        <v>#VALUE!</v>
      </c>
      <c r="BO712" s="40"/>
      <c r="BP712" s="4"/>
      <c r="BQ712" s="62"/>
      <c r="BR712" s="4"/>
      <c r="BS712" s="57" t="e">
        <f t="shared" si="32"/>
        <v>#VALUE!</v>
      </c>
      <c r="BT712" s="63"/>
      <c r="BU712" s="8">
        <v>0</v>
      </c>
      <c r="BV712" s="58" t="e">
        <f>VLOOKUP(AQ712,'[1]Harga &amp; Nama CSO'!$A$28:$D$31,4,0)*BP712</f>
        <v>#N/A</v>
      </c>
    </row>
    <row r="713" spans="41:74" x14ac:dyDescent="0.35">
      <c r="AO713" s="39">
        <v>711</v>
      </c>
      <c r="AP713" s="63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55" t="e">
        <f>IFERROR(VLOOKUP(AQ713,'[1]Harga &amp; Nama CSO'!$H$2:$N$22,2,FALSE),"")*AV713</f>
        <v>#VALUE!</v>
      </c>
      <c r="BO713" s="40"/>
      <c r="BP713" s="4"/>
      <c r="BQ713" s="62"/>
      <c r="BR713" s="4"/>
      <c r="BS713" s="57" t="e">
        <f t="shared" si="32"/>
        <v>#VALUE!</v>
      </c>
      <c r="BT713" s="63"/>
      <c r="BU713" s="8">
        <v>0</v>
      </c>
      <c r="BV713" s="58" t="e">
        <f>VLOOKUP(AQ713,'[1]Harga &amp; Nama CSO'!$A$28:$D$31,4,0)*BP713</f>
        <v>#N/A</v>
      </c>
    </row>
    <row r="714" spans="41:74" x14ac:dyDescent="0.35">
      <c r="AO714" s="39">
        <v>712</v>
      </c>
      <c r="AP714" s="63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55" t="e">
        <f>IFERROR(VLOOKUP(AQ714,'[1]Harga &amp; Nama CSO'!$H$2:$N$22,2,FALSE),"")*AV714</f>
        <v>#VALUE!</v>
      </c>
      <c r="BO714" s="40"/>
      <c r="BP714" s="4"/>
      <c r="BQ714" s="62"/>
      <c r="BR714" s="4"/>
      <c r="BS714" s="57" t="e">
        <f t="shared" si="32"/>
        <v>#VALUE!</v>
      </c>
      <c r="BT714" s="63"/>
      <c r="BU714" s="8">
        <v>0</v>
      </c>
      <c r="BV714" s="58" t="e">
        <f>VLOOKUP(AQ714,'[1]Harga &amp; Nama CSO'!$A$28:$D$31,4,0)*BP714</f>
        <v>#N/A</v>
      </c>
    </row>
    <row r="715" spans="41:74" x14ac:dyDescent="0.35">
      <c r="AO715" s="39">
        <v>713</v>
      </c>
      <c r="AP715" s="63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55" t="e">
        <f>IFERROR(VLOOKUP(AQ715,'[1]Harga &amp; Nama CSO'!$H$2:$N$22,2,FALSE),"")*AV715</f>
        <v>#VALUE!</v>
      </c>
      <c r="BO715" s="40"/>
      <c r="BP715" s="4"/>
      <c r="BQ715" s="62"/>
      <c r="BR715" s="4"/>
      <c r="BS715" s="57" t="e">
        <f t="shared" si="32"/>
        <v>#VALUE!</v>
      </c>
      <c r="BT715" s="63"/>
      <c r="BU715" s="8">
        <v>0</v>
      </c>
      <c r="BV715" s="58" t="e">
        <f>VLOOKUP(AQ715,'[1]Harga &amp; Nama CSO'!$A$28:$D$31,4,0)*BP715</f>
        <v>#N/A</v>
      </c>
    </row>
    <row r="716" spans="41:74" x14ac:dyDescent="0.35">
      <c r="AO716" s="39">
        <v>714</v>
      </c>
      <c r="AP716" s="63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55" t="e">
        <f>IFERROR(VLOOKUP(AQ716,'[1]Harga &amp; Nama CSO'!$H$2:$N$22,2,FALSE),"")*AV716</f>
        <v>#VALUE!</v>
      </c>
      <c r="BO716" s="40"/>
      <c r="BP716" s="4"/>
      <c r="BQ716" s="62"/>
      <c r="BR716" s="4"/>
      <c r="BS716" s="57" t="e">
        <f t="shared" si="32"/>
        <v>#VALUE!</v>
      </c>
      <c r="BT716" s="63"/>
      <c r="BU716" s="8">
        <v>0</v>
      </c>
      <c r="BV716" s="58" t="e">
        <f>VLOOKUP(AQ716,'[1]Harga &amp; Nama CSO'!$A$28:$D$31,4,0)*BP716</f>
        <v>#N/A</v>
      </c>
    </row>
    <row r="717" spans="41:74" x14ac:dyDescent="0.35">
      <c r="AO717" s="39">
        <v>715</v>
      </c>
      <c r="AP717" s="63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55" t="e">
        <f>IFERROR(VLOOKUP(AQ717,'[1]Harga &amp; Nama CSO'!$H$2:$N$22,2,FALSE),"")*AV717</f>
        <v>#VALUE!</v>
      </c>
      <c r="BO717" s="40"/>
      <c r="BP717" s="4"/>
      <c r="BQ717" s="62"/>
      <c r="BR717" s="4"/>
      <c r="BS717" s="57" t="e">
        <f t="shared" si="32"/>
        <v>#VALUE!</v>
      </c>
      <c r="BT717" s="63"/>
      <c r="BU717" s="8">
        <v>0</v>
      </c>
      <c r="BV717" s="58" t="e">
        <f>VLOOKUP(AQ717,'[1]Harga &amp; Nama CSO'!$A$28:$D$31,4,0)*BP717</f>
        <v>#N/A</v>
      </c>
    </row>
    <row r="718" spans="41:74" x14ac:dyDescent="0.35">
      <c r="AO718" s="39">
        <v>716</v>
      </c>
      <c r="AP718" s="63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55" t="e">
        <f>IFERROR(VLOOKUP(AQ718,'[1]Harga &amp; Nama CSO'!$H$2:$N$22,2,FALSE),"")*AV718</f>
        <v>#VALUE!</v>
      </c>
      <c r="BO718" s="40"/>
      <c r="BP718" s="4"/>
      <c r="BQ718" s="62"/>
      <c r="BR718" s="4"/>
      <c r="BS718" s="57" t="e">
        <f t="shared" si="32"/>
        <v>#VALUE!</v>
      </c>
      <c r="BT718" s="63"/>
      <c r="BU718" s="8">
        <v>0</v>
      </c>
      <c r="BV718" s="58" t="e">
        <f>VLOOKUP(AQ718,'[1]Harga &amp; Nama CSO'!$A$28:$D$31,4,0)*BP718</f>
        <v>#N/A</v>
      </c>
    </row>
    <row r="719" spans="41:74" x14ac:dyDescent="0.35">
      <c r="AO719" s="39">
        <v>717</v>
      </c>
      <c r="AP719" s="63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55" t="e">
        <f>IFERROR(VLOOKUP(AQ719,'[1]Harga &amp; Nama CSO'!$H$2:$N$22,2,FALSE),"")*AV719</f>
        <v>#VALUE!</v>
      </c>
      <c r="BO719" s="40"/>
      <c r="BP719" s="4"/>
      <c r="BQ719" s="62"/>
      <c r="BR719" s="4"/>
      <c r="BS719" s="57" t="e">
        <f t="shared" si="32"/>
        <v>#VALUE!</v>
      </c>
      <c r="BT719" s="63"/>
      <c r="BU719" s="8">
        <v>0</v>
      </c>
      <c r="BV719" s="58" t="e">
        <f>VLOOKUP(AQ719,'[1]Harga &amp; Nama CSO'!$A$28:$D$31,4,0)*BP719</f>
        <v>#N/A</v>
      </c>
    </row>
    <row r="720" spans="41:74" x14ac:dyDescent="0.35">
      <c r="AO720" s="39">
        <v>718</v>
      </c>
      <c r="AP720" s="63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55" t="e">
        <f>IFERROR(VLOOKUP(AQ720,'[1]Harga &amp; Nama CSO'!$H$2:$N$22,2,FALSE),"")*AV720</f>
        <v>#VALUE!</v>
      </c>
      <c r="BO720" s="40"/>
      <c r="BP720" s="4"/>
      <c r="BQ720" s="62"/>
      <c r="BR720" s="4"/>
      <c r="BS720" s="57" t="e">
        <f t="shared" si="32"/>
        <v>#VALUE!</v>
      </c>
      <c r="BT720" s="63"/>
      <c r="BU720" s="8">
        <v>0</v>
      </c>
      <c r="BV720" s="58" t="e">
        <f>VLOOKUP(AQ720,'[1]Harga &amp; Nama CSO'!$A$28:$D$31,4,0)*BP720</f>
        <v>#N/A</v>
      </c>
    </row>
    <row r="721" spans="41:74" x14ac:dyDescent="0.35">
      <c r="AO721" s="39">
        <v>719</v>
      </c>
      <c r="AP721" s="63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55" t="e">
        <f>IFERROR(VLOOKUP(AQ721,'[1]Harga &amp; Nama CSO'!$H$2:$N$22,2,FALSE),"")*AV721</f>
        <v>#VALUE!</v>
      </c>
      <c r="BO721" s="40"/>
      <c r="BP721" s="4"/>
      <c r="BQ721" s="62"/>
      <c r="BR721" s="4"/>
      <c r="BS721" s="57" t="e">
        <f t="shared" si="32"/>
        <v>#VALUE!</v>
      </c>
      <c r="BT721" s="63"/>
      <c r="BU721" s="8">
        <v>0</v>
      </c>
      <c r="BV721" s="58" t="e">
        <f>VLOOKUP(AQ721,'[1]Harga &amp; Nama CSO'!$A$28:$D$31,4,0)*BP721</f>
        <v>#N/A</v>
      </c>
    </row>
    <row r="722" spans="41:74" x14ac:dyDescent="0.35">
      <c r="AO722" s="39">
        <v>720</v>
      </c>
      <c r="AP722" s="63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55" t="e">
        <f>IFERROR(VLOOKUP(AQ722,'[1]Harga &amp; Nama CSO'!$H$2:$N$22,2,FALSE),"")*AV722</f>
        <v>#VALUE!</v>
      </c>
      <c r="BO722" s="40"/>
      <c r="BP722" s="4"/>
      <c r="BQ722" s="62"/>
      <c r="BR722" s="4"/>
      <c r="BS722" s="57" t="e">
        <f t="shared" si="32"/>
        <v>#VALUE!</v>
      </c>
      <c r="BT722" s="63"/>
      <c r="BU722" s="8">
        <v>0</v>
      </c>
      <c r="BV722" s="58" t="e">
        <f>VLOOKUP(AQ722,'[1]Harga &amp; Nama CSO'!$A$28:$D$31,4,0)*BP722</f>
        <v>#N/A</v>
      </c>
    </row>
    <row r="723" spans="41:74" x14ac:dyDescent="0.35">
      <c r="AO723" s="39">
        <v>721</v>
      </c>
      <c r="AP723" s="63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55" t="e">
        <f>IFERROR(VLOOKUP(AQ723,'[1]Harga &amp; Nama CSO'!$H$2:$N$22,2,FALSE),"")*AV723</f>
        <v>#VALUE!</v>
      </c>
      <c r="BO723" s="40"/>
      <c r="BP723" s="4"/>
      <c r="BQ723" s="62"/>
      <c r="BR723" s="4"/>
      <c r="BS723" s="57" t="e">
        <f t="shared" si="32"/>
        <v>#VALUE!</v>
      </c>
      <c r="BT723" s="63"/>
      <c r="BU723" s="8">
        <v>0</v>
      </c>
      <c r="BV723" s="58" t="e">
        <f>VLOOKUP(AQ723,'[1]Harga &amp; Nama CSO'!$A$28:$D$31,4,0)*BP723</f>
        <v>#N/A</v>
      </c>
    </row>
    <row r="724" spans="41:74" x14ac:dyDescent="0.35">
      <c r="AO724" s="39">
        <v>722</v>
      </c>
      <c r="AP724" s="63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55" t="e">
        <f>IFERROR(VLOOKUP(AQ724,'[1]Harga &amp; Nama CSO'!$H$2:$N$22,2,FALSE),"")*AV724</f>
        <v>#VALUE!</v>
      </c>
      <c r="BO724" s="40"/>
      <c r="BP724" s="4"/>
      <c r="BQ724" s="62"/>
      <c r="BR724" s="4"/>
      <c r="BS724" s="57" t="e">
        <f t="shared" si="32"/>
        <v>#VALUE!</v>
      </c>
      <c r="BT724" s="63"/>
      <c r="BU724" s="8">
        <v>0</v>
      </c>
      <c r="BV724" s="58" t="e">
        <f>VLOOKUP(AQ724,'[1]Harga &amp; Nama CSO'!$A$28:$D$31,4,0)*BP724</f>
        <v>#N/A</v>
      </c>
    </row>
    <row r="725" spans="41:74" x14ac:dyDescent="0.35">
      <c r="AO725" s="39">
        <v>723</v>
      </c>
      <c r="AP725" s="63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55" t="e">
        <f>IFERROR(VLOOKUP(AQ725,'[1]Harga &amp; Nama CSO'!$H$2:$N$22,2,FALSE),"")*AV725</f>
        <v>#VALUE!</v>
      </c>
      <c r="BO725" s="40"/>
      <c r="BP725" s="4"/>
      <c r="BQ725" s="62"/>
      <c r="BR725" s="4"/>
      <c r="BS725" s="57" t="e">
        <f t="shared" si="32"/>
        <v>#VALUE!</v>
      </c>
      <c r="BT725" s="63"/>
      <c r="BU725" s="8">
        <v>0</v>
      </c>
      <c r="BV725" s="58" t="e">
        <f>VLOOKUP(AQ725,'[1]Harga &amp; Nama CSO'!$A$28:$D$31,4,0)*BP725</f>
        <v>#N/A</v>
      </c>
    </row>
    <row r="726" spans="41:74" x14ac:dyDescent="0.35">
      <c r="AO726" s="39">
        <v>724</v>
      </c>
      <c r="AP726" s="63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55" t="e">
        <f>IFERROR(VLOOKUP(AQ726,'[1]Harga &amp; Nama CSO'!$H$2:$N$22,2,FALSE),"")*AV726</f>
        <v>#VALUE!</v>
      </c>
      <c r="BO726" s="40"/>
      <c r="BP726" s="4"/>
      <c r="BQ726" s="62"/>
      <c r="BR726" s="4"/>
      <c r="BS726" s="57" t="e">
        <f t="shared" si="32"/>
        <v>#VALUE!</v>
      </c>
      <c r="BT726" s="63"/>
      <c r="BU726" s="8">
        <v>0</v>
      </c>
      <c r="BV726" s="58" t="e">
        <f>VLOOKUP(AQ726,'[1]Harga &amp; Nama CSO'!$A$28:$D$31,4,0)*BP726</f>
        <v>#N/A</v>
      </c>
    </row>
    <row r="727" spans="41:74" x14ac:dyDescent="0.35">
      <c r="AO727" s="39">
        <v>725</v>
      </c>
      <c r="AP727" s="63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55" t="e">
        <f>IFERROR(VLOOKUP(AQ727,'[1]Harga &amp; Nama CSO'!$H$2:$N$22,2,FALSE),"")*AV727</f>
        <v>#VALUE!</v>
      </c>
      <c r="BO727" s="40"/>
      <c r="BP727" s="4"/>
      <c r="BQ727" s="62"/>
      <c r="BR727" s="4"/>
      <c r="BS727" s="57" t="e">
        <f t="shared" si="32"/>
        <v>#VALUE!</v>
      </c>
      <c r="BT727" s="63"/>
      <c r="BU727" s="8">
        <v>0</v>
      </c>
      <c r="BV727" s="58" t="e">
        <f>VLOOKUP(AQ727,'[1]Harga &amp; Nama CSO'!$A$28:$D$31,4,0)*BP727</f>
        <v>#N/A</v>
      </c>
    </row>
    <row r="728" spans="41:74" x14ac:dyDescent="0.35">
      <c r="AO728" s="39">
        <v>726</v>
      </c>
      <c r="AP728" s="63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55" t="e">
        <f>IFERROR(VLOOKUP(AQ728,'[1]Harga &amp; Nama CSO'!$H$2:$N$22,2,FALSE),"")*AV728</f>
        <v>#VALUE!</v>
      </c>
      <c r="BO728" s="40"/>
      <c r="BP728" s="4"/>
      <c r="BQ728" s="62"/>
      <c r="BR728" s="4"/>
      <c r="BS728" s="57" t="e">
        <f t="shared" si="32"/>
        <v>#VALUE!</v>
      </c>
      <c r="BT728" s="63"/>
      <c r="BU728" s="8">
        <v>0</v>
      </c>
      <c r="BV728" s="58" t="e">
        <f>VLOOKUP(AQ728,'[1]Harga &amp; Nama CSO'!$A$28:$D$31,4,0)*BP728</f>
        <v>#N/A</v>
      </c>
    </row>
    <row r="729" spans="41:74" x14ac:dyDescent="0.35">
      <c r="AO729" s="39">
        <v>727</v>
      </c>
      <c r="AP729" s="63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55" t="e">
        <f>IFERROR(VLOOKUP(AQ729,'[1]Harga &amp; Nama CSO'!$H$2:$N$22,2,FALSE),"")*AV729</f>
        <v>#VALUE!</v>
      </c>
      <c r="BO729" s="40"/>
      <c r="BP729" s="4"/>
      <c r="BQ729" s="62"/>
      <c r="BR729" s="4"/>
      <c r="BS729" s="57" t="e">
        <f t="shared" si="32"/>
        <v>#VALUE!</v>
      </c>
      <c r="BT729" s="63"/>
      <c r="BU729" s="8">
        <v>0</v>
      </c>
      <c r="BV729" s="58" t="e">
        <f>VLOOKUP(AQ729,'[1]Harga &amp; Nama CSO'!$A$28:$D$31,4,0)*BP729</f>
        <v>#N/A</v>
      </c>
    </row>
    <row r="730" spans="41:74" x14ac:dyDescent="0.35">
      <c r="AO730" s="39">
        <v>728</v>
      </c>
      <c r="AP730" s="63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55" t="e">
        <f>IFERROR(VLOOKUP(AQ730,'[1]Harga &amp; Nama CSO'!$H$2:$N$22,2,FALSE),"")*AV730</f>
        <v>#VALUE!</v>
      </c>
      <c r="BO730" s="40"/>
      <c r="BP730" s="4"/>
      <c r="BQ730" s="62"/>
      <c r="BR730" s="4"/>
      <c r="BS730" s="57" t="e">
        <f t="shared" si="32"/>
        <v>#VALUE!</v>
      </c>
      <c r="BT730" s="63"/>
      <c r="BU730" s="8">
        <v>0</v>
      </c>
      <c r="BV730" s="58" t="e">
        <f>VLOOKUP(AQ730,'[1]Harga &amp; Nama CSO'!$A$28:$D$31,4,0)*BP730</f>
        <v>#N/A</v>
      </c>
    </row>
    <row r="731" spans="41:74" x14ac:dyDescent="0.35">
      <c r="AO731" s="39">
        <v>729</v>
      </c>
      <c r="AP731" s="63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55" t="e">
        <f>IFERROR(VLOOKUP(AQ731,'[1]Harga &amp; Nama CSO'!$H$2:$N$22,2,FALSE),"")*AV731</f>
        <v>#VALUE!</v>
      </c>
      <c r="BO731" s="40"/>
      <c r="BP731" s="4"/>
      <c r="BQ731" s="62"/>
      <c r="BR731" s="4"/>
      <c r="BS731" s="57" t="e">
        <f t="shared" si="32"/>
        <v>#VALUE!</v>
      </c>
      <c r="BT731" s="63"/>
      <c r="BU731" s="8">
        <v>0</v>
      </c>
      <c r="BV731" s="58" t="e">
        <f>VLOOKUP(AQ731,'[1]Harga &amp; Nama CSO'!$A$28:$D$31,4,0)*BP731</f>
        <v>#N/A</v>
      </c>
    </row>
    <row r="732" spans="41:74" x14ac:dyDescent="0.35">
      <c r="AO732" s="39">
        <v>730</v>
      </c>
      <c r="AP732" s="63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55" t="e">
        <f>IFERROR(VLOOKUP(AQ732,'[1]Harga &amp; Nama CSO'!$H$2:$N$22,2,FALSE),"")*AV732</f>
        <v>#VALUE!</v>
      </c>
      <c r="BO732" s="40"/>
      <c r="BP732" s="4"/>
      <c r="BQ732" s="62"/>
      <c r="BR732" s="4"/>
      <c r="BS732" s="57" t="e">
        <f t="shared" si="32"/>
        <v>#VALUE!</v>
      </c>
      <c r="BT732" s="63"/>
      <c r="BU732" s="8">
        <v>0</v>
      </c>
      <c r="BV732" s="58" t="e">
        <f>VLOOKUP(AQ732,'[1]Harga &amp; Nama CSO'!$A$28:$D$31,4,0)*BP732</f>
        <v>#N/A</v>
      </c>
    </row>
    <row r="733" spans="41:74" x14ac:dyDescent="0.35">
      <c r="AO733" s="39">
        <v>731</v>
      </c>
      <c r="AP733" s="63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55" t="e">
        <f>IFERROR(VLOOKUP(AQ733,'[1]Harga &amp; Nama CSO'!$H$2:$N$22,2,FALSE),"")*AV733</f>
        <v>#VALUE!</v>
      </c>
      <c r="BO733" s="40"/>
      <c r="BP733" s="4"/>
      <c r="BQ733" s="62"/>
      <c r="BR733" s="4"/>
      <c r="BS733" s="57" t="e">
        <f t="shared" si="32"/>
        <v>#VALUE!</v>
      </c>
      <c r="BT733" s="63"/>
      <c r="BU733" s="8">
        <v>0</v>
      </c>
      <c r="BV733" s="58" t="e">
        <f>VLOOKUP(AQ733,'[1]Harga &amp; Nama CSO'!$A$28:$D$31,4,0)*BP733</f>
        <v>#N/A</v>
      </c>
    </row>
    <row r="734" spans="41:74" x14ac:dyDescent="0.35">
      <c r="AO734" s="39">
        <v>732</v>
      </c>
      <c r="AP734" s="63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55" t="e">
        <f>IFERROR(VLOOKUP(AQ734,'[1]Harga &amp; Nama CSO'!$H$2:$N$22,2,FALSE),"")*AV734</f>
        <v>#VALUE!</v>
      </c>
      <c r="BO734" s="40"/>
      <c r="BP734" s="4"/>
      <c r="BQ734" s="62"/>
      <c r="BR734" s="4"/>
      <c r="BS734" s="57" t="e">
        <f t="shared" si="32"/>
        <v>#VALUE!</v>
      </c>
      <c r="BT734" s="63"/>
      <c r="BU734" s="8">
        <v>0</v>
      </c>
      <c r="BV734" s="58" t="e">
        <f>VLOOKUP(AQ734,'[1]Harga &amp; Nama CSO'!$A$28:$D$31,4,0)*BP734</f>
        <v>#N/A</v>
      </c>
    </row>
    <row r="735" spans="41:74" x14ac:dyDescent="0.35">
      <c r="AO735" s="39">
        <v>733</v>
      </c>
      <c r="AP735" s="63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55" t="e">
        <f>IFERROR(VLOOKUP(AQ735,'[1]Harga &amp; Nama CSO'!$H$2:$N$22,2,FALSE),"")*AV735</f>
        <v>#VALUE!</v>
      </c>
      <c r="BO735" s="40"/>
      <c r="BP735" s="4"/>
      <c r="BQ735" s="62"/>
      <c r="BR735" s="4"/>
      <c r="BS735" s="57" t="e">
        <f t="shared" si="32"/>
        <v>#VALUE!</v>
      </c>
      <c r="BT735" s="63"/>
      <c r="BU735" s="8">
        <v>0</v>
      </c>
      <c r="BV735" s="58" t="e">
        <f>VLOOKUP(AQ735,'[1]Harga &amp; Nama CSO'!$A$28:$D$31,4,0)*BP735</f>
        <v>#N/A</v>
      </c>
    </row>
    <row r="736" spans="41:74" x14ac:dyDescent="0.35">
      <c r="AO736" s="39">
        <v>734</v>
      </c>
      <c r="AP736" s="63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55" t="e">
        <f>IFERROR(VLOOKUP(AQ736,'[1]Harga &amp; Nama CSO'!$H$2:$N$22,2,FALSE),"")*AV736</f>
        <v>#VALUE!</v>
      </c>
      <c r="BO736" s="40"/>
      <c r="BP736" s="4"/>
      <c r="BQ736" s="62"/>
      <c r="BR736" s="4"/>
      <c r="BS736" s="57" t="e">
        <f t="shared" si="32"/>
        <v>#VALUE!</v>
      </c>
      <c r="BT736" s="63"/>
      <c r="BU736" s="8">
        <v>0</v>
      </c>
      <c r="BV736" s="58" t="e">
        <f>VLOOKUP(AQ736,'[1]Harga &amp; Nama CSO'!$A$28:$D$31,4,0)*BP736</f>
        <v>#N/A</v>
      </c>
    </row>
    <row r="737" spans="41:74" x14ac:dyDescent="0.35">
      <c r="AO737" s="39">
        <v>735</v>
      </c>
      <c r="AP737" s="63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55" t="e">
        <f>IFERROR(VLOOKUP(AQ737,'[1]Harga &amp; Nama CSO'!$H$2:$N$22,2,FALSE),"")*AV737</f>
        <v>#VALUE!</v>
      </c>
      <c r="BO737" s="40"/>
      <c r="BP737" s="4"/>
      <c r="BQ737" s="62"/>
      <c r="BR737" s="4"/>
      <c r="BS737" s="57" t="e">
        <f t="shared" si="32"/>
        <v>#VALUE!</v>
      </c>
      <c r="BT737" s="63"/>
      <c r="BU737" s="8">
        <v>0</v>
      </c>
      <c r="BV737" s="58" t="e">
        <f>VLOOKUP(AQ737,'[1]Harga &amp; Nama CSO'!$A$28:$D$31,4,0)*BP737</f>
        <v>#N/A</v>
      </c>
    </row>
    <row r="738" spans="41:74" x14ac:dyDescent="0.35">
      <c r="AO738" s="39">
        <v>736</v>
      </c>
      <c r="AP738" s="63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55" t="e">
        <f>IFERROR(VLOOKUP(AQ738,'[1]Harga &amp; Nama CSO'!$H$2:$N$22,2,FALSE),"")*AV738</f>
        <v>#VALUE!</v>
      </c>
      <c r="BO738" s="40"/>
      <c r="BP738" s="4"/>
      <c r="BQ738" s="62"/>
      <c r="BR738" s="4"/>
      <c r="BS738" s="57" t="e">
        <f t="shared" si="32"/>
        <v>#VALUE!</v>
      </c>
      <c r="BT738" s="63"/>
      <c r="BU738" s="8">
        <v>0</v>
      </c>
      <c r="BV738" s="58" t="e">
        <f>VLOOKUP(AQ738,'[1]Harga &amp; Nama CSO'!$A$28:$D$31,4,0)*BP738</f>
        <v>#N/A</v>
      </c>
    </row>
    <row r="739" spans="41:74" x14ac:dyDescent="0.35">
      <c r="AO739" s="39">
        <v>737</v>
      </c>
      <c r="AP739" s="63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55" t="e">
        <f>IFERROR(VLOOKUP(AQ739,'[1]Harga &amp; Nama CSO'!$H$2:$N$22,2,FALSE),"")*AV739</f>
        <v>#VALUE!</v>
      </c>
      <c r="BO739" s="40"/>
      <c r="BP739" s="4"/>
      <c r="BQ739" s="62"/>
      <c r="BR739" s="4"/>
      <c r="BS739" s="57" t="e">
        <f t="shared" si="32"/>
        <v>#VALUE!</v>
      </c>
      <c r="BT739" s="63"/>
      <c r="BU739" s="8">
        <v>0</v>
      </c>
      <c r="BV739" s="58" t="e">
        <f>VLOOKUP(AQ739,'[1]Harga &amp; Nama CSO'!$A$28:$D$31,4,0)*BP739</f>
        <v>#N/A</v>
      </c>
    </row>
    <row r="740" spans="41:74" x14ac:dyDescent="0.35">
      <c r="AO740" s="39">
        <v>738</v>
      </c>
      <c r="AP740" s="63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55" t="e">
        <f>IFERROR(VLOOKUP(AQ740,'[1]Harga &amp; Nama CSO'!$H$2:$N$22,2,FALSE),"")*AV740</f>
        <v>#VALUE!</v>
      </c>
      <c r="BO740" s="40"/>
      <c r="BP740" s="4"/>
      <c r="BQ740" s="62"/>
      <c r="BR740" s="4"/>
      <c r="BS740" s="57" t="e">
        <f t="shared" si="32"/>
        <v>#VALUE!</v>
      </c>
      <c r="BT740" s="63"/>
      <c r="BU740" s="8">
        <v>0</v>
      </c>
      <c r="BV740" s="58" t="e">
        <f>VLOOKUP(AQ740,'[1]Harga &amp; Nama CSO'!$A$28:$D$31,4,0)*BP740</f>
        <v>#N/A</v>
      </c>
    </row>
    <row r="741" spans="41:74" x14ac:dyDescent="0.35">
      <c r="AO741" s="39">
        <v>739</v>
      </c>
      <c r="AP741" s="63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55" t="e">
        <f>IFERROR(VLOOKUP(AQ741,'[1]Harga &amp; Nama CSO'!$H$2:$N$22,2,FALSE),"")*AV741</f>
        <v>#VALUE!</v>
      </c>
      <c r="BO741" s="40"/>
      <c r="BP741" s="4"/>
      <c r="BQ741" s="62"/>
      <c r="BR741" s="4"/>
      <c r="BS741" s="57" t="e">
        <f t="shared" si="32"/>
        <v>#VALUE!</v>
      </c>
      <c r="BT741" s="63"/>
      <c r="BU741" s="8">
        <v>0</v>
      </c>
      <c r="BV741" s="58" t="e">
        <f>VLOOKUP(AQ741,'[1]Harga &amp; Nama CSO'!$A$28:$D$31,4,0)*BP741</f>
        <v>#N/A</v>
      </c>
    </row>
    <row r="742" spans="41:74" x14ac:dyDescent="0.35">
      <c r="AO742" s="39">
        <v>740</v>
      </c>
      <c r="AP742" s="63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55" t="e">
        <f>IFERROR(VLOOKUP(AQ742,'[1]Harga &amp; Nama CSO'!$H$2:$N$22,2,FALSE),"")*AV742</f>
        <v>#VALUE!</v>
      </c>
      <c r="BO742" s="40"/>
      <c r="BP742" s="4"/>
      <c r="BQ742" s="62"/>
      <c r="BR742" s="4"/>
      <c r="BS742" s="57" t="e">
        <f t="shared" si="32"/>
        <v>#VALUE!</v>
      </c>
      <c r="BT742" s="63"/>
      <c r="BU742" s="8">
        <v>0</v>
      </c>
      <c r="BV742" s="58" t="e">
        <f>VLOOKUP(AQ742,'[1]Harga &amp; Nama CSO'!$A$28:$D$31,4,0)*BP742</f>
        <v>#N/A</v>
      </c>
    </row>
    <row r="743" spans="41:74" x14ac:dyDescent="0.35">
      <c r="AO743" s="39">
        <v>741</v>
      </c>
      <c r="AP743" s="63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55" t="e">
        <f>IFERROR(VLOOKUP(AQ743,'[1]Harga &amp; Nama CSO'!$H$2:$N$22,2,FALSE),"")*AV743</f>
        <v>#VALUE!</v>
      </c>
      <c r="BO743" s="40"/>
      <c r="BP743" s="4"/>
      <c r="BQ743" s="62"/>
      <c r="BR743" s="4"/>
      <c r="BS743" s="57" t="e">
        <f t="shared" si="32"/>
        <v>#VALUE!</v>
      </c>
      <c r="BT743" s="63"/>
      <c r="BU743" s="8">
        <v>0</v>
      </c>
      <c r="BV743" s="58" t="e">
        <f>VLOOKUP(AQ743,'[1]Harga &amp; Nama CSO'!$A$28:$D$31,4,0)*BP743</f>
        <v>#N/A</v>
      </c>
    </row>
    <row r="744" spans="41:74" x14ac:dyDescent="0.35">
      <c r="AO744" s="39">
        <v>742</v>
      </c>
      <c r="AP744" s="63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55" t="e">
        <f>IFERROR(VLOOKUP(AQ744,'[1]Harga &amp; Nama CSO'!$H$2:$N$22,2,FALSE),"")*AV744</f>
        <v>#VALUE!</v>
      </c>
      <c r="BO744" s="40"/>
      <c r="BP744" s="4"/>
      <c r="BQ744" s="62"/>
      <c r="BR744" s="4"/>
      <c r="BS744" s="57" t="e">
        <f t="shared" si="32"/>
        <v>#VALUE!</v>
      </c>
      <c r="BT744" s="63"/>
      <c r="BU744" s="8">
        <v>0</v>
      </c>
      <c r="BV744" s="58" t="e">
        <f>VLOOKUP(AQ744,'[1]Harga &amp; Nama CSO'!$A$28:$D$31,4,0)*BP744</f>
        <v>#N/A</v>
      </c>
    </row>
    <row r="745" spans="41:74" x14ac:dyDescent="0.35">
      <c r="AO745" s="39">
        <v>743</v>
      </c>
      <c r="AP745" s="63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55" t="e">
        <f>IFERROR(VLOOKUP(AQ745,'[1]Harga &amp; Nama CSO'!$H$2:$N$22,2,FALSE),"")*AV745</f>
        <v>#VALUE!</v>
      </c>
      <c r="BO745" s="40"/>
      <c r="BP745" s="4"/>
      <c r="BQ745" s="62"/>
      <c r="BR745" s="4"/>
      <c r="BS745" s="57" t="e">
        <f t="shared" si="32"/>
        <v>#VALUE!</v>
      </c>
      <c r="BT745" s="63"/>
      <c r="BU745" s="8">
        <v>0</v>
      </c>
      <c r="BV745" s="58" t="e">
        <f>VLOOKUP(AQ745,'[1]Harga &amp; Nama CSO'!$A$28:$D$31,4,0)*BP745</f>
        <v>#N/A</v>
      </c>
    </row>
    <row r="746" spans="41:74" x14ac:dyDescent="0.35">
      <c r="AO746" s="39">
        <v>744</v>
      </c>
      <c r="AP746" s="63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55" t="e">
        <f>IFERROR(VLOOKUP(AQ746,'[1]Harga &amp; Nama CSO'!$H$2:$N$22,2,FALSE),"")*AV746</f>
        <v>#VALUE!</v>
      </c>
      <c r="BO746" s="40"/>
      <c r="BP746" s="4"/>
      <c r="BQ746" s="62"/>
      <c r="BR746" s="4"/>
      <c r="BS746" s="57" t="e">
        <f t="shared" si="32"/>
        <v>#VALUE!</v>
      </c>
      <c r="BT746" s="63"/>
      <c r="BU746" s="8">
        <v>0</v>
      </c>
      <c r="BV746" s="58" t="e">
        <f>VLOOKUP(AQ746,'[1]Harga &amp; Nama CSO'!$A$28:$D$31,4,0)*BP746</f>
        <v>#N/A</v>
      </c>
    </row>
    <row r="747" spans="41:74" x14ac:dyDescent="0.35">
      <c r="AO747" s="39">
        <v>745</v>
      </c>
      <c r="AP747" s="63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55" t="e">
        <f>IFERROR(VLOOKUP(AQ747,'[1]Harga &amp; Nama CSO'!$H$2:$N$22,2,FALSE),"")*AV747</f>
        <v>#VALUE!</v>
      </c>
      <c r="BO747" s="40"/>
      <c r="BP747" s="4"/>
      <c r="BQ747" s="62"/>
      <c r="BR747" s="4"/>
      <c r="BS747" s="57" t="e">
        <f t="shared" si="32"/>
        <v>#VALUE!</v>
      </c>
      <c r="BT747" s="63"/>
      <c r="BU747" s="8">
        <v>0</v>
      </c>
      <c r="BV747" s="58" t="e">
        <f>VLOOKUP(AQ747,'[1]Harga &amp; Nama CSO'!$A$28:$D$31,4,0)*BP747</f>
        <v>#N/A</v>
      </c>
    </row>
    <row r="748" spans="41:74" x14ac:dyDescent="0.35">
      <c r="AO748" s="39">
        <v>746</v>
      </c>
      <c r="AP748" s="63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55" t="e">
        <f>IFERROR(VLOOKUP(AQ748,'[1]Harga &amp; Nama CSO'!$H$2:$N$22,2,FALSE),"")*AV748</f>
        <v>#VALUE!</v>
      </c>
      <c r="BO748" s="40"/>
      <c r="BP748" s="4"/>
      <c r="BQ748" s="62"/>
      <c r="BR748" s="4"/>
      <c r="BS748" s="57" t="e">
        <f t="shared" si="32"/>
        <v>#VALUE!</v>
      </c>
      <c r="BT748" s="63"/>
      <c r="BU748" s="8">
        <v>0</v>
      </c>
      <c r="BV748" s="58" t="e">
        <f>VLOOKUP(AQ748,'[1]Harga &amp; Nama CSO'!$A$28:$D$31,4,0)*BP748</f>
        <v>#N/A</v>
      </c>
    </row>
    <row r="749" spans="41:74" x14ac:dyDescent="0.35">
      <c r="AO749" s="39">
        <v>747</v>
      </c>
      <c r="AP749" s="63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55" t="e">
        <f>IFERROR(VLOOKUP(AQ749,'[1]Harga &amp; Nama CSO'!$H$2:$N$22,2,FALSE),"")*AV749</f>
        <v>#VALUE!</v>
      </c>
      <c r="BO749" s="40"/>
      <c r="BP749" s="4"/>
      <c r="BQ749" s="62"/>
      <c r="BR749" s="4"/>
      <c r="BS749" s="57" t="e">
        <f t="shared" si="32"/>
        <v>#VALUE!</v>
      </c>
      <c r="BT749" s="63"/>
      <c r="BU749" s="8">
        <v>0</v>
      </c>
      <c r="BV749" s="58" t="e">
        <f>VLOOKUP(AQ749,'[1]Harga &amp; Nama CSO'!$A$28:$D$31,4,0)*BP749</f>
        <v>#N/A</v>
      </c>
    </row>
    <row r="750" spans="41:74" x14ac:dyDescent="0.35">
      <c r="AO750" s="39">
        <v>748</v>
      </c>
      <c r="AP750" s="63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55" t="e">
        <f>IFERROR(VLOOKUP(AQ750,'[1]Harga &amp; Nama CSO'!$H$2:$N$22,2,FALSE),"")*AV750</f>
        <v>#VALUE!</v>
      </c>
      <c r="BO750" s="40"/>
      <c r="BP750" s="4"/>
      <c r="BQ750" s="62"/>
      <c r="BR750" s="4"/>
      <c r="BS750" s="57" t="e">
        <f t="shared" si="32"/>
        <v>#VALUE!</v>
      </c>
      <c r="BT750" s="63"/>
      <c r="BU750" s="8">
        <v>0</v>
      </c>
      <c r="BV750" s="58" t="e">
        <f>VLOOKUP(AQ750,'[1]Harga &amp; Nama CSO'!$A$28:$D$31,4,0)*BP750</f>
        <v>#N/A</v>
      </c>
    </row>
    <row r="751" spans="41:74" x14ac:dyDescent="0.35">
      <c r="AO751" s="39">
        <v>749</v>
      </c>
      <c r="AP751" s="63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55" t="e">
        <f>IFERROR(VLOOKUP(AQ751,'[1]Harga &amp; Nama CSO'!$H$2:$N$22,2,FALSE),"")*AV751</f>
        <v>#VALUE!</v>
      </c>
      <c r="BO751" s="40"/>
      <c r="BP751" s="4"/>
      <c r="BQ751" s="62"/>
      <c r="BR751" s="4"/>
      <c r="BS751" s="57" t="e">
        <f t="shared" si="32"/>
        <v>#VALUE!</v>
      </c>
      <c r="BT751" s="63"/>
      <c r="BU751" s="8">
        <v>0</v>
      </c>
      <c r="BV751" s="58" t="e">
        <f>VLOOKUP(AQ751,'[1]Harga &amp; Nama CSO'!$A$28:$D$31,4,0)*BP751</f>
        <v>#N/A</v>
      </c>
    </row>
    <row r="752" spans="41:74" x14ac:dyDescent="0.35">
      <c r="AO752" s="39">
        <v>750</v>
      </c>
      <c r="AP752" s="63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55" t="e">
        <f>IFERROR(VLOOKUP(AQ752,'[1]Harga &amp; Nama CSO'!$H$2:$N$22,2,FALSE),"")*AV752</f>
        <v>#VALUE!</v>
      </c>
      <c r="BO752" s="40"/>
      <c r="BP752" s="4"/>
      <c r="BQ752" s="62"/>
      <c r="BR752" s="4"/>
      <c r="BS752" s="57" t="e">
        <f t="shared" si="32"/>
        <v>#VALUE!</v>
      </c>
      <c r="BT752" s="63"/>
      <c r="BU752" s="8">
        <v>0</v>
      </c>
      <c r="BV752" s="58" t="e">
        <f>VLOOKUP(AQ752,'[1]Harga &amp; Nama CSO'!$A$28:$D$31,4,0)*BP752</f>
        <v>#N/A</v>
      </c>
    </row>
    <row r="753" spans="41:74" x14ac:dyDescent="0.35">
      <c r="AO753" s="39">
        <v>751</v>
      </c>
      <c r="AP753" s="63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55" t="e">
        <f>IFERROR(VLOOKUP(AQ753,'[1]Harga &amp; Nama CSO'!$H$2:$N$22,2,FALSE),"")*AV753</f>
        <v>#VALUE!</v>
      </c>
      <c r="BO753" s="40"/>
      <c r="BP753" s="4"/>
      <c r="BQ753" s="62"/>
      <c r="BR753" s="4"/>
      <c r="BS753" s="57" t="e">
        <f t="shared" si="32"/>
        <v>#VALUE!</v>
      </c>
      <c r="BT753" s="63"/>
      <c r="BU753" s="8">
        <v>0</v>
      </c>
      <c r="BV753" s="58" t="e">
        <f>VLOOKUP(AQ753,'[1]Harga &amp; Nama CSO'!$A$28:$D$31,4,0)*BP753</f>
        <v>#N/A</v>
      </c>
    </row>
    <row r="754" spans="41:74" x14ac:dyDescent="0.35">
      <c r="AO754" s="39">
        <v>752</v>
      </c>
      <c r="AP754" s="63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55" t="e">
        <f>IFERROR(VLOOKUP(AQ754,'[1]Harga &amp; Nama CSO'!$H$2:$N$22,2,FALSE),"")*AV754</f>
        <v>#VALUE!</v>
      </c>
      <c r="BO754" s="40"/>
      <c r="BP754" s="4"/>
      <c r="BQ754" s="62"/>
      <c r="BR754" s="4"/>
      <c r="BS754" s="57" t="e">
        <f t="shared" si="32"/>
        <v>#VALUE!</v>
      </c>
      <c r="BT754" s="63"/>
      <c r="BU754" s="8">
        <v>0</v>
      </c>
      <c r="BV754" s="58" t="e">
        <f>VLOOKUP(AQ754,'[1]Harga &amp; Nama CSO'!$A$28:$D$31,4,0)*BP754</f>
        <v>#N/A</v>
      </c>
    </row>
    <row r="755" spans="41:74" x14ac:dyDescent="0.35">
      <c r="AO755" s="39">
        <v>753</v>
      </c>
      <c r="AP755" s="63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55" t="e">
        <f>IFERROR(VLOOKUP(AQ755,'[1]Harga &amp; Nama CSO'!$H$2:$N$22,2,FALSE),"")*AV755</f>
        <v>#VALUE!</v>
      </c>
      <c r="BO755" s="40"/>
      <c r="BP755" s="4"/>
      <c r="BQ755" s="62"/>
      <c r="BR755" s="4"/>
      <c r="BS755" s="57" t="e">
        <f t="shared" si="32"/>
        <v>#VALUE!</v>
      </c>
      <c r="BT755" s="63"/>
      <c r="BU755" s="8">
        <v>0</v>
      </c>
      <c r="BV755" s="58" t="e">
        <f>VLOOKUP(AQ755,'[1]Harga &amp; Nama CSO'!$A$28:$D$31,4,0)*BP755</f>
        <v>#N/A</v>
      </c>
    </row>
    <row r="756" spans="41:74" x14ac:dyDescent="0.35">
      <c r="AO756" s="39">
        <v>754</v>
      </c>
      <c r="AP756" s="63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55" t="e">
        <f>IFERROR(VLOOKUP(AQ756,'[1]Harga &amp; Nama CSO'!$H$2:$N$22,2,FALSE),"")*AV756</f>
        <v>#VALUE!</v>
      </c>
      <c r="BO756" s="40"/>
      <c r="BP756" s="4"/>
      <c r="BQ756" s="62"/>
      <c r="BR756" s="4"/>
      <c r="BS756" s="57" t="e">
        <f t="shared" si="32"/>
        <v>#VALUE!</v>
      </c>
      <c r="BT756" s="63"/>
      <c r="BU756" s="8">
        <v>0</v>
      </c>
      <c r="BV756" s="58" t="e">
        <f>VLOOKUP(AQ756,'[1]Harga &amp; Nama CSO'!$A$28:$D$31,4,0)*BP756</f>
        <v>#N/A</v>
      </c>
    </row>
    <row r="757" spans="41:74" x14ac:dyDescent="0.35">
      <c r="AO757" s="39">
        <v>755</v>
      </c>
      <c r="AP757" s="63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55" t="e">
        <f>IFERROR(VLOOKUP(AQ757,'[1]Harga &amp; Nama CSO'!$H$2:$N$22,2,FALSE),"")*AV757</f>
        <v>#VALUE!</v>
      </c>
      <c r="BO757" s="40"/>
      <c r="BP757" s="4"/>
      <c r="BQ757" s="62"/>
      <c r="BR757" s="4"/>
      <c r="BS757" s="57" t="e">
        <f t="shared" si="32"/>
        <v>#VALUE!</v>
      </c>
      <c r="BT757" s="63"/>
      <c r="BU757" s="8">
        <v>0</v>
      </c>
      <c r="BV757" s="58" t="e">
        <f>VLOOKUP(AQ757,'[1]Harga &amp; Nama CSO'!$A$28:$D$31,4,0)*BP757</f>
        <v>#N/A</v>
      </c>
    </row>
    <row r="758" spans="41:74" x14ac:dyDescent="0.35">
      <c r="AO758" s="39">
        <v>756</v>
      </c>
      <c r="AP758" s="63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55" t="e">
        <f>IFERROR(VLOOKUP(AQ758,'[1]Harga &amp; Nama CSO'!$H$2:$N$22,2,FALSE),"")*AV758</f>
        <v>#VALUE!</v>
      </c>
      <c r="BO758" s="40"/>
      <c r="BP758" s="4"/>
      <c r="BQ758" s="62"/>
      <c r="BR758" s="4"/>
      <c r="BS758" s="57" t="e">
        <f t="shared" si="32"/>
        <v>#VALUE!</v>
      </c>
      <c r="BT758" s="63"/>
      <c r="BU758" s="8">
        <v>0</v>
      </c>
      <c r="BV758" s="58" t="e">
        <f>VLOOKUP(AQ758,'[1]Harga &amp; Nama CSO'!$A$28:$D$31,4,0)*BP758</f>
        <v>#N/A</v>
      </c>
    </row>
    <row r="759" spans="41:74" x14ac:dyDescent="0.35">
      <c r="AO759" s="39">
        <v>757</v>
      </c>
      <c r="AP759" s="63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55" t="e">
        <f>IFERROR(VLOOKUP(AQ759,'[1]Harga &amp; Nama CSO'!$H$2:$N$22,2,FALSE),"")*AV759</f>
        <v>#VALUE!</v>
      </c>
      <c r="BO759" s="40"/>
      <c r="BP759" s="4"/>
      <c r="BQ759" s="62"/>
      <c r="BR759" s="4"/>
      <c r="BS759" s="57" t="e">
        <f t="shared" si="32"/>
        <v>#VALUE!</v>
      </c>
      <c r="BT759" s="63"/>
      <c r="BU759" s="8">
        <v>0</v>
      </c>
      <c r="BV759" s="58" t="e">
        <f>VLOOKUP(AQ759,'[1]Harga &amp; Nama CSO'!$A$28:$D$31,4,0)*BP759</f>
        <v>#N/A</v>
      </c>
    </row>
    <row r="760" spans="41:74" x14ac:dyDescent="0.35">
      <c r="AO760" s="39">
        <v>758</v>
      </c>
      <c r="AP760" s="63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55" t="e">
        <f>IFERROR(VLOOKUP(AQ760,'[1]Harga &amp; Nama CSO'!$H$2:$N$22,2,FALSE),"")*AV760</f>
        <v>#VALUE!</v>
      </c>
      <c r="BO760" s="40"/>
      <c r="BP760" s="4"/>
      <c r="BQ760" s="62"/>
      <c r="BR760" s="4"/>
      <c r="BS760" s="57" t="e">
        <f t="shared" si="32"/>
        <v>#VALUE!</v>
      </c>
      <c r="BT760" s="63"/>
      <c r="BU760" s="8">
        <v>0</v>
      </c>
      <c r="BV760" s="58" t="e">
        <f>VLOOKUP(AQ760,'[1]Harga &amp; Nama CSO'!$A$28:$D$31,4,0)*BP760</f>
        <v>#N/A</v>
      </c>
    </row>
    <row r="761" spans="41:74" x14ac:dyDescent="0.35">
      <c r="AO761" s="39">
        <v>759</v>
      </c>
      <c r="AP761" s="63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55" t="e">
        <f>IFERROR(VLOOKUP(AQ761,'[1]Harga &amp; Nama CSO'!$H$2:$N$22,2,FALSE),"")*AV761</f>
        <v>#VALUE!</v>
      </c>
      <c r="BO761" s="40"/>
      <c r="BP761" s="4"/>
      <c r="BQ761" s="62"/>
      <c r="BR761" s="4"/>
      <c r="BS761" s="57" t="e">
        <f t="shared" si="32"/>
        <v>#VALUE!</v>
      </c>
      <c r="BT761" s="63"/>
      <c r="BU761" s="8">
        <v>0</v>
      </c>
      <c r="BV761" s="58" t="e">
        <f>VLOOKUP(AQ761,'[1]Harga &amp; Nama CSO'!$A$28:$D$31,4,0)*BP761</f>
        <v>#N/A</v>
      </c>
    </row>
    <row r="762" spans="41:74" x14ac:dyDescent="0.35">
      <c r="AO762" s="39">
        <v>760</v>
      </c>
      <c r="AP762" s="63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55" t="e">
        <f>IFERROR(VLOOKUP(AQ762,'[1]Harga &amp; Nama CSO'!$H$2:$N$22,2,FALSE),"")*AV762</f>
        <v>#VALUE!</v>
      </c>
      <c r="BO762" s="40"/>
      <c r="BP762" s="4"/>
      <c r="BQ762" s="62"/>
      <c r="BR762" s="4"/>
      <c r="BS762" s="57" t="e">
        <f t="shared" si="32"/>
        <v>#VALUE!</v>
      </c>
      <c r="BT762" s="63"/>
      <c r="BU762" s="8">
        <v>0</v>
      </c>
      <c r="BV762" s="58" t="e">
        <f>VLOOKUP(AQ762,'[1]Harga &amp; Nama CSO'!$A$28:$D$31,4,0)*BP762</f>
        <v>#N/A</v>
      </c>
    </row>
    <row r="763" spans="41:74" x14ac:dyDescent="0.35">
      <c r="AO763" s="39">
        <v>761</v>
      </c>
      <c r="AP763" s="63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55" t="e">
        <f>IFERROR(VLOOKUP(AQ763,'[1]Harga &amp; Nama CSO'!$H$2:$N$22,2,FALSE),"")*AV763</f>
        <v>#VALUE!</v>
      </c>
      <c r="BO763" s="40"/>
      <c r="BP763" s="4"/>
      <c r="BQ763" s="62"/>
      <c r="BR763" s="4"/>
      <c r="BS763" s="57" t="e">
        <f t="shared" si="32"/>
        <v>#VALUE!</v>
      </c>
      <c r="BT763" s="63"/>
      <c r="BU763" s="8">
        <v>0</v>
      </c>
      <c r="BV763" s="58" t="e">
        <f>VLOOKUP(AQ763,'[1]Harga &amp; Nama CSO'!$A$28:$D$31,4,0)*BP763</f>
        <v>#N/A</v>
      </c>
    </row>
    <row r="764" spans="41:74" x14ac:dyDescent="0.35">
      <c r="AO764" s="39">
        <v>762</v>
      </c>
      <c r="AP764" s="63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55" t="e">
        <f>IFERROR(VLOOKUP(AQ764,'[1]Harga &amp; Nama CSO'!$H$2:$N$22,2,FALSE),"")*AV764</f>
        <v>#VALUE!</v>
      </c>
      <c r="BO764" s="40"/>
      <c r="BP764" s="4"/>
      <c r="BQ764" s="62"/>
      <c r="BR764" s="4"/>
      <c r="BS764" s="57" t="e">
        <f t="shared" si="32"/>
        <v>#VALUE!</v>
      </c>
      <c r="BT764" s="63"/>
      <c r="BU764" s="8">
        <v>0</v>
      </c>
      <c r="BV764" s="58" t="e">
        <f>VLOOKUP(AQ764,'[1]Harga &amp; Nama CSO'!$A$28:$D$31,4,0)*BP764</f>
        <v>#N/A</v>
      </c>
    </row>
    <row r="765" spans="41:74" x14ac:dyDescent="0.35">
      <c r="AO765" s="39">
        <v>763</v>
      </c>
      <c r="AP765" s="63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55" t="e">
        <f>IFERROR(VLOOKUP(AQ765,'[1]Harga &amp; Nama CSO'!$H$2:$N$22,2,FALSE),"")*AV765</f>
        <v>#VALUE!</v>
      </c>
      <c r="BO765" s="40"/>
      <c r="BP765" s="4"/>
      <c r="BQ765" s="62"/>
      <c r="BR765" s="4"/>
      <c r="BS765" s="57" t="e">
        <f t="shared" si="32"/>
        <v>#VALUE!</v>
      </c>
      <c r="BT765" s="63"/>
      <c r="BU765" s="8">
        <v>0</v>
      </c>
      <c r="BV765" s="58" t="e">
        <f>VLOOKUP(AQ765,'[1]Harga &amp; Nama CSO'!$A$28:$D$31,4,0)*BP765</f>
        <v>#N/A</v>
      </c>
    </row>
    <row r="766" spans="41:74" x14ac:dyDescent="0.35">
      <c r="AO766" s="39">
        <v>764</v>
      </c>
      <c r="AP766" s="63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55" t="e">
        <f>IFERROR(VLOOKUP(AQ766,'[1]Harga &amp; Nama CSO'!$H$2:$N$22,2,FALSE),"")*AV766</f>
        <v>#VALUE!</v>
      </c>
      <c r="BO766" s="40"/>
      <c r="BP766" s="4"/>
      <c r="BQ766" s="62"/>
      <c r="BR766" s="4"/>
      <c r="BS766" s="57" t="e">
        <f t="shared" si="32"/>
        <v>#VALUE!</v>
      </c>
      <c r="BT766" s="63"/>
      <c r="BU766" s="8">
        <v>0</v>
      </c>
      <c r="BV766" s="58" t="e">
        <f>VLOOKUP(AQ766,'[1]Harga &amp; Nama CSO'!$A$28:$D$31,4,0)*BP766</f>
        <v>#N/A</v>
      </c>
    </row>
    <row r="767" spans="41:74" x14ac:dyDescent="0.35">
      <c r="AO767" s="39">
        <v>765</v>
      </c>
      <c r="AP767" s="63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55" t="e">
        <f>IFERROR(VLOOKUP(AQ767,'[1]Harga &amp; Nama CSO'!$H$2:$N$22,2,FALSE),"")*AV767</f>
        <v>#VALUE!</v>
      </c>
      <c r="BO767" s="40"/>
      <c r="BP767" s="4"/>
      <c r="BQ767" s="62"/>
      <c r="BR767" s="4"/>
      <c r="BS767" s="57" t="e">
        <f t="shared" si="32"/>
        <v>#VALUE!</v>
      </c>
      <c r="BT767" s="63"/>
      <c r="BU767" s="8">
        <v>0</v>
      </c>
      <c r="BV767" s="58" t="e">
        <f>VLOOKUP(AQ767,'[1]Harga &amp; Nama CSO'!$A$28:$D$31,4,0)*BP767</f>
        <v>#N/A</v>
      </c>
    </row>
    <row r="768" spans="41:74" x14ac:dyDescent="0.35">
      <c r="AO768" s="39">
        <v>766</v>
      </c>
      <c r="AP768" s="63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55" t="e">
        <f>IFERROR(VLOOKUP(AQ768,'[1]Harga &amp; Nama CSO'!$H$2:$N$22,2,FALSE),"")*AV768</f>
        <v>#VALUE!</v>
      </c>
      <c r="BO768" s="40"/>
      <c r="BP768" s="4"/>
      <c r="BQ768" s="62"/>
      <c r="BR768" s="4"/>
      <c r="BS768" s="57" t="e">
        <f t="shared" si="32"/>
        <v>#VALUE!</v>
      </c>
      <c r="BT768" s="63"/>
      <c r="BU768" s="8">
        <v>0</v>
      </c>
      <c r="BV768" s="58" t="e">
        <f>VLOOKUP(AQ768,'[1]Harga &amp; Nama CSO'!$A$28:$D$31,4,0)*BP768</f>
        <v>#N/A</v>
      </c>
    </row>
    <row r="769" spans="41:74" x14ac:dyDescent="0.35">
      <c r="AO769" s="39">
        <v>767</v>
      </c>
      <c r="AP769" s="63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55" t="e">
        <f>IFERROR(VLOOKUP(AQ769,'[1]Harga &amp; Nama CSO'!$H$2:$N$22,2,FALSE),"")*AV769</f>
        <v>#VALUE!</v>
      </c>
      <c r="BO769" s="40"/>
      <c r="BP769" s="4"/>
      <c r="BQ769" s="62"/>
      <c r="BR769" s="4"/>
      <c r="BS769" s="57" t="e">
        <f t="shared" si="32"/>
        <v>#VALUE!</v>
      </c>
      <c r="BT769" s="63"/>
      <c r="BU769" s="8">
        <v>0</v>
      </c>
      <c r="BV769" s="58" t="e">
        <f>VLOOKUP(AQ769,'[1]Harga &amp; Nama CSO'!$A$28:$D$31,4,0)*BP769</f>
        <v>#N/A</v>
      </c>
    </row>
    <row r="770" spans="41:74" x14ac:dyDescent="0.35">
      <c r="AO770" s="39">
        <v>768</v>
      </c>
      <c r="AP770" s="63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55" t="e">
        <f>IFERROR(VLOOKUP(AQ770,'[1]Harga &amp; Nama CSO'!$H$2:$N$22,2,FALSE),"")*AV770</f>
        <v>#VALUE!</v>
      </c>
      <c r="BO770" s="40"/>
      <c r="BP770" s="4"/>
      <c r="BQ770" s="62"/>
      <c r="BR770" s="4"/>
      <c r="BS770" s="57" t="e">
        <f t="shared" si="32"/>
        <v>#VALUE!</v>
      </c>
      <c r="BT770" s="63"/>
      <c r="BU770" s="8">
        <v>0</v>
      </c>
      <c r="BV770" s="58" t="e">
        <f>VLOOKUP(AQ770,'[1]Harga &amp; Nama CSO'!$A$28:$D$31,4,0)*BP770</f>
        <v>#N/A</v>
      </c>
    </row>
    <row r="771" spans="41:74" x14ac:dyDescent="0.35">
      <c r="AO771" s="39">
        <v>769</v>
      </c>
      <c r="AP771" s="63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55" t="e">
        <f>IFERROR(VLOOKUP(AQ771,'[1]Harga &amp; Nama CSO'!$H$2:$N$22,2,FALSE),"")*AV771</f>
        <v>#VALUE!</v>
      </c>
      <c r="BO771" s="40"/>
      <c r="BP771" s="4"/>
      <c r="BQ771" s="62"/>
      <c r="BR771" s="4"/>
      <c r="BS771" s="57" t="e">
        <f t="shared" ref="BS771:BS834" si="33">BN771-BQ771</f>
        <v>#VALUE!</v>
      </c>
      <c r="BT771" s="63"/>
      <c r="BU771" s="8">
        <v>0</v>
      </c>
      <c r="BV771" s="58" t="e">
        <f>VLOOKUP(AQ771,'[1]Harga &amp; Nama CSO'!$A$28:$D$31,4,0)*BP771</f>
        <v>#N/A</v>
      </c>
    </row>
    <row r="772" spans="41:74" x14ac:dyDescent="0.35">
      <c r="AO772" s="39">
        <v>770</v>
      </c>
      <c r="AP772" s="63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55" t="e">
        <f>IFERROR(VLOOKUP(AQ772,'[1]Harga &amp; Nama CSO'!$H$2:$N$22,2,FALSE),"")*AV772</f>
        <v>#VALUE!</v>
      </c>
      <c r="BO772" s="40"/>
      <c r="BP772" s="4"/>
      <c r="BQ772" s="62"/>
      <c r="BR772" s="4"/>
      <c r="BS772" s="57" t="e">
        <f t="shared" si="33"/>
        <v>#VALUE!</v>
      </c>
      <c r="BT772" s="63"/>
      <c r="BU772" s="8">
        <v>0</v>
      </c>
      <c r="BV772" s="58" t="e">
        <f>VLOOKUP(AQ772,'[1]Harga &amp; Nama CSO'!$A$28:$D$31,4,0)*BP772</f>
        <v>#N/A</v>
      </c>
    </row>
    <row r="773" spans="41:74" x14ac:dyDescent="0.35">
      <c r="AO773" s="39">
        <v>771</v>
      </c>
      <c r="AP773" s="63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55" t="e">
        <f>IFERROR(VLOOKUP(AQ773,'[1]Harga &amp; Nama CSO'!$H$2:$N$22,2,FALSE),"")*AV773</f>
        <v>#VALUE!</v>
      </c>
      <c r="BO773" s="40"/>
      <c r="BP773" s="4"/>
      <c r="BQ773" s="62"/>
      <c r="BR773" s="4"/>
      <c r="BS773" s="57" t="e">
        <f t="shared" si="33"/>
        <v>#VALUE!</v>
      </c>
      <c r="BT773" s="63"/>
      <c r="BU773" s="8">
        <v>0</v>
      </c>
      <c r="BV773" s="58" t="e">
        <f>VLOOKUP(AQ773,'[1]Harga &amp; Nama CSO'!$A$28:$D$31,4,0)*BP773</f>
        <v>#N/A</v>
      </c>
    </row>
    <row r="774" spans="41:74" x14ac:dyDescent="0.35">
      <c r="AO774" s="39">
        <v>772</v>
      </c>
      <c r="AP774" s="63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55" t="e">
        <f>IFERROR(VLOOKUP(AQ774,'[1]Harga &amp; Nama CSO'!$H$2:$N$22,2,FALSE),"")*AV774</f>
        <v>#VALUE!</v>
      </c>
      <c r="BO774" s="40"/>
      <c r="BP774" s="4"/>
      <c r="BQ774" s="62"/>
      <c r="BR774" s="4"/>
      <c r="BS774" s="57" t="e">
        <f t="shared" si="33"/>
        <v>#VALUE!</v>
      </c>
      <c r="BT774" s="63"/>
      <c r="BU774" s="8">
        <v>0</v>
      </c>
      <c r="BV774" s="58" t="e">
        <f>VLOOKUP(AQ774,'[1]Harga &amp; Nama CSO'!$A$28:$D$31,4,0)*BP774</f>
        <v>#N/A</v>
      </c>
    </row>
    <row r="775" spans="41:74" x14ac:dyDescent="0.35">
      <c r="AO775" s="39">
        <v>773</v>
      </c>
      <c r="AP775" s="63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55" t="e">
        <f>IFERROR(VLOOKUP(AQ775,'[1]Harga &amp; Nama CSO'!$H$2:$N$22,2,FALSE),"")*AV775</f>
        <v>#VALUE!</v>
      </c>
      <c r="BO775" s="40"/>
      <c r="BP775" s="4"/>
      <c r="BQ775" s="62"/>
      <c r="BR775" s="4"/>
      <c r="BS775" s="57" t="e">
        <f t="shared" si="33"/>
        <v>#VALUE!</v>
      </c>
      <c r="BT775" s="63"/>
      <c r="BU775" s="8">
        <v>0</v>
      </c>
      <c r="BV775" s="58" t="e">
        <f>VLOOKUP(AQ775,'[1]Harga &amp; Nama CSO'!$A$28:$D$31,4,0)*BP775</f>
        <v>#N/A</v>
      </c>
    </row>
    <row r="776" spans="41:74" x14ac:dyDescent="0.35">
      <c r="AO776" s="39">
        <v>774</v>
      </c>
      <c r="AP776" s="63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55" t="e">
        <f>IFERROR(VLOOKUP(AQ776,'[1]Harga &amp; Nama CSO'!$H$2:$N$22,2,FALSE),"")*AV776</f>
        <v>#VALUE!</v>
      </c>
      <c r="BO776" s="40"/>
      <c r="BP776" s="4"/>
      <c r="BQ776" s="62"/>
      <c r="BR776" s="4"/>
      <c r="BS776" s="57" t="e">
        <f t="shared" si="33"/>
        <v>#VALUE!</v>
      </c>
      <c r="BT776" s="63"/>
      <c r="BU776" s="8">
        <v>0</v>
      </c>
      <c r="BV776" s="58" t="e">
        <f>VLOOKUP(AQ776,'[1]Harga &amp; Nama CSO'!$A$28:$D$31,4,0)*BP776</f>
        <v>#N/A</v>
      </c>
    </row>
    <row r="777" spans="41:74" x14ac:dyDescent="0.35">
      <c r="AO777" s="39">
        <v>775</v>
      </c>
      <c r="AP777" s="63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55" t="e">
        <f>IFERROR(VLOOKUP(AQ777,'[1]Harga &amp; Nama CSO'!$H$2:$N$22,2,FALSE),"")*AV777</f>
        <v>#VALUE!</v>
      </c>
      <c r="BO777" s="40"/>
      <c r="BP777" s="4"/>
      <c r="BQ777" s="62"/>
      <c r="BR777" s="4"/>
      <c r="BS777" s="57" t="e">
        <f t="shared" si="33"/>
        <v>#VALUE!</v>
      </c>
      <c r="BT777" s="63"/>
      <c r="BU777" s="8">
        <v>0</v>
      </c>
      <c r="BV777" s="58" t="e">
        <f>VLOOKUP(AQ777,'[1]Harga &amp; Nama CSO'!$A$28:$D$31,4,0)*BP777</f>
        <v>#N/A</v>
      </c>
    </row>
    <row r="778" spans="41:74" x14ac:dyDescent="0.35">
      <c r="AO778" s="39">
        <v>776</v>
      </c>
      <c r="AP778" s="63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55" t="e">
        <f>IFERROR(VLOOKUP(AQ778,'[1]Harga &amp; Nama CSO'!$H$2:$N$22,2,FALSE),"")*AV778</f>
        <v>#VALUE!</v>
      </c>
      <c r="BO778" s="40"/>
      <c r="BP778" s="4"/>
      <c r="BQ778" s="62"/>
      <c r="BR778" s="4"/>
      <c r="BS778" s="57" t="e">
        <f t="shared" si="33"/>
        <v>#VALUE!</v>
      </c>
      <c r="BT778" s="63"/>
      <c r="BU778" s="8">
        <v>0</v>
      </c>
      <c r="BV778" s="58" t="e">
        <f>VLOOKUP(AQ778,'[1]Harga &amp; Nama CSO'!$A$28:$D$31,4,0)*BP778</f>
        <v>#N/A</v>
      </c>
    </row>
    <row r="779" spans="41:74" x14ac:dyDescent="0.35">
      <c r="AO779" s="39">
        <v>777</v>
      </c>
      <c r="AP779" s="63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55" t="e">
        <f>IFERROR(VLOOKUP(AQ779,'[1]Harga &amp; Nama CSO'!$H$2:$N$22,2,FALSE),"")*AV779</f>
        <v>#VALUE!</v>
      </c>
      <c r="BO779" s="40"/>
      <c r="BP779" s="4"/>
      <c r="BQ779" s="62"/>
      <c r="BR779" s="4"/>
      <c r="BS779" s="57" t="e">
        <f t="shared" si="33"/>
        <v>#VALUE!</v>
      </c>
      <c r="BT779" s="63"/>
      <c r="BU779" s="8">
        <v>0</v>
      </c>
      <c r="BV779" s="58" t="e">
        <f>VLOOKUP(AQ779,'[1]Harga &amp; Nama CSO'!$A$28:$D$31,4,0)*BP779</f>
        <v>#N/A</v>
      </c>
    </row>
    <row r="780" spans="41:74" x14ac:dyDescent="0.35">
      <c r="AO780" s="39">
        <v>778</v>
      </c>
      <c r="AP780" s="63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55" t="e">
        <f>IFERROR(VLOOKUP(AQ780,'[1]Harga &amp; Nama CSO'!$H$2:$N$22,2,FALSE),"")*AV780</f>
        <v>#VALUE!</v>
      </c>
      <c r="BO780" s="40"/>
      <c r="BP780" s="4"/>
      <c r="BQ780" s="62"/>
      <c r="BR780" s="4"/>
      <c r="BS780" s="57" t="e">
        <f t="shared" si="33"/>
        <v>#VALUE!</v>
      </c>
      <c r="BT780" s="63"/>
      <c r="BU780" s="8">
        <v>0</v>
      </c>
      <c r="BV780" s="58" t="e">
        <f>VLOOKUP(AQ780,'[1]Harga &amp; Nama CSO'!$A$28:$D$31,4,0)*BP780</f>
        <v>#N/A</v>
      </c>
    </row>
    <row r="781" spans="41:74" x14ac:dyDescent="0.35">
      <c r="AO781" s="39">
        <v>779</v>
      </c>
      <c r="AP781" s="63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55" t="e">
        <f>IFERROR(VLOOKUP(AQ781,'[1]Harga &amp; Nama CSO'!$H$2:$N$22,2,FALSE),"")*AV781</f>
        <v>#VALUE!</v>
      </c>
      <c r="BO781" s="40"/>
      <c r="BP781" s="4"/>
      <c r="BQ781" s="62"/>
      <c r="BR781" s="4"/>
      <c r="BS781" s="57" t="e">
        <f t="shared" si="33"/>
        <v>#VALUE!</v>
      </c>
      <c r="BT781" s="63"/>
      <c r="BU781" s="8">
        <v>0</v>
      </c>
      <c r="BV781" s="58" t="e">
        <f>VLOOKUP(AQ781,'[1]Harga &amp; Nama CSO'!$A$28:$D$31,4,0)*BP781</f>
        <v>#N/A</v>
      </c>
    </row>
    <row r="782" spans="41:74" x14ac:dyDescent="0.35">
      <c r="AO782" s="39">
        <v>780</v>
      </c>
      <c r="AP782" s="63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55" t="e">
        <f>IFERROR(VLOOKUP(AQ782,'[1]Harga &amp; Nama CSO'!$H$2:$N$22,2,FALSE),"")*AV782</f>
        <v>#VALUE!</v>
      </c>
      <c r="BO782" s="40"/>
      <c r="BP782" s="4"/>
      <c r="BQ782" s="62"/>
      <c r="BR782" s="4"/>
      <c r="BS782" s="57" t="e">
        <f t="shared" si="33"/>
        <v>#VALUE!</v>
      </c>
      <c r="BT782" s="63"/>
      <c r="BU782" s="8">
        <v>0</v>
      </c>
      <c r="BV782" s="58" t="e">
        <f>VLOOKUP(AQ782,'[1]Harga &amp; Nama CSO'!$A$28:$D$31,4,0)*BP782</f>
        <v>#N/A</v>
      </c>
    </row>
    <row r="783" spans="41:74" x14ac:dyDescent="0.35">
      <c r="AO783" s="39">
        <v>781</v>
      </c>
      <c r="AP783" s="63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55" t="e">
        <f>IFERROR(VLOOKUP(AQ783,'[1]Harga &amp; Nama CSO'!$H$2:$N$22,2,FALSE),"")*AV783</f>
        <v>#VALUE!</v>
      </c>
      <c r="BO783" s="40"/>
      <c r="BP783" s="4"/>
      <c r="BQ783" s="62"/>
      <c r="BR783" s="4"/>
      <c r="BS783" s="57" t="e">
        <f t="shared" si="33"/>
        <v>#VALUE!</v>
      </c>
      <c r="BT783" s="63"/>
      <c r="BU783" s="8">
        <v>0</v>
      </c>
      <c r="BV783" s="58" t="e">
        <f>VLOOKUP(AQ783,'[1]Harga &amp; Nama CSO'!$A$28:$D$31,4,0)*BP783</f>
        <v>#N/A</v>
      </c>
    </row>
    <row r="784" spans="41:74" x14ac:dyDescent="0.35">
      <c r="AO784" s="39">
        <v>782</v>
      </c>
      <c r="AP784" s="63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55" t="e">
        <f>IFERROR(VLOOKUP(AQ784,'[1]Harga &amp; Nama CSO'!$H$2:$N$22,2,FALSE),"")*AV784</f>
        <v>#VALUE!</v>
      </c>
      <c r="BO784" s="40"/>
      <c r="BP784" s="4"/>
      <c r="BQ784" s="62"/>
      <c r="BR784" s="4"/>
      <c r="BS784" s="57" t="e">
        <f t="shared" si="33"/>
        <v>#VALUE!</v>
      </c>
      <c r="BT784" s="63"/>
      <c r="BU784" s="8">
        <v>0</v>
      </c>
      <c r="BV784" s="58" t="e">
        <f>VLOOKUP(AQ784,'[1]Harga &amp; Nama CSO'!$A$28:$D$31,4,0)*BP784</f>
        <v>#N/A</v>
      </c>
    </row>
    <row r="785" spans="41:74" x14ac:dyDescent="0.35">
      <c r="AO785" s="39">
        <v>783</v>
      </c>
      <c r="AP785" s="63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55" t="e">
        <f>IFERROR(VLOOKUP(AQ785,'[1]Harga &amp; Nama CSO'!$H$2:$N$22,2,FALSE),"")*AV785</f>
        <v>#VALUE!</v>
      </c>
      <c r="BO785" s="40"/>
      <c r="BP785" s="4"/>
      <c r="BQ785" s="62"/>
      <c r="BR785" s="4"/>
      <c r="BS785" s="57" t="e">
        <f t="shared" si="33"/>
        <v>#VALUE!</v>
      </c>
      <c r="BT785" s="63"/>
      <c r="BU785" s="8">
        <v>0</v>
      </c>
      <c r="BV785" s="58" t="e">
        <f>VLOOKUP(AQ785,'[1]Harga &amp; Nama CSO'!$A$28:$D$31,4,0)*BP785</f>
        <v>#N/A</v>
      </c>
    </row>
    <row r="786" spans="41:74" x14ac:dyDescent="0.35">
      <c r="AO786" s="39">
        <v>784</v>
      </c>
      <c r="AP786" s="63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55" t="e">
        <f>IFERROR(VLOOKUP(AQ786,'[1]Harga &amp; Nama CSO'!$H$2:$N$22,2,FALSE),"")*AV786</f>
        <v>#VALUE!</v>
      </c>
      <c r="BO786" s="40"/>
      <c r="BP786" s="4"/>
      <c r="BQ786" s="62"/>
      <c r="BR786" s="4"/>
      <c r="BS786" s="57" t="e">
        <f t="shared" si="33"/>
        <v>#VALUE!</v>
      </c>
      <c r="BT786" s="63"/>
      <c r="BU786" s="8">
        <v>0</v>
      </c>
      <c r="BV786" s="58" t="e">
        <f>VLOOKUP(AQ786,'[1]Harga &amp; Nama CSO'!$A$28:$D$31,4,0)*BP786</f>
        <v>#N/A</v>
      </c>
    </row>
    <row r="787" spans="41:74" x14ac:dyDescent="0.35">
      <c r="AO787" s="39">
        <v>785</v>
      </c>
      <c r="AP787" s="63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55" t="e">
        <f>IFERROR(VLOOKUP(AQ787,'[1]Harga &amp; Nama CSO'!$H$2:$N$22,2,FALSE),"")*AV787</f>
        <v>#VALUE!</v>
      </c>
      <c r="BO787" s="40"/>
      <c r="BP787" s="4"/>
      <c r="BQ787" s="62"/>
      <c r="BR787" s="4"/>
      <c r="BS787" s="57" t="e">
        <f t="shared" si="33"/>
        <v>#VALUE!</v>
      </c>
      <c r="BT787" s="63"/>
      <c r="BU787" s="8">
        <v>0</v>
      </c>
      <c r="BV787" s="58" t="e">
        <f>VLOOKUP(AQ787,'[1]Harga &amp; Nama CSO'!$A$28:$D$31,4,0)*BP787</f>
        <v>#N/A</v>
      </c>
    </row>
    <row r="788" spans="41:74" x14ac:dyDescent="0.35">
      <c r="AO788" s="39">
        <v>786</v>
      </c>
      <c r="AP788" s="63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55" t="e">
        <f>IFERROR(VLOOKUP(AQ788,'[1]Harga &amp; Nama CSO'!$H$2:$N$22,2,FALSE),"")*AV788</f>
        <v>#VALUE!</v>
      </c>
      <c r="BO788" s="40"/>
      <c r="BP788" s="4"/>
      <c r="BQ788" s="62"/>
      <c r="BR788" s="4"/>
      <c r="BS788" s="57" t="e">
        <f t="shared" si="33"/>
        <v>#VALUE!</v>
      </c>
      <c r="BT788" s="63"/>
      <c r="BU788" s="8">
        <v>0</v>
      </c>
      <c r="BV788" s="58" t="e">
        <f>VLOOKUP(AQ788,'[1]Harga &amp; Nama CSO'!$A$28:$D$31,4,0)*BP788</f>
        <v>#N/A</v>
      </c>
    </row>
    <row r="789" spans="41:74" x14ac:dyDescent="0.35">
      <c r="AO789" s="39">
        <v>787</v>
      </c>
      <c r="AP789" s="63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55" t="e">
        <f>IFERROR(VLOOKUP(AQ789,'[1]Harga &amp; Nama CSO'!$H$2:$N$22,2,FALSE),"")*AV789</f>
        <v>#VALUE!</v>
      </c>
      <c r="BO789" s="40"/>
      <c r="BP789" s="4"/>
      <c r="BQ789" s="62"/>
      <c r="BR789" s="4"/>
      <c r="BS789" s="57" t="e">
        <f t="shared" si="33"/>
        <v>#VALUE!</v>
      </c>
      <c r="BT789" s="63"/>
      <c r="BU789" s="8">
        <v>0</v>
      </c>
      <c r="BV789" s="58" t="e">
        <f>VLOOKUP(AQ789,'[1]Harga &amp; Nama CSO'!$A$28:$D$31,4,0)*BP789</f>
        <v>#N/A</v>
      </c>
    </row>
    <row r="790" spans="41:74" x14ac:dyDescent="0.35">
      <c r="AO790" s="39">
        <v>788</v>
      </c>
      <c r="AP790" s="63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55" t="e">
        <f>IFERROR(VLOOKUP(AQ790,'[1]Harga &amp; Nama CSO'!$H$2:$N$22,2,FALSE),"")*AV790</f>
        <v>#VALUE!</v>
      </c>
      <c r="BO790" s="40"/>
      <c r="BP790" s="4"/>
      <c r="BQ790" s="62"/>
      <c r="BR790" s="4"/>
      <c r="BS790" s="57" t="e">
        <f t="shared" si="33"/>
        <v>#VALUE!</v>
      </c>
      <c r="BT790" s="63"/>
      <c r="BU790" s="8">
        <v>0</v>
      </c>
      <c r="BV790" s="58" t="e">
        <f>VLOOKUP(AQ790,'[1]Harga &amp; Nama CSO'!$A$28:$D$31,4,0)*BP790</f>
        <v>#N/A</v>
      </c>
    </row>
    <row r="791" spans="41:74" x14ac:dyDescent="0.35">
      <c r="AO791" s="39">
        <v>789</v>
      </c>
      <c r="AP791" s="63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55" t="e">
        <f>IFERROR(VLOOKUP(AQ791,'[1]Harga &amp; Nama CSO'!$H$2:$N$22,2,FALSE),"")*AV791</f>
        <v>#VALUE!</v>
      </c>
      <c r="BO791" s="40"/>
      <c r="BP791" s="4"/>
      <c r="BQ791" s="62"/>
      <c r="BR791" s="4"/>
      <c r="BS791" s="57" t="e">
        <f t="shared" si="33"/>
        <v>#VALUE!</v>
      </c>
      <c r="BT791" s="63"/>
      <c r="BU791" s="8">
        <v>0</v>
      </c>
      <c r="BV791" s="58" t="e">
        <f>VLOOKUP(AQ791,'[1]Harga &amp; Nama CSO'!$A$28:$D$31,4,0)*BP791</f>
        <v>#N/A</v>
      </c>
    </row>
    <row r="792" spans="41:74" x14ac:dyDescent="0.35">
      <c r="AO792" s="39">
        <v>790</v>
      </c>
      <c r="AP792" s="63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55" t="e">
        <f>IFERROR(VLOOKUP(AQ792,'[1]Harga &amp; Nama CSO'!$H$2:$N$22,2,FALSE),"")*AV792</f>
        <v>#VALUE!</v>
      </c>
      <c r="BO792" s="40"/>
      <c r="BP792" s="4"/>
      <c r="BQ792" s="62"/>
      <c r="BR792" s="4"/>
      <c r="BS792" s="57" t="e">
        <f t="shared" si="33"/>
        <v>#VALUE!</v>
      </c>
      <c r="BT792" s="63"/>
      <c r="BU792" s="8">
        <v>0</v>
      </c>
      <c r="BV792" s="58" t="e">
        <f>VLOOKUP(AQ792,'[1]Harga &amp; Nama CSO'!$A$28:$D$31,4,0)*BP792</f>
        <v>#N/A</v>
      </c>
    </row>
    <row r="793" spans="41:74" x14ac:dyDescent="0.35">
      <c r="AO793" s="39">
        <v>791</v>
      </c>
      <c r="AP793" s="63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55" t="e">
        <f>IFERROR(VLOOKUP(AQ793,'[1]Harga &amp; Nama CSO'!$H$2:$N$22,2,FALSE),"")*AV793</f>
        <v>#VALUE!</v>
      </c>
      <c r="BO793" s="40"/>
      <c r="BP793" s="4"/>
      <c r="BQ793" s="62"/>
      <c r="BR793" s="4"/>
      <c r="BS793" s="57" t="e">
        <f t="shared" si="33"/>
        <v>#VALUE!</v>
      </c>
      <c r="BT793" s="63"/>
      <c r="BU793" s="8">
        <v>0</v>
      </c>
      <c r="BV793" s="58" t="e">
        <f>VLOOKUP(AQ793,'[1]Harga &amp; Nama CSO'!$A$28:$D$31,4,0)*BP793</f>
        <v>#N/A</v>
      </c>
    </row>
    <row r="794" spans="41:74" x14ac:dyDescent="0.35">
      <c r="AO794" s="39">
        <v>792</v>
      </c>
      <c r="AP794" s="63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55" t="e">
        <f>IFERROR(VLOOKUP(AQ794,'[1]Harga &amp; Nama CSO'!$H$2:$N$22,2,FALSE),"")*AV794</f>
        <v>#VALUE!</v>
      </c>
      <c r="BO794" s="40"/>
      <c r="BP794" s="4"/>
      <c r="BQ794" s="62"/>
      <c r="BR794" s="4"/>
      <c r="BS794" s="57" t="e">
        <f t="shared" si="33"/>
        <v>#VALUE!</v>
      </c>
      <c r="BT794" s="63"/>
      <c r="BU794" s="8">
        <v>0</v>
      </c>
      <c r="BV794" s="58" t="e">
        <f>VLOOKUP(AQ794,'[1]Harga &amp; Nama CSO'!$A$28:$D$31,4,0)*BP794</f>
        <v>#N/A</v>
      </c>
    </row>
    <row r="795" spans="41:74" x14ac:dyDescent="0.35">
      <c r="AO795" s="39">
        <v>793</v>
      </c>
      <c r="AP795" s="63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55" t="e">
        <f>IFERROR(VLOOKUP(AQ795,'[1]Harga &amp; Nama CSO'!$H$2:$N$22,2,FALSE),"")*AV795</f>
        <v>#VALUE!</v>
      </c>
      <c r="BO795" s="40"/>
      <c r="BP795" s="4"/>
      <c r="BQ795" s="62"/>
      <c r="BR795" s="4"/>
      <c r="BS795" s="57" t="e">
        <f t="shared" si="33"/>
        <v>#VALUE!</v>
      </c>
      <c r="BT795" s="63"/>
      <c r="BU795" s="8">
        <v>0</v>
      </c>
      <c r="BV795" s="58" t="e">
        <f>VLOOKUP(AQ795,'[1]Harga &amp; Nama CSO'!$A$28:$D$31,4,0)*BP795</f>
        <v>#N/A</v>
      </c>
    </row>
    <row r="796" spans="41:74" x14ac:dyDescent="0.35">
      <c r="AO796" s="39">
        <v>794</v>
      </c>
      <c r="AP796" s="63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55" t="e">
        <f>IFERROR(VLOOKUP(AQ796,'[1]Harga &amp; Nama CSO'!$H$2:$N$22,2,FALSE),"")*AV796</f>
        <v>#VALUE!</v>
      </c>
      <c r="BO796" s="40"/>
      <c r="BP796" s="4"/>
      <c r="BQ796" s="62"/>
      <c r="BR796" s="4"/>
      <c r="BS796" s="57" t="e">
        <f t="shared" si="33"/>
        <v>#VALUE!</v>
      </c>
      <c r="BT796" s="63"/>
      <c r="BU796" s="8">
        <v>0</v>
      </c>
      <c r="BV796" s="58" t="e">
        <f>VLOOKUP(AQ796,'[1]Harga &amp; Nama CSO'!$A$28:$D$31,4,0)*BP796</f>
        <v>#N/A</v>
      </c>
    </row>
    <row r="797" spans="41:74" x14ac:dyDescent="0.35">
      <c r="AO797" s="39">
        <v>795</v>
      </c>
      <c r="AP797" s="63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55" t="e">
        <f>IFERROR(VLOOKUP(AQ797,'[1]Harga &amp; Nama CSO'!$H$2:$N$22,2,FALSE),"")*AV797</f>
        <v>#VALUE!</v>
      </c>
      <c r="BO797" s="40"/>
      <c r="BP797" s="4"/>
      <c r="BQ797" s="62"/>
      <c r="BR797" s="4"/>
      <c r="BS797" s="57" t="e">
        <f t="shared" si="33"/>
        <v>#VALUE!</v>
      </c>
      <c r="BT797" s="63"/>
      <c r="BU797" s="8">
        <v>0</v>
      </c>
      <c r="BV797" s="58" t="e">
        <f>VLOOKUP(AQ797,'[1]Harga &amp; Nama CSO'!$A$28:$D$31,4,0)*BP797</f>
        <v>#N/A</v>
      </c>
    </row>
    <row r="798" spans="41:74" x14ac:dyDescent="0.35">
      <c r="AO798" s="39">
        <v>796</v>
      </c>
      <c r="AP798" s="63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55" t="e">
        <f>IFERROR(VLOOKUP(AQ798,'[1]Harga &amp; Nama CSO'!$H$2:$N$22,2,FALSE),"")*AV798</f>
        <v>#VALUE!</v>
      </c>
      <c r="BO798" s="40"/>
      <c r="BP798" s="4"/>
      <c r="BQ798" s="62"/>
      <c r="BR798" s="4"/>
      <c r="BS798" s="57" t="e">
        <f t="shared" si="33"/>
        <v>#VALUE!</v>
      </c>
      <c r="BT798" s="63"/>
      <c r="BU798" s="8">
        <v>0</v>
      </c>
      <c r="BV798" s="58" t="e">
        <f>VLOOKUP(AQ798,'[1]Harga &amp; Nama CSO'!$A$28:$D$31,4,0)*BP798</f>
        <v>#N/A</v>
      </c>
    </row>
    <row r="799" spans="41:74" x14ac:dyDescent="0.35">
      <c r="AO799" s="39">
        <v>797</v>
      </c>
      <c r="AP799" s="63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55" t="e">
        <f>IFERROR(VLOOKUP(AQ799,'[1]Harga &amp; Nama CSO'!$H$2:$N$22,2,FALSE),"")*AV799</f>
        <v>#VALUE!</v>
      </c>
      <c r="BO799" s="40"/>
      <c r="BP799" s="4"/>
      <c r="BQ799" s="62"/>
      <c r="BR799" s="4"/>
      <c r="BS799" s="57" t="e">
        <f t="shared" si="33"/>
        <v>#VALUE!</v>
      </c>
      <c r="BT799" s="63"/>
      <c r="BU799" s="8">
        <v>0</v>
      </c>
      <c r="BV799" s="58" t="e">
        <f>VLOOKUP(AQ799,'[1]Harga &amp; Nama CSO'!$A$28:$D$31,4,0)*BP799</f>
        <v>#N/A</v>
      </c>
    </row>
    <row r="800" spans="41:74" x14ac:dyDescent="0.35">
      <c r="AO800" s="39">
        <v>798</v>
      </c>
      <c r="AP800" s="63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55" t="e">
        <f>IFERROR(VLOOKUP(AQ800,'[1]Harga &amp; Nama CSO'!$H$2:$N$22,2,FALSE),"")*AV800</f>
        <v>#VALUE!</v>
      </c>
      <c r="BO800" s="40"/>
      <c r="BP800" s="4"/>
      <c r="BQ800" s="62"/>
      <c r="BR800" s="4"/>
      <c r="BS800" s="57" t="e">
        <f t="shared" si="33"/>
        <v>#VALUE!</v>
      </c>
      <c r="BT800" s="63"/>
      <c r="BU800" s="8">
        <v>0</v>
      </c>
      <c r="BV800" s="58" t="e">
        <f>VLOOKUP(AQ800,'[1]Harga &amp; Nama CSO'!$A$28:$D$31,4,0)*BP800</f>
        <v>#N/A</v>
      </c>
    </row>
    <row r="801" spans="41:74" x14ac:dyDescent="0.35">
      <c r="AO801" s="39">
        <v>799</v>
      </c>
      <c r="AP801" s="63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55" t="e">
        <f>IFERROR(VLOOKUP(AQ801,'[1]Harga &amp; Nama CSO'!$H$2:$N$22,2,FALSE),"")*AV801</f>
        <v>#VALUE!</v>
      </c>
      <c r="BO801" s="40"/>
      <c r="BP801" s="4"/>
      <c r="BQ801" s="62"/>
      <c r="BR801" s="4"/>
      <c r="BS801" s="57" t="e">
        <f t="shared" si="33"/>
        <v>#VALUE!</v>
      </c>
      <c r="BT801" s="63"/>
      <c r="BU801" s="8">
        <v>0</v>
      </c>
      <c r="BV801" s="58" t="e">
        <f>VLOOKUP(AQ801,'[1]Harga &amp; Nama CSO'!$A$28:$D$31,4,0)*BP801</f>
        <v>#N/A</v>
      </c>
    </row>
    <row r="802" spans="41:74" x14ac:dyDescent="0.35">
      <c r="AO802" s="39">
        <v>800</v>
      </c>
      <c r="AP802" s="63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55" t="e">
        <f>IFERROR(VLOOKUP(AQ802,'[1]Harga &amp; Nama CSO'!$H$2:$N$22,2,FALSE),"")*AV802</f>
        <v>#VALUE!</v>
      </c>
      <c r="BO802" s="40"/>
      <c r="BP802" s="4"/>
      <c r="BQ802" s="62"/>
      <c r="BR802" s="4"/>
      <c r="BS802" s="57" t="e">
        <f t="shared" si="33"/>
        <v>#VALUE!</v>
      </c>
      <c r="BT802" s="63"/>
      <c r="BU802" s="8">
        <v>0</v>
      </c>
      <c r="BV802" s="58" t="e">
        <f>VLOOKUP(AQ802,'[1]Harga &amp; Nama CSO'!$A$28:$D$31,4,0)*BP802</f>
        <v>#N/A</v>
      </c>
    </row>
    <row r="803" spans="41:74" x14ac:dyDescent="0.35">
      <c r="AO803" s="39">
        <v>801</v>
      </c>
      <c r="AP803" s="63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55" t="e">
        <f>IFERROR(VLOOKUP(AQ803,'[1]Harga &amp; Nama CSO'!$H$2:$N$22,2,FALSE),"")*AV803</f>
        <v>#VALUE!</v>
      </c>
      <c r="BO803" s="40"/>
      <c r="BP803" s="4"/>
      <c r="BQ803" s="62"/>
      <c r="BR803" s="4"/>
      <c r="BS803" s="57" t="e">
        <f t="shared" si="33"/>
        <v>#VALUE!</v>
      </c>
      <c r="BT803" s="63"/>
      <c r="BU803" s="8">
        <v>0</v>
      </c>
      <c r="BV803" s="58" t="e">
        <f>VLOOKUP(AQ803,'[1]Harga &amp; Nama CSO'!$A$28:$D$31,4,0)*BP803</f>
        <v>#N/A</v>
      </c>
    </row>
    <row r="804" spans="41:74" x14ac:dyDescent="0.35">
      <c r="AO804" s="39">
        <v>802</v>
      </c>
      <c r="AP804" s="63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55" t="e">
        <f>IFERROR(VLOOKUP(AQ804,'[1]Harga &amp; Nama CSO'!$H$2:$N$22,2,FALSE),"")*AV804</f>
        <v>#VALUE!</v>
      </c>
      <c r="BO804" s="40"/>
      <c r="BP804" s="4"/>
      <c r="BQ804" s="62"/>
      <c r="BR804" s="4"/>
      <c r="BS804" s="57" t="e">
        <f t="shared" si="33"/>
        <v>#VALUE!</v>
      </c>
      <c r="BT804" s="63"/>
      <c r="BU804" s="8">
        <v>0</v>
      </c>
      <c r="BV804" s="58" t="e">
        <f>VLOOKUP(AQ804,'[1]Harga &amp; Nama CSO'!$A$28:$D$31,4,0)*BP804</f>
        <v>#N/A</v>
      </c>
    </row>
    <row r="805" spans="41:74" x14ac:dyDescent="0.35">
      <c r="AO805" s="39">
        <v>803</v>
      </c>
      <c r="AP805" s="63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55" t="e">
        <f>IFERROR(VLOOKUP(AQ805,'[1]Harga &amp; Nama CSO'!$H$2:$N$22,2,FALSE),"")*AV805</f>
        <v>#VALUE!</v>
      </c>
      <c r="BO805" s="40"/>
      <c r="BP805" s="4"/>
      <c r="BQ805" s="62"/>
      <c r="BR805" s="4"/>
      <c r="BS805" s="57" t="e">
        <f t="shared" si="33"/>
        <v>#VALUE!</v>
      </c>
      <c r="BT805" s="63"/>
      <c r="BU805" s="8">
        <v>0</v>
      </c>
      <c r="BV805" s="58" t="e">
        <f>VLOOKUP(AQ805,'[1]Harga &amp; Nama CSO'!$A$28:$D$31,4,0)*BP805</f>
        <v>#N/A</v>
      </c>
    </row>
    <row r="806" spans="41:74" x14ac:dyDescent="0.35">
      <c r="AO806" s="39">
        <v>804</v>
      </c>
      <c r="AP806" s="63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55" t="e">
        <f>IFERROR(VLOOKUP(AQ806,'[1]Harga &amp; Nama CSO'!$H$2:$N$22,2,FALSE),"")*AV806</f>
        <v>#VALUE!</v>
      </c>
      <c r="BO806" s="40"/>
      <c r="BP806" s="4"/>
      <c r="BQ806" s="62"/>
      <c r="BR806" s="4"/>
      <c r="BS806" s="57" t="e">
        <f t="shared" si="33"/>
        <v>#VALUE!</v>
      </c>
      <c r="BT806" s="63"/>
      <c r="BU806" s="8">
        <v>0</v>
      </c>
      <c r="BV806" s="58" t="e">
        <f>VLOOKUP(AQ806,'[1]Harga &amp; Nama CSO'!$A$28:$D$31,4,0)*BP806</f>
        <v>#N/A</v>
      </c>
    </row>
    <row r="807" spans="41:74" x14ac:dyDescent="0.35">
      <c r="AO807" s="39">
        <v>805</v>
      </c>
      <c r="AP807" s="63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55" t="e">
        <f>IFERROR(VLOOKUP(AQ807,'[1]Harga &amp; Nama CSO'!$H$2:$N$22,2,FALSE),"")*AV807</f>
        <v>#VALUE!</v>
      </c>
      <c r="BO807" s="40"/>
      <c r="BP807" s="4"/>
      <c r="BQ807" s="62"/>
      <c r="BR807" s="4"/>
      <c r="BS807" s="57" t="e">
        <f t="shared" si="33"/>
        <v>#VALUE!</v>
      </c>
      <c r="BT807" s="63"/>
      <c r="BU807" s="8">
        <v>0</v>
      </c>
      <c r="BV807" s="58" t="e">
        <f>VLOOKUP(AQ807,'[1]Harga &amp; Nama CSO'!$A$28:$D$31,4,0)*BP807</f>
        <v>#N/A</v>
      </c>
    </row>
    <row r="808" spans="41:74" x14ac:dyDescent="0.35">
      <c r="AO808" s="39">
        <v>806</v>
      </c>
      <c r="AP808" s="63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55" t="e">
        <f>IFERROR(VLOOKUP(AQ808,'[1]Harga &amp; Nama CSO'!$H$2:$N$22,2,FALSE),"")*AV808</f>
        <v>#VALUE!</v>
      </c>
      <c r="BO808" s="40"/>
      <c r="BP808" s="4"/>
      <c r="BQ808" s="62"/>
      <c r="BR808" s="4"/>
      <c r="BS808" s="57" t="e">
        <f t="shared" si="33"/>
        <v>#VALUE!</v>
      </c>
      <c r="BT808" s="63"/>
      <c r="BU808" s="8">
        <v>0</v>
      </c>
      <c r="BV808" s="58" t="e">
        <f>VLOOKUP(AQ808,'[1]Harga &amp; Nama CSO'!$A$28:$D$31,4,0)*BP808</f>
        <v>#N/A</v>
      </c>
    </row>
    <row r="809" spans="41:74" x14ac:dyDescent="0.35">
      <c r="AO809" s="39">
        <v>807</v>
      </c>
      <c r="AP809" s="63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55" t="e">
        <f>IFERROR(VLOOKUP(AQ809,'[1]Harga &amp; Nama CSO'!$H$2:$N$22,2,FALSE),"")*AV809</f>
        <v>#VALUE!</v>
      </c>
      <c r="BO809" s="40"/>
      <c r="BP809" s="4"/>
      <c r="BQ809" s="62"/>
      <c r="BR809" s="4"/>
      <c r="BS809" s="57" t="e">
        <f t="shared" si="33"/>
        <v>#VALUE!</v>
      </c>
      <c r="BT809" s="63"/>
      <c r="BU809" s="8">
        <v>0</v>
      </c>
      <c r="BV809" s="58" t="e">
        <f>VLOOKUP(AQ809,'[1]Harga &amp; Nama CSO'!$A$28:$D$31,4,0)*BP809</f>
        <v>#N/A</v>
      </c>
    </row>
    <row r="810" spans="41:74" x14ac:dyDescent="0.35">
      <c r="AO810" s="39">
        <v>808</v>
      </c>
      <c r="AP810" s="63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55" t="e">
        <f>IFERROR(VLOOKUP(AQ810,'[1]Harga &amp; Nama CSO'!$H$2:$N$22,2,FALSE),"")*AV810</f>
        <v>#VALUE!</v>
      </c>
      <c r="BO810" s="40"/>
      <c r="BP810" s="4"/>
      <c r="BQ810" s="62"/>
      <c r="BR810" s="4"/>
      <c r="BS810" s="57" t="e">
        <f t="shared" si="33"/>
        <v>#VALUE!</v>
      </c>
      <c r="BT810" s="63"/>
      <c r="BU810" s="8">
        <v>0</v>
      </c>
      <c r="BV810" s="58" t="e">
        <f>VLOOKUP(AQ810,'[1]Harga &amp; Nama CSO'!$A$28:$D$31,4,0)*BP810</f>
        <v>#N/A</v>
      </c>
    </row>
    <row r="811" spans="41:74" x14ac:dyDescent="0.35">
      <c r="AO811" s="39">
        <v>809</v>
      </c>
      <c r="AP811" s="63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55" t="e">
        <f>IFERROR(VLOOKUP(AQ811,'[1]Harga &amp; Nama CSO'!$H$2:$N$22,2,FALSE),"")*AV811</f>
        <v>#VALUE!</v>
      </c>
      <c r="BO811" s="40"/>
      <c r="BP811" s="4"/>
      <c r="BQ811" s="62"/>
      <c r="BR811" s="4"/>
      <c r="BS811" s="57" t="e">
        <f t="shared" si="33"/>
        <v>#VALUE!</v>
      </c>
      <c r="BT811" s="63"/>
      <c r="BU811" s="8">
        <v>0</v>
      </c>
      <c r="BV811" s="58" t="e">
        <f>VLOOKUP(AQ811,'[1]Harga &amp; Nama CSO'!$A$28:$D$31,4,0)*BP811</f>
        <v>#N/A</v>
      </c>
    </row>
    <row r="812" spans="41:74" x14ac:dyDescent="0.35">
      <c r="AO812" s="39">
        <v>810</v>
      </c>
      <c r="AP812" s="63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55" t="e">
        <f>IFERROR(VLOOKUP(AQ812,'[1]Harga &amp; Nama CSO'!$H$2:$N$22,2,FALSE),"")*AV812</f>
        <v>#VALUE!</v>
      </c>
      <c r="BO812" s="40"/>
      <c r="BP812" s="4"/>
      <c r="BQ812" s="62"/>
      <c r="BR812" s="4"/>
      <c r="BS812" s="57" t="e">
        <f t="shared" si="33"/>
        <v>#VALUE!</v>
      </c>
      <c r="BT812" s="63"/>
      <c r="BU812" s="8">
        <v>0</v>
      </c>
      <c r="BV812" s="58" t="e">
        <f>VLOOKUP(AQ812,'[1]Harga &amp; Nama CSO'!$A$28:$D$31,4,0)*BP812</f>
        <v>#N/A</v>
      </c>
    </row>
    <row r="813" spans="41:74" x14ac:dyDescent="0.35">
      <c r="AO813" s="39">
        <v>811</v>
      </c>
      <c r="AP813" s="63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55" t="e">
        <f>IFERROR(VLOOKUP(AQ813,'[1]Harga &amp; Nama CSO'!$H$2:$N$22,2,FALSE),"")*AV813</f>
        <v>#VALUE!</v>
      </c>
      <c r="BO813" s="40"/>
      <c r="BP813" s="4"/>
      <c r="BQ813" s="62"/>
      <c r="BR813" s="4"/>
      <c r="BS813" s="57" t="e">
        <f t="shared" si="33"/>
        <v>#VALUE!</v>
      </c>
      <c r="BT813" s="63"/>
      <c r="BU813" s="8">
        <v>0</v>
      </c>
      <c r="BV813" s="58" t="e">
        <f>VLOOKUP(AQ813,'[1]Harga &amp; Nama CSO'!$A$28:$D$31,4,0)*BP813</f>
        <v>#N/A</v>
      </c>
    </row>
    <row r="814" spans="41:74" x14ac:dyDescent="0.35">
      <c r="AO814" s="39">
        <v>812</v>
      </c>
      <c r="AP814" s="63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55" t="e">
        <f>IFERROR(VLOOKUP(AQ814,'[1]Harga &amp; Nama CSO'!$H$2:$N$22,2,FALSE),"")*AV814</f>
        <v>#VALUE!</v>
      </c>
      <c r="BO814" s="40"/>
      <c r="BP814" s="4"/>
      <c r="BQ814" s="62"/>
      <c r="BR814" s="4"/>
      <c r="BS814" s="57" t="e">
        <f t="shared" si="33"/>
        <v>#VALUE!</v>
      </c>
      <c r="BT814" s="63"/>
      <c r="BU814" s="8">
        <v>0</v>
      </c>
      <c r="BV814" s="58" t="e">
        <f>VLOOKUP(AQ814,'[1]Harga &amp; Nama CSO'!$A$28:$D$31,4,0)*BP814</f>
        <v>#N/A</v>
      </c>
    </row>
    <row r="815" spans="41:74" x14ac:dyDescent="0.35">
      <c r="AO815" s="39">
        <v>813</v>
      </c>
      <c r="AP815" s="63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55" t="e">
        <f>IFERROR(VLOOKUP(AQ815,'[1]Harga &amp; Nama CSO'!$H$2:$N$22,2,FALSE),"")*AV815</f>
        <v>#VALUE!</v>
      </c>
      <c r="BO815" s="40"/>
      <c r="BP815" s="4"/>
      <c r="BQ815" s="62"/>
      <c r="BR815" s="4"/>
      <c r="BS815" s="57" t="e">
        <f t="shared" si="33"/>
        <v>#VALUE!</v>
      </c>
      <c r="BT815" s="63"/>
      <c r="BU815" s="8">
        <v>0</v>
      </c>
      <c r="BV815" s="58" t="e">
        <f>VLOOKUP(AQ815,'[1]Harga &amp; Nama CSO'!$A$28:$D$31,4,0)*BP815</f>
        <v>#N/A</v>
      </c>
    </row>
    <row r="816" spans="41:74" x14ac:dyDescent="0.35">
      <c r="AO816" s="39">
        <v>814</v>
      </c>
      <c r="AP816" s="63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55" t="e">
        <f>IFERROR(VLOOKUP(AQ816,'[1]Harga &amp; Nama CSO'!$H$2:$N$22,2,FALSE),"")*AV816</f>
        <v>#VALUE!</v>
      </c>
      <c r="BO816" s="40"/>
      <c r="BP816" s="4"/>
      <c r="BQ816" s="62"/>
      <c r="BR816" s="4"/>
      <c r="BS816" s="57" t="e">
        <f t="shared" si="33"/>
        <v>#VALUE!</v>
      </c>
      <c r="BT816" s="63"/>
      <c r="BU816" s="8">
        <v>0</v>
      </c>
      <c r="BV816" s="58" t="e">
        <f>VLOOKUP(AQ816,'[1]Harga &amp; Nama CSO'!$A$28:$D$31,4,0)*BP816</f>
        <v>#N/A</v>
      </c>
    </row>
    <row r="817" spans="41:74" x14ac:dyDescent="0.35">
      <c r="AO817" s="39">
        <v>815</v>
      </c>
      <c r="AP817" s="63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55" t="e">
        <f>IFERROR(VLOOKUP(AQ817,'[1]Harga &amp; Nama CSO'!$H$2:$N$22,2,FALSE),"")*AV817</f>
        <v>#VALUE!</v>
      </c>
      <c r="BO817" s="40"/>
      <c r="BP817" s="4"/>
      <c r="BQ817" s="62"/>
      <c r="BR817" s="4"/>
      <c r="BS817" s="57" t="e">
        <f t="shared" si="33"/>
        <v>#VALUE!</v>
      </c>
      <c r="BT817" s="63"/>
      <c r="BU817" s="8">
        <v>0</v>
      </c>
      <c r="BV817" s="58" t="e">
        <f>VLOOKUP(AQ817,'[1]Harga &amp; Nama CSO'!$A$28:$D$31,4,0)*BP817</f>
        <v>#N/A</v>
      </c>
    </row>
    <row r="818" spans="41:74" x14ac:dyDescent="0.35">
      <c r="AO818" s="39">
        <v>816</v>
      </c>
      <c r="AP818" s="63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55" t="e">
        <f>IFERROR(VLOOKUP(AQ818,'[1]Harga &amp; Nama CSO'!$H$2:$N$22,2,FALSE),"")*AV818</f>
        <v>#VALUE!</v>
      </c>
      <c r="BO818" s="40"/>
      <c r="BP818" s="4"/>
      <c r="BQ818" s="62"/>
      <c r="BR818" s="4"/>
      <c r="BS818" s="57" t="e">
        <f t="shared" si="33"/>
        <v>#VALUE!</v>
      </c>
      <c r="BT818" s="63"/>
      <c r="BU818" s="8">
        <v>0</v>
      </c>
      <c r="BV818" s="58" t="e">
        <f>VLOOKUP(AQ818,'[1]Harga &amp; Nama CSO'!$A$28:$D$31,4,0)*BP818</f>
        <v>#N/A</v>
      </c>
    </row>
    <row r="819" spans="41:74" x14ac:dyDescent="0.35">
      <c r="AO819" s="39">
        <v>817</v>
      </c>
      <c r="AP819" s="63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55" t="e">
        <f>IFERROR(VLOOKUP(AQ819,'[1]Harga &amp; Nama CSO'!$H$2:$N$22,2,FALSE),"")*AV819</f>
        <v>#VALUE!</v>
      </c>
      <c r="BO819" s="40"/>
      <c r="BP819" s="4"/>
      <c r="BQ819" s="62"/>
      <c r="BR819" s="4"/>
      <c r="BS819" s="57" t="e">
        <f t="shared" si="33"/>
        <v>#VALUE!</v>
      </c>
      <c r="BT819" s="63"/>
      <c r="BU819" s="8">
        <v>0</v>
      </c>
      <c r="BV819" s="58" t="e">
        <f>VLOOKUP(AQ819,'[1]Harga &amp; Nama CSO'!$A$28:$D$31,4,0)*BP819</f>
        <v>#N/A</v>
      </c>
    </row>
    <row r="820" spans="41:74" x14ac:dyDescent="0.35">
      <c r="AO820" s="39">
        <v>818</v>
      </c>
      <c r="AP820" s="63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55" t="e">
        <f>IFERROR(VLOOKUP(AQ820,'[1]Harga &amp; Nama CSO'!$H$2:$N$22,2,FALSE),"")*AV820</f>
        <v>#VALUE!</v>
      </c>
      <c r="BO820" s="40"/>
      <c r="BP820" s="4"/>
      <c r="BQ820" s="62"/>
      <c r="BR820" s="4"/>
      <c r="BS820" s="57" t="e">
        <f t="shared" si="33"/>
        <v>#VALUE!</v>
      </c>
      <c r="BT820" s="63"/>
      <c r="BU820" s="8">
        <v>0</v>
      </c>
      <c r="BV820" s="58" t="e">
        <f>VLOOKUP(AQ820,'[1]Harga &amp; Nama CSO'!$A$28:$D$31,4,0)*BP820</f>
        <v>#N/A</v>
      </c>
    </row>
    <row r="821" spans="41:74" x14ac:dyDescent="0.35">
      <c r="AO821" s="39">
        <v>819</v>
      </c>
      <c r="AP821" s="63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55" t="e">
        <f>IFERROR(VLOOKUP(AQ821,'[1]Harga &amp; Nama CSO'!$H$2:$N$22,2,FALSE),"")*AV821</f>
        <v>#VALUE!</v>
      </c>
      <c r="BO821" s="40"/>
      <c r="BP821" s="4"/>
      <c r="BQ821" s="62"/>
      <c r="BR821" s="4"/>
      <c r="BS821" s="57" t="e">
        <f t="shared" si="33"/>
        <v>#VALUE!</v>
      </c>
      <c r="BT821" s="63"/>
      <c r="BU821" s="8">
        <v>0</v>
      </c>
      <c r="BV821" s="58" t="e">
        <f>VLOOKUP(AQ821,'[1]Harga &amp; Nama CSO'!$A$28:$D$31,4,0)*BP821</f>
        <v>#N/A</v>
      </c>
    </row>
    <row r="822" spans="41:74" x14ac:dyDescent="0.35">
      <c r="AO822" s="39">
        <v>820</v>
      </c>
      <c r="AP822" s="63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55" t="e">
        <f>IFERROR(VLOOKUP(AQ822,'[1]Harga &amp; Nama CSO'!$H$2:$N$22,2,FALSE),"")*AV822</f>
        <v>#VALUE!</v>
      </c>
      <c r="BO822" s="40"/>
      <c r="BP822" s="4"/>
      <c r="BQ822" s="62"/>
      <c r="BR822" s="4"/>
      <c r="BS822" s="57" t="e">
        <f t="shared" si="33"/>
        <v>#VALUE!</v>
      </c>
      <c r="BT822" s="63"/>
      <c r="BU822" s="8">
        <v>0</v>
      </c>
      <c r="BV822" s="58" t="e">
        <f>VLOOKUP(AQ822,'[1]Harga &amp; Nama CSO'!$A$28:$D$31,4,0)*BP822</f>
        <v>#N/A</v>
      </c>
    </row>
    <row r="823" spans="41:74" x14ac:dyDescent="0.35">
      <c r="AO823" s="39">
        <v>821</v>
      </c>
      <c r="AP823" s="63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55" t="e">
        <f>IFERROR(VLOOKUP(AQ823,'[1]Harga &amp; Nama CSO'!$H$2:$N$22,2,FALSE),"")*AV823</f>
        <v>#VALUE!</v>
      </c>
      <c r="BO823" s="40"/>
      <c r="BP823" s="4"/>
      <c r="BQ823" s="62"/>
      <c r="BR823" s="4"/>
      <c r="BS823" s="57" t="e">
        <f t="shared" si="33"/>
        <v>#VALUE!</v>
      </c>
      <c r="BT823" s="63"/>
      <c r="BU823" s="8">
        <v>0</v>
      </c>
      <c r="BV823" s="58" t="e">
        <f>VLOOKUP(AQ823,'[1]Harga &amp; Nama CSO'!$A$28:$D$31,4,0)*BP823</f>
        <v>#N/A</v>
      </c>
    </row>
    <row r="824" spans="41:74" x14ac:dyDescent="0.35">
      <c r="AO824" s="39">
        <v>822</v>
      </c>
      <c r="AP824" s="63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55" t="e">
        <f>IFERROR(VLOOKUP(AQ824,'[1]Harga &amp; Nama CSO'!$H$2:$N$22,2,FALSE),"")*AV824</f>
        <v>#VALUE!</v>
      </c>
      <c r="BO824" s="40"/>
      <c r="BP824" s="4"/>
      <c r="BQ824" s="62"/>
      <c r="BR824" s="4"/>
      <c r="BS824" s="57" t="e">
        <f t="shared" si="33"/>
        <v>#VALUE!</v>
      </c>
      <c r="BT824" s="63"/>
      <c r="BU824" s="8">
        <v>0</v>
      </c>
      <c r="BV824" s="58" t="e">
        <f>VLOOKUP(AQ824,'[1]Harga &amp; Nama CSO'!$A$28:$D$31,4,0)*BP824</f>
        <v>#N/A</v>
      </c>
    </row>
    <row r="825" spans="41:74" x14ac:dyDescent="0.35">
      <c r="AO825" s="39">
        <v>823</v>
      </c>
      <c r="AP825" s="63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55" t="e">
        <f>IFERROR(VLOOKUP(AQ825,'[1]Harga &amp; Nama CSO'!$H$2:$N$22,2,FALSE),"")*AV825</f>
        <v>#VALUE!</v>
      </c>
      <c r="BO825" s="40"/>
      <c r="BP825" s="4"/>
      <c r="BQ825" s="62"/>
      <c r="BR825" s="4"/>
      <c r="BS825" s="57" t="e">
        <f t="shared" si="33"/>
        <v>#VALUE!</v>
      </c>
      <c r="BT825" s="63"/>
      <c r="BU825" s="8">
        <v>0</v>
      </c>
      <c r="BV825" s="58" t="e">
        <f>VLOOKUP(AQ825,'[1]Harga &amp; Nama CSO'!$A$28:$D$31,4,0)*BP825</f>
        <v>#N/A</v>
      </c>
    </row>
    <row r="826" spans="41:74" x14ac:dyDescent="0.35">
      <c r="AO826" s="39">
        <v>824</v>
      </c>
      <c r="AP826" s="63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55" t="e">
        <f>IFERROR(VLOOKUP(AQ826,'[1]Harga &amp; Nama CSO'!$H$2:$N$22,2,FALSE),"")*AV826</f>
        <v>#VALUE!</v>
      </c>
      <c r="BO826" s="40"/>
      <c r="BP826" s="4"/>
      <c r="BQ826" s="62"/>
      <c r="BR826" s="4"/>
      <c r="BS826" s="57" t="e">
        <f t="shared" si="33"/>
        <v>#VALUE!</v>
      </c>
      <c r="BT826" s="63"/>
      <c r="BU826" s="8">
        <v>0</v>
      </c>
      <c r="BV826" s="58" t="e">
        <f>VLOOKUP(AQ826,'[1]Harga &amp; Nama CSO'!$A$28:$D$31,4,0)*BP826</f>
        <v>#N/A</v>
      </c>
    </row>
    <row r="827" spans="41:74" x14ac:dyDescent="0.35">
      <c r="AO827" s="39">
        <v>825</v>
      </c>
      <c r="AP827" s="63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55" t="e">
        <f>IFERROR(VLOOKUP(AQ827,'[1]Harga &amp; Nama CSO'!$H$2:$N$22,2,FALSE),"")*AV827</f>
        <v>#VALUE!</v>
      </c>
      <c r="BO827" s="40"/>
      <c r="BP827" s="4"/>
      <c r="BQ827" s="62"/>
      <c r="BR827" s="4"/>
      <c r="BS827" s="57" t="e">
        <f t="shared" si="33"/>
        <v>#VALUE!</v>
      </c>
      <c r="BT827" s="63"/>
      <c r="BU827" s="8">
        <v>0</v>
      </c>
      <c r="BV827" s="58" t="e">
        <f>VLOOKUP(AQ827,'[1]Harga &amp; Nama CSO'!$A$28:$D$31,4,0)*BP827</f>
        <v>#N/A</v>
      </c>
    </row>
    <row r="828" spans="41:74" x14ac:dyDescent="0.35">
      <c r="AO828" s="39">
        <v>826</v>
      </c>
      <c r="AP828" s="63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55" t="e">
        <f>IFERROR(VLOOKUP(AQ828,'[1]Harga &amp; Nama CSO'!$H$2:$N$22,2,FALSE),"")*AV828</f>
        <v>#VALUE!</v>
      </c>
      <c r="BO828" s="40"/>
      <c r="BP828" s="4"/>
      <c r="BQ828" s="62"/>
      <c r="BR828" s="4"/>
      <c r="BS828" s="57" t="e">
        <f t="shared" si="33"/>
        <v>#VALUE!</v>
      </c>
      <c r="BT828" s="63"/>
      <c r="BU828" s="8">
        <v>0</v>
      </c>
      <c r="BV828" s="58" t="e">
        <f>VLOOKUP(AQ828,'[1]Harga &amp; Nama CSO'!$A$28:$D$31,4,0)*BP828</f>
        <v>#N/A</v>
      </c>
    </row>
    <row r="829" spans="41:74" x14ac:dyDescent="0.35">
      <c r="AO829" s="39">
        <v>827</v>
      </c>
      <c r="AP829" s="63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55" t="e">
        <f>IFERROR(VLOOKUP(AQ829,'[1]Harga &amp; Nama CSO'!$H$2:$N$22,2,FALSE),"")*AV829</f>
        <v>#VALUE!</v>
      </c>
      <c r="BO829" s="40"/>
      <c r="BP829" s="4"/>
      <c r="BQ829" s="62"/>
      <c r="BR829" s="4"/>
      <c r="BS829" s="57" t="e">
        <f t="shared" si="33"/>
        <v>#VALUE!</v>
      </c>
      <c r="BT829" s="63"/>
      <c r="BU829" s="8">
        <v>0</v>
      </c>
      <c r="BV829" s="58" t="e">
        <f>VLOOKUP(AQ829,'[1]Harga &amp; Nama CSO'!$A$28:$D$31,4,0)*BP829</f>
        <v>#N/A</v>
      </c>
    </row>
    <row r="830" spans="41:74" x14ac:dyDescent="0.35">
      <c r="AO830" s="39">
        <v>828</v>
      </c>
      <c r="AP830" s="63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55" t="e">
        <f>IFERROR(VLOOKUP(AQ830,'[1]Harga &amp; Nama CSO'!$H$2:$N$22,2,FALSE),"")*AV830</f>
        <v>#VALUE!</v>
      </c>
      <c r="BO830" s="40"/>
      <c r="BP830" s="4"/>
      <c r="BQ830" s="62"/>
      <c r="BR830" s="4"/>
      <c r="BS830" s="57" t="e">
        <f t="shared" si="33"/>
        <v>#VALUE!</v>
      </c>
      <c r="BT830" s="63"/>
      <c r="BU830" s="8">
        <v>0</v>
      </c>
      <c r="BV830" s="58" t="e">
        <f>VLOOKUP(AQ830,'[1]Harga &amp; Nama CSO'!$A$28:$D$31,4,0)*BP830</f>
        <v>#N/A</v>
      </c>
    </row>
    <row r="831" spans="41:74" x14ac:dyDescent="0.35">
      <c r="AO831" s="39">
        <v>829</v>
      </c>
      <c r="AP831" s="63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55" t="e">
        <f>IFERROR(VLOOKUP(AQ831,'[1]Harga &amp; Nama CSO'!$H$2:$N$22,2,FALSE),"")*AV831</f>
        <v>#VALUE!</v>
      </c>
      <c r="BO831" s="40"/>
      <c r="BP831" s="4"/>
      <c r="BQ831" s="62"/>
      <c r="BR831" s="4"/>
      <c r="BS831" s="57" t="e">
        <f t="shared" si="33"/>
        <v>#VALUE!</v>
      </c>
      <c r="BT831" s="63"/>
      <c r="BU831" s="8">
        <v>0</v>
      </c>
      <c r="BV831" s="58" t="e">
        <f>VLOOKUP(AQ831,'[1]Harga &amp; Nama CSO'!$A$28:$D$31,4,0)*BP831</f>
        <v>#N/A</v>
      </c>
    </row>
    <row r="832" spans="41:74" x14ac:dyDescent="0.35">
      <c r="AO832" s="39">
        <v>830</v>
      </c>
      <c r="AP832" s="63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55" t="e">
        <f>IFERROR(VLOOKUP(AQ832,'[1]Harga &amp; Nama CSO'!$H$2:$N$22,2,FALSE),"")*AV832</f>
        <v>#VALUE!</v>
      </c>
      <c r="BO832" s="40"/>
      <c r="BP832" s="4"/>
      <c r="BQ832" s="62"/>
      <c r="BR832" s="4"/>
      <c r="BS832" s="57" t="e">
        <f t="shared" si="33"/>
        <v>#VALUE!</v>
      </c>
      <c r="BT832" s="63"/>
      <c r="BU832" s="8">
        <v>0</v>
      </c>
      <c r="BV832" s="58" t="e">
        <f>VLOOKUP(AQ832,'[1]Harga &amp; Nama CSO'!$A$28:$D$31,4,0)*BP832</f>
        <v>#N/A</v>
      </c>
    </row>
    <row r="833" spans="41:74" x14ac:dyDescent="0.35">
      <c r="AO833" s="39">
        <v>831</v>
      </c>
      <c r="AP833" s="63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55" t="e">
        <f>IFERROR(VLOOKUP(AQ833,'[1]Harga &amp; Nama CSO'!$H$2:$N$22,2,FALSE),"")*AV833</f>
        <v>#VALUE!</v>
      </c>
      <c r="BO833" s="40"/>
      <c r="BP833" s="4"/>
      <c r="BQ833" s="62"/>
      <c r="BR833" s="4"/>
      <c r="BS833" s="57" t="e">
        <f t="shared" si="33"/>
        <v>#VALUE!</v>
      </c>
      <c r="BT833" s="63"/>
      <c r="BU833" s="8">
        <v>0</v>
      </c>
      <c r="BV833" s="58" t="e">
        <f>VLOOKUP(AQ833,'[1]Harga &amp; Nama CSO'!$A$28:$D$31,4,0)*BP833</f>
        <v>#N/A</v>
      </c>
    </row>
    <row r="834" spans="41:74" x14ac:dyDescent="0.35">
      <c r="AO834" s="39">
        <v>832</v>
      </c>
      <c r="AP834" s="63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55" t="e">
        <f>IFERROR(VLOOKUP(AQ834,'[1]Harga &amp; Nama CSO'!$H$2:$N$22,2,FALSE),"")*AV834</f>
        <v>#VALUE!</v>
      </c>
      <c r="BO834" s="40"/>
      <c r="BP834" s="4"/>
      <c r="BQ834" s="62"/>
      <c r="BR834" s="4"/>
      <c r="BS834" s="57" t="e">
        <f t="shared" si="33"/>
        <v>#VALUE!</v>
      </c>
      <c r="BT834" s="63"/>
      <c r="BU834" s="8">
        <v>0</v>
      </c>
      <c r="BV834" s="58" t="e">
        <f>VLOOKUP(AQ834,'[1]Harga &amp; Nama CSO'!$A$28:$D$31,4,0)*BP834</f>
        <v>#N/A</v>
      </c>
    </row>
    <row r="835" spans="41:74" x14ac:dyDescent="0.35">
      <c r="AO835" s="39">
        <v>833</v>
      </c>
      <c r="AP835" s="63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55" t="e">
        <f>IFERROR(VLOOKUP(AQ835,'[1]Harga &amp; Nama CSO'!$H$2:$N$22,2,FALSE),"")*AV835</f>
        <v>#VALUE!</v>
      </c>
      <c r="BO835" s="40"/>
      <c r="BP835" s="4"/>
      <c r="BQ835" s="62"/>
      <c r="BR835" s="4"/>
      <c r="BS835" s="57" t="e">
        <f t="shared" ref="BS835:BS898" si="34">BN835-BQ835</f>
        <v>#VALUE!</v>
      </c>
      <c r="BT835" s="63"/>
      <c r="BU835" s="8">
        <v>0</v>
      </c>
      <c r="BV835" s="58" t="e">
        <f>VLOOKUP(AQ835,'[1]Harga &amp; Nama CSO'!$A$28:$D$31,4,0)*BP835</f>
        <v>#N/A</v>
      </c>
    </row>
    <row r="836" spans="41:74" x14ac:dyDescent="0.35">
      <c r="AO836" s="39">
        <v>834</v>
      </c>
      <c r="AP836" s="63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55" t="e">
        <f>IFERROR(VLOOKUP(AQ836,'[1]Harga &amp; Nama CSO'!$H$2:$N$22,2,FALSE),"")*AV836</f>
        <v>#VALUE!</v>
      </c>
      <c r="BO836" s="40"/>
      <c r="BP836" s="4"/>
      <c r="BQ836" s="62"/>
      <c r="BR836" s="4"/>
      <c r="BS836" s="57" t="e">
        <f t="shared" si="34"/>
        <v>#VALUE!</v>
      </c>
      <c r="BT836" s="63"/>
      <c r="BU836" s="8">
        <v>0</v>
      </c>
      <c r="BV836" s="58" t="e">
        <f>VLOOKUP(AQ836,'[1]Harga &amp; Nama CSO'!$A$28:$D$31,4,0)*BP836</f>
        <v>#N/A</v>
      </c>
    </row>
    <row r="837" spans="41:74" x14ac:dyDescent="0.35">
      <c r="AO837" s="39">
        <v>835</v>
      </c>
      <c r="AP837" s="63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55" t="e">
        <f>IFERROR(VLOOKUP(AQ837,'[1]Harga &amp; Nama CSO'!$H$2:$N$22,2,FALSE),"")*AV837</f>
        <v>#VALUE!</v>
      </c>
      <c r="BO837" s="40"/>
      <c r="BP837" s="4"/>
      <c r="BQ837" s="62"/>
      <c r="BR837" s="4"/>
      <c r="BS837" s="57" t="e">
        <f t="shared" si="34"/>
        <v>#VALUE!</v>
      </c>
      <c r="BT837" s="63"/>
      <c r="BU837" s="8">
        <v>0</v>
      </c>
      <c r="BV837" s="58" t="e">
        <f>VLOOKUP(AQ837,'[1]Harga &amp; Nama CSO'!$A$28:$D$31,4,0)*BP837</f>
        <v>#N/A</v>
      </c>
    </row>
    <row r="838" spans="41:74" x14ac:dyDescent="0.35">
      <c r="AO838" s="39">
        <v>836</v>
      </c>
      <c r="AP838" s="63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55" t="e">
        <f>IFERROR(VLOOKUP(AQ838,'[1]Harga &amp; Nama CSO'!$H$2:$N$22,2,FALSE),"")*AV838</f>
        <v>#VALUE!</v>
      </c>
      <c r="BO838" s="40"/>
      <c r="BP838" s="4"/>
      <c r="BQ838" s="62"/>
      <c r="BR838" s="4"/>
      <c r="BS838" s="57" t="e">
        <f t="shared" si="34"/>
        <v>#VALUE!</v>
      </c>
      <c r="BT838" s="63"/>
      <c r="BU838" s="8">
        <v>0</v>
      </c>
      <c r="BV838" s="58" t="e">
        <f>VLOOKUP(AQ838,'[1]Harga &amp; Nama CSO'!$A$28:$D$31,4,0)*BP838</f>
        <v>#N/A</v>
      </c>
    </row>
    <row r="839" spans="41:74" x14ac:dyDescent="0.35">
      <c r="AO839" s="39">
        <v>837</v>
      </c>
      <c r="AP839" s="63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55" t="e">
        <f>IFERROR(VLOOKUP(AQ839,'[1]Harga &amp; Nama CSO'!$H$2:$N$22,2,FALSE),"")*AV839</f>
        <v>#VALUE!</v>
      </c>
      <c r="BO839" s="40"/>
      <c r="BP839" s="4"/>
      <c r="BQ839" s="62"/>
      <c r="BR839" s="4"/>
      <c r="BS839" s="57" t="e">
        <f t="shared" si="34"/>
        <v>#VALUE!</v>
      </c>
      <c r="BT839" s="63"/>
      <c r="BU839" s="8">
        <v>0</v>
      </c>
      <c r="BV839" s="58" t="e">
        <f>VLOOKUP(AQ839,'[1]Harga &amp; Nama CSO'!$A$28:$D$31,4,0)*BP839</f>
        <v>#N/A</v>
      </c>
    </row>
    <row r="840" spans="41:74" x14ac:dyDescent="0.35">
      <c r="AO840" s="39">
        <v>838</v>
      </c>
      <c r="AP840" s="63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55" t="e">
        <f>IFERROR(VLOOKUP(AQ840,'[1]Harga &amp; Nama CSO'!$H$2:$N$22,2,FALSE),"")*AV840</f>
        <v>#VALUE!</v>
      </c>
      <c r="BO840" s="40"/>
      <c r="BP840" s="4"/>
      <c r="BQ840" s="62"/>
      <c r="BR840" s="4"/>
      <c r="BS840" s="57" t="e">
        <f t="shared" si="34"/>
        <v>#VALUE!</v>
      </c>
      <c r="BT840" s="63"/>
      <c r="BU840" s="8">
        <v>0</v>
      </c>
      <c r="BV840" s="58" t="e">
        <f>VLOOKUP(AQ840,'[1]Harga &amp; Nama CSO'!$A$28:$D$31,4,0)*BP840</f>
        <v>#N/A</v>
      </c>
    </row>
    <row r="841" spans="41:74" x14ac:dyDescent="0.35">
      <c r="AO841" s="39">
        <v>839</v>
      </c>
      <c r="AP841" s="63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55" t="e">
        <f>IFERROR(VLOOKUP(AQ841,'[1]Harga &amp; Nama CSO'!$H$2:$N$22,2,FALSE),"")*AV841</f>
        <v>#VALUE!</v>
      </c>
      <c r="BO841" s="40"/>
      <c r="BP841" s="4"/>
      <c r="BQ841" s="62"/>
      <c r="BR841" s="4"/>
      <c r="BS841" s="57" t="e">
        <f t="shared" si="34"/>
        <v>#VALUE!</v>
      </c>
      <c r="BT841" s="63"/>
      <c r="BU841" s="8">
        <v>0</v>
      </c>
      <c r="BV841" s="58" t="e">
        <f>VLOOKUP(AQ841,'[1]Harga &amp; Nama CSO'!$A$28:$D$31,4,0)*BP841</f>
        <v>#N/A</v>
      </c>
    </row>
    <row r="842" spans="41:74" x14ac:dyDescent="0.35">
      <c r="AO842" s="39">
        <v>840</v>
      </c>
      <c r="AP842" s="63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55" t="e">
        <f>IFERROR(VLOOKUP(AQ842,'[1]Harga &amp; Nama CSO'!$H$2:$N$22,2,FALSE),"")*AV842</f>
        <v>#VALUE!</v>
      </c>
      <c r="BO842" s="40"/>
      <c r="BP842" s="4"/>
      <c r="BQ842" s="62"/>
      <c r="BR842" s="4"/>
      <c r="BS842" s="57" t="e">
        <f t="shared" si="34"/>
        <v>#VALUE!</v>
      </c>
      <c r="BT842" s="63"/>
      <c r="BU842" s="8">
        <v>0</v>
      </c>
      <c r="BV842" s="58" t="e">
        <f>VLOOKUP(AQ842,'[1]Harga &amp; Nama CSO'!$A$28:$D$31,4,0)*BP842</f>
        <v>#N/A</v>
      </c>
    </row>
    <row r="843" spans="41:74" x14ac:dyDescent="0.35">
      <c r="AO843" s="39">
        <v>841</v>
      </c>
      <c r="AP843" s="63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55" t="e">
        <f>IFERROR(VLOOKUP(AQ843,'[1]Harga &amp; Nama CSO'!$H$2:$N$22,2,FALSE),"")*AV843</f>
        <v>#VALUE!</v>
      </c>
      <c r="BO843" s="40"/>
      <c r="BP843" s="4"/>
      <c r="BQ843" s="62"/>
      <c r="BR843" s="4"/>
      <c r="BS843" s="57" t="e">
        <f t="shared" si="34"/>
        <v>#VALUE!</v>
      </c>
      <c r="BT843" s="63"/>
      <c r="BU843" s="8">
        <v>0</v>
      </c>
      <c r="BV843" s="58" t="e">
        <f>VLOOKUP(AQ843,'[1]Harga &amp; Nama CSO'!$A$28:$D$31,4,0)*BP843</f>
        <v>#N/A</v>
      </c>
    </row>
    <row r="844" spans="41:74" x14ac:dyDescent="0.35">
      <c r="AO844" s="39">
        <v>842</v>
      </c>
      <c r="AP844" s="63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55" t="e">
        <f>IFERROR(VLOOKUP(AQ844,'[1]Harga &amp; Nama CSO'!$H$2:$N$22,2,FALSE),"")*AV844</f>
        <v>#VALUE!</v>
      </c>
      <c r="BO844" s="40"/>
      <c r="BP844" s="4"/>
      <c r="BQ844" s="62"/>
      <c r="BR844" s="4"/>
      <c r="BS844" s="57" t="e">
        <f t="shared" si="34"/>
        <v>#VALUE!</v>
      </c>
      <c r="BT844" s="63"/>
      <c r="BU844" s="8">
        <v>0</v>
      </c>
      <c r="BV844" s="58" t="e">
        <f>VLOOKUP(AQ844,'[1]Harga &amp; Nama CSO'!$A$28:$D$31,4,0)*BP844</f>
        <v>#N/A</v>
      </c>
    </row>
    <row r="845" spans="41:74" x14ac:dyDescent="0.35">
      <c r="AO845" s="39">
        <v>843</v>
      </c>
      <c r="AP845" s="63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55" t="e">
        <f>IFERROR(VLOOKUP(AQ845,'[1]Harga &amp; Nama CSO'!$H$2:$N$22,2,FALSE),"")*AV845</f>
        <v>#VALUE!</v>
      </c>
      <c r="BO845" s="40"/>
      <c r="BP845" s="4"/>
      <c r="BQ845" s="62"/>
      <c r="BR845" s="4"/>
      <c r="BS845" s="57" t="e">
        <f t="shared" si="34"/>
        <v>#VALUE!</v>
      </c>
      <c r="BT845" s="63"/>
      <c r="BU845" s="8">
        <v>0</v>
      </c>
      <c r="BV845" s="58" t="e">
        <f>VLOOKUP(AQ845,'[1]Harga &amp; Nama CSO'!$A$28:$D$31,4,0)*BP845</f>
        <v>#N/A</v>
      </c>
    </row>
    <row r="846" spans="41:74" x14ac:dyDescent="0.35">
      <c r="AO846" s="39">
        <v>844</v>
      </c>
      <c r="AP846" s="63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55" t="e">
        <f>IFERROR(VLOOKUP(AQ846,'[1]Harga &amp; Nama CSO'!$H$2:$N$22,2,FALSE),"")*AV846</f>
        <v>#VALUE!</v>
      </c>
      <c r="BO846" s="40"/>
      <c r="BP846" s="4"/>
      <c r="BQ846" s="62"/>
      <c r="BR846" s="4"/>
      <c r="BS846" s="57" t="e">
        <f t="shared" si="34"/>
        <v>#VALUE!</v>
      </c>
      <c r="BT846" s="63"/>
      <c r="BU846" s="8">
        <v>0</v>
      </c>
      <c r="BV846" s="58" t="e">
        <f>VLOOKUP(AQ846,'[1]Harga &amp; Nama CSO'!$A$28:$D$31,4,0)*BP846</f>
        <v>#N/A</v>
      </c>
    </row>
    <row r="847" spans="41:74" x14ac:dyDescent="0.35">
      <c r="AO847" s="39">
        <v>845</v>
      </c>
      <c r="AP847" s="63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55" t="e">
        <f>IFERROR(VLOOKUP(AQ847,'[1]Harga &amp; Nama CSO'!$H$2:$N$22,2,FALSE),"")*AV847</f>
        <v>#VALUE!</v>
      </c>
      <c r="BO847" s="40"/>
      <c r="BP847" s="4"/>
      <c r="BQ847" s="62"/>
      <c r="BR847" s="4"/>
      <c r="BS847" s="57" t="e">
        <f t="shared" si="34"/>
        <v>#VALUE!</v>
      </c>
      <c r="BT847" s="63"/>
      <c r="BU847" s="8">
        <v>0</v>
      </c>
      <c r="BV847" s="58" t="e">
        <f>VLOOKUP(AQ847,'[1]Harga &amp; Nama CSO'!$A$28:$D$31,4,0)*BP847</f>
        <v>#N/A</v>
      </c>
    </row>
    <row r="848" spans="41:74" x14ac:dyDescent="0.35">
      <c r="AO848" s="39">
        <v>846</v>
      </c>
      <c r="AP848" s="63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55" t="e">
        <f>IFERROR(VLOOKUP(AQ848,'[1]Harga &amp; Nama CSO'!$H$2:$N$22,2,FALSE),"")*AV848</f>
        <v>#VALUE!</v>
      </c>
      <c r="BO848" s="40"/>
      <c r="BP848" s="4"/>
      <c r="BQ848" s="62"/>
      <c r="BR848" s="4"/>
      <c r="BS848" s="57" t="e">
        <f t="shared" si="34"/>
        <v>#VALUE!</v>
      </c>
      <c r="BT848" s="63"/>
      <c r="BU848" s="8">
        <v>0</v>
      </c>
      <c r="BV848" s="58" t="e">
        <f>VLOOKUP(AQ848,'[1]Harga &amp; Nama CSO'!$A$28:$D$31,4,0)*BP848</f>
        <v>#N/A</v>
      </c>
    </row>
    <row r="849" spans="41:74" x14ac:dyDescent="0.35">
      <c r="AO849" s="39">
        <v>847</v>
      </c>
      <c r="AP849" s="63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55" t="e">
        <f>IFERROR(VLOOKUP(AQ849,'[1]Harga &amp; Nama CSO'!$H$2:$N$22,2,FALSE),"")*AV849</f>
        <v>#VALUE!</v>
      </c>
      <c r="BO849" s="40"/>
      <c r="BP849" s="4"/>
      <c r="BQ849" s="62"/>
      <c r="BR849" s="4"/>
      <c r="BS849" s="57" t="e">
        <f t="shared" si="34"/>
        <v>#VALUE!</v>
      </c>
      <c r="BT849" s="63"/>
      <c r="BU849" s="8">
        <v>0</v>
      </c>
      <c r="BV849" s="58" t="e">
        <f>VLOOKUP(AQ849,'[1]Harga &amp; Nama CSO'!$A$28:$D$31,4,0)*BP849</f>
        <v>#N/A</v>
      </c>
    </row>
    <row r="850" spans="41:74" x14ac:dyDescent="0.35">
      <c r="AO850" s="39">
        <v>848</v>
      </c>
      <c r="AP850" s="63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55" t="e">
        <f>IFERROR(VLOOKUP(AQ850,'[1]Harga &amp; Nama CSO'!$H$2:$N$22,2,FALSE),"")*AV850</f>
        <v>#VALUE!</v>
      </c>
      <c r="BO850" s="40"/>
      <c r="BP850" s="4"/>
      <c r="BQ850" s="62"/>
      <c r="BR850" s="4"/>
      <c r="BS850" s="57" t="e">
        <f t="shared" si="34"/>
        <v>#VALUE!</v>
      </c>
      <c r="BT850" s="63"/>
      <c r="BU850" s="8">
        <v>0</v>
      </c>
      <c r="BV850" s="58" t="e">
        <f>VLOOKUP(AQ850,'[1]Harga &amp; Nama CSO'!$A$28:$D$31,4,0)*BP850</f>
        <v>#N/A</v>
      </c>
    </row>
    <row r="851" spans="41:74" x14ac:dyDescent="0.35">
      <c r="AO851" s="39">
        <v>849</v>
      </c>
      <c r="AP851" s="63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55" t="e">
        <f>IFERROR(VLOOKUP(AQ851,'[1]Harga &amp; Nama CSO'!$H$2:$N$22,2,FALSE),"")*AV851</f>
        <v>#VALUE!</v>
      </c>
      <c r="BO851" s="40"/>
      <c r="BP851" s="4"/>
      <c r="BQ851" s="62"/>
      <c r="BR851" s="4"/>
      <c r="BS851" s="57" t="e">
        <f t="shared" si="34"/>
        <v>#VALUE!</v>
      </c>
      <c r="BT851" s="63"/>
      <c r="BU851" s="8">
        <v>0</v>
      </c>
      <c r="BV851" s="58" t="e">
        <f>VLOOKUP(AQ851,'[1]Harga &amp; Nama CSO'!$A$28:$D$31,4,0)*BP851</f>
        <v>#N/A</v>
      </c>
    </row>
    <row r="852" spans="41:74" x14ac:dyDescent="0.35">
      <c r="AO852" s="39">
        <v>850</v>
      </c>
      <c r="AP852" s="63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55" t="e">
        <f>IFERROR(VLOOKUP(AQ852,'[1]Harga &amp; Nama CSO'!$H$2:$N$22,2,FALSE),"")*AV852</f>
        <v>#VALUE!</v>
      </c>
      <c r="BO852" s="40"/>
      <c r="BP852" s="4"/>
      <c r="BQ852" s="62"/>
      <c r="BR852" s="4"/>
      <c r="BS852" s="57" t="e">
        <f t="shared" si="34"/>
        <v>#VALUE!</v>
      </c>
      <c r="BT852" s="63"/>
      <c r="BU852" s="8">
        <v>0</v>
      </c>
      <c r="BV852" s="58" t="e">
        <f>VLOOKUP(AQ852,'[1]Harga &amp; Nama CSO'!$A$28:$D$31,4,0)*BP852</f>
        <v>#N/A</v>
      </c>
    </row>
    <row r="853" spans="41:74" x14ac:dyDescent="0.35">
      <c r="AO853" s="39">
        <v>851</v>
      </c>
      <c r="AP853" s="63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55" t="e">
        <f>IFERROR(VLOOKUP(AQ853,'[1]Harga &amp; Nama CSO'!$H$2:$N$22,2,FALSE),"")*AV853</f>
        <v>#VALUE!</v>
      </c>
      <c r="BO853" s="40"/>
      <c r="BP853" s="4"/>
      <c r="BQ853" s="62"/>
      <c r="BR853" s="4"/>
      <c r="BS853" s="57" t="e">
        <f t="shared" si="34"/>
        <v>#VALUE!</v>
      </c>
      <c r="BT853" s="63"/>
      <c r="BU853" s="8">
        <v>0</v>
      </c>
      <c r="BV853" s="58" t="e">
        <f>VLOOKUP(AQ853,'[1]Harga &amp; Nama CSO'!$A$28:$D$31,4,0)*BP853</f>
        <v>#N/A</v>
      </c>
    </row>
    <row r="854" spans="41:74" x14ac:dyDescent="0.35">
      <c r="AO854" s="39">
        <v>852</v>
      </c>
      <c r="AP854" s="63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55" t="e">
        <f>IFERROR(VLOOKUP(AQ854,'[1]Harga &amp; Nama CSO'!$H$2:$N$22,2,FALSE),"")*AV854</f>
        <v>#VALUE!</v>
      </c>
      <c r="BO854" s="40"/>
      <c r="BP854" s="4"/>
      <c r="BQ854" s="62"/>
      <c r="BR854" s="4"/>
      <c r="BS854" s="57" t="e">
        <f t="shared" si="34"/>
        <v>#VALUE!</v>
      </c>
      <c r="BT854" s="63"/>
      <c r="BU854" s="8">
        <v>0</v>
      </c>
      <c r="BV854" s="58" t="e">
        <f>VLOOKUP(AQ854,'[1]Harga &amp; Nama CSO'!$A$28:$D$31,4,0)*BP854</f>
        <v>#N/A</v>
      </c>
    </row>
    <row r="855" spans="41:74" x14ac:dyDescent="0.35">
      <c r="AO855" s="39">
        <v>853</v>
      </c>
      <c r="AP855" s="63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55" t="e">
        <f>IFERROR(VLOOKUP(AQ855,'[1]Harga &amp; Nama CSO'!$H$2:$N$22,2,FALSE),"")*AV855</f>
        <v>#VALUE!</v>
      </c>
      <c r="BO855" s="40"/>
      <c r="BP855" s="4"/>
      <c r="BQ855" s="62"/>
      <c r="BR855" s="4"/>
      <c r="BS855" s="57" t="e">
        <f t="shared" si="34"/>
        <v>#VALUE!</v>
      </c>
      <c r="BT855" s="63"/>
      <c r="BU855" s="8">
        <v>0</v>
      </c>
      <c r="BV855" s="58" t="e">
        <f>VLOOKUP(AQ855,'[1]Harga &amp; Nama CSO'!$A$28:$D$31,4,0)*BP855</f>
        <v>#N/A</v>
      </c>
    </row>
    <row r="856" spans="41:74" x14ac:dyDescent="0.35">
      <c r="AO856" s="39">
        <v>854</v>
      </c>
      <c r="AP856" s="63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55" t="e">
        <f>IFERROR(VLOOKUP(AQ856,'[1]Harga &amp; Nama CSO'!$H$2:$N$22,2,FALSE),"")*AV856</f>
        <v>#VALUE!</v>
      </c>
      <c r="BO856" s="40"/>
      <c r="BP856" s="4"/>
      <c r="BQ856" s="62"/>
      <c r="BR856" s="4"/>
      <c r="BS856" s="57" t="e">
        <f t="shared" si="34"/>
        <v>#VALUE!</v>
      </c>
      <c r="BT856" s="63"/>
      <c r="BU856" s="8">
        <v>0</v>
      </c>
      <c r="BV856" s="58" t="e">
        <f>VLOOKUP(AQ856,'[1]Harga &amp; Nama CSO'!$A$28:$D$31,4,0)*BP856</f>
        <v>#N/A</v>
      </c>
    </row>
    <row r="857" spans="41:74" x14ac:dyDescent="0.35">
      <c r="AO857" s="39">
        <v>855</v>
      </c>
      <c r="AP857" s="63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55" t="e">
        <f>IFERROR(VLOOKUP(AQ857,'[1]Harga &amp; Nama CSO'!$H$2:$N$22,2,FALSE),"")*AV857</f>
        <v>#VALUE!</v>
      </c>
      <c r="BO857" s="40"/>
      <c r="BP857" s="4"/>
      <c r="BQ857" s="62"/>
      <c r="BR857" s="4"/>
      <c r="BS857" s="57" t="e">
        <f t="shared" si="34"/>
        <v>#VALUE!</v>
      </c>
      <c r="BT857" s="63"/>
      <c r="BU857" s="8">
        <v>0</v>
      </c>
      <c r="BV857" s="58" t="e">
        <f>VLOOKUP(AQ857,'[1]Harga &amp; Nama CSO'!$A$28:$D$31,4,0)*BP857</f>
        <v>#N/A</v>
      </c>
    </row>
    <row r="858" spans="41:74" x14ac:dyDescent="0.35">
      <c r="AO858" s="39">
        <v>856</v>
      </c>
      <c r="AP858" s="63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55" t="e">
        <f>IFERROR(VLOOKUP(AQ858,'[1]Harga &amp; Nama CSO'!$H$2:$N$22,2,FALSE),"")*AV858</f>
        <v>#VALUE!</v>
      </c>
      <c r="BO858" s="40"/>
      <c r="BP858" s="4"/>
      <c r="BQ858" s="62"/>
      <c r="BR858" s="4"/>
      <c r="BS858" s="57" t="e">
        <f t="shared" si="34"/>
        <v>#VALUE!</v>
      </c>
      <c r="BT858" s="63"/>
      <c r="BU858" s="8">
        <v>0</v>
      </c>
      <c r="BV858" s="58" t="e">
        <f>VLOOKUP(AQ858,'[1]Harga &amp; Nama CSO'!$A$28:$D$31,4,0)*BP858</f>
        <v>#N/A</v>
      </c>
    </row>
    <row r="859" spans="41:74" x14ac:dyDescent="0.35">
      <c r="AO859" s="39">
        <v>857</v>
      </c>
      <c r="AP859" s="63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55" t="e">
        <f>IFERROR(VLOOKUP(AQ859,'[1]Harga &amp; Nama CSO'!$H$2:$N$22,2,FALSE),"")*AV859</f>
        <v>#VALUE!</v>
      </c>
      <c r="BO859" s="40"/>
      <c r="BP859" s="4"/>
      <c r="BQ859" s="62"/>
      <c r="BR859" s="4"/>
      <c r="BS859" s="57" t="e">
        <f t="shared" si="34"/>
        <v>#VALUE!</v>
      </c>
      <c r="BT859" s="63"/>
      <c r="BU859" s="8">
        <v>0</v>
      </c>
      <c r="BV859" s="58" t="e">
        <f>VLOOKUP(AQ859,'[1]Harga &amp; Nama CSO'!$A$28:$D$31,4,0)*BP859</f>
        <v>#N/A</v>
      </c>
    </row>
    <row r="860" spans="41:74" x14ac:dyDescent="0.35">
      <c r="AO860" s="39">
        <v>858</v>
      </c>
      <c r="AP860" s="63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55" t="e">
        <f>IFERROR(VLOOKUP(AQ860,'[1]Harga &amp; Nama CSO'!$H$2:$N$22,2,FALSE),"")*AV860</f>
        <v>#VALUE!</v>
      </c>
      <c r="BO860" s="40"/>
      <c r="BP860" s="4"/>
      <c r="BQ860" s="62"/>
      <c r="BR860" s="4"/>
      <c r="BS860" s="57" t="e">
        <f t="shared" si="34"/>
        <v>#VALUE!</v>
      </c>
      <c r="BT860" s="63"/>
      <c r="BU860" s="8">
        <v>0</v>
      </c>
      <c r="BV860" s="58" t="e">
        <f>VLOOKUP(AQ860,'[1]Harga &amp; Nama CSO'!$A$28:$D$31,4,0)*BP860</f>
        <v>#N/A</v>
      </c>
    </row>
    <row r="861" spans="41:74" x14ac:dyDescent="0.35">
      <c r="AO861" s="39">
        <v>859</v>
      </c>
      <c r="AP861" s="63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55" t="e">
        <f>IFERROR(VLOOKUP(AQ861,'[1]Harga &amp; Nama CSO'!$H$2:$N$22,2,FALSE),"")*AV861</f>
        <v>#VALUE!</v>
      </c>
      <c r="BO861" s="40"/>
      <c r="BP861" s="4"/>
      <c r="BQ861" s="62"/>
      <c r="BR861" s="4"/>
      <c r="BS861" s="57" t="e">
        <f t="shared" si="34"/>
        <v>#VALUE!</v>
      </c>
      <c r="BT861" s="63"/>
      <c r="BU861" s="8">
        <v>0</v>
      </c>
      <c r="BV861" s="58" t="e">
        <f>VLOOKUP(AQ861,'[1]Harga &amp; Nama CSO'!$A$28:$D$31,4,0)*BP861</f>
        <v>#N/A</v>
      </c>
    </row>
    <row r="862" spans="41:74" x14ac:dyDescent="0.35">
      <c r="AO862" s="39">
        <v>860</v>
      </c>
      <c r="AP862" s="63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55" t="e">
        <f>IFERROR(VLOOKUP(AQ862,'[1]Harga &amp; Nama CSO'!$H$2:$N$22,2,FALSE),"")*AV862</f>
        <v>#VALUE!</v>
      </c>
      <c r="BO862" s="40"/>
      <c r="BP862" s="4"/>
      <c r="BQ862" s="62"/>
      <c r="BR862" s="4"/>
      <c r="BS862" s="57" t="e">
        <f t="shared" si="34"/>
        <v>#VALUE!</v>
      </c>
      <c r="BT862" s="63"/>
      <c r="BU862" s="8">
        <v>0</v>
      </c>
      <c r="BV862" s="58" t="e">
        <f>VLOOKUP(AQ862,'[1]Harga &amp; Nama CSO'!$A$28:$D$31,4,0)*BP862</f>
        <v>#N/A</v>
      </c>
    </row>
    <row r="863" spans="41:74" x14ac:dyDescent="0.35">
      <c r="AO863" s="39">
        <v>861</v>
      </c>
      <c r="AP863" s="63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55" t="e">
        <f>IFERROR(VLOOKUP(AQ863,'[1]Harga &amp; Nama CSO'!$H$2:$N$22,2,FALSE),"")*AV863</f>
        <v>#VALUE!</v>
      </c>
      <c r="BO863" s="40"/>
      <c r="BP863" s="4"/>
      <c r="BQ863" s="62"/>
      <c r="BR863" s="4"/>
      <c r="BS863" s="57" t="e">
        <f t="shared" si="34"/>
        <v>#VALUE!</v>
      </c>
      <c r="BT863" s="63"/>
      <c r="BU863" s="8">
        <v>0</v>
      </c>
      <c r="BV863" s="58" t="e">
        <f>VLOOKUP(AQ863,'[1]Harga &amp; Nama CSO'!$A$28:$D$31,4,0)*BP863</f>
        <v>#N/A</v>
      </c>
    </row>
    <row r="864" spans="41:74" x14ac:dyDescent="0.35">
      <c r="AO864" s="39">
        <v>862</v>
      </c>
      <c r="AP864" s="63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55" t="e">
        <f>IFERROR(VLOOKUP(AQ864,'[1]Harga &amp; Nama CSO'!$H$2:$N$22,2,FALSE),"")*AV864</f>
        <v>#VALUE!</v>
      </c>
      <c r="BO864" s="40"/>
      <c r="BP864" s="4"/>
      <c r="BQ864" s="62"/>
      <c r="BR864" s="4"/>
      <c r="BS864" s="57" t="e">
        <f t="shared" si="34"/>
        <v>#VALUE!</v>
      </c>
      <c r="BT864" s="63"/>
      <c r="BU864" s="8">
        <v>0</v>
      </c>
      <c r="BV864" s="58" t="e">
        <f>VLOOKUP(AQ864,'[1]Harga &amp; Nama CSO'!$A$28:$D$31,4,0)*BP864</f>
        <v>#N/A</v>
      </c>
    </row>
    <row r="865" spans="41:74" x14ac:dyDescent="0.35">
      <c r="AO865" s="39">
        <v>863</v>
      </c>
      <c r="AP865" s="63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55" t="e">
        <f>IFERROR(VLOOKUP(AQ865,'[1]Harga &amp; Nama CSO'!$H$2:$N$22,2,FALSE),"")*AV865</f>
        <v>#VALUE!</v>
      </c>
      <c r="BO865" s="40"/>
      <c r="BP865" s="4"/>
      <c r="BQ865" s="62"/>
      <c r="BR865" s="4"/>
      <c r="BS865" s="57" t="e">
        <f t="shared" si="34"/>
        <v>#VALUE!</v>
      </c>
      <c r="BT865" s="63"/>
      <c r="BU865" s="8">
        <v>0</v>
      </c>
      <c r="BV865" s="58" t="e">
        <f>VLOOKUP(AQ865,'[1]Harga &amp; Nama CSO'!$A$28:$D$31,4,0)*BP865</f>
        <v>#N/A</v>
      </c>
    </row>
    <row r="866" spans="41:74" x14ac:dyDescent="0.35">
      <c r="AO866" s="39">
        <v>864</v>
      </c>
      <c r="AP866" s="63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55" t="e">
        <f>IFERROR(VLOOKUP(AQ866,'[1]Harga &amp; Nama CSO'!$H$2:$N$22,2,FALSE),"")*AV866</f>
        <v>#VALUE!</v>
      </c>
      <c r="BO866" s="40"/>
      <c r="BP866" s="4"/>
      <c r="BQ866" s="62"/>
      <c r="BR866" s="4"/>
      <c r="BS866" s="57" t="e">
        <f t="shared" si="34"/>
        <v>#VALUE!</v>
      </c>
      <c r="BT866" s="63"/>
      <c r="BU866" s="8">
        <v>0</v>
      </c>
      <c r="BV866" s="58" t="e">
        <f>VLOOKUP(AQ866,'[1]Harga &amp; Nama CSO'!$A$28:$D$31,4,0)*BP866</f>
        <v>#N/A</v>
      </c>
    </row>
    <row r="867" spans="41:74" x14ac:dyDescent="0.35">
      <c r="AO867" s="39">
        <v>865</v>
      </c>
      <c r="AP867" s="63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55" t="e">
        <f>IFERROR(VLOOKUP(AQ867,'[1]Harga &amp; Nama CSO'!$H$2:$N$22,2,FALSE),"")*AV867</f>
        <v>#VALUE!</v>
      </c>
      <c r="BO867" s="40"/>
      <c r="BP867" s="4"/>
      <c r="BQ867" s="62"/>
      <c r="BR867" s="4"/>
      <c r="BS867" s="57" t="e">
        <f t="shared" si="34"/>
        <v>#VALUE!</v>
      </c>
      <c r="BT867" s="63"/>
      <c r="BU867" s="8">
        <v>0</v>
      </c>
      <c r="BV867" s="58" t="e">
        <f>VLOOKUP(AQ867,'[1]Harga &amp; Nama CSO'!$A$28:$D$31,4,0)*BP867</f>
        <v>#N/A</v>
      </c>
    </row>
    <row r="868" spans="41:74" x14ac:dyDescent="0.35">
      <c r="AO868" s="39">
        <v>866</v>
      </c>
      <c r="AP868" s="63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55" t="e">
        <f>IFERROR(VLOOKUP(AQ868,'[1]Harga &amp; Nama CSO'!$H$2:$N$22,2,FALSE),"")*AV868</f>
        <v>#VALUE!</v>
      </c>
      <c r="BO868" s="40"/>
      <c r="BP868" s="4"/>
      <c r="BQ868" s="62"/>
      <c r="BR868" s="4"/>
      <c r="BS868" s="57" t="e">
        <f t="shared" si="34"/>
        <v>#VALUE!</v>
      </c>
      <c r="BT868" s="63"/>
      <c r="BU868" s="8">
        <v>0</v>
      </c>
      <c r="BV868" s="58" t="e">
        <f>VLOOKUP(AQ868,'[1]Harga &amp; Nama CSO'!$A$28:$D$31,4,0)*BP868</f>
        <v>#N/A</v>
      </c>
    </row>
    <row r="869" spans="41:74" x14ac:dyDescent="0.35">
      <c r="AO869" s="39">
        <v>867</v>
      </c>
      <c r="AP869" s="63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55" t="e">
        <f>IFERROR(VLOOKUP(AQ869,'[1]Harga &amp; Nama CSO'!$H$2:$N$22,2,FALSE),"")*AV869</f>
        <v>#VALUE!</v>
      </c>
      <c r="BO869" s="40"/>
      <c r="BP869" s="4"/>
      <c r="BQ869" s="62"/>
      <c r="BR869" s="4"/>
      <c r="BS869" s="57" t="e">
        <f t="shared" si="34"/>
        <v>#VALUE!</v>
      </c>
      <c r="BT869" s="63"/>
      <c r="BU869" s="8">
        <v>0</v>
      </c>
      <c r="BV869" s="58" t="e">
        <f>VLOOKUP(AQ869,'[1]Harga &amp; Nama CSO'!$A$28:$D$31,4,0)*BP869</f>
        <v>#N/A</v>
      </c>
    </row>
    <row r="870" spans="41:74" x14ac:dyDescent="0.35">
      <c r="AO870" s="39">
        <v>868</v>
      </c>
      <c r="AP870" s="63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55" t="e">
        <f>IFERROR(VLOOKUP(AQ870,'[1]Harga &amp; Nama CSO'!$H$2:$N$22,2,FALSE),"")*AV870</f>
        <v>#VALUE!</v>
      </c>
      <c r="BO870" s="40"/>
      <c r="BP870" s="4"/>
      <c r="BQ870" s="62"/>
      <c r="BR870" s="4"/>
      <c r="BS870" s="57" t="e">
        <f t="shared" si="34"/>
        <v>#VALUE!</v>
      </c>
      <c r="BT870" s="63"/>
      <c r="BU870" s="8">
        <v>0</v>
      </c>
      <c r="BV870" s="58" t="e">
        <f>VLOOKUP(AQ870,'[1]Harga &amp; Nama CSO'!$A$28:$D$31,4,0)*BP870</f>
        <v>#N/A</v>
      </c>
    </row>
    <row r="871" spans="41:74" x14ac:dyDescent="0.35">
      <c r="AO871" s="39">
        <v>869</v>
      </c>
      <c r="AP871" s="63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55" t="e">
        <f>IFERROR(VLOOKUP(AQ871,'[1]Harga &amp; Nama CSO'!$H$2:$N$22,2,FALSE),"")*AV871</f>
        <v>#VALUE!</v>
      </c>
      <c r="BO871" s="40"/>
      <c r="BP871" s="4"/>
      <c r="BQ871" s="62"/>
      <c r="BR871" s="4"/>
      <c r="BS871" s="57" t="e">
        <f t="shared" si="34"/>
        <v>#VALUE!</v>
      </c>
      <c r="BT871" s="63"/>
      <c r="BU871" s="8">
        <v>0</v>
      </c>
      <c r="BV871" s="58" t="e">
        <f>VLOOKUP(AQ871,'[1]Harga &amp; Nama CSO'!$A$28:$D$31,4,0)*BP871</f>
        <v>#N/A</v>
      </c>
    </row>
    <row r="872" spans="41:74" x14ac:dyDescent="0.35">
      <c r="AO872" s="39">
        <v>870</v>
      </c>
      <c r="AP872" s="63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55" t="e">
        <f>IFERROR(VLOOKUP(AQ872,'[1]Harga &amp; Nama CSO'!$H$2:$N$22,2,FALSE),"")*AV872</f>
        <v>#VALUE!</v>
      </c>
      <c r="BO872" s="40"/>
      <c r="BP872" s="4"/>
      <c r="BQ872" s="62"/>
      <c r="BR872" s="4"/>
      <c r="BS872" s="57" t="e">
        <f t="shared" si="34"/>
        <v>#VALUE!</v>
      </c>
      <c r="BT872" s="63"/>
      <c r="BU872" s="8">
        <v>0</v>
      </c>
      <c r="BV872" s="58" t="e">
        <f>VLOOKUP(AQ872,'[1]Harga &amp; Nama CSO'!$A$28:$D$31,4,0)*BP872</f>
        <v>#N/A</v>
      </c>
    </row>
    <row r="873" spans="41:74" x14ac:dyDescent="0.35">
      <c r="AO873" s="39">
        <v>871</v>
      </c>
      <c r="AP873" s="63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55" t="e">
        <f>IFERROR(VLOOKUP(AQ873,'[1]Harga &amp; Nama CSO'!$H$2:$N$22,2,FALSE),"")*AV873</f>
        <v>#VALUE!</v>
      </c>
      <c r="BO873" s="40"/>
      <c r="BP873" s="4"/>
      <c r="BQ873" s="62"/>
      <c r="BR873" s="4"/>
      <c r="BS873" s="57" t="e">
        <f t="shared" si="34"/>
        <v>#VALUE!</v>
      </c>
      <c r="BT873" s="63"/>
      <c r="BU873" s="8">
        <v>0</v>
      </c>
      <c r="BV873" s="58" t="e">
        <f>VLOOKUP(AQ873,'[1]Harga &amp; Nama CSO'!$A$28:$D$31,4,0)*BP873</f>
        <v>#N/A</v>
      </c>
    </row>
    <row r="874" spans="41:74" x14ac:dyDescent="0.35">
      <c r="AO874" s="39">
        <v>872</v>
      </c>
      <c r="AP874" s="63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55" t="e">
        <f>IFERROR(VLOOKUP(AQ874,'[1]Harga &amp; Nama CSO'!$H$2:$N$22,2,FALSE),"")*AV874</f>
        <v>#VALUE!</v>
      </c>
      <c r="BO874" s="40"/>
      <c r="BP874" s="4"/>
      <c r="BQ874" s="62"/>
      <c r="BR874" s="4"/>
      <c r="BS874" s="57" t="e">
        <f t="shared" si="34"/>
        <v>#VALUE!</v>
      </c>
      <c r="BT874" s="63"/>
      <c r="BU874" s="8">
        <v>0</v>
      </c>
      <c r="BV874" s="58" t="e">
        <f>VLOOKUP(AQ874,'[1]Harga &amp; Nama CSO'!$A$28:$D$31,4,0)*BP874</f>
        <v>#N/A</v>
      </c>
    </row>
    <row r="875" spans="41:74" x14ac:dyDescent="0.35">
      <c r="AO875" s="39">
        <v>873</v>
      </c>
      <c r="AP875" s="63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55" t="e">
        <f>IFERROR(VLOOKUP(AQ875,'[1]Harga &amp; Nama CSO'!$H$2:$N$22,2,FALSE),"")*AV875</f>
        <v>#VALUE!</v>
      </c>
      <c r="BO875" s="40"/>
      <c r="BP875" s="4"/>
      <c r="BQ875" s="62"/>
      <c r="BR875" s="4"/>
      <c r="BS875" s="57" t="e">
        <f t="shared" si="34"/>
        <v>#VALUE!</v>
      </c>
      <c r="BT875" s="63"/>
      <c r="BU875" s="8">
        <v>0</v>
      </c>
      <c r="BV875" s="58" t="e">
        <f>VLOOKUP(AQ875,'[1]Harga &amp; Nama CSO'!$A$28:$D$31,4,0)*BP875</f>
        <v>#N/A</v>
      </c>
    </row>
    <row r="876" spans="41:74" x14ac:dyDescent="0.35">
      <c r="AO876" s="39">
        <v>874</v>
      </c>
      <c r="AP876" s="63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55" t="e">
        <f>IFERROR(VLOOKUP(AQ876,'[1]Harga &amp; Nama CSO'!$H$2:$N$22,2,FALSE),"")*AV876</f>
        <v>#VALUE!</v>
      </c>
      <c r="BO876" s="40"/>
      <c r="BP876" s="4"/>
      <c r="BQ876" s="62"/>
      <c r="BR876" s="4"/>
      <c r="BS876" s="57" t="e">
        <f t="shared" si="34"/>
        <v>#VALUE!</v>
      </c>
      <c r="BT876" s="63"/>
      <c r="BU876" s="8">
        <v>0</v>
      </c>
      <c r="BV876" s="58" t="e">
        <f>VLOOKUP(AQ876,'[1]Harga &amp; Nama CSO'!$A$28:$D$31,4,0)*BP876</f>
        <v>#N/A</v>
      </c>
    </row>
    <row r="877" spans="41:74" x14ac:dyDescent="0.35">
      <c r="AO877" s="39">
        <v>875</v>
      </c>
      <c r="AP877" s="63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55" t="e">
        <f>IFERROR(VLOOKUP(AQ877,'[1]Harga &amp; Nama CSO'!$H$2:$N$22,2,FALSE),"")*AV877</f>
        <v>#VALUE!</v>
      </c>
      <c r="BO877" s="40"/>
      <c r="BP877" s="4"/>
      <c r="BQ877" s="62"/>
      <c r="BR877" s="4"/>
      <c r="BS877" s="57" t="e">
        <f t="shared" si="34"/>
        <v>#VALUE!</v>
      </c>
      <c r="BT877" s="63"/>
      <c r="BU877" s="8">
        <v>0</v>
      </c>
      <c r="BV877" s="58" t="e">
        <f>VLOOKUP(AQ877,'[1]Harga &amp; Nama CSO'!$A$28:$D$31,4,0)*BP877</f>
        <v>#N/A</v>
      </c>
    </row>
    <row r="878" spans="41:74" x14ac:dyDescent="0.35">
      <c r="AO878" s="39">
        <v>876</v>
      </c>
      <c r="AP878" s="63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55" t="e">
        <f>IFERROR(VLOOKUP(AQ878,'[1]Harga &amp; Nama CSO'!$H$2:$N$22,2,FALSE),"")*AV878</f>
        <v>#VALUE!</v>
      </c>
      <c r="BO878" s="40"/>
      <c r="BP878" s="4"/>
      <c r="BQ878" s="62"/>
      <c r="BR878" s="4"/>
      <c r="BS878" s="57" t="e">
        <f t="shared" si="34"/>
        <v>#VALUE!</v>
      </c>
      <c r="BT878" s="63"/>
      <c r="BU878" s="8">
        <v>0</v>
      </c>
      <c r="BV878" s="58" t="e">
        <f>VLOOKUP(AQ878,'[1]Harga &amp; Nama CSO'!$A$28:$D$31,4,0)*BP878</f>
        <v>#N/A</v>
      </c>
    </row>
    <row r="879" spans="41:74" x14ac:dyDescent="0.35">
      <c r="AO879" s="39">
        <v>877</v>
      </c>
      <c r="AP879" s="63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55" t="e">
        <f>IFERROR(VLOOKUP(AQ879,'[1]Harga &amp; Nama CSO'!$H$2:$N$22,2,FALSE),"")*AV879</f>
        <v>#VALUE!</v>
      </c>
      <c r="BO879" s="40"/>
      <c r="BP879" s="4"/>
      <c r="BQ879" s="62"/>
      <c r="BR879" s="4"/>
      <c r="BS879" s="57" t="e">
        <f t="shared" si="34"/>
        <v>#VALUE!</v>
      </c>
      <c r="BT879" s="63"/>
      <c r="BU879" s="8">
        <v>0</v>
      </c>
      <c r="BV879" s="58" t="e">
        <f>VLOOKUP(AQ879,'[1]Harga &amp; Nama CSO'!$A$28:$D$31,4,0)*BP879</f>
        <v>#N/A</v>
      </c>
    </row>
    <row r="880" spans="41:74" x14ac:dyDescent="0.35">
      <c r="AO880" s="39">
        <v>878</v>
      </c>
      <c r="AP880" s="63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55" t="e">
        <f>IFERROR(VLOOKUP(AQ880,'[1]Harga &amp; Nama CSO'!$H$2:$N$22,2,FALSE),"")*AV880</f>
        <v>#VALUE!</v>
      </c>
      <c r="BO880" s="40"/>
      <c r="BP880" s="4"/>
      <c r="BQ880" s="62"/>
      <c r="BR880" s="4"/>
      <c r="BS880" s="57" t="e">
        <f t="shared" si="34"/>
        <v>#VALUE!</v>
      </c>
      <c r="BT880" s="63"/>
      <c r="BU880" s="8">
        <v>0</v>
      </c>
      <c r="BV880" s="58" t="e">
        <f>VLOOKUP(AQ880,'[1]Harga &amp; Nama CSO'!$A$28:$D$31,4,0)*BP880</f>
        <v>#N/A</v>
      </c>
    </row>
    <row r="881" spans="41:74" x14ac:dyDescent="0.35">
      <c r="AO881" s="39">
        <v>879</v>
      </c>
      <c r="AP881" s="63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55" t="e">
        <f>IFERROR(VLOOKUP(AQ881,'[1]Harga &amp; Nama CSO'!$H$2:$N$22,2,FALSE),"")*AV881</f>
        <v>#VALUE!</v>
      </c>
      <c r="BO881" s="40"/>
      <c r="BP881" s="4"/>
      <c r="BQ881" s="62"/>
      <c r="BR881" s="4"/>
      <c r="BS881" s="57" t="e">
        <f t="shared" si="34"/>
        <v>#VALUE!</v>
      </c>
      <c r="BT881" s="63"/>
      <c r="BU881" s="8">
        <v>0</v>
      </c>
      <c r="BV881" s="58" t="e">
        <f>VLOOKUP(AQ881,'[1]Harga &amp; Nama CSO'!$A$28:$D$31,4,0)*BP881</f>
        <v>#N/A</v>
      </c>
    </row>
    <row r="882" spans="41:74" x14ac:dyDescent="0.35">
      <c r="AO882" s="39">
        <v>880</v>
      </c>
      <c r="AP882" s="63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55" t="e">
        <f>IFERROR(VLOOKUP(AQ882,'[1]Harga &amp; Nama CSO'!$H$2:$N$22,2,FALSE),"")*AV882</f>
        <v>#VALUE!</v>
      </c>
      <c r="BO882" s="40"/>
      <c r="BP882" s="4"/>
      <c r="BQ882" s="62"/>
      <c r="BR882" s="4"/>
      <c r="BS882" s="57" t="e">
        <f t="shared" si="34"/>
        <v>#VALUE!</v>
      </c>
      <c r="BT882" s="63"/>
      <c r="BU882" s="8">
        <v>0</v>
      </c>
      <c r="BV882" s="58" t="e">
        <f>VLOOKUP(AQ882,'[1]Harga &amp; Nama CSO'!$A$28:$D$31,4,0)*BP882</f>
        <v>#N/A</v>
      </c>
    </row>
    <row r="883" spans="41:74" x14ac:dyDescent="0.35">
      <c r="AO883" s="39">
        <v>881</v>
      </c>
      <c r="AP883" s="63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55" t="e">
        <f>IFERROR(VLOOKUP(AQ883,'[1]Harga &amp; Nama CSO'!$H$2:$N$22,2,FALSE),"")*AV883</f>
        <v>#VALUE!</v>
      </c>
      <c r="BO883" s="40"/>
      <c r="BP883" s="4"/>
      <c r="BQ883" s="62"/>
      <c r="BR883" s="4"/>
      <c r="BS883" s="57" t="e">
        <f t="shared" si="34"/>
        <v>#VALUE!</v>
      </c>
      <c r="BT883" s="63"/>
      <c r="BU883" s="8">
        <v>0</v>
      </c>
      <c r="BV883" s="58" t="e">
        <f>VLOOKUP(AQ883,'[1]Harga &amp; Nama CSO'!$A$28:$D$31,4,0)*BP883</f>
        <v>#N/A</v>
      </c>
    </row>
    <row r="884" spans="41:74" x14ac:dyDescent="0.35">
      <c r="AO884" s="39">
        <v>882</v>
      </c>
      <c r="AP884" s="63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55" t="e">
        <f>IFERROR(VLOOKUP(AQ884,'[1]Harga &amp; Nama CSO'!$H$2:$N$22,2,FALSE),"")*AV884</f>
        <v>#VALUE!</v>
      </c>
      <c r="BO884" s="40"/>
      <c r="BP884" s="4"/>
      <c r="BQ884" s="62"/>
      <c r="BR884" s="4"/>
      <c r="BS884" s="57" t="e">
        <f t="shared" si="34"/>
        <v>#VALUE!</v>
      </c>
      <c r="BT884" s="63"/>
      <c r="BU884" s="8">
        <v>0</v>
      </c>
      <c r="BV884" s="58" t="e">
        <f>VLOOKUP(AQ884,'[1]Harga &amp; Nama CSO'!$A$28:$D$31,4,0)*BP884</f>
        <v>#N/A</v>
      </c>
    </row>
    <row r="885" spans="41:74" x14ac:dyDescent="0.35">
      <c r="AO885" s="39">
        <v>883</v>
      </c>
      <c r="AP885" s="63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55" t="e">
        <f>IFERROR(VLOOKUP(AQ885,'[1]Harga &amp; Nama CSO'!$H$2:$N$22,2,FALSE),"")*AV885</f>
        <v>#VALUE!</v>
      </c>
      <c r="BO885" s="40"/>
      <c r="BP885" s="4"/>
      <c r="BQ885" s="62"/>
      <c r="BR885" s="4"/>
      <c r="BS885" s="57" t="e">
        <f t="shared" si="34"/>
        <v>#VALUE!</v>
      </c>
      <c r="BT885" s="63"/>
      <c r="BU885" s="8">
        <v>0</v>
      </c>
      <c r="BV885" s="58" t="e">
        <f>VLOOKUP(AQ885,'[1]Harga &amp; Nama CSO'!$A$28:$D$31,4,0)*BP885</f>
        <v>#N/A</v>
      </c>
    </row>
    <row r="886" spans="41:74" x14ac:dyDescent="0.35">
      <c r="AO886" s="39">
        <v>884</v>
      </c>
      <c r="AP886" s="63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55" t="e">
        <f>IFERROR(VLOOKUP(AQ886,'[1]Harga &amp; Nama CSO'!$H$2:$N$22,2,FALSE),"")*AV886</f>
        <v>#VALUE!</v>
      </c>
      <c r="BO886" s="40"/>
      <c r="BP886" s="4"/>
      <c r="BQ886" s="62"/>
      <c r="BR886" s="4"/>
      <c r="BS886" s="57" t="e">
        <f t="shared" si="34"/>
        <v>#VALUE!</v>
      </c>
      <c r="BT886" s="63"/>
      <c r="BU886" s="8">
        <v>0</v>
      </c>
      <c r="BV886" s="58" t="e">
        <f>VLOOKUP(AQ886,'[1]Harga &amp; Nama CSO'!$A$28:$D$31,4,0)*BP886</f>
        <v>#N/A</v>
      </c>
    </row>
    <row r="887" spans="41:74" x14ac:dyDescent="0.35">
      <c r="AO887" s="39">
        <v>885</v>
      </c>
      <c r="AP887" s="63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55" t="e">
        <f>IFERROR(VLOOKUP(AQ887,'[1]Harga &amp; Nama CSO'!$H$2:$N$22,2,FALSE),"")*AV887</f>
        <v>#VALUE!</v>
      </c>
      <c r="BO887" s="40"/>
      <c r="BP887" s="4"/>
      <c r="BQ887" s="62"/>
      <c r="BR887" s="4"/>
      <c r="BS887" s="57" t="e">
        <f t="shared" si="34"/>
        <v>#VALUE!</v>
      </c>
      <c r="BT887" s="63"/>
      <c r="BU887" s="8">
        <v>0</v>
      </c>
      <c r="BV887" s="58" t="e">
        <f>VLOOKUP(AQ887,'[1]Harga &amp; Nama CSO'!$A$28:$D$31,4,0)*BP887</f>
        <v>#N/A</v>
      </c>
    </row>
    <row r="888" spans="41:74" x14ac:dyDescent="0.35">
      <c r="AO888" s="39">
        <v>886</v>
      </c>
      <c r="AP888" s="63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55" t="e">
        <f>IFERROR(VLOOKUP(AQ888,'[1]Harga &amp; Nama CSO'!$H$2:$N$22,2,FALSE),"")*AV888</f>
        <v>#VALUE!</v>
      </c>
      <c r="BO888" s="40"/>
      <c r="BP888" s="4"/>
      <c r="BQ888" s="62"/>
      <c r="BR888" s="4"/>
      <c r="BS888" s="57" t="e">
        <f t="shared" si="34"/>
        <v>#VALUE!</v>
      </c>
      <c r="BT888" s="63"/>
      <c r="BU888" s="8">
        <v>0</v>
      </c>
      <c r="BV888" s="58" t="e">
        <f>VLOOKUP(AQ888,'[1]Harga &amp; Nama CSO'!$A$28:$D$31,4,0)*BP888</f>
        <v>#N/A</v>
      </c>
    </row>
    <row r="889" spans="41:74" x14ac:dyDescent="0.35">
      <c r="AO889" s="39">
        <v>887</v>
      </c>
      <c r="AP889" s="63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55" t="e">
        <f>IFERROR(VLOOKUP(AQ889,'[1]Harga &amp; Nama CSO'!$H$2:$N$22,2,FALSE),"")*AV889</f>
        <v>#VALUE!</v>
      </c>
      <c r="BO889" s="40"/>
      <c r="BP889" s="4"/>
      <c r="BQ889" s="62"/>
      <c r="BR889" s="4"/>
      <c r="BS889" s="57" t="e">
        <f t="shared" si="34"/>
        <v>#VALUE!</v>
      </c>
      <c r="BT889" s="63"/>
      <c r="BU889" s="8">
        <v>0</v>
      </c>
      <c r="BV889" s="58" t="e">
        <f>VLOOKUP(AQ889,'[1]Harga &amp; Nama CSO'!$A$28:$D$31,4,0)*BP889</f>
        <v>#N/A</v>
      </c>
    </row>
    <row r="890" spans="41:74" x14ac:dyDescent="0.35">
      <c r="AO890" s="39">
        <v>888</v>
      </c>
      <c r="AP890" s="63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55" t="e">
        <f>IFERROR(VLOOKUP(AQ890,'[1]Harga &amp; Nama CSO'!$H$2:$N$22,2,FALSE),"")*AV890</f>
        <v>#VALUE!</v>
      </c>
      <c r="BO890" s="40"/>
      <c r="BP890" s="4"/>
      <c r="BQ890" s="62"/>
      <c r="BR890" s="4"/>
      <c r="BS890" s="57" t="e">
        <f t="shared" si="34"/>
        <v>#VALUE!</v>
      </c>
      <c r="BT890" s="63"/>
      <c r="BU890" s="8">
        <v>0</v>
      </c>
      <c r="BV890" s="58" t="e">
        <f>VLOOKUP(AQ890,'[1]Harga &amp; Nama CSO'!$A$28:$D$31,4,0)*BP890</f>
        <v>#N/A</v>
      </c>
    </row>
    <row r="891" spans="41:74" x14ac:dyDescent="0.35">
      <c r="AO891" s="39">
        <v>889</v>
      </c>
      <c r="AP891" s="63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55" t="e">
        <f>IFERROR(VLOOKUP(AQ891,'[1]Harga &amp; Nama CSO'!$H$2:$N$22,2,FALSE),"")*AV891</f>
        <v>#VALUE!</v>
      </c>
      <c r="BO891" s="40"/>
      <c r="BP891" s="4"/>
      <c r="BQ891" s="62"/>
      <c r="BR891" s="4"/>
      <c r="BS891" s="57" t="e">
        <f t="shared" si="34"/>
        <v>#VALUE!</v>
      </c>
      <c r="BT891" s="63"/>
      <c r="BU891" s="8">
        <v>0</v>
      </c>
      <c r="BV891" s="58" t="e">
        <f>VLOOKUP(AQ891,'[1]Harga &amp; Nama CSO'!$A$28:$D$31,4,0)*BP891</f>
        <v>#N/A</v>
      </c>
    </row>
    <row r="892" spans="41:74" x14ac:dyDescent="0.35">
      <c r="AO892" s="39">
        <v>890</v>
      </c>
      <c r="AP892" s="63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55" t="e">
        <f>IFERROR(VLOOKUP(AQ892,'[1]Harga &amp; Nama CSO'!$H$2:$N$22,2,FALSE),"")*AV892</f>
        <v>#VALUE!</v>
      </c>
      <c r="BO892" s="40"/>
      <c r="BP892" s="4"/>
      <c r="BQ892" s="62"/>
      <c r="BR892" s="4"/>
      <c r="BS892" s="57" t="e">
        <f t="shared" si="34"/>
        <v>#VALUE!</v>
      </c>
      <c r="BT892" s="63"/>
      <c r="BU892" s="8">
        <v>0</v>
      </c>
      <c r="BV892" s="58" t="e">
        <f>VLOOKUP(AQ892,'[1]Harga &amp; Nama CSO'!$A$28:$D$31,4,0)*BP892</f>
        <v>#N/A</v>
      </c>
    </row>
    <row r="893" spans="41:74" x14ac:dyDescent="0.35">
      <c r="AO893" s="39">
        <v>891</v>
      </c>
      <c r="AP893" s="63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55" t="e">
        <f>IFERROR(VLOOKUP(AQ893,'[1]Harga &amp; Nama CSO'!$H$2:$N$22,2,FALSE),"")*AV893</f>
        <v>#VALUE!</v>
      </c>
      <c r="BO893" s="40"/>
      <c r="BP893" s="4"/>
      <c r="BQ893" s="62"/>
      <c r="BR893" s="4"/>
      <c r="BS893" s="57" t="e">
        <f t="shared" si="34"/>
        <v>#VALUE!</v>
      </c>
      <c r="BT893" s="63"/>
      <c r="BU893" s="8">
        <v>0</v>
      </c>
      <c r="BV893" s="58" t="e">
        <f>VLOOKUP(AQ893,'[1]Harga &amp; Nama CSO'!$A$28:$D$31,4,0)*BP893</f>
        <v>#N/A</v>
      </c>
    </row>
    <row r="894" spans="41:74" x14ac:dyDescent="0.35">
      <c r="AO894" s="39">
        <v>892</v>
      </c>
      <c r="AP894" s="63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55" t="e">
        <f>IFERROR(VLOOKUP(AQ894,'[1]Harga &amp; Nama CSO'!$H$2:$N$22,2,FALSE),"")*AV894</f>
        <v>#VALUE!</v>
      </c>
      <c r="BO894" s="40"/>
      <c r="BP894" s="4"/>
      <c r="BQ894" s="62"/>
      <c r="BR894" s="4"/>
      <c r="BS894" s="57" t="e">
        <f t="shared" si="34"/>
        <v>#VALUE!</v>
      </c>
      <c r="BT894" s="63"/>
      <c r="BU894" s="8">
        <v>0</v>
      </c>
      <c r="BV894" s="58" t="e">
        <f>VLOOKUP(AQ894,'[1]Harga &amp; Nama CSO'!$A$28:$D$31,4,0)*BP894</f>
        <v>#N/A</v>
      </c>
    </row>
    <row r="895" spans="41:74" x14ac:dyDescent="0.35">
      <c r="AO895" s="39">
        <v>893</v>
      </c>
      <c r="AP895" s="63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55" t="e">
        <f>IFERROR(VLOOKUP(AQ895,'[1]Harga &amp; Nama CSO'!$H$2:$N$22,2,FALSE),"")*AV895</f>
        <v>#VALUE!</v>
      </c>
      <c r="BO895" s="40"/>
      <c r="BP895" s="4"/>
      <c r="BQ895" s="62"/>
      <c r="BR895" s="4"/>
      <c r="BS895" s="57" t="e">
        <f t="shared" si="34"/>
        <v>#VALUE!</v>
      </c>
      <c r="BT895" s="63"/>
      <c r="BU895" s="8">
        <v>0</v>
      </c>
      <c r="BV895" s="58" t="e">
        <f>VLOOKUP(AQ895,'[1]Harga &amp; Nama CSO'!$A$28:$D$31,4,0)*BP895</f>
        <v>#N/A</v>
      </c>
    </row>
    <row r="896" spans="41:74" x14ac:dyDescent="0.35">
      <c r="AO896" s="39">
        <v>894</v>
      </c>
      <c r="AP896" s="63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55" t="e">
        <f>IFERROR(VLOOKUP(AQ896,'[1]Harga &amp; Nama CSO'!$H$2:$N$22,2,FALSE),"")*AV896</f>
        <v>#VALUE!</v>
      </c>
      <c r="BO896" s="40"/>
      <c r="BP896" s="4"/>
      <c r="BQ896" s="62"/>
      <c r="BR896" s="4"/>
      <c r="BS896" s="57" t="e">
        <f t="shared" si="34"/>
        <v>#VALUE!</v>
      </c>
      <c r="BT896" s="63"/>
      <c r="BU896" s="8">
        <v>0</v>
      </c>
      <c r="BV896" s="58" t="e">
        <f>VLOOKUP(AQ896,'[1]Harga &amp; Nama CSO'!$A$28:$D$31,4,0)*BP896</f>
        <v>#N/A</v>
      </c>
    </row>
    <row r="897" spans="41:74" x14ac:dyDescent="0.35">
      <c r="AO897" s="39">
        <v>895</v>
      </c>
      <c r="AP897" s="63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55" t="e">
        <f>IFERROR(VLOOKUP(AQ897,'[1]Harga &amp; Nama CSO'!$H$2:$N$22,2,FALSE),"")*AV897</f>
        <v>#VALUE!</v>
      </c>
      <c r="BO897" s="40"/>
      <c r="BP897" s="4"/>
      <c r="BQ897" s="62"/>
      <c r="BR897" s="4"/>
      <c r="BS897" s="57" t="e">
        <f t="shared" si="34"/>
        <v>#VALUE!</v>
      </c>
      <c r="BT897" s="63"/>
      <c r="BU897" s="8">
        <v>0</v>
      </c>
      <c r="BV897" s="58" t="e">
        <f>VLOOKUP(AQ897,'[1]Harga &amp; Nama CSO'!$A$28:$D$31,4,0)*BP897</f>
        <v>#N/A</v>
      </c>
    </row>
    <row r="898" spans="41:74" x14ac:dyDescent="0.35">
      <c r="AO898" s="39">
        <v>896</v>
      </c>
      <c r="AP898" s="63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55" t="e">
        <f>IFERROR(VLOOKUP(AQ898,'[1]Harga &amp; Nama CSO'!$H$2:$N$22,2,FALSE),"")*AV898</f>
        <v>#VALUE!</v>
      </c>
      <c r="BO898" s="40"/>
      <c r="BP898" s="4"/>
      <c r="BQ898" s="62"/>
      <c r="BR898" s="4"/>
      <c r="BS898" s="57" t="e">
        <f t="shared" si="34"/>
        <v>#VALUE!</v>
      </c>
      <c r="BT898" s="63"/>
      <c r="BU898" s="8">
        <v>0</v>
      </c>
      <c r="BV898" s="58" t="e">
        <f>VLOOKUP(AQ898,'[1]Harga &amp; Nama CSO'!$A$28:$D$31,4,0)*BP898</f>
        <v>#N/A</v>
      </c>
    </row>
    <row r="899" spans="41:74" x14ac:dyDescent="0.35">
      <c r="AO899" s="39">
        <v>897</v>
      </c>
      <c r="AP899" s="63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55" t="e">
        <f>IFERROR(VLOOKUP(AQ899,'[1]Harga &amp; Nama CSO'!$H$2:$N$22,2,FALSE),"")*AV899</f>
        <v>#VALUE!</v>
      </c>
      <c r="BO899" s="40"/>
      <c r="BP899" s="4"/>
      <c r="BQ899" s="62"/>
      <c r="BR899" s="4"/>
      <c r="BS899" s="57" t="e">
        <f t="shared" ref="BS899:BS962" si="35">BN899-BQ899</f>
        <v>#VALUE!</v>
      </c>
      <c r="BT899" s="63"/>
      <c r="BU899" s="8">
        <v>0</v>
      </c>
      <c r="BV899" s="58" t="e">
        <f>VLOOKUP(AQ899,'[1]Harga &amp; Nama CSO'!$A$28:$D$31,4,0)*BP899</f>
        <v>#N/A</v>
      </c>
    </row>
    <row r="900" spans="41:74" x14ac:dyDescent="0.35">
      <c r="AO900" s="39">
        <v>898</v>
      </c>
      <c r="AP900" s="63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55" t="e">
        <f>IFERROR(VLOOKUP(AQ900,'[1]Harga &amp; Nama CSO'!$H$2:$N$22,2,FALSE),"")*AV900</f>
        <v>#VALUE!</v>
      </c>
      <c r="BO900" s="40"/>
      <c r="BP900" s="4"/>
      <c r="BQ900" s="62"/>
      <c r="BR900" s="4"/>
      <c r="BS900" s="57" t="e">
        <f t="shared" si="35"/>
        <v>#VALUE!</v>
      </c>
      <c r="BT900" s="63"/>
      <c r="BU900" s="8">
        <v>0</v>
      </c>
      <c r="BV900" s="58" t="e">
        <f>VLOOKUP(AQ900,'[1]Harga &amp; Nama CSO'!$A$28:$D$31,4,0)*BP900</f>
        <v>#N/A</v>
      </c>
    </row>
    <row r="901" spans="41:74" x14ac:dyDescent="0.35">
      <c r="AO901" s="39">
        <v>899</v>
      </c>
      <c r="AP901" s="63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55" t="e">
        <f>IFERROR(VLOOKUP(AQ901,'[1]Harga &amp; Nama CSO'!$H$2:$N$22,2,FALSE),"")*AV901</f>
        <v>#VALUE!</v>
      </c>
      <c r="BO901" s="40"/>
      <c r="BP901" s="4"/>
      <c r="BQ901" s="62"/>
      <c r="BR901" s="4"/>
      <c r="BS901" s="57" t="e">
        <f t="shared" si="35"/>
        <v>#VALUE!</v>
      </c>
      <c r="BT901" s="63"/>
      <c r="BU901" s="8">
        <v>0</v>
      </c>
      <c r="BV901" s="58" t="e">
        <f>VLOOKUP(AQ901,'[1]Harga &amp; Nama CSO'!$A$28:$D$31,4,0)*BP901</f>
        <v>#N/A</v>
      </c>
    </row>
    <row r="902" spans="41:74" x14ac:dyDescent="0.35">
      <c r="AO902" s="39">
        <v>900</v>
      </c>
      <c r="AP902" s="63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55" t="e">
        <f>IFERROR(VLOOKUP(AQ902,'[1]Harga &amp; Nama CSO'!$H$2:$N$22,2,FALSE),"")*AV902</f>
        <v>#VALUE!</v>
      </c>
      <c r="BO902" s="40"/>
      <c r="BP902" s="4"/>
      <c r="BQ902" s="62"/>
      <c r="BR902" s="4"/>
      <c r="BS902" s="57" t="e">
        <f t="shared" si="35"/>
        <v>#VALUE!</v>
      </c>
      <c r="BT902" s="63"/>
      <c r="BU902" s="8">
        <v>0</v>
      </c>
      <c r="BV902" s="58" t="e">
        <f>VLOOKUP(AQ902,'[1]Harga &amp; Nama CSO'!$A$28:$D$31,4,0)*BP902</f>
        <v>#N/A</v>
      </c>
    </row>
    <row r="903" spans="41:74" x14ac:dyDescent="0.35">
      <c r="AO903" s="39">
        <v>901</v>
      </c>
      <c r="AP903" s="63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55" t="e">
        <f>IFERROR(VLOOKUP(AQ903,'[1]Harga &amp; Nama CSO'!$H$2:$N$22,2,FALSE),"")*AV903</f>
        <v>#VALUE!</v>
      </c>
      <c r="BO903" s="40"/>
      <c r="BP903" s="4"/>
      <c r="BQ903" s="62"/>
      <c r="BR903" s="4"/>
      <c r="BS903" s="57" t="e">
        <f t="shared" si="35"/>
        <v>#VALUE!</v>
      </c>
      <c r="BT903" s="63"/>
      <c r="BU903" s="8">
        <v>0</v>
      </c>
      <c r="BV903" s="58" t="e">
        <f>VLOOKUP(AQ903,'[1]Harga &amp; Nama CSO'!$A$28:$D$31,4,0)*BP903</f>
        <v>#N/A</v>
      </c>
    </row>
    <row r="904" spans="41:74" x14ac:dyDescent="0.35">
      <c r="AO904" s="39">
        <v>902</v>
      </c>
      <c r="AP904" s="63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55" t="e">
        <f>IFERROR(VLOOKUP(AQ904,'[1]Harga &amp; Nama CSO'!$H$2:$N$22,2,FALSE),"")*AV904</f>
        <v>#VALUE!</v>
      </c>
      <c r="BO904" s="40"/>
      <c r="BP904" s="4"/>
      <c r="BQ904" s="62"/>
      <c r="BR904" s="4"/>
      <c r="BS904" s="57" t="e">
        <f t="shared" si="35"/>
        <v>#VALUE!</v>
      </c>
      <c r="BT904" s="63"/>
      <c r="BU904" s="8">
        <v>0</v>
      </c>
      <c r="BV904" s="58" t="e">
        <f>VLOOKUP(AQ904,'[1]Harga &amp; Nama CSO'!$A$28:$D$31,4,0)*BP904</f>
        <v>#N/A</v>
      </c>
    </row>
    <row r="905" spans="41:74" x14ac:dyDescent="0.35">
      <c r="AO905" s="39">
        <v>903</v>
      </c>
      <c r="AP905" s="63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55" t="e">
        <f>IFERROR(VLOOKUP(AQ905,'[1]Harga &amp; Nama CSO'!$H$2:$N$22,2,FALSE),"")*AV905</f>
        <v>#VALUE!</v>
      </c>
      <c r="BO905" s="40"/>
      <c r="BP905" s="4"/>
      <c r="BQ905" s="62"/>
      <c r="BR905" s="4"/>
      <c r="BS905" s="57" t="e">
        <f t="shared" si="35"/>
        <v>#VALUE!</v>
      </c>
      <c r="BT905" s="63"/>
      <c r="BU905" s="8">
        <v>0</v>
      </c>
      <c r="BV905" s="58" t="e">
        <f>VLOOKUP(AQ905,'[1]Harga &amp; Nama CSO'!$A$28:$D$31,4,0)*BP905</f>
        <v>#N/A</v>
      </c>
    </row>
    <row r="906" spans="41:74" x14ac:dyDescent="0.35">
      <c r="AO906" s="39">
        <v>904</v>
      </c>
      <c r="AP906" s="63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55" t="e">
        <f>IFERROR(VLOOKUP(AQ906,'[1]Harga &amp; Nama CSO'!$H$2:$N$22,2,FALSE),"")*AV906</f>
        <v>#VALUE!</v>
      </c>
      <c r="BO906" s="40"/>
      <c r="BP906" s="4"/>
      <c r="BQ906" s="62"/>
      <c r="BR906" s="4"/>
      <c r="BS906" s="57" t="e">
        <f t="shared" si="35"/>
        <v>#VALUE!</v>
      </c>
      <c r="BT906" s="63"/>
      <c r="BU906" s="8">
        <v>0</v>
      </c>
      <c r="BV906" s="58" t="e">
        <f>VLOOKUP(AQ906,'[1]Harga &amp; Nama CSO'!$A$28:$D$31,4,0)*BP906</f>
        <v>#N/A</v>
      </c>
    </row>
    <row r="907" spans="41:74" x14ac:dyDescent="0.35">
      <c r="AO907" s="39">
        <v>905</v>
      </c>
      <c r="AP907" s="63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55" t="e">
        <f>IFERROR(VLOOKUP(AQ907,'[1]Harga &amp; Nama CSO'!$H$2:$N$22,2,FALSE),"")*AV907</f>
        <v>#VALUE!</v>
      </c>
      <c r="BO907" s="40"/>
      <c r="BP907" s="4"/>
      <c r="BQ907" s="62"/>
      <c r="BR907" s="4"/>
      <c r="BS907" s="57" t="e">
        <f t="shared" si="35"/>
        <v>#VALUE!</v>
      </c>
      <c r="BT907" s="63"/>
      <c r="BU907" s="8">
        <v>0</v>
      </c>
      <c r="BV907" s="58" t="e">
        <f>VLOOKUP(AQ907,'[1]Harga &amp; Nama CSO'!$A$28:$D$31,4,0)*BP907</f>
        <v>#N/A</v>
      </c>
    </row>
    <row r="908" spans="41:74" x14ac:dyDescent="0.35">
      <c r="AO908" s="39">
        <v>906</v>
      </c>
      <c r="AP908" s="63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55" t="e">
        <f>IFERROR(VLOOKUP(AQ908,'[1]Harga &amp; Nama CSO'!$H$2:$N$22,2,FALSE),"")*AV908</f>
        <v>#VALUE!</v>
      </c>
      <c r="BO908" s="40"/>
      <c r="BP908" s="4"/>
      <c r="BQ908" s="62"/>
      <c r="BR908" s="4"/>
      <c r="BS908" s="57" t="e">
        <f t="shared" si="35"/>
        <v>#VALUE!</v>
      </c>
      <c r="BT908" s="63"/>
      <c r="BU908" s="8">
        <v>0</v>
      </c>
      <c r="BV908" s="58" t="e">
        <f>VLOOKUP(AQ908,'[1]Harga &amp; Nama CSO'!$A$28:$D$31,4,0)*BP908</f>
        <v>#N/A</v>
      </c>
    </row>
    <row r="909" spans="41:74" x14ac:dyDescent="0.35">
      <c r="AO909" s="39">
        <v>907</v>
      </c>
      <c r="AP909" s="63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55" t="e">
        <f>IFERROR(VLOOKUP(AQ909,'[1]Harga &amp; Nama CSO'!$H$2:$N$22,2,FALSE),"")*AV909</f>
        <v>#VALUE!</v>
      </c>
      <c r="BO909" s="40"/>
      <c r="BP909" s="4"/>
      <c r="BQ909" s="62"/>
      <c r="BR909" s="4"/>
      <c r="BS909" s="57" t="e">
        <f t="shared" si="35"/>
        <v>#VALUE!</v>
      </c>
      <c r="BT909" s="63"/>
      <c r="BU909" s="8">
        <v>0</v>
      </c>
      <c r="BV909" s="58" t="e">
        <f>VLOOKUP(AQ909,'[1]Harga &amp; Nama CSO'!$A$28:$D$31,4,0)*BP909</f>
        <v>#N/A</v>
      </c>
    </row>
    <row r="910" spans="41:74" x14ac:dyDescent="0.35">
      <c r="AO910" s="39">
        <v>908</v>
      </c>
      <c r="AP910" s="63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55" t="e">
        <f>IFERROR(VLOOKUP(AQ910,'[1]Harga &amp; Nama CSO'!$H$2:$N$22,2,FALSE),"")*AV910</f>
        <v>#VALUE!</v>
      </c>
      <c r="BO910" s="40"/>
      <c r="BP910" s="4"/>
      <c r="BQ910" s="62"/>
      <c r="BR910" s="4"/>
      <c r="BS910" s="57" t="e">
        <f t="shared" si="35"/>
        <v>#VALUE!</v>
      </c>
      <c r="BT910" s="63"/>
      <c r="BU910" s="8">
        <v>0</v>
      </c>
      <c r="BV910" s="58" t="e">
        <f>VLOOKUP(AQ910,'[1]Harga &amp; Nama CSO'!$A$28:$D$31,4,0)*BP910</f>
        <v>#N/A</v>
      </c>
    </row>
    <row r="911" spans="41:74" x14ac:dyDescent="0.35">
      <c r="AO911" s="39">
        <v>909</v>
      </c>
      <c r="AP911" s="63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55" t="e">
        <f>IFERROR(VLOOKUP(AQ911,'[1]Harga &amp; Nama CSO'!$H$2:$N$22,2,FALSE),"")*AV911</f>
        <v>#VALUE!</v>
      </c>
      <c r="BO911" s="40"/>
      <c r="BP911" s="4"/>
      <c r="BQ911" s="62"/>
      <c r="BR911" s="4"/>
      <c r="BS911" s="57" t="e">
        <f t="shared" si="35"/>
        <v>#VALUE!</v>
      </c>
      <c r="BT911" s="63"/>
      <c r="BU911" s="8">
        <v>0</v>
      </c>
      <c r="BV911" s="58" t="e">
        <f>VLOOKUP(AQ911,'[1]Harga &amp; Nama CSO'!$A$28:$D$31,4,0)*BP911</f>
        <v>#N/A</v>
      </c>
    </row>
    <row r="912" spans="41:74" x14ac:dyDescent="0.35">
      <c r="AO912" s="39">
        <v>910</v>
      </c>
      <c r="AP912" s="63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55" t="e">
        <f>IFERROR(VLOOKUP(AQ912,'[1]Harga &amp; Nama CSO'!$H$2:$N$22,2,FALSE),"")*AV912</f>
        <v>#VALUE!</v>
      </c>
      <c r="BO912" s="40"/>
      <c r="BP912" s="4"/>
      <c r="BQ912" s="62"/>
      <c r="BR912" s="4"/>
      <c r="BS912" s="57" t="e">
        <f t="shared" si="35"/>
        <v>#VALUE!</v>
      </c>
      <c r="BT912" s="63"/>
      <c r="BU912" s="8">
        <v>0</v>
      </c>
      <c r="BV912" s="58" t="e">
        <f>VLOOKUP(AQ912,'[1]Harga &amp; Nama CSO'!$A$28:$D$31,4,0)*BP912</f>
        <v>#N/A</v>
      </c>
    </row>
    <row r="913" spans="41:74" x14ac:dyDescent="0.35">
      <c r="AO913" s="39">
        <v>911</v>
      </c>
      <c r="AP913" s="63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55" t="e">
        <f>IFERROR(VLOOKUP(AQ913,'[1]Harga &amp; Nama CSO'!$H$2:$N$22,2,FALSE),"")*AV913</f>
        <v>#VALUE!</v>
      </c>
      <c r="BO913" s="40"/>
      <c r="BP913" s="4"/>
      <c r="BQ913" s="62"/>
      <c r="BR913" s="4"/>
      <c r="BS913" s="57" t="e">
        <f t="shared" si="35"/>
        <v>#VALUE!</v>
      </c>
      <c r="BT913" s="63"/>
      <c r="BU913" s="8">
        <v>0</v>
      </c>
      <c r="BV913" s="58" t="e">
        <f>VLOOKUP(AQ913,'[1]Harga &amp; Nama CSO'!$A$28:$D$31,4,0)*BP913</f>
        <v>#N/A</v>
      </c>
    </row>
    <row r="914" spans="41:74" x14ac:dyDescent="0.35">
      <c r="AO914" s="39">
        <v>912</v>
      </c>
      <c r="AP914" s="63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55" t="e">
        <f>IFERROR(VLOOKUP(AQ914,'[1]Harga &amp; Nama CSO'!$H$2:$N$22,2,FALSE),"")*AV914</f>
        <v>#VALUE!</v>
      </c>
      <c r="BO914" s="40"/>
      <c r="BP914" s="4"/>
      <c r="BQ914" s="62"/>
      <c r="BR914" s="4"/>
      <c r="BS914" s="57" t="e">
        <f t="shared" si="35"/>
        <v>#VALUE!</v>
      </c>
      <c r="BT914" s="63"/>
      <c r="BU914" s="8">
        <v>0</v>
      </c>
      <c r="BV914" s="58" t="e">
        <f>VLOOKUP(AQ914,'[1]Harga &amp; Nama CSO'!$A$28:$D$31,4,0)*BP914</f>
        <v>#N/A</v>
      </c>
    </row>
    <row r="915" spans="41:74" x14ac:dyDescent="0.35">
      <c r="AO915" s="39">
        <v>913</v>
      </c>
      <c r="AP915" s="63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55" t="e">
        <f>IFERROR(VLOOKUP(AQ915,'[1]Harga &amp; Nama CSO'!$H$2:$N$22,2,FALSE),"")*AV915</f>
        <v>#VALUE!</v>
      </c>
      <c r="BO915" s="40"/>
      <c r="BP915" s="4"/>
      <c r="BQ915" s="62"/>
      <c r="BR915" s="4"/>
      <c r="BS915" s="57" t="e">
        <f t="shared" si="35"/>
        <v>#VALUE!</v>
      </c>
      <c r="BT915" s="63"/>
      <c r="BU915" s="8">
        <v>0</v>
      </c>
      <c r="BV915" s="58" t="e">
        <f>VLOOKUP(AQ915,'[1]Harga &amp; Nama CSO'!$A$28:$D$31,4,0)*BP915</f>
        <v>#N/A</v>
      </c>
    </row>
    <row r="916" spans="41:74" x14ac:dyDescent="0.35">
      <c r="AO916" s="39">
        <v>914</v>
      </c>
      <c r="AP916" s="63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55" t="e">
        <f>IFERROR(VLOOKUP(AQ916,'[1]Harga &amp; Nama CSO'!$H$2:$N$22,2,FALSE),"")*AV916</f>
        <v>#VALUE!</v>
      </c>
      <c r="BO916" s="40"/>
      <c r="BP916" s="4"/>
      <c r="BQ916" s="62"/>
      <c r="BR916" s="4"/>
      <c r="BS916" s="57" t="e">
        <f t="shared" si="35"/>
        <v>#VALUE!</v>
      </c>
      <c r="BT916" s="63"/>
      <c r="BU916" s="8">
        <v>0</v>
      </c>
      <c r="BV916" s="58" t="e">
        <f>VLOOKUP(AQ916,'[1]Harga &amp; Nama CSO'!$A$28:$D$31,4,0)*BP916</f>
        <v>#N/A</v>
      </c>
    </row>
    <row r="917" spans="41:74" x14ac:dyDescent="0.35">
      <c r="AO917" s="39">
        <v>915</v>
      </c>
      <c r="AP917" s="63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55" t="e">
        <f>IFERROR(VLOOKUP(AQ917,'[1]Harga &amp; Nama CSO'!$H$2:$N$22,2,FALSE),"")*AV917</f>
        <v>#VALUE!</v>
      </c>
      <c r="BO917" s="40"/>
      <c r="BP917" s="4"/>
      <c r="BQ917" s="62"/>
      <c r="BR917" s="4"/>
      <c r="BS917" s="57" t="e">
        <f t="shared" si="35"/>
        <v>#VALUE!</v>
      </c>
      <c r="BT917" s="63"/>
      <c r="BU917" s="8">
        <v>0</v>
      </c>
      <c r="BV917" s="58" t="e">
        <f>VLOOKUP(AQ917,'[1]Harga &amp; Nama CSO'!$A$28:$D$31,4,0)*BP917</f>
        <v>#N/A</v>
      </c>
    </row>
    <row r="918" spans="41:74" x14ac:dyDescent="0.35">
      <c r="AO918" s="39">
        <v>916</v>
      </c>
      <c r="AP918" s="63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55" t="e">
        <f>IFERROR(VLOOKUP(AQ918,'[1]Harga &amp; Nama CSO'!$H$2:$N$22,2,FALSE),"")*AV918</f>
        <v>#VALUE!</v>
      </c>
      <c r="BO918" s="40"/>
      <c r="BP918" s="4"/>
      <c r="BQ918" s="62"/>
      <c r="BR918" s="4"/>
      <c r="BS918" s="57" t="e">
        <f t="shared" si="35"/>
        <v>#VALUE!</v>
      </c>
      <c r="BT918" s="63"/>
      <c r="BU918" s="8">
        <v>0</v>
      </c>
      <c r="BV918" s="58" t="e">
        <f>VLOOKUP(AQ918,'[1]Harga &amp; Nama CSO'!$A$28:$D$31,4,0)*BP918</f>
        <v>#N/A</v>
      </c>
    </row>
    <row r="919" spans="41:74" x14ac:dyDescent="0.35">
      <c r="AO919" s="39">
        <v>917</v>
      </c>
      <c r="AP919" s="63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55" t="e">
        <f>IFERROR(VLOOKUP(AQ919,'[1]Harga &amp; Nama CSO'!$H$2:$N$22,2,FALSE),"")*AV919</f>
        <v>#VALUE!</v>
      </c>
      <c r="BO919" s="40"/>
      <c r="BP919" s="4"/>
      <c r="BQ919" s="62"/>
      <c r="BR919" s="4"/>
      <c r="BS919" s="57" t="e">
        <f t="shared" si="35"/>
        <v>#VALUE!</v>
      </c>
      <c r="BT919" s="63"/>
      <c r="BU919" s="8">
        <v>0</v>
      </c>
      <c r="BV919" s="58" t="e">
        <f>VLOOKUP(AQ919,'[1]Harga &amp; Nama CSO'!$A$28:$D$31,4,0)*BP919</f>
        <v>#N/A</v>
      </c>
    </row>
    <row r="920" spans="41:74" x14ac:dyDescent="0.35">
      <c r="AO920" s="39">
        <v>918</v>
      </c>
      <c r="AP920" s="63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55" t="e">
        <f>IFERROR(VLOOKUP(AQ920,'[1]Harga &amp; Nama CSO'!$H$2:$N$22,2,FALSE),"")*AV920</f>
        <v>#VALUE!</v>
      </c>
      <c r="BO920" s="40"/>
      <c r="BP920" s="4"/>
      <c r="BQ920" s="62"/>
      <c r="BR920" s="4"/>
      <c r="BS920" s="57" t="e">
        <f t="shared" si="35"/>
        <v>#VALUE!</v>
      </c>
      <c r="BT920" s="63"/>
      <c r="BU920" s="8">
        <v>0</v>
      </c>
      <c r="BV920" s="58" t="e">
        <f>VLOOKUP(AQ920,'[1]Harga &amp; Nama CSO'!$A$28:$D$31,4,0)*BP920</f>
        <v>#N/A</v>
      </c>
    </row>
    <row r="921" spans="41:74" x14ac:dyDescent="0.35">
      <c r="AO921" s="39">
        <v>919</v>
      </c>
      <c r="AP921" s="63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55" t="e">
        <f>IFERROR(VLOOKUP(AQ921,'[1]Harga &amp; Nama CSO'!$H$2:$N$22,2,FALSE),"")*AV921</f>
        <v>#VALUE!</v>
      </c>
      <c r="BO921" s="40"/>
      <c r="BP921" s="4"/>
      <c r="BQ921" s="62"/>
      <c r="BR921" s="4"/>
      <c r="BS921" s="57" t="e">
        <f t="shared" si="35"/>
        <v>#VALUE!</v>
      </c>
      <c r="BT921" s="63"/>
      <c r="BU921" s="8">
        <v>0</v>
      </c>
      <c r="BV921" s="58" t="e">
        <f>VLOOKUP(AQ921,'[1]Harga &amp; Nama CSO'!$A$28:$D$31,4,0)*BP921</f>
        <v>#N/A</v>
      </c>
    </row>
    <row r="922" spans="41:74" x14ac:dyDescent="0.35">
      <c r="AO922" s="39">
        <v>920</v>
      </c>
      <c r="AP922" s="63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55" t="e">
        <f>IFERROR(VLOOKUP(AQ922,'[1]Harga &amp; Nama CSO'!$H$2:$N$22,2,FALSE),"")*AV922</f>
        <v>#VALUE!</v>
      </c>
      <c r="BO922" s="40"/>
      <c r="BP922" s="4"/>
      <c r="BQ922" s="62"/>
      <c r="BR922" s="4"/>
      <c r="BS922" s="57" t="e">
        <f t="shared" si="35"/>
        <v>#VALUE!</v>
      </c>
      <c r="BT922" s="63"/>
      <c r="BU922" s="8">
        <v>0</v>
      </c>
      <c r="BV922" s="58" t="e">
        <f>VLOOKUP(AQ922,'[1]Harga &amp; Nama CSO'!$A$28:$D$31,4,0)*BP922</f>
        <v>#N/A</v>
      </c>
    </row>
    <row r="923" spans="41:74" x14ac:dyDescent="0.35">
      <c r="AO923" s="39">
        <v>921</v>
      </c>
      <c r="AP923" s="63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55" t="e">
        <f>IFERROR(VLOOKUP(AQ923,'[1]Harga &amp; Nama CSO'!$H$2:$N$22,2,FALSE),"")*AV923</f>
        <v>#VALUE!</v>
      </c>
      <c r="BO923" s="40"/>
      <c r="BP923" s="4"/>
      <c r="BQ923" s="62"/>
      <c r="BR923" s="4"/>
      <c r="BS923" s="57" t="e">
        <f t="shared" si="35"/>
        <v>#VALUE!</v>
      </c>
      <c r="BT923" s="63"/>
      <c r="BU923" s="8">
        <v>0</v>
      </c>
      <c r="BV923" s="58" t="e">
        <f>VLOOKUP(AQ923,'[1]Harga &amp; Nama CSO'!$A$28:$D$31,4,0)*BP923</f>
        <v>#N/A</v>
      </c>
    </row>
    <row r="924" spans="41:74" x14ac:dyDescent="0.35">
      <c r="AO924" s="39">
        <v>922</v>
      </c>
      <c r="AP924" s="63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55" t="e">
        <f>IFERROR(VLOOKUP(AQ924,'[1]Harga &amp; Nama CSO'!$H$2:$N$22,2,FALSE),"")*AV924</f>
        <v>#VALUE!</v>
      </c>
      <c r="BO924" s="40"/>
      <c r="BP924" s="4"/>
      <c r="BQ924" s="62"/>
      <c r="BR924" s="4"/>
      <c r="BS924" s="57" t="e">
        <f t="shared" si="35"/>
        <v>#VALUE!</v>
      </c>
      <c r="BT924" s="63"/>
      <c r="BU924" s="8">
        <v>0</v>
      </c>
      <c r="BV924" s="58" t="e">
        <f>VLOOKUP(AQ924,'[1]Harga &amp; Nama CSO'!$A$28:$D$31,4,0)*BP924</f>
        <v>#N/A</v>
      </c>
    </row>
    <row r="925" spans="41:74" x14ac:dyDescent="0.35">
      <c r="AO925" s="39">
        <v>923</v>
      </c>
      <c r="AP925" s="63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55" t="e">
        <f>IFERROR(VLOOKUP(AQ925,'[1]Harga &amp; Nama CSO'!$H$2:$N$22,2,FALSE),"")*AV925</f>
        <v>#VALUE!</v>
      </c>
      <c r="BO925" s="40"/>
      <c r="BP925" s="4"/>
      <c r="BQ925" s="62"/>
      <c r="BR925" s="4"/>
      <c r="BS925" s="57" t="e">
        <f t="shared" si="35"/>
        <v>#VALUE!</v>
      </c>
      <c r="BT925" s="63"/>
      <c r="BU925" s="8">
        <v>0</v>
      </c>
      <c r="BV925" s="58" t="e">
        <f>VLOOKUP(AQ925,'[1]Harga &amp; Nama CSO'!$A$28:$D$31,4,0)*BP925</f>
        <v>#N/A</v>
      </c>
    </row>
    <row r="926" spans="41:74" x14ac:dyDescent="0.35">
      <c r="AO926" s="39">
        <v>924</v>
      </c>
      <c r="AP926" s="63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55" t="e">
        <f>IFERROR(VLOOKUP(AQ926,'[1]Harga &amp; Nama CSO'!$H$2:$N$22,2,FALSE),"")*AV926</f>
        <v>#VALUE!</v>
      </c>
      <c r="BO926" s="40"/>
      <c r="BP926" s="4"/>
      <c r="BQ926" s="62"/>
      <c r="BR926" s="4"/>
      <c r="BS926" s="57" t="e">
        <f t="shared" si="35"/>
        <v>#VALUE!</v>
      </c>
      <c r="BT926" s="63"/>
      <c r="BU926" s="8">
        <v>0</v>
      </c>
      <c r="BV926" s="58" t="e">
        <f>VLOOKUP(AQ926,'[1]Harga &amp; Nama CSO'!$A$28:$D$31,4,0)*BP926</f>
        <v>#N/A</v>
      </c>
    </row>
    <row r="927" spans="41:74" x14ac:dyDescent="0.35">
      <c r="AO927" s="39">
        <v>925</v>
      </c>
      <c r="AP927" s="63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55" t="e">
        <f>IFERROR(VLOOKUP(AQ927,'[1]Harga &amp; Nama CSO'!$H$2:$N$22,2,FALSE),"")*AV927</f>
        <v>#VALUE!</v>
      </c>
      <c r="BO927" s="40"/>
      <c r="BP927" s="4"/>
      <c r="BQ927" s="62"/>
      <c r="BR927" s="4"/>
      <c r="BS927" s="57" t="e">
        <f t="shared" si="35"/>
        <v>#VALUE!</v>
      </c>
      <c r="BT927" s="63"/>
      <c r="BU927" s="8">
        <v>0</v>
      </c>
      <c r="BV927" s="58" t="e">
        <f>VLOOKUP(AQ927,'[1]Harga &amp; Nama CSO'!$A$28:$D$31,4,0)*BP927</f>
        <v>#N/A</v>
      </c>
    </row>
    <row r="928" spans="41:74" x14ac:dyDescent="0.35">
      <c r="AO928" s="39">
        <v>926</v>
      </c>
      <c r="AP928" s="63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55" t="e">
        <f>IFERROR(VLOOKUP(AQ928,'[1]Harga &amp; Nama CSO'!$H$2:$N$22,2,FALSE),"")*AV928</f>
        <v>#VALUE!</v>
      </c>
      <c r="BO928" s="40"/>
      <c r="BP928" s="4"/>
      <c r="BQ928" s="62"/>
      <c r="BR928" s="4"/>
      <c r="BS928" s="57" t="e">
        <f t="shared" si="35"/>
        <v>#VALUE!</v>
      </c>
      <c r="BT928" s="63"/>
      <c r="BU928" s="8">
        <v>0</v>
      </c>
      <c r="BV928" s="58" t="e">
        <f>VLOOKUP(AQ928,'[1]Harga &amp; Nama CSO'!$A$28:$D$31,4,0)*BP928</f>
        <v>#N/A</v>
      </c>
    </row>
    <row r="929" spans="41:74" x14ac:dyDescent="0.35">
      <c r="AO929" s="39">
        <v>927</v>
      </c>
      <c r="AP929" s="63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55" t="e">
        <f>IFERROR(VLOOKUP(AQ929,'[1]Harga &amp; Nama CSO'!$H$2:$N$22,2,FALSE),"")*AV929</f>
        <v>#VALUE!</v>
      </c>
      <c r="BO929" s="40"/>
      <c r="BP929" s="4"/>
      <c r="BQ929" s="62"/>
      <c r="BR929" s="4"/>
      <c r="BS929" s="57" t="e">
        <f t="shared" si="35"/>
        <v>#VALUE!</v>
      </c>
      <c r="BT929" s="63"/>
      <c r="BU929" s="8">
        <v>0</v>
      </c>
      <c r="BV929" s="58" t="e">
        <f>VLOOKUP(AQ929,'[1]Harga &amp; Nama CSO'!$A$28:$D$31,4,0)*BP929</f>
        <v>#N/A</v>
      </c>
    </row>
    <row r="930" spans="41:74" x14ac:dyDescent="0.35">
      <c r="AO930" s="39">
        <v>928</v>
      </c>
      <c r="AP930" s="63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55" t="e">
        <f>IFERROR(VLOOKUP(AQ930,'[1]Harga &amp; Nama CSO'!$H$2:$N$22,2,FALSE),"")*AV930</f>
        <v>#VALUE!</v>
      </c>
      <c r="BO930" s="40"/>
      <c r="BP930" s="4"/>
      <c r="BQ930" s="62"/>
      <c r="BR930" s="4"/>
      <c r="BS930" s="57" t="e">
        <f t="shared" si="35"/>
        <v>#VALUE!</v>
      </c>
      <c r="BT930" s="63"/>
      <c r="BU930" s="8">
        <v>0</v>
      </c>
      <c r="BV930" s="58" t="e">
        <f>VLOOKUP(AQ930,'[1]Harga &amp; Nama CSO'!$A$28:$D$31,4,0)*BP930</f>
        <v>#N/A</v>
      </c>
    </row>
    <row r="931" spans="41:74" x14ac:dyDescent="0.35">
      <c r="AO931" s="39">
        <v>929</v>
      </c>
      <c r="AP931" s="63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55" t="e">
        <f>IFERROR(VLOOKUP(AQ931,'[1]Harga &amp; Nama CSO'!$H$2:$N$22,2,FALSE),"")*AV931</f>
        <v>#VALUE!</v>
      </c>
      <c r="BO931" s="40"/>
      <c r="BP931" s="4"/>
      <c r="BQ931" s="62"/>
      <c r="BR931" s="4"/>
      <c r="BS931" s="57" t="e">
        <f t="shared" si="35"/>
        <v>#VALUE!</v>
      </c>
      <c r="BT931" s="63"/>
      <c r="BU931" s="8">
        <v>0</v>
      </c>
      <c r="BV931" s="58" t="e">
        <f>VLOOKUP(AQ931,'[1]Harga &amp; Nama CSO'!$A$28:$D$31,4,0)*BP931</f>
        <v>#N/A</v>
      </c>
    </row>
    <row r="932" spans="41:74" x14ac:dyDescent="0.35">
      <c r="AO932" s="39">
        <v>930</v>
      </c>
      <c r="AP932" s="63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55" t="e">
        <f>IFERROR(VLOOKUP(AQ932,'[1]Harga &amp; Nama CSO'!$H$2:$N$22,2,FALSE),"")*AV932</f>
        <v>#VALUE!</v>
      </c>
      <c r="BO932" s="40"/>
      <c r="BP932" s="4"/>
      <c r="BQ932" s="62"/>
      <c r="BR932" s="4"/>
      <c r="BS932" s="57" t="e">
        <f t="shared" si="35"/>
        <v>#VALUE!</v>
      </c>
      <c r="BT932" s="63"/>
      <c r="BU932" s="8">
        <v>0</v>
      </c>
      <c r="BV932" s="58" t="e">
        <f>VLOOKUP(AQ932,'[1]Harga &amp; Nama CSO'!$A$28:$D$31,4,0)*BP932</f>
        <v>#N/A</v>
      </c>
    </row>
    <row r="933" spans="41:74" x14ac:dyDescent="0.35">
      <c r="AO933" s="39">
        <v>931</v>
      </c>
      <c r="AP933" s="63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55" t="e">
        <f>IFERROR(VLOOKUP(AQ933,'[1]Harga &amp; Nama CSO'!$H$2:$N$22,2,FALSE),"")*AV933</f>
        <v>#VALUE!</v>
      </c>
      <c r="BO933" s="40"/>
      <c r="BP933" s="4"/>
      <c r="BQ933" s="62"/>
      <c r="BR933" s="4"/>
      <c r="BS933" s="57" t="e">
        <f t="shared" si="35"/>
        <v>#VALUE!</v>
      </c>
      <c r="BT933" s="63"/>
      <c r="BU933" s="8">
        <v>0</v>
      </c>
      <c r="BV933" s="58" t="e">
        <f>VLOOKUP(AQ933,'[1]Harga &amp; Nama CSO'!$A$28:$D$31,4,0)*BP933</f>
        <v>#N/A</v>
      </c>
    </row>
    <row r="934" spans="41:74" x14ac:dyDescent="0.35">
      <c r="AO934" s="39">
        <v>932</v>
      </c>
      <c r="AP934" s="63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55" t="e">
        <f>IFERROR(VLOOKUP(AQ934,'[1]Harga &amp; Nama CSO'!$H$2:$N$22,2,FALSE),"")*AV934</f>
        <v>#VALUE!</v>
      </c>
      <c r="BO934" s="40"/>
      <c r="BP934" s="4"/>
      <c r="BQ934" s="62"/>
      <c r="BR934" s="4"/>
      <c r="BS934" s="57" t="e">
        <f t="shared" si="35"/>
        <v>#VALUE!</v>
      </c>
      <c r="BT934" s="63"/>
      <c r="BU934" s="8">
        <v>0</v>
      </c>
      <c r="BV934" s="58" t="e">
        <f>VLOOKUP(AQ934,'[1]Harga &amp; Nama CSO'!$A$28:$D$31,4,0)*BP934</f>
        <v>#N/A</v>
      </c>
    </row>
    <row r="935" spans="41:74" x14ac:dyDescent="0.35">
      <c r="AO935" s="39">
        <v>933</v>
      </c>
      <c r="AP935" s="63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55" t="e">
        <f>IFERROR(VLOOKUP(AQ935,'[1]Harga &amp; Nama CSO'!$H$2:$N$22,2,FALSE),"")*AV935</f>
        <v>#VALUE!</v>
      </c>
      <c r="BO935" s="40"/>
      <c r="BP935" s="4"/>
      <c r="BQ935" s="62"/>
      <c r="BR935" s="4"/>
      <c r="BS935" s="57" t="e">
        <f t="shared" si="35"/>
        <v>#VALUE!</v>
      </c>
      <c r="BT935" s="63"/>
      <c r="BU935" s="8">
        <v>0</v>
      </c>
      <c r="BV935" s="58" t="e">
        <f>VLOOKUP(AQ935,'[1]Harga &amp; Nama CSO'!$A$28:$D$31,4,0)*BP935</f>
        <v>#N/A</v>
      </c>
    </row>
    <row r="936" spans="41:74" x14ac:dyDescent="0.35">
      <c r="AO936" s="39">
        <v>934</v>
      </c>
      <c r="AP936" s="63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55" t="e">
        <f>IFERROR(VLOOKUP(AQ936,'[1]Harga &amp; Nama CSO'!$H$2:$N$22,2,FALSE),"")*AV936</f>
        <v>#VALUE!</v>
      </c>
      <c r="BO936" s="40"/>
      <c r="BP936" s="4"/>
      <c r="BQ936" s="62"/>
      <c r="BR936" s="4"/>
      <c r="BS936" s="57" t="e">
        <f t="shared" si="35"/>
        <v>#VALUE!</v>
      </c>
      <c r="BT936" s="63"/>
      <c r="BU936" s="8">
        <v>0</v>
      </c>
      <c r="BV936" s="58" t="e">
        <f>VLOOKUP(AQ936,'[1]Harga &amp; Nama CSO'!$A$28:$D$31,4,0)*BP936</f>
        <v>#N/A</v>
      </c>
    </row>
    <row r="937" spans="41:74" x14ac:dyDescent="0.35">
      <c r="AO937" s="39">
        <v>935</v>
      </c>
      <c r="AP937" s="63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55" t="e">
        <f>IFERROR(VLOOKUP(AQ937,'[1]Harga &amp; Nama CSO'!$H$2:$N$22,2,FALSE),"")*AV937</f>
        <v>#VALUE!</v>
      </c>
      <c r="BO937" s="40"/>
      <c r="BP937" s="4"/>
      <c r="BQ937" s="62"/>
      <c r="BR937" s="4"/>
      <c r="BS937" s="57" t="e">
        <f t="shared" si="35"/>
        <v>#VALUE!</v>
      </c>
      <c r="BT937" s="63"/>
      <c r="BU937" s="8">
        <v>0</v>
      </c>
      <c r="BV937" s="58" t="e">
        <f>VLOOKUP(AQ937,'[1]Harga &amp; Nama CSO'!$A$28:$D$31,4,0)*BP937</f>
        <v>#N/A</v>
      </c>
    </row>
    <row r="938" spans="41:74" x14ac:dyDescent="0.35">
      <c r="AO938" s="39">
        <v>936</v>
      </c>
      <c r="AP938" s="63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55" t="e">
        <f>IFERROR(VLOOKUP(AQ938,'[1]Harga &amp; Nama CSO'!$H$2:$N$22,2,FALSE),"")*AV938</f>
        <v>#VALUE!</v>
      </c>
      <c r="BO938" s="40"/>
      <c r="BP938" s="4"/>
      <c r="BQ938" s="62"/>
      <c r="BR938" s="4"/>
      <c r="BS938" s="57" t="e">
        <f t="shared" si="35"/>
        <v>#VALUE!</v>
      </c>
      <c r="BT938" s="63"/>
      <c r="BU938" s="8">
        <v>0</v>
      </c>
      <c r="BV938" s="58" t="e">
        <f>VLOOKUP(AQ938,'[1]Harga &amp; Nama CSO'!$A$28:$D$31,4,0)*BP938</f>
        <v>#N/A</v>
      </c>
    </row>
    <row r="939" spans="41:74" x14ac:dyDescent="0.35">
      <c r="AO939" s="39">
        <v>937</v>
      </c>
      <c r="AP939" s="63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55" t="e">
        <f>IFERROR(VLOOKUP(AQ939,'[1]Harga &amp; Nama CSO'!$H$2:$N$22,2,FALSE),"")*AV939</f>
        <v>#VALUE!</v>
      </c>
      <c r="BO939" s="40"/>
      <c r="BP939" s="4"/>
      <c r="BQ939" s="62"/>
      <c r="BR939" s="4"/>
      <c r="BS939" s="57" t="e">
        <f t="shared" si="35"/>
        <v>#VALUE!</v>
      </c>
      <c r="BT939" s="63"/>
      <c r="BU939" s="8">
        <v>0</v>
      </c>
      <c r="BV939" s="58" t="e">
        <f>VLOOKUP(AQ939,'[1]Harga &amp; Nama CSO'!$A$28:$D$31,4,0)*BP939</f>
        <v>#N/A</v>
      </c>
    </row>
    <row r="940" spans="41:74" x14ac:dyDescent="0.35">
      <c r="AO940" s="39">
        <v>938</v>
      </c>
      <c r="AP940" s="63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55" t="e">
        <f>IFERROR(VLOOKUP(AQ940,'[1]Harga &amp; Nama CSO'!$H$2:$N$22,2,FALSE),"")*AV940</f>
        <v>#VALUE!</v>
      </c>
      <c r="BO940" s="40"/>
      <c r="BP940" s="4"/>
      <c r="BQ940" s="62"/>
      <c r="BR940" s="4"/>
      <c r="BS940" s="57" t="e">
        <f t="shared" si="35"/>
        <v>#VALUE!</v>
      </c>
      <c r="BT940" s="63"/>
      <c r="BU940" s="8">
        <v>0</v>
      </c>
      <c r="BV940" s="58" t="e">
        <f>VLOOKUP(AQ940,'[1]Harga &amp; Nama CSO'!$A$28:$D$31,4,0)*BP940</f>
        <v>#N/A</v>
      </c>
    </row>
    <row r="941" spans="41:74" x14ac:dyDescent="0.35">
      <c r="AO941" s="39">
        <v>939</v>
      </c>
      <c r="AP941" s="63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55" t="e">
        <f>IFERROR(VLOOKUP(AQ941,'[1]Harga &amp; Nama CSO'!$H$2:$N$22,2,FALSE),"")*AV941</f>
        <v>#VALUE!</v>
      </c>
      <c r="BO941" s="40"/>
      <c r="BP941" s="4"/>
      <c r="BQ941" s="62"/>
      <c r="BR941" s="4"/>
      <c r="BS941" s="57" t="e">
        <f t="shared" si="35"/>
        <v>#VALUE!</v>
      </c>
      <c r="BT941" s="63"/>
      <c r="BU941" s="8">
        <v>0</v>
      </c>
      <c r="BV941" s="58" t="e">
        <f>VLOOKUP(AQ941,'[1]Harga &amp; Nama CSO'!$A$28:$D$31,4,0)*BP941</f>
        <v>#N/A</v>
      </c>
    </row>
    <row r="942" spans="41:74" x14ac:dyDescent="0.35">
      <c r="AO942" s="39">
        <v>940</v>
      </c>
      <c r="AP942" s="63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55" t="e">
        <f>IFERROR(VLOOKUP(AQ942,'[1]Harga &amp; Nama CSO'!$H$2:$N$22,2,FALSE),"")*AV942</f>
        <v>#VALUE!</v>
      </c>
      <c r="BO942" s="40"/>
      <c r="BP942" s="4"/>
      <c r="BQ942" s="62"/>
      <c r="BR942" s="4"/>
      <c r="BS942" s="57" t="e">
        <f t="shared" si="35"/>
        <v>#VALUE!</v>
      </c>
      <c r="BT942" s="63"/>
      <c r="BU942" s="8">
        <v>0</v>
      </c>
      <c r="BV942" s="58" t="e">
        <f>VLOOKUP(AQ942,'[1]Harga &amp; Nama CSO'!$A$28:$D$31,4,0)*BP942</f>
        <v>#N/A</v>
      </c>
    </row>
    <row r="943" spans="41:74" x14ac:dyDescent="0.35">
      <c r="AO943" s="39">
        <v>941</v>
      </c>
      <c r="AP943" s="63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55" t="e">
        <f>IFERROR(VLOOKUP(AQ943,'[1]Harga &amp; Nama CSO'!$H$2:$N$22,2,FALSE),"")*AV943</f>
        <v>#VALUE!</v>
      </c>
      <c r="BO943" s="40"/>
      <c r="BP943" s="4"/>
      <c r="BQ943" s="62"/>
      <c r="BR943" s="4"/>
      <c r="BS943" s="57" t="e">
        <f t="shared" si="35"/>
        <v>#VALUE!</v>
      </c>
      <c r="BT943" s="63"/>
      <c r="BU943" s="8">
        <v>0</v>
      </c>
      <c r="BV943" s="58" t="e">
        <f>VLOOKUP(AQ943,'[1]Harga &amp; Nama CSO'!$A$28:$D$31,4,0)*BP943</f>
        <v>#N/A</v>
      </c>
    </row>
    <row r="944" spans="41:74" x14ac:dyDescent="0.35">
      <c r="AO944" s="39">
        <v>942</v>
      </c>
      <c r="AP944" s="63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55" t="e">
        <f>IFERROR(VLOOKUP(AQ944,'[1]Harga &amp; Nama CSO'!$H$2:$N$22,2,FALSE),"")*AV944</f>
        <v>#VALUE!</v>
      </c>
      <c r="BO944" s="40"/>
      <c r="BP944" s="4"/>
      <c r="BQ944" s="62"/>
      <c r="BR944" s="4"/>
      <c r="BS944" s="57" t="e">
        <f t="shared" si="35"/>
        <v>#VALUE!</v>
      </c>
      <c r="BT944" s="63"/>
      <c r="BU944" s="8">
        <v>0</v>
      </c>
      <c r="BV944" s="58" t="e">
        <f>VLOOKUP(AQ944,'[1]Harga &amp; Nama CSO'!$A$28:$D$31,4,0)*BP944</f>
        <v>#N/A</v>
      </c>
    </row>
    <row r="945" spans="41:74" x14ac:dyDescent="0.35">
      <c r="AO945" s="39">
        <v>943</v>
      </c>
      <c r="AP945" s="63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55" t="e">
        <f>IFERROR(VLOOKUP(AQ945,'[1]Harga &amp; Nama CSO'!$H$2:$N$22,2,FALSE),"")*AV945</f>
        <v>#VALUE!</v>
      </c>
      <c r="BO945" s="40"/>
      <c r="BP945" s="4"/>
      <c r="BQ945" s="62"/>
      <c r="BR945" s="4"/>
      <c r="BS945" s="57" t="e">
        <f t="shared" si="35"/>
        <v>#VALUE!</v>
      </c>
      <c r="BT945" s="63"/>
      <c r="BU945" s="8">
        <v>0</v>
      </c>
      <c r="BV945" s="58" t="e">
        <f>VLOOKUP(AQ945,'[1]Harga &amp; Nama CSO'!$A$28:$D$31,4,0)*BP945</f>
        <v>#N/A</v>
      </c>
    </row>
    <row r="946" spans="41:74" x14ac:dyDescent="0.35">
      <c r="AO946" s="39">
        <v>944</v>
      </c>
      <c r="AP946" s="63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55" t="e">
        <f>IFERROR(VLOOKUP(AQ946,'[1]Harga &amp; Nama CSO'!$H$2:$N$22,2,FALSE),"")*AV946</f>
        <v>#VALUE!</v>
      </c>
      <c r="BO946" s="40"/>
      <c r="BP946" s="4"/>
      <c r="BQ946" s="62"/>
      <c r="BR946" s="4"/>
      <c r="BS946" s="57" t="e">
        <f t="shared" si="35"/>
        <v>#VALUE!</v>
      </c>
      <c r="BT946" s="63"/>
      <c r="BU946" s="8">
        <v>0</v>
      </c>
      <c r="BV946" s="58" t="e">
        <f>VLOOKUP(AQ946,'[1]Harga &amp; Nama CSO'!$A$28:$D$31,4,0)*BP946</f>
        <v>#N/A</v>
      </c>
    </row>
    <row r="947" spans="41:74" x14ac:dyDescent="0.35">
      <c r="AO947" s="39">
        <v>945</v>
      </c>
      <c r="AP947" s="63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55" t="e">
        <f>IFERROR(VLOOKUP(AQ947,'[1]Harga &amp; Nama CSO'!$H$2:$N$22,2,FALSE),"")*AV947</f>
        <v>#VALUE!</v>
      </c>
      <c r="BO947" s="40"/>
      <c r="BP947" s="4"/>
      <c r="BQ947" s="62"/>
      <c r="BR947" s="4"/>
      <c r="BS947" s="57" t="e">
        <f t="shared" si="35"/>
        <v>#VALUE!</v>
      </c>
      <c r="BT947" s="63"/>
      <c r="BU947" s="8">
        <v>0</v>
      </c>
      <c r="BV947" s="58" t="e">
        <f>VLOOKUP(AQ947,'[1]Harga &amp; Nama CSO'!$A$28:$D$31,4,0)*BP947</f>
        <v>#N/A</v>
      </c>
    </row>
    <row r="948" spans="41:74" x14ac:dyDescent="0.35">
      <c r="AO948" s="39">
        <v>946</v>
      </c>
      <c r="AP948" s="63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55" t="e">
        <f>IFERROR(VLOOKUP(AQ948,'[1]Harga &amp; Nama CSO'!$H$2:$N$22,2,FALSE),"")*AV948</f>
        <v>#VALUE!</v>
      </c>
      <c r="BO948" s="40"/>
      <c r="BP948" s="4"/>
      <c r="BQ948" s="62"/>
      <c r="BR948" s="4"/>
      <c r="BS948" s="57" t="e">
        <f t="shared" si="35"/>
        <v>#VALUE!</v>
      </c>
      <c r="BT948" s="63"/>
      <c r="BU948" s="8">
        <v>0</v>
      </c>
      <c r="BV948" s="58" t="e">
        <f>VLOOKUP(AQ948,'[1]Harga &amp; Nama CSO'!$A$28:$D$31,4,0)*BP948</f>
        <v>#N/A</v>
      </c>
    </row>
    <row r="949" spans="41:74" x14ac:dyDescent="0.35">
      <c r="AO949" s="39">
        <v>947</v>
      </c>
      <c r="AP949" s="63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55" t="e">
        <f>IFERROR(VLOOKUP(AQ949,'[1]Harga &amp; Nama CSO'!$H$2:$N$22,2,FALSE),"")*AV949</f>
        <v>#VALUE!</v>
      </c>
      <c r="BO949" s="40"/>
      <c r="BP949" s="4"/>
      <c r="BQ949" s="62"/>
      <c r="BR949" s="4"/>
      <c r="BS949" s="57" t="e">
        <f t="shared" si="35"/>
        <v>#VALUE!</v>
      </c>
      <c r="BT949" s="63"/>
      <c r="BU949" s="8">
        <v>0</v>
      </c>
      <c r="BV949" s="58" t="e">
        <f>VLOOKUP(AQ949,'[1]Harga &amp; Nama CSO'!$A$28:$D$31,4,0)*BP949</f>
        <v>#N/A</v>
      </c>
    </row>
    <row r="950" spans="41:74" x14ac:dyDescent="0.35">
      <c r="AO950" s="39">
        <v>948</v>
      </c>
      <c r="AP950" s="63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55" t="e">
        <f>IFERROR(VLOOKUP(AQ950,'[1]Harga &amp; Nama CSO'!$H$2:$N$22,2,FALSE),"")*AV950</f>
        <v>#VALUE!</v>
      </c>
      <c r="BO950" s="40"/>
      <c r="BP950" s="4"/>
      <c r="BQ950" s="62"/>
      <c r="BR950" s="4"/>
      <c r="BS950" s="57" t="e">
        <f t="shared" si="35"/>
        <v>#VALUE!</v>
      </c>
      <c r="BT950" s="63"/>
      <c r="BU950" s="8">
        <v>0</v>
      </c>
      <c r="BV950" s="58" t="e">
        <f>VLOOKUP(AQ950,'[1]Harga &amp; Nama CSO'!$A$28:$D$31,4,0)*BP950</f>
        <v>#N/A</v>
      </c>
    </row>
    <row r="951" spans="41:74" x14ac:dyDescent="0.35">
      <c r="AO951" s="39">
        <v>949</v>
      </c>
      <c r="AP951" s="63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55" t="e">
        <f>IFERROR(VLOOKUP(AQ951,'[1]Harga &amp; Nama CSO'!$H$2:$N$22,2,FALSE),"")*AV951</f>
        <v>#VALUE!</v>
      </c>
      <c r="BO951" s="40"/>
      <c r="BP951" s="4"/>
      <c r="BQ951" s="62"/>
      <c r="BR951" s="4"/>
      <c r="BS951" s="57" t="e">
        <f t="shared" si="35"/>
        <v>#VALUE!</v>
      </c>
      <c r="BT951" s="63"/>
      <c r="BU951" s="8">
        <v>0</v>
      </c>
      <c r="BV951" s="58" t="e">
        <f>VLOOKUP(AQ951,'[1]Harga &amp; Nama CSO'!$A$28:$D$31,4,0)*BP951</f>
        <v>#N/A</v>
      </c>
    </row>
    <row r="952" spans="41:74" x14ac:dyDescent="0.35">
      <c r="AO952" s="39">
        <v>950</v>
      </c>
      <c r="AP952" s="63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55" t="e">
        <f>IFERROR(VLOOKUP(AQ952,'[1]Harga &amp; Nama CSO'!$H$2:$N$22,2,FALSE),"")*AV952</f>
        <v>#VALUE!</v>
      </c>
      <c r="BO952" s="40"/>
      <c r="BP952" s="4"/>
      <c r="BQ952" s="62"/>
      <c r="BR952" s="4"/>
      <c r="BS952" s="57" t="e">
        <f t="shared" si="35"/>
        <v>#VALUE!</v>
      </c>
      <c r="BT952" s="63"/>
      <c r="BU952" s="8">
        <v>0</v>
      </c>
      <c r="BV952" s="58" t="e">
        <f>VLOOKUP(AQ952,'[1]Harga &amp; Nama CSO'!$A$28:$D$31,4,0)*BP952</f>
        <v>#N/A</v>
      </c>
    </row>
    <row r="953" spans="41:74" x14ac:dyDescent="0.35">
      <c r="AO953" s="39">
        <v>951</v>
      </c>
      <c r="AP953" s="63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55" t="e">
        <f>IFERROR(VLOOKUP(AQ953,'[1]Harga &amp; Nama CSO'!$H$2:$N$22,2,FALSE),"")*AV953</f>
        <v>#VALUE!</v>
      </c>
      <c r="BO953" s="40"/>
      <c r="BP953" s="4"/>
      <c r="BQ953" s="62"/>
      <c r="BR953" s="4"/>
      <c r="BS953" s="57" t="e">
        <f t="shared" si="35"/>
        <v>#VALUE!</v>
      </c>
      <c r="BT953" s="63"/>
      <c r="BU953" s="8">
        <v>0</v>
      </c>
      <c r="BV953" s="58" t="e">
        <f>VLOOKUP(AQ953,'[1]Harga &amp; Nama CSO'!$A$28:$D$31,4,0)*BP953</f>
        <v>#N/A</v>
      </c>
    </row>
    <row r="954" spans="41:74" x14ac:dyDescent="0.35">
      <c r="AO954" s="39">
        <v>952</v>
      </c>
      <c r="AP954" s="63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55" t="e">
        <f>IFERROR(VLOOKUP(AQ954,'[1]Harga &amp; Nama CSO'!$H$2:$N$22,2,FALSE),"")*AV954</f>
        <v>#VALUE!</v>
      </c>
      <c r="BO954" s="40"/>
      <c r="BP954" s="4"/>
      <c r="BQ954" s="62"/>
      <c r="BR954" s="4"/>
      <c r="BS954" s="57" t="e">
        <f t="shared" si="35"/>
        <v>#VALUE!</v>
      </c>
      <c r="BT954" s="63"/>
      <c r="BU954" s="8">
        <v>0</v>
      </c>
      <c r="BV954" s="58" t="e">
        <f>VLOOKUP(AQ954,'[1]Harga &amp; Nama CSO'!$A$28:$D$31,4,0)*BP954</f>
        <v>#N/A</v>
      </c>
    </row>
    <row r="955" spans="41:74" x14ac:dyDescent="0.35">
      <c r="AO955" s="39">
        <v>953</v>
      </c>
      <c r="AP955" s="63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55" t="e">
        <f>IFERROR(VLOOKUP(AQ955,'[1]Harga &amp; Nama CSO'!$H$2:$N$22,2,FALSE),"")*AV955</f>
        <v>#VALUE!</v>
      </c>
      <c r="BO955" s="40"/>
      <c r="BP955" s="4"/>
      <c r="BQ955" s="62"/>
      <c r="BR955" s="4"/>
      <c r="BS955" s="57" t="e">
        <f t="shared" si="35"/>
        <v>#VALUE!</v>
      </c>
      <c r="BT955" s="63"/>
      <c r="BU955" s="8">
        <v>0</v>
      </c>
      <c r="BV955" s="58" t="e">
        <f>VLOOKUP(AQ955,'[1]Harga &amp; Nama CSO'!$A$28:$D$31,4,0)*BP955</f>
        <v>#N/A</v>
      </c>
    </row>
    <row r="956" spans="41:74" x14ac:dyDescent="0.35">
      <c r="AO956" s="39">
        <v>954</v>
      </c>
      <c r="AP956" s="63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55" t="e">
        <f>IFERROR(VLOOKUP(AQ956,'[1]Harga &amp; Nama CSO'!$H$2:$N$22,2,FALSE),"")*AV956</f>
        <v>#VALUE!</v>
      </c>
      <c r="BO956" s="40"/>
      <c r="BP956" s="4"/>
      <c r="BQ956" s="62"/>
      <c r="BR956" s="4"/>
      <c r="BS956" s="57" t="e">
        <f t="shared" si="35"/>
        <v>#VALUE!</v>
      </c>
      <c r="BT956" s="63"/>
      <c r="BU956" s="8">
        <v>0</v>
      </c>
      <c r="BV956" s="58" t="e">
        <f>VLOOKUP(AQ956,'[1]Harga &amp; Nama CSO'!$A$28:$D$31,4,0)*BP956</f>
        <v>#N/A</v>
      </c>
    </row>
    <row r="957" spans="41:74" x14ac:dyDescent="0.35">
      <c r="AO957" s="39">
        <v>955</v>
      </c>
      <c r="AP957" s="63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55" t="e">
        <f>IFERROR(VLOOKUP(AQ957,'[1]Harga &amp; Nama CSO'!$H$2:$N$22,2,FALSE),"")*AV957</f>
        <v>#VALUE!</v>
      </c>
      <c r="BO957" s="40"/>
      <c r="BP957" s="4"/>
      <c r="BQ957" s="62"/>
      <c r="BR957" s="4"/>
      <c r="BS957" s="57" t="e">
        <f t="shared" si="35"/>
        <v>#VALUE!</v>
      </c>
      <c r="BT957" s="63"/>
      <c r="BU957" s="8">
        <v>0</v>
      </c>
      <c r="BV957" s="58" t="e">
        <f>VLOOKUP(AQ957,'[1]Harga &amp; Nama CSO'!$A$28:$D$31,4,0)*BP957</f>
        <v>#N/A</v>
      </c>
    </row>
    <row r="958" spans="41:74" x14ac:dyDescent="0.35">
      <c r="AO958" s="39">
        <v>956</v>
      </c>
      <c r="AP958" s="63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55" t="e">
        <f>IFERROR(VLOOKUP(AQ958,'[1]Harga &amp; Nama CSO'!$H$2:$N$22,2,FALSE),"")*AV958</f>
        <v>#VALUE!</v>
      </c>
      <c r="BO958" s="40"/>
      <c r="BP958" s="4"/>
      <c r="BQ958" s="62"/>
      <c r="BR958" s="4"/>
      <c r="BS958" s="57" t="e">
        <f t="shared" si="35"/>
        <v>#VALUE!</v>
      </c>
      <c r="BT958" s="63"/>
      <c r="BU958" s="8">
        <v>0</v>
      </c>
      <c r="BV958" s="58" t="e">
        <f>VLOOKUP(AQ958,'[1]Harga &amp; Nama CSO'!$A$28:$D$31,4,0)*BP958</f>
        <v>#N/A</v>
      </c>
    </row>
    <row r="959" spans="41:74" x14ac:dyDescent="0.35">
      <c r="AO959" s="39">
        <v>957</v>
      </c>
      <c r="AP959" s="63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55" t="e">
        <f>IFERROR(VLOOKUP(AQ959,'[1]Harga &amp; Nama CSO'!$H$2:$N$22,2,FALSE),"")*AV959</f>
        <v>#VALUE!</v>
      </c>
      <c r="BO959" s="40"/>
      <c r="BP959" s="4"/>
      <c r="BQ959" s="62"/>
      <c r="BR959" s="4"/>
      <c r="BS959" s="57" t="e">
        <f t="shared" si="35"/>
        <v>#VALUE!</v>
      </c>
      <c r="BT959" s="63"/>
      <c r="BU959" s="8">
        <v>0</v>
      </c>
      <c r="BV959" s="58" t="e">
        <f>VLOOKUP(AQ959,'[1]Harga &amp; Nama CSO'!$A$28:$D$31,4,0)*BP959</f>
        <v>#N/A</v>
      </c>
    </row>
    <row r="960" spans="41:74" x14ac:dyDescent="0.35">
      <c r="AO960" s="39">
        <v>958</v>
      </c>
      <c r="AP960" s="63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55" t="e">
        <f>IFERROR(VLOOKUP(AQ960,'[1]Harga &amp; Nama CSO'!$H$2:$N$22,2,FALSE),"")*AV960</f>
        <v>#VALUE!</v>
      </c>
      <c r="BO960" s="40"/>
      <c r="BP960" s="4"/>
      <c r="BQ960" s="62"/>
      <c r="BR960" s="4"/>
      <c r="BS960" s="57" t="e">
        <f t="shared" si="35"/>
        <v>#VALUE!</v>
      </c>
      <c r="BT960" s="63"/>
      <c r="BU960" s="8">
        <v>0</v>
      </c>
      <c r="BV960" s="58" t="e">
        <f>VLOOKUP(AQ960,'[1]Harga &amp; Nama CSO'!$A$28:$D$31,4,0)*BP960</f>
        <v>#N/A</v>
      </c>
    </row>
    <row r="961" spans="41:74" x14ac:dyDescent="0.35">
      <c r="AO961" s="39">
        <v>959</v>
      </c>
      <c r="AP961" s="63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55" t="e">
        <f>IFERROR(VLOOKUP(AQ961,'[1]Harga &amp; Nama CSO'!$H$2:$N$22,2,FALSE),"")*AV961</f>
        <v>#VALUE!</v>
      </c>
      <c r="BO961" s="40"/>
      <c r="BP961" s="4"/>
      <c r="BQ961" s="62"/>
      <c r="BR961" s="4"/>
      <c r="BS961" s="57" t="e">
        <f t="shared" si="35"/>
        <v>#VALUE!</v>
      </c>
      <c r="BT961" s="63"/>
      <c r="BU961" s="8">
        <v>0</v>
      </c>
      <c r="BV961" s="58" t="e">
        <f>VLOOKUP(AQ961,'[1]Harga &amp; Nama CSO'!$A$28:$D$31,4,0)*BP961</f>
        <v>#N/A</v>
      </c>
    </row>
    <row r="962" spans="41:74" x14ac:dyDescent="0.35">
      <c r="AO962" s="39">
        <v>960</v>
      </c>
      <c r="AP962" s="63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55" t="e">
        <f>IFERROR(VLOOKUP(AQ962,'[1]Harga &amp; Nama CSO'!$H$2:$N$22,2,FALSE),"")*AV962</f>
        <v>#VALUE!</v>
      </c>
      <c r="BO962" s="40"/>
      <c r="BP962" s="4"/>
      <c r="BQ962" s="62"/>
      <c r="BR962" s="4"/>
      <c r="BS962" s="57" t="e">
        <f t="shared" si="35"/>
        <v>#VALUE!</v>
      </c>
      <c r="BT962" s="63"/>
      <c r="BU962" s="8">
        <v>0</v>
      </c>
      <c r="BV962" s="58" t="e">
        <f>VLOOKUP(AQ962,'[1]Harga &amp; Nama CSO'!$A$28:$D$31,4,0)*BP962</f>
        <v>#N/A</v>
      </c>
    </row>
    <row r="963" spans="41:74" x14ac:dyDescent="0.35">
      <c r="AO963" s="39">
        <v>961</v>
      </c>
      <c r="AP963" s="63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55" t="e">
        <f>IFERROR(VLOOKUP(AQ963,'[1]Harga &amp; Nama CSO'!$H$2:$N$22,2,FALSE),"")*AV963</f>
        <v>#VALUE!</v>
      </c>
      <c r="BO963" s="40"/>
      <c r="BP963" s="4"/>
      <c r="BQ963" s="62"/>
      <c r="BR963" s="4"/>
      <c r="BS963" s="57" t="e">
        <f t="shared" ref="BS963:BS1026" si="36">BN963-BQ963</f>
        <v>#VALUE!</v>
      </c>
      <c r="BT963" s="63"/>
      <c r="BU963" s="8">
        <v>0</v>
      </c>
      <c r="BV963" s="58" t="e">
        <f>VLOOKUP(AQ963,'[1]Harga &amp; Nama CSO'!$A$28:$D$31,4,0)*BP963</f>
        <v>#N/A</v>
      </c>
    </row>
    <row r="964" spans="41:74" x14ac:dyDescent="0.35">
      <c r="AO964" s="39">
        <v>962</v>
      </c>
      <c r="AP964" s="63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55" t="e">
        <f>IFERROR(VLOOKUP(AQ964,'[1]Harga &amp; Nama CSO'!$H$2:$N$22,2,FALSE),"")*AV964</f>
        <v>#VALUE!</v>
      </c>
      <c r="BO964" s="40"/>
      <c r="BP964" s="4"/>
      <c r="BQ964" s="62"/>
      <c r="BR964" s="4"/>
      <c r="BS964" s="57" t="e">
        <f t="shared" si="36"/>
        <v>#VALUE!</v>
      </c>
      <c r="BT964" s="63"/>
      <c r="BU964" s="8">
        <v>0</v>
      </c>
      <c r="BV964" s="58" t="e">
        <f>VLOOKUP(AQ964,'[1]Harga &amp; Nama CSO'!$A$28:$D$31,4,0)*BP964</f>
        <v>#N/A</v>
      </c>
    </row>
    <row r="965" spans="41:74" x14ac:dyDescent="0.35">
      <c r="AO965" s="39">
        <v>963</v>
      </c>
      <c r="AP965" s="63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55" t="e">
        <f>IFERROR(VLOOKUP(AQ965,'[1]Harga &amp; Nama CSO'!$H$2:$N$22,2,FALSE),"")*AV965</f>
        <v>#VALUE!</v>
      </c>
      <c r="BO965" s="40"/>
      <c r="BP965" s="4"/>
      <c r="BQ965" s="62"/>
      <c r="BR965" s="4"/>
      <c r="BS965" s="57" t="e">
        <f t="shared" si="36"/>
        <v>#VALUE!</v>
      </c>
      <c r="BT965" s="63"/>
      <c r="BU965" s="8">
        <v>0</v>
      </c>
      <c r="BV965" s="58" t="e">
        <f>VLOOKUP(AQ965,'[1]Harga &amp; Nama CSO'!$A$28:$D$31,4,0)*BP965</f>
        <v>#N/A</v>
      </c>
    </row>
    <row r="966" spans="41:74" x14ac:dyDescent="0.35">
      <c r="AO966" s="39">
        <v>964</v>
      </c>
      <c r="AP966" s="63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55" t="e">
        <f>IFERROR(VLOOKUP(AQ966,'[1]Harga &amp; Nama CSO'!$H$2:$N$22,2,FALSE),"")*AV966</f>
        <v>#VALUE!</v>
      </c>
      <c r="BO966" s="40"/>
      <c r="BP966" s="4"/>
      <c r="BQ966" s="62"/>
      <c r="BR966" s="4"/>
      <c r="BS966" s="57" t="e">
        <f t="shared" si="36"/>
        <v>#VALUE!</v>
      </c>
      <c r="BT966" s="63"/>
      <c r="BU966" s="8">
        <v>0</v>
      </c>
      <c r="BV966" s="58" t="e">
        <f>VLOOKUP(AQ966,'[1]Harga &amp; Nama CSO'!$A$28:$D$31,4,0)*BP966</f>
        <v>#N/A</v>
      </c>
    </row>
    <row r="967" spans="41:74" x14ac:dyDescent="0.35">
      <c r="AO967" s="39">
        <v>965</v>
      </c>
      <c r="AP967" s="63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55" t="e">
        <f>IFERROR(VLOOKUP(AQ967,'[1]Harga &amp; Nama CSO'!$H$2:$N$22,2,FALSE),"")*AV967</f>
        <v>#VALUE!</v>
      </c>
      <c r="BO967" s="40"/>
      <c r="BP967" s="4"/>
      <c r="BQ967" s="62"/>
      <c r="BR967" s="4"/>
      <c r="BS967" s="57" t="e">
        <f t="shared" si="36"/>
        <v>#VALUE!</v>
      </c>
      <c r="BT967" s="63"/>
      <c r="BU967" s="8">
        <v>0</v>
      </c>
      <c r="BV967" s="58" t="e">
        <f>VLOOKUP(AQ967,'[1]Harga &amp; Nama CSO'!$A$28:$D$31,4,0)*BP967</f>
        <v>#N/A</v>
      </c>
    </row>
    <row r="968" spans="41:74" x14ac:dyDescent="0.35">
      <c r="AO968" s="39">
        <v>966</v>
      </c>
      <c r="AP968" s="63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55" t="e">
        <f>IFERROR(VLOOKUP(AQ968,'[1]Harga &amp; Nama CSO'!$H$2:$N$22,2,FALSE),"")*AV968</f>
        <v>#VALUE!</v>
      </c>
      <c r="BO968" s="40"/>
      <c r="BP968" s="4"/>
      <c r="BQ968" s="62"/>
      <c r="BR968" s="4"/>
      <c r="BS968" s="57" t="e">
        <f t="shared" si="36"/>
        <v>#VALUE!</v>
      </c>
      <c r="BT968" s="63"/>
      <c r="BU968" s="8">
        <v>0</v>
      </c>
      <c r="BV968" s="58" t="e">
        <f>VLOOKUP(AQ968,'[1]Harga &amp; Nama CSO'!$A$28:$D$31,4,0)*BP968</f>
        <v>#N/A</v>
      </c>
    </row>
    <row r="969" spans="41:74" x14ac:dyDescent="0.35">
      <c r="AO969" s="39">
        <v>967</v>
      </c>
      <c r="AP969" s="63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55" t="e">
        <f>IFERROR(VLOOKUP(AQ969,'[1]Harga &amp; Nama CSO'!$H$2:$N$22,2,FALSE),"")*AV969</f>
        <v>#VALUE!</v>
      </c>
      <c r="BO969" s="40"/>
      <c r="BP969" s="4"/>
      <c r="BQ969" s="62"/>
      <c r="BR969" s="4"/>
      <c r="BS969" s="57" t="e">
        <f t="shared" si="36"/>
        <v>#VALUE!</v>
      </c>
      <c r="BT969" s="63"/>
      <c r="BU969" s="8">
        <v>0</v>
      </c>
      <c r="BV969" s="58" t="e">
        <f>VLOOKUP(AQ969,'[1]Harga &amp; Nama CSO'!$A$28:$D$31,4,0)*BP969</f>
        <v>#N/A</v>
      </c>
    </row>
    <row r="970" spans="41:74" x14ac:dyDescent="0.35">
      <c r="AO970" s="39">
        <v>968</v>
      </c>
      <c r="AP970" s="63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55" t="e">
        <f>IFERROR(VLOOKUP(AQ970,'[1]Harga &amp; Nama CSO'!$H$2:$N$22,2,FALSE),"")*AV970</f>
        <v>#VALUE!</v>
      </c>
      <c r="BO970" s="40"/>
      <c r="BP970" s="4"/>
      <c r="BQ970" s="62"/>
      <c r="BR970" s="4"/>
      <c r="BS970" s="57" t="e">
        <f t="shared" si="36"/>
        <v>#VALUE!</v>
      </c>
      <c r="BT970" s="63"/>
      <c r="BU970" s="8">
        <v>0</v>
      </c>
      <c r="BV970" s="58" t="e">
        <f>VLOOKUP(AQ970,'[1]Harga &amp; Nama CSO'!$A$28:$D$31,4,0)*BP970</f>
        <v>#N/A</v>
      </c>
    </row>
    <row r="971" spans="41:74" x14ac:dyDescent="0.35">
      <c r="AO971" s="39">
        <v>969</v>
      </c>
      <c r="AP971" s="63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55" t="e">
        <f>IFERROR(VLOOKUP(AQ971,'[1]Harga &amp; Nama CSO'!$H$2:$N$22,2,FALSE),"")*AV971</f>
        <v>#VALUE!</v>
      </c>
      <c r="BO971" s="40"/>
      <c r="BP971" s="4"/>
      <c r="BQ971" s="62"/>
      <c r="BR971" s="4"/>
      <c r="BS971" s="57" t="e">
        <f t="shared" si="36"/>
        <v>#VALUE!</v>
      </c>
      <c r="BT971" s="63"/>
      <c r="BU971" s="8">
        <v>0</v>
      </c>
      <c r="BV971" s="58" t="e">
        <f>VLOOKUP(AQ971,'[1]Harga &amp; Nama CSO'!$A$28:$D$31,4,0)*BP971</f>
        <v>#N/A</v>
      </c>
    </row>
    <row r="972" spans="41:74" x14ac:dyDescent="0.35">
      <c r="AO972" s="39">
        <v>970</v>
      </c>
      <c r="AP972" s="63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55" t="e">
        <f>IFERROR(VLOOKUP(AQ972,'[1]Harga &amp; Nama CSO'!$H$2:$N$22,2,FALSE),"")*AV972</f>
        <v>#VALUE!</v>
      </c>
      <c r="BO972" s="40"/>
      <c r="BP972" s="4"/>
      <c r="BQ972" s="62"/>
      <c r="BR972" s="4"/>
      <c r="BS972" s="57" t="e">
        <f t="shared" si="36"/>
        <v>#VALUE!</v>
      </c>
      <c r="BT972" s="63"/>
      <c r="BU972" s="8">
        <v>0</v>
      </c>
      <c r="BV972" s="58" t="e">
        <f>VLOOKUP(AQ972,'[1]Harga &amp; Nama CSO'!$A$28:$D$31,4,0)*BP972</f>
        <v>#N/A</v>
      </c>
    </row>
    <row r="973" spans="41:74" x14ac:dyDescent="0.35">
      <c r="AO973" s="39">
        <v>971</v>
      </c>
      <c r="AP973" s="63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55" t="e">
        <f>IFERROR(VLOOKUP(AQ973,'[1]Harga &amp; Nama CSO'!$H$2:$N$22,2,FALSE),"")*AV973</f>
        <v>#VALUE!</v>
      </c>
      <c r="BO973" s="40"/>
      <c r="BP973" s="4"/>
      <c r="BQ973" s="62"/>
      <c r="BR973" s="4"/>
      <c r="BS973" s="57" t="e">
        <f t="shared" si="36"/>
        <v>#VALUE!</v>
      </c>
      <c r="BT973" s="63"/>
      <c r="BU973" s="8">
        <v>0</v>
      </c>
      <c r="BV973" s="58" t="e">
        <f>VLOOKUP(AQ973,'[1]Harga &amp; Nama CSO'!$A$28:$D$31,4,0)*BP973</f>
        <v>#N/A</v>
      </c>
    </row>
    <row r="974" spans="41:74" x14ac:dyDescent="0.35">
      <c r="AO974" s="39">
        <v>972</v>
      </c>
      <c r="AP974" s="63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55" t="e">
        <f>IFERROR(VLOOKUP(AQ974,'[1]Harga &amp; Nama CSO'!$H$2:$N$22,2,FALSE),"")*AV974</f>
        <v>#VALUE!</v>
      </c>
      <c r="BO974" s="40"/>
      <c r="BP974" s="4"/>
      <c r="BQ974" s="62"/>
      <c r="BR974" s="4"/>
      <c r="BS974" s="57" t="e">
        <f t="shared" si="36"/>
        <v>#VALUE!</v>
      </c>
      <c r="BT974" s="63"/>
      <c r="BU974" s="8">
        <v>0</v>
      </c>
      <c r="BV974" s="58" t="e">
        <f>VLOOKUP(AQ974,'[1]Harga &amp; Nama CSO'!$A$28:$D$31,4,0)*BP974</f>
        <v>#N/A</v>
      </c>
    </row>
    <row r="975" spans="41:74" x14ac:dyDescent="0.35">
      <c r="AO975" s="39">
        <v>973</v>
      </c>
      <c r="AP975" s="63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55" t="e">
        <f>IFERROR(VLOOKUP(AQ975,'[1]Harga &amp; Nama CSO'!$H$2:$N$22,2,FALSE),"")*AV975</f>
        <v>#VALUE!</v>
      </c>
      <c r="BO975" s="40"/>
      <c r="BP975" s="4"/>
      <c r="BQ975" s="62"/>
      <c r="BR975" s="4"/>
      <c r="BS975" s="57" t="e">
        <f t="shared" si="36"/>
        <v>#VALUE!</v>
      </c>
      <c r="BT975" s="63"/>
      <c r="BU975" s="8">
        <v>0</v>
      </c>
      <c r="BV975" s="58" t="e">
        <f>VLOOKUP(AQ975,'[1]Harga &amp; Nama CSO'!$A$28:$D$31,4,0)*BP975</f>
        <v>#N/A</v>
      </c>
    </row>
    <row r="976" spans="41:74" x14ac:dyDescent="0.35">
      <c r="AO976" s="39">
        <v>974</v>
      </c>
      <c r="AP976" s="63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55" t="e">
        <f>IFERROR(VLOOKUP(AQ976,'[1]Harga &amp; Nama CSO'!$H$2:$N$22,2,FALSE),"")*AV976</f>
        <v>#VALUE!</v>
      </c>
      <c r="BO976" s="40"/>
      <c r="BP976" s="4"/>
      <c r="BQ976" s="62"/>
      <c r="BR976" s="4"/>
      <c r="BS976" s="57" t="e">
        <f t="shared" si="36"/>
        <v>#VALUE!</v>
      </c>
      <c r="BT976" s="63"/>
      <c r="BU976" s="8">
        <v>0</v>
      </c>
      <c r="BV976" s="58" t="e">
        <f>VLOOKUP(AQ976,'[1]Harga &amp; Nama CSO'!$A$28:$D$31,4,0)*BP976</f>
        <v>#N/A</v>
      </c>
    </row>
    <row r="977" spans="41:74" x14ac:dyDescent="0.35">
      <c r="AO977" s="39">
        <v>975</v>
      </c>
      <c r="AP977" s="63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55" t="e">
        <f>IFERROR(VLOOKUP(AQ977,'[1]Harga &amp; Nama CSO'!$H$2:$N$22,2,FALSE),"")*AV977</f>
        <v>#VALUE!</v>
      </c>
      <c r="BO977" s="40"/>
      <c r="BP977" s="4"/>
      <c r="BQ977" s="62"/>
      <c r="BR977" s="4"/>
      <c r="BS977" s="57" t="e">
        <f t="shared" si="36"/>
        <v>#VALUE!</v>
      </c>
      <c r="BT977" s="63"/>
      <c r="BU977" s="8">
        <v>0</v>
      </c>
      <c r="BV977" s="58" t="e">
        <f>VLOOKUP(AQ977,'[1]Harga &amp; Nama CSO'!$A$28:$D$31,4,0)*BP977</f>
        <v>#N/A</v>
      </c>
    </row>
    <row r="978" spans="41:74" x14ac:dyDescent="0.35">
      <c r="AO978" s="39">
        <v>976</v>
      </c>
      <c r="AP978" s="63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55" t="e">
        <f>IFERROR(VLOOKUP(AQ978,'[1]Harga &amp; Nama CSO'!$H$2:$N$22,2,FALSE),"")*AV978</f>
        <v>#VALUE!</v>
      </c>
      <c r="BO978" s="40"/>
      <c r="BP978" s="4"/>
      <c r="BQ978" s="62"/>
      <c r="BR978" s="4"/>
      <c r="BS978" s="57" t="e">
        <f t="shared" si="36"/>
        <v>#VALUE!</v>
      </c>
      <c r="BT978" s="63"/>
      <c r="BU978" s="8">
        <v>0</v>
      </c>
      <c r="BV978" s="58" t="e">
        <f>VLOOKUP(AQ978,'[1]Harga &amp; Nama CSO'!$A$28:$D$31,4,0)*BP978</f>
        <v>#N/A</v>
      </c>
    </row>
    <row r="979" spans="41:74" x14ac:dyDescent="0.35">
      <c r="AO979" s="39">
        <v>977</v>
      </c>
      <c r="AP979" s="63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55" t="e">
        <f>IFERROR(VLOOKUP(AQ979,'[1]Harga &amp; Nama CSO'!$H$2:$N$22,2,FALSE),"")*AV979</f>
        <v>#VALUE!</v>
      </c>
      <c r="BO979" s="40"/>
      <c r="BP979" s="4"/>
      <c r="BQ979" s="62"/>
      <c r="BR979" s="4"/>
      <c r="BS979" s="57" t="e">
        <f t="shared" si="36"/>
        <v>#VALUE!</v>
      </c>
      <c r="BT979" s="63"/>
      <c r="BU979" s="8">
        <v>0</v>
      </c>
      <c r="BV979" s="58" t="e">
        <f>VLOOKUP(AQ979,'[1]Harga &amp; Nama CSO'!$A$28:$D$31,4,0)*BP979</f>
        <v>#N/A</v>
      </c>
    </row>
    <row r="980" spans="41:74" x14ac:dyDescent="0.35">
      <c r="AO980" s="39">
        <v>978</v>
      </c>
      <c r="AP980" s="63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55" t="e">
        <f>IFERROR(VLOOKUP(AQ980,'[1]Harga &amp; Nama CSO'!$H$2:$N$22,2,FALSE),"")*AV980</f>
        <v>#VALUE!</v>
      </c>
      <c r="BO980" s="40"/>
      <c r="BP980" s="4"/>
      <c r="BQ980" s="62"/>
      <c r="BR980" s="4"/>
      <c r="BS980" s="57" t="e">
        <f t="shared" si="36"/>
        <v>#VALUE!</v>
      </c>
      <c r="BT980" s="63"/>
      <c r="BU980" s="8">
        <v>0</v>
      </c>
      <c r="BV980" s="58" t="e">
        <f>VLOOKUP(AQ980,'[1]Harga &amp; Nama CSO'!$A$28:$D$31,4,0)*BP980</f>
        <v>#N/A</v>
      </c>
    </row>
    <row r="981" spans="41:74" x14ac:dyDescent="0.35">
      <c r="AO981" s="39">
        <v>979</v>
      </c>
      <c r="AP981" s="63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55" t="e">
        <f>IFERROR(VLOOKUP(AQ981,'[1]Harga &amp; Nama CSO'!$H$2:$N$22,2,FALSE),"")*AV981</f>
        <v>#VALUE!</v>
      </c>
      <c r="BO981" s="40"/>
      <c r="BP981" s="4"/>
      <c r="BQ981" s="62"/>
      <c r="BR981" s="4"/>
      <c r="BS981" s="57" t="e">
        <f t="shared" si="36"/>
        <v>#VALUE!</v>
      </c>
      <c r="BT981" s="63"/>
      <c r="BU981" s="8">
        <v>0</v>
      </c>
      <c r="BV981" s="58" t="e">
        <f>VLOOKUP(AQ981,'[1]Harga &amp; Nama CSO'!$A$28:$D$31,4,0)*BP981</f>
        <v>#N/A</v>
      </c>
    </row>
    <row r="982" spans="41:74" x14ac:dyDescent="0.35">
      <c r="AO982" s="39">
        <v>980</v>
      </c>
      <c r="AP982" s="63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55" t="e">
        <f>IFERROR(VLOOKUP(AQ982,'[1]Harga &amp; Nama CSO'!$H$2:$N$22,2,FALSE),"")*AV982</f>
        <v>#VALUE!</v>
      </c>
      <c r="BO982" s="40"/>
      <c r="BP982" s="4"/>
      <c r="BQ982" s="62"/>
      <c r="BR982" s="4"/>
      <c r="BS982" s="57" t="e">
        <f t="shared" si="36"/>
        <v>#VALUE!</v>
      </c>
      <c r="BT982" s="63"/>
      <c r="BU982" s="8">
        <v>0</v>
      </c>
      <c r="BV982" s="58" t="e">
        <f>VLOOKUP(AQ982,'[1]Harga &amp; Nama CSO'!$A$28:$D$31,4,0)*BP982</f>
        <v>#N/A</v>
      </c>
    </row>
    <row r="983" spans="41:74" x14ac:dyDescent="0.35">
      <c r="AO983" s="39">
        <v>981</v>
      </c>
      <c r="AP983" s="63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55" t="e">
        <f>IFERROR(VLOOKUP(AQ983,'[1]Harga &amp; Nama CSO'!$H$2:$N$22,2,FALSE),"")*AV983</f>
        <v>#VALUE!</v>
      </c>
      <c r="BO983" s="40"/>
      <c r="BP983" s="4"/>
      <c r="BQ983" s="62"/>
      <c r="BR983" s="4"/>
      <c r="BS983" s="57" t="e">
        <f t="shared" si="36"/>
        <v>#VALUE!</v>
      </c>
      <c r="BT983" s="63"/>
      <c r="BU983" s="8">
        <v>0</v>
      </c>
      <c r="BV983" s="58" t="e">
        <f>VLOOKUP(AQ983,'[1]Harga &amp; Nama CSO'!$A$28:$D$31,4,0)*BP983</f>
        <v>#N/A</v>
      </c>
    </row>
    <row r="984" spans="41:74" x14ac:dyDescent="0.35">
      <c r="AO984" s="39">
        <v>982</v>
      </c>
      <c r="AP984" s="63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55" t="e">
        <f>IFERROR(VLOOKUP(AQ984,'[1]Harga &amp; Nama CSO'!$H$2:$N$22,2,FALSE),"")*AV984</f>
        <v>#VALUE!</v>
      </c>
      <c r="BO984" s="40"/>
      <c r="BP984" s="4"/>
      <c r="BQ984" s="62"/>
      <c r="BR984" s="4"/>
      <c r="BS984" s="57" t="e">
        <f t="shared" si="36"/>
        <v>#VALUE!</v>
      </c>
      <c r="BT984" s="63"/>
      <c r="BU984" s="8">
        <v>0</v>
      </c>
      <c r="BV984" s="58" t="e">
        <f>VLOOKUP(AQ984,'[1]Harga &amp; Nama CSO'!$A$28:$D$31,4,0)*BP984</f>
        <v>#N/A</v>
      </c>
    </row>
    <row r="985" spans="41:74" x14ac:dyDescent="0.35">
      <c r="AO985" s="39">
        <v>983</v>
      </c>
      <c r="AP985" s="63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55" t="e">
        <f>IFERROR(VLOOKUP(AQ985,'[1]Harga &amp; Nama CSO'!$H$2:$N$22,2,FALSE),"")*AV985</f>
        <v>#VALUE!</v>
      </c>
      <c r="BO985" s="40"/>
      <c r="BP985" s="4"/>
      <c r="BQ985" s="62"/>
      <c r="BR985" s="4"/>
      <c r="BS985" s="57" t="e">
        <f t="shared" si="36"/>
        <v>#VALUE!</v>
      </c>
      <c r="BT985" s="63"/>
      <c r="BU985" s="8">
        <v>0</v>
      </c>
      <c r="BV985" s="58" t="e">
        <f>VLOOKUP(AQ985,'[1]Harga &amp; Nama CSO'!$A$28:$D$31,4,0)*BP985</f>
        <v>#N/A</v>
      </c>
    </row>
    <row r="986" spans="41:74" x14ac:dyDescent="0.35">
      <c r="AO986" s="39">
        <v>984</v>
      </c>
      <c r="AP986" s="63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55" t="e">
        <f>IFERROR(VLOOKUP(AQ986,'[1]Harga &amp; Nama CSO'!$H$2:$N$22,2,FALSE),"")*AV986</f>
        <v>#VALUE!</v>
      </c>
      <c r="BO986" s="40"/>
      <c r="BP986" s="4"/>
      <c r="BQ986" s="62"/>
      <c r="BR986" s="4"/>
      <c r="BS986" s="57" t="e">
        <f t="shared" si="36"/>
        <v>#VALUE!</v>
      </c>
      <c r="BT986" s="63"/>
      <c r="BU986" s="8">
        <v>0</v>
      </c>
      <c r="BV986" s="58" t="e">
        <f>VLOOKUP(AQ986,'[1]Harga &amp; Nama CSO'!$A$28:$D$31,4,0)*BP986</f>
        <v>#N/A</v>
      </c>
    </row>
    <row r="987" spans="41:74" x14ac:dyDescent="0.35">
      <c r="AO987" s="39">
        <v>985</v>
      </c>
      <c r="AP987" s="63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55" t="e">
        <f>IFERROR(VLOOKUP(AQ987,'[1]Harga &amp; Nama CSO'!$H$2:$N$22,2,FALSE),"")*AV987</f>
        <v>#VALUE!</v>
      </c>
      <c r="BO987" s="40"/>
      <c r="BP987" s="4"/>
      <c r="BQ987" s="62"/>
      <c r="BR987" s="4"/>
      <c r="BS987" s="57" t="e">
        <f t="shared" si="36"/>
        <v>#VALUE!</v>
      </c>
      <c r="BT987" s="63"/>
      <c r="BU987" s="8">
        <v>0</v>
      </c>
      <c r="BV987" s="58" t="e">
        <f>VLOOKUP(AQ987,'[1]Harga &amp; Nama CSO'!$A$28:$D$31,4,0)*BP987</f>
        <v>#N/A</v>
      </c>
    </row>
    <row r="988" spans="41:74" x14ac:dyDescent="0.35">
      <c r="AO988" s="39">
        <v>986</v>
      </c>
      <c r="AP988" s="63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55" t="e">
        <f>IFERROR(VLOOKUP(AQ988,'[1]Harga &amp; Nama CSO'!$H$2:$N$22,2,FALSE),"")*AV988</f>
        <v>#VALUE!</v>
      </c>
      <c r="BO988" s="40"/>
      <c r="BP988" s="4"/>
      <c r="BQ988" s="62"/>
      <c r="BR988" s="4"/>
      <c r="BS988" s="57" t="e">
        <f t="shared" si="36"/>
        <v>#VALUE!</v>
      </c>
      <c r="BT988" s="63"/>
      <c r="BU988" s="8">
        <v>0</v>
      </c>
      <c r="BV988" s="58" t="e">
        <f>VLOOKUP(AQ988,'[1]Harga &amp; Nama CSO'!$A$28:$D$31,4,0)*BP988</f>
        <v>#N/A</v>
      </c>
    </row>
    <row r="989" spans="41:74" x14ac:dyDescent="0.35">
      <c r="AO989" s="39">
        <v>987</v>
      </c>
      <c r="AP989" s="63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55" t="e">
        <f>IFERROR(VLOOKUP(AQ989,'[1]Harga &amp; Nama CSO'!$H$2:$N$22,2,FALSE),"")*AV989</f>
        <v>#VALUE!</v>
      </c>
      <c r="BO989" s="40"/>
      <c r="BP989" s="4"/>
      <c r="BQ989" s="62"/>
      <c r="BR989" s="4"/>
      <c r="BS989" s="57" t="e">
        <f t="shared" si="36"/>
        <v>#VALUE!</v>
      </c>
      <c r="BT989" s="63"/>
      <c r="BU989" s="8">
        <v>0</v>
      </c>
      <c r="BV989" s="58" t="e">
        <f>VLOOKUP(AQ989,'[1]Harga &amp; Nama CSO'!$A$28:$D$31,4,0)*BP989</f>
        <v>#N/A</v>
      </c>
    </row>
    <row r="990" spans="41:74" x14ac:dyDescent="0.35">
      <c r="AO990" s="39">
        <v>988</v>
      </c>
      <c r="AP990" s="63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55" t="e">
        <f>IFERROR(VLOOKUP(AQ990,'[1]Harga &amp; Nama CSO'!$H$2:$N$22,2,FALSE),"")*AV990</f>
        <v>#VALUE!</v>
      </c>
      <c r="BO990" s="40"/>
      <c r="BP990" s="4"/>
      <c r="BQ990" s="62"/>
      <c r="BR990" s="4"/>
      <c r="BS990" s="57" t="e">
        <f t="shared" si="36"/>
        <v>#VALUE!</v>
      </c>
      <c r="BT990" s="63"/>
      <c r="BU990" s="8">
        <v>0</v>
      </c>
      <c r="BV990" s="58" t="e">
        <f>VLOOKUP(AQ990,'[1]Harga &amp; Nama CSO'!$A$28:$D$31,4,0)*BP990</f>
        <v>#N/A</v>
      </c>
    </row>
    <row r="991" spans="41:74" x14ac:dyDescent="0.35">
      <c r="AO991" s="39">
        <v>989</v>
      </c>
      <c r="AP991" s="63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55" t="e">
        <f>IFERROR(VLOOKUP(AQ991,'[1]Harga &amp; Nama CSO'!$H$2:$N$22,2,FALSE),"")*AV991</f>
        <v>#VALUE!</v>
      </c>
      <c r="BO991" s="40"/>
      <c r="BP991" s="4"/>
      <c r="BQ991" s="62"/>
      <c r="BR991" s="4"/>
      <c r="BS991" s="57" t="e">
        <f t="shared" si="36"/>
        <v>#VALUE!</v>
      </c>
      <c r="BT991" s="63"/>
      <c r="BU991" s="8">
        <v>0</v>
      </c>
      <c r="BV991" s="58" t="e">
        <f>VLOOKUP(AQ991,'[1]Harga &amp; Nama CSO'!$A$28:$D$31,4,0)*BP991</f>
        <v>#N/A</v>
      </c>
    </row>
    <row r="992" spans="41:74" x14ac:dyDescent="0.35">
      <c r="AO992" s="39">
        <v>990</v>
      </c>
      <c r="AP992" s="63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55" t="e">
        <f>IFERROR(VLOOKUP(AQ992,'[1]Harga &amp; Nama CSO'!$H$2:$N$22,2,FALSE),"")*AV992</f>
        <v>#VALUE!</v>
      </c>
      <c r="BO992" s="40"/>
      <c r="BP992" s="4"/>
      <c r="BQ992" s="62"/>
      <c r="BR992" s="4"/>
      <c r="BS992" s="57" t="e">
        <f t="shared" si="36"/>
        <v>#VALUE!</v>
      </c>
      <c r="BT992" s="63"/>
      <c r="BU992" s="8">
        <v>0</v>
      </c>
      <c r="BV992" s="58" t="e">
        <f>VLOOKUP(AQ992,'[1]Harga &amp; Nama CSO'!$A$28:$D$31,4,0)*BP992</f>
        <v>#N/A</v>
      </c>
    </row>
    <row r="993" spans="41:74" x14ac:dyDescent="0.35">
      <c r="AO993" s="39">
        <v>991</v>
      </c>
      <c r="AP993" s="63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55" t="e">
        <f>IFERROR(VLOOKUP(AQ993,'[1]Harga &amp; Nama CSO'!$H$2:$N$22,2,FALSE),"")*AV993</f>
        <v>#VALUE!</v>
      </c>
      <c r="BO993" s="40"/>
      <c r="BP993" s="4"/>
      <c r="BQ993" s="62"/>
      <c r="BR993" s="4"/>
      <c r="BS993" s="57" t="e">
        <f t="shared" si="36"/>
        <v>#VALUE!</v>
      </c>
      <c r="BT993" s="63"/>
      <c r="BU993" s="8">
        <v>0</v>
      </c>
      <c r="BV993" s="58" t="e">
        <f>VLOOKUP(AQ993,'[1]Harga &amp; Nama CSO'!$A$28:$D$31,4,0)*BP993</f>
        <v>#N/A</v>
      </c>
    </row>
    <row r="994" spans="41:74" x14ac:dyDescent="0.35">
      <c r="AO994" s="39">
        <v>992</v>
      </c>
      <c r="AP994" s="63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55" t="e">
        <f>IFERROR(VLOOKUP(AQ994,'[1]Harga &amp; Nama CSO'!$H$2:$N$22,2,FALSE),"")*AV994</f>
        <v>#VALUE!</v>
      </c>
      <c r="BO994" s="40"/>
      <c r="BP994" s="4"/>
      <c r="BQ994" s="62"/>
      <c r="BR994" s="4"/>
      <c r="BS994" s="57" t="e">
        <f t="shared" si="36"/>
        <v>#VALUE!</v>
      </c>
      <c r="BT994" s="63"/>
      <c r="BU994" s="8">
        <v>0</v>
      </c>
      <c r="BV994" s="58" t="e">
        <f>VLOOKUP(AQ994,'[1]Harga &amp; Nama CSO'!$A$28:$D$31,4,0)*BP994</f>
        <v>#N/A</v>
      </c>
    </row>
    <row r="995" spans="41:74" x14ac:dyDescent="0.35">
      <c r="AO995" s="39">
        <v>993</v>
      </c>
      <c r="AP995" s="63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55" t="e">
        <f>IFERROR(VLOOKUP(AQ995,'[1]Harga &amp; Nama CSO'!$H$2:$N$22,2,FALSE),"")*AV995</f>
        <v>#VALUE!</v>
      </c>
      <c r="BO995" s="40"/>
      <c r="BP995" s="4"/>
      <c r="BQ995" s="62"/>
      <c r="BR995" s="4"/>
      <c r="BS995" s="57" t="e">
        <f t="shared" si="36"/>
        <v>#VALUE!</v>
      </c>
      <c r="BT995" s="63"/>
      <c r="BU995" s="8">
        <v>0</v>
      </c>
      <c r="BV995" s="58" t="e">
        <f>VLOOKUP(AQ995,'[1]Harga &amp; Nama CSO'!$A$28:$D$31,4,0)*BP995</f>
        <v>#N/A</v>
      </c>
    </row>
    <row r="996" spans="41:74" x14ac:dyDescent="0.35">
      <c r="AO996" s="39">
        <v>994</v>
      </c>
      <c r="AP996" s="63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55" t="e">
        <f>IFERROR(VLOOKUP(AQ996,'[1]Harga &amp; Nama CSO'!$H$2:$N$22,2,FALSE),"")*AV996</f>
        <v>#VALUE!</v>
      </c>
      <c r="BO996" s="40"/>
      <c r="BP996" s="4"/>
      <c r="BQ996" s="62"/>
      <c r="BR996" s="4"/>
      <c r="BS996" s="57" t="e">
        <f t="shared" si="36"/>
        <v>#VALUE!</v>
      </c>
      <c r="BT996" s="63"/>
      <c r="BU996" s="8">
        <v>0</v>
      </c>
      <c r="BV996" s="58" t="e">
        <f>VLOOKUP(AQ996,'[1]Harga &amp; Nama CSO'!$A$28:$D$31,4,0)*BP996</f>
        <v>#N/A</v>
      </c>
    </row>
    <row r="997" spans="41:74" x14ac:dyDescent="0.35">
      <c r="AO997" s="39">
        <v>995</v>
      </c>
      <c r="AP997" s="63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55" t="e">
        <f>IFERROR(VLOOKUP(AQ997,'[1]Harga &amp; Nama CSO'!$H$2:$N$22,2,FALSE),"")*AV997</f>
        <v>#VALUE!</v>
      </c>
      <c r="BO997" s="40"/>
      <c r="BP997" s="4"/>
      <c r="BQ997" s="62"/>
      <c r="BR997" s="4"/>
      <c r="BS997" s="57" t="e">
        <f t="shared" si="36"/>
        <v>#VALUE!</v>
      </c>
      <c r="BT997" s="63"/>
      <c r="BU997" s="8">
        <v>0</v>
      </c>
      <c r="BV997" s="58" t="e">
        <f>VLOOKUP(AQ997,'[1]Harga &amp; Nama CSO'!$A$28:$D$31,4,0)*BP997</f>
        <v>#N/A</v>
      </c>
    </row>
    <row r="998" spans="41:74" x14ac:dyDescent="0.35">
      <c r="AO998" s="39">
        <v>996</v>
      </c>
      <c r="AP998" s="63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55" t="e">
        <f>IFERROR(VLOOKUP(AQ998,'[1]Harga &amp; Nama CSO'!$H$2:$N$22,2,FALSE),"")*AV998</f>
        <v>#VALUE!</v>
      </c>
      <c r="BO998" s="40"/>
      <c r="BP998" s="4"/>
      <c r="BQ998" s="62"/>
      <c r="BR998" s="4"/>
      <c r="BS998" s="57" t="e">
        <f t="shared" si="36"/>
        <v>#VALUE!</v>
      </c>
      <c r="BT998" s="63"/>
      <c r="BU998" s="8">
        <v>0</v>
      </c>
      <c r="BV998" s="58" t="e">
        <f>VLOOKUP(AQ998,'[1]Harga &amp; Nama CSO'!$A$28:$D$31,4,0)*BP998</f>
        <v>#N/A</v>
      </c>
    </row>
    <row r="999" spans="41:74" x14ac:dyDescent="0.35">
      <c r="AO999" s="39">
        <v>997</v>
      </c>
      <c r="AP999" s="63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55" t="e">
        <f>IFERROR(VLOOKUP(AQ999,'[1]Harga &amp; Nama CSO'!$H$2:$N$22,2,FALSE),"")*AV999</f>
        <v>#VALUE!</v>
      </c>
      <c r="BO999" s="40"/>
      <c r="BP999" s="4"/>
      <c r="BQ999" s="62"/>
      <c r="BR999" s="4"/>
      <c r="BS999" s="57" t="e">
        <f t="shared" si="36"/>
        <v>#VALUE!</v>
      </c>
      <c r="BT999" s="63"/>
      <c r="BU999" s="8">
        <v>0</v>
      </c>
      <c r="BV999" s="58" t="e">
        <f>VLOOKUP(AQ999,'[1]Harga &amp; Nama CSO'!$A$28:$D$31,4,0)*BP999</f>
        <v>#N/A</v>
      </c>
    </row>
    <row r="1000" spans="41:74" x14ac:dyDescent="0.35">
      <c r="AO1000" s="39">
        <v>998</v>
      </c>
      <c r="AP1000" s="63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55" t="e">
        <f>IFERROR(VLOOKUP(AQ1000,'[1]Harga &amp; Nama CSO'!$H$2:$N$22,2,FALSE),"")*AV1000</f>
        <v>#VALUE!</v>
      </c>
      <c r="BO1000" s="40"/>
      <c r="BP1000" s="4"/>
      <c r="BQ1000" s="62"/>
      <c r="BR1000" s="4"/>
      <c r="BS1000" s="57" t="e">
        <f t="shared" si="36"/>
        <v>#VALUE!</v>
      </c>
      <c r="BT1000" s="63"/>
      <c r="BU1000" s="8">
        <v>0</v>
      </c>
      <c r="BV1000" s="58" t="e">
        <f>VLOOKUP(AQ1000,'[1]Harga &amp; Nama CSO'!$A$28:$D$31,4,0)*BP1000</f>
        <v>#N/A</v>
      </c>
    </row>
    <row r="1001" spans="41:74" x14ac:dyDescent="0.35">
      <c r="AO1001" s="39">
        <v>999</v>
      </c>
      <c r="AP1001" s="63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55" t="e">
        <f>IFERROR(VLOOKUP(AQ1001,'[1]Harga &amp; Nama CSO'!$H$2:$N$22,2,FALSE),"")*AV1001</f>
        <v>#VALUE!</v>
      </c>
      <c r="BO1001" s="40"/>
      <c r="BP1001" s="4"/>
      <c r="BQ1001" s="62"/>
      <c r="BR1001" s="4"/>
      <c r="BS1001" s="57" t="e">
        <f t="shared" si="36"/>
        <v>#VALUE!</v>
      </c>
      <c r="BT1001" s="63"/>
      <c r="BU1001" s="8">
        <v>0</v>
      </c>
      <c r="BV1001" s="58" t="e">
        <f>VLOOKUP(AQ1001,'[1]Harga &amp; Nama CSO'!$A$28:$D$31,4,0)*BP1001</f>
        <v>#N/A</v>
      </c>
    </row>
    <row r="1002" spans="41:74" x14ac:dyDescent="0.35">
      <c r="AO1002" s="39">
        <v>1000</v>
      </c>
      <c r="AP1002" s="63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55" t="e">
        <f>IFERROR(VLOOKUP(AQ1002,'[1]Harga &amp; Nama CSO'!$H$2:$N$22,2,FALSE),"")*AV1002</f>
        <v>#VALUE!</v>
      </c>
      <c r="BO1002" s="40"/>
      <c r="BP1002" s="4"/>
      <c r="BQ1002" s="62"/>
      <c r="BR1002" s="4"/>
      <c r="BS1002" s="57" t="e">
        <f t="shared" si="36"/>
        <v>#VALUE!</v>
      </c>
      <c r="BT1002" s="63"/>
      <c r="BU1002" s="8">
        <v>0</v>
      </c>
      <c r="BV1002" s="58" t="e">
        <f>VLOOKUP(AQ1002,'[1]Harga &amp; Nama CSO'!$A$28:$D$31,4,0)*BP1002</f>
        <v>#N/A</v>
      </c>
    </row>
    <row r="1003" spans="41:74" x14ac:dyDescent="0.35">
      <c r="AO1003" s="39">
        <v>1001</v>
      </c>
      <c r="AP1003" s="63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55" t="e">
        <f>IFERROR(VLOOKUP(AQ1003,'[1]Harga &amp; Nama CSO'!$H$2:$N$22,2,FALSE),"")*AV1003</f>
        <v>#VALUE!</v>
      </c>
      <c r="BO1003" s="40"/>
      <c r="BP1003" s="4"/>
      <c r="BQ1003" s="62"/>
      <c r="BR1003" s="4"/>
      <c r="BS1003" s="57" t="e">
        <f t="shared" si="36"/>
        <v>#VALUE!</v>
      </c>
      <c r="BT1003" s="63"/>
      <c r="BU1003" s="8">
        <v>0</v>
      </c>
      <c r="BV1003" s="58" t="e">
        <f>VLOOKUP(AQ1003,'[1]Harga &amp; Nama CSO'!$A$28:$D$31,4,0)*BP1003</f>
        <v>#N/A</v>
      </c>
    </row>
    <row r="1004" spans="41:74" x14ac:dyDescent="0.35">
      <c r="AO1004" s="39">
        <v>1002</v>
      </c>
      <c r="AP1004" s="63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55" t="e">
        <f>IFERROR(VLOOKUP(AQ1004,'[1]Harga &amp; Nama CSO'!$H$2:$N$22,2,FALSE),"")*AV1004</f>
        <v>#VALUE!</v>
      </c>
      <c r="BO1004" s="40"/>
      <c r="BP1004" s="4"/>
      <c r="BQ1004" s="62"/>
      <c r="BR1004" s="4"/>
      <c r="BS1004" s="57" t="e">
        <f t="shared" si="36"/>
        <v>#VALUE!</v>
      </c>
      <c r="BT1004" s="63"/>
      <c r="BU1004" s="8">
        <v>0</v>
      </c>
      <c r="BV1004" s="58" t="e">
        <f>VLOOKUP(AQ1004,'[1]Harga &amp; Nama CSO'!$A$28:$D$31,4,0)*BP1004</f>
        <v>#N/A</v>
      </c>
    </row>
    <row r="1005" spans="41:74" x14ac:dyDescent="0.35">
      <c r="AO1005" s="39">
        <v>1003</v>
      </c>
      <c r="AP1005" s="63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55" t="e">
        <f>IFERROR(VLOOKUP(AQ1005,'[1]Harga &amp; Nama CSO'!$H$2:$N$22,2,FALSE),"")*AV1005</f>
        <v>#VALUE!</v>
      </c>
      <c r="BO1005" s="40"/>
      <c r="BP1005" s="4"/>
      <c r="BQ1005" s="62"/>
      <c r="BR1005" s="4"/>
      <c r="BS1005" s="57" t="e">
        <f t="shared" si="36"/>
        <v>#VALUE!</v>
      </c>
      <c r="BT1005" s="63"/>
      <c r="BU1005" s="8">
        <v>0</v>
      </c>
      <c r="BV1005" s="58" t="e">
        <f>VLOOKUP(AQ1005,'[1]Harga &amp; Nama CSO'!$A$28:$D$31,4,0)*BP1005</f>
        <v>#N/A</v>
      </c>
    </row>
    <row r="1006" spans="41:74" x14ac:dyDescent="0.35">
      <c r="AO1006" s="39">
        <v>1004</v>
      </c>
      <c r="AP1006" s="63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55" t="e">
        <f>IFERROR(VLOOKUP(AQ1006,'[1]Harga &amp; Nama CSO'!$H$2:$N$22,2,FALSE),"")*AV1006</f>
        <v>#VALUE!</v>
      </c>
      <c r="BO1006" s="40"/>
      <c r="BP1006" s="4"/>
      <c r="BQ1006" s="62"/>
      <c r="BR1006" s="4"/>
      <c r="BS1006" s="57" t="e">
        <f t="shared" si="36"/>
        <v>#VALUE!</v>
      </c>
      <c r="BT1006" s="63"/>
      <c r="BU1006" s="8">
        <v>0</v>
      </c>
      <c r="BV1006" s="58" t="e">
        <f>VLOOKUP(AQ1006,'[1]Harga &amp; Nama CSO'!$A$28:$D$31,4,0)*BP1006</f>
        <v>#N/A</v>
      </c>
    </row>
    <row r="1007" spans="41:74" x14ac:dyDescent="0.35">
      <c r="AO1007" s="39">
        <v>1005</v>
      </c>
      <c r="AP1007" s="63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55" t="e">
        <f>IFERROR(VLOOKUP(AQ1007,'[1]Harga &amp; Nama CSO'!$H$2:$N$22,2,FALSE),"")*AV1007</f>
        <v>#VALUE!</v>
      </c>
      <c r="BO1007" s="40"/>
      <c r="BP1007" s="4"/>
      <c r="BQ1007" s="62"/>
      <c r="BR1007" s="4"/>
      <c r="BS1007" s="57" t="e">
        <f t="shared" si="36"/>
        <v>#VALUE!</v>
      </c>
      <c r="BT1007" s="63"/>
      <c r="BU1007" s="8">
        <v>0</v>
      </c>
      <c r="BV1007" s="58" t="e">
        <f>VLOOKUP(AQ1007,'[1]Harga &amp; Nama CSO'!$A$28:$D$31,4,0)*BP1007</f>
        <v>#N/A</v>
      </c>
    </row>
    <row r="1008" spans="41:74" x14ac:dyDescent="0.35">
      <c r="AO1008" s="39">
        <v>1006</v>
      </c>
      <c r="AP1008" s="63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55" t="e">
        <f>IFERROR(VLOOKUP(AQ1008,'[1]Harga &amp; Nama CSO'!$H$2:$N$22,2,FALSE),"")*AV1008</f>
        <v>#VALUE!</v>
      </c>
      <c r="BO1008" s="40"/>
      <c r="BP1008" s="4"/>
      <c r="BQ1008" s="62"/>
      <c r="BR1008" s="4"/>
      <c r="BS1008" s="57" t="e">
        <f t="shared" si="36"/>
        <v>#VALUE!</v>
      </c>
      <c r="BT1008" s="63"/>
      <c r="BU1008" s="8">
        <v>0</v>
      </c>
      <c r="BV1008" s="58" t="e">
        <f>VLOOKUP(AQ1008,'[1]Harga &amp; Nama CSO'!$A$28:$D$31,4,0)*BP1008</f>
        <v>#N/A</v>
      </c>
    </row>
    <row r="1009" spans="41:74" x14ac:dyDescent="0.35">
      <c r="AO1009" s="39">
        <v>1007</v>
      </c>
      <c r="AP1009" s="63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55" t="e">
        <f>IFERROR(VLOOKUP(AQ1009,'[1]Harga &amp; Nama CSO'!$H$2:$N$22,2,FALSE),"")*AV1009</f>
        <v>#VALUE!</v>
      </c>
      <c r="BO1009" s="40"/>
      <c r="BP1009" s="4"/>
      <c r="BQ1009" s="62"/>
      <c r="BR1009" s="4"/>
      <c r="BS1009" s="57" t="e">
        <f t="shared" si="36"/>
        <v>#VALUE!</v>
      </c>
      <c r="BT1009" s="63"/>
      <c r="BU1009" s="8">
        <v>0</v>
      </c>
      <c r="BV1009" s="58" t="e">
        <f>VLOOKUP(AQ1009,'[1]Harga &amp; Nama CSO'!$A$28:$D$31,4,0)*BP1009</f>
        <v>#N/A</v>
      </c>
    </row>
    <row r="1010" spans="41:74" x14ac:dyDescent="0.35">
      <c r="AO1010" s="39">
        <v>1008</v>
      </c>
      <c r="AP1010" s="63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55" t="e">
        <f>IFERROR(VLOOKUP(AQ1010,'[1]Harga &amp; Nama CSO'!$H$2:$N$22,2,FALSE),"")*AV1010</f>
        <v>#VALUE!</v>
      </c>
      <c r="BO1010" s="40"/>
      <c r="BP1010" s="4"/>
      <c r="BQ1010" s="62"/>
      <c r="BR1010" s="4"/>
      <c r="BS1010" s="57" t="e">
        <f t="shared" si="36"/>
        <v>#VALUE!</v>
      </c>
      <c r="BT1010" s="63"/>
      <c r="BU1010" s="8">
        <v>0</v>
      </c>
      <c r="BV1010" s="58" t="e">
        <f>VLOOKUP(AQ1010,'[1]Harga &amp; Nama CSO'!$A$28:$D$31,4,0)*BP1010</f>
        <v>#N/A</v>
      </c>
    </row>
    <row r="1011" spans="41:74" x14ac:dyDescent="0.35">
      <c r="AO1011" s="39">
        <v>1009</v>
      </c>
      <c r="AP1011" s="63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55" t="e">
        <f>IFERROR(VLOOKUP(AQ1011,'[1]Harga &amp; Nama CSO'!$H$2:$N$22,2,FALSE),"")*AV1011</f>
        <v>#VALUE!</v>
      </c>
      <c r="BO1011" s="40"/>
      <c r="BP1011" s="4"/>
      <c r="BQ1011" s="62"/>
      <c r="BR1011" s="4"/>
      <c r="BS1011" s="57" t="e">
        <f t="shared" si="36"/>
        <v>#VALUE!</v>
      </c>
      <c r="BT1011" s="63"/>
      <c r="BU1011" s="8">
        <v>0</v>
      </c>
      <c r="BV1011" s="58" t="e">
        <f>VLOOKUP(AQ1011,'[1]Harga &amp; Nama CSO'!$A$28:$D$31,4,0)*BP1011</f>
        <v>#N/A</v>
      </c>
    </row>
    <row r="1012" spans="41:74" x14ac:dyDescent="0.35">
      <c r="AO1012" s="39">
        <v>1010</v>
      </c>
      <c r="AP1012" s="63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55" t="e">
        <f>IFERROR(VLOOKUP(AQ1012,'[1]Harga &amp; Nama CSO'!$H$2:$N$22,2,FALSE),"")*AV1012</f>
        <v>#VALUE!</v>
      </c>
      <c r="BO1012" s="40"/>
      <c r="BP1012" s="4"/>
      <c r="BQ1012" s="62"/>
      <c r="BR1012" s="4"/>
      <c r="BS1012" s="57" t="e">
        <f t="shared" si="36"/>
        <v>#VALUE!</v>
      </c>
      <c r="BT1012" s="63"/>
      <c r="BU1012" s="8">
        <v>0</v>
      </c>
      <c r="BV1012" s="58" t="e">
        <f>VLOOKUP(AQ1012,'[1]Harga &amp; Nama CSO'!$A$28:$D$31,4,0)*BP1012</f>
        <v>#N/A</v>
      </c>
    </row>
    <row r="1013" spans="41:74" x14ac:dyDescent="0.35">
      <c r="AO1013" s="39">
        <v>1011</v>
      </c>
      <c r="AP1013" s="63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55" t="e">
        <f>IFERROR(VLOOKUP(AQ1013,'[1]Harga &amp; Nama CSO'!$H$2:$N$22,2,FALSE),"")*AV1013</f>
        <v>#VALUE!</v>
      </c>
      <c r="BO1013" s="40"/>
      <c r="BP1013" s="4"/>
      <c r="BQ1013" s="62"/>
      <c r="BR1013" s="4"/>
      <c r="BS1013" s="57" t="e">
        <f t="shared" si="36"/>
        <v>#VALUE!</v>
      </c>
      <c r="BT1013" s="63"/>
      <c r="BU1013" s="8">
        <v>0</v>
      </c>
      <c r="BV1013" s="58" t="e">
        <f>VLOOKUP(AQ1013,'[1]Harga &amp; Nama CSO'!$A$28:$D$31,4,0)*BP1013</f>
        <v>#N/A</v>
      </c>
    </row>
    <row r="1014" spans="41:74" x14ac:dyDescent="0.35">
      <c r="AO1014" s="39">
        <v>1012</v>
      </c>
      <c r="AP1014" s="63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55" t="e">
        <f>IFERROR(VLOOKUP(AQ1014,'[1]Harga &amp; Nama CSO'!$H$2:$N$22,2,FALSE),"")*AV1014</f>
        <v>#VALUE!</v>
      </c>
      <c r="BO1014" s="40"/>
      <c r="BP1014" s="4"/>
      <c r="BQ1014" s="62"/>
      <c r="BR1014" s="4"/>
      <c r="BS1014" s="57" t="e">
        <f t="shared" si="36"/>
        <v>#VALUE!</v>
      </c>
      <c r="BT1014" s="63"/>
      <c r="BU1014" s="8">
        <v>0</v>
      </c>
      <c r="BV1014" s="58" t="e">
        <f>VLOOKUP(AQ1014,'[1]Harga &amp; Nama CSO'!$A$28:$D$31,4,0)*BP1014</f>
        <v>#N/A</v>
      </c>
    </row>
    <row r="1015" spans="41:74" x14ac:dyDescent="0.35">
      <c r="AO1015" s="39">
        <v>1013</v>
      </c>
      <c r="AP1015" s="63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55" t="e">
        <f>IFERROR(VLOOKUP(AQ1015,'[1]Harga &amp; Nama CSO'!$H$2:$N$22,2,FALSE),"")*AV1015</f>
        <v>#VALUE!</v>
      </c>
      <c r="BO1015" s="40"/>
      <c r="BP1015" s="4"/>
      <c r="BQ1015" s="62"/>
      <c r="BR1015" s="4"/>
      <c r="BS1015" s="57" t="e">
        <f t="shared" si="36"/>
        <v>#VALUE!</v>
      </c>
      <c r="BT1015" s="63"/>
      <c r="BU1015" s="8">
        <v>0</v>
      </c>
      <c r="BV1015" s="58" t="e">
        <f>VLOOKUP(AQ1015,'[1]Harga &amp; Nama CSO'!$A$28:$D$31,4,0)*BP1015</f>
        <v>#N/A</v>
      </c>
    </row>
    <row r="1016" spans="41:74" x14ac:dyDescent="0.35">
      <c r="AO1016" s="39">
        <v>1014</v>
      </c>
      <c r="AP1016" s="63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55" t="e">
        <f>IFERROR(VLOOKUP(AQ1016,'[1]Harga &amp; Nama CSO'!$H$2:$N$22,2,FALSE),"")*AV1016</f>
        <v>#VALUE!</v>
      </c>
      <c r="BO1016" s="40"/>
      <c r="BP1016" s="4"/>
      <c r="BQ1016" s="62"/>
      <c r="BR1016" s="4"/>
      <c r="BS1016" s="57" t="e">
        <f t="shared" si="36"/>
        <v>#VALUE!</v>
      </c>
      <c r="BT1016" s="63"/>
      <c r="BU1016" s="8">
        <v>0</v>
      </c>
      <c r="BV1016" s="58" t="e">
        <f>VLOOKUP(AQ1016,'[1]Harga &amp; Nama CSO'!$A$28:$D$31,4,0)*BP1016</f>
        <v>#N/A</v>
      </c>
    </row>
    <row r="1017" spans="41:74" x14ac:dyDescent="0.35">
      <c r="AO1017" s="39">
        <v>1015</v>
      </c>
      <c r="AP1017" s="63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55" t="e">
        <f>IFERROR(VLOOKUP(AQ1017,'[1]Harga &amp; Nama CSO'!$H$2:$N$22,2,FALSE),"")*AV1017</f>
        <v>#VALUE!</v>
      </c>
      <c r="BO1017" s="40"/>
      <c r="BP1017" s="4"/>
      <c r="BQ1017" s="62"/>
      <c r="BR1017" s="4"/>
      <c r="BS1017" s="57" t="e">
        <f t="shared" si="36"/>
        <v>#VALUE!</v>
      </c>
      <c r="BT1017" s="63"/>
      <c r="BU1017" s="8">
        <v>0</v>
      </c>
      <c r="BV1017" s="58" t="e">
        <f>VLOOKUP(AQ1017,'[1]Harga &amp; Nama CSO'!$A$28:$D$31,4,0)*BP1017</f>
        <v>#N/A</v>
      </c>
    </row>
    <row r="1018" spans="41:74" x14ac:dyDescent="0.35">
      <c r="AO1018" s="39">
        <v>1016</v>
      </c>
      <c r="AP1018" s="63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55" t="e">
        <f>IFERROR(VLOOKUP(AQ1018,'[1]Harga &amp; Nama CSO'!$H$2:$N$22,2,FALSE),"")*AV1018</f>
        <v>#VALUE!</v>
      </c>
      <c r="BO1018" s="40"/>
      <c r="BP1018" s="4"/>
      <c r="BQ1018" s="62"/>
      <c r="BR1018" s="4"/>
      <c r="BS1018" s="57" t="e">
        <f t="shared" si="36"/>
        <v>#VALUE!</v>
      </c>
      <c r="BT1018" s="63"/>
      <c r="BU1018" s="8">
        <v>0</v>
      </c>
      <c r="BV1018" s="58" t="e">
        <f>VLOOKUP(AQ1018,'[1]Harga &amp; Nama CSO'!$A$28:$D$31,4,0)*BP1018</f>
        <v>#N/A</v>
      </c>
    </row>
    <row r="1019" spans="41:74" x14ac:dyDescent="0.35">
      <c r="AO1019" s="39">
        <v>1017</v>
      </c>
      <c r="AP1019" s="63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55" t="e">
        <f>IFERROR(VLOOKUP(AQ1019,'[1]Harga &amp; Nama CSO'!$H$2:$N$22,2,FALSE),"")*AV1019</f>
        <v>#VALUE!</v>
      </c>
      <c r="BO1019" s="40"/>
      <c r="BP1019" s="4"/>
      <c r="BQ1019" s="62"/>
      <c r="BR1019" s="4"/>
      <c r="BS1019" s="57" t="e">
        <f t="shared" si="36"/>
        <v>#VALUE!</v>
      </c>
      <c r="BT1019" s="63"/>
      <c r="BU1019" s="8">
        <v>0</v>
      </c>
      <c r="BV1019" s="58" t="e">
        <f>VLOOKUP(AQ1019,'[1]Harga &amp; Nama CSO'!$A$28:$D$31,4,0)*BP1019</f>
        <v>#N/A</v>
      </c>
    </row>
    <row r="1020" spans="41:74" x14ac:dyDescent="0.35">
      <c r="AO1020" s="39">
        <v>1018</v>
      </c>
      <c r="AP1020" s="63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55" t="e">
        <f>IFERROR(VLOOKUP(AQ1020,'[1]Harga &amp; Nama CSO'!$H$2:$N$22,2,FALSE),"")*AV1020</f>
        <v>#VALUE!</v>
      </c>
      <c r="BO1020" s="40"/>
      <c r="BP1020" s="4"/>
      <c r="BQ1020" s="62"/>
      <c r="BR1020" s="4"/>
      <c r="BS1020" s="57" t="e">
        <f t="shared" si="36"/>
        <v>#VALUE!</v>
      </c>
      <c r="BT1020" s="63"/>
      <c r="BU1020" s="8">
        <v>0</v>
      </c>
      <c r="BV1020" s="58" t="e">
        <f>VLOOKUP(AQ1020,'[1]Harga &amp; Nama CSO'!$A$28:$D$31,4,0)*BP1020</f>
        <v>#N/A</v>
      </c>
    </row>
    <row r="1021" spans="41:74" x14ac:dyDescent="0.35">
      <c r="AO1021" s="39">
        <v>1019</v>
      </c>
      <c r="AP1021" s="63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55" t="e">
        <f>IFERROR(VLOOKUP(AQ1021,'[1]Harga &amp; Nama CSO'!$H$2:$N$22,2,FALSE),"")*AV1021</f>
        <v>#VALUE!</v>
      </c>
      <c r="BO1021" s="40"/>
      <c r="BP1021" s="4"/>
      <c r="BQ1021" s="62"/>
      <c r="BR1021" s="4"/>
      <c r="BS1021" s="57" t="e">
        <f t="shared" si="36"/>
        <v>#VALUE!</v>
      </c>
      <c r="BT1021" s="63"/>
      <c r="BU1021" s="8">
        <v>0</v>
      </c>
      <c r="BV1021" s="58" t="e">
        <f>VLOOKUP(AQ1021,'[1]Harga &amp; Nama CSO'!$A$28:$D$31,4,0)*BP1021</f>
        <v>#N/A</v>
      </c>
    </row>
    <row r="1022" spans="41:74" x14ac:dyDescent="0.35">
      <c r="AO1022" s="39">
        <v>1020</v>
      </c>
      <c r="AP1022" s="63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55" t="e">
        <f>IFERROR(VLOOKUP(AQ1022,'[1]Harga &amp; Nama CSO'!$H$2:$N$22,2,FALSE),"")*AV1022</f>
        <v>#VALUE!</v>
      </c>
      <c r="BO1022" s="40"/>
      <c r="BP1022" s="4"/>
      <c r="BQ1022" s="62"/>
      <c r="BR1022" s="4"/>
      <c r="BS1022" s="57" t="e">
        <f t="shared" si="36"/>
        <v>#VALUE!</v>
      </c>
      <c r="BT1022" s="63"/>
      <c r="BU1022" s="8">
        <v>0</v>
      </c>
      <c r="BV1022" s="58" t="e">
        <f>VLOOKUP(AQ1022,'[1]Harga &amp; Nama CSO'!$A$28:$D$31,4,0)*BP1022</f>
        <v>#N/A</v>
      </c>
    </row>
    <row r="1023" spans="41:74" x14ac:dyDescent="0.35">
      <c r="AO1023" s="39">
        <v>1021</v>
      </c>
      <c r="AP1023" s="63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55" t="e">
        <f>IFERROR(VLOOKUP(AQ1023,'[1]Harga &amp; Nama CSO'!$H$2:$N$22,2,FALSE),"")*AV1023</f>
        <v>#VALUE!</v>
      </c>
      <c r="BO1023" s="40"/>
      <c r="BP1023" s="4"/>
      <c r="BQ1023" s="62"/>
      <c r="BR1023" s="4"/>
      <c r="BS1023" s="57" t="e">
        <f t="shared" si="36"/>
        <v>#VALUE!</v>
      </c>
      <c r="BT1023" s="63"/>
      <c r="BU1023" s="8">
        <v>0</v>
      </c>
      <c r="BV1023" s="58" t="e">
        <f>VLOOKUP(AQ1023,'[1]Harga &amp; Nama CSO'!$A$28:$D$31,4,0)*BP1023</f>
        <v>#N/A</v>
      </c>
    </row>
    <row r="1024" spans="41:74" x14ac:dyDescent="0.35">
      <c r="AO1024" s="39">
        <v>1022</v>
      </c>
      <c r="AP1024" s="63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55" t="e">
        <f>IFERROR(VLOOKUP(AQ1024,'[1]Harga &amp; Nama CSO'!$H$2:$N$22,2,FALSE),"")*AV1024</f>
        <v>#VALUE!</v>
      </c>
      <c r="BO1024" s="40"/>
      <c r="BP1024" s="4"/>
      <c r="BQ1024" s="62"/>
      <c r="BR1024" s="4"/>
      <c r="BS1024" s="57" t="e">
        <f t="shared" si="36"/>
        <v>#VALUE!</v>
      </c>
      <c r="BT1024" s="63"/>
      <c r="BU1024" s="8">
        <v>0</v>
      </c>
      <c r="BV1024" s="58" t="e">
        <f>VLOOKUP(AQ1024,'[1]Harga &amp; Nama CSO'!$A$28:$D$31,4,0)*BP1024</f>
        <v>#N/A</v>
      </c>
    </row>
    <row r="1025" spans="41:74" x14ac:dyDescent="0.35">
      <c r="AO1025" s="39">
        <v>1023</v>
      </c>
      <c r="AP1025" s="63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55" t="e">
        <f>IFERROR(VLOOKUP(AQ1025,'[1]Harga &amp; Nama CSO'!$H$2:$N$22,2,FALSE),"")*AV1025</f>
        <v>#VALUE!</v>
      </c>
      <c r="BO1025" s="40"/>
      <c r="BP1025" s="4"/>
      <c r="BQ1025" s="62"/>
      <c r="BR1025" s="4"/>
      <c r="BS1025" s="57" t="e">
        <f t="shared" si="36"/>
        <v>#VALUE!</v>
      </c>
      <c r="BT1025" s="63"/>
      <c r="BU1025" s="8">
        <v>0</v>
      </c>
      <c r="BV1025" s="58" t="e">
        <f>VLOOKUP(AQ1025,'[1]Harga &amp; Nama CSO'!$A$28:$D$31,4,0)*BP1025</f>
        <v>#N/A</v>
      </c>
    </row>
    <row r="1026" spans="41:74" x14ac:dyDescent="0.35">
      <c r="AO1026" s="39">
        <v>1024</v>
      </c>
      <c r="AP1026" s="63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55" t="e">
        <f>IFERROR(VLOOKUP(AQ1026,'[1]Harga &amp; Nama CSO'!$H$2:$N$22,2,FALSE),"")*AV1026</f>
        <v>#VALUE!</v>
      </c>
      <c r="BO1026" s="40"/>
      <c r="BP1026" s="4"/>
      <c r="BQ1026" s="62"/>
      <c r="BR1026" s="4"/>
      <c r="BS1026" s="57" t="e">
        <f t="shared" si="36"/>
        <v>#VALUE!</v>
      </c>
      <c r="BT1026" s="63"/>
      <c r="BU1026" s="8">
        <v>0</v>
      </c>
      <c r="BV1026" s="58" t="e">
        <f>VLOOKUP(AQ1026,'[1]Harga &amp; Nama CSO'!$A$28:$D$31,4,0)*BP1026</f>
        <v>#N/A</v>
      </c>
    </row>
    <row r="1027" spans="41:74" x14ac:dyDescent="0.35">
      <c r="AO1027" s="39">
        <v>1025</v>
      </c>
      <c r="AP1027" s="63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55" t="e">
        <f>IFERROR(VLOOKUP(AQ1027,'[1]Harga &amp; Nama CSO'!$H$2:$N$22,2,FALSE),"")*AV1027</f>
        <v>#VALUE!</v>
      </c>
      <c r="BO1027" s="40"/>
      <c r="BP1027" s="4"/>
      <c r="BQ1027" s="62"/>
      <c r="BR1027" s="4"/>
      <c r="BS1027" s="57" t="e">
        <f t="shared" ref="BS1027:BS1090" si="37">BN1027-BQ1027</f>
        <v>#VALUE!</v>
      </c>
      <c r="BT1027" s="63"/>
      <c r="BU1027" s="8">
        <v>0</v>
      </c>
      <c r="BV1027" s="58" t="e">
        <f>VLOOKUP(AQ1027,'[1]Harga &amp; Nama CSO'!$A$28:$D$31,4,0)*BP1027</f>
        <v>#N/A</v>
      </c>
    </row>
    <row r="1028" spans="41:74" x14ac:dyDescent="0.35">
      <c r="AO1028" s="39">
        <v>1026</v>
      </c>
      <c r="AP1028" s="63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55" t="e">
        <f>IFERROR(VLOOKUP(AQ1028,'[1]Harga &amp; Nama CSO'!$H$2:$N$22,2,FALSE),"")*AV1028</f>
        <v>#VALUE!</v>
      </c>
      <c r="BO1028" s="40"/>
      <c r="BP1028" s="4"/>
      <c r="BQ1028" s="62"/>
      <c r="BR1028" s="4"/>
      <c r="BS1028" s="57" t="e">
        <f t="shared" si="37"/>
        <v>#VALUE!</v>
      </c>
      <c r="BT1028" s="63"/>
      <c r="BU1028" s="8">
        <v>0</v>
      </c>
      <c r="BV1028" s="58" t="e">
        <f>VLOOKUP(AQ1028,'[1]Harga &amp; Nama CSO'!$A$28:$D$31,4,0)*BP1028</f>
        <v>#N/A</v>
      </c>
    </row>
    <row r="1029" spans="41:74" x14ac:dyDescent="0.35">
      <c r="AO1029" s="39">
        <v>1027</v>
      </c>
      <c r="AP1029" s="63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55" t="e">
        <f>IFERROR(VLOOKUP(AQ1029,'[1]Harga &amp; Nama CSO'!$H$2:$N$22,2,FALSE),"")*AV1029</f>
        <v>#VALUE!</v>
      </c>
      <c r="BO1029" s="40"/>
      <c r="BP1029" s="4"/>
      <c r="BQ1029" s="62"/>
      <c r="BR1029" s="4"/>
      <c r="BS1029" s="57" t="e">
        <f t="shared" si="37"/>
        <v>#VALUE!</v>
      </c>
      <c r="BT1029" s="63"/>
      <c r="BU1029" s="8">
        <v>0</v>
      </c>
      <c r="BV1029" s="58" t="e">
        <f>VLOOKUP(AQ1029,'[1]Harga &amp; Nama CSO'!$A$28:$D$31,4,0)*BP1029</f>
        <v>#N/A</v>
      </c>
    </row>
    <row r="1030" spans="41:74" x14ac:dyDescent="0.35">
      <c r="AO1030" s="39">
        <v>1028</v>
      </c>
      <c r="AP1030" s="63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55" t="e">
        <f>IFERROR(VLOOKUP(AQ1030,'[1]Harga &amp; Nama CSO'!$H$2:$N$22,2,FALSE),"")*AV1030</f>
        <v>#VALUE!</v>
      </c>
      <c r="BO1030" s="40"/>
      <c r="BP1030" s="4"/>
      <c r="BQ1030" s="62"/>
      <c r="BR1030" s="4"/>
      <c r="BS1030" s="57" t="e">
        <f t="shared" si="37"/>
        <v>#VALUE!</v>
      </c>
      <c r="BT1030" s="63"/>
      <c r="BU1030" s="8">
        <v>0</v>
      </c>
      <c r="BV1030" s="58" t="e">
        <f>VLOOKUP(AQ1030,'[1]Harga &amp; Nama CSO'!$A$28:$D$31,4,0)*BP1030</f>
        <v>#N/A</v>
      </c>
    </row>
    <row r="1031" spans="41:74" x14ac:dyDescent="0.35">
      <c r="AO1031" s="39">
        <v>1029</v>
      </c>
      <c r="AP1031" s="63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55" t="e">
        <f>IFERROR(VLOOKUP(AQ1031,'[1]Harga &amp; Nama CSO'!$H$2:$N$22,2,FALSE),"")*AV1031</f>
        <v>#VALUE!</v>
      </c>
      <c r="BO1031" s="40"/>
      <c r="BP1031" s="4"/>
      <c r="BQ1031" s="62"/>
      <c r="BR1031" s="4"/>
      <c r="BS1031" s="57" t="e">
        <f t="shared" si="37"/>
        <v>#VALUE!</v>
      </c>
      <c r="BT1031" s="63"/>
      <c r="BU1031" s="8">
        <v>0</v>
      </c>
      <c r="BV1031" s="58" t="e">
        <f>VLOOKUP(AQ1031,'[1]Harga &amp; Nama CSO'!$A$28:$D$31,4,0)*BP1031</f>
        <v>#N/A</v>
      </c>
    </row>
    <row r="1032" spans="41:74" x14ac:dyDescent="0.35">
      <c r="AO1032" s="39">
        <v>1030</v>
      </c>
      <c r="AP1032" s="63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55" t="e">
        <f>IFERROR(VLOOKUP(AQ1032,'[1]Harga &amp; Nama CSO'!$H$2:$N$22,2,FALSE),"")*AV1032</f>
        <v>#VALUE!</v>
      </c>
      <c r="BO1032" s="40"/>
      <c r="BP1032" s="4"/>
      <c r="BQ1032" s="62"/>
      <c r="BR1032" s="4"/>
      <c r="BS1032" s="57" t="e">
        <f t="shared" si="37"/>
        <v>#VALUE!</v>
      </c>
      <c r="BT1032" s="63"/>
      <c r="BU1032" s="8">
        <v>0</v>
      </c>
      <c r="BV1032" s="58" t="e">
        <f>VLOOKUP(AQ1032,'[1]Harga &amp; Nama CSO'!$A$28:$D$31,4,0)*BP1032</f>
        <v>#N/A</v>
      </c>
    </row>
    <row r="1033" spans="41:74" x14ac:dyDescent="0.35">
      <c r="AO1033" s="39">
        <v>1031</v>
      </c>
      <c r="AP1033" s="63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55" t="e">
        <f>IFERROR(VLOOKUP(AQ1033,'[1]Harga &amp; Nama CSO'!$H$2:$N$22,2,FALSE),"")*AV1033</f>
        <v>#VALUE!</v>
      </c>
      <c r="BO1033" s="40"/>
      <c r="BP1033" s="4"/>
      <c r="BQ1033" s="62"/>
      <c r="BR1033" s="4"/>
      <c r="BS1033" s="57" t="e">
        <f t="shared" si="37"/>
        <v>#VALUE!</v>
      </c>
      <c r="BT1033" s="63"/>
      <c r="BU1033" s="8">
        <v>0</v>
      </c>
      <c r="BV1033" s="58" t="e">
        <f>VLOOKUP(AQ1033,'[1]Harga &amp; Nama CSO'!$A$28:$D$31,4,0)*BP1033</f>
        <v>#N/A</v>
      </c>
    </row>
    <row r="1034" spans="41:74" x14ac:dyDescent="0.35">
      <c r="AO1034" s="39">
        <v>1032</v>
      </c>
      <c r="AP1034" s="63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55" t="e">
        <f>IFERROR(VLOOKUP(AQ1034,'[1]Harga &amp; Nama CSO'!$H$2:$N$22,2,FALSE),"")*AV1034</f>
        <v>#VALUE!</v>
      </c>
      <c r="BO1034" s="40"/>
      <c r="BP1034" s="4"/>
      <c r="BQ1034" s="62"/>
      <c r="BR1034" s="4"/>
      <c r="BS1034" s="57" t="e">
        <f t="shared" si="37"/>
        <v>#VALUE!</v>
      </c>
      <c r="BT1034" s="63"/>
      <c r="BU1034" s="8">
        <v>0</v>
      </c>
      <c r="BV1034" s="58" t="e">
        <f>VLOOKUP(AQ1034,'[1]Harga &amp; Nama CSO'!$A$28:$D$31,4,0)*BP1034</f>
        <v>#N/A</v>
      </c>
    </row>
    <row r="1035" spans="41:74" x14ac:dyDescent="0.35">
      <c r="AO1035" s="39">
        <v>1033</v>
      </c>
      <c r="AP1035" s="63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55" t="e">
        <f>IFERROR(VLOOKUP(AQ1035,'[1]Harga &amp; Nama CSO'!$H$2:$N$22,2,FALSE),"")*AV1035</f>
        <v>#VALUE!</v>
      </c>
      <c r="BO1035" s="40"/>
      <c r="BP1035" s="4"/>
      <c r="BQ1035" s="62"/>
      <c r="BR1035" s="4"/>
      <c r="BS1035" s="57" t="e">
        <f t="shared" si="37"/>
        <v>#VALUE!</v>
      </c>
      <c r="BT1035" s="63"/>
      <c r="BU1035" s="8">
        <v>0</v>
      </c>
      <c r="BV1035" s="58" t="e">
        <f>VLOOKUP(AQ1035,'[1]Harga &amp; Nama CSO'!$A$28:$D$31,4,0)*BP1035</f>
        <v>#N/A</v>
      </c>
    </row>
    <row r="1036" spans="41:74" x14ac:dyDescent="0.35">
      <c r="AO1036" s="39">
        <v>1034</v>
      </c>
      <c r="AP1036" s="63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55" t="e">
        <f>IFERROR(VLOOKUP(AQ1036,'[1]Harga &amp; Nama CSO'!$H$2:$N$22,2,FALSE),"")*AV1036</f>
        <v>#VALUE!</v>
      </c>
      <c r="BO1036" s="40"/>
      <c r="BP1036" s="4"/>
      <c r="BQ1036" s="62"/>
      <c r="BR1036" s="4"/>
      <c r="BS1036" s="57" t="e">
        <f t="shared" si="37"/>
        <v>#VALUE!</v>
      </c>
      <c r="BT1036" s="63"/>
      <c r="BU1036" s="8">
        <v>0</v>
      </c>
      <c r="BV1036" s="58" t="e">
        <f>VLOOKUP(AQ1036,'[1]Harga &amp; Nama CSO'!$A$28:$D$31,4,0)*BP1036</f>
        <v>#N/A</v>
      </c>
    </row>
    <row r="1037" spans="41:74" x14ac:dyDescent="0.35">
      <c r="AO1037" s="39">
        <v>1035</v>
      </c>
      <c r="AP1037" s="63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55" t="e">
        <f>IFERROR(VLOOKUP(AQ1037,'[1]Harga &amp; Nama CSO'!$H$2:$N$22,2,FALSE),"")*AV1037</f>
        <v>#VALUE!</v>
      </c>
      <c r="BO1037" s="40"/>
      <c r="BP1037" s="4"/>
      <c r="BQ1037" s="62"/>
      <c r="BR1037" s="4"/>
      <c r="BS1037" s="57" t="e">
        <f t="shared" si="37"/>
        <v>#VALUE!</v>
      </c>
      <c r="BT1037" s="63"/>
      <c r="BU1037" s="8">
        <v>0</v>
      </c>
      <c r="BV1037" s="58" t="e">
        <f>VLOOKUP(AQ1037,'[1]Harga &amp; Nama CSO'!$A$28:$D$31,4,0)*BP1037</f>
        <v>#N/A</v>
      </c>
    </row>
    <row r="1038" spans="41:74" x14ac:dyDescent="0.35">
      <c r="AO1038" s="39">
        <v>1036</v>
      </c>
      <c r="AP1038" s="63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55" t="e">
        <f>IFERROR(VLOOKUP(AQ1038,'[1]Harga &amp; Nama CSO'!$H$2:$N$22,2,FALSE),"")*AV1038</f>
        <v>#VALUE!</v>
      </c>
      <c r="BO1038" s="40"/>
      <c r="BP1038" s="4"/>
      <c r="BQ1038" s="62"/>
      <c r="BR1038" s="4"/>
      <c r="BS1038" s="57" t="e">
        <f t="shared" si="37"/>
        <v>#VALUE!</v>
      </c>
      <c r="BT1038" s="63"/>
      <c r="BU1038" s="8">
        <v>0</v>
      </c>
      <c r="BV1038" s="58" t="e">
        <f>VLOOKUP(AQ1038,'[1]Harga &amp; Nama CSO'!$A$28:$D$31,4,0)*BP1038</f>
        <v>#N/A</v>
      </c>
    </row>
    <row r="1039" spans="41:74" x14ac:dyDescent="0.35">
      <c r="AO1039" s="39">
        <v>1037</v>
      </c>
      <c r="AP1039" s="63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55" t="e">
        <f>IFERROR(VLOOKUP(AQ1039,'[1]Harga &amp; Nama CSO'!$H$2:$N$22,2,FALSE),"")*AV1039</f>
        <v>#VALUE!</v>
      </c>
      <c r="BO1039" s="40"/>
      <c r="BP1039" s="4"/>
      <c r="BQ1039" s="62"/>
      <c r="BR1039" s="4"/>
      <c r="BS1039" s="57" t="e">
        <f t="shared" si="37"/>
        <v>#VALUE!</v>
      </c>
      <c r="BT1039" s="63"/>
      <c r="BU1039" s="8">
        <v>0</v>
      </c>
      <c r="BV1039" s="58" t="e">
        <f>VLOOKUP(AQ1039,'[1]Harga &amp; Nama CSO'!$A$28:$D$31,4,0)*BP1039</f>
        <v>#N/A</v>
      </c>
    </row>
    <row r="1040" spans="41:74" x14ac:dyDescent="0.35">
      <c r="AO1040" s="39">
        <v>1038</v>
      </c>
      <c r="AP1040" s="63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55" t="e">
        <f>IFERROR(VLOOKUP(AQ1040,'[1]Harga &amp; Nama CSO'!$H$2:$N$22,2,FALSE),"")*AV1040</f>
        <v>#VALUE!</v>
      </c>
      <c r="BO1040" s="40"/>
      <c r="BP1040" s="4"/>
      <c r="BQ1040" s="62"/>
      <c r="BR1040" s="4"/>
      <c r="BS1040" s="57" t="e">
        <f t="shared" si="37"/>
        <v>#VALUE!</v>
      </c>
      <c r="BT1040" s="63"/>
      <c r="BU1040" s="8">
        <v>0</v>
      </c>
      <c r="BV1040" s="58" t="e">
        <f>VLOOKUP(AQ1040,'[1]Harga &amp; Nama CSO'!$A$28:$D$31,4,0)*BP1040</f>
        <v>#N/A</v>
      </c>
    </row>
    <row r="1041" spans="41:74" x14ac:dyDescent="0.35">
      <c r="AO1041" s="39">
        <v>1039</v>
      </c>
      <c r="AP1041" s="63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55" t="e">
        <f>IFERROR(VLOOKUP(AQ1041,'[1]Harga &amp; Nama CSO'!$H$2:$N$22,2,FALSE),"")*AV1041</f>
        <v>#VALUE!</v>
      </c>
      <c r="BO1041" s="40"/>
      <c r="BP1041" s="4"/>
      <c r="BQ1041" s="62"/>
      <c r="BR1041" s="4"/>
      <c r="BS1041" s="57" t="e">
        <f t="shared" si="37"/>
        <v>#VALUE!</v>
      </c>
      <c r="BT1041" s="63"/>
      <c r="BU1041" s="8">
        <v>0</v>
      </c>
      <c r="BV1041" s="58" t="e">
        <f>VLOOKUP(AQ1041,'[1]Harga &amp; Nama CSO'!$A$28:$D$31,4,0)*BP1041</f>
        <v>#N/A</v>
      </c>
    </row>
    <row r="1042" spans="41:74" x14ac:dyDescent="0.35">
      <c r="AO1042" s="39">
        <v>1040</v>
      </c>
      <c r="AP1042" s="63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55" t="e">
        <f>IFERROR(VLOOKUP(AQ1042,'[1]Harga &amp; Nama CSO'!$H$2:$N$22,2,FALSE),"")*AV1042</f>
        <v>#VALUE!</v>
      </c>
      <c r="BO1042" s="40"/>
      <c r="BP1042" s="4"/>
      <c r="BQ1042" s="62"/>
      <c r="BR1042" s="4"/>
      <c r="BS1042" s="57" t="e">
        <f t="shared" si="37"/>
        <v>#VALUE!</v>
      </c>
      <c r="BT1042" s="63"/>
      <c r="BU1042" s="8">
        <v>0</v>
      </c>
      <c r="BV1042" s="58" t="e">
        <f>VLOOKUP(AQ1042,'[1]Harga &amp; Nama CSO'!$A$28:$D$31,4,0)*BP1042</f>
        <v>#N/A</v>
      </c>
    </row>
    <row r="1043" spans="41:74" x14ac:dyDescent="0.35">
      <c r="AO1043" s="39">
        <v>1041</v>
      </c>
      <c r="AP1043" s="63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55" t="e">
        <f>IFERROR(VLOOKUP(AQ1043,'[1]Harga &amp; Nama CSO'!$H$2:$N$22,2,FALSE),"")*AV1043</f>
        <v>#VALUE!</v>
      </c>
      <c r="BO1043" s="40"/>
      <c r="BP1043" s="4"/>
      <c r="BQ1043" s="62"/>
      <c r="BR1043" s="4"/>
      <c r="BS1043" s="57" t="e">
        <f t="shared" si="37"/>
        <v>#VALUE!</v>
      </c>
      <c r="BT1043" s="63"/>
      <c r="BU1043" s="8">
        <v>0</v>
      </c>
      <c r="BV1043" s="58" t="e">
        <f>VLOOKUP(AQ1043,'[1]Harga &amp; Nama CSO'!$A$28:$D$31,4,0)*BP1043</f>
        <v>#N/A</v>
      </c>
    </row>
    <row r="1044" spans="41:74" x14ac:dyDescent="0.35">
      <c r="AO1044" s="39">
        <v>1042</v>
      </c>
      <c r="AP1044" s="63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55" t="e">
        <f>IFERROR(VLOOKUP(AQ1044,'[1]Harga &amp; Nama CSO'!$H$2:$N$22,2,FALSE),"")*AV1044</f>
        <v>#VALUE!</v>
      </c>
      <c r="BO1044" s="40"/>
      <c r="BP1044" s="4"/>
      <c r="BQ1044" s="62"/>
      <c r="BR1044" s="4"/>
      <c r="BS1044" s="57" t="e">
        <f t="shared" si="37"/>
        <v>#VALUE!</v>
      </c>
      <c r="BT1044" s="63"/>
      <c r="BU1044" s="8">
        <v>0</v>
      </c>
      <c r="BV1044" s="58" t="e">
        <f>VLOOKUP(AQ1044,'[1]Harga &amp; Nama CSO'!$A$28:$D$31,4,0)*BP1044</f>
        <v>#N/A</v>
      </c>
    </row>
    <row r="1045" spans="41:74" x14ac:dyDescent="0.35">
      <c r="AO1045" s="39">
        <v>1043</v>
      </c>
      <c r="AP1045" s="63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55" t="e">
        <f>IFERROR(VLOOKUP(AQ1045,'[1]Harga &amp; Nama CSO'!$H$2:$N$22,2,FALSE),"")*AV1045</f>
        <v>#VALUE!</v>
      </c>
      <c r="BO1045" s="40"/>
      <c r="BP1045" s="4"/>
      <c r="BQ1045" s="62"/>
      <c r="BR1045" s="4"/>
      <c r="BS1045" s="57" t="e">
        <f t="shared" si="37"/>
        <v>#VALUE!</v>
      </c>
      <c r="BT1045" s="63"/>
      <c r="BU1045" s="8">
        <v>0</v>
      </c>
      <c r="BV1045" s="58" t="e">
        <f>VLOOKUP(AQ1045,'[1]Harga &amp; Nama CSO'!$A$28:$D$31,4,0)*BP1045</f>
        <v>#N/A</v>
      </c>
    </row>
    <row r="1046" spans="41:74" x14ac:dyDescent="0.35">
      <c r="AO1046" s="39">
        <v>1044</v>
      </c>
      <c r="AP1046" s="63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55" t="e">
        <f>IFERROR(VLOOKUP(AQ1046,'[1]Harga &amp; Nama CSO'!$H$2:$N$22,2,FALSE),"")*AV1046</f>
        <v>#VALUE!</v>
      </c>
      <c r="BO1046" s="40"/>
      <c r="BP1046" s="4"/>
      <c r="BQ1046" s="62"/>
      <c r="BR1046" s="4"/>
      <c r="BS1046" s="57" t="e">
        <f t="shared" si="37"/>
        <v>#VALUE!</v>
      </c>
      <c r="BT1046" s="63"/>
      <c r="BU1046" s="8">
        <v>0</v>
      </c>
      <c r="BV1046" s="58" t="e">
        <f>VLOOKUP(AQ1046,'[1]Harga &amp; Nama CSO'!$A$28:$D$31,4,0)*BP1046</f>
        <v>#N/A</v>
      </c>
    </row>
    <row r="1047" spans="41:74" x14ac:dyDescent="0.35">
      <c r="AO1047" s="39">
        <v>1045</v>
      </c>
      <c r="AP1047" s="63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55" t="e">
        <f>IFERROR(VLOOKUP(AQ1047,'[1]Harga &amp; Nama CSO'!$H$2:$N$22,2,FALSE),"")*AV1047</f>
        <v>#VALUE!</v>
      </c>
      <c r="BO1047" s="40"/>
      <c r="BP1047" s="4"/>
      <c r="BQ1047" s="62"/>
      <c r="BR1047" s="4"/>
      <c r="BS1047" s="57" t="e">
        <f t="shared" si="37"/>
        <v>#VALUE!</v>
      </c>
      <c r="BT1047" s="63"/>
      <c r="BU1047" s="8">
        <v>0</v>
      </c>
      <c r="BV1047" s="58" t="e">
        <f>VLOOKUP(AQ1047,'[1]Harga &amp; Nama CSO'!$A$28:$D$31,4,0)*BP1047</f>
        <v>#N/A</v>
      </c>
    </row>
    <row r="1048" spans="41:74" x14ac:dyDescent="0.35">
      <c r="AO1048" s="39">
        <v>1046</v>
      </c>
      <c r="AP1048" s="63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55" t="e">
        <f>IFERROR(VLOOKUP(AQ1048,'[1]Harga &amp; Nama CSO'!$H$2:$N$22,2,FALSE),"")*AV1048</f>
        <v>#VALUE!</v>
      </c>
      <c r="BO1048" s="40"/>
      <c r="BP1048" s="4"/>
      <c r="BQ1048" s="62"/>
      <c r="BR1048" s="4"/>
      <c r="BS1048" s="57" t="e">
        <f t="shared" si="37"/>
        <v>#VALUE!</v>
      </c>
      <c r="BT1048" s="63"/>
      <c r="BU1048" s="8">
        <v>0</v>
      </c>
      <c r="BV1048" s="58" t="e">
        <f>VLOOKUP(AQ1048,'[1]Harga &amp; Nama CSO'!$A$28:$D$31,4,0)*BP1048</f>
        <v>#N/A</v>
      </c>
    </row>
    <row r="1049" spans="41:74" x14ac:dyDescent="0.35">
      <c r="AO1049" s="39">
        <v>1047</v>
      </c>
      <c r="AP1049" s="63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55" t="e">
        <f>IFERROR(VLOOKUP(AQ1049,'[1]Harga &amp; Nama CSO'!$H$2:$N$22,2,FALSE),"")*AV1049</f>
        <v>#VALUE!</v>
      </c>
      <c r="BO1049" s="40"/>
      <c r="BP1049" s="4"/>
      <c r="BQ1049" s="62"/>
      <c r="BR1049" s="4"/>
      <c r="BS1049" s="57" t="e">
        <f t="shared" si="37"/>
        <v>#VALUE!</v>
      </c>
      <c r="BT1049" s="63"/>
      <c r="BU1049" s="8">
        <v>0</v>
      </c>
      <c r="BV1049" s="58" t="e">
        <f>VLOOKUP(AQ1049,'[1]Harga &amp; Nama CSO'!$A$28:$D$31,4,0)*BP1049</f>
        <v>#N/A</v>
      </c>
    </row>
    <row r="1050" spans="41:74" x14ac:dyDescent="0.35">
      <c r="AO1050" s="39">
        <v>1048</v>
      </c>
      <c r="AP1050" s="63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55" t="e">
        <f>IFERROR(VLOOKUP(AQ1050,'[1]Harga &amp; Nama CSO'!$H$2:$N$22,2,FALSE),"")*AV1050</f>
        <v>#VALUE!</v>
      </c>
      <c r="BO1050" s="40"/>
      <c r="BP1050" s="4"/>
      <c r="BQ1050" s="62"/>
      <c r="BR1050" s="4"/>
      <c r="BS1050" s="57" t="e">
        <f t="shared" si="37"/>
        <v>#VALUE!</v>
      </c>
      <c r="BT1050" s="63"/>
      <c r="BU1050" s="8">
        <v>0</v>
      </c>
      <c r="BV1050" s="58" t="e">
        <f>VLOOKUP(AQ1050,'[1]Harga &amp; Nama CSO'!$A$28:$D$31,4,0)*BP1050</f>
        <v>#N/A</v>
      </c>
    </row>
    <row r="1051" spans="41:74" x14ac:dyDescent="0.35">
      <c r="AO1051" s="39">
        <v>1049</v>
      </c>
      <c r="AP1051" s="63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55" t="e">
        <f>IFERROR(VLOOKUP(AQ1051,'[1]Harga &amp; Nama CSO'!$H$2:$N$22,2,FALSE),"")*AV1051</f>
        <v>#VALUE!</v>
      </c>
      <c r="BO1051" s="40"/>
      <c r="BP1051" s="4"/>
      <c r="BQ1051" s="62"/>
      <c r="BR1051" s="4"/>
      <c r="BS1051" s="57" t="e">
        <f t="shared" si="37"/>
        <v>#VALUE!</v>
      </c>
      <c r="BT1051" s="63"/>
      <c r="BU1051" s="8">
        <v>0</v>
      </c>
      <c r="BV1051" s="58" t="e">
        <f>VLOOKUP(AQ1051,'[1]Harga &amp; Nama CSO'!$A$28:$D$31,4,0)*BP1051</f>
        <v>#N/A</v>
      </c>
    </row>
    <row r="1052" spans="41:74" x14ac:dyDescent="0.35">
      <c r="AO1052" s="39">
        <v>1050</v>
      </c>
      <c r="AP1052" s="63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55" t="e">
        <f>IFERROR(VLOOKUP(AQ1052,'[1]Harga &amp; Nama CSO'!$H$2:$N$22,2,FALSE),"")*AV1052</f>
        <v>#VALUE!</v>
      </c>
      <c r="BO1052" s="40"/>
      <c r="BP1052" s="4"/>
      <c r="BQ1052" s="62"/>
      <c r="BR1052" s="4"/>
      <c r="BS1052" s="57" t="e">
        <f t="shared" si="37"/>
        <v>#VALUE!</v>
      </c>
      <c r="BT1052" s="63"/>
      <c r="BU1052" s="8">
        <v>0</v>
      </c>
      <c r="BV1052" s="58" t="e">
        <f>VLOOKUP(AQ1052,'[1]Harga &amp; Nama CSO'!$A$28:$D$31,4,0)*BP1052</f>
        <v>#N/A</v>
      </c>
    </row>
    <row r="1053" spans="41:74" x14ac:dyDescent="0.35">
      <c r="AO1053" s="39">
        <v>1051</v>
      </c>
      <c r="AP1053" s="63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55" t="e">
        <f>IFERROR(VLOOKUP(AQ1053,'[1]Harga &amp; Nama CSO'!$H$2:$N$22,2,FALSE),"")*AV1053</f>
        <v>#VALUE!</v>
      </c>
      <c r="BO1053" s="40"/>
      <c r="BP1053" s="4"/>
      <c r="BQ1053" s="62"/>
      <c r="BR1053" s="4"/>
      <c r="BS1053" s="57" t="e">
        <f t="shared" si="37"/>
        <v>#VALUE!</v>
      </c>
      <c r="BT1053" s="63"/>
      <c r="BU1053" s="8">
        <v>0</v>
      </c>
      <c r="BV1053" s="58" t="e">
        <f>VLOOKUP(AQ1053,'[1]Harga &amp; Nama CSO'!$A$28:$D$31,4,0)*BP1053</f>
        <v>#N/A</v>
      </c>
    </row>
    <row r="1054" spans="41:74" x14ac:dyDescent="0.35">
      <c r="AO1054" s="39">
        <v>1052</v>
      </c>
      <c r="AP1054" s="63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55" t="e">
        <f>IFERROR(VLOOKUP(AQ1054,'[1]Harga &amp; Nama CSO'!$H$2:$N$22,2,FALSE),"")*AV1054</f>
        <v>#VALUE!</v>
      </c>
      <c r="BO1054" s="40"/>
      <c r="BP1054" s="4"/>
      <c r="BQ1054" s="62"/>
      <c r="BR1054" s="4"/>
      <c r="BS1054" s="57" t="e">
        <f t="shared" si="37"/>
        <v>#VALUE!</v>
      </c>
      <c r="BT1054" s="63"/>
      <c r="BU1054" s="8">
        <v>0</v>
      </c>
      <c r="BV1054" s="58" t="e">
        <f>VLOOKUP(AQ1054,'[1]Harga &amp; Nama CSO'!$A$28:$D$31,4,0)*BP1054</f>
        <v>#N/A</v>
      </c>
    </row>
    <row r="1055" spans="41:74" x14ac:dyDescent="0.35">
      <c r="AO1055" s="39">
        <v>1053</v>
      </c>
      <c r="AP1055" s="63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55" t="e">
        <f>IFERROR(VLOOKUP(AQ1055,'[1]Harga &amp; Nama CSO'!$H$2:$N$22,2,FALSE),"")*AV1055</f>
        <v>#VALUE!</v>
      </c>
      <c r="BO1055" s="40"/>
      <c r="BP1055" s="4"/>
      <c r="BQ1055" s="62"/>
      <c r="BR1055" s="4"/>
      <c r="BS1055" s="57" t="e">
        <f t="shared" si="37"/>
        <v>#VALUE!</v>
      </c>
      <c r="BT1055" s="63"/>
      <c r="BU1055" s="8">
        <v>0</v>
      </c>
      <c r="BV1055" s="58" t="e">
        <f>VLOOKUP(AQ1055,'[1]Harga &amp; Nama CSO'!$A$28:$D$31,4,0)*BP1055</f>
        <v>#N/A</v>
      </c>
    </row>
    <row r="1056" spans="41:74" x14ac:dyDescent="0.35">
      <c r="AO1056" s="39">
        <v>1054</v>
      </c>
      <c r="AP1056" s="63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55" t="e">
        <f>IFERROR(VLOOKUP(AQ1056,'[1]Harga &amp; Nama CSO'!$H$2:$N$22,2,FALSE),"")*AV1056</f>
        <v>#VALUE!</v>
      </c>
      <c r="BO1056" s="40"/>
      <c r="BP1056" s="4"/>
      <c r="BQ1056" s="62"/>
      <c r="BR1056" s="4"/>
      <c r="BS1056" s="57" t="e">
        <f t="shared" si="37"/>
        <v>#VALUE!</v>
      </c>
      <c r="BT1056" s="63"/>
      <c r="BU1056" s="8">
        <v>0</v>
      </c>
      <c r="BV1056" s="58" t="e">
        <f>VLOOKUP(AQ1056,'[1]Harga &amp; Nama CSO'!$A$28:$D$31,4,0)*BP1056</f>
        <v>#N/A</v>
      </c>
    </row>
    <row r="1057" spans="41:74" x14ac:dyDescent="0.35">
      <c r="AO1057" s="39">
        <v>1055</v>
      </c>
      <c r="AP1057" s="63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55" t="e">
        <f>IFERROR(VLOOKUP(AQ1057,'[1]Harga &amp; Nama CSO'!$H$2:$N$22,2,FALSE),"")*AV1057</f>
        <v>#VALUE!</v>
      </c>
      <c r="BO1057" s="40"/>
      <c r="BP1057" s="4"/>
      <c r="BQ1057" s="62"/>
      <c r="BR1057" s="4"/>
      <c r="BS1057" s="57" t="e">
        <f t="shared" si="37"/>
        <v>#VALUE!</v>
      </c>
      <c r="BT1057" s="63"/>
      <c r="BU1057" s="8">
        <v>0</v>
      </c>
      <c r="BV1057" s="58" t="e">
        <f>VLOOKUP(AQ1057,'[1]Harga &amp; Nama CSO'!$A$28:$D$31,4,0)*BP1057</f>
        <v>#N/A</v>
      </c>
    </row>
    <row r="1058" spans="41:74" x14ac:dyDescent="0.35">
      <c r="AO1058" s="39">
        <v>1056</v>
      </c>
      <c r="AP1058" s="63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55" t="e">
        <f>IFERROR(VLOOKUP(AQ1058,'[1]Harga &amp; Nama CSO'!$H$2:$N$22,2,FALSE),"")*AV1058</f>
        <v>#VALUE!</v>
      </c>
      <c r="BO1058" s="40"/>
      <c r="BP1058" s="4"/>
      <c r="BQ1058" s="62"/>
      <c r="BR1058" s="4"/>
      <c r="BS1058" s="57" t="e">
        <f t="shared" si="37"/>
        <v>#VALUE!</v>
      </c>
      <c r="BT1058" s="63"/>
      <c r="BU1058" s="8">
        <v>0</v>
      </c>
      <c r="BV1058" s="58" t="e">
        <f>VLOOKUP(AQ1058,'[1]Harga &amp; Nama CSO'!$A$28:$D$31,4,0)*BP1058</f>
        <v>#N/A</v>
      </c>
    </row>
    <row r="1059" spans="41:74" x14ac:dyDescent="0.35">
      <c r="AO1059" s="39">
        <v>1057</v>
      </c>
      <c r="AP1059" s="63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55" t="e">
        <f>IFERROR(VLOOKUP(AQ1059,'[1]Harga &amp; Nama CSO'!$H$2:$N$22,2,FALSE),"")*AV1059</f>
        <v>#VALUE!</v>
      </c>
      <c r="BO1059" s="40"/>
      <c r="BP1059" s="4"/>
      <c r="BQ1059" s="62"/>
      <c r="BR1059" s="4"/>
      <c r="BS1059" s="57" t="e">
        <f t="shared" si="37"/>
        <v>#VALUE!</v>
      </c>
      <c r="BT1059" s="63"/>
      <c r="BU1059" s="8">
        <v>0</v>
      </c>
      <c r="BV1059" s="58" t="e">
        <f>VLOOKUP(AQ1059,'[1]Harga &amp; Nama CSO'!$A$28:$D$31,4,0)*BP1059</f>
        <v>#N/A</v>
      </c>
    </row>
    <row r="1060" spans="41:74" x14ac:dyDescent="0.35">
      <c r="AO1060" s="39">
        <v>1058</v>
      </c>
      <c r="AP1060" s="63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55" t="e">
        <f>IFERROR(VLOOKUP(AQ1060,'[1]Harga &amp; Nama CSO'!$H$2:$N$22,2,FALSE),"")*AV1060</f>
        <v>#VALUE!</v>
      </c>
      <c r="BO1060" s="40"/>
      <c r="BP1060" s="4"/>
      <c r="BQ1060" s="62"/>
      <c r="BR1060" s="4"/>
      <c r="BS1060" s="57" t="e">
        <f t="shared" si="37"/>
        <v>#VALUE!</v>
      </c>
      <c r="BT1060" s="63"/>
      <c r="BU1060" s="8">
        <v>0</v>
      </c>
      <c r="BV1060" s="58" t="e">
        <f>VLOOKUP(AQ1060,'[1]Harga &amp; Nama CSO'!$A$28:$D$31,4,0)*BP1060</f>
        <v>#N/A</v>
      </c>
    </row>
    <row r="1061" spans="41:74" x14ac:dyDescent="0.35">
      <c r="AO1061" s="39">
        <v>1059</v>
      </c>
      <c r="AP1061" s="63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55" t="e">
        <f>IFERROR(VLOOKUP(AQ1061,'[1]Harga &amp; Nama CSO'!$H$2:$N$22,2,FALSE),"")*AV1061</f>
        <v>#VALUE!</v>
      </c>
      <c r="BO1061" s="40"/>
      <c r="BP1061" s="4"/>
      <c r="BQ1061" s="62"/>
      <c r="BR1061" s="4"/>
      <c r="BS1061" s="57" t="e">
        <f t="shared" si="37"/>
        <v>#VALUE!</v>
      </c>
      <c r="BT1061" s="63"/>
      <c r="BU1061" s="8">
        <v>0</v>
      </c>
      <c r="BV1061" s="58" t="e">
        <f>VLOOKUP(AQ1061,'[1]Harga &amp; Nama CSO'!$A$28:$D$31,4,0)*BP1061</f>
        <v>#N/A</v>
      </c>
    </row>
    <row r="1062" spans="41:74" x14ac:dyDescent="0.35">
      <c r="AO1062" s="39">
        <v>1060</v>
      </c>
      <c r="AP1062" s="63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55" t="e">
        <f>IFERROR(VLOOKUP(AQ1062,'[1]Harga &amp; Nama CSO'!$H$2:$N$22,2,FALSE),"")*AV1062</f>
        <v>#VALUE!</v>
      </c>
      <c r="BO1062" s="40"/>
      <c r="BP1062" s="4"/>
      <c r="BQ1062" s="62"/>
      <c r="BR1062" s="4"/>
      <c r="BS1062" s="57" t="e">
        <f t="shared" si="37"/>
        <v>#VALUE!</v>
      </c>
      <c r="BT1062" s="63"/>
      <c r="BU1062" s="8">
        <v>0</v>
      </c>
      <c r="BV1062" s="58" t="e">
        <f>VLOOKUP(AQ1062,'[1]Harga &amp; Nama CSO'!$A$28:$D$31,4,0)*BP1062</f>
        <v>#N/A</v>
      </c>
    </row>
    <row r="1063" spans="41:74" x14ac:dyDescent="0.35">
      <c r="AO1063" s="39">
        <v>1061</v>
      </c>
      <c r="AP1063" s="63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55" t="e">
        <f>IFERROR(VLOOKUP(AQ1063,'[1]Harga &amp; Nama CSO'!$H$2:$N$22,2,FALSE),"")*AV1063</f>
        <v>#VALUE!</v>
      </c>
      <c r="BO1063" s="40"/>
      <c r="BP1063" s="4"/>
      <c r="BQ1063" s="62"/>
      <c r="BR1063" s="4"/>
      <c r="BS1063" s="57" t="e">
        <f t="shared" si="37"/>
        <v>#VALUE!</v>
      </c>
      <c r="BT1063" s="63"/>
      <c r="BU1063" s="8">
        <v>0</v>
      </c>
      <c r="BV1063" s="58" t="e">
        <f>VLOOKUP(AQ1063,'[1]Harga &amp; Nama CSO'!$A$28:$D$31,4,0)*BP1063</f>
        <v>#N/A</v>
      </c>
    </row>
    <row r="1064" spans="41:74" x14ac:dyDescent="0.35">
      <c r="AO1064" s="39">
        <v>1062</v>
      </c>
      <c r="AP1064" s="63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55" t="e">
        <f>IFERROR(VLOOKUP(AQ1064,'[1]Harga &amp; Nama CSO'!$H$2:$N$22,2,FALSE),"")*AV1064</f>
        <v>#VALUE!</v>
      </c>
      <c r="BO1064" s="40"/>
      <c r="BP1064" s="4"/>
      <c r="BQ1064" s="62"/>
      <c r="BR1064" s="4"/>
      <c r="BS1064" s="57" t="e">
        <f t="shared" si="37"/>
        <v>#VALUE!</v>
      </c>
      <c r="BT1064" s="63"/>
      <c r="BU1064" s="8">
        <v>0</v>
      </c>
      <c r="BV1064" s="58" t="e">
        <f>VLOOKUP(AQ1064,'[1]Harga &amp; Nama CSO'!$A$28:$D$31,4,0)*BP1064</f>
        <v>#N/A</v>
      </c>
    </row>
    <row r="1065" spans="41:74" x14ac:dyDescent="0.35">
      <c r="AO1065" s="39">
        <v>1063</v>
      </c>
      <c r="AP1065" s="63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55" t="e">
        <f>IFERROR(VLOOKUP(AQ1065,'[1]Harga &amp; Nama CSO'!$H$2:$N$22,2,FALSE),"")*AV1065</f>
        <v>#VALUE!</v>
      </c>
      <c r="BO1065" s="40"/>
      <c r="BP1065" s="4"/>
      <c r="BQ1065" s="62"/>
      <c r="BR1065" s="4"/>
      <c r="BS1065" s="57" t="e">
        <f t="shared" si="37"/>
        <v>#VALUE!</v>
      </c>
      <c r="BT1065" s="63"/>
      <c r="BU1065" s="8">
        <v>0</v>
      </c>
      <c r="BV1065" s="58" t="e">
        <f>VLOOKUP(AQ1065,'[1]Harga &amp; Nama CSO'!$A$28:$D$31,4,0)*BP1065</f>
        <v>#N/A</v>
      </c>
    </row>
    <row r="1066" spans="41:74" x14ac:dyDescent="0.35">
      <c r="AO1066" s="39">
        <v>1064</v>
      </c>
      <c r="AP1066" s="63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55" t="e">
        <f>IFERROR(VLOOKUP(AQ1066,'[1]Harga &amp; Nama CSO'!$H$2:$N$22,2,FALSE),"")*AV1066</f>
        <v>#VALUE!</v>
      </c>
      <c r="BO1066" s="40"/>
      <c r="BP1066" s="4"/>
      <c r="BQ1066" s="62"/>
      <c r="BR1066" s="4"/>
      <c r="BS1066" s="57" t="e">
        <f t="shared" si="37"/>
        <v>#VALUE!</v>
      </c>
      <c r="BT1066" s="63"/>
      <c r="BU1066" s="8">
        <v>0</v>
      </c>
      <c r="BV1066" s="58" t="e">
        <f>VLOOKUP(AQ1066,'[1]Harga &amp; Nama CSO'!$A$28:$D$31,4,0)*BP1066</f>
        <v>#N/A</v>
      </c>
    </row>
    <row r="1067" spans="41:74" x14ac:dyDescent="0.35">
      <c r="AO1067" s="39">
        <v>1065</v>
      </c>
      <c r="AP1067" s="63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55" t="e">
        <f>IFERROR(VLOOKUP(AQ1067,'[1]Harga &amp; Nama CSO'!$H$2:$N$22,2,FALSE),"")*AV1067</f>
        <v>#VALUE!</v>
      </c>
      <c r="BO1067" s="40"/>
      <c r="BP1067" s="4"/>
      <c r="BQ1067" s="62"/>
      <c r="BR1067" s="4"/>
      <c r="BS1067" s="57" t="e">
        <f t="shared" si="37"/>
        <v>#VALUE!</v>
      </c>
      <c r="BT1067" s="63"/>
      <c r="BU1067" s="8">
        <v>0</v>
      </c>
      <c r="BV1067" s="58" t="e">
        <f>VLOOKUP(AQ1067,'[1]Harga &amp; Nama CSO'!$A$28:$D$31,4,0)*BP1067</f>
        <v>#N/A</v>
      </c>
    </row>
    <row r="1068" spans="41:74" x14ac:dyDescent="0.35">
      <c r="AO1068" s="39">
        <v>1066</v>
      </c>
      <c r="AP1068" s="63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55" t="e">
        <f>IFERROR(VLOOKUP(AQ1068,'[1]Harga &amp; Nama CSO'!$H$2:$N$22,2,FALSE),"")*AV1068</f>
        <v>#VALUE!</v>
      </c>
      <c r="BO1068" s="40"/>
      <c r="BP1068" s="4"/>
      <c r="BQ1068" s="62"/>
      <c r="BR1068" s="4"/>
      <c r="BS1068" s="57" t="e">
        <f t="shared" si="37"/>
        <v>#VALUE!</v>
      </c>
      <c r="BT1068" s="63"/>
      <c r="BU1068" s="8">
        <v>0</v>
      </c>
      <c r="BV1068" s="58" t="e">
        <f>VLOOKUP(AQ1068,'[1]Harga &amp; Nama CSO'!$A$28:$D$31,4,0)*BP1068</f>
        <v>#N/A</v>
      </c>
    </row>
    <row r="1069" spans="41:74" x14ac:dyDescent="0.35">
      <c r="AO1069" s="39">
        <v>1067</v>
      </c>
      <c r="AP1069" s="63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55" t="e">
        <f>IFERROR(VLOOKUP(AQ1069,'[1]Harga &amp; Nama CSO'!$H$2:$N$22,2,FALSE),"")*AV1069</f>
        <v>#VALUE!</v>
      </c>
      <c r="BO1069" s="40"/>
      <c r="BP1069" s="4"/>
      <c r="BQ1069" s="62"/>
      <c r="BR1069" s="4"/>
      <c r="BS1069" s="57" t="e">
        <f t="shared" si="37"/>
        <v>#VALUE!</v>
      </c>
      <c r="BT1069" s="63"/>
      <c r="BU1069" s="8">
        <v>0</v>
      </c>
      <c r="BV1069" s="58" t="e">
        <f>VLOOKUP(AQ1069,'[1]Harga &amp; Nama CSO'!$A$28:$D$31,4,0)*BP1069</f>
        <v>#N/A</v>
      </c>
    </row>
    <row r="1070" spans="41:74" x14ac:dyDescent="0.35">
      <c r="AO1070" s="39">
        <v>1068</v>
      </c>
      <c r="AP1070" s="63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55" t="e">
        <f>IFERROR(VLOOKUP(AQ1070,'[1]Harga &amp; Nama CSO'!$H$2:$N$22,2,FALSE),"")*AV1070</f>
        <v>#VALUE!</v>
      </c>
      <c r="BO1070" s="40"/>
      <c r="BP1070" s="4"/>
      <c r="BQ1070" s="62"/>
      <c r="BR1070" s="4"/>
      <c r="BS1070" s="57" t="e">
        <f t="shared" si="37"/>
        <v>#VALUE!</v>
      </c>
      <c r="BT1070" s="63"/>
      <c r="BU1070" s="8">
        <v>0</v>
      </c>
      <c r="BV1070" s="58" t="e">
        <f>VLOOKUP(AQ1070,'[1]Harga &amp; Nama CSO'!$A$28:$D$31,4,0)*BP1070</f>
        <v>#N/A</v>
      </c>
    </row>
    <row r="1071" spans="41:74" x14ac:dyDescent="0.35">
      <c r="AO1071" s="39">
        <v>1069</v>
      </c>
      <c r="AP1071" s="63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55" t="e">
        <f>IFERROR(VLOOKUP(AQ1071,'[1]Harga &amp; Nama CSO'!$H$2:$N$22,2,FALSE),"")*AV1071</f>
        <v>#VALUE!</v>
      </c>
      <c r="BO1071" s="40"/>
      <c r="BP1071" s="4"/>
      <c r="BQ1071" s="62"/>
      <c r="BR1071" s="4"/>
      <c r="BS1071" s="57" t="e">
        <f t="shared" si="37"/>
        <v>#VALUE!</v>
      </c>
      <c r="BT1071" s="63"/>
      <c r="BU1071" s="8">
        <v>0</v>
      </c>
      <c r="BV1071" s="58" t="e">
        <f>VLOOKUP(AQ1071,'[1]Harga &amp; Nama CSO'!$A$28:$D$31,4,0)*BP1071</f>
        <v>#N/A</v>
      </c>
    </row>
    <row r="1072" spans="41:74" x14ac:dyDescent="0.35">
      <c r="AO1072" s="39">
        <v>1070</v>
      </c>
      <c r="AP1072" s="63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55" t="e">
        <f>IFERROR(VLOOKUP(AQ1072,'[1]Harga &amp; Nama CSO'!$H$2:$N$22,2,FALSE),"")*AV1072</f>
        <v>#VALUE!</v>
      </c>
      <c r="BO1072" s="40"/>
      <c r="BP1072" s="4"/>
      <c r="BQ1072" s="62"/>
      <c r="BR1072" s="4"/>
      <c r="BS1072" s="57" t="e">
        <f t="shared" si="37"/>
        <v>#VALUE!</v>
      </c>
      <c r="BT1072" s="63"/>
      <c r="BU1072" s="8">
        <v>0</v>
      </c>
      <c r="BV1072" s="58" t="e">
        <f>VLOOKUP(AQ1072,'[1]Harga &amp; Nama CSO'!$A$28:$D$31,4,0)*BP1072</f>
        <v>#N/A</v>
      </c>
    </row>
    <row r="1073" spans="41:74" x14ac:dyDescent="0.35">
      <c r="AO1073" s="39">
        <v>1071</v>
      </c>
      <c r="AP1073" s="63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55" t="e">
        <f>IFERROR(VLOOKUP(AQ1073,'[1]Harga &amp; Nama CSO'!$H$2:$N$22,2,FALSE),"")*AV1073</f>
        <v>#VALUE!</v>
      </c>
      <c r="BO1073" s="40"/>
      <c r="BP1073" s="4"/>
      <c r="BQ1073" s="62"/>
      <c r="BR1073" s="4"/>
      <c r="BS1073" s="57" t="e">
        <f t="shared" si="37"/>
        <v>#VALUE!</v>
      </c>
      <c r="BT1073" s="63"/>
      <c r="BU1073" s="8">
        <v>0</v>
      </c>
      <c r="BV1073" s="58" t="e">
        <f>VLOOKUP(AQ1073,'[1]Harga &amp; Nama CSO'!$A$28:$D$31,4,0)*BP1073</f>
        <v>#N/A</v>
      </c>
    </row>
    <row r="1074" spans="41:74" x14ac:dyDescent="0.35">
      <c r="AO1074" s="39">
        <v>1072</v>
      </c>
      <c r="AP1074" s="63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55" t="e">
        <f>IFERROR(VLOOKUP(AQ1074,'[1]Harga &amp; Nama CSO'!$H$2:$N$22,2,FALSE),"")*AV1074</f>
        <v>#VALUE!</v>
      </c>
      <c r="BO1074" s="40"/>
      <c r="BP1074" s="4"/>
      <c r="BQ1074" s="62"/>
      <c r="BR1074" s="4"/>
      <c r="BS1074" s="57" t="e">
        <f t="shared" si="37"/>
        <v>#VALUE!</v>
      </c>
      <c r="BT1074" s="63"/>
      <c r="BU1074" s="8">
        <v>0</v>
      </c>
      <c r="BV1074" s="58" t="e">
        <f>VLOOKUP(AQ1074,'[1]Harga &amp; Nama CSO'!$A$28:$D$31,4,0)*BP1074</f>
        <v>#N/A</v>
      </c>
    </row>
    <row r="1075" spans="41:74" x14ac:dyDescent="0.35">
      <c r="AO1075" s="39">
        <v>1073</v>
      </c>
      <c r="AP1075" s="63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55" t="e">
        <f>IFERROR(VLOOKUP(AQ1075,'[1]Harga &amp; Nama CSO'!$H$2:$N$22,2,FALSE),"")*AV1075</f>
        <v>#VALUE!</v>
      </c>
      <c r="BO1075" s="40"/>
      <c r="BP1075" s="4"/>
      <c r="BQ1075" s="62"/>
      <c r="BR1075" s="4"/>
      <c r="BS1075" s="57" t="e">
        <f t="shared" si="37"/>
        <v>#VALUE!</v>
      </c>
      <c r="BT1075" s="63"/>
      <c r="BU1075" s="8">
        <v>0</v>
      </c>
      <c r="BV1075" s="58" t="e">
        <f>VLOOKUP(AQ1075,'[1]Harga &amp; Nama CSO'!$A$28:$D$31,4,0)*BP1075</f>
        <v>#N/A</v>
      </c>
    </row>
    <row r="1076" spans="41:74" x14ac:dyDescent="0.35">
      <c r="AO1076" s="39">
        <v>1074</v>
      </c>
      <c r="AP1076" s="63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55" t="e">
        <f>IFERROR(VLOOKUP(AQ1076,'[1]Harga &amp; Nama CSO'!$H$2:$N$22,2,FALSE),"")*AV1076</f>
        <v>#VALUE!</v>
      </c>
      <c r="BO1076" s="40"/>
      <c r="BP1076" s="4"/>
      <c r="BQ1076" s="62"/>
      <c r="BR1076" s="4"/>
      <c r="BS1076" s="57" t="e">
        <f t="shared" si="37"/>
        <v>#VALUE!</v>
      </c>
      <c r="BT1076" s="63"/>
      <c r="BU1076" s="8">
        <v>0</v>
      </c>
      <c r="BV1076" s="58" t="e">
        <f>VLOOKUP(AQ1076,'[1]Harga &amp; Nama CSO'!$A$28:$D$31,4,0)*BP1076</f>
        <v>#N/A</v>
      </c>
    </row>
    <row r="1077" spans="41:74" x14ac:dyDescent="0.35">
      <c r="AO1077" s="39">
        <v>1075</v>
      </c>
      <c r="AP1077" s="63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55" t="e">
        <f>IFERROR(VLOOKUP(AQ1077,'[1]Harga &amp; Nama CSO'!$H$2:$N$22,2,FALSE),"")*AV1077</f>
        <v>#VALUE!</v>
      </c>
      <c r="BO1077" s="40"/>
      <c r="BP1077" s="4"/>
      <c r="BQ1077" s="62"/>
      <c r="BR1077" s="4"/>
      <c r="BS1077" s="57" t="e">
        <f t="shared" si="37"/>
        <v>#VALUE!</v>
      </c>
      <c r="BT1077" s="63"/>
      <c r="BU1077" s="8">
        <v>0</v>
      </c>
      <c r="BV1077" s="58" t="e">
        <f>VLOOKUP(AQ1077,'[1]Harga &amp; Nama CSO'!$A$28:$D$31,4,0)*BP1077</f>
        <v>#N/A</v>
      </c>
    </row>
    <row r="1078" spans="41:74" x14ac:dyDescent="0.35">
      <c r="AO1078" s="39">
        <v>1076</v>
      </c>
      <c r="AP1078" s="63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55" t="e">
        <f>IFERROR(VLOOKUP(AQ1078,'[1]Harga &amp; Nama CSO'!$H$2:$N$22,2,FALSE),"")*AV1078</f>
        <v>#VALUE!</v>
      </c>
      <c r="BO1078" s="40"/>
      <c r="BP1078" s="4"/>
      <c r="BQ1078" s="62"/>
      <c r="BR1078" s="4"/>
      <c r="BS1078" s="57" t="e">
        <f t="shared" si="37"/>
        <v>#VALUE!</v>
      </c>
      <c r="BT1078" s="63"/>
      <c r="BU1078" s="8">
        <v>0</v>
      </c>
      <c r="BV1078" s="58" t="e">
        <f>VLOOKUP(AQ1078,'[1]Harga &amp; Nama CSO'!$A$28:$D$31,4,0)*BP1078</f>
        <v>#N/A</v>
      </c>
    </row>
    <row r="1079" spans="41:74" x14ac:dyDescent="0.35">
      <c r="AO1079" s="39">
        <v>1077</v>
      </c>
      <c r="AP1079" s="63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55" t="e">
        <f>IFERROR(VLOOKUP(AQ1079,'[1]Harga &amp; Nama CSO'!$H$2:$N$22,2,FALSE),"")*AV1079</f>
        <v>#VALUE!</v>
      </c>
      <c r="BO1079" s="40"/>
      <c r="BP1079" s="4"/>
      <c r="BQ1079" s="62"/>
      <c r="BR1079" s="4"/>
      <c r="BS1079" s="57" t="e">
        <f t="shared" si="37"/>
        <v>#VALUE!</v>
      </c>
      <c r="BT1079" s="63"/>
      <c r="BU1079" s="8">
        <v>0</v>
      </c>
      <c r="BV1079" s="58" t="e">
        <f>VLOOKUP(AQ1079,'[1]Harga &amp; Nama CSO'!$A$28:$D$31,4,0)*BP1079</f>
        <v>#N/A</v>
      </c>
    </row>
    <row r="1080" spans="41:74" x14ac:dyDescent="0.35">
      <c r="AO1080" s="39">
        <v>1078</v>
      </c>
      <c r="AP1080" s="63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55" t="e">
        <f>IFERROR(VLOOKUP(AQ1080,'[1]Harga &amp; Nama CSO'!$H$2:$N$22,2,FALSE),"")*AV1080</f>
        <v>#VALUE!</v>
      </c>
      <c r="BO1080" s="40"/>
      <c r="BP1080" s="4"/>
      <c r="BQ1080" s="62"/>
      <c r="BR1080" s="4"/>
      <c r="BS1080" s="57" t="e">
        <f t="shared" si="37"/>
        <v>#VALUE!</v>
      </c>
      <c r="BT1080" s="63"/>
      <c r="BU1080" s="8">
        <v>0</v>
      </c>
      <c r="BV1080" s="58" t="e">
        <f>VLOOKUP(AQ1080,'[1]Harga &amp; Nama CSO'!$A$28:$D$31,4,0)*BP1080</f>
        <v>#N/A</v>
      </c>
    </row>
    <row r="1081" spans="41:74" x14ac:dyDescent="0.35">
      <c r="AO1081" s="39">
        <v>1079</v>
      </c>
      <c r="AP1081" s="63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55" t="e">
        <f>IFERROR(VLOOKUP(AQ1081,'[1]Harga &amp; Nama CSO'!$H$2:$N$22,2,FALSE),"")*AV1081</f>
        <v>#VALUE!</v>
      </c>
      <c r="BO1081" s="40"/>
      <c r="BP1081" s="4"/>
      <c r="BQ1081" s="62"/>
      <c r="BR1081" s="4"/>
      <c r="BS1081" s="57" t="e">
        <f t="shared" si="37"/>
        <v>#VALUE!</v>
      </c>
      <c r="BT1081" s="63"/>
      <c r="BU1081" s="8">
        <v>0</v>
      </c>
      <c r="BV1081" s="58" t="e">
        <f>VLOOKUP(AQ1081,'[1]Harga &amp; Nama CSO'!$A$28:$D$31,4,0)*BP1081</f>
        <v>#N/A</v>
      </c>
    </row>
    <row r="1082" spans="41:74" x14ac:dyDescent="0.35">
      <c r="AO1082" s="39">
        <v>1080</v>
      </c>
      <c r="AP1082" s="63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55" t="e">
        <f>IFERROR(VLOOKUP(AQ1082,'[1]Harga &amp; Nama CSO'!$H$2:$N$22,2,FALSE),"")*AV1082</f>
        <v>#VALUE!</v>
      </c>
      <c r="BO1082" s="40"/>
      <c r="BP1082" s="4"/>
      <c r="BQ1082" s="62"/>
      <c r="BR1082" s="4"/>
      <c r="BS1082" s="57" t="e">
        <f t="shared" si="37"/>
        <v>#VALUE!</v>
      </c>
      <c r="BT1082" s="63"/>
      <c r="BU1082" s="8">
        <v>0</v>
      </c>
      <c r="BV1082" s="58" t="e">
        <f>VLOOKUP(AQ1082,'[1]Harga &amp; Nama CSO'!$A$28:$D$31,4,0)*BP1082</f>
        <v>#N/A</v>
      </c>
    </row>
    <row r="1083" spans="41:74" x14ac:dyDescent="0.35">
      <c r="AO1083" s="39">
        <v>1081</v>
      </c>
      <c r="AP1083" s="63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55" t="e">
        <f>IFERROR(VLOOKUP(AQ1083,'[1]Harga &amp; Nama CSO'!$H$2:$N$22,2,FALSE),"")*AV1083</f>
        <v>#VALUE!</v>
      </c>
      <c r="BO1083" s="40"/>
      <c r="BP1083" s="4"/>
      <c r="BQ1083" s="62"/>
      <c r="BR1083" s="4"/>
      <c r="BS1083" s="57" t="e">
        <f t="shared" si="37"/>
        <v>#VALUE!</v>
      </c>
      <c r="BT1083" s="63"/>
      <c r="BU1083" s="8">
        <v>0</v>
      </c>
      <c r="BV1083" s="58" t="e">
        <f>VLOOKUP(AQ1083,'[1]Harga &amp; Nama CSO'!$A$28:$D$31,4,0)*BP1083</f>
        <v>#N/A</v>
      </c>
    </row>
    <row r="1084" spans="41:74" x14ac:dyDescent="0.35">
      <c r="AO1084" s="39">
        <v>1082</v>
      </c>
      <c r="AP1084" s="63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55" t="e">
        <f>IFERROR(VLOOKUP(AQ1084,'[1]Harga &amp; Nama CSO'!$H$2:$N$22,2,FALSE),"")*AV1084</f>
        <v>#VALUE!</v>
      </c>
      <c r="BO1084" s="40"/>
      <c r="BP1084" s="4"/>
      <c r="BQ1084" s="62"/>
      <c r="BR1084" s="4"/>
      <c r="BS1084" s="57" t="e">
        <f t="shared" si="37"/>
        <v>#VALUE!</v>
      </c>
      <c r="BT1084" s="63"/>
      <c r="BU1084" s="8">
        <v>0</v>
      </c>
      <c r="BV1084" s="58" t="e">
        <f>VLOOKUP(AQ1084,'[1]Harga &amp; Nama CSO'!$A$28:$D$31,4,0)*BP1084</f>
        <v>#N/A</v>
      </c>
    </row>
    <row r="1085" spans="41:74" x14ac:dyDescent="0.35">
      <c r="AO1085" s="39">
        <v>1083</v>
      </c>
      <c r="AP1085" s="63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55" t="e">
        <f>IFERROR(VLOOKUP(AQ1085,'[1]Harga &amp; Nama CSO'!$H$2:$N$22,2,FALSE),"")*AV1085</f>
        <v>#VALUE!</v>
      </c>
      <c r="BO1085" s="40"/>
      <c r="BP1085" s="4"/>
      <c r="BQ1085" s="62"/>
      <c r="BR1085" s="4"/>
      <c r="BS1085" s="57" t="e">
        <f t="shared" si="37"/>
        <v>#VALUE!</v>
      </c>
      <c r="BT1085" s="63"/>
      <c r="BU1085" s="8">
        <v>0</v>
      </c>
      <c r="BV1085" s="58" t="e">
        <f>VLOOKUP(AQ1085,'[1]Harga &amp; Nama CSO'!$A$28:$D$31,4,0)*BP1085</f>
        <v>#N/A</v>
      </c>
    </row>
    <row r="1086" spans="41:74" x14ac:dyDescent="0.35">
      <c r="AO1086" s="39">
        <v>1084</v>
      </c>
      <c r="AP1086" s="63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55" t="e">
        <f>IFERROR(VLOOKUP(AQ1086,'[1]Harga &amp; Nama CSO'!$H$2:$N$22,2,FALSE),"")*AV1086</f>
        <v>#VALUE!</v>
      </c>
      <c r="BO1086" s="40"/>
      <c r="BP1086" s="4"/>
      <c r="BQ1086" s="62"/>
      <c r="BR1086" s="4"/>
      <c r="BS1086" s="57" t="e">
        <f t="shared" si="37"/>
        <v>#VALUE!</v>
      </c>
      <c r="BT1086" s="63"/>
      <c r="BU1086" s="8">
        <v>0</v>
      </c>
      <c r="BV1086" s="58" t="e">
        <f>VLOOKUP(AQ1086,'[1]Harga &amp; Nama CSO'!$A$28:$D$31,4,0)*BP1086</f>
        <v>#N/A</v>
      </c>
    </row>
    <row r="1087" spans="41:74" x14ac:dyDescent="0.35">
      <c r="AO1087" s="39">
        <v>1085</v>
      </c>
      <c r="AP1087" s="63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55" t="e">
        <f>IFERROR(VLOOKUP(AQ1087,'[1]Harga &amp; Nama CSO'!$H$2:$N$22,2,FALSE),"")*AV1087</f>
        <v>#VALUE!</v>
      </c>
      <c r="BO1087" s="40"/>
      <c r="BP1087" s="4"/>
      <c r="BQ1087" s="62"/>
      <c r="BR1087" s="4"/>
      <c r="BS1087" s="57" t="e">
        <f t="shared" si="37"/>
        <v>#VALUE!</v>
      </c>
      <c r="BT1087" s="63"/>
      <c r="BU1087" s="8">
        <v>0</v>
      </c>
      <c r="BV1087" s="58" t="e">
        <f>VLOOKUP(AQ1087,'[1]Harga &amp; Nama CSO'!$A$28:$D$31,4,0)*BP1087</f>
        <v>#N/A</v>
      </c>
    </row>
    <row r="1088" spans="41:74" x14ac:dyDescent="0.35">
      <c r="AO1088" s="39">
        <v>1086</v>
      </c>
      <c r="AP1088" s="63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55" t="e">
        <f>IFERROR(VLOOKUP(AQ1088,'[1]Harga &amp; Nama CSO'!$H$2:$N$22,2,FALSE),"")*AV1088</f>
        <v>#VALUE!</v>
      </c>
      <c r="BO1088" s="40"/>
      <c r="BP1088" s="4"/>
      <c r="BQ1088" s="62"/>
      <c r="BR1088" s="4"/>
      <c r="BS1088" s="57" t="e">
        <f t="shared" si="37"/>
        <v>#VALUE!</v>
      </c>
      <c r="BT1088" s="63"/>
      <c r="BU1088" s="8">
        <v>0</v>
      </c>
      <c r="BV1088" s="58" t="e">
        <f>VLOOKUP(AQ1088,'[1]Harga &amp; Nama CSO'!$A$28:$D$31,4,0)*BP1088</f>
        <v>#N/A</v>
      </c>
    </row>
    <row r="1089" spans="41:74" x14ac:dyDescent="0.35">
      <c r="AO1089" s="39">
        <v>1087</v>
      </c>
      <c r="AP1089" s="63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55" t="e">
        <f>IFERROR(VLOOKUP(AQ1089,'[1]Harga &amp; Nama CSO'!$H$2:$N$22,2,FALSE),"")*AV1089</f>
        <v>#VALUE!</v>
      </c>
      <c r="BO1089" s="40"/>
      <c r="BP1089" s="4"/>
      <c r="BQ1089" s="62"/>
      <c r="BR1089" s="4"/>
      <c r="BS1089" s="57" t="e">
        <f t="shared" si="37"/>
        <v>#VALUE!</v>
      </c>
      <c r="BT1089" s="63"/>
      <c r="BU1089" s="8">
        <v>0</v>
      </c>
      <c r="BV1089" s="58" t="e">
        <f>VLOOKUP(AQ1089,'[1]Harga &amp; Nama CSO'!$A$28:$D$31,4,0)*BP1089</f>
        <v>#N/A</v>
      </c>
    </row>
    <row r="1090" spans="41:74" x14ac:dyDescent="0.35">
      <c r="AO1090" s="39">
        <v>1088</v>
      </c>
      <c r="AP1090" s="63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55" t="e">
        <f>IFERROR(VLOOKUP(AQ1090,'[1]Harga &amp; Nama CSO'!$H$2:$N$22,2,FALSE),"")*AV1090</f>
        <v>#VALUE!</v>
      </c>
      <c r="BO1090" s="40"/>
      <c r="BP1090" s="4"/>
      <c r="BQ1090" s="62"/>
      <c r="BR1090" s="4"/>
      <c r="BS1090" s="57" t="e">
        <f t="shared" si="37"/>
        <v>#VALUE!</v>
      </c>
      <c r="BT1090" s="63"/>
      <c r="BU1090" s="8">
        <v>0</v>
      </c>
      <c r="BV1090" s="58" t="e">
        <f>VLOOKUP(AQ1090,'[1]Harga &amp; Nama CSO'!$A$28:$D$31,4,0)*BP1090</f>
        <v>#N/A</v>
      </c>
    </row>
    <row r="1091" spans="41:74" x14ac:dyDescent="0.35">
      <c r="AO1091" s="39">
        <v>1089</v>
      </c>
      <c r="AP1091" s="63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55" t="e">
        <f>IFERROR(VLOOKUP(AQ1091,'[1]Harga &amp; Nama CSO'!$H$2:$N$22,2,FALSE),"")*AV1091</f>
        <v>#VALUE!</v>
      </c>
      <c r="BO1091" s="40"/>
      <c r="BP1091" s="4"/>
      <c r="BQ1091" s="62"/>
      <c r="BR1091" s="4"/>
      <c r="BS1091" s="57" t="e">
        <f t="shared" ref="BS1091:BS1154" si="38">BN1091-BQ1091</f>
        <v>#VALUE!</v>
      </c>
      <c r="BT1091" s="63"/>
      <c r="BU1091" s="8">
        <v>0</v>
      </c>
      <c r="BV1091" s="58" t="e">
        <f>VLOOKUP(AQ1091,'[1]Harga &amp; Nama CSO'!$A$28:$D$31,4,0)*BP1091</f>
        <v>#N/A</v>
      </c>
    </row>
    <row r="1092" spans="41:74" x14ac:dyDescent="0.35">
      <c r="AO1092" s="39">
        <v>1090</v>
      </c>
      <c r="AP1092" s="63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55" t="e">
        <f>IFERROR(VLOOKUP(AQ1092,'[1]Harga &amp; Nama CSO'!$H$2:$N$22,2,FALSE),"")*AV1092</f>
        <v>#VALUE!</v>
      </c>
      <c r="BO1092" s="40"/>
      <c r="BP1092" s="4"/>
      <c r="BQ1092" s="62"/>
      <c r="BR1092" s="4"/>
      <c r="BS1092" s="57" t="e">
        <f t="shared" si="38"/>
        <v>#VALUE!</v>
      </c>
      <c r="BT1092" s="63"/>
      <c r="BU1092" s="8">
        <v>0</v>
      </c>
      <c r="BV1092" s="58" t="e">
        <f>VLOOKUP(AQ1092,'[1]Harga &amp; Nama CSO'!$A$28:$D$31,4,0)*BP1092</f>
        <v>#N/A</v>
      </c>
    </row>
    <row r="1093" spans="41:74" x14ac:dyDescent="0.35">
      <c r="AO1093" s="39">
        <v>1091</v>
      </c>
      <c r="AP1093" s="63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55" t="e">
        <f>IFERROR(VLOOKUP(AQ1093,'[1]Harga &amp; Nama CSO'!$H$2:$N$22,2,FALSE),"")*AV1093</f>
        <v>#VALUE!</v>
      </c>
      <c r="BO1093" s="40"/>
      <c r="BP1093" s="4"/>
      <c r="BQ1093" s="62"/>
      <c r="BR1093" s="4"/>
      <c r="BS1093" s="57" t="e">
        <f t="shared" si="38"/>
        <v>#VALUE!</v>
      </c>
      <c r="BT1093" s="63"/>
      <c r="BU1093" s="8">
        <v>0</v>
      </c>
      <c r="BV1093" s="58" t="e">
        <f>VLOOKUP(AQ1093,'[1]Harga &amp; Nama CSO'!$A$28:$D$31,4,0)*BP1093</f>
        <v>#N/A</v>
      </c>
    </row>
    <row r="1094" spans="41:74" x14ac:dyDescent="0.35">
      <c r="AO1094" s="39">
        <v>1092</v>
      </c>
      <c r="AP1094" s="63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55" t="e">
        <f>IFERROR(VLOOKUP(AQ1094,'[1]Harga &amp; Nama CSO'!$H$2:$N$22,2,FALSE),"")*AV1094</f>
        <v>#VALUE!</v>
      </c>
      <c r="BO1094" s="40"/>
      <c r="BP1094" s="4"/>
      <c r="BQ1094" s="62"/>
      <c r="BR1094" s="4"/>
      <c r="BS1094" s="57" t="e">
        <f t="shared" si="38"/>
        <v>#VALUE!</v>
      </c>
      <c r="BT1094" s="63"/>
      <c r="BU1094" s="8">
        <v>0</v>
      </c>
      <c r="BV1094" s="58" t="e">
        <f>VLOOKUP(AQ1094,'[1]Harga &amp; Nama CSO'!$A$28:$D$31,4,0)*BP1094</f>
        <v>#N/A</v>
      </c>
    </row>
    <row r="1095" spans="41:74" x14ac:dyDescent="0.35">
      <c r="AO1095" s="39">
        <v>1093</v>
      </c>
      <c r="AP1095" s="63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55" t="e">
        <f>IFERROR(VLOOKUP(AQ1095,'[1]Harga &amp; Nama CSO'!$H$2:$N$22,2,FALSE),"")*AV1095</f>
        <v>#VALUE!</v>
      </c>
      <c r="BO1095" s="40"/>
      <c r="BP1095" s="4"/>
      <c r="BQ1095" s="62"/>
      <c r="BR1095" s="4"/>
      <c r="BS1095" s="57" t="e">
        <f t="shared" si="38"/>
        <v>#VALUE!</v>
      </c>
      <c r="BT1095" s="63"/>
      <c r="BU1095" s="8">
        <v>0</v>
      </c>
      <c r="BV1095" s="58" t="e">
        <f>VLOOKUP(AQ1095,'[1]Harga &amp; Nama CSO'!$A$28:$D$31,4,0)*BP1095</f>
        <v>#N/A</v>
      </c>
    </row>
    <row r="1096" spans="41:74" x14ac:dyDescent="0.35">
      <c r="AO1096" s="39">
        <v>1094</v>
      </c>
      <c r="AP1096" s="63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55" t="e">
        <f>IFERROR(VLOOKUP(AQ1096,'[1]Harga &amp; Nama CSO'!$H$2:$N$22,2,FALSE),"")*AV1096</f>
        <v>#VALUE!</v>
      </c>
      <c r="BO1096" s="40"/>
      <c r="BP1096" s="4"/>
      <c r="BQ1096" s="62"/>
      <c r="BR1096" s="4"/>
      <c r="BS1096" s="57" t="e">
        <f t="shared" si="38"/>
        <v>#VALUE!</v>
      </c>
      <c r="BT1096" s="63"/>
      <c r="BU1096" s="8">
        <v>0</v>
      </c>
      <c r="BV1096" s="58" t="e">
        <f>VLOOKUP(AQ1096,'[1]Harga &amp; Nama CSO'!$A$28:$D$31,4,0)*BP1096</f>
        <v>#N/A</v>
      </c>
    </row>
    <row r="1097" spans="41:74" x14ac:dyDescent="0.35">
      <c r="AO1097" s="39">
        <v>1095</v>
      </c>
      <c r="AP1097" s="63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55" t="e">
        <f>IFERROR(VLOOKUP(AQ1097,'[1]Harga &amp; Nama CSO'!$H$2:$N$22,2,FALSE),"")*AV1097</f>
        <v>#VALUE!</v>
      </c>
      <c r="BO1097" s="40"/>
      <c r="BP1097" s="4"/>
      <c r="BQ1097" s="62"/>
      <c r="BR1097" s="4"/>
      <c r="BS1097" s="57" t="e">
        <f t="shared" si="38"/>
        <v>#VALUE!</v>
      </c>
      <c r="BT1097" s="63"/>
      <c r="BU1097" s="8">
        <v>0</v>
      </c>
      <c r="BV1097" s="58" t="e">
        <f>VLOOKUP(AQ1097,'[1]Harga &amp; Nama CSO'!$A$28:$D$31,4,0)*BP1097</f>
        <v>#N/A</v>
      </c>
    </row>
    <row r="1098" spans="41:74" x14ac:dyDescent="0.35">
      <c r="AO1098" s="39">
        <v>1096</v>
      </c>
      <c r="AP1098" s="63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55" t="e">
        <f>IFERROR(VLOOKUP(AQ1098,'[1]Harga &amp; Nama CSO'!$H$2:$N$22,2,FALSE),"")*AV1098</f>
        <v>#VALUE!</v>
      </c>
      <c r="BO1098" s="40"/>
      <c r="BP1098" s="4"/>
      <c r="BQ1098" s="62"/>
      <c r="BR1098" s="4"/>
      <c r="BS1098" s="57" t="e">
        <f t="shared" si="38"/>
        <v>#VALUE!</v>
      </c>
      <c r="BT1098" s="63"/>
      <c r="BU1098" s="8">
        <v>0</v>
      </c>
      <c r="BV1098" s="58" t="e">
        <f>VLOOKUP(AQ1098,'[1]Harga &amp; Nama CSO'!$A$28:$D$31,4,0)*BP1098</f>
        <v>#N/A</v>
      </c>
    </row>
    <row r="1099" spans="41:74" x14ac:dyDescent="0.35">
      <c r="AO1099" s="39">
        <v>1097</v>
      </c>
      <c r="AP1099" s="63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55" t="e">
        <f>IFERROR(VLOOKUP(AQ1099,'[1]Harga &amp; Nama CSO'!$H$2:$N$22,2,FALSE),"")*AV1099</f>
        <v>#VALUE!</v>
      </c>
      <c r="BO1099" s="40"/>
      <c r="BP1099" s="4"/>
      <c r="BQ1099" s="62"/>
      <c r="BR1099" s="4"/>
      <c r="BS1099" s="57" t="e">
        <f t="shared" si="38"/>
        <v>#VALUE!</v>
      </c>
      <c r="BT1099" s="63"/>
      <c r="BU1099" s="8">
        <v>0</v>
      </c>
      <c r="BV1099" s="58" t="e">
        <f>VLOOKUP(AQ1099,'[1]Harga &amp; Nama CSO'!$A$28:$D$31,4,0)*BP1099</f>
        <v>#N/A</v>
      </c>
    </row>
    <row r="1100" spans="41:74" x14ac:dyDescent="0.35">
      <c r="AO1100" s="39">
        <v>1098</v>
      </c>
      <c r="AP1100" s="63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55" t="e">
        <f>IFERROR(VLOOKUP(AQ1100,'[1]Harga &amp; Nama CSO'!$H$2:$N$22,2,FALSE),"")*AV1100</f>
        <v>#VALUE!</v>
      </c>
      <c r="BO1100" s="40"/>
      <c r="BP1100" s="4"/>
      <c r="BQ1100" s="62"/>
      <c r="BR1100" s="4"/>
      <c r="BS1100" s="57" t="e">
        <f t="shared" si="38"/>
        <v>#VALUE!</v>
      </c>
      <c r="BT1100" s="63"/>
      <c r="BU1100" s="8">
        <v>0</v>
      </c>
      <c r="BV1100" s="58" t="e">
        <f>VLOOKUP(AQ1100,'[1]Harga &amp; Nama CSO'!$A$28:$D$31,4,0)*BP1100</f>
        <v>#N/A</v>
      </c>
    </row>
    <row r="1101" spans="41:74" x14ac:dyDescent="0.35">
      <c r="AO1101" s="39">
        <v>1099</v>
      </c>
      <c r="AP1101" s="63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55" t="e">
        <f>IFERROR(VLOOKUP(AQ1101,'[1]Harga &amp; Nama CSO'!$H$2:$N$22,2,FALSE),"")*AV1101</f>
        <v>#VALUE!</v>
      </c>
      <c r="BO1101" s="40"/>
      <c r="BP1101" s="4"/>
      <c r="BQ1101" s="62"/>
      <c r="BR1101" s="4"/>
      <c r="BS1101" s="57" t="e">
        <f t="shared" si="38"/>
        <v>#VALUE!</v>
      </c>
      <c r="BT1101" s="63"/>
      <c r="BU1101" s="8">
        <v>0</v>
      </c>
      <c r="BV1101" s="58" t="e">
        <f>VLOOKUP(AQ1101,'[1]Harga &amp; Nama CSO'!$A$28:$D$31,4,0)*BP1101</f>
        <v>#N/A</v>
      </c>
    </row>
    <row r="1102" spans="41:74" x14ac:dyDescent="0.35">
      <c r="AO1102" s="39">
        <v>1100</v>
      </c>
      <c r="AP1102" s="63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55" t="e">
        <f>IFERROR(VLOOKUP(AQ1102,'[1]Harga &amp; Nama CSO'!$H$2:$N$22,2,FALSE),"")*AV1102</f>
        <v>#VALUE!</v>
      </c>
      <c r="BO1102" s="40"/>
      <c r="BP1102" s="4"/>
      <c r="BQ1102" s="62"/>
      <c r="BR1102" s="4"/>
      <c r="BS1102" s="57" t="e">
        <f t="shared" si="38"/>
        <v>#VALUE!</v>
      </c>
      <c r="BT1102" s="63"/>
      <c r="BU1102" s="8">
        <v>0</v>
      </c>
      <c r="BV1102" s="58" t="e">
        <f>VLOOKUP(AQ1102,'[1]Harga &amp; Nama CSO'!$A$28:$D$31,4,0)*BP1102</f>
        <v>#N/A</v>
      </c>
    </row>
    <row r="1103" spans="41:74" x14ac:dyDescent="0.35">
      <c r="AO1103" s="39">
        <v>1101</v>
      </c>
      <c r="AP1103" s="63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55" t="e">
        <f>IFERROR(VLOOKUP(AQ1103,'[1]Harga &amp; Nama CSO'!$H$2:$N$22,2,FALSE),"")*AV1103</f>
        <v>#VALUE!</v>
      </c>
      <c r="BO1103" s="40"/>
      <c r="BP1103" s="4"/>
      <c r="BQ1103" s="62"/>
      <c r="BR1103" s="4"/>
      <c r="BS1103" s="57" t="e">
        <f t="shared" si="38"/>
        <v>#VALUE!</v>
      </c>
      <c r="BT1103" s="63"/>
      <c r="BU1103" s="8">
        <v>0</v>
      </c>
      <c r="BV1103" s="58" t="e">
        <f>VLOOKUP(AQ1103,'[1]Harga &amp; Nama CSO'!$A$28:$D$31,4,0)*BP1103</f>
        <v>#N/A</v>
      </c>
    </row>
    <row r="1104" spans="41:74" x14ac:dyDescent="0.35">
      <c r="AO1104" s="39">
        <v>1102</v>
      </c>
      <c r="AP1104" s="63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55" t="e">
        <f>IFERROR(VLOOKUP(AQ1104,'[1]Harga &amp; Nama CSO'!$H$2:$N$22,2,FALSE),"")*AV1104</f>
        <v>#VALUE!</v>
      </c>
      <c r="BO1104" s="40"/>
      <c r="BP1104" s="4"/>
      <c r="BQ1104" s="62"/>
      <c r="BR1104" s="4"/>
      <c r="BS1104" s="57" t="e">
        <f t="shared" si="38"/>
        <v>#VALUE!</v>
      </c>
      <c r="BT1104" s="63"/>
      <c r="BU1104" s="8">
        <v>0</v>
      </c>
      <c r="BV1104" s="58" t="e">
        <f>VLOOKUP(AQ1104,'[1]Harga &amp; Nama CSO'!$A$28:$D$31,4,0)*BP1104</f>
        <v>#N/A</v>
      </c>
    </row>
    <row r="1105" spans="41:74" x14ac:dyDescent="0.35">
      <c r="AO1105" s="39">
        <v>1103</v>
      </c>
      <c r="AP1105" s="63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55" t="e">
        <f>IFERROR(VLOOKUP(AQ1105,'[1]Harga &amp; Nama CSO'!$H$2:$N$22,2,FALSE),"")*AV1105</f>
        <v>#VALUE!</v>
      </c>
      <c r="BO1105" s="40"/>
      <c r="BP1105" s="4"/>
      <c r="BQ1105" s="62"/>
      <c r="BR1105" s="4"/>
      <c r="BS1105" s="57" t="e">
        <f t="shared" si="38"/>
        <v>#VALUE!</v>
      </c>
      <c r="BT1105" s="63"/>
      <c r="BU1105" s="8">
        <v>0</v>
      </c>
      <c r="BV1105" s="58" t="e">
        <f>VLOOKUP(AQ1105,'[1]Harga &amp; Nama CSO'!$A$28:$D$31,4,0)*BP1105</f>
        <v>#N/A</v>
      </c>
    </row>
    <row r="1106" spans="41:74" x14ac:dyDescent="0.35">
      <c r="AO1106" s="39">
        <v>1104</v>
      </c>
      <c r="AP1106" s="63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55" t="e">
        <f>IFERROR(VLOOKUP(AQ1106,'[1]Harga &amp; Nama CSO'!$H$2:$N$22,2,FALSE),"")*AV1106</f>
        <v>#VALUE!</v>
      </c>
      <c r="BO1106" s="40"/>
      <c r="BP1106" s="4"/>
      <c r="BQ1106" s="62"/>
      <c r="BR1106" s="4"/>
      <c r="BS1106" s="57" t="e">
        <f t="shared" si="38"/>
        <v>#VALUE!</v>
      </c>
      <c r="BT1106" s="63"/>
      <c r="BU1106" s="8">
        <v>0</v>
      </c>
      <c r="BV1106" s="58" t="e">
        <f>VLOOKUP(AQ1106,'[1]Harga &amp; Nama CSO'!$A$28:$D$31,4,0)*BP1106</f>
        <v>#N/A</v>
      </c>
    </row>
    <row r="1107" spans="41:74" x14ac:dyDescent="0.35">
      <c r="AO1107" s="39">
        <v>1105</v>
      </c>
      <c r="AP1107" s="63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55" t="e">
        <f>IFERROR(VLOOKUP(AQ1107,'[1]Harga &amp; Nama CSO'!$H$2:$N$22,2,FALSE),"")*AV1107</f>
        <v>#VALUE!</v>
      </c>
      <c r="BO1107" s="40"/>
      <c r="BP1107" s="4"/>
      <c r="BQ1107" s="62"/>
      <c r="BR1107" s="4"/>
      <c r="BS1107" s="57" t="e">
        <f t="shared" si="38"/>
        <v>#VALUE!</v>
      </c>
      <c r="BT1107" s="63"/>
      <c r="BU1107" s="8">
        <v>0</v>
      </c>
      <c r="BV1107" s="58" t="e">
        <f>VLOOKUP(AQ1107,'[1]Harga &amp; Nama CSO'!$A$28:$D$31,4,0)*BP1107</f>
        <v>#N/A</v>
      </c>
    </row>
    <row r="1108" spans="41:74" x14ac:dyDescent="0.35">
      <c r="AO1108" s="39">
        <v>1106</v>
      </c>
      <c r="AP1108" s="63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55" t="e">
        <f>IFERROR(VLOOKUP(AQ1108,'[1]Harga &amp; Nama CSO'!$H$2:$N$22,2,FALSE),"")*AV1108</f>
        <v>#VALUE!</v>
      </c>
      <c r="BO1108" s="40"/>
      <c r="BP1108" s="4"/>
      <c r="BQ1108" s="62"/>
      <c r="BR1108" s="4"/>
      <c r="BS1108" s="57" t="e">
        <f t="shared" si="38"/>
        <v>#VALUE!</v>
      </c>
      <c r="BT1108" s="63"/>
      <c r="BU1108" s="8">
        <v>0</v>
      </c>
      <c r="BV1108" s="58" t="e">
        <f>VLOOKUP(AQ1108,'[1]Harga &amp; Nama CSO'!$A$28:$D$31,4,0)*BP1108</f>
        <v>#N/A</v>
      </c>
    </row>
    <row r="1109" spans="41:74" x14ac:dyDescent="0.35">
      <c r="AO1109" s="39">
        <v>1107</v>
      </c>
      <c r="AP1109" s="63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55" t="e">
        <f>IFERROR(VLOOKUP(AQ1109,'[1]Harga &amp; Nama CSO'!$H$2:$N$22,2,FALSE),"")*AV1109</f>
        <v>#VALUE!</v>
      </c>
      <c r="BO1109" s="40"/>
      <c r="BP1109" s="4"/>
      <c r="BQ1109" s="62"/>
      <c r="BR1109" s="4"/>
      <c r="BS1109" s="57" t="e">
        <f t="shared" si="38"/>
        <v>#VALUE!</v>
      </c>
      <c r="BT1109" s="63"/>
      <c r="BU1109" s="8">
        <v>0</v>
      </c>
      <c r="BV1109" s="58" t="e">
        <f>VLOOKUP(AQ1109,'[1]Harga &amp; Nama CSO'!$A$28:$D$31,4,0)*BP1109</f>
        <v>#N/A</v>
      </c>
    </row>
    <row r="1110" spans="41:74" x14ac:dyDescent="0.35">
      <c r="AO1110" s="39">
        <v>1108</v>
      </c>
      <c r="AP1110" s="63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55" t="e">
        <f>IFERROR(VLOOKUP(AQ1110,'[1]Harga &amp; Nama CSO'!$H$2:$N$22,2,FALSE),"")*AV1110</f>
        <v>#VALUE!</v>
      </c>
      <c r="BO1110" s="40"/>
      <c r="BP1110" s="4"/>
      <c r="BQ1110" s="62"/>
      <c r="BR1110" s="4"/>
      <c r="BS1110" s="57" t="e">
        <f t="shared" si="38"/>
        <v>#VALUE!</v>
      </c>
      <c r="BT1110" s="63"/>
      <c r="BU1110" s="8">
        <v>0</v>
      </c>
      <c r="BV1110" s="58" t="e">
        <f>VLOOKUP(AQ1110,'[1]Harga &amp; Nama CSO'!$A$28:$D$31,4,0)*BP1110</f>
        <v>#N/A</v>
      </c>
    </row>
    <row r="1111" spans="41:74" x14ac:dyDescent="0.35">
      <c r="AO1111" s="39">
        <v>1109</v>
      </c>
      <c r="AP1111" s="63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55" t="e">
        <f>IFERROR(VLOOKUP(AQ1111,'[1]Harga &amp; Nama CSO'!$H$2:$N$22,2,FALSE),"")*AV1111</f>
        <v>#VALUE!</v>
      </c>
      <c r="BO1111" s="40"/>
      <c r="BP1111" s="4"/>
      <c r="BQ1111" s="62"/>
      <c r="BR1111" s="4"/>
      <c r="BS1111" s="57" t="e">
        <f t="shared" si="38"/>
        <v>#VALUE!</v>
      </c>
      <c r="BT1111" s="63"/>
      <c r="BU1111" s="8">
        <v>0</v>
      </c>
      <c r="BV1111" s="58" t="e">
        <f>VLOOKUP(AQ1111,'[1]Harga &amp; Nama CSO'!$A$28:$D$31,4,0)*BP1111</f>
        <v>#N/A</v>
      </c>
    </row>
    <row r="1112" spans="41:74" x14ac:dyDescent="0.35">
      <c r="AO1112" s="39">
        <v>1110</v>
      </c>
      <c r="AP1112" s="63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55" t="e">
        <f>IFERROR(VLOOKUP(AQ1112,'[1]Harga &amp; Nama CSO'!$H$2:$N$22,2,FALSE),"")*AV1112</f>
        <v>#VALUE!</v>
      </c>
      <c r="BO1112" s="40"/>
      <c r="BP1112" s="4"/>
      <c r="BQ1112" s="62"/>
      <c r="BR1112" s="4"/>
      <c r="BS1112" s="57" t="e">
        <f t="shared" si="38"/>
        <v>#VALUE!</v>
      </c>
      <c r="BT1112" s="63"/>
      <c r="BU1112" s="8">
        <v>0</v>
      </c>
      <c r="BV1112" s="58" t="e">
        <f>VLOOKUP(AQ1112,'[1]Harga &amp; Nama CSO'!$A$28:$D$31,4,0)*BP1112</f>
        <v>#N/A</v>
      </c>
    </row>
    <row r="1113" spans="41:74" x14ac:dyDescent="0.35">
      <c r="AO1113" s="39">
        <v>1111</v>
      </c>
      <c r="AP1113" s="63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55" t="e">
        <f>IFERROR(VLOOKUP(AQ1113,'[1]Harga &amp; Nama CSO'!$H$2:$N$22,2,FALSE),"")*AV1113</f>
        <v>#VALUE!</v>
      </c>
      <c r="BO1113" s="40"/>
      <c r="BP1113" s="4"/>
      <c r="BQ1113" s="62"/>
      <c r="BR1113" s="4"/>
      <c r="BS1113" s="57" t="e">
        <f t="shared" si="38"/>
        <v>#VALUE!</v>
      </c>
      <c r="BT1113" s="63"/>
      <c r="BU1113" s="8">
        <v>0</v>
      </c>
      <c r="BV1113" s="58" t="e">
        <f>VLOOKUP(AQ1113,'[1]Harga &amp; Nama CSO'!$A$28:$D$31,4,0)*BP1113</f>
        <v>#N/A</v>
      </c>
    </row>
    <row r="1114" spans="41:74" x14ac:dyDescent="0.35">
      <c r="AO1114" s="39">
        <v>1112</v>
      </c>
      <c r="AP1114" s="63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55" t="e">
        <f>IFERROR(VLOOKUP(AQ1114,'[1]Harga &amp; Nama CSO'!$H$2:$N$22,2,FALSE),"")*AV1114</f>
        <v>#VALUE!</v>
      </c>
      <c r="BO1114" s="40"/>
      <c r="BP1114" s="4"/>
      <c r="BQ1114" s="62"/>
      <c r="BR1114" s="4"/>
      <c r="BS1114" s="57" t="e">
        <f t="shared" si="38"/>
        <v>#VALUE!</v>
      </c>
      <c r="BT1114" s="63"/>
      <c r="BU1114" s="8">
        <v>0</v>
      </c>
      <c r="BV1114" s="58" t="e">
        <f>VLOOKUP(AQ1114,'[1]Harga &amp; Nama CSO'!$A$28:$D$31,4,0)*BP1114</f>
        <v>#N/A</v>
      </c>
    </row>
    <row r="1115" spans="41:74" x14ac:dyDescent="0.35">
      <c r="AO1115" s="39">
        <v>1113</v>
      </c>
      <c r="AP1115" s="63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55" t="e">
        <f>IFERROR(VLOOKUP(AQ1115,'[1]Harga &amp; Nama CSO'!$H$2:$N$22,2,FALSE),"")*AV1115</f>
        <v>#VALUE!</v>
      </c>
      <c r="BO1115" s="40"/>
      <c r="BP1115" s="4"/>
      <c r="BQ1115" s="62"/>
      <c r="BR1115" s="4"/>
      <c r="BS1115" s="57" t="e">
        <f t="shared" si="38"/>
        <v>#VALUE!</v>
      </c>
      <c r="BT1115" s="63"/>
      <c r="BU1115" s="8">
        <v>0</v>
      </c>
      <c r="BV1115" s="58" t="e">
        <f>VLOOKUP(AQ1115,'[1]Harga &amp; Nama CSO'!$A$28:$D$31,4,0)*BP1115</f>
        <v>#N/A</v>
      </c>
    </row>
    <row r="1116" spans="41:74" x14ac:dyDescent="0.35">
      <c r="AO1116" s="39">
        <v>1114</v>
      </c>
      <c r="AP1116" s="63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55" t="e">
        <f>IFERROR(VLOOKUP(AQ1116,'[1]Harga &amp; Nama CSO'!$H$2:$N$22,2,FALSE),"")*AV1116</f>
        <v>#VALUE!</v>
      </c>
      <c r="BO1116" s="40"/>
      <c r="BP1116" s="4"/>
      <c r="BQ1116" s="62"/>
      <c r="BR1116" s="4"/>
      <c r="BS1116" s="57" t="e">
        <f t="shared" si="38"/>
        <v>#VALUE!</v>
      </c>
      <c r="BT1116" s="63"/>
      <c r="BU1116" s="8">
        <v>0</v>
      </c>
      <c r="BV1116" s="58" t="e">
        <f>VLOOKUP(AQ1116,'[1]Harga &amp; Nama CSO'!$A$28:$D$31,4,0)*BP1116</f>
        <v>#N/A</v>
      </c>
    </row>
    <row r="1117" spans="41:74" x14ac:dyDescent="0.35">
      <c r="AO1117" s="39">
        <v>1115</v>
      </c>
      <c r="AP1117" s="63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55" t="e">
        <f>IFERROR(VLOOKUP(AQ1117,'[1]Harga &amp; Nama CSO'!$H$2:$N$22,2,FALSE),"")*AV1117</f>
        <v>#VALUE!</v>
      </c>
      <c r="BO1117" s="40"/>
      <c r="BP1117" s="4"/>
      <c r="BQ1117" s="62"/>
      <c r="BR1117" s="4"/>
      <c r="BS1117" s="57" t="e">
        <f t="shared" si="38"/>
        <v>#VALUE!</v>
      </c>
      <c r="BT1117" s="63"/>
      <c r="BU1117" s="8">
        <v>0</v>
      </c>
      <c r="BV1117" s="58" t="e">
        <f>VLOOKUP(AQ1117,'[1]Harga &amp; Nama CSO'!$A$28:$D$31,4,0)*BP1117</f>
        <v>#N/A</v>
      </c>
    </row>
    <row r="1118" spans="41:74" x14ac:dyDescent="0.35">
      <c r="AO1118" s="39">
        <v>1116</v>
      </c>
      <c r="AP1118" s="63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55" t="e">
        <f>IFERROR(VLOOKUP(AQ1118,'[1]Harga &amp; Nama CSO'!$H$2:$N$22,2,FALSE),"")*AV1118</f>
        <v>#VALUE!</v>
      </c>
      <c r="BO1118" s="40"/>
      <c r="BP1118" s="4"/>
      <c r="BQ1118" s="62"/>
      <c r="BR1118" s="4"/>
      <c r="BS1118" s="57" t="e">
        <f t="shared" si="38"/>
        <v>#VALUE!</v>
      </c>
      <c r="BT1118" s="63"/>
      <c r="BU1118" s="8">
        <v>0</v>
      </c>
      <c r="BV1118" s="58" t="e">
        <f>VLOOKUP(AQ1118,'[1]Harga &amp; Nama CSO'!$A$28:$D$31,4,0)*BP1118</f>
        <v>#N/A</v>
      </c>
    </row>
    <row r="1119" spans="41:74" x14ac:dyDescent="0.35">
      <c r="AO1119" s="39">
        <v>1117</v>
      </c>
      <c r="AP1119" s="63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55" t="e">
        <f>IFERROR(VLOOKUP(AQ1119,'[1]Harga &amp; Nama CSO'!$H$2:$N$22,2,FALSE),"")*AV1119</f>
        <v>#VALUE!</v>
      </c>
      <c r="BO1119" s="40"/>
      <c r="BP1119" s="4"/>
      <c r="BQ1119" s="62"/>
      <c r="BR1119" s="4"/>
      <c r="BS1119" s="57" t="e">
        <f t="shared" si="38"/>
        <v>#VALUE!</v>
      </c>
      <c r="BT1119" s="63"/>
      <c r="BU1119" s="8">
        <v>0</v>
      </c>
      <c r="BV1119" s="58" t="e">
        <f>VLOOKUP(AQ1119,'[1]Harga &amp; Nama CSO'!$A$28:$D$31,4,0)*BP1119</f>
        <v>#N/A</v>
      </c>
    </row>
    <row r="1120" spans="41:74" x14ac:dyDescent="0.35">
      <c r="AO1120" s="39">
        <v>1118</v>
      </c>
      <c r="AP1120" s="63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55" t="e">
        <f>IFERROR(VLOOKUP(AQ1120,'[1]Harga &amp; Nama CSO'!$H$2:$N$22,2,FALSE),"")*AV1120</f>
        <v>#VALUE!</v>
      </c>
      <c r="BO1120" s="40"/>
      <c r="BP1120" s="4"/>
      <c r="BQ1120" s="62"/>
      <c r="BR1120" s="4"/>
      <c r="BS1120" s="57" t="e">
        <f t="shared" si="38"/>
        <v>#VALUE!</v>
      </c>
      <c r="BT1120" s="63"/>
      <c r="BU1120" s="8">
        <v>0</v>
      </c>
      <c r="BV1120" s="58" t="e">
        <f>VLOOKUP(AQ1120,'[1]Harga &amp; Nama CSO'!$A$28:$D$31,4,0)*BP1120</f>
        <v>#N/A</v>
      </c>
    </row>
    <row r="1121" spans="41:74" x14ac:dyDescent="0.35">
      <c r="AO1121" s="39">
        <v>1119</v>
      </c>
      <c r="AP1121" s="63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55" t="e">
        <f>IFERROR(VLOOKUP(AQ1121,'[1]Harga &amp; Nama CSO'!$H$2:$N$22,2,FALSE),"")*AV1121</f>
        <v>#VALUE!</v>
      </c>
      <c r="BO1121" s="40"/>
      <c r="BP1121" s="4"/>
      <c r="BQ1121" s="62"/>
      <c r="BR1121" s="4"/>
      <c r="BS1121" s="57" t="e">
        <f t="shared" si="38"/>
        <v>#VALUE!</v>
      </c>
      <c r="BT1121" s="63"/>
      <c r="BU1121" s="8">
        <v>0</v>
      </c>
      <c r="BV1121" s="58" t="e">
        <f>VLOOKUP(AQ1121,'[1]Harga &amp; Nama CSO'!$A$28:$D$31,4,0)*BP1121</f>
        <v>#N/A</v>
      </c>
    </row>
    <row r="1122" spans="41:74" x14ac:dyDescent="0.35">
      <c r="AO1122" s="39">
        <v>1120</v>
      </c>
      <c r="AP1122" s="63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55" t="e">
        <f>IFERROR(VLOOKUP(AQ1122,'[1]Harga &amp; Nama CSO'!$H$2:$N$22,2,FALSE),"")*AV1122</f>
        <v>#VALUE!</v>
      </c>
      <c r="BO1122" s="40"/>
      <c r="BP1122" s="4"/>
      <c r="BQ1122" s="62"/>
      <c r="BR1122" s="4"/>
      <c r="BS1122" s="57" t="e">
        <f t="shared" si="38"/>
        <v>#VALUE!</v>
      </c>
      <c r="BT1122" s="63"/>
      <c r="BU1122" s="8">
        <v>0</v>
      </c>
      <c r="BV1122" s="58" t="e">
        <f>VLOOKUP(AQ1122,'[1]Harga &amp; Nama CSO'!$A$28:$D$31,4,0)*BP1122</f>
        <v>#N/A</v>
      </c>
    </row>
    <row r="1123" spans="41:74" x14ac:dyDescent="0.35">
      <c r="AO1123" s="39">
        <v>1121</v>
      </c>
      <c r="AP1123" s="63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55" t="e">
        <f>IFERROR(VLOOKUP(AQ1123,'[1]Harga &amp; Nama CSO'!$H$2:$N$22,2,FALSE),"")*AV1123</f>
        <v>#VALUE!</v>
      </c>
      <c r="BO1123" s="40"/>
      <c r="BP1123" s="4"/>
      <c r="BQ1123" s="62"/>
      <c r="BR1123" s="4"/>
      <c r="BS1123" s="57" t="e">
        <f t="shared" si="38"/>
        <v>#VALUE!</v>
      </c>
      <c r="BT1123" s="63"/>
      <c r="BU1123" s="8">
        <v>0</v>
      </c>
      <c r="BV1123" s="58" t="e">
        <f>VLOOKUP(AQ1123,'[1]Harga &amp; Nama CSO'!$A$28:$D$31,4,0)*BP1123</f>
        <v>#N/A</v>
      </c>
    </row>
    <row r="1124" spans="41:74" x14ac:dyDescent="0.35">
      <c r="AO1124" s="39">
        <v>1122</v>
      </c>
      <c r="AP1124" s="63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55" t="e">
        <f>IFERROR(VLOOKUP(AQ1124,'[1]Harga &amp; Nama CSO'!$H$2:$N$22,2,FALSE),"")*AV1124</f>
        <v>#VALUE!</v>
      </c>
      <c r="BO1124" s="40"/>
      <c r="BP1124" s="4"/>
      <c r="BQ1124" s="62"/>
      <c r="BR1124" s="4"/>
      <c r="BS1124" s="57" t="e">
        <f t="shared" si="38"/>
        <v>#VALUE!</v>
      </c>
      <c r="BT1124" s="63"/>
      <c r="BU1124" s="8">
        <v>0</v>
      </c>
      <c r="BV1124" s="58" t="e">
        <f>VLOOKUP(AQ1124,'[1]Harga &amp; Nama CSO'!$A$28:$D$31,4,0)*BP1124</f>
        <v>#N/A</v>
      </c>
    </row>
    <row r="1125" spans="41:74" x14ac:dyDescent="0.35">
      <c r="AO1125" s="39">
        <v>1123</v>
      </c>
      <c r="AP1125" s="63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55" t="e">
        <f>IFERROR(VLOOKUP(AQ1125,'[1]Harga &amp; Nama CSO'!$H$2:$N$22,2,FALSE),"")*AV1125</f>
        <v>#VALUE!</v>
      </c>
      <c r="BO1125" s="40"/>
      <c r="BP1125" s="4"/>
      <c r="BQ1125" s="62"/>
      <c r="BR1125" s="4"/>
      <c r="BS1125" s="57" t="e">
        <f t="shared" si="38"/>
        <v>#VALUE!</v>
      </c>
      <c r="BT1125" s="63"/>
      <c r="BU1125" s="8">
        <v>0</v>
      </c>
      <c r="BV1125" s="58" t="e">
        <f>VLOOKUP(AQ1125,'[1]Harga &amp; Nama CSO'!$A$28:$D$31,4,0)*BP1125</f>
        <v>#N/A</v>
      </c>
    </row>
    <row r="1126" spans="41:74" x14ac:dyDescent="0.35">
      <c r="AO1126" s="39">
        <v>1124</v>
      </c>
      <c r="AP1126" s="63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55" t="e">
        <f>IFERROR(VLOOKUP(AQ1126,'[1]Harga &amp; Nama CSO'!$H$2:$N$22,2,FALSE),"")*AV1126</f>
        <v>#VALUE!</v>
      </c>
      <c r="BO1126" s="40"/>
      <c r="BP1126" s="4"/>
      <c r="BQ1126" s="62"/>
      <c r="BR1126" s="4"/>
      <c r="BS1126" s="57" t="e">
        <f t="shared" si="38"/>
        <v>#VALUE!</v>
      </c>
      <c r="BT1126" s="63"/>
      <c r="BU1126" s="8">
        <v>0</v>
      </c>
      <c r="BV1126" s="58" t="e">
        <f>VLOOKUP(AQ1126,'[1]Harga &amp; Nama CSO'!$A$28:$D$31,4,0)*BP1126</f>
        <v>#N/A</v>
      </c>
    </row>
    <row r="1127" spans="41:74" x14ac:dyDescent="0.35">
      <c r="AO1127" s="39">
        <v>1125</v>
      </c>
      <c r="AP1127" s="63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55" t="e">
        <f>IFERROR(VLOOKUP(AQ1127,'[1]Harga &amp; Nama CSO'!$H$2:$N$22,2,FALSE),"")*AV1127</f>
        <v>#VALUE!</v>
      </c>
      <c r="BO1127" s="40"/>
      <c r="BP1127" s="4"/>
      <c r="BQ1127" s="62"/>
      <c r="BR1127" s="4"/>
      <c r="BS1127" s="57" t="e">
        <f t="shared" si="38"/>
        <v>#VALUE!</v>
      </c>
      <c r="BT1127" s="63"/>
      <c r="BU1127" s="8">
        <v>0</v>
      </c>
      <c r="BV1127" s="58" t="e">
        <f>VLOOKUP(AQ1127,'[1]Harga &amp; Nama CSO'!$A$28:$D$31,4,0)*BP1127</f>
        <v>#N/A</v>
      </c>
    </row>
    <row r="1128" spans="41:74" x14ac:dyDescent="0.35">
      <c r="AO1128" s="39">
        <v>1126</v>
      </c>
      <c r="AP1128" s="63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55" t="e">
        <f>IFERROR(VLOOKUP(AQ1128,'[1]Harga &amp; Nama CSO'!$H$2:$N$22,2,FALSE),"")*AV1128</f>
        <v>#VALUE!</v>
      </c>
      <c r="BO1128" s="40"/>
      <c r="BP1128" s="4"/>
      <c r="BQ1128" s="62"/>
      <c r="BR1128" s="4"/>
      <c r="BS1128" s="57" t="e">
        <f t="shared" si="38"/>
        <v>#VALUE!</v>
      </c>
      <c r="BT1128" s="63"/>
      <c r="BU1128" s="8">
        <v>0</v>
      </c>
      <c r="BV1128" s="58" t="e">
        <f>VLOOKUP(AQ1128,'[1]Harga &amp; Nama CSO'!$A$28:$D$31,4,0)*BP1128</f>
        <v>#N/A</v>
      </c>
    </row>
    <row r="1129" spans="41:74" x14ac:dyDescent="0.35">
      <c r="AO1129" s="39">
        <v>1127</v>
      </c>
      <c r="AP1129" s="63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55" t="e">
        <f>IFERROR(VLOOKUP(AQ1129,'[1]Harga &amp; Nama CSO'!$H$2:$N$22,2,FALSE),"")*AV1129</f>
        <v>#VALUE!</v>
      </c>
      <c r="BO1129" s="40"/>
      <c r="BP1129" s="4"/>
      <c r="BQ1129" s="62"/>
      <c r="BR1129" s="4"/>
      <c r="BS1129" s="57" t="e">
        <f t="shared" si="38"/>
        <v>#VALUE!</v>
      </c>
      <c r="BT1129" s="63"/>
      <c r="BU1129" s="8">
        <v>0</v>
      </c>
      <c r="BV1129" s="58" t="e">
        <f>VLOOKUP(AQ1129,'[1]Harga &amp; Nama CSO'!$A$28:$D$31,4,0)*BP1129</f>
        <v>#N/A</v>
      </c>
    </row>
    <row r="1130" spans="41:74" x14ac:dyDescent="0.35">
      <c r="AO1130" s="39">
        <v>1128</v>
      </c>
      <c r="AP1130" s="63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55" t="e">
        <f>IFERROR(VLOOKUP(AQ1130,'[1]Harga &amp; Nama CSO'!$H$2:$N$22,2,FALSE),"")*AV1130</f>
        <v>#VALUE!</v>
      </c>
      <c r="BO1130" s="40"/>
      <c r="BP1130" s="4"/>
      <c r="BQ1130" s="62"/>
      <c r="BR1130" s="4"/>
      <c r="BS1130" s="57" t="e">
        <f t="shared" si="38"/>
        <v>#VALUE!</v>
      </c>
      <c r="BT1130" s="63"/>
      <c r="BU1130" s="8">
        <v>0</v>
      </c>
      <c r="BV1130" s="58" t="e">
        <f>VLOOKUP(AQ1130,'[1]Harga &amp; Nama CSO'!$A$28:$D$31,4,0)*BP1130</f>
        <v>#N/A</v>
      </c>
    </row>
    <row r="1131" spans="41:74" x14ac:dyDescent="0.35">
      <c r="AO1131" s="39">
        <v>1129</v>
      </c>
      <c r="AP1131" s="63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55" t="e">
        <f>IFERROR(VLOOKUP(AQ1131,'[1]Harga &amp; Nama CSO'!$H$2:$N$22,2,FALSE),"")*AV1131</f>
        <v>#VALUE!</v>
      </c>
      <c r="BO1131" s="40"/>
      <c r="BP1131" s="4"/>
      <c r="BQ1131" s="62"/>
      <c r="BR1131" s="4"/>
      <c r="BS1131" s="57" t="e">
        <f t="shared" si="38"/>
        <v>#VALUE!</v>
      </c>
      <c r="BT1131" s="63"/>
      <c r="BU1131" s="8">
        <v>0</v>
      </c>
      <c r="BV1131" s="58" t="e">
        <f>VLOOKUP(AQ1131,'[1]Harga &amp; Nama CSO'!$A$28:$D$31,4,0)*BP1131</f>
        <v>#N/A</v>
      </c>
    </row>
    <row r="1132" spans="41:74" x14ac:dyDescent="0.35">
      <c r="AO1132" s="39">
        <v>1130</v>
      </c>
      <c r="AP1132" s="63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55" t="e">
        <f>IFERROR(VLOOKUP(AQ1132,'[1]Harga &amp; Nama CSO'!$H$2:$N$22,2,FALSE),"")*AV1132</f>
        <v>#VALUE!</v>
      </c>
      <c r="BO1132" s="40"/>
      <c r="BP1132" s="4"/>
      <c r="BQ1132" s="62"/>
      <c r="BR1132" s="4"/>
      <c r="BS1132" s="57" t="e">
        <f t="shared" si="38"/>
        <v>#VALUE!</v>
      </c>
      <c r="BT1132" s="63"/>
      <c r="BU1132" s="8">
        <v>0</v>
      </c>
      <c r="BV1132" s="58" t="e">
        <f>VLOOKUP(AQ1132,'[1]Harga &amp; Nama CSO'!$A$28:$D$31,4,0)*BP1132</f>
        <v>#N/A</v>
      </c>
    </row>
    <row r="1133" spans="41:74" x14ac:dyDescent="0.35">
      <c r="AO1133" s="39">
        <v>1131</v>
      </c>
      <c r="AP1133" s="63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55" t="e">
        <f>IFERROR(VLOOKUP(AQ1133,'[1]Harga &amp; Nama CSO'!$H$2:$N$22,2,FALSE),"")*AV1133</f>
        <v>#VALUE!</v>
      </c>
      <c r="BO1133" s="40"/>
      <c r="BP1133" s="4"/>
      <c r="BQ1133" s="62"/>
      <c r="BR1133" s="4"/>
      <c r="BS1133" s="57" t="e">
        <f t="shared" si="38"/>
        <v>#VALUE!</v>
      </c>
      <c r="BT1133" s="63"/>
      <c r="BU1133" s="8">
        <v>0</v>
      </c>
      <c r="BV1133" s="58" t="e">
        <f>VLOOKUP(AQ1133,'[1]Harga &amp; Nama CSO'!$A$28:$D$31,4,0)*BP1133</f>
        <v>#N/A</v>
      </c>
    </row>
    <row r="1134" spans="41:74" x14ac:dyDescent="0.35">
      <c r="AO1134" s="39">
        <v>1132</v>
      </c>
      <c r="AP1134" s="63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55" t="e">
        <f>IFERROR(VLOOKUP(AQ1134,'[1]Harga &amp; Nama CSO'!$H$2:$N$22,2,FALSE),"")*AV1134</f>
        <v>#VALUE!</v>
      </c>
      <c r="BO1134" s="40"/>
      <c r="BP1134" s="4"/>
      <c r="BQ1134" s="62"/>
      <c r="BR1134" s="4"/>
      <c r="BS1134" s="57" t="e">
        <f t="shared" si="38"/>
        <v>#VALUE!</v>
      </c>
      <c r="BT1134" s="63"/>
      <c r="BU1134" s="8">
        <v>0</v>
      </c>
      <c r="BV1134" s="58" t="e">
        <f>VLOOKUP(AQ1134,'[1]Harga &amp; Nama CSO'!$A$28:$D$31,4,0)*BP1134</f>
        <v>#N/A</v>
      </c>
    </row>
    <row r="1135" spans="41:74" x14ac:dyDescent="0.35">
      <c r="AO1135" s="39">
        <v>1133</v>
      </c>
      <c r="AP1135" s="63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55" t="e">
        <f>IFERROR(VLOOKUP(AQ1135,'[1]Harga &amp; Nama CSO'!$H$2:$N$22,2,FALSE),"")*AV1135</f>
        <v>#VALUE!</v>
      </c>
      <c r="BO1135" s="40"/>
      <c r="BP1135" s="4"/>
      <c r="BQ1135" s="62"/>
      <c r="BR1135" s="4"/>
      <c r="BS1135" s="57" t="e">
        <f t="shared" si="38"/>
        <v>#VALUE!</v>
      </c>
      <c r="BT1135" s="63"/>
      <c r="BU1135" s="8">
        <v>0</v>
      </c>
      <c r="BV1135" s="58" t="e">
        <f>VLOOKUP(AQ1135,'[1]Harga &amp; Nama CSO'!$A$28:$D$31,4,0)*BP1135</f>
        <v>#N/A</v>
      </c>
    </row>
    <row r="1136" spans="41:74" x14ac:dyDescent="0.35">
      <c r="AO1136" s="39">
        <v>1134</v>
      </c>
      <c r="AP1136" s="63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55" t="e">
        <f>IFERROR(VLOOKUP(AQ1136,'[1]Harga &amp; Nama CSO'!$H$2:$N$22,2,FALSE),"")*AV1136</f>
        <v>#VALUE!</v>
      </c>
      <c r="BO1136" s="40"/>
      <c r="BP1136" s="4"/>
      <c r="BQ1136" s="62"/>
      <c r="BR1136" s="4"/>
      <c r="BS1136" s="57" t="e">
        <f t="shared" si="38"/>
        <v>#VALUE!</v>
      </c>
      <c r="BT1136" s="63"/>
      <c r="BU1136" s="8">
        <v>0</v>
      </c>
      <c r="BV1136" s="58" t="e">
        <f>VLOOKUP(AQ1136,'[1]Harga &amp; Nama CSO'!$A$28:$D$31,4,0)*BP1136</f>
        <v>#N/A</v>
      </c>
    </row>
    <row r="1137" spans="41:74" x14ac:dyDescent="0.35">
      <c r="AO1137" s="39">
        <v>1135</v>
      </c>
      <c r="AP1137" s="63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55" t="e">
        <f>IFERROR(VLOOKUP(AQ1137,'[1]Harga &amp; Nama CSO'!$H$2:$N$22,2,FALSE),"")*AV1137</f>
        <v>#VALUE!</v>
      </c>
      <c r="BO1137" s="40"/>
      <c r="BP1137" s="4"/>
      <c r="BQ1137" s="62"/>
      <c r="BR1137" s="4"/>
      <c r="BS1137" s="57" t="e">
        <f t="shared" si="38"/>
        <v>#VALUE!</v>
      </c>
      <c r="BT1137" s="63"/>
      <c r="BU1137" s="8">
        <v>0</v>
      </c>
      <c r="BV1137" s="58" t="e">
        <f>VLOOKUP(AQ1137,'[1]Harga &amp; Nama CSO'!$A$28:$D$31,4,0)*BP1137</f>
        <v>#N/A</v>
      </c>
    </row>
    <row r="1138" spans="41:74" x14ac:dyDescent="0.35">
      <c r="AO1138" s="39">
        <v>1136</v>
      </c>
      <c r="AP1138" s="63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55" t="e">
        <f>IFERROR(VLOOKUP(AQ1138,'[1]Harga &amp; Nama CSO'!$H$2:$N$22,2,FALSE),"")*AV1138</f>
        <v>#VALUE!</v>
      </c>
      <c r="BO1138" s="40"/>
      <c r="BP1138" s="4"/>
      <c r="BQ1138" s="62"/>
      <c r="BR1138" s="4"/>
      <c r="BS1138" s="57" t="e">
        <f t="shared" si="38"/>
        <v>#VALUE!</v>
      </c>
      <c r="BT1138" s="63"/>
      <c r="BU1138" s="8">
        <v>0</v>
      </c>
      <c r="BV1138" s="58" t="e">
        <f>VLOOKUP(AQ1138,'[1]Harga &amp; Nama CSO'!$A$28:$D$31,4,0)*BP1138</f>
        <v>#N/A</v>
      </c>
    </row>
    <row r="1139" spans="41:74" x14ac:dyDescent="0.35">
      <c r="AO1139" s="39">
        <v>1137</v>
      </c>
      <c r="AP1139" s="63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55" t="e">
        <f>IFERROR(VLOOKUP(AQ1139,'[1]Harga &amp; Nama CSO'!$H$2:$N$22,2,FALSE),"")*AV1139</f>
        <v>#VALUE!</v>
      </c>
      <c r="BO1139" s="40"/>
      <c r="BP1139" s="4"/>
      <c r="BQ1139" s="62"/>
      <c r="BR1139" s="4"/>
      <c r="BS1139" s="57" t="e">
        <f t="shared" si="38"/>
        <v>#VALUE!</v>
      </c>
      <c r="BT1139" s="63"/>
      <c r="BU1139" s="8">
        <v>0</v>
      </c>
      <c r="BV1139" s="58" t="e">
        <f>VLOOKUP(AQ1139,'[1]Harga &amp; Nama CSO'!$A$28:$D$31,4,0)*BP1139</f>
        <v>#N/A</v>
      </c>
    </row>
    <row r="1140" spans="41:74" x14ac:dyDescent="0.35">
      <c r="AO1140" s="39">
        <v>1138</v>
      </c>
      <c r="AP1140" s="63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55" t="e">
        <f>IFERROR(VLOOKUP(AQ1140,'[1]Harga &amp; Nama CSO'!$H$2:$N$22,2,FALSE),"")*AV1140</f>
        <v>#VALUE!</v>
      </c>
      <c r="BO1140" s="40"/>
      <c r="BP1140" s="4"/>
      <c r="BQ1140" s="62"/>
      <c r="BR1140" s="4"/>
      <c r="BS1140" s="57" t="e">
        <f t="shared" si="38"/>
        <v>#VALUE!</v>
      </c>
      <c r="BT1140" s="63"/>
      <c r="BU1140" s="8">
        <v>0</v>
      </c>
      <c r="BV1140" s="58" t="e">
        <f>VLOOKUP(AQ1140,'[1]Harga &amp; Nama CSO'!$A$28:$D$31,4,0)*BP1140</f>
        <v>#N/A</v>
      </c>
    </row>
    <row r="1141" spans="41:74" x14ac:dyDescent="0.35">
      <c r="AO1141" s="39">
        <v>1139</v>
      </c>
      <c r="AP1141" s="63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55" t="e">
        <f>IFERROR(VLOOKUP(AQ1141,'[1]Harga &amp; Nama CSO'!$H$2:$N$22,2,FALSE),"")*AV1141</f>
        <v>#VALUE!</v>
      </c>
      <c r="BO1141" s="40"/>
      <c r="BP1141" s="4"/>
      <c r="BQ1141" s="62"/>
      <c r="BR1141" s="4"/>
      <c r="BS1141" s="57" t="e">
        <f t="shared" si="38"/>
        <v>#VALUE!</v>
      </c>
      <c r="BT1141" s="63"/>
      <c r="BU1141" s="8">
        <v>0</v>
      </c>
      <c r="BV1141" s="58" t="e">
        <f>VLOOKUP(AQ1141,'[1]Harga &amp; Nama CSO'!$A$28:$D$31,4,0)*BP1141</f>
        <v>#N/A</v>
      </c>
    </row>
    <row r="1142" spans="41:74" x14ac:dyDescent="0.35">
      <c r="AO1142" s="39">
        <v>1140</v>
      </c>
      <c r="AP1142" s="63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55" t="e">
        <f>IFERROR(VLOOKUP(AQ1142,'[1]Harga &amp; Nama CSO'!$H$2:$N$22,2,FALSE),"")*AV1142</f>
        <v>#VALUE!</v>
      </c>
      <c r="BO1142" s="40"/>
      <c r="BP1142" s="4"/>
      <c r="BQ1142" s="62"/>
      <c r="BR1142" s="4"/>
      <c r="BS1142" s="57" t="e">
        <f t="shared" si="38"/>
        <v>#VALUE!</v>
      </c>
      <c r="BT1142" s="63"/>
      <c r="BU1142" s="8">
        <v>0</v>
      </c>
      <c r="BV1142" s="58" t="e">
        <f>VLOOKUP(AQ1142,'[1]Harga &amp; Nama CSO'!$A$28:$D$31,4,0)*BP1142</f>
        <v>#N/A</v>
      </c>
    </row>
    <row r="1143" spans="41:74" x14ac:dyDescent="0.35">
      <c r="AO1143" s="39">
        <v>1141</v>
      </c>
      <c r="AP1143" s="63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55" t="e">
        <f>IFERROR(VLOOKUP(AQ1143,'[1]Harga &amp; Nama CSO'!$H$2:$N$22,2,FALSE),"")*AV1143</f>
        <v>#VALUE!</v>
      </c>
      <c r="BO1143" s="40"/>
      <c r="BP1143" s="4"/>
      <c r="BQ1143" s="62"/>
      <c r="BR1143" s="4"/>
      <c r="BS1143" s="57" t="e">
        <f t="shared" si="38"/>
        <v>#VALUE!</v>
      </c>
      <c r="BT1143" s="63"/>
      <c r="BU1143" s="8">
        <v>0</v>
      </c>
      <c r="BV1143" s="58" t="e">
        <f>VLOOKUP(AQ1143,'[1]Harga &amp; Nama CSO'!$A$28:$D$31,4,0)*BP1143</f>
        <v>#N/A</v>
      </c>
    </row>
    <row r="1144" spans="41:74" x14ac:dyDescent="0.35">
      <c r="AO1144" s="39">
        <v>1142</v>
      </c>
      <c r="AP1144" s="63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55" t="e">
        <f>IFERROR(VLOOKUP(AQ1144,'[1]Harga &amp; Nama CSO'!$H$2:$N$22,2,FALSE),"")*AV1144</f>
        <v>#VALUE!</v>
      </c>
      <c r="BO1144" s="40"/>
      <c r="BP1144" s="4"/>
      <c r="BQ1144" s="62"/>
      <c r="BR1144" s="4"/>
      <c r="BS1144" s="57" t="e">
        <f t="shared" si="38"/>
        <v>#VALUE!</v>
      </c>
      <c r="BT1144" s="63"/>
      <c r="BU1144" s="8">
        <v>0</v>
      </c>
      <c r="BV1144" s="58" t="e">
        <f>VLOOKUP(AQ1144,'[1]Harga &amp; Nama CSO'!$A$28:$D$31,4,0)*BP1144</f>
        <v>#N/A</v>
      </c>
    </row>
    <row r="1145" spans="41:74" x14ac:dyDescent="0.35">
      <c r="AO1145" s="39">
        <v>1143</v>
      </c>
      <c r="AP1145" s="63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55" t="e">
        <f>IFERROR(VLOOKUP(AQ1145,'[1]Harga &amp; Nama CSO'!$H$2:$N$22,2,FALSE),"")*AV1145</f>
        <v>#VALUE!</v>
      </c>
      <c r="BO1145" s="40"/>
      <c r="BP1145" s="4"/>
      <c r="BQ1145" s="62"/>
      <c r="BR1145" s="4"/>
      <c r="BS1145" s="57" t="e">
        <f t="shared" si="38"/>
        <v>#VALUE!</v>
      </c>
      <c r="BT1145" s="63"/>
      <c r="BU1145" s="8">
        <v>0</v>
      </c>
      <c r="BV1145" s="58" t="e">
        <f>VLOOKUP(AQ1145,'[1]Harga &amp; Nama CSO'!$A$28:$D$31,4,0)*BP1145</f>
        <v>#N/A</v>
      </c>
    </row>
    <row r="1146" spans="41:74" x14ac:dyDescent="0.35">
      <c r="AO1146" s="39">
        <v>1144</v>
      </c>
      <c r="AP1146" s="63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55" t="e">
        <f>IFERROR(VLOOKUP(AQ1146,'[1]Harga &amp; Nama CSO'!$H$2:$N$22,2,FALSE),"")*AV1146</f>
        <v>#VALUE!</v>
      </c>
      <c r="BO1146" s="40"/>
      <c r="BP1146" s="4"/>
      <c r="BQ1146" s="62"/>
      <c r="BR1146" s="4"/>
      <c r="BS1146" s="57" t="e">
        <f t="shared" si="38"/>
        <v>#VALUE!</v>
      </c>
      <c r="BT1146" s="63"/>
      <c r="BU1146" s="8">
        <v>0</v>
      </c>
      <c r="BV1146" s="58" t="e">
        <f>VLOOKUP(AQ1146,'[1]Harga &amp; Nama CSO'!$A$28:$D$31,4,0)*BP1146</f>
        <v>#N/A</v>
      </c>
    </row>
    <row r="1147" spans="41:74" x14ac:dyDescent="0.35">
      <c r="AO1147" s="39">
        <v>1145</v>
      </c>
      <c r="AP1147" s="63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55" t="e">
        <f>IFERROR(VLOOKUP(AQ1147,'[1]Harga &amp; Nama CSO'!$H$2:$N$22,2,FALSE),"")*AV1147</f>
        <v>#VALUE!</v>
      </c>
      <c r="BO1147" s="40"/>
      <c r="BP1147" s="4"/>
      <c r="BQ1147" s="62"/>
      <c r="BR1147" s="4"/>
      <c r="BS1147" s="57" t="e">
        <f t="shared" si="38"/>
        <v>#VALUE!</v>
      </c>
      <c r="BT1147" s="63"/>
      <c r="BU1147" s="8">
        <v>0</v>
      </c>
      <c r="BV1147" s="58" t="e">
        <f>VLOOKUP(AQ1147,'[1]Harga &amp; Nama CSO'!$A$28:$D$31,4,0)*BP1147</f>
        <v>#N/A</v>
      </c>
    </row>
    <row r="1148" spans="41:74" x14ac:dyDescent="0.35">
      <c r="AO1148" s="39">
        <v>1146</v>
      </c>
      <c r="AP1148" s="63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55" t="e">
        <f>IFERROR(VLOOKUP(AQ1148,'[1]Harga &amp; Nama CSO'!$H$2:$N$22,2,FALSE),"")*AV1148</f>
        <v>#VALUE!</v>
      </c>
      <c r="BO1148" s="40"/>
      <c r="BP1148" s="4"/>
      <c r="BQ1148" s="62"/>
      <c r="BR1148" s="4"/>
      <c r="BS1148" s="57" t="e">
        <f t="shared" si="38"/>
        <v>#VALUE!</v>
      </c>
      <c r="BT1148" s="63"/>
      <c r="BU1148" s="8">
        <v>0</v>
      </c>
      <c r="BV1148" s="58" t="e">
        <f>VLOOKUP(AQ1148,'[1]Harga &amp; Nama CSO'!$A$28:$D$31,4,0)*BP1148</f>
        <v>#N/A</v>
      </c>
    </row>
    <row r="1149" spans="41:74" x14ac:dyDescent="0.35">
      <c r="AO1149" s="39">
        <v>1147</v>
      </c>
      <c r="AP1149" s="63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55" t="e">
        <f>IFERROR(VLOOKUP(AQ1149,'[1]Harga &amp; Nama CSO'!$H$2:$N$22,2,FALSE),"")*AV1149</f>
        <v>#VALUE!</v>
      </c>
      <c r="BO1149" s="40"/>
      <c r="BP1149" s="4"/>
      <c r="BQ1149" s="62"/>
      <c r="BR1149" s="4"/>
      <c r="BS1149" s="57" t="e">
        <f t="shared" si="38"/>
        <v>#VALUE!</v>
      </c>
      <c r="BT1149" s="63"/>
      <c r="BU1149" s="8">
        <v>0</v>
      </c>
      <c r="BV1149" s="58" t="e">
        <f>VLOOKUP(AQ1149,'[1]Harga &amp; Nama CSO'!$A$28:$D$31,4,0)*BP1149</f>
        <v>#N/A</v>
      </c>
    </row>
    <row r="1150" spans="41:74" x14ac:dyDescent="0.35">
      <c r="AO1150" s="39">
        <v>1148</v>
      </c>
      <c r="AP1150" s="63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55" t="e">
        <f>IFERROR(VLOOKUP(AQ1150,'[1]Harga &amp; Nama CSO'!$H$2:$N$22,2,FALSE),"")*AV1150</f>
        <v>#VALUE!</v>
      </c>
      <c r="BO1150" s="40"/>
      <c r="BP1150" s="4"/>
      <c r="BQ1150" s="62"/>
      <c r="BR1150" s="4"/>
      <c r="BS1150" s="57" t="e">
        <f t="shared" si="38"/>
        <v>#VALUE!</v>
      </c>
      <c r="BT1150" s="63"/>
      <c r="BU1150" s="8">
        <v>0</v>
      </c>
      <c r="BV1150" s="58" t="e">
        <f>VLOOKUP(AQ1150,'[1]Harga &amp; Nama CSO'!$A$28:$D$31,4,0)*BP1150</f>
        <v>#N/A</v>
      </c>
    </row>
    <row r="1151" spans="41:74" x14ac:dyDescent="0.35">
      <c r="AO1151" s="39">
        <v>1149</v>
      </c>
      <c r="AP1151" s="63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55" t="e">
        <f>IFERROR(VLOOKUP(AQ1151,'[1]Harga &amp; Nama CSO'!$H$2:$N$22,2,FALSE),"")*AV1151</f>
        <v>#VALUE!</v>
      </c>
      <c r="BO1151" s="40"/>
      <c r="BP1151" s="4"/>
      <c r="BQ1151" s="62"/>
      <c r="BR1151" s="4"/>
      <c r="BS1151" s="57" t="e">
        <f t="shared" si="38"/>
        <v>#VALUE!</v>
      </c>
      <c r="BT1151" s="63"/>
      <c r="BU1151" s="8">
        <v>0</v>
      </c>
      <c r="BV1151" s="58" t="e">
        <f>VLOOKUP(AQ1151,'[1]Harga &amp; Nama CSO'!$A$28:$D$31,4,0)*BP1151</f>
        <v>#N/A</v>
      </c>
    </row>
    <row r="1152" spans="41:74" x14ac:dyDescent="0.35">
      <c r="AO1152" s="39">
        <v>1150</v>
      </c>
      <c r="AP1152" s="63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55" t="e">
        <f>IFERROR(VLOOKUP(AQ1152,'[1]Harga &amp; Nama CSO'!$H$2:$N$22,2,FALSE),"")*AV1152</f>
        <v>#VALUE!</v>
      </c>
      <c r="BO1152" s="40"/>
      <c r="BP1152" s="4"/>
      <c r="BQ1152" s="62"/>
      <c r="BR1152" s="4"/>
      <c r="BS1152" s="57" t="e">
        <f t="shared" si="38"/>
        <v>#VALUE!</v>
      </c>
      <c r="BT1152" s="63"/>
      <c r="BU1152" s="8">
        <v>0</v>
      </c>
      <c r="BV1152" s="58" t="e">
        <f>VLOOKUP(AQ1152,'[1]Harga &amp; Nama CSO'!$A$28:$D$31,4,0)*BP1152</f>
        <v>#N/A</v>
      </c>
    </row>
    <row r="1153" spans="41:74" x14ac:dyDescent="0.35">
      <c r="AO1153" s="39">
        <v>1151</v>
      </c>
      <c r="AP1153" s="63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55" t="e">
        <f>IFERROR(VLOOKUP(AQ1153,'[1]Harga &amp; Nama CSO'!$H$2:$N$22,2,FALSE),"")*AV1153</f>
        <v>#VALUE!</v>
      </c>
      <c r="BO1153" s="40"/>
      <c r="BP1153" s="4"/>
      <c r="BQ1153" s="62"/>
      <c r="BR1153" s="4"/>
      <c r="BS1153" s="57" t="e">
        <f t="shared" si="38"/>
        <v>#VALUE!</v>
      </c>
      <c r="BT1153" s="63"/>
      <c r="BU1153" s="8">
        <v>0</v>
      </c>
      <c r="BV1153" s="58" t="e">
        <f>VLOOKUP(AQ1153,'[1]Harga &amp; Nama CSO'!$A$28:$D$31,4,0)*BP1153</f>
        <v>#N/A</v>
      </c>
    </row>
    <row r="1154" spans="41:74" x14ac:dyDescent="0.35">
      <c r="AO1154" s="39">
        <v>1152</v>
      </c>
      <c r="AP1154" s="63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55" t="e">
        <f>IFERROR(VLOOKUP(AQ1154,'[1]Harga &amp; Nama CSO'!$H$2:$N$22,2,FALSE),"")*AV1154</f>
        <v>#VALUE!</v>
      </c>
      <c r="BO1154" s="40"/>
      <c r="BP1154" s="4"/>
      <c r="BQ1154" s="62"/>
      <c r="BR1154" s="4"/>
      <c r="BS1154" s="57" t="e">
        <f t="shared" si="38"/>
        <v>#VALUE!</v>
      </c>
      <c r="BT1154" s="63"/>
      <c r="BU1154" s="8">
        <v>0</v>
      </c>
      <c r="BV1154" s="58" t="e">
        <f>VLOOKUP(AQ1154,'[1]Harga &amp; Nama CSO'!$A$28:$D$31,4,0)*BP1154</f>
        <v>#N/A</v>
      </c>
    </row>
    <row r="1155" spans="41:74" x14ac:dyDescent="0.35">
      <c r="AO1155" s="39">
        <v>1153</v>
      </c>
      <c r="AP1155" s="63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55" t="e">
        <f>IFERROR(VLOOKUP(AQ1155,'[1]Harga &amp; Nama CSO'!$H$2:$N$22,2,FALSE),"")*AV1155</f>
        <v>#VALUE!</v>
      </c>
      <c r="BO1155" s="40"/>
      <c r="BP1155" s="4"/>
      <c r="BQ1155" s="62"/>
      <c r="BR1155" s="4"/>
      <c r="BS1155" s="57" t="e">
        <f t="shared" ref="BS1155:BS1218" si="39">BN1155-BQ1155</f>
        <v>#VALUE!</v>
      </c>
      <c r="BT1155" s="63"/>
      <c r="BU1155" s="8">
        <v>0</v>
      </c>
      <c r="BV1155" s="58" t="e">
        <f>VLOOKUP(AQ1155,'[1]Harga &amp; Nama CSO'!$A$28:$D$31,4,0)*BP1155</f>
        <v>#N/A</v>
      </c>
    </row>
    <row r="1156" spans="41:74" x14ac:dyDescent="0.35">
      <c r="AO1156" s="39">
        <v>1154</v>
      </c>
      <c r="AP1156" s="63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55" t="e">
        <f>IFERROR(VLOOKUP(AQ1156,'[1]Harga &amp; Nama CSO'!$H$2:$N$22,2,FALSE),"")*AV1156</f>
        <v>#VALUE!</v>
      </c>
      <c r="BO1156" s="40"/>
      <c r="BP1156" s="4"/>
      <c r="BQ1156" s="62"/>
      <c r="BR1156" s="4"/>
      <c r="BS1156" s="57" t="e">
        <f t="shared" si="39"/>
        <v>#VALUE!</v>
      </c>
      <c r="BT1156" s="63"/>
      <c r="BU1156" s="8">
        <v>0</v>
      </c>
      <c r="BV1156" s="58" t="e">
        <f>VLOOKUP(AQ1156,'[1]Harga &amp; Nama CSO'!$A$28:$D$31,4,0)*BP1156</f>
        <v>#N/A</v>
      </c>
    </row>
    <row r="1157" spans="41:74" x14ac:dyDescent="0.35">
      <c r="AO1157" s="39">
        <v>1155</v>
      </c>
      <c r="AP1157" s="63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55" t="e">
        <f>IFERROR(VLOOKUP(AQ1157,'[1]Harga &amp; Nama CSO'!$H$2:$N$22,2,FALSE),"")*AV1157</f>
        <v>#VALUE!</v>
      </c>
      <c r="BO1157" s="40"/>
      <c r="BP1157" s="4"/>
      <c r="BQ1157" s="62"/>
      <c r="BR1157" s="4"/>
      <c r="BS1157" s="57" t="e">
        <f t="shared" si="39"/>
        <v>#VALUE!</v>
      </c>
      <c r="BT1157" s="63"/>
      <c r="BU1157" s="8">
        <v>0</v>
      </c>
      <c r="BV1157" s="58" t="e">
        <f>VLOOKUP(AQ1157,'[1]Harga &amp; Nama CSO'!$A$28:$D$31,4,0)*BP1157</f>
        <v>#N/A</v>
      </c>
    </row>
    <row r="1158" spans="41:74" x14ac:dyDescent="0.35">
      <c r="AO1158" s="39">
        <v>1156</v>
      </c>
      <c r="AP1158" s="63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55" t="e">
        <f>IFERROR(VLOOKUP(AQ1158,'[1]Harga &amp; Nama CSO'!$H$2:$N$22,2,FALSE),"")*AV1158</f>
        <v>#VALUE!</v>
      </c>
      <c r="BO1158" s="40"/>
      <c r="BP1158" s="4"/>
      <c r="BQ1158" s="62"/>
      <c r="BR1158" s="4"/>
      <c r="BS1158" s="57" t="e">
        <f t="shared" si="39"/>
        <v>#VALUE!</v>
      </c>
      <c r="BT1158" s="63"/>
      <c r="BU1158" s="8">
        <v>0</v>
      </c>
      <c r="BV1158" s="58" t="e">
        <f>VLOOKUP(AQ1158,'[1]Harga &amp; Nama CSO'!$A$28:$D$31,4,0)*BP1158</f>
        <v>#N/A</v>
      </c>
    </row>
    <row r="1159" spans="41:74" x14ac:dyDescent="0.35">
      <c r="AO1159" s="39">
        <v>1157</v>
      </c>
      <c r="AP1159" s="63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55" t="e">
        <f>IFERROR(VLOOKUP(AQ1159,'[1]Harga &amp; Nama CSO'!$H$2:$N$22,2,FALSE),"")*AV1159</f>
        <v>#VALUE!</v>
      </c>
      <c r="BO1159" s="40"/>
      <c r="BP1159" s="4"/>
      <c r="BQ1159" s="62"/>
      <c r="BR1159" s="4"/>
      <c r="BS1159" s="57" t="e">
        <f t="shared" si="39"/>
        <v>#VALUE!</v>
      </c>
      <c r="BT1159" s="63"/>
      <c r="BU1159" s="8">
        <v>0</v>
      </c>
      <c r="BV1159" s="58" t="e">
        <f>VLOOKUP(AQ1159,'[1]Harga &amp; Nama CSO'!$A$28:$D$31,4,0)*BP1159</f>
        <v>#N/A</v>
      </c>
    </row>
    <row r="1160" spans="41:74" x14ac:dyDescent="0.35">
      <c r="AO1160" s="39">
        <v>1158</v>
      </c>
      <c r="AP1160" s="63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55" t="e">
        <f>IFERROR(VLOOKUP(AQ1160,'[1]Harga &amp; Nama CSO'!$H$2:$N$22,2,FALSE),"")*AV1160</f>
        <v>#VALUE!</v>
      </c>
      <c r="BO1160" s="40"/>
      <c r="BP1160" s="4"/>
      <c r="BQ1160" s="62"/>
      <c r="BR1160" s="4"/>
      <c r="BS1160" s="57" t="e">
        <f t="shared" si="39"/>
        <v>#VALUE!</v>
      </c>
      <c r="BT1160" s="63"/>
      <c r="BU1160" s="8">
        <v>0</v>
      </c>
      <c r="BV1160" s="58" t="e">
        <f>VLOOKUP(AQ1160,'[1]Harga &amp; Nama CSO'!$A$28:$D$31,4,0)*BP1160</f>
        <v>#N/A</v>
      </c>
    </row>
    <row r="1161" spans="41:74" x14ac:dyDescent="0.35">
      <c r="AO1161" s="39">
        <v>1159</v>
      </c>
      <c r="AP1161" s="63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55" t="e">
        <f>IFERROR(VLOOKUP(AQ1161,'[1]Harga &amp; Nama CSO'!$H$2:$N$22,2,FALSE),"")*AV1161</f>
        <v>#VALUE!</v>
      </c>
      <c r="BO1161" s="40"/>
      <c r="BP1161" s="4"/>
      <c r="BQ1161" s="62"/>
      <c r="BR1161" s="4"/>
      <c r="BS1161" s="57" t="e">
        <f t="shared" si="39"/>
        <v>#VALUE!</v>
      </c>
      <c r="BT1161" s="63"/>
      <c r="BU1161" s="8">
        <v>0</v>
      </c>
      <c r="BV1161" s="58" t="e">
        <f>VLOOKUP(AQ1161,'[1]Harga &amp; Nama CSO'!$A$28:$D$31,4,0)*BP1161</f>
        <v>#N/A</v>
      </c>
    </row>
    <row r="1162" spans="41:74" x14ac:dyDescent="0.35">
      <c r="AO1162" s="39">
        <v>1160</v>
      </c>
      <c r="AP1162" s="63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55" t="e">
        <f>IFERROR(VLOOKUP(AQ1162,'[1]Harga &amp; Nama CSO'!$H$2:$N$22,2,FALSE),"")*AV1162</f>
        <v>#VALUE!</v>
      </c>
      <c r="BO1162" s="40"/>
      <c r="BP1162" s="4"/>
      <c r="BQ1162" s="62"/>
      <c r="BR1162" s="4"/>
      <c r="BS1162" s="57" t="e">
        <f t="shared" si="39"/>
        <v>#VALUE!</v>
      </c>
      <c r="BT1162" s="63"/>
      <c r="BU1162" s="8">
        <v>0</v>
      </c>
      <c r="BV1162" s="58" t="e">
        <f>VLOOKUP(AQ1162,'[1]Harga &amp; Nama CSO'!$A$28:$D$31,4,0)*BP1162</f>
        <v>#N/A</v>
      </c>
    </row>
    <row r="1163" spans="41:74" x14ac:dyDescent="0.35">
      <c r="AO1163" s="39">
        <v>1161</v>
      </c>
      <c r="AP1163" s="63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55" t="e">
        <f>IFERROR(VLOOKUP(AQ1163,'[1]Harga &amp; Nama CSO'!$H$2:$N$22,2,FALSE),"")*AV1163</f>
        <v>#VALUE!</v>
      </c>
      <c r="BO1163" s="40"/>
      <c r="BP1163" s="4"/>
      <c r="BQ1163" s="62"/>
      <c r="BR1163" s="4"/>
      <c r="BS1163" s="57" t="e">
        <f t="shared" si="39"/>
        <v>#VALUE!</v>
      </c>
      <c r="BT1163" s="63"/>
      <c r="BU1163" s="8">
        <v>0</v>
      </c>
      <c r="BV1163" s="58" t="e">
        <f>VLOOKUP(AQ1163,'[1]Harga &amp; Nama CSO'!$A$28:$D$31,4,0)*BP1163</f>
        <v>#N/A</v>
      </c>
    </row>
    <row r="1164" spans="41:74" x14ac:dyDescent="0.35">
      <c r="AO1164" s="39">
        <v>1162</v>
      </c>
      <c r="AP1164" s="63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55" t="e">
        <f>IFERROR(VLOOKUP(AQ1164,'[1]Harga &amp; Nama CSO'!$H$2:$N$22,2,FALSE),"")*AV1164</f>
        <v>#VALUE!</v>
      </c>
      <c r="BO1164" s="40"/>
      <c r="BP1164" s="4"/>
      <c r="BQ1164" s="62"/>
      <c r="BR1164" s="4"/>
      <c r="BS1164" s="57" t="e">
        <f t="shared" si="39"/>
        <v>#VALUE!</v>
      </c>
      <c r="BT1164" s="63"/>
      <c r="BU1164" s="8">
        <v>0</v>
      </c>
      <c r="BV1164" s="58" t="e">
        <f>VLOOKUP(AQ1164,'[1]Harga &amp; Nama CSO'!$A$28:$D$31,4,0)*BP1164</f>
        <v>#N/A</v>
      </c>
    </row>
    <row r="1165" spans="41:74" x14ac:dyDescent="0.35">
      <c r="AO1165" s="39">
        <v>1163</v>
      </c>
      <c r="AP1165" s="63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55" t="e">
        <f>IFERROR(VLOOKUP(AQ1165,'[1]Harga &amp; Nama CSO'!$H$2:$N$22,2,FALSE),"")*AV1165</f>
        <v>#VALUE!</v>
      </c>
      <c r="BO1165" s="40"/>
      <c r="BP1165" s="4"/>
      <c r="BQ1165" s="62"/>
      <c r="BR1165" s="4"/>
      <c r="BS1165" s="57" t="e">
        <f t="shared" si="39"/>
        <v>#VALUE!</v>
      </c>
      <c r="BT1165" s="63"/>
      <c r="BU1165" s="8">
        <v>0</v>
      </c>
      <c r="BV1165" s="58" t="e">
        <f>VLOOKUP(AQ1165,'[1]Harga &amp; Nama CSO'!$A$28:$D$31,4,0)*BP1165</f>
        <v>#N/A</v>
      </c>
    </row>
    <row r="1166" spans="41:74" x14ac:dyDescent="0.35">
      <c r="AO1166" s="39">
        <v>1164</v>
      </c>
      <c r="AP1166" s="63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55" t="e">
        <f>IFERROR(VLOOKUP(AQ1166,'[1]Harga &amp; Nama CSO'!$H$2:$N$22,2,FALSE),"")*AV1166</f>
        <v>#VALUE!</v>
      </c>
      <c r="BO1166" s="40"/>
      <c r="BP1166" s="4"/>
      <c r="BQ1166" s="62"/>
      <c r="BR1166" s="4"/>
      <c r="BS1166" s="57" t="e">
        <f t="shared" si="39"/>
        <v>#VALUE!</v>
      </c>
      <c r="BT1166" s="63"/>
      <c r="BU1166" s="8">
        <v>0</v>
      </c>
      <c r="BV1166" s="58" t="e">
        <f>VLOOKUP(AQ1166,'[1]Harga &amp; Nama CSO'!$A$28:$D$31,4,0)*BP1166</f>
        <v>#N/A</v>
      </c>
    </row>
    <row r="1167" spans="41:74" x14ac:dyDescent="0.35">
      <c r="AO1167" s="39">
        <v>1165</v>
      </c>
      <c r="AP1167" s="63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55" t="e">
        <f>IFERROR(VLOOKUP(AQ1167,'[1]Harga &amp; Nama CSO'!$H$2:$N$22,2,FALSE),"")*AV1167</f>
        <v>#VALUE!</v>
      </c>
      <c r="BO1167" s="40"/>
      <c r="BP1167" s="4"/>
      <c r="BQ1167" s="62"/>
      <c r="BR1167" s="4"/>
      <c r="BS1167" s="57" t="e">
        <f t="shared" si="39"/>
        <v>#VALUE!</v>
      </c>
      <c r="BT1167" s="63"/>
      <c r="BU1167" s="8">
        <v>0</v>
      </c>
      <c r="BV1167" s="58" t="e">
        <f>VLOOKUP(AQ1167,'[1]Harga &amp; Nama CSO'!$A$28:$D$31,4,0)*BP1167</f>
        <v>#N/A</v>
      </c>
    </row>
    <row r="1168" spans="41:74" x14ac:dyDescent="0.35">
      <c r="AO1168" s="39">
        <v>1166</v>
      </c>
      <c r="AP1168" s="63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55" t="e">
        <f>IFERROR(VLOOKUP(AQ1168,'[1]Harga &amp; Nama CSO'!$H$2:$N$22,2,FALSE),"")*AV1168</f>
        <v>#VALUE!</v>
      </c>
      <c r="BO1168" s="40"/>
      <c r="BP1168" s="4"/>
      <c r="BQ1168" s="62"/>
      <c r="BR1168" s="4"/>
      <c r="BS1168" s="57" t="e">
        <f t="shared" si="39"/>
        <v>#VALUE!</v>
      </c>
      <c r="BT1168" s="63"/>
      <c r="BU1168" s="8">
        <v>0</v>
      </c>
      <c r="BV1168" s="58" t="e">
        <f>VLOOKUP(AQ1168,'[1]Harga &amp; Nama CSO'!$A$28:$D$31,4,0)*BP1168</f>
        <v>#N/A</v>
      </c>
    </row>
    <row r="1169" spans="41:74" x14ac:dyDescent="0.35">
      <c r="AO1169" s="39">
        <v>1167</v>
      </c>
      <c r="AP1169" s="63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55" t="e">
        <f>IFERROR(VLOOKUP(AQ1169,'[1]Harga &amp; Nama CSO'!$H$2:$N$22,2,FALSE),"")*AV1169</f>
        <v>#VALUE!</v>
      </c>
      <c r="BO1169" s="40"/>
      <c r="BP1169" s="4"/>
      <c r="BQ1169" s="62"/>
      <c r="BR1169" s="4"/>
      <c r="BS1169" s="57" t="e">
        <f t="shared" si="39"/>
        <v>#VALUE!</v>
      </c>
      <c r="BT1169" s="63"/>
      <c r="BU1169" s="8">
        <v>0</v>
      </c>
      <c r="BV1169" s="58" t="e">
        <f>VLOOKUP(AQ1169,'[1]Harga &amp; Nama CSO'!$A$28:$D$31,4,0)*BP1169</f>
        <v>#N/A</v>
      </c>
    </row>
    <row r="1170" spans="41:74" x14ac:dyDescent="0.35">
      <c r="AO1170" s="39">
        <v>1168</v>
      </c>
      <c r="AP1170" s="63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55" t="e">
        <f>IFERROR(VLOOKUP(AQ1170,'[1]Harga &amp; Nama CSO'!$H$2:$N$22,2,FALSE),"")*AV1170</f>
        <v>#VALUE!</v>
      </c>
      <c r="BO1170" s="40"/>
      <c r="BP1170" s="4"/>
      <c r="BQ1170" s="62"/>
      <c r="BR1170" s="4"/>
      <c r="BS1170" s="57" t="e">
        <f t="shared" si="39"/>
        <v>#VALUE!</v>
      </c>
      <c r="BT1170" s="63"/>
      <c r="BU1170" s="8">
        <v>0</v>
      </c>
      <c r="BV1170" s="58" t="e">
        <f>VLOOKUP(AQ1170,'[1]Harga &amp; Nama CSO'!$A$28:$D$31,4,0)*BP1170</f>
        <v>#N/A</v>
      </c>
    </row>
    <row r="1171" spans="41:74" x14ac:dyDescent="0.35">
      <c r="AO1171" s="39">
        <v>1169</v>
      </c>
      <c r="AP1171" s="63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55" t="e">
        <f>IFERROR(VLOOKUP(AQ1171,'[1]Harga &amp; Nama CSO'!$H$2:$N$22,2,FALSE),"")*AV1171</f>
        <v>#VALUE!</v>
      </c>
      <c r="BO1171" s="40"/>
      <c r="BP1171" s="4"/>
      <c r="BQ1171" s="62"/>
      <c r="BR1171" s="4"/>
      <c r="BS1171" s="57" t="e">
        <f t="shared" si="39"/>
        <v>#VALUE!</v>
      </c>
      <c r="BT1171" s="63"/>
      <c r="BU1171" s="8">
        <v>0</v>
      </c>
      <c r="BV1171" s="58" t="e">
        <f>VLOOKUP(AQ1171,'[1]Harga &amp; Nama CSO'!$A$28:$D$31,4,0)*BP1171</f>
        <v>#N/A</v>
      </c>
    </row>
    <row r="1172" spans="41:74" x14ac:dyDescent="0.35">
      <c r="AO1172" s="39">
        <v>1170</v>
      </c>
      <c r="AP1172" s="63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55" t="e">
        <f>IFERROR(VLOOKUP(AQ1172,'[1]Harga &amp; Nama CSO'!$H$2:$N$22,2,FALSE),"")*AV1172</f>
        <v>#VALUE!</v>
      </c>
      <c r="BO1172" s="40"/>
      <c r="BP1172" s="4"/>
      <c r="BQ1172" s="62"/>
      <c r="BR1172" s="4"/>
      <c r="BS1172" s="57" t="e">
        <f t="shared" si="39"/>
        <v>#VALUE!</v>
      </c>
      <c r="BT1172" s="63"/>
      <c r="BU1172" s="8">
        <v>0</v>
      </c>
      <c r="BV1172" s="58" t="e">
        <f>VLOOKUP(AQ1172,'[1]Harga &amp; Nama CSO'!$A$28:$D$31,4,0)*BP1172</f>
        <v>#N/A</v>
      </c>
    </row>
    <row r="1173" spans="41:74" x14ac:dyDescent="0.35">
      <c r="AO1173" s="39">
        <v>1171</v>
      </c>
      <c r="AP1173" s="63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55" t="e">
        <f>IFERROR(VLOOKUP(AQ1173,'[1]Harga &amp; Nama CSO'!$H$2:$N$22,2,FALSE),"")*AV1173</f>
        <v>#VALUE!</v>
      </c>
      <c r="BO1173" s="40"/>
      <c r="BP1173" s="4"/>
      <c r="BQ1173" s="62"/>
      <c r="BR1173" s="4"/>
      <c r="BS1173" s="57" t="e">
        <f t="shared" si="39"/>
        <v>#VALUE!</v>
      </c>
      <c r="BT1173" s="63"/>
      <c r="BU1173" s="8">
        <v>0</v>
      </c>
      <c r="BV1173" s="58" t="e">
        <f>VLOOKUP(AQ1173,'[1]Harga &amp; Nama CSO'!$A$28:$D$31,4,0)*BP1173</f>
        <v>#N/A</v>
      </c>
    </row>
    <row r="1174" spans="41:74" x14ac:dyDescent="0.35">
      <c r="AO1174" s="39">
        <v>1172</v>
      </c>
      <c r="AP1174" s="63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55" t="e">
        <f>IFERROR(VLOOKUP(AQ1174,'[1]Harga &amp; Nama CSO'!$H$2:$N$22,2,FALSE),"")*AV1174</f>
        <v>#VALUE!</v>
      </c>
      <c r="BO1174" s="40"/>
      <c r="BP1174" s="4"/>
      <c r="BQ1174" s="62"/>
      <c r="BR1174" s="4"/>
      <c r="BS1174" s="57" t="e">
        <f t="shared" si="39"/>
        <v>#VALUE!</v>
      </c>
      <c r="BT1174" s="63"/>
      <c r="BU1174" s="8">
        <v>0</v>
      </c>
      <c r="BV1174" s="58" t="e">
        <f>VLOOKUP(AQ1174,'[1]Harga &amp; Nama CSO'!$A$28:$D$31,4,0)*BP1174</f>
        <v>#N/A</v>
      </c>
    </row>
    <row r="1175" spans="41:74" x14ac:dyDescent="0.35">
      <c r="AO1175" s="39">
        <v>1173</v>
      </c>
      <c r="AP1175" s="63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55" t="e">
        <f>IFERROR(VLOOKUP(AQ1175,'[1]Harga &amp; Nama CSO'!$H$2:$N$22,2,FALSE),"")*AV1175</f>
        <v>#VALUE!</v>
      </c>
      <c r="BO1175" s="40"/>
      <c r="BP1175" s="4"/>
      <c r="BQ1175" s="62"/>
      <c r="BR1175" s="4"/>
      <c r="BS1175" s="57" t="e">
        <f t="shared" si="39"/>
        <v>#VALUE!</v>
      </c>
      <c r="BT1175" s="63"/>
      <c r="BU1175" s="8">
        <v>0</v>
      </c>
      <c r="BV1175" s="58" t="e">
        <f>VLOOKUP(AQ1175,'[1]Harga &amp; Nama CSO'!$A$28:$D$31,4,0)*BP1175</f>
        <v>#N/A</v>
      </c>
    </row>
    <row r="1176" spans="41:74" x14ac:dyDescent="0.35">
      <c r="AO1176" s="39">
        <v>1174</v>
      </c>
      <c r="AP1176" s="63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55" t="e">
        <f>IFERROR(VLOOKUP(AQ1176,'[1]Harga &amp; Nama CSO'!$H$2:$N$22,2,FALSE),"")*AV1176</f>
        <v>#VALUE!</v>
      </c>
      <c r="BO1176" s="40"/>
      <c r="BP1176" s="4"/>
      <c r="BQ1176" s="62"/>
      <c r="BR1176" s="4"/>
      <c r="BS1176" s="57" t="e">
        <f t="shared" si="39"/>
        <v>#VALUE!</v>
      </c>
      <c r="BT1176" s="63"/>
      <c r="BU1176" s="8">
        <v>0</v>
      </c>
      <c r="BV1176" s="58" t="e">
        <f>VLOOKUP(AQ1176,'[1]Harga &amp; Nama CSO'!$A$28:$D$31,4,0)*BP1176</f>
        <v>#N/A</v>
      </c>
    </row>
    <row r="1177" spans="41:74" x14ac:dyDescent="0.35">
      <c r="AO1177" s="39">
        <v>1175</v>
      </c>
      <c r="AP1177" s="63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55" t="e">
        <f>IFERROR(VLOOKUP(AQ1177,'[1]Harga &amp; Nama CSO'!$H$2:$N$22,2,FALSE),"")*AV1177</f>
        <v>#VALUE!</v>
      </c>
      <c r="BO1177" s="40"/>
      <c r="BP1177" s="4"/>
      <c r="BQ1177" s="62"/>
      <c r="BR1177" s="4"/>
      <c r="BS1177" s="57" t="e">
        <f t="shared" si="39"/>
        <v>#VALUE!</v>
      </c>
      <c r="BT1177" s="63"/>
      <c r="BU1177" s="8">
        <v>0</v>
      </c>
      <c r="BV1177" s="58" t="e">
        <f>VLOOKUP(AQ1177,'[1]Harga &amp; Nama CSO'!$A$28:$D$31,4,0)*BP1177</f>
        <v>#N/A</v>
      </c>
    </row>
    <row r="1178" spans="41:74" x14ac:dyDescent="0.35">
      <c r="AO1178" s="39">
        <v>1176</v>
      </c>
      <c r="AP1178" s="63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55" t="e">
        <f>IFERROR(VLOOKUP(AQ1178,'[1]Harga &amp; Nama CSO'!$H$2:$N$22,2,FALSE),"")*AV1178</f>
        <v>#VALUE!</v>
      </c>
      <c r="BO1178" s="40"/>
      <c r="BP1178" s="4"/>
      <c r="BQ1178" s="62"/>
      <c r="BR1178" s="4"/>
      <c r="BS1178" s="57" t="e">
        <f t="shared" si="39"/>
        <v>#VALUE!</v>
      </c>
      <c r="BT1178" s="63"/>
      <c r="BU1178" s="8">
        <v>0</v>
      </c>
      <c r="BV1178" s="58" t="e">
        <f>VLOOKUP(AQ1178,'[1]Harga &amp; Nama CSO'!$A$28:$D$31,4,0)*BP1178</f>
        <v>#N/A</v>
      </c>
    </row>
    <row r="1179" spans="41:74" x14ac:dyDescent="0.35">
      <c r="AO1179" s="39">
        <v>1177</v>
      </c>
      <c r="AP1179" s="63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55" t="e">
        <f>IFERROR(VLOOKUP(AQ1179,'[1]Harga &amp; Nama CSO'!$H$2:$N$22,2,FALSE),"")*AV1179</f>
        <v>#VALUE!</v>
      </c>
      <c r="BO1179" s="40"/>
      <c r="BP1179" s="4"/>
      <c r="BQ1179" s="62"/>
      <c r="BR1179" s="4"/>
      <c r="BS1179" s="57" t="e">
        <f t="shared" si="39"/>
        <v>#VALUE!</v>
      </c>
      <c r="BT1179" s="63"/>
      <c r="BU1179" s="8">
        <v>0</v>
      </c>
      <c r="BV1179" s="58" t="e">
        <f>VLOOKUP(AQ1179,'[1]Harga &amp; Nama CSO'!$A$28:$D$31,4,0)*BP1179</f>
        <v>#N/A</v>
      </c>
    </row>
    <row r="1180" spans="41:74" x14ac:dyDescent="0.35">
      <c r="AO1180" s="39">
        <v>1178</v>
      </c>
      <c r="AP1180" s="63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55" t="e">
        <f>IFERROR(VLOOKUP(AQ1180,'[1]Harga &amp; Nama CSO'!$H$2:$N$22,2,FALSE),"")*AV1180</f>
        <v>#VALUE!</v>
      </c>
      <c r="BO1180" s="40"/>
      <c r="BP1180" s="4"/>
      <c r="BQ1180" s="62"/>
      <c r="BR1180" s="4"/>
      <c r="BS1180" s="57" t="e">
        <f t="shared" si="39"/>
        <v>#VALUE!</v>
      </c>
      <c r="BT1180" s="63"/>
      <c r="BU1180" s="8">
        <v>0</v>
      </c>
      <c r="BV1180" s="58" t="e">
        <f>VLOOKUP(AQ1180,'[1]Harga &amp; Nama CSO'!$A$28:$D$31,4,0)*BP1180</f>
        <v>#N/A</v>
      </c>
    </row>
    <row r="1181" spans="41:74" x14ac:dyDescent="0.35">
      <c r="AO1181" s="39">
        <v>1179</v>
      </c>
      <c r="AP1181" s="63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55" t="e">
        <f>IFERROR(VLOOKUP(AQ1181,'[1]Harga &amp; Nama CSO'!$H$2:$N$22,2,FALSE),"")*AV1181</f>
        <v>#VALUE!</v>
      </c>
      <c r="BO1181" s="40"/>
      <c r="BP1181" s="4"/>
      <c r="BQ1181" s="62"/>
      <c r="BR1181" s="4"/>
      <c r="BS1181" s="57" t="e">
        <f t="shared" si="39"/>
        <v>#VALUE!</v>
      </c>
      <c r="BT1181" s="63"/>
      <c r="BU1181" s="8">
        <v>0</v>
      </c>
      <c r="BV1181" s="58" t="e">
        <f>VLOOKUP(AQ1181,'[1]Harga &amp; Nama CSO'!$A$28:$D$31,4,0)*BP1181</f>
        <v>#N/A</v>
      </c>
    </row>
    <row r="1182" spans="41:74" x14ac:dyDescent="0.35">
      <c r="AO1182" s="39">
        <v>1180</v>
      </c>
      <c r="AP1182" s="63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55" t="e">
        <f>IFERROR(VLOOKUP(AQ1182,'[1]Harga &amp; Nama CSO'!$H$2:$N$22,2,FALSE),"")*AV1182</f>
        <v>#VALUE!</v>
      </c>
      <c r="BO1182" s="40"/>
      <c r="BP1182" s="4"/>
      <c r="BQ1182" s="62"/>
      <c r="BR1182" s="4"/>
      <c r="BS1182" s="57" t="e">
        <f t="shared" si="39"/>
        <v>#VALUE!</v>
      </c>
      <c r="BT1182" s="63"/>
      <c r="BU1182" s="8">
        <v>0</v>
      </c>
      <c r="BV1182" s="58" t="e">
        <f>VLOOKUP(AQ1182,'[1]Harga &amp; Nama CSO'!$A$28:$D$31,4,0)*BP1182</f>
        <v>#N/A</v>
      </c>
    </row>
    <row r="1183" spans="41:74" x14ac:dyDescent="0.35">
      <c r="AO1183" s="39">
        <v>1181</v>
      </c>
      <c r="AP1183" s="63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55" t="e">
        <f>IFERROR(VLOOKUP(AQ1183,'[1]Harga &amp; Nama CSO'!$H$2:$N$22,2,FALSE),"")*AV1183</f>
        <v>#VALUE!</v>
      </c>
      <c r="BO1183" s="40"/>
      <c r="BP1183" s="4"/>
      <c r="BQ1183" s="62"/>
      <c r="BR1183" s="4"/>
      <c r="BS1183" s="57" t="e">
        <f t="shared" si="39"/>
        <v>#VALUE!</v>
      </c>
      <c r="BT1183" s="63"/>
      <c r="BU1183" s="8">
        <v>0</v>
      </c>
      <c r="BV1183" s="58" t="e">
        <f>VLOOKUP(AQ1183,'[1]Harga &amp; Nama CSO'!$A$28:$D$31,4,0)*BP1183</f>
        <v>#N/A</v>
      </c>
    </row>
    <row r="1184" spans="41:74" x14ac:dyDescent="0.35">
      <c r="AO1184" s="39">
        <v>1182</v>
      </c>
      <c r="AP1184" s="63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55" t="e">
        <f>IFERROR(VLOOKUP(AQ1184,'[1]Harga &amp; Nama CSO'!$H$2:$N$22,2,FALSE),"")*AV1184</f>
        <v>#VALUE!</v>
      </c>
      <c r="BO1184" s="40"/>
      <c r="BP1184" s="4"/>
      <c r="BQ1184" s="62"/>
      <c r="BR1184" s="4"/>
      <c r="BS1184" s="57" t="e">
        <f t="shared" si="39"/>
        <v>#VALUE!</v>
      </c>
      <c r="BT1184" s="63"/>
      <c r="BU1184" s="8">
        <v>0</v>
      </c>
      <c r="BV1184" s="58" t="e">
        <f>VLOOKUP(AQ1184,'[1]Harga &amp; Nama CSO'!$A$28:$D$31,4,0)*BP1184</f>
        <v>#N/A</v>
      </c>
    </row>
    <row r="1185" spans="41:74" x14ac:dyDescent="0.35">
      <c r="AO1185" s="39">
        <v>1183</v>
      </c>
      <c r="AP1185" s="63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55" t="e">
        <f>IFERROR(VLOOKUP(AQ1185,'[1]Harga &amp; Nama CSO'!$H$2:$N$22,2,FALSE),"")*AV1185</f>
        <v>#VALUE!</v>
      </c>
      <c r="BO1185" s="40"/>
      <c r="BP1185" s="4"/>
      <c r="BQ1185" s="62"/>
      <c r="BR1185" s="4"/>
      <c r="BS1185" s="57" t="e">
        <f t="shared" si="39"/>
        <v>#VALUE!</v>
      </c>
      <c r="BT1185" s="63"/>
      <c r="BU1185" s="8">
        <v>0</v>
      </c>
      <c r="BV1185" s="58" t="e">
        <f>VLOOKUP(AQ1185,'[1]Harga &amp; Nama CSO'!$A$28:$D$31,4,0)*BP1185</f>
        <v>#N/A</v>
      </c>
    </row>
    <row r="1186" spans="41:74" x14ac:dyDescent="0.35">
      <c r="AO1186" s="39">
        <v>1184</v>
      </c>
      <c r="AP1186" s="63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55" t="e">
        <f>IFERROR(VLOOKUP(AQ1186,'[1]Harga &amp; Nama CSO'!$H$2:$N$22,2,FALSE),"")*AV1186</f>
        <v>#VALUE!</v>
      </c>
      <c r="BO1186" s="40"/>
      <c r="BP1186" s="4"/>
      <c r="BQ1186" s="62"/>
      <c r="BR1186" s="4"/>
      <c r="BS1186" s="57" t="e">
        <f t="shared" si="39"/>
        <v>#VALUE!</v>
      </c>
      <c r="BT1186" s="63"/>
      <c r="BU1186" s="8">
        <v>0</v>
      </c>
      <c r="BV1186" s="58" t="e">
        <f>VLOOKUP(AQ1186,'[1]Harga &amp; Nama CSO'!$A$28:$D$31,4,0)*BP1186</f>
        <v>#N/A</v>
      </c>
    </row>
    <row r="1187" spans="41:74" x14ac:dyDescent="0.35">
      <c r="AO1187" s="39">
        <v>1185</v>
      </c>
      <c r="AP1187" s="63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55" t="e">
        <f>IFERROR(VLOOKUP(AQ1187,'[1]Harga &amp; Nama CSO'!$H$2:$N$22,2,FALSE),"")*AV1187</f>
        <v>#VALUE!</v>
      </c>
      <c r="BO1187" s="40"/>
      <c r="BP1187" s="4"/>
      <c r="BQ1187" s="62"/>
      <c r="BR1187" s="4"/>
      <c r="BS1187" s="57" t="e">
        <f t="shared" si="39"/>
        <v>#VALUE!</v>
      </c>
      <c r="BT1187" s="63"/>
      <c r="BU1187" s="8">
        <v>0</v>
      </c>
      <c r="BV1187" s="58" t="e">
        <f>VLOOKUP(AQ1187,'[1]Harga &amp; Nama CSO'!$A$28:$D$31,4,0)*BP1187</f>
        <v>#N/A</v>
      </c>
    </row>
    <row r="1188" spans="41:74" x14ac:dyDescent="0.35">
      <c r="AO1188" s="39">
        <v>1186</v>
      </c>
      <c r="AP1188" s="63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55" t="e">
        <f>IFERROR(VLOOKUP(AQ1188,'[1]Harga &amp; Nama CSO'!$H$2:$N$22,2,FALSE),"")*AV1188</f>
        <v>#VALUE!</v>
      </c>
      <c r="BO1188" s="40"/>
      <c r="BP1188" s="4"/>
      <c r="BQ1188" s="62"/>
      <c r="BR1188" s="4"/>
      <c r="BS1188" s="57" t="e">
        <f t="shared" si="39"/>
        <v>#VALUE!</v>
      </c>
      <c r="BT1188" s="63"/>
      <c r="BU1188" s="8">
        <v>0</v>
      </c>
      <c r="BV1188" s="58" t="e">
        <f>VLOOKUP(AQ1188,'[1]Harga &amp; Nama CSO'!$A$28:$D$31,4,0)*BP1188</f>
        <v>#N/A</v>
      </c>
    </row>
    <row r="1189" spans="41:74" x14ac:dyDescent="0.35">
      <c r="AO1189" s="39">
        <v>1187</v>
      </c>
      <c r="AP1189" s="63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55" t="e">
        <f>IFERROR(VLOOKUP(AQ1189,'[1]Harga &amp; Nama CSO'!$H$2:$N$22,2,FALSE),"")*AV1189</f>
        <v>#VALUE!</v>
      </c>
      <c r="BO1189" s="40"/>
      <c r="BP1189" s="4"/>
      <c r="BQ1189" s="62"/>
      <c r="BR1189" s="4"/>
      <c r="BS1189" s="57" t="e">
        <f t="shared" si="39"/>
        <v>#VALUE!</v>
      </c>
      <c r="BT1189" s="63"/>
      <c r="BU1189" s="8">
        <v>0</v>
      </c>
      <c r="BV1189" s="58" t="e">
        <f>VLOOKUP(AQ1189,'[1]Harga &amp; Nama CSO'!$A$28:$D$31,4,0)*BP1189</f>
        <v>#N/A</v>
      </c>
    </row>
    <row r="1190" spans="41:74" x14ac:dyDescent="0.35">
      <c r="AO1190" s="39">
        <v>1188</v>
      </c>
      <c r="AP1190" s="63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55" t="e">
        <f>IFERROR(VLOOKUP(AQ1190,'[1]Harga &amp; Nama CSO'!$H$2:$N$22,2,FALSE),"")*AV1190</f>
        <v>#VALUE!</v>
      </c>
      <c r="BO1190" s="40"/>
      <c r="BP1190" s="4"/>
      <c r="BQ1190" s="62"/>
      <c r="BR1190" s="4"/>
      <c r="BS1190" s="57" t="e">
        <f t="shared" si="39"/>
        <v>#VALUE!</v>
      </c>
      <c r="BT1190" s="63"/>
      <c r="BU1190" s="8">
        <v>0</v>
      </c>
      <c r="BV1190" s="58" t="e">
        <f>VLOOKUP(AQ1190,'[1]Harga &amp; Nama CSO'!$A$28:$D$31,4,0)*BP1190</f>
        <v>#N/A</v>
      </c>
    </row>
    <row r="1191" spans="41:74" x14ac:dyDescent="0.35">
      <c r="AO1191" s="39">
        <v>1189</v>
      </c>
      <c r="AP1191" s="63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55" t="e">
        <f>IFERROR(VLOOKUP(AQ1191,'[1]Harga &amp; Nama CSO'!$H$2:$N$22,2,FALSE),"")*AV1191</f>
        <v>#VALUE!</v>
      </c>
      <c r="BO1191" s="40"/>
      <c r="BP1191" s="4"/>
      <c r="BQ1191" s="62"/>
      <c r="BR1191" s="4"/>
      <c r="BS1191" s="57" t="e">
        <f t="shared" si="39"/>
        <v>#VALUE!</v>
      </c>
      <c r="BT1191" s="63"/>
      <c r="BU1191" s="8">
        <v>0</v>
      </c>
      <c r="BV1191" s="58" t="e">
        <f>VLOOKUP(AQ1191,'[1]Harga &amp; Nama CSO'!$A$28:$D$31,4,0)*BP1191</f>
        <v>#N/A</v>
      </c>
    </row>
    <row r="1192" spans="41:74" x14ac:dyDescent="0.35">
      <c r="AO1192" s="39">
        <v>1190</v>
      </c>
      <c r="AP1192" s="63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55" t="e">
        <f>IFERROR(VLOOKUP(AQ1192,'[1]Harga &amp; Nama CSO'!$H$2:$N$22,2,FALSE),"")*AV1192</f>
        <v>#VALUE!</v>
      </c>
      <c r="BO1192" s="40"/>
      <c r="BP1192" s="4"/>
      <c r="BQ1192" s="62"/>
      <c r="BR1192" s="4"/>
      <c r="BS1192" s="57" t="e">
        <f t="shared" si="39"/>
        <v>#VALUE!</v>
      </c>
      <c r="BT1192" s="63"/>
      <c r="BU1192" s="8">
        <v>0</v>
      </c>
      <c r="BV1192" s="58" t="e">
        <f>VLOOKUP(AQ1192,'[1]Harga &amp; Nama CSO'!$A$28:$D$31,4,0)*BP1192</f>
        <v>#N/A</v>
      </c>
    </row>
    <row r="1193" spans="41:74" x14ac:dyDescent="0.35">
      <c r="AO1193" s="39">
        <v>1191</v>
      </c>
      <c r="AP1193" s="63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55" t="e">
        <f>IFERROR(VLOOKUP(AQ1193,'[1]Harga &amp; Nama CSO'!$H$2:$N$22,2,FALSE),"")*AV1193</f>
        <v>#VALUE!</v>
      </c>
      <c r="BO1193" s="40"/>
      <c r="BP1193" s="4"/>
      <c r="BQ1193" s="62"/>
      <c r="BR1193" s="4"/>
      <c r="BS1193" s="57" t="e">
        <f t="shared" si="39"/>
        <v>#VALUE!</v>
      </c>
      <c r="BT1193" s="63"/>
      <c r="BU1193" s="8">
        <v>0</v>
      </c>
      <c r="BV1193" s="58" t="e">
        <f>VLOOKUP(AQ1193,'[1]Harga &amp; Nama CSO'!$A$28:$D$31,4,0)*BP1193</f>
        <v>#N/A</v>
      </c>
    </row>
    <row r="1194" spans="41:74" x14ac:dyDescent="0.35">
      <c r="AO1194" s="39">
        <v>1192</v>
      </c>
      <c r="AP1194" s="63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55" t="e">
        <f>IFERROR(VLOOKUP(AQ1194,'[1]Harga &amp; Nama CSO'!$H$2:$N$22,2,FALSE),"")*AV1194</f>
        <v>#VALUE!</v>
      </c>
      <c r="BO1194" s="40"/>
      <c r="BP1194" s="4"/>
      <c r="BQ1194" s="62"/>
      <c r="BR1194" s="4"/>
      <c r="BS1194" s="57" t="e">
        <f t="shared" si="39"/>
        <v>#VALUE!</v>
      </c>
      <c r="BT1194" s="63"/>
      <c r="BU1194" s="8">
        <v>0</v>
      </c>
      <c r="BV1194" s="58" t="e">
        <f>VLOOKUP(AQ1194,'[1]Harga &amp; Nama CSO'!$A$28:$D$31,4,0)*BP1194</f>
        <v>#N/A</v>
      </c>
    </row>
    <row r="1195" spans="41:74" x14ac:dyDescent="0.35">
      <c r="AO1195" s="39">
        <v>1193</v>
      </c>
      <c r="AP1195" s="63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55" t="e">
        <f>IFERROR(VLOOKUP(AQ1195,'[1]Harga &amp; Nama CSO'!$H$2:$N$22,2,FALSE),"")*AV1195</f>
        <v>#VALUE!</v>
      </c>
      <c r="BO1195" s="40"/>
      <c r="BP1195" s="4"/>
      <c r="BQ1195" s="62"/>
      <c r="BR1195" s="4"/>
      <c r="BS1195" s="57" t="e">
        <f t="shared" si="39"/>
        <v>#VALUE!</v>
      </c>
      <c r="BT1195" s="63"/>
      <c r="BU1195" s="8">
        <v>0</v>
      </c>
      <c r="BV1195" s="58" t="e">
        <f>VLOOKUP(AQ1195,'[1]Harga &amp; Nama CSO'!$A$28:$D$31,4,0)*BP1195</f>
        <v>#N/A</v>
      </c>
    </row>
    <row r="1196" spans="41:74" x14ac:dyDescent="0.35">
      <c r="AO1196" s="39">
        <v>1194</v>
      </c>
      <c r="AP1196" s="63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55" t="e">
        <f>IFERROR(VLOOKUP(AQ1196,'[1]Harga &amp; Nama CSO'!$H$2:$N$22,2,FALSE),"")*AV1196</f>
        <v>#VALUE!</v>
      </c>
      <c r="BO1196" s="40"/>
      <c r="BP1196" s="4"/>
      <c r="BQ1196" s="62"/>
      <c r="BR1196" s="4"/>
      <c r="BS1196" s="57" t="e">
        <f t="shared" si="39"/>
        <v>#VALUE!</v>
      </c>
      <c r="BT1196" s="63"/>
      <c r="BU1196" s="8">
        <v>0</v>
      </c>
      <c r="BV1196" s="58" t="e">
        <f>VLOOKUP(AQ1196,'[1]Harga &amp; Nama CSO'!$A$28:$D$31,4,0)*BP1196</f>
        <v>#N/A</v>
      </c>
    </row>
    <row r="1197" spans="41:74" x14ac:dyDescent="0.35">
      <c r="AO1197" s="39">
        <v>1195</v>
      </c>
      <c r="AP1197" s="63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55" t="e">
        <f>IFERROR(VLOOKUP(AQ1197,'[1]Harga &amp; Nama CSO'!$H$2:$N$22,2,FALSE),"")*AV1197</f>
        <v>#VALUE!</v>
      </c>
      <c r="BO1197" s="40"/>
      <c r="BP1197" s="4"/>
      <c r="BQ1197" s="62"/>
      <c r="BR1197" s="4"/>
      <c r="BS1197" s="57" t="e">
        <f t="shared" si="39"/>
        <v>#VALUE!</v>
      </c>
      <c r="BT1197" s="63"/>
      <c r="BU1197" s="8">
        <v>0</v>
      </c>
      <c r="BV1197" s="58" t="e">
        <f>VLOOKUP(AQ1197,'[1]Harga &amp; Nama CSO'!$A$28:$D$31,4,0)*BP1197</f>
        <v>#N/A</v>
      </c>
    </row>
    <row r="1198" spans="41:74" x14ac:dyDescent="0.35">
      <c r="AO1198" s="39">
        <v>1196</v>
      </c>
      <c r="AP1198" s="63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55" t="e">
        <f>IFERROR(VLOOKUP(AQ1198,'[1]Harga &amp; Nama CSO'!$H$2:$N$22,2,FALSE),"")*AV1198</f>
        <v>#VALUE!</v>
      </c>
      <c r="BO1198" s="40"/>
      <c r="BP1198" s="4"/>
      <c r="BQ1198" s="62"/>
      <c r="BR1198" s="4"/>
      <c r="BS1198" s="57" t="e">
        <f t="shared" si="39"/>
        <v>#VALUE!</v>
      </c>
      <c r="BT1198" s="63"/>
      <c r="BU1198" s="8">
        <v>0</v>
      </c>
      <c r="BV1198" s="58" t="e">
        <f>VLOOKUP(AQ1198,'[1]Harga &amp; Nama CSO'!$A$28:$D$31,4,0)*BP1198</f>
        <v>#N/A</v>
      </c>
    </row>
    <row r="1199" spans="41:74" x14ac:dyDescent="0.35">
      <c r="AO1199" s="39">
        <v>1197</v>
      </c>
      <c r="AP1199" s="63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55" t="e">
        <f>IFERROR(VLOOKUP(AQ1199,'[1]Harga &amp; Nama CSO'!$H$2:$N$22,2,FALSE),"")*AV1199</f>
        <v>#VALUE!</v>
      </c>
      <c r="BO1199" s="40"/>
      <c r="BP1199" s="4"/>
      <c r="BQ1199" s="62"/>
      <c r="BR1199" s="4"/>
      <c r="BS1199" s="57" t="e">
        <f t="shared" si="39"/>
        <v>#VALUE!</v>
      </c>
      <c r="BT1199" s="63"/>
      <c r="BU1199" s="8">
        <v>0</v>
      </c>
      <c r="BV1199" s="58" t="e">
        <f>VLOOKUP(AQ1199,'[1]Harga &amp; Nama CSO'!$A$28:$D$31,4,0)*BP1199</f>
        <v>#N/A</v>
      </c>
    </row>
    <row r="1200" spans="41:74" x14ac:dyDescent="0.35">
      <c r="AO1200" s="39">
        <v>1198</v>
      </c>
      <c r="AP1200" s="63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55" t="e">
        <f>IFERROR(VLOOKUP(AQ1200,'[1]Harga &amp; Nama CSO'!$H$2:$N$22,2,FALSE),"")*AV1200</f>
        <v>#VALUE!</v>
      </c>
      <c r="BO1200" s="40"/>
      <c r="BP1200" s="4"/>
      <c r="BQ1200" s="62"/>
      <c r="BR1200" s="4"/>
      <c r="BS1200" s="57" t="e">
        <f t="shared" si="39"/>
        <v>#VALUE!</v>
      </c>
      <c r="BT1200" s="63"/>
      <c r="BU1200" s="8">
        <v>0</v>
      </c>
      <c r="BV1200" s="58" t="e">
        <f>VLOOKUP(AQ1200,'[1]Harga &amp; Nama CSO'!$A$28:$D$31,4,0)*BP1200</f>
        <v>#N/A</v>
      </c>
    </row>
    <row r="1201" spans="41:74" x14ac:dyDescent="0.35">
      <c r="AO1201" s="39">
        <v>1199</v>
      </c>
      <c r="AP1201" s="63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55" t="e">
        <f>IFERROR(VLOOKUP(AQ1201,'[1]Harga &amp; Nama CSO'!$H$2:$N$22,2,FALSE),"")*AV1201</f>
        <v>#VALUE!</v>
      </c>
      <c r="BO1201" s="40"/>
      <c r="BP1201" s="4"/>
      <c r="BQ1201" s="62"/>
      <c r="BR1201" s="4"/>
      <c r="BS1201" s="57" t="e">
        <f t="shared" si="39"/>
        <v>#VALUE!</v>
      </c>
      <c r="BT1201" s="63"/>
      <c r="BU1201" s="8">
        <v>0</v>
      </c>
      <c r="BV1201" s="58" t="e">
        <f>VLOOKUP(AQ1201,'[1]Harga &amp; Nama CSO'!$A$28:$D$31,4,0)*BP1201</f>
        <v>#N/A</v>
      </c>
    </row>
    <row r="1202" spans="41:74" x14ac:dyDescent="0.35">
      <c r="AO1202" s="39">
        <v>1200</v>
      </c>
      <c r="AP1202" s="63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55" t="e">
        <f>IFERROR(VLOOKUP(AQ1202,'[1]Harga &amp; Nama CSO'!$H$2:$N$22,2,FALSE),"")*AV1202</f>
        <v>#VALUE!</v>
      </c>
      <c r="BO1202" s="40"/>
      <c r="BP1202" s="4"/>
      <c r="BQ1202" s="62"/>
      <c r="BR1202" s="4"/>
      <c r="BS1202" s="57" t="e">
        <f t="shared" si="39"/>
        <v>#VALUE!</v>
      </c>
      <c r="BT1202" s="63"/>
      <c r="BU1202" s="8">
        <v>0</v>
      </c>
      <c r="BV1202" s="58" t="e">
        <f>VLOOKUP(AQ1202,'[1]Harga &amp; Nama CSO'!$A$28:$D$31,4,0)*BP1202</f>
        <v>#N/A</v>
      </c>
    </row>
    <row r="1203" spans="41:74" x14ac:dyDescent="0.35">
      <c r="AO1203" s="39">
        <v>1201</v>
      </c>
      <c r="AP1203" s="63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55" t="e">
        <f>IFERROR(VLOOKUP(AQ1203,'[1]Harga &amp; Nama CSO'!$H$2:$N$22,2,FALSE),"")*AV1203</f>
        <v>#VALUE!</v>
      </c>
      <c r="BO1203" s="40"/>
      <c r="BP1203" s="4"/>
      <c r="BQ1203" s="62"/>
      <c r="BR1203" s="4"/>
      <c r="BS1203" s="57" t="e">
        <f t="shared" si="39"/>
        <v>#VALUE!</v>
      </c>
      <c r="BT1203" s="63"/>
      <c r="BU1203" s="8">
        <v>0</v>
      </c>
      <c r="BV1203" s="58" t="e">
        <f>VLOOKUP(AQ1203,'[1]Harga &amp; Nama CSO'!$A$28:$D$31,4,0)*BP1203</f>
        <v>#N/A</v>
      </c>
    </row>
    <row r="1204" spans="41:74" x14ac:dyDescent="0.35">
      <c r="AO1204" s="39">
        <v>1202</v>
      </c>
      <c r="AP1204" s="63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55" t="e">
        <f>IFERROR(VLOOKUP(AQ1204,'[1]Harga &amp; Nama CSO'!$H$2:$N$22,2,FALSE),"")*AV1204</f>
        <v>#VALUE!</v>
      </c>
      <c r="BO1204" s="40"/>
      <c r="BP1204" s="4"/>
      <c r="BQ1204" s="62"/>
      <c r="BR1204" s="4"/>
      <c r="BS1204" s="57" t="e">
        <f t="shared" si="39"/>
        <v>#VALUE!</v>
      </c>
      <c r="BT1204" s="63"/>
      <c r="BU1204" s="8">
        <v>0</v>
      </c>
      <c r="BV1204" s="58" t="e">
        <f>VLOOKUP(AQ1204,'[1]Harga &amp; Nama CSO'!$A$28:$D$31,4,0)*BP1204</f>
        <v>#N/A</v>
      </c>
    </row>
    <row r="1205" spans="41:74" x14ac:dyDescent="0.35">
      <c r="AO1205" s="39">
        <v>1203</v>
      </c>
      <c r="AP1205" s="63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55" t="e">
        <f>IFERROR(VLOOKUP(AQ1205,'[1]Harga &amp; Nama CSO'!$H$2:$N$22,2,FALSE),"")*AV1205</f>
        <v>#VALUE!</v>
      </c>
      <c r="BO1205" s="40"/>
      <c r="BP1205" s="4"/>
      <c r="BQ1205" s="62"/>
      <c r="BR1205" s="4"/>
      <c r="BS1205" s="57" t="e">
        <f t="shared" si="39"/>
        <v>#VALUE!</v>
      </c>
      <c r="BT1205" s="63"/>
      <c r="BU1205" s="8">
        <v>0</v>
      </c>
      <c r="BV1205" s="58" t="e">
        <f>VLOOKUP(AQ1205,'[1]Harga &amp; Nama CSO'!$A$28:$D$31,4,0)*BP1205</f>
        <v>#N/A</v>
      </c>
    </row>
    <row r="1206" spans="41:74" x14ac:dyDescent="0.35">
      <c r="AO1206" s="39">
        <v>1204</v>
      </c>
      <c r="AP1206" s="63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55" t="e">
        <f>IFERROR(VLOOKUP(AQ1206,'[1]Harga &amp; Nama CSO'!$H$2:$N$22,2,FALSE),"")*AV1206</f>
        <v>#VALUE!</v>
      </c>
      <c r="BO1206" s="40"/>
      <c r="BP1206" s="4"/>
      <c r="BQ1206" s="62"/>
      <c r="BR1206" s="4"/>
      <c r="BS1206" s="57" t="e">
        <f t="shared" si="39"/>
        <v>#VALUE!</v>
      </c>
      <c r="BT1206" s="63"/>
      <c r="BU1206" s="8">
        <v>0</v>
      </c>
      <c r="BV1206" s="58" t="e">
        <f>VLOOKUP(AQ1206,'[1]Harga &amp; Nama CSO'!$A$28:$D$31,4,0)*BP1206</f>
        <v>#N/A</v>
      </c>
    </row>
    <row r="1207" spans="41:74" x14ac:dyDescent="0.35">
      <c r="AO1207" s="39">
        <v>1205</v>
      </c>
      <c r="AP1207" s="63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55" t="e">
        <f>IFERROR(VLOOKUP(AQ1207,'[1]Harga &amp; Nama CSO'!$H$2:$N$22,2,FALSE),"")*AV1207</f>
        <v>#VALUE!</v>
      </c>
      <c r="BO1207" s="40"/>
      <c r="BP1207" s="4"/>
      <c r="BQ1207" s="62"/>
      <c r="BR1207" s="4"/>
      <c r="BS1207" s="57" t="e">
        <f t="shared" si="39"/>
        <v>#VALUE!</v>
      </c>
      <c r="BT1207" s="63"/>
      <c r="BU1207" s="8">
        <v>0</v>
      </c>
      <c r="BV1207" s="58" t="e">
        <f>VLOOKUP(AQ1207,'[1]Harga &amp; Nama CSO'!$A$28:$D$31,4,0)*BP1207</f>
        <v>#N/A</v>
      </c>
    </row>
    <row r="1208" spans="41:74" x14ac:dyDescent="0.35">
      <c r="AO1208" s="39">
        <v>1206</v>
      </c>
      <c r="AP1208" s="63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55" t="e">
        <f>IFERROR(VLOOKUP(AQ1208,'[1]Harga &amp; Nama CSO'!$H$2:$N$22,2,FALSE),"")*AV1208</f>
        <v>#VALUE!</v>
      </c>
      <c r="BO1208" s="40"/>
      <c r="BP1208" s="4"/>
      <c r="BQ1208" s="62"/>
      <c r="BR1208" s="4"/>
      <c r="BS1208" s="57" t="e">
        <f t="shared" si="39"/>
        <v>#VALUE!</v>
      </c>
      <c r="BT1208" s="63"/>
      <c r="BU1208" s="8">
        <v>0</v>
      </c>
      <c r="BV1208" s="58" t="e">
        <f>VLOOKUP(AQ1208,'[1]Harga &amp; Nama CSO'!$A$28:$D$31,4,0)*BP1208</f>
        <v>#N/A</v>
      </c>
    </row>
    <row r="1209" spans="41:74" x14ac:dyDescent="0.35">
      <c r="AO1209" s="39">
        <v>1207</v>
      </c>
      <c r="AP1209" s="63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55" t="e">
        <f>IFERROR(VLOOKUP(AQ1209,'[1]Harga &amp; Nama CSO'!$H$2:$N$22,2,FALSE),"")*AV1209</f>
        <v>#VALUE!</v>
      </c>
      <c r="BO1209" s="40"/>
      <c r="BP1209" s="4"/>
      <c r="BQ1209" s="62"/>
      <c r="BR1209" s="4"/>
      <c r="BS1209" s="57" t="e">
        <f t="shared" si="39"/>
        <v>#VALUE!</v>
      </c>
      <c r="BT1209" s="63"/>
      <c r="BU1209" s="8">
        <v>0</v>
      </c>
      <c r="BV1209" s="58" t="e">
        <f>VLOOKUP(AQ1209,'[1]Harga &amp; Nama CSO'!$A$28:$D$31,4,0)*BP1209</f>
        <v>#N/A</v>
      </c>
    </row>
    <row r="1210" spans="41:74" x14ac:dyDescent="0.35">
      <c r="AO1210" s="39">
        <v>1208</v>
      </c>
      <c r="AP1210" s="63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55" t="e">
        <f>IFERROR(VLOOKUP(AQ1210,'[1]Harga &amp; Nama CSO'!$H$2:$N$22,2,FALSE),"")*AV1210</f>
        <v>#VALUE!</v>
      </c>
      <c r="BO1210" s="40"/>
      <c r="BP1210" s="4"/>
      <c r="BQ1210" s="62"/>
      <c r="BR1210" s="4"/>
      <c r="BS1210" s="57" t="e">
        <f t="shared" si="39"/>
        <v>#VALUE!</v>
      </c>
      <c r="BT1210" s="63"/>
      <c r="BU1210" s="8">
        <v>0</v>
      </c>
      <c r="BV1210" s="58" t="e">
        <f>VLOOKUP(AQ1210,'[1]Harga &amp; Nama CSO'!$A$28:$D$31,4,0)*BP1210</f>
        <v>#N/A</v>
      </c>
    </row>
    <row r="1211" spans="41:74" x14ac:dyDescent="0.35">
      <c r="AO1211" s="39">
        <v>1209</v>
      </c>
      <c r="AP1211" s="63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55" t="e">
        <f>IFERROR(VLOOKUP(AQ1211,'[1]Harga &amp; Nama CSO'!$H$2:$N$22,2,FALSE),"")*AV1211</f>
        <v>#VALUE!</v>
      </c>
      <c r="BO1211" s="40"/>
      <c r="BP1211" s="4"/>
      <c r="BQ1211" s="62"/>
      <c r="BR1211" s="4"/>
      <c r="BS1211" s="57" t="e">
        <f t="shared" si="39"/>
        <v>#VALUE!</v>
      </c>
      <c r="BT1211" s="63"/>
      <c r="BU1211" s="8">
        <v>0</v>
      </c>
      <c r="BV1211" s="58" t="e">
        <f>VLOOKUP(AQ1211,'[1]Harga &amp; Nama CSO'!$A$28:$D$31,4,0)*BP1211</f>
        <v>#N/A</v>
      </c>
    </row>
    <row r="1212" spans="41:74" x14ac:dyDescent="0.35">
      <c r="AO1212" s="39">
        <v>1210</v>
      </c>
      <c r="AP1212" s="63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55" t="e">
        <f>IFERROR(VLOOKUP(AQ1212,'[1]Harga &amp; Nama CSO'!$H$2:$N$22,2,FALSE),"")*AV1212</f>
        <v>#VALUE!</v>
      </c>
      <c r="BO1212" s="40"/>
      <c r="BP1212" s="4"/>
      <c r="BQ1212" s="62"/>
      <c r="BR1212" s="4"/>
      <c r="BS1212" s="57" t="e">
        <f t="shared" si="39"/>
        <v>#VALUE!</v>
      </c>
      <c r="BT1212" s="63"/>
      <c r="BU1212" s="8">
        <v>0</v>
      </c>
      <c r="BV1212" s="58" t="e">
        <f>VLOOKUP(AQ1212,'[1]Harga &amp; Nama CSO'!$A$28:$D$31,4,0)*BP1212</f>
        <v>#N/A</v>
      </c>
    </row>
    <row r="1213" spans="41:74" x14ac:dyDescent="0.35">
      <c r="AO1213" s="39">
        <v>1211</v>
      </c>
      <c r="AP1213" s="63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55" t="e">
        <f>IFERROR(VLOOKUP(AQ1213,'[1]Harga &amp; Nama CSO'!$H$2:$N$22,2,FALSE),"")*AV1213</f>
        <v>#VALUE!</v>
      </c>
      <c r="BO1213" s="40"/>
      <c r="BP1213" s="4"/>
      <c r="BQ1213" s="62"/>
      <c r="BR1213" s="4"/>
      <c r="BS1213" s="57" t="e">
        <f t="shared" si="39"/>
        <v>#VALUE!</v>
      </c>
      <c r="BT1213" s="63"/>
      <c r="BU1213" s="8">
        <v>0</v>
      </c>
      <c r="BV1213" s="58" t="e">
        <f>VLOOKUP(AQ1213,'[1]Harga &amp; Nama CSO'!$A$28:$D$31,4,0)*BP1213</f>
        <v>#N/A</v>
      </c>
    </row>
    <row r="1214" spans="41:74" x14ac:dyDescent="0.35">
      <c r="AO1214" s="39">
        <v>1212</v>
      </c>
      <c r="AP1214" s="63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55" t="e">
        <f>IFERROR(VLOOKUP(AQ1214,'[1]Harga &amp; Nama CSO'!$H$2:$N$22,2,FALSE),"")*AV1214</f>
        <v>#VALUE!</v>
      </c>
      <c r="BO1214" s="40"/>
      <c r="BP1214" s="4"/>
      <c r="BQ1214" s="62"/>
      <c r="BR1214" s="4"/>
      <c r="BS1214" s="57" t="e">
        <f t="shared" si="39"/>
        <v>#VALUE!</v>
      </c>
      <c r="BT1214" s="63"/>
      <c r="BU1214" s="8">
        <v>0</v>
      </c>
      <c r="BV1214" s="58" t="e">
        <f>VLOOKUP(AQ1214,'[1]Harga &amp; Nama CSO'!$A$28:$D$31,4,0)*BP1214</f>
        <v>#N/A</v>
      </c>
    </row>
    <row r="1215" spans="41:74" x14ac:dyDescent="0.35">
      <c r="AO1215" s="39">
        <v>1213</v>
      </c>
      <c r="AP1215" s="63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55" t="e">
        <f>IFERROR(VLOOKUP(AQ1215,'[1]Harga &amp; Nama CSO'!$H$2:$N$22,2,FALSE),"")*AV1215</f>
        <v>#VALUE!</v>
      </c>
      <c r="BO1215" s="40"/>
      <c r="BP1215" s="4"/>
      <c r="BQ1215" s="62"/>
      <c r="BR1215" s="4"/>
      <c r="BS1215" s="57" t="e">
        <f t="shared" si="39"/>
        <v>#VALUE!</v>
      </c>
      <c r="BT1215" s="63"/>
      <c r="BU1215" s="8">
        <v>0</v>
      </c>
      <c r="BV1215" s="58" t="e">
        <f>VLOOKUP(AQ1215,'[1]Harga &amp; Nama CSO'!$A$28:$D$31,4,0)*BP1215</f>
        <v>#N/A</v>
      </c>
    </row>
    <row r="1216" spans="41:74" x14ac:dyDescent="0.35">
      <c r="AO1216" s="39">
        <v>1214</v>
      </c>
      <c r="AP1216" s="63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55" t="e">
        <f>IFERROR(VLOOKUP(AQ1216,'[1]Harga &amp; Nama CSO'!$H$2:$N$22,2,FALSE),"")*AV1216</f>
        <v>#VALUE!</v>
      </c>
      <c r="BO1216" s="40"/>
      <c r="BP1216" s="4"/>
      <c r="BQ1216" s="62"/>
      <c r="BR1216" s="4"/>
      <c r="BS1216" s="57" t="e">
        <f t="shared" si="39"/>
        <v>#VALUE!</v>
      </c>
      <c r="BT1216" s="63"/>
      <c r="BU1216" s="8">
        <v>0</v>
      </c>
      <c r="BV1216" s="58" t="e">
        <f>VLOOKUP(AQ1216,'[1]Harga &amp; Nama CSO'!$A$28:$D$31,4,0)*BP1216</f>
        <v>#N/A</v>
      </c>
    </row>
    <row r="1217" spans="41:74" x14ac:dyDescent="0.35">
      <c r="AO1217" s="39">
        <v>1215</v>
      </c>
      <c r="AP1217" s="63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55" t="e">
        <f>IFERROR(VLOOKUP(AQ1217,'[1]Harga &amp; Nama CSO'!$H$2:$N$22,2,FALSE),"")*AV1217</f>
        <v>#VALUE!</v>
      </c>
      <c r="BO1217" s="40"/>
      <c r="BP1217" s="4"/>
      <c r="BQ1217" s="62"/>
      <c r="BR1217" s="4"/>
      <c r="BS1217" s="57" t="e">
        <f t="shared" si="39"/>
        <v>#VALUE!</v>
      </c>
      <c r="BT1217" s="63"/>
      <c r="BU1217" s="8">
        <v>0</v>
      </c>
      <c r="BV1217" s="58" t="e">
        <f>VLOOKUP(AQ1217,'[1]Harga &amp; Nama CSO'!$A$28:$D$31,4,0)*BP1217</f>
        <v>#N/A</v>
      </c>
    </row>
    <row r="1218" spans="41:74" x14ac:dyDescent="0.35">
      <c r="AO1218" s="39">
        <v>1216</v>
      </c>
      <c r="AP1218" s="63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55" t="e">
        <f>IFERROR(VLOOKUP(AQ1218,'[1]Harga &amp; Nama CSO'!$H$2:$N$22,2,FALSE),"")*AV1218</f>
        <v>#VALUE!</v>
      </c>
      <c r="BO1218" s="40"/>
      <c r="BP1218" s="4"/>
      <c r="BQ1218" s="62"/>
      <c r="BR1218" s="4"/>
      <c r="BS1218" s="57" t="e">
        <f t="shared" si="39"/>
        <v>#VALUE!</v>
      </c>
      <c r="BT1218" s="63"/>
      <c r="BU1218" s="8">
        <v>0</v>
      </c>
      <c r="BV1218" s="58" t="e">
        <f>VLOOKUP(AQ1218,'[1]Harga &amp; Nama CSO'!$A$28:$D$31,4,0)*BP1218</f>
        <v>#N/A</v>
      </c>
    </row>
    <row r="1219" spans="41:74" x14ac:dyDescent="0.35">
      <c r="AO1219" s="39">
        <v>1217</v>
      </c>
      <c r="AP1219" s="63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55" t="e">
        <f>IFERROR(VLOOKUP(AQ1219,'[1]Harga &amp; Nama CSO'!$H$2:$N$22,2,FALSE),"")*AV1219</f>
        <v>#VALUE!</v>
      </c>
      <c r="BO1219" s="40"/>
      <c r="BP1219" s="4"/>
      <c r="BQ1219" s="62"/>
      <c r="BR1219" s="4"/>
      <c r="BS1219" s="57" t="e">
        <f t="shared" ref="BS1219:BS1282" si="40">BN1219-BQ1219</f>
        <v>#VALUE!</v>
      </c>
      <c r="BT1219" s="63"/>
      <c r="BU1219" s="8">
        <v>0</v>
      </c>
      <c r="BV1219" s="58" t="e">
        <f>VLOOKUP(AQ1219,'[1]Harga &amp; Nama CSO'!$A$28:$D$31,4,0)*BP1219</f>
        <v>#N/A</v>
      </c>
    </row>
    <row r="1220" spans="41:74" x14ac:dyDescent="0.35">
      <c r="AO1220" s="39">
        <v>1218</v>
      </c>
      <c r="AP1220" s="63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55" t="e">
        <f>IFERROR(VLOOKUP(AQ1220,'[1]Harga &amp; Nama CSO'!$H$2:$N$22,2,FALSE),"")*AV1220</f>
        <v>#VALUE!</v>
      </c>
      <c r="BO1220" s="40"/>
      <c r="BP1220" s="4"/>
      <c r="BQ1220" s="62"/>
      <c r="BR1220" s="4"/>
      <c r="BS1220" s="57" t="e">
        <f t="shared" si="40"/>
        <v>#VALUE!</v>
      </c>
      <c r="BT1220" s="63"/>
      <c r="BU1220" s="8">
        <v>0</v>
      </c>
      <c r="BV1220" s="58" t="e">
        <f>VLOOKUP(AQ1220,'[1]Harga &amp; Nama CSO'!$A$28:$D$31,4,0)*BP1220</f>
        <v>#N/A</v>
      </c>
    </row>
    <row r="1221" spans="41:74" x14ac:dyDescent="0.35">
      <c r="AO1221" s="39">
        <v>1219</v>
      </c>
      <c r="AP1221" s="63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55" t="e">
        <f>IFERROR(VLOOKUP(AQ1221,'[1]Harga &amp; Nama CSO'!$H$2:$N$22,2,FALSE),"")*AV1221</f>
        <v>#VALUE!</v>
      </c>
      <c r="BO1221" s="40"/>
      <c r="BP1221" s="4"/>
      <c r="BQ1221" s="62"/>
      <c r="BR1221" s="4"/>
      <c r="BS1221" s="57" t="e">
        <f t="shared" si="40"/>
        <v>#VALUE!</v>
      </c>
      <c r="BT1221" s="63"/>
      <c r="BU1221" s="8">
        <v>0</v>
      </c>
      <c r="BV1221" s="58" t="e">
        <f>VLOOKUP(AQ1221,'[1]Harga &amp; Nama CSO'!$A$28:$D$31,4,0)*BP1221</f>
        <v>#N/A</v>
      </c>
    </row>
    <row r="1222" spans="41:74" x14ac:dyDescent="0.35">
      <c r="AO1222" s="39">
        <v>1220</v>
      </c>
      <c r="AP1222" s="63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55" t="e">
        <f>IFERROR(VLOOKUP(AQ1222,'[1]Harga &amp; Nama CSO'!$H$2:$N$22,2,FALSE),"")*AV1222</f>
        <v>#VALUE!</v>
      </c>
      <c r="BO1222" s="40"/>
      <c r="BP1222" s="4"/>
      <c r="BQ1222" s="62"/>
      <c r="BR1222" s="4"/>
      <c r="BS1222" s="57" t="e">
        <f t="shared" si="40"/>
        <v>#VALUE!</v>
      </c>
      <c r="BT1222" s="63"/>
      <c r="BU1222" s="8">
        <v>0</v>
      </c>
      <c r="BV1222" s="58" t="e">
        <f>VLOOKUP(AQ1222,'[1]Harga &amp; Nama CSO'!$A$28:$D$31,4,0)*BP1222</f>
        <v>#N/A</v>
      </c>
    </row>
    <row r="1223" spans="41:74" x14ac:dyDescent="0.35">
      <c r="AO1223" s="39">
        <v>1221</v>
      </c>
      <c r="AP1223" s="63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55" t="e">
        <f>IFERROR(VLOOKUP(AQ1223,'[1]Harga &amp; Nama CSO'!$H$2:$N$22,2,FALSE),"")*AV1223</f>
        <v>#VALUE!</v>
      </c>
      <c r="BO1223" s="40"/>
      <c r="BP1223" s="4"/>
      <c r="BQ1223" s="62"/>
      <c r="BR1223" s="4"/>
      <c r="BS1223" s="57" t="e">
        <f t="shared" si="40"/>
        <v>#VALUE!</v>
      </c>
      <c r="BT1223" s="63"/>
      <c r="BU1223" s="8">
        <v>0</v>
      </c>
      <c r="BV1223" s="58" t="e">
        <f>VLOOKUP(AQ1223,'[1]Harga &amp; Nama CSO'!$A$28:$D$31,4,0)*BP1223</f>
        <v>#N/A</v>
      </c>
    </row>
    <row r="1224" spans="41:74" x14ac:dyDescent="0.35">
      <c r="AO1224" s="39">
        <v>1222</v>
      </c>
      <c r="AP1224" s="63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55" t="e">
        <f>IFERROR(VLOOKUP(AQ1224,'[1]Harga &amp; Nama CSO'!$H$2:$N$22,2,FALSE),"")*AV1224</f>
        <v>#VALUE!</v>
      </c>
      <c r="BO1224" s="40"/>
      <c r="BP1224" s="4"/>
      <c r="BQ1224" s="62"/>
      <c r="BR1224" s="4"/>
      <c r="BS1224" s="57" t="e">
        <f t="shared" si="40"/>
        <v>#VALUE!</v>
      </c>
      <c r="BT1224" s="63"/>
      <c r="BU1224" s="8">
        <v>0</v>
      </c>
      <c r="BV1224" s="58" t="e">
        <f>VLOOKUP(AQ1224,'[1]Harga &amp; Nama CSO'!$A$28:$D$31,4,0)*BP1224</f>
        <v>#N/A</v>
      </c>
    </row>
    <row r="1225" spans="41:74" x14ac:dyDescent="0.35">
      <c r="AO1225" s="39">
        <v>1223</v>
      </c>
      <c r="AP1225" s="63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55" t="e">
        <f>IFERROR(VLOOKUP(AQ1225,'[1]Harga &amp; Nama CSO'!$H$2:$N$22,2,FALSE),"")*AV1225</f>
        <v>#VALUE!</v>
      </c>
      <c r="BO1225" s="40"/>
      <c r="BP1225" s="4"/>
      <c r="BQ1225" s="62"/>
      <c r="BR1225" s="4"/>
      <c r="BS1225" s="57" t="e">
        <f t="shared" si="40"/>
        <v>#VALUE!</v>
      </c>
      <c r="BT1225" s="63"/>
      <c r="BU1225" s="8">
        <v>0</v>
      </c>
      <c r="BV1225" s="58" t="e">
        <f>VLOOKUP(AQ1225,'[1]Harga &amp; Nama CSO'!$A$28:$D$31,4,0)*BP1225</f>
        <v>#N/A</v>
      </c>
    </row>
    <row r="1226" spans="41:74" x14ac:dyDescent="0.35">
      <c r="AO1226" s="39">
        <v>1224</v>
      </c>
      <c r="AP1226" s="63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55" t="e">
        <f>IFERROR(VLOOKUP(AQ1226,'[1]Harga &amp; Nama CSO'!$H$2:$N$22,2,FALSE),"")*AV1226</f>
        <v>#VALUE!</v>
      </c>
      <c r="BO1226" s="40"/>
      <c r="BP1226" s="4"/>
      <c r="BQ1226" s="62"/>
      <c r="BR1226" s="4"/>
      <c r="BS1226" s="57" t="e">
        <f t="shared" si="40"/>
        <v>#VALUE!</v>
      </c>
      <c r="BT1226" s="63"/>
      <c r="BU1226" s="8">
        <v>0</v>
      </c>
      <c r="BV1226" s="58" t="e">
        <f>VLOOKUP(AQ1226,'[1]Harga &amp; Nama CSO'!$A$28:$D$31,4,0)*BP1226</f>
        <v>#N/A</v>
      </c>
    </row>
    <row r="1227" spans="41:74" x14ac:dyDescent="0.35">
      <c r="AO1227" s="39">
        <v>1225</v>
      </c>
      <c r="AP1227" s="63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55" t="e">
        <f>IFERROR(VLOOKUP(AQ1227,'[1]Harga &amp; Nama CSO'!$H$2:$N$22,2,FALSE),"")*AV1227</f>
        <v>#VALUE!</v>
      </c>
      <c r="BO1227" s="40"/>
      <c r="BP1227" s="4"/>
      <c r="BQ1227" s="62"/>
      <c r="BR1227" s="4"/>
      <c r="BS1227" s="57" t="e">
        <f t="shared" si="40"/>
        <v>#VALUE!</v>
      </c>
      <c r="BT1227" s="63"/>
      <c r="BU1227" s="8">
        <v>0</v>
      </c>
      <c r="BV1227" s="58" t="e">
        <f>VLOOKUP(AQ1227,'[1]Harga &amp; Nama CSO'!$A$28:$D$31,4,0)*BP1227</f>
        <v>#N/A</v>
      </c>
    </row>
    <row r="1228" spans="41:74" x14ac:dyDescent="0.35">
      <c r="AO1228" s="39">
        <v>1226</v>
      </c>
      <c r="AP1228" s="63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55" t="e">
        <f>IFERROR(VLOOKUP(AQ1228,'[1]Harga &amp; Nama CSO'!$H$2:$N$22,2,FALSE),"")*AV1228</f>
        <v>#VALUE!</v>
      </c>
      <c r="BO1228" s="40"/>
      <c r="BP1228" s="4"/>
      <c r="BQ1228" s="62"/>
      <c r="BR1228" s="4"/>
      <c r="BS1228" s="57" t="e">
        <f t="shared" si="40"/>
        <v>#VALUE!</v>
      </c>
      <c r="BT1228" s="63"/>
      <c r="BU1228" s="8">
        <v>0</v>
      </c>
      <c r="BV1228" s="58" t="e">
        <f>VLOOKUP(AQ1228,'[1]Harga &amp; Nama CSO'!$A$28:$D$31,4,0)*BP1228</f>
        <v>#N/A</v>
      </c>
    </row>
    <row r="1229" spans="41:74" x14ac:dyDescent="0.35">
      <c r="AO1229" s="39">
        <v>1227</v>
      </c>
      <c r="AP1229" s="63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55" t="e">
        <f>IFERROR(VLOOKUP(AQ1229,'[1]Harga &amp; Nama CSO'!$H$2:$N$22,2,FALSE),"")*AV1229</f>
        <v>#VALUE!</v>
      </c>
      <c r="BO1229" s="40"/>
      <c r="BP1229" s="4"/>
      <c r="BQ1229" s="62"/>
      <c r="BR1229" s="4"/>
      <c r="BS1229" s="57" t="e">
        <f t="shared" si="40"/>
        <v>#VALUE!</v>
      </c>
      <c r="BT1229" s="63"/>
      <c r="BU1229" s="8">
        <v>0</v>
      </c>
      <c r="BV1229" s="58" t="e">
        <f>VLOOKUP(AQ1229,'[1]Harga &amp; Nama CSO'!$A$28:$D$31,4,0)*BP1229</f>
        <v>#N/A</v>
      </c>
    </row>
    <row r="1230" spans="41:74" x14ac:dyDescent="0.35">
      <c r="AO1230" s="39">
        <v>1228</v>
      </c>
      <c r="AP1230" s="63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55" t="e">
        <f>IFERROR(VLOOKUP(AQ1230,'[1]Harga &amp; Nama CSO'!$H$2:$N$22,2,FALSE),"")*AV1230</f>
        <v>#VALUE!</v>
      </c>
      <c r="BO1230" s="40"/>
      <c r="BP1230" s="4"/>
      <c r="BQ1230" s="62"/>
      <c r="BR1230" s="4"/>
      <c r="BS1230" s="57" t="e">
        <f t="shared" si="40"/>
        <v>#VALUE!</v>
      </c>
      <c r="BT1230" s="63"/>
      <c r="BU1230" s="8">
        <v>0</v>
      </c>
      <c r="BV1230" s="58" t="e">
        <f>VLOOKUP(AQ1230,'[1]Harga &amp; Nama CSO'!$A$28:$D$31,4,0)*BP1230</f>
        <v>#N/A</v>
      </c>
    </row>
    <row r="1231" spans="41:74" x14ac:dyDescent="0.35">
      <c r="AO1231" s="39">
        <v>1229</v>
      </c>
      <c r="AP1231" s="63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55" t="e">
        <f>IFERROR(VLOOKUP(AQ1231,'[1]Harga &amp; Nama CSO'!$H$2:$N$22,2,FALSE),"")*AV1231</f>
        <v>#VALUE!</v>
      </c>
      <c r="BO1231" s="40"/>
      <c r="BP1231" s="4"/>
      <c r="BQ1231" s="62"/>
      <c r="BR1231" s="4"/>
      <c r="BS1231" s="57" t="e">
        <f t="shared" si="40"/>
        <v>#VALUE!</v>
      </c>
      <c r="BT1231" s="63"/>
      <c r="BU1231" s="8">
        <v>0</v>
      </c>
      <c r="BV1231" s="58" t="e">
        <f>VLOOKUP(AQ1231,'[1]Harga &amp; Nama CSO'!$A$28:$D$31,4,0)*BP1231</f>
        <v>#N/A</v>
      </c>
    </row>
    <row r="1232" spans="41:74" x14ac:dyDescent="0.35">
      <c r="AO1232" s="39">
        <v>1230</v>
      </c>
      <c r="AP1232" s="63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55" t="e">
        <f>IFERROR(VLOOKUP(AQ1232,'[1]Harga &amp; Nama CSO'!$H$2:$N$22,2,FALSE),"")*AV1232</f>
        <v>#VALUE!</v>
      </c>
      <c r="BO1232" s="40"/>
      <c r="BP1232" s="4"/>
      <c r="BQ1232" s="62"/>
      <c r="BR1232" s="4"/>
      <c r="BS1232" s="57" t="e">
        <f t="shared" si="40"/>
        <v>#VALUE!</v>
      </c>
      <c r="BT1232" s="63"/>
      <c r="BU1232" s="8">
        <v>0</v>
      </c>
      <c r="BV1232" s="58" t="e">
        <f>VLOOKUP(AQ1232,'[1]Harga &amp; Nama CSO'!$A$28:$D$31,4,0)*BP1232</f>
        <v>#N/A</v>
      </c>
    </row>
    <row r="1233" spans="41:74" x14ac:dyDescent="0.35">
      <c r="AO1233" s="39">
        <v>1231</v>
      </c>
      <c r="AP1233" s="63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55" t="e">
        <f>IFERROR(VLOOKUP(AQ1233,'[1]Harga &amp; Nama CSO'!$H$2:$N$22,2,FALSE),"")*AV1233</f>
        <v>#VALUE!</v>
      </c>
      <c r="BO1233" s="40"/>
      <c r="BP1233" s="4"/>
      <c r="BQ1233" s="62"/>
      <c r="BR1233" s="4"/>
      <c r="BS1233" s="57" t="e">
        <f t="shared" si="40"/>
        <v>#VALUE!</v>
      </c>
      <c r="BT1233" s="63"/>
      <c r="BU1233" s="8">
        <v>0</v>
      </c>
      <c r="BV1233" s="58" t="e">
        <f>VLOOKUP(AQ1233,'[1]Harga &amp; Nama CSO'!$A$28:$D$31,4,0)*BP1233</f>
        <v>#N/A</v>
      </c>
    </row>
    <row r="1234" spans="41:74" x14ac:dyDescent="0.35">
      <c r="AO1234" s="39">
        <v>1232</v>
      </c>
      <c r="AP1234" s="63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55" t="e">
        <f>IFERROR(VLOOKUP(AQ1234,'[1]Harga &amp; Nama CSO'!$H$2:$N$22,2,FALSE),"")*AV1234</f>
        <v>#VALUE!</v>
      </c>
      <c r="BO1234" s="40"/>
      <c r="BP1234" s="4"/>
      <c r="BQ1234" s="62"/>
      <c r="BR1234" s="4"/>
      <c r="BS1234" s="57" t="e">
        <f t="shared" si="40"/>
        <v>#VALUE!</v>
      </c>
      <c r="BT1234" s="63"/>
      <c r="BU1234" s="8">
        <v>0</v>
      </c>
      <c r="BV1234" s="58" t="e">
        <f>VLOOKUP(AQ1234,'[1]Harga &amp; Nama CSO'!$A$28:$D$31,4,0)*BP1234</f>
        <v>#N/A</v>
      </c>
    </row>
    <row r="1235" spans="41:74" x14ac:dyDescent="0.35">
      <c r="AO1235" s="39">
        <v>1233</v>
      </c>
      <c r="AP1235" s="63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55" t="e">
        <f>IFERROR(VLOOKUP(AQ1235,'[1]Harga &amp; Nama CSO'!$H$2:$N$22,2,FALSE),"")*AV1235</f>
        <v>#VALUE!</v>
      </c>
      <c r="BO1235" s="40"/>
      <c r="BP1235" s="4"/>
      <c r="BQ1235" s="62"/>
      <c r="BR1235" s="4"/>
      <c r="BS1235" s="57" t="e">
        <f t="shared" si="40"/>
        <v>#VALUE!</v>
      </c>
      <c r="BT1235" s="63"/>
      <c r="BU1235" s="8">
        <v>0</v>
      </c>
      <c r="BV1235" s="58" t="e">
        <f>VLOOKUP(AQ1235,'[1]Harga &amp; Nama CSO'!$A$28:$D$31,4,0)*BP1235</f>
        <v>#N/A</v>
      </c>
    </row>
    <row r="1236" spans="41:74" x14ac:dyDescent="0.35">
      <c r="AO1236" s="39">
        <v>1234</v>
      </c>
      <c r="AP1236" s="63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55" t="e">
        <f>IFERROR(VLOOKUP(AQ1236,'[1]Harga &amp; Nama CSO'!$H$2:$N$22,2,FALSE),"")*AV1236</f>
        <v>#VALUE!</v>
      </c>
      <c r="BO1236" s="40"/>
      <c r="BP1236" s="4"/>
      <c r="BQ1236" s="62"/>
      <c r="BR1236" s="4"/>
      <c r="BS1236" s="57" t="e">
        <f t="shared" si="40"/>
        <v>#VALUE!</v>
      </c>
      <c r="BT1236" s="63"/>
      <c r="BU1236" s="8">
        <v>0</v>
      </c>
      <c r="BV1236" s="58" t="e">
        <f>VLOOKUP(AQ1236,'[1]Harga &amp; Nama CSO'!$A$28:$D$31,4,0)*BP1236</f>
        <v>#N/A</v>
      </c>
    </row>
    <row r="1237" spans="41:74" x14ac:dyDescent="0.35">
      <c r="AO1237" s="39">
        <v>1235</v>
      </c>
      <c r="AP1237" s="63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55" t="e">
        <f>IFERROR(VLOOKUP(AQ1237,'[1]Harga &amp; Nama CSO'!$H$2:$N$22,2,FALSE),"")*AV1237</f>
        <v>#VALUE!</v>
      </c>
      <c r="BO1237" s="40"/>
      <c r="BP1237" s="4"/>
      <c r="BQ1237" s="62"/>
      <c r="BR1237" s="4"/>
      <c r="BS1237" s="57" t="e">
        <f t="shared" si="40"/>
        <v>#VALUE!</v>
      </c>
      <c r="BT1237" s="63"/>
      <c r="BU1237" s="8">
        <v>0</v>
      </c>
      <c r="BV1237" s="58" t="e">
        <f>VLOOKUP(AQ1237,'[1]Harga &amp; Nama CSO'!$A$28:$D$31,4,0)*BP1237</f>
        <v>#N/A</v>
      </c>
    </row>
    <row r="1238" spans="41:74" x14ac:dyDescent="0.35">
      <c r="AO1238" s="39">
        <v>1236</v>
      </c>
      <c r="AP1238" s="63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55" t="e">
        <f>IFERROR(VLOOKUP(AQ1238,'[1]Harga &amp; Nama CSO'!$H$2:$N$22,2,FALSE),"")*AV1238</f>
        <v>#VALUE!</v>
      </c>
      <c r="BO1238" s="40"/>
      <c r="BP1238" s="4"/>
      <c r="BQ1238" s="62"/>
      <c r="BR1238" s="4"/>
      <c r="BS1238" s="57" t="e">
        <f t="shared" si="40"/>
        <v>#VALUE!</v>
      </c>
      <c r="BT1238" s="63"/>
      <c r="BU1238" s="8">
        <v>0</v>
      </c>
      <c r="BV1238" s="58" t="e">
        <f>VLOOKUP(AQ1238,'[1]Harga &amp; Nama CSO'!$A$28:$D$31,4,0)*BP1238</f>
        <v>#N/A</v>
      </c>
    </row>
    <row r="1239" spans="41:74" x14ac:dyDescent="0.35">
      <c r="AO1239" s="39">
        <v>1237</v>
      </c>
      <c r="AP1239" s="63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55" t="e">
        <f>IFERROR(VLOOKUP(AQ1239,'[1]Harga &amp; Nama CSO'!$H$2:$N$22,2,FALSE),"")*AV1239</f>
        <v>#VALUE!</v>
      </c>
      <c r="BO1239" s="40"/>
      <c r="BP1239" s="4"/>
      <c r="BQ1239" s="62"/>
      <c r="BR1239" s="4"/>
      <c r="BS1239" s="57" t="e">
        <f t="shared" si="40"/>
        <v>#VALUE!</v>
      </c>
      <c r="BT1239" s="63"/>
      <c r="BU1239" s="8">
        <v>0</v>
      </c>
      <c r="BV1239" s="58" t="e">
        <f>VLOOKUP(AQ1239,'[1]Harga &amp; Nama CSO'!$A$28:$D$31,4,0)*BP1239</f>
        <v>#N/A</v>
      </c>
    </row>
    <row r="1240" spans="41:74" x14ac:dyDescent="0.35">
      <c r="AO1240" s="39">
        <v>1238</v>
      </c>
      <c r="AP1240" s="63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55" t="e">
        <f>IFERROR(VLOOKUP(AQ1240,'[1]Harga &amp; Nama CSO'!$H$2:$N$22,2,FALSE),"")*AV1240</f>
        <v>#VALUE!</v>
      </c>
      <c r="BO1240" s="40"/>
      <c r="BP1240" s="4"/>
      <c r="BQ1240" s="62"/>
      <c r="BR1240" s="4"/>
      <c r="BS1240" s="57" t="e">
        <f t="shared" si="40"/>
        <v>#VALUE!</v>
      </c>
      <c r="BT1240" s="63"/>
      <c r="BU1240" s="8">
        <v>0</v>
      </c>
      <c r="BV1240" s="58" t="e">
        <f>VLOOKUP(AQ1240,'[1]Harga &amp; Nama CSO'!$A$28:$D$31,4,0)*BP1240</f>
        <v>#N/A</v>
      </c>
    </row>
    <row r="1241" spans="41:74" x14ac:dyDescent="0.35">
      <c r="AO1241" s="39">
        <v>1239</v>
      </c>
      <c r="AP1241" s="63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55" t="e">
        <f>IFERROR(VLOOKUP(AQ1241,'[1]Harga &amp; Nama CSO'!$H$2:$N$22,2,FALSE),"")*AV1241</f>
        <v>#VALUE!</v>
      </c>
      <c r="BO1241" s="40"/>
      <c r="BP1241" s="4"/>
      <c r="BQ1241" s="62"/>
      <c r="BR1241" s="4"/>
      <c r="BS1241" s="57" t="e">
        <f t="shared" si="40"/>
        <v>#VALUE!</v>
      </c>
      <c r="BT1241" s="63"/>
      <c r="BU1241" s="8">
        <v>0</v>
      </c>
      <c r="BV1241" s="58" t="e">
        <f>VLOOKUP(AQ1241,'[1]Harga &amp; Nama CSO'!$A$28:$D$31,4,0)*BP1241</f>
        <v>#N/A</v>
      </c>
    </row>
    <row r="1242" spans="41:74" x14ac:dyDescent="0.35">
      <c r="AO1242" s="39">
        <v>1240</v>
      </c>
      <c r="AP1242" s="63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55" t="e">
        <f>IFERROR(VLOOKUP(AQ1242,'[1]Harga &amp; Nama CSO'!$H$2:$N$22,2,FALSE),"")*AV1242</f>
        <v>#VALUE!</v>
      </c>
      <c r="BO1242" s="40"/>
      <c r="BP1242" s="4"/>
      <c r="BQ1242" s="62"/>
      <c r="BR1242" s="4"/>
      <c r="BS1242" s="57" t="e">
        <f t="shared" si="40"/>
        <v>#VALUE!</v>
      </c>
      <c r="BT1242" s="63"/>
      <c r="BU1242" s="8">
        <v>0</v>
      </c>
      <c r="BV1242" s="58" t="e">
        <f>VLOOKUP(AQ1242,'[1]Harga &amp; Nama CSO'!$A$28:$D$31,4,0)*BP1242</f>
        <v>#N/A</v>
      </c>
    </row>
    <row r="1243" spans="41:74" x14ac:dyDescent="0.35">
      <c r="AO1243" s="39">
        <v>1241</v>
      </c>
      <c r="AP1243" s="63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55" t="e">
        <f>IFERROR(VLOOKUP(AQ1243,'[1]Harga &amp; Nama CSO'!$H$2:$N$22,2,FALSE),"")*AV1243</f>
        <v>#VALUE!</v>
      </c>
      <c r="BO1243" s="40"/>
      <c r="BP1243" s="4"/>
      <c r="BQ1243" s="62"/>
      <c r="BR1243" s="4"/>
      <c r="BS1243" s="57" t="e">
        <f t="shared" si="40"/>
        <v>#VALUE!</v>
      </c>
      <c r="BT1243" s="63"/>
      <c r="BU1243" s="8">
        <v>0</v>
      </c>
      <c r="BV1243" s="58" t="e">
        <f>VLOOKUP(AQ1243,'[1]Harga &amp; Nama CSO'!$A$28:$D$31,4,0)*BP1243</f>
        <v>#N/A</v>
      </c>
    </row>
    <row r="1244" spans="41:74" x14ac:dyDescent="0.35">
      <c r="AO1244" s="39">
        <v>1242</v>
      </c>
      <c r="AP1244" s="63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55" t="e">
        <f>IFERROR(VLOOKUP(AQ1244,'[1]Harga &amp; Nama CSO'!$H$2:$N$22,2,FALSE),"")*AV1244</f>
        <v>#VALUE!</v>
      </c>
      <c r="BO1244" s="40"/>
      <c r="BP1244" s="4"/>
      <c r="BQ1244" s="62"/>
      <c r="BR1244" s="4"/>
      <c r="BS1244" s="57" t="e">
        <f t="shared" si="40"/>
        <v>#VALUE!</v>
      </c>
      <c r="BT1244" s="63"/>
      <c r="BU1244" s="8">
        <v>0</v>
      </c>
      <c r="BV1244" s="58" t="e">
        <f>VLOOKUP(AQ1244,'[1]Harga &amp; Nama CSO'!$A$28:$D$31,4,0)*BP1244</f>
        <v>#N/A</v>
      </c>
    </row>
    <row r="1245" spans="41:74" x14ac:dyDescent="0.35">
      <c r="AO1245" s="39">
        <v>1243</v>
      </c>
      <c r="AP1245" s="63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55" t="e">
        <f>IFERROR(VLOOKUP(AQ1245,'[1]Harga &amp; Nama CSO'!$H$2:$N$22,2,FALSE),"")*AV1245</f>
        <v>#VALUE!</v>
      </c>
      <c r="BO1245" s="40"/>
      <c r="BP1245" s="4"/>
      <c r="BQ1245" s="62"/>
      <c r="BR1245" s="4"/>
      <c r="BS1245" s="57" t="e">
        <f t="shared" si="40"/>
        <v>#VALUE!</v>
      </c>
      <c r="BT1245" s="63"/>
      <c r="BU1245" s="8">
        <v>0</v>
      </c>
      <c r="BV1245" s="58" t="e">
        <f>VLOOKUP(AQ1245,'[1]Harga &amp; Nama CSO'!$A$28:$D$31,4,0)*BP1245</f>
        <v>#N/A</v>
      </c>
    </row>
    <row r="1246" spans="41:74" x14ac:dyDescent="0.35">
      <c r="AO1246" s="39">
        <v>1244</v>
      </c>
      <c r="AP1246" s="63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55" t="e">
        <f>IFERROR(VLOOKUP(AQ1246,'[1]Harga &amp; Nama CSO'!$H$2:$N$22,2,FALSE),"")*AV1246</f>
        <v>#VALUE!</v>
      </c>
      <c r="BO1246" s="40"/>
      <c r="BP1246" s="4"/>
      <c r="BQ1246" s="62"/>
      <c r="BR1246" s="4"/>
      <c r="BS1246" s="57" t="e">
        <f t="shared" si="40"/>
        <v>#VALUE!</v>
      </c>
      <c r="BT1246" s="63"/>
      <c r="BU1246" s="8">
        <v>0</v>
      </c>
      <c r="BV1246" s="58" t="e">
        <f>VLOOKUP(AQ1246,'[1]Harga &amp; Nama CSO'!$A$28:$D$31,4,0)*BP1246</f>
        <v>#N/A</v>
      </c>
    </row>
    <row r="1247" spans="41:74" x14ac:dyDescent="0.35">
      <c r="AO1247" s="39">
        <v>1245</v>
      </c>
      <c r="AP1247" s="63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55" t="e">
        <f>IFERROR(VLOOKUP(AQ1247,'[1]Harga &amp; Nama CSO'!$H$2:$N$22,2,FALSE),"")*AV1247</f>
        <v>#VALUE!</v>
      </c>
      <c r="BO1247" s="40"/>
      <c r="BP1247" s="4"/>
      <c r="BQ1247" s="62"/>
      <c r="BR1247" s="4"/>
      <c r="BS1247" s="57" t="e">
        <f t="shared" si="40"/>
        <v>#VALUE!</v>
      </c>
      <c r="BT1247" s="63"/>
      <c r="BU1247" s="8">
        <v>0</v>
      </c>
      <c r="BV1247" s="58" t="e">
        <f>VLOOKUP(AQ1247,'[1]Harga &amp; Nama CSO'!$A$28:$D$31,4,0)*BP1247</f>
        <v>#N/A</v>
      </c>
    </row>
    <row r="1248" spans="41:74" x14ac:dyDescent="0.35">
      <c r="AO1248" s="39">
        <v>1246</v>
      </c>
      <c r="AP1248" s="63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55" t="e">
        <f>IFERROR(VLOOKUP(AQ1248,'[1]Harga &amp; Nama CSO'!$H$2:$N$22,2,FALSE),"")*AV1248</f>
        <v>#VALUE!</v>
      </c>
      <c r="BO1248" s="40"/>
      <c r="BP1248" s="4"/>
      <c r="BQ1248" s="62"/>
      <c r="BR1248" s="4"/>
      <c r="BS1248" s="57" t="e">
        <f t="shared" si="40"/>
        <v>#VALUE!</v>
      </c>
      <c r="BT1248" s="63"/>
      <c r="BU1248" s="8">
        <v>0</v>
      </c>
      <c r="BV1248" s="58" t="e">
        <f>VLOOKUP(AQ1248,'[1]Harga &amp; Nama CSO'!$A$28:$D$31,4,0)*BP1248</f>
        <v>#N/A</v>
      </c>
    </row>
    <row r="1249" spans="41:74" x14ac:dyDescent="0.35">
      <c r="AO1249" s="39">
        <v>1247</v>
      </c>
      <c r="AP1249" s="63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55" t="e">
        <f>IFERROR(VLOOKUP(AQ1249,'[1]Harga &amp; Nama CSO'!$H$2:$N$22,2,FALSE),"")*AV1249</f>
        <v>#VALUE!</v>
      </c>
      <c r="BO1249" s="40"/>
      <c r="BP1249" s="4"/>
      <c r="BQ1249" s="62"/>
      <c r="BR1249" s="4"/>
      <c r="BS1249" s="57" t="e">
        <f t="shared" si="40"/>
        <v>#VALUE!</v>
      </c>
      <c r="BT1249" s="63"/>
      <c r="BU1249" s="8">
        <v>0</v>
      </c>
      <c r="BV1249" s="58" t="e">
        <f>VLOOKUP(AQ1249,'[1]Harga &amp; Nama CSO'!$A$28:$D$31,4,0)*BP1249</f>
        <v>#N/A</v>
      </c>
    </row>
    <row r="1250" spans="41:74" x14ac:dyDescent="0.35">
      <c r="AO1250" s="39">
        <v>1248</v>
      </c>
      <c r="AP1250" s="63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55" t="e">
        <f>IFERROR(VLOOKUP(AQ1250,'[1]Harga &amp; Nama CSO'!$H$2:$N$22,2,FALSE),"")*AV1250</f>
        <v>#VALUE!</v>
      </c>
      <c r="BO1250" s="40"/>
      <c r="BP1250" s="4"/>
      <c r="BQ1250" s="62"/>
      <c r="BR1250" s="4"/>
      <c r="BS1250" s="57" t="e">
        <f t="shared" si="40"/>
        <v>#VALUE!</v>
      </c>
      <c r="BT1250" s="63"/>
      <c r="BU1250" s="8">
        <v>0</v>
      </c>
      <c r="BV1250" s="58" t="e">
        <f>VLOOKUP(AQ1250,'[1]Harga &amp; Nama CSO'!$A$28:$D$31,4,0)*BP1250</f>
        <v>#N/A</v>
      </c>
    </row>
    <row r="1251" spans="41:74" x14ac:dyDescent="0.35">
      <c r="AO1251" s="39">
        <v>1249</v>
      </c>
      <c r="AP1251" s="63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55" t="e">
        <f>IFERROR(VLOOKUP(AQ1251,'[1]Harga &amp; Nama CSO'!$H$2:$N$22,2,FALSE),"")*AV1251</f>
        <v>#VALUE!</v>
      </c>
      <c r="BO1251" s="40"/>
      <c r="BP1251" s="4"/>
      <c r="BQ1251" s="62"/>
      <c r="BR1251" s="4"/>
      <c r="BS1251" s="57" t="e">
        <f t="shared" si="40"/>
        <v>#VALUE!</v>
      </c>
      <c r="BT1251" s="63"/>
      <c r="BU1251" s="8">
        <v>0</v>
      </c>
      <c r="BV1251" s="58" t="e">
        <f>VLOOKUP(AQ1251,'[1]Harga &amp; Nama CSO'!$A$28:$D$31,4,0)*BP1251</f>
        <v>#N/A</v>
      </c>
    </row>
    <row r="1252" spans="41:74" x14ac:dyDescent="0.35">
      <c r="AO1252" s="39">
        <v>1250</v>
      </c>
      <c r="AP1252" s="63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55" t="e">
        <f>IFERROR(VLOOKUP(AQ1252,'[1]Harga &amp; Nama CSO'!$H$2:$N$22,2,FALSE),"")*AV1252</f>
        <v>#VALUE!</v>
      </c>
      <c r="BO1252" s="40"/>
      <c r="BP1252" s="4"/>
      <c r="BQ1252" s="62"/>
      <c r="BR1252" s="4"/>
      <c r="BS1252" s="57" t="e">
        <f t="shared" si="40"/>
        <v>#VALUE!</v>
      </c>
      <c r="BT1252" s="63"/>
      <c r="BU1252" s="8">
        <v>0</v>
      </c>
      <c r="BV1252" s="58" t="e">
        <f>VLOOKUP(AQ1252,'[1]Harga &amp; Nama CSO'!$A$28:$D$31,4,0)*BP1252</f>
        <v>#N/A</v>
      </c>
    </row>
    <row r="1253" spans="41:74" x14ac:dyDescent="0.35">
      <c r="AO1253" s="39">
        <v>1251</v>
      </c>
      <c r="AP1253" s="63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55" t="e">
        <f>IFERROR(VLOOKUP(AQ1253,'[1]Harga &amp; Nama CSO'!$H$2:$N$22,2,FALSE),"")*AV1253</f>
        <v>#VALUE!</v>
      </c>
      <c r="BO1253" s="40"/>
      <c r="BP1253" s="4"/>
      <c r="BQ1253" s="62"/>
      <c r="BR1253" s="4"/>
      <c r="BS1253" s="57" t="e">
        <f t="shared" si="40"/>
        <v>#VALUE!</v>
      </c>
      <c r="BT1253" s="63"/>
      <c r="BU1253" s="8">
        <v>0</v>
      </c>
      <c r="BV1253" s="58" t="e">
        <f>VLOOKUP(AQ1253,'[1]Harga &amp; Nama CSO'!$A$28:$D$31,4,0)*BP1253</f>
        <v>#N/A</v>
      </c>
    </row>
    <row r="1254" spans="41:74" x14ac:dyDescent="0.35">
      <c r="AO1254" s="39">
        <v>1252</v>
      </c>
      <c r="AP1254" s="63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55" t="e">
        <f>IFERROR(VLOOKUP(AQ1254,'[1]Harga &amp; Nama CSO'!$H$2:$N$22,2,FALSE),"")*AV1254</f>
        <v>#VALUE!</v>
      </c>
      <c r="BO1254" s="40"/>
      <c r="BP1254" s="4"/>
      <c r="BQ1254" s="62"/>
      <c r="BR1254" s="4"/>
      <c r="BS1254" s="57" t="e">
        <f t="shared" si="40"/>
        <v>#VALUE!</v>
      </c>
      <c r="BT1254" s="63"/>
      <c r="BU1254" s="8">
        <v>0</v>
      </c>
      <c r="BV1254" s="58" t="e">
        <f>VLOOKUP(AQ1254,'[1]Harga &amp; Nama CSO'!$A$28:$D$31,4,0)*BP1254</f>
        <v>#N/A</v>
      </c>
    </row>
    <row r="1255" spans="41:74" x14ac:dyDescent="0.35">
      <c r="AO1255" s="39">
        <v>1253</v>
      </c>
      <c r="AP1255" s="63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55" t="e">
        <f>IFERROR(VLOOKUP(AQ1255,'[1]Harga &amp; Nama CSO'!$H$2:$N$22,2,FALSE),"")*AV1255</f>
        <v>#VALUE!</v>
      </c>
      <c r="BO1255" s="40"/>
      <c r="BP1255" s="4"/>
      <c r="BQ1255" s="62"/>
      <c r="BR1255" s="4"/>
      <c r="BS1255" s="57" t="e">
        <f t="shared" si="40"/>
        <v>#VALUE!</v>
      </c>
      <c r="BT1255" s="63"/>
      <c r="BU1255" s="8">
        <v>0</v>
      </c>
      <c r="BV1255" s="58" t="e">
        <f>VLOOKUP(AQ1255,'[1]Harga &amp; Nama CSO'!$A$28:$D$31,4,0)*BP1255</f>
        <v>#N/A</v>
      </c>
    </row>
    <row r="1256" spans="41:74" x14ac:dyDescent="0.35">
      <c r="AO1256" s="39">
        <v>1254</v>
      </c>
      <c r="AP1256" s="63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55" t="e">
        <f>IFERROR(VLOOKUP(AQ1256,'[1]Harga &amp; Nama CSO'!$H$2:$N$22,2,FALSE),"")*AV1256</f>
        <v>#VALUE!</v>
      </c>
      <c r="BO1256" s="40"/>
      <c r="BP1256" s="4"/>
      <c r="BQ1256" s="62"/>
      <c r="BR1256" s="4"/>
      <c r="BS1256" s="57" t="e">
        <f t="shared" si="40"/>
        <v>#VALUE!</v>
      </c>
      <c r="BT1256" s="63"/>
      <c r="BU1256" s="8">
        <v>0</v>
      </c>
      <c r="BV1256" s="58" t="e">
        <f>VLOOKUP(AQ1256,'[1]Harga &amp; Nama CSO'!$A$28:$D$31,4,0)*BP1256</f>
        <v>#N/A</v>
      </c>
    </row>
    <row r="1257" spans="41:74" x14ac:dyDescent="0.35">
      <c r="AO1257" s="39">
        <v>1255</v>
      </c>
      <c r="AP1257" s="63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55" t="e">
        <f>IFERROR(VLOOKUP(AQ1257,'[1]Harga &amp; Nama CSO'!$H$2:$N$22,2,FALSE),"")*AV1257</f>
        <v>#VALUE!</v>
      </c>
      <c r="BO1257" s="40"/>
      <c r="BP1257" s="4"/>
      <c r="BQ1257" s="62"/>
      <c r="BR1257" s="4"/>
      <c r="BS1257" s="57" t="e">
        <f t="shared" si="40"/>
        <v>#VALUE!</v>
      </c>
      <c r="BT1257" s="63"/>
      <c r="BU1257" s="8">
        <v>0</v>
      </c>
      <c r="BV1257" s="58" t="e">
        <f>VLOOKUP(AQ1257,'[1]Harga &amp; Nama CSO'!$A$28:$D$31,4,0)*BP1257</f>
        <v>#N/A</v>
      </c>
    </row>
    <row r="1258" spans="41:74" x14ac:dyDescent="0.35">
      <c r="AO1258" s="39">
        <v>1256</v>
      </c>
      <c r="AP1258" s="63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55" t="e">
        <f>IFERROR(VLOOKUP(AQ1258,'[1]Harga &amp; Nama CSO'!$H$2:$N$22,2,FALSE),"")*AV1258</f>
        <v>#VALUE!</v>
      </c>
      <c r="BO1258" s="40"/>
      <c r="BP1258" s="4"/>
      <c r="BQ1258" s="62"/>
      <c r="BR1258" s="4"/>
      <c r="BS1258" s="57" t="e">
        <f t="shared" si="40"/>
        <v>#VALUE!</v>
      </c>
      <c r="BT1258" s="63"/>
      <c r="BU1258" s="8">
        <v>0</v>
      </c>
      <c r="BV1258" s="58" t="e">
        <f>VLOOKUP(AQ1258,'[1]Harga &amp; Nama CSO'!$A$28:$D$31,4,0)*BP1258</f>
        <v>#N/A</v>
      </c>
    </row>
    <row r="1259" spans="41:74" x14ac:dyDescent="0.35">
      <c r="AO1259" s="39">
        <v>1257</v>
      </c>
      <c r="AP1259" s="63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55" t="e">
        <f>IFERROR(VLOOKUP(AQ1259,'[1]Harga &amp; Nama CSO'!$H$2:$N$22,2,FALSE),"")*AV1259</f>
        <v>#VALUE!</v>
      </c>
      <c r="BO1259" s="40"/>
      <c r="BP1259" s="4"/>
      <c r="BQ1259" s="62"/>
      <c r="BR1259" s="4"/>
      <c r="BS1259" s="57" t="e">
        <f t="shared" si="40"/>
        <v>#VALUE!</v>
      </c>
      <c r="BT1259" s="63"/>
      <c r="BU1259" s="8">
        <v>0</v>
      </c>
      <c r="BV1259" s="58" t="e">
        <f>VLOOKUP(AQ1259,'[1]Harga &amp; Nama CSO'!$A$28:$D$31,4,0)*BP1259</f>
        <v>#N/A</v>
      </c>
    </row>
    <row r="1260" spans="41:74" x14ac:dyDescent="0.35">
      <c r="AO1260" s="39">
        <v>1258</v>
      </c>
      <c r="AP1260" s="63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55" t="e">
        <f>IFERROR(VLOOKUP(AQ1260,'[1]Harga &amp; Nama CSO'!$H$2:$N$22,2,FALSE),"")*AV1260</f>
        <v>#VALUE!</v>
      </c>
      <c r="BO1260" s="40"/>
      <c r="BP1260" s="4"/>
      <c r="BQ1260" s="62"/>
      <c r="BR1260" s="4"/>
      <c r="BS1260" s="57" t="e">
        <f t="shared" si="40"/>
        <v>#VALUE!</v>
      </c>
      <c r="BT1260" s="63"/>
      <c r="BU1260" s="8">
        <v>0</v>
      </c>
      <c r="BV1260" s="58" t="e">
        <f>VLOOKUP(AQ1260,'[1]Harga &amp; Nama CSO'!$A$28:$D$31,4,0)*BP1260</f>
        <v>#N/A</v>
      </c>
    </row>
    <row r="1261" spans="41:74" x14ac:dyDescent="0.35">
      <c r="AO1261" s="39">
        <v>1259</v>
      </c>
      <c r="AP1261" s="63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55" t="e">
        <f>IFERROR(VLOOKUP(AQ1261,'[1]Harga &amp; Nama CSO'!$H$2:$N$22,2,FALSE),"")*AV1261</f>
        <v>#VALUE!</v>
      </c>
      <c r="BO1261" s="40"/>
      <c r="BP1261" s="4"/>
      <c r="BQ1261" s="62"/>
      <c r="BR1261" s="4"/>
      <c r="BS1261" s="57" t="e">
        <f t="shared" si="40"/>
        <v>#VALUE!</v>
      </c>
      <c r="BT1261" s="63"/>
      <c r="BU1261" s="8">
        <v>0</v>
      </c>
      <c r="BV1261" s="58" t="e">
        <f>VLOOKUP(AQ1261,'[1]Harga &amp; Nama CSO'!$A$28:$D$31,4,0)*BP1261</f>
        <v>#N/A</v>
      </c>
    </row>
    <row r="1262" spans="41:74" x14ac:dyDescent="0.35">
      <c r="AO1262" s="39">
        <v>1260</v>
      </c>
      <c r="AP1262" s="63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55" t="e">
        <f>IFERROR(VLOOKUP(AQ1262,'[1]Harga &amp; Nama CSO'!$H$2:$N$22,2,FALSE),"")*AV1262</f>
        <v>#VALUE!</v>
      </c>
      <c r="BO1262" s="40"/>
      <c r="BP1262" s="4"/>
      <c r="BQ1262" s="62"/>
      <c r="BR1262" s="4"/>
      <c r="BS1262" s="57" t="e">
        <f t="shared" si="40"/>
        <v>#VALUE!</v>
      </c>
      <c r="BT1262" s="63"/>
      <c r="BU1262" s="8">
        <v>0</v>
      </c>
      <c r="BV1262" s="58" t="e">
        <f>VLOOKUP(AQ1262,'[1]Harga &amp; Nama CSO'!$A$28:$D$31,4,0)*BP1262</f>
        <v>#N/A</v>
      </c>
    </row>
    <row r="1263" spans="41:74" x14ac:dyDescent="0.35">
      <c r="AO1263" s="39">
        <v>1261</v>
      </c>
      <c r="AP1263" s="63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55" t="e">
        <f>IFERROR(VLOOKUP(AQ1263,'[1]Harga &amp; Nama CSO'!$H$2:$N$22,2,FALSE),"")*AV1263</f>
        <v>#VALUE!</v>
      </c>
      <c r="BO1263" s="40"/>
      <c r="BP1263" s="4"/>
      <c r="BQ1263" s="62"/>
      <c r="BR1263" s="4"/>
      <c r="BS1263" s="57" t="e">
        <f t="shared" si="40"/>
        <v>#VALUE!</v>
      </c>
      <c r="BT1263" s="63"/>
      <c r="BU1263" s="8">
        <v>0</v>
      </c>
      <c r="BV1263" s="58" t="e">
        <f>VLOOKUP(AQ1263,'[1]Harga &amp; Nama CSO'!$A$28:$D$31,4,0)*BP1263</f>
        <v>#N/A</v>
      </c>
    </row>
    <row r="1264" spans="41:74" x14ac:dyDescent="0.35">
      <c r="AO1264" s="39">
        <v>1262</v>
      </c>
      <c r="AP1264" s="63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55" t="e">
        <f>IFERROR(VLOOKUP(AQ1264,'[1]Harga &amp; Nama CSO'!$H$2:$N$22,2,FALSE),"")*AV1264</f>
        <v>#VALUE!</v>
      </c>
      <c r="BO1264" s="40"/>
      <c r="BP1264" s="4"/>
      <c r="BQ1264" s="62"/>
      <c r="BR1264" s="4"/>
      <c r="BS1264" s="57" t="e">
        <f t="shared" si="40"/>
        <v>#VALUE!</v>
      </c>
      <c r="BT1264" s="63"/>
      <c r="BU1264" s="8">
        <v>0</v>
      </c>
      <c r="BV1264" s="58" t="e">
        <f>VLOOKUP(AQ1264,'[1]Harga &amp; Nama CSO'!$A$28:$D$31,4,0)*BP1264</f>
        <v>#N/A</v>
      </c>
    </row>
    <row r="1265" spans="41:74" x14ac:dyDescent="0.35">
      <c r="AO1265" s="39">
        <v>1263</v>
      </c>
      <c r="AP1265" s="63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55" t="e">
        <f>IFERROR(VLOOKUP(AQ1265,'[1]Harga &amp; Nama CSO'!$H$2:$N$22,2,FALSE),"")*AV1265</f>
        <v>#VALUE!</v>
      </c>
      <c r="BO1265" s="40"/>
      <c r="BP1265" s="4"/>
      <c r="BQ1265" s="62"/>
      <c r="BR1265" s="4"/>
      <c r="BS1265" s="57" t="e">
        <f t="shared" si="40"/>
        <v>#VALUE!</v>
      </c>
      <c r="BT1265" s="63"/>
      <c r="BU1265" s="8">
        <v>0</v>
      </c>
      <c r="BV1265" s="58" t="e">
        <f>VLOOKUP(AQ1265,'[1]Harga &amp; Nama CSO'!$A$28:$D$31,4,0)*BP1265</f>
        <v>#N/A</v>
      </c>
    </row>
    <row r="1266" spans="41:74" x14ac:dyDescent="0.35">
      <c r="AO1266" s="39">
        <v>1264</v>
      </c>
      <c r="AP1266" s="63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55" t="e">
        <f>IFERROR(VLOOKUP(AQ1266,'[1]Harga &amp; Nama CSO'!$H$2:$N$22,2,FALSE),"")*AV1266</f>
        <v>#VALUE!</v>
      </c>
      <c r="BO1266" s="40"/>
      <c r="BP1266" s="4"/>
      <c r="BQ1266" s="62"/>
      <c r="BR1266" s="4"/>
      <c r="BS1266" s="57" t="e">
        <f t="shared" si="40"/>
        <v>#VALUE!</v>
      </c>
      <c r="BT1266" s="63"/>
      <c r="BU1266" s="8">
        <v>0</v>
      </c>
      <c r="BV1266" s="58" t="e">
        <f>VLOOKUP(AQ1266,'[1]Harga &amp; Nama CSO'!$A$28:$D$31,4,0)*BP1266</f>
        <v>#N/A</v>
      </c>
    </row>
    <row r="1267" spans="41:74" x14ac:dyDescent="0.35">
      <c r="AO1267" s="39">
        <v>1265</v>
      </c>
      <c r="AP1267" s="63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55" t="e">
        <f>IFERROR(VLOOKUP(AQ1267,'[1]Harga &amp; Nama CSO'!$H$2:$N$22,2,FALSE),"")*AV1267</f>
        <v>#VALUE!</v>
      </c>
      <c r="BO1267" s="40"/>
      <c r="BP1267" s="4"/>
      <c r="BQ1267" s="62"/>
      <c r="BR1267" s="4"/>
      <c r="BS1267" s="57" t="e">
        <f t="shared" si="40"/>
        <v>#VALUE!</v>
      </c>
      <c r="BT1267" s="63"/>
      <c r="BU1267" s="8">
        <v>0</v>
      </c>
      <c r="BV1267" s="58" t="e">
        <f>VLOOKUP(AQ1267,'[1]Harga &amp; Nama CSO'!$A$28:$D$31,4,0)*BP1267</f>
        <v>#N/A</v>
      </c>
    </row>
    <row r="1268" spans="41:74" x14ac:dyDescent="0.35">
      <c r="AO1268" s="39">
        <v>1266</v>
      </c>
      <c r="AP1268" s="63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55" t="e">
        <f>IFERROR(VLOOKUP(AQ1268,'[1]Harga &amp; Nama CSO'!$H$2:$N$22,2,FALSE),"")*AV1268</f>
        <v>#VALUE!</v>
      </c>
      <c r="BO1268" s="40"/>
      <c r="BP1268" s="4"/>
      <c r="BQ1268" s="62"/>
      <c r="BR1268" s="4"/>
      <c r="BS1268" s="57" t="e">
        <f t="shared" si="40"/>
        <v>#VALUE!</v>
      </c>
      <c r="BT1268" s="63"/>
      <c r="BU1268" s="8">
        <v>0</v>
      </c>
      <c r="BV1268" s="58" t="e">
        <f>VLOOKUP(AQ1268,'[1]Harga &amp; Nama CSO'!$A$28:$D$31,4,0)*BP1268</f>
        <v>#N/A</v>
      </c>
    </row>
    <row r="1269" spans="41:74" x14ac:dyDescent="0.35">
      <c r="AO1269" s="39">
        <v>1267</v>
      </c>
      <c r="AP1269" s="63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55" t="e">
        <f>IFERROR(VLOOKUP(AQ1269,'[1]Harga &amp; Nama CSO'!$H$2:$N$22,2,FALSE),"")*AV1269</f>
        <v>#VALUE!</v>
      </c>
      <c r="BO1269" s="40"/>
      <c r="BP1269" s="4"/>
      <c r="BQ1269" s="62"/>
      <c r="BR1269" s="4"/>
      <c r="BS1269" s="57" t="e">
        <f t="shared" si="40"/>
        <v>#VALUE!</v>
      </c>
      <c r="BT1269" s="63"/>
      <c r="BU1269" s="8">
        <v>0</v>
      </c>
      <c r="BV1269" s="58" t="e">
        <f>VLOOKUP(AQ1269,'[1]Harga &amp; Nama CSO'!$A$28:$D$31,4,0)*BP1269</f>
        <v>#N/A</v>
      </c>
    </row>
    <row r="1270" spans="41:74" x14ac:dyDescent="0.35">
      <c r="AO1270" s="39">
        <v>1268</v>
      </c>
      <c r="AP1270" s="63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55" t="e">
        <f>IFERROR(VLOOKUP(AQ1270,'[1]Harga &amp; Nama CSO'!$H$2:$N$22,2,FALSE),"")*AV1270</f>
        <v>#VALUE!</v>
      </c>
      <c r="BO1270" s="40"/>
      <c r="BP1270" s="4"/>
      <c r="BQ1270" s="62"/>
      <c r="BR1270" s="4"/>
      <c r="BS1270" s="57" t="e">
        <f t="shared" si="40"/>
        <v>#VALUE!</v>
      </c>
      <c r="BT1270" s="63"/>
      <c r="BU1270" s="8">
        <v>0</v>
      </c>
      <c r="BV1270" s="58" t="e">
        <f>VLOOKUP(AQ1270,'[1]Harga &amp; Nama CSO'!$A$28:$D$31,4,0)*BP1270</f>
        <v>#N/A</v>
      </c>
    </row>
    <row r="1271" spans="41:74" x14ac:dyDescent="0.35">
      <c r="AO1271" s="39">
        <v>1269</v>
      </c>
      <c r="AP1271" s="63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55" t="e">
        <f>IFERROR(VLOOKUP(AQ1271,'[1]Harga &amp; Nama CSO'!$H$2:$N$22,2,FALSE),"")*AV1271</f>
        <v>#VALUE!</v>
      </c>
      <c r="BO1271" s="40"/>
      <c r="BP1271" s="4"/>
      <c r="BQ1271" s="62"/>
      <c r="BR1271" s="4"/>
      <c r="BS1271" s="57" t="e">
        <f t="shared" si="40"/>
        <v>#VALUE!</v>
      </c>
      <c r="BT1271" s="63"/>
      <c r="BU1271" s="8">
        <v>0</v>
      </c>
      <c r="BV1271" s="58" t="e">
        <f>VLOOKUP(AQ1271,'[1]Harga &amp; Nama CSO'!$A$28:$D$31,4,0)*BP1271</f>
        <v>#N/A</v>
      </c>
    </row>
    <row r="1272" spans="41:74" x14ac:dyDescent="0.35">
      <c r="AO1272" s="39">
        <v>1270</v>
      </c>
      <c r="AP1272" s="63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55" t="e">
        <f>IFERROR(VLOOKUP(AQ1272,'[1]Harga &amp; Nama CSO'!$H$2:$N$22,2,FALSE),"")*AV1272</f>
        <v>#VALUE!</v>
      </c>
      <c r="BO1272" s="40"/>
      <c r="BP1272" s="4"/>
      <c r="BQ1272" s="62"/>
      <c r="BR1272" s="4"/>
      <c r="BS1272" s="57" t="e">
        <f t="shared" si="40"/>
        <v>#VALUE!</v>
      </c>
      <c r="BT1272" s="63"/>
      <c r="BU1272" s="8">
        <v>0</v>
      </c>
      <c r="BV1272" s="58" t="e">
        <f>VLOOKUP(AQ1272,'[1]Harga &amp; Nama CSO'!$A$28:$D$31,4,0)*BP1272</f>
        <v>#N/A</v>
      </c>
    </row>
    <row r="1273" spans="41:74" x14ac:dyDescent="0.35">
      <c r="AO1273" s="39">
        <v>1271</v>
      </c>
      <c r="AP1273" s="63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55" t="e">
        <f>IFERROR(VLOOKUP(AQ1273,'[1]Harga &amp; Nama CSO'!$H$2:$N$22,2,FALSE),"")*AV1273</f>
        <v>#VALUE!</v>
      </c>
      <c r="BO1273" s="40"/>
      <c r="BP1273" s="4"/>
      <c r="BQ1273" s="62"/>
      <c r="BR1273" s="4"/>
      <c r="BS1273" s="57" t="e">
        <f t="shared" si="40"/>
        <v>#VALUE!</v>
      </c>
      <c r="BT1273" s="63"/>
      <c r="BU1273" s="8">
        <v>0</v>
      </c>
      <c r="BV1273" s="58" t="e">
        <f>VLOOKUP(AQ1273,'[1]Harga &amp; Nama CSO'!$A$28:$D$31,4,0)*BP1273</f>
        <v>#N/A</v>
      </c>
    </row>
    <row r="1274" spans="41:74" x14ac:dyDescent="0.35">
      <c r="AO1274" s="39">
        <v>1272</v>
      </c>
      <c r="AP1274" s="63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55" t="e">
        <f>IFERROR(VLOOKUP(AQ1274,'[1]Harga &amp; Nama CSO'!$H$2:$N$22,2,FALSE),"")*AV1274</f>
        <v>#VALUE!</v>
      </c>
      <c r="BO1274" s="40"/>
      <c r="BP1274" s="4"/>
      <c r="BQ1274" s="62"/>
      <c r="BR1274" s="4"/>
      <c r="BS1274" s="57" t="e">
        <f t="shared" si="40"/>
        <v>#VALUE!</v>
      </c>
      <c r="BT1274" s="63"/>
      <c r="BU1274" s="8">
        <v>0</v>
      </c>
      <c r="BV1274" s="58" t="e">
        <f>VLOOKUP(AQ1274,'[1]Harga &amp; Nama CSO'!$A$28:$D$31,4,0)*BP1274</f>
        <v>#N/A</v>
      </c>
    </row>
    <row r="1275" spans="41:74" x14ac:dyDescent="0.35">
      <c r="AO1275" s="39">
        <v>1273</v>
      </c>
      <c r="AP1275" s="63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55" t="e">
        <f>IFERROR(VLOOKUP(AQ1275,'[1]Harga &amp; Nama CSO'!$H$2:$N$22,2,FALSE),"")*AV1275</f>
        <v>#VALUE!</v>
      </c>
      <c r="BO1275" s="40"/>
      <c r="BP1275" s="4"/>
      <c r="BQ1275" s="62"/>
      <c r="BR1275" s="4"/>
      <c r="BS1275" s="57" t="e">
        <f t="shared" si="40"/>
        <v>#VALUE!</v>
      </c>
      <c r="BT1275" s="63"/>
      <c r="BU1275" s="8">
        <v>0</v>
      </c>
      <c r="BV1275" s="58" t="e">
        <f>VLOOKUP(AQ1275,'[1]Harga &amp; Nama CSO'!$A$28:$D$31,4,0)*BP1275</f>
        <v>#N/A</v>
      </c>
    </row>
    <row r="1276" spans="41:74" x14ac:dyDescent="0.35">
      <c r="AO1276" s="39">
        <v>1274</v>
      </c>
      <c r="AP1276" s="63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55" t="e">
        <f>IFERROR(VLOOKUP(AQ1276,'[1]Harga &amp; Nama CSO'!$H$2:$N$22,2,FALSE),"")*AV1276</f>
        <v>#VALUE!</v>
      </c>
      <c r="BO1276" s="40"/>
      <c r="BP1276" s="4"/>
      <c r="BQ1276" s="62"/>
      <c r="BR1276" s="4"/>
      <c r="BS1276" s="57" t="e">
        <f t="shared" si="40"/>
        <v>#VALUE!</v>
      </c>
      <c r="BT1276" s="63"/>
      <c r="BU1276" s="8">
        <v>0</v>
      </c>
      <c r="BV1276" s="58" t="e">
        <f>VLOOKUP(AQ1276,'[1]Harga &amp; Nama CSO'!$A$28:$D$31,4,0)*BP1276</f>
        <v>#N/A</v>
      </c>
    </row>
    <row r="1277" spans="41:74" x14ac:dyDescent="0.35">
      <c r="AO1277" s="39">
        <v>1275</v>
      </c>
      <c r="AP1277" s="63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55" t="e">
        <f>IFERROR(VLOOKUP(AQ1277,'[1]Harga &amp; Nama CSO'!$H$2:$N$22,2,FALSE),"")*AV1277</f>
        <v>#VALUE!</v>
      </c>
      <c r="BO1277" s="40"/>
      <c r="BP1277" s="4"/>
      <c r="BQ1277" s="62"/>
      <c r="BR1277" s="4"/>
      <c r="BS1277" s="57" t="e">
        <f t="shared" si="40"/>
        <v>#VALUE!</v>
      </c>
      <c r="BT1277" s="63"/>
      <c r="BU1277" s="8">
        <v>0</v>
      </c>
      <c r="BV1277" s="58" t="e">
        <f>VLOOKUP(AQ1277,'[1]Harga &amp; Nama CSO'!$A$28:$D$31,4,0)*BP1277</f>
        <v>#N/A</v>
      </c>
    </row>
    <row r="1278" spans="41:74" x14ac:dyDescent="0.35">
      <c r="AO1278" s="39">
        <v>1276</v>
      </c>
      <c r="AP1278" s="63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55" t="e">
        <f>IFERROR(VLOOKUP(AQ1278,'[1]Harga &amp; Nama CSO'!$H$2:$N$22,2,FALSE),"")*AV1278</f>
        <v>#VALUE!</v>
      </c>
      <c r="BO1278" s="40"/>
      <c r="BP1278" s="4"/>
      <c r="BQ1278" s="62"/>
      <c r="BR1278" s="4"/>
      <c r="BS1278" s="57" t="e">
        <f t="shared" si="40"/>
        <v>#VALUE!</v>
      </c>
      <c r="BT1278" s="63"/>
      <c r="BU1278" s="8">
        <v>0</v>
      </c>
      <c r="BV1278" s="58" t="e">
        <f>VLOOKUP(AQ1278,'[1]Harga &amp; Nama CSO'!$A$28:$D$31,4,0)*BP1278</f>
        <v>#N/A</v>
      </c>
    </row>
    <row r="1279" spans="41:74" x14ac:dyDescent="0.35">
      <c r="AO1279" s="39">
        <v>1277</v>
      </c>
      <c r="AP1279" s="63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55" t="e">
        <f>IFERROR(VLOOKUP(AQ1279,'[1]Harga &amp; Nama CSO'!$H$2:$N$22,2,FALSE),"")*AV1279</f>
        <v>#VALUE!</v>
      </c>
      <c r="BO1279" s="40"/>
      <c r="BP1279" s="4"/>
      <c r="BQ1279" s="62"/>
      <c r="BR1279" s="4"/>
      <c r="BS1279" s="57" t="e">
        <f t="shared" si="40"/>
        <v>#VALUE!</v>
      </c>
      <c r="BT1279" s="63"/>
      <c r="BU1279" s="8">
        <v>0</v>
      </c>
      <c r="BV1279" s="58" t="e">
        <f>VLOOKUP(AQ1279,'[1]Harga &amp; Nama CSO'!$A$28:$D$31,4,0)*BP1279</f>
        <v>#N/A</v>
      </c>
    </row>
    <row r="1280" spans="41:74" x14ac:dyDescent="0.35">
      <c r="AO1280" s="39">
        <v>1278</v>
      </c>
      <c r="AP1280" s="63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55" t="e">
        <f>IFERROR(VLOOKUP(AQ1280,'[1]Harga &amp; Nama CSO'!$H$2:$N$22,2,FALSE),"")*AV1280</f>
        <v>#VALUE!</v>
      </c>
      <c r="BO1280" s="40"/>
      <c r="BP1280" s="4"/>
      <c r="BQ1280" s="62"/>
      <c r="BR1280" s="4"/>
      <c r="BS1280" s="57" t="e">
        <f t="shared" si="40"/>
        <v>#VALUE!</v>
      </c>
      <c r="BT1280" s="63"/>
      <c r="BU1280" s="8">
        <v>0</v>
      </c>
      <c r="BV1280" s="58" t="e">
        <f>VLOOKUP(AQ1280,'[1]Harga &amp; Nama CSO'!$A$28:$D$31,4,0)*BP1280</f>
        <v>#N/A</v>
      </c>
    </row>
    <row r="1281" spans="41:74" x14ac:dyDescent="0.35">
      <c r="AO1281" s="39">
        <v>1279</v>
      </c>
      <c r="AP1281" s="63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55" t="e">
        <f>IFERROR(VLOOKUP(AQ1281,'[1]Harga &amp; Nama CSO'!$H$2:$N$22,2,FALSE),"")*AV1281</f>
        <v>#VALUE!</v>
      </c>
      <c r="BO1281" s="40"/>
      <c r="BP1281" s="4"/>
      <c r="BQ1281" s="62"/>
      <c r="BR1281" s="4"/>
      <c r="BS1281" s="57" t="e">
        <f t="shared" si="40"/>
        <v>#VALUE!</v>
      </c>
      <c r="BT1281" s="63"/>
      <c r="BU1281" s="8">
        <v>0</v>
      </c>
      <c r="BV1281" s="58" t="e">
        <f>VLOOKUP(AQ1281,'[1]Harga &amp; Nama CSO'!$A$28:$D$31,4,0)*BP1281</f>
        <v>#N/A</v>
      </c>
    </row>
    <row r="1282" spans="41:74" x14ac:dyDescent="0.35">
      <c r="AO1282" s="39">
        <v>1280</v>
      </c>
      <c r="AP1282" s="63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55" t="e">
        <f>IFERROR(VLOOKUP(AQ1282,'[1]Harga &amp; Nama CSO'!$H$2:$N$22,2,FALSE),"")*AV1282</f>
        <v>#VALUE!</v>
      </c>
      <c r="BO1282" s="40"/>
      <c r="BP1282" s="4"/>
      <c r="BQ1282" s="62"/>
      <c r="BR1282" s="4"/>
      <c r="BS1282" s="57" t="e">
        <f t="shared" si="40"/>
        <v>#VALUE!</v>
      </c>
      <c r="BT1282" s="63"/>
      <c r="BU1282" s="8">
        <v>0</v>
      </c>
      <c r="BV1282" s="58" t="e">
        <f>VLOOKUP(AQ1282,'[1]Harga &amp; Nama CSO'!$A$28:$D$31,4,0)*BP1282</f>
        <v>#N/A</v>
      </c>
    </row>
    <row r="1283" spans="41:74" x14ac:dyDescent="0.35">
      <c r="AO1283" s="39">
        <v>1281</v>
      </c>
      <c r="AP1283" s="63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55" t="e">
        <f>IFERROR(VLOOKUP(AQ1283,'[1]Harga &amp; Nama CSO'!$H$2:$N$22,2,FALSE),"")*AV1283</f>
        <v>#VALUE!</v>
      </c>
      <c r="BO1283" s="40"/>
      <c r="BP1283" s="4"/>
      <c r="BQ1283" s="62"/>
      <c r="BR1283" s="4"/>
      <c r="BS1283" s="57" t="e">
        <f t="shared" ref="BS1283:BS1346" si="41">BN1283-BQ1283</f>
        <v>#VALUE!</v>
      </c>
      <c r="BT1283" s="63"/>
      <c r="BU1283" s="8">
        <v>0</v>
      </c>
      <c r="BV1283" s="58" t="e">
        <f>VLOOKUP(AQ1283,'[1]Harga &amp; Nama CSO'!$A$28:$D$31,4,0)*BP1283</f>
        <v>#N/A</v>
      </c>
    </row>
    <row r="1284" spans="41:74" x14ac:dyDescent="0.35">
      <c r="AO1284" s="39">
        <v>1282</v>
      </c>
      <c r="AP1284" s="63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55" t="e">
        <f>IFERROR(VLOOKUP(AQ1284,'[1]Harga &amp; Nama CSO'!$H$2:$N$22,2,FALSE),"")*AV1284</f>
        <v>#VALUE!</v>
      </c>
      <c r="BO1284" s="40"/>
      <c r="BP1284" s="4"/>
      <c r="BQ1284" s="62"/>
      <c r="BR1284" s="4"/>
      <c r="BS1284" s="57" t="e">
        <f t="shared" si="41"/>
        <v>#VALUE!</v>
      </c>
      <c r="BT1284" s="63"/>
      <c r="BU1284" s="8">
        <v>0</v>
      </c>
      <c r="BV1284" s="58" t="e">
        <f>VLOOKUP(AQ1284,'[1]Harga &amp; Nama CSO'!$A$28:$D$31,4,0)*BP1284</f>
        <v>#N/A</v>
      </c>
    </row>
    <row r="1285" spans="41:74" x14ac:dyDescent="0.35">
      <c r="AO1285" s="39">
        <v>1283</v>
      </c>
      <c r="AP1285" s="63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55" t="e">
        <f>IFERROR(VLOOKUP(AQ1285,'[1]Harga &amp; Nama CSO'!$H$2:$N$22,2,FALSE),"")*AV1285</f>
        <v>#VALUE!</v>
      </c>
      <c r="BO1285" s="40"/>
      <c r="BP1285" s="4"/>
      <c r="BQ1285" s="62"/>
      <c r="BR1285" s="4"/>
      <c r="BS1285" s="57" t="e">
        <f t="shared" si="41"/>
        <v>#VALUE!</v>
      </c>
      <c r="BT1285" s="63"/>
      <c r="BU1285" s="8">
        <v>0</v>
      </c>
      <c r="BV1285" s="58" t="e">
        <f>VLOOKUP(AQ1285,'[1]Harga &amp; Nama CSO'!$A$28:$D$31,4,0)*BP1285</f>
        <v>#N/A</v>
      </c>
    </row>
    <row r="1286" spans="41:74" x14ac:dyDescent="0.35">
      <c r="AO1286" s="39">
        <v>1284</v>
      </c>
      <c r="AP1286" s="63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55" t="e">
        <f>IFERROR(VLOOKUP(AQ1286,'[1]Harga &amp; Nama CSO'!$H$2:$N$22,2,FALSE),"")*AV1286</f>
        <v>#VALUE!</v>
      </c>
      <c r="BO1286" s="40"/>
      <c r="BP1286" s="4"/>
      <c r="BQ1286" s="62"/>
      <c r="BR1286" s="4"/>
      <c r="BS1286" s="57" t="e">
        <f t="shared" si="41"/>
        <v>#VALUE!</v>
      </c>
      <c r="BT1286" s="63"/>
      <c r="BU1286" s="8">
        <v>0</v>
      </c>
      <c r="BV1286" s="58" t="e">
        <f>VLOOKUP(AQ1286,'[1]Harga &amp; Nama CSO'!$A$28:$D$31,4,0)*BP1286</f>
        <v>#N/A</v>
      </c>
    </row>
    <row r="1287" spans="41:74" x14ac:dyDescent="0.35">
      <c r="AO1287" s="39">
        <v>1285</v>
      </c>
      <c r="AP1287" s="63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55" t="e">
        <f>IFERROR(VLOOKUP(AQ1287,'[1]Harga &amp; Nama CSO'!$H$2:$N$22,2,FALSE),"")*AV1287</f>
        <v>#VALUE!</v>
      </c>
      <c r="BO1287" s="40"/>
      <c r="BP1287" s="4"/>
      <c r="BQ1287" s="62"/>
      <c r="BR1287" s="4"/>
      <c r="BS1287" s="57" t="e">
        <f t="shared" si="41"/>
        <v>#VALUE!</v>
      </c>
      <c r="BT1287" s="63"/>
      <c r="BU1287" s="8">
        <v>0</v>
      </c>
      <c r="BV1287" s="58" t="e">
        <f>VLOOKUP(AQ1287,'[1]Harga &amp; Nama CSO'!$A$28:$D$31,4,0)*BP1287</f>
        <v>#N/A</v>
      </c>
    </row>
    <row r="1288" spans="41:74" x14ac:dyDescent="0.35">
      <c r="AO1288" s="39">
        <v>1286</v>
      </c>
      <c r="AP1288" s="63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55" t="e">
        <f>IFERROR(VLOOKUP(AQ1288,'[1]Harga &amp; Nama CSO'!$H$2:$N$22,2,FALSE),"")*AV1288</f>
        <v>#VALUE!</v>
      </c>
      <c r="BO1288" s="40"/>
      <c r="BP1288" s="4"/>
      <c r="BQ1288" s="62"/>
      <c r="BR1288" s="4"/>
      <c r="BS1288" s="57" t="e">
        <f t="shared" si="41"/>
        <v>#VALUE!</v>
      </c>
      <c r="BT1288" s="63"/>
      <c r="BU1288" s="8">
        <v>0</v>
      </c>
      <c r="BV1288" s="58" t="e">
        <f>VLOOKUP(AQ1288,'[1]Harga &amp; Nama CSO'!$A$28:$D$31,4,0)*BP1288</f>
        <v>#N/A</v>
      </c>
    </row>
    <row r="1289" spans="41:74" x14ac:dyDescent="0.35">
      <c r="AO1289" s="39">
        <v>1287</v>
      </c>
      <c r="AP1289" s="63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55" t="e">
        <f>IFERROR(VLOOKUP(AQ1289,'[1]Harga &amp; Nama CSO'!$H$2:$N$22,2,FALSE),"")*AV1289</f>
        <v>#VALUE!</v>
      </c>
      <c r="BO1289" s="40"/>
      <c r="BP1289" s="4"/>
      <c r="BQ1289" s="62"/>
      <c r="BR1289" s="4"/>
      <c r="BS1289" s="57" t="e">
        <f t="shared" si="41"/>
        <v>#VALUE!</v>
      </c>
      <c r="BT1289" s="63"/>
      <c r="BU1289" s="8">
        <v>0</v>
      </c>
      <c r="BV1289" s="58" t="e">
        <f>VLOOKUP(AQ1289,'[1]Harga &amp; Nama CSO'!$A$28:$D$31,4,0)*BP1289</f>
        <v>#N/A</v>
      </c>
    </row>
    <row r="1290" spans="41:74" x14ac:dyDescent="0.35">
      <c r="AO1290" s="39">
        <v>1288</v>
      </c>
      <c r="AP1290" s="63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55" t="e">
        <f>IFERROR(VLOOKUP(AQ1290,'[1]Harga &amp; Nama CSO'!$H$2:$N$22,2,FALSE),"")*AV1290</f>
        <v>#VALUE!</v>
      </c>
      <c r="BO1290" s="40"/>
      <c r="BP1290" s="4"/>
      <c r="BQ1290" s="62"/>
      <c r="BR1290" s="4"/>
      <c r="BS1290" s="57" t="e">
        <f t="shared" si="41"/>
        <v>#VALUE!</v>
      </c>
      <c r="BT1290" s="63"/>
      <c r="BU1290" s="8">
        <v>0</v>
      </c>
      <c r="BV1290" s="58" t="e">
        <f>VLOOKUP(AQ1290,'[1]Harga &amp; Nama CSO'!$A$28:$D$31,4,0)*BP1290</f>
        <v>#N/A</v>
      </c>
    </row>
    <row r="1291" spans="41:74" x14ac:dyDescent="0.35">
      <c r="AO1291" s="39">
        <v>1289</v>
      </c>
      <c r="AP1291" s="63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55" t="e">
        <f>IFERROR(VLOOKUP(AQ1291,'[1]Harga &amp; Nama CSO'!$H$2:$N$22,2,FALSE),"")*AV1291</f>
        <v>#VALUE!</v>
      </c>
      <c r="BO1291" s="40"/>
      <c r="BP1291" s="4"/>
      <c r="BQ1291" s="62"/>
      <c r="BR1291" s="4"/>
      <c r="BS1291" s="57" t="e">
        <f t="shared" si="41"/>
        <v>#VALUE!</v>
      </c>
      <c r="BT1291" s="63"/>
      <c r="BU1291" s="8">
        <v>0</v>
      </c>
      <c r="BV1291" s="58" t="e">
        <f>VLOOKUP(AQ1291,'[1]Harga &amp; Nama CSO'!$A$28:$D$31,4,0)*BP1291</f>
        <v>#N/A</v>
      </c>
    </row>
    <row r="1292" spans="41:74" x14ac:dyDescent="0.35">
      <c r="AO1292" s="39">
        <v>1290</v>
      </c>
      <c r="AP1292" s="63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55" t="e">
        <f>IFERROR(VLOOKUP(AQ1292,'[1]Harga &amp; Nama CSO'!$H$2:$N$22,2,FALSE),"")*AV1292</f>
        <v>#VALUE!</v>
      </c>
      <c r="BO1292" s="40"/>
      <c r="BP1292" s="4"/>
      <c r="BQ1292" s="62"/>
      <c r="BR1292" s="4"/>
      <c r="BS1292" s="57" t="e">
        <f t="shared" si="41"/>
        <v>#VALUE!</v>
      </c>
      <c r="BT1292" s="63"/>
      <c r="BU1292" s="8">
        <v>0</v>
      </c>
      <c r="BV1292" s="58" t="e">
        <f>VLOOKUP(AQ1292,'[1]Harga &amp; Nama CSO'!$A$28:$D$31,4,0)*BP1292</f>
        <v>#N/A</v>
      </c>
    </row>
    <row r="1293" spans="41:74" x14ac:dyDescent="0.35">
      <c r="AO1293" s="39">
        <v>1291</v>
      </c>
      <c r="AP1293" s="63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55" t="e">
        <f>IFERROR(VLOOKUP(AQ1293,'[1]Harga &amp; Nama CSO'!$H$2:$N$22,2,FALSE),"")*AV1293</f>
        <v>#VALUE!</v>
      </c>
      <c r="BO1293" s="40"/>
      <c r="BP1293" s="4"/>
      <c r="BQ1293" s="62"/>
      <c r="BR1293" s="4"/>
      <c r="BS1293" s="57" t="e">
        <f t="shared" si="41"/>
        <v>#VALUE!</v>
      </c>
      <c r="BT1293" s="63"/>
      <c r="BU1293" s="8">
        <v>0</v>
      </c>
      <c r="BV1293" s="58" t="e">
        <f>VLOOKUP(AQ1293,'[1]Harga &amp; Nama CSO'!$A$28:$D$31,4,0)*BP1293</f>
        <v>#N/A</v>
      </c>
    </row>
    <row r="1294" spans="41:74" x14ac:dyDescent="0.35">
      <c r="AO1294" s="39">
        <v>1292</v>
      </c>
      <c r="AP1294" s="63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55" t="e">
        <f>IFERROR(VLOOKUP(AQ1294,'[1]Harga &amp; Nama CSO'!$H$2:$N$22,2,FALSE),"")*AV1294</f>
        <v>#VALUE!</v>
      </c>
      <c r="BO1294" s="40"/>
      <c r="BP1294" s="4"/>
      <c r="BQ1294" s="62"/>
      <c r="BR1294" s="4"/>
      <c r="BS1294" s="57" t="e">
        <f t="shared" si="41"/>
        <v>#VALUE!</v>
      </c>
      <c r="BT1294" s="63"/>
      <c r="BU1294" s="8">
        <v>0</v>
      </c>
      <c r="BV1294" s="58" t="e">
        <f>VLOOKUP(AQ1294,'[1]Harga &amp; Nama CSO'!$A$28:$D$31,4,0)*BP1294</f>
        <v>#N/A</v>
      </c>
    </row>
    <row r="1295" spans="41:74" x14ac:dyDescent="0.35">
      <c r="AO1295" s="39">
        <v>1293</v>
      </c>
      <c r="AP1295" s="63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55" t="e">
        <f>IFERROR(VLOOKUP(AQ1295,'[1]Harga &amp; Nama CSO'!$H$2:$N$22,2,FALSE),"")*AV1295</f>
        <v>#VALUE!</v>
      </c>
      <c r="BO1295" s="40"/>
      <c r="BP1295" s="4"/>
      <c r="BQ1295" s="62"/>
      <c r="BR1295" s="4"/>
      <c r="BS1295" s="57" t="e">
        <f t="shared" si="41"/>
        <v>#VALUE!</v>
      </c>
      <c r="BT1295" s="63"/>
      <c r="BU1295" s="8">
        <v>0</v>
      </c>
      <c r="BV1295" s="58" t="e">
        <f>VLOOKUP(AQ1295,'[1]Harga &amp; Nama CSO'!$A$28:$D$31,4,0)*BP1295</f>
        <v>#N/A</v>
      </c>
    </row>
    <row r="1296" spans="41:74" x14ac:dyDescent="0.35">
      <c r="AO1296" s="39">
        <v>1294</v>
      </c>
      <c r="AP1296" s="63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55" t="e">
        <f>IFERROR(VLOOKUP(AQ1296,'[1]Harga &amp; Nama CSO'!$H$2:$N$22,2,FALSE),"")*AV1296</f>
        <v>#VALUE!</v>
      </c>
      <c r="BO1296" s="40"/>
      <c r="BP1296" s="4"/>
      <c r="BQ1296" s="62"/>
      <c r="BR1296" s="4"/>
      <c r="BS1296" s="57" t="e">
        <f t="shared" si="41"/>
        <v>#VALUE!</v>
      </c>
      <c r="BT1296" s="63"/>
      <c r="BU1296" s="8">
        <v>0</v>
      </c>
      <c r="BV1296" s="58" t="e">
        <f>VLOOKUP(AQ1296,'[1]Harga &amp; Nama CSO'!$A$28:$D$31,4,0)*BP1296</f>
        <v>#N/A</v>
      </c>
    </row>
    <row r="1297" spans="41:74" x14ac:dyDescent="0.35">
      <c r="AO1297" s="39">
        <v>1295</v>
      </c>
      <c r="AP1297" s="63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55" t="e">
        <f>IFERROR(VLOOKUP(AQ1297,'[1]Harga &amp; Nama CSO'!$H$2:$N$22,2,FALSE),"")*AV1297</f>
        <v>#VALUE!</v>
      </c>
      <c r="BO1297" s="40"/>
      <c r="BP1297" s="4"/>
      <c r="BQ1297" s="62"/>
      <c r="BR1297" s="4"/>
      <c r="BS1297" s="57" t="e">
        <f t="shared" si="41"/>
        <v>#VALUE!</v>
      </c>
      <c r="BT1297" s="63"/>
      <c r="BU1297" s="8">
        <v>0</v>
      </c>
      <c r="BV1297" s="58" t="e">
        <f>VLOOKUP(AQ1297,'[1]Harga &amp; Nama CSO'!$A$28:$D$31,4,0)*BP1297</f>
        <v>#N/A</v>
      </c>
    </row>
    <row r="1298" spans="41:74" x14ac:dyDescent="0.35">
      <c r="AO1298" s="39">
        <v>1296</v>
      </c>
      <c r="AP1298" s="63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55" t="e">
        <f>IFERROR(VLOOKUP(AQ1298,'[1]Harga &amp; Nama CSO'!$H$2:$N$22,2,FALSE),"")*AV1298</f>
        <v>#VALUE!</v>
      </c>
      <c r="BO1298" s="40"/>
      <c r="BP1298" s="4"/>
      <c r="BQ1298" s="62"/>
      <c r="BR1298" s="4"/>
      <c r="BS1298" s="57" t="e">
        <f t="shared" si="41"/>
        <v>#VALUE!</v>
      </c>
      <c r="BT1298" s="63"/>
      <c r="BU1298" s="8">
        <v>0</v>
      </c>
      <c r="BV1298" s="58" t="e">
        <f>VLOOKUP(AQ1298,'[1]Harga &amp; Nama CSO'!$A$28:$D$31,4,0)*BP1298</f>
        <v>#N/A</v>
      </c>
    </row>
    <row r="1299" spans="41:74" x14ac:dyDescent="0.35">
      <c r="AO1299" s="39">
        <v>1297</v>
      </c>
      <c r="AP1299" s="63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55" t="e">
        <f>IFERROR(VLOOKUP(AQ1299,'[1]Harga &amp; Nama CSO'!$H$2:$N$22,2,FALSE),"")*AV1299</f>
        <v>#VALUE!</v>
      </c>
      <c r="BO1299" s="40"/>
      <c r="BP1299" s="4"/>
      <c r="BQ1299" s="62"/>
      <c r="BR1299" s="4"/>
      <c r="BS1299" s="57" t="e">
        <f t="shared" si="41"/>
        <v>#VALUE!</v>
      </c>
      <c r="BT1299" s="63"/>
      <c r="BU1299" s="8">
        <v>0</v>
      </c>
      <c r="BV1299" s="58" t="e">
        <f>VLOOKUP(AQ1299,'[1]Harga &amp; Nama CSO'!$A$28:$D$31,4,0)*BP1299</f>
        <v>#N/A</v>
      </c>
    </row>
    <row r="1300" spans="41:74" x14ac:dyDescent="0.35">
      <c r="AO1300" s="39">
        <v>1298</v>
      </c>
      <c r="AP1300" s="63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55" t="e">
        <f>IFERROR(VLOOKUP(AQ1300,'[1]Harga &amp; Nama CSO'!$H$2:$N$22,2,FALSE),"")*AV1300</f>
        <v>#VALUE!</v>
      </c>
      <c r="BO1300" s="40"/>
      <c r="BP1300" s="4"/>
      <c r="BQ1300" s="62"/>
      <c r="BR1300" s="4"/>
      <c r="BS1300" s="57" t="e">
        <f t="shared" si="41"/>
        <v>#VALUE!</v>
      </c>
      <c r="BT1300" s="63"/>
      <c r="BU1300" s="8">
        <v>0</v>
      </c>
      <c r="BV1300" s="58" t="e">
        <f>VLOOKUP(AQ1300,'[1]Harga &amp; Nama CSO'!$A$28:$D$31,4,0)*BP1300</f>
        <v>#N/A</v>
      </c>
    </row>
    <row r="1301" spans="41:74" x14ac:dyDescent="0.35">
      <c r="AO1301" s="39">
        <v>1299</v>
      </c>
      <c r="AP1301" s="63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55" t="e">
        <f>IFERROR(VLOOKUP(AQ1301,'[1]Harga &amp; Nama CSO'!$H$2:$N$22,2,FALSE),"")*AV1301</f>
        <v>#VALUE!</v>
      </c>
      <c r="BO1301" s="40"/>
      <c r="BP1301" s="4"/>
      <c r="BQ1301" s="62"/>
      <c r="BR1301" s="4"/>
      <c r="BS1301" s="57" t="e">
        <f t="shared" si="41"/>
        <v>#VALUE!</v>
      </c>
      <c r="BT1301" s="63"/>
      <c r="BU1301" s="8">
        <v>0</v>
      </c>
      <c r="BV1301" s="58" t="e">
        <f>VLOOKUP(AQ1301,'[1]Harga &amp; Nama CSO'!$A$28:$D$31,4,0)*BP1301</f>
        <v>#N/A</v>
      </c>
    </row>
    <row r="1302" spans="41:74" x14ac:dyDescent="0.35">
      <c r="AO1302" s="39">
        <v>1300</v>
      </c>
      <c r="AP1302" s="63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55" t="e">
        <f>IFERROR(VLOOKUP(AQ1302,'[1]Harga &amp; Nama CSO'!$H$2:$N$22,2,FALSE),"")*AV1302</f>
        <v>#VALUE!</v>
      </c>
      <c r="BO1302" s="40"/>
      <c r="BP1302" s="4"/>
      <c r="BQ1302" s="62"/>
      <c r="BR1302" s="4"/>
      <c r="BS1302" s="57" t="e">
        <f t="shared" si="41"/>
        <v>#VALUE!</v>
      </c>
      <c r="BT1302" s="63"/>
      <c r="BU1302" s="8">
        <v>0</v>
      </c>
      <c r="BV1302" s="58" t="e">
        <f>VLOOKUP(AQ1302,'[1]Harga &amp; Nama CSO'!$A$28:$D$31,4,0)*BP1302</f>
        <v>#N/A</v>
      </c>
    </row>
    <row r="1303" spans="41:74" x14ac:dyDescent="0.35">
      <c r="AO1303" s="39">
        <v>1301</v>
      </c>
      <c r="AP1303" s="63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55" t="e">
        <f>IFERROR(VLOOKUP(AQ1303,'[1]Harga &amp; Nama CSO'!$H$2:$N$22,2,FALSE),"")*AV1303</f>
        <v>#VALUE!</v>
      </c>
      <c r="BO1303" s="40"/>
      <c r="BP1303" s="4"/>
      <c r="BQ1303" s="62"/>
      <c r="BR1303" s="4"/>
      <c r="BS1303" s="57" t="e">
        <f t="shared" si="41"/>
        <v>#VALUE!</v>
      </c>
      <c r="BT1303" s="63"/>
      <c r="BU1303" s="8">
        <v>0</v>
      </c>
      <c r="BV1303" s="58" t="e">
        <f>VLOOKUP(AQ1303,'[1]Harga &amp; Nama CSO'!$A$28:$D$31,4,0)*BP1303</f>
        <v>#N/A</v>
      </c>
    </row>
    <row r="1304" spans="41:74" x14ac:dyDescent="0.35">
      <c r="AO1304" s="39">
        <v>1302</v>
      </c>
      <c r="AP1304" s="63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55" t="e">
        <f>IFERROR(VLOOKUP(AQ1304,'[1]Harga &amp; Nama CSO'!$H$2:$N$22,2,FALSE),"")*AV1304</f>
        <v>#VALUE!</v>
      </c>
      <c r="BO1304" s="40"/>
      <c r="BP1304" s="4"/>
      <c r="BQ1304" s="62"/>
      <c r="BR1304" s="4"/>
      <c r="BS1304" s="57" t="e">
        <f t="shared" si="41"/>
        <v>#VALUE!</v>
      </c>
      <c r="BT1304" s="63"/>
      <c r="BU1304" s="8">
        <v>0</v>
      </c>
      <c r="BV1304" s="58" t="e">
        <f>VLOOKUP(AQ1304,'[1]Harga &amp; Nama CSO'!$A$28:$D$31,4,0)*BP1304</f>
        <v>#N/A</v>
      </c>
    </row>
    <row r="1305" spans="41:74" x14ac:dyDescent="0.35">
      <c r="AO1305" s="39">
        <v>1303</v>
      </c>
      <c r="AP1305" s="63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55" t="e">
        <f>IFERROR(VLOOKUP(AQ1305,'[1]Harga &amp; Nama CSO'!$H$2:$N$22,2,FALSE),"")*AV1305</f>
        <v>#VALUE!</v>
      </c>
      <c r="BO1305" s="40"/>
      <c r="BP1305" s="4"/>
      <c r="BQ1305" s="62"/>
      <c r="BR1305" s="4"/>
      <c r="BS1305" s="57" t="e">
        <f t="shared" si="41"/>
        <v>#VALUE!</v>
      </c>
      <c r="BT1305" s="63"/>
      <c r="BU1305" s="8">
        <v>0</v>
      </c>
      <c r="BV1305" s="58" t="e">
        <f>VLOOKUP(AQ1305,'[1]Harga &amp; Nama CSO'!$A$28:$D$31,4,0)*BP1305</f>
        <v>#N/A</v>
      </c>
    </row>
    <row r="1306" spans="41:74" x14ac:dyDescent="0.35">
      <c r="AO1306" s="39">
        <v>1304</v>
      </c>
      <c r="AP1306" s="63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55" t="e">
        <f>IFERROR(VLOOKUP(AQ1306,'[1]Harga &amp; Nama CSO'!$H$2:$N$22,2,FALSE),"")*AV1306</f>
        <v>#VALUE!</v>
      </c>
      <c r="BO1306" s="40"/>
      <c r="BP1306" s="4"/>
      <c r="BQ1306" s="62"/>
      <c r="BR1306" s="4"/>
      <c r="BS1306" s="57" t="e">
        <f t="shared" si="41"/>
        <v>#VALUE!</v>
      </c>
      <c r="BT1306" s="63"/>
      <c r="BU1306" s="8">
        <v>0</v>
      </c>
      <c r="BV1306" s="58" t="e">
        <f>VLOOKUP(AQ1306,'[1]Harga &amp; Nama CSO'!$A$28:$D$31,4,0)*BP1306</f>
        <v>#N/A</v>
      </c>
    </row>
    <row r="1307" spans="41:74" x14ac:dyDescent="0.35">
      <c r="AO1307" s="39">
        <v>1305</v>
      </c>
      <c r="AP1307" s="63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55" t="e">
        <f>IFERROR(VLOOKUP(AQ1307,'[1]Harga &amp; Nama CSO'!$H$2:$N$22,2,FALSE),"")*AV1307</f>
        <v>#VALUE!</v>
      </c>
      <c r="BO1307" s="40"/>
      <c r="BP1307" s="4"/>
      <c r="BQ1307" s="62"/>
      <c r="BR1307" s="4"/>
      <c r="BS1307" s="57" t="e">
        <f t="shared" si="41"/>
        <v>#VALUE!</v>
      </c>
      <c r="BT1307" s="63"/>
      <c r="BU1307" s="8">
        <v>0</v>
      </c>
      <c r="BV1307" s="58" t="e">
        <f>VLOOKUP(AQ1307,'[1]Harga &amp; Nama CSO'!$A$28:$D$31,4,0)*BP1307</f>
        <v>#N/A</v>
      </c>
    </row>
    <row r="1308" spans="41:74" x14ac:dyDescent="0.35">
      <c r="AO1308" s="39">
        <v>1306</v>
      </c>
      <c r="AP1308" s="63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55" t="e">
        <f>IFERROR(VLOOKUP(AQ1308,'[1]Harga &amp; Nama CSO'!$H$2:$N$22,2,FALSE),"")*AV1308</f>
        <v>#VALUE!</v>
      </c>
      <c r="BO1308" s="40"/>
      <c r="BP1308" s="4"/>
      <c r="BQ1308" s="62"/>
      <c r="BR1308" s="4"/>
      <c r="BS1308" s="57" t="e">
        <f t="shared" si="41"/>
        <v>#VALUE!</v>
      </c>
      <c r="BT1308" s="63"/>
      <c r="BU1308" s="8">
        <v>0</v>
      </c>
      <c r="BV1308" s="58" t="e">
        <f>VLOOKUP(AQ1308,'[1]Harga &amp; Nama CSO'!$A$28:$D$31,4,0)*BP1308</f>
        <v>#N/A</v>
      </c>
    </row>
    <row r="1309" spans="41:74" x14ac:dyDescent="0.35">
      <c r="AO1309" s="39">
        <v>1307</v>
      </c>
      <c r="AP1309" s="63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55" t="e">
        <f>IFERROR(VLOOKUP(AQ1309,'[1]Harga &amp; Nama CSO'!$H$2:$N$22,2,FALSE),"")*AV1309</f>
        <v>#VALUE!</v>
      </c>
      <c r="BO1309" s="40"/>
      <c r="BP1309" s="4"/>
      <c r="BQ1309" s="62"/>
      <c r="BR1309" s="4"/>
      <c r="BS1309" s="57" t="e">
        <f t="shared" si="41"/>
        <v>#VALUE!</v>
      </c>
      <c r="BT1309" s="63"/>
      <c r="BU1309" s="8">
        <v>0</v>
      </c>
      <c r="BV1309" s="58" t="e">
        <f>VLOOKUP(AQ1309,'[1]Harga &amp; Nama CSO'!$A$28:$D$31,4,0)*BP1309</f>
        <v>#N/A</v>
      </c>
    </row>
    <row r="1310" spans="41:74" x14ac:dyDescent="0.35">
      <c r="AO1310" s="39">
        <v>1308</v>
      </c>
      <c r="AP1310" s="63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55" t="e">
        <f>IFERROR(VLOOKUP(AQ1310,'[1]Harga &amp; Nama CSO'!$H$2:$N$22,2,FALSE),"")*AV1310</f>
        <v>#VALUE!</v>
      </c>
      <c r="BO1310" s="40"/>
      <c r="BP1310" s="4"/>
      <c r="BQ1310" s="62"/>
      <c r="BR1310" s="4"/>
      <c r="BS1310" s="57" t="e">
        <f t="shared" si="41"/>
        <v>#VALUE!</v>
      </c>
      <c r="BT1310" s="63"/>
      <c r="BU1310" s="8">
        <v>0</v>
      </c>
      <c r="BV1310" s="58" t="e">
        <f>VLOOKUP(AQ1310,'[1]Harga &amp; Nama CSO'!$A$28:$D$31,4,0)*BP1310</f>
        <v>#N/A</v>
      </c>
    </row>
    <row r="1311" spans="41:74" x14ac:dyDescent="0.35">
      <c r="AO1311" s="39">
        <v>1309</v>
      </c>
      <c r="AP1311" s="63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55" t="e">
        <f>IFERROR(VLOOKUP(AQ1311,'[1]Harga &amp; Nama CSO'!$H$2:$N$22,2,FALSE),"")*AV1311</f>
        <v>#VALUE!</v>
      </c>
      <c r="BO1311" s="40"/>
      <c r="BP1311" s="4"/>
      <c r="BQ1311" s="62"/>
      <c r="BR1311" s="4"/>
      <c r="BS1311" s="57" t="e">
        <f t="shared" si="41"/>
        <v>#VALUE!</v>
      </c>
      <c r="BT1311" s="63"/>
      <c r="BU1311" s="8">
        <v>0</v>
      </c>
      <c r="BV1311" s="58" t="e">
        <f>VLOOKUP(AQ1311,'[1]Harga &amp; Nama CSO'!$A$28:$D$31,4,0)*BP1311</f>
        <v>#N/A</v>
      </c>
    </row>
    <row r="1312" spans="41:74" x14ac:dyDescent="0.35">
      <c r="AO1312" s="39">
        <v>1310</v>
      </c>
      <c r="AP1312" s="63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55" t="e">
        <f>IFERROR(VLOOKUP(AQ1312,'[1]Harga &amp; Nama CSO'!$H$2:$N$22,2,FALSE),"")*AV1312</f>
        <v>#VALUE!</v>
      </c>
      <c r="BO1312" s="40"/>
      <c r="BP1312" s="4"/>
      <c r="BQ1312" s="62"/>
      <c r="BR1312" s="4"/>
      <c r="BS1312" s="57" t="e">
        <f t="shared" si="41"/>
        <v>#VALUE!</v>
      </c>
      <c r="BT1312" s="63"/>
      <c r="BU1312" s="8">
        <v>0</v>
      </c>
      <c r="BV1312" s="58" t="e">
        <f>VLOOKUP(AQ1312,'[1]Harga &amp; Nama CSO'!$A$28:$D$31,4,0)*BP1312</f>
        <v>#N/A</v>
      </c>
    </row>
    <row r="1313" spans="41:74" x14ac:dyDescent="0.35">
      <c r="AO1313" s="39">
        <v>1311</v>
      </c>
      <c r="AP1313" s="63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55" t="e">
        <f>IFERROR(VLOOKUP(AQ1313,'[1]Harga &amp; Nama CSO'!$H$2:$N$22,2,FALSE),"")*AV1313</f>
        <v>#VALUE!</v>
      </c>
      <c r="BO1313" s="40"/>
      <c r="BP1313" s="4"/>
      <c r="BQ1313" s="62"/>
      <c r="BR1313" s="4"/>
      <c r="BS1313" s="57" t="e">
        <f t="shared" si="41"/>
        <v>#VALUE!</v>
      </c>
      <c r="BT1313" s="63"/>
      <c r="BU1313" s="8">
        <v>0</v>
      </c>
      <c r="BV1313" s="58" t="e">
        <f>VLOOKUP(AQ1313,'[1]Harga &amp; Nama CSO'!$A$28:$D$31,4,0)*BP1313</f>
        <v>#N/A</v>
      </c>
    </row>
    <row r="1314" spans="41:74" x14ac:dyDescent="0.35">
      <c r="AO1314" s="39">
        <v>1312</v>
      </c>
      <c r="AP1314" s="63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55" t="e">
        <f>IFERROR(VLOOKUP(AQ1314,'[1]Harga &amp; Nama CSO'!$H$2:$N$22,2,FALSE),"")*AV1314</f>
        <v>#VALUE!</v>
      </c>
      <c r="BO1314" s="40"/>
      <c r="BP1314" s="4"/>
      <c r="BQ1314" s="62"/>
      <c r="BR1314" s="4"/>
      <c r="BS1314" s="57" t="e">
        <f t="shared" si="41"/>
        <v>#VALUE!</v>
      </c>
      <c r="BT1314" s="63"/>
      <c r="BU1314" s="8">
        <v>0</v>
      </c>
      <c r="BV1314" s="58" t="e">
        <f>VLOOKUP(AQ1314,'[1]Harga &amp; Nama CSO'!$A$28:$D$31,4,0)*BP1314</f>
        <v>#N/A</v>
      </c>
    </row>
    <row r="1315" spans="41:74" x14ac:dyDescent="0.35">
      <c r="AO1315" s="39">
        <v>1313</v>
      </c>
      <c r="AP1315" s="63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55" t="e">
        <f>IFERROR(VLOOKUP(AQ1315,'[1]Harga &amp; Nama CSO'!$H$2:$N$22,2,FALSE),"")*AV1315</f>
        <v>#VALUE!</v>
      </c>
      <c r="BO1315" s="40"/>
      <c r="BP1315" s="4"/>
      <c r="BQ1315" s="62"/>
      <c r="BR1315" s="4"/>
      <c r="BS1315" s="57" t="e">
        <f t="shared" si="41"/>
        <v>#VALUE!</v>
      </c>
      <c r="BT1315" s="63"/>
      <c r="BU1315" s="8">
        <v>0</v>
      </c>
      <c r="BV1315" s="58" t="e">
        <f>VLOOKUP(AQ1315,'[1]Harga &amp; Nama CSO'!$A$28:$D$31,4,0)*BP1315</f>
        <v>#N/A</v>
      </c>
    </row>
    <row r="1316" spans="41:74" x14ac:dyDescent="0.35">
      <c r="AO1316" s="39">
        <v>1314</v>
      </c>
      <c r="AP1316" s="63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55" t="e">
        <f>IFERROR(VLOOKUP(AQ1316,'[1]Harga &amp; Nama CSO'!$H$2:$N$22,2,FALSE),"")*AV1316</f>
        <v>#VALUE!</v>
      </c>
      <c r="BO1316" s="40"/>
      <c r="BP1316" s="4"/>
      <c r="BQ1316" s="62"/>
      <c r="BR1316" s="4"/>
      <c r="BS1316" s="57" t="e">
        <f t="shared" si="41"/>
        <v>#VALUE!</v>
      </c>
      <c r="BT1316" s="63"/>
      <c r="BU1316" s="8">
        <v>0</v>
      </c>
      <c r="BV1316" s="58" t="e">
        <f>VLOOKUP(AQ1316,'[1]Harga &amp; Nama CSO'!$A$28:$D$31,4,0)*BP1316</f>
        <v>#N/A</v>
      </c>
    </row>
    <row r="1317" spans="41:74" x14ac:dyDescent="0.35">
      <c r="AO1317" s="39">
        <v>1315</v>
      </c>
      <c r="AP1317" s="63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55" t="e">
        <f>IFERROR(VLOOKUP(AQ1317,'[1]Harga &amp; Nama CSO'!$H$2:$N$22,2,FALSE),"")*AV1317</f>
        <v>#VALUE!</v>
      </c>
      <c r="BO1317" s="40"/>
      <c r="BP1317" s="4"/>
      <c r="BQ1317" s="62"/>
      <c r="BR1317" s="4"/>
      <c r="BS1317" s="57" t="e">
        <f t="shared" si="41"/>
        <v>#VALUE!</v>
      </c>
      <c r="BT1317" s="63"/>
      <c r="BU1317" s="8">
        <v>0</v>
      </c>
      <c r="BV1317" s="58" t="e">
        <f>VLOOKUP(AQ1317,'[1]Harga &amp; Nama CSO'!$A$28:$D$31,4,0)*BP1317</f>
        <v>#N/A</v>
      </c>
    </row>
    <row r="1318" spans="41:74" x14ac:dyDescent="0.35">
      <c r="AO1318" s="39">
        <v>1316</v>
      </c>
      <c r="AP1318" s="63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55" t="e">
        <f>IFERROR(VLOOKUP(AQ1318,'[1]Harga &amp; Nama CSO'!$H$2:$N$22,2,FALSE),"")*AV1318</f>
        <v>#VALUE!</v>
      </c>
      <c r="BO1318" s="40"/>
      <c r="BP1318" s="4"/>
      <c r="BQ1318" s="62"/>
      <c r="BR1318" s="4"/>
      <c r="BS1318" s="57" t="e">
        <f t="shared" si="41"/>
        <v>#VALUE!</v>
      </c>
      <c r="BT1318" s="63"/>
      <c r="BU1318" s="8">
        <v>0</v>
      </c>
      <c r="BV1318" s="58" t="e">
        <f>VLOOKUP(AQ1318,'[1]Harga &amp; Nama CSO'!$A$28:$D$31,4,0)*BP1318</f>
        <v>#N/A</v>
      </c>
    </row>
    <row r="1319" spans="41:74" x14ac:dyDescent="0.35">
      <c r="AO1319" s="39">
        <v>1317</v>
      </c>
      <c r="AP1319" s="63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55" t="e">
        <f>IFERROR(VLOOKUP(AQ1319,'[1]Harga &amp; Nama CSO'!$H$2:$N$22,2,FALSE),"")*AV1319</f>
        <v>#VALUE!</v>
      </c>
      <c r="BO1319" s="40"/>
      <c r="BP1319" s="4"/>
      <c r="BQ1319" s="62"/>
      <c r="BR1319" s="4"/>
      <c r="BS1319" s="57" t="e">
        <f t="shared" si="41"/>
        <v>#VALUE!</v>
      </c>
      <c r="BT1319" s="63"/>
      <c r="BU1319" s="8">
        <v>0</v>
      </c>
      <c r="BV1319" s="58" t="e">
        <f>VLOOKUP(AQ1319,'[1]Harga &amp; Nama CSO'!$A$28:$D$31,4,0)*BP1319</f>
        <v>#N/A</v>
      </c>
    </row>
    <row r="1320" spans="41:74" x14ac:dyDescent="0.35">
      <c r="AO1320" s="39">
        <v>1318</v>
      </c>
      <c r="AP1320" s="63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55" t="e">
        <f>IFERROR(VLOOKUP(AQ1320,'[1]Harga &amp; Nama CSO'!$H$2:$N$22,2,FALSE),"")*AV1320</f>
        <v>#VALUE!</v>
      </c>
      <c r="BO1320" s="40"/>
      <c r="BP1320" s="4"/>
      <c r="BQ1320" s="62"/>
      <c r="BR1320" s="4"/>
      <c r="BS1320" s="57" t="e">
        <f t="shared" si="41"/>
        <v>#VALUE!</v>
      </c>
      <c r="BT1320" s="63"/>
      <c r="BU1320" s="8">
        <v>0</v>
      </c>
      <c r="BV1320" s="58" t="e">
        <f>VLOOKUP(AQ1320,'[1]Harga &amp; Nama CSO'!$A$28:$D$31,4,0)*BP1320</f>
        <v>#N/A</v>
      </c>
    </row>
    <row r="1321" spans="41:74" x14ac:dyDescent="0.35">
      <c r="AO1321" s="39">
        <v>1319</v>
      </c>
      <c r="AP1321" s="63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55" t="e">
        <f>IFERROR(VLOOKUP(AQ1321,'[1]Harga &amp; Nama CSO'!$H$2:$N$22,2,FALSE),"")*AV1321</f>
        <v>#VALUE!</v>
      </c>
      <c r="BO1321" s="40"/>
      <c r="BP1321" s="4"/>
      <c r="BQ1321" s="62"/>
      <c r="BR1321" s="4"/>
      <c r="BS1321" s="57" t="e">
        <f t="shared" si="41"/>
        <v>#VALUE!</v>
      </c>
      <c r="BT1321" s="63"/>
      <c r="BU1321" s="8">
        <v>0</v>
      </c>
      <c r="BV1321" s="58" t="e">
        <f>VLOOKUP(AQ1321,'[1]Harga &amp; Nama CSO'!$A$28:$D$31,4,0)*BP1321</f>
        <v>#N/A</v>
      </c>
    </row>
    <row r="1322" spans="41:74" x14ac:dyDescent="0.35">
      <c r="AO1322" s="39">
        <v>1320</v>
      </c>
      <c r="AP1322" s="63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55" t="e">
        <f>IFERROR(VLOOKUP(AQ1322,'[1]Harga &amp; Nama CSO'!$H$2:$N$22,2,FALSE),"")*AV1322</f>
        <v>#VALUE!</v>
      </c>
      <c r="BO1322" s="40"/>
      <c r="BP1322" s="4"/>
      <c r="BQ1322" s="62"/>
      <c r="BR1322" s="4"/>
      <c r="BS1322" s="57" t="e">
        <f t="shared" si="41"/>
        <v>#VALUE!</v>
      </c>
      <c r="BT1322" s="63"/>
      <c r="BU1322" s="8">
        <v>0</v>
      </c>
      <c r="BV1322" s="58" t="e">
        <f>VLOOKUP(AQ1322,'[1]Harga &amp; Nama CSO'!$A$28:$D$31,4,0)*BP1322</f>
        <v>#N/A</v>
      </c>
    </row>
    <row r="1323" spans="41:74" x14ac:dyDescent="0.35">
      <c r="AO1323" s="39">
        <v>1321</v>
      </c>
      <c r="AP1323" s="63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55" t="e">
        <f>IFERROR(VLOOKUP(AQ1323,'[1]Harga &amp; Nama CSO'!$H$2:$N$22,2,FALSE),"")*AV1323</f>
        <v>#VALUE!</v>
      </c>
      <c r="BO1323" s="40"/>
      <c r="BP1323" s="4"/>
      <c r="BQ1323" s="62"/>
      <c r="BR1323" s="4"/>
      <c r="BS1323" s="57" t="e">
        <f t="shared" si="41"/>
        <v>#VALUE!</v>
      </c>
      <c r="BT1323" s="63"/>
      <c r="BU1323" s="8">
        <v>0</v>
      </c>
      <c r="BV1323" s="58" t="e">
        <f>VLOOKUP(AQ1323,'[1]Harga &amp; Nama CSO'!$A$28:$D$31,4,0)*BP1323</f>
        <v>#N/A</v>
      </c>
    </row>
    <row r="1324" spans="41:74" x14ac:dyDescent="0.35">
      <c r="AO1324" s="39">
        <v>1322</v>
      </c>
      <c r="AP1324" s="63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55" t="e">
        <f>IFERROR(VLOOKUP(AQ1324,'[1]Harga &amp; Nama CSO'!$H$2:$N$22,2,FALSE),"")*AV1324</f>
        <v>#VALUE!</v>
      </c>
      <c r="BO1324" s="40"/>
      <c r="BP1324" s="4"/>
      <c r="BQ1324" s="62"/>
      <c r="BR1324" s="4"/>
      <c r="BS1324" s="57" t="e">
        <f t="shared" si="41"/>
        <v>#VALUE!</v>
      </c>
      <c r="BT1324" s="63"/>
      <c r="BU1324" s="8">
        <v>0</v>
      </c>
      <c r="BV1324" s="58" t="e">
        <f>VLOOKUP(AQ1324,'[1]Harga &amp; Nama CSO'!$A$28:$D$31,4,0)*BP1324</f>
        <v>#N/A</v>
      </c>
    </row>
    <row r="1325" spans="41:74" x14ac:dyDescent="0.35">
      <c r="AO1325" s="39">
        <v>1323</v>
      </c>
      <c r="AP1325" s="63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55" t="e">
        <f>IFERROR(VLOOKUP(AQ1325,'[1]Harga &amp; Nama CSO'!$H$2:$N$22,2,FALSE),"")*AV1325</f>
        <v>#VALUE!</v>
      </c>
      <c r="BO1325" s="40"/>
      <c r="BP1325" s="4"/>
      <c r="BQ1325" s="62"/>
      <c r="BR1325" s="4"/>
      <c r="BS1325" s="57" t="e">
        <f t="shared" si="41"/>
        <v>#VALUE!</v>
      </c>
      <c r="BT1325" s="63"/>
      <c r="BU1325" s="8">
        <v>0</v>
      </c>
      <c r="BV1325" s="58" t="e">
        <f>VLOOKUP(AQ1325,'[1]Harga &amp; Nama CSO'!$A$28:$D$31,4,0)*BP1325</f>
        <v>#N/A</v>
      </c>
    </row>
    <row r="1326" spans="41:74" x14ac:dyDescent="0.35">
      <c r="AO1326" s="39">
        <v>1324</v>
      </c>
      <c r="AP1326" s="63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55" t="e">
        <f>IFERROR(VLOOKUP(AQ1326,'[1]Harga &amp; Nama CSO'!$H$2:$N$22,2,FALSE),"")*AV1326</f>
        <v>#VALUE!</v>
      </c>
      <c r="BO1326" s="40"/>
      <c r="BP1326" s="4"/>
      <c r="BQ1326" s="62"/>
      <c r="BR1326" s="4"/>
      <c r="BS1326" s="57" t="e">
        <f t="shared" si="41"/>
        <v>#VALUE!</v>
      </c>
      <c r="BT1326" s="63"/>
      <c r="BU1326" s="8">
        <v>0</v>
      </c>
      <c r="BV1326" s="58" t="e">
        <f>VLOOKUP(AQ1326,'[1]Harga &amp; Nama CSO'!$A$28:$D$31,4,0)*BP1326</f>
        <v>#N/A</v>
      </c>
    </row>
    <row r="1327" spans="41:74" x14ac:dyDescent="0.35">
      <c r="AO1327" s="39">
        <v>1325</v>
      </c>
      <c r="AP1327" s="63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55" t="e">
        <f>IFERROR(VLOOKUP(AQ1327,'[1]Harga &amp; Nama CSO'!$H$2:$N$22,2,FALSE),"")*AV1327</f>
        <v>#VALUE!</v>
      </c>
      <c r="BO1327" s="40"/>
      <c r="BP1327" s="4"/>
      <c r="BQ1327" s="62"/>
      <c r="BR1327" s="4"/>
      <c r="BS1327" s="57" t="e">
        <f t="shared" si="41"/>
        <v>#VALUE!</v>
      </c>
      <c r="BT1327" s="63"/>
      <c r="BU1327" s="8">
        <v>0</v>
      </c>
      <c r="BV1327" s="58" t="e">
        <f>VLOOKUP(AQ1327,'[1]Harga &amp; Nama CSO'!$A$28:$D$31,4,0)*BP1327</f>
        <v>#N/A</v>
      </c>
    </row>
    <row r="1328" spans="41:74" x14ac:dyDescent="0.35">
      <c r="AO1328" s="39">
        <v>1326</v>
      </c>
      <c r="AP1328" s="63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55" t="e">
        <f>IFERROR(VLOOKUP(AQ1328,'[1]Harga &amp; Nama CSO'!$H$2:$N$22,2,FALSE),"")*AV1328</f>
        <v>#VALUE!</v>
      </c>
      <c r="BO1328" s="40"/>
      <c r="BP1328" s="4"/>
      <c r="BQ1328" s="62"/>
      <c r="BR1328" s="4"/>
      <c r="BS1328" s="57" t="e">
        <f t="shared" si="41"/>
        <v>#VALUE!</v>
      </c>
      <c r="BT1328" s="63"/>
      <c r="BU1328" s="8">
        <v>0</v>
      </c>
      <c r="BV1328" s="58" t="e">
        <f>VLOOKUP(AQ1328,'[1]Harga &amp; Nama CSO'!$A$28:$D$31,4,0)*BP1328</f>
        <v>#N/A</v>
      </c>
    </row>
    <row r="1329" spans="41:74" x14ac:dyDescent="0.35">
      <c r="AO1329" s="39">
        <v>1327</v>
      </c>
      <c r="AP1329" s="63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55" t="e">
        <f>IFERROR(VLOOKUP(AQ1329,'[1]Harga &amp; Nama CSO'!$H$2:$N$22,2,FALSE),"")*AV1329</f>
        <v>#VALUE!</v>
      </c>
      <c r="BO1329" s="40"/>
      <c r="BP1329" s="4"/>
      <c r="BQ1329" s="62"/>
      <c r="BR1329" s="4"/>
      <c r="BS1329" s="57" t="e">
        <f t="shared" si="41"/>
        <v>#VALUE!</v>
      </c>
      <c r="BT1329" s="63"/>
      <c r="BU1329" s="8">
        <v>0</v>
      </c>
      <c r="BV1329" s="58" t="e">
        <f>VLOOKUP(AQ1329,'[1]Harga &amp; Nama CSO'!$A$28:$D$31,4,0)*BP1329</f>
        <v>#N/A</v>
      </c>
    </row>
    <row r="1330" spans="41:74" x14ac:dyDescent="0.35">
      <c r="AO1330" s="39">
        <v>1328</v>
      </c>
      <c r="AP1330" s="63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55" t="e">
        <f>IFERROR(VLOOKUP(AQ1330,'[1]Harga &amp; Nama CSO'!$H$2:$N$22,2,FALSE),"")*AV1330</f>
        <v>#VALUE!</v>
      </c>
      <c r="BO1330" s="40"/>
      <c r="BP1330" s="4"/>
      <c r="BQ1330" s="62"/>
      <c r="BR1330" s="4"/>
      <c r="BS1330" s="57" t="e">
        <f t="shared" si="41"/>
        <v>#VALUE!</v>
      </c>
      <c r="BT1330" s="63"/>
      <c r="BU1330" s="8">
        <v>0</v>
      </c>
      <c r="BV1330" s="58" t="e">
        <f>VLOOKUP(AQ1330,'[1]Harga &amp; Nama CSO'!$A$28:$D$31,4,0)*BP1330</f>
        <v>#N/A</v>
      </c>
    </row>
    <row r="1331" spans="41:74" x14ac:dyDescent="0.35">
      <c r="AO1331" s="39">
        <v>1329</v>
      </c>
      <c r="AP1331" s="63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55" t="e">
        <f>IFERROR(VLOOKUP(AQ1331,'[1]Harga &amp; Nama CSO'!$H$2:$N$22,2,FALSE),"")*AV1331</f>
        <v>#VALUE!</v>
      </c>
      <c r="BO1331" s="40"/>
      <c r="BP1331" s="4"/>
      <c r="BQ1331" s="62"/>
      <c r="BR1331" s="4"/>
      <c r="BS1331" s="57" t="e">
        <f t="shared" si="41"/>
        <v>#VALUE!</v>
      </c>
      <c r="BT1331" s="63"/>
      <c r="BU1331" s="8">
        <v>0</v>
      </c>
      <c r="BV1331" s="58" t="e">
        <f>VLOOKUP(AQ1331,'[1]Harga &amp; Nama CSO'!$A$28:$D$31,4,0)*BP1331</f>
        <v>#N/A</v>
      </c>
    </row>
    <row r="1332" spans="41:74" x14ac:dyDescent="0.35">
      <c r="AO1332" s="39">
        <v>1330</v>
      </c>
      <c r="AP1332" s="63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55" t="e">
        <f>IFERROR(VLOOKUP(AQ1332,'[1]Harga &amp; Nama CSO'!$H$2:$N$22,2,FALSE),"")*AV1332</f>
        <v>#VALUE!</v>
      </c>
      <c r="BO1332" s="40"/>
      <c r="BP1332" s="4"/>
      <c r="BQ1332" s="62"/>
      <c r="BR1332" s="4"/>
      <c r="BS1332" s="57" t="e">
        <f t="shared" si="41"/>
        <v>#VALUE!</v>
      </c>
      <c r="BT1332" s="63"/>
      <c r="BU1332" s="8">
        <v>0</v>
      </c>
      <c r="BV1332" s="58" t="e">
        <f>VLOOKUP(AQ1332,'[1]Harga &amp; Nama CSO'!$A$28:$D$31,4,0)*BP1332</f>
        <v>#N/A</v>
      </c>
    </row>
    <row r="1333" spans="41:74" x14ac:dyDescent="0.35">
      <c r="AO1333" s="39">
        <v>1331</v>
      </c>
      <c r="AP1333" s="63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55" t="e">
        <f>IFERROR(VLOOKUP(AQ1333,'[1]Harga &amp; Nama CSO'!$H$2:$N$22,2,FALSE),"")*AV1333</f>
        <v>#VALUE!</v>
      </c>
      <c r="BO1333" s="40"/>
      <c r="BP1333" s="4"/>
      <c r="BQ1333" s="62"/>
      <c r="BR1333" s="4"/>
      <c r="BS1333" s="57" t="e">
        <f t="shared" si="41"/>
        <v>#VALUE!</v>
      </c>
      <c r="BT1333" s="63"/>
      <c r="BU1333" s="8">
        <v>0</v>
      </c>
      <c r="BV1333" s="58" t="e">
        <f>VLOOKUP(AQ1333,'[1]Harga &amp; Nama CSO'!$A$28:$D$31,4,0)*BP1333</f>
        <v>#N/A</v>
      </c>
    </row>
    <row r="1334" spans="41:74" x14ac:dyDescent="0.35">
      <c r="AO1334" s="39">
        <v>1332</v>
      </c>
      <c r="AP1334" s="63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55" t="e">
        <f>IFERROR(VLOOKUP(AQ1334,'[1]Harga &amp; Nama CSO'!$H$2:$N$22,2,FALSE),"")*AV1334</f>
        <v>#VALUE!</v>
      </c>
      <c r="BO1334" s="40"/>
      <c r="BP1334" s="4"/>
      <c r="BQ1334" s="62"/>
      <c r="BR1334" s="4"/>
      <c r="BS1334" s="57" t="e">
        <f t="shared" si="41"/>
        <v>#VALUE!</v>
      </c>
      <c r="BT1334" s="63"/>
      <c r="BU1334" s="8">
        <v>0</v>
      </c>
      <c r="BV1334" s="58" t="e">
        <f>VLOOKUP(AQ1334,'[1]Harga &amp; Nama CSO'!$A$28:$D$31,4,0)*BP1334</f>
        <v>#N/A</v>
      </c>
    </row>
    <row r="1335" spans="41:74" x14ac:dyDescent="0.35">
      <c r="AO1335" s="39">
        <v>1333</v>
      </c>
      <c r="AP1335" s="63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55" t="e">
        <f>IFERROR(VLOOKUP(AQ1335,'[1]Harga &amp; Nama CSO'!$H$2:$N$22,2,FALSE),"")*AV1335</f>
        <v>#VALUE!</v>
      </c>
      <c r="BO1335" s="40"/>
      <c r="BP1335" s="4"/>
      <c r="BQ1335" s="62"/>
      <c r="BR1335" s="4"/>
      <c r="BS1335" s="57" t="e">
        <f t="shared" si="41"/>
        <v>#VALUE!</v>
      </c>
      <c r="BT1335" s="63"/>
      <c r="BU1335" s="8">
        <v>0</v>
      </c>
      <c r="BV1335" s="58" t="e">
        <f>VLOOKUP(AQ1335,'[1]Harga &amp; Nama CSO'!$A$28:$D$31,4,0)*BP1335</f>
        <v>#N/A</v>
      </c>
    </row>
    <row r="1336" spans="41:74" x14ac:dyDescent="0.35">
      <c r="AO1336" s="39">
        <v>1334</v>
      </c>
      <c r="AP1336" s="63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55" t="e">
        <f>IFERROR(VLOOKUP(AQ1336,'[1]Harga &amp; Nama CSO'!$H$2:$N$22,2,FALSE),"")*AV1336</f>
        <v>#VALUE!</v>
      </c>
      <c r="BO1336" s="40"/>
      <c r="BP1336" s="4"/>
      <c r="BQ1336" s="62"/>
      <c r="BR1336" s="4"/>
      <c r="BS1336" s="57" t="e">
        <f t="shared" si="41"/>
        <v>#VALUE!</v>
      </c>
      <c r="BT1336" s="63"/>
      <c r="BU1336" s="8">
        <v>0</v>
      </c>
      <c r="BV1336" s="58" t="e">
        <f>VLOOKUP(AQ1336,'[1]Harga &amp; Nama CSO'!$A$28:$D$31,4,0)*BP1336</f>
        <v>#N/A</v>
      </c>
    </row>
    <row r="1337" spans="41:74" x14ac:dyDescent="0.35">
      <c r="AO1337" s="39">
        <v>1335</v>
      </c>
      <c r="AP1337" s="63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55" t="e">
        <f>IFERROR(VLOOKUP(AQ1337,'[1]Harga &amp; Nama CSO'!$H$2:$N$22,2,FALSE),"")*AV1337</f>
        <v>#VALUE!</v>
      </c>
      <c r="BO1337" s="40"/>
      <c r="BP1337" s="4"/>
      <c r="BQ1337" s="62"/>
      <c r="BR1337" s="4"/>
      <c r="BS1337" s="57" t="e">
        <f t="shared" si="41"/>
        <v>#VALUE!</v>
      </c>
      <c r="BT1337" s="63"/>
      <c r="BU1337" s="8">
        <v>0</v>
      </c>
      <c r="BV1337" s="58" t="e">
        <f>VLOOKUP(AQ1337,'[1]Harga &amp; Nama CSO'!$A$28:$D$31,4,0)*BP1337</f>
        <v>#N/A</v>
      </c>
    </row>
    <row r="1338" spans="41:74" x14ac:dyDescent="0.35">
      <c r="AO1338" s="39">
        <v>1336</v>
      </c>
      <c r="AP1338" s="63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55" t="e">
        <f>IFERROR(VLOOKUP(AQ1338,'[1]Harga &amp; Nama CSO'!$H$2:$N$22,2,FALSE),"")*AV1338</f>
        <v>#VALUE!</v>
      </c>
      <c r="BO1338" s="40"/>
      <c r="BP1338" s="4"/>
      <c r="BQ1338" s="62"/>
      <c r="BR1338" s="4"/>
      <c r="BS1338" s="57" t="e">
        <f t="shared" si="41"/>
        <v>#VALUE!</v>
      </c>
      <c r="BT1338" s="63"/>
      <c r="BU1338" s="8">
        <v>0</v>
      </c>
      <c r="BV1338" s="58" t="e">
        <f>VLOOKUP(AQ1338,'[1]Harga &amp; Nama CSO'!$A$28:$D$31,4,0)*BP1338</f>
        <v>#N/A</v>
      </c>
    </row>
    <row r="1339" spans="41:74" x14ac:dyDescent="0.35">
      <c r="AO1339" s="39">
        <v>1337</v>
      </c>
      <c r="AP1339" s="63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55" t="e">
        <f>IFERROR(VLOOKUP(AQ1339,'[1]Harga &amp; Nama CSO'!$H$2:$N$22,2,FALSE),"")*AV1339</f>
        <v>#VALUE!</v>
      </c>
      <c r="BO1339" s="40"/>
      <c r="BP1339" s="4"/>
      <c r="BQ1339" s="62"/>
      <c r="BR1339" s="4"/>
      <c r="BS1339" s="57" t="e">
        <f t="shared" si="41"/>
        <v>#VALUE!</v>
      </c>
      <c r="BT1339" s="63"/>
      <c r="BU1339" s="8">
        <v>0</v>
      </c>
      <c r="BV1339" s="58" t="e">
        <f>VLOOKUP(AQ1339,'[1]Harga &amp; Nama CSO'!$A$28:$D$31,4,0)*BP1339</f>
        <v>#N/A</v>
      </c>
    </row>
    <row r="1340" spans="41:74" x14ac:dyDescent="0.35">
      <c r="AO1340" s="39">
        <v>1338</v>
      </c>
      <c r="AP1340" s="63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55" t="e">
        <f>IFERROR(VLOOKUP(AQ1340,'[1]Harga &amp; Nama CSO'!$H$2:$N$22,2,FALSE),"")*AV1340</f>
        <v>#VALUE!</v>
      </c>
      <c r="BO1340" s="40"/>
      <c r="BP1340" s="4"/>
      <c r="BQ1340" s="62"/>
      <c r="BR1340" s="4"/>
      <c r="BS1340" s="57" t="e">
        <f t="shared" si="41"/>
        <v>#VALUE!</v>
      </c>
      <c r="BT1340" s="63"/>
      <c r="BU1340" s="8">
        <v>0</v>
      </c>
      <c r="BV1340" s="58" t="e">
        <f>VLOOKUP(AQ1340,'[1]Harga &amp; Nama CSO'!$A$28:$D$31,4,0)*BP1340</f>
        <v>#N/A</v>
      </c>
    </row>
    <row r="1341" spans="41:74" x14ac:dyDescent="0.35">
      <c r="AO1341" s="39">
        <v>1339</v>
      </c>
      <c r="AP1341" s="63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55" t="e">
        <f>IFERROR(VLOOKUP(AQ1341,'[1]Harga &amp; Nama CSO'!$H$2:$N$22,2,FALSE),"")*AV1341</f>
        <v>#VALUE!</v>
      </c>
      <c r="BO1341" s="40"/>
      <c r="BP1341" s="4"/>
      <c r="BQ1341" s="62"/>
      <c r="BR1341" s="4"/>
      <c r="BS1341" s="57" t="e">
        <f t="shared" si="41"/>
        <v>#VALUE!</v>
      </c>
      <c r="BT1341" s="63"/>
      <c r="BU1341" s="8">
        <v>0</v>
      </c>
      <c r="BV1341" s="58" t="e">
        <f>VLOOKUP(AQ1341,'[1]Harga &amp; Nama CSO'!$A$28:$D$31,4,0)*BP1341</f>
        <v>#N/A</v>
      </c>
    </row>
    <row r="1342" spans="41:74" x14ac:dyDescent="0.35">
      <c r="AO1342" s="39">
        <v>1340</v>
      </c>
      <c r="AP1342" s="63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55" t="e">
        <f>IFERROR(VLOOKUP(AQ1342,'[1]Harga &amp; Nama CSO'!$H$2:$N$22,2,FALSE),"")*AV1342</f>
        <v>#VALUE!</v>
      </c>
      <c r="BO1342" s="40"/>
      <c r="BP1342" s="4"/>
      <c r="BQ1342" s="62"/>
      <c r="BR1342" s="4"/>
      <c r="BS1342" s="57" t="e">
        <f t="shared" si="41"/>
        <v>#VALUE!</v>
      </c>
      <c r="BT1342" s="63"/>
      <c r="BU1342" s="8">
        <v>0</v>
      </c>
      <c r="BV1342" s="58" t="e">
        <f>VLOOKUP(AQ1342,'[1]Harga &amp; Nama CSO'!$A$28:$D$31,4,0)*BP1342</f>
        <v>#N/A</v>
      </c>
    </row>
    <row r="1343" spans="41:74" x14ac:dyDescent="0.35">
      <c r="AO1343" s="39">
        <v>1341</v>
      </c>
      <c r="AP1343" s="63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55" t="e">
        <f>IFERROR(VLOOKUP(AQ1343,'[1]Harga &amp; Nama CSO'!$H$2:$N$22,2,FALSE),"")*AV1343</f>
        <v>#VALUE!</v>
      </c>
      <c r="BO1343" s="40"/>
      <c r="BP1343" s="4"/>
      <c r="BQ1343" s="62"/>
      <c r="BR1343" s="4"/>
      <c r="BS1343" s="57" t="e">
        <f t="shared" si="41"/>
        <v>#VALUE!</v>
      </c>
      <c r="BT1343" s="63"/>
      <c r="BU1343" s="8">
        <v>0</v>
      </c>
      <c r="BV1343" s="58" t="e">
        <f>VLOOKUP(AQ1343,'[1]Harga &amp; Nama CSO'!$A$28:$D$31,4,0)*BP1343</f>
        <v>#N/A</v>
      </c>
    </row>
    <row r="1344" spans="41:74" x14ac:dyDescent="0.35">
      <c r="AO1344" s="39">
        <v>1342</v>
      </c>
      <c r="AP1344" s="63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55" t="e">
        <f>IFERROR(VLOOKUP(AQ1344,'[1]Harga &amp; Nama CSO'!$H$2:$N$22,2,FALSE),"")*AV1344</f>
        <v>#VALUE!</v>
      </c>
      <c r="BO1344" s="40"/>
      <c r="BP1344" s="4"/>
      <c r="BQ1344" s="62"/>
      <c r="BR1344" s="4"/>
      <c r="BS1344" s="57" t="e">
        <f t="shared" si="41"/>
        <v>#VALUE!</v>
      </c>
      <c r="BT1344" s="63"/>
      <c r="BU1344" s="8">
        <v>0</v>
      </c>
      <c r="BV1344" s="58" t="e">
        <f>VLOOKUP(AQ1344,'[1]Harga &amp; Nama CSO'!$A$28:$D$31,4,0)*BP1344</f>
        <v>#N/A</v>
      </c>
    </row>
    <row r="1345" spans="41:74" x14ac:dyDescent="0.35">
      <c r="AO1345" s="39">
        <v>1343</v>
      </c>
      <c r="AP1345" s="63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55" t="e">
        <f>IFERROR(VLOOKUP(AQ1345,'[1]Harga &amp; Nama CSO'!$H$2:$N$22,2,FALSE),"")*AV1345</f>
        <v>#VALUE!</v>
      </c>
      <c r="BO1345" s="40"/>
      <c r="BP1345" s="4"/>
      <c r="BQ1345" s="62"/>
      <c r="BR1345" s="4"/>
      <c r="BS1345" s="57" t="e">
        <f t="shared" si="41"/>
        <v>#VALUE!</v>
      </c>
      <c r="BT1345" s="63"/>
      <c r="BU1345" s="8">
        <v>0</v>
      </c>
      <c r="BV1345" s="58" t="e">
        <f>VLOOKUP(AQ1345,'[1]Harga &amp; Nama CSO'!$A$28:$D$31,4,0)*BP1345</f>
        <v>#N/A</v>
      </c>
    </row>
    <row r="1346" spans="41:74" x14ac:dyDescent="0.35">
      <c r="AO1346" s="39">
        <v>1344</v>
      </c>
      <c r="AP1346" s="63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55" t="e">
        <f>IFERROR(VLOOKUP(AQ1346,'[1]Harga &amp; Nama CSO'!$H$2:$N$22,2,FALSE),"")*AV1346</f>
        <v>#VALUE!</v>
      </c>
      <c r="BO1346" s="40"/>
      <c r="BP1346" s="4"/>
      <c r="BQ1346" s="62"/>
      <c r="BR1346" s="4"/>
      <c r="BS1346" s="57" t="e">
        <f t="shared" si="41"/>
        <v>#VALUE!</v>
      </c>
      <c r="BT1346" s="63"/>
      <c r="BU1346" s="8">
        <v>0</v>
      </c>
      <c r="BV1346" s="58" t="e">
        <f>VLOOKUP(AQ1346,'[1]Harga &amp; Nama CSO'!$A$28:$D$31,4,0)*BP1346</f>
        <v>#N/A</v>
      </c>
    </row>
    <row r="1347" spans="41:74" x14ac:dyDescent="0.35">
      <c r="AO1347" s="39">
        <v>1345</v>
      </c>
      <c r="AP1347" s="63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55" t="e">
        <f>IFERROR(VLOOKUP(AQ1347,'[1]Harga &amp; Nama CSO'!$H$2:$N$22,2,FALSE),"")*AV1347</f>
        <v>#VALUE!</v>
      </c>
      <c r="BO1347" s="40"/>
      <c r="BP1347" s="4"/>
      <c r="BQ1347" s="62"/>
      <c r="BR1347" s="4"/>
      <c r="BS1347" s="57" t="e">
        <f t="shared" ref="BS1347:BS1410" si="42">BN1347-BQ1347</f>
        <v>#VALUE!</v>
      </c>
      <c r="BT1347" s="63"/>
      <c r="BU1347" s="8">
        <v>0</v>
      </c>
      <c r="BV1347" s="58" t="e">
        <f>VLOOKUP(AQ1347,'[1]Harga &amp; Nama CSO'!$A$28:$D$31,4,0)*BP1347</f>
        <v>#N/A</v>
      </c>
    </row>
    <row r="1348" spans="41:74" x14ac:dyDescent="0.35">
      <c r="AO1348" s="39">
        <v>1346</v>
      </c>
      <c r="AP1348" s="63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55" t="e">
        <f>IFERROR(VLOOKUP(AQ1348,'[1]Harga &amp; Nama CSO'!$H$2:$N$22,2,FALSE),"")*AV1348</f>
        <v>#VALUE!</v>
      </c>
      <c r="BO1348" s="40"/>
      <c r="BP1348" s="4"/>
      <c r="BQ1348" s="62"/>
      <c r="BR1348" s="4"/>
      <c r="BS1348" s="57" t="e">
        <f t="shared" si="42"/>
        <v>#VALUE!</v>
      </c>
      <c r="BT1348" s="63"/>
      <c r="BU1348" s="8">
        <v>0</v>
      </c>
      <c r="BV1348" s="58" t="e">
        <f>VLOOKUP(AQ1348,'[1]Harga &amp; Nama CSO'!$A$28:$D$31,4,0)*BP1348</f>
        <v>#N/A</v>
      </c>
    </row>
    <row r="1349" spans="41:74" x14ac:dyDescent="0.35">
      <c r="AO1349" s="39">
        <v>1347</v>
      </c>
      <c r="AP1349" s="63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55" t="e">
        <f>IFERROR(VLOOKUP(AQ1349,'[1]Harga &amp; Nama CSO'!$H$2:$N$22,2,FALSE),"")*AV1349</f>
        <v>#VALUE!</v>
      </c>
      <c r="BO1349" s="40"/>
      <c r="BP1349" s="4"/>
      <c r="BQ1349" s="62"/>
      <c r="BR1349" s="4"/>
      <c r="BS1349" s="57" t="e">
        <f t="shared" si="42"/>
        <v>#VALUE!</v>
      </c>
      <c r="BT1349" s="63"/>
      <c r="BU1349" s="8">
        <v>0</v>
      </c>
      <c r="BV1349" s="58" t="e">
        <f>VLOOKUP(AQ1349,'[1]Harga &amp; Nama CSO'!$A$28:$D$31,4,0)*BP1349</f>
        <v>#N/A</v>
      </c>
    </row>
    <row r="1350" spans="41:74" x14ac:dyDescent="0.35">
      <c r="AO1350" s="39">
        <v>1348</v>
      </c>
      <c r="AP1350" s="63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55" t="e">
        <f>IFERROR(VLOOKUP(AQ1350,'[1]Harga &amp; Nama CSO'!$H$2:$N$22,2,FALSE),"")*AV1350</f>
        <v>#VALUE!</v>
      </c>
      <c r="BO1350" s="40"/>
      <c r="BP1350" s="4"/>
      <c r="BQ1350" s="62"/>
      <c r="BR1350" s="4"/>
      <c r="BS1350" s="57" t="e">
        <f t="shared" si="42"/>
        <v>#VALUE!</v>
      </c>
      <c r="BT1350" s="63"/>
      <c r="BU1350" s="8">
        <v>0</v>
      </c>
      <c r="BV1350" s="58" t="e">
        <f>VLOOKUP(AQ1350,'[1]Harga &amp; Nama CSO'!$A$28:$D$31,4,0)*BP1350</f>
        <v>#N/A</v>
      </c>
    </row>
    <row r="1351" spans="41:74" x14ac:dyDescent="0.35">
      <c r="AO1351" s="39">
        <v>1349</v>
      </c>
      <c r="AP1351" s="63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55" t="e">
        <f>IFERROR(VLOOKUP(AQ1351,'[1]Harga &amp; Nama CSO'!$H$2:$N$22,2,FALSE),"")*AV1351</f>
        <v>#VALUE!</v>
      </c>
      <c r="BO1351" s="40"/>
      <c r="BP1351" s="4"/>
      <c r="BQ1351" s="62"/>
      <c r="BR1351" s="4"/>
      <c r="BS1351" s="57" t="e">
        <f t="shared" si="42"/>
        <v>#VALUE!</v>
      </c>
      <c r="BT1351" s="63"/>
      <c r="BU1351" s="8">
        <v>0</v>
      </c>
      <c r="BV1351" s="58" t="e">
        <f>VLOOKUP(AQ1351,'[1]Harga &amp; Nama CSO'!$A$28:$D$31,4,0)*BP1351</f>
        <v>#N/A</v>
      </c>
    </row>
    <row r="1352" spans="41:74" x14ac:dyDescent="0.35">
      <c r="AO1352" s="39">
        <v>1350</v>
      </c>
      <c r="AP1352" s="63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55" t="e">
        <f>IFERROR(VLOOKUP(AQ1352,'[1]Harga &amp; Nama CSO'!$H$2:$N$22,2,FALSE),"")*AV1352</f>
        <v>#VALUE!</v>
      </c>
      <c r="BO1352" s="40"/>
      <c r="BP1352" s="4"/>
      <c r="BQ1352" s="62"/>
      <c r="BR1352" s="4"/>
      <c r="BS1352" s="57" t="e">
        <f t="shared" si="42"/>
        <v>#VALUE!</v>
      </c>
      <c r="BT1352" s="63"/>
      <c r="BU1352" s="8">
        <v>0</v>
      </c>
      <c r="BV1352" s="58" t="e">
        <f>VLOOKUP(AQ1352,'[1]Harga &amp; Nama CSO'!$A$28:$D$31,4,0)*BP1352</f>
        <v>#N/A</v>
      </c>
    </row>
    <row r="1353" spans="41:74" x14ac:dyDescent="0.35">
      <c r="AO1353" s="39">
        <v>1351</v>
      </c>
      <c r="AP1353" s="63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55" t="e">
        <f>IFERROR(VLOOKUP(AQ1353,'[1]Harga &amp; Nama CSO'!$H$2:$N$22,2,FALSE),"")*AV1353</f>
        <v>#VALUE!</v>
      </c>
      <c r="BO1353" s="40"/>
      <c r="BP1353" s="4"/>
      <c r="BQ1353" s="62"/>
      <c r="BR1353" s="4"/>
      <c r="BS1353" s="57" t="e">
        <f t="shared" si="42"/>
        <v>#VALUE!</v>
      </c>
      <c r="BT1353" s="63"/>
      <c r="BU1353" s="8">
        <v>0</v>
      </c>
      <c r="BV1353" s="58" t="e">
        <f>VLOOKUP(AQ1353,'[1]Harga &amp; Nama CSO'!$A$28:$D$31,4,0)*BP1353</f>
        <v>#N/A</v>
      </c>
    </row>
    <row r="1354" spans="41:74" x14ac:dyDescent="0.35">
      <c r="AO1354" s="39">
        <v>1352</v>
      </c>
      <c r="AP1354" s="63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55" t="e">
        <f>IFERROR(VLOOKUP(AQ1354,'[1]Harga &amp; Nama CSO'!$H$2:$N$22,2,FALSE),"")*AV1354</f>
        <v>#VALUE!</v>
      </c>
      <c r="BO1354" s="40"/>
      <c r="BP1354" s="4"/>
      <c r="BQ1354" s="62"/>
      <c r="BR1354" s="4"/>
      <c r="BS1354" s="57" t="e">
        <f t="shared" si="42"/>
        <v>#VALUE!</v>
      </c>
      <c r="BT1354" s="63"/>
      <c r="BU1354" s="8">
        <v>0</v>
      </c>
      <c r="BV1354" s="58" t="e">
        <f>VLOOKUP(AQ1354,'[1]Harga &amp; Nama CSO'!$A$28:$D$31,4,0)*BP1354</f>
        <v>#N/A</v>
      </c>
    </row>
    <row r="1355" spans="41:74" x14ac:dyDescent="0.35">
      <c r="AO1355" s="39">
        <v>1353</v>
      </c>
      <c r="AP1355" s="63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55" t="e">
        <f>IFERROR(VLOOKUP(AQ1355,'[1]Harga &amp; Nama CSO'!$H$2:$N$22,2,FALSE),"")*AV1355</f>
        <v>#VALUE!</v>
      </c>
      <c r="BO1355" s="40"/>
      <c r="BP1355" s="4"/>
      <c r="BQ1355" s="62"/>
      <c r="BR1355" s="4"/>
      <c r="BS1355" s="57" t="e">
        <f t="shared" si="42"/>
        <v>#VALUE!</v>
      </c>
      <c r="BT1355" s="63"/>
      <c r="BU1355" s="8">
        <v>0</v>
      </c>
      <c r="BV1355" s="58" t="e">
        <f>VLOOKUP(AQ1355,'[1]Harga &amp; Nama CSO'!$A$28:$D$31,4,0)*BP1355</f>
        <v>#N/A</v>
      </c>
    </row>
    <row r="1356" spans="41:74" x14ac:dyDescent="0.35">
      <c r="AO1356" s="39">
        <v>1354</v>
      </c>
      <c r="AP1356" s="63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55" t="e">
        <f>IFERROR(VLOOKUP(AQ1356,'[1]Harga &amp; Nama CSO'!$H$2:$N$22,2,FALSE),"")*AV1356</f>
        <v>#VALUE!</v>
      </c>
      <c r="BO1356" s="40"/>
      <c r="BP1356" s="4"/>
      <c r="BQ1356" s="62"/>
      <c r="BR1356" s="4"/>
      <c r="BS1356" s="57" t="e">
        <f t="shared" si="42"/>
        <v>#VALUE!</v>
      </c>
      <c r="BT1356" s="63"/>
      <c r="BU1356" s="8">
        <v>0</v>
      </c>
      <c r="BV1356" s="58" t="e">
        <f>VLOOKUP(AQ1356,'[1]Harga &amp; Nama CSO'!$A$28:$D$31,4,0)*BP1356</f>
        <v>#N/A</v>
      </c>
    </row>
    <row r="1357" spans="41:74" x14ac:dyDescent="0.35">
      <c r="AO1357" s="39">
        <v>1355</v>
      </c>
      <c r="AP1357" s="63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55" t="e">
        <f>IFERROR(VLOOKUP(AQ1357,'[1]Harga &amp; Nama CSO'!$H$2:$N$22,2,FALSE),"")*AV1357</f>
        <v>#VALUE!</v>
      </c>
      <c r="BO1357" s="40"/>
      <c r="BP1357" s="4"/>
      <c r="BQ1357" s="62"/>
      <c r="BR1357" s="4"/>
      <c r="BS1357" s="57" t="e">
        <f t="shared" si="42"/>
        <v>#VALUE!</v>
      </c>
      <c r="BT1357" s="63"/>
      <c r="BU1357" s="8">
        <v>0</v>
      </c>
      <c r="BV1357" s="58" t="e">
        <f>VLOOKUP(AQ1357,'[1]Harga &amp; Nama CSO'!$A$28:$D$31,4,0)*BP1357</f>
        <v>#N/A</v>
      </c>
    </row>
    <row r="1358" spans="41:74" x14ac:dyDescent="0.35">
      <c r="AO1358" s="39">
        <v>1356</v>
      </c>
      <c r="AP1358" s="63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55" t="e">
        <f>IFERROR(VLOOKUP(AQ1358,'[1]Harga &amp; Nama CSO'!$H$2:$N$22,2,FALSE),"")*AV1358</f>
        <v>#VALUE!</v>
      </c>
      <c r="BO1358" s="40"/>
      <c r="BP1358" s="4"/>
      <c r="BQ1358" s="62"/>
      <c r="BR1358" s="4"/>
      <c r="BS1358" s="57" t="e">
        <f t="shared" si="42"/>
        <v>#VALUE!</v>
      </c>
      <c r="BT1358" s="63"/>
      <c r="BU1358" s="8">
        <v>0</v>
      </c>
      <c r="BV1358" s="58" t="e">
        <f>VLOOKUP(AQ1358,'[1]Harga &amp; Nama CSO'!$A$28:$D$31,4,0)*BP1358</f>
        <v>#N/A</v>
      </c>
    </row>
    <row r="1359" spans="41:74" x14ac:dyDescent="0.35">
      <c r="AO1359" s="39">
        <v>1357</v>
      </c>
      <c r="AP1359" s="63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55" t="e">
        <f>IFERROR(VLOOKUP(AQ1359,'[1]Harga &amp; Nama CSO'!$H$2:$N$22,2,FALSE),"")*AV1359</f>
        <v>#VALUE!</v>
      </c>
      <c r="BO1359" s="40"/>
      <c r="BP1359" s="4"/>
      <c r="BQ1359" s="62"/>
      <c r="BR1359" s="4"/>
      <c r="BS1359" s="57" t="e">
        <f t="shared" si="42"/>
        <v>#VALUE!</v>
      </c>
      <c r="BT1359" s="63"/>
      <c r="BU1359" s="8">
        <v>0</v>
      </c>
      <c r="BV1359" s="58" t="e">
        <f>VLOOKUP(AQ1359,'[1]Harga &amp; Nama CSO'!$A$28:$D$31,4,0)*BP1359</f>
        <v>#N/A</v>
      </c>
    </row>
    <row r="1360" spans="41:74" x14ac:dyDescent="0.35">
      <c r="AO1360" s="39">
        <v>1358</v>
      </c>
      <c r="AP1360" s="63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55" t="e">
        <f>IFERROR(VLOOKUP(AQ1360,'[1]Harga &amp; Nama CSO'!$H$2:$N$22,2,FALSE),"")*AV1360</f>
        <v>#VALUE!</v>
      </c>
      <c r="BO1360" s="40"/>
      <c r="BP1360" s="4"/>
      <c r="BQ1360" s="62"/>
      <c r="BR1360" s="4"/>
      <c r="BS1360" s="57" t="e">
        <f t="shared" si="42"/>
        <v>#VALUE!</v>
      </c>
      <c r="BT1360" s="63"/>
      <c r="BU1360" s="8">
        <v>0</v>
      </c>
      <c r="BV1360" s="58" t="e">
        <f>VLOOKUP(AQ1360,'[1]Harga &amp; Nama CSO'!$A$28:$D$31,4,0)*BP1360</f>
        <v>#N/A</v>
      </c>
    </row>
    <row r="1361" spans="41:74" x14ac:dyDescent="0.35">
      <c r="AO1361" s="39">
        <v>1359</v>
      </c>
      <c r="AP1361" s="63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55" t="e">
        <f>IFERROR(VLOOKUP(AQ1361,'[1]Harga &amp; Nama CSO'!$H$2:$N$22,2,FALSE),"")*AV1361</f>
        <v>#VALUE!</v>
      </c>
      <c r="BO1361" s="40"/>
      <c r="BP1361" s="4"/>
      <c r="BQ1361" s="62"/>
      <c r="BR1361" s="4"/>
      <c r="BS1361" s="57" t="e">
        <f t="shared" si="42"/>
        <v>#VALUE!</v>
      </c>
      <c r="BT1361" s="63"/>
      <c r="BU1361" s="8">
        <v>0</v>
      </c>
      <c r="BV1361" s="58" t="e">
        <f>VLOOKUP(AQ1361,'[1]Harga &amp; Nama CSO'!$A$28:$D$31,4,0)*BP1361</f>
        <v>#N/A</v>
      </c>
    </row>
    <row r="1362" spans="41:74" x14ac:dyDescent="0.35">
      <c r="AO1362" s="39">
        <v>1360</v>
      </c>
      <c r="AP1362" s="63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55" t="e">
        <f>IFERROR(VLOOKUP(AQ1362,'[1]Harga &amp; Nama CSO'!$H$2:$N$22,2,FALSE),"")*AV1362</f>
        <v>#VALUE!</v>
      </c>
      <c r="BO1362" s="40"/>
      <c r="BP1362" s="4"/>
      <c r="BQ1362" s="62"/>
      <c r="BR1362" s="4"/>
      <c r="BS1362" s="57" t="e">
        <f t="shared" si="42"/>
        <v>#VALUE!</v>
      </c>
      <c r="BT1362" s="63"/>
      <c r="BU1362" s="8">
        <v>0</v>
      </c>
      <c r="BV1362" s="58" t="e">
        <f>VLOOKUP(AQ1362,'[1]Harga &amp; Nama CSO'!$A$28:$D$31,4,0)*BP1362</f>
        <v>#N/A</v>
      </c>
    </row>
    <row r="1363" spans="41:74" x14ac:dyDescent="0.35">
      <c r="AO1363" s="39">
        <v>1361</v>
      </c>
      <c r="AP1363" s="63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55" t="e">
        <f>IFERROR(VLOOKUP(AQ1363,'[1]Harga &amp; Nama CSO'!$H$2:$N$22,2,FALSE),"")*AV1363</f>
        <v>#VALUE!</v>
      </c>
      <c r="BO1363" s="40"/>
      <c r="BP1363" s="4"/>
      <c r="BQ1363" s="62"/>
      <c r="BR1363" s="4"/>
      <c r="BS1363" s="57" t="e">
        <f t="shared" si="42"/>
        <v>#VALUE!</v>
      </c>
      <c r="BT1363" s="63"/>
      <c r="BU1363" s="8">
        <v>0</v>
      </c>
      <c r="BV1363" s="58" t="e">
        <f>VLOOKUP(AQ1363,'[1]Harga &amp; Nama CSO'!$A$28:$D$31,4,0)*BP1363</f>
        <v>#N/A</v>
      </c>
    </row>
    <row r="1364" spans="41:74" x14ac:dyDescent="0.35">
      <c r="AO1364" s="39">
        <v>1362</v>
      </c>
      <c r="AP1364" s="63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55" t="e">
        <f>IFERROR(VLOOKUP(AQ1364,'[1]Harga &amp; Nama CSO'!$H$2:$N$22,2,FALSE),"")*AV1364</f>
        <v>#VALUE!</v>
      </c>
      <c r="BO1364" s="40"/>
      <c r="BP1364" s="4"/>
      <c r="BQ1364" s="62"/>
      <c r="BR1364" s="4"/>
      <c r="BS1364" s="57" t="e">
        <f t="shared" si="42"/>
        <v>#VALUE!</v>
      </c>
      <c r="BT1364" s="63"/>
      <c r="BU1364" s="8">
        <v>0</v>
      </c>
      <c r="BV1364" s="58" t="e">
        <f>VLOOKUP(AQ1364,'[1]Harga &amp; Nama CSO'!$A$28:$D$31,4,0)*BP1364</f>
        <v>#N/A</v>
      </c>
    </row>
    <row r="1365" spans="41:74" x14ac:dyDescent="0.35">
      <c r="AO1365" s="39">
        <v>1363</v>
      </c>
      <c r="AP1365" s="63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55" t="e">
        <f>IFERROR(VLOOKUP(AQ1365,'[1]Harga &amp; Nama CSO'!$H$2:$N$22,2,FALSE),"")*AV1365</f>
        <v>#VALUE!</v>
      </c>
      <c r="BO1365" s="40"/>
      <c r="BP1365" s="4"/>
      <c r="BQ1365" s="62"/>
      <c r="BR1365" s="4"/>
      <c r="BS1365" s="57" t="e">
        <f t="shared" si="42"/>
        <v>#VALUE!</v>
      </c>
      <c r="BT1365" s="63"/>
      <c r="BU1365" s="8">
        <v>0</v>
      </c>
      <c r="BV1365" s="58" t="e">
        <f>VLOOKUP(AQ1365,'[1]Harga &amp; Nama CSO'!$A$28:$D$31,4,0)*BP1365</f>
        <v>#N/A</v>
      </c>
    </row>
    <row r="1366" spans="41:74" x14ac:dyDescent="0.35">
      <c r="AO1366" s="39">
        <v>1364</v>
      </c>
      <c r="AP1366" s="63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55" t="e">
        <f>IFERROR(VLOOKUP(AQ1366,'[1]Harga &amp; Nama CSO'!$H$2:$N$22,2,FALSE),"")*AV1366</f>
        <v>#VALUE!</v>
      </c>
      <c r="BO1366" s="40"/>
      <c r="BP1366" s="4"/>
      <c r="BQ1366" s="62"/>
      <c r="BR1366" s="4"/>
      <c r="BS1366" s="57" t="e">
        <f t="shared" si="42"/>
        <v>#VALUE!</v>
      </c>
      <c r="BT1366" s="63"/>
      <c r="BU1366" s="8">
        <v>0</v>
      </c>
      <c r="BV1366" s="58" t="e">
        <f>VLOOKUP(AQ1366,'[1]Harga &amp; Nama CSO'!$A$28:$D$31,4,0)*BP1366</f>
        <v>#N/A</v>
      </c>
    </row>
    <row r="1367" spans="41:74" x14ac:dyDescent="0.35">
      <c r="AO1367" s="39">
        <v>1365</v>
      </c>
      <c r="AP1367" s="63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55" t="e">
        <f>IFERROR(VLOOKUP(AQ1367,'[1]Harga &amp; Nama CSO'!$H$2:$N$22,2,FALSE),"")*AV1367</f>
        <v>#VALUE!</v>
      </c>
      <c r="BO1367" s="40"/>
      <c r="BP1367" s="4"/>
      <c r="BQ1367" s="62"/>
      <c r="BR1367" s="4"/>
      <c r="BS1367" s="57" t="e">
        <f t="shared" si="42"/>
        <v>#VALUE!</v>
      </c>
      <c r="BT1367" s="63"/>
      <c r="BU1367" s="8">
        <v>0</v>
      </c>
      <c r="BV1367" s="58" t="e">
        <f>VLOOKUP(AQ1367,'[1]Harga &amp; Nama CSO'!$A$28:$D$31,4,0)*BP1367</f>
        <v>#N/A</v>
      </c>
    </row>
    <row r="1368" spans="41:74" x14ac:dyDescent="0.35">
      <c r="AO1368" s="39">
        <v>1366</v>
      </c>
      <c r="AP1368" s="63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55" t="e">
        <f>IFERROR(VLOOKUP(AQ1368,'[1]Harga &amp; Nama CSO'!$H$2:$N$22,2,FALSE),"")*AV1368</f>
        <v>#VALUE!</v>
      </c>
      <c r="BO1368" s="40"/>
      <c r="BP1368" s="4"/>
      <c r="BQ1368" s="62"/>
      <c r="BR1368" s="4"/>
      <c r="BS1368" s="57" t="e">
        <f t="shared" si="42"/>
        <v>#VALUE!</v>
      </c>
      <c r="BT1368" s="63"/>
      <c r="BU1368" s="8">
        <v>0</v>
      </c>
      <c r="BV1368" s="58" t="e">
        <f>VLOOKUP(AQ1368,'[1]Harga &amp; Nama CSO'!$A$28:$D$31,4,0)*BP1368</f>
        <v>#N/A</v>
      </c>
    </row>
    <row r="1369" spans="41:74" x14ac:dyDescent="0.35">
      <c r="AO1369" s="39">
        <v>1367</v>
      </c>
      <c r="AP1369" s="63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55" t="e">
        <f>IFERROR(VLOOKUP(AQ1369,'[1]Harga &amp; Nama CSO'!$H$2:$N$22,2,FALSE),"")*AV1369</f>
        <v>#VALUE!</v>
      </c>
      <c r="BO1369" s="40"/>
      <c r="BP1369" s="4"/>
      <c r="BQ1369" s="62"/>
      <c r="BR1369" s="4"/>
      <c r="BS1369" s="57" t="e">
        <f t="shared" si="42"/>
        <v>#VALUE!</v>
      </c>
      <c r="BT1369" s="63"/>
      <c r="BU1369" s="8">
        <v>0</v>
      </c>
      <c r="BV1369" s="58" t="e">
        <f>VLOOKUP(AQ1369,'[1]Harga &amp; Nama CSO'!$A$28:$D$31,4,0)*BP1369</f>
        <v>#N/A</v>
      </c>
    </row>
    <row r="1370" spans="41:74" x14ac:dyDescent="0.35">
      <c r="AO1370" s="39">
        <v>1368</v>
      </c>
      <c r="AP1370" s="63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55" t="e">
        <f>IFERROR(VLOOKUP(AQ1370,'[1]Harga &amp; Nama CSO'!$H$2:$N$22,2,FALSE),"")*AV1370</f>
        <v>#VALUE!</v>
      </c>
      <c r="BO1370" s="40"/>
      <c r="BP1370" s="4"/>
      <c r="BQ1370" s="62"/>
      <c r="BR1370" s="4"/>
      <c r="BS1370" s="57" t="e">
        <f t="shared" si="42"/>
        <v>#VALUE!</v>
      </c>
      <c r="BT1370" s="63"/>
      <c r="BU1370" s="8">
        <v>0</v>
      </c>
      <c r="BV1370" s="58" t="e">
        <f>VLOOKUP(AQ1370,'[1]Harga &amp; Nama CSO'!$A$28:$D$31,4,0)*BP1370</f>
        <v>#N/A</v>
      </c>
    </row>
    <row r="1371" spans="41:74" x14ac:dyDescent="0.35">
      <c r="AO1371" s="39">
        <v>1369</v>
      </c>
      <c r="AP1371" s="63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55" t="e">
        <f>IFERROR(VLOOKUP(AQ1371,'[1]Harga &amp; Nama CSO'!$H$2:$N$22,2,FALSE),"")*AV1371</f>
        <v>#VALUE!</v>
      </c>
      <c r="BO1371" s="40"/>
      <c r="BP1371" s="4"/>
      <c r="BQ1371" s="62"/>
      <c r="BR1371" s="4"/>
      <c r="BS1371" s="57" t="e">
        <f t="shared" si="42"/>
        <v>#VALUE!</v>
      </c>
      <c r="BT1371" s="63"/>
      <c r="BU1371" s="8">
        <v>0</v>
      </c>
      <c r="BV1371" s="58" t="e">
        <f>VLOOKUP(AQ1371,'[1]Harga &amp; Nama CSO'!$A$28:$D$31,4,0)*BP1371</f>
        <v>#N/A</v>
      </c>
    </row>
    <row r="1372" spans="41:74" x14ac:dyDescent="0.35">
      <c r="AO1372" s="39">
        <v>1370</v>
      </c>
      <c r="AP1372" s="63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55" t="e">
        <f>IFERROR(VLOOKUP(AQ1372,'[1]Harga &amp; Nama CSO'!$H$2:$N$22,2,FALSE),"")*AV1372</f>
        <v>#VALUE!</v>
      </c>
      <c r="BO1372" s="40"/>
      <c r="BP1372" s="4"/>
      <c r="BQ1372" s="62"/>
      <c r="BR1372" s="4"/>
      <c r="BS1372" s="57" t="e">
        <f t="shared" si="42"/>
        <v>#VALUE!</v>
      </c>
      <c r="BT1372" s="63"/>
      <c r="BU1372" s="8">
        <v>0</v>
      </c>
      <c r="BV1372" s="58" t="e">
        <f>VLOOKUP(AQ1372,'[1]Harga &amp; Nama CSO'!$A$28:$D$31,4,0)*BP1372</f>
        <v>#N/A</v>
      </c>
    </row>
    <row r="1373" spans="41:74" x14ac:dyDescent="0.35">
      <c r="AO1373" s="39">
        <v>1371</v>
      </c>
      <c r="AP1373" s="63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55" t="e">
        <f>IFERROR(VLOOKUP(AQ1373,'[1]Harga &amp; Nama CSO'!$H$2:$N$22,2,FALSE),"")*AV1373</f>
        <v>#VALUE!</v>
      </c>
      <c r="BO1373" s="40"/>
      <c r="BP1373" s="4"/>
      <c r="BQ1373" s="62"/>
      <c r="BR1373" s="4"/>
      <c r="BS1373" s="57" t="e">
        <f t="shared" si="42"/>
        <v>#VALUE!</v>
      </c>
      <c r="BT1373" s="63"/>
      <c r="BU1373" s="8">
        <v>0</v>
      </c>
      <c r="BV1373" s="58" t="e">
        <f>VLOOKUP(AQ1373,'[1]Harga &amp; Nama CSO'!$A$28:$D$31,4,0)*BP1373</f>
        <v>#N/A</v>
      </c>
    </row>
    <row r="1374" spans="41:74" x14ac:dyDescent="0.35">
      <c r="AO1374" s="39">
        <v>1372</v>
      </c>
      <c r="AP1374" s="63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55" t="e">
        <f>IFERROR(VLOOKUP(AQ1374,'[1]Harga &amp; Nama CSO'!$H$2:$N$22,2,FALSE),"")*AV1374</f>
        <v>#VALUE!</v>
      </c>
      <c r="BO1374" s="40"/>
      <c r="BP1374" s="4"/>
      <c r="BQ1374" s="62"/>
      <c r="BR1374" s="4"/>
      <c r="BS1374" s="57" t="e">
        <f t="shared" si="42"/>
        <v>#VALUE!</v>
      </c>
      <c r="BT1374" s="63"/>
      <c r="BU1374" s="8">
        <v>0</v>
      </c>
      <c r="BV1374" s="58" t="e">
        <f>VLOOKUP(AQ1374,'[1]Harga &amp; Nama CSO'!$A$28:$D$31,4,0)*BP1374</f>
        <v>#N/A</v>
      </c>
    </row>
    <row r="1375" spans="41:74" x14ac:dyDescent="0.35">
      <c r="AO1375" s="39">
        <v>1373</v>
      </c>
      <c r="AP1375" s="63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55" t="e">
        <f>IFERROR(VLOOKUP(AQ1375,'[1]Harga &amp; Nama CSO'!$H$2:$N$22,2,FALSE),"")*AV1375</f>
        <v>#VALUE!</v>
      </c>
      <c r="BO1375" s="40"/>
      <c r="BP1375" s="4"/>
      <c r="BQ1375" s="62"/>
      <c r="BR1375" s="4"/>
      <c r="BS1375" s="57" t="e">
        <f t="shared" si="42"/>
        <v>#VALUE!</v>
      </c>
      <c r="BT1375" s="63"/>
      <c r="BU1375" s="8">
        <v>0</v>
      </c>
      <c r="BV1375" s="58" t="e">
        <f>VLOOKUP(AQ1375,'[1]Harga &amp; Nama CSO'!$A$28:$D$31,4,0)*BP1375</f>
        <v>#N/A</v>
      </c>
    </row>
    <row r="1376" spans="41:74" x14ac:dyDescent="0.35">
      <c r="AO1376" s="39">
        <v>1374</v>
      </c>
      <c r="AP1376" s="63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55" t="e">
        <f>IFERROR(VLOOKUP(AQ1376,'[1]Harga &amp; Nama CSO'!$H$2:$N$22,2,FALSE),"")*AV1376</f>
        <v>#VALUE!</v>
      </c>
      <c r="BO1376" s="40"/>
      <c r="BP1376" s="4"/>
      <c r="BQ1376" s="62"/>
      <c r="BR1376" s="4"/>
      <c r="BS1376" s="57" t="e">
        <f t="shared" si="42"/>
        <v>#VALUE!</v>
      </c>
      <c r="BT1376" s="63"/>
      <c r="BU1376" s="8">
        <v>0</v>
      </c>
      <c r="BV1376" s="58" t="e">
        <f>VLOOKUP(AQ1376,'[1]Harga &amp; Nama CSO'!$A$28:$D$31,4,0)*BP1376</f>
        <v>#N/A</v>
      </c>
    </row>
    <row r="1377" spans="41:74" x14ac:dyDescent="0.35">
      <c r="AO1377" s="39">
        <v>1375</v>
      </c>
      <c r="AP1377" s="63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55" t="e">
        <f>IFERROR(VLOOKUP(AQ1377,'[1]Harga &amp; Nama CSO'!$H$2:$N$22,2,FALSE),"")*AV1377</f>
        <v>#VALUE!</v>
      </c>
      <c r="BO1377" s="40"/>
      <c r="BP1377" s="4"/>
      <c r="BQ1377" s="62"/>
      <c r="BR1377" s="4"/>
      <c r="BS1377" s="57" t="e">
        <f t="shared" si="42"/>
        <v>#VALUE!</v>
      </c>
      <c r="BT1377" s="63"/>
      <c r="BU1377" s="8">
        <v>0</v>
      </c>
      <c r="BV1377" s="58" t="e">
        <f>VLOOKUP(AQ1377,'[1]Harga &amp; Nama CSO'!$A$28:$D$31,4,0)*BP1377</f>
        <v>#N/A</v>
      </c>
    </row>
    <row r="1378" spans="41:74" x14ac:dyDescent="0.35">
      <c r="AO1378" s="39">
        <v>1376</v>
      </c>
      <c r="AP1378" s="63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55" t="e">
        <f>IFERROR(VLOOKUP(AQ1378,'[1]Harga &amp; Nama CSO'!$H$2:$N$22,2,FALSE),"")*AV1378</f>
        <v>#VALUE!</v>
      </c>
      <c r="BO1378" s="40"/>
      <c r="BP1378" s="4"/>
      <c r="BQ1378" s="62"/>
      <c r="BR1378" s="4"/>
      <c r="BS1378" s="57" t="e">
        <f t="shared" si="42"/>
        <v>#VALUE!</v>
      </c>
      <c r="BT1378" s="63"/>
      <c r="BU1378" s="8">
        <v>0</v>
      </c>
      <c r="BV1378" s="58" t="e">
        <f>VLOOKUP(AQ1378,'[1]Harga &amp; Nama CSO'!$A$28:$D$31,4,0)*BP1378</f>
        <v>#N/A</v>
      </c>
    </row>
    <row r="1379" spans="41:74" x14ac:dyDescent="0.35">
      <c r="AO1379" s="39">
        <v>1377</v>
      </c>
      <c r="AP1379" s="63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55" t="e">
        <f>IFERROR(VLOOKUP(AQ1379,'[1]Harga &amp; Nama CSO'!$H$2:$N$22,2,FALSE),"")*AV1379</f>
        <v>#VALUE!</v>
      </c>
      <c r="BO1379" s="40"/>
      <c r="BP1379" s="4"/>
      <c r="BQ1379" s="62"/>
      <c r="BR1379" s="4"/>
      <c r="BS1379" s="57" t="e">
        <f t="shared" si="42"/>
        <v>#VALUE!</v>
      </c>
      <c r="BT1379" s="63"/>
      <c r="BU1379" s="8">
        <v>0</v>
      </c>
      <c r="BV1379" s="58" t="e">
        <f>VLOOKUP(AQ1379,'[1]Harga &amp; Nama CSO'!$A$28:$D$31,4,0)*BP1379</f>
        <v>#N/A</v>
      </c>
    </row>
    <row r="1380" spans="41:74" x14ac:dyDescent="0.35">
      <c r="AO1380" s="39">
        <v>1378</v>
      </c>
      <c r="AP1380" s="63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55" t="e">
        <f>IFERROR(VLOOKUP(AQ1380,'[1]Harga &amp; Nama CSO'!$H$2:$N$22,2,FALSE),"")*AV1380</f>
        <v>#VALUE!</v>
      </c>
      <c r="BO1380" s="40"/>
      <c r="BP1380" s="4"/>
      <c r="BQ1380" s="62"/>
      <c r="BR1380" s="4"/>
      <c r="BS1380" s="57" t="e">
        <f t="shared" si="42"/>
        <v>#VALUE!</v>
      </c>
      <c r="BT1380" s="63"/>
      <c r="BU1380" s="8">
        <v>0</v>
      </c>
      <c r="BV1380" s="58" t="e">
        <f>VLOOKUP(AQ1380,'[1]Harga &amp; Nama CSO'!$A$28:$D$31,4,0)*BP1380</f>
        <v>#N/A</v>
      </c>
    </row>
    <row r="1381" spans="41:74" x14ac:dyDescent="0.35">
      <c r="AO1381" s="39">
        <v>1379</v>
      </c>
      <c r="AP1381" s="63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55" t="e">
        <f>IFERROR(VLOOKUP(AQ1381,'[1]Harga &amp; Nama CSO'!$H$2:$N$22,2,FALSE),"")*AV1381</f>
        <v>#VALUE!</v>
      </c>
      <c r="BO1381" s="40"/>
      <c r="BP1381" s="4"/>
      <c r="BQ1381" s="62"/>
      <c r="BR1381" s="4"/>
      <c r="BS1381" s="57" t="e">
        <f t="shared" si="42"/>
        <v>#VALUE!</v>
      </c>
      <c r="BT1381" s="63"/>
      <c r="BU1381" s="8">
        <v>0</v>
      </c>
      <c r="BV1381" s="58" t="e">
        <f>VLOOKUP(AQ1381,'[1]Harga &amp; Nama CSO'!$A$28:$D$31,4,0)*BP1381</f>
        <v>#N/A</v>
      </c>
    </row>
    <row r="1382" spans="41:74" x14ac:dyDescent="0.35">
      <c r="AO1382" s="39">
        <v>1380</v>
      </c>
      <c r="AP1382" s="63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55" t="e">
        <f>IFERROR(VLOOKUP(AQ1382,'[1]Harga &amp; Nama CSO'!$H$2:$N$22,2,FALSE),"")*AV1382</f>
        <v>#VALUE!</v>
      </c>
      <c r="BO1382" s="40"/>
      <c r="BP1382" s="4"/>
      <c r="BQ1382" s="62"/>
      <c r="BR1382" s="4"/>
      <c r="BS1382" s="57" t="e">
        <f t="shared" si="42"/>
        <v>#VALUE!</v>
      </c>
      <c r="BT1382" s="63"/>
      <c r="BU1382" s="8">
        <v>0</v>
      </c>
      <c r="BV1382" s="58" t="e">
        <f>VLOOKUP(AQ1382,'[1]Harga &amp; Nama CSO'!$A$28:$D$31,4,0)*BP1382</f>
        <v>#N/A</v>
      </c>
    </row>
    <row r="1383" spans="41:74" x14ac:dyDescent="0.35">
      <c r="AO1383" s="39">
        <v>1381</v>
      </c>
      <c r="AP1383" s="63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55" t="e">
        <f>IFERROR(VLOOKUP(AQ1383,'[1]Harga &amp; Nama CSO'!$H$2:$N$22,2,FALSE),"")*AV1383</f>
        <v>#VALUE!</v>
      </c>
      <c r="BO1383" s="40"/>
      <c r="BP1383" s="4"/>
      <c r="BQ1383" s="62"/>
      <c r="BR1383" s="4"/>
      <c r="BS1383" s="57" t="e">
        <f t="shared" si="42"/>
        <v>#VALUE!</v>
      </c>
      <c r="BT1383" s="63"/>
      <c r="BU1383" s="8">
        <v>0</v>
      </c>
      <c r="BV1383" s="58" t="e">
        <f>VLOOKUP(AQ1383,'[1]Harga &amp; Nama CSO'!$A$28:$D$31,4,0)*BP1383</f>
        <v>#N/A</v>
      </c>
    </row>
    <row r="1384" spans="41:74" x14ac:dyDescent="0.35">
      <c r="AO1384" s="39">
        <v>1382</v>
      </c>
      <c r="AP1384" s="63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55" t="e">
        <f>IFERROR(VLOOKUP(AQ1384,'[1]Harga &amp; Nama CSO'!$H$2:$N$22,2,FALSE),"")*AV1384</f>
        <v>#VALUE!</v>
      </c>
      <c r="BO1384" s="40"/>
      <c r="BP1384" s="4"/>
      <c r="BQ1384" s="62"/>
      <c r="BR1384" s="4"/>
      <c r="BS1384" s="57" t="e">
        <f t="shared" si="42"/>
        <v>#VALUE!</v>
      </c>
      <c r="BT1384" s="63"/>
      <c r="BU1384" s="8">
        <v>0</v>
      </c>
      <c r="BV1384" s="58" t="e">
        <f>VLOOKUP(AQ1384,'[1]Harga &amp; Nama CSO'!$A$28:$D$31,4,0)*BP1384</f>
        <v>#N/A</v>
      </c>
    </row>
    <row r="1385" spans="41:74" x14ac:dyDescent="0.35">
      <c r="AO1385" s="39">
        <v>1383</v>
      </c>
      <c r="AP1385" s="63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55" t="e">
        <f>IFERROR(VLOOKUP(AQ1385,'[1]Harga &amp; Nama CSO'!$H$2:$N$22,2,FALSE),"")*AV1385</f>
        <v>#VALUE!</v>
      </c>
      <c r="BO1385" s="40"/>
      <c r="BP1385" s="4"/>
      <c r="BQ1385" s="62"/>
      <c r="BR1385" s="4"/>
      <c r="BS1385" s="57" t="e">
        <f t="shared" si="42"/>
        <v>#VALUE!</v>
      </c>
      <c r="BT1385" s="63"/>
      <c r="BU1385" s="8">
        <v>0</v>
      </c>
      <c r="BV1385" s="58" t="e">
        <f>VLOOKUP(AQ1385,'[1]Harga &amp; Nama CSO'!$A$28:$D$31,4,0)*BP1385</f>
        <v>#N/A</v>
      </c>
    </row>
    <row r="1386" spans="41:74" x14ac:dyDescent="0.35">
      <c r="AO1386" s="39">
        <v>1384</v>
      </c>
      <c r="AP1386" s="63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55" t="e">
        <f>IFERROR(VLOOKUP(AQ1386,'[1]Harga &amp; Nama CSO'!$H$2:$N$22,2,FALSE),"")*AV1386</f>
        <v>#VALUE!</v>
      </c>
      <c r="BO1386" s="40"/>
      <c r="BP1386" s="4"/>
      <c r="BQ1386" s="62"/>
      <c r="BR1386" s="4"/>
      <c r="BS1386" s="57" t="e">
        <f t="shared" si="42"/>
        <v>#VALUE!</v>
      </c>
      <c r="BT1386" s="63"/>
      <c r="BU1386" s="8">
        <v>0</v>
      </c>
      <c r="BV1386" s="58" t="e">
        <f>VLOOKUP(AQ1386,'[1]Harga &amp; Nama CSO'!$A$28:$D$31,4,0)*BP1386</f>
        <v>#N/A</v>
      </c>
    </row>
    <row r="1387" spans="41:74" x14ac:dyDescent="0.35">
      <c r="AO1387" s="39">
        <v>1385</v>
      </c>
      <c r="AP1387" s="63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55" t="e">
        <f>IFERROR(VLOOKUP(AQ1387,'[1]Harga &amp; Nama CSO'!$H$2:$N$22,2,FALSE),"")*AV1387</f>
        <v>#VALUE!</v>
      </c>
      <c r="BO1387" s="40"/>
      <c r="BP1387" s="4"/>
      <c r="BQ1387" s="62"/>
      <c r="BR1387" s="4"/>
      <c r="BS1387" s="57" t="e">
        <f t="shared" si="42"/>
        <v>#VALUE!</v>
      </c>
      <c r="BT1387" s="63"/>
      <c r="BU1387" s="8">
        <v>0</v>
      </c>
      <c r="BV1387" s="58" t="e">
        <f>VLOOKUP(AQ1387,'[1]Harga &amp; Nama CSO'!$A$28:$D$31,4,0)*BP1387</f>
        <v>#N/A</v>
      </c>
    </row>
    <row r="1388" spans="41:74" x14ac:dyDescent="0.35">
      <c r="AO1388" s="39">
        <v>1386</v>
      </c>
      <c r="AP1388" s="63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55" t="e">
        <f>IFERROR(VLOOKUP(AQ1388,'[1]Harga &amp; Nama CSO'!$H$2:$N$22,2,FALSE),"")*AV1388</f>
        <v>#VALUE!</v>
      </c>
      <c r="BO1388" s="40"/>
      <c r="BP1388" s="4"/>
      <c r="BQ1388" s="62"/>
      <c r="BR1388" s="4"/>
      <c r="BS1388" s="57" t="e">
        <f t="shared" si="42"/>
        <v>#VALUE!</v>
      </c>
      <c r="BT1388" s="63"/>
      <c r="BU1388" s="8">
        <v>0</v>
      </c>
      <c r="BV1388" s="58" t="e">
        <f>VLOOKUP(AQ1388,'[1]Harga &amp; Nama CSO'!$A$28:$D$31,4,0)*BP1388</f>
        <v>#N/A</v>
      </c>
    </row>
    <row r="1389" spans="41:74" x14ac:dyDescent="0.35">
      <c r="AO1389" s="39">
        <v>1387</v>
      </c>
      <c r="AP1389" s="63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55" t="e">
        <f>IFERROR(VLOOKUP(AQ1389,'[1]Harga &amp; Nama CSO'!$H$2:$N$22,2,FALSE),"")*AV1389</f>
        <v>#VALUE!</v>
      </c>
      <c r="BO1389" s="40"/>
      <c r="BP1389" s="4"/>
      <c r="BQ1389" s="62"/>
      <c r="BR1389" s="4"/>
      <c r="BS1389" s="57" t="e">
        <f t="shared" si="42"/>
        <v>#VALUE!</v>
      </c>
      <c r="BT1389" s="63"/>
      <c r="BU1389" s="8">
        <v>0</v>
      </c>
      <c r="BV1389" s="58" t="e">
        <f>VLOOKUP(AQ1389,'[1]Harga &amp; Nama CSO'!$A$28:$D$31,4,0)*BP1389</f>
        <v>#N/A</v>
      </c>
    </row>
    <row r="1390" spans="41:74" x14ac:dyDescent="0.35">
      <c r="AO1390" s="39">
        <v>1388</v>
      </c>
      <c r="AP1390" s="63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55" t="e">
        <f>IFERROR(VLOOKUP(AQ1390,'[1]Harga &amp; Nama CSO'!$H$2:$N$22,2,FALSE),"")*AV1390</f>
        <v>#VALUE!</v>
      </c>
      <c r="BO1390" s="40"/>
      <c r="BP1390" s="4"/>
      <c r="BQ1390" s="62"/>
      <c r="BR1390" s="4"/>
      <c r="BS1390" s="57" t="e">
        <f t="shared" si="42"/>
        <v>#VALUE!</v>
      </c>
      <c r="BT1390" s="63"/>
      <c r="BU1390" s="8">
        <v>0</v>
      </c>
      <c r="BV1390" s="58" t="e">
        <f>VLOOKUP(AQ1390,'[1]Harga &amp; Nama CSO'!$A$28:$D$31,4,0)*BP1390</f>
        <v>#N/A</v>
      </c>
    </row>
    <row r="1391" spans="41:74" x14ac:dyDescent="0.35">
      <c r="AO1391" s="39">
        <v>1389</v>
      </c>
      <c r="AP1391" s="63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55" t="e">
        <f>IFERROR(VLOOKUP(AQ1391,'[1]Harga &amp; Nama CSO'!$H$2:$N$22,2,FALSE),"")*AV1391</f>
        <v>#VALUE!</v>
      </c>
      <c r="BO1391" s="40"/>
      <c r="BP1391" s="4"/>
      <c r="BQ1391" s="62"/>
      <c r="BR1391" s="4"/>
      <c r="BS1391" s="57" t="e">
        <f t="shared" si="42"/>
        <v>#VALUE!</v>
      </c>
      <c r="BT1391" s="63"/>
      <c r="BU1391" s="8">
        <v>0</v>
      </c>
      <c r="BV1391" s="58" t="e">
        <f>VLOOKUP(AQ1391,'[1]Harga &amp; Nama CSO'!$A$28:$D$31,4,0)*BP1391</f>
        <v>#N/A</v>
      </c>
    </row>
    <row r="1392" spans="41:74" x14ac:dyDescent="0.35">
      <c r="AO1392" s="39">
        <v>1390</v>
      </c>
      <c r="AP1392" s="63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55" t="e">
        <f>IFERROR(VLOOKUP(AQ1392,'[1]Harga &amp; Nama CSO'!$H$2:$N$22,2,FALSE),"")*AV1392</f>
        <v>#VALUE!</v>
      </c>
      <c r="BO1392" s="40"/>
      <c r="BP1392" s="4"/>
      <c r="BQ1392" s="62"/>
      <c r="BR1392" s="4"/>
      <c r="BS1392" s="57" t="e">
        <f t="shared" si="42"/>
        <v>#VALUE!</v>
      </c>
      <c r="BT1392" s="63"/>
      <c r="BU1392" s="8">
        <v>0</v>
      </c>
      <c r="BV1392" s="58" t="e">
        <f>VLOOKUP(AQ1392,'[1]Harga &amp; Nama CSO'!$A$28:$D$31,4,0)*BP1392</f>
        <v>#N/A</v>
      </c>
    </row>
    <row r="1393" spans="41:74" x14ac:dyDescent="0.35">
      <c r="AO1393" s="39">
        <v>1391</v>
      </c>
      <c r="AP1393" s="63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55" t="e">
        <f>IFERROR(VLOOKUP(AQ1393,'[1]Harga &amp; Nama CSO'!$H$2:$N$22,2,FALSE),"")*AV1393</f>
        <v>#VALUE!</v>
      </c>
      <c r="BO1393" s="40"/>
      <c r="BP1393" s="4"/>
      <c r="BQ1393" s="62"/>
      <c r="BR1393" s="4"/>
      <c r="BS1393" s="57" t="e">
        <f t="shared" si="42"/>
        <v>#VALUE!</v>
      </c>
      <c r="BT1393" s="63"/>
      <c r="BU1393" s="8">
        <v>0</v>
      </c>
      <c r="BV1393" s="58" t="e">
        <f>VLOOKUP(AQ1393,'[1]Harga &amp; Nama CSO'!$A$28:$D$31,4,0)*BP1393</f>
        <v>#N/A</v>
      </c>
    </row>
    <row r="1394" spans="41:74" x14ac:dyDescent="0.35">
      <c r="AO1394" s="39">
        <v>1392</v>
      </c>
      <c r="AP1394" s="63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55" t="e">
        <f>IFERROR(VLOOKUP(AQ1394,'[1]Harga &amp; Nama CSO'!$H$2:$N$22,2,FALSE),"")*AV1394</f>
        <v>#VALUE!</v>
      </c>
      <c r="BO1394" s="40"/>
      <c r="BP1394" s="4"/>
      <c r="BQ1394" s="62"/>
      <c r="BR1394" s="4"/>
      <c r="BS1394" s="57" t="e">
        <f t="shared" si="42"/>
        <v>#VALUE!</v>
      </c>
      <c r="BT1394" s="63"/>
      <c r="BU1394" s="8">
        <v>0</v>
      </c>
      <c r="BV1394" s="58" t="e">
        <f>VLOOKUP(AQ1394,'[1]Harga &amp; Nama CSO'!$A$28:$D$31,4,0)*BP1394</f>
        <v>#N/A</v>
      </c>
    </row>
    <row r="1395" spans="41:74" x14ac:dyDescent="0.35">
      <c r="AO1395" s="39">
        <v>1393</v>
      </c>
      <c r="AP1395" s="63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55" t="e">
        <f>IFERROR(VLOOKUP(AQ1395,'[1]Harga &amp; Nama CSO'!$H$2:$N$22,2,FALSE),"")*AV1395</f>
        <v>#VALUE!</v>
      </c>
      <c r="BO1395" s="40"/>
      <c r="BP1395" s="4"/>
      <c r="BQ1395" s="62"/>
      <c r="BR1395" s="4"/>
      <c r="BS1395" s="57" t="e">
        <f t="shared" si="42"/>
        <v>#VALUE!</v>
      </c>
      <c r="BT1395" s="63"/>
      <c r="BU1395" s="8">
        <v>0</v>
      </c>
      <c r="BV1395" s="58" t="e">
        <f>VLOOKUP(AQ1395,'[1]Harga &amp; Nama CSO'!$A$28:$D$31,4,0)*BP1395</f>
        <v>#N/A</v>
      </c>
    </row>
    <row r="1396" spans="41:74" x14ac:dyDescent="0.35">
      <c r="AO1396" s="39">
        <v>1394</v>
      </c>
      <c r="AP1396" s="63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55" t="e">
        <f>IFERROR(VLOOKUP(AQ1396,'[1]Harga &amp; Nama CSO'!$H$2:$N$22,2,FALSE),"")*AV1396</f>
        <v>#VALUE!</v>
      </c>
      <c r="BO1396" s="40"/>
      <c r="BP1396" s="4"/>
      <c r="BQ1396" s="62"/>
      <c r="BR1396" s="4"/>
      <c r="BS1396" s="57" t="e">
        <f t="shared" si="42"/>
        <v>#VALUE!</v>
      </c>
      <c r="BT1396" s="63"/>
      <c r="BU1396" s="8">
        <v>0</v>
      </c>
      <c r="BV1396" s="58" t="e">
        <f>VLOOKUP(AQ1396,'[1]Harga &amp; Nama CSO'!$A$28:$D$31,4,0)*BP1396</f>
        <v>#N/A</v>
      </c>
    </row>
    <row r="1397" spans="41:74" x14ac:dyDescent="0.35">
      <c r="AO1397" s="39">
        <v>1395</v>
      </c>
      <c r="AP1397" s="63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55" t="e">
        <f>IFERROR(VLOOKUP(AQ1397,'[1]Harga &amp; Nama CSO'!$H$2:$N$22,2,FALSE),"")*AV1397</f>
        <v>#VALUE!</v>
      </c>
      <c r="BO1397" s="40"/>
      <c r="BP1397" s="4"/>
      <c r="BQ1397" s="62"/>
      <c r="BR1397" s="4"/>
      <c r="BS1397" s="57" t="e">
        <f t="shared" si="42"/>
        <v>#VALUE!</v>
      </c>
      <c r="BT1397" s="63"/>
      <c r="BU1397" s="8">
        <v>0</v>
      </c>
      <c r="BV1397" s="58" t="e">
        <f>VLOOKUP(AQ1397,'[1]Harga &amp; Nama CSO'!$A$28:$D$31,4,0)*BP1397</f>
        <v>#N/A</v>
      </c>
    </row>
    <row r="1398" spans="41:74" x14ac:dyDescent="0.35">
      <c r="AO1398" s="39">
        <v>1396</v>
      </c>
      <c r="AP1398" s="63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55" t="e">
        <f>IFERROR(VLOOKUP(AQ1398,'[1]Harga &amp; Nama CSO'!$H$2:$N$22,2,FALSE),"")*AV1398</f>
        <v>#VALUE!</v>
      </c>
      <c r="BO1398" s="40"/>
      <c r="BP1398" s="4"/>
      <c r="BQ1398" s="62"/>
      <c r="BR1398" s="4"/>
      <c r="BS1398" s="57" t="e">
        <f t="shared" si="42"/>
        <v>#VALUE!</v>
      </c>
      <c r="BT1398" s="63"/>
      <c r="BU1398" s="8">
        <v>0</v>
      </c>
      <c r="BV1398" s="58" t="e">
        <f>VLOOKUP(AQ1398,'[1]Harga &amp; Nama CSO'!$A$28:$D$31,4,0)*BP1398</f>
        <v>#N/A</v>
      </c>
    </row>
    <row r="1399" spans="41:74" x14ac:dyDescent="0.35">
      <c r="AO1399" s="39">
        <v>1397</v>
      </c>
      <c r="AP1399" s="63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55" t="e">
        <f>IFERROR(VLOOKUP(AQ1399,'[1]Harga &amp; Nama CSO'!$H$2:$N$22,2,FALSE),"")*AV1399</f>
        <v>#VALUE!</v>
      </c>
      <c r="BO1399" s="40"/>
      <c r="BP1399" s="4"/>
      <c r="BQ1399" s="62"/>
      <c r="BR1399" s="4"/>
      <c r="BS1399" s="57" t="e">
        <f t="shared" si="42"/>
        <v>#VALUE!</v>
      </c>
      <c r="BT1399" s="63"/>
      <c r="BU1399" s="8">
        <v>0</v>
      </c>
      <c r="BV1399" s="58" t="e">
        <f>VLOOKUP(AQ1399,'[1]Harga &amp; Nama CSO'!$A$28:$D$31,4,0)*BP1399</f>
        <v>#N/A</v>
      </c>
    </row>
    <row r="1400" spans="41:74" x14ac:dyDescent="0.35">
      <c r="AO1400" s="39">
        <v>1398</v>
      </c>
      <c r="AP1400" s="63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55" t="e">
        <f>IFERROR(VLOOKUP(AQ1400,'[1]Harga &amp; Nama CSO'!$H$2:$N$22,2,FALSE),"")*AV1400</f>
        <v>#VALUE!</v>
      </c>
      <c r="BO1400" s="40"/>
      <c r="BP1400" s="4"/>
      <c r="BQ1400" s="62"/>
      <c r="BR1400" s="4"/>
      <c r="BS1400" s="57" t="e">
        <f t="shared" si="42"/>
        <v>#VALUE!</v>
      </c>
      <c r="BT1400" s="63"/>
      <c r="BU1400" s="8">
        <v>0</v>
      </c>
      <c r="BV1400" s="58" t="e">
        <f>VLOOKUP(AQ1400,'[1]Harga &amp; Nama CSO'!$A$28:$D$31,4,0)*BP1400</f>
        <v>#N/A</v>
      </c>
    </row>
    <row r="1401" spans="41:74" x14ac:dyDescent="0.35">
      <c r="AO1401" s="39">
        <v>1399</v>
      </c>
      <c r="AP1401" s="63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55" t="e">
        <f>IFERROR(VLOOKUP(AQ1401,'[1]Harga &amp; Nama CSO'!$H$2:$N$22,2,FALSE),"")*AV1401</f>
        <v>#VALUE!</v>
      </c>
      <c r="BO1401" s="40"/>
      <c r="BP1401" s="4"/>
      <c r="BQ1401" s="62"/>
      <c r="BR1401" s="4"/>
      <c r="BS1401" s="57" t="e">
        <f t="shared" si="42"/>
        <v>#VALUE!</v>
      </c>
      <c r="BT1401" s="63"/>
      <c r="BU1401" s="8">
        <v>0</v>
      </c>
      <c r="BV1401" s="58" t="e">
        <f>VLOOKUP(AQ1401,'[1]Harga &amp; Nama CSO'!$A$28:$D$31,4,0)*BP1401</f>
        <v>#N/A</v>
      </c>
    </row>
    <row r="1402" spans="41:74" x14ac:dyDescent="0.35">
      <c r="AO1402" s="39">
        <v>1400</v>
      </c>
      <c r="AP1402" s="63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55" t="e">
        <f>IFERROR(VLOOKUP(AQ1402,'[1]Harga &amp; Nama CSO'!$H$2:$N$22,2,FALSE),"")*AV1402</f>
        <v>#VALUE!</v>
      </c>
      <c r="BO1402" s="40"/>
      <c r="BP1402" s="4"/>
      <c r="BQ1402" s="62"/>
      <c r="BR1402" s="4"/>
      <c r="BS1402" s="57" t="e">
        <f t="shared" si="42"/>
        <v>#VALUE!</v>
      </c>
      <c r="BT1402" s="63"/>
      <c r="BU1402" s="8">
        <v>0</v>
      </c>
      <c r="BV1402" s="58" t="e">
        <f>VLOOKUP(AQ1402,'[1]Harga &amp; Nama CSO'!$A$28:$D$31,4,0)*BP1402</f>
        <v>#N/A</v>
      </c>
    </row>
    <row r="1403" spans="41:74" x14ac:dyDescent="0.35">
      <c r="AO1403" s="39">
        <v>1401</v>
      </c>
      <c r="AP1403" s="63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55" t="e">
        <f>IFERROR(VLOOKUP(AQ1403,'[1]Harga &amp; Nama CSO'!$H$2:$N$22,2,FALSE),"")*AV1403</f>
        <v>#VALUE!</v>
      </c>
      <c r="BO1403" s="40"/>
      <c r="BP1403" s="4"/>
      <c r="BQ1403" s="62"/>
      <c r="BR1403" s="4"/>
      <c r="BS1403" s="57" t="e">
        <f t="shared" si="42"/>
        <v>#VALUE!</v>
      </c>
      <c r="BT1403" s="63"/>
      <c r="BU1403" s="8">
        <v>0</v>
      </c>
      <c r="BV1403" s="58" t="e">
        <f>VLOOKUP(AQ1403,'[1]Harga &amp; Nama CSO'!$A$28:$D$31,4,0)*BP1403</f>
        <v>#N/A</v>
      </c>
    </row>
    <row r="1404" spans="41:74" x14ac:dyDescent="0.35">
      <c r="AO1404" s="39">
        <v>1402</v>
      </c>
      <c r="AP1404" s="63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55" t="e">
        <f>IFERROR(VLOOKUP(AQ1404,'[1]Harga &amp; Nama CSO'!$H$2:$N$22,2,FALSE),"")*AV1404</f>
        <v>#VALUE!</v>
      </c>
      <c r="BO1404" s="40"/>
      <c r="BP1404" s="4"/>
      <c r="BQ1404" s="62"/>
      <c r="BR1404" s="4"/>
      <c r="BS1404" s="57" t="e">
        <f t="shared" si="42"/>
        <v>#VALUE!</v>
      </c>
      <c r="BT1404" s="63"/>
      <c r="BU1404" s="8">
        <v>0</v>
      </c>
      <c r="BV1404" s="58" t="e">
        <f>VLOOKUP(AQ1404,'[1]Harga &amp; Nama CSO'!$A$28:$D$31,4,0)*BP1404</f>
        <v>#N/A</v>
      </c>
    </row>
    <row r="1405" spans="41:74" x14ac:dyDescent="0.35">
      <c r="AO1405" s="39">
        <v>1403</v>
      </c>
      <c r="AP1405" s="63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55" t="e">
        <f>IFERROR(VLOOKUP(AQ1405,'[1]Harga &amp; Nama CSO'!$H$2:$N$22,2,FALSE),"")*AV1405</f>
        <v>#VALUE!</v>
      </c>
      <c r="BO1405" s="40"/>
      <c r="BP1405" s="4"/>
      <c r="BQ1405" s="62"/>
      <c r="BR1405" s="4"/>
      <c r="BS1405" s="57" t="e">
        <f t="shared" si="42"/>
        <v>#VALUE!</v>
      </c>
      <c r="BT1405" s="63"/>
      <c r="BU1405" s="8">
        <v>0</v>
      </c>
      <c r="BV1405" s="58" t="e">
        <f>VLOOKUP(AQ1405,'[1]Harga &amp; Nama CSO'!$A$28:$D$31,4,0)*BP1405</f>
        <v>#N/A</v>
      </c>
    </row>
    <row r="1406" spans="41:74" x14ac:dyDescent="0.35">
      <c r="AO1406" s="39">
        <v>1404</v>
      </c>
      <c r="AP1406" s="63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55" t="e">
        <f>IFERROR(VLOOKUP(AQ1406,'[1]Harga &amp; Nama CSO'!$H$2:$N$22,2,FALSE),"")*AV1406</f>
        <v>#VALUE!</v>
      </c>
      <c r="BO1406" s="40"/>
      <c r="BP1406" s="4"/>
      <c r="BQ1406" s="62"/>
      <c r="BR1406" s="4"/>
      <c r="BS1406" s="57" t="e">
        <f t="shared" si="42"/>
        <v>#VALUE!</v>
      </c>
      <c r="BT1406" s="63"/>
      <c r="BU1406" s="8">
        <v>0</v>
      </c>
      <c r="BV1406" s="58" t="e">
        <f>VLOOKUP(AQ1406,'[1]Harga &amp; Nama CSO'!$A$28:$D$31,4,0)*BP1406</f>
        <v>#N/A</v>
      </c>
    </row>
    <row r="1407" spans="41:74" x14ac:dyDescent="0.35">
      <c r="AO1407" s="39">
        <v>1405</v>
      </c>
      <c r="AP1407" s="63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55" t="e">
        <f>IFERROR(VLOOKUP(AQ1407,'[1]Harga &amp; Nama CSO'!$H$2:$N$22,2,FALSE),"")*AV1407</f>
        <v>#VALUE!</v>
      </c>
      <c r="BO1407" s="40"/>
      <c r="BP1407" s="4"/>
      <c r="BQ1407" s="62"/>
      <c r="BR1407" s="4"/>
      <c r="BS1407" s="57" t="e">
        <f t="shared" si="42"/>
        <v>#VALUE!</v>
      </c>
      <c r="BT1407" s="63"/>
      <c r="BU1407" s="8">
        <v>0</v>
      </c>
      <c r="BV1407" s="58" t="e">
        <f>VLOOKUP(AQ1407,'[1]Harga &amp; Nama CSO'!$A$28:$D$31,4,0)*BP1407</f>
        <v>#N/A</v>
      </c>
    </row>
    <row r="1408" spans="41:74" x14ac:dyDescent="0.35">
      <c r="AO1408" s="39">
        <v>1406</v>
      </c>
      <c r="AP1408" s="63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55" t="e">
        <f>IFERROR(VLOOKUP(AQ1408,'[1]Harga &amp; Nama CSO'!$H$2:$N$22,2,FALSE),"")*AV1408</f>
        <v>#VALUE!</v>
      </c>
      <c r="BO1408" s="40"/>
      <c r="BP1408" s="4"/>
      <c r="BQ1408" s="62"/>
      <c r="BR1408" s="4"/>
      <c r="BS1408" s="57" t="e">
        <f t="shared" si="42"/>
        <v>#VALUE!</v>
      </c>
      <c r="BT1408" s="63"/>
      <c r="BU1408" s="8">
        <v>0</v>
      </c>
      <c r="BV1408" s="58" t="e">
        <f>VLOOKUP(AQ1408,'[1]Harga &amp; Nama CSO'!$A$28:$D$31,4,0)*BP1408</f>
        <v>#N/A</v>
      </c>
    </row>
    <row r="1409" spans="41:74" x14ac:dyDescent="0.35">
      <c r="AO1409" s="39">
        <v>1407</v>
      </c>
      <c r="AP1409" s="63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55" t="e">
        <f>IFERROR(VLOOKUP(AQ1409,'[1]Harga &amp; Nama CSO'!$H$2:$N$22,2,FALSE),"")*AV1409</f>
        <v>#VALUE!</v>
      </c>
      <c r="BO1409" s="40"/>
      <c r="BP1409" s="4"/>
      <c r="BQ1409" s="62"/>
      <c r="BR1409" s="4"/>
      <c r="BS1409" s="57" t="e">
        <f t="shared" si="42"/>
        <v>#VALUE!</v>
      </c>
      <c r="BT1409" s="63"/>
      <c r="BU1409" s="8">
        <v>0</v>
      </c>
      <c r="BV1409" s="58" t="e">
        <f>VLOOKUP(AQ1409,'[1]Harga &amp; Nama CSO'!$A$28:$D$31,4,0)*BP1409</f>
        <v>#N/A</v>
      </c>
    </row>
    <row r="1410" spans="41:74" x14ac:dyDescent="0.35">
      <c r="AO1410" s="39">
        <v>1408</v>
      </c>
      <c r="AP1410" s="63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55" t="e">
        <f>IFERROR(VLOOKUP(AQ1410,'[1]Harga &amp; Nama CSO'!$H$2:$N$22,2,FALSE),"")*AV1410</f>
        <v>#VALUE!</v>
      </c>
      <c r="BO1410" s="40"/>
      <c r="BP1410" s="4"/>
      <c r="BQ1410" s="62"/>
      <c r="BR1410" s="4"/>
      <c r="BS1410" s="57" t="e">
        <f t="shared" si="42"/>
        <v>#VALUE!</v>
      </c>
      <c r="BT1410" s="63"/>
      <c r="BU1410" s="8">
        <v>0</v>
      </c>
      <c r="BV1410" s="58" t="e">
        <f>VLOOKUP(AQ1410,'[1]Harga &amp; Nama CSO'!$A$28:$D$31,4,0)*BP1410</f>
        <v>#N/A</v>
      </c>
    </row>
    <row r="1411" spans="41:74" x14ac:dyDescent="0.35">
      <c r="AO1411" s="39">
        <v>1409</v>
      </c>
      <c r="AP1411" s="63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55" t="e">
        <f>IFERROR(VLOOKUP(AQ1411,'[1]Harga &amp; Nama CSO'!$H$2:$N$22,2,FALSE),"")*AV1411</f>
        <v>#VALUE!</v>
      </c>
      <c r="BO1411" s="40"/>
      <c r="BP1411" s="4"/>
      <c r="BQ1411" s="62"/>
      <c r="BR1411" s="4"/>
      <c r="BS1411" s="57" t="e">
        <f t="shared" ref="BS1411:BS1474" si="43">BN1411-BQ1411</f>
        <v>#VALUE!</v>
      </c>
      <c r="BT1411" s="63"/>
      <c r="BU1411" s="8">
        <v>0</v>
      </c>
      <c r="BV1411" s="58" t="e">
        <f>VLOOKUP(AQ1411,'[1]Harga &amp; Nama CSO'!$A$28:$D$31,4,0)*BP1411</f>
        <v>#N/A</v>
      </c>
    </row>
    <row r="1412" spans="41:74" x14ac:dyDescent="0.35">
      <c r="AO1412" s="39">
        <v>1410</v>
      </c>
      <c r="AP1412" s="63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55" t="e">
        <f>IFERROR(VLOOKUP(AQ1412,'[1]Harga &amp; Nama CSO'!$H$2:$N$22,2,FALSE),"")*AV1412</f>
        <v>#VALUE!</v>
      </c>
      <c r="BO1412" s="40"/>
      <c r="BP1412" s="4"/>
      <c r="BQ1412" s="62"/>
      <c r="BR1412" s="4"/>
      <c r="BS1412" s="57" t="e">
        <f t="shared" si="43"/>
        <v>#VALUE!</v>
      </c>
      <c r="BT1412" s="63"/>
      <c r="BU1412" s="8">
        <v>0</v>
      </c>
      <c r="BV1412" s="58" t="e">
        <f>VLOOKUP(AQ1412,'[1]Harga &amp; Nama CSO'!$A$28:$D$31,4,0)*BP1412</f>
        <v>#N/A</v>
      </c>
    </row>
    <row r="1413" spans="41:74" x14ac:dyDescent="0.35">
      <c r="AO1413" s="39">
        <v>1411</v>
      </c>
      <c r="AP1413" s="63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55" t="e">
        <f>IFERROR(VLOOKUP(AQ1413,'[1]Harga &amp; Nama CSO'!$H$2:$N$22,2,FALSE),"")*AV1413</f>
        <v>#VALUE!</v>
      </c>
      <c r="BO1413" s="40"/>
      <c r="BP1413" s="4"/>
      <c r="BQ1413" s="62"/>
      <c r="BR1413" s="4"/>
      <c r="BS1413" s="57" t="e">
        <f t="shared" si="43"/>
        <v>#VALUE!</v>
      </c>
      <c r="BT1413" s="63"/>
      <c r="BU1413" s="8">
        <v>0</v>
      </c>
      <c r="BV1413" s="58" t="e">
        <f>VLOOKUP(AQ1413,'[1]Harga &amp; Nama CSO'!$A$28:$D$31,4,0)*BP1413</f>
        <v>#N/A</v>
      </c>
    </row>
    <row r="1414" spans="41:74" x14ac:dyDescent="0.35">
      <c r="AO1414" s="39">
        <v>1412</v>
      </c>
      <c r="AP1414" s="63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55" t="e">
        <f>IFERROR(VLOOKUP(AQ1414,'[1]Harga &amp; Nama CSO'!$H$2:$N$22,2,FALSE),"")*AV1414</f>
        <v>#VALUE!</v>
      </c>
      <c r="BO1414" s="40"/>
      <c r="BP1414" s="4"/>
      <c r="BQ1414" s="62"/>
      <c r="BR1414" s="4"/>
      <c r="BS1414" s="57" t="e">
        <f t="shared" si="43"/>
        <v>#VALUE!</v>
      </c>
      <c r="BT1414" s="63"/>
      <c r="BU1414" s="8">
        <v>0</v>
      </c>
      <c r="BV1414" s="58" t="e">
        <f>VLOOKUP(AQ1414,'[1]Harga &amp; Nama CSO'!$A$28:$D$31,4,0)*BP1414</f>
        <v>#N/A</v>
      </c>
    </row>
    <row r="1415" spans="41:74" x14ac:dyDescent="0.35">
      <c r="AO1415" s="39">
        <v>1413</v>
      </c>
      <c r="AP1415" s="63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55" t="e">
        <f>IFERROR(VLOOKUP(AQ1415,'[1]Harga &amp; Nama CSO'!$H$2:$N$22,2,FALSE),"")*AV1415</f>
        <v>#VALUE!</v>
      </c>
      <c r="BO1415" s="40"/>
      <c r="BP1415" s="4"/>
      <c r="BQ1415" s="62"/>
      <c r="BR1415" s="4"/>
      <c r="BS1415" s="57" t="e">
        <f t="shared" si="43"/>
        <v>#VALUE!</v>
      </c>
      <c r="BT1415" s="63"/>
      <c r="BU1415" s="8">
        <v>0</v>
      </c>
      <c r="BV1415" s="58" t="e">
        <f>VLOOKUP(AQ1415,'[1]Harga &amp; Nama CSO'!$A$28:$D$31,4,0)*BP1415</f>
        <v>#N/A</v>
      </c>
    </row>
    <row r="1416" spans="41:74" x14ac:dyDescent="0.35">
      <c r="AO1416" s="39">
        <v>1414</v>
      </c>
      <c r="AP1416" s="63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55" t="e">
        <f>IFERROR(VLOOKUP(AQ1416,'[1]Harga &amp; Nama CSO'!$H$2:$N$22,2,FALSE),"")*AV1416</f>
        <v>#VALUE!</v>
      </c>
      <c r="BO1416" s="40"/>
      <c r="BP1416" s="4"/>
      <c r="BQ1416" s="62"/>
      <c r="BR1416" s="4"/>
      <c r="BS1416" s="57" t="e">
        <f t="shared" si="43"/>
        <v>#VALUE!</v>
      </c>
      <c r="BT1416" s="63"/>
      <c r="BU1416" s="8">
        <v>0</v>
      </c>
      <c r="BV1416" s="58" t="e">
        <f>VLOOKUP(AQ1416,'[1]Harga &amp; Nama CSO'!$A$28:$D$31,4,0)*BP1416</f>
        <v>#N/A</v>
      </c>
    </row>
    <row r="1417" spans="41:74" x14ac:dyDescent="0.35">
      <c r="AO1417" s="39">
        <v>1415</v>
      </c>
      <c r="AP1417" s="63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55" t="e">
        <f>IFERROR(VLOOKUP(AQ1417,'[1]Harga &amp; Nama CSO'!$H$2:$N$22,2,FALSE),"")*AV1417</f>
        <v>#VALUE!</v>
      </c>
      <c r="BO1417" s="40"/>
      <c r="BP1417" s="4"/>
      <c r="BQ1417" s="62"/>
      <c r="BR1417" s="4"/>
      <c r="BS1417" s="57" t="e">
        <f t="shared" si="43"/>
        <v>#VALUE!</v>
      </c>
      <c r="BT1417" s="63"/>
      <c r="BU1417" s="8">
        <v>0</v>
      </c>
      <c r="BV1417" s="58" t="e">
        <f>VLOOKUP(AQ1417,'[1]Harga &amp; Nama CSO'!$A$28:$D$31,4,0)*BP1417</f>
        <v>#N/A</v>
      </c>
    </row>
    <row r="1418" spans="41:74" x14ac:dyDescent="0.35">
      <c r="AO1418" s="39">
        <v>1416</v>
      </c>
      <c r="AP1418" s="63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55" t="e">
        <f>IFERROR(VLOOKUP(AQ1418,'[1]Harga &amp; Nama CSO'!$H$2:$N$22,2,FALSE),"")*AV1418</f>
        <v>#VALUE!</v>
      </c>
      <c r="BO1418" s="40"/>
      <c r="BP1418" s="4"/>
      <c r="BQ1418" s="62"/>
      <c r="BR1418" s="4"/>
      <c r="BS1418" s="57" t="e">
        <f t="shared" si="43"/>
        <v>#VALUE!</v>
      </c>
      <c r="BT1418" s="63"/>
      <c r="BU1418" s="8">
        <v>0</v>
      </c>
      <c r="BV1418" s="58" t="e">
        <f>VLOOKUP(AQ1418,'[1]Harga &amp; Nama CSO'!$A$28:$D$31,4,0)*BP1418</f>
        <v>#N/A</v>
      </c>
    </row>
    <row r="1419" spans="41:74" x14ac:dyDescent="0.35">
      <c r="AO1419" s="39">
        <v>1417</v>
      </c>
      <c r="AP1419" s="63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55" t="e">
        <f>IFERROR(VLOOKUP(AQ1419,'[1]Harga &amp; Nama CSO'!$H$2:$N$22,2,FALSE),"")*AV1419</f>
        <v>#VALUE!</v>
      </c>
      <c r="BO1419" s="40"/>
      <c r="BP1419" s="4"/>
      <c r="BQ1419" s="62"/>
      <c r="BR1419" s="4"/>
      <c r="BS1419" s="57" t="e">
        <f t="shared" si="43"/>
        <v>#VALUE!</v>
      </c>
      <c r="BT1419" s="63"/>
      <c r="BU1419" s="8">
        <v>0</v>
      </c>
      <c r="BV1419" s="58" t="e">
        <f>VLOOKUP(AQ1419,'[1]Harga &amp; Nama CSO'!$A$28:$D$31,4,0)*BP1419</f>
        <v>#N/A</v>
      </c>
    </row>
    <row r="1420" spans="41:74" x14ac:dyDescent="0.35">
      <c r="AO1420" s="39">
        <v>1418</v>
      </c>
      <c r="AP1420" s="63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55" t="e">
        <f>IFERROR(VLOOKUP(AQ1420,'[1]Harga &amp; Nama CSO'!$H$2:$N$22,2,FALSE),"")*AV1420</f>
        <v>#VALUE!</v>
      </c>
      <c r="BO1420" s="40"/>
      <c r="BP1420" s="4"/>
      <c r="BQ1420" s="62"/>
      <c r="BR1420" s="4"/>
      <c r="BS1420" s="57" t="e">
        <f t="shared" si="43"/>
        <v>#VALUE!</v>
      </c>
      <c r="BT1420" s="63"/>
      <c r="BU1420" s="8">
        <v>0</v>
      </c>
      <c r="BV1420" s="58" t="e">
        <f>VLOOKUP(AQ1420,'[1]Harga &amp; Nama CSO'!$A$28:$D$31,4,0)*BP1420</f>
        <v>#N/A</v>
      </c>
    </row>
    <row r="1421" spans="41:74" x14ac:dyDescent="0.35">
      <c r="AO1421" s="39">
        <v>1419</v>
      </c>
      <c r="AP1421" s="63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55" t="e">
        <f>IFERROR(VLOOKUP(AQ1421,'[1]Harga &amp; Nama CSO'!$H$2:$N$22,2,FALSE),"")*AV1421</f>
        <v>#VALUE!</v>
      </c>
      <c r="BO1421" s="40"/>
      <c r="BP1421" s="4"/>
      <c r="BQ1421" s="62"/>
      <c r="BR1421" s="4"/>
      <c r="BS1421" s="57" t="e">
        <f t="shared" si="43"/>
        <v>#VALUE!</v>
      </c>
      <c r="BT1421" s="63"/>
      <c r="BU1421" s="8">
        <v>0</v>
      </c>
      <c r="BV1421" s="58" t="e">
        <f>VLOOKUP(AQ1421,'[1]Harga &amp; Nama CSO'!$A$28:$D$31,4,0)*BP1421</f>
        <v>#N/A</v>
      </c>
    </row>
    <row r="1422" spans="41:74" x14ac:dyDescent="0.35">
      <c r="AO1422" s="39">
        <v>1420</v>
      </c>
      <c r="AP1422" s="63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55" t="e">
        <f>IFERROR(VLOOKUP(AQ1422,'[1]Harga &amp; Nama CSO'!$H$2:$N$22,2,FALSE),"")*AV1422</f>
        <v>#VALUE!</v>
      </c>
      <c r="BO1422" s="40"/>
      <c r="BP1422" s="4"/>
      <c r="BQ1422" s="62"/>
      <c r="BR1422" s="4"/>
      <c r="BS1422" s="57" t="e">
        <f t="shared" si="43"/>
        <v>#VALUE!</v>
      </c>
      <c r="BT1422" s="63"/>
      <c r="BU1422" s="8">
        <v>0</v>
      </c>
      <c r="BV1422" s="58" t="e">
        <f>VLOOKUP(AQ1422,'[1]Harga &amp; Nama CSO'!$A$28:$D$31,4,0)*BP1422</f>
        <v>#N/A</v>
      </c>
    </row>
    <row r="1423" spans="41:74" x14ac:dyDescent="0.35">
      <c r="AO1423" s="39">
        <v>1421</v>
      </c>
      <c r="AP1423" s="63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55" t="e">
        <f>IFERROR(VLOOKUP(AQ1423,'[1]Harga &amp; Nama CSO'!$H$2:$N$22,2,FALSE),"")*AV1423</f>
        <v>#VALUE!</v>
      </c>
      <c r="BO1423" s="40"/>
      <c r="BP1423" s="4"/>
      <c r="BQ1423" s="62"/>
      <c r="BR1423" s="4"/>
      <c r="BS1423" s="57" t="e">
        <f t="shared" si="43"/>
        <v>#VALUE!</v>
      </c>
      <c r="BT1423" s="63"/>
      <c r="BU1423" s="8">
        <v>0</v>
      </c>
      <c r="BV1423" s="58" t="e">
        <f>VLOOKUP(AQ1423,'[1]Harga &amp; Nama CSO'!$A$28:$D$31,4,0)*BP1423</f>
        <v>#N/A</v>
      </c>
    </row>
    <row r="1424" spans="41:74" x14ac:dyDescent="0.35">
      <c r="AO1424" s="39">
        <v>1422</v>
      </c>
      <c r="AP1424" s="63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55" t="e">
        <f>IFERROR(VLOOKUP(AQ1424,'[1]Harga &amp; Nama CSO'!$H$2:$N$22,2,FALSE),"")*AV1424</f>
        <v>#VALUE!</v>
      </c>
      <c r="BO1424" s="40"/>
      <c r="BP1424" s="4"/>
      <c r="BQ1424" s="62"/>
      <c r="BR1424" s="4"/>
      <c r="BS1424" s="57" t="e">
        <f t="shared" si="43"/>
        <v>#VALUE!</v>
      </c>
      <c r="BT1424" s="63"/>
      <c r="BU1424" s="8">
        <v>0</v>
      </c>
      <c r="BV1424" s="58" t="e">
        <f>VLOOKUP(AQ1424,'[1]Harga &amp; Nama CSO'!$A$28:$D$31,4,0)*BP1424</f>
        <v>#N/A</v>
      </c>
    </row>
    <row r="1425" spans="41:74" x14ac:dyDescent="0.35">
      <c r="AO1425" s="39">
        <v>1423</v>
      </c>
      <c r="AP1425" s="63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55" t="e">
        <f>IFERROR(VLOOKUP(AQ1425,'[1]Harga &amp; Nama CSO'!$H$2:$N$22,2,FALSE),"")*AV1425</f>
        <v>#VALUE!</v>
      </c>
      <c r="BO1425" s="40"/>
      <c r="BP1425" s="4"/>
      <c r="BQ1425" s="62"/>
      <c r="BR1425" s="4"/>
      <c r="BS1425" s="57" t="e">
        <f t="shared" si="43"/>
        <v>#VALUE!</v>
      </c>
      <c r="BT1425" s="63"/>
      <c r="BU1425" s="8">
        <v>0</v>
      </c>
      <c r="BV1425" s="58" t="e">
        <f>VLOOKUP(AQ1425,'[1]Harga &amp; Nama CSO'!$A$28:$D$31,4,0)*BP1425</f>
        <v>#N/A</v>
      </c>
    </row>
    <row r="1426" spans="41:74" x14ac:dyDescent="0.35">
      <c r="AO1426" s="39">
        <v>1424</v>
      </c>
      <c r="AP1426" s="63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55" t="e">
        <f>IFERROR(VLOOKUP(AQ1426,'[1]Harga &amp; Nama CSO'!$H$2:$N$22,2,FALSE),"")*AV1426</f>
        <v>#VALUE!</v>
      </c>
      <c r="BO1426" s="40"/>
      <c r="BP1426" s="4"/>
      <c r="BQ1426" s="62"/>
      <c r="BR1426" s="4"/>
      <c r="BS1426" s="57" t="e">
        <f t="shared" si="43"/>
        <v>#VALUE!</v>
      </c>
      <c r="BT1426" s="63"/>
      <c r="BU1426" s="8">
        <v>0</v>
      </c>
      <c r="BV1426" s="58" t="e">
        <f>VLOOKUP(AQ1426,'[1]Harga &amp; Nama CSO'!$A$28:$D$31,4,0)*BP1426</f>
        <v>#N/A</v>
      </c>
    </row>
    <row r="1427" spans="41:74" x14ac:dyDescent="0.35">
      <c r="AO1427" s="39">
        <v>1425</v>
      </c>
      <c r="AP1427" s="63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55" t="e">
        <f>IFERROR(VLOOKUP(AQ1427,'[1]Harga &amp; Nama CSO'!$H$2:$N$22,2,FALSE),"")*AV1427</f>
        <v>#VALUE!</v>
      </c>
      <c r="BO1427" s="40"/>
      <c r="BP1427" s="4"/>
      <c r="BQ1427" s="62"/>
      <c r="BR1427" s="4"/>
      <c r="BS1427" s="57" t="e">
        <f t="shared" si="43"/>
        <v>#VALUE!</v>
      </c>
      <c r="BT1427" s="63"/>
      <c r="BU1427" s="8">
        <v>0</v>
      </c>
      <c r="BV1427" s="58" t="e">
        <f>VLOOKUP(AQ1427,'[1]Harga &amp; Nama CSO'!$A$28:$D$31,4,0)*BP1427</f>
        <v>#N/A</v>
      </c>
    </row>
    <row r="1428" spans="41:74" x14ac:dyDescent="0.35">
      <c r="AO1428" s="39">
        <v>1426</v>
      </c>
      <c r="AP1428" s="63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55" t="e">
        <f>IFERROR(VLOOKUP(AQ1428,'[1]Harga &amp; Nama CSO'!$H$2:$N$22,2,FALSE),"")*AV1428</f>
        <v>#VALUE!</v>
      </c>
      <c r="BO1428" s="40"/>
      <c r="BP1428" s="4"/>
      <c r="BQ1428" s="62"/>
      <c r="BR1428" s="4"/>
      <c r="BS1428" s="57" t="e">
        <f t="shared" si="43"/>
        <v>#VALUE!</v>
      </c>
      <c r="BT1428" s="63"/>
      <c r="BU1428" s="8">
        <v>0</v>
      </c>
      <c r="BV1428" s="58" t="e">
        <f>VLOOKUP(AQ1428,'[1]Harga &amp; Nama CSO'!$A$28:$D$31,4,0)*BP1428</f>
        <v>#N/A</v>
      </c>
    </row>
    <row r="1429" spans="41:74" x14ac:dyDescent="0.35">
      <c r="AO1429" s="39">
        <v>1427</v>
      </c>
      <c r="AP1429" s="63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55" t="e">
        <f>IFERROR(VLOOKUP(AQ1429,'[1]Harga &amp; Nama CSO'!$H$2:$N$22,2,FALSE),"")*AV1429</f>
        <v>#VALUE!</v>
      </c>
      <c r="BO1429" s="40"/>
      <c r="BP1429" s="4"/>
      <c r="BQ1429" s="62"/>
      <c r="BR1429" s="4"/>
      <c r="BS1429" s="57" t="e">
        <f t="shared" si="43"/>
        <v>#VALUE!</v>
      </c>
      <c r="BT1429" s="63"/>
      <c r="BU1429" s="8">
        <v>0</v>
      </c>
      <c r="BV1429" s="58" t="e">
        <f>VLOOKUP(AQ1429,'[1]Harga &amp; Nama CSO'!$A$28:$D$31,4,0)*BP1429</f>
        <v>#N/A</v>
      </c>
    </row>
    <row r="1430" spans="41:74" x14ac:dyDescent="0.35">
      <c r="AO1430" s="39">
        <v>1428</v>
      </c>
      <c r="AP1430" s="63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55" t="e">
        <f>IFERROR(VLOOKUP(AQ1430,'[1]Harga &amp; Nama CSO'!$H$2:$N$22,2,FALSE),"")*AV1430</f>
        <v>#VALUE!</v>
      </c>
      <c r="BO1430" s="40"/>
      <c r="BP1430" s="4"/>
      <c r="BQ1430" s="62"/>
      <c r="BR1430" s="4"/>
      <c r="BS1430" s="57" t="e">
        <f t="shared" si="43"/>
        <v>#VALUE!</v>
      </c>
      <c r="BT1430" s="63"/>
      <c r="BU1430" s="8">
        <v>0</v>
      </c>
      <c r="BV1430" s="58" t="e">
        <f>VLOOKUP(AQ1430,'[1]Harga &amp; Nama CSO'!$A$28:$D$31,4,0)*BP1430</f>
        <v>#N/A</v>
      </c>
    </row>
    <row r="1431" spans="41:74" x14ac:dyDescent="0.35">
      <c r="AO1431" s="39">
        <v>1429</v>
      </c>
      <c r="AP1431" s="63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55" t="e">
        <f>IFERROR(VLOOKUP(AQ1431,'[1]Harga &amp; Nama CSO'!$H$2:$N$22,2,FALSE),"")*AV1431</f>
        <v>#VALUE!</v>
      </c>
      <c r="BO1431" s="40"/>
      <c r="BP1431" s="4"/>
      <c r="BQ1431" s="62"/>
      <c r="BR1431" s="4"/>
      <c r="BS1431" s="57" t="e">
        <f t="shared" si="43"/>
        <v>#VALUE!</v>
      </c>
      <c r="BT1431" s="63"/>
      <c r="BU1431" s="8">
        <v>0</v>
      </c>
      <c r="BV1431" s="58" t="e">
        <f>VLOOKUP(AQ1431,'[1]Harga &amp; Nama CSO'!$A$28:$D$31,4,0)*BP1431</f>
        <v>#N/A</v>
      </c>
    </row>
    <row r="1432" spans="41:74" x14ac:dyDescent="0.35">
      <c r="AO1432" s="39">
        <v>1430</v>
      </c>
      <c r="AP1432" s="63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55" t="e">
        <f>IFERROR(VLOOKUP(AQ1432,'[1]Harga &amp; Nama CSO'!$H$2:$N$22,2,FALSE),"")*AV1432</f>
        <v>#VALUE!</v>
      </c>
      <c r="BO1432" s="40"/>
      <c r="BP1432" s="4"/>
      <c r="BQ1432" s="62"/>
      <c r="BR1432" s="4"/>
      <c r="BS1432" s="57" t="e">
        <f t="shared" si="43"/>
        <v>#VALUE!</v>
      </c>
      <c r="BT1432" s="63"/>
      <c r="BU1432" s="8">
        <v>0</v>
      </c>
      <c r="BV1432" s="58" t="e">
        <f>VLOOKUP(AQ1432,'[1]Harga &amp; Nama CSO'!$A$28:$D$31,4,0)*BP1432</f>
        <v>#N/A</v>
      </c>
    </row>
    <row r="1433" spans="41:74" x14ac:dyDescent="0.35">
      <c r="AO1433" s="39">
        <v>1431</v>
      </c>
      <c r="AP1433" s="63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55" t="e">
        <f>IFERROR(VLOOKUP(AQ1433,'[1]Harga &amp; Nama CSO'!$H$2:$N$22,2,FALSE),"")*AV1433</f>
        <v>#VALUE!</v>
      </c>
      <c r="BO1433" s="40"/>
      <c r="BP1433" s="4"/>
      <c r="BQ1433" s="62"/>
      <c r="BR1433" s="4"/>
      <c r="BS1433" s="57" t="e">
        <f t="shared" si="43"/>
        <v>#VALUE!</v>
      </c>
      <c r="BT1433" s="63"/>
      <c r="BU1433" s="8">
        <v>0</v>
      </c>
      <c r="BV1433" s="58" t="e">
        <f>VLOOKUP(AQ1433,'[1]Harga &amp; Nama CSO'!$A$28:$D$31,4,0)*BP1433</f>
        <v>#N/A</v>
      </c>
    </row>
    <row r="1434" spans="41:74" x14ac:dyDescent="0.35">
      <c r="AO1434" s="39">
        <v>1432</v>
      </c>
      <c r="AP1434" s="63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55" t="e">
        <f>IFERROR(VLOOKUP(AQ1434,'[1]Harga &amp; Nama CSO'!$H$2:$N$22,2,FALSE),"")*AV1434</f>
        <v>#VALUE!</v>
      </c>
      <c r="BO1434" s="40"/>
      <c r="BP1434" s="4"/>
      <c r="BQ1434" s="62"/>
      <c r="BR1434" s="4"/>
      <c r="BS1434" s="57" t="e">
        <f t="shared" si="43"/>
        <v>#VALUE!</v>
      </c>
      <c r="BT1434" s="63"/>
      <c r="BU1434" s="8">
        <v>0</v>
      </c>
      <c r="BV1434" s="58" t="e">
        <f>VLOOKUP(AQ1434,'[1]Harga &amp; Nama CSO'!$A$28:$D$31,4,0)*BP1434</f>
        <v>#N/A</v>
      </c>
    </row>
    <row r="1435" spans="41:74" x14ac:dyDescent="0.35">
      <c r="AO1435" s="39">
        <v>1433</v>
      </c>
      <c r="AP1435" s="63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55" t="e">
        <f>IFERROR(VLOOKUP(AQ1435,'[1]Harga &amp; Nama CSO'!$H$2:$N$22,2,FALSE),"")*AV1435</f>
        <v>#VALUE!</v>
      </c>
      <c r="BO1435" s="40"/>
      <c r="BP1435" s="4"/>
      <c r="BQ1435" s="62"/>
      <c r="BR1435" s="4"/>
      <c r="BS1435" s="57" t="e">
        <f t="shared" si="43"/>
        <v>#VALUE!</v>
      </c>
      <c r="BT1435" s="63"/>
      <c r="BU1435" s="8">
        <v>0</v>
      </c>
      <c r="BV1435" s="58" t="e">
        <f>VLOOKUP(AQ1435,'[1]Harga &amp; Nama CSO'!$A$28:$D$31,4,0)*BP1435</f>
        <v>#N/A</v>
      </c>
    </row>
    <row r="1436" spans="41:74" x14ac:dyDescent="0.35">
      <c r="AO1436" s="39">
        <v>1434</v>
      </c>
      <c r="AP1436" s="63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55" t="e">
        <f>IFERROR(VLOOKUP(AQ1436,'[1]Harga &amp; Nama CSO'!$H$2:$N$22,2,FALSE),"")*AV1436</f>
        <v>#VALUE!</v>
      </c>
      <c r="BO1436" s="40"/>
      <c r="BP1436" s="4"/>
      <c r="BQ1436" s="62"/>
      <c r="BR1436" s="4"/>
      <c r="BS1436" s="57" t="e">
        <f t="shared" si="43"/>
        <v>#VALUE!</v>
      </c>
      <c r="BT1436" s="63"/>
      <c r="BU1436" s="8">
        <v>0</v>
      </c>
      <c r="BV1436" s="58" t="e">
        <f>VLOOKUP(AQ1436,'[1]Harga &amp; Nama CSO'!$A$28:$D$31,4,0)*BP1436</f>
        <v>#N/A</v>
      </c>
    </row>
    <row r="1437" spans="41:74" x14ac:dyDescent="0.35">
      <c r="AO1437" s="39">
        <v>1435</v>
      </c>
      <c r="AP1437" s="63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55" t="e">
        <f>IFERROR(VLOOKUP(AQ1437,'[1]Harga &amp; Nama CSO'!$H$2:$N$22,2,FALSE),"")*AV1437</f>
        <v>#VALUE!</v>
      </c>
      <c r="BO1437" s="40"/>
      <c r="BP1437" s="4"/>
      <c r="BQ1437" s="62"/>
      <c r="BR1437" s="4"/>
      <c r="BS1437" s="57" t="e">
        <f t="shared" si="43"/>
        <v>#VALUE!</v>
      </c>
      <c r="BT1437" s="63"/>
      <c r="BU1437" s="8">
        <v>0</v>
      </c>
      <c r="BV1437" s="58" t="e">
        <f>VLOOKUP(AQ1437,'[1]Harga &amp; Nama CSO'!$A$28:$D$31,4,0)*BP1437</f>
        <v>#N/A</v>
      </c>
    </row>
    <row r="1438" spans="41:74" x14ac:dyDescent="0.35">
      <c r="AO1438" s="39">
        <v>1436</v>
      </c>
      <c r="AP1438" s="63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55" t="e">
        <f>IFERROR(VLOOKUP(AQ1438,'[1]Harga &amp; Nama CSO'!$H$2:$N$22,2,FALSE),"")*AV1438</f>
        <v>#VALUE!</v>
      </c>
      <c r="BO1438" s="40"/>
      <c r="BP1438" s="4"/>
      <c r="BQ1438" s="62"/>
      <c r="BR1438" s="4"/>
      <c r="BS1438" s="57" t="e">
        <f t="shared" si="43"/>
        <v>#VALUE!</v>
      </c>
      <c r="BT1438" s="63"/>
      <c r="BU1438" s="8">
        <v>0</v>
      </c>
      <c r="BV1438" s="58" t="e">
        <f>VLOOKUP(AQ1438,'[1]Harga &amp; Nama CSO'!$A$28:$D$31,4,0)*BP1438</f>
        <v>#N/A</v>
      </c>
    </row>
    <row r="1439" spans="41:74" x14ac:dyDescent="0.35">
      <c r="AO1439" s="39">
        <v>1437</v>
      </c>
      <c r="AP1439" s="63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55" t="e">
        <f>IFERROR(VLOOKUP(AQ1439,'[1]Harga &amp; Nama CSO'!$H$2:$N$22,2,FALSE),"")*AV1439</f>
        <v>#VALUE!</v>
      </c>
      <c r="BO1439" s="40"/>
      <c r="BP1439" s="4"/>
      <c r="BQ1439" s="62"/>
      <c r="BR1439" s="4"/>
      <c r="BS1439" s="57" t="e">
        <f t="shared" si="43"/>
        <v>#VALUE!</v>
      </c>
      <c r="BT1439" s="63"/>
      <c r="BU1439" s="8">
        <v>0</v>
      </c>
      <c r="BV1439" s="58" t="e">
        <f>VLOOKUP(AQ1439,'[1]Harga &amp; Nama CSO'!$A$28:$D$31,4,0)*BP1439</f>
        <v>#N/A</v>
      </c>
    </row>
    <row r="1440" spans="41:74" x14ac:dyDescent="0.35">
      <c r="AO1440" s="39">
        <v>1438</v>
      </c>
      <c r="AP1440" s="63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55" t="e">
        <f>IFERROR(VLOOKUP(AQ1440,'[1]Harga &amp; Nama CSO'!$H$2:$N$22,2,FALSE),"")*AV1440</f>
        <v>#VALUE!</v>
      </c>
      <c r="BO1440" s="40"/>
      <c r="BP1440" s="4"/>
      <c r="BQ1440" s="62"/>
      <c r="BR1440" s="4"/>
      <c r="BS1440" s="57" t="e">
        <f t="shared" si="43"/>
        <v>#VALUE!</v>
      </c>
      <c r="BT1440" s="63"/>
      <c r="BU1440" s="8">
        <v>0</v>
      </c>
      <c r="BV1440" s="58" t="e">
        <f>VLOOKUP(AQ1440,'[1]Harga &amp; Nama CSO'!$A$28:$D$31,4,0)*BP1440</f>
        <v>#N/A</v>
      </c>
    </row>
    <row r="1441" spans="41:74" x14ac:dyDescent="0.35">
      <c r="AO1441" s="39">
        <v>1439</v>
      </c>
      <c r="AP1441" s="63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55" t="e">
        <f>IFERROR(VLOOKUP(AQ1441,'[1]Harga &amp; Nama CSO'!$H$2:$N$22,2,FALSE),"")*AV1441</f>
        <v>#VALUE!</v>
      </c>
      <c r="BO1441" s="40"/>
      <c r="BP1441" s="4"/>
      <c r="BQ1441" s="62"/>
      <c r="BR1441" s="4"/>
      <c r="BS1441" s="57" t="e">
        <f t="shared" si="43"/>
        <v>#VALUE!</v>
      </c>
      <c r="BT1441" s="63"/>
      <c r="BU1441" s="8">
        <v>0</v>
      </c>
      <c r="BV1441" s="58" t="e">
        <f>VLOOKUP(AQ1441,'[1]Harga &amp; Nama CSO'!$A$28:$D$31,4,0)*BP1441</f>
        <v>#N/A</v>
      </c>
    </row>
    <row r="1442" spans="41:74" x14ac:dyDescent="0.35">
      <c r="AO1442" s="39">
        <v>1440</v>
      </c>
      <c r="AP1442" s="63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55" t="e">
        <f>IFERROR(VLOOKUP(AQ1442,'[1]Harga &amp; Nama CSO'!$H$2:$N$22,2,FALSE),"")*AV1442</f>
        <v>#VALUE!</v>
      </c>
      <c r="BO1442" s="40"/>
      <c r="BP1442" s="4"/>
      <c r="BQ1442" s="62"/>
      <c r="BR1442" s="4"/>
      <c r="BS1442" s="57" t="e">
        <f t="shared" si="43"/>
        <v>#VALUE!</v>
      </c>
      <c r="BT1442" s="63"/>
      <c r="BU1442" s="8">
        <v>0</v>
      </c>
      <c r="BV1442" s="58" t="e">
        <f>VLOOKUP(AQ1442,'[1]Harga &amp; Nama CSO'!$A$28:$D$31,4,0)*BP1442</f>
        <v>#N/A</v>
      </c>
    </row>
    <row r="1443" spans="41:74" x14ac:dyDescent="0.35">
      <c r="AO1443" s="39">
        <v>1441</v>
      </c>
      <c r="AP1443" s="63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55" t="e">
        <f>IFERROR(VLOOKUP(AQ1443,'[1]Harga &amp; Nama CSO'!$H$2:$N$22,2,FALSE),"")*AV1443</f>
        <v>#VALUE!</v>
      </c>
      <c r="BO1443" s="40"/>
      <c r="BP1443" s="4"/>
      <c r="BQ1443" s="62"/>
      <c r="BR1443" s="4"/>
      <c r="BS1443" s="57" t="e">
        <f t="shared" si="43"/>
        <v>#VALUE!</v>
      </c>
      <c r="BT1443" s="63"/>
      <c r="BU1443" s="8">
        <v>0</v>
      </c>
      <c r="BV1443" s="58" t="e">
        <f>VLOOKUP(AQ1443,'[1]Harga &amp; Nama CSO'!$A$28:$D$31,4,0)*BP1443</f>
        <v>#N/A</v>
      </c>
    </row>
    <row r="1444" spans="41:74" x14ac:dyDescent="0.35">
      <c r="AO1444" s="39">
        <v>1442</v>
      </c>
      <c r="AP1444" s="63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55" t="e">
        <f>IFERROR(VLOOKUP(AQ1444,'[1]Harga &amp; Nama CSO'!$H$2:$N$22,2,FALSE),"")*AV1444</f>
        <v>#VALUE!</v>
      </c>
      <c r="BO1444" s="40"/>
      <c r="BP1444" s="4"/>
      <c r="BQ1444" s="62"/>
      <c r="BR1444" s="4"/>
      <c r="BS1444" s="57" t="e">
        <f t="shared" si="43"/>
        <v>#VALUE!</v>
      </c>
      <c r="BT1444" s="63"/>
      <c r="BU1444" s="8">
        <v>0</v>
      </c>
      <c r="BV1444" s="58" t="e">
        <f>VLOOKUP(AQ1444,'[1]Harga &amp; Nama CSO'!$A$28:$D$31,4,0)*BP1444</f>
        <v>#N/A</v>
      </c>
    </row>
    <row r="1445" spans="41:74" x14ac:dyDescent="0.35">
      <c r="AO1445" s="39">
        <v>1443</v>
      </c>
      <c r="AP1445" s="63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55" t="e">
        <f>IFERROR(VLOOKUP(AQ1445,'[1]Harga &amp; Nama CSO'!$H$2:$N$22,2,FALSE),"")*AV1445</f>
        <v>#VALUE!</v>
      </c>
      <c r="BO1445" s="40"/>
      <c r="BP1445" s="4"/>
      <c r="BQ1445" s="62"/>
      <c r="BR1445" s="4"/>
      <c r="BS1445" s="57" t="e">
        <f t="shared" si="43"/>
        <v>#VALUE!</v>
      </c>
      <c r="BT1445" s="63"/>
      <c r="BU1445" s="8">
        <v>0</v>
      </c>
      <c r="BV1445" s="58" t="e">
        <f>VLOOKUP(AQ1445,'[1]Harga &amp; Nama CSO'!$A$28:$D$31,4,0)*BP1445</f>
        <v>#N/A</v>
      </c>
    </row>
    <row r="1446" spans="41:74" x14ac:dyDescent="0.35">
      <c r="AO1446" s="39">
        <v>1444</v>
      </c>
      <c r="AP1446" s="63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55" t="e">
        <f>IFERROR(VLOOKUP(AQ1446,'[1]Harga &amp; Nama CSO'!$H$2:$N$22,2,FALSE),"")*AV1446</f>
        <v>#VALUE!</v>
      </c>
      <c r="BO1446" s="40"/>
      <c r="BP1446" s="4"/>
      <c r="BQ1446" s="62"/>
      <c r="BR1446" s="4"/>
      <c r="BS1446" s="57" t="e">
        <f t="shared" si="43"/>
        <v>#VALUE!</v>
      </c>
      <c r="BT1446" s="63"/>
      <c r="BU1446" s="8">
        <v>0</v>
      </c>
      <c r="BV1446" s="58" t="e">
        <f>VLOOKUP(AQ1446,'[1]Harga &amp; Nama CSO'!$A$28:$D$31,4,0)*BP1446</f>
        <v>#N/A</v>
      </c>
    </row>
    <row r="1447" spans="41:74" x14ac:dyDescent="0.35">
      <c r="AO1447" s="39">
        <v>1445</v>
      </c>
      <c r="AP1447" s="63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55" t="e">
        <f>IFERROR(VLOOKUP(AQ1447,'[1]Harga &amp; Nama CSO'!$H$2:$N$22,2,FALSE),"")*AV1447</f>
        <v>#VALUE!</v>
      </c>
      <c r="BO1447" s="40"/>
      <c r="BP1447" s="4"/>
      <c r="BQ1447" s="62"/>
      <c r="BR1447" s="4"/>
      <c r="BS1447" s="57" t="e">
        <f t="shared" si="43"/>
        <v>#VALUE!</v>
      </c>
      <c r="BT1447" s="63"/>
      <c r="BU1447" s="8">
        <v>0</v>
      </c>
      <c r="BV1447" s="58" t="e">
        <f>VLOOKUP(AQ1447,'[1]Harga &amp; Nama CSO'!$A$28:$D$31,4,0)*BP1447</f>
        <v>#N/A</v>
      </c>
    </row>
    <row r="1448" spans="41:74" x14ac:dyDescent="0.35">
      <c r="AO1448" s="39">
        <v>1446</v>
      </c>
      <c r="AP1448" s="63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55" t="e">
        <f>IFERROR(VLOOKUP(AQ1448,'[1]Harga &amp; Nama CSO'!$H$2:$N$22,2,FALSE),"")*AV1448</f>
        <v>#VALUE!</v>
      </c>
      <c r="BO1448" s="40"/>
      <c r="BP1448" s="4"/>
      <c r="BQ1448" s="62"/>
      <c r="BR1448" s="4"/>
      <c r="BS1448" s="57" t="e">
        <f t="shared" si="43"/>
        <v>#VALUE!</v>
      </c>
      <c r="BT1448" s="63"/>
      <c r="BU1448" s="8">
        <v>0</v>
      </c>
      <c r="BV1448" s="58" t="e">
        <f>VLOOKUP(AQ1448,'[1]Harga &amp; Nama CSO'!$A$28:$D$31,4,0)*BP1448</f>
        <v>#N/A</v>
      </c>
    </row>
    <row r="1449" spans="41:74" x14ac:dyDescent="0.35">
      <c r="AO1449" s="39">
        <v>1447</v>
      </c>
      <c r="AP1449" s="63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55" t="e">
        <f>IFERROR(VLOOKUP(AQ1449,'[1]Harga &amp; Nama CSO'!$H$2:$N$22,2,FALSE),"")*AV1449</f>
        <v>#VALUE!</v>
      </c>
      <c r="BO1449" s="40"/>
      <c r="BP1449" s="4"/>
      <c r="BQ1449" s="62"/>
      <c r="BR1449" s="4"/>
      <c r="BS1449" s="57" t="e">
        <f t="shared" si="43"/>
        <v>#VALUE!</v>
      </c>
      <c r="BT1449" s="63"/>
      <c r="BU1449" s="8">
        <v>0</v>
      </c>
      <c r="BV1449" s="58" t="e">
        <f>VLOOKUP(AQ1449,'[1]Harga &amp; Nama CSO'!$A$28:$D$31,4,0)*BP1449</f>
        <v>#N/A</v>
      </c>
    </row>
    <row r="1450" spans="41:74" x14ac:dyDescent="0.35">
      <c r="AO1450" s="39">
        <v>1448</v>
      </c>
      <c r="AP1450" s="63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55" t="e">
        <f>IFERROR(VLOOKUP(AQ1450,'[1]Harga &amp; Nama CSO'!$H$2:$N$22,2,FALSE),"")*AV1450</f>
        <v>#VALUE!</v>
      </c>
      <c r="BO1450" s="40"/>
      <c r="BP1450" s="4"/>
      <c r="BQ1450" s="62"/>
      <c r="BR1450" s="4"/>
      <c r="BS1450" s="57" t="e">
        <f t="shared" si="43"/>
        <v>#VALUE!</v>
      </c>
      <c r="BT1450" s="63"/>
      <c r="BU1450" s="8">
        <v>0</v>
      </c>
      <c r="BV1450" s="58" t="e">
        <f>VLOOKUP(AQ1450,'[1]Harga &amp; Nama CSO'!$A$28:$D$31,4,0)*BP1450</f>
        <v>#N/A</v>
      </c>
    </row>
    <row r="1451" spans="41:74" x14ac:dyDescent="0.35">
      <c r="AO1451" s="39">
        <v>1449</v>
      </c>
      <c r="AP1451" s="63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55" t="e">
        <f>IFERROR(VLOOKUP(AQ1451,'[1]Harga &amp; Nama CSO'!$H$2:$N$22,2,FALSE),"")*AV1451</f>
        <v>#VALUE!</v>
      </c>
      <c r="BO1451" s="40"/>
      <c r="BP1451" s="4"/>
      <c r="BQ1451" s="62"/>
      <c r="BR1451" s="4"/>
      <c r="BS1451" s="57" t="e">
        <f t="shared" si="43"/>
        <v>#VALUE!</v>
      </c>
      <c r="BT1451" s="63"/>
      <c r="BU1451" s="8">
        <v>0</v>
      </c>
      <c r="BV1451" s="58" t="e">
        <f>VLOOKUP(AQ1451,'[1]Harga &amp; Nama CSO'!$A$28:$D$31,4,0)*BP1451</f>
        <v>#N/A</v>
      </c>
    </row>
    <row r="1452" spans="41:74" x14ac:dyDescent="0.35">
      <c r="AO1452" s="39">
        <v>1450</v>
      </c>
      <c r="AP1452" s="63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55" t="e">
        <f>IFERROR(VLOOKUP(AQ1452,'[1]Harga &amp; Nama CSO'!$H$2:$N$22,2,FALSE),"")*AV1452</f>
        <v>#VALUE!</v>
      </c>
      <c r="BO1452" s="40"/>
      <c r="BP1452" s="4"/>
      <c r="BQ1452" s="62"/>
      <c r="BR1452" s="4"/>
      <c r="BS1452" s="57" t="e">
        <f t="shared" si="43"/>
        <v>#VALUE!</v>
      </c>
      <c r="BT1452" s="63"/>
      <c r="BU1452" s="8">
        <v>0</v>
      </c>
      <c r="BV1452" s="58" t="e">
        <f>VLOOKUP(AQ1452,'[1]Harga &amp; Nama CSO'!$A$28:$D$31,4,0)*BP1452</f>
        <v>#N/A</v>
      </c>
    </row>
    <row r="1453" spans="41:74" x14ac:dyDescent="0.35">
      <c r="AO1453" s="39">
        <v>1451</v>
      </c>
      <c r="AP1453" s="63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55" t="e">
        <f>IFERROR(VLOOKUP(AQ1453,'[1]Harga &amp; Nama CSO'!$H$2:$N$22,2,FALSE),"")*AV1453</f>
        <v>#VALUE!</v>
      </c>
      <c r="BO1453" s="40"/>
      <c r="BP1453" s="4"/>
      <c r="BQ1453" s="62"/>
      <c r="BR1453" s="4"/>
      <c r="BS1453" s="57" t="e">
        <f t="shared" si="43"/>
        <v>#VALUE!</v>
      </c>
      <c r="BT1453" s="63"/>
      <c r="BU1453" s="8">
        <v>0</v>
      </c>
      <c r="BV1453" s="58" t="e">
        <f>VLOOKUP(AQ1453,'[1]Harga &amp; Nama CSO'!$A$28:$D$31,4,0)*BP1453</f>
        <v>#N/A</v>
      </c>
    </row>
    <row r="1454" spans="41:74" x14ac:dyDescent="0.35">
      <c r="AO1454" s="39">
        <v>1452</v>
      </c>
      <c r="AP1454" s="63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55" t="e">
        <f>IFERROR(VLOOKUP(AQ1454,'[1]Harga &amp; Nama CSO'!$H$2:$N$22,2,FALSE),"")*AV1454</f>
        <v>#VALUE!</v>
      </c>
      <c r="BO1454" s="40"/>
      <c r="BP1454" s="4"/>
      <c r="BQ1454" s="62"/>
      <c r="BR1454" s="4"/>
      <c r="BS1454" s="57" t="e">
        <f t="shared" si="43"/>
        <v>#VALUE!</v>
      </c>
      <c r="BT1454" s="63"/>
      <c r="BU1454" s="8">
        <v>0</v>
      </c>
      <c r="BV1454" s="58" t="e">
        <f>VLOOKUP(AQ1454,'[1]Harga &amp; Nama CSO'!$A$28:$D$31,4,0)*BP1454</f>
        <v>#N/A</v>
      </c>
    </row>
    <row r="1455" spans="41:74" x14ac:dyDescent="0.35">
      <c r="AO1455" s="39">
        <v>1453</v>
      </c>
      <c r="AP1455" s="63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55" t="e">
        <f>IFERROR(VLOOKUP(AQ1455,'[1]Harga &amp; Nama CSO'!$H$2:$N$22,2,FALSE),"")*AV1455</f>
        <v>#VALUE!</v>
      </c>
      <c r="BO1455" s="40"/>
      <c r="BP1455" s="4"/>
      <c r="BQ1455" s="62"/>
      <c r="BR1455" s="4"/>
      <c r="BS1455" s="57" t="e">
        <f t="shared" si="43"/>
        <v>#VALUE!</v>
      </c>
      <c r="BT1455" s="63"/>
      <c r="BU1455" s="8">
        <v>0</v>
      </c>
      <c r="BV1455" s="58" t="e">
        <f>VLOOKUP(AQ1455,'[1]Harga &amp; Nama CSO'!$A$28:$D$31,4,0)*BP1455</f>
        <v>#N/A</v>
      </c>
    </row>
    <row r="1456" spans="41:74" x14ac:dyDescent="0.35">
      <c r="AO1456" s="39">
        <v>1454</v>
      </c>
      <c r="AP1456" s="63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55" t="e">
        <f>IFERROR(VLOOKUP(AQ1456,'[1]Harga &amp; Nama CSO'!$H$2:$N$22,2,FALSE),"")*AV1456</f>
        <v>#VALUE!</v>
      </c>
      <c r="BO1456" s="40"/>
      <c r="BP1456" s="4"/>
      <c r="BQ1456" s="62"/>
      <c r="BR1456" s="4"/>
      <c r="BS1456" s="57" t="e">
        <f t="shared" si="43"/>
        <v>#VALUE!</v>
      </c>
      <c r="BT1456" s="63"/>
      <c r="BU1456" s="8">
        <v>0</v>
      </c>
      <c r="BV1456" s="58" t="e">
        <f>VLOOKUP(AQ1456,'[1]Harga &amp; Nama CSO'!$A$28:$D$31,4,0)*BP1456</f>
        <v>#N/A</v>
      </c>
    </row>
    <row r="1457" spans="41:74" x14ac:dyDescent="0.35">
      <c r="AO1457" s="39">
        <v>1455</v>
      </c>
      <c r="AP1457" s="63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55" t="e">
        <f>IFERROR(VLOOKUP(AQ1457,'[1]Harga &amp; Nama CSO'!$H$2:$N$22,2,FALSE),"")*AV1457</f>
        <v>#VALUE!</v>
      </c>
      <c r="BO1457" s="40"/>
      <c r="BP1457" s="4"/>
      <c r="BQ1457" s="62"/>
      <c r="BR1457" s="4"/>
      <c r="BS1457" s="57" t="e">
        <f t="shared" si="43"/>
        <v>#VALUE!</v>
      </c>
      <c r="BT1457" s="63"/>
      <c r="BU1457" s="8">
        <v>0</v>
      </c>
      <c r="BV1457" s="58" t="e">
        <f>VLOOKUP(AQ1457,'[1]Harga &amp; Nama CSO'!$A$28:$D$31,4,0)*BP1457</f>
        <v>#N/A</v>
      </c>
    </row>
    <row r="1458" spans="41:74" x14ac:dyDescent="0.35">
      <c r="AO1458" s="39">
        <v>1456</v>
      </c>
      <c r="AP1458" s="63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55" t="e">
        <f>IFERROR(VLOOKUP(AQ1458,'[1]Harga &amp; Nama CSO'!$H$2:$N$22,2,FALSE),"")*AV1458</f>
        <v>#VALUE!</v>
      </c>
      <c r="BO1458" s="40"/>
      <c r="BP1458" s="4"/>
      <c r="BQ1458" s="62"/>
      <c r="BR1458" s="4"/>
      <c r="BS1458" s="57" t="e">
        <f t="shared" si="43"/>
        <v>#VALUE!</v>
      </c>
      <c r="BT1458" s="63"/>
      <c r="BU1458" s="8">
        <v>0</v>
      </c>
      <c r="BV1458" s="58" t="e">
        <f>VLOOKUP(AQ1458,'[1]Harga &amp; Nama CSO'!$A$28:$D$31,4,0)*BP1458</f>
        <v>#N/A</v>
      </c>
    </row>
    <row r="1459" spans="41:74" x14ac:dyDescent="0.35">
      <c r="AO1459" s="39">
        <v>1457</v>
      </c>
      <c r="AP1459" s="63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55" t="e">
        <f>IFERROR(VLOOKUP(AQ1459,'[1]Harga &amp; Nama CSO'!$H$2:$N$22,2,FALSE),"")*AV1459</f>
        <v>#VALUE!</v>
      </c>
      <c r="BO1459" s="40"/>
      <c r="BP1459" s="4"/>
      <c r="BQ1459" s="62"/>
      <c r="BR1459" s="4"/>
      <c r="BS1459" s="57" t="e">
        <f t="shared" si="43"/>
        <v>#VALUE!</v>
      </c>
      <c r="BT1459" s="63"/>
      <c r="BU1459" s="8">
        <v>0</v>
      </c>
      <c r="BV1459" s="58" t="e">
        <f>VLOOKUP(AQ1459,'[1]Harga &amp; Nama CSO'!$A$28:$D$31,4,0)*BP1459</f>
        <v>#N/A</v>
      </c>
    </row>
    <row r="1460" spans="41:74" x14ac:dyDescent="0.35">
      <c r="AO1460" s="39">
        <v>1458</v>
      </c>
      <c r="AP1460" s="63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55" t="e">
        <f>IFERROR(VLOOKUP(AQ1460,'[1]Harga &amp; Nama CSO'!$H$2:$N$22,2,FALSE),"")*AV1460</f>
        <v>#VALUE!</v>
      </c>
      <c r="BO1460" s="40"/>
      <c r="BP1460" s="4"/>
      <c r="BQ1460" s="62"/>
      <c r="BR1460" s="4"/>
      <c r="BS1460" s="57" t="e">
        <f t="shared" si="43"/>
        <v>#VALUE!</v>
      </c>
      <c r="BT1460" s="63"/>
      <c r="BU1460" s="8">
        <v>0</v>
      </c>
      <c r="BV1460" s="58" t="e">
        <f>VLOOKUP(AQ1460,'[1]Harga &amp; Nama CSO'!$A$28:$D$31,4,0)*BP1460</f>
        <v>#N/A</v>
      </c>
    </row>
    <row r="1461" spans="41:74" x14ac:dyDescent="0.35">
      <c r="AO1461" s="39">
        <v>1459</v>
      </c>
      <c r="AP1461" s="63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55" t="e">
        <f>IFERROR(VLOOKUP(AQ1461,'[1]Harga &amp; Nama CSO'!$H$2:$N$22,2,FALSE),"")*AV1461</f>
        <v>#VALUE!</v>
      </c>
      <c r="BO1461" s="40"/>
      <c r="BP1461" s="4"/>
      <c r="BQ1461" s="62"/>
      <c r="BR1461" s="4"/>
      <c r="BS1461" s="57" t="e">
        <f t="shared" si="43"/>
        <v>#VALUE!</v>
      </c>
      <c r="BT1461" s="63"/>
      <c r="BU1461" s="8">
        <v>0</v>
      </c>
      <c r="BV1461" s="58" t="e">
        <f>VLOOKUP(AQ1461,'[1]Harga &amp; Nama CSO'!$A$28:$D$31,4,0)*BP1461</f>
        <v>#N/A</v>
      </c>
    </row>
    <row r="1462" spans="41:74" x14ac:dyDescent="0.35">
      <c r="AO1462" s="39">
        <v>1460</v>
      </c>
      <c r="AP1462" s="63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55" t="e">
        <f>IFERROR(VLOOKUP(AQ1462,'[1]Harga &amp; Nama CSO'!$H$2:$N$22,2,FALSE),"")*AV1462</f>
        <v>#VALUE!</v>
      </c>
      <c r="BO1462" s="40"/>
      <c r="BP1462" s="4"/>
      <c r="BQ1462" s="62"/>
      <c r="BR1462" s="4"/>
      <c r="BS1462" s="57" t="e">
        <f t="shared" si="43"/>
        <v>#VALUE!</v>
      </c>
      <c r="BT1462" s="63"/>
      <c r="BU1462" s="8">
        <v>0</v>
      </c>
      <c r="BV1462" s="58" t="e">
        <f>VLOOKUP(AQ1462,'[1]Harga &amp; Nama CSO'!$A$28:$D$31,4,0)*BP1462</f>
        <v>#N/A</v>
      </c>
    </row>
    <row r="1463" spans="41:74" x14ac:dyDescent="0.35">
      <c r="AO1463" s="39">
        <v>1461</v>
      </c>
      <c r="AP1463" s="63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55" t="e">
        <f>IFERROR(VLOOKUP(AQ1463,'[1]Harga &amp; Nama CSO'!$H$2:$N$22,2,FALSE),"")*AV1463</f>
        <v>#VALUE!</v>
      </c>
      <c r="BO1463" s="40"/>
      <c r="BP1463" s="4"/>
      <c r="BQ1463" s="62"/>
      <c r="BR1463" s="4"/>
      <c r="BS1463" s="57" t="e">
        <f t="shared" si="43"/>
        <v>#VALUE!</v>
      </c>
      <c r="BT1463" s="63"/>
      <c r="BU1463" s="8">
        <v>0</v>
      </c>
      <c r="BV1463" s="58" t="e">
        <f>VLOOKUP(AQ1463,'[1]Harga &amp; Nama CSO'!$A$28:$D$31,4,0)*BP1463</f>
        <v>#N/A</v>
      </c>
    </row>
    <row r="1464" spans="41:74" x14ac:dyDescent="0.35">
      <c r="AO1464" s="39">
        <v>1462</v>
      </c>
      <c r="AP1464" s="63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55" t="e">
        <f>IFERROR(VLOOKUP(AQ1464,'[1]Harga &amp; Nama CSO'!$H$2:$N$22,2,FALSE),"")*AV1464</f>
        <v>#VALUE!</v>
      </c>
      <c r="BO1464" s="40"/>
      <c r="BP1464" s="4"/>
      <c r="BQ1464" s="62"/>
      <c r="BR1464" s="4"/>
      <c r="BS1464" s="57" t="e">
        <f t="shared" si="43"/>
        <v>#VALUE!</v>
      </c>
      <c r="BT1464" s="63"/>
      <c r="BU1464" s="8">
        <v>0</v>
      </c>
      <c r="BV1464" s="58" t="e">
        <f>VLOOKUP(AQ1464,'[1]Harga &amp; Nama CSO'!$A$28:$D$31,4,0)*BP1464</f>
        <v>#N/A</v>
      </c>
    </row>
    <row r="1465" spans="41:74" x14ac:dyDescent="0.35">
      <c r="AO1465" s="39">
        <v>1463</v>
      </c>
      <c r="AP1465" s="63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55" t="e">
        <f>IFERROR(VLOOKUP(AQ1465,'[1]Harga &amp; Nama CSO'!$H$2:$N$22,2,FALSE),"")*AV1465</f>
        <v>#VALUE!</v>
      </c>
      <c r="BO1465" s="40"/>
      <c r="BP1465" s="4"/>
      <c r="BQ1465" s="62"/>
      <c r="BR1465" s="4"/>
      <c r="BS1465" s="57" t="e">
        <f t="shared" si="43"/>
        <v>#VALUE!</v>
      </c>
      <c r="BT1465" s="63"/>
      <c r="BU1465" s="8">
        <v>0</v>
      </c>
      <c r="BV1465" s="58" t="e">
        <f>VLOOKUP(AQ1465,'[1]Harga &amp; Nama CSO'!$A$28:$D$31,4,0)*BP1465</f>
        <v>#N/A</v>
      </c>
    </row>
    <row r="1466" spans="41:74" x14ac:dyDescent="0.35">
      <c r="AO1466" s="39">
        <v>1464</v>
      </c>
      <c r="AP1466" s="63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55" t="e">
        <f>IFERROR(VLOOKUP(AQ1466,'[1]Harga &amp; Nama CSO'!$H$2:$N$22,2,FALSE),"")*AV1466</f>
        <v>#VALUE!</v>
      </c>
      <c r="BO1466" s="40"/>
      <c r="BP1466" s="4"/>
      <c r="BQ1466" s="62"/>
      <c r="BR1466" s="4"/>
      <c r="BS1466" s="57" t="e">
        <f t="shared" si="43"/>
        <v>#VALUE!</v>
      </c>
      <c r="BT1466" s="63"/>
      <c r="BU1466" s="8">
        <v>0</v>
      </c>
      <c r="BV1466" s="58" t="e">
        <f>VLOOKUP(AQ1466,'[1]Harga &amp; Nama CSO'!$A$28:$D$31,4,0)*BP1466</f>
        <v>#N/A</v>
      </c>
    </row>
    <row r="1467" spans="41:74" x14ac:dyDescent="0.35">
      <c r="AO1467" s="39">
        <v>1465</v>
      </c>
      <c r="AP1467" s="63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55" t="e">
        <f>IFERROR(VLOOKUP(AQ1467,'[1]Harga &amp; Nama CSO'!$H$2:$N$22,2,FALSE),"")*AV1467</f>
        <v>#VALUE!</v>
      </c>
      <c r="BO1467" s="40"/>
      <c r="BP1467" s="4"/>
      <c r="BQ1467" s="62"/>
      <c r="BR1467" s="4"/>
      <c r="BS1467" s="57" t="e">
        <f t="shared" si="43"/>
        <v>#VALUE!</v>
      </c>
      <c r="BT1467" s="63"/>
      <c r="BU1467" s="8">
        <v>0</v>
      </c>
      <c r="BV1467" s="58" t="e">
        <f>VLOOKUP(AQ1467,'[1]Harga &amp; Nama CSO'!$A$28:$D$31,4,0)*BP1467</f>
        <v>#N/A</v>
      </c>
    </row>
    <row r="1468" spans="41:74" x14ac:dyDescent="0.35">
      <c r="AO1468" s="39">
        <v>1466</v>
      </c>
      <c r="AP1468" s="63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55" t="e">
        <f>IFERROR(VLOOKUP(AQ1468,'[1]Harga &amp; Nama CSO'!$H$2:$N$22,2,FALSE),"")*AV1468</f>
        <v>#VALUE!</v>
      </c>
      <c r="BO1468" s="40"/>
      <c r="BP1468" s="4"/>
      <c r="BQ1468" s="62"/>
      <c r="BR1468" s="4"/>
      <c r="BS1468" s="57" t="e">
        <f t="shared" si="43"/>
        <v>#VALUE!</v>
      </c>
      <c r="BT1468" s="63"/>
      <c r="BU1468" s="8">
        <v>0</v>
      </c>
      <c r="BV1468" s="58" t="e">
        <f>VLOOKUP(AQ1468,'[1]Harga &amp; Nama CSO'!$A$28:$D$31,4,0)*BP1468</f>
        <v>#N/A</v>
      </c>
    </row>
    <row r="1469" spans="41:74" x14ac:dyDescent="0.35">
      <c r="AO1469" s="39">
        <v>1467</v>
      </c>
      <c r="AP1469" s="63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55" t="e">
        <f>IFERROR(VLOOKUP(AQ1469,'[1]Harga &amp; Nama CSO'!$H$2:$N$22,2,FALSE),"")*AV1469</f>
        <v>#VALUE!</v>
      </c>
      <c r="BO1469" s="40"/>
      <c r="BP1469" s="4"/>
      <c r="BQ1469" s="62"/>
      <c r="BR1469" s="4"/>
      <c r="BS1469" s="57" t="e">
        <f t="shared" si="43"/>
        <v>#VALUE!</v>
      </c>
      <c r="BT1469" s="63"/>
      <c r="BU1469" s="8">
        <v>0</v>
      </c>
      <c r="BV1469" s="58" t="e">
        <f>VLOOKUP(AQ1469,'[1]Harga &amp; Nama CSO'!$A$28:$D$31,4,0)*BP1469</f>
        <v>#N/A</v>
      </c>
    </row>
    <row r="1470" spans="41:74" x14ac:dyDescent="0.35">
      <c r="AO1470" s="39">
        <v>1468</v>
      </c>
      <c r="AP1470" s="63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55" t="e">
        <f>IFERROR(VLOOKUP(AQ1470,'[1]Harga &amp; Nama CSO'!$H$2:$N$22,2,FALSE),"")*AV1470</f>
        <v>#VALUE!</v>
      </c>
      <c r="BO1470" s="40"/>
      <c r="BP1470" s="4"/>
      <c r="BQ1470" s="62"/>
      <c r="BR1470" s="4"/>
      <c r="BS1470" s="57" t="e">
        <f t="shared" si="43"/>
        <v>#VALUE!</v>
      </c>
      <c r="BT1470" s="63"/>
      <c r="BU1470" s="8">
        <v>0</v>
      </c>
      <c r="BV1470" s="58" t="e">
        <f>VLOOKUP(AQ1470,'[1]Harga &amp; Nama CSO'!$A$28:$D$31,4,0)*BP1470</f>
        <v>#N/A</v>
      </c>
    </row>
    <row r="1471" spans="41:74" x14ac:dyDescent="0.35">
      <c r="AO1471" s="39">
        <v>1469</v>
      </c>
      <c r="AP1471" s="63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55" t="e">
        <f>IFERROR(VLOOKUP(AQ1471,'[1]Harga &amp; Nama CSO'!$H$2:$N$22,2,FALSE),"")*AV1471</f>
        <v>#VALUE!</v>
      </c>
      <c r="BO1471" s="40"/>
      <c r="BP1471" s="4"/>
      <c r="BQ1471" s="62"/>
      <c r="BR1471" s="4"/>
      <c r="BS1471" s="57" t="e">
        <f t="shared" si="43"/>
        <v>#VALUE!</v>
      </c>
      <c r="BT1471" s="63"/>
      <c r="BU1471" s="8">
        <v>0</v>
      </c>
      <c r="BV1471" s="58" t="e">
        <f>VLOOKUP(AQ1471,'[1]Harga &amp; Nama CSO'!$A$28:$D$31,4,0)*BP1471</f>
        <v>#N/A</v>
      </c>
    </row>
    <row r="1472" spans="41:74" x14ac:dyDescent="0.35">
      <c r="AO1472" s="39">
        <v>1470</v>
      </c>
      <c r="AP1472" s="63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55" t="e">
        <f>IFERROR(VLOOKUP(AQ1472,'[1]Harga &amp; Nama CSO'!$H$2:$N$22,2,FALSE),"")*AV1472</f>
        <v>#VALUE!</v>
      </c>
      <c r="BO1472" s="40"/>
      <c r="BP1472" s="4"/>
      <c r="BQ1472" s="62"/>
      <c r="BR1472" s="4"/>
      <c r="BS1472" s="57" t="e">
        <f t="shared" si="43"/>
        <v>#VALUE!</v>
      </c>
      <c r="BT1472" s="63"/>
      <c r="BU1472" s="8">
        <v>0</v>
      </c>
      <c r="BV1472" s="58" t="e">
        <f>VLOOKUP(AQ1472,'[1]Harga &amp; Nama CSO'!$A$28:$D$31,4,0)*BP1472</f>
        <v>#N/A</v>
      </c>
    </row>
    <row r="1473" spans="41:74" x14ac:dyDescent="0.35">
      <c r="AO1473" s="39">
        <v>1471</v>
      </c>
      <c r="AP1473" s="63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55" t="e">
        <f>IFERROR(VLOOKUP(AQ1473,'[1]Harga &amp; Nama CSO'!$H$2:$N$22,2,FALSE),"")*AV1473</f>
        <v>#VALUE!</v>
      </c>
      <c r="BO1473" s="40"/>
      <c r="BP1473" s="4"/>
      <c r="BQ1473" s="62"/>
      <c r="BR1473" s="4"/>
      <c r="BS1473" s="57" t="e">
        <f t="shared" si="43"/>
        <v>#VALUE!</v>
      </c>
      <c r="BT1473" s="63"/>
      <c r="BU1473" s="8">
        <v>0</v>
      </c>
      <c r="BV1473" s="58" t="e">
        <f>VLOOKUP(AQ1473,'[1]Harga &amp; Nama CSO'!$A$28:$D$31,4,0)*BP1473</f>
        <v>#N/A</v>
      </c>
    </row>
    <row r="1474" spans="41:74" x14ac:dyDescent="0.35">
      <c r="AO1474" s="39">
        <v>1472</v>
      </c>
      <c r="AP1474" s="63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55" t="e">
        <f>IFERROR(VLOOKUP(AQ1474,'[1]Harga &amp; Nama CSO'!$H$2:$N$22,2,FALSE),"")*AV1474</f>
        <v>#VALUE!</v>
      </c>
      <c r="BO1474" s="40"/>
      <c r="BP1474" s="4"/>
      <c r="BQ1474" s="62"/>
      <c r="BR1474" s="4"/>
      <c r="BS1474" s="57" t="e">
        <f t="shared" si="43"/>
        <v>#VALUE!</v>
      </c>
      <c r="BT1474" s="63"/>
      <c r="BU1474" s="8">
        <v>0</v>
      </c>
      <c r="BV1474" s="58" t="e">
        <f>VLOOKUP(AQ1474,'[1]Harga &amp; Nama CSO'!$A$28:$D$31,4,0)*BP1474</f>
        <v>#N/A</v>
      </c>
    </row>
    <row r="1475" spans="41:74" x14ac:dyDescent="0.35">
      <c r="AO1475" s="39">
        <v>1473</v>
      </c>
      <c r="AP1475" s="63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55" t="e">
        <f>IFERROR(VLOOKUP(AQ1475,'[1]Harga &amp; Nama CSO'!$H$2:$N$22,2,FALSE),"")*AV1475</f>
        <v>#VALUE!</v>
      </c>
      <c r="BO1475" s="40"/>
      <c r="BP1475" s="4"/>
      <c r="BQ1475" s="62"/>
      <c r="BR1475" s="4"/>
      <c r="BS1475" s="57" t="e">
        <f t="shared" ref="BS1475:BS1538" si="44">BN1475-BQ1475</f>
        <v>#VALUE!</v>
      </c>
      <c r="BT1475" s="63"/>
      <c r="BU1475" s="8">
        <v>0</v>
      </c>
      <c r="BV1475" s="58" t="e">
        <f>VLOOKUP(AQ1475,'[1]Harga &amp; Nama CSO'!$A$28:$D$31,4,0)*BP1475</f>
        <v>#N/A</v>
      </c>
    </row>
    <row r="1476" spans="41:74" x14ac:dyDescent="0.35">
      <c r="AO1476" s="39">
        <v>1474</v>
      </c>
      <c r="AP1476" s="63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55" t="e">
        <f>IFERROR(VLOOKUP(AQ1476,'[1]Harga &amp; Nama CSO'!$H$2:$N$22,2,FALSE),"")*AV1476</f>
        <v>#VALUE!</v>
      </c>
      <c r="BO1476" s="40"/>
      <c r="BP1476" s="4"/>
      <c r="BQ1476" s="62"/>
      <c r="BR1476" s="4"/>
      <c r="BS1476" s="57" t="e">
        <f t="shared" si="44"/>
        <v>#VALUE!</v>
      </c>
      <c r="BT1476" s="63"/>
      <c r="BU1476" s="8">
        <v>0</v>
      </c>
      <c r="BV1476" s="58" t="e">
        <f>VLOOKUP(AQ1476,'[1]Harga &amp; Nama CSO'!$A$28:$D$31,4,0)*BP1476</f>
        <v>#N/A</v>
      </c>
    </row>
    <row r="1477" spans="41:74" x14ac:dyDescent="0.35">
      <c r="AO1477" s="39">
        <v>1475</v>
      </c>
      <c r="AP1477" s="63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55" t="e">
        <f>IFERROR(VLOOKUP(AQ1477,'[1]Harga &amp; Nama CSO'!$H$2:$N$22,2,FALSE),"")*AV1477</f>
        <v>#VALUE!</v>
      </c>
      <c r="BO1477" s="40"/>
      <c r="BP1477" s="4"/>
      <c r="BQ1477" s="62"/>
      <c r="BR1477" s="4"/>
      <c r="BS1477" s="57" t="e">
        <f t="shared" si="44"/>
        <v>#VALUE!</v>
      </c>
      <c r="BT1477" s="63"/>
      <c r="BU1477" s="8">
        <v>0</v>
      </c>
      <c r="BV1477" s="58" t="e">
        <f>VLOOKUP(AQ1477,'[1]Harga &amp; Nama CSO'!$A$28:$D$31,4,0)*BP1477</f>
        <v>#N/A</v>
      </c>
    </row>
    <row r="1478" spans="41:74" x14ac:dyDescent="0.35">
      <c r="AO1478" s="39">
        <v>1476</v>
      </c>
      <c r="AP1478" s="63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55" t="e">
        <f>IFERROR(VLOOKUP(AQ1478,'[1]Harga &amp; Nama CSO'!$H$2:$N$22,2,FALSE),"")*AV1478</f>
        <v>#VALUE!</v>
      </c>
      <c r="BO1478" s="40"/>
      <c r="BP1478" s="4"/>
      <c r="BQ1478" s="62"/>
      <c r="BR1478" s="4"/>
      <c r="BS1478" s="57" t="e">
        <f t="shared" si="44"/>
        <v>#VALUE!</v>
      </c>
      <c r="BT1478" s="63"/>
      <c r="BU1478" s="8">
        <v>0</v>
      </c>
      <c r="BV1478" s="58" t="e">
        <f>VLOOKUP(AQ1478,'[1]Harga &amp; Nama CSO'!$A$28:$D$31,4,0)*BP1478</f>
        <v>#N/A</v>
      </c>
    </row>
    <row r="1479" spans="41:74" x14ac:dyDescent="0.35">
      <c r="AO1479" s="39">
        <v>1477</v>
      </c>
      <c r="AP1479" s="63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55" t="e">
        <f>IFERROR(VLOOKUP(AQ1479,'[1]Harga &amp; Nama CSO'!$H$2:$N$22,2,FALSE),"")*AV1479</f>
        <v>#VALUE!</v>
      </c>
      <c r="BO1479" s="40"/>
      <c r="BP1479" s="4"/>
      <c r="BQ1479" s="62"/>
      <c r="BR1479" s="4"/>
      <c r="BS1479" s="57" t="e">
        <f t="shared" si="44"/>
        <v>#VALUE!</v>
      </c>
      <c r="BT1479" s="63"/>
      <c r="BU1479" s="8">
        <v>0</v>
      </c>
      <c r="BV1479" s="58" t="e">
        <f>VLOOKUP(AQ1479,'[1]Harga &amp; Nama CSO'!$A$28:$D$31,4,0)*BP1479</f>
        <v>#N/A</v>
      </c>
    </row>
    <row r="1480" spans="41:74" x14ac:dyDescent="0.35">
      <c r="AO1480" s="39">
        <v>1478</v>
      </c>
      <c r="AP1480" s="63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55" t="e">
        <f>IFERROR(VLOOKUP(AQ1480,'[1]Harga &amp; Nama CSO'!$H$2:$N$22,2,FALSE),"")*AV1480</f>
        <v>#VALUE!</v>
      </c>
      <c r="BO1480" s="40"/>
      <c r="BP1480" s="4"/>
      <c r="BQ1480" s="62"/>
      <c r="BR1480" s="4"/>
      <c r="BS1480" s="57" t="e">
        <f t="shared" si="44"/>
        <v>#VALUE!</v>
      </c>
      <c r="BT1480" s="63"/>
      <c r="BU1480" s="8">
        <v>0</v>
      </c>
      <c r="BV1480" s="58" t="e">
        <f>VLOOKUP(AQ1480,'[1]Harga &amp; Nama CSO'!$A$28:$D$31,4,0)*BP1480</f>
        <v>#N/A</v>
      </c>
    </row>
    <row r="1481" spans="41:74" x14ac:dyDescent="0.35">
      <c r="AO1481" s="39">
        <v>1479</v>
      </c>
      <c r="AP1481" s="63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55" t="e">
        <f>IFERROR(VLOOKUP(AQ1481,'[1]Harga &amp; Nama CSO'!$H$2:$N$22,2,FALSE),"")*AV1481</f>
        <v>#VALUE!</v>
      </c>
      <c r="BO1481" s="40"/>
      <c r="BP1481" s="4"/>
      <c r="BQ1481" s="62"/>
      <c r="BR1481" s="4"/>
      <c r="BS1481" s="57" t="e">
        <f t="shared" si="44"/>
        <v>#VALUE!</v>
      </c>
      <c r="BT1481" s="63"/>
      <c r="BU1481" s="8">
        <v>0</v>
      </c>
      <c r="BV1481" s="58" t="e">
        <f>VLOOKUP(AQ1481,'[1]Harga &amp; Nama CSO'!$A$28:$D$31,4,0)*BP1481</f>
        <v>#N/A</v>
      </c>
    </row>
    <row r="1482" spans="41:74" x14ac:dyDescent="0.35">
      <c r="AO1482" s="39">
        <v>1480</v>
      </c>
      <c r="AP1482" s="63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55" t="e">
        <f>IFERROR(VLOOKUP(AQ1482,'[1]Harga &amp; Nama CSO'!$H$2:$N$22,2,FALSE),"")*AV1482</f>
        <v>#VALUE!</v>
      </c>
      <c r="BO1482" s="40"/>
      <c r="BP1482" s="4"/>
      <c r="BQ1482" s="62"/>
      <c r="BR1482" s="4"/>
      <c r="BS1482" s="57" t="e">
        <f t="shared" si="44"/>
        <v>#VALUE!</v>
      </c>
      <c r="BT1482" s="63"/>
      <c r="BU1482" s="8">
        <v>0</v>
      </c>
      <c r="BV1482" s="58" t="e">
        <f>VLOOKUP(AQ1482,'[1]Harga &amp; Nama CSO'!$A$28:$D$31,4,0)*BP1482</f>
        <v>#N/A</v>
      </c>
    </row>
    <row r="1483" spans="41:74" x14ac:dyDescent="0.35">
      <c r="AO1483" s="39">
        <v>1481</v>
      </c>
      <c r="AP1483" s="63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55" t="e">
        <f>IFERROR(VLOOKUP(AQ1483,'[1]Harga &amp; Nama CSO'!$H$2:$N$22,2,FALSE),"")*AV1483</f>
        <v>#VALUE!</v>
      </c>
      <c r="BO1483" s="40"/>
      <c r="BP1483" s="4"/>
      <c r="BQ1483" s="62"/>
      <c r="BR1483" s="4"/>
      <c r="BS1483" s="57" t="e">
        <f t="shared" si="44"/>
        <v>#VALUE!</v>
      </c>
      <c r="BT1483" s="63"/>
      <c r="BU1483" s="8">
        <v>0</v>
      </c>
      <c r="BV1483" s="58" t="e">
        <f>VLOOKUP(AQ1483,'[1]Harga &amp; Nama CSO'!$A$28:$D$31,4,0)*BP1483</f>
        <v>#N/A</v>
      </c>
    </row>
    <row r="1484" spans="41:74" x14ac:dyDescent="0.35">
      <c r="AO1484" s="39">
        <v>1482</v>
      </c>
      <c r="AP1484" s="63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55" t="e">
        <f>IFERROR(VLOOKUP(AQ1484,'[1]Harga &amp; Nama CSO'!$H$2:$N$22,2,FALSE),"")*AV1484</f>
        <v>#VALUE!</v>
      </c>
      <c r="BO1484" s="40"/>
      <c r="BP1484" s="4"/>
      <c r="BQ1484" s="62"/>
      <c r="BR1484" s="4"/>
      <c r="BS1484" s="57" t="e">
        <f t="shared" si="44"/>
        <v>#VALUE!</v>
      </c>
      <c r="BT1484" s="63"/>
      <c r="BU1484" s="8">
        <v>0</v>
      </c>
      <c r="BV1484" s="58" t="e">
        <f>VLOOKUP(AQ1484,'[1]Harga &amp; Nama CSO'!$A$28:$D$31,4,0)*BP1484</f>
        <v>#N/A</v>
      </c>
    </row>
    <row r="1485" spans="41:74" x14ac:dyDescent="0.35">
      <c r="AO1485" s="39">
        <v>1483</v>
      </c>
      <c r="AP1485" s="63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55" t="e">
        <f>IFERROR(VLOOKUP(AQ1485,'[1]Harga &amp; Nama CSO'!$H$2:$N$22,2,FALSE),"")*AV1485</f>
        <v>#VALUE!</v>
      </c>
      <c r="BO1485" s="40"/>
      <c r="BP1485" s="4"/>
      <c r="BQ1485" s="62"/>
      <c r="BR1485" s="4"/>
      <c r="BS1485" s="57" t="e">
        <f t="shared" si="44"/>
        <v>#VALUE!</v>
      </c>
      <c r="BT1485" s="63"/>
      <c r="BU1485" s="8">
        <v>0</v>
      </c>
      <c r="BV1485" s="58" t="e">
        <f>VLOOKUP(AQ1485,'[1]Harga &amp; Nama CSO'!$A$28:$D$31,4,0)*BP1485</f>
        <v>#N/A</v>
      </c>
    </row>
    <row r="1486" spans="41:74" x14ac:dyDescent="0.35">
      <c r="AO1486" s="39">
        <v>1484</v>
      </c>
      <c r="AP1486" s="63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55" t="e">
        <f>IFERROR(VLOOKUP(AQ1486,'[1]Harga &amp; Nama CSO'!$H$2:$N$22,2,FALSE),"")*AV1486</f>
        <v>#VALUE!</v>
      </c>
      <c r="BO1486" s="40"/>
      <c r="BP1486" s="4"/>
      <c r="BQ1486" s="62"/>
      <c r="BR1486" s="4"/>
      <c r="BS1486" s="57" t="e">
        <f t="shared" si="44"/>
        <v>#VALUE!</v>
      </c>
      <c r="BT1486" s="63"/>
      <c r="BU1486" s="8">
        <v>0</v>
      </c>
      <c r="BV1486" s="58" t="e">
        <f>VLOOKUP(AQ1486,'[1]Harga &amp; Nama CSO'!$A$28:$D$31,4,0)*BP1486</f>
        <v>#N/A</v>
      </c>
    </row>
    <row r="1487" spans="41:74" x14ac:dyDescent="0.35">
      <c r="AO1487" s="39">
        <v>1485</v>
      </c>
      <c r="AP1487" s="63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55" t="e">
        <f>IFERROR(VLOOKUP(AQ1487,'[1]Harga &amp; Nama CSO'!$H$2:$N$22,2,FALSE),"")*AV1487</f>
        <v>#VALUE!</v>
      </c>
      <c r="BO1487" s="40"/>
      <c r="BP1487" s="4"/>
      <c r="BQ1487" s="62"/>
      <c r="BR1487" s="4"/>
      <c r="BS1487" s="57" t="e">
        <f t="shared" si="44"/>
        <v>#VALUE!</v>
      </c>
      <c r="BT1487" s="63"/>
      <c r="BU1487" s="8">
        <v>0</v>
      </c>
      <c r="BV1487" s="58" t="e">
        <f>VLOOKUP(AQ1487,'[1]Harga &amp; Nama CSO'!$A$28:$D$31,4,0)*BP1487</f>
        <v>#N/A</v>
      </c>
    </row>
    <row r="1488" spans="41:74" x14ac:dyDescent="0.35">
      <c r="AO1488" s="39">
        <v>1486</v>
      </c>
      <c r="AP1488" s="63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55" t="e">
        <f>IFERROR(VLOOKUP(AQ1488,'[1]Harga &amp; Nama CSO'!$H$2:$N$22,2,FALSE),"")*AV1488</f>
        <v>#VALUE!</v>
      </c>
      <c r="BO1488" s="40"/>
      <c r="BP1488" s="4"/>
      <c r="BQ1488" s="62"/>
      <c r="BR1488" s="4"/>
      <c r="BS1488" s="57" t="e">
        <f t="shared" si="44"/>
        <v>#VALUE!</v>
      </c>
      <c r="BT1488" s="63"/>
      <c r="BU1488" s="8">
        <v>0</v>
      </c>
      <c r="BV1488" s="58" t="e">
        <f>VLOOKUP(AQ1488,'[1]Harga &amp; Nama CSO'!$A$28:$D$31,4,0)*BP1488</f>
        <v>#N/A</v>
      </c>
    </row>
    <row r="1489" spans="41:74" x14ac:dyDescent="0.35">
      <c r="AO1489" s="39">
        <v>1487</v>
      </c>
      <c r="AP1489" s="63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55" t="e">
        <f>IFERROR(VLOOKUP(AQ1489,'[1]Harga &amp; Nama CSO'!$H$2:$N$22,2,FALSE),"")*AV1489</f>
        <v>#VALUE!</v>
      </c>
      <c r="BO1489" s="40"/>
      <c r="BP1489" s="4"/>
      <c r="BQ1489" s="62"/>
      <c r="BR1489" s="4"/>
      <c r="BS1489" s="57" t="e">
        <f t="shared" si="44"/>
        <v>#VALUE!</v>
      </c>
      <c r="BT1489" s="63"/>
      <c r="BU1489" s="8">
        <v>0</v>
      </c>
      <c r="BV1489" s="58" t="e">
        <f>VLOOKUP(AQ1489,'[1]Harga &amp; Nama CSO'!$A$28:$D$31,4,0)*BP1489</f>
        <v>#N/A</v>
      </c>
    </row>
    <row r="1490" spans="41:74" x14ac:dyDescent="0.35">
      <c r="AO1490" s="39">
        <v>1488</v>
      </c>
      <c r="AP1490" s="63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55" t="e">
        <f>IFERROR(VLOOKUP(AQ1490,'[1]Harga &amp; Nama CSO'!$H$2:$N$22,2,FALSE),"")*AV1490</f>
        <v>#VALUE!</v>
      </c>
      <c r="BO1490" s="40"/>
      <c r="BP1490" s="4"/>
      <c r="BQ1490" s="62"/>
      <c r="BR1490" s="4"/>
      <c r="BS1490" s="57" t="e">
        <f t="shared" si="44"/>
        <v>#VALUE!</v>
      </c>
      <c r="BT1490" s="63"/>
      <c r="BU1490" s="8">
        <v>0</v>
      </c>
      <c r="BV1490" s="58" t="e">
        <f>VLOOKUP(AQ1490,'[1]Harga &amp; Nama CSO'!$A$28:$D$31,4,0)*BP1490</f>
        <v>#N/A</v>
      </c>
    </row>
    <row r="1491" spans="41:74" x14ac:dyDescent="0.35">
      <c r="AO1491" s="39">
        <v>1489</v>
      </c>
      <c r="AP1491" s="63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55" t="e">
        <f>IFERROR(VLOOKUP(AQ1491,'[1]Harga &amp; Nama CSO'!$H$2:$N$22,2,FALSE),"")*AV1491</f>
        <v>#VALUE!</v>
      </c>
      <c r="BO1491" s="40"/>
      <c r="BP1491" s="4"/>
      <c r="BQ1491" s="62"/>
      <c r="BR1491" s="4"/>
      <c r="BS1491" s="57" t="e">
        <f t="shared" si="44"/>
        <v>#VALUE!</v>
      </c>
      <c r="BT1491" s="63"/>
      <c r="BU1491" s="8">
        <v>0</v>
      </c>
      <c r="BV1491" s="58" t="e">
        <f>VLOOKUP(AQ1491,'[1]Harga &amp; Nama CSO'!$A$28:$D$31,4,0)*BP1491</f>
        <v>#N/A</v>
      </c>
    </row>
    <row r="1492" spans="41:74" x14ac:dyDescent="0.35">
      <c r="AO1492" s="39">
        <v>1490</v>
      </c>
      <c r="AP1492" s="63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55" t="e">
        <f>IFERROR(VLOOKUP(AQ1492,'[1]Harga &amp; Nama CSO'!$H$2:$N$22,2,FALSE),"")*AV1492</f>
        <v>#VALUE!</v>
      </c>
      <c r="BO1492" s="40"/>
      <c r="BP1492" s="4"/>
      <c r="BQ1492" s="62"/>
      <c r="BR1492" s="4"/>
      <c r="BS1492" s="57" t="e">
        <f t="shared" si="44"/>
        <v>#VALUE!</v>
      </c>
      <c r="BT1492" s="63"/>
      <c r="BU1492" s="8">
        <v>0</v>
      </c>
      <c r="BV1492" s="58" t="e">
        <f>VLOOKUP(AQ1492,'[1]Harga &amp; Nama CSO'!$A$28:$D$31,4,0)*BP1492</f>
        <v>#N/A</v>
      </c>
    </row>
    <row r="1493" spans="41:74" x14ac:dyDescent="0.35">
      <c r="AO1493" s="39">
        <v>1491</v>
      </c>
      <c r="AP1493" s="63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55" t="e">
        <f>IFERROR(VLOOKUP(AQ1493,'[1]Harga &amp; Nama CSO'!$H$2:$N$22,2,FALSE),"")*AV1493</f>
        <v>#VALUE!</v>
      </c>
      <c r="BO1493" s="40"/>
      <c r="BP1493" s="4"/>
      <c r="BQ1493" s="62"/>
      <c r="BR1493" s="4"/>
      <c r="BS1493" s="57" t="e">
        <f t="shared" si="44"/>
        <v>#VALUE!</v>
      </c>
      <c r="BT1493" s="63"/>
      <c r="BU1493" s="8">
        <v>0</v>
      </c>
      <c r="BV1493" s="58" t="e">
        <f>VLOOKUP(AQ1493,'[1]Harga &amp; Nama CSO'!$A$28:$D$31,4,0)*BP1493</f>
        <v>#N/A</v>
      </c>
    </row>
    <row r="1494" spans="41:74" x14ac:dyDescent="0.35">
      <c r="AO1494" s="39">
        <v>1492</v>
      </c>
      <c r="AP1494" s="63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55" t="e">
        <f>IFERROR(VLOOKUP(AQ1494,'[1]Harga &amp; Nama CSO'!$H$2:$N$22,2,FALSE),"")*AV1494</f>
        <v>#VALUE!</v>
      </c>
      <c r="BO1494" s="40"/>
      <c r="BP1494" s="4"/>
      <c r="BQ1494" s="62"/>
      <c r="BR1494" s="4"/>
      <c r="BS1494" s="57" t="e">
        <f t="shared" si="44"/>
        <v>#VALUE!</v>
      </c>
      <c r="BT1494" s="63"/>
      <c r="BU1494" s="8">
        <v>0</v>
      </c>
      <c r="BV1494" s="58" t="e">
        <f>VLOOKUP(AQ1494,'[1]Harga &amp; Nama CSO'!$A$28:$D$31,4,0)*BP1494</f>
        <v>#N/A</v>
      </c>
    </row>
    <row r="1495" spans="41:74" x14ac:dyDescent="0.35">
      <c r="AO1495" s="39">
        <v>1493</v>
      </c>
      <c r="AP1495" s="63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55" t="e">
        <f>IFERROR(VLOOKUP(AQ1495,'[1]Harga &amp; Nama CSO'!$H$2:$N$22,2,FALSE),"")*AV1495</f>
        <v>#VALUE!</v>
      </c>
      <c r="BO1495" s="40"/>
      <c r="BP1495" s="4"/>
      <c r="BQ1495" s="62"/>
      <c r="BR1495" s="4"/>
      <c r="BS1495" s="57" t="e">
        <f t="shared" si="44"/>
        <v>#VALUE!</v>
      </c>
      <c r="BT1495" s="63"/>
      <c r="BU1495" s="8">
        <v>0</v>
      </c>
      <c r="BV1495" s="58" t="e">
        <f>VLOOKUP(AQ1495,'[1]Harga &amp; Nama CSO'!$A$28:$D$31,4,0)*BP1495</f>
        <v>#N/A</v>
      </c>
    </row>
    <row r="1496" spans="41:74" x14ac:dyDescent="0.35">
      <c r="AO1496" s="39">
        <v>1494</v>
      </c>
      <c r="AP1496" s="63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55" t="e">
        <f>IFERROR(VLOOKUP(AQ1496,'[1]Harga &amp; Nama CSO'!$H$2:$N$22,2,FALSE),"")*AV1496</f>
        <v>#VALUE!</v>
      </c>
      <c r="BO1496" s="40"/>
      <c r="BP1496" s="4"/>
      <c r="BQ1496" s="62"/>
      <c r="BR1496" s="4"/>
      <c r="BS1496" s="57" t="e">
        <f t="shared" si="44"/>
        <v>#VALUE!</v>
      </c>
      <c r="BT1496" s="63"/>
      <c r="BU1496" s="8">
        <v>0</v>
      </c>
      <c r="BV1496" s="58" t="e">
        <f>VLOOKUP(AQ1496,'[1]Harga &amp; Nama CSO'!$A$28:$D$31,4,0)*BP1496</f>
        <v>#N/A</v>
      </c>
    </row>
    <row r="1497" spans="41:74" x14ac:dyDescent="0.35">
      <c r="AO1497" s="39">
        <v>1495</v>
      </c>
      <c r="AP1497" s="63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55" t="e">
        <f>IFERROR(VLOOKUP(AQ1497,'[1]Harga &amp; Nama CSO'!$H$2:$N$22,2,FALSE),"")*AV1497</f>
        <v>#VALUE!</v>
      </c>
      <c r="BO1497" s="40"/>
      <c r="BP1497" s="4"/>
      <c r="BQ1497" s="62"/>
      <c r="BR1497" s="4"/>
      <c r="BS1497" s="57" t="e">
        <f t="shared" si="44"/>
        <v>#VALUE!</v>
      </c>
      <c r="BT1497" s="63"/>
      <c r="BU1497" s="8">
        <v>0</v>
      </c>
      <c r="BV1497" s="58" t="e">
        <f>VLOOKUP(AQ1497,'[1]Harga &amp; Nama CSO'!$A$28:$D$31,4,0)*BP1497</f>
        <v>#N/A</v>
      </c>
    </row>
    <row r="1498" spans="41:74" x14ac:dyDescent="0.35">
      <c r="AO1498" s="39">
        <v>1496</v>
      </c>
      <c r="AP1498" s="63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55" t="e">
        <f>IFERROR(VLOOKUP(AQ1498,'[1]Harga &amp; Nama CSO'!$H$2:$N$22,2,FALSE),"")*AV1498</f>
        <v>#VALUE!</v>
      </c>
      <c r="BO1498" s="40"/>
      <c r="BP1498" s="4"/>
      <c r="BQ1498" s="62"/>
      <c r="BR1498" s="4"/>
      <c r="BS1498" s="57" t="e">
        <f t="shared" si="44"/>
        <v>#VALUE!</v>
      </c>
      <c r="BT1498" s="63"/>
      <c r="BU1498" s="8">
        <v>0</v>
      </c>
      <c r="BV1498" s="58" t="e">
        <f>VLOOKUP(AQ1498,'[1]Harga &amp; Nama CSO'!$A$28:$D$31,4,0)*BP1498</f>
        <v>#N/A</v>
      </c>
    </row>
    <row r="1499" spans="41:74" x14ac:dyDescent="0.35">
      <c r="AO1499" s="39">
        <v>1497</v>
      </c>
      <c r="AP1499" s="63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55" t="e">
        <f>IFERROR(VLOOKUP(AQ1499,'[1]Harga &amp; Nama CSO'!$H$2:$N$22,2,FALSE),"")*AV1499</f>
        <v>#VALUE!</v>
      </c>
      <c r="BO1499" s="40"/>
      <c r="BP1499" s="4"/>
      <c r="BQ1499" s="62"/>
      <c r="BR1499" s="4"/>
      <c r="BS1499" s="57" t="e">
        <f t="shared" si="44"/>
        <v>#VALUE!</v>
      </c>
      <c r="BT1499" s="63"/>
      <c r="BU1499" s="8">
        <v>0</v>
      </c>
      <c r="BV1499" s="58" t="e">
        <f>VLOOKUP(AQ1499,'[1]Harga &amp; Nama CSO'!$A$28:$D$31,4,0)*BP1499</f>
        <v>#N/A</v>
      </c>
    </row>
    <row r="1500" spans="41:74" x14ac:dyDescent="0.35">
      <c r="AO1500" s="39">
        <v>1498</v>
      </c>
      <c r="AP1500" s="63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55" t="e">
        <f>IFERROR(VLOOKUP(AQ1500,'[1]Harga &amp; Nama CSO'!$H$2:$N$22,2,FALSE),"")*AV1500</f>
        <v>#VALUE!</v>
      </c>
      <c r="BO1500" s="40"/>
      <c r="BP1500" s="4"/>
      <c r="BQ1500" s="62"/>
      <c r="BR1500" s="4"/>
      <c r="BS1500" s="57" t="e">
        <f t="shared" si="44"/>
        <v>#VALUE!</v>
      </c>
      <c r="BT1500" s="63"/>
      <c r="BU1500" s="8">
        <v>0</v>
      </c>
      <c r="BV1500" s="58" t="e">
        <f>VLOOKUP(AQ1500,'[1]Harga &amp; Nama CSO'!$A$28:$D$31,4,0)*BP1500</f>
        <v>#N/A</v>
      </c>
    </row>
    <row r="1501" spans="41:74" x14ac:dyDescent="0.35">
      <c r="AO1501" s="39">
        <v>1499</v>
      </c>
      <c r="AP1501" s="63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55" t="e">
        <f>IFERROR(VLOOKUP(AQ1501,'[1]Harga &amp; Nama CSO'!$H$2:$N$22,2,FALSE),"")*AV1501</f>
        <v>#VALUE!</v>
      </c>
      <c r="BO1501" s="40"/>
      <c r="BP1501" s="4"/>
      <c r="BQ1501" s="62"/>
      <c r="BR1501" s="4"/>
      <c r="BS1501" s="57" t="e">
        <f t="shared" si="44"/>
        <v>#VALUE!</v>
      </c>
      <c r="BT1501" s="63"/>
      <c r="BU1501" s="8">
        <v>0</v>
      </c>
      <c r="BV1501" s="58" t="e">
        <f>VLOOKUP(AQ1501,'[1]Harga &amp; Nama CSO'!$A$28:$D$31,4,0)*BP1501</f>
        <v>#N/A</v>
      </c>
    </row>
    <row r="1502" spans="41:74" x14ac:dyDescent="0.35">
      <c r="AO1502" s="39">
        <v>1500</v>
      </c>
      <c r="AP1502" s="63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55" t="e">
        <f>IFERROR(VLOOKUP(AQ1502,'[1]Harga &amp; Nama CSO'!$H$2:$N$22,2,FALSE),"")*AV1502</f>
        <v>#VALUE!</v>
      </c>
      <c r="BO1502" s="40"/>
      <c r="BP1502" s="4"/>
      <c r="BQ1502" s="62"/>
      <c r="BR1502" s="4"/>
      <c r="BS1502" s="57" t="e">
        <f t="shared" si="44"/>
        <v>#VALUE!</v>
      </c>
      <c r="BT1502" s="63"/>
      <c r="BU1502" s="8">
        <v>0</v>
      </c>
      <c r="BV1502" s="58" t="e">
        <f>VLOOKUP(AQ1502,'[1]Harga &amp; Nama CSO'!$A$28:$D$31,4,0)*BP1502</f>
        <v>#N/A</v>
      </c>
    </row>
    <row r="1503" spans="41:74" x14ac:dyDescent="0.35">
      <c r="AO1503" s="39">
        <v>1501</v>
      </c>
      <c r="AP1503" s="63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55" t="e">
        <f>IFERROR(VLOOKUP(AQ1503,'[1]Harga &amp; Nama CSO'!$H$2:$N$22,2,FALSE),"")*AV1503</f>
        <v>#VALUE!</v>
      </c>
      <c r="BO1503" s="40"/>
      <c r="BP1503" s="4"/>
      <c r="BQ1503" s="62"/>
      <c r="BR1503" s="4"/>
      <c r="BS1503" s="57" t="e">
        <f t="shared" si="44"/>
        <v>#VALUE!</v>
      </c>
      <c r="BT1503" s="63"/>
      <c r="BU1503" s="8">
        <v>0</v>
      </c>
      <c r="BV1503" s="58" t="e">
        <f>VLOOKUP(AQ1503,'[1]Harga &amp; Nama CSO'!$A$28:$D$31,4,0)*BP1503</f>
        <v>#N/A</v>
      </c>
    </row>
    <row r="1504" spans="41:74" x14ac:dyDescent="0.35">
      <c r="AO1504" s="39">
        <v>1502</v>
      </c>
      <c r="AP1504" s="63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55" t="e">
        <f>IFERROR(VLOOKUP(AQ1504,'[1]Harga &amp; Nama CSO'!$H$2:$N$22,2,FALSE),"")*AV1504</f>
        <v>#VALUE!</v>
      </c>
      <c r="BO1504" s="40"/>
      <c r="BP1504" s="4"/>
      <c r="BQ1504" s="62"/>
      <c r="BR1504" s="4"/>
      <c r="BS1504" s="57" t="e">
        <f t="shared" si="44"/>
        <v>#VALUE!</v>
      </c>
      <c r="BT1504" s="63"/>
      <c r="BU1504" s="8">
        <v>0</v>
      </c>
      <c r="BV1504" s="58" t="e">
        <f>VLOOKUP(AQ1504,'[1]Harga &amp; Nama CSO'!$A$28:$D$31,4,0)*BP1504</f>
        <v>#N/A</v>
      </c>
    </row>
    <row r="1505" spans="41:74" x14ac:dyDescent="0.35">
      <c r="AO1505" s="39">
        <v>1503</v>
      </c>
      <c r="AP1505" s="63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55" t="e">
        <f>IFERROR(VLOOKUP(AQ1505,'[1]Harga &amp; Nama CSO'!$H$2:$N$22,2,FALSE),"")*AV1505</f>
        <v>#VALUE!</v>
      </c>
      <c r="BO1505" s="40"/>
      <c r="BP1505" s="4"/>
      <c r="BQ1505" s="62"/>
      <c r="BR1505" s="4"/>
      <c r="BS1505" s="57" t="e">
        <f t="shared" si="44"/>
        <v>#VALUE!</v>
      </c>
      <c r="BT1505" s="63"/>
      <c r="BU1505" s="8">
        <v>0</v>
      </c>
      <c r="BV1505" s="58" t="e">
        <f>VLOOKUP(AQ1505,'[1]Harga &amp; Nama CSO'!$A$28:$D$31,4,0)*BP1505</f>
        <v>#N/A</v>
      </c>
    </row>
    <row r="1506" spans="41:74" x14ac:dyDescent="0.35">
      <c r="AO1506" s="39">
        <v>1504</v>
      </c>
      <c r="AP1506" s="63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55" t="e">
        <f>IFERROR(VLOOKUP(AQ1506,'[1]Harga &amp; Nama CSO'!$H$2:$N$22,2,FALSE),"")*AV1506</f>
        <v>#VALUE!</v>
      </c>
      <c r="BO1506" s="40"/>
      <c r="BP1506" s="4"/>
      <c r="BQ1506" s="62"/>
      <c r="BR1506" s="4"/>
      <c r="BS1506" s="57" t="e">
        <f t="shared" si="44"/>
        <v>#VALUE!</v>
      </c>
      <c r="BT1506" s="63"/>
      <c r="BU1506" s="8">
        <v>0</v>
      </c>
      <c r="BV1506" s="58" t="e">
        <f>VLOOKUP(AQ1506,'[1]Harga &amp; Nama CSO'!$A$28:$D$31,4,0)*BP1506</f>
        <v>#N/A</v>
      </c>
    </row>
    <row r="1507" spans="41:74" x14ac:dyDescent="0.35">
      <c r="AO1507" s="39">
        <v>1505</v>
      </c>
      <c r="AP1507" s="63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55" t="e">
        <f>IFERROR(VLOOKUP(AQ1507,'[1]Harga &amp; Nama CSO'!$H$2:$N$22,2,FALSE),"")*AV1507</f>
        <v>#VALUE!</v>
      </c>
      <c r="BO1507" s="40"/>
      <c r="BP1507" s="4"/>
      <c r="BQ1507" s="62"/>
      <c r="BR1507" s="4"/>
      <c r="BS1507" s="57" t="e">
        <f t="shared" si="44"/>
        <v>#VALUE!</v>
      </c>
      <c r="BT1507" s="63"/>
      <c r="BU1507" s="8">
        <v>0</v>
      </c>
      <c r="BV1507" s="58" t="e">
        <f>VLOOKUP(AQ1507,'[1]Harga &amp; Nama CSO'!$A$28:$D$31,4,0)*BP1507</f>
        <v>#N/A</v>
      </c>
    </row>
    <row r="1508" spans="41:74" x14ac:dyDescent="0.35">
      <c r="AO1508" s="39">
        <v>1506</v>
      </c>
      <c r="AP1508" s="63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55" t="e">
        <f>IFERROR(VLOOKUP(AQ1508,'[1]Harga &amp; Nama CSO'!$H$2:$N$22,2,FALSE),"")*AV1508</f>
        <v>#VALUE!</v>
      </c>
      <c r="BO1508" s="40"/>
      <c r="BP1508" s="4"/>
      <c r="BQ1508" s="62"/>
      <c r="BR1508" s="4"/>
      <c r="BS1508" s="57" t="e">
        <f t="shared" si="44"/>
        <v>#VALUE!</v>
      </c>
      <c r="BT1508" s="63"/>
      <c r="BU1508" s="8">
        <v>0</v>
      </c>
      <c r="BV1508" s="58" t="e">
        <f>VLOOKUP(AQ1508,'[1]Harga &amp; Nama CSO'!$A$28:$D$31,4,0)*BP1508</f>
        <v>#N/A</v>
      </c>
    </row>
    <row r="1509" spans="41:74" x14ac:dyDescent="0.35">
      <c r="AO1509" s="39">
        <v>1507</v>
      </c>
      <c r="AP1509" s="63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55" t="e">
        <f>IFERROR(VLOOKUP(AQ1509,'[1]Harga &amp; Nama CSO'!$H$2:$N$22,2,FALSE),"")*AV1509</f>
        <v>#VALUE!</v>
      </c>
      <c r="BO1509" s="40"/>
      <c r="BP1509" s="4"/>
      <c r="BQ1509" s="62"/>
      <c r="BR1509" s="4"/>
      <c r="BS1509" s="57" t="e">
        <f t="shared" si="44"/>
        <v>#VALUE!</v>
      </c>
      <c r="BT1509" s="63"/>
      <c r="BU1509" s="8">
        <v>0</v>
      </c>
      <c r="BV1509" s="58" t="e">
        <f>VLOOKUP(AQ1509,'[1]Harga &amp; Nama CSO'!$A$28:$D$31,4,0)*BP1509</f>
        <v>#N/A</v>
      </c>
    </row>
    <row r="1510" spans="41:74" x14ac:dyDescent="0.35">
      <c r="AO1510" s="39">
        <v>1508</v>
      </c>
      <c r="AP1510" s="63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55" t="e">
        <f>IFERROR(VLOOKUP(AQ1510,'[1]Harga &amp; Nama CSO'!$H$2:$N$22,2,FALSE),"")*AV1510</f>
        <v>#VALUE!</v>
      </c>
      <c r="BO1510" s="40"/>
      <c r="BP1510" s="4"/>
      <c r="BQ1510" s="62"/>
      <c r="BR1510" s="4"/>
      <c r="BS1510" s="57" t="e">
        <f t="shared" si="44"/>
        <v>#VALUE!</v>
      </c>
      <c r="BT1510" s="63"/>
      <c r="BU1510" s="8">
        <v>0</v>
      </c>
      <c r="BV1510" s="58" t="e">
        <f>VLOOKUP(AQ1510,'[1]Harga &amp; Nama CSO'!$A$28:$D$31,4,0)*BP1510</f>
        <v>#N/A</v>
      </c>
    </row>
    <row r="1511" spans="41:74" x14ac:dyDescent="0.35">
      <c r="AO1511" s="39">
        <v>1509</v>
      </c>
      <c r="AP1511" s="63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55" t="e">
        <f>IFERROR(VLOOKUP(AQ1511,'[1]Harga &amp; Nama CSO'!$H$2:$N$22,2,FALSE),"")*AV1511</f>
        <v>#VALUE!</v>
      </c>
      <c r="BO1511" s="40"/>
      <c r="BP1511" s="4"/>
      <c r="BQ1511" s="62"/>
      <c r="BR1511" s="4"/>
      <c r="BS1511" s="57" t="e">
        <f t="shared" si="44"/>
        <v>#VALUE!</v>
      </c>
      <c r="BT1511" s="63"/>
      <c r="BU1511" s="8">
        <v>0</v>
      </c>
      <c r="BV1511" s="58" t="e">
        <f>VLOOKUP(AQ1511,'[1]Harga &amp; Nama CSO'!$A$28:$D$31,4,0)*BP1511</f>
        <v>#N/A</v>
      </c>
    </row>
    <row r="1512" spans="41:74" x14ac:dyDescent="0.35">
      <c r="AO1512" s="39">
        <v>1510</v>
      </c>
      <c r="AP1512" s="63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55" t="e">
        <f>IFERROR(VLOOKUP(AQ1512,'[1]Harga &amp; Nama CSO'!$H$2:$N$22,2,FALSE),"")*AV1512</f>
        <v>#VALUE!</v>
      </c>
      <c r="BO1512" s="40"/>
      <c r="BP1512" s="4"/>
      <c r="BQ1512" s="62"/>
      <c r="BR1512" s="4"/>
      <c r="BS1512" s="57" t="e">
        <f t="shared" si="44"/>
        <v>#VALUE!</v>
      </c>
      <c r="BT1512" s="63"/>
      <c r="BU1512" s="8">
        <v>0</v>
      </c>
      <c r="BV1512" s="58" t="e">
        <f>VLOOKUP(AQ1512,'[1]Harga &amp; Nama CSO'!$A$28:$D$31,4,0)*BP1512</f>
        <v>#N/A</v>
      </c>
    </row>
    <row r="1513" spans="41:74" x14ac:dyDescent="0.35">
      <c r="AO1513" s="39">
        <v>1511</v>
      </c>
      <c r="AP1513" s="63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55" t="e">
        <f>IFERROR(VLOOKUP(AQ1513,'[1]Harga &amp; Nama CSO'!$H$2:$N$22,2,FALSE),"")*AV1513</f>
        <v>#VALUE!</v>
      </c>
      <c r="BO1513" s="40"/>
      <c r="BP1513" s="4"/>
      <c r="BQ1513" s="62"/>
      <c r="BR1513" s="4"/>
      <c r="BS1513" s="57" t="e">
        <f t="shared" si="44"/>
        <v>#VALUE!</v>
      </c>
      <c r="BT1513" s="63"/>
      <c r="BU1513" s="8">
        <v>0</v>
      </c>
      <c r="BV1513" s="58" t="e">
        <f>VLOOKUP(AQ1513,'[1]Harga &amp; Nama CSO'!$A$28:$D$31,4,0)*BP1513</f>
        <v>#N/A</v>
      </c>
    </row>
    <row r="1514" spans="41:74" x14ac:dyDescent="0.35">
      <c r="AO1514" s="39">
        <v>1512</v>
      </c>
      <c r="AP1514" s="63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55" t="e">
        <f>IFERROR(VLOOKUP(AQ1514,'[1]Harga &amp; Nama CSO'!$H$2:$N$22,2,FALSE),"")*AV1514</f>
        <v>#VALUE!</v>
      </c>
      <c r="BO1514" s="40"/>
      <c r="BP1514" s="4"/>
      <c r="BQ1514" s="62"/>
      <c r="BR1514" s="4"/>
      <c r="BS1514" s="57" t="e">
        <f t="shared" si="44"/>
        <v>#VALUE!</v>
      </c>
      <c r="BT1514" s="63"/>
      <c r="BU1514" s="8">
        <v>0</v>
      </c>
      <c r="BV1514" s="58" t="e">
        <f>VLOOKUP(AQ1514,'[1]Harga &amp; Nama CSO'!$A$28:$D$31,4,0)*BP1514</f>
        <v>#N/A</v>
      </c>
    </row>
    <row r="1515" spans="41:74" x14ac:dyDescent="0.35">
      <c r="AO1515" s="39">
        <v>1513</v>
      </c>
      <c r="AP1515" s="63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55" t="e">
        <f>IFERROR(VLOOKUP(AQ1515,'[1]Harga &amp; Nama CSO'!$H$2:$N$22,2,FALSE),"")*AV1515</f>
        <v>#VALUE!</v>
      </c>
      <c r="BO1515" s="40"/>
      <c r="BP1515" s="4"/>
      <c r="BQ1515" s="62"/>
      <c r="BR1515" s="4"/>
      <c r="BS1515" s="57" t="e">
        <f t="shared" si="44"/>
        <v>#VALUE!</v>
      </c>
      <c r="BT1515" s="63"/>
      <c r="BU1515" s="8">
        <v>0</v>
      </c>
      <c r="BV1515" s="58" t="e">
        <f>VLOOKUP(AQ1515,'[1]Harga &amp; Nama CSO'!$A$28:$D$31,4,0)*BP1515</f>
        <v>#N/A</v>
      </c>
    </row>
    <row r="1516" spans="41:74" x14ac:dyDescent="0.35">
      <c r="AO1516" s="39">
        <v>1514</v>
      </c>
      <c r="AP1516" s="63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55" t="e">
        <f>IFERROR(VLOOKUP(AQ1516,'[1]Harga &amp; Nama CSO'!$H$2:$N$22,2,FALSE),"")*AV1516</f>
        <v>#VALUE!</v>
      </c>
      <c r="BO1516" s="40"/>
      <c r="BP1516" s="4"/>
      <c r="BQ1516" s="62"/>
      <c r="BR1516" s="4"/>
      <c r="BS1516" s="57" t="e">
        <f t="shared" si="44"/>
        <v>#VALUE!</v>
      </c>
      <c r="BT1516" s="63"/>
      <c r="BU1516" s="8">
        <v>0</v>
      </c>
      <c r="BV1516" s="58" t="e">
        <f>VLOOKUP(AQ1516,'[1]Harga &amp; Nama CSO'!$A$28:$D$31,4,0)*BP1516</f>
        <v>#N/A</v>
      </c>
    </row>
    <row r="1517" spans="41:74" x14ac:dyDescent="0.35">
      <c r="AO1517" s="39">
        <v>1515</v>
      </c>
      <c r="AP1517" s="63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55" t="e">
        <f>IFERROR(VLOOKUP(AQ1517,'[1]Harga &amp; Nama CSO'!$H$2:$N$22,2,FALSE),"")*AV1517</f>
        <v>#VALUE!</v>
      </c>
      <c r="BO1517" s="40"/>
      <c r="BP1517" s="4"/>
      <c r="BQ1517" s="62"/>
      <c r="BR1517" s="4"/>
      <c r="BS1517" s="57" t="e">
        <f t="shared" si="44"/>
        <v>#VALUE!</v>
      </c>
      <c r="BT1517" s="63"/>
      <c r="BU1517" s="8">
        <v>0</v>
      </c>
      <c r="BV1517" s="58" t="e">
        <f>VLOOKUP(AQ1517,'[1]Harga &amp; Nama CSO'!$A$28:$D$31,4,0)*BP1517</f>
        <v>#N/A</v>
      </c>
    </row>
    <row r="1518" spans="41:74" x14ac:dyDescent="0.35">
      <c r="AO1518" s="39">
        <v>1516</v>
      </c>
      <c r="AP1518" s="63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55" t="e">
        <f>IFERROR(VLOOKUP(AQ1518,'[1]Harga &amp; Nama CSO'!$H$2:$N$22,2,FALSE),"")*AV1518</f>
        <v>#VALUE!</v>
      </c>
      <c r="BO1518" s="40"/>
      <c r="BP1518" s="4"/>
      <c r="BQ1518" s="62"/>
      <c r="BR1518" s="4"/>
      <c r="BS1518" s="57" t="e">
        <f t="shared" si="44"/>
        <v>#VALUE!</v>
      </c>
      <c r="BT1518" s="63"/>
      <c r="BU1518" s="8">
        <v>0</v>
      </c>
      <c r="BV1518" s="58" t="e">
        <f>VLOOKUP(AQ1518,'[1]Harga &amp; Nama CSO'!$A$28:$D$31,4,0)*BP1518</f>
        <v>#N/A</v>
      </c>
    </row>
    <row r="1519" spans="41:74" x14ac:dyDescent="0.35">
      <c r="AO1519" s="39">
        <v>1517</v>
      </c>
      <c r="AP1519" s="63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55" t="e">
        <f>IFERROR(VLOOKUP(AQ1519,'[1]Harga &amp; Nama CSO'!$H$2:$N$22,2,FALSE),"")*AV1519</f>
        <v>#VALUE!</v>
      </c>
      <c r="BO1519" s="40"/>
      <c r="BP1519" s="4"/>
      <c r="BQ1519" s="62"/>
      <c r="BR1519" s="4"/>
      <c r="BS1519" s="57" t="e">
        <f t="shared" si="44"/>
        <v>#VALUE!</v>
      </c>
      <c r="BT1519" s="63"/>
      <c r="BU1519" s="8">
        <v>0</v>
      </c>
      <c r="BV1519" s="58" t="e">
        <f>VLOOKUP(AQ1519,'[1]Harga &amp; Nama CSO'!$A$28:$D$31,4,0)*BP1519</f>
        <v>#N/A</v>
      </c>
    </row>
    <row r="1520" spans="41:74" x14ac:dyDescent="0.35">
      <c r="AO1520" s="39">
        <v>1518</v>
      </c>
      <c r="AP1520" s="63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55" t="e">
        <f>IFERROR(VLOOKUP(AQ1520,'[1]Harga &amp; Nama CSO'!$H$2:$N$22,2,FALSE),"")*AV1520</f>
        <v>#VALUE!</v>
      </c>
      <c r="BO1520" s="40"/>
      <c r="BP1520" s="4"/>
      <c r="BQ1520" s="62"/>
      <c r="BR1520" s="4"/>
      <c r="BS1520" s="57" t="e">
        <f t="shared" si="44"/>
        <v>#VALUE!</v>
      </c>
      <c r="BT1520" s="63"/>
      <c r="BU1520" s="8">
        <v>0</v>
      </c>
      <c r="BV1520" s="58" t="e">
        <f>VLOOKUP(AQ1520,'[1]Harga &amp; Nama CSO'!$A$28:$D$31,4,0)*BP1520</f>
        <v>#N/A</v>
      </c>
    </row>
    <row r="1521" spans="41:74" x14ac:dyDescent="0.35">
      <c r="AO1521" s="39">
        <v>1519</v>
      </c>
      <c r="AP1521" s="63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55" t="e">
        <f>IFERROR(VLOOKUP(AQ1521,'[1]Harga &amp; Nama CSO'!$H$2:$N$22,2,FALSE),"")*AV1521</f>
        <v>#VALUE!</v>
      </c>
      <c r="BO1521" s="40"/>
      <c r="BP1521" s="4"/>
      <c r="BQ1521" s="62"/>
      <c r="BR1521" s="4"/>
      <c r="BS1521" s="57" t="e">
        <f t="shared" si="44"/>
        <v>#VALUE!</v>
      </c>
      <c r="BT1521" s="63"/>
      <c r="BU1521" s="8">
        <v>0</v>
      </c>
      <c r="BV1521" s="58" t="e">
        <f>VLOOKUP(AQ1521,'[1]Harga &amp; Nama CSO'!$A$28:$D$31,4,0)*BP1521</f>
        <v>#N/A</v>
      </c>
    </row>
    <row r="1522" spans="41:74" x14ac:dyDescent="0.35">
      <c r="AO1522" s="39">
        <v>1520</v>
      </c>
      <c r="AP1522" s="63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55" t="e">
        <f>IFERROR(VLOOKUP(AQ1522,'[1]Harga &amp; Nama CSO'!$H$2:$N$22,2,FALSE),"")*AV1522</f>
        <v>#VALUE!</v>
      </c>
      <c r="BO1522" s="40"/>
      <c r="BP1522" s="4"/>
      <c r="BQ1522" s="62"/>
      <c r="BR1522" s="4"/>
      <c r="BS1522" s="57" t="e">
        <f t="shared" si="44"/>
        <v>#VALUE!</v>
      </c>
      <c r="BT1522" s="63"/>
      <c r="BU1522" s="8">
        <v>0</v>
      </c>
      <c r="BV1522" s="58" t="e">
        <f>VLOOKUP(AQ1522,'[1]Harga &amp; Nama CSO'!$A$28:$D$31,4,0)*BP1522</f>
        <v>#N/A</v>
      </c>
    </row>
    <row r="1523" spans="41:74" x14ac:dyDescent="0.35">
      <c r="AO1523" s="39">
        <v>1521</v>
      </c>
      <c r="AP1523" s="63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55" t="e">
        <f>IFERROR(VLOOKUP(AQ1523,'[1]Harga &amp; Nama CSO'!$H$2:$N$22,2,FALSE),"")*AV1523</f>
        <v>#VALUE!</v>
      </c>
      <c r="BO1523" s="40"/>
      <c r="BP1523" s="4"/>
      <c r="BQ1523" s="62"/>
      <c r="BR1523" s="4"/>
      <c r="BS1523" s="57" t="e">
        <f t="shared" si="44"/>
        <v>#VALUE!</v>
      </c>
      <c r="BT1523" s="63"/>
      <c r="BU1523" s="8">
        <v>0</v>
      </c>
      <c r="BV1523" s="58" t="e">
        <f>VLOOKUP(AQ1523,'[1]Harga &amp; Nama CSO'!$A$28:$D$31,4,0)*BP1523</f>
        <v>#N/A</v>
      </c>
    </row>
    <row r="1524" spans="41:74" x14ac:dyDescent="0.35">
      <c r="AO1524" s="39">
        <v>1522</v>
      </c>
      <c r="AP1524" s="63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55" t="e">
        <f>IFERROR(VLOOKUP(AQ1524,'[1]Harga &amp; Nama CSO'!$H$2:$N$22,2,FALSE),"")*AV1524</f>
        <v>#VALUE!</v>
      </c>
      <c r="BO1524" s="40"/>
      <c r="BP1524" s="4"/>
      <c r="BQ1524" s="62"/>
      <c r="BR1524" s="4"/>
      <c r="BS1524" s="57" t="e">
        <f t="shared" si="44"/>
        <v>#VALUE!</v>
      </c>
      <c r="BT1524" s="63"/>
      <c r="BU1524" s="8">
        <v>0</v>
      </c>
      <c r="BV1524" s="58" t="e">
        <f>VLOOKUP(AQ1524,'[1]Harga &amp; Nama CSO'!$A$28:$D$31,4,0)*BP1524</f>
        <v>#N/A</v>
      </c>
    </row>
    <row r="1525" spans="41:74" x14ac:dyDescent="0.35">
      <c r="AO1525" s="39">
        <v>1523</v>
      </c>
      <c r="AP1525" s="63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55" t="e">
        <f>IFERROR(VLOOKUP(AQ1525,'[1]Harga &amp; Nama CSO'!$H$2:$N$22,2,FALSE),"")*AV1525</f>
        <v>#VALUE!</v>
      </c>
      <c r="BO1525" s="40"/>
      <c r="BP1525" s="4"/>
      <c r="BQ1525" s="62"/>
      <c r="BR1525" s="4"/>
      <c r="BS1525" s="57" t="e">
        <f t="shared" si="44"/>
        <v>#VALUE!</v>
      </c>
      <c r="BT1525" s="63"/>
      <c r="BU1525" s="8">
        <v>0</v>
      </c>
      <c r="BV1525" s="58" t="e">
        <f>VLOOKUP(AQ1525,'[1]Harga &amp; Nama CSO'!$A$28:$D$31,4,0)*BP1525</f>
        <v>#N/A</v>
      </c>
    </row>
    <row r="1526" spans="41:74" x14ac:dyDescent="0.35">
      <c r="AO1526" s="39">
        <v>1524</v>
      </c>
      <c r="AP1526" s="63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55" t="e">
        <f>IFERROR(VLOOKUP(AQ1526,'[1]Harga &amp; Nama CSO'!$H$2:$N$22,2,FALSE),"")*AV1526</f>
        <v>#VALUE!</v>
      </c>
      <c r="BO1526" s="40"/>
      <c r="BP1526" s="4"/>
      <c r="BQ1526" s="62"/>
      <c r="BR1526" s="4"/>
      <c r="BS1526" s="57" t="e">
        <f t="shared" si="44"/>
        <v>#VALUE!</v>
      </c>
      <c r="BT1526" s="63"/>
      <c r="BU1526" s="8">
        <v>0</v>
      </c>
      <c r="BV1526" s="58" t="e">
        <f>VLOOKUP(AQ1526,'[1]Harga &amp; Nama CSO'!$A$28:$D$31,4,0)*BP1526</f>
        <v>#N/A</v>
      </c>
    </row>
    <row r="1527" spans="41:74" x14ac:dyDescent="0.35">
      <c r="AO1527" s="39">
        <v>1525</v>
      </c>
      <c r="AP1527" s="63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55" t="e">
        <f>IFERROR(VLOOKUP(AQ1527,'[1]Harga &amp; Nama CSO'!$H$2:$N$22,2,FALSE),"")*AV1527</f>
        <v>#VALUE!</v>
      </c>
      <c r="BO1527" s="40"/>
      <c r="BP1527" s="4"/>
      <c r="BQ1527" s="62"/>
      <c r="BR1527" s="4"/>
      <c r="BS1527" s="57" t="e">
        <f t="shared" si="44"/>
        <v>#VALUE!</v>
      </c>
      <c r="BT1527" s="63"/>
      <c r="BU1527" s="8">
        <v>0</v>
      </c>
      <c r="BV1527" s="58" t="e">
        <f>VLOOKUP(AQ1527,'[1]Harga &amp; Nama CSO'!$A$28:$D$31,4,0)*BP1527</f>
        <v>#N/A</v>
      </c>
    </row>
    <row r="1528" spans="41:74" x14ac:dyDescent="0.35">
      <c r="AO1528" s="39">
        <v>1526</v>
      </c>
      <c r="AP1528" s="63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55" t="e">
        <f>IFERROR(VLOOKUP(AQ1528,'[1]Harga &amp; Nama CSO'!$H$2:$N$22,2,FALSE),"")*AV1528</f>
        <v>#VALUE!</v>
      </c>
      <c r="BO1528" s="40"/>
      <c r="BP1528" s="4"/>
      <c r="BQ1528" s="62"/>
      <c r="BR1528" s="4"/>
      <c r="BS1528" s="57" t="e">
        <f t="shared" si="44"/>
        <v>#VALUE!</v>
      </c>
      <c r="BT1528" s="63"/>
      <c r="BU1528" s="8">
        <v>0</v>
      </c>
      <c r="BV1528" s="58" t="e">
        <f>VLOOKUP(AQ1528,'[1]Harga &amp; Nama CSO'!$A$28:$D$31,4,0)*BP1528</f>
        <v>#N/A</v>
      </c>
    </row>
    <row r="1529" spans="41:74" x14ac:dyDescent="0.35">
      <c r="AO1529" s="39">
        <v>1527</v>
      </c>
      <c r="AP1529" s="63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55" t="e">
        <f>IFERROR(VLOOKUP(AQ1529,'[1]Harga &amp; Nama CSO'!$H$2:$N$22,2,FALSE),"")*AV1529</f>
        <v>#VALUE!</v>
      </c>
      <c r="BO1529" s="40"/>
      <c r="BP1529" s="4"/>
      <c r="BQ1529" s="62"/>
      <c r="BR1529" s="4"/>
      <c r="BS1529" s="57" t="e">
        <f t="shared" si="44"/>
        <v>#VALUE!</v>
      </c>
      <c r="BT1529" s="63"/>
      <c r="BU1529" s="8">
        <v>0</v>
      </c>
      <c r="BV1529" s="58" t="e">
        <f>VLOOKUP(AQ1529,'[1]Harga &amp; Nama CSO'!$A$28:$D$31,4,0)*BP1529</f>
        <v>#N/A</v>
      </c>
    </row>
    <row r="1530" spans="41:74" x14ac:dyDescent="0.35">
      <c r="AO1530" s="39">
        <v>1528</v>
      </c>
      <c r="AP1530" s="63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55" t="e">
        <f>IFERROR(VLOOKUP(AQ1530,'[1]Harga &amp; Nama CSO'!$H$2:$N$22,2,FALSE),"")*AV1530</f>
        <v>#VALUE!</v>
      </c>
      <c r="BO1530" s="40"/>
      <c r="BP1530" s="4"/>
      <c r="BQ1530" s="62"/>
      <c r="BR1530" s="4"/>
      <c r="BS1530" s="57" t="e">
        <f t="shared" si="44"/>
        <v>#VALUE!</v>
      </c>
      <c r="BT1530" s="63"/>
      <c r="BU1530" s="8">
        <v>0</v>
      </c>
      <c r="BV1530" s="58" t="e">
        <f>VLOOKUP(AQ1530,'[1]Harga &amp; Nama CSO'!$A$28:$D$31,4,0)*BP1530</f>
        <v>#N/A</v>
      </c>
    </row>
    <row r="1531" spans="41:74" x14ac:dyDescent="0.35">
      <c r="AO1531" s="39">
        <v>1529</v>
      </c>
      <c r="AP1531" s="63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55" t="e">
        <f>IFERROR(VLOOKUP(AQ1531,'[1]Harga &amp; Nama CSO'!$H$2:$N$22,2,FALSE),"")*AV1531</f>
        <v>#VALUE!</v>
      </c>
      <c r="BO1531" s="40"/>
      <c r="BP1531" s="4"/>
      <c r="BQ1531" s="62"/>
      <c r="BR1531" s="4"/>
      <c r="BS1531" s="57" t="e">
        <f t="shared" si="44"/>
        <v>#VALUE!</v>
      </c>
      <c r="BT1531" s="63"/>
      <c r="BU1531" s="8">
        <v>0</v>
      </c>
      <c r="BV1531" s="58" t="e">
        <f>VLOOKUP(AQ1531,'[1]Harga &amp; Nama CSO'!$A$28:$D$31,4,0)*BP1531</f>
        <v>#N/A</v>
      </c>
    </row>
    <row r="1532" spans="41:74" x14ac:dyDescent="0.35">
      <c r="AO1532" s="39">
        <v>1530</v>
      </c>
      <c r="AP1532" s="63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55" t="e">
        <f>IFERROR(VLOOKUP(AQ1532,'[1]Harga &amp; Nama CSO'!$H$2:$N$22,2,FALSE),"")*AV1532</f>
        <v>#VALUE!</v>
      </c>
      <c r="BO1532" s="40"/>
      <c r="BP1532" s="4"/>
      <c r="BQ1532" s="62"/>
      <c r="BR1532" s="4"/>
      <c r="BS1532" s="57" t="e">
        <f t="shared" si="44"/>
        <v>#VALUE!</v>
      </c>
      <c r="BT1532" s="63"/>
      <c r="BU1532" s="8">
        <v>0</v>
      </c>
      <c r="BV1532" s="58" t="e">
        <f>VLOOKUP(AQ1532,'[1]Harga &amp; Nama CSO'!$A$28:$D$31,4,0)*BP1532</f>
        <v>#N/A</v>
      </c>
    </row>
    <row r="1533" spans="41:74" x14ac:dyDescent="0.35">
      <c r="AO1533" s="39">
        <v>1531</v>
      </c>
      <c r="AP1533" s="63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55" t="e">
        <f>IFERROR(VLOOKUP(AQ1533,'[1]Harga &amp; Nama CSO'!$H$2:$N$22,2,FALSE),"")*AV1533</f>
        <v>#VALUE!</v>
      </c>
      <c r="BO1533" s="40"/>
      <c r="BP1533" s="4"/>
      <c r="BQ1533" s="62"/>
      <c r="BR1533" s="4"/>
      <c r="BS1533" s="57" t="e">
        <f t="shared" si="44"/>
        <v>#VALUE!</v>
      </c>
      <c r="BT1533" s="63"/>
      <c r="BU1533" s="8">
        <v>0</v>
      </c>
      <c r="BV1533" s="58" t="e">
        <f>VLOOKUP(AQ1533,'[1]Harga &amp; Nama CSO'!$A$28:$D$31,4,0)*BP1533</f>
        <v>#N/A</v>
      </c>
    </row>
    <row r="1534" spans="41:74" x14ac:dyDescent="0.35">
      <c r="AO1534" s="39">
        <v>1532</v>
      </c>
      <c r="AP1534" s="63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55" t="e">
        <f>IFERROR(VLOOKUP(AQ1534,'[1]Harga &amp; Nama CSO'!$H$2:$N$22,2,FALSE),"")*AV1534</f>
        <v>#VALUE!</v>
      </c>
      <c r="BO1534" s="40"/>
      <c r="BP1534" s="4"/>
      <c r="BQ1534" s="62"/>
      <c r="BR1534" s="4"/>
      <c r="BS1534" s="57" t="e">
        <f t="shared" si="44"/>
        <v>#VALUE!</v>
      </c>
      <c r="BT1534" s="63"/>
      <c r="BU1534" s="8">
        <v>0</v>
      </c>
      <c r="BV1534" s="58" t="e">
        <f>VLOOKUP(AQ1534,'[1]Harga &amp; Nama CSO'!$A$28:$D$31,4,0)*BP1534</f>
        <v>#N/A</v>
      </c>
    </row>
    <row r="1535" spans="41:74" x14ac:dyDescent="0.35">
      <c r="AO1535" s="39">
        <v>1533</v>
      </c>
      <c r="AP1535" s="63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55" t="e">
        <f>IFERROR(VLOOKUP(AQ1535,'[1]Harga &amp; Nama CSO'!$H$2:$N$22,2,FALSE),"")*AV1535</f>
        <v>#VALUE!</v>
      </c>
      <c r="BO1535" s="40"/>
      <c r="BP1535" s="4"/>
      <c r="BQ1535" s="62"/>
      <c r="BR1535" s="4"/>
      <c r="BS1535" s="57" t="e">
        <f t="shared" si="44"/>
        <v>#VALUE!</v>
      </c>
      <c r="BT1535" s="63"/>
      <c r="BU1535" s="8">
        <v>0</v>
      </c>
      <c r="BV1535" s="58" t="e">
        <f>VLOOKUP(AQ1535,'[1]Harga &amp; Nama CSO'!$A$28:$D$31,4,0)*BP1535</f>
        <v>#N/A</v>
      </c>
    </row>
    <row r="1536" spans="41:74" x14ac:dyDescent="0.35">
      <c r="AO1536" s="39">
        <v>1534</v>
      </c>
      <c r="AP1536" s="63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55" t="e">
        <f>IFERROR(VLOOKUP(AQ1536,'[1]Harga &amp; Nama CSO'!$H$2:$N$22,2,FALSE),"")*AV1536</f>
        <v>#VALUE!</v>
      </c>
      <c r="BO1536" s="40"/>
      <c r="BP1536" s="4"/>
      <c r="BQ1536" s="62"/>
      <c r="BR1536" s="4"/>
      <c r="BS1536" s="57" t="e">
        <f t="shared" si="44"/>
        <v>#VALUE!</v>
      </c>
      <c r="BT1536" s="63"/>
      <c r="BU1536" s="8">
        <v>0</v>
      </c>
      <c r="BV1536" s="58" t="e">
        <f>VLOOKUP(AQ1536,'[1]Harga &amp; Nama CSO'!$A$28:$D$31,4,0)*BP1536</f>
        <v>#N/A</v>
      </c>
    </row>
    <row r="1537" spans="41:74" x14ac:dyDescent="0.35">
      <c r="AO1537" s="39">
        <v>1535</v>
      </c>
      <c r="AP1537" s="63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55" t="e">
        <f>IFERROR(VLOOKUP(AQ1537,'[1]Harga &amp; Nama CSO'!$H$2:$N$22,2,FALSE),"")*AV1537</f>
        <v>#VALUE!</v>
      </c>
      <c r="BO1537" s="40"/>
      <c r="BP1537" s="4"/>
      <c r="BQ1537" s="62"/>
      <c r="BR1537" s="4"/>
      <c r="BS1537" s="57" t="e">
        <f t="shared" si="44"/>
        <v>#VALUE!</v>
      </c>
      <c r="BT1537" s="63"/>
      <c r="BU1537" s="8">
        <v>0</v>
      </c>
      <c r="BV1537" s="58" t="e">
        <f>VLOOKUP(AQ1537,'[1]Harga &amp; Nama CSO'!$A$28:$D$31,4,0)*BP1537</f>
        <v>#N/A</v>
      </c>
    </row>
    <row r="1538" spans="41:74" x14ac:dyDescent="0.35">
      <c r="AO1538" s="39">
        <v>1536</v>
      </c>
      <c r="AP1538" s="63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55" t="e">
        <f>IFERROR(VLOOKUP(AQ1538,'[1]Harga &amp; Nama CSO'!$H$2:$N$22,2,FALSE),"")*AV1538</f>
        <v>#VALUE!</v>
      </c>
      <c r="BO1538" s="40"/>
      <c r="BP1538" s="4"/>
      <c r="BQ1538" s="62"/>
      <c r="BR1538" s="4"/>
      <c r="BS1538" s="57" t="e">
        <f t="shared" si="44"/>
        <v>#VALUE!</v>
      </c>
      <c r="BT1538" s="63"/>
      <c r="BU1538" s="8">
        <v>0</v>
      </c>
      <c r="BV1538" s="58" t="e">
        <f>VLOOKUP(AQ1538,'[1]Harga &amp; Nama CSO'!$A$28:$D$31,4,0)*BP1538</f>
        <v>#N/A</v>
      </c>
    </row>
    <row r="1539" spans="41:74" x14ac:dyDescent="0.35">
      <c r="AO1539" s="39">
        <v>1537</v>
      </c>
      <c r="AP1539" s="63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55" t="e">
        <f>IFERROR(VLOOKUP(AQ1539,'[1]Harga &amp; Nama CSO'!$H$2:$N$22,2,FALSE),"")*AV1539</f>
        <v>#VALUE!</v>
      </c>
      <c r="BO1539" s="40"/>
      <c r="BP1539" s="4"/>
      <c r="BQ1539" s="62"/>
      <c r="BR1539" s="4"/>
      <c r="BS1539" s="57" t="e">
        <f t="shared" ref="BS1539:BS1602" si="45">BN1539-BQ1539</f>
        <v>#VALUE!</v>
      </c>
      <c r="BT1539" s="63"/>
      <c r="BU1539" s="8">
        <v>0</v>
      </c>
      <c r="BV1539" s="58" t="e">
        <f>VLOOKUP(AQ1539,'[1]Harga &amp; Nama CSO'!$A$28:$D$31,4,0)*BP1539</f>
        <v>#N/A</v>
      </c>
    </row>
    <row r="1540" spans="41:74" x14ac:dyDescent="0.35">
      <c r="AO1540" s="39">
        <v>1538</v>
      </c>
      <c r="AP1540" s="63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55" t="e">
        <f>IFERROR(VLOOKUP(AQ1540,'[1]Harga &amp; Nama CSO'!$H$2:$N$22,2,FALSE),"")*AV1540</f>
        <v>#VALUE!</v>
      </c>
      <c r="BO1540" s="40"/>
      <c r="BP1540" s="4"/>
      <c r="BQ1540" s="62"/>
      <c r="BR1540" s="4"/>
      <c r="BS1540" s="57" t="e">
        <f t="shared" si="45"/>
        <v>#VALUE!</v>
      </c>
      <c r="BT1540" s="63"/>
      <c r="BU1540" s="8">
        <v>0</v>
      </c>
      <c r="BV1540" s="58" t="e">
        <f>VLOOKUP(AQ1540,'[1]Harga &amp; Nama CSO'!$A$28:$D$31,4,0)*BP1540</f>
        <v>#N/A</v>
      </c>
    </row>
    <row r="1541" spans="41:74" x14ac:dyDescent="0.35">
      <c r="AO1541" s="39">
        <v>1539</v>
      </c>
      <c r="AP1541" s="63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55" t="e">
        <f>IFERROR(VLOOKUP(AQ1541,'[1]Harga &amp; Nama CSO'!$H$2:$N$22,2,FALSE),"")*AV1541</f>
        <v>#VALUE!</v>
      </c>
      <c r="BO1541" s="40"/>
      <c r="BP1541" s="4"/>
      <c r="BQ1541" s="62"/>
      <c r="BR1541" s="4"/>
      <c r="BS1541" s="57" t="e">
        <f t="shared" si="45"/>
        <v>#VALUE!</v>
      </c>
      <c r="BT1541" s="63"/>
      <c r="BU1541" s="8">
        <v>0</v>
      </c>
      <c r="BV1541" s="58" t="e">
        <f>VLOOKUP(AQ1541,'[1]Harga &amp; Nama CSO'!$A$28:$D$31,4,0)*BP1541</f>
        <v>#N/A</v>
      </c>
    </row>
    <row r="1542" spans="41:74" x14ac:dyDescent="0.35">
      <c r="AO1542" s="39">
        <v>1540</v>
      </c>
      <c r="AP1542" s="63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55" t="e">
        <f>IFERROR(VLOOKUP(AQ1542,'[1]Harga &amp; Nama CSO'!$H$2:$N$22,2,FALSE),"")*AV1542</f>
        <v>#VALUE!</v>
      </c>
      <c r="BO1542" s="40"/>
      <c r="BP1542" s="4"/>
      <c r="BQ1542" s="62"/>
      <c r="BR1542" s="4"/>
      <c r="BS1542" s="57" t="e">
        <f t="shared" si="45"/>
        <v>#VALUE!</v>
      </c>
      <c r="BT1542" s="63"/>
      <c r="BU1542" s="8">
        <v>0</v>
      </c>
      <c r="BV1542" s="58" t="e">
        <f>VLOOKUP(AQ1542,'[1]Harga &amp; Nama CSO'!$A$28:$D$31,4,0)*BP1542</f>
        <v>#N/A</v>
      </c>
    </row>
    <row r="1543" spans="41:74" x14ac:dyDescent="0.35">
      <c r="AO1543" s="39">
        <v>1541</v>
      </c>
      <c r="AP1543" s="63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55" t="e">
        <f>IFERROR(VLOOKUP(AQ1543,'[1]Harga &amp; Nama CSO'!$H$2:$N$22,2,FALSE),"")*AV1543</f>
        <v>#VALUE!</v>
      </c>
      <c r="BO1543" s="40"/>
      <c r="BP1543" s="4"/>
      <c r="BQ1543" s="62"/>
      <c r="BR1543" s="4"/>
      <c r="BS1543" s="57" t="e">
        <f t="shared" si="45"/>
        <v>#VALUE!</v>
      </c>
      <c r="BT1543" s="63"/>
      <c r="BU1543" s="8">
        <v>0</v>
      </c>
      <c r="BV1543" s="58" t="e">
        <f>VLOOKUP(AQ1543,'[1]Harga &amp; Nama CSO'!$A$28:$D$31,4,0)*BP1543</f>
        <v>#N/A</v>
      </c>
    </row>
    <row r="1544" spans="41:74" x14ac:dyDescent="0.35">
      <c r="AO1544" s="39">
        <v>1542</v>
      </c>
      <c r="AP1544" s="63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55" t="e">
        <f>IFERROR(VLOOKUP(AQ1544,'[1]Harga &amp; Nama CSO'!$H$2:$N$22,2,FALSE),"")*AV1544</f>
        <v>#VALUE!</v>
      </c>
      <c r="BO1544" s="40"/>
      <c r="BP1544" s="4"/>
      <c r="BQ1544" s="62"/>
      <c r="BR1544" s="4"/>
      <c r="BS1544" s="57" t="e">
        <f t="shared" si="45"/>
        <v>#VALUE!</v>
      </c>
      <c r="BT1544" s="63"/>
      <c r="BU1544" s="8">
        <v>0</v>
      </c>
      <c r="BV1544" s="58" t="e">
        <f>VLOOKUP(AQ1544,'[1]Harga &amp; Nama CSO'!$A$28:$D$31,4,0)*BP1544</f>
        <v>#N/A</v>
      </c>
    </row>
    <row r="1545" spans="41:74" x14ac:dyDescent="0.35">
      <c r="AO1545" s="39">
        <v>1543</v>
      </c>
      <c r="AP1545" s="63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55" t="e">
        <f>IFERROR(VLOOKUP(AQ1545,'[1]Harga &amp; Nama CSO'!$H$2:$N$22,2,FALSE),"")*AV1545</f>
        <v>#VALUE!</v>
      </c>
      <c r="BO1545" s="40"/>
      <c r="BP1545" s="4"/>
      <c r="BQ1545" s="62"/>
      <c r="BR1545" s="4"/>
      <c r="BS1545" s="57" t="e">
        <f t="shared" si="45"/>
        <v>#VALUE!</v>
      </c>
      <c r="BT1545" s="63"/>
      <c r="BU1545" s="8">
        <v>0</v>
      </c>
      <c r="BV1545" s="58" t="e">
        <f>VLOOKUP(AQ1545,'[1]Harga &amp; Nama CSO'!$A$28:$D$31,4,0)*BP1545</f>
        <v>#N/A</v>
      </c>
    </row>
    <row r="1546" spans="41:74" x14ac:dyDescent="0.35">
      <c r="AO1546" s="39">
        <v>1544</v>
      </c>
      <c r="AP1546" s="63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55" t="e">
        <f>IFERROR(VLOOKUP(AQ1546,'[1]Harga &amp; Nama CSO'!$H$2:$N$22,2,FALSE),"")*AV1546</f>
        <v>#VALUE!</v>
      </c>
      <c r="BO1546" s="40"/>
      <c r="BP1546" s="4"/>
      <c r="BQ1546" s="62"/>
      <c r="BR1546" s="4"/>
      <c r="BS1546" s="57" t="e">
        <f t="shared" si="45"/>
        <v>#VALUE!</v>
      </c>
      <c r="BT1546" s="63"/>
      <c r="BU1546" s="8">
        <v>0</v>
      </c>
      <c r="BV1546" s="58" t="e">
        <f>VLOOKUP(AQ1546,'[1]Harga &amp; Nama CSO'!$A$28:$D$31,4,0)*BP1546</f>
        <v>#N/A</v>
      </c>
    </row>
    <row r="1547" spans="41:74" x14ac:dyDescent="0.35">
      <c r="AO1547" s="39">
        <v>1545</v>
      </c>
      <c r="AP1547" s="63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55" t="e">
        <f>IFERROR(VLOOKUP(AQ1547,'[1]Harga &amp; Nama CSO'!$H$2:$N$22,2,FALSE),"")*AV1547</f>
        <v>#VALUE!</v>
      </c>
      <c r="BO1547" s="40"/>
      <c r="BP1547" s="4"/>
      <c r="BQ1547" s="62"/>
      <c r="BR1547" s="4"/>
      <c r="BS1547" s="57" t="e">
        <f t="shared" si="45"/>
        <v>#VALUE!</v>
      </c>
      <c r="BT1547" s="63"/>
      <c r="BU1547" s="8">
        <v>0</v>
      </c>
      <c r="BV1547" s="58" t="e">
        <f>VLOOKUP(AQ1547,'[1]Harga &amp; Nama CSO'!$A$28:$D$31,4,0)*BP1547</f>
        <v>#N/A</v>
      </c>
    </row>
    <row r="1548" spans="41:74" x14ac:dyDescent="0.35">
      <c r="AO1548" s="39">
        <v>1546</v>
      </c>
      <c r="AP1548" s="63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55" t="e">
        <f>IFERROR(VLOOKUP(AQ1548,'[1]Harga &amp; Nama CSO'!$H$2:$N$22,2,FALSE),"")*AV1548</f>
        <v>#VALUE!</v>
      </c>
      <c r="BO1548" s="40"/>
      <c r="BP1548" s="4"/>
      <c r="BQ1548" s="62"/>
      <c r="BR1548" s="4"/>
      <c r="BS1548" s="57" t="e">
        <f t="shared" si="45"/>
        <v>#VALUE!</v>
      </c>
      <c r="BT1548" s="63"/>
      <c r="BU1548" s="8">
        <v>0</v>
      </c>
      <c r="BV1548" s="58" t="e">
        <f>VLOOKUP(AQ1548,'[1]Harga &amp; Nama CSO'!$A$28:$D$31,4,0)*BP1548</f>
        <v>#N/A</v>
      </c>
    </row>
    <row r="1549" spans="41:74" x14ac:dyDescent="0.35">
      <c r="AO1549" s="39">
        <v>1547</v>
      </c>
      <c r="AP1549" s="63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55" t="e">
        <f>IFERROR(VLOOKUP(AQ1549,'[1]Harga &amp; Nama CSO'!$H$2:$N$22,2,FALSE),"")*AV1549</f>
        <v>#VALUE!</v>
      </c>
      <c r="BO1549" s="40"/>
      <c r="BP1549" s="4"/>
      <c r="BQ1549" s="62"/>
      <c r="BR1549" s="4"/>
      <c r="BS1549" s="57" t="e">
        <f t="shared" si="45"/>
        <v>#VALUE!</v>
      </c>
      <c r="BT1549" s="63"/>
      <c r="BU1549" s="8">
        <v>0</v>
      </c>
      <c r="BV1549" s="58" t="e">
        <f>VLOOKUP(AQ1549,'[1]Harga &amp; Nama CSO'!$A$28:$D$31,4,0)*BP1549</f>
        <v>#N/A</v>
      </c>
    </row>
    <row r="1550" spans="41:74" x14ac:dyDescent="0.35">
      <c r="AO1550" s="39">
        <v>1548</v>
      </c>
      <c r="AP1550" s="63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55" t="e">
        <f>IFERROR(VLOOKUP(AQ1550,'[1]Harga &amp; Nama CSO'!$H$2:$N$22,2,FALSE),"")*AV1550</f>
        <v>#VALUE!</v>
      </c>
      <c r="BO1550" s="40"/>
      <c r="BP1550" s="4"/>
      <c r="BQ1550" s="62"/>
      <c r="BR1550" s="4"/>
      <c r="BS1550" s="57" t="e">
        <f t="shared" si="45"/>
        <v>#VALUE!</v>
      </c>
      <c r="BT1550" s="63"/>
      <c r="BU1550" s="8">
        <v>0</v>
      </c>
      <c r="BV1550" s="58" t="e">
        <f>VLOOKUP(AQ1550,'[1]Harga &amp; Nama CSO'!$A$28:$D$31,4,0)*BP1550</f>
        <v>#N/A</v>
      </c>
    </row>
    <row r="1551" spans="41:74" x14ac:dyDescent="0.35">
      <c r="AO1551" s="39">
        <v>1549</v>
      </c>
      <c r="AP1551" s="63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55" t="e">
        <f>IFERROR(VLOOKUP(AQ1551,'[1]Harga &amp; Nama CSO'!$H$2:$N$22,2,FALSE),"")*AV1551</f>
        <v>#VALUE!</v>
      </c>
      <c r="BO1551" s="40"/>
      <c r="BP1551" s="4"/>
      <c r="BQ1551" s="62"/>
      <c r="BR1551" s="4"/>
      <c r="BS1551" s="57" t="e">
        <f t="shared" si="45"/>
        <v>#VALUE!</v>
      </c>
      <c r="BT1551" s="63"/>
      <c r="BU1551" s="8">
        <v>0</v>
      </c>
      <c r="BV1551" s="58" t="e">
        <f>VLOOKUP(AQ1551,'[1]Harga &amp; Nama CSO'!$A$28:$D$31,4,0)*BP1551</f>
        <v>#N/A</v>
      </c>
    </row>
    <row r="1552" spans="41:74" x14ac:dyDescent="0.35">
      <c r="AO1552" s="39">
        <v>1550</v>
      </c>
      <c r="AP1552" s="63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55" t="e">
        <f>IFERROR(VLOOKUP(AQ1552,'[1]Harga &amp; Nama CSO'!$H$2:$N$22,2,FALSE),"")*AV1552</f>
        <v>#VALUE!</v>
      </c>
      <c r="BO1552" s="40"/>
      <c r="BP1552" s="4"/>
      <c r="BQ1552" s="62"/>
      <c r="BR1552" s="4"/>
      <c r="BS1552" s="57" t="e">
        <f t="shared" si="45"/>
        <v>#VALUE!</v>
      </c>
      <c r="BT1552" s="63"/>
      <c r="BU1552" s="8">
        <v>0</v>
      </c>
      <c r="BV1552" s="58" t="e">
        <f>VLOOKUP(AQ1552,'[1]Harga &amp; Nama CSO'!$A$28:$D$31,4,0)*BP1552</f>
        <v>#N/A</v>
      </c>
    </row>
    <row r="1553" spans="41:74" x14ac:dyDescent="0.35">
      <c r="AO1553" s="39">
        <v>1551</v>
      </c>
      <c r="AP1553" s="63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55" t="e">
        <f>IFERROR(VLOOKUP(AQ1553,'[1]Harga &amp; Nama CSO'!$H$2:$N$22,2,FALSE),"")*AV1553</f>
        <v>#VALUE!</v>
      </c>
      <c r="BO1553" s="40"/>
      <c r="BP1553" s="4"/>
      <c r="BQ1553" s="62"/>
      <c r="BR1553" s="4"/>
      <c r="BS1553" s="57" t="e">
        <f t="shared" si="45"/>
        <v>#VALUE!</v>
      </c>
      <c r="BT1553" s="63"/>
      <c r="BU1553" s="8">
        <v>0</v>
      </c>
      <c r="BV1553" s="58" t="e">
        <f>VLOOKUP(AQ1553,'[1]Harga &amp; Nama CSO'!$A$28:$D$31,4,0)*BP1553</f>
        <v>#N/A</v>
      </c>
    </row>
    <row r="1554" spans="41:74" x14ac:dyDescent="0.35">
      <c r="AO1554" s="39">
        <v>1552</v>
      </c>
      <c r="AP1554" s="63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55" t="e">
        <f>IFERROR(VLOOKUP(AQ1554,'[1]Harga &amp; Nama CSO'!$H$2:$N$22,2,FALSE),"")*AV1554</f>
        <v>#VALUE!</v>
      </c>
      <c r="BO1554" s="40"/>
      <c r="BP1554" s="4"/>
      <c r="BQ1554" s="62"/>
      <c r="BR1554" s="4"/>
      <c r="BS1554" s="57" t="e">
        <f t="shared" si="45"/>
        <v>#VALUE!</v>
      </c>
      <c r="BT1554" s="63"/>
      <c r="BU1554" s="8">
        <v>0</v>
      </c>
      <c r="BV1554" s="58" t="e">
        <f>VLOOKUP(AQ1554,'[1]Harga &amp; Nama CSO'!$A$28:$D$31,4,0)*BP1554</f>
        <v>#N/A</v>
      </c>
    </row>
    <row r="1555" spans="41:74" x14ac:dyDescent="0.35">
      <c r="AO1555" s="39">
        <v>1553</v>
      </c>
      <c r="AP1555" s="63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55" t="e">
        <f>IFERROR(VLOOKUP(AQ1555,'[1]Harga &amp; Nama CSO'!$H$2:$N$22,2,FALSE),"")*AV1555</f>
        <v>#VALUE!</v>
      </c>
      <c r="BO1555" s="40"/>
      <c r="BP1555" s="4"/>
      <c r="BQ1555" s="62"/>
      <c r="BR1555" s="4"/>
      <c r="BS1555" s="57" t="e">
        <f t="shared" si="45"/>
        <v>#VALUE!</v>
      </c>
      <c r="BT1555" s="63"/>
      <c r="BU1555" s="8">
        <v>0</v>
      </c>
      <c r="BV1555" s="58" t="e">
        <f>VLOOKUP(AQ1555,'[1]Harga &amp; Nama CSO'!$A$28:$D$31,4,0)*BP1555</f>
        <v>#N/A</v>
      </c>
    </row>
    <row r="1556" spans="41:74" x14ac:dyDescent="0.35">
      <c r="AO1556" s="39">
        <v>1554</v>
      </c>
      <c r="AP1556" s="63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55" t="e">
        <f>IFERROR(VLOOKUP(AQ1556,'[1]Harga &amp; Nama CSO'!$H$2:$N$22,2,FALSE),"")*AV1556</f>
        <v>#VALUE!</v>
      </c>
      <c r="BO1556" s="40"/>
      <c r="BP1556" s="4"/>
      <c r="BQ1556" s="62"/>
      <c r="BR1556" s="4"/>
      <c r="BS1556" s="57" t="e">
        <f t="shared" si="45"/>
        <v>#VALUE!</v>
      </c>
      <c r="BT1556" s="63"/>
      <c r="BU1556" s="8">
        <v>0</v>
      </c>
      <c r="BV1556" s="58" t="e">
        <f>VLOOKUP(AQ1556,'[1]Harga &amp; Nama CSO'!$A$28:$D$31,4,0)*BP1556</f>
        <v>#N/A</v>
      </c>
    </row>
    <row r="1557" spans="41:74" x14ac:dyDescent="0.35">
      <c r="AO1557" s="39">
        <v>1555</v>
      </c>
      <c r="AP1557" s="63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55" t="e">
        <f>IFERROR(VLOOKUP(AQ1557,'[1]Harga &amp; Nama CSO'!$H$2:$N$22,2,FALSE),"")*AV1557</f>
        <v>#VALUE!</v>
      </c>
      <c r="BO1557" s="40"/>
      <c r="BP1557" s="4"/>
      <c r="BQ1557" s="62"/>
      <c r="BR1557" s="4"/>
      <c r="BS1557" s="57" t="e">
        <f t="shared" si="45"/>
        <v>#VALUE!</v>
      </c>
      <c r="BT1557" s="63"/>
      <c r="BU1557" s="8">
        <v>0</v>
      </c>
      <c r="BV1557" s="58" t="e">
        <f>VLOOKUP(AQ1557,'[1]Harga &amp; Nama CSO'!$A$28:$D$31,4,0)*BP1557</f>
        <v>#N/A</v>
      </c>
    </row>
    <row r="1558" spans="41:74" x14ac:dyDescent="0.35">
      <c r="AO1558" s="39">
        <v>1556</v>
      </c>
      <c r="AP1558" s="63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55" t="e">
        <f>IFERROR(VLOOKUP(AQ1558,'[1]Harga &amp; Nama CSO'!$H$2:$N$22,2,FALSE),"")*AV1558</f>
        <v>#VALUE!</v>
      </c>
      <c r="BO1558" s="40"/>
      <c r="BP1558" s="4"/>
      <c r="BQ1558" s="62"/>
      <c r="BR1558" s="4"/>
      <c r="BS1558" s="57" t="e">
        <f t="shared" si="45"/>
        <v>#VALUE!</v>
      </c>
      <c r="BT1558" s="63"/>
      <c r="BU1558" s="8">
        <v>0</v>
      </c>
      <c r="BV1558" s="58" t="e">
        <f>VLOOKUP(AQ1558,'[1]Harga &amp; Nama CSO'!$A$28:$D$31,4,0)*BP1558</f>
        <v>#N/A</v>
      </c>
    </row>
    <row r="1559" spans="41:74" x14ac:dyDescent="0.35">
      <c r="AO1559" s="39">
        <v>1557</v>
      </c>
      <c r="AP1559" s="63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55" t="e">
        <f>IFERROR(VLOOKUP(AQ1559,'[1]Harga &amp; Nama CSO'!$H$2:$N$22,2,FALSE),"")*AV1559</f>
        <v>#VALUE!</v>
      </c>
      <c r="BO1559" s="40"/>
      <c r="BP1559" s="4"/>
      <c r="BQ1559" s="62"/>
      <c r="BR1559" s="4"/>
      <c r="BS1559" s="57" t="e">
        <f t="shared" si="45"/>
        <v>#VALUE!</v>
      </c>
      <c r="BT1559" s="63"/>
      <c r="BU1559" s="8">
        <v>0</v>
      </c>
      <c r="BV1559" s="58" t="e">
        <f>VLOOKUP(AQ1559,'[1]Harga &amp; Nama CSO'!$A$28:$D$31,4,0)*BP1559</f>
        <v>#N/A</v>
      </c>
    </row>
    <row r="1560" spans="41:74" x14ac:dyDescent="0.35">
      <c r="AO1560" s="39">
        <v>1558</v>
      </c>
      <c r="AP1560" s="63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55" t="e">
        <f>IFERROR(VLOOKUP(AQ1560,'[1]Harga &amp; Nama CSO'!$H$2:$N$22,2,FALSE),"")*AV1560</f>
        <v>#VALUE!</v>
      </c>
      <c r="BO1560" s="40"/>
      <c r="BP1560" s="4"/>
      <c r="BQ1560" s="62"/>
      <c r="BR1560" s="4"/>
      <c r="BS1560" s="57" t="e">
        <f t="shared" si="45"/>
        <v>#VALUE!</v>
      </c>
      <c r="BT1560" s="63"/>
      <c r="BU1560" s="8">
        <v>0</v>
      </c>
      <c r="BV1560" s="58" t="e">
        <f>VLOOKUP(AQ1560,'[1]Harga &amp; Nama CSO'!$A$28:$D$31,4,0)*BP1560</f>
        <v>#N/A</v>
      </c>
    </row>
    <row r="1561" spans="41:74" x14ac:dyDescent="0.35">
      <c r="AO1561" s="39">
        <v>1559</v>
      </c>
      <c r="AP1561" s="63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55" t="e">
        <f>IFERROR(VLOOKUP(AQ1561,'[1]Harga &amp; Nama CSO'!$H$2:$N$22,2,FALSE),"")*AV1561</f>
        <v>#VALUE!</v>
      </c>
      <c r="BO1561" s="40"/>
      <c r="BP1561" s="4"/>
      <c r="BQ1561" s="62"/>
      <c r="BR1561" s="4"/>
      <c r="BS1561" s="57" t="e">
        <f t="shared" si="45"/>
        <v>#VALUE!</v>
      </c>
      <c r="BT1561" s="63"/>
      <c r="BU1561" s="8">
        <v>0</v>
      </c>
      <c r="BV1561" s="58" t="e">
        <f>VLOOKUP(AQ1561,'[1]Harga &amp; Nama CSO'!$A$28:$D$31,4,0)*BP1561</f>
        <v>#N/A</v>
      </c>
    </row>
    <row r="1562" spans="41:74" x14ac:dyDescent="0.35">
      <c r="AO1562" s="39">
        <v>1560</v>
      </c>
      <c r="AP1562" s="63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55" t="e">
        <f>IFERROR(VLOOKUP(AQ1562,'[1]Harga &amp; Nama CSO'!$H$2:$N$22,2,FALSE),"")*AV1562</f>
        <v>#VALUE!</v>
      </c>
      <c r="BO1562" s="40"/>
      <c r="BP1562" s="4"/>
      <c r="BQ1562" s="62"/>
      <c r="BR1562" s="4"/>
      <c r="BS1562" s="57" t="e">
        <f t="shared" si="45"/>
        <v>#VALUE!</v>
      </c>
      <c r="BT1562" s="63"/>
      <c r="BU1562" s="8">
        <v>0</v>
      </c>
      <c r="BV1562" s="58" t="e">
        <f>VLOOKUP(AQ1562,'[1]Harga &amp; Nama CSO'!$A$28:$D$31,4,0)*BP1562</f>
        <v>#N/A</v>
      </c>
    </row>
    <row r="1563" spans="41:74" x14ac:dyDescent="0.35">
      <c r="AO1563" s="39">
        <v>1561</v>
      </c>
      <c r="AP1563" s="63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55" t="e">
        <f>IFERROR(VLOOKUP(AQ1563,'[1]Harga &amp; Nama CSO'!$H$2:$N$22,2,FALSE),"")*AV1563</f>
        <v>#VALUE!</v>
      </c>
      <c r="BO1563" s="40"/>
      <c r="BP1563" s="4"/>
      <c r="BQ1563" s="62"/>
      <c r="BR1563" s="4"/>
      <c r="BS1563" s="57" t="e">
        <f t="shared" si="45"/>
        <v>#VALUE!</v>
      </c>
      <c r="BT1563" s="63"/>
      <c r="BU1563" s="8">
        <v>0</v>
      </c>
      <c r="BV1563" s="58" t="e">
        <f>VLOOKUP(AQ1563,'[1]Harga &amp; Nama CSO'!$A$28:$D$31,4,0)*BP1563</f>
        <v>#N/A</v>
      </c>
    </row>
    <row r="1564" spans="41:74" x14ac:dyDescent="0.35">
      <c r="AO1564" s="39">
        <v>1562</v>
      </c>
      <c r="AP1564" s="63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55" t="e">
        <f>IFERROR(VLOOKUP(AQ1564,'[1]Harga &amp; Nama CSO'!$H$2:$N$22,2,FALSE),"")*AV1564</f>
        <v>#VALUE!</v>
      </c>
      <c r="BO1564" s="40"/>
      <c r="BP1564" s="4"/>
      <c r="BQ1564" s="62"/>
      <c r="BR1564" s="4"/>
      <c r="BS1564" s="57" t="e">
        <f t="shared" si="45"/>
        <v>#VALUE!</v>
      </c>
      <c r="BT1564" s="63"/>
      <c r="BU1564" s="8">
        <v>0</v>
      </c>
      <c r="BV1564" s="58" t="e">
        <f>VLOOKUP(AQ1564,'[1]Harga &amp; Nama CSO'!$A$28:$D$31,4,0)*BP1564</f>
        <v>#N/A</v>
      </c>
    </row>
    <row r="1565" spans="41:74" x14ac:dyDescent="0.35">
      <c r="AO1565" s="39">
        <v>1563</v>
      </c>
      <c r="AP1565" s="63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55" t="e">
        <f>IFERROR(VLOOKUP(AQ1565,'[1]Harga &amp; Nama CSO'!$H$2:$N$22,2,FALSE),"")*AV1565</f>
        <v>#VALUE!</v>
      </c>
      <c r="BO1565" s="40"/>
      <c r="BP1565" s="4"/>
      <c r="BQ1565" s="62"/>
      <c r="BR1565" s="4"/>
      <c r="BS1565" s="57" t="e">
        <f t="shared" si="45"/>
        <v>#VALUE!</v>
      </c>
      <c r="BT1565" s="63"/>
      <c r="BU1565" s="8">
        <v>0</v>
      </c>
      <c r="BV1565" s="58" t="e">
        <f>VLOOKUP(AQ1565,'[1]Harga &amp; Nama CSO'!$A$28:$D$31,4,0)*BP1565</f>
        <v>#N/A</v>
      </c>
    </row>
    <row r="1566" spans="41:74" x14ac:dyDescent="0.35">
      <c r="AO1566" s="39">
        <v>1564</v>
      </c>
      <c r="AP1566" s="63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55" t="e">
        <f>IFERROR(VLOOKUP(AQ1566,'[1]Harga &amp; Nama CSO'!$H$2:$N$22,2,FALSE),"")*AV1566</f>
        <v>#VALUE!</v>
      </c>
      <c r="BO1566" s="40"/>
      <c r="BP1566" s="4"/>
      <c r="BQ1566" s="62"/>
      <c r="BR1566" s="4"/>
      <c r="BS1566" s="57" t="e">
        <f t="shared" si="45"/>
        <v>#VALUE!</v>
      </c>
      <c r="BT1566" s="63"/>
      <c r="BU1566" s="8">
        <v>0</v>
      </c>
      <c r="BV1566" s="58" t="e">
        <f>VLOOKUP(AQ1566,'[1]Harga &amp; Nama CSO'!$A$28:$D$31,4,0)*BP1566</f>
        <v>#N/A</v>
      </c>
    </row>
    <row r="1567" spans="41:74" x14ac:dyDescent="0.35">
      <c r="AO1567" s="39">
        <v>1565</v>
      </c>
      <c r="AP1567" s="63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55" t="e">
        <f>IFERROR(VLOOKUP(AQ1567,'[1]Harga &amp; Nama CSO'!$H$2:$N$22,2,FALSE),"")*AV1567</f>
        <v>#VALUE!</v>
      </c>
      <c r="BO1567" s="40"/>
      <c r="BP1567" s="4"/>
      <c r="BQ1567" s="62"/>
      <c r="BR1567" s="4"/>
      <c r="BS1567" s="57" t="e">
        <f t="shared" si="45"/>
        <v>#VALUE!</v>
      </c>
      <c r="BT1567" s="63"/>
      <c r="BU1567" s="8">
        <v>0</v>
      </c>
      <c r="BV1567" s="58" t="e">
        <f>VLOOKUP(AQ1567,'[1]Harga &amp; Nama CSO'!$A$28:$D$31,4,0)*BP1567</f>
        <v>#N/A</v>
      </c>
    </row>
    <row r="1568" spans="41:74" x14ac:dyDescent="0.35">
      <c r="AO1568" s="39">
        <v>1566</v>
      </c>
      <c r="AP1568" s="63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55" t="e">
        <f>IFERROR(VLOOKUP(AQ1568,'[1]Harga &amp; Nama CSO'!$H$2:$N$22,2,FALSE),"")*AV1568</f>
        <v>#VALUE!</v>
      </c>
      <c r="BO1568" s="40"/>
      <c r="BP1568" s="4"/>
      <c r="BQ1568" s="62"/>
      <c r="BR1568" s="4"/>
      <c r="BS1568" s="57" t="e">
        <f t="shared" si="45"/>
        <v>#VALUE!</v>
      </c>
      <c r="BT1568" s="63"/>
      <c r="BU1568" s="8">
        <v>0</v>
      </c>
      <c r="BV1568" s="58" t="e">
        <f>VLOOKUP(AQ1568,'[1]Harga &amp; Nama CSO'!$A$28:$D$31,4,0)*BP1568</f>
        <v>#N/A</v>
      </c>
    </row>
    <row r="1569" spans="41:74" x14ac:dyDescent="0.35">
      <c r="AO1569" s="39">
        <v>1567</v>
      </c>
      <c r="AP1569" s="63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55" t="e">
        <f>IFERROR(VLOOKUP(AQ1569,'[1]Harga &amp; Nama CSO'!$H$2:$N$22,2,FALSE),"")*AV1569</f>
        <v>#VALUE!</v>
      </c>
      <c r="BO1569" s="40"/>
      <c r="BP1569" s="4"/>
      <c r="BQ1569" s="62"/>
      <c r="BR1569" s="4"/>
      <c r="BS1569" s="57" t="e">
        <f t="shared" si="45"/>
        <v>#VALUE!</v>
      </c>
      <c r="BT1569" s="63"/>
      <c r="BU1569" s="8">
        <v>0</v>
      </c>
      <c r="BV1569" s="58" t="e">
        <f>VLOOKUP(AQ1569,'[1]Harga &amp; Nama CSO'!$A$28:$D$31,4,0)*BP1569</f>
        <v>#N/A</v>
      </c>
    </row>
    <row r="1570" spans="41:74" x14ac:dyDescent="0.35">
      <c r="AO1570" s="39">
        <v>1568</v>
      </c>
      <c r="AP1570" s="63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55" t="e">
        <f>IFERROR(VLOOKUP(AQ1570,'[1]Harga &amp; Nama CSO'!$H$2:$N$22,2,FALSE),"")*AV1570</f>
        <v>#VALUE!</v>
      </c>
      <c r="BO1570" s="40"/>
      <c r="BP1570" s="4"/>
      <c r="BQ1570" s="62"/>
      <c r="BR1570" s="4"/>
      <c r="BS1570" s="57" t="e">
        <f t="shared" si="45"/>
        <v>#VALUE!</v>
      </c>
      <c r="BT1570" s="63"/>
      <c r="BU1570" s="8">
        <v>0</v>
      </c>
      <c r="BV1570" s="58" t="e">
        <f>VLOOKUP(AQ1570,'[1]Harga &amp; Nama CSO'!$A$28:$D$31,4,0)*BP1570</f>
        <v>#N/A</v>
      </c>
    </row>
    <row r="1571" spans="41:74" x14ac:dyDescent="0.35">
      <c r="AO1571" s="39">
        <v>1569</v>
      </c>
      <c r="AP1571" s="63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55" t="e">
        <f>IFERROR(VLOOKUP(AQ1571,'[1]Harga &amp; Nama CSO'!$H$2:$N$22,2,FALSE),"")*AV1571</f>
        <v>#VALUE!</v>
      </c>
      <c r="BO1571" s="40"/>
      <c r="BP1571" s="4"/>
      <c r="BQ1571" s="62"/>
      <c r="BR1571" s="4"/>
      <c r="BS1571" s="57" t="e">
        <f t="shared" si="45"/>
        <v>#VALUE!</v>
      </c>
      <c r="BT1571" s="63"/>
      <c r="BU1571" s="8">
        <v>0</v>
      </c>
      <c r="BV1571" s="58" t="e">
        <f>VLOOKUP(AQ1571,'[1]Harga &amp; Nama CSO'!$A$28:$D$31,4,0)*BP1571</f>
        <v>#N/A</v>
      </c>
    </row>
    <row r="1572" spans="41:74" x14ac:dyDescent="0.35">
      <c r="AO1572" s="39">
        <v>1570</v>
      </c>
      <c r="AP1572" s="63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55" t="e">
        <f>IFERROR(VLOOKUP(AQ1572,'[1]Harga &amp; Nama CSO'!$H$2:$N$22,2,FALSE),"")*AV1572</f>
        <v>#VALUE!</v>
      </c>
      <c r="BO1572" s="40"/>
      <c r="BP1572" s="4"/>
      <c r="BQ1572" s="62"/>
      <c r="BR1572" s="4"/>
      <c r="BS1572" s="57" t="e">
        <f t="shared" si="45"/>
        <v>#VALUE!</v>
      </c>
      <c r="BT1572" s="63"/>
      <c r="BU1572" s="8">
        <v>0</v>
      </c>
      <c r="BV1572" s="58" t="e">
        <f>VLOOKUP(AQ1572,'[1]Harga &amp; Nama CSO'!$A$28:$D$31,4,0)*BP1572</f>
        <v>#N/A</v>
      </c>
    </row>
    <row r="1573" spans="41:74" x14ac:dyDescent="0.35">
      <c r="AO1573" s="39">
        <v>1571</v>
      </c>
      <c r="AP1573" s="63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55" t="e">
        <f>IFERROR(VLOOKUP(AQ1573,'[1]Harga &amp; Nama CSO'!$H$2:$N$22,2,FALSE),"")*AV1573</f>
        <v>#VALUE!</v>
      </c>
      <c r="BO1573" s="40"/>
      <c r="BP1573" s="4"/>
      <c r="BQ1573" s="62"/>
      <c r="BR1573" s="4"/>
      <c r="BS1573" s="57" t="e">
        <f t="shared" si="45"/>
        <v>#VALUE!</v>
      </c>
      <c r="BT1573" s="63"/>
      <c r="BU1573" s="8">
        <v>0</v>
      </c>
      <c r="BV1573" s="58" t="e">
        <f>VLOOKUP(AQ1573,'[1]Harga &amp; Nama CSO'!$A$28:$D$31,4,0)*BP1573</f>
        <v>#N/A</v>
      </c>
    </row>
    <row r="1574" spans="41:74" x14ac:dyDescent="0.35">
      <c r="AO1574" s="39">
        <v>1572</v>
      </c>
      <c r="AP1574" s="63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55" t="e">
        <f>IFERROR(VLOOKUP(AQ1574,'[1]Harga &amp; Nama CSO'!$H$2:$N$22,2,FALSE),"")*AV1574</f>
        <v>#VALUE!</v>
      </c>
      <c r="BO1574" s="40"/>
      <c r="BP1574" s="4"/>
      <c r="BQ1574" s="62"/>
      <c r="BR1574" s="4"/>
      <c r="BS1574" s="57" t="e">
        <f t="shared" si="45"/>
        <v>#VALUE!</v>
      </c>
      <c r="BT1574" s="63"/>
      <c r="BU1574" s="8">
        <v>0</v>
      </c>
      <c r="BV1574" s="58" t="e">
        <f>VLOOKUP(AQ1574,'[1]Harga &amp; Nama CSO'!$A$28:$D$31,4,0)*BP1574</f>
        <v>#N/A</v>
      </c>
    </row>
    <row r="1575" spans="41:74" x14ac:dyDescent="0.35">
      <c r="AO1575" s="39">
        <v>1573</v>
      </c>
      <c r="AP1575" s="63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55" t="e">
        <f>IFERROR(VLOOKUP(AQ1575,'[1]Harga &amp; Nama CSO'!$H$2:$N$22,2,FALSE),"")*AV1575</f>
        <v>#VALUE!</v>
      </c>
      <c r="BO1575" s="40"/>
      <c r="BP1575" s="4"/>
      <c r="BQ1575" s="62"/>
      <c r="BR1575" s="4"/>
      <c r="BS1575" s="57" t="e">
        <f t="shared" si="45"/>
        <v>#VALUE!</v>
      </c>
      <c r="BT1575" s="63"/>
      <c r="BU1575" s="8">
        <v>0</v>
      </c>
      <c r="BV1575" s="58" t="e">
        <f>VLOOKUP(AQ1575,'[1]Harga &amp; Nama CSO'!$A$28:$D$31,4,0)*BP1575</f>
        <v>#N/A</v>
      </c>
    </row>
    <row r="1576" spans="41:74" x14ac:dyDescent="0.35">
      <c r="AO1576" s="39">
        <v>1574</v>
      </c>
      <c r="AP1576" s="63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55" t="e">
        <f>IFERROR(VLOOKUP(AQ1576,'[1]Harga &amp; Nama CSO'!$H$2:$N$22,2,FALSE),"")*AV1576</f>
        <v>#VALUE!</v>
      </c>
      <c r="BO1576" s="40"/>
      <c r="BP1576" s="4"/>
      <c r="BQ1576" s="62"/>
      <c r="BR1576" s="4"/>
      <c r="BS1576" s="57" t="e">
        <f t="shared" si="45"/>
        <v>#VALUE!</v>
      </c>
      <c r="BT1576" s="63"/>
      <c r="BU1576" s="8">
        <v>0</v>
      </c>
      <c r="BV1576" s="58" t="e">
        <f>VLOOKUP(AQ1576,'[1]Harga &amp; Nama CSO'!$A$28:$D$31,4,0)*BP1576</f>
        <v>#N/A</v>
      </c>
    </row>
    <row r="1577" spans="41:74" x14ac:dyDescent="0.35">
      <c r="AO1577" s="39">
        <v>1575</v>
      </c>
      <c r="AP1577" s="63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55" t="e">
        <f>IFERROR(VLOOKUP(AQ1577,'[1]Harga &amp; Nama CSO'!$H$2:$N$22,2,FALSE),"")*AV1577</f>
        <v>#VALUE!</v>
      </c>
      <c r="BO1577" s="40"/>
      <c r="BP1577" s="4"/>
      <c r="BQ1577" s="62"/>
      <c r="BR1577" s="4"/>
      <c r="BS1577" s="57" t="e">
        <f t="shared" si="45"/>
        <v>#VALUE!</v>
      </c>
      <c r="BT1577" s="63"/>
      <c r="BU1577" s="8">
        <v>0</v>
      </c>
      <c r="BV1577" s="58" t="e">
        <f>VLOOKUP(AQ1577,'[1]Harga &amp; Nama CSO'!$A$28:$D$31,4,0)*BP1577</f>
        <v>#N/A</v>
      </c>
    </row>
    <row r="1578" spans="41:74" x14ac:dyDescent="0.35">
      <c r="AO1578" s="39">
        <v>1576</v>
      </c>
      <c r="AP1578" s="63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55" t="e">
        <f>IFERROR(VLOOKUP(AQ1578,'[1]Harga &amp; Nama CSO'!$H$2:$N$22,2,FALSE),"")*AV1578</f>
        <v>#VALUE!</v>
      </c>
      <c r="BO1578" s="40"/>
      <c r="BP1578" s="4"/>
      <c r="BQ1578" s="62"/>
      <c r="BR1578" s="4"/>
      <c r="BS1578" s="57" t="e">
        <f t="shared" si="45"/>
        <v>#VALUE!</v>
      </c>
      <c r="BT1578" s="63"/>
      <c r="BU1578" s="8">
        <v>0</v>
      </c>
      <c r="BV1578" s="58" t="e">
        <f>VLOOKUP(AQ1578,'[1]Harga &amp; Nama CSO'!$A$28:$D$31,4,0)*BP1578</f>
        <v>#N/A</v>
      </c>
    </row>
    <row r="1579" spans="41:74" x14ac:dyDescent="0.35">
      <c r="AO1579" s="39">
        <v>1577</v>
      </c>
      <c r="AP1579" s="63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55" t="e">
        <f>IFERROR(VLOOKUP(AQ1579,'[1]Harga &amp; Nama CSO'!$H$2:$N$22,2,FALSE),"")*AV1579</f>
        <v>#VALUE!</v>
      </c>
      <c r="BO1579" s="40"/>
      <c r="BP1579" s="4"/>
      <c r="BQ1579" s="62"/>
      <c r="BR1579" s="4"/>
      <c r="BS1579" s="57" t="e">
        <f t="shared" si="45"/>
        <v>#VALUE!</v>
      </c>
      <c r="BT1579" s="63"/>
      <c r="BU1579" s="8">
        <v>0</v>
      </c>
      <c r="BV1579" s="58" t="e">
        <f>VLOOKUP(AQ1579,'[1]Harga &amp; Nama CSO'!$A$28:$D$31,4,0)*BP1579</f>
        <v>#N/A</v>
      </c>
    </row>
    <row r="1580" spans="41:74" x14ac:dyDescent="0.35">
      <c r="AO1580" s="39">
        <v>1578</v>
      </c>
      <c r="AP1580" s="63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55" t="e">
        <f>IFERROR(VLOOKUP(AQ1580,'[1]Harga &amp; Nama CSO'!$H$2:$N$22,2,FALSE),"")*AV1580</f>
        <v>#VALUE!</v>
      </c>
      <c r="BO1580" s="40"/>
      <c r="BP1580" s="4"/>
      <c r="BQ1580" s="62"/>
      <c r="BR1580" s="4"/>
      <c r="BS1580" s="57" t="e">
        <f t="shared" si="45"/>
        <v>#VALUE!</v>
      </c>
      <c r="BT1580" s="63"/>
      <c r="BU1580" s="8">
        <v>0</v>
      </c>
      <c r="BV1580" s="58" t="e">
        <f>VLOOKUP(AQ1580,'[1]Harga &amp; Nama CSO'!$A$28:$D$31,4,0)*BP1580</f>
        <v>#N/A</v>
      </c>
    </row>
    <row r="1581" spans="41:74" x14ac:dyDescent="0.35">
      <c r="AO1581" s="39">
        <v>1579</v>
      </c>
      <c r="AP1581" s="63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55" t="e">
        <f>IFERROR(VLOOKUP(AQ1581,'[1]Harga &amp; Nama CSO'!$H$2:$N$22,2,FALSE),"")*AV1581</f>
        <v>#VALUE!</v>
      </c>
      <c r="BO1581" s="40"/>
      <c r="BP1581" s="4"/>
      <c r="BQ1581" s="62"/>
      <c r="BR1581" s="4"/>
      <c r="BS1581" s="57" t="e">
        <f t="shared" si="45"/>
        <v>#VALUE!</v>
      </c>
      <c r="BT1581" s="63"/>
      <c r="BU1581" s="8">
        <v>0</v>
      </c>
      <c r="BV1581" s="58" t="e">
        <f>VLOOKUP(AQ1581,'[1]Harga &amp; Nama CSO'!$A$28:$D$31,4,0)*BP1581</f>
        <v>#N/A</v>
      </c>
    </row>
    <row r="1582" spans="41:74" x14ac:dyDescent="0.35">
      <c r="AO1582" s="39">
        <v>1580</v>
      </c>
      <c r="AP1582" s="63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55" t="e">
        <f>IFERROR(VLOOKUP(AQ1582,'[1]Harga &amp; Nama CSO'!$H$2:$N$22,2,FALSE),"")*AV1582</f>
        <v>#VALUE!</v>
      </c>
      <c r="BO1582" s="40"/>
      <c r="BP1582" s="4"/>
      <c r="BQ1582" s="62"/>
      <c r="BR1582" s="4"/>
      <c r="BS1582" s="57" t="e">
        <f t="shared" si="45"/>
        <v>#VALUE!</v>
      </c>
      <c r="BT1582" s="63"/>
      <c r="BU1582" s="8">
        <v>0</v>
      </c>
      <c r="BV1582" s="58" t="e">
        <f>VLOOKUP(AQ1582,'[1]Harga &amp; Nama CSO'!$A$28:$D$31,4,0)*BP1582</f>
        <v>#N/A</v>
      </c>
    </row>
    <row r="1583" spans="41:74" x14ac:dyDescent="0.35">
      <c r="AO1583" s="39">
        <v>1581</v>
      </c>
      <c r="AP1583" s="63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55" t="e">
        <f>IFERROR(VLOOKUP(AQ1583,'[1]Harga &amp; Nama CSO'!$H$2:$N$22,2,FALSE),"")*AV1583</f>
        <v>#VALUE!</v>
      </c>
      <c r="BO1583" s="40"/>
      <c r="BP1583" s="4"/>
      <c r="BQ1583" s="62"/>
      <c r="BR1583" s="4"/>
      <c r="BS1583" s="57" t="e">
        <f t="shared" si="45"/>
        <v>#VALUE!</v>
      </c>
      <c r="BT1583" s="63"/>
      <c r="BU1583" s="8">
        <v>0</v>
      </c>
      <c r="BV1583" s="58" t="e">
        <f>VLOOKUP(AQ1583,'[1]Harga &amp; Nama CSO'!$A$28:$D$31,4,0)*BP1583</f>
        <v>#N/A</v>
      </c>
    </row>
    <row r="1584" spans="41:74" x14ac:dyDescent="0.35">
      <c r="AO1584" s="39">
        <v>1582</v>
      </c>
      <c r="AP1584" s="63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55" t="e">
        <f>IFERROR(VLOOKUP(AQ1584,'[1]Harga &amp; Nama CSO'!$H$2:$N$22,2,FALSE),"")*AV1584</f>
        <v>#VALUE!</v>
      </c>
      <c r="BO1584" s="40"/>
      <c r="BP1584" s="4"/>
      <c r="BQ1584" s="62"/>
      <c r="BR1584" s="4"/>
      <c r="BS1584" s="57" t="e">
        <f t="shared" si="45"/>
        <v>#VALUE!</v>
      </c>
      <c r="BT1584" s="63"/>
      <c r="BU1584" s="8">
        <v>0</v>
      </c>
      <c r="BV1584" s="58" t="e">
        <f>VLOOKUP(AQ1584,'[1]Harga &amp; Nama CSO'!$A$28:$D$31,4,0)*BP1584</f>
        <v>#N/A</v>
      </c>
    </row>
    <row r="1585" spans="41:74" x14ac:dyDescent="0.35">
      <c r="AO1585" s="39">
        <v>1583</v>
      </c>
      <c r="AP1585" s="63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55" t="e">
        <f>IFERROR(VLOOKUP(AQ1585,'[1]Harga &amp; Nama CSO'!$H$2:$N$22,2,FALSE),"")*AV1585</f>
        <v>#VALUE!</v>
      </c>
      <c r="BO1585" s="40"/>
      <c r="BP1585" s="4"/>
      <c r="BQ1585" s="62"/>
      <c r="BR1585" s="4"/>
      <c r="BS1585" s="57" t="e">
        <f t="shared" si="45"/>
        <v>#VALUE!</v>
      </c>
      <c r="BT1585" s="63"/>
      <c r="BU1585" s="8">
        <v>0</v>
      </c>
      <c r="BV1585" s="58" t="e">
        <f>VLOOKUP(AQ1585,'[1]Harga &amp; Nama CSO'!$A$28:$D$31,4,0)*BP1585</f>
        <v>#N/A</v>
      </c>
    </row>
    <row r="1586" spans="41:74" x14ac:dyDescent="0.35">
      <c r="AO1586" s="39">
        <v>1584</v>
      </c>
      <c r="AP1586" s="63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55" t="e">
        <f>IFERROR(VLOOKUP(AQ1586,'[1]Harga &amp; Nama CSO'!$H$2:$N$22,2,FALSE),"")*AV1586</f>
        <v>#VALUE!</v>
      </c>
      <c r="BO1586" s="40"/>
      <c r="BP1586" s="4"/>
      <c r="BQ1586" s="62"/>
      <c r="BR1586" s="4"/>
      <c r="BS1586" s="57" t="e">
        <f t="shared" si="45"/>
        <v>#VALUE!</v>
      </c>
      <c r="BT1586" s="63"/>
      <c r="BU1586" s="8">
        <v>0</v>
      </c>
      <c r="BV1586" s="58" t="e">
        <f>VLOOKUP(AQ1586,'[1]Harga &amp; Nama CSO'!$A$28:$D$31,4,0)*BP1586</f>
        <v>#N/A</v>
      </c>
    </row>
    <row r="1587" spans="41:74" x14ac:dyDescent="0.35">
      <c r="AO1587" s="39">
        <v>1585</v>
      </c>
      <c r="AP1587" s="63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55" t="e">
        <f>IFERROR(VLOOKUP(AQ1587,'[1]Harga &amp; Nama CSO'!$H$2:$N$22,2,FALSE),"")*AV1587</f>
        <v>#VALUE!</v>
      </c>
      <c r="BO1587" s="40"/>
      <c r="BP1587" s="4"/>
      <c r="BQ1587" s="62"/>
      <c r="BR1587" s="4"/>
      <c r="BS1587" s="57" t="e">
        <f t="shared" si="45"/>
        <v>#VALUE!</v>
      </c>
      <c r="BT1587" s="63"/>
      <c r="BU1587" s="8">
        <v>0</v>
      </c>
      <c r="BV1587" s="58" t="e">
        <f>VLOOKUP(AQ1587,'[1]Harga &amp; Nama CSO'!$A$28:$D$31,4,0)*BP1587</f>
        <v>#N/A</v>
      </c>
    </row>
    <row r="1588" spans="41:74" x14ac:dyDescent="0.35">
      <c r="AO1588" s="39">
        <v>1586</v>
      </c>
      <c r="AP1588" s="63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55" t="e">
        <f>IFERROR(VLOOKUP(AQ1588,'[1]Harga &amp; Nama CSO'!$H$2:$N$22,2,FALSE),"")*AV1588</f>
        <v>#VALUE!</v>
      </c>
      <c r="BO1588" s="40"/>
      <c r="BP1588" s="4"/>
      <c r="BQ1588" s="62"/>
      <c r="BR1588" s="4"/>
      <c r="BS1588" s="57" t="e">
        <f t="shared" si="45"/>
        <v>#VALUE!</v>
      </c>
      <c r="BT1588" s="63"/>
      <c r="BU1588" s="8">
        <v>0</v>
      </c>
      <c r="BV1588" s="58" t="e">
        <f>VLOOKUP(AQ1588,'[1]Harga &amp; Nama CSO'!$A$28:$D$31,4,0)*BP1588</f>
        <v>#N/A</v>
      </c>
    </row>
    <row r="1589" spans="41:74" x14ac:dyDescent="0.35">
      <c r="AO1589" s="39">
        <v>1587</v>
      </c>
      <c r="AP1589" s="63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55" t="e">
        <f>IFERROR(VLOOKUP(AQ1589,'[1]Harga &amp; Nama CSO'!$H$2:$N$22,2,FALSE),"")*AV1589</f>
        <v>#VALUE!</v>
      </c>
      <c r="BO1589" s="40"/>
      <c r="BP1589" s="4"/>
      <c r="BQ1589" s="62"/>
      <c r="BR1589" s="4"/>
      <c r="BS1589" s="57" t="e">
        <f t="shared" si="45"/>
        <v>#VALUE!</v>
      </c>
      <c r="BT1589" s="63"/>
      <c r="BU1589" s="8">
        <v>0</v>
      </c>
      <c r="BV1589" s="58" t="e">
        <f>VLOOKUP(AQ1589,'[1]Harga &amp; Nama CSO'!$A$28:$D$31,4,0)*BP1589</f>
        <v>#N/A</v>
      </c>
    </row>
    <row r="1590" spans="41:74" x14ac:dyDescent="0.35">
      <c r="AO1590" s="39">
        <v>1588</v>
      </c>
      <c r="AP1590" s="63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55" t="e">
        <f>IFERROR(VLOOKUP(AQ1590,'[1]Harga &amp; Nama CSO'!$H$2:$N$22,2,FALSE),"")*AV1590</f>
        <v>#VALUE!</v>
      </c>
      <c r="BO1590" s="40"/>
      <c r="BP1590" s="4"/>
      <c r="BQ1590" s="62"/>
      <c r="BR1590" s="4"/>
      <c r="BS1590" s="57" t="e">
        <f t="shared" si="45"/>
        <v>#VALUE!</v>
      </c>
      <c r="BT1590" s="63"/>
      <c r="BU1590" s="8">
        <v>0</v>
      </c>
      <c r="BV1590" s="58" t="e">
        <f>VLOOKUP(AQ1590,'[1]Harga &amp; Nama CSO'!$A$28:$D$31,4,0)*BP1590</f>
        <v>#N/A</v>
      </c>
    </row>
    <row r="1591" spans="41:74" x14ac:dyDescent="0.35">
      <c r="AO1591" s="39">
        <v>1589</v>
      </c>
      <c r="AP1591" s="63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55" t="e">
        <f>IFERROR(VLOOKUP(AQ1591,'[1]Harga &amp; Nama CSO'!$H$2:$N$22,2,FALSE),"")*AV1591</f>
        <v>#VALUE!</v>
      </c>
      <c r="BO1591" s="40"/>
      <c r="BP1591" s="4"/>
      <c r="BQ1591" s="62"/>
      <c r="BR1591" s="4"/>
      <c r="BS1591" s="57" t="e">
        <f t="shared" si="45"/>
        <v>#VALUE!</v>
      </c>
      <c r="BT1591" s="63"/>
      <c r="BU1591" s="8">
        <v>0</v>
      </c>
      <c r="BV1591" s="58" t="e">
        <f>VLOOKUP(AQ1591,'[1]Harga &amp; Nama CSO'!$A$28:$D$31,4,0)*BP1591</f>
        <v>#N/A</v>
      </c>
    </row>
    <row r="1592" spans="41:74" x14ac:dyDescent="0.35">
      <c r="AO1592" s="39">
        <v>1590</v>
      </c>
      <c r="AP1592" s="63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55" t="e">
        <f>IFERROR(VLOOKUP(AQ1592,'[1]Harga &amp; Nama CSO'!$H$2:$N$22,2,FALSE),"")*AV1592</f>
        <v>#VALUE!</v>
      </c>
      <c r="BO1592" s="40"/>
      <c r="BP1592" s="4"/>
      <c r="BQ1592" s="62"/>
      <c r="BR1592" s="4"/>
      <c r="BS1592" s="57" t="e">
        <f t="shared" si="45"/>
        <v>#VALUE!</v>
      </c>
      <c r="BT1592" s="63"/>
      <c r="BU1592" s="8">
        <v>0</v>
      </c>
      <c r="BV1592" s="58" t="e">
        <f>VLOOKUP(AQ1592,'[1]Harga &amp; Nama CSO'!$A$28:$D$31,4,0)*BP1592</f>
        <v>#N/A</v>
      </c>
    </row>
    <row r="1593" spans="41:74" x14ac:dyDescent="0.35">
      <c r="AO1593" s="39">
        <v>1591</v>
      </c>
      <c r="AP1593" s="63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55" t="e">
        <f>IFERROR(VLOOKUP(AQ1593,'[1]Harga &amp; Nama CSO'!$H$2:$N$22,2,FALSE),"")*AV1593</f>
        <v>#VALUE!</v>
      </c>
      <c r="BO1593" s="40"/>
      <c r="BP1593" s="4"/>
      <c r="BQ1593" s="62"/>
      <c r="BR1593" s="4"/>
      <c r="BS1593" s="57" t="e">
        <f t="shared" si="45"/>
        <v>#VALUE!</v>
      </c>
      <c r="BT1593" s="63"/>
      <c r="BU1593" s="8">
        <v>0</v>
      </c>
      <c r="BV1593" s="58" t="e">
        <f>VLOOKUP(AQ1593,'[1]Harga &amp; Nama CSO'!$A$28:$D$31,4,0)*BP1593</f>
        <v>#N/A</v>
      </c>
    </row>
    <row r="1594" spans="41:74" x14ac:dyDescent="0.35">
      <c r="AO1594" s="39">
        <v>1592</v>
      </c>
      <c r="AP1594" s="63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55" t="e">
        <f>IFERROR(VLOOKUP(AQ1594,'[1]Harga &amp; Nama CSO'!$H$2:$N$22,2,FALSE),"")*AV1594</f>
        <v>#VALUE!</v>
      </c>
      <c r="BO1594" s="40"/>
      <c r="BP1594" s="4"/>
      <c r="BQ1594" s="62"/>
      <c r="BR1594" s="4"/>
      <c r="BS1594" s="57" t="e">
        <f t="shared" si="45"/>
        <v>#VALUE!</v>
      </c>
      <c r="BT1594" s="63"/>
      <c r="BU1594" s="8">
        <v>0</v>
      </c>
      <c r="BV1594" s="58" t="e">
        <f>VLOOKUP(AQ1594,'[1]Harga &amp; Nama CSO'!$A$28:$D$31,4,0)*BP1594</f>
        <v>#N/A</v>
      </c>
    </row>
    <row r="1595" spans="41:74" x14ac:dyDescent="0.35">
      <c r="AO1595" s="39">
        <v>1593</v>
      </c>
      <c r="AP1595" s="63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55" t="e">
        <f>IFERROR(VLOOKUP(AQ1595,'[1]Harga &amp; Nama CSO'!$H$2:$N$22,2,FALSE),"")*AV1595</f>
        <v>#VALUE!</v>
      </c>
      <c r="BO1595" s="40"/>
      <c r="BP1595" s="4"/>
      <c r="BQ1595" s="62"/>
      <c r="BR1595" s="4"/>
      <c r="BS1595" s="57" t="e">
        <f t="shared" si="45"/>
        <v>#VALUE!</v>
      </c>
      <c r="BT1595" s="63"/>
      <c r="BU1595" s="8">
        <v>0</v>
      </c>
      <c r="BV1595" s="58" t="e">
        <f>VLOOKUP(AQ1595,'[1]Harga &amp; Nama CSO'!$A$28:$D$31,4,0)*BP1595</f>
        <v>#N/A</v>
      </c>
    </row>
    <row r="1596" spans="41:74" x14ac:dyDescent="0.35">
      <c r="AO1596" s="39">
        <v>1594</v>
      </c>
      <c r="AP1596" s="63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55" t="e">
        <f>IFERROR(VLOOKUP(AQ1596,'[1]Harga &amp; Nama CSO'!$H$2:$N$22,2,FALSE),"")*AV1596</f>
        <v>#VALUE!</v>
      </c>
      <c r="BO1596" s="40"/>
      <c r="BP1596" s="4"/>
      <c r="BQ1596" s="62"/>
      <c r="BR1596" s="4"/>
      <c r="BS1596" s="57" t="e">
        <f t="shared" si="45"/>
        <v>#VALUE!</v>
      </c>
      <c r="BT1596" s="63"/>
      <c r="BU1596" s="8">
        <v>0</v>
      </c>
      <c r="BV1596" s="58" t="e">
        <f>VLOOKUP(AQ1596,'[1]Harga &amp; Nama CSO'!$A$28:$D$31,4,0)*BP1596</f>
        <v>#N/A</v>
      </c>
    </row>
    <row r="1597" spans="41:74" x14ac:dyDescent="0.35">
      <c r="AO1597" s="39">
        <v>1595</v>
      </c>
      <c r="AP1597" s="63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55" t="e">
        <f>IFERROR(VLOOKUP(AQ1597,'[1]Harga &amp; Nama CSO'!$H$2:$N$22,2,FALSE),"")*AV1597</f>
        <v>#VALUE!</v>
      </c>
      <c r="BO1597" s="40"/>
      <c r="BP1597" s="4"/>
      <c r="BQ1597" s="62"/>
      <c r="BR1597" s="4"/>
      <c r="BS1597" s="57" t="e">
        <f t="shared" si="45"/>
        <v>#VALUE!</v>
      </c>
      <c r="BT1597" s="63"/>
      <c r="BU1597" s="8">
        <v>0</v>
      </c>
      <c r="BV1597" s="58" t="e">
        <f>VLOOKUP(AQ1597,'[1]Harga &amp; Nama CSO'!$A$28:$D$31,4,0)*BP1597</f>
        <v>#N/A</v>
      </c>
    </row>
    <row r="1598" spans="41:74" x14ac:dyDescent="0.35">
      <c r="AO1598" s="39">
        <v>1596</v>
      </c>
      <c r="AP1598" s="63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55" t="e">
        <f>IFERROR(VLOOKUP(AQ1598,'[1]Harga &amp; Nama CSO'!$H$2:$N$22,2,FALSE),"")*AV1598</f>
        <v>#VALUE!</v>
      </c>
      <c r="BO1598" s="40"/>
      <c r="BP1598" s="4"/>
      <c r="BQ1598" s="62"/>
      <c r="BR1598" s="4"/>
      <c r="BS1598" s="57" t="e">
        <f t="shared" si="45"/>
        <v>#VALUE!</v>
      </c>
      <c r="BT1598" s="63"/>
      <c r="BU1598" s="8">
        <v>0</v>
      </c>
      <c r="BV1598" s="58" t="e">
        <f>VLOOKUP(AQ1598,'[1]Harga &amp; Nama CSO'!$A$28:$D$31,4,0)*BP1598</f>
        <v>#N/A</v>
      </c>
    </row>
    <row r="1599" spans="41:74" x14ac:dyDescent="0.35">
      <c r="AO1599" s="39">
        <v>1597</v>
      </c>
      <c r="AP1599" s="63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55" t="e">
        <f>IFERROR(VLOOKUP(AQ1599,'[1]Harga &amp; Nama CSO'!$H$2:$N$22,2,FALSE),"")*AV1599</f>
        <v>#VALUE!</v>
      </c>
      <c r="BO1599" s="40"/>
      <c r="BP1599" s="4"/>
      <c r="BQ1599" s="62"/>
      <c r="BR1599" s="4"/>
      <c r="BS1599" s="57" t="e">
        <f t="shared" si="45"/>
        <v>#VALUE!</v>
      </c>
      <c r="BT1599" s="63"/>
      <c r="BU1599" s="8">
        <v>0</v>
      </c>
      <c r="BV1599" s="58" t="e">
        <f>VLOOKUP(AQ1599,'[1]Harga &amp; Nama CSO'!$A$28:$D$31,4,0)*BP1599</f>
        <v>#N/A</v>
      </c>
    </row>
    <row r="1600" spans="41:74" x14ac:dyDescent="0.35">
      <c r="AO1600" s="39">
        <v>1598</v>
      </c>
      <c r="AP1600" s="63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55" t="e">
        <f>IFERROR(VLOOKUP(AQ1600,'[1]Harga &amp; Nama CSO'!$H$2:$N$22,2,FALSE),"")*AV1600</f>
        <v>#VALUE!</v>
      </c>
      <c r="BO1600" s="40"/>
      <c r="BP1600" s="4"/>
      <c r="BQ1600" s="62"/>
      <c r="BR1600" s="4"/>
      <c r="BS1600" s="57" t="e">
        <f t="shared" si="45"/>
        <v>#VALUE!</v>
      </c>
      <c r="BT1600" s="63"/>
      <c r="BU1600" s="8">
        <v>0</v>
      </c>
      <c r="BV1600" s="58" t="e">
        <f>VLOOKUP(AQ1600,'[1]Harga &amp; Nama CSO'!$A$28:$D$31,4,0)*BP1600</f>
        <v>#N/A</v>
      </c>
    </row>
    <row r="1601" spans="41:74" x14ac:dyDescent="0.35">
      <c r="AO1601" s="39">
        <v>1599</v>
      </c>
      <c r="AP1601" s="63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55" t="e">
        <f>IFERROR(VLOOKUP(AQ1601,'[1]Harga &amp; Nama CSO'!$H$2:$N$22,2,FALSE),"")*AV1601</f>
        <v>#VALUE!</v>
      </c>
      <c r="BO1601" s="40"/>
      <c r="BP1601" s="4"/>
      <c r="BQ1601" s="62"/>
      <c r="BR1601" s="4"/>
      <c r="BS1601" s="57" t="e">
        <f t="shared" si="45"/>
        <v>#VALUE!</v>
      </c>
      <c r="BT1601" s="63"/>
      <c r="BU1601" s="8">
        <v>0</v>
      </c>
      <c r="BV1601" s="58" t="e">
        <f>VLOOKUP(AQ1601,'[1]Harga &amp; Nama CSO'!$A$28:$D$31,4,0)*BP1601</f>
        <v>#N/A</v>
      </c>
    </row>
    <row r="1602" spans="41:74" x14ac:dyDescent="0.35">
      <c r="AO1602" s="39">
        <v>1600</v>
      </c>
      <c r="AP1602" s="63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55" t="e">
        <f>IFERROR(VLOOKUP(AQ1602,'[1]Harga &amp; Nama CSO'!$H$2:$N$22,2,FALSE),"")*AV1602</f>
        <v>#VALUE!</v>
      </c>
      <c r="BO1602" s="40"/>
      <c r="BP1602" s="4"/>
      <c r="BQ1602" s="62"/>
      <c r="BR1602" s="4"/>
      <c r="BS1602" s="57" t="e">
        <f t="shared" si="45"/>
        <v>#VALUE!</v>
      </c>
      <c r="BT1602" s="63"/>
      <c r="BU1602" s="8">
        <v>0</v>
      </c>
      <c r="BV1602" s="58" t="e">
        <f>VLOOKUP(AQ1602,'[1]Harga &amp; Nama CSO'!$A$28:$D$31,4,0)*BP1602</f>
        <v>#N/A</v>
      </c>
    </row>
    <row r="1603" spans="41:74" x14ac:dyDescent="0.35">
      <c r="AO1603" s="39">
        <v>1601</v>
      </c>
      <c r="AP1603" s="63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55" t="e">
        <f>IFERROR(VLOOKUP(AQ1603,'[1]Harga &amp; Nama CSO'!$H$2:$N$22,2,FALSE),"")*AV1603</f>
        <v>#VALUE!</v>
      </c>
      <c r="BO1603" s="40"/>
      <c r="BP1603" s="4"/>
      <c r="BQ1603" s="62"/>
      <c r="BR1603" s="4"/>
      <c r="BS1603" s="57" t="e">
        <f t="shared" ref="BS1603:BS1666" si="46">BN1603-BQ1603</f>
        <v>#VALUE!</v>
      </c>
      <c r="BT1603" s="63"/>
      <c r="BU1603" s="8">
        <v>0</v>
      </c>
      <c r="BV1603" s="58" t="e">
        <f>VLOOKUP(AQ1603,'[1]Harga &amp; Nama CSO'!$A$28:$D$31,4,0)*BP1603</f>
        <v>#N/A</v>
      </c>
    </row>
    <row r="1604" spans="41:74" x14ac:dyDescent="0.35">
      <c r="AO1604" s="39">
        <v>1602</v>
      </c>
      <c r="AP1604" s="63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55" t="e">
        <f>IFERROR(VLOOKUP(AQ1604,'[1]Harga &amp; Nama CSO'!$H$2:$N$22,2,FALSE),"")*AV1604</f>
        <v>#VALUE!</v>
      </c>
      <c r="BO1604" s="40"/>
      <c r="BP1604" s="4"/>
      <c r="BQ1604" s="62"/>
      <c r="BR1604" s="4"/>
      <c r="BS1604" s="57" t="e">
        <f t="shared" si="46"/>
        <v>#VALUE!</v>
      </c>
      <c r="BT1604" s="63"/>
      <c r="BU1604" s="8">
        <v>0</v>
      </c>
      <c r="BV1604" s="58" t="e">
        <f>VLOOKUP(AQ1604,'[1]Harga &amp; Nama CSO'!$A$28:$D$31,4,0)*BP1604</f>
        <v>#N/A</v>
      </c>
    </row>
    <row r="1605" spans="41:74" x14ac:dyDescent="0.35">
      <c r="AO1605" s="39">
        <v>1603</v>
      </c>
      <c r="AP1605" s="63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55" t="e">
        <f>IFERROR(VLOOKUP(AQ1605,'[1]Harga &amp; Nama CSO'!$H$2:$N$22,2,FALSE),"")*AV1605</f>
        <v>#VALUE!</v>
      </c>
      <c r="BO1605" s="40"/>
      <c r="BP1605" s="4"/>
      <c r="BQ1605" s="62"/>
      <c r="BR1605" s="4"/>
      <c r="BS1605" s="57" t="e">
        <f t="shared" si="46"/>
        <v>#VALUE!</v>
      </c>
      <c r="BT1605" s="63"/>
      <c r="BU1605" s="8">
        <v>0</v>
      </c>
      <c r="BV1605" s="58" t="e">
        <f>VLOOKUP(AQ1605,'[1]Harga &amp; Nama CSO'!$A$28:$D$31,4,0)*BP1605</f>
        <v>#N/A</v>
      </c>
    </row>
    <row r="1606" spans="41:74" x14ac:dyDescent="0.35">
      <c r="AO1606" s="39">
        <v>1604</v>
      </c>
      <c r="AP1606" s="63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55" t="e">
        <f>IFERROR(VLOOKUP(AQ1606,'[1]Harga &amp; Nama CSO'!$H$2:$N$22,2,FALSE),"")*AV1606</f>
        <v>#VALUE!</v>
      </c>
      <c r="BO1606" s="40"/>
      <c r="BP1606" s="4"/>
      <c r="BQ1606" s="62"/>
      <c r="BR1606" s="4"/>
      <c r="BS1606" s="57" t="e">
        <f t="shared" si="46"/>
        <v>#VALUE!</v>
      </c>
      <c r="BT1606" s="63"/>
      <c r="BU1606" s="8">
        <v>0</v>
      </c>
      <c r="BV1606" s="58" t="e">
        <f>VLOOKUP(AQ1606,'[1]Harga &amp; Nama CSO'!$A$28:$D$31,4,0)*BP1606</f>
        <v>#N/A</v>
      </c>
    </row>
    <row r="1607" spans="41:74" x14ac:dyDescent="0.35">
      <c r="AO1607" s="39">
        <v>1605</v>
      </c>
      <c r="AP1607" s="63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55" t="e">
        <f>IFERROR(VLOOKUP(AQ1607,'[1]Harga &amp; Nama CSO'!$H$2:$N$22,2,FALSE),"")*AV1607</f>
        <v>#VALUE!</v>
      </c>
      <c r="BO1607" s="40"/>
      <c r="BP1607" s="4"/>
      <c r="BQ1607" s="62"/>
      <c r="BR1607" s="4"/>
      <c r="BS1607" s="57" t="e">
        <f t="shared" si="46"/>
        <v>#VALUE!</v>
      </c>
      <c r="BT1607" s="63"/>
      <c r="BU1607" s="8">
        <v>0</v>
      </c>
      <c r="BV1607" s="58" t="e">
        <f>VLOOKUP(AQ1607,'[1]Harga &amp; Nama CSO'!$A$28:$D$31,4,0)*BP1607</f>
        <v>#N/A</v>
      </c>
    </row>
    <row r="1608" spans="41:74" x14ac:dyDescent="0.35">
      <c r="AO1608" s="39">
        <v>1606</v>
      </c>
      <c r="AP1608" s="63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55" t="e">
        <f>IFERROR(VLOOKUP(AQ1608,'[1]Harga &amp; Nama CSO'!$H$2:$N$22,2,FALSE),"")*AV1608</f>
        <v>#VALUE!</v>
      </c>
      <c r="BO1608" s="40"/>
      <c r="BP1608" s="4"/>
      <c r="BQ1608" s="62"/>
      <c r="BR1608" s="4"/>
      <c r="BS1608" s="57" t="e">
        <f t="shared" si="46"/>
        <v>#VALUE!</v>
      </c>
      <c r="BT1608" s="63"/>
      <c r="BU1608" s="8">
        <v>0</v>
      </c>
      <c r="BV1608" s="58" t="e">
        <f>VLOOKUP(AQ1608,'[1]Harga &amp; Nama CSO'!$A$28:$D$31,4,0)*BP1608</f>
        <v>#N/A</v>
      </c>
    </row>
    <row r="1609" spans="41:74" x14ac:dyDescent="0.35">
      <c r="AO1609" s="39">
        <v>1607</v>
      </c>
      <c r="AP1609" s="63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55" t="e">
        <f>IFERROR(VLOOKUP(AQ1609,'[1]Harga &amp; Nama CSO'!$H$2:$N$22,2,FALSE),"")*AV1609</f>
        <v>#VALUE!</v>
      </c>
      <c r="BO1609" s="40"/>
      <c r="BP1609" s="4"/>
      <c r="BQ1609" s="62"/>
      <c r="BR1609" s="4"/>
      <c r="BS1609" s="57" t="e">
        <f t="shared" si="46"/>
        <v>#VALUE!</v>
      </c>
      <c r="BT1609" s="63"/>
      <c r="BU1609" s="8">
        <v>0</v>
      </c>
      <c r="BV1609" s="58" t="e">
        <f>VLOOKUP(AQ1609,'[1]Harga &amp; Nama CSO'!$A$28:$D$31,4,0)*BP1609</f>
        <v>#N/A</v>
      </c>
    </row>
    <row r="1610" spans="41:74" x14ac:dyDescent="0.35">
      <c r="AO1610" s="39">
        <v>1608</v>
      </c>
      <c r="AP1610" s="63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55" t="e">
        <f>IFERROR(VLOOKUP(AQ1610,'[1]Harga &amp; Nama CSO'!$H$2:$N$22,2,FALSE),"")*AV1610</f>
        <v>#VALUE!</v>
      </c>
      <c r="BO1610" s="40"/>
      <c r="BP1610" s="4"/>
      <c r="BQ1610" s="62"/>
      <c r="BR1610" s="4"/>
      <c r="BS1610" s="57" t="e">
        <f t="shared" si="46"/>
        <v>#VALUE!</v>
      </c>
      <c r="BT1610" s="63"/>
      <c r="BU1610" s="8">
        <v>0</v>
      </c>
      <c r="BV1610" s="58" t="e">
        <f>VLOOKUP(AQ1610,'[1]Harga &amp; Nama CSO'!$A$28:$D$31,4,0)*BP1610</f>
        <v>#N/A</v>
      </c>
    </row>
    <row r="1611" spans="41:74" x14ac:dyDescent="0.35">
      <c r="AO1611" s="39">
        <v>1609</v>
      </c>
      <c r="AP1611" s="63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55" t="e">
        <f>IFERROR(VLOOKUP(AQ1611,'[1]Harga &amp; Nama CSO'!$H$2:$N$22,2,FALSE),"")*AV1611</f>
        <v>#VALUE!</v>
      </c>
      <c r="BO1611" s="40"/>
      <c r="BP1611" s="4"/>
      <c r="BQ1611" s="62"/>
      <c r="BR1611" s="4"/>
      <c r="BS1611" s="57" t="e">
        <f t="shared" si="46"/>
        <v>#VALUE!</v>
      </c>
      <c r="BT1611" s="63"/>
      <c r="BU1611" s="8">
        <v>0</v>
      </c>
      <c r="BV1611" s="58" t="e">
        <f>VLOOKUP(AQ1611,'[1]Harga &amp; Nama CSO'!$A$28:$D$31,4,0)*BP1611</f>
        <v>#N/A</v>
      </c>
    </row>
    <row r="1612" spans="41:74" x14ac:dyDescent="0.35">
      <c r="AO1612" s="39">
        <v>1610</v>
      </c>
      <c r="AP1612" s="63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55" t="e">
        <f>IFERROR(VLOOKUP(AQ1612,'[1]Harga &amp; Nama CSO'!$H$2:$N$22,2,FALSE),"")*AV1612</f>
        <v>#VALUE!</v>
      </c>
      <c r="BO1612" s="40"/>
      <c r="BP1612" s="4"/>
      <c r="BQ1612" s="62"/>
      <c r="BR1612" s="4"/>
      <c r="BS1612" s="57" t="e">
        <f t="shared" si="46"/>
        <v>#VALUE!</v>
      </c>
      <c r="BT1612" s="63"/>
      <c r="BU1612" s="8">
        <v>0</v>
      </c>
      <c r="BV1612" s="58" t="e">
        <f>VLOOKUP(AQ1612,'[1]Harga &amp; Nama CSO'!$A$28:$D$31,4,0)*BP1612</f>
        <v>#N/A</v>
      </c>
    </row>
    <row r="1613" spans="41:74" x14ac:dyDescent="0.35">
      <c r="AO1613" s="39">
        <v>1611</v>
      </c>
      <c r="AP1613" s="63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55" t="e">
        <f>IFERROR(VLOOKUP(AQ1613,'[1]Harga &amp; Nama CSO'!$H$2:$N$22,2,FALSE),"")*AV1613</f>
        <v>#VALUE!</v>
      </c>
      <c r="BO1613" s="40"/>
      <c r="BP1613" s="4"/>
      <c r="BQ1613" s="62"/>
      <c r="BR1613" s="4"/>
      <c r="BS1613" s="57" t="e">
        <f t="shared" si="46"/>
        <v>#VALUE!</v>
      </c>
      <c r="BT1613" s="63"/>
      <c r="BU1613" s="8">
        <v>0</v>
      </c>
      <c r="BV1613" s="58" t="e">
        <f>VLOOKUP(AQ1613,'[1]Harga &amp; Nama CSO'!$A$28:$D$31,4,0)*BP1613</f>
        <v>#N/A</v>
      </c>
    </row>
    <row r="1614" spans="41:74" x14ac:dyDescent="0.35">
      <c r="AO1614" s="39">
        <v>1612</v>
      </c>
      <c r="AP1614" s="63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55" t="e">
        <f>IFERROR(VLOOKUP(AQ1614,'[1]Harga &amp; Nama CSO'!$H$2:$N$22,2,FALSE),"")*AV1614</f>
        <v>#VALUE!</v>
      </c>
      <c r="BO1614" s="40"/>
      <c r="BP1614" s="4"/>
      <c r="BQ1614" s="62"/>
      <c r="BR1614" s="4"/>
      <c r="BS1614" s="57" t="e">
        <f t="shared" si="46"/>
        <v>#VALUE!</v>
      </c>
      <c r="BT1614" s="63"/>
      <c r="BU1614" s="8">
        <v>0</v>
      </c>
      <c r="BV1614" s="58" t="e">
        <f>VLOOKUP(AQ1614,'[1]Harga &amp; Nama CSO'!$A$28:$D$31,4,0)*BP1614</f>
        <v>#N/A</v>
      </c>
    </row>
    <row r="1615" spans="41:74" x14ac:dyDescent="0.35">
      <c r="AO1615" s="39">
        <v>1613</v>
      </c>
      <c r="AP1615" s="63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55" t="e">
        <f>IFERROR(VLOOKUP(AQ1615,'[1]Harga &amp; Nama CSO'!$H$2:$N$22,2,FALSE),"")*AV1615</f>
        <v>#VALUE!</v>
      </c>
      <c r="BO1615" s="40"/>
      <c r="BP1615" s="4"/>
      <c r="BQ1615" s="62"/>
      <c r="BR1615" s="4"/>
      <c r="BS1615" s="57" t="e">
        <f t="shared" si="46"/>
        <v>#VALUE!</v>
      </c>
      <c r="BT1615" s="63"/>
      <c r="BU1615" s="8">
        <v>0</v>
      </c>
      <c r="BV1615" s="58" t="e">
        <f>VLOOKUP(AQ1615,'[1]Harga &amp; Nama CSO'!$A$28:$D$31,4,0)*BP1615</f>
        <v>#N/A</v>
      </c>
    </row>
    <row r="1616" spans="41:74" x14ac:dyDescent="0.35">
      <c r="AO1616" s="39">
        <v>1614</v>
      </c>
      <c r="AP1616" s="63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55" t="e">
        <f>IFERROR(VLOOKUP(AQ1616,'[1]Harga &amp; Nama CSO'!$H$2:$N$22,2,FALSE),"")*AV1616</f>
        <v>#VALUE!</v>
      </c>
      <c r="BO1616" s="40"/>
      <c r="BP1616" s="4"/>
      <c r="BQ1616" s="62"/>
      <c r="BR1616" s="4"/>
      <c r="BS1616" s="57" t="e">
        <f t="shared" si="46"/>
        <v>#VALUE!</v>
      </c>
      <c r="BT1616" s="63"/>
      <c r="BU1616" s="8">
        <v>0</v>
      </c>
      <c r="BV1616" s="58" t="e">
        <f>VLOOKUP(AQ1616,'[1]Harga &amp; Nama CSO'!$A$28:$D$31,4,0)*BP1616</f>
        <v>#N/A</v>
      </c>
    </row>
    <row r="1617" spans="41:74" x14ac:dyDescent="0.35">
      <c r="AO1617" s="39">
        <v>1615</v>
      </c>
      <c r="AP1617" s="63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55" t="e">
        <f>IFERROR(VLOOKUP(AQ1617,'[1]Harga &amp; Nama CSO'!$H$2:$N$22,2,FALSE),"")*AV1617</f>
        <v>#VALUE!</v>
      </c>
      <c r="BO1617" s="40"/>
      <c r="BP1617" s="4"/>
      <c r="BQ1617" s="62"/>
      <c r="BR1617" s="4"/>
      <c r="BS1617" s="57" t="e">
        <f t="shared" si="46"/>
        <v>#VALUE!</v>
      </c>
      <c r="BT1617" s="63"/>
      <c r="BU1617" s="8">
        <v>0</v>
      </c>
      <c r="BV1617" s="58" t="e">
        <f>VLOOKUP(AQ1617,'[1]Harga &amp; Nama CSO'!$A$28:$D$31,4,0)*BP1617</f>
        <v>#N/A</v>
      </c>
    </row>
    <row r="1618" spans="41:74" x14ac:dyDescent="0.35">
      <c r="AO1618" s="39">
        <v>1616</v>
      </c>
      <c r="AP1618" s="63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55" t="e">
        <f>IFERROR(VLOOKUP(AQ1618,'[1]Harga &amp; Nama CSO'!$H$2:$N$22,2,FALSE),"")*AV1618</f>
        <v>#VALUE!</v>
      </c>
      <c r="BO1618" s="40"/>
      <c r="BP1618" s="4"/>
      <c r="BQ1618" s="62"/>
      <c r="BR1618" s="4"/>
      <c r="BS1618" s="57" t="e">
        <f t="shared" si="46"/>
        <v>#VALUE!</v>
      </c>
      <c r="BT1618" s="63"/>
      <c r="BU1618" s="8">
        <v>0</v>
      </c>
      <c r="BV1618" s="58" t="e">
        <f>VLOOKUP(AQ1618,'[1]Harga &amp; Nama CSO'!$A$28:$D$31,4,0)*BP1618</f>
        <v>#N/A</v>
      </c>
    </row>
    <row r="1619" spans="41:74" x14ac:dyDescent="0.35">
      <c r="AO1619" s="39">
        <v>1617</v>
      </c>
      <c r="AP1619" s="63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55" t="e">
        <f>IFERROR(VLOOKUP(AQ1619,'[1]Harga &amp; Nama CSO'!$H$2:$N$22,2,FALSE),"")*AV1619</f>
        <v>#VALUE!</v>
      </c>
      <c r="BO1619" s="40"/>
      <c r="BP1619" s="4"/>
      <c r="BQ1619" s="62"/>
      <c r="BR1619" s="4"/>
      <c r="BS1619" s="57" t="e">
        <f t="shared" si="46"/>
        <v>#VALUE!</v>
      </c>
      <c r="BT1619" s="63"/>
      <c r="BU1619" s="8">
        <v>0</v>
      </c>
      <c r="BV1619" s="58" t="e">
        <f>VLOOKUP(AQ1619,'[1]Harga &amp; Nama CSO'!$A$28:$D$31,4,0)*BP1619</f>
        <v>#N/A</v>
      </c>
    </row>
    <row r="1620" spans="41:74" x14ac:dyDescent="0.35">
      <c r="AO1620" s="39">
        <v>1618</v>
      </c>
      <c r="AP1620" s="63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55" t="e">
        <f>IFERROR(VLOOKUP(AQ1620,'[1]Harga &amp; Nama CSO'!$H$2:$N$22,2,FALSE),"")*AV1620</f>
        <v>#VALUE!</v>
      </c>
      <c r="BO1620" s="40"/>
      <c r="BP1620" s="4"/>
      <c r="BQ1620" s="62"/>
      <c r="BR1620" s="4"/>
      <c r="BS1620" s="57" t="e">
        <f t="shared" si="46"/>
        <v>#VALUE!</v>
      </c>
      <c r="BT1620" s="63"/>
      <c r="BU1620" s="8">
        <v>0</v>
      </c>
      <c r="BV1620" s="58" t="e">
        <f>VLOOKUP(AQ1620,'[1]Harga &amp; Nama CSO'!$A$28:$D$31,4,0)*BP1620</f>
        <v>#N/A</v>
      </c>
    </row>
    <row r="1621" spans="41:74" x14ac:dyDescent="0.35">
      <c r="AO1621" s="39">
        <v>1619</v>
      </c>
      <c r="AP1621" s="63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55" t="e">
        <f>IFERROR(VLOOKUP(AQ1621,'[1]Harga &amp; Nama CSO'!$H$2:$N$22,2,FALSE),"")*AV1621</f>
        <v>#VALUE!</v>
      </c>
      <c r="BO1621" s="40"/>
      <c r="BP1621" s="4"/>
      <c r="BQ1621" s="62"/>
      <c r="BR1621" s="4"/>
      <c r="BS1621" s="57" t="e">
        <f t="shared" si="46"/>
        <v>#VALUE!</v>
      </c>
      <c r="BT1621" s="63"/>
      <c r="BU1621" s="8">
        <v>0</v>
      </c>
      <c r="BV1621" s="58" t="e">
        <f>VLOOKUP(AQ1621,'[1]Harga &amp; Nama CSO'!$A$28:$D$31,4,0)*BP1621</f>
        <v>#N/A</v>
      </c>
    </row>
    <row r="1622" spans="41:74" x14ac:dyDescent="0.35">
      <c r="AO1622" s="39">
        <v>1620</v>
      </c>
      <c r="AP1622" s="63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55" t="e">
        <f>IFERROR(VLOOKUP(AQ1622,'[1]Harga &amp; Nama CSO'!$H$2:$N$22,2,FALSE),"")*AV1622</f>
        <v>#VALUE!</v>
      </c>
      <c r="BO1622" s="40"/>
      <c r="BP1622" s="4"/>
      <c r="BQ1622" s="62"/>
      <c r="BR1622" s="4"/>
      <c r="BS1622" s="57" t="e">
        <f t="shared" si="46"/>
        <v>#VALUE!</v>
      </c>
      <c r="BT1622" s="63"/>
      <c r="BU1622" s="8">
        <v>0</v>
      </c>
      <c r="BV1622" s="58" t="e">
        <f>VLOOKUP(AQ1622,'[1]Harga &amp; Nama CSO'!$A$28:$D$31,4,0)*BP1622</f>
        <v>#N/A</v>
      </c>
    </row>
    <row r="1623" spans="41:74" x14ac:dyDescent="0.35">
      <c r="AO1623" s="39">
        <v>1621</v>
      </c>
      <c r="AP1623" s="63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55" t="e">
        <f>IFERROR(VLOOKUP(AQ1623,'[1]Harga &amp; Nama CSO'!$H$2:$N$22,2,FALSE),"")*AV1623</f>
        <v>#VALUE!</v>
      </c>
      <c r="BO1623" s="40"/>
      <c r="BP1623" s="4"/>
      <c r="BQ1623" s="62"/>
      <c r="BR1623" s="4"/>
      <c r="BS1623" s="57" t="e">
        <f t="shared" si="46"/>
        <v>#VALUE!</v>
      </c>
      <c r="BT1623" s="63"/>
      <c r="BU1623" s="8">
        <v>0</v>
      </c>
      <c r="BV1623" s="58" t="e">
        <f>VLOOKUP(AQ1623,'[1]Harga &amp; Nama CSO'!$A$28:$D$31,4,0)*BP1623</f>
        <v>#N/A</v>
      </c>
    </row>
    <row r="1624" spans="41:74" x14ac:dyDescent="0.35">
      <c r="AO1624" s="39">
        <v>1622</v>
      </c>
      <c r="AP1624" s="63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55" t="e">
        <f>IFERROR(VLOOKUP(AQ1624,'[1]Harga &amp; Nama CSO'!$H$2:$N$22,2,FALSE),"")*AV1624</f>
        <v>#VALUE!</v>
      </c>
      <c r="BO1624" s="40"/>
      <c r="BP1624" s="4"/>
      <c r="BQ1624" s="62"/>
      <c r="BR1624" s="4"/>
      <c r="BS1624" s="57" t="e">
        <f t="shared" si="46"/>
        <v>#VALUE!</v>
      </c>
      <c r="BT1624" s="63"/>
      <c r="BU1624" s="8">
        <v>0</v>
      </c>
      <c r="BV1624" s="58" t="e">
        <f>VLOOKUP(AQ1624,'[1]Harga &amp; Nama CSO'!$A$28:$D$31,4,0)*BP1624</f>
        <v>#N/A</v>
      </c>
    </row>
    <row r="1625" spans="41:74" x14ac:dyDescent="0.35">
      <c r="AO1625" s="39">
        <v>1623</v>
      </c>
      <c r="AP1625" s="63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55" t="e">
        <f>IFERROR(VLOOKUP(AQ1625,'[1]Harga &amp; Nama CSO'!$H$2:$N$22,2,FALSE),"")*AV1625</f>
        <v>#VALUE!</v>
      </c>
      <c r="BO1625" s="40"/>
      <c r="BP1625" s="4"/>
      <c r="BQ1625" s="62"/>
      <c r="BR1625" s="4"/>
      <c r="BS1625" s="57" t="e">
        <f t="shared" si="46"/>
        <v>#VALUE!</v>
      </c>
      <c r="BT1625" s="63"/>
      <c r="BU1625" s="8">
        <v>0</v>
      </c>
      <c r="BV1625" s="58" t="e">
        <f>VLOOKUP(AQ1625,'[1]Harga &amp; Nama CSO'!$A$28:$D$31,4,0)*BP1625</f>
        <v>#N/A</v>
      </c>
    </row>
    <row r="1626" spans="41:74" x14ac:dyDescent="0.35">
      <c r="AO1626" s="39">
        <v>1624</v>
      </c>
      <c r="AP1626" s="63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55" t="e">
        <f>IFERROR(VLOOKUP(AQ1626,'[1]Harga &amp; Nama CSO'!$H$2:$N$22,2,FALSE),"")*AV1626</f>
        <v>#VALUE!</v>
      </c>
      <c r="BO1626" s="40"/>
      <c r="BP1626" s="4"/>
      <c r="BQ1626" s="62"/>
      <c r="BR1626" s="4"/>
      <c r="BS1626" s="57" t="e">
        <f t="shared" si="46"/>
        <v>#VALUE!</v>
      </c>
      <c r="BT1626" s="63"/>
      <c r="BU1626" s="8">
        <v>0</v>
      </c>
      <c r="BV1626" s="58" t="e">
        <f>VLOOKUP(AQ1626,'[1]Harga &amp; Nama CSO'!$A$28:$D$31,4,0)*BP1626</f>
        <v>#N/A</v>
      </c>
    </row>
    <row r="1627" spans="41:74" x14ac:dyDescent="0.35">
      <c r="AO1627" s="39">
        <v>1625</v>
      </c>
      <c r="AP1627" s="63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55" t="e">
        <f>IFERROR(VLOOKUP(AQ1627,'[1]Harga &amp; Nama CSO'!$H$2:$N$22,2,FALSE),"")*AV1627</f>
        <v>#VALUE!</v>
      </c>
      <c r="BO1627" s="40"/>
      <c r="BP1627" s="4"/>
      <c r="BQ1627" s="62"/>
      <c r="BR1627" s="4"/>
      <c r="BS1627" s="57" t="e">
        <f t="shared" si="46"/>
        <v>#VALUE!</v>
      </c>
      <c r="BT1627" s="63"/>
      <c r="BU1627" s="8">
        <v>0</v>
      </c>
      <c r="BV1627" s="58" t="e">
        <f>VLOOKUP(AQ1627,'[1]Harga &amp; Nama CSO'!$A$28:$D$31,4,0)*BP1627</f>
        <v>#N/A</v>
      </c>
    </row>
    <row r="1628" spans="41:74" x14ac:dyDescent="0.35">
      <c r="AO1628" s="39">
        <v>1626</v>
      </c>
      <c r="AP1628" s="63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55" t="e">
        <f>IFERROR(VLOOKUP(AQ1628,'[1]Harga &amp; Nama CSO'!$H$2:$N$22,2,FALSE),"")*AV1628</f>
        <v>#VALUE!</v>
      </c>
      <c r="BO1628" s="40"/>
      <c r="BP1628" s="4"/>
      <c r="BQ1628" s="62"/>
      <c r="BR1628" s="4"/>
      <c r="BS1628" s="57" t="e">
        <f t="shared" si="46"/>
        <v>#VALUE!</v>
      </c>
      <c r="BT1628" s="63"/>
      <c r="BU1628" s="8">
        <v>0</v>
      </c>
      <c r="BV1628" s="58" t="e">
        <f>VLOOKUP(AQ1628,'[1]Harga &amp; Nama CSO'!$A$28:$D$31,4,0)*BP1628</f>
        <v>#N/A</v>
      </c>
    </row>
    <row r="1629" spans="41:74" x14ac:dyDescent="0.35">
      <c r="AO1629" s="39">
        <v>1627</v>
      </c>
      <c r="AP1629" s="63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55" t="e">
        <f>IFERROR(VLOOKUP(AQ1629,'[1]Harga &amp; Nama CSO'!$H$2:$N$22,2,FALSE),"")*AV1629</f>
        <v>#VALUE!</v>
      </c>
      <c r="BO1629" s="40"/>
      <c r="BP1629" s="4"/>
      <c r="BQ1629" s="62"/>
      <c r="BR1629" s="4"/>
      <c r="BS1629" s="57" t="e">
        <f t="shared" si="46"/>
        <v>#VALUE!</v>
      </c>
      <c r="BT1629" s="63"/>
      <c r="BU1629" s="8">
        <v>0</v>
      </c>
      <c r="BV1629" s="58" t="e">
        <f>VLOOKUP(AQ1629,'[1]Harga &amp; Nama CSO'!$A$28:$D$31,4,0)*BP1629</f>
        <v>#N/A</v>
      </c>
    </row>
    <row r="1630" spans="41:74" x14ac:dyDescent="0.35">
      <c r="AO1630" s="39">
        <v>1628</v>
      </c>
      <c r="AP1630" s="63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55" t="e">
        <f>IFERROR(VLOOKUP(AQ1630,'[1]Harga &amp; Nama CSO'!$H$2:$N$22,2,FALSE),"")*AV1630</f>
        <v>#VALUE!</v>
      </c>
      <c r="BO1630" s="40"/>
      <c r="BP1630" s="4"/>
      <c r="BQ1630" s="62"/>
      <c r="BR1630" s="4"/>
      <c r="BS1630" s="57" t="e">
        <f t="shared" si="46"/>
        <v>#VALUE!</v>
      </c>
      <c r="BT1630" s="63"/>
      <c r="BU1630" s="8">
        <v>0</v>
      </c>
      <c r="BV1630" s="58" t="e">
        <f>VLOOKUP(AQ1630,'[1]Harga &amp; Nama CSO'!$A$28:$D$31,4,0)*BP1630</f>
        <v>#N/A</v>
      </c>
    </row>
    <row r="1631" spans="41:74" x14ac:dyDescent="0.35">
      <c r="AO1631" s="39">
        <v>1629</v>
      </c>
      <c r="AP1631" s="63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55" t="e">
        <f>IFERROR(VLOOKUP(AQ1631,'[1]Harga &amp; Nama CSO'!$H$2:$N$22,2,FALSE),"")*AV1631</f>
        <v>#VALUE!</v>
      </c>
      <c r="BO1631" s="40"/>
      <c r="BP1631" s="4"/>
      <c r="BQ1631" s="62"/>
      <c r="BR1631" s="4"/>
      <c r="BS1631" s="57" t="e">
        <f t="shared" si="46"/>
        <v>#VALUE!</v>
      </c>
      <c r="BT1631" s="63"/>
      <c r="BU1631" s="8">
        <v>0</v>
      </c>
      <c r="BV1631" s="58" t="e">
        <f>VLOOKUP(AQ1631,'[1]Harga &amp; Nama CSO'!$A$28:$D$31,4,0)*BP1631</f>
        <v>#N/A</v>
      </c>
    </row>
    <row r="1632" spans="41:74" x14ac:dyDescent="0.35">
      <c r="AO1632" s="39">
        <v>1630</v>
      </c>
      <c r="AP1632" s="63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55" t="e">
        <f>IFERROR(VLOOKUP(AQ1632,'[1]Harga &amp; Nama CSO'!$H$2:$N$22,2,FALSE),"")*AV1632</f>
        <v>#VALUE!</v>
      </c>
      <c r="BO1632" s="40"/>
      <c r="BP1632" s="4"/>
      <c r="BQ1632" s="62"/>
      <c r="BR1632" s="4"/>
      <c r="BS1632" s="57" t="e">
        <f t="shared" si="46"/>
        <v>#VALUE!</v>
      </c>
      <c r="BT1632" s="63"/>
      <c r="BU1632" s="8">
        <v>0</v>
      </c>
      <c r="BV1632" s="58" t="e">
        <f>VLOOKUP(AQ1632,'[1]Harga &amp; Nama CSO'!$A$28:$D$31,4,0)*BP1632</f>
        <v>#N/A</v>
      </c>
    </row>
    <row r="1633" spans="41:74" x14ac:dyDescent="0.35">
      <c r="AO1633" s="39">
        <v>1631</v>
      </c>
      <c r="AP1633" s="63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55" t="e">
        <f>IFERROR(VLOOKUP(AQ1633,'[1]Harga &amp; Nama CSO'!$H$2:$N$22,2,FALSE),"")*AV1633</f>
        <v>#VALUE!</v>
      </c>
      <c r="BO1633" s="40"/>
      <c r="BP1633" s="4"/>
      <c r="BQ1633" s="62"/>
      <c r="BR1633" s="4"/>
      <c r="BS1633" s="57" t="e">
        <f t="shared" si="46"/>
        <v>#VALUE!</v>
      </c>
      <c r="BT1633" s="63"/>
      <c r="BU1633" s="8">
        <v>0</v>
      </c>
      <c r="BV1633" s="58" t="e">
        <f>VLOOKUP(AQ1633,'[1]Harga &amp; Nama CSO'!$A$28:$D$31,4,0)*BP1633</f>
        <v>#N/A</v>
      </c>
    </row>
    <row r="1634" spans="41:74" x14ac:dyDescent="0.35">
      <c r="AO1634" s="39">
        <v>1632</v>
      </c>
      <c r="AP1634" s="63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55" t="e">
        <f>IFERROR(VLOOKUP(AQ1634,'[1]Harga &amp; Nama CSO'!$H$2:$N$22,2,FALSE),"")*AV1634</f>
        <v>#VALUE!</v>
      </c>
      <c r="BO1634" s="40"/>
      <c r="BP1634" s="4"/>
      <c r="BQ1634" s="62"/>
      <c r="BR1634" s="4"/>
      <c r="BS1634" s="57" t="e">
        <f t="shared" si="46"/>
        <v>#VALUE!</v>
      </c>
      <c r="BT1634" s="63"/>
      <c r="BU1634" s="8">
        <v>0</v>
      </c>
      <c r="BV1634" s="58" t="e">
        <f>VLOOKUP(AQ1634,'[1]Harga &amp; Nama CSO'!$A$28:$D$31,4,0)*BP1634</f>
        <v>#N/A</v>
      </c>
    </row>
    <row r="1635" spans="41:74" x14ac:dyDescent="0.35">
      <c r="AO1635" s="39">
        <v>1633</v>
      </c>
      <c r="AP1635" s="63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55" t="e">
        <f>IFERROR(VLOOKUP(AQ1635,'[1]Harga &amp; Nama CSO'!$H$2:$N$22,2,FALSE),"")*AV1635</f>
        <v>#VALUE!</v>
      </c>
      <c r="BO1635" s="40"/>
      <c r="BP1635" s="4"/>
      <c r="BQ1635" s="62"/>
      <c r="BR1635" s="4"/>
      <c r="BS1635" s="57" t="e">
        <f t="shared" si="46"/>
        <v>#VALUE!</v>
      </c>
      <c r="BT1635" s="63"/>
      <c r="BU1635" s="8">
        <v>0</v>
      </c>
      <c r="BV1635" s="58" t="e">
        <f>VLOOKUP(AQ1635,'[1]Harga &amp; Nama CSO'!$A$28:$D$31,4,0)*BP1635</f>
        <v>#N/A</v>
      </c>
    </row>
    <row r="1636" spans="41:74" x14ac:dyDescent="0.35">
      <c r="AO1636" s="39">
        <v>1634</v>
      </c>
      <c r="AP1636" s="63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55" t="e">
        <f>IFERROR(VLOOKUP(AQ1636,'[1]Harga &amp; Nama CSO'!$H$2:$N$22,2,FALSE),"")*AV1636</f>
        <v>#VALUE!</v>
      </c>
      <c r="BO1636" s="40"/>
      <c r="BP1636" s="4"/>
      <c r="BQ1636" s="62"/>
      <c r="BR1636" s="4"/>
      <c r="BS1636" s="57" t="e">
        <f t="shared" si="46"/>
        <v>#VALUE!</v>
      </c>
      <c r="BT1636" s="63"/>
      <c r="BU1636" s="8">
        <v>0</v>
      </c>
      <c r="BV1636" s="58" t="e">
        <f>VLOOKUP(AQ1636,'[1]Harga &amp; Nama CSO'!$A$28:$D$31,4,0)*BP1636</f>
        <v>#N/A</v>
      </c>
    </row>
    <row r="1637" spans="41:74" x14ac:dyDescent="0.35">
      <c r="AO1637" s="39">
        <v>1635</v>
      </c>
      <c r="AP1637" s="63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55" t="e">
        <f>IFERROR(VLOOKUP(AQ1637,'[1]Harga &amp; Nama CSO'!$H$2:$N$22,2,FALSE),"")*AV1637</f>
        <v>#VALUE!</v>
      </c>
      <c r="BO1637" s="40"/>
      <c r="BP1637" s="4"/>
      <c r="BQ1637" s="62"/>
      <c r="BR1637" s="4"/>
      <c r="BS1637" s="57" t="e">
        <f t="shared" si="46"/>
        <v>#VALUE!</v>
      </c>
      <c r="BT1637" s="63"/>
      <c r="BU1637" s="8">
        <v>0</v>
      </c>
      <c r="BV1637" s="58" t="e">
        <f>VLOOKUP(AQ1637,'[1]Harga &amp; Nama CSO'!$A$28:$D$31,4,0)*BP1637</f>
        <v>#N/A</v>
      </c>
    </row>
    <row r="1638" spans="41:74" x14ac:dyDescent="0.35">
      <c r="AO1638" s="39">
        <v>1636</v>
      </c>
      <c r="AP1638" s="63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55" t="e">
        <f>IFERROR(VLOOKUP(AQ1638,'[1]Harga &amp; Nama CSO'!$H$2:$N$22,2,FALSE),"")*AV1638</f>
        <v>#VALUE!</v>
      </c>
      <c r="BO1638" s="40"/>
      <c r="BP1638" s="4"/>
      <c r="BQ1638" s="62"/>
      <c r="BR1638" s="4"/>
      <c r="BS1638" s="57" t="e">
        <f t="shared" si="46"/>
        <v>#VALUE!</v>
      </c>
      <c r="BT1638" s="63"/>
      <c r="BU1638" s="8">
        <v>0</v>
      </c>
      <c r="BV1638" s="58" t="e">
        <f>VLOOKUP(AQ1638,'[1]Harga &amp; Nama CSO'!$A$28:$D$31,4,0)*BP1638</f>
        <v>#N/A</v>
      </c>
    </row>
    <row r="1639" spans="41:74" x14ac:dyDescent="0.35">
      <c r="AO1639" s="39">
        <v>1637</v>
      </c>
      <c r="AP1639" s="63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55" t="e">
        <f>IFERROR(VLOOKUP(AQ1639,'[1]Harga &amp; Nama CSO'!$H$2:$N$22,2,FALSE),"")*AV1639</f>
        <v>#VALUE!</v>
      </c>
      <c r="BO1639" s="40"/>
      <c r="BP1639" s="4"/>
      <c r="BQ1639" s="62"/>
      <c r="BR1639" s="4"/>
      <c r="BS1639" s="57" t="e">
        <f t="shared" si="46"/>
        <v>#VALUE!</v>
      </c>
      <c r="BT1639" s="63"/>
      <c r="BU1639" s="8">
        <v>0</v>
      </c>
      <c r="BV1639" s="58" t="e">
        <f>VLOOKUP(AQ1639,'[1]Harga &amp; Nama CSO'!$A$28:$D$31,4,0)*BP1639</f>
        <v>#N/A</v>
      </c>
    </row>
    <row r="1640" spans="41:74" x14ac:dyDescent="0.35">
      <c r="AO1640" s="39">
        <v>1638</v>
      </c>
      <c r="AP1640" s="63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55" t="e">
        <f>IFERROR(VLOOKUP(AQ1640,'[1]Harga &amp; Nama CSO'!$H$2:$N$22,2,FALSE),"")*AV1640</f>
        <v>#VALUE!</v>
      </c>
      <c r="BO1640" s="40"/>
      <c r="BP1640" s="4"/>
      <c r="BQ1640" s="62"/>
      <c r="BR1640" s="4"/>
      <c r="BS1640" s="57" t="e">
        <f t="shared" si="46"/>
        <v>#VALUE!</v>
      </c>
      <c r="BT1640" s="63"/>
      <c r="BU1640" s="8">
        <v>0</v>
      </c>
      <c r="BV1640" s="58" t="e">
        <f>VLOOKUP(AQ1640,'[1]Harga &amp; Nama CSO'!$A$28:$D$31,4,0)*BP1640</f>
        <v>#N/A</v>
      </c>
    </row>
    <row r="1641" spans="41:74" x14ac:dyDescent="0.35">
      <c r="AO1641" s="39">
        <v>1639</v>
      </c>
      <c r="AP1641" s="63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55" t="e">
        <f>IFERROR(VLOOKUP(AQ1641,'[1]Harga &amp; Nama CSO'!$H$2:$N$22,2,FALSE),"")*AV1641</f>
        <v>#VALUE!</v>
      </c>
      <c r="BO1641" s="40"/>
      <c r="BP1641" s="4"/>
      <c r="BQ1641" s="62"/>
      <c r="BR1641" s="4"/>
      <c r="BS1641" s="57" t="e">
        <f t="shared" si="46"/>
        <v>#VALUE!</v>
      </c>
      <c r="BT1641" s="63"/>
      <c r="BU1641" s="8">
        <v>0</v>
      </c>
      <c r="BV1641" s="58" t="e">
        <f>VLOOKUP(AQ1641,'[1]Harga &amp; Nama CSO'!$A$28:$D$31,4,0)*BP1641</f>
        <v>#N/A</v>
      </c>
    </row>
    <row r="1642" spans="41:74" x14ac:dyDescent="0.35">
      <c r="AO1642" s="39">
        <v>1640</v>
      </c>
      <c r="AP1642" s="63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55" t="e">
        <f>IFERROR(VLOOKUP(AQ1642,'[1]Harga &amp; Nama CSO'!$H$2:$N$22,2,FALSE),"")*AV1642</f>
        <v>#VALUE!</v>
      </c>
      <c r="BO1642" s="40"/>
      <c r="BP1642" s="4"/>
      <c r="BQ1642" s="62"/>
      <c r="BR1642" s="4"/>
      <c r="BS1642" s="57" t="e">
        <f t="shared" si="46"/>
        <v>#VALUE!</v>
      </c>
      <c r="BT1642" s="63"/>
      <c r="BU1642" s="8">
        <v>0</v>
      </c>
      <c r="BV1642" s="58" t="e">
        <f>VLOOKUP(AQ1642,'[1]Harga &amp; Nama CSO'!$A$28:$D$31,4,0)*BP1642</f>
        <v>#N/A</v>
      </c>
    </row>
    <row r="1643" spans="41:74" x14ac:dyDescent="0.35">
      <c r="AO1643" s="39">
        <v>1641</v>
      </c>
      <c r="AP1643" s="63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55" t="e">
        <f>IFERROR(VLOOKUP(AQ1643,'[1]Harga &amp; Nama CSO'!$H$2:$N$22,2,FALSE),"")*AV1643</f>
        <v>#VALUE!</v>
      </c>
      <c r="BO1643" s="40"/>
      <c r="BP1643" s="4"/>
      <c r="BQ1643" s="62"/>
      <c r="BR1643" s="4"/>
      <c r="BS1643" s="57" t="e">
        <f t="shared" si="46"/>
        <v>#VALUE!</v>
      </c>
      <c r="BT1643" s="63"/>
      <c r="BU1643" s="8">
        <v>0</v>
      </c>
      <c r="BV1643" s="58" t="e">
        <f>VLOOKUP(AQ1643,'[1]Harga &amp; Nama CSO'!$A$28:$D$31,4,0)*BP1643</f>
        <v>#N/A</v>
      </c>
    </row>
    <row r="1644" spans="41:74" x14ac:dyDescent="0.35">
      <c r="AO1644" s="39">
        <v>1642</v>
      </c>
      <c r="AP1644" s="63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55" t="e">
        <f>IFERROR(VLOOKUP(AQ1644,'[1]Harga &amp; Nama CSO'!$H$2:$N$22,2,FALSE),"")*AV1644</f>
        <v>#VALUE!</v>
      </c>
      <c r="BO1644" s="40"/>
      <c r="BP1644" s="4"/>
      <c r="BQ1644" s="62"/>
      <c r="BR1644" s="4"/>
      <c r="BS1644" s="57" t="e">
        <f t="shared" si="46"/>
        <v>#VALUE!</v>
      </c>
      <c r="BT1644" s="63"/>
      <c r="BU1644" s="8">
        <v>0</v>
      </c>
      <c r="BV1644" s="58" t="e">
        <f>VLOOKUP(AQ1644,'[1]Harga &amp; Nama CSO'!$A$28:$D$31,4,0)*BP1644</f>
        <v>#N/A</v>
      </c>
    </row>
    <row r="1645" spans="41:74" x14ac:dyDescent="0.35">
      <c r="AO1645" s="39">
        <v>1643</v>
      </c>
      <c r="AP1645" s="63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55" t="e">
        <f>IFERROR(VLOOKUP(AQ1645,'[1]Harga &amp; Nama CSO'!$H$2:$N$22,2,FALSE),"")*AV1645</f>
        <v>#VALUE!</v>
      </c>
      <c r="BO1645" s="40"/>
      <c r="BP1645" s="4"/>
      <c r="BQ1645" s="62"/>
      <c r="BR1645" s="4"/>
      <c r="BS1645" s="57" t="e">
        <f t="shared" si="46"/>
        <v>#VALUE!</v>
      </c>
      <c r="BT1645" s="63"/>
      <c r="BU1645" s="8">
        <v>0</v>
      </c>
      <c r="BV1645" s="58" t="e">
        <f>VLOOKUP(AQ1645,'[1]Harga &amp; Nama CSO'!$A$28:$D$31,4,0)*BP1645</f>
        <v>#N/A</v>
      </c>
    </row>
    <row r="1646" spans="41:74" x14ac:dyDescent="0.35">
      <c r="AO1646" s="39">
        <v>1644</v>
      </c>
      <c r="AP1646" s="63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55" t="e">
        <f>IFERROR(VLOOKUP(AQ1646,'[1]Harga &amp; Nama CSO'!$H$2:$N$22,2,FALSE),"")*AV1646</f>
        <v>#VALUE!</v>
      </c>
      <c r="BO1646" s="40"/>
      <c r="BP1646" s="4"/>
      <c r="BQ1646" s="62"/>
      <c r="BR1646" s="4"/>
      <c r="BS1646" s="57" t="e">
        <f t="shared" si="46"/>
        <v>#VALUE!</v>
      </c>
      <c r="BT1646" s="63"/>
      <c r="BU1646" s="8">
        <v>0</v>
      </c>
      <c r="BV1646" s="58" t="e">
        <f>VLOOKUP(AQ1646,'[1]Harga &amp; Nama CSO'!$A$28:$D$31,4,0)*BP1646</f>
        <v>#N/A</v>
      </c>
    </row>
    <row r="1647" spans="41:74" x14ac:dyDescent="0.35">
      <c r="AO1647" s="39">
        <v>1645</v>
      </c>
      <c r="AP1647" s="63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55" t="e">
        <f>IFERROR(VLOOKUP(AQ1647,'[1]Harga &amp; Nama CSO'!$H$2:$N$22,2,FALSE),"")*AV1647</f>
        <v>#VALUE!</v>
      </c>
      <c r="BO1647" s="40"/>
      <c r="BP1647" s="4"/>
      <c r="BQ1647" s="62"/>
      <c r="BR1647" s="4"/>
      <c r="BS1647" s="57" t="e">
        <f t="shared" si="46"/>
        <v>#VALUE!</v>
      </c>
      <c r="BT1647" s="63"/>
      <c r="BU1647" s="8">
        <v>0</v>
      </c>
      <c r="BV1647" s="58" t="e">
        <f>VLOOKUP(AQ1647,'[1]Harga &amp; Nama CSO'!$A$28:$D$31,4,0)*BP1647</f>
        <v>#N/A</v>
      </c>
    </row>
    <row r="1648" spans="41:74" x14ac:dyDescent="0.35">
      <c r="AO1648" s="39">
        <v>1646</v>
      </c>
      <c r="AP1648" s="63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55" t="e">
        <f>IFERROR(VLOOKUP(AQ1648,'[1]Harga &amp; Nama CSO'!$H$2:$N$22,2,FALSE),"")*AV1648</f>
        <v>#VALUE!</v>
      </c>
      <c r="BO1648" s="40"/>
      <c r="BP1648" s="4"/>
      <c r="BQ1648" s="62"/>
      <c r="BR1648" s="4"/>
      <c r="BS1648" s="57" t="e">
        <f t="shared" si="46"/>
        <v>#VALUE!</v>
      </c>
      <c r="BT1648" s="63"/>
      <c r="BU1648" s="8">
        <v>0</v>
      </c>
      <c r="BV1648" s="58" t="e">
        <f>VLOOKUP(AQ1648,'[1]Harga &amp; Nama CSO'!$A$28:$D$31,4,0)*BP1648</f>
        <v>#N/A</v>
      </c>
    </row>
    <row r="1649" spans="41:74" x14ac:dyDescent="0.35">
      <c r="AO1649" s="39">
        <v>1647</v>
      </c>
      <c r="AP1649" s="63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55" t="e">
        <f>IFERROR(VLOOKUP(AQ1649,'[1]Harga &amp; Nama CSO'!$H$2:$N$22,2,FALSE),"")*AV1649</f>
        <v>#VALUE!</v>
      </c>
      <c r="BO1649" s="40"/>
      <c r="BP1649" s="4"/>
      <c r="BQ1649" s="62"/>
      <c r="BR1649" s="4"/>
      <c r="BS1649" s="57" t="e">
        <f t="shared" si="46"/>
        <v>#VALUE!</v>
      </c>
      <c r="BT1649" s="63"/>
      <c r="BU1649" s="8">
        <v>0</v>
      </c>
      <c r="BV1649" s="58" t="e">
        <f>VLOOKUP(AQ1649,'[1]Harga &amp; Nama CSO'!$A$28:$D$31,4,0)*BP1649</f>
        <v>#N/A</v>
      </c>
    </row>
    <row r="1650" spans="41:74" x14ac:dyDescent="0.35">
      <c r="AO1650" s="39">
        <v>1648</v>
      </c>
      <c r="AP1650" s="63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55" t="e">
        <f>IFERROR(VLOOKUP(AQ1650,'[1]Harga &amp; Nama CSO'!$H$2:$N$22,2,FALSE),"")*AV1650</f>
        <v>#VALUE!</v>
      </c>
      <c r="BO1650" s="40"/>
      <c r="BP1650" s="4"/>
      <c r="BQ1650" s="62"/>
      <c r="BR1650" s="4"/>
      <c r="BS1650" s="57" t="e">
        <f t="shared" si="46"/>
        <v>#VALUE!</v>
      </c>
      <c r="BT1650" s="63"/>
      <c r="BU1650" s="8">
        <v>0</v>
      </c>
      <c r="BV1650" s="58" t="e">
        <f>VLOOKUP(AQ1650,'[1]Harga &amp; Nama CSO'!$A$28:$D$31,4,0)*BP1650</f>
        <v>#N/A</v>
      </c>
    </row>
    <row r="1651" spans="41:74" x14ac:dyDescent="0.35">
      <c r="AO1651" s="39">
        <v>1649</v>
      </c>
      <c r="AP1651" s="63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55" t="e">
        <f>IFERROR(VLOOKUP(AQ1651,'[1]Harga &amp; Nama CSO'!$H$2:$N$22,2,FALSE),"")*AV1651</f>
        <v>#VALUE!</v>
      </c>
      <c r="BO1651" s="40"/>
      <c r="BP1651" s="4"/>
      <c r="BQ1651" s="62"/>
      <c r="BR1651" s="4"/>
      <c r="BS1651" s="57" t="e">
        <f t="shared" si="46"/>
        <v>#VALUE!</v>
      </c>
      <c r="BT1651" s="63"/>
      <c r="BU1651" s="8">
        <v>0</v>
      </c>
      <c r="BV1651" s="58" t="e">
        <f>VLOOKUP(AQ1651,'[1]Harga &amp; Nama CSO'!$A$28:$D$31,4,0)*BP1651</f>
        <v>#N/A</v>
      </c>
    </row>
    <row r="1652" spans="41:74" x14ac:dyDescent="0.35">
      <c r="AO1652" s="39">
        <v>1650</v>
      </c>
      <c r="AP1652" s="63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55" t="e">
        <f>IFERROR(VLOOKUP(AQ1652,'[1]Harga &amp; Nama CSO'!$H$2:$N$22,2,FALSE),"")*AV1652</f>
        <v>#VALUE!</v>
      </c>
      <c r="BO1652" s="40"/>
      <c r="BP1652" s="4"/>
      <c r="BQ1652" s="62"/>
      <c r="BR1652" s="4"/>
      <c r="BS1652" s="57" t="e">
        <f t="shared" si="46"/>
        <v>#VALUE!</v>
      </c>
      <c r="BT1652" s="63"/>
      <c r="BU1652" s="8">
        <v>0</v>
      </c>
      <c r="BV1652" s="58" t="e">
        <f>VLOOKUP(AQ1652,'[1]Harga &amp; Nama CSO'!$A$28:$D$31,4,0)*BP1652</f>
        <v>#N/A</v>
      </c>
    </row>
    <row r="1653" spans="41:74" x14ac:dyDescent="0.35">
      <c r="AO1653" s="39">
        <v>1651</v>
      </c>
      <c r="AP1653" s="63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55" t="e">
        <f>IFERROR(VLOOKUP(AQ1653,'[1]Harga &amp; Nama CSO'!$H$2:$N$22,2,FALSE),"")*AV1653</f>
        <v>#VALUE!</v>
      </c>
      <c r="BO1653" s="40"/>
      <c r="BP1653" s="4"/>
      <c r="BQ1653" s="62"/>
      <c r="BR1653" s="4"/>
      <c r="BS1653" s="57" t="e">
        <f t="shared" si="46"/>
        <v>#VALUE!</v>
      </c>
      <c r="BT1653" s="63"/>
      <c r="BU1653" s="8">
        <v>0</v>
      </c>
      <c r="BV1653" s="58" t="e">
        <f>VLOOKUP(AQ1653,'[1]Harga &amp; Nama CSO'!$A$28:$D$31,4,0)*BP1653</f>
        <v>#N/A</v>
      </c>
    </row>
    <row r="1654" spans="41:74" x14ac:dyDescent="0.35">
      <c r="AO1654" s="39">
        <v>1652</v>
      </c>
      <c r="AP1654" s="63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55" t="e">
        <f>IFERROR(VLOOKUP(AQ1654,'[1]Harga &amp; Nama CSO'!$H$2:$N$22,2,FALSE),"")*AV1654</f>
        <v>#VALUE!</v>
      </c>
      <c r="BO1654" s="40"/>
      <c r="BP1654" s="4"/>
      <c r="BQ1654" s="62"/>
      <c r="BR1654" s="4"/>
      <c r="BS1654" s="57" t="e">
        <f t="shared" si="46"/>
        <v>#VALUE!</v>
      </c>
      <c r="BT1654" s="63"/>
      <c r="BU1654" s="8">
        <v>0</v>
      </c>
      <c r="BV1654" s="58" t="e">
        <f>VLOOKUP(AQ1654,'[1]Harga &amp; Nama CSO'!$A$28:$D$31,4,0)*BP1654</f>
        <v>#N/A</v>
      </c>
    </row>
    <row r="1655" spans="41:74" x14ac:dyDescent="0.35">
      <c r="AO1655" s="39">
        <v>1653</v>
      </c>
      <c r="AP1655" s="63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55" t="e">
        <f>IFERROR(VLOOKUP(AQ1655,'[1]Harga &amp; Nama CSO'!$H$2:$N$22,2,FALSE),"")*AV1655</f>
        <v>#VALUE!</v>
      </c>
      <c r="BO1655" s="40"/>
      <c r="BP1655" s="4"/>
      <c r="BQ1655" s="62"/>
      <c r="BR1655" s="4"/>
      <c r="BS1655" s="57" t="e">
        <f t="shared" si="46"/>
        <v>#VALUE!</v>
      </c>
      <c r="BT1655" s="63"/>
      <c r="BU1655" s="8">
        <v>0</v>
      </c>
      <c r="BV1655" s="58" t="e">
        <f>VLOOKUP(AQ1655,'[1]Harga &amp; Nama CSO'!$A$28:$D$31,4,0)*BP1655</f>
        <v>#N/A</v>
      </c>
    </row>
    <row r="1656" spans="41:74" x14ac:dyDescent="0.35">
      <c r="AO1656" s="39">
        <v>1654</v>
      </c>
      <c r="AP1656" s="63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55" t="e">
        <f>IFERROR(VLOOKUP(AQ1656,'[1]Harga &amp; Nama CSO'!$H$2:$N$22,2,FALSE),"")*AV1656</f>
        <v>#VALUE!</v>
      </c>
      <c r="BO1656" s="40"/>
      <c r="BP1656" s="4"/>
      <c r="BQ1656" s="62"/>
      <c r="BR1656" s="4"/>
      <c r="BS1656" s="57" t="e">
        <f t="shared" si="46"/>
        <v>#VALUE!</v>
      </c>
      <c r="BT1656" s="63"/>
      <c r="BU1656" s="8">
        <v>0</v>
      </c>
      <c r="BV1656" s="58" t="e">
        <f>VLOOKUP(AQ1656,'[1]Harga &amp; Nama CSO'!$A$28:$D$31,4,0)*BP1656</f>
        <v>#N/A</v>
      </c>
    </row>
    <row r="1657" spans="41:74" x14ac:dyDescent="0.35">
      <c r="AO1657" s="39">
        <v>1655</v>
      </c>
      <c r="AP1657" s="63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55" t="e">
        <f>IFERROR(VLOOKUP(AQ1657,'[1]Harga &amp; Nama CSO'!$H$2:$N$22,2,FALSE),"")*AV1657</f>
        <v>#VALUE!</v>
      </c>
      <c r="BO1657" s="40"/>
      <c r="BP1657" s="4"/>
      <c r="BQ1657" s="62"/>
      <c r="BR1657" s="4"/>
      <c r="BS1657" s="57" t="e">
        <f t="shared" si="46"/>
        <v>#VALUE!</v>
      </c>
      <c r="BT1657" s="63"/>
      <c r="BU1657" s="8">
        <v>0</v>
      </c>
      <c r="BV1657" s="58" t="e">
        <f>VLOOKUP(AQ1657,'[1]Harga &amp; Nama CSO'!$A$28:$D$31,4,0)*BP1657</f>
        <v>#N/A</v>
      </c>
    </row>
    <row r="1658" spans="41:74" x14ac:dyDescent="0.35">
      <c r="AO1658" s="39">
        <v>1656</v>
      </c>
      <c r="AP1658" s="63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55" t="e">
        <f>IFERROR(VLOOKUP(AQ1658,'[1]Harga &amp; Nama CSO'!$H$2:$N$22,2,FALSE),"")*AV1658</f>
        <v>#VALUE!</v>
      </c>
      <c r="BO1658" s="40"/>
      <c r="BP1658" s="4"/>
      <c r="BQ1658" s="62"/>
      <c r="BR1658" s="4"/>
      <c r="BS1658" s="57" t="e">
        <f t="shared" si="46"/>
        <v>#VALUE!</v>
      </c>
      <c r="BT1658" s="63"/>
      <c r="BU1658" s="8">
        <v>0</v>
      </c>
      <c r="BV1658" s="58" t="e">
        <f>VLOOKUP(AQ1658,'[1]Harga &amp; Nama CSO'!$A$28:$D$31,4,0)*BP1658</f>
        <v>#N/A</v>
      </c>
    </row>
    <row r="1659" spans="41:74" x14ac:dyDescent="0.35">
      <c r="AO1659" s="39">
        <v>1657</v>
      </c>
      <c r="AP1659" s="63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55" t="e">
        <f>IFERROR(VLOOKUP(AQ1659,'[1]Harga &amp; Nama CSO'!$H$2:$N$22,2,FALSE),"")*AV1659</f>
        <v>#VALUE!</v>
      </c>
      <c r="BO1659" s="40"/>
      <c r="BP1659" s="4"/>
      <c r="BQ1659" s="62"/>
      <c r="BR1659" s="4"/>
      <c r="BS1659" s="57" t="e">
        <f t="shared" si="46"/>
        <v>#VALUE!</v>
      </c>
      <c r="BT1659" s="63"/>
      <c r="BU1659" s="8">
        <v>0</v>
      </c>
      <c r="BV1659" s="58" t="e">
        <f>VLOOKUP(AQ1659,'[1]Harga &amp; Nama CSO'!$A$28:$D$31,4,0)*BP1659</f>
        <v>#N/A</v>
      </c>
    </row>
    <row r="1660" spans="41:74" x14ac:dyDescent="0.35">
      <c r="AO1660" s="39">
        <v>1658</v>
      </c>
      <c r="AP1660" s="63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55" t="e">
        <f>IFERROR(VLOOKUP(AQ1660,'[1]Harga &amp; Nama CSO'!$H$2:$N$22,2,FALSE),"")*AV1660</f>
        <v>#VALUE!</v>
      </c>
      <c r="BO1660" s="40"/>
      <c r="BP1660" s="4"/>
      <c r="BQ1660" s="62"/>
      <c r="BR1660" s="4"/>
      <c r="BS1660" s="57" t="e">
        <f t="shared" si="46"/>
        <v>#VALUE!</v>
      </c>
      <c r="BT1660" s="63"/>
      <c r="BU1660" s="8">
        <v>0</v>
      </c>
      <c r="BV1660" s="58" t="e">
        <f>VLOOKUP(AQ1660,'[1]Harga &amp; Nama CSO'!$A$28:$D$31,4,0)*BP1660</f>
        <v>#N/A</v>
      </c>
    </row>
    <row r="1661" spans="41:74" x14ac:dyDescent="0.35">
      <c r="AO1661" s="39">
        <v>1659</v>
      </c>
      <c r="AP1661" s="63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55" t="e">
        <f>IFERROR(VLOOKUP(AQ1661,'[1]Harga &amp; Nama CSO'!$H$2:$N$22,2,FALSE),"")*AV1661</f>
        <v>#VALUE!</v>
      </c>
      <c r="BO1661" s="40"/>
      <c r="BP1661" s="4"/>
      <c r="BQ1661" s="62"/>
      <c r="BR1661" s="4"/>
      <c r="BS1661" s="57" t="e">
        <f t="shared" si="46"/>
        <v>#VALUE!</v>
      </c>
      <c r="BT1661" s="63"/>
      <c r="BU1661" s="8">
        <v>0</v>
      </c>
      <c r="BV1661" s="58" t="e">
        <f>VLOOKUP(AQ1661,'[1]Harga &amp; Nama CSO'!$A$28:$D$31,4,0)*BP1661</f>
        <v>#N/A</v>
      </c>
    </row>
    <row r="1662" spans="41:74" x14ac:dyDescent="0.35">
      <c r="AO1662" s="39">
        <v>1660</v>
      </c>
      <c r="AP1662" s="63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55" t="e">
        <f>IFERROR(VLOOKUP(AQ1662,'[1]Harga &amp; Nama CSO'!$H$2:$N$22,2,FALSE),"")*AV1662</f>
        <v>#VALUE!</v>
      </c>
      <c r="BO1662" s="40"/>
      <c r="BP1662" s="4"/>
      <c r="BQ1662" s="62"/>
      <c r="BR1662" s="4"/>
      <c r="BS1662" s="57" t="e">
        <f t="shared" si="46"/>
        <v>#VALUE!</v>
      </c>
      <c r="BT1662" s="63"/>
      <c r="BU1662" s="8">
        <v>0</v>
      </c>
      <c r="BV1662" s="58" t="e">
        <f>VLOOKUP(AQ1662,'[1]Harga &amp; Nama CSO'!$A$28:$D$31,4,0)*BP1662</f>
        <v>#N/A</v>
      </c>
    </row>
    <row r="1663" spans="41:74" x14ac:dyDescent="0.35">
      <c r="AO1663" s="39">
        <v>1661</v>
      </c>
      <c r="AP1663" s="63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55" t="e">
        <f>IFERROR(VLOOKUP(AQ1663,'[1]Harga &amp; Nama CSO'!$H$2:$N$22,2,FALSE),"")*AV1663</f>
        <v>#VALUE!</v>
      </c>
      <c r="BO1663" s="40"/>
      <c r="BP1663" s="4"/>
      <c r="BQ1663" s="62"/>
      <c r="BR1663" s="4"/>
      <c r="BS1663" s="57" t="e">
        <f t="shared" si="46"/>
        <v>#VALUE!</v>
      </c>
      <c r="BT1663" s="63"/>
      <c r="BU1663" s="8">
        <v>0</v>
      </c>
      <c r="BV1663" s="58" t="e">
        <f>VLOOKUP(AQ1663,'[1]Harga &amp; Nama CSO'!$A$28:$D$31,4,0)*BP1663</f>
        <v>#N/A</v>
      </c>
    </row>
    <row r="1664" spans="41:74" x14ac:dyDescent="0.35">
      <c r="AO1664" s="39">
        <v>1662</v>
      </c>
      <c r="AP1664" s="63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55" t="e">
        <f>IFERROR(VLOOKUP(AQ1664,'[1]Harga &amp; Nama CSO'!$H$2:$N$22,2,FALSE),"")*AV1664</f>
        <v>#VALUE!</v>
      </c>
      <c r="BO1664" s="40"/>
      <c r="BP1664" s="4"/>
      <c r="BQ1664" s="62"/>
      <c r="BR1664" s="4"/>
      <c r="BS1664" s="57" t="e">
        <f t="shared" si="46"/>
        <v>#VALUE!</v>
      </c>
      <c r="BT1664" s="63"/>
      <c r="BU1664" s="8">
        <v>0</v>
      </c>
      <c r="BV1664" s="58" t="e">
        <f>VLOOKUP(AQ1664,'[1]Harga &amp; Nama CSO'!$A$28:$D$31,4,0)*BP1664</f>
        <v>#N/A</v>
      </c>
    </row>
    <row r="1665" spans="41:74" x14ac:dyDescent="0.35">
      <c r="AO1665" s="39">
        <v>1663</v>
      </c>
      <c r="AP1665" s="63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55" t="e">
        <f>IFERROR(VLOOKUP(AQ1665,'[1]Harga &amp; Nama CSO'!$H$2:$N$22,2,FALSE),"")*AV1665</f>
        <v>#VALUE!</v>
      </c>
      <c r="BO1665" s="40"/>
      <c r="BP1665" s="4"/>
      <c r="BQ1665" s="62"/>
      <c r="BR1665" s="4"/>
      <c r="BS1665" s="57" t="e">
        <f t="shared" si="46"/>
        <v>#VALUE!</v>
      </c>
      <c r="BT1665" s="63"/>
      <c r="BU1665" s="8">
        <v>0</v>
      </c>
      <c r="BV1665" s="58" t="e">
        <f>VLOOKUP(AQ1665,'[1]Harga &amp; Nama CSO'!$A$28:$D$31,4,0)*BP1665</f>
        <v>#N/A</v>
      </c>
    </row>
    <row r="1666" spans="41:74" x14ac:dyDescent="0.35">
      <c r="AO1666" s="39">
        <v>1664</v>
      </c>
      <c r="AP1666" s="63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55" t="e">
        <f>IFERROR(VLOOKUP(AQ1666,'[1]Harga &amp; Nama CSO'!$H$2:$N$22,2,FALSE),"")*AV1666</f>
        <v>#VALUE!</v>
      </c>
      <c r="BO1666" s="40"/>
      <c r="BP1666" s="4"/>
      <c r="BQ1666" s="62"/>
      <c r="BR1666" s="4"/>
      <c r="BS1666" s="57" t="e">
        <f t="shared" si="46"/>
        <v>#VALUE!</v>
      </c>
      <c r="BT1666" s="63"/>
      <c r="BU1666" s="8">
        <v>0</v>
      </c>
      <c r="BV1666" s="58" t="e">
        <f>VLOOKUP(AQ1666,'[1]Harga &amp; Nama CSO'!$A$28:$D$31,4,0)*BP1666</f>
        <v>#N/A</v>
      </c>
    </row>
    <row r="1667" spans="41:74" x14ac:dyDescent="0.35">
      <c r="AO1667" s="39">
        <v>1665</v>
      </c>
      <c r="AP1667" s="63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55" t="e">
        <f>IFERROR(VLOOKUP(AQ1667,'[1]Harga &amp; Nama CSO'!$H$2:$N$22,2,FALSE),"")*AV1667</f>
        <v>#VALUE!</v>
      </c>
      <c r="BO1667" s="40"/>
      <c r="BP1667" s="4"/>
      <c r="BQ1667" s="62"/>
      <c r="BR1667" s="4"/>
      <c r="BS1667" s="57" t="e">
        <f t="shared" ref="BS1667:BS1730" si="47">BN1667-BQ1667</f>
        <v>#VALUE!</v>
      </c>
      <c r="BT1667" s="63"/>
      <c r="BU1667" s="8">
        <v>0</v>
      </c>
      <c r="BV1667" s="58" t="e">
        <f>VLOOKUP(AQ1667,'[1]Harga &amp; Nama CSO'!$A$28:$D$31,4,0)*BP1667</f>
        <v>#N/A</v>
      </c>
    </row>
    <row r="1668" spans="41:74" x14ac:dyDescent="0.35">
      <c r="AO1668" s="39">
        <v>1666</v>
      </c>
      <c r="AP1668" s="63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55" t="e">
        <f>IFERROR(VLOOKUP(AQ1668,'[1]Harga &amp; Nama CSO'!$H$2:$N$22,2,FALSE),"")*AV1668</f>
        <v>#VALUE!</v>
      </c>
      <c r="BO1668" s="40"/>
      <c r="BP1668" s="4"/>
      <c r="BQ1668" s="62"/>
      <c r="BR1668" s="4"/>
      <c r="BS1668" s="57" t="e">
        <f t="shared" si="47"/>
        <v>#VALUE!</v>
      </c>
      <c r="BT1668" s="63"/>
      <c r="BU1668" s="8">
        <v>0</v>
      </c>
      <c r="BV1668" s="58" t="e">
        <f>VLOOKUP(AQ1668,'[1]Harga &amp; Nama CSO'!$A$28:$D$31,4,0)*BP1668</f>
        <v>#N/A</v>
      </c>
    </row>
    <row r="1669" spans="41:74" x14ac:dyDescent="0.35">
      <c r="AO1669" s="39">
        <v>1667</v>
      </c>
      <c r="AP1669" s="63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55" t="e">
        <f>IFERROR(VLOOKUP(AQ1669,'[1]Harga &amp; Nama CSO'!$H$2:$N$22,2,FALSE),"")*AV1669</f>
        <v>#VALUE!</v>
      </c>
      <c r="BO1669" s="40"/>
      <c r="BP1669" s="4"/>
      <c r="BQ1669" s="62"/>
      <c r="BR1669" s="4"/>
      <c r="BS1669" s="57" t="e">
        <f t="shared" si="47"/>
        <v>#VALUE!</v>
      </c>
      <c r="BT1669" s="63"/>
      <c r="BU1669" s="8">
        <v>0</v>
      </c>
      <c r="BV1669" s="58" t="e">
        <f>VLOOKUP(AQ1669,'[1]Harga &amp; Nama CSO'!$A$28:$D$31,4,0)*BP1669</f>
        <v>#N/A</v>
      </c>
    </row>
    <row r="1670" spans="41:74" x14ac:dyDescent="0.35">
      <c r="AO1670" s="39">
        <v>1668</v>
      </c>
      <c r="AP1670" s="63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55" t="e">
        <f>IFERROR(VLOOKUP(AQ1670,'[1]Harga &amp; Nama CSO'!$H$2:$N$22,2,FALSE),"")*AV1670</f>
        <v>#VALUE!</v>
      </c>
      <c r="BO1670" s="40"/>
      <c r="BP1670" s="4"/>
      <c r="BQ1670" s="62"/>
      <c r="BR1670" s="4"/>
      <c r="BS1670" s="57" t="e">
        <f t="shared" si="47"/>
        <v>#VALUE!</v>
      </c>
      <c r="BT1670" s="63"/>
      <c r="BU1670" s="8">
        <v>0</v>
      </c>
      <c r="BV1670" s="58" t="e">
        <f>VLOOKUP(AQ1670,'[1]Harga &amp; Nama CSO'!$A$28:$D$31,4,0)*BP1670</f>
        <v>#N/A</v>
      </c>
    </row>
    <row r="1671" spans="41:74" x14ac:dyDescent="0.35">
      <c r="AO1671" s="39">
        <v>1669</v>
      </c>
      <c r="AP1671" s="63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55" t="e">
        <f>IFERROR(VLOOKUP(AQ1671,'[1]Harga &amp; Nama CSO'!$H$2:$N$22,2,FALSE),"")*AV1671</f>
        <v>#VALUE!</v>
      </c>
      <c r="BO1671" s="40"/>
      <c r="BP1671" s="4"/>
      <c r="BQ1671" s="62"/>
      <c r="BR1671" s="4"/>
      <c r="BS1671" s="57" t="e">
        <f t="shared" si="47"/>
        <v>#VALUE!</v>
      </c>
      <c r="BT1671" s="63"/>
      <c r="BU1671" s="8">
        <v>0</v>
      </c>
      <c r="BV1671" s="58" t="e">
        <f>VLOOKUP(AQ1671,'[1]Harga &amp; Nama CSO'!$A$28:$D$31,4,0)*BP1671</f>
        <v>#N/A</v>
      </c>
    </row>
    <row r="1672" spans="41:74" x14ac:dyDescent="0.35">
      <c r="AO1672" s="39">
        <v>1670</v>
      </c>
      <c r="AP1672" s="63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55" t="e">
        <f>IFERROR(VLOOKUP(AQ1672,'[1]Harga &amp; Nama CSO'!$H$2:$N$22,2,FALSE),"")*AV1672</f>
        <v>#VALUE!</v>
      </c>
      <c r="BO1672" s="40"/>
      <c r="BP1672" s="4"/>
      <c r="BQ1672" s="62"/>
      <c r="BR1672" s="4"/>
      <c r="BS1672" s="57" t="e">
        <f t="shared" si="47"/>
        <v>#VALUE!</v>
      </c>
      <c r="BT1672" s="63"/>
      <c r="BU1672" s="8">
        <v>0</v>
      </c>
      <c r="BV1672" s="58" t="e">
        <f>VLOOKUP(AQ1672,'[1]Harga &amp; Nama CSO'!$A$28:$D$31,4,0)*BP1672</f>
        <v>#N/A</v>
      </c>
    </row>
    <row r="1673" spans="41:74" x14ac:dyDescent="0.35">
      <c r="AO1673" s="39">
        <v>1671</v>
      </c>
      <c r="AP1673" s="63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55" t="e">
        <f>IFERROR(VLOOKUP(AQ1673,'[1]Harga &amp; Nama CSO'!$H$2:$N$22,2,FALSE),"")*AV1673</f>
        <v>#VALUE!</v>
      </c>
      <c r="BO1673" s="40"/>
      <c r="BP1673" s="4"/>
      <c r="BQ1673" s="62"/>
      <c r="BR1673" s="4"/>
      <c r="BS1673" s="57" t="e">
        <f t="shared" si="47"/>
        <v>#VALUE!</v>
      </c>
      <c r="BT1673" s="63"/>
      <c r="BU1673" s="8">
        <v>0</v>
      </c>
      <c r="BV1673" s="58" t="e">
        <f>VLOOKUP(AQ1673,'[1]Harga &amp; Nama CSO'!$A$28:$D$31,4,0)*BP1673</f>
        <v>#N/A</v>
      </c>
    </row>
    <row r="1674" spans="41:74" x14ac:dyDescent="0.35">
      <c r="AO1674" s="39">
        <v>1672</v>
      </c>
      <c r="AP1674" s="63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55" t="e">
        <f>IFERROR(VLOOKUP(AQ1674,'[1]Harga &amp; Nama CSO'!$H$2:$N$22,2,FALSE),"")*AV1674</f>
        <v>#VALUE!</v>
      </c>
      <c r="BO1674" s="40"/>
      <c r="BP1674" s="4"/>
      <c r="BQ1674" s="62"/>
      <c r="BR1674" s="4"/>
      <c r="BS1674" s="57" t="e">
        <f t="shared" si="47"/>
        <v>#VALUE!</v>
      </c>
      <c r="BT1674" s="63"/>
      <c r="BU1674" s="8">
        <v>0</v>
      </c>
      <c r="BV1674" s="58" t="e">
        <f>VLOOKUP(AQ1674,'[1]Harga &amp; Nama CSO'!$A$28:$D$31,4,0)*BP1674</f>
        <v>#N/A</v>
      </c>
    </row>
    <row r="1675" spans="41:74" x14ac:dyDescent="0.35">
      <c r="AO1675" s="39">
        <v>1673</v>
      </c>
      <c r="AP1675" s="63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55" t="e">
        <f>IFERROR(VLOOKUP(AQ1675,'[1]Harga &amp; Nama CSO'!$H$2:$N$22,2,FALSE),"")*AV1675</f>
        <v>#VALUE!</v>
      </c>
      <c r="BO1675" s="40"/>
      <c r="BP1675" s="4"/>
      <c r="BQ1675" s="62"/>
      <c r="BR1675" s="4"/>
      <c r="BS1675" s="57" t="e">
        <f t="shared" si="47"/>
        <v>#VALUE!</v>
      </c>
      <c r="BT1675" s="63"/>
      <c r="BU1675" s="8">
        <v>0</v>
      </c>
      <c r="BV1675" s="58" t="e">
        <f>VLOOKUP(AQ1675,'[1]Harga &amp; Nama CSO'!$A$28:$D$31,4,0)*BP1675</f>
        <v>#N/A</v>
      </c>
    </row>
    <row r="1676" spans="41:74" x14ac:dyDescent="0.35">
      <c r="AO1676" s="39">
        <v>1674</v>
      </c>
      <c r="AP1676" s="63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55" t="e">
        <f>IFERROR(VLOOKUP(AQ1676,'[1]Harga &amp; Nama CSO'!$H$2:$N$22,2,FALSE),"")*AV1676</f>
        <v>#VALUE!</v>
      </c>
      <c r="BO1676" s="40"/>
      <c r="BP1676" s="4"/>
      <c r="BQ1676" s="62"/>
      <c r="BR1676" s="4"/>
      <c r="BS1676" s="57" t="e">
        <f t="shared" si="47"/>
        <v>#VALUE!</v>
      </c>
      <c r="BT1676" s="63"/>
      <c r="BU1676" s="8">
        <v>0</v>
      </c>
      <c r="BV1676" s="58" t="e">
        <f>VLOOKUP(AQ1676,'[1]Harga &amp; Nama CSO'!$A$28:$D$31,4,0)*BP1676</f>
        <v>#N/A</v>
      </c>
    </row>
    <row r="1677" spans="41:74" x14ac:dyDescent="0.35">
      <c r="AO1677" s="39">
        <v>1675</v>
      </c>
      <c r="AP1677" s="63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55" t="e">
        <f>IFERROR(VLOOKUP(AQ1677,'[1]Harga &amp; Nama CSO'!$H$2:$N$22,2,FALSE),"")*AV1677</f>
        <v>#VALUE!</v>
      </c>
      <c r="BO1677" s="40"/>
      <c r="BP1677" s="4"/>
      <c r="BQ1677" s="62"/>
      <c r="BR1677" s="4"/>
      <c r="BS1677" s="57" t="e">
        <f t="shared" si="47"/>
        <v>#VALUE!</v>
      </c>
      <c r="BT1677" s="63"/>
      <c r="BU1677" s="8">
        <v>0</v>
      </c>
      <c r="BV1677" s="58" t="e">
        <f>VLOOKUP(AQ1677,'[1]Harga &amp; Nama CSO'!$A$28:$D$31,4,0)*BP1677</f>
        <v>#N/A</v>
      </c>
    </row>
    <row r="1678" spans="41:74" x14ac:dyDescent="0.35">
      <c r="AO1678" s="39">
        <v>1676</v>
      </c>
      <c r="AP1678" s="63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55" t="e">
        <f>IFERROR(VLOOKUP(AQ1678,'[1]Harga &amp; Nama CSO'!$H$2:$N$22,2,FALSE),"")*AV1678</f>
        <v>#VALUE!</v>
      </c>
      <c r="BO1678" s="40"/>
      <c r="BP1678" s="4"/>
      <c r="BQ1678" s="62"/>
      <c r="BR1678" s="4"/>
      <c r="BS1678" s="57" t="e">
        <f t="shared" si="47"/>
        <v>#VALUE!</v>
      </c>
      <c r="BT1678" s="63"/>
      <c r="BU1678" s="8">
        <v>0</v>
      </c>
      <c r="BV1678" s="58" t="e">
        <f>VLOOKUP(AQ1678,'[1]Harga &amp; Nama CSO'!$A$28:$D$31,4,0)*BP1678</f>
        <v>#N/A</v>
      </c>
    </row>
    <row r="1679" spans="41:74" x14ac:dyDescent="0.35">
      <c r="AO1679" s="39">
        <v>1677</v>
      </c>
      <c r="AP1679" s="63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55" t="e">
        <f>IFERROR(VLOOKUP(AQ1679,'[1]Harga &amp; Nama CSO'!$H$2:$N$22,2,FALSE),"")*AV1679</f>
        <v>#VALUE!</v>
      </c>
      <c r="BO1679" s="40"/>
      <c r="BP1679" s="4"/>
      <c r="BQ1679" s="62"/>
      <c r="BR1679" s="4"/>
      <c r="BS1679" s="57" t="e">
        <f t="shared" si="47"/>
        <v>#VALUE!</v>
      </c>
      <c r="BT1679" s="63"/>
      <c r="BU1679" s="8">
        <v>0</v>
      </c>
      <c r="BV1679" s="58" t="e">
        <f>VLOOKUP(AQ1679,'[1]Harga &amp; Nama CSO'!$A$28:$D$31,4,0)*BP1679</f>
        <v>#N/A</v>
      </c>
    </row>
    <row r="1680" spans="41:74" x14ac:dyDescent="0.35">
      <c r="AO1680" s="39">
        <v>1678</v>
      </c>
      <c r="AP1680" s="63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55" t="e">
        <f>IFERROR(VLOOKUP(AQ1680,'[1]Harga &amp; Nama CSO'!$H$2:$N$22,2,FALSE),"")*AV1680</f>
        <v>#VALUE!</v>
      </c>
      <c r="BO1680" s="40"/>
      <c r="BP1680" s="4"/>
      <c r="BQ1680" s="62"/>
      <c r="BR1680" s="4"/>
      <c r="BS1680" s="57" t="e">
        <f t="shared" si="47"/>
        <v>#VALUE!</v>
      </c>
      <c r="BT1680" s="63"/>
      <c r="BU1680" s="8">
        <v>0</v>
      </c>
      <c r="BV1680" s="58" t="e">
        <f>VLOOKUP(AQ1680,'[1]Harga &amp; Nama CSO'!$A$28:$D$31,4,0)*BP1680</f>
        <v>#N/A</v>
      </c>
    </row>
    <row r="1681" spans="41:74" x14ac:dyDescent="0.35">
      <c r="AO1681" s="39">
        <v>1679</v>
      </c>
      <c r="AP1681" s="63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55" t="e">
        <f>IFERROR(VLOOKUP(AQ1681,'[1]Harga &amp; Nama CSO'!$H$2:$N$22,2,FALSE),"")*AV1681</f>
        <v>#VALUE!</v>
      </c>
      <c r="BO1681" s="40"/>
      <c r="BP1681" s="4"/>
      <c r="BQ1681" s="62"/>
      <c r="BR1681" s="4"/>
      <c r="BS1681" s="57" t="e">
        <f t="shared" si="47"/>
        <v>#VALUE!</v>
      </c>
      <c r="BT1681" s="63"/>
      <c r="BU1681" s="8">
        <v>0</v>
      </c>
      <c r="BV1681" s="58" t="e">
        <f>VLOOKUP(AQ1681,'[1]Harga &amp; Nama CSO'!$A$28:$D$31,4,0)*BP1681</f>
        <v>#N/A</v>
      </c>
    </row>
    <row r="1682" spans="41:74" x14ac:dyDescent="0.35">
      <c r="AO1682" s="39">
        <v>1680</v>
      </c>
      <c r="AP1682" s="63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55" t="e">
        <f>IFERROR(VLOOKUP(AQ1682,'[1]Harga &amp; Nama CSO'!$H$2:$N$22,2,FALSE),"")*AV1682</f>
        <v>#VALUE!</v>
      </c>
      <c r="BO1682" s="40"/>
      <c r="BP1682" s="4"/>
      <c r="BQ1682" s="62"/>
      <c r="BR1682" s="4"/>
      <c r="BS1682" s="57" t="e">
        <f t="shared" si="47"/>
        <v>#VALUE!</v>
      </c>
      <c r="BT1682" s="63"/>
      <c r="BU1682" s="8">
        <v>0</v>
      </c>
      <c r="BV1682" s="58" t="e">
        <f>VLOOKUP(AQ1682,'[1]Harga &amp; Nama CSO'!$A$28:$D$31,4,0)*BP1682</f>
        <v>#N/A</v>
      </c>
    </row>
    <row r="1683" spans="41:74" x14ac:dyDescent="0.35">
      <c r="AO1683" s="39">
        <v>1681</v>
      </c>
      <c r="AP1683" s="63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55" t="e">
        <f>IFERROR(VLOOKUP(AQ1683,'[1]Harga &amp; Nama CSO'!$H$2:$N$22,2,FALSE),"")*AV1683</f>
        <v>#VALUE!</v>
      </c>
      <c r="BO1683" s="40"/>
      <c r="BP1683" s="4"/>
      <c r="BQ1683" s="62"/>
      <c r="BR1683" s="4"/>
      <c r="BS1683" s="57" t="e">
        <f t="shared" si="47"/>
        <v>#VALUE!</v>
      </c>
      <c r="BT1683" s="63"/>
      <c r="BU1683" s="8">
        <v>0</v>
      </c>
      <c r="BV1683" s="58" t="e">
        <f>VLOOKUP(AQ1683,'[1]Harga &amp; Nama CSO'!$A$28:$D$31,4,0)*BP1683</f>
        <v>#N/A</v>
      </c>
    </row>
    <row r="1684" spans="41:74" x14ac:dyDescent="0.35">
      <c r="AO1684" s="39">
        <v>1682</v>
      </c>
      <c r="AP1684" s="63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55" t="e">
        <f>IFERROR(VLOOKUP(AQ1684,'[1]Harga &amp; Nama CSO'!$H$2:$N$22,2,FALSE),"")*AV1684</f>
        <v>#VALUE!</v>
      </c>
      <c r="BO1684" s="40"/>
      <c r="BP1684" s="4"/>
      <c r="BQ1684" s="62"/>
      <c r="BR1684" s="4"/>
      <c r="BS1684" s="57" t="e">
        <f t="shared" si="47"/>
        <v>#VALUE!</v>
      </c>
      <c r="BT1684" s="63"/>
      <c r="BU1684" s="8">
        <v>0</v>
      </c>
      <c r="BV1684" s="58" t="e">
        <f>VLOOKUP(AQ1684,'[1]Harga &amp; Nama CSO'!$A$28:$D$31,4,0)*BP1684</f>
        <v>#N/A</v>
      </c>
    </row>
    <row r="1685" spans="41:74" x14ac:dyDescent="0.35">
      <c r="AO1685" s="39">
        <v>1683</v>
      </c>
      <c r="AP1685" s="63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55" t="e">
        <f>IFERROR(VLOOKUP(AQ1685,'[1]Harga &amp; Nama CSO'!$H$2:$N$22,2,FALSE),"")*AV1685</f>
        <v>#VALUE!</v>
      </c>
      <c r="BO1685" s="40"/>
      <c r="BP1685" s="4"/>
      <c r="BQ1685" s="62"/>
      <c r="BR1685" s="4"/>
      <c r="BS1685" s="57" t="e">
        <f t="shared" si="47"/>
        <v>#VALUE!</v>
      </c>
      <c r="BT1685" s="63"/>
      <c r="BU1685" s="8">
        <v>0</v>
      </c>
      <c r="BV1685" s="58" t="e">
        <f>VLOOKUP(AQ1685,'[1]Harga &amp; Nama CSO'!$A$28:$D$31,4,0)*BP1685</f>
        <v>#N/A</v>
      </c>
    </row>
    <row r="1686" spans="41:74" x14ac:dyDescent="0.35">
      <c r="AO1686" s="39">
        <v>1684</v>
      </c>
      <c r="AP1686" s="63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55" t="e">
        <f>IFERROR(VLOOKUP(AQ1686,'[1]Harga &amp; Nama CSO'!$H$2:$N$22,2,FALSE),"")*AV1686</f>
        <v>#VALUE!</v>
      </c>
      <c r="BO1686" s="40"/>
      <c r="BP1686" s="4"/>
      <c r="BQ1686" s="62"/>
      <c r="BR1686" s="4"/>
      <c r="BS1686" s="57" t="e">
        <f t="shared" si="47"/>
        <v>#VALUE!</v>
      </c>
      <c r="BT1686" s="63"/>
      <c r="BU1686" s="8">
        <v>0</v>
      </c>
      <c r="BV1686" s="58" t="e">
        <f>VLOOKUP(AQ1686,'[1]Harga &amp; Nama CSO'!$A$28:$D$31,4,0)*BP1686</f>
        <v>#N/A</v>
      </c>
    </row>
    <row r="1687" spans="41:74" x14ac:dyDescent="0.35">
      <c r="AO1687" s="39">
        <v>1685</v>
      </c>
      <c r="AP1687" s="63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55" t="e">
        <f>IFERROR(VLOOKUP(AQ1687,'[1]Harga &amp; Nama CSO'!$H$2:$N$22,2,FALSE),"")*AV1687</f>
        <v>#VALUE!</v>
      </c>
      <c r="BO1687" s="40"/>
      <c r="BP1687" s="4"/>
      <c r="BQ1687" s="62"/>
      <c r="BR1687" s="4"/>
      <c r="BS1687" s="57" t="e">
        <f t="shared" si="47"/>
        <v>#VALUE!</v>
      </c>
      <c r="BT1687" s="63"/>
      <c r="BU1687" s="8">
        <v>0</v>
      </c>
      <c r="BV1687" s="58" t="e">
        <f>VLOOKUP(AQ1687,'[1]Harga &amp; Nama CSO'!$A$28:$D$31,4,0)*BP1687</f>
        <v>#N/A</v>
      </c>
    </row>
    <row r="1688" spans="41:74" x14ac:dyDescent="0.35">
      <c r="AO1688" s="39">
        <v>1686</v>
      </c>
      <c r="AP1688" s="63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55" t="e">
        <f>IFERROR(VLOOKUP(AQ1688,'[1]Harga &amp; Nama CSO'!$H$2:$N$22,2,FALSE),"")*AV1688</f>
        <v>#VALUE!</v>
      </c>
      <c r="BO1688" s="40"/>
      <c r="BP1688" s="4"/>
      <c r="BQ1688" s="62"/>
      <c r="BR1688" s="4"/>
      <c r="BS1688" s="57" t="e">
        <f t="shared" si="47"/>
        <v>#VALUE!</v>
      </c>
      <c r="BT1688" s="63"/>
      <c r="BU1688" s="8">
        <v>0</v>
      </c>
      <c r="BV1688" s="58" t="e">
        <f>VLOOKUP(AQ1688,'[1]Harga &amp; Nama CSO'!$A$28:$D$31,4,0)*BP1688</f>
        <v>#N/A</v>
      </c>
    </row>
    <row r="1689" spans="41:74" x14ac:dyDescent="0.35">
      <c r="AO1689" s="39">
        <v>1687</v>
      </c>
      <c r="AP1689" s="63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55" t="e">
        <f>IFERROR(VLOOKUP(AQ1689,'[1]Harga &amp; Nama CSO'!$H$2:$N$22,2,FALSE),"")*AV1689</f>
        <v>#VALUE!</v>
      </c>
      <c r="BO1689" s="40"/>
      <c r="BP1689" s="4"/>
      <c r="BQ1689" s="62"/>
      <c r="BR1689" s="4"/>
      <c r="BS1689" s="57" t="e">
        <f t="shared" si="47"/>
        <v>#VALUE!</v>
      </c>
      <c r="BT1689" s="63"/>
      <c r="BU1689" s="8">
        <v>0</v>
      </c>
      <c r="BV1689" s="58" t="e">
        <f>VLOOKUP(AQ1689,'[1]Harga &amp; Nama CSO'!$A$28:$D$31,4,0)*BP1689</f>
        <v>#N/A</v>
      </c>
    </row>
    <row r="1690" spans="41:74" x14ac:dyDescent="0.35">
      <c r="AO1690" s="39">
        <v>1688</v>
      </c>
      <c r="AP1690" s="63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55" t="e">
        <f>IFERROR(VLOOKUP(AQ1690,'[1]Harga &amp; Nama CSO'!$H$2:$N$22,2,FALSE),"")*AV1690</f>
        <v>#VALUE!</v>
      </c>
      <c r="BO1690" s="40"/>
      <c r="BP1690" s="4"/>
      <c r="BQ1690" s="62"/>
      <c r="BR1690" s="4"/>
      <c r="BS1690" s="57" t="e">
        <f t="shared" si="47"/>
        <v>#VALUE!</v>
      </c>
      <c r="BT1690" s="63"/>
      <c r="BU1690" s="8">
        <v>0</v>
      </c>
      <c r="BV1690" s="58" t="e">
        <f>VLOOKUP(AQ1690,'[1]Harga &amp; Nama CSO'!$A$28:$D$31,4,0)*BP1690</f>
        <v>#N/A</v>
      </c>
    </row>
    <row r="1691" spans="41:74" x14ac:dyDescent="0.35">
      <c r="AO1691" s="39">
        <v>1689</v>
      </c>
      <c r="AP1691" s="63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55" t="e">
        <f>IFERROR(VLOOKUP(AQ1691,'[1]Harga &amp; Nama CSO'!$H$2:$N$22,2,FALSE),"")*AV1691</f>
        <v>#VALUE!</v>
      </c>
      <c r="BO1691" s="40"/>
      <c r="BP1691" s="4"/>
      <c r="BQ1691" s="62"/>
      <c r="BR1691" s="4"/>
      <c r="BS1691" s="57" t="e">
        <f t="shared" si="47"/>
        <v>#VALUE!</v>
      </c>
      <c r="BT1691" s="63"/>
      <c r="BU1691" s="8">
        <v>0</v>
      </c>
      <c r="BV1691" s="58" t="e">
        <f>VLOOKUP(AQ1691,'[1]Harga &amp; Nama CSO'!$A$28:$D$31,4,0)*BP1691</f>
        <v>#N/A</v>
      </c>
    </row>
    <row r="1692" spans="41:74" x14ac:dyDescent="0.35">
      <c r="AO1692" s="39">
        <v>1690</v>
      </c>
      <c r="AP1692" s="63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55" t="e">
        <f>IFERROR(VLOOKUP(AQ1692,'[1]Harga &amp; Nama CSO'!$H$2:$N$22,2,FALSE),"")*AV1692</f>
        <v>#VALUE!</v>
      </c>
      <c r="BO1692" s="40"/>
      <c r="BP1692" s="4"/>
      <c r="BQ1692" s="62"/>
      <c r="BR1692" s="4"/>
      <c r="BS1692" s="57" t="e">
        <f t="shared" si="47"/>
        <v>#VALUE!</v>
      </c>
      <c r="BT1692" s="63"/>
      <c r="BU1692" s="8">
        <v>0</v>
      </c>
      <c r="BV1692" s="58" t="e">
        <f>VLOOKUP(AQ1692,'[1]Harga &amp; Nama CSO'!$A$28:$D$31,4,0)*BP1692</f>
        <v>#N/A</v>
      </c>
    </row>
    <row r="1693" spans="41:74" x14ac:dyDescent="0.35">
      <c r="AO1693" s="39">
        <v>1691</v>
      </c>
      <c r="AP1693" s="63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55" t="e">
        <f>IFERROR(VLOOKUP(AQ1693,'[1]Harga &amp; Nama CSO'!$H$2:$N$22,2,FALSE),"")*AV1693</f>
        <v>#VALUE!</v>
      </c>
      <c r="BO1693" s="40"/>
      <c r="BP1693" s="4"/>
      <c r="BQ1693" s="62"/>
      <c r="BR1693" s="4"/>
      <c r="BS1693" s="57" t="e">
        <f t="shared" si="47"/>
        <v>#VALUE!</v>
      </c>
      <c r="BT1693" s="63"/>
      <c r="BU1693" s="8">
        <v>0</v>
      </c>
      <c r="BV1693" s="58" t="e">
        <f>VLOOKUP(AQ1693,'[1]Harga &amp; Nama CSO'!$A$28:$D$31,4,0)*BP1693</f>
        <v>#N/A</v>
      </c>
    </row>
    <row r="1694" spans="41:74" x14ac:dyDescent="0.35">
      <c r="AO1694" s="39">
        <v>1692</v>
      </c>
      <c r="AP1694" s="63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55" t="e">
        <f>IFERROR(VLOOKUP(AQ1694,'[1]Harga &amp; Nama CSO'!$H$2:$N$22,2,FALSE),"")*AV1694</f>
        <v>#VALUE!</v>
      </c>
      <c r="BO1694" s="40"/>
      <c r="BP1694" s="4"/>
      <c r="BQ1694" s="62"/>
      <c r="BR1694" s="4"/>
      <c r="BS1694" s="57" t="e">
        <f t="shared" si="47"/>
        <v>#VALUE!</v>
      </c>
      <c r="BT1694" s="63"/>
      <c r="BU1694" s="8">
        <v>0</v>
      </c>
      <c r="BV1694" s="58" t="e">
        <f>VLOOKUP(AQ1694,'[1]Harga &amp; Nama CSO'!$A$28:$D$31,4,0)*BP1694</f>
        <v>#N/A</v>
      </c>
    </row>
    <row r="1695" spans="41:74" x14ac:dyDescent="0.35">
      <c r="AO1695" s="39">
        <v>1693</v>
      </c>
      <c r="AP1695" s="63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55" t="e">
        <f>IFERROR(VLOOKUP(AQ1695,'[1]Harga &amp; Nama CSO'!$H$2:$N$22,2,FALSE),"")*AV1695</f>
        <v>#VALUE!</v>
      </c>
      <c r="BO1695" s="40"/>
      <c r="BP1695" s="4"/>
      <c r="BQ1695" s="62"/>
      <c r="BR1695" s="4"/>
      <c r="BS1695" s="57" t="e">
        <f t="shared" si="47"/>
        <v>#VALUE!</v>
      </c>
      <c r="BT1695" s="63"/>
      <c r="BU1695" s="8">
        <v>0</v>
      </c>
      <c r="BV1695" s="58" t="e">
        <f>VLOOKUP(AQ1695,'[1]Harga &amp; Nama CSO'!$A$28:$D$31,4,0)*BP1695</f>
        <v>#N/A</v>
      </c>
    </row>
    <row r="1696" spans="41:74" x14ac:dyDescent="0.35">
      <c r="AO1696" s="39">
        <v>1694</v>
      </c>
      <c r="AP1696" s="63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55" t="e">
        <f>IFERROR(VLOOKUP(AQ1696,'[1]Harga &amp; Nama CSO'!$H$2:$N$22,2,FALSE),"")*AV1696</f>
        <v>#VALUE!</v>
      </c>
      <c r="BO1696" s="40"/>
      <c r="BP1696" s="4"/>
      <c r="BQ1696" s="62"/>
      <c r="BR1696" s="4"/>
      <c r="BS1696" s="57" t="e">
        <f t="shared" si="47"/>
        <v>#VALUE!</v>
      </c>
      <c r="BT1696" s="63"/>
      <c r="BU1696" s="8">
        <v>0</v>
      </c>
      <c r="BV1696" s="58" t="e">
        <f>VLOOKUP(AQ1696,'[1]Harga &amp; Nama CSO'!$A$28:$D$31,4,0)*BP1696</f>
        <v>#N/A</v>
      </c>
    </row>
    <row r="1697" spans="41:74" x14ac:dyDescent="0.35">
      <c r="AO1697" s="39">
        <v>1695</v>
      </c>
      <c r="AP1697" s="63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55" t="e">
        <f>IFERROR(VLOOKUP(AQ1697,'[1]Harga &amp; Nama CSO'!$H$2:$N$22,2,FALSE),"")*AV1697</f>
        <v>#VALUE!</v>
      </c>
      <c r="BO1697" s="40"/>
      <c r="BP1697" s="4"/>
      <c r="BQ1697" s="62"/>
      <c r="BR1697" s="4"/>
      <c r="BS1697" s="57" t="e">
        <f t="shared" si="47"/>
        <v>#VALUE!</v>
      </c>
      <c r="BT1697" s="63"/>
      <c r="BU1697" s="8">
        <v>0</v>
      </c>
      <c r="BV1697" s="58" t="e">
        <f>VLOOKUP(AQ1697,'[1]Harga &amp; Nama CSO'!$A$28:$D$31,4,0)*BP1697</f>
        <v>#N/A</v>
      </c>
    </row>
    <row r="1698" spans="41:74" x14ac:dyDescent="0.35">
      <c r="AO1698" s="39">
        <v>1696</v>
      </c>
      <c r="AP1698" s="63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55" t="e">
        <f>IFERROR(VLOOKUP(AQ1698,'[1]Harga &amp; Nama CSO'!$H$2:$N$22,2,FALSE),"")*AV1698</f>
        <v>#VALUE!</v>
      </c>
      <c r="BO1698" s="40"/>
      <c r="BP1698" s="4"/>
      <c r="BQ1698" s="62"/>
      <c r="BR1698" s="4"/>
      <c r="BS1698" s="57" t="e">
        <f t="shared" si="47"/>
        <v>#VALUE!</v>
      </c>
      <c r="BT1698" s="63"/>
      <c r="BU1698" s="8">
        <v>0</v>
      </c>
      <c r="BV1698" s="58" t="e">
        <f>VLOOKUP(AQ1698,'[1]Harga &amp; Nama CSO'!$A$28:$D$31,4,0)*BP1698</f>
        <v>#N/A</v>
      </c>
    </row>
    <row r="1699" spans="41:74" x14ac:dyDescent="0.35">
      <c r="AO1699" s="39">
        <v>1697</v>
      </c>
      <c r="AP1699" s="63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55" t="e">
        <f>IFERROR(VLOOKUP(AQ1699,'[1]Harga &amp; Nama CSO'!$H$2:$N$22,2,FALSE),"")*AV1699</f>
        <v>#VALUE!</v>
      </c>
      <c r="BO1699" s="40"/>
      <c r="BP1699" s="4"/>
      <c r="BQ1699" s="62"/>
      <c r="BR1699" s="4"/>
      <c r="BS1699" s="57" t="e">
        <f t="shared" si="47"/>
        <v>#VALUE!</v>
      </c>
      <c r="BT1699" s="63"/>
      <c r="BU1699" s="8">
        <v>0</v>
      </c>
      <c r="BV1699" s="58" t="e">
        <f>VLOOKUP(AQ1699,'[1]Harga &amp; Nama CSO'!$A$28:$D$31,4,0)*BP1699</f>
        <v>#N/A</v>
      </c>
    </row>
    <row r="1700" spans="41:74" x14ac:dyDescent="0.35">
      <c r="AO1700" s="39">
        <v>1698</v>
      </c>
      <c r="AP1700" s="63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55" t="e">
        <f>IFERROR(VLOOKUP(AQ1700,'[1]Harga &amp; Nama CSO'!$H$2:$N$22,2,FALSE),"")*AV1700</f>
        <v>#VALUE!</v>
      </c>
      <c r="BO1700" s="40"/>
      <c r="BP1700" s="4"/>
      <c r="BQ1700" s="62"/>
      <c r="BR1700" s="4"/>
      <c r="BS1700" s="57" t="e">
        <f t="shared" si="47"/>
        <v>#VALUE!</v>
      </c>
      <c r="BT1700" s="63"/>
      <c r="BU1700" s="8">
        <v>0</v>
      </c>
      <c r="BV1700" s="58" t="e">
        <f>VLOOKUP(AQ1700,'[1]Harga &amp; Nama CSO'!$A$28:$D$31,4,0)*BP1700</f>
        <v>#N/A</v>
      </c>
    </row>
    <row r="1701" spans="41:74" x14ac:dyDescent="0.35">
      <c r="AO1701" s="39">
        <v>1699</v>
      </c>
      <c r="AP1701" s="63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55" t="e">
        <f>IFERROR(VLOOKUP(AQ1701,'[1]Harga &amp; Nama CSO'!$H$2:$N$22,2,FALSE),"")*AV1701</f>
        <v>#VALUE!</v>
      </c>
      <c r="BO1701" s="40"/>
      <c r="BP1701" s="4"/>
      <c r="BQ1701" s="62"/>
      <c r="BR1701" s="4"/>
      <c r="BS1701" s="57" t="e">
        <f t="shared" si="47"/>
        <v>#VALUE!</v>
      </c>
      <c r="BT1701" s="63"/>
      <c r="BU1701" s="8">
        <v>0</v>
      </c>
      <c r="BV1701" s="58" t="e">
        <f>VLOOKUP(AQ1701,'[1]Harga &amp; Nama CSO'!$A$28:$D$31,4,0)*BP1701</f>
        <v>#N/A</v>
      </c>
    </row>
    <row r="1702" spans="41:74" x14ac:dyDescent="0.35">
      <c r="AO1702" s="39">
        <v>1700</v>
      </c>
      <c r="AP1702" s="63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55" t="e">
        <f>IFERROR(VLOOKUP(AQ1702,'[1]Harga &amp; Nama CSO'!$H$2:$N$22,2,FALSE),"")*AV1702</f>
        <v>#VALUE!</v>
      </c>
      <c r="BO1702" s="40"/>
      <c r="BP1702" s="4"/>
      <c r="BQ1702" s="62"/>
      <c r="BR1702" s="4"/>
      <c r="BS1702" s="57" t="e">
        <f t="shared" si="47"/>
        <v>#VALUE!</v>
      </c>
      <c r="BT1702" s="63"/>
      <c r="BU1702" s="8">
        <v>0</v>
      </c>
      <c r="BV1702" s="58" t="e">
        <f>VLOOKUP(AQ1702,'[1]Harga &amp; Nama CSO'!$A$28:$D$31,4,0)*BP1702</f>
        <v>#N/A</v>
      </c>
    </row>
    <row r="1703" spans="41:74" x14ac:dyDescent="0.35">
      <c r="AO1703" s="39">
        <v>1701</v>
      </c>
      <c r="AP1703" s="63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55" t="e">
        <f>IFERROR(VLOOKUP(AQ1703,'[1]Harga &amp; Nama CSO'!$H$2:$N$22,2,FALSE),"")*AV1703</f>
        <v>#VALUE!</v>
      </c>
      <c r="BO1703" s="40"/>
      <c r="BP1703" s="4"/>
      <c r="BQ1703" s="62"/>
      <c r="BR1703" s="4"/>
      <c r="BS1703" s="57" t="e">
        <f t="shared" si="47"/>
        <v>#VALUE!</v>
      </c>
      <c r="BT1703" s="63"/>
      <c r="BU1703" s="8">
        <v>0</v>
      </c>
      <c r="BV1703" s="58" t="e">
        <f>VLOOKUP(AQ1703,'[1]Harga &amp; Nama CSO'!$A$28:$D$31,4,0)*BP1703</f>
        <v>#N/A</v>
      </c>
    </row>
    <row r="1704" spans="41:74" x14ac:dyDescent="0.35">
      <c r="AO1704" s="39">
        <v>1702</v>
      </c>
      <c r="AP1704" s="63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55" t="e">
        <f>IFERROR(VLOOKUP(AQ1704,'[1]Harga &amp; Nama CSO'!$H$2:$N$22,2,FALSE),"")*AV1704</f>
        <v>#VALUE!</v>
      </c>
      <c r="BO1704" s="40"/>
      <c r="BP1704" s="4"/>
      <c r="BQ1704" s="62"/>
      <c r="BR1704" s="4"/>
      <c r="BS1704" s="57" t="e">
        <f t="shared" si="47"/>
        <v>#VALUE!</v>
      </c>
      <c r="BT1704" s="63"/>
      <c r="BU1704" s="8">
        <v>0</v>
      </c>
      <c r="BV1704" s="58" t="e">
        <f>VLOOKUP(AQ1704,'[1]Harga &amp; Nama CSO'!$A$28:$D$31,4,0)*BP1704</f>
        <v>#N/A</v>
      </c>
    </row>
    <row r="1705" spans="41:74" x14ac:dyDescent="0.35">
      <c r="AO1705" s="39">
        <v>1703</v>
      </c>
      <c r="AP1705" s="63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55" t="e">
        <f>IFERROR(VLOOKUP(AQ1705,'[1]Harga &amp; Nama CSO'!$H$2:$N$22,2,FALSE),"")*AV1705</f>
        <v>#VALUE!</v>
      </c>
      <c r="BO1705" s="40"/>
      <c r="BP1705" s="4"/>
      <c r="BQ1705" s="62"/>
      <c r="BR1705" s="4"/>
      <c r="BS1705" s="57" t="e">
        <f t="shared" si="47"/>
        <v>#VALUE!</v>
      </c>
      <c r="BT1705" s="63"/>
      <c r="BU1705" s="8">
        <v>0</v>
      </c>
      <c r="BV1705" s="58" t="e">
        <f>VLOOKUP(AQ1705,'[1]Harga &amp; Nama CSO'!$A$28:$D$31,4,0)*BP1705</f>
        <v>#N/A</v>
      </c>
    </row>
    <row r="1706" spans="41:74" x14ac:dyDescent="0.35">
      <c r="AO1706" s="39">
        <v>1704</v>
      </c>
      <c r="AP1706" s="63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55" t="e">
        <f>IFERROR(VLOOKUP(AQ1706,'[1]Harga &amp; Nama CSO'!$H$2:$N$22,2,FALSE),"")*AV1706</f>
        <v>#VALUE!</v>
      </c>
      <c r="BO1706" s="40"/>
      <c r="BP1706" s="4"/>
      <c r="BQ1706" s="62"/>
      <c r="BR1706" s="4"/>
      <c r="BS1706" s="57" t="e">
        <f t="shared" si="47"/>
        <v>#VALUE!</v>
      </c>
      <c r="BT1706" s="63"/>
      <c r="BU1706" s="8">
        <v>0</v>
      </c>
      <c r="BV1706" s="58" t="e">
        <f>VLOOKUP(AQ1706,'[1]Harga &amp; Nama CSO'!$A$28:$D$31,4,0)*BP1706</f>
        <v>#N/A</v>
      </c>
    </row>
    <row r="1707" spans="41:74" x14ac:dyDescent="0.35">
      <c r="AO1707" s="39">
        <v>1705</v>
      </c>
      <c r="AP1707" s="63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55" t="e">
        <f>IFERROR(VLOOKUP(AQ1707,'[1]Harga &amp; Nama CSO'!$H$2:$N$22,2,FALSE),"")*AV1707</f>
        <v>#VALUE!</v>
      </c>
      <c r="BO1707" s="40"/>
      <c r="BP1707" s="4"/>
      <c r="BQ1707" s="62"/>
      <c r="BR1707" s="4"/>
      <c r="BS1707" s="57" t="e">
        <f t="shared" si="47"/>
        <v>#VALUE!</v>
      </c>
      <c r="BT1707" s="63"/>
      <c r="BU1707" s="8">
        <v>0</v>
      </c>
      <c r="BV1707" s="58" t="e">
        <f>VLOOKUP(AQ1707,'[1]Harga &amp; Nama CSO'!$A$28:$D$31,4,0)*BP1707</f>
        <v>#N/A</v>
      </c>
    </row>
    <row r="1708" spans="41:74" x14ac:dyDescent="0.35">
      <c r="AO1708" s="39">
        <v>1706</v>
      </c>
      <c r="AP1708" s="63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55" t="e">
        <f>IFERROR(VLOOKUP(AQ1708,'[1]Harga &amp; Nama CSO'!$H$2:$N$22,2,FALSE),"")*AV1708</f>
        <v>#VALUE!</v>
      </c>
      <c r="BO1708" s="40"/>
      <c r="BP1708" s="4"/>
      <c r="BQ1708" s="62"/>
      <c r="BR1708" s="4"/>
      <c r="BS1708" s="57" t="e">
        <f t="shared" si="47"/>
        <v>#VALUE!</v>
      </c>
      <c r="BT1708" s="63"/>
      <c r="BU1708" s="8">
        <v>0</v>
      </c>
      <c r="BV1708" s="58" t="e">
        <f>VLOOKUP(AQ1708,'[1]Harga &amp; Nama CSO'!$A$28:$D$31,4,0)*BP1708</f>
        <v>#N/A</v>
      </c>
    </row>
    <row r="1709" spans="41:74" x14ac:dyDescent="0.35">
      <c r="AO1709" s="39">
        <v>1707</v>
      </c>
      <c r="AP1709" s="63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55" t="e">
        <f>IFERROR(VLOOKUP(AQ1709,'[1]Harga &amp; Nama CSO'!$H$2:$N$22,2,FALSE),"")*AV1709</f>
        <v>#VALUE!</v>
      </c>
      <c r="BO1709" s="40"/>
      <c r="BP1709" s="4"/>
      <c r="BQ1709" s="62"/>
      <c r="BR1709" s="4"/>
      <c r="BS1709" s="57" t="e">
        <f t="shared" si="47"/>
        <v>#VALUE!</v>
      </c>
      <c r="BT1709" s="63"/>
      <c r="BU1709" s="8">
        <v>0</v>
      </c>
      <c r="BV1709" s="58" t="e">
        <f>VLOOKUP(AQ1709,'[1]Harga &amp; Nama CSO'!$A$28:$D$31,4,0)*BP1709</f>
        <v>#N/A</v>
      </c>
    </row>
    <row r="1710" spans="41:74" x14ac:dyDescent="0.35">
      <c r="AO1710" s="39">
        <v>1708</v>
      </c>
      <c r="AP1710" s="63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55" t="e">
        <f>IFERROR(VLOOKUP(AQ1710,'[1]Harga &amp; Nama CSO'!$H$2:$N$22,2,FALSE),"")*AV1710</f>
        <v>#VALUE!</v>
      </c>
      <c r="BO1710" s="40"/>
      <c r="BP1710" s="4"/>
      <c r="BQ1710" s="62"/>
      <c r="BR1710" s="4"/>
      <c r="BS1710" s="57" t="e">
        <f t="shared" si="47"/>
        <v>#VALUE!</v>
      </c>
      <c r="BT1710" s="63"/>
      <c r="BU1710" s="8">
        <v>0</v>
      </c>
      <c r="BV1710" s="58" t="e">
        <f>VLOOKUP(AQ1710,'[1]Harga &amp; Nama CSO'!$A$28:$D$31,4,0)*BP1710</f>
        <v>#N/A</v>
      </c>
    </row>
    <row r="1711" spans="41:74" x14ac:dyDescent="0.35">
      <c r="AO1711" s="39">
        <v>1709</v>
      </c>
      <c r="AP1711" s="63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55" t="e">
        <f>IFERROR(VLOOKUP(AQ1711,'[1]Harga &amp; Nama CSO'!$H$2:$N$22,2,FALSE),"")*AV1711</f>
        <v>#VALUE!</v>
      </c>
      <c r="BO1711" s="40"/>
      <c r="BP1711" s="4"/>
      <c r="BQ1711" s="62"/>
      <c r="BR1711" s="4"/>
      <c r="BS1711" s="57" t="e">
        <f t="shared" si="47"/>
        <v>#VALUE!</v>
      </c>
      <c r="BT1711" s="63"/>
      <c r="BU1711" s="8">
        <v>0</v>
      </c>
      <c r="BV1711" s="58" t="e">
        <f>VLOOKUP(AQ1711,'[1]Harga &amp; Nama CSO'!$A$28:$D$31,4,0)*BP1711</f>
        <v>#N/A</v>
      </c>
    </row>
    <row r="1712" spans="41:74" x14ac:dyDescent="0.35">
      <c r="AO1712" s="39">
        <v>1710</v>
      </c>
      <c r="AP1712" s="63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55" t="e">
        <f>IFERROR(VLOOKUP(AQ1712,'[1]Harga &amp; Nama CSO'!$H$2:$N$22,2,FALSE),"")*AV1712</f>
        <v>#VALUE!</v>
      </c>
      <c r="BO1712" s="40"/>
      <c r="BP1712" s="4"/>
      <c r="BQ1712" s="62"/>
      <c r="BR1712" s="4"/>
      <c r="BS1712" s="57" t="e">
        <f t="shared" si="47"/>
        <v>#VALUE!</v>
      </c>
      <c r="BT1712" s="63"/>
      <c r="BU1712" s="8">
        <v>0</v>
      </c>
      <c r="BV1712" s="58" t="e">
        <f>VLOOKUP(AQ1712,'[1]Harga &amp; Nama CSO'!$A$28:$D$31,4,0)*BP1712</f>
        <v>#N/A</v>
      </c>
    </row>
    <row r="1713" spans="41:74" x14ac:dyDescent="0.35">
      <c r="AO1713" s="39">
        <v>1711</v>
      </c>
      <c r="AP1713" s="63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55" t="e">
        <f>IFERROR(VLOOKUP(AQ1713,'[1]Harga &amp; Nama CSO'!$H$2:$N$22,2,FALSE),"")*AV1713</f>
        <v>#VALUE!</v>
      </c>
      <c r="BO1713" s="40"/>
      <c r="BP1713" s="4"/>
      <c r="BQ1713" s="62"/>
      <c r="BR1713" s="4"/>
      <c r="BS1713" s="57" t="e">
        <f t="shared" si="47"/>
        <v>#VALUE!</v>
      </c>
      <c r="BT1713" s="63"/>
      <c r="BU1713" s="8">
        <v>0</v>
      </c>
      <c r="BV1713" s="58" t="e">
        <f>VLOOKUP(AQ1713,'[1]Harga &amp; Nama CSO'!$A$28:$D$31,4,0)*BP1713</f>
        <v>#N/A</v>
      </c>
    </row>
    <row r="1714" spans="41:74" x14ac:dyDescent="0.35">
      <c r="AO1714" s="39">
        <v>1712</v>
      </c>
      <c r="AP1714" s="63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55" t="e">
        <f>IFERROR(VLOOKUP(AQ1714,'[1]Harga &amp; Nama CSO'!$H$2:$N$22,2,FALSE),"")*AV1714</f>
        <v>#VALUE!</v>
      </c>
      <c r="BO1714" s="40"/>
      <c r="BP1714" s="4"/>
      <c r="BQ1714" s="62"/>
      <c r="BR1714" s="4"/>
      <c r="BS1714" s="57" t="e">
        <f t="shared" si="47"/>
        <v>#VALUE!</v>
      </c>
      <c r="BT1714" s="63"/>
      <c r="BU1714" s="8">
        <v>0</v>
      </c>
      <c r="BV1714" s="58" t="e">
        <f>VLOOKUP(AQ1714,'[1]Harga &amp; Nama CSO'!$A$28:$D$31,4,0)*BP1714</f>
        <v>#N/A</v>
      </c>
    </row>
    <row r="1715" spans="41:74" x14ac:dyDescent="0.35">
      <c r="AO1715" s="39">
        <v>1713</v>
      </c>
      <c r="AP1715" s="63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55" t="e">
        <f>IFERROR(VLOOKUP(AQ1715,'[1]Harga &amp; Nama CSO'!$H$2:$N$22,2,FALSE),"")*AV1715</f>
        <v>#VALUE!</v>
      </c>
      <c r="BO1715" s="40"/>
      <c r="BP1715" s="4"/>
      <c r="BQ1715" s="62"/>
      <c r="BR1715" s="4"/>
      <c r="BS1715" s="57" t="e">
        <f t="shared" si="47"/>
        <v>#VALUE!</v>
      </c>
      <c r="BT1715" s="63"/>
      <c r="BU1715" s="8">
        <v>0</v>
      </c>
      <c r="BV1715" s="58" t="e">
        <f>VLOOKUP(AQ1715,'[1]Harga &amp; Nama CSO'!$A$28:$D$31,4,0)*BP1715</f>
        <v>#N/A</v>
      </c>
    </row>
    <row r="1716" spans="41:74" x14ac:dyDescent="0.35">
      <c r="AO1716" s="39">
        <v>1714</v>
      </c>
      <c r="AP1716" s="63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55" t="e">
        <f>IFERROR(VLOOKUP(AQ1716,'[1]Harga &amp; Nama CSO'!$H$2:$N$22,2,FALSE),"")*AV1716</f>
        <v>#VALUE!</v>
      </c>
      <c r="BO1716" s="40"/>
      <c r="BP1716" s="4"/>
      <c r="BQ1716" s="62"/>
      <c r="BR1716" s="4"/>
      <c r="BS1716" s="57" t="e">
        <f t="shared" si="47"/>
        <v>#VALUE!</v>
      </c>
      <c r="BT1716" s="63"/>
      <c r="BU1716" s="8">
        <v>0</v>
      </c>
      <c r="BV1716" s="58" t="e">
        <f>VLOOKUP(AQ1716,'[1]Harga &amp; Nama CSO'!$A$28:$D$31,4,0)*BP1716</f>
        <v>#N/A</v>
      </c>
    </row>
    <row r="1717" spans="41:74" x14ac:dyDescent="0.35">
      <c r="AO1717" s="39">
        <v>1715</v>
      </c>
      <c r="AP1717" s="63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55" t="e">
        <f>IFERROR(VLOOKUP(AQ1717,'[1]Harga &amp; Nama CSO'!$H$2:$N$22,2,FALSE),"")*AV1717</f>
        <v>#VALUE!</v>
      </c>
      <c r="BO1717" s="40"/>
      <c r="BP1717" s="4"/>
      <c r="BQ1717" s="62"/>
      <c r="BR1717" s="4"/>
      <c r="BS1717" s="57" t="e">
        <f t="shared" si="47"/>
        <v>#VALUE!</v>
      </c>
      <c r="BT1717" s="63"/>
      <c r="BU1717" s="8">
        <v>0</v>
      </c>
      <c r="BV1717" s="58" t="e">
        <f>VLOOKUP(AQ1717,'[1]Harga &amp; Nama CSO'!$A$28:$D$31,4,0)*BP1717</f>
        <v>#N/A</v>
      </c>
    </row>
    <row r="1718" spans="41:74" x14ac:dyDescent="0.35">
      <c r="AO1718" s="39">
        <v>1716</v>
      </c>
      <c r="AP1718" s="63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55" t="e">
        <f>IFERROR(VLOOKUP(AQ1718,'[1]Harga &amp; Nama CSO'!$H$2:$N$22,2,FALSE),"")*AV1718</f>
        <v>#VALUE!</v>
      </c>
      <c r="BO1718" s="40"/>
      <c r="BP1718" s="4"/>
      <c r="BQ1718" s="62"/>
      <c r="BR1718" s="4"/>
      <c r="BS1718" s="57" t="e">
        <f t="shared" si="47"/>
        <v>#VALUE!</v>
      </c>
      <c r="BT1718" s="63"/>
      <c r="BU1718" s="8">
        <v>0</v>
      </c>
      <c r="BV1718" s="58" t="e">
        <f>VLOOKUP(AQ1718,'[1]Harga &amp; Nama CSO'!$A$28:$D$31,4,0)*BP1718</f>
        <v>#N/A</v>
      </c>
    </row>
    <row r="1719" spans="41:74" x14ac:dyDescent="0.35">
      <c r="AO1719" s="39">
        <v>1717</v>
      </c>
      <c r="AP1719" s="63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55" t="e">
        <f>IFERROR(VLOOKUP(AQ1719,'[1]Harga &amp; Nama CSO'!$H$2:$N$22,2,FALSE),"")*AV1719</f>
        <v>#VALUE!</v>
      </c>
      <c r="BO1719" s="40"/>
      <c r="BP1719" s="4"/>
      <c r="BQ1719" s="62"/>
      <c r="BR1719" s="4"/>
      <c r="BS1719" s="57" t="e">
        <f t="shared" si="47"/>
        <v>#VALUE!</v>
      </c>
      <c r="BT1719" s="63"/>
      <c r="BU1719" s="8">
        <v>0</v>
      </c>
      <c r="BV1719" s="58" t="e">
        <f>VLOOKUP(AQ1719,'[1]Harga &amp; Nama CSO'!$A$28:$D$31,4,0)*BP1719</f>
        <v>#N/A</v>
      </c>
    </row>
    <row r="1720" spans="41:74" x14ac:dyDescent="0.35">
      <c r="AO1720" s="39">
        <v>1718</v>
      </c>
      <c r="AP1720" s="63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55" t="e">
        <f>IFERROR(VLOOKUP(AQ1720,'[1]Harga &amp; Nama CSO'!$H$2:$N$22,2,FALSE),"")*AV1720</f>
        <v>#VALUE!</v>
      </c>
      <c r="BO1720" s="40"/>
      <c r="BP1720" s="4"/>
      <c r="BQ1720" s="62"/>
      <c r="BR1720" s="4"/>
      <c r="BS1720" s="57" t="e">
        <f t="shared" si="47"/>
        <v>#VALUE!</v>
      </c>
      <c r="BT1720" s="63"/>
      <c r="BU1720" s="8">
        <v>0</v>
      </c>
      <c r="BV1720" s="58" t="e">
        <f>VLOOKUP(AQ1720,'[1]Harga &amp; Nama CSO'!$A$28:$D$31,4,0)*BP1720</f>
        <v>#N/A</v>
      </c>
    </row>
    <row r="1721" spans="41:74" x14ac:dyDescent="0.35">
      <c r="AO1721" s="39">
        <v>1719</v>
      </c>
      <c r="AP1721" s="63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55" t="e">
        <f>IFERROR(VLOOKUP(AQ1721,'[1]Harga &amp; Nama CSO'!$H$2:$N$22,2,FALSE),"")*AV1721</f>
        <v>#VALUE!</v>
      </c>
      <c r="BO1721" s="40"/>
      <c r="BP1721" s="4"/>
      <c r="BQ1721" s="62"/>
      <c r="BR1721" s="4"/>
      <c r="BS1721" s="57" t="e">
        <f t="shared" si="47"/>
        <v>#VALUE!</v>
      </c>
      <c r="BT1721" s="63"/>
      <c r="BU1721" s="8">
        <v>0</v>
      </c>
      <c r="BV1721" s="58" t="e">
        <f>VLOOKUP(AQ1721,'[1]Harga &amp; Nama CSO'!$A$28:$D$31,4,0)*BP1721</f>
        <v>#N/A</v>
      </c>
    </row>
    <row r="1722" spans="41:74" x14ac:dyDescent="0.35">
      <c r="AO1722" s="39">
        <v>1720</v>
      </c>
      <c r="AP1722" s="63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55" t="e">
        <f>IFERROR(VLOOKUP(AQ1722,'[1]Harga &amp; Nama CSO'!$H$2:$N$22,2,FALSE),"")*AV1722</f>
        <v>#VALUE!</v>
      </c>
      <c r="BO1722" s="40"/>
      <c r="BP1722" s="4"/>
      <c r="BQ1722" s="62"/>
      <c r="BR1722" s="4"/>
      <c r="BS1722" s="57" t="e">
        <f t="shared" si="47"/>
        <v>#VALUE!</v>
      </c>
      <c r="BT1722" s="63"/>
      <c r="BU1722" s="8">
        <v>0</v>
      </c>
      <c r="BV1722" s="58" t="e">
        <f>VLOOKUP(AQ1722,'[1]Harga &amp; Nama CSO'!$A$28:$D$31,4,0)*BP1722</f>
        <v>#N/A</v>
      </c>
    </row>
    <row r="1723" spans="41:74" x14ac:dyDescent="0.35">
      <c r="AO1723" s="39">
        <v>1721</v>
      </c>
      <c r="AP1723" s="63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55" t="e">
        <f>IFERROR(VLOOKUP(AQ1723,'[1]Harga &amp; Nama CSO'!$H$2:$N$22,2,FALSE),"")*AV1723</f>
        <v>#VALUE!</v>
      </c>
      <c r="BO1723" s="40"/>
      <c r="BP1723" s="4"/>
      <c r="BQ1723" s="62"/>
      <c r="BR1723" s="4"/>
      <c r="BS1723" s="57" t="e">
        <f t="shared" si="47"/>
        <v>#VALUE!</v>
      </c>
      <c r="BT1723" s="63"/>
      <c r="BU1723" s="8">
        <v>0</v>
      </c>
      <c r="BV1723" s="58" t="e">
        <f>VLOOKUP(AQ1723,'[1]Harga &amp; Nama CSO'!$A$28:$D$31,4,0)*BP1723</f>
        <v>#N/A</v>
      </c>
    </row>
    <row r="1724" spans="41:74" x14ac:dyDescent="0.35">
      <c r="AO1724" s="39">
        <v>1722</v>
      </c>
      <c r="AP1724" s="63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55" t="e">
        <f>IFERROR(VLOOKUP(AQ1724,'[1]Harga &amp; Nama CSO'!$H$2:$N$22,2,FALSE),"")*AV1724</f>
        <v>#VALUE!</v>
      </c>
      <c r="BO1724" s="40"/>
      <c r="BP1724" s="4"/>
      <c r="BQ1724" s="62"/>
      <c r="BR1724" s="4"/>
      <c r="BS1724" s="57" t="e">
        <f t="shared" si="47"/>
        <v>#VALUE!</v>
      </c>
      <c r="BT1724" s="63"/>
      <c r="BU1724" s="8">
        <v>0</v>
      </c>
      <c r="BV1724" s="58" t="e">
        <f>VLOOKUP(AQ1724,'[1]Harga &amp; Nama CSO'!$A$28:$D$31,4,0)*BP1724</f>
        <v>#N/A</v>
      </c>
    </row>
    <row r="1725" spans="41:74" x14ac:dyDescent="0.35">
      <c r="AO1725" s="39">
        <v>1723</v>
      </c>
      <c r="AP1725" s="63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55" t="e">
        <f>IFERROR(VLOOKUP(AQ1725,'[1]Harga &amp; Nama CSO'!$H$2:$N$22,2,FALSE),"")*AV1725</f>
        <v>#VALUE!</v>
      </c>
      <c r="BO1725" s="40"/>
      <c r="BP1725" s="4"/>
      <c r="BQ1725" s="62"/>
      <c r="BR1725" s="4"/>
      <c r="BS1725" s="57" t="e">
        <f t="shared" si="47"/>
        <v>#VALUE!</v>
      </c>
      <c r="BT1725" s="63"/>
      <c r="BU1725" s="8">
        <v>0</v>
      </c>
      <c r="BV1725" s="58" t="e">
        <f>VLOOKUP(AQ1725,'[1]Harga &amp; Nama CSO'!$A$28:$D$31,4,0)*BP1725</f>
        <v>#N/A</v>
      </c>
    </row>
    <row r="1726" spans="41:74" x14ac:dyDescent="0.35">
      <c r="AO1726" s="39">
        <v>1724</v>
      </c>
      <c r="AP1726" s="63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55" t="e">
        <f>IFERROR(VLOOKUP(AQ1726,'[1]Harga &amp; Nama CSO'!$H$2:$N$22,2,FALSE),"")*AV1726</f>
        <v>#VALUE!</v>
      </c>
      <c r="BO1726" s="40"/>
      <c r="BP1726" s="4"/>
      <c r="BQ1726" s="62"/>
      <c r="BR1726" s="4"/>
      <c r="BS1726" s="57" t="e">
        <f t="shared" si="47"/>
        <v>#VALUE!</v>
      </c>
      <c r="BT1726" s="63"/>
      <c r="BU1726" s="8">
        <v>0</v>
      </c>
      <c r="BV1726" s="58" t="e">
        <f>VLOOKUP(AQ1726,'[1]Harga &amp; Nama CSO'!$A$28:$D$31,4,0)*BP1726</f>
        <v>#N/A</v>
      </c>
    </row>
    <row r="1727" spans="41:74" x14ac:dyDescent="0.35">
      <c r="AO1727" s="39">
        <v>1725</v>
      </c>
      <c r="AP1727" s="63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55" t="e">
        <f>IFERROR(VLOOKUP(AQ1727,'[1]Harga &amp; Nama CSO'!$H$2:$N$22,2,FALSE),"")*AV1727</f>
        <v>#VALUE!</v>
      </c>
      <c r="BO1727" s="40"/>
      <c r="BP1727" s="4"/>
      <c r="BQ1727" s="62"/>
      <c r="BR1727" s="4"/>
      <c r="BS1727" s="57" t="e">
        <f t="shared" si="47"/>
        <v>#VALUE!</v>
      </c>
      <c r="BT1727" s="63"/>
      <c r="BU1727" s="8">
        <v>0</v>
      </c>
      <c r="BV1727" s="58" t="e">
        <f>VLOOKUP(AQ1727,'[1]Harga &amp; Nama CSO'!$A$28:$D$31,4,0)*BP1727</f>
        <v>#N/A</v>
      </c>
    </row>
    <row r="1728" spans="41:74" x14ac:dyDescent="0.35">
      <c r="AO1728" s="39">
        <v>1726</v>
      </c>
      <c r="AP1728" s="63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55" t="e">
        <f>IFERROR(VLOOKUP(AQ1728,'[1]Harga &amp; Nama CSO'!$H$2:$N$22,2,FALSE),"")*AV1728</f>
        <v>#VALUE!</v>
      </c>
      <c r="BO1728" s="40"/>
      <c r="BP1728" s="4"/>
      <c r="BQ1728" s="62"/>
      <c r="BR1728" s="4"/>
      <c r="BS1728" s="57" t="e">
        <f t="shared" si="47"/>
        <v>#VALUE!</v>
      </c>
      <c r="BT1728" s="63"/>
      <c r="BU1728" s="8">
        <v>0</v>
      </c>
      <c r="BV1728" s="58" t="e">
        <f>VLOOKUP(AQ1728,'[1]Harga &amp; Nama CSO'!$A$28:$D$31,4,0)*BP1728</f>
        <v>#N/A</v>
      </c>
    </row>
    <row r="1729" spans="41:74" x14ac:dyDescent="0.35">
      <c r="AO1729" s="39">
        <v>1727</v>
      </c>
      <c r="AP1729" s="63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55" t="e">
        <f>IFERROR(VLOOKUP(AQ1729,'[1]Harga &amp; Nama CSO'!$H$2:$N$22,2,FALSE),"")*AV1729</f>
        <v>#VALUE!</v>
      </c>
      <c r="BO1729" s="40"/>
      <c r="BP1729" s="4"/>
      <c r="BQ1729" s="62"/>
      <c r="BR1729" s="4"/>
      <c r="BS1729" s="57" t="e">
        <f t="shared" si="47"/>
        <v>#VALUE!</v>
      </c>
      <c r="BT1729" s="63"/>
      <c r="BU1729" s="8">
        <v>0</v>
      </c>
      <c r="BV1729" s="58" t="e">
        <f>VLOOKUP(AQ1729,'[1]Harga &amp; Nama CSO'!$A$28:$D$31,4,0)*BP1729</f>
        <v>#N/A</v>
      </c>
    </row>
    <row r="1730" spans="41:74" x14ac:dyDescent="0.35">
      <c r="AO1730" s="39">
        <v>1728</v>
      </c>
      <c r="AP1730" s="63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55" t="e">
        <f>IFERROR(VLOOKUP(AQ1730,'[1]Harga &amp; Nama CSO'!$H$2:$N$22,2,FALSE),"")*AV1730</f>
        <v>#VALUE!</v>
      </c>
      <c r="BO1730" s="40"/>
      <c r="BP1730" s="4"/>
      <c r="BQ1730" s="62"/>
      <c r="BR1730" s="4"/>
      <c r="BS1730" s="57" t="e">
        <f t="shared" si="47"/>
        <v>#VALUE!</v>
      </c>
      <c r="BT1730" s="63"/>
      <c r="BU1730" s="8">
        <v>0</v>
      </c>
      <c r="BV1730" s="58" t="e">
        <f>VLOOKUP(AQ1730,'[1]Harga &amp; Nama CSO'!$A$28:$D$31,4,0)*BP1730</f>
        <v>#N/A</v>
      </c>
    </row>
    <row r="1731" spans="41:74" x14ac:dyDescent="0.35">
      <c r="AO1731" s="39">
        <v>1729</v>
      </c>
      <c r="AP1731" s="63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55" t="e">
        <f>IFERROR(VLOOKUP(AQ1731,'[1]Harga &amp; Nama CSO'!$H$2:$N$22,2,FALSE),"")*AV1731</f>
        <v>#VALUE!</v>
      </c>
      <c r="BO1731" s="40"/>
      <c r="BP1731" s="4"/>
      <c r="BQ1731" s="62"/>
      <c r="BR1731" s="4"/>
      <c r="BS1731" s="57" t="e">
        <f t="shared" ref="BS1731:BS1794" si="48">BN1731-BQ1731</f>
        <v>#VALUE!</v>
      </c>
      <c r="BT1731" s="63"/>
      <c r="BU1731" s="8">
        <v>0</v>
      </c>
      <c r="BV1731" s="58" t="e">
        <f>VLOOKUP(AQ1731,'[1]Harga &amp; Nama CSO'!$A$28:$D$31,4,0)*BP1731</f>
        <v>#N/A</v>
      </c>
    </row>
    <row r="1732" spans="41:74" x14ac:dyDescent="0.35">
      <c r="AO1732" s="39">
        <v>1730</v>
      </c>
      <c r="AP1732" s="63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55" t="e">
        <f>IFERROR(VLOOKUP(AQ1732,'[1]Harga &amp; Nama CSO'!$H$2:$N$22,2,FALSE),"")*AV1732</f>
        <v>#VALUE!</v>
      </c>
      <c r="BO1732" s="40"/>
      <c r="BP1732" s="4"/>
      <c r="BQ1732" s="62"/>
      <c r="BR1732" s="4"/>
      <c r="BS1732" s="57" t="e">
        <f t="shared" si="48"/>
        <v>#VALUE!</v>
      </c>
      <c r="BT1732" s="63"/>
      <c r="BU1732" s="8">
        <v>0</v>
      </c>
      <c r="BV1732" s="58" t="e">
        <f>VLOOKUP(AQ1732,'[1]Harga &amp; Nama CSO'!$A$28:$D$31,4,0)*BP1732</f>
        <v>#N/A</v>
      </c>
    </row>
    <row r="1733" spans="41:74" x14ac:dyDescent="0.35">
      <c r="AO1733" s="39">
        <v>1731</v>
      </c>
      <c r="AP1733" s="63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55" t="e">
        <f>IFERROR(VLOOKUP(AQ1733,'[1]Harga &amp; Nama CSO'!$H$2:$N$22,2,FALSE),"")*AV1733</f>
        <v>#VALUE!</v>
      </c>
      <c r="BO1733" s="40"/>
      <c r="BP1733" s="4"/>
      <c r="BQ1733" s="62"/>
      <c r="BR1733" s="4"/>
      <c r="BS1733" s="57" t="e">
        <f t="shared" si="48"/>
        <v>#VALUE!</v>
      </c>
      <c r="BT1733" s="63"/>
      <c r="BU1733" s="8">
        <v>0</v>
      </c>
      <c r="BV1733" s="58" t="e">
        <f>VLOOKUP(AQ1733,'[1]Harga &amp; Nama CSO'!$A$28:$D$31,4,0)*BP1733</f>
        <v>#N/A</v>
      </c>
    </row>
    <row r="1734" spans="41:74" x14ac:dyDescent="0.35">
      <c r="AO1734" s="39">
        <v>1732</v>
      </c>
      <c r="AP1734" s="63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55" t="e">
        <f>IFERROR(VLOOKUP(AQ1734,'[1]Harga &amp; Nama CSO'!$H$2:$N$22,2,FALSE),"")*AV1734</f>
        <v>#VALUE!</v>
      </c>
      <c r="BO1734" s="40"/>
      <c r="BP1734" s="4"/>
      <c r="BQ1734" s="62"/>
      <c r="BR1734" s="4"/>
      <c r="BS1734" s="57" t="e">
        <f t="shared" si="48"/>
        <v>#VALUE!</v>
      </c>
      <c r="BT1734" s="63"/>
      <c r="BU1734" s="8">
        <v>0</v>
      </c>
      <c r="BV1734" s="58" t="e">
        <f>VLOOKUP(AQ1734,'[1]Harga &amp; Nama CSO'!$A$28:$D$31,4,0)*BP1734</f>
        <v>#N/A</v>
      </c>
    </row>
    <row r="1735" spans="41:74" x14ac:dyDescent="0.35">
      <c r="AO1735" s="39">
        <v>1733</v>
      </c>
      <c r="AP1735" s="63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55" t="e">
        <f>IFERROR(VLOOKUP(AQ1735,'[1]Harga &amp; Nama CSO'!$H$2:$N$22,2,FALSE),"")*AV1735</f>
        <v>#VALUE!</v>
      </c>
      <c r="BO1735" s="40"/>
      <c r="BP1735" s="4"/>
      <c r="BQ1735" s="62"/>
      <c r="BR1735" s="4"/>
      <c r="BS1735" s="57" t="e">
        <f t="shared" si="48"/>
        <v>#VALUE!</v>
      </c>
      <c r="BT1735" s="63"/>
      <c r="BU1735" s="8">
        <v>0</v>
      </c>
      <c r="BV1735" s="58" t="e">
        <f>VLOOKUP(AQ1735,'[1]Harga &amp; Nama CSO'!$A$28:$D$31,4,0)*BP1735</f>
        <v>#N/A</v>
      </c>
    </row>
    <row r="1736" spans="41:74" x14ac:dyDescent="0.35">
      <c r="AO1736" s="39">
        <v>1734</v>
      </c>
      <c r="AP1736" s="63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55" t="e">
        <f>IFERROR(VLOOKUP(AQ1736,'[1]Harga &amp; Nama CSO'!$H$2:$N$22,2,FALSE),"")*AV1736</f>
        <v>#VALUE!</v>
      </c>
      <c r="BO1736" s="40"/>
      <c r="BP1736" s="4"/>
      <c r="BQ1736" s="62"/>
      <c r="BR1736" s="4"/>
      <c r="BS1736" s="57" t="e">
        <f t="shared" si="48"/>
        <v>#VALUE!</v>
      </c>
      <c r="BT1736" s="63"/>
      <c r="BU1736" s="8">
        <v>0</v>
      </c>
      <c r="BV1736" s="58" t="e">
        <f>VLOOKUP(AQ1736,'[1]Harga &amp; Nama CSO'!$A$28:$D$31,4,0)*BP1736</f>
        <v>#N/A</v>
      </c>
    </row>
    <row r="1737" spans="41:74" x14ac:dyDescent="0.35">
      <c r="AO1737" s="39">
        <v>1735</v>
      </c>
      <c r="AP1737" s="63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55" t="e">
        <f>IFERROR(VLOOKUP(AQ1737,'[1]Harga &amp; Nama CSO'!$H$2:$N$22,2,FALSE),"")*AV1737</f>
        <v>#VALUE!</v>
      </c>
      <c r="BO1737" s="40"/>
      <c r="BP1737" s="4"/>
      <c r="BQ1737" s="62"/>
      <c r="BR1737" s="4"/>
      <c r="BS1737" s="57" t="e">
        <f t="shared" si="48"/>
        <v>#VALUE!</v>
      </c>
      <c r="BT1737" s="63"/>
      <c r="BU1737" s="8">
        <v>0</v>
      </c>
      <c r="BV1737" s="58" t="e">
        <f>VLOOKUP(AQ1737,'[1]Harga &amp; Nama CSO'!$A$28:$D$31,4,0)*BP1737</f>
        <v>#N/A</v>
      </c>
    </row>
    <row r="1738" spans="41:74" x14ac:dyDescent="0.35">
      <c r="AO1738" s="39">
        <v>1736</v>
      </c>
      <c r="AP1738" s="63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55" t="e">
        <f>IFERROR(VLOOKUP(AQ1738,'[1]Harga &amp; Nama CSO'!$H$2:$N$22,2,FALSE),"")*AV1738</f>
        <v>#VALUE!</v>
      </c>
      <c r="BO1738" s="40"/>
      <c r="BP1738" s="4"/>
      <c r="BQ1738" s="62"/>
      <c r="BR1738" s="4"/>
      <c r="BS1738" s="57" t="e">
        <f t="shared" si="48"/>
        <v>#VALUE!</v>
      </c>
      <c r="BT1738" s="63"/>
      <c r="BU1738" s="8">
        <v>0</v>
      </c>
      <c r="BV1738" s="58" t="e">
        <f>VLOOKUP(AQ1738,'[1]Harga &amp; Nama CSO'!$A$28:$D$31,4,0)*BP1738</f>
        <v>#N/A</v>
      </c>
    </row>
    <row r="1739" spans="41:74" x14ac:dyDescent="0.35">
      <c r="AO1739" s="39">
        <v>1737</v>
      </c>
      <c r="AP1739" s="63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55" t="e">
        <f>IFERROR(VLOOKUP(AQ1739,'[1]Harga &amp; Nama CSO'!$H$2:$N$22,2,FALSE),"")*AV1739</f>
        <v>#VALUE!</v>
      </c>
      <c r="BO1739" s="40"/>
      <c r="BP1739" s="4"/>
      <c r="BQ1739" s="62"/>
      <c r="BR1739" s="4"/>
      <c r="BS1739" s="57" t="e">
        <f t="shared" si="48"/>
        <v>#VALUE!</v>
      </c>
      <c r="BT1739" s="63"/>
      <c r="BU1739" s="8">
        <v>0</v>
      </c>
      <c r="BV1739" s="58" t="e">
        <f>VLOOKUP(AQ1739,'[1]Harga &amp; Nama CSO'!$A$28:$D$31,4,0)*BP1739</f>
        <v>#N/A</v>
      </c>
    </row>
    <row r="1740" spans="41:74" x14ac:dyDescent="0.35">
      <c r="AO1740" s="39">
        <v>1738</v>
      </c>
      <c r="AP1740" s="63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55" t="e">
        <f>IFERROR(VLOOKUP(AQ1740,'[1]Harga &amp; Nama CSO'!$H$2:$N$22,2,FALSE),"")*AV1740</f>
        <v>#VALUE!</v>
      </c>
      <c r="BO1740" s="40"/>
      <c r="BP1740" s="4"/>
      <c r="BQ1740" s="62"/>
      <c r="BR1740" s="4"/>
      <c r="BS1740" s="57" t="e">
        <f t="shared" si="48"/>
        <v>#VALUE!</v>
      </c>
      <c r="BT1740" s="63"/>
      <c r="BU1740" s="8">
        <v>0</v>
      </c>
      <c r="BV1740" s="58" t="e">
        <f>VLOOKUP(AQ1740,'[1]Harga &amp; Nama CSO'!$A$28:$D$31,4,0)*BP1740</f>
        <v>#N/A</v>
      </c>
    </row>
    <row r="1741" spans="41:74" x14ac:dyDescent="0.35">
      <c r="AO1741" s="39">
        <v>1739</v>
      </c>
      <c r="AP1741" s="63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55" t="e">
        <f>IFERROR(VLOOKUP(AQ1741,'[1]Harga &amp; Nama CSO'!$H$2:$N$22,2,FALSE),"")*AV1741</f>
        <v>#VALUE!</v>
      </c>
      <c r="BO1741" s="40"/>
      <c r="BP1741" s="4"/>
      <c r="BQ1741" s="62"/>
      <c r="BR1741" s="4"/>
      <c r="BS1741" s="57" t="e">
        <f t="shared" si="48"/>
        <v>#VALUE!</v>
      </c>
      <c r="BT1741" s="63"/>
      <c r="BU1741" s="8">
        <v>0</v>
      </c>
      <c r="BV1741" s="58" t="e">
        <f>VLOOKUP(AQ1741,'[1]Harga &amp; Nama CSO'!$A$28:$D$31,4,0)*BP1741</f>
        <v>#N/A</v>
      </c>
    </row>
    <row r="1742" spans="41:74" x14ac:dyDescent="0.35">
      <c r="AO1742" s="39">
        <v>1740</v>
      </c>
      <c r="AP1742" s="63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55" t="e">
        <f>IFERROR(VLOOKUP(AQ1742,'[1]Harga &amp; Nama CSO'!$H$2:$N$22,2,FALSE),"")*AV1742</f>
        <v>#VALUE!</v>
      </c>
      <c r="BO1742" s="40"/>
      <c r="BP1742" s="4"/>
      <c r="BQ1742" s="62"/>
      <c r="BR1742" s="4"/>
      <c r="BS1742" s="57" t="e">
        <f t="shared" si="48"/>
        <v>#VALUE!</v>
      </c>
      <c r="BT1742" s="63"/>
      <c r="BU1742" s="8">
        <v>0</v>
      </c>
      <c r="BV1742" s="58" t="e">
        <f>VLOOKUP(AQ1742,'[1]Harga &amp; Nama CSO'!$A$28:$D$31,4,0)*BP1742</f>
        <v>#N/A</v>
      </c>
    </row>
    <row r="1743" spans="41:74" x14ac:dyDescent="0.35">
      <c r="AO1743" s="39">
        <v>1741</v>
      </c>
      <c r="AP1743" s="63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55" t="e">
        <f>IFERROR(VLOOKUP(AQ1743,'[1]Harga &amp; Nama CSO'!$H$2:$N$22,2,FALSE),"")*AV1743</f>
        <v>#VALUE!</v>
      </c>
      <c r="BO1743" s="40"/>
      <c r="BP1743" s="4"/>
      <c r="BQ1743" s="62"/>
      <c r="BR1743" s="4"/>
      <c r="BS1743" s="57" t="e">
        <f t="shared" si="48"/>
        <v>#VALUE!</v>
      </c>
      <c r="BT1743" s="63"/>
      <c r="BU1743" s="8">
        <v>0</v>
      </c>
      <c r="BV1743" s="58" t="e">
        <f>VLOOKUP(AQ1743,'[1]Harga &amp; Nama CSO'!$A$28:$D$31,4,0)*BP1743</f>
        <v>#N/A</v>
      </c>
    </row>
    <row r="1744" spans="41:74" x14ac:dyDescent="0.35">
      <c r="AO1744" s="39">
        <v>1742</v>
      </c>
      <c r="AP1744" s="63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55" t="e">
        <f>IFERROR(VLOOKUP(AQ1744,'[1]Harga &amp; Nama CSO'!$H$2:$N$22,2,FALSE),"")*AV1744</f>
        <v>#VALUE!</v>
      </c>
      <c r="BO1744" s="40"/>
      <c r="BP1744" s="4"/>
      <c r="BQ1744" s="62"/>
      <c r="BR1744" s="4"/>
      <c r="BS1744" s="57" t="e">
        <f t="shared" si="48"/>
        <v>#VALUE!</v>
      </c>
      <c r="BT1744" s="63"/>
      <c r="BU1744" s="8">
        <v>0</v>
      </c>
      <c r="BV1744" s="58" t="e">
        <f>VLOOKUP(AQ1744,'[1]Harga &amp; Nama CSO'!$A$28:$D$31,4,0)*BP1744</f>
        <v>#N/A</v>
      </c>
    </row>
    <row r="1745" spans="41:74" x14ac:dyDescent="0.35">
      <c r="AO1745" s="39">
        <v>1743</v>
      </c>
      <c r="AP1745" s="63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55" t="e">
        <f>IFERROR(VLOOKUP(AQ1745,'[1]Harga &amp; Nama CSO'!$H$2:$N$22,2,FALSE),"")*AV1745</f>
        <v>#VALUE!</v>
      </c>
      <c r="BO1745" s="40"/>
      <c r="BP1745" s="4"/>
      <c r="BQ1745" s="62"/>
      <c r="BR1745" s="4"/>
      <c r="BS1745" s="57" t="e">
        <f t="shared" si="48"/>
        <v>#VALUE!</v>
      </c>
      <c r="BT1745" s="63"/>
      <c r="BU1745" s="8">
        <v>0</v>
      </c>
      <c r="BV1745" s="58" t="e">
        <f>VLOOKUP(AQ1745,'[1]Harga &amp; Nama CSO'!$A$28:$D$31,4,0)*BP1745</f>
        <v>#N/A</v>
      </c>
    </row>
    <row r="1746" spans="41:74" x14ac:dyDescent="0.35">
      <c r="AO1746" s="39">
        <v>1744</v>
      </c>
      <c r="AP1746" s="63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55" t="e">
        <f>IFERROR(VLOOKUP(AQ1746,'[1]Harga &amp; Nama CSO'!$H$2:$N$22,2,FALSE),"")*AV1746</f>
        <v>#VALUE!</v>
      </c>
      <c r="BO1746" s="40"/>
      <c r="BP1746" s="4"/>
      <c r="BQ1746" s="62"/>
      <c r="BR1746" s="4"/>
      <c r="BS1746" s="57" t="e">
        <f t="shared" si="48"/>
        <v>#VALUE!</v>
      </c>
      <c r="BT1746" s="63"/>
      <c r="BU1746" s="8">
        <v>0</v>
      </c>
      <c r="BV1746" s="58" t="e">
        <f>VLOOKUP(AQ1746,'[1]Harga &amp; Nama CSO'!$A$28:$D$31,4,0)*BP1746</f>
        <v>#N/A</v>
      </c>
    </row>
    <row r="1747" spans="41:74" x14ac:dyDescent="0.35">
      <c r="AO1747" s="39">
        <v>1745</v>
      </c>
      <c r="AP1747" s="63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55" t="e">
        <f>IFERROR(VLOOKUP(AQ1747,'[1]Harga &amp; Nama CSO'!$H$2:$N$22,2,FALSE),"")*AV1747</f>
        <v>#VALUE!</v>
      </c>
      <c r="BO1747" s="40"/>
      <c r="BP1747" s="4"/>
      <c r="BQ1747" s="62"/>
      <c r="BR1747" s="4"/>
      <c r="BS1747" s="57" t="e">
        <f t="shared" si="48"/>
        <v>#VALUE!</v>
      </c>
      <c r="BT1747" s="63"/>
      <c r="BU1747" s="8">
        <v>0</v>
      </c>
      <c r="BV1747" s="58" t="e">
        <f>VLOOKUP(AQ1747,'[1]Harga &amp; Nama CSO'!$A$28:$D$31,4,0)*BP1747</f>
        <v>#N/A</v>
      </c>
    </row>
    <row r="1748" spans="41:74" x14ac:dyDescent="0.35">
      <c r="AO1748" s="39">
        <v>1746</v>
      </c>
      <c r="AP1748" s="63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55" t="e">
        <f>IFERROR(VLOOKUP(AQ1748,'[1]Harga &amp; Nama CSO'!$H$2:$N$22,2,FALSE),"")*AV1748</f>
        <v>#VALUE!</v>
      </c>
      <c r="BO1748" s="40"/>
      <c r="BP1748" s="4"/>
      <c r="BQ1748" s="62"/>
      <c r="BR1748" s="4"/>
      <c r="BS1748" s="57" t="e">
        <f t="shared" si="48"/>
        <v>#VALUE!</v>
      </c>
      <c r="BT1748" s="63"/>
      <c r="BU1748" s="8">
        <v>0</v>
      </c>
      <c r="BV1748" s="58" t="e">
        <f>VLOOKUP(AQ1748,'[1]Harga &amp; Nama CSO'!$A$28:$D$31,4,0)*BP1748</f>
        <v>#N/A</v>
      </c>
    </row>
    <row r="1749" spans="41:74" x14ac:dyDescent="0.35">
      <c r="AO1749" s="39">
        <v>1747</v>
      </c>
      <c r="AP1749" s="63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55" t="e">
        <f>IFERROR(VLOOKUP(AQ1749,'[1]Harga &amp; Nama CSO'!$H$2:$N$22,2,FALSE),"")*AV1749</f>
        <v>#VALUE!</v>
      </c>
      <c r="BO1749" s="40"/>
      <c r="BP1749" s="4"/>
      <c r="BQ1749" s="62"/>
      <c r="BR1749" s="4"/>
      <c r="BS1749" s="57" t="e">
        <f t="shared" si="48"/>
        <v>#VALUE!</v>
      </c>
      <c r="BT1749" s="63"/>
      <c r="BU1749" s="8">
        <v>0</v>
      </c>
      <c r="BV1749" s="58" t="e">
        <f>VLOOKUP(AQ1749,'[1]Harga &amp; Nama CSO'!$A$28:$D$31,4,0)*BP1749</f>
        <v>#N/A</v>
      </c>
    </row>
    <row r="1750" spans="41:74" x14ac:dyDescent="0.35">
      <c r="AO1750" s="39">
        <v>1748</v>
      </c>
      <c r="AP1750" s="63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55" t="e">
        <f>IFERROR(VLOOKUP(AQ1750,'[1]Harga &amp; Nama CSO'!$H$2:$N$22,2,FALSE),"")*AV1750</f>
        <v>#VALUE!</v>
      </c>
      <c r="BO1750" s="40"/>
      <c r="BP1750" s="4"/>
      <c r="BQ1750" s="62"/>
      <c r="BR1750" s="4"/>
      <c r="BS1750" s="57" t="e">
        <f t="shared" si="48"/>
        <v>#VALUE!</v>
      </c>
      <c r="BT1750" s="63"/>
      <c r="BU1750" s="8">
        <v>0</v>
      </c>
      <c r="BV1750" s="58" t="e">
        <f>VLOOKUP(AQ1750,'[1]Harga &amp; Nama CSO'!$A$28:$D$31,4,0)*BP1750</f>
        <v>#N/A</v>
      </c>
    </row>
    <row r="1751" spans="41:74" x14ac:dyDescent="0.35">
      <c r="AO1751" s="39">
        <v>1749</v>
      </c>
      <c r="AP1751" s="63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55" t="e">
        <f>IFERROR(VLOOKUP(AQ1751,'[1]Harga &amp; Nama CSO'!$H$2:$N$22,2,FALSE),"")*AV1751</f>
        <v>#VALUE!</v>
      </c>
      <c r="BO1751" s="40"/>
      <c r="BP1751" s="4"/>
      <c r="BQ1751" s="62"/>
      <c r="BR1751" s="4"/>
      <c r="BS1751" s="57" t="e">
        <f t="shared" si="48"/>
        <v>#VALUE!</v>
      </c>
      <c r="BT1751" s="63"/>
      <c r="BU1751" s="8">
        <v>0</v>
      </c>
      <c r="BV1751" s="58" t="e">
        <f>VLOOKUP(AQ1751,'[1]Harga &amp; Nama CSO'!$A$28:$D$31,4,0)*BP1751</f>
        <v>#N/A</v>
      </c>
    </row>
    <row r="1752" spans="41:74" x14ac:dyDescent="0.35">
      <c r="AO1752" s="39">
        <v>1750</v>
      </c>
      <c r="AP1752" s="63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55" t="e">
        <f>IFERROR(VLOOKUP(AQ1752,'[1]Harga &amp; Nama CSO'!$H$2:$N$22,2,FALSE),"")*AV1752</f>
        <v>#VALUE!</v>
      </c>
      <c r="BO1752" s="40"/>
      <c r="BP1752" s="4"/>
      <c r="BQ1752" s="62"/>
      <c r="BR1752" s="4"/>
      <c r="BS1752" s="57" t="e">
        <f t="shared" si="48"/>
        <v>#VALUE!</v>
      </c>
      <c r="BT1752" s="63"/>
      <c r="BU1752" s="8">
        <v>0</v>
      </c>
      <c r="BV1752" s="58" t="e">
        <f>VLOOKUP(AQ1752,'[1]Harga &amp; Nama CSO'!$A$28:$D$31,4,0)*BP1752</f>
        <v>#N/A</v>
      </c>
    </row>
    <row r="1753" spans="41:74" x14ac:dyDescent="0.35">
      <c r="AO1753" s="39">
        <v>1751</v>
      </c>
      <c r="AP1753" s="63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55" t="e">
        <f>IFERROR(VLOOKUP(AQ1753,'[1]Harga &amp; Nama CSO'!$H$2:$N$22,2,FALSE),"")*AV1753</f>
        <v>#VALUE!</v>
      </c>
      <c r="BO1753" s="40"/>
      <c r="BP1753" s="4"/>
      <c r="BQ1753" s="62"/>
      <c r="BR1753" s="4"/>
      <c r="BS1753" s="57" t="e">
        <f t="shared" si="48"/>
        <v>#VALUE!</v>
      </c>
      <c r="BT1753" s="63"/>
      <c r="BU1753" s="8">
        <v>0</v>
      </c>
      <c r="BV1753" s="58" t="e">
        <f>VLOOKUP(AQ1753,'[1]Harga &amp; Nama CSO'!$A$28:$D$31,4,0)*BP1753</f>
        <v>#N/A</v>
      </c>
    </row>
    <row r="1754" spans="41:74" x14ac:dyDescent="0.35">
      <c r="AO1754" s="39">
        <v>1752</v>
      </c>
      <c r="AP1754" s="63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55" t="e">
        <f>IFERROR(VLOOKUP(AQ1754,'[1]Harga &amp; Nama CSO'!$H$2:$N$22,2,FALSE),"")*AV1754</f>
        <v>#VALUE!</v>
      </c>
      <c r="BO1754" s="40"/>
      <c r="BP1754" s="4"/>
      <c r="BQ1754" s="62"/>
      <c r="BR1754" s="4"/>
      <c r="BS1754" s="57" t="e">
        <f t="shared" si="48"/>
        <v>#VALUE!</v>
      </c>
      <c r="BT1754" s="63"/>
      <c r="BU1754" s="8">
        <v>0</v>
      </c>
      <c r="BV1754" s="58" t="e">
        <f>VLOOKUP(AQ1754,'[1]Harga &amp; Nama CSO'!$A$28:$D$31,4,0)*BP1754</f>
        <v>#N/A</v>
      </c>
    </row>
    <row r="1755" spans="41:74" x14ac:dyDescent="0.35">
      <c r="AO1755" s="39">
        <v>1753</v>
      </c>
      <c r="AP1755" s="63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55" t="e">
        <f>IFERROR(VLOOKUP(AQ1755,'[1]Harga &amp; Nama CSO'!$H$2:$N$22,2,FALSE),"")*AV1755</f>
        <v>#VALUE!</v>
      </c>
      <c r="BO1755" s="40"/>
      <c r="BP1755" s="4"/>
      <c r="BQ1755" s="62"/>
      <c r="BR1755" s="4"/>
      <c r="BS1755" s="57" t="e">
        <f t="shared" si="48"/>
        <v>#VALUE!</v>
      </c>
      <c r="BT1755" s="63"/>
      <c r="BU1755" s="8">
        <v>0</v>
      </c>
      <c r="BV1755" s="58" t="e">
        <f>VLOOKUP(AQ1755,'[1]Harga &amp; Nama CSO'!$A$28:$D$31,4,0)*BP1755</f>
        <v>#N/A</v>
      </c>
    </row>
    <row r="1756" spans="41:74" x14ac:dyDescent="0.35">
      <c r="AO1756" s="39">
        <v>1754</v>
      </c>
      <c r="AP1756" s="63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55" t="e">
        <f>IFERROR(VLOOKUP(AQ1756,'[1]Harga &amp; Nama CSO'!$H$2:$N$22,2,FALSE),"")*AV1756</f>
        <v>#VALUE!</v>
      </c>
      <c r="BO1756" s="40"/>
      <c r="BP1756" s="4"/>
      <c r="BQ1756" s="62"/>
      <c r="BR1756" s="4"/>
      <c r="BS1756" s="57" t="e">
        <f t="shared" si="48"/>
        <v>#VALUE!</v>
      </c>
      <c r="BT1756" s="63"/>
      <c r="BU1756" s="8">
        <v>0</v>
      </c>
      <c r="BV1756" s="58" t="e">
        <f>VLOOKUP(AQ1756,'[1]Harga &amp; Nama CSO'!$A$28:$D$31,4,0)*BP1756</f>
        <v>#N/A</v>
      </c>
    </row>
    <row r="1757" spans="41:74" x14ac:dyDescent="0.35">
      <c r="AO1757" s="39">
        <v>1755</v>
      </c>
      <c r="AP1757" s="63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55" t="e">
        <f>IFERROR(VLOOKUP(AQ1757,'[1]Harga &amp; Nama CSO'!$H$2:$N$22,2,FALSE),"")*AV1757</f>
        <v>#VALUE!</v>
      </c>
      <c r="BO1757" s="40"/>
      <c r="BP1757" s="4"/>
      <c r="BQ1757" s="62"/>
      <c r="BR1757" s="4"/>
      <c r="BS1757" s="57" t="e">
        <f t="shared" si="48"/>
        <v>#VALUE!</v>
      </c>
      <c r="BT1757" s="63"/>
      <c r="BU1757" s="8">
        <v>0</v>
      </c>
      <c r="BV1757" s="58" t="e">
        <f>VLOOKUP(AQ1757,'[1]Harga &amp; Nama CSO'!$A$28:$D$31,4,0)*BP1757</f>
        <v>#N/A</v>
      </c>
    </row>
    <row r="1758" spans="41:74" x14ac:dyDescent="0.35">
      <c r="AO1758" s="39">
        <v>1756</v>
      </c>
      <c r="AP1758" s="63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55" t="e">
        <f>IFERROR(VLOOKUP(AQ1758,'[1]Harga &amp; Nama CSO'!$H$2:$N$22,2,FALSE),"")*AV1758</f>
        <v>#VALUE!</v>
      </c>
      <c r="BO1758" s="40"/>
      <c r="BP1758" s="4"/>
      <c r="BQ1758" s="62"/>
      <c r="BR1758" s="4"/>
      <c r="BS1758" s="57" t="e">
        <f t="shared" si="48"/>
        <v>#VALUE!</v>
      </c>
      <c r="BT1758" s="63"/>
      <c r="BU1758" s="8">
        <v>0</v>
      </c>
      <c r="BV1758" s="58" t="e">
        <f>VLOOKUP(AQ1758,'[1]Harga &amp; Nama CSO'!$A$28:$D$31,4,0)*BP1758</f>
        <v>#N/A</v>
      </c>
    </row>
    <row r="1759" spans="41:74" x14ac:dyDescent="0.35">
      <c r="AO1759" s="39">
        <v>1757</v>
      </c>
      <c r="AP1759" s="63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55" t="e">
        <f>IFERROR(VLOOKUP(AQ1759,'[1]Harga &amp; Nama CSO'!$H$2:$N$22,2,FALSE),"")*AV1759</f>
        <v>#VALUE!</v>
      </c>
      <c r="BO1759" s="40"/>
      <c r="BP1759" s="4"/>
      <c r="BQ1759" s="62"/>
      <c r="BR1759" s="4"/>
      <c r="BS1759" s="57" t="e">
        <f t="shared" si="48"/>
        <v>#VALUE!</v>
      </c>
      <c r="BT1759" s="63"/>
      <c r="BU1759" s="8">
        <v>0</v>
      </c>
      <c r="BV1759" s="58" t="e">
        <f>VLOOKUP(AQ1759,'[1]Harga &amp; Nama CSO'!$A$28:$D$31,4,0)*BP1759</f>
        <v>#N/A</v>
      </c>
    </row>
    <row r="1760" spans="41:74" x14ac:dyDescent="0.35">
      <c r="AO1760" s="39">
        <v>1758</v>
      </c>
      <c r="AP1760" s="63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55" t="e">
        <f>IFERROR(VLOOKUP(AQ1760,'[1]Harga &amp; Nama CSO'!$H$2:$N$22,2,FALSE),"")*AV1760</f>
        <v>#VALUE!</v>
      </c>
      <c r="BO1760" s="40"/>
      <c r="BP1760" s="4"/>
      <c r="BQ1760" s="62"/>
      <c r="BR1760" s="4"/>
      <c r="BS1760" s="57" t="e">
        <f t="shared" si="48"/>
        <v>#VALUE!</v>
      </c>
      <c r="BT1760" s="63"/>
      <c r="BU1760" s="8">
        <v>0</v>
      </c>
      <c r="BV1760" s="58" t="e">
        <f>VLOOKUP(AQ1760,'[1]Harga &amp; Nama CSO'!$A$28:$D$31,4,0)*BP1760</f>
        <v>#N/A</v>
      </c>
    </row>
    <row r="1761" spans="41:74" x14ac:dyDescent="0.35">
      <c r="AO1761" s="39">
        <v>1759</v>
      </c>
      <c r="AP1761" s="63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55" t="e">
        <f>IFERROR(VLOOKUP(AQ1761,'[1]Harga &amp; Nama CSO'!$H$2:$N$22,2,FALSE),"")*AV1761</f>
        <v>#VALUE!</v>
      </c>
      <c r="BO1761" s="40"/>
      <c r="BP1761" s="4"/>
      <c r="BQ1761" s="62"/>
      <c r="BR1761" s="4"/>
      <c r="BS1761" s="57" t="e">
        <f t="shared" si="48"/>
        <v>#VALUE!</v>
      </c>
      <c r="BT1761" s="63"/>
      <c r="BU1761" s="8">
        <v>0</v>
      </c>
      <c r="BV1761" s="58" t="e">
        <f>VLOOKUP(AQ1761,'[1]Harga &amp; Nama CSO'!$A$28:$D$31,4,0)*BP1761</f>
        <v>#N/A</v>
      </c>
    </row>
    <row r="1762" spans="41:74" x14ac:dyDescent="0.35">
      <c r="AO1762" s="39">
        <v>1760</v>
      </c>
      <c r="AP1762" s="63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55" t="e">
        <f>IFERROR(VLOOKUP(AQ1762,'[1]Harga &amp; Nama CSO'!$H$2:$N$22,2,FALSE),"")*AV1762</f>
        <v>#VALUE!</v>
      </c>
      <c r="BO1762" s="40"/>
      <c r="BP1762" s="4"/>
      <c r="BQ1762" s="62"/>
      <c r="BR1762" s="4"/>
      <c r="BS1762" s="57" t="e">
        <f t="shared" si="48"/>
        <v>#VALUE!</v>
      </c>
      <c r="BT1762" s="63"/>
      <c r="BU1762" s="8">
        <v>0</v>
      </c>
      <c r="BV1762" s="58" t="e">
        <f>VLOOKUP(AQ1762,'[1]Harga &amp; Nama CSO'!$A$28:$D$31,4,0)*BP1762</f>
        <v>#N/A</v>
      </c>
    </row>
    <row r="1763" spans="41:74" x14ac:dyDescent="0.35">
      <c r="AO1763" s="39">
        <v>1761</v>
      </c>
      <c r="AP1763" s="63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55" t="e">
        <f>IFERROR(VLOOKUP(AQ1763,'[1]Harga &amp; Nama CSO'!$H$2:$N$22,2,FALSE),"")*AV1763</f>
        <v>#VALUE!</v>
      </c>
      <c r="BO1763" s="40"/>
      <c r="BP1763" s="4"/>
      <c r="BQ1763" s="62"/>
      <c r="BR1763" s="4"/>
      <c r="BS1763" s="57" t="e">
        <f t="shared" si="48"/>
        <v>#VALUE!</v>
      </c>
      <c r="BT1763" s="63"/>
      <c r="BU1763" s="8">
        <v>0</v>
      </c>
      <c r="BV1763" s="58" t="e">
        <f>VLOOKUP(AQ1763,'[1]Harga &amp; Nama CSO'!$A$28:$D$31,4,0)*BP1763</f>
        <v>#N/A</v>
      </c>
    </row>
    <row r="1764" spans="41:74" x14ac:dyDescent="0.35">
      <c r="AO1764" s="39">
        <v>1762</v>
      </c>
      <c r="AP1764" s="63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55" t="e">
        <f>IFERROR(VLOOKUP(AQ1764,'[1]Harga &amp; Nama CSO'!$H$2:$N$22,2,FALSE),"")*AV1764</f>
        <v>#VALUE!</v>
      </c>
      <c r="BO1764" s="40"/>
      <c r="BP1764" s="4"/>
      <c r="BQ1764" s="62"/>
      <c r="BR1764" s="4"/>
      <c r="BS1764" s="57" t="e">
        <f t="shared" si="48"/>
        <v>#VALUE!</v>
      </c>
      <c r="BT1764" s="63"/>
      <c r="BU1764" s="8">
        <v>0</v>
      </c>
      <c r="BV1764" s="58" t="e">
        <f>VLOOKUP(AQ1764,'[1]Harga &amp; Nama CSO'!$A$28:$D$31,4,0)*BP1764</f>
        <v>#N/A</v>
      </c>
    </row>
    <row r="1765" spans="41:74" x14ac:dyDescent="0.35">
      <c r="AO1765" s="39">
        <v>1763</v>
      </c>
      <c r="AP1765" s="63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55" t="e">
        <f>IFERROR(VLOOKUP(AQ1765,'[1]Harga &amp; Nama CSO'!$H$2:$N$22,2,FALSE),"")*AV1765</f>
        <v>#VALUE!</v>
      </c>
      <c r="BO1765" s="40"/>
      <c r="BP1765" s="4"/>
      <c r="BQ1765" s="62"/>
      <c r="BR1765" s="4"/>
      <c r="BS1765" s="57" t="e">
        <f t="shared" si="48"/>
        <v>#VALUE!</v>
      </c>
      <c r="BT1765" s="63"/>
      <c r="BU1765" s="8">
        <v>0</v>
      </c>
      <c r="BV1765" s="58" t="e">
        <f>VLOOKUP(AQ1765,'[1]Harga &amp; Nama CSO'!$A$28:$D$31,4,0)*BP1765</f>
        <v>#N/A</v>
      </c>
    </row>
    <row r="1766" spans="41:74" x14ac:dyDescent="0.35">
      <c r="AO1766" s="39">
        <v>1764</v>
      </c>
      <c r="AP1766" s="63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55" t="e">
        <f>IFERROR(VLOOKUP(AQ1766,'[1]Harga &amp; Nama CSO'!$H$2:$N$22,2,FALSE),"")*AV1766</f>
        <v>#VALUE!</v>
      </c>
      <c r="BO1766" s="40"/>
      <c r="BP1766" s="4"/>
      <c r="BQ1766" s="62"/>
      <c r="BR1766" s="4"/>
      <c r="BS1766" s="57" t="e">
        <f t="shared" si="48"/>
        <v>#VALUE!</v>
      </c>
      <c r="BT1766" s="63"/>
      <c r="BU1766" s="8">
        <v>0</v>
      </c>
      <c r="BV1766" s="58" t="e">
        <f>VLOOKUP(AQ1766,'[1]Harga &amp; Nama CSO'!$A$28:$D$31,4,0)*BP1766</f>
        <v>#N/A</v>
      </c>
    </row>
    <row r="1767" spans="41:74" x14ac:dyDescent="0.35">
      <c r="AO1767" s="39">
        <v>1765</v>
      </c>
      <c r="AP1767" s="63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55" t="e">
        <f>IFERROR(VLOOKUP(AQ1767,'[1]Harga &amp; Nama CSO'!$H$2:$N$22,2,FALSE),"")*AV1767</f>
        <v>#VALUE!</v>
      </c>
      <c r="BO1767" s="40"/>
      <c r="BP1767" s="4"/>
      <c r="BQ1767" s="62"/>
      <c r="BR1767" s="4"/>
      <c r="BS1767" s="57" t="e">
        <f t="shared" si="48"/>
        <v>#VALUE!</v>
      </c>
      <c r="BT1767" s="63"/>
      <c r="BU1767" s="8">
        <v>0</v>
      </c>
      <c r="BV1767" s="58" t="e">
        <f>VLOOKUP(AQ1767,'[1]Harga &amp; Nama CSO'!$A$28:$D$31,4,0)*BP1767</f>
        <v>#N/A</v>
      </c>
    </row>
    <row r="1768" spans="41:74" x14ac:dyDescent="0.35">
      <c r="AO1768" s="39">
        <v>1766</v>
      </c>
      <c r="AP1768" s="63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55" t="e">
        <f>IFERROR(VLOOKUP(AQ1768,'[1]Harga &amp; Nama CSO'!$H$2:$N$22,2,FALSE),"")*AV1768</f>
        <v>#VALUE!</v>
      </c>
      <c r="BO1768" s="40"/>
      <c r="BP1768" s="4"/>
      <c r="BQ1768" s="62"/>
      <c r="BR1768" s="4"/>
      <c r="BS1768" s="57" t="e">
        <f t="shared" si="48"/>
        <v>#VALUE!</v>
      </c>
      <c r="BT1768" s="63"/>
      <c r="BU1768" s="8">
        <v>0</v>
      </c>
      <c r="BV1768" s="58" t="e">
        <f>VLOOKUP(AQ1768,'[1]Harga &amp; Nama CSO'!$A$28:$D$31,4,0)*BP1768</f>
        <v>#N/A</v>
      </c>
    </row>
    <row r="1769" spans="41:74" x14ac:dyDescent="0.35">
      <c r="AO1769" s="39">
        <v>1767</v>
      </c>
      <c r="AP1769" s="63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55" t="e">
        <f>IFERROR(VLOOKUP(AQ1769,'[1]Harga &amp; Nama CSO'!$H$2:$N$22,2,FALSE),"")*AV1769</f>
        <v>#VALUE!</v>
      </c>
      <c r="BO1769" s="40"/>
      <c r="BP1769" s="4"/>
      <c r="BQ1769" s="62"/>
      <c r="BR1769" s="4"/>
      <c r="BS1769" s="57" t="e">
        <f t="shared" si="48"/>
        <v>#VALUE!</v>
      </c>
      <c r="BT1769" s="63"/>
      <c r="BU1769" s="8">
        <v>0</v>
      </c>
      <c r="BV1769" s="58" t="e">
        <f>VLOOKUP(AQ1769,'[1]Harga &amp; Nama CSO'!$A$28:$D$31,4,0)*BP1769</f>
        <v>#N/A</v>
      </c>
    </row>
    <row r="1770" spans="41:74" x14ac:dyDescent="0.35">
      <c r="AO1770" s="39">
        <v>1768</v>
      </c>
      <c r="AP1770" s="63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55" t="e">
        <f>IFERROR(VLOOKUP(AQ1770,'[1]Harga &amp; Nama CSO'!$H$2:$N$22,2,FALSE),"")*AV1770</f>
        <v>#VALUE!</v>
      </c>
      <c r="BO1770" s="40"/>
      <c r="BP1770" s="4"/>
      <c r="BQ1770" s="62"/>
      <c r="BR1770" s="4"/>
      <c r="BS1770" s="57" t="e">
        <f t="shared" si="48"/>
        <v>#VALUE!</v>
      </c>
      <c r="BT1770" s="63"/>
      <c r="BU1770" s="8">
        <v>0</v>
      </c>
      <c r="BV1770" s="58" t="e">
        <f>VLOOKUP(AQ1770,'[1]Harga &amp; Nama CSO'!$A$28:$D$31,4,0)*BP1770</f>
        <v>#N/A</v>
      </c>
    </row>
    <row r="1771" spans="41:74" x14ac:dyDescent="0.35">
      <c r="AO1771" s="39">
        <v>1769</v>
      </c>
      <c r="AP1771" s="63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55" t="e">
        <f>IFERROR(VLOOKUP(AQ1771,'[1]Harga &amp; Nama CSO'!$H$2:$N$22,2,FALSE),"")*AV1771</f>
        <v>#VALUE!</v>
      </c>
      <c r="BO1771" s="40"/>
      <c r="BP1771" s="4"/>
      <c r="BQ1771" s="62"/>
      <c r="BR1771" s="4"/>
      <c r="BS1771" s="57" t="e">
        <f t="shared" si="48"/>
        <v>#VALUE!</v>
      </c>
      <c r="BT1771" s="63"/>
      <c r="BU1771" s="8">
        <v>0</v>
      </c>
      <c r="BV1771" s="58" t="e">
        <f>VLOOKUP(AQ1771,'[1]Harga &amp; Nama CSO'!$A$28:$D$31,4,0)*BP1771</f>
        <v>#N/A</v>
      </c>
    </row>
    <row r="1772" spans="41:74" x14ac:dyDescent="0.35">
      <c r="AO1772" s="39">
        <v>1770</v>
      </c>
      <c r="AP1772" s="63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55" t="e">
        <f>IFERROR(VLOOKUP(AQ1772,'[1]Harga &amp; Nama CSO'!$H$2:$N$22,2,FALSE),"")*AV1772</f>
        <v>#VALUE!</v>
      </c>
      <c r="BO1772" s="40"/>
      <c r="BP1772" s="4"/>
      <c r="BQ1772" s="62"/>
      <c r="BR1772" s="4"/>
      <c r="BS1772" s="57" t="e">
        <f t="shared" si="48"/>
        <v>#VALUE!</v>
      </c>
      <c r="BT1772" s="63"/>
      <c r="BU1772" s="8">
        <v>0</v>
      </c>
      <c r="BV1772" s="58" t="e">
        <f>VLOOKUP(AQ1772,'[1]Harga &amp; Nama CSO'!$A$28:$D$31,4,0)*BP1772</f>
        <v>#N/A</v>
      </c>
    </row>
    <row r="1773" spans="41:74" x14ac:dyDescent="0.35">
      <c r="AO1773" s="39">
        <v>1771</v>
      </c>
      <c r="AP1773" s="63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55" t="e">
        <f>IFERROR(VLOOKUP(AQ1773,'[1]Harga &amp; Nama CSO'!$H$2:$N$22,2,FALSE),"")*AV1773</f>
        <v>#VALUE!</v>
      </c>
      <c r="BO1773" s="40"/>
      <c r="BP1773" s="4"/>
      <c r="BQ1773" s="62"/>
      <c r="BR1773" s="4"/>
      <c r="BS1773" s="57" t="e">
        <f t="shared" si="48"/>
        <v>#VALUE!</v>
      </c>
      <c r="BT1773" s="63"/>
      <c r="BU1773" s="8">
        <v>0</v>
      </c>
      <c r="BV1773" s="58" t="e">
        <f>VLOOKUP(AQ1773,'[1]Harga &amp; Nama CSO'!$A$28:$D$31,4,0)*BP1773</f>
        <v>#N/A</v>
      </c>
    </row>
    <row r="1774" spans="41:74" x14ac:dyDescent="0.35">
      <c r="AO1774" s="39">
        <v>1772</v>
      </c>
      <c r="AP1774" s="63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55" t="e">
        <f>IFERROR(VLOOKUP(AQ1774,'[1]Harga &amp; Nama CSO'!$H$2:$N$22,2,FALSE),"")*AV1774</f>
        <v>#VALUE!</v>
      </c>
      <c r="BO1774" s="40"/>
      <c r="BP1774" s="4"/>
      <c r="BQ1774" s="62"/>
      <c r="BR1774" s="4"/>
      <c r="BS1774" s="57" t="e">
        <f t="shared" si="48"/>
        <v>#VALUE!</v>
      </c>
      <c r="BT1774" s="63"/>
      <c r="BU1774" s="8">
        <v>0</v>
      </c>
      <c r="BV1774" s="58" t="e">
        <f>VLOOKUP(AQ1774,'[1]Harga &amp; Nama CSO'!$A$28:$D$31,4,0)*BP1774</f>
        <v>#N/A</v>
      </c>
    </row>
    <row r="1775" spans="41:74" x14ac:dyDescent="0.35">
      <c r="AO1775" s="39">
        <v>1773</v>
      </c>
      <c r="AP1775" s="63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55" t="e">
        <f>IFERROR(VLOOKUP(AQ1775,'[1]Harga &amp; Nama CSO'!$H$2:$N$22,2,FALSE),"")*AV1775</f>
        <v>#VALUE!</v>
      </c>
      <c r="BO1775" s="40"/>
      <c r="BP1775" s="4"/>
      <c r="BQ1775" s="62"/>
      <c r="BR1775" s="4"/>
      <c r="BS1775" s="57" t="e">
        <f t="shared" si="48"/>
        <v>#VALUE!</v>
      </c>
      <c r="BT1775" s="63"/>
      <c r="BU1775" s="8">
        <v>0</v>
      </c>
      <c r="BV1775" s="58" t="e">
        <f>VLOOKUP(AQ1775,'[1]Harga &amp; Nama CSO'!$A$28:$D$31,4,0)*BP1775</f>
        <v>#N/A</v>
      </c>
    </row>
    <row r="1776" spans="41:74" x14ac:dyDescent="0.35">
      <c r="AO1776" s="39">
        <v>1774</v>
      </c>
      <c r="AP1776" s="63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55" t="e">
        <f>IFERROR(VLOOKUP(AQ1776,'[1]Harga &amp; Nama CSO'!$H$2:$N$22,2,FALSE),"")*AV1776</f>
        <v>#VALUE!</v>
      </c>
      <c r="BO1776" s="40"/>
      <c r="BP1776" s="4"/>
      <c r="BQ1776" s="62"/>
      <c r="BR1776" s="4"/>
      <c r="BS1776" s="57" t="e">
        <f t="shared" si="48"/>
        <v>#VALUE!</v>
      </c>
      <c r="BT1776" s="63"/>
      <c r="BU1776" s="8">
        <v>0</v>
      </c>
      <c r="BV1776" s="58" t="e">
        <f>VLOOKUP(AQ1776,'[1]Harga &amp; Nama CSO'!$A$28:$D$31,4,0)*BP1776</f>
        <v>#N/A</v>
      </c>
    </row>
    <row r="1777" spans="41:74" x14ac:dyDescent="0.35">
      <c r="AO1777" s="39">
        <v>1775</v>
      </c>
      <c r="AP1777" s="63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55" t="e">
        <f>IFERROR(VLOOKUP(AQ1777,'[1]Harga &amp; Nama CSO'!$H$2:$N$22,2,FALSE),"")*AV1777</f>
        <v>#VALUE!</v>
      </c>
      <c r="BO1777" s="40"/>
      <c r="BP1777" s="4"/>
      <c r="BQ1777" s="62"/>
      <c r="BR1777" s="4"/>
      <c r="BS1777" s="57" t="e">
        <f t="shared" si="48"/>
        <v>#VALUE!</v>
      </c>
      <c r="BT1777" s="63"/>
      <c r="BU1777" s="8">
        <v>0</v>
      </c>
      <c r="BV1777" s="58" t="e">
        <f>VLOOKUP(AQ1777,'[1]Harga &amp; Nama CSO'!$A$28:$D$31,4,0)*BP1777</f>
        <v>#N/A</v>
      </c>
    </row>
    <row r="1778" spans="41:74" x14ac:dyDescent="0.35">
      <c r="AO1778" s="39">
        <v>1776</v>
      </c>
      <c r="AP1778" s="63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55" t="e">
        <f>IFERROR(VLOOKUP(AQ1778,'[1]Harga &amp; Nama CSO'!$H$2:$N$22,2,FALSE),"")*AV1778</f>
        <v>#VALUE!</v>
      </c>
      <c r="BO1778" s="40"/>
      <c r="BP1778" s="4"/>
      <c r="BQ1778" s="62"/>
      <c r="BR1778" s="4"/>
      <c r="BS1778" s="57" t="e">
        <f t="shared" si="48"/>
        <v>#VALUE!</v>
      </c>
      <c r="BT1778" s="63"/>
      <c r="BU1778" s="8">
        <v>0</v>
      </c>
      <c r="BV1778" s="58" t="e">
        <f>VLOOKUP(AQ1778,'[1]Harga &amp; Nama CSO'!$A$28:$D$31,4,0)*BP1778</f>
        <v>#N/A</v>
      </c>
    </row>
    <row r="1779" spans="41:74" x14ac:dyDescent="0.35">
      <c r="AO1779" s="39">
        <v>1777</v>
      </c>
      <c r="AP1779" s="63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55" t="e">
        <f>IFERROR(VLOOKUP(AQ1779,'[1]Harga &amp; Nama CSO'!$H$2:$N$22,2,FALSE),"")*AV1779</f>
        <v>#VALUE!</v>
      </c>
      <c r="BO1779" s="40"/>
      <c r="BP1779" s="4"/>
      <c r="BQ1779" s="62"/>
      <c r="BR1779" s="4"/>
      <c r="BS1779" s="57" t="e">
        <f t="shared" si="48"/>
        <v>#VALUE!</v>
      </c>
      <c r="BT1779" s="63"/>
      <c r="BU1779" s="8">
        <v>0</v>
      </c>
      <c r="BV1779" s="58" t="e">
        <f>VLOOKUP(AQ1779,'[1]Harga &amp; Nama CSO'!$A$28:$D$31,4,0)*BP1779</f>
        <v>#N/A</v>
      </c>
    </row>
    <row r="1780" spans="41:74" x14ac:dyDescent="0.35">
      <c r="AO1780" s="39">
        <v>1778</v>
      </c>
      <c r="AP1780" s="63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55" t="e">
        <f>IFERROR(VLOOKUP(AQ1780,'[1]Harga &amp; Nama CSO'!$H$2:$N$22,2,FALSE),"")*AV1780</f>
        <v>#VALUE!</v>
      </c>
      <c r="BO1780" s="40"/>
      <c r="BP1780" s="4"/>
      <c r="BQ1780" s="62"/>
      <c r="BR1780" s="4"/>
      <c r="BS1780" s="57" t="e">
        <f t="shared" si="48"/>
        <v>#VALUE!</v>
      </c>
      <c r="BT1780" s="63"/>
      <c r="BU1780" s="8">
        <v>0</v>
      </c>
      <c r="BV1780" s="58" t="e">
        <f>VLOOKUP(AQ1780,'[1]Harga &amp; Nama CSO'!$A$28:$D$31,4,0)*BP1780</f>
        <v>#N/A</v>
      </c>
    </row>
    <row r="1781" spans="41:74" x14ac:dyDescent="0.35">
      <c r="AO1781" s="39">
        <v>1779</v>
      </c>
      <c r="AP1781" s="63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55" t="e">
        <f>IFERROR(VLOOKUP(AQ1781,'[1]Harga &amp; Nama CSO'!$H$2:$N$22,2,FALSE),"")*AV1781</f>
        <v>#VALUE!</v>
      </c>
      <c r="BO1781" s="40"/>
      <c r="BP1781" s="4"/>
      <c r="BQ1781" s="62"/>
      <c r="BR1781" s="4"/>
      <c r="BS1781" s="57" t="e">
        <f t="shared" si="48"/>
        <v>#VALUE!</v>
      </c>
      <c r="BT1781" s="63"/>
      <c r="BU1781" s="8">
        <v>0</v>
      </c>
      <c r="BV1781" s="58" t="e">
        <f>VLOOKUP(AQ1781,'[1]Harga &amp; Nama CSO'!$A$28:$D$31,4,0)*BP1781</f>
        <v>#N/A</v>
      </c>
    </row>
    <row r="1782" spans="41:74" x14ac:dyDescent="0.35">
      <c r="AO1782" s="39">
        <v>1780</v>
      </c>
      <c r="AP1782" s="63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55" t="e">
        <f>IFERROR(VLOOKUP(AQ1782,'[1]Harga &amp; Nama CSO'!$H$2:$N$22,2,FALSE),"")*AV1782</f>
        <v>#VALUE!</v>
      </c>
      <c r="BO1782" s="40"/>
      <c r="BP1782" s="4"/>
      <c r="BQ1782" s="62"/>
      <c r="BR1782" s="4"/>
      <c r="BS1782" s="57" t="e">
        <f t="shared" si="48"/>
        <v>#VALUE!</v>
      </c>
      <c r="BT1782" s="63"/>
      <c r="BU1782" s="8">
        <v>0</v>
      </c>
      <c r="BV1782" s="58" t="e">
        <f>VLOOKUP(AQ1782,'[1]Harga &amp; Nama CSO'!$A$28:$D$31,4,0)*BP1782</f>
        <v>#N/A</v>
      </c>
    </row>
    <row r="1783" spans="41:74" x14ac:dyDescent="0.35">
      <c r="AO1783" s="39">
        <v>1781</v>
      </c>
      <c r="AP1783" s="63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55" t="e">
        <f>IFERROR(VLOOKUP(AQ1783,'[1]Harga &amp; Nama CSO'!$H$2:$N$22,2,FALSE),"")*AV1783</f>
        <v>#VALUE!</v>
      </c>
      <c r="BO1783" s="40"/>
      <c r="BP1783" s="4"/>
      <c r="BQ1783" s="62"/>
      <c r="BR1783" s="4"/>
      <c r="BS1783" s="57" t="e">
        <f t="shared" si="48"/>
        <v>#VALUE!</v>
      </c>
      <c r="BT1783" s="63"/>
      <c r="BU1783" s="8">
        <v>0</v>
      </c>
      <c r="BV1783" s="58" t="e">
        <f>VLOOKUP(AQ1783,'[1]Harga &amp; Nama CSO'!$A$28:$D$31,4,0)*BP1783</f>
        <v>#N/A</v>
      </c>
    </row>
    <row r="1784" spans="41:74" x14ac:dyDescent="0.35">
      <c r="AO1784" s="39">
        <v>1782</v>
      </c>
      <c r="AP1784" s="63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55" t="e">
        <f>IFERROR(VLOOKUP(AQ1784,'[1]Harga &amp; Nama CSO'!$H$2:$N$22,2,FALSE),"")*AV1784</f>
        <v>#VALUE!</v>
      </c>
      <c r="BO1784" s="40"/>
      <c r="BP1784" s="4"/>
      <c r="BQ1784" s="62"/>
      <c r="BR1784" s="4"/>
      <c r="BS1784" s="57" t="e">
        <f t="shared" si="48"/>
        <v>#VALUE!</v>
      </c>
      <c r="BT1784" s="63"/>
      <c r="BU1784" s="8">
        <v>0</v>
      </c>
      <c r="BV1784" s="58" t="e">
        <f>VLOOKUP(AQ1784,'[1]Harga &amp; Nama CSO'!$A$28:$D$31,4,0)*BP1784</f>
        <v>#N/A</v>
      </c>
    </row>
    <row r="1785" spans="41:74" x14ac:dyDescent="0.35">
      <c r="AO1785" s="39">
        <v>1783</v>
      </c>
      <c r="AP1785" s="63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55" t="e">
        <f>IFERROR(VLOOKUP(AQ1785,'[1]Harga &amp; Nama CSO'!$H$2:$N$22,2,FALSE),"")*AV1785</f>
        <v>#VALUE!</v>
      </c>
      <c r="BO1785" s="40"/>
      <c r="BP1785" s="4"/>
      <c r="BQ1785" s="62"/>
      <c r="BR1785" s="4"/>
      <c r="BS1785" s="57" t="e">
        <f t="shared" si="48"/>
        <v>#VALUE!</v>
      </c>
      <c r="BT1785" s="63"/>
      <c r="BU1785" s="8">
        <v>0</v>
      </c>
      <c r="BV1785" s="58" t="e">
        <f>VLOOKUP(AQ1785,'[1]Harga &amp; Nama CSO'!$A$28:$D$31,4,0)*BP1785</f>
        <v>#N/A</v>
      </c>
    </row>
    <row r="1786" spans="41:74" x14ac:dyDescent="0.35">
      <c r="AO1786" s="39">
        <v>1784</v>
      </c>
      <c r="AP1786" s="63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55" t="e">
        <f>IFERROR(VLOOKUP(AQ1786,'[1]Harga &amp; Nama CSO'!$H$2:$N$22,2,FALSE),"")*AV1786</f>
        <v>#VALUE!</v>
      </c>
      <c r="BO1786" s="40"/>
      <c r="BP1786" s="4"/>
      <c r="BQ1786" s="62"/>
      <c r="BR1786" s="4"/>
      <c r="BS1786" s="57" t="e">
        <f t="shared" si="48"/>
        <v>#VALUE!</v>
      </c>
      <c r="BT1786" s="63"/>
      <c r="BU1786" s="8">
        <v>0</v>
      </c>
      <c r="BV1786" s="58" t="e">
        <f>VLOOKUP(AQ1786,'[1]Harga &amp; Nama CSO'!$A$28:$D$31,4,0)*BP1786</f>
        <v>#N/A</v>
      </c>
    </row>
    <row r="1787" spans="41:74" x14ac:dyDescent="0.35">
      <c r="AO1787" s="39">
        <v>1785</v>
      </c>
      <c r="AP1787" s="63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55" t="e">
        <f>IFERROR(VLOOKUP(AQ1787,'[1]Harga &amp; Nama CSO'!$H$2:$N$22,2,FALSE),"")*AV1787</f>
        <v>#VALUE!</v>
      </c>
      <c r="BO1787" s="40"/>
      <c r="BP1787" s="4"/>
      <c r="BQ1787" s="62"/>
      <c r="BR1787" s="4"/>
      <c r="BS1787" s="57" t="e">
        <f t="shared" si="48"/>
        <v>#VALUE!</v>
      </c>
      <c r="BT1787" s="63"/>
      <c r="BU1787" s="8">
        <v>0</v>
      </c>
      <c r="BV1787" s="58" t="e">
        <f>VLOOKUP(AQ1787,'[1]Harga &amp; Nama CSO'!$A$28:$D$31,4,0)*BP1787</f>
        <v>#N/A</v>
      </c>
    </row>
    <row r="1788" spans="41:74" x14ac:dyDescent="0.35">
      <c r="AO1788" s="39">
        <v>1786</v>
      </c>
      <c r="AP1788" s="63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55" t="e">
        <f>IFERROR(VLOOKUP(AQ1788,'[1]Harga &amp; Nama CSO'!$H$2:$N$22,2,FALSE),"")*AV1788</f>
        <v>#VALUE!</v>
      </c>
      <c r="BO1788" s="40"/>
      <c r="BP1788" s="4"/>
      <c r="BQ1788" s="62"/>
      <c r="BR1788" s="4"/>
      <c r="BS1788" s="57" t="e">
        <f t="shared" si="48"/>
        <v>#VALUE!</v>
      </c>
      <c r="BT1788" s="63"/>
      <c r="BU1788" s="8">
        <v>0</v>
      </c>
      <c r="BV1788" s="58" t="e">
        <f>VLOOKUP(AQ1788,'[1]Harga &amp; Nama CSO'!$A$28:$D$31,4,0)*BP1788</f>
        <v>#N/A</v>
      </c>
    </row>
    <row r="1789" spans="41:74" x14ac:dyDescent="0.35">
      <c r="AO1789" s="39">
        <v>1787</v>
      </c>
      <c r="AP1789" s="63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55" t="e">
        <f>IFERROR(VLOOKUP(AQ1789,'[1]Harga &amp; Nama CSO'!$H$2:$N$22,2,FALSE),"")*AV1789</f>
        <v>#VALUE!</v>
      </c>
      <c r="BO1789" s="40"/>
      <c r="BP1789" s="4"/>
      <c r="BQ1789" s="62"/>
      <c r="BR1789" s="4"/>
      <c r="BS1789" s="57" t="e">
        <f t="shared" si="48"/>
        <v>#VALUE!</v>
      </c>
      <c r="BT1789" s="63"/>
      <c r="BU1789" s="8">
        <v>0</v>
      </c>
      <c r="BV1789" s="58" t="e">
        <f>VLOOKUP(AQ1789,'[1]Harga &amp; Nama CSO'!$A$28:$D$31,4,0)*BP1789</f>
        <v>#N/A</v>
      </c>
    </row>
    <row r="1790" spans="41:74" x14ac:dyDescent="0.35">
      <c r="AO1790" s="39">
        <v>1788</v>
      </c>
      <c r="AP1790" s="63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55" t="e">
        <f>IFERROR(VLOOKUP(AQ1790,'[1]Harga &amp; Nama CSO'!$H$2:$N$22,2,FALSE),"")*AV1790</f>
        <v>#VALUE!</v>
      </c>
      <c r="BO1790" s="40"/>
      <c r="BP1790" s="4"/>
      <c r="BQ1790" s="62"/>
      <c r="BR1790" s="4"/>
      <c r="BS1790" s="57" t="e">
        <f t="shared" si="48"/>
        <v>#VALUE!</v>
      </c>
      <c r="BT1790" s="63"/>
      <c r="BU1790" s="8">
        <v>0</v>
      </c>
      <c r="BV1790" s="58" t="e">
        <f>VLOOKUP(AQ1790,'[1]Harga &amp; Nama CSO'!$A$28:$D$31,4,0)*BP1790</f>
        <v>#N/A</v>
      </c>
    </row>
    <row r="1791" spans="41:74" x14ac:dyDescent="0.35">
      <c r="AO1791" s="39">
        <v>1789</v>
      </c>
      <c r="AP1791" s="63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55" t="e">
        <f>IFERROR(VLOOKUP(AQ1791,'[1]Harga &amp; Nama CSO'!$H$2:$N$22,2,FALSE),"")*AV1791</f>
        <v>#VALUE!</v>
      </c>
      <c r="BO1791" s="40"/>
      <c r="BP1791" s="4"/>
      <c r="BQ1791" s="62"/>
      <c r="BR1791" s="4"/>
      <c r="BS1791" s="57" t="e">
        <f t="shared" si="48"/>
        <v>#VALUE!</v>
      </c>
      <c r="BT1791" s="63"/>
      <c r="BU1791" s="8">
        <v>0</v>
      </c>
      <c r="BV1791" s="58" t="e">
        <f>VLOOKUP(AQ1791,'[1]Harga &amp; Nama CSO'!$A$28:$D$31,4,0)*BP1791</f>
        <v>#N/A</v>
      </c>
    </row>
    <row r="1792" spans="41:74" x14ac:dyDescent="0.35">
      <c r="AO1792" s="39">
        <v>1790</v>
      </c>
      <c r="AP1792" s="63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55" t="e">
        <f>IFERROR(VLOOKUP(AQ1792,'[1]Harga &amp; Nama CSO'!$H$2:$N$22,2,FALSE),"")*AV1792</f>
        <v>#VALUE!</v>
      </c>
      <c r="BO1792" s="40"/>
      <c r="BP1792" s="4"/>
      <c r="BQ1792" s="62"/>
      <c r="BR1792" s="4"/>
      <c r="BS1792" s="57" t="e">
        <f t="shared" si="48"/>
        <v>#VALUE!</v>
      </c>
      <c r="BT1792" s="63"/>
      <c r="BU1792" s="8">
        <v>0</v>
      </c>
      <c r="BV1792" s="58" t="e">
        <f>VLOOKUP(AQ1792,'[1]Harga &amp; Nama CSO'!$A$28:$D$31,4,0)*BP1792</f>
        <v>#N/A</v>
      </c>
    </row>
    <row r="1793" spans="41:74" x14ac:dyDescent="0.35">
      <c r="AO1793" s="39">
        <v>1791</v>
      </c>
      <c r="AP1793" s="63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55" t="e">
        <f>IFERROR(VLOOKUP(AQ1793,'[1]Harga &amp; Nama CSO'!$H$2:$N$22,2,FALSE),"")*AV1793</f>
        <v>#VALUE!</v>
      </c>
      <c r="BO1793" s="40"/>
      <c r="BP1793" s="4"/>
      <c r="BQ1793" s="62"/>
      <c r="BR1793" s="4"/>
      <c r="BS1793" s="57" t="e">
        <f t="shared" si="48"/>
        <v>#VALUE!</v>
      </c>
      <c r="BT1793" s="63"/>
      <c r="BU1793" s="8">
        <v>0</v>
      </c>
      <c r="BV1793" s="58" t="e">
        <f>VLOOKUP(AQ1793,'[1]Harga &amp; Nama CSO'!$A$28:$D$31,4,0)*BP1793</f>
        <v>#N/A</v>
      </c>
    </row>
    <row r="1794" spans="41:74" x14ac:dyDescent="0.35">
      <c r="AO1794" s="39">
        <v>1792</v>
      </c>
      <c r="AP1794" s="63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55" t="e">
        <f>IFERROR(VLOOKUP(AQ1794,'[1]Harga &amp; Nama CSO'!$H$2:$N$22,2,FALSE),"")*AV1794</f>
        <v>#VALUE!</v>
      </c>
      <c r="BO1794" s="40"/>
      <c r="BP1794" s="4"/>
      <c r="BQ1794" s="62"/>
      <c r="BR1794" s="4"/>
      <c r="BS1794" s="57" t="e">
        <f t="shared" si="48"/>
        <v>#VALUE!</v>
      </c>
      <c r="BT1794" s="63"/>
      <c r="BU1794" s="8">
        <v>0</v>
      </c>
      <c r="BV1794" s="58" t="e">
        <f>VLOOKUP(AQ1794,'[1]Harga &amp; Nama CSO'!$A$28:$D$31,4,0)*BP1794</f>
        <v>#N/A</v>
      </c>
    </row>
    <row r="1795" spans="41:74" x14ac:dyDescent="0.35">
      <c r="AO1795" s="39">
        <v>1793</v>
      </c>
      <c r="AP1795" s="63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55" t="e">
        <f>IFERROR(VLOOKUP(AQ1795,'[1]Harga &amp; Nama CSO'!$H$2:$N$22,2,FALSE),"")*AV1795</f>
        <v>#VALUE!</v>
      </c>
      <c r="BO1795" s="40"/>
      <c r="BP1795" s="4"/>
      <c r="BQ1795" s="62"/>
      <c r="BR1795" s="4"/>
      <c r="BS1795" s="57" t="e">
        <f t="shared" ref="BS1795:BS1802" si="49">BN1795-BQ1795</f>
        <v>#VALUE!</v>
      </c>
      <c r="BT1795" s="63"/>
      <c r="BU1795" s="8">
        <v>0</v>
      </c>
      <c r="BV1795" s="58" t="e">
        <f>VLOOKUP(AQ1795,'[1]Harga &amp; Nama CSO'!$A$28:$D$31,4,0)*BP1795</f>
        <v>#N/A</v>
      </c>
    </row>
    <row r="1796" spans="41:74" x14ac:dyDescent="0.35">
      <c r="AO1796" s="39">
        <v>1794</v>
      </c>
      <c r="AP1796" s="63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55" t="e">
        <f>IFERROR(VLOOKUP(AQ1796,'[1]Harga &amp; Nama CSO'!$H$2:$N$22,2,FALSE),"")*AV1796</f>
        <v>#VALUE!</v>
      </c>
      <c r="BO1796" s="40"/>
      <c r="BP1796" s="4"/>
      <c r="BQ1796" s="62"/>
      <c r="BR1796" s="4"/>
      <c r="BS1796" s="57" t="e">
        <f t="shared" si="49"/>
        <v>#VALUE!</v>
      </c>
      <c r="BT1796" s="63"/>
      <c r="BU1796" s="8">
        <v>0</v>
      </c>
      <c r="BV1796" s="58" t="e">
        <f>VLOOKUP(AQ1796,'[1]Harga &amp; Nama CSO'!$A$28:$D$31,4,0)*BP1796</f>
        <v>#N/A</v>
      </c>
    </row>
    <row r="1797" spans="41:74" x14ac:dyDescent="0.35">
      <c r="AO1797" s="39">
        <v>1795</v>
      </c>
      <c r="AP1797" s="63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55" t="e">
        <f>IFERROR(VLOOKUP(AQ1797,'[1]Harga &amp; Nama CSO'!$H$2:$N$22,2,FALSE),"")*AV1797</f>
        <v>#VALUE!</v>
      </c>
      <c r="BO1797" s="40"/>
      <c r="BP1797" s="4"/>
      <c r="BQ1797" s="62"/>
      <c r="BR1797" s="4"/>
      <c r="BS1797" s="57" t="e">
        <f t="shared" si="49"/>
        <v>#VALUE!</v>
      </c>
      <c r="BT1797" s="63"/>
      <c r="BU1797" s="8">
        <v>0</v>
      </c>
      <c r="BV1797" s="58" t="e">
        <f>VLOOKUP(AQ1797,'[1]Harga &amp; Nama CSO'!$A$28:$D$31,4,0)*BP1797</f>
        <v>#N/A</v>
      </c>
    </row>
    <row r="1798" spans="41:74" x14ac:dyDescent="0.35">
      <c r="AO1798" s="39">
        <v>1796</v>
      </c>
      <c r="AP1798" s="63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55" t="e">
        <f>IFERROR(VLOOKUP(AQ1798,'[1]Harga &amp; Nama CSO'!$H$2:$N$22,2,FALSE),"")*AV1798</f>
        <v>#VALUE!</v>
      </c>
      <c r="BO1798" s="40"/>
      <c r="BP1798" s="4"/>
      <c r="BQ1798" s="62"/>
      <c r="BR1798" s="4"/>
      <c r="BS1798" s="57" t="e">
        <f t="shared" si="49"/>
        <v>#VALUE!</v>
      </c>
      <c r="BT1798" s="63"/>
      <c r="BU1798" s="8">
        <v>0</v>
      </c>
      <c r="BV1798" s="58" t="e">
        <f>VLOOKUP(AQ1798,'[1]Harga &amp; Nama CSO'!$A$28:$D$31,4,0)*BP1798</f>
        <v>#N/A</v>
      </c>
    </row>
    <row r="1799" spans="41:74" x14ac:dyDescent="0.35">
      <c r="AO1799" s="39">
        <v>1797</v>
      </c>
      <c r="AP1799" s="63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55" t="e">
        <f>IFERROR(VLOOKUP(AQ1799,'[1]Harga &amp; Nama CSO'!$H$2:$N$22,2,FALSE),"")*AV1799</f>
        <v>#VALUE!</v>
      </c>
      <c r="BO1799" s="40"/>
      <c r="BP1799" s="4"/>
      <c r="BQ1799" s="62"/>
      <c r="BR1799" s="4"/>
      <c r="BS1799" s="57" t="e">
        <f t="shared" si="49"/>
        <v>#VALUE!</v>
      </c>
      <c r="BT1799" s="63"/>
      <c r="BU1799" s="8">
        <v>0</v>
      </c>
      <c r="BV1799" s="58" t="e">
        <f>VLOOKUP(AQ1799,'[1]Harga &amp; Nama CSO'!$A$28:$D$31,4,0)*BP1799</f>
        <v>#N/A</v>
      </c>
    </row>
    <row r="1800" spans="41:74" x14ac:dyDescent="0.35">
      <c r="AO1800" s="39">
        <v>1798</v>
      </c>
      <c r="AP1800" s="63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55" t="e">
        <f>IFERROR(VLOOKUP(AQ1800,'[1]Harga &amp; Nama CSO'!$H$2:$N$22,2,FALSE),"")*AV1800</f>
        <v>#VALUE!</v>
      </c>
      <c r="BO1800" s="40"/>
      <c r="BP1800" s="4"/>
      <c r="BQ1800" s="62"/>
      <c r="BR1800" s="4"/>
      <c r="BS1800" s="57" t="e">
        <f t="shared" si="49"/>
        <v>#VALUE!</v>
      </c>
      <c r="BT1800" s="63"/>
      <c r="BU1800" s="8">
        <v>0</v>
      </c>
      <c r="BV1800" s="58" t="e">
        <f>VLOOKUP(AQ1800,'[1]Harga &amp; Nama CSO'!$A$28:$D$31,4,0)*BP1800</f>
        <v>#N/A</v>
      </c>
    </row>
    <row r="1801" spans="41:74" x14ac:dyDescent="0.35">
      <c r="AO1801" s="39">
        <v>1799</v>
      </c>
      <c r="AP1801" s="63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55" t="e">
        <f>IFERROR(VLOOKUP(AQ1801,'[1]Harga &amp; Nama CSO'!$H$2:$N$22,2,FALSE),"")*AV1801</f>
        <v>#VALUE!</v>
      </c>
      <c r="BO1801" s="40"/>
      <c r="BP1801" s="4"/>
      <c r="BQ1801" s="62"/>
      <c r="BR1801" s="4"/>
      <c r="BS1801" s="57" t="e">
        <f t="shared" si="49"/>
        <v>#VALUE!</v>
      </c>
      <c r="BT1801" s="63"/>
      <c r="BU1801" s="8">
        <v>0</v>
      </c>
      <c r="BV1801" s="58" t="e">
        <f>VLOOKUP(AQ1801,'[1]Harga &amp; Nama CSO'!$A$28:$D$31,4,0)*BP1801</f>
        <v>#N/A</v>
      </c>
    </row>
    <row r="1802" spans="41:74" x14ac:dyDescent="0.35">
      <c r="AO1802" s="39">
        <v>1800</v>
      </c>
      <c r="AP1802" s="63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55" t="e">
        <f>IFERROR(VLOOKUP(AQ1802,'[1]Harga &amp; Nama CSO'!$H$2:$N$22,2,FALSE),"")*AV1802</f>
        <v>#VALUE!</v>
      </c>
      <c r="BO1802" s="40"/>
      <c r="BP1802" s="4"/>
      <c r="BQ1802" s="62"/>
      <c r="BR1802" s="4"/>
      <c r="BS1802" s="57" t="e">
        <f t="shared" si="49"/>
        <v>#VALUE!</v>
      </c>
      <c r="BT1802" s="63"/>
      <c r="BU1802" s="8">
        <v>0</v>
      </c>
      <c r="BV1802" s="58" t="e">
        <f>VLOOKUP(AQ1802,'[1]Harga &amp; Nama CSO'!$A$28:$D$31,4,0)*BP1802</f>
        <v>#N/A</v>
      </c>
    </row>
  </sheetData>
  <mergeCells count="9"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AJ19:AL22">
    <cfRule type="cellIs" dxfId="12" priority="2" operator="lessThan">
      <formula>1</formula>
    </cfRule>
  </conditionalFormatting>
  <conditionalFormatting sqref="AJ4:AM7">
    <cfRule type="cellIs" dxfId="11" priority="22" operator="lessThan">
      <formula>1</formula>
    </cfRule>
  </conditionalFormatting>
  <conditionalFormatting sqref="AS3:AS79">
    <cfRule type="duplicateValues" dxfId="10" priority="8"/>
  </conditionalFormatting>
  <conditionalFormatting sqref="AS72:AS79">
    <cfRule type="duplicateValues" dxfId="9" priority="9"/>
  </conditionalFormatting>
  <conditionalFormatting sqref="AS80:AS92">
    <cfRule type="duplicateValues" dxfId="8" priority="7"/>
  </conditionalFormatting>
  <conditionalFormatting sqref="AS93:AS110">
    <cfRule type="duplicateValues" dxfId="7" priority="4"/>
  </conditionalFormatting>
  <conditionalFormatting sqref="AS111:AS118">
    <cfRule type="duplicateValues" dxfId="6" priority="3"/>
  </conditionalFormatting>
  <conditionalFormatting sqref="AS128:AS1802">
    <cfRule type="duplicateValues" dxfId="5" priority="17"/>
  </conditionalFormatting>
  <conditionalFormatting sqref="BU3:BU1802">
    <cfRule type="cellIs" dxfId="4" priority="21" operator="lessThan">
      <formula>99999</formula>
    </cfRule>
  </conditionalFormatting>
  <conditionalFormatting sqref="BV3:BV1802">
    <cfRule type="cellIs" dxfId="3" priority="18" operator="lessThan">
      <formula>200000</formula>
    </cfRule>
    <cfRule type="cellIs" dxfId="2" priority="19" operator="lessThan">
      <formula>1</formula>
    </cfRule>
  </conditionalFormatting>
  <conditionalFormatting sqref="AS119:AS127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2026-06-20T04:32:44Z</dcterms:modified>
</cp:coreProperties>
</file>