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8574FAFD-0FC0-4720-A789-762EA532BDF8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1" r:id="rId13"/>
    <pivotCache cacheId="2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D14" i="4" s="1"/>
  <c r="V14" i="8"/>
  <c r="F14" i="4" s="1"/>
  <c r="R15" i="8"/>
  <c r="B15" i="4" s="1"/>
  <c r="S15" i="8"/>
  <c r="C15" i="4" s="1"/>
  <c r="T15" i="8"/>
  <c r="D15" i="4" s="1"/>
  <c r="U15" i="8"/>
  <c r="E15" i="4" s="1"/>
  <c r="V15" i="8"/>
  <c r="F15" i="4" s="1"/>
  <c r="R16" i="8"/>
  <c r="B16" i="4" s="1"/>
  <c r="S16" i="8"/>
  <c r="C16" i="4" s="1"/>
  <c r="T16" i="8"/>
  <c r="D16" i="4"/>
  <c r="U16" i="8"/>
  <c r="E16" i="4" s="1"/>
  <c r="V16" i="8"/>
  <c r="F16" i="4" s="1"/>
  <c r="R17" i="8"/>
  <c r="B17" i="4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C19" i="4" s="1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F20" i="4" s="1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G16" i="2" l="1"/>
  <c r="D13" i="1"/>
  <c r="D9" i="1"/>
  <c r="AA21" i="8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<sst xmlns="http://schemas.openxmlformats.org/spreadsheetml/2006/main" count="1139" uniqueCount="288">
  <si>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</si>
  <si>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</si>
  <si>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</si>
  <si>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</si>
  <si>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</si>
  <si>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</si>
  <si>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</si>
  <si>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</si>
  <si>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</si>
  <si>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</si>
  <si>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</si>
  <si>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</si>
  <si>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</si>
  <si>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</si>
  <si>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</si>
  <si>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</si>
  <si>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</si>
  <si>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</si>
  <si>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</si>
  <si>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</si>
  <si>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</si>
  <si>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</si>
  <si>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</si>
  <si>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</si>
  <si>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</si>
  <si>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</si>
  <si>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</si>
  <si>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</si>
  <si>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</si>
  <si>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</si>
  <si>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</si>
  <si>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</si>
  <si>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</si>
  <si>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</si>
  <si>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</si>
  <si>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</si>
  <si>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</si>
  <si>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</si>
  <si>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</si>
  <si>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</si>
  <si>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</si>
  <si>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</si>
  <si>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</si>
  <si>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</si>
  <si>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</si>
  <si>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</si>
  <si>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</si>
  <si>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</si>
  <si>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</si>
  <si>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</si>
  <si>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</si>
  <si>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</si>
  <si>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</si>
  <si>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</si>
  <si>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</si>
  <si>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</si>
  <si>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</si>
  <si>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</si>
  <si>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</si>
  <si>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</si>
  <si>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</si>
  <si>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</si>
  <si>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</si>
  <si>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</si>
  <si>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</si>
  <si>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</si>
  <si>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</si>
  <si>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</si>
  <si>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</si>
  <si>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</si>
  <si>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</si>
  <si>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</si>
  <si>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</si>
  <si>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</si>
  <si>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</si>
  <si>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</si>
  <si>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</si>
  <si>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</si>
  <si>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</si>
  <si>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</si>
  <si>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</si>
  <si>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</si>
  <si>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</si>
  <si>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</si>
  <si>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</si>
  <si>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</si>
  <si>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</si>
  <si>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</si>
  <si>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</si>
  <si>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</si>
  <si>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</si>
  <si>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</si>
  <si>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</si>
  <si>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</si>
  <si>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</si>
  <si>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</si>
  <si>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</si>
  <si>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</si>
  <si>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</si>
  <si>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</si>
  <si>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</si>
  <si>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</si>
  <si>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</si>
  <si>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</si>
  <si>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</si>
  <si>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</si>
  <si>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</si>
  <si>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</si>
  <si>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</si>
  <si>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</si>
  <si>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</si>
  <si>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</si>
  <si>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</si>
  <si>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</si>
  <si>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</si>
  <si>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</si>
  <si>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</si>
  <si>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</si>
  <si>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</si>
  <si>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</si>
  <si>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</si>
  <si>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</si>
  <si>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</si>
  <si>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</si>
  <si>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</si>
  <si>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</si>
  <si>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</si>
  <si>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</si>
  <si>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</si>
  <si>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</si>
  <si>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</si>
  <si>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</si>
  <si>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</si>
  <si>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</si>
  <si>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</si>
  <si>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</si>
  <si>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</si>
  <si>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</si>
  <si>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</si>
  <si>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</si>
  <si>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</si>
  <si>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</si>
  <si>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</si>
  <si>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</si>
  <si>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</si>
  <si>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</si>
  <si>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</si>
  <si>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</si>
  <si>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</si>
  <si>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</si>
  <si>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</si>
  <si>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</si>
  <si>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</si>
  <si>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</si>
  <si>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</si>
  <si>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</si>
  <si>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</si>
  <si>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</si>
  <si>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</si>
  <si>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</si>
  <si>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</si>
  <si>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</si>
  <si>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</si>
  <si>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</si>
  <si>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</si>
  <si>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</si>
  <si>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</si>
  <si>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</si>
  <si>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</si>
  <si>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</si>
  <si>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</si>
  <si>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</si>
  <si>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</si>
  <si>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</si>
  <si>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</si>
  <si>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</si>
  <si>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</si>
  <si>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</si>
  <si>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</si>
  <si>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</si>
  <si>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</si>
  <si>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</si>
  <si>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</si>
  <si>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</si>
  <si>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</si>
  <si>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</si>
  <si>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</si>
  <si>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</si>
  <si>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</si>
  <si>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</si>
  <si>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</si>
  <si>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</si>
  <si>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</si>
  <si>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</si>
  <si>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</si>
  <si>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</si>
  <si>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</si>
  <si>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</si>
  <si>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</si>
  <si>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</si>
  <si>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</si>
  <si>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</si>
  <si>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</si>
  <si>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</si>
  <si>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</si>
  <si>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</si>
  <si>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</si>
  <si>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</si>
  <si>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</si>
  <si>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</si>
  <si>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</si>
  <si>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</si>
  <si>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</si>
  <si>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</si>
  <si>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</si>
  <si>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</si>
  <si>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</si>
  <si>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</si>
  <si>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</si>
  <si>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</si>
  <si>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</si>
  <si>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</si>
  <si>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</si>
  <si>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</si>
  <si>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</si>
  <si>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</si>
  <si>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</si>
  <si>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</si>
  <si>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</si>
  <si>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</si>
  <si>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</si>
  <si>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</si>
  <si>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</si>
  <si>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</si>
  <si>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</si>
  <si>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</si>
  <si>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</si>
  <si>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</si>
  <si>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</si>
  <si>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</si>
  <si>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</si>
  <si>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</si>
  <si>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</si>
  <si>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</si>
  <si>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</si>
  <si>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</si>
  <si>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</si>
  <si>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</si>
  <si>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</si>
  <si>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</si>
  <si>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</si>
  <si>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</si>
  <si>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</si>
  <si>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</si>
  <si>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</si>
  <si>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</si>
  <si>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</si>
  <si>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</si>
  <si>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</si>
  <si>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</si>
  <si>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</si>
  <si>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</si>
  <si>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</si>
  <si>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</si>
  <si>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</si>
  <si>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</si>
  <si>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</si>
  <si>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</si>
  <si>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</si>
  <si>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</si>
  <si>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</si>
  <si>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</si>
  <si>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</si>
  <si>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</si>
  <si>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</si>
  <si>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</si>
  <si>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</si>
  <si>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</si>
  <si>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</si>
  <si>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</si>
  <si>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</si>
  <si>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</si>
  <si>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</si>
  <si>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</si>
  <si>
    <t>LUNAS</t>
  </si>
  <si>
    <t>RE phonestore</t>
  </si>
  <si>
    <t>RAYHAN CELL</t>
  </si>
  <si>
    <t>MANDIRI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</si>
</sst>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200</v>
      </c>
      <c r="C3">
        <f>index!C4</f>
        <v>0</v>
      </c>
      <c r="D3" s="1">
        <f>B3+C3</f>
        <v>200</v>
      </c>
    </row>
    <row r="4" spans="1:4" x14ac:dyDescent="0.35">
      <c r="A4" t="s">
        <v>5</v>
      </c>
      <c r="B4">
        <f>index!B5</f>
        <v>628</v>
      </c>
      <c r="C4">
        <f>index!C5</f>
        <v>465</v>
      </c>
      <c r="D4" s="1">
        <f t="shared" ref="D4:D21" si="0">B4+C4</f>
        <v>1093</v>
      </c>
    </row>
    <row r="5" spans="1:4" x14ac:dyDescent="0.35">
      <c r="A5" t="s">
        <v>6</v>
      </c>
      <c r="B5">
        <f>index!B6</f>
        <v>570</v>
      </c>
      <c r="C5">
        <f>index!C6</f>
        <v>11</v>
      </c>
      <c r="D5" s="1">
        <f t="shared" si="0"/>
        <v>581</v>
      </c>
    </row>
    <row r="6" spans="1:4" x14ac:dyDescent="0.35">
      <c r="A6" t="s">
        <v>7</v>
      </c>
      <c r="B6">
        <f>index!B7</f>
        <v>0</v>
      </c>
      <c r="C6">
        <f>index!C7</f>
        <v>5</v>
      </c>
      <c r="D6" s="1">
        <f t="shared" si="0"/>
        <v>5</v>
      </c>
    </row>
    <row r="7" spans="1:4" x14ac:dyDescent="0.35">
      <c r="A7" t="s">
        <v>205</v>
      </c>
      <c r="B7">
        <f>index!B8</f>
        <v>389</v>
      </c>
      <c r="C7">
        <f>index!C8</f>
        <v>0</v>
      </c>
      <c r="D7" s="1">
        <f t="shared" si="0"/>
        <v>389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900</v>
      </c>
      <c r="C9">
        <f>index!C10</f>
        <v>0</v>
      </c>
      <c r="D9" s="1">
        <f t="shared" si="0"/>
        <v>900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279</v>
      </c>
      <c r="C11">
        <f>index!C12</f>
        <v>845</v>
      </c>
      <c r="D11" s="1">
        <f t="shared" si="0"/>
        <v>1124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182</v>
      </c>
      <c r="D13" s="1">
        <f t="shared" si="0"/>
        <v>182</v>
      </c>
    </row>
    <row r="14" spans="1:4" x14ac:dyDescent="0.35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35">
      <c r="A15" t="s">
        <v>14</v>
      </c>
      <c r="B15">
        <f>index!B16</f>
        <v>441</v>
      </c>
      <c r="C15">
        <f>index!C16</f>
        <v>15</v>
      </c>
      <c r="D15" s="1">
        <f t="shared" si="0"/>
        <v>456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81</v>
      </c>
      <c r="D17" s="1">
        <f t="shared" si="0"/>
        <v>81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75</v>
      </c>
      <c r="C20">
        <f>index!C21</f>
        <v>961</v>
      </c>
      <c r="D20" s="1">
        <f t="shared" si="0"/>
        <v>1036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0</v>
      </c>
      <c r="C2">
        <f>index!H5</f>
        <v>0</v>
      </c>
      <c r="D2">
        <f>index!I5</f>
        <v>0</v>
      </c>
      <c r="E2">
        <f>index!J5</f>
        <v>0</v>
      </c>
      <c r="G2">
        <f>SUM(B2:F2)</f>
        <v>0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25</v>
      </c>
      <c r="C4">
        <f>index!H7</f>
        <v>63</v>
      </c>
      <c r="D4">
        <f>index!I7</f>
        <v>109</v>
      </c>
      <c r="E4">
        <f>index!J7</f>
        <v>183</v>
      </c>
      <c r="G4">
        <f t="shared" si="0"/>
        <v>380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5</v>
      </c>
      <c r="G5">
        <f t="shared" si="0"/>
        <v>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150</v>
      </c>
      <c r="D8">
        <f>index!I11</f>
        <v>23</v>
      </c>
      <c r="E8">
        <f>index!J11</f>
        <v>0</v>
      </c>
      <c r="G8">
        <f t="shared" si="0"/>
        <v>273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6</v>
      </c>
      <c r="E9">
        <f>index!J12</f>
        <v>0</v>
      </c>
      <c r="G9">
        <f t="shared" si="0"/>
        <v>6</v>
      </c>
    </row>
    <row r="10" spans="1:7" x14ac:dyDescent="0.35">
      <c r="A10" t="s">
        <v>32</v>
      </c>
      <c r="B10">
        <f>index!G13</f>
        <v>18</v>
      </c>
      <c r="C10">
        <f>index!H13</f>
        <v>110</v>
      </c>
      <c r="D10">
        <f>index!I13</f>
        <v>73</v>
      </c>
      <c r="E10">
        <f>index!J13</f>
        <v>210</v>
      </c>
      <c r="G10">
        <f t="shared" si="0"/>
        <v>411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9</v>
      </c>
      <c r="C12">
        <f>index!H15</f>
        <v>9</v>
      </c>
      <c r="D12">
        <f>index!I15</f>
        <v>31</v>
      </c>
      <c r="E12">
        <f>index!J15</f>
        <v>6</v>
      </c>
      <c r="G12">
        <f t="shared" si="0"/>
        <v>55</v>
      </c>
    </row>
    <row r="13" spans="1:7" x14ac:dyDescent="0.35">
      <c r="A13" t="s">
        <v>35</v>
      </c>
      <c r="B13">
        <f>index!G16</f>
        <v>18</v>
      </c>
      <c r="C13">
        <f>index!H16</f>
        <v>64</v>
      </c>
      <c r="D13">
        <f>index!I16</f>
        <v>93</v>
      </c>
      <c r="E13">
        <f>index!J16</f>
        <v>55</v>
      </c>
      <c r="G13">
        <f t="shared" si="0"/>
        <v>230</v>
      </c>
    </row>
    <row r="14" spans="1:7" x14ac:dyDescent="0.35">
      <c r="A14" t="s">
        <v>36</v>
      </c>
      <c r="B14">
        <f>index!G17</f>
        <v>30</v>
      </c>
      <c r="C14">
        <f>index!H17</f>
        <v>51</v>
      </c>
      <c r="D14">
        <f>index!I17</f>
        <v>27</v>
      </c>
      <c r="E14">
        <f>index!J17</f>
        <v>72</v>
      </c>
      <c r="G14">
        <f t="shared" si="0"/>
        <v>180</v>
      </c>
    </row>
    <row r="15" spans="1:7" x14ac:dyDescent="0.35">
      <c r="A15" t="s">
        <v>15</v>
      </c>
      <c r="B15">
        <f>index!G18</f>
        <v>15</v>
      </c>
      <c r="C15">
        <f>index!H18</f>
        <v>10</v>
      </c>
      <c r="D15">
        <f>index!I18</f>
        <v>4</v>
      </c>
      <c r="E15">
        <f>index!J18</f>
        <v>20</v>
      </c>
      <c r="G15">
        <f t="shared" si="0"/>
        <v>49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25</v>
      </c>
      <c r="C19">
        <f>index!H22</f>
        <v>22</v>
      </c>
      <c r="D19">
        <f>index!I22</f>
        <v>18</v>
      </c>
      <c r="E19">
        <f>index!J22</f>
        <v>58</v>
      </c>
      <c r="G19">
        <f t="shared" si="0"/>
        <v>123</v>
      </c>
    </row>
    <row r="20" spans="1:7" x14ac:dyDescent="0.35">
      <c r="A20" t="s">
        <v>20</v>
      </c>
      <c r="B20">
        <f>index!G23</f>
        <v>15</v>
      </c>
      <c r="C20">
        <f>index!H23</f>
        <v>0</v>
      </c>
      <c r="D20">
        <f>index!I23</f>
        <v>3</v>
      </c>
      <c r="E20">
        <f>index!J23</f>
        <v>54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266</v>
      </c>
      <c r="C23">
        <f t="shared" ref="C23:G23" si="1">SUM(C2:C22)</f>
        <v>493</v>
      </c>
      <c r="D23">
        <f t="shared" si="1"/>
        <v>396</v>
      </c>
      <c r="E23">
        <f t="shared" si="1"/>
        <v>663</v>
      </c>
      <c r="F23">
        <f t="shared" si="1"/>
        <v>0</v>
      </c>
      <c r="G23">
        <f t="shared" si="1"/>
        <v>1818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29759000</v>
      </c>
    </row>
    <row r="3" spans="1:2" x14ac:dyDescent="0.35">
      <c r="A3" t="s">
        <v>40</v>
      </c>
      <c r="B3">
        <f>index!O4</f>
        <v>45713000</v>
      </c>
    </row>
    <row r="4" spans="1:2" x14ac:dyDescent="0.35">
      <c r="A4" t="s">
        <v>41</v>
      </c>
      <c r="B4">
        <f>index!O5</f>
        <v>38942000</v>
      </c>
    </row>
    <row r="5" spans="1:2" x14ac:dyDescent="0.35">
      <c r="A5" t="s">
        <v>42</v>
      </c>
      <c r="B5">
        <f>index!O6</f>
        <v>47595000</v>
      </c>
    </row>
    <row r="6" spans="1:2" x14ac:dyDescent="0.35">
      <c r="A6" t="s">
        <v>43</v>
      </c>
      <c r="B6">
        <f>SUM(B2:B5)</f>
        <v>162009000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12-Jul</v>
      </c>
      <c r="C1" t="s">
        <v>47</v>
      </c>
      <c r="D1" s="66" t="str">
        <f ca="1">"Parhan " &amp; TEXT(TODAY()-1, "dd-mmm")</f>
        <v>Parhan 12-Jul</v>
      </c>
      <c r="E1" t="s">
        <v>39</v>
      </c>
      <c r="F1" s="66" t="str">
        <f ca="1">"Enden " &amp; TEXT(TODAY()-1, "dd-mmm")</f>
        <v>Enden 12-Jul</v>
      </c>
      <c r="G1" t="s">
        <v>48</v>
      </c>
      <c r="H1" s="66" t="str">
        <f ca="1">"Pebrian " &amp; TEXT(TODAY()-1, "dd-mmm")</f>
        <v>Pebrian 12-Jul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364</v>
      </c>
      <c r="D3" s="70">
        <f>index!T5</f>
        <v>0</v>
      </c>
      <c r="E3">
        <f>index!U5</f>
        <v>255</v>
      </c>
      <c r="F3" s="70">
        <f>index!V5</f>
        <v>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1261</v>
      </c>
      <c r="L3">
        <v>30000</v>
      </c>
      <c r="M3">
        <f t="shared" ref="M3:M5" si="2">J3*L3</f>
        <v>0</v>
      </c>
      <c r="N3">
        <f>K3*L3</f>
        <v>37830000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119</v>
      </c>
      <c r="D4" s="70">
        <f>index!T6</f>
        <v>0</v>
      </c>
      <c r="E4">
        <f>index!U6</f>
        <v>166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474</v>
      </c>
      <c r="L4">
        <v>25000</v>
      </c>
      <c r="M4">
        <f t="shared" si="2"/>
        <v>0</v>
      </c>
      <c r="N4">
        <f>K4*L4</f>
        <v>11850000</v>
      </c>
      <c r="P4" t="s">
        <v>30</v>
      </c>
      <c r="Q4">
        <f>index!DG6</f>
        <v>0</v>
      </c>
      <c r="R4">
        <f>index!DH6</f>
        <v>5</v>
      </c>
      <c r="S4">
        <f>index!DI6</f>
        <v>0</v>
      </c>
      <c r="T4">
        <f>index!DJ6</f>
        <v>0</v>
      </c>
      <c r="U4">
        <f>index!DK6</f>
        <v>5</v>
      </c>
      <c r="V4">
        <f>index!DL6</f>
        <v>0</v>
      </c>
      <c r="W4">
        <f>index!DM6</f>
        <v>4</v>
      </c>
      <c r="X4">
        <f>index!DN6</f>
        <v>0</v>
      </c>
      <c r="Y4">
        <f>index!DO6</f>
        <v>0</v>
      </c>
      <c r="Z4">
        <f>index!DP6</f>
        <v>4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5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10</v>
      </c>
      <c r="L5">
        <v>40000</v>
      </c>
      <c r="M5">
        <f t="shared" si="2"/>
        <v>0</v>
      </c>
      <c r="N5">
        <f>K5*L5</f>
        <v>400000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5</v>
      </c>
      <c r="X5">
        <f>index!DN7</f>
        <v>0</v>
      </c>
      <c r="Y5">
        <f>index!DO7</f>
        <v>0</v>
      </c>
      <c r="Z5">
        <f>index!DP7</f>
        <v>5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9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70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483</v>
      </c>
      <c r="D7" s="70">
        <f t="shared" si="3"/>
        <v>0</v>
      </c>
      <c r="E7">
        <f t="shared" si="3"/>
        <v>426</v>
      </c>
      <c r="F7" s="70">
        <f t="shared" si="3"/>
        <v>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1745</v>
      </c>
      <c r="L7"/>
      <c r="M7">
        <f>SUM(M2:M5)</f>
        <v>0</v>
      </c>
      <c r="N7">
        <f>SUM(N2:N5)</f>
        <v>50080000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9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70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238</v>
      </c>
      <c r="D10" s="70">
        <f>index!T10</f>
        <v>0</v>
      </c>
      <c r="E10">
        <f>index!U10</f>
        <v>600</v>
      </c>
      <c r="F10" s="70">
        <f>index!V10</f>
        <v>0</v>
      </c>
      <c r="G10">
        <f>index!W10</f>
        <v>189</v>
      </c>
      <c r="H10">
        <f>index!X10</f>
        <v>0</v>
      </c>
      <c r="I10">
        <f>index!Y10</f>
        <v>600</v>
      </c>
      <c r="J10" s="70">
        <f>B10+D10+F10+H10</f>
        <v>0</v>
      </c>
      <c r="K10">
        <f>SUM(C10:I10)</f>
        <v>1627</v>
      </c>
      <c r="L10">
        <v>600</v>
      </c>
      <c r="M10">
        <f>K10*L10</f>
        <v>976200</v>
      </c>
      <c r="N10">
        <f>K10*L10</f>
        <v>976200</v>
      </c>
      <c r="P10" t="s">
        <v>8</v>
      </c>
      <c r="Q10">
        <f>index!DG12</f>
        <v>138</v>
      </c>
      <c r="R10">
        <f>index!DH12</f>
        <v>100</v>
      </c>
      <c r="S10">
        <f>index!DI12</f>
        <v>0</v>
      </c>
      <c r="T10">
        <f>index!DJ12</f>
        <v>0</v>
      </c>
      <c r="U10">
        <f>index!DK12</f>
        <v>238</v>
      </c>
      <c r="V10">
        <f>index!DL12</f>
        <v>450</v>
      </c>
      <c r="W10">
        <f>index!DM12</f>
        <v>150</v>
      </c>
      <c r="X10">
        <f>index!DN12</f>
        <v>0</v>
      </c>
      <c r="Y10">
        <f>index!DO12</f>
        <v>0</v>
      </c>
      <c r="Z10">
        <f>index!DP12</f>
        <v>600</v>
      </c>
      <c r="AA10">
        <f>index!DQ12</f>
        <v>162</v>
      </c>
      <c r="AB10">
        <f>index!DR12</f>
        <v>27</v>
      </c>
      <c r="AC10">
        <f>index!DS12</f>
        <v>0</v>
      </c>
      <c r="AD10">
        <f>index!DT12</f>
        <v>0</v>
      </c>
      <c r="AE10">
        <f>index!DU12</f>
        <v>189</v>
      </c>
      <c r="AF10">
        <f>index!DV12</f>
        <v>150</v>
      </c>
      <c r="AG10">
        <f>index!DW12</f>
        <v>450</v>
      </c>
      <c r="AH10">
        <f>index!DX12</f>
        <v>0</v>
      </c>
      <c r="AI10">
        <f>index!DY12</f>
        <v>0</v>
      </c>
      <c r="AJ10">
        <f>index!DZ12</f>
        <v>600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25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56</v>
      </c>
      <c r="L11">
        <v>22500</v>
      </c>
      <c r="M11">
        <f t="shared" ref="M11:M22" si="6">K11*L11</f>
        <v>1260000</v>
      </c>
      <c r="N11">
        <f t="shared" ref="N11:N22" si="7">K11*L11</f>
        <v>1260000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4</v>
      </c>
      <c r="AC11">
        <f>index!DS13</f>
        <v>0</v>
      </c>
      <c r="AD11">
        <f>index!DT13</f>
        <v>0</v>
      </c>
      <c r="AE11">
        <f>index!DU13</f>
        <v>4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99</v>
      </c>
      <c r="D12" s="70">
        <f>index!T12</f>
        <v>0</v>
      </c>
      <c r="E12">
        <f>index!U12</f>
        <v>245</v>
      </c>
      <c r="F12" s="70">
        <f>index!V12</f>
        <v>6</v>
      </c>
      <c r="G12">
        <f>index!W12</f>
        <v>128</v>
      </c>
      <c r="H12">
        <f>index!X12</f>
        <v>0</v>
      </c>
      <c r="I12">
        <f>index!Y12</f>
        <v>22</v>
      </c>
      <c r="J12" s="70">
        <f t="shared" si="4"/>
        <v>6</v>
      </c>
      <c r="K12">
        <f t="shared" si="5"/>
        <v>500</v>
      </c>
      <c r="L12">
        <v>13500</v>
      </c>
      <c r="M12">
        <f t="shared" si="6"/>
        <v>6750000</v>
      </c>
      <c r="N12">
        <f t="shared" si="7"/>
        <v>6750000</v>
      </c>
      <c r="P12" t="s">
        <v>32</v>
      </c>
      <c r="Q12">
        <f>index!DG14</f>
        <v>0</v>
      </c>
      <c r="R12">
        <f>index!DH14</f>
        <v>12</v>
      </c>
      <c r="S12">
        <f>index!DI14</f>
        <v>0</v>
      </c>
      <c r="T12">
        <f>index!DJ14</f>
        <v>0</v>
      </c>
      <c r="U12">
        <f>index!DK14</f>
        <v>12</v>
      </c>
      <c r="V12">
        <f>index!DL14</f>
        <v>61</v>
      </c>
      <c r="W12">
        <f>index!DM14</f>
        <v>55</v>
      </c>
      <c r="X12">
        <f>index!DN14</f>
        <v>0</v>
      </c>
      <c r="Y12">
        <f>index!DO14</f>
        <v>0</v>
      </c>
      <c r="Z12">
        <f>index!DP14</f>
        <v>116</v>
      </c>
      <c r="AA12">
        <f>index!DQ14</f>
        <v>61</v>
      </c>
      <c r="AB12">
        <f>index!DR14</f>
        <v>22</v>
      </c>
      <c r="AC12">
        <f>index!DS14</f>
        <v>0</v>
      </c>
      <c r="AD12">
        <f>index!DT14</f>
        <v>0</v>
      </c>
      <c r="AE12">
        <f>index!DU14</f>
        <v>83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6</v>
      </c>
      <c r="C14">
        <f>index!S14</f>
        <v>33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107</v>
      </c>
      <c r="J14" s="70">
        <f t="shared" si="4"/>
        <v>6</v>
      </c>
      <c r="K14">
        <f t="shared" si="5"/>
        <v>283</v>
      </c>
      <c r="L14">
        <v>15400</v>
      </c>
      <c r="M14">
        <f t="shared" si="6"/>
        <v>4358200</v>
      </c>
      <c r="N14">
        <f t="shared" si="7"/>
        <v>4358200</v>
      </c>
      <c r="P14" t="s">
        <v>34</v>
      </c>
      <c r="Q14">
        <f>index!DG16</f>
        <v>0</v>
      </c>
      <c r="R14">
        <f>index!DH16</f>
        <v>6</v>
      </c>
      <c r="S14">
        <f>index!DI16</f>
        <v>0</v>
      </c>
      <c r="T14">
        <f>index!DJ16</f>
        <v>0</v>
      </c>
      <c r="U14">
        <f>index!DK16</f>
        <v>6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56</v>
      </c>
      <c r="AH14">
        <f>index!DX16</f>
        <v>0</v>
      </c>
      <c r="AI14">
        <f>index!DY16</f>
        <v>0</v>
      </c>
      <c r="AJ14">
        <f>index!DZ16</f>
        <v>56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10</v>
      </c>
      <c r="E15">
        <f>index!U15</f>
        <v>146</v>
      </c>
      <c r="F15" s="70">
        <f>index!V15</f>
        <v>0</v>
      </c>
      <c r="G15">
        <f>index!W15</f>
        <v>50</v>
      </c>
      <c r="H15">
        <f>index!X15</f>
        <v>0</v>
      </c>
      <c r="I15">
        <f>index!Y15</f>
        <v>50</v>
      </c>
      <c r="J15" s="70">
        <f t="shared" si="4"/>
        <v>10</v>
      </c>
      <c r="K15">
        <f t="shared" si="5"/>
        <v>268</v>
      </c>
      <c r="L15">
        <v>17250</v>
      </c>
      <c r="M15">
        <f t="shared" si="6"/>
        <v>4623000</v>
      </c>
      <c r="N15">
        <f t="shared" si="7"/>
        <v>4623000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70</v>
      </c>
      <c r="X15">
        <f>index!DN17</f>
        <v>0</v>
      </c>
      <c r="Y15">
        <f>index!DO17</f>
        <v>0</v>
      </c>
      <c r="Z15">
        <f>index!DP17</f>
        <v>146</v>
      </c>
      <c r="AA15">
        <f>index!DQ17</f>
        <v>37</v>
      </c>
      <c r="AB15">
        <f>index!DR17</f>
        <v>13</v>
      </c>
      <c r="AC15">
        <f>index!DS17</f>
        <v>0</v>
      </c>
      <c r="AD15">
        <f>index!DT17</f>
        <v>0</v>
      </c>
      <c r="AE15">
        <f>index!DU17</f>
        <v>50</v>
      </c>
      <c r="AF15">
        <f>index!DV17</f>
        <v>30</v>
      </c>
      <c r="AG15">
        <f>index!DW17</f>
        <v>20</v>
      </c>
      <c r="AH15">
        <f>index!DX17</f>
        <v>0</v>
      </c>
      <c r="AI15">
        <f>index!DY17</f>
        <v>0</v>
      </c>
      <c r="AJ15">
        <f>index!DZ17</f>
        <v>50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34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3</v>
      </c>
      <c r="J16" s="70">
        <f t="shared" si="4"/>
        <v>0</v>
      </c>
      <c r="K16">
        <f t="shared" si="5"/>
        <v>37</v>
      </c>
      <c r="L16">
        <v>23800</v>
      </c>
      <c r="M16">
        <f t="shared" si="6"/>
        <v>880600</v>
      </c>
      <c r="N16">
        <f t="shared" si="7"/>
        <v>880600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19</v>
      </c>
      <c r="X16">
        <f>index!DN18</f>
        <v>0</v>
      </c>
      <c r="Y16">
        <f>index!DO18</f>
        <v>0</v>
      </c>
      <c r="Z16">
        <f>index!DP18</f>
        <v>34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3</v>
      </c>
      <c r="AH16">
        <f>index!DX18</f>
        <v>0</v>
      </c>
      <c r="AI16">
        <f>index!DY18</f>
        <v>0</v>
      </c>
      <c r="AJ16">
        <f>index!DZ18</f>
        <v>3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21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27</v>
      </c>
      <c r="L17">
        <v>30000</v>
      </c>
      <c r="M17">
        <f t="shared" si="6"/>
        <v>810000</v>
      </c>
      <c r="N17">
        <f t="shared" si="7"/>
        <v>810000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5</v>
      </c>
      <c r="X17">
        <f>index!DN19</f>
        <v>0</v>
      </c>
      <c r="Y17">
        <f>index!DO19</f>
        <v>0</v>
      </c>
      <c r="Z17">
        <f>index!DP19</f>
        <v>21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6</v>
      </c>
      <c r="C21">
        <f>index!S21</f>
        <v>65</v>
      </c>
      <c r="D21" s="70">
        <f>index!T21</f>
        <v>10</v>
      </c>
      <c r="E21">
        <f>index!U21</f>
        <v>66</v>
      </c>
      <c r="F21" s="70">
        <f>index!V21</f>
        <v>0</v>
      </c>
      <c r="G21">
        <f>index!W21</f>
        <v>38</v>
      </c>
      <c r="H21">
        <f>index!X21</f>
        <v>0</v>
      </c>
      <c r="I21">
        <f>index!Y21</f>
        <v>27</v>
      </c>
      <c r="J21" s="70">
        <f t="shared" si="4"/>
        <v>16</v>
      </c>
      <c r="K21">
        <f t="shared" si="5"/>
        <v>206</v>
      </c>
      <c r="L21">
        <v>9600</v>
      </c>
      <c r="M21">
        <f t="shared" si="6"/>
        <v>1977600</v>
      </c>
      <c r="N21">
        <f t="shared" si="7"/>
        <v>1977600</v>
      </c>
      <c r="P21" t="s">
        <v>19</v>
      </c>
      <c r="Q21">
        <f>index!DG23</f>
        <v>30</v>
      </c>
      <c r="R21">
        <f>index!DH23</f>
        <v>35</v>
      </c>
      <c r="S21">
        <f>index!DI23</f>
        <v>0</v>
      </c>
      <c r="T21">
        <f>index!DJ23</f>
        <v>0</v>
      </c>
      <c r="U21">
        <f>index!DK23</f>
        <v>65</v>
      </c>
      <c r="V21">
        <f>index!DL23</f>
        <v>13</v>
      </c>
      <c r="W21">
        <f>index!DM23</f>
        <v>53</v>
      </c>
      <c r="X21">
        <f>index!DN23</f>
        <v>0</v>
      </c>
      <c r="Y21">
        <f>index!DO23</f>
        <v>0</v>
      </c>
      <c r="Z21">
        <f>index!DP23</f>
        <v>66</v>
      </c>
      <c r="AA21">
        <f>index!DQ23</f>
        <v>35</v>
      </c>
      <c r="AB21">
        <f>index!DR23</f>
        <v>3</v>
      </c>
      <c r="AC21">
        <f>index!DS23</f>
        <v>0</v>
      </c>
      <c r="AD21">
        <f>index!DT23</f>
        <v>0</v>
      </c>
      <c r="AE21">
        <f>index!DU23</f>
        <v>38</v>
      </c>
      <c r="AF21">
        <f>index!DV23</f>
        <v>12</v>
      </c>
      <c r="AG21">
        <f>index!DW23</f>
        <v>15</v>
      </c>
      <c r="AH21">
        <f>index!DX23</f>
        <v>0</v>
      </c>
      <c r="AI21">
        <f>index!DY23</f>
        <v>0</v>
      </c>
      <c r="AJ21">
        <f>index!DZ23</f>
        <v>27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4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1</v>
      </c>
      <c r="J22" s="70">
        <f t="shared" si="4"/>
        <v>0</v>
      </c>
      <c r="K22">
        <f t="shared" si="5"/>
        <v>5</v>
      </c>
      <c r="L22">
        <v>13200</v>
      </c>
      <c r="M22">
        <f t="shared" si="6"/>
        <v>66000</v>
      </c>
      <c r="N22">
        <f t="shared" si="7"/>
        <v>66000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4</v>
      </c>
      <c r="X22">
        <f>index!DN24</f>
        <v>0</v>
      </c>
      <c r="Y22">
        <f>index!DO24</f>
        <v>0</v>
      </c>
      <c r="Z22">
        <f>index!DP24</f>
        <v>4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1</v>
      </c>
      <c r="AH22">
        <f>index!DX24</f>
        <v>0</v>
      </c>
      <c r="AI22">
        <f>index!DY24</f>
        <v>0</v>
      </c>
      <c r="AJ22">
        <f>index!DZ24</f>
        <v>1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12</v>
      </c>
      <c r="C23">
        <f>SUM(C10:C22)</f>
        <v>561</v>
      </c>
      <c r="D23" s="70">
        <f>SUM(D10:D22)</f>
        <v>20</v>
      </c>
      <c r="E23">
        <f t="shared" ref="E23:N23" si="8">SUM(E10:E22)</f>
        <v>1361</v>
      </c>
      <c r="F23" s="70">
        <f>SUM(F10:F22)</f>
        <v>6</v>
      </c>
      <c r="G23">
        <f t="shared" si="8"/>
        <v>638</v>
      </c>
      <c r="H23">
        <f>SUM(H10:H22)</f>
        <v>0</v>
      </c>
      <c r="I23">
        <f t="shared" si="8"/>
        <v>877</v>
      </c>
      <c r="J23" s="70">
        <f>SUM(J10:J22)</f>
        <v>38</v>
      </c>
      <c r="K23">
        <f t="shared" si="8"/>
        <v>3463</v>
      </c>
      <c r="M23">
        <f>SUM(M10:M22)</f>
        <v>25022900</v>
      </c>
      <c r="N23">
        <f t="shared" si="8"/>
        <v>25022900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46212</v>
      </c>
      <c r="C18" s="41" t="str">
        <f>index!AQ19</f>
        <v>GOL</v>
      </c>
      <c r="D18" s="42" t="str">
        <f>index!AR19</f>
        <v>MC-SAGARANTEN</v>
      </c>
      <c r="E18" s="31">
        <f>index!AS19</f>
        <v>17729987</v>
      </c>
      <c r="F18" s="31" t="str">
        <f>index!AT19</f>
        <v>RE phonestore</v>
      </c>
      <c r="G18" s="43" t="str">
        <f>index!AU19</f>
        <v>Muhamad Parhan</v>
      </c>
      <c r="H18" s="6">
        <f>index!AV19</f>
        <v>6</v>
      </c>
      <c r="I18" s="44">
        <f>index!BO19</f>
        <v>450000</v>
      </c>
      <c r="J18" s="44">
        <f>index!BR19</f>
        <v>450000</v>
      </c>
      <c r="K18" s="44">
        <f>index!BT19</f>
        <v>0</v>
      </c>
      <c r="L18" s="40">
        <f>index!BU19</f>
        <v>46213</v>
      </c>
    </row>
    <row r="19" spans="1:12" x14ac:dyDescent="0.35">
      <c r="A19" s="39">
        <v>18</v>
      </c>
      <c r="B19" s="40">
        <f>index!AP20</f>
        <v>46212</v>
      </c>
      <c r="C19" s="41" t="str">
        <f>index!AQ20</f>
        <v>GOL</v>
      </c>
      <c r="D19" s="42" t="str">
        <f>index!AR20</f>
        <v>MC-SAGARANTEN</v>
      </c>
      <c r="E19" s="31">
        <f>index!AS20</f>
        <v>1295672</v>
      </c>
      <c r="F19" s="31" t="str">
        <f>index!AT20</f>
        <v>RAYHAN CELL</v>
      </c>
      <c r="G19" s="43" t="str">
        <f>index!AU20</f>
        <v>M. Enden Abdul Latif</v>
      </c>
      <c r="H19" s="6">
        <f>index!AV20</f>
        <v>7</v>
      </c>
      <c r="I19" s="44">
        <f>index!BO20</f>
        <v>525000</v>
      </c>
      <c r="J19" s="44">
        <f>index!BR20</f>
        <v>525000</v>
      </c>
      <c r="K19" s="44">
        <f>index!BT20</f>
        <v>0</v>
      </c>
      <c r="L19" s="40">
        <f>index!BU20</f>
        <v>46213</v>
      </c>
    </row>
    <row r="20" spans="1:12" x14ac:dyDescent="0.35">
      <c r="A20" s="39">
        <v>19</v>
      </c>
      <c r="B20" s="40">
        <f>index!AP21</f>
        <v>46212</v>
      </c>
      <c r="C20" s="41" t="str">
        <f>index!AQ21</f>
        <v>GOL</v>
      </c>
      <c r="D20" s="42" t="str">
        <f>index!AR21</f>
        <v>MC-SAGARANTEN</v>
      </c>
      <c r="E20" s="31">
        <f>index!AS21</f>
        <v>1554004</v>
      </c>
      <c r="F20" s="31" t="str">
        <f>index!AT21</f>
        <v>MANDIRI CELL</v>
      </c>
      <c r="G20" s="43" t="str">
        <f>index!AU21</f>
        <v>Pebrian Sahri Ramdani</v>
      </c>
      <c r="H20" s="6">
        <f>index!AV21</f>
        <v>6</v>
      </c>
      <c r="I20" s="44">
        <f>index!BO21</f>
        <v>450000</v>
      </c>
      <c r="J20" s="44">
        <f>index!BR21</f>
        <v>450000</v>
      </c>
      <c r="K20" s="44">
        <f>index!BT21</f>
        <v>0</v>
      </c>
      <c r="L20" s="40">
        <f>index!BU21</f>
        <v>46213</v>
      </c>
    </row>
    <row r="21" spans="1:12" x14ac:dyDescent="0.35">
      <c r="A21" s="39">
        <v>20</v>
      </c>
      <c r="B21" s="40">
        <f>index!AP22</f>
        <v>46212</v>
      </c>
      <c r="C21" s="41" t="str">
        <f>index!AQ22</f>
        <v>GOL</v>
      </c>
      <c r="D21" s="42" t="str">
        <f>index!AR22</f>
        <v>MC-SAGARANTEN</v>
      </c>
      <c r="E21" s="31">
        <f>index!AS22</f>
        <v>1554004</v>
      </c>
      <c r="F21" s="31" t="str">
        <f>index!AT22</f>
        <v>MANDIRI CELL</v>
      </c>
      <c r="G21" s="43" t="str">
        <f>index!AU22</f>
        <v>Kurnia</v>
      </c>
      <c r="H21" s="6">
        <f>index!AV22</f>
        <v>2</v>
      </c>
      <c r="I21" s="44">
        <f>index!BO22</f>
        <v>150000</v>
      </c>
      <c r="J21" s="44">
        <f>index!BR22</f>
        <v>150000</v>
      </c>
      <c r="K21" s="44">
        <f>index!BT22</f>
        <v>0</v>
      </c>
      <c r="L21" s="40">
        <f>index!BU22</f>
        <v>46213</v>
      </c>
    </row>
    <row r="22" spans="1:12" x14ac:dyDescent="0.35">
      <c r="A22" s="39">
        <v>21</v>
      </c>
      <c r="B22" s="40">
        <f>index!AP23</f>
        <v>46213</v>
      </c>
      <c r="C22" s="41" t="str">
        <f>index!AQ23</f>
        <v>GOL</v>
      </c>
      <c r="D22" s="42" t="str">
        <f>index!AR23</f>
        <v>MC-SAGARANTEN</v>
      </c>
      <c r="E22" s="31">
        <f>index!AS23</f>
        <v>0</v>
      </c>
      <c r="F22" s="31" t="e">
        <f>index!AT23</f>
        <v>#N/A</v>
      </c>
      <c r="G22" s="43" t="str">
        <f>index!AU23</f>
        <v>Muhamad Parhan</v>
      </c>
      <c r="H22" s="6">
        <f>index!AV23</f>
        <v>32</v>
      </c>
      <c r="I22" s="44">
        <f>index!BO23</f>
        <v>2400000</v>
      </c>
      <c r="J22" s="44">
        <f>index!BR23</f>
        <v>0</v>
      </c>
      <c r="K22" s="44">
        <f>index!BT23</f>
        <v>2400000</v>
      </c>
      <c r="L22" s="40">
        <f>index!BU23</f>
        <v>0</v>
      </c>
    </row>
    <row r="23" spans="1:12" x14ac:dyDescent="0.35">
      <c r="A23" s="39">
        <v>22</v>
      </c>
      <c r="B23" s="40">
        <f>index!AP24</f>
        <v>46213</v>
      </c>
      <c r="C23" s="41" t="str">
        <f>index!AQ24</f>
        <v>GOL</v>
      </c>
      <c r="D23" s="42" t="str">
        <f>index!AR24</f>
        <v>MC-SAGARANTEN</v>
      </c>
      <c r="E23" s="31">
        <f>index!AS24</f>
        <v>0</v>
      </c>
      <c r="F23" s="31" t="e">
        <f>index!AT24</f>
        <v>#N/A</v>
      </c>
      <c r="G23" s="43" t="str">
        <f>index!AU24</f>
        <v>M. Enden Abdul Latif</v>
      </c>
      <c r="H23" s="6">
        <f>index!AV24</f>
        <v>31</v>
      </c>
      <c r="I23" s="44">
        <f>index!BO24</f>
        <v>2325000</v>
      </c>
      <c r="J23" s="44">
        <f>index!BR24</f>
        <v>0</v>
      </c>
      <c r="K23" s="44">
        <f>index!BT24</f>
        <v>2325000</v>
      </c>
      <c r="L23" s="40">
        <f>index!BU24</f>
        <v>0</v>
      </c>
    </row>
    <row r="24" spans="1:12" x14ac:dyDescent="0.35">
      <c r="A24" s="39">
        <v>23</v>
      </c>
      <c r="B24" s="40">
        <f>index!AP25</f>
        <v>46213</v>
      </c>
      <c r="C24" s="41" t="str">
        <f>index!AQ25</f>
        <v>GOL</v>
      </c>
      <c r="D24" s="42" t="str">
        <f>index!AR25</f>
        <v>MC-SAGARANTEN</v>
      </c>
      <c r="E24" s="31">
        <f>index!AS25</f>
        <v>0</v>
      </c>
      <c r="F24" s="31" t="e">
        <f>index!AT25</f>
        <v>#N/A</v>
      </c>
      <c r="G24" s="43" t="str">
        <f>index!AU25</f>
        <v>Pebrian Sahri Ramdani</v>
      </c>
      <c r="H24" s="6">
        <f>index!AV25</f>
        <v>32</v>
      </c>
      <c r="I24" s="44">
        <f>index!BO25</f>
        <v>2400000</v>
      </c>
      <c r="J24" s="44">
        <f>index!BR25</f>
        <v>0</v>
      </c>
      <c r="K24" s="44">
        <f>index!BT25</f>
        <v>2400000</v>
      </c>
      <c r="L24" s="40">
        <f>index!BU25</f>
        <v>0</v>
      </c>
    </row>
    <row r="25" spans="1:12" x14ac:dyDescent="0.35">
      <c r="A25" s="39">
        <v>24</v>
      </c>
      <c r="B25" s="40">
        <f>index!AP26</f>
        <v>46213</v>
      </c>
      <c r="C25" s="41" t="str">
        <f>index!AQ26</f>
        <v>GOL</v>
      </c>
      <c r="D25" s="42" t="str">
        <f>index!AR26</f>
        <v>MC-SAGARANTEN</v>
      </c>
      <c r="E25" s="31">
        <f>index!AS26</f>
        <v>0</v>
      </c>
      <c r="F25" s="31" t="e">
        <f>index!AT26</f>
        <v>#N/A</v>
      </c>
      <c r="G25" s="43" t="str">
        <f>index!AU26</f>
        <v>Kurnia</v>
      </c>
      <c r="H25" s="6">
        <f>index!AV26</f>
        <v>8</v>
      </c>
      <c r="I25" s="44">
        <f>index!BO26</f>
        <v>600000</v>
      </c>
      <c r="J25" s="44">
        <f>index!BR26</f>
        <v>0</v>
      </c>
      <c r="K25" s="44">
        <f>index!BT26</f>
        <v>600000</v>
      </c>
      <c r="L25" s="40">
        <f>index!BU26</f>
        <v>0</v>
      </c>
    </row>
    <row r="26" spans="1:12" x14ac:dyDescent="0.35">
      <c r="A26" s="39">
        <v>25</v>
      </c>
      <c r="B26" s="40">
        <f>index!AP27</f>
        <v>46214</v>
      </c>
      <c r="C26" s="41" t="str">
        <f>index!AQ27</f>
        <v>GOL</v>
      </c>
      <c r="D26" s="42" t="str">
        <f>index!AR27</f>
        <v>MC-SAGARANTEN</v>
      </c>
      <c r="E26" s="31">
        <f>index!AS27</f>
        <v>0</v>
      </c>
      <c r="F26" s="31" t="e">
        <f>index!AT27</f>
        <v>#N/A</v>
      </c>
      <c r="G26" s="43" t="str">
        <f>index!AU27</f>
        <v>Muhamad Parhan</v>
      </c>
      <c r="H26" s="6">
        <f>index!AV27</f>
        <v>0</v>
      </c>
      <c r="I26" s="44">
        <f>index!BO27</f>
        <v>0</v>
      </c>
      <c r="J26" s="44">
        <f>index!BR27</f>
        <v>375000</v>
      </c>
      <c r="K26" s="44">
        <f>index!BT27</f>
        <v>-375000</v>
      </c>
      <c r="L26" s="40">
        <f>index!BU27</f>
        <v>46216</v>
      </c>
    </row>
    <row r="27" spans="1:12" x14ac:dyDescent="0.35">
      <c r="A27" s="39">
        <v>26</v>
      </c>
      <c r="B27" s="40">
        <f>index!AP28</f>
        <v>46214</v>
      </c>
      <c r="C27" s="41" t="str">
        <f>index!AQ28</f>
        <v>GOL</v>
      </c>
      <c r="D27" s="42" t="str">
        <f>index!AR28</f>
        <v>MC-SAGARANTEN</v>
      </c>
      <c r="E27" s="31">
        <f>index!AS28</f>
        <v>0</v>
      </c>
      <c r="F27" s="31" t="e">
        <f>index!AT28</f>
        <v>#N/A</v>
      </c>
      <c r="G27" s="43" t="str">
        <f>index!AU28</f>
        <v>Pebrian Sahri Ramdani</v>
      </c>
      <c r="H27" s="6">
        <f>index!AV28</f>
        <v>0</v>
      </c>
      <c r="I27" s="44">
        <f>index!BO28</f>
        <v>0</v>
      </c>
      <c r="J27" s="44">
        <f>index!BR28</f>
        <v>750000</v>
      </c>
      <c r="K27" s="44">
        <f>index!BT28</f>
        <v>-750000</v>
      </c>
      <c r="L27" s="40">
        <f>index!BU28</f>
        <v>46216</v>
      </c>
    </row>
    <row r="28" spans="1:12" x14ac:dyDescent="0.35">
      <c r="A28" s="39">
        <v>27</v>
      </c>
      <c r="B28" s="40">
        <f>index!AP29</f>
        <v>46214</v>
      </c>
      <c r="C28" s="41" t="str">
        <f>index!AQ29</f>
        <v>GOL</v>
      </c>
      <c r="D28" s="42" t="str">
        <f>index!AR29</f>
        <v>MC-SAGARANTEN</v>
      </c>
      <c r="E28" s="31">
        <f>index!AS29</f>
        <v>0</v>
      </c>
      <c r="F28" s="31" t="e">
        <f>index!AT29</f>
        <v>#N/A</v>
      </c>
      <c r="G28" s="43" t="str">
        <f>index!AU29</f>
        <v>Muhamad Parhan</v>
      </c>
      <c r="H28" s="6">
        <f>index!AV29</f>
        <v>0</v>
      </c>
      <c r="I28" s="44">
        <f>index!BO29</f>
        <v>0</v>
      </c>
      <c r="J28" s="44">
        <f>index!BR29</f>
        <v>450000</v>
      </c>
      <c r="K28" s="44">
        <f>index!BT29</f>
        <v>-450000</v>
      </c>
      <c r="L28" s="40">
        <f>index!BU29</f>
        <v>46216</v>
      </c>
    </row>
    <row r="29" spans="1:12" x14ac:dyDescent="0.35">
      <c r="A29" s="39">
        <v>28</v>
      </c>
      <c r="B29" s="40">
        <f>index!AP30</f>
        <v>46214</v>
      </c>
      <c r="C29" s="41" t="str">
        <f>index!AQ30</f>
        <v>GOL</v>
      </c>
      <c r="D29" s="42" t="str">
        <f>index!AR30</f>
        <v>MC-SAGARANTEN</v>
      </c>
      <c r="E29" s="31">
        <f>index!AS30</f>
        <v>0</v>
      </c>
      <c r="F29" s="31" t="e">
        <f>index!AT30</f>
        <v>#N/A</v>
      </c>
      <c r="G29" s="43" t="str">
        <f>index!AU30</f>
        <v>M. Enden Abdul Latif</v>
      </c>
      <c r="H29" s="6">
        <f>index!AV30</f>
        <v>0</v>
      </c>
      <c r="I29" s="44">
        <f>index!BO30</f>
        <v>0</v>
      </c>
      <c r="J29" s="44">
        <f>index!BR30</f>
        <v>375000</v>
      </c>
      <c r="K29" s="44">
        <f>index!BT30</f>
        <v>-375000</v>
      </c>
      <c r="L29" s="40">
        <f>index!BU30</f>
        <v>46216</v>
      </c>
    </row>
    <row r="30" spans="1:12" x14ac:dyDescent="0.35">
      <c r="A30" s="39">
        <v>29</v>
      </c>
      <c r="B30" s="40">
        <f>index!AP31</f>
        <v>46214</v>
      </c>
      <c r="C30" s="41" t="str">
        <f>index!AQ31</f>
        <v>GOL</v>
      </c>
      <c r="D30" s="42" t="str">
        <f>index!AR31</f>
        <v>MC-SAGARANTEN</v>
      </c>
      <c r="E30" s="31">
        <f>index!AS31</f>
        <v>0</v>
      </c>
      <c r="F30" s="31" t="e">
        <f>index!AT31</f>
        <v>#N/A</v>
      </c>
      <c r="G30" s="43" t="str">
        <f>index!AU31</f>
        <v>Pebrian Sahri Ramdani</v>
      </c>
      <c r="H30" s="6">
        <f>index!AV31</f>
        <v>0</v>
      </c>
      <c r="I30" s="44">
        <f>index!BO31</f>
        <v>0</v>
      </c>
      <c r="J30" s="44">
        <f>index!BR31</f>
        <v>750000</v>
      </c>
      <c r="K30" s="44">
        <f>index!BT31</f>
        <v>-750000</v>
      </c>
      <c r="L30" s="40">
        <f>index!BU31</f>
        <v>46216</v>
      </c>
    </row>
    <row r="31" spans="1:12" x14ac:dyDescent="0.35">
      <c r="A31" s="39">
        <v>30</v>
      </c>
      <c r="B31" s="40">
        <f>index!AP32</f>
        <v>0</v>
      </c>
      <c r="C31" s="41">
        <f>index!AQ32</f>
        <v>0</v>
      </c>
      <c r="D31" s="42">
        <f>index!AR32</f>
        <v>0</v>
      </c>
      <c r="E31" s="31">
        <f>index!AS32</f>
        <v>0</v>
      </c>
      <c r="F31" s="31">
        <f>index!AT32</f>
        <v>0</v>
      </c>
      <c r="G31" s="43">
        <f>index!AU32</f>
        <v>0</v>
      </c>
      <c r="H31" s="6">
        <f>index!AV32</f>
        <v>0</v>
      </c>
      <c r="I31" s="44">
        <f>index!BO32</f>
        <v>0</v>
      </c>
      <c r="J31" s="44">
        <f>index!BR32</f>
        <v>0</v>
      </c>
      <c r="K31" s="44">
        <f>index!BT32</f>
        <v>0</v>
      </c>
      <c r="L31" s="40">
        <f>index!BU32</f>
        <v>0</v>
      </c>
    </row>
    <row r="32" spans="1:12" x14ac:dyDescent="0.35">
      <c r="A32" s="39">
        <v>31</v>
      </c>
      <c r="B32" s="40">
        <f>index!AP33</f>
        <v>0</v>
      </c>
      <c r="C32" s="41">
        <f>index!AQ33</f>
        <v>0</v>
      </c>
      <c r="D32" s="42">
        <f>index!AR33</f>
        <v>0</v>
      </c>
      <c r="E32" s="31">
        <f>index!AS33</f>
        <v>0</v>
      </c>
      <c r="F32" s="31">
        <f>index!AT33</f>
        <v>0</v>
      </c>
      <c r="G32" s="43">
        <f>index!AU33</f>
        <v>0</v>
      </c>
      <c r="H32" s="6">
        <f>index!AV33</f>
        <v>0</v>
      </c>
      <c r="I32" s="44">
        <f>index!BO33</f>
        <v>0</v>
      </c>
      <c r="J32" s="44">
        <f>index!BR33</f>
        <v>0</v>
      </c>
      <c r="K32" s="44">
        <f>index!BT33</f>
        <v>0</v>
      </c>
      <c r="L32" s="40">
        <f>index!BU33</f>
        <v>0</v>
      </c>
    </row>
    <row r="33" spans="1:12" x14ac:dyDescent="0.35">
      <c r="A33" s="39">
        <v>32</v>
      </c>
      <c r="B33" s="40">
        <f>index!AP34</f>
        <v>0</v>
      </c>
      <c r="C33" s="41">
        <f>index!AQ34</f>
        <v>0</v>
      </c>
      <c r="D33" s="42">
        <f>index!AR34</f>
        <v>0</v>
      </c>
      <c r="E33" s="31">
        <f>index!AS34</f>
        <v>0</v>
      </c>
      <c r="F33" s="31">
        <f>index!AT34</f>
        <v>0</v>
      </c>
      <c r="G33" s="43">
        <f>index!AU34</f>
        <v>0</v>
      </c>
      <c r="H33" s="6">
        <f>index!AV34</f>
        <v>0</v>
      </c>
      <c r="I33" s="44">
        <f>index!BO34</f>
        <v>0</v>
      </c>
      <c r="J33" s="44">
        <f>index!BR34</f>
        <v>0</v>
      </c>
      <c r="K33" s="44">
        <f>index!BT34</f>
        <v>0</v>
      </c>
      <c r="L33" s="40">
        <f>index!BU34</f>
        <v>0</v>
      </c>
    </row>
    <row r="34" spans="1:12" x14ac:dyDescent="0.35">
      <c r="A34" s="39">
        <v>33</v>
      </c>
      <c r="B34" s="40">
        <f>index!AP35</f>
        <v>0</v>
      </c>
      <c r="C34" s="41">
        <f>index!AQ35</f>
        <v>0</v>
      </c>
      <c r="D34" s="42">
        <f>index!AR35</f>
        <v>0</v>
      </c>
      <c r="E34" s="31">
        <f>index!AS35</f>
        <v>0</v>
      </c>
      <c r="F34" s="31">
        <f>index!AT35</f>
        <v>0</v>
      </c>
      <c r="G34" s="43">
        <f>index!AU35</f>
        <v>0</v>
      </c>
      <c r="H34" s="6">
        <f>index!AV35</f>
        <v>0</v>
      </c>
      <c r="I34" s="44">
        <f>index!BO35</f>
        <v>0</v>
      </c>
      <c r="J34" s="44">
        <f>index!BR35</f>
        <v>0</v>
      </c>
      <c r="K34" s="44">
        <f>index!BT35</f>
        <v>0</v>
      </c>
      <c r="L34" s="40">
        <f>index!BU35</f>
        <v>0</v>
      </c>
    </row>
    <row r="35" spans="1:12" x14ac:dyDescent="0.35">
      <c r="A35" s="39">
        <v>34</v>
      </c>
      <c r="B35" s="40">
        <f>index!AP36</f>
        <v>0</v>
      </c>
      <c r="C35" s="41">
        <f>index!AQ36</f>
        <v>0</v>
      </c>
      <c r="D35" s="42">
        <f>index!AR36</f>
        <v>0</v>
      </c>
      <c r="E35" s="31">
        <f>index!AS36</f>
        <v>0</v>
      </c>
      <c r="F35" s="31">
        <f>index!AT36</f>
        <v>0</v>
      </c>
      <c r="G35" s="43">
        <f>index!AU36</f>
        <v>0</v>
      </c>
      <c r="H35" s="6">
        <f>index!AV36</f>
        <v>0</v>
      </c>
      <c r="I35" s="44">
        <f>index!BO36</f>
        <v>0</v>
      </c>
      <c r="J35" s="44">
        <f>index!BR36</f>
        <v>0</v>
      </c>
      <c r="K35" s="44">
        <f>index!BT36</f>
        <v>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310000</v>
      </c>
      <c r="I2" s="64">
        <f>index!CG3</f>
        <v>46185</v>
      </c>
      <c r="J2" s="64">
        <f>index!CH3</f>
        <v>46212</v>
      </c>
      <c r="K2" s="6" t="str">
        <f>index!CI3</f>
        <v>LUNAS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LUNAS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310000</v>
      </c>
      <c r="I6" s="64">
        <f>index!CG7</f>
        <v>46197</v>
      </c>
      <c r="J6" s="64">
        <f>index!CH7</f>
        <v>46212</v>
      </c>
      <c r="K6" s="6" t="str">
        <f>index!CI7</f>
        <v>LUNAS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LUNAS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162009000</v>
      </c>
      <c r="B2">
        <f>'penjualan-reguler-new'!N7+'penjualan-reguler-new'!N23</f>
        <v>75102900</v>
      </c>
      <c r="C2">
        <f>SUM('penjualan-paket-jupiter'!J2:J400)+'penjualan-direct-selling'!E6</f>
        <v>28980000</v>
      </c>
      <c r="D2">
        <f>SUM('penjualan-hifi'!H2:H17)</f>
        <v>1240000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>
      <selection activeCell="O3" sqref="O3:O6"/>
    </sheetView>
  </sheetViews>
  <sheetFormatPr defaultRowHeight="14.5" x14ac:dyDescent="0.35"/>
  <cols>
    <col min="2" max="2" width="20" bestFit="1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8" t="s">
        <v>0</v>
      </c>
      <c r="B2" s="98" t="s">
        <v>1</v>
      </c>
      <c r="C2" s="98" t="s">
        <v>2</v>
      </c>
      <c r="D2" s="98" t="s">
        <v>3</v>
      </c>
      <c r="F2" s="100" t="s">
        <v>74</v>
      </c>
      <c r="G2" s="101"/>
      <c r="H2" s="101"/>
      <c r="I2" s="101"/>
      <c r="J2" s="101"/>
      <c r="K2" s="101"/>
      <c r="L2" s="102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103" t="s">
        <v>168</v>
      </c>
      <c r="AA2" s="103" t="s">
        <v>44</v>
      </c>
      <c r="AB2" s="94" t="s">
        <v>45</v>
      </c>
      <c r="AC2" s="96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9"/>
      <c r="B3" s="99"/>
      <c r="C3" s="99"/>
      <c r="D3" s="99"/>
      <c r="F3" s="15"/>
      <c r="G3" s="16"/>
      <c r="H3" s="17"/>
      <c r="I3" s="17"/>
      <c r="J3" s="17"/>
      <c r="K3" s="17"/>
      <c r="L3" s="18"/>
      <c r="N3" s="31" t="s">
        <v>39</v>
      </c>
      <c r="O3" s="33">
        <v>29759000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104"/>
      <c r="AA3" s="104"/>
      <c r="AB3" s="95"/>
      <c r="AC3" s="97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>
        <v>310000</v>
      </c>
      <c r="CG3" s="5">
        <v>46185</v>
      </c>
      <c r="CH3" s="5">
        <v>46212</v>
      </c>
      <c r="CI3" s="4" t="s">
        <v>284</v>
      </c>
      <c r="CJ3" s="5"/>
      <c r="CL3" s="67">
        <f ca="1">TODAY()-1</f>
        <v>46215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200</v>
      </c>
      <c r="C4" s="14">
        <v>0</v>
      </c>
      <c r="D4" s="13">
        <f>C4+B4</f>
        <v>200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45713000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900000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628</v>
      </c>
      <c r="C5" s="14">
        <v>465</v>
      </c>
      <c r="D5" s="13">
        <f t="shared" ref="D5:D22" si="0">C5+B5</f>
        <v>1093</v>
      </c>
      <c r="F5" s="20" t="s">
        <v>4</v>
      </c>
      <c r="G5" s="21">
        <v>0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22</v>
      </c>
      <c r="N5" s="31" t="s">
        <v>41</v>
      </c>
      <c r="O5" s="33">
        <v>38942000</v>
      </c>
      <c r="Q5" s="20" t="s">
        <v>29</v>
      </c>
      <c r="R5" s="68">
        <f>CM7+AF20</f>
        <v>0</v>
      </c>
      <c r="S5" s="69">
        <f>CW5+AF5-25</f>
        <v>364</v>
      </c>
      <c r="T5" s="69">
        <f>CN7+AF19</f>
        <v>0</v>
      </c>
      <c r="U5" s="27">
        <f>CX5+AF4-25</f>
        <v>255</v>
      </c>
      <c r="V5" s="69">
        <f>CO7+AF21</f>
        <v>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0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1700000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284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570</v>
      </c>
      <c r="C6" s="14">
        <v>11</v>
      </c>
      <c r="D6" s="13">
        <f t="shared" si="0"/>
        <v>581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11">SUM(G6:K6)</f>
        <v>0</v>
      </c>
      <c r="N6" s="4" t="s">
        <v>42</v>
      </c>
      <c r="O6" s="33">
        <v>47595000</v>
      </c>
      <c r="Q6" s="20" t="s">
        <v>30</v>
      </c>
      <c r="R6" s="68">
        <f>CM8+AG20</f>
        <v>0</v>
      </c>
      <c r="S6" s="69">
        <f>CW6+AG5</f>
        <v>119</v>
      </c>
      <c r="T6" s="69">
        <f>CN8+AG19</f>
        <v>0</v>
      </c>
      <c r="U6" s="27">
        <f>CX6+AG4</f>
        <v>166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474</v>
      </c>
      <c r="AB6" s="4">
        <v>25000</v>
      </c>
      <c r="AC6" s="27">
        <f t="shared" si="3"/>
        <v>11850000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2000000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5</v>
      </c>
      <c r="CX6">
        <v>4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5</v>
      </c>
      <c r="DI6">
        <v>0</v>
      </c>
      <c r="DJ6">
        <v>0</v>
      </c>
      <c r="DK6">
        <v>5</v>
      </c>
      <c r="DL6">
        <v>0</v>
      </c>
      <c r="DM6">
        <v>4</v>
      </c>
      <c r="DN6">
        <v>0</v>
      </c>
      <c r="DO6">
        <v>0</v>
      </c>
      <c r="DP6">
        <v>4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5</v>
      </c>
      <c r="D7" s="13">
        <f t="shared" si="0"/>
        <v>5</v>
      </c>
      <c r="F7" s="20" t="s">
        <v>30</v>
      </c>
      <c r="G7" s="21">
        <v>25</v>
      </c>
      <c r="H7" s="21">
        <v>63</v>
      </c>
      <c r="I7" s="21">
        <v>109</v>
      </c>
      <c r="J7" s="21">
        <v>183</v>
      </c>
      <c r="K7" s="21">
        <v>10</v>
      </c>
      <c r="L7" s="22">
        <f t="shared" si="11"/>
        <v>390</v>
      </c>
      <c r="N7" s="31" t="s">
        <v>43</v>
      </c>
      <c r="O7" s="8">
        <f>SUM(O3:O6)</f>
        <v>162009000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5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10</v>
      </c>
      <c r="AB7" s="4">
        <v>40000</v>
      </c>
      <c r="AC7" s="27">
        <f t="shared" si="3"/>
        <v>400000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>
        <v>310000</v>
      </c>
      <c r="CG7" s="5">
        <v>46197</v>
      </c>
      <c r="CH7" s="5">
        <v>46212</v>
      </c>
      <c r="CI7" s="4" t="s">
        <v>284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>
        <v>33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5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5</v>
      </c>
      <c r="DN7">
        <v>0</v>
      </c>
      <c r="DO7">
        <v>0</v>
      </c>
      <c r="DP7">
        <v>5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389</v>
      </c>
      <c r="C8" s="14">
        <v>0</v>
      </c>
      <c r="D8" s="13">
        <f t="shared" si="0"/>
        <v>389</v>
      </c>
      <c r="F8" s="20" t="s">
        <v>7</v>
      </c>
      <c r="G8" s="21">
        <v>0</v>
      </c>
      <c r="H8" s="21">
        <v>0</v>
      </c>
      <c r="I8" s="21">
        <v>0</v>
      </c>
      <c r="J8" s="21">
        <v>5</v>
      </c>
      <c r="K8" s="21">
        <v>0</v>
      </c>
      <c r="L8" s="22">
        <f t="shared" si="11"/>
        <v>5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3067000</v>
      </c>
      <c r="Q9" s="20"/>
      <c r="R9" s="68">
        <f t="shared" si="12"/>
        <v>0</v>
      </c>
      <c r="S9" s="69">
        <f t="shared" si="13"/>
        <v>9</v>
      </c>
      <c r="T9" s="69">
        <f t="shared" si="14"/>
        <v>0</v>
      </c>
      <c r="U9" s="27">
        <f t="shared" si="15"/>
        <v>65</v>
      </c>
      <c r="V9" s="69">
        <f t="shared" si="16"/>
        <v>0</v>
      </c>
      <c r="W9" s="27">
        <f t="shared" si="17"/>
        <v>90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164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650000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284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9</v>
      </c>
      <c r="CX9">
        <v>65</v>
      </c>
      <c r="CY9">
        <v>90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9</v>
      </c>
      <c r="DL9">
        <v>0</v>
      </c>
      <c r="DM9">
        <v>0</v>
      </c>
      <c r="DN9">
        <v>0</v>
      </c>
      <c r="DO9">
        <v>0</v>
      </c>
      <c r="DP9">
        <v>70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900</v>
      </c>
      <c r="C10" s="14">
        <v>0</v>
      </c>
      <c r="D10" s="13">
        <f t="shared" si="0"/>
        <v>900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1"/>
        <v>0</v>
      </c>
      <c r="O10">
        <v>5205000</v>
      </c>
      <c r="Q10" s="20" t="s">
        <v>8</v>
      </c>
      <c r="R10" s="68">
        <f t="shared" si="12"/>
        <v>0</v>
      </c>
      <c r="S10" s="69">
        <f t="shared" si="13"/>
        <v>238</v>
      </c>
      <c r="T10" s="69">
        <f t="shared" si="14"/>
        <v>0</v>
      </c>
      <c r="U10" s="27">
        <f t="shared" si="15"/>
        <v>600</v>
      </c>
      <c r="V10" s="69">
        <f t="shared" si="16"/>
        <v>0</v>
      </c>
      <c r="W10" s="27">
        <f t="shared" si="17"/>
        <v>189</v>
      </c>
      <c r="X10" s="27">
        <f t="shared" si="18"/>
        <v>0</v>
      </c>
      <c r="Y10" s="27">
        <f t="shared" si="19"/>
        <v>600</v>
      </c>
      <c r="Z10" s="27">
        <f t="shared" si="1"/>
        <v>0</v>
      </c>
      <c r="AA10" s="69">
        <f t="shared" si="2"/>
        <v>1627</v>
      </c>
      <c r="AB10" s="4">
        <v>600</v>
      </c>
      <c r="AC10" s="27">
        <f t="shared" si="3"/>
        <v>976200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238</v>
      </c>
      <c r="CX10">
        <v>600</v>
      </c>
      <c r="CY10">
        <v>189</v>
      </c>
      <c r="CZ10">
        <v>600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100</v>
      </c>
      <c r="H11" s="21">
        <v>150</v>
      </c>
      <c r="I11" s="21">
        <v>23</v>
      </c>
      <c r="J11" s="21">
        <v>0</v>
      </c>
      <c r="K11" s="21">
        <v>0</v>
      </c>
      <c r="L11" s="22">
        <f t="shared" si="11"/>
        <v>273</v>
      </c>
      <c r="O11">
        <v>5161000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25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56</v>
      </c>
      <c r="AB11" s="4">
        <v>22500</v>
      </c>
      <c r="AC11" s="27">
        <f t="shared" si="3"/>
        <v>1260000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4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279</v>
      </c>
      <c r="C12" s="14">
        <v>845</v>
      </c>
      <c r="D12" s="13">
        <f>C12+B12</f>
        <v>1124</v>
      </c>
      <c r="F12" s="20" t="s">
        <v>31</v>
      </c>
      <c r="G12" s="21">
        <v>0</v>
      </c>
      <c r="H12" s="21">
        <v>0</v>
      </c>
      <c r="I12" s="21">
        <v>6</v>
      </c>
      <c r="J12" s="21">
        <v>0</v>
      </c>
      <c r="K12" s="21">
        <v>0</v>
      </c>
      <c r="L12" s="22">
        <f t="shared" si="11"/>
        <v>6</v>
      </c>
      <c r="O12">
        <v>3980900</v>
      </c>
      <c r="Q12" s="20" t="s">
        <v>32</v>
      </c>
      <c r="R12" s="68">
        <f>CM14+AI20</f>
        <v>0</v>
      </c>
      <c r="S12" s="69">
        <f>CW12+AI5</f>
        <v>99</v>
      </c>
      <c r="T12" s="69">
        <f>CN14+AI19</f>
        <v>0</v>
      </c>
      <c r="U12" s="27">
        <f>CX12+AI4</f>
        <v>245</v>
      </c>
      <c r="V12" s="69">
        <f>CO14+AI21</f>
        <v>6</v>
      </c>
      <c r="W12" s="27">
        <f>CY12+AI6</f>
        <v>128</v>
      </c>
      <c r="X12" s="69">
        <f>CP14+AI22</f>
        <v>0</v>
      </c>
      <c r="Y12" s="27">
        <f>CZ12+AI7</f>
        <v>22</v>
      </c>
      <c r="Z12" s="27">
        <f t="shared" si="1"/>
        <v>6</v>
      </c>
      <c r="AA12" s="69">
        <f t="shared" si="2"/>
        <v>494</v>
      </c>
      <c r="AB12" s="4">
        <v>13500</v>
      </c>
      <c r="AC12" s="27">
        <f t="shared" si="3"/>
        <v>6669000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1800000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12</v>
      </c>
      <c r="CX12">
        <v>116</v>
      </c>
      <c r="CY12">
        <v>83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100</v>
      </c>
      <c r="DI12">
        <v>0</v>
      </c>
      <c r="DJ12">
        <v>0</v>
      </c>
      <c r="DK12">
        <v>238</v>
      </c>
      <c r="DL12">
        <v>450</v>
      </c>
      <c r="DM12">
        <v>150</v>
      </c>
      <c r="DN12">
        <v>0</v>
      </c>
      <c r="DO12">
        <v>0</v>
      </c>
      <c r="DP12">
        <v>600</v>
      </c>
      <c r="DQ12">
        <v>162</v>
      </c>
      <c r="DR12">
        <v>27</v>
      </c>
      <c r="DS12">
        <v>0</v>
      </c>
      <c r="DT12">
        <v>0</v>
      </c>
      <c r="DU12">
        <v>189</v>
      </c>
      <c r="DV12">
        <v>150</v>
      </c>
      <c r="DW12">
        <v>450</v>
      </c>
      <c r="DX12">
        <v>0</v>
      </c>
      <c r="DY12">
        <v>0</v>
      </c>
      <c r="DZ12">
        <v>600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18</v>
      </c>
      <c r="H13" s="21">
        <v>110</v>
      </c>
      <c r="I13" s="21">
        <v>73</v>
      </c>
      <c r="J13" s="21">
        <v>210</v>
      </c>
      <c r="K13" s="21">
        <v>18</v>
      </c>
      <c r="L13" s="22">
        <f t="shared" si="11"/>
        <v>429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1200000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</v>
      </c>
      <c r="DS13">
        <v>0</v>
      </c>
      <c r="DT13">
        <v>0</v>
      </c>
      <c r="DU13">
        <v>4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0</v>
      </c>
      <c r="C14" s="14">
        <v>182</v>
      </c>
      <c r="D14" s="13">
        <f t="shared" si="0"/>
        <v>182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6</v>
      </c>
      <c r="S14" s="69">
        <f>CW14+AJ5</f>
        <v>33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107</v>
      </c>
      <c r="Z14" s="27">
        <f t="shared" si="1"/>
        <v>6</v>
      </c>
      <c r="AA14" s="69">
        <f t="shared" si="2"/>
        <v>283</v>
      </c>
      <c r="AB14" s="4">
        <v>15400</v>
      </c>
      <c r="AC14" s="27">
        <f t="shared" si="3"/>
        <v>4358200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5500000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6</v>
      </c>
      <c r="CP14" s="70">
        <v>0</v>
      </c>
      <c r="CQ14">
        <v>16</v>
      </c>
      <c r="CR14" t="s">
        <v>28</v>
      </c>
      <c r="CS14" s="1">
        <v>13500</v>
      </c>
      <c r="CT14" t="s">
        <v>28</v>
      </c>
      <c r="CV14" t="s">
        <v>34</v>
      </c>
      <c r="CW14">
        <v>6</v>
      </c>
      <c r="CX14">
        <v>19</v>
      </c>
      <c r="CY14">
        <v>10</v>
      </c>
      <c r="CZ14">
        <v>56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12</v>
      </c>
      <c r="DI14">
        <v>0</v>
      </c>
      <c r="DJ14">
        <v>0</v>
      </c>
      <c r="DK14">
        <v>12</v>
      </c>
      <c r="DL14">
        <v>61</v>
      </c>
      <c r="DM14">
        <v>55</v>
      </c>
      <c r="DN14">
        <v>0</v>
      </c>
      <c r="DO14">
        <v>0</v>
      </c>
      <c r="DP14">
        <v>116</v>
      </c>
      <c r="DQ14">
        <v>61</v>
      </c>
      <c r="DR14">
        <v>22</v>
      </c>
      <c r="DS14">
        <v>0</v>
      </c>
      <c r="DT14">
        <v>0</v>
      </c>
      <c r="DU14">
        <v>83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9</v>
      </c>
      <c r="H15" s="21">
        <v>9</v>
      </c>
      <c r="I15" s="21">
        <v>31</v>
      </c>
      <c r="J15" s="21">
        <v>6</v>
      </c>
      <c r="K15" s="21">
        <v>0</v>
      </c>
      <c r="L15" s="22">
        <f t="shared" si="11"/>
        <v>55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10</v>
      </c>
      <c r="U15" s="27">
        <f t="shared" si="15"/>
        <v>146</v>
      </c>
      <c r="V15" s="69">
        <f t="shared" si="16"/>
        <v>0</v>
      </c>
      <c r="W15" s="27">
        <f t="shared" si="17"/>
        <v>50</v>
      </c>
      <c r="X15" s="27">
        <f t="shared" si="18"/>
        <v>0</v>
      </c>
      <c r="Y15" s="27">
        <f t="shared" si="19"/>
        <v>50</v>
      </c>
      <c r="Z15" s="27">
        <f t="shared" si="1"/>
        <v>10</v>
      </c>
      <c r="AA15" s="69">
        <f t="shared" si="2"/>
        <v>258</v>
      </c>
      <c r="AB15" s="4">
        <v>17250</v>
      </c>
      <c r="AC15" s="27">
        <f t="shared" si="3"/>
        <v>4450500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400000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146</v>
      </c>
      <c r="CY15">
        <v>50</v>
      </c>
      <c r="CZ15">
        <v>50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441</v>
      </c>
      <c r="C16" s="14">
        <v>15</v>
      </c>
      <c r="D16" s="13">
        <f t="shared" si="0"/>
        <v>456</v>
      </c>
      <c r="F16" s="20" t="s">
        <v>35</v>
      </c>
      <c r="G16" s="21">
        <v>18</v>
      </c>
      <c r="H16" s="21">
        <v>64</v>
      </c>
      <c r="I16" s="21">
        <v>93</v>
      </c>
      <c r="J16" s="21">
        <v>55</v>
      </c>
      <c r="K16" s="21">
        <v>18</v>
      </c>
      <c r="L16" s="22">
        <f t="shared" si="11"/>
        <v>248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34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3</v>
      </c>
      <c r="Z16" s="27">
        <f t="shared" si="1"/>
        <v>0</v>
      </c>
      <c r="AA16" s="69">
        <f t="shared" si="2"/>
        <v>37</v>
      </c>
      <c r="AB16" s="4">
        <v>23800</v>
      </c>
      <c r="AC16" s="27">
        <f t="shared" si="3"/>
        <v>880600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1300000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6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34</v>
      </c>
      <c r="CY16">
        <v>0</v>
      </c>
      <c r="CZ16">
        <v>3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6</v>
      </c>
      <c r="DI16">
        <v>0</v>
      </c>
      <c r="DJ16">
        <v>0</v>
      </c>
      <c r="DK16">
        <v>6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56</v>
      </c>
      <c r="DX16">
        <v>0</v>
      </c>
      <c r="DY16">
        <v>0</v>
      </c>
      <c r="DZ16">
        <v>56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30</v>
      </c>
      <c r="H17" s="21">
        <v>51</v>
      </c>
      <c r="I17" s="21">
        <v>27</v>
      </c>
      <c r="J17" s="21">
        <v>72</v>
      </c>
      <c r="K17" s="21">
        <v>16</v>
      </c>
      <c r="L17" s="22">
        <f t="shared" si="11"/>
        <v>196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21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27</v>
      </c>
      <c r="AB17" s="4">
        <v>30000</v>
      </c>
      <c r="AC17" s="27">
        <f t="shared" si="3"/>
        <v>810000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10</v>
      </c>
      <c r="CO17" s="70">
        <v>0</v>
      </c>
      <c r="CP17" s="70">
        <v>0</v>
      </c>
      <c r="CQ17">
        <v>24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21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70</v>
      </c>
      <c r="DN17">
        <v>0</v>
      </c>
      <c r="DO17">
        <v>0</v>
      </c>
      <c r="DP17">
        <v>146</v>
      </c>
      <c r="DQ17">
        <v>37</v>
      </c>
      <c r="DR17">
        <v>13</v>
      </c>
      <c r="DS17">
        <v>0</v>
      </c>
      <c r="DT17">
        <v>0</v>
      </c>
      <c r="DU17">
        <v>50</v>
      </c>
      <c r="DV17">
        <v>30</v>
      </c>
      <c r="DW17">
        <v>20</v>
      </c>
      <c r="DX17">
        <v>0</v>
      </c>
      <c r="DY17">
        <v>0</v>
      </c>
      <c r="DZ17">
        <v>50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81</v>
      </c>
      <c r="D18" s="13">
        <f t="shared" si="0"/>
        <v>81</v>
      </c>
      <c r="F18" s="20" t="s">
        <v>15</v>
      </c>
      <c r="G18" s="21">
        <v>15</v>
      </c>
      <c r="H18" s="21">
        <v>10</v>
      </c>
      <c r="I18" s="21">
        <v>4</v>
      </c>
      <c r="J18" s="21">
        <v>20</v>
      </c>
      <c r="K18" s="21">
        <v>0</v>
      </c>
      <c r="L18" s="22">
        <f t="shared" si="11"/>
        <v>49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4000000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19</v>
      </c>
      <c r="DN18">
        <v>0</v>
      </c>
      <c r="DO18">
        <v>0</v>
      </c>
      <c r="DP18">
        <v>34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3</v>
      </c>
      <c r="DX18">
        <v>0</v>
      </c>
      <c r="DY18">
        <v>0</v>
      </c>
      <c r="DZ18">
        <v>3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>
        <v>46212</v>
      </c>
      <c r="AQ19" s="41" t="s">
        <v>204</v>
      </c>
      <c r="AR19" s="42" t="s">
        <v>184</v>
      </c>
      <c r="AS19" s="31">
        <v>17729987</v>
      </c>
      <c r="AT19" s="31" t="s">
        <v>285</v>
      </c>
      <c r="AU19" s="43" t="s">
        <v>53</v>
      </c>
      <c r="AV19" s="6">
        <v>6</v>
      </c>
      <c r="AW19" s="44">
        <v>0</v>
      </c>
      <c r="AX19" s="44">
        <v>18</v>
      </c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>
        <v>6</v>
      </c>
      <c r="BO19" s="55">
        <v>450000</v>
      </c>
      <c r="BP19" s="40">
        <v>46212</v>
      </c>
      <c r="BQ19" s="39">
        <v>6</v>
      </c>
      <c r="BR19" s="59">
        <v>450000</v>
      </c>
      <c r="BS19" s="39" t="s">
        <v>109</v>
      </c>
      <c r="BT19" s="57">
        <v>0</v>
      </c>
      <c r="BU19" s="40">
        <v>46213</v>
      </c>
      <c r="BV19" s="9">
        <v>400000</v>
      </c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5</v>
      </c>
      <c r="DN19">
        <v>0</v>
      </c>
      <c r="DO19">
        <v>0</v>
      </c>
      <c r="DP19">
        <v>21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>
        <v>46212</v>
      </c>
      <c r="AQ20" s="41" t="s">
        <v>204</v>
      </c>
      <c r="AR20" s="42" t="s">
        <v>184</v>
      </c>
      <c r="AS20" s="31">
        <v>1295672</v>
      </c>
      <c r="AT20" s="31" t="s">
        <v>286</v>
      </c>
      <c r="AU20" s="43" t="s">
        <v>41</v>
      </c>
      <c r="AV20" s="6">
        <v>7</v>
      </c>
      <c r="AW20" s="44">
        <v>0</v>
      </c>
      <c r="AX20" s="44">
        <v>21</v>
      </c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>
        <v>7</v>
      </c>
      <c r="BO20" s="55">
        <v>525000</v>
      </c>
      <c r="BP20" s="40">
        <v>46212</v>
      </c>
      <c r="BQ20" s="39">
        <v>7</v>
      </c>
      <c r="BR20" s="59">
        <v>525000</v>
      </c>
      <c r="BS20" s="39" t="s">
        <v>109</v>
      </c>
      <c r="BT20" s="57">
        <v>0</v>
      </c>
      <c r="BU20" s="40">
        <v>46213</v>
      </c>
      <c r="BV20" s="8">
        <v>2950000</v>
      </c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75</v>
      </c>
      <c r="C21" s="14">
        <v>961</v>
      </c>
      <c r="D21" s="13">
        <f t="shared" si="0"/>
        <v>1036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6</v>
      </c>
      <c r="S21" s="69">
        <f t="shared" si="13"/>
        <v>65</v>
      </c>
      <c r="T21" s="69">
        <f t="shared" si="14"/>
        <v>10</v>
      </c>
      <c r="U21" s="27">
        <f t="shared" si="15"/>
        <v>66</v>
      </c>
      <c r="V21" s="27">
        <f t="shared" si="25"/>
        <v>0</v>
      </c>
      <c r="W21" s="27">
        <f t="shared" si="17"/>
        <v>38</v>
      </c>
      <c r="X21" s="27">
        <f t="shared" si="18"/>
        <v>0</v>
      </c>
      <c r="Y21" s="27">
        <f t="shared" si="19"/>
        <v>27</v>
      </c>
      <c r="Z21" s="27">
        <f t="shared" si="1"/>
        <v>16</v>
      </c>
      <c r="AA21" s="69">
        <f t="shared" si="2"/>
        <v>196</v>
      </c>
      <c r="AB21" s="4">
        <v>9600</v>
      </c>
      <c r="AC21" s="27">
        <f t="shared" si="3"/>
        <v>1881600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46212</v>
      </c>
      <c r="AQ21" s="41" t="s">
        <v>204</v>
      </c>
      <c r="AR21" s="42" t="s">
        <v>184</v>
      </c>
      <c r="AS21" s="31">
        <v>1554004</v>
      </c>
      <c r="AT21" s="31" t="s">
        <v>287</v>
      </c>
      <c r="AU21" s="43" t="s">
        <v>42</v>
      </c>
      <c r="AV21" s="6">
        <v>6</v>
      </c>
      <c r="AW21" s="44">
        <v>0</v>
      </c>
      <c r="AX21" s="44">
        <v>18</v>
      </c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>
        <v>6</v>
      </c>
      <c r="BO21" s="55">
        <v>450000</v>
      </c>
      <c r="BP21" s="40">
        <v>46212</v>
      </c>
      <c r="BQ21" s="39">
        <v>6</v>
      </c>
      <c r="BR21" s="59">
        <v>450000</v>
      </c>
      <c r="BS21" s="39" t="s">
        <v>109</v>
      </c>
      <c r="BT21" s="57">
        <v>0</v>
      </c>
      <c r="BU21" s="40">
        <v>46213</v>
      </c>
      <c r="BV21" s="8">
        <v>800000</v>
      </c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65</v>
      </c>
      <c r="CX21">
        <v>66</v>
      </c>
      <c r="CY21">
        <v>38</v>
      </c>
      <c r="CZ21">
        <v>27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25</v>
      </c>
      <c r="H22" s="21">
        <v>22</v>
      </c>
      <c r="I22" s="21">
        <v>18</v>
      </c>
      <c r="J22" s="21">
        <v>58</v>
      </c>
      <c r="K22" s="21">
        <v>12</v>
      </c>
      <c r="L22" s="22">
        <f t="shared" si="11"/>
        <v>135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4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1</v>
      </c>
      <c r="Z22" s="27">
        <f t="shared" si="1"/>
        <v>0</v>
      </c>
      <c r="AA22" s="69">
        <f t="shared" si="2"/>
        <v>5</v>
      </c>
      <c r="AB22" s="4">
        <v>13200</v>
      </c>
      <c r="AC22" s="27">
        <f t="shared" si="3"/>
        <v>66000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46212</v>
      </c>
      <c r="AQ22" s="41" t="s">
        <v>204</v>
      </c>
      <c r="AR22" s="42" t="s">
        <v>184</v>
      </c>
      <c r="AS22" s="31">
        <v>1554004</v>
      </c>
      <c r="AT22" s="31" t="s">
        <v>287</v>
      </c>
      <c r="AU22" s="43" t="s">
        <v>273</v>
      </c>
      <c r="AV22" s="6">
        <v>2</v>
      </c>
      <c r="AW22" s="44">
        <v>0</v>
      </c>
      <c r="AX22" s="44">
        <v>6</v>
      </c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>
        <v>2</v>
      </c>
      <c r="BO22" s="55">
        <v>150000</v>
      </c>
      <c r="BP22" s="40">
        <v>46212</v>
      </c>
      <c r="BQ22" s="39">
        <v>2</v>
      </c>
      <c r="BR22" s="59">
        <v>150000</v>
      </c>
      <c r="BS22" s="39" t="s">
        <v>109</v>
      </c>
      <c r="BT22" s="57">
        <v>0</v>
      </c>
      <c r="BU22" s="40">
        <v>46213</v>
      </c>
      <c r="BV22" s="8">
        <v>800000</v>
      </c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4</v>
      </c>
      <c r="CY22">
        <v>0</v>
      </c>
      <c r="CZ22">
        <v>1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F23" s="20" t="s">
        <v>20</v>
      </c>
      <c r="G23" s="21">
        <v>15</v>
      </c>
      <c r="H23" s="21">
        <v>0</v>
      </c>
      <c r="I23" s="21">
        <v>3</v>
      </c>
      <c r="J23" s="21">
        <v>54</v>
      </c>
      <c r="K23" s="21">
        <v>9</v>
      </c>
      <c r="L23" s="22">
        <f t="shared" si="11"/>
        <v>81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46213</v>
      </c>
      <c r="AQ23" s="41" t="s">
        <v>204</v>
      </c>
      <c r="AR23" s="42" t="s">
        <v>184</v>
      </c>
      <c r="AS23" s="31"/>
      <c r="AT23" s="31" t="e">
        <v>#N/A</v>
      </c>
      <c r="AU23" s="43" t="s">
        <v>53</v>
      </c>
      <c r="AV23" s="6">
        <v>32</v>
      </c>
      <c r="AW23" s="44">
        <v>0</v>
      </c>
      <c r="AX23" s="44">
        <v>96</v>
      </c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>
        <v>32</v>
      </c>
      <c r="BO23" s="55">
        <v>2400000</v>
      </c>
      <c r="BP23" s="40"/>
      <c r="BQ23" s="39"/>
      <c r="BR23" s="59"/>
      <c r="BS23" s="39"/>
      <c r="BT23" s="57">
        <v>2400000</v>
      </c>
      <c r="BU23" s="40"/>
      <c r="BV23" s="8">
        <v>0</v>
      </c>
      <c r="BW23" s="58"/>
      <c r="CL23" t="s">
        <v>19</v>
      </c>
      <c r="CM23" s="70">
        <v>6</v>
      </c>
      <c r="CN23" s="70">
        <v>10</v>
      </c>
      <c r="CO23" s="70">
        <v>0</v>
      </c>
      <c r="CP23" s="70">
        <v>0</v>
      </c>
      <c r="CQ23">
        <v>30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35</v>
      </c>
      <c r="DI23">
        <v>0</v>
      </c>
      <c r="DJ23">
        <v>0</v>
      </c>
      <c r="DK23">
        <v>65</v>
      </c>
      <c r="DL23">
        <v>13</v>
      </c>
      <c r="DM23">
        <v>53</v>
      </c>
      <c r="DN23">
        <v>0</v>
      </c>
      <c r="DO23">
        <v>0</v>
      </c>
      <c r="DP23">
        <v>66</v>
      </c>
      <c r="DQ23">
        <v>35</v>
      </c>
      <c r="DR23">
        <v>3</v>
      </c>
      <c r="DS23">
        <v>0</v>
      </c>
      <c r="DT23">
        <v>0</v>
      </c>
      <c r="DU23">
        <v>38</v>
      </c>
      <c r="DV23">
        <v>12</v>
      </c>
      <c r="DW23">
        <v>15</v>
      </c>
      <c r="DX23">
        <v>0</v>
      </c>
      <c r="DY23">
        <v>0</v>
      </c>
      <c r="DZ23">
        <v>27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>
        <v>46213</v>
      </c>
      <c r="AQ24" s="41" t="s">
        <v>204</v>
      </c>
      <c r="AR24" s="42" t="s">
        <v>184</v>
      </c>
      <c r="AS24" s="31"/>
      <c r="AT24" s="31" t="e">
        <v>#N/A</v>
      </c>
      <c r="AU24" s="43" t="s">
        <v>41</v>
      </c>
      <c r="AV24" s="6">
        <v>31</v>
      </c>
      <c r="AW24" s="44">
        <v>0</v>
      </c>
      <c r="AX24" s="44">
        <v>93</v>
      </c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>
        <v>31</v>
      </c>
      <c r="BO24" s="55">
        <v>2325000</v>
      </c>
      <c r="BP24" s="40"/>
      <c r="BQ24" s="39"/>
      <c r="BR24" s="59"/>
      <c r="BS24" s="39"/>
      <c r="BT24" s="57">
        <v>2325000</v>
      </c>
      <c r="BU24" s="40"/>
      <c r="BV24" s="8">
        <v>0</v>
      </c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4</v>
      </c>
      <c r="DN24">
        <v>0</v>
      </c>
      <c r="DO24">
        <v>0</v>
      </c>
      <c r="DP24">
        <v>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1</v>
      </c>
      <c r="DX24">
        <v>0</v>
      </c>
      <c r="DY24">
        <v>0</v>
      </c>
      <c r="DZ24">
        <v>1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1077</v>
      </c>
      <c r="T25" s="19"/>
      <c r="U25" s="19">
        <f t="shared" ref="U25:AC25" si="26">SUM(U4:U24)</f>
        <v>1883</v>
      </c>
      <c r="V25" s="19"/>
      <c r="W25" s="19">
        <f t="shared" si="26"/>
        <v>1231</v>
      </c>
      <c r="X25" s="19"/>
      <c r="Y25" s="19">
        <f t="shared" si="26"/>
        <v>1319</v>
      </c>
      <c r="Z25" s="19">
        <f>SUM(Z4:Z24)</f>
        <v>38</v>
      </c>
      <c r="AA25" s="19">
        <f t="shared" si="26"/>
        <v>5510</v>
      </c>
      <c r="AB25" s="19"/>
      <c r="AC25" s="19">
        <f t="shared" si="26"/>
        <v>74753400</v>
      </c>
      <c r="AO25" s="39">
        <v>23</v>
      </c>
      <c r="AP25" s="40">
        <v>46213</v>
      </c>
      <c r="AQ25" s="41" t="s">
        <v>204</v>
      </c>
      <c r="AR25" s="42" t="s">
        <v>184</v>
      </c>
      <c r="AS25" s="31"/>
      <c r="AT25" s="31" t="e">
        <v>#N/A</v>
      </c>
      <c r="AU25" s="43" t="s">
        <v>42</v>
      </c>
      <c r="AV25" s="6">
        <v>32</v>
      </c>
      <c r="AW25" s="44">
        <v>0</v>
      </c>
      <c r="AX25" s="44">
        <v>96</v>
      </c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>
        <v>32</v>
      </c>
      <c r="BO25" s="55">
        <v>2400000</v>
      </c>
      <c r="BP25" s="40"/>
      <c r="BQ25" s="39"/>
      <c r="BR25" s="59"/>
      <c r="BS25" s="39"/>
      <c r="BT25" s="57">
        <v>2400000</v>
      </c>
      <c r="BU25" s="40"/>
      <c r="BV25" s="8">
        <v>0</v>
      </c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7">SUM(G5:G25)</f>
        <v>266</v>
      </c>
      <c r="H26" s="24">
        <f t="shared" si="27"/>
        <v>493</v>
      </c>
      <c r="I26" s="24">
        <f t="shared" si="27"/>
        <v>396</v>
      </c>
      <c r="J26" s="24">
        <f t="shared" si="27"/>
        <v>663</v>
      </c>
      <c r="K26" s="24">
        <f t="shared" si="27"/>
        <v>105</v>
      </c>
      <c r="L26" s="24">
        <f>SUM(L5:L25)</f>
        <v>1923</v>
      </c>
      <c r="AO26" s="39">
        <v>24</v>
      </c>
      <c r="AP26" s="40">
        <v>46213</v>
      </c>
      <c r="AQ26" s="41" t="s">
        <v>204</v>
      </c>
      <c r="AR26" s="42" t="s">
        <v>184</v>
      </c>
      <c r="AS26" s="31"/>
      <c r="AT26" s="31" t="e">
        <v>#N/A</v>
      </c>
      <c r="AU26" s="43" t="s">
        <v>273</v>
      </c>
      <c r="AV26" s="6">
        <v>8</v>
      </c>
      <c r="AW26" s="44">
        <v>0</v>
      </c>
      <c r="AX26" s="44">
        <v>24</v>
      </c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>
        <v>8</v>
      </c>
      <c r="BO26" s="55">
        <v>600000</v>
      </c>
      <c r="BP26" s="40"/>
      <c r="BQ26" s="39"/>
      <c r="BR26" s="59"/>
      <c r="BS26" s="39"/>
      <c r="BT26" s="57">
        <v>600000</v>
      </c>
      <c r="BU26" s="40"/>
      <c r="BV26" s="8">
        <v>0</v>
      </c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46214</v>
      </c>
      <c r="AQ27" s="41" t="s">
        <v>204</v>
      </c>
      <c r="AR27" s="42" t="s">
        <v>184</v>
      </c>
      <c r="AS27" s="31"/>
      <c r="AT27" s="31" t="e">
        <v>#N/A</v>
      </c>
      <c r="AU27" s="43" t="s">
        <v>53</v>
      </c>
      <c r="AV27" s="6"/>
      <c r="AW27" s="44">
        <v>0</v>
      </c>
      <c r="AX27" s="44">
        <v>0</v>
      </c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>
        <v>0</v>
      </c>
      <c r="BO27" s="55">
        <v>0</v>
      </c>
      <c r="BP27" s="40">
        <v>46214</v>
      </c>
      <c r="BQ27" s="39">
        <v>5</v>
      </c>
      <c r="BR27" s="59">
        <v>375000</v>
      </c>
      <c r="BS27" s="39" t="s">
        <v>109</v>
      </c>
      <c r="BT27" s="57">
        <v>-375000</v>
      </c>
      <c r="BU27" s="40">
        <v>46216</v>
      </c>
      <c r="BV27" s="8">
        <v>0</v>
      </c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46214</v>
      </c>
      <c r="AQ28" s="41" t="s">
        <v>204</v>
      </c>
      <c r="AR28" s="42" t="s">
        <v>184</v>
      </c>
      <c r="AS28" s="31"/>
      <c r="AT28" s="31" t="e">
        <v>#N/A</v>
      </c>
      <c r="AU28" s="43" t="s">
        <v>42</v>
      </c>
      <c r="AV28" s="6"/>
      <c r="AW28" s="44">
        <v>0</v>
      </c>
      <c r="AX28" s="44">
        <v>0</v>
      </c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>
        <v>0</v>
      </c>
      <c r="BO28" s="55">
        <v>0</v>
      </c>
      <c r="BP28" s="40">
        <v>46214</v>
      </c>
      <c r="BQ28" s="39">
        <v>10</v>
      </c>
      <c r="BR28" s="59">
        <v>750000</v>
      </c>
      <c r="BS28" s="39" t="s">
        <v>109</v>
      </c>
      <c r="BT28" s="57">
        <v>-750000</v>
      </c>
      <c r="BU28" s="40">
        <v>46216</v>
      </c>
      <c r="BV28" s="8">
        <v>0</v>
      </c>
      <c r="BW28" s="58"/>
    </row>
    <row r="29" spans="1:133" x14ac:dyDescent="0.35">
      <c r="A29" s="90" t="s">
        <v>51</v>
      </c>
      <c r="B29" s="91" t="s">
        <v>214</v>
      </c>
      <c r="C29" s="92" t="s">
        <v>215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73"/>
      <c r="U29" s="93" t="s">
        <v>216</v>
      </c>
      <c r="V29" s="93"/>
      <c r="W29" s="93"/>
      <c r="X29" s="93" t="s">
        <v>217</v>
      </c>
      <c r="Y29" s="93"/>
      <c r="Z29" s="93"/>
      <c r="AA29" s="93"/>
      <c r="AB29" s="93"/>
      <c r="AC29" s="93"/>
      <c r="AD29" s="93"/>
      <c r="AE29" s="93"/>
      <c r="AF29" s="93"/>
      <c r="AG29" s="89" t="s">
        <v>218</v>
      </c>
      <c r="AO29" s="39">
        <v>27</v>
      </c>
      <c r="AP29" s="40">
        <v>46214</v>
      </c>
      <c r="AQ29" s="41" t="s">
        <v>204</v>
      </c>
      <c r="AR29" s="42" t="s">
        <v>184</v>
      </c>
      <c r="AS29" s="31"/>
      <c r="AT29" s="31" t="e">
        <v>#N/A</v>
      </c>
      <c r="AU29" s="43" t="s">
        <v>53</v>
      </c>
      <c r="AV29" s="6"/>
      <c r="AW29" s="44">
        <v>0</v>
      </c>
      <c r="AX29" s="44">
        <v>0</v>
      </c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>
        <v>0</v>
      </c>
      <c r="BO29" s="55">
        <v>0</v>
      </c>
      <c r="BP29" s="40">
        <v>46214</v>
      </c>
      <c r="BQ29" s="39">
        <v>6</v>
      </c>
      <c r="BR29" s="59">
        <v>450000</v>
      </c>
      <c r="BS29" s="39" t="s">
        <v>109</v>
      </c>
      <c r="BT29" s="57">
        <v>-450000</v>
      </c>
      <c r="BU29" s="40">
        <v>46216</v>
      </c>
      <c r="BV29" s="8">
        <v>0</v>
      </c>
      <c r="BW29" s="58"/>
    </row>
    <row r="30" spans="1:133" x14ac:dyDescent="0.35">
      <c r="A30" s="90"/>
      <c r="B30" s="91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89"/>
      <c r="AO30" s="39">
        <v>28</v>
      </c>
      <c r="AP30" s="40">
        <v>46214</v>
      </c>
      <c r="AQ30" s="41" t="s">
        <v>204</v>
      </c>
      <c r="AR30" s="42" t="s">
        <v>184</v>
      </c>
      <c r="AS30" s="31"/>
      <c r="AT30" s="31" t="e">
        <v>#N/A</v>
      </c>
      <c r="AU30" s="31" t="s">
        <v>41</v>
      </c>
      <c r="AV30" s="6"/>
      <c r="AW30" s="44">
        <v>0</v>
      </c>
      <c r="AX30" s="44">
        <v>0</v>
      </c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>
        <v>0</v>
      </c>
      <c r="BO30" s="55">
        <v>0</v>
      </c>
      <c r="BP30" s="40">
        <v>46214</v>
      </c>
      <c r="BQ30" s="39">
        <v>5</v>
      </c>
      <c r="BR30" s="59">
        <v>375000</v>
      </c>
      <c r="BS30" s="39" t="s">
        <v>109</v>
      </c>
      <c r="BT30" s="57">
        <v>-375000</v>
      </c>
      <c r="BU30" s="40">
        <v>46216</v>
      </c>
      <c r="BV30" s="8">
        <v>0</v>
      </c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46214</v>
      </c>
      <c r="AQ31" s="41" t="s">
        <v>204</v>
      </c>
      <c r="AR31" s="42" t="s">
        <v>184</v>
      </c>
      <c r="AS31" s="31"/>
      <c r="AT31" s="31" t="e">
        <v>#N/A</v>
      </c>
      <c r="AU31" s="31" t="s">
        <v>42</v>
      </c>
      <c r="AV31" s="6"/>
      <c r="AW31" s="44">
        <v>0</v>
      </c>
      <c r="AX31" s="44">
        <v>0</v>
      </c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>
        <v>0</v>
      </c>
      <c r="BO31" s="55">
        <v>0</v>
      </c>
      <c r="BP31" s="40">
        <v>46214</v>
      </c>
      <c r="BQ31" s="39">
        <v>10</v>
      </c>
      <c r="BR31" s="59">
        <v>750000</v>
      </c>
      <c r="BS31" s="39" t="s">
        <v>109</v>
      </c>
      <c r="BT31" s="57">
        <v>-750000</v>
      </c>
      <c r="BU31" s="40">
        <v>46216</v>
      </c>
      <c r="BV31" s="8">
        <v>0</v>
      </c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/>
      <c r="AQ32" s="41"/>
      <c r="AR32" s="42"/>
      <c r="AS32" s="31"/>
      <c r="AT32" s="31"/>
      <c r="AU32" s="31"/>
      <c r="AV32" s="6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55"/>
      <c r="BP32" s="40"/>
      <c r="BQ32" s="39"/>
      <c r="BR32" s="59"/>
      <c r="BS32" s="39"/>
      <c r="BT32" s="57"/>
      <c r="BU32" s="40"/>
      <c r="BV32" s="8"/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/>
      <c r="AQ33" s="41"/>
      <c r="AR33" s="42"/>
      <c r="AS33" s="31"/>
      <c r="AT33" s="31"/>
      <c r="AU33" s="31"/>
      <c r="AV33" s="6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55"/>
      <c r="BP33" s="40"/>
      <c r="BQ33" s="39"/>
      <c r="BR33" s="59"/>
      <c r="BS33" s="39"/>
      <c r="BT33" s="57"/>
      <c r="BU33" s="40"/>
      <c r="BV33" s="8"/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/>
      <c r="AQ34" s="41"/>
      <c r="AR34" s="42"/>
      <c r="AS34" s="31"/>
      <c r="AT34" s="31"/>
      <c r="AU34" s="31"/>
      <c r="AV34" s="6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55"/>
      <c r="BP34" s="40"/>
      <c r="BQ34" s="39"/>
      <c r="BR34" s="59"/>
      <c r="BS34" s="39"/>
      <c r="BT34" s="57"/>
      <c r="BU34" s="40"/>
      <c r="BV34" s="8"/>
      <c r="BW34" s="58"/>
    </row>
    <row r="35" spans="1:75" x14ac:dyDescent="0.35">
      <c r="AO35" s="39">
        <v>33</v>
      </c>
      <c r="AP35" s="40"/>
      <c r="AQ35" s="41"/>
      <c r="AR35" s="42"/>
      <c r="AS35" s="31"/>
      <c r="AT35" s="31"/>
      <c r="AU35" s="31"/>
      <c r="AV35" s="6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55"/>
      <c r="BP35" s="40"/>
      <c r="BQ35" s="39"/>
      <c r="BR35" s="59"/>
      <c r="BS35" s="39"/>
      <c r="BT35" s="57"/>
      <c r="BU35" s="40"/>
      <c r="BV35" s="8"/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/>
      <c r="AQ36" s="41"/>
      <c r="AR36" s="42"/>
      <c r="AS36" s="31"/>
      <c r="AT36" s="31"/>
      <c r="AU36" s="31"/>
      <c r="AV36" s="6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55"/>
      <c r="BP36" s="40"/>
      <c r="BQ36" s="39"/>
      <c r="BR36" s="59"/>
      <c r="BS36" s="39"/>
      <c r="BT36" s="57"/>
      <c r="BU36" s="40"/>
      <c r="BV36" s="8"/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B2:AB3"/>
    <mergeCell ref="AC2:AC3"/>
    <mergeCell ref="A2:A3"/>
    <mergeCell ref="B2:B3"/>
    <mergeCell ref="C2:C3"/>
    <mergeCell ref="D2:D3"/>
    <mergeCell ref="F2:L2"/>
    <mergeCell ref="AA2:AA3"/>
    <mergeCell ref="Z2:Z3"/>
    <mergeCell ref="AG29:AG30"/>
    <mergeCell ref="A29:A30"/>
    <mergeCell ref="B29:B30"/>
    <mergeCell ref="C29:S29"/>
    <mergeCell ref="U29:W29"/>
    <mergeCell ref="X29:AF29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2026-07-13T09:07:15Z</dcterms:modified>
</cp:coreProperties>
</file>