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4" documentId="8_{A68C8C10-5CC6-0546-870F-240369AE7AB4}" xr6:coauthVersionLast="47" xr6:coauthVersionMax="47" xr10:uidLastSave="{FED6999A-F806-4F83-918F-50FCB3546C84}"/>
  <bookViews>
    <workbookView xWindow="-110" yWindow="-110" windowWidth="19420" windowHeight="1030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79" i="8" l="1"/>
  <c r="BO79" i="8" s="1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BO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BJ77" i="8"/>
  <c r="BO77" i="8" s="1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BO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BJ75" i="8"/>
  <c r="BO75" i="8" s="1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BO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BJ73" i="8"/>
  <c r="BO73" i="8" s="1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BO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BJ71" i="8"/>
  <c r="BO71" i="8" s="1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BO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BJ69" i="8"/>
  <c r="BO69" i="8" s="1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BO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BJ67" i="8"/>
  <c r="BO67" i="8" s="1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BO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BJ65" i="8"/>
  <c r="BO65" i="8" s="1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BJ64" i="8"/>
  <c r="BO64" i="8" s="1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BJ63" i="8"/>
  <c r="BO63" i="8" s="1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BO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BJ61" i="8"/>
  <c r="BO61" i="8" s="1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BO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BJ59" i="8"/>
  <c r="BO59" i="8" s="1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BO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BJ57" i="8"/>
  <c r="BO57" i="8" s="1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BO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BJ55" i="8"/>
  <c r="BO55" i="8" s="1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BO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BJ53" i="8"/>
  <c r="BO53" i="8" s="1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BO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BJ51" i="8"/>
  <c r="BO51" i="8" s="1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BO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BJ49" i="8"/>
  <c r="BO49" i="8" s="1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BJ48" i="8"/>
  <c r="BO48" i="8" s="1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BO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BO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BJ45" i="8"/>
  <c r="BO45" i="8" s="1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BJ44" i="8"/>
  <c r="BO44" i="8" s="1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BO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BO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BJ41" i="8"/>
  <c r="BO41" i="8" s="1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BJ40" i="8"/>
  <c r="BO40" i="8" s="1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BO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BO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BJ37" i="8"/>
  <c r="BO37" i="8" s="1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BO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BO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BO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BJ33" i="8"/>
  <c r="BO33" i="8" s="1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BJ32" i="8"/>
  <c r="BO32" i="8" s="1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BO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BO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BJ29" i="8"/>
  <c r="BO29" i="8" s="1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BJ28" i="8"/>
  <c r="BO28" i="8" s="1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BO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BO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BJ25" i="8"/>
  <c r="BO25" i="8" s="1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BJ24" i="8"/>
  <c r="BO24" i="8" s="1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BO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BO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BJ21" i="8"/>
  <c r="BO21" i="8" s="1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BJ20" i="8"/>
  <c r="BO20" i="8" s="1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BO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BO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BJ17" i="8"/>
  <c r="BO17" i="8" s="1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BJ16" i="8"/>
  <c r="BO16" i="8" s="1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BO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BO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BJ13" i="8"/>
  <c r="BO13" i="8" s="1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BJ12" i="8"/>
  <c r="BO12" i="8" s="1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BO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BO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BJ9" i="8"/>
  <c r="BO9" i="8" s="1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BJ8" i="8"/>
  <c r="BO8" i="8" s="1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BO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BO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BJ5" i="8"/>
  <c r="BO5" i="8" s="1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BJ4" i="8"/>
  <c r="BO4" i="8" s="1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BO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P79" i="8"/>
  <c r="AN79" i="8"/>
  <c r="AP78" i="8"/>
  <c r="AN78" i="8"/>
  <c r="AP77" i="8"/>
  <c r="AN77" i="8"/>
  <c r="AP76" i="8"/>
  <c r="AN76" i="8"/>
  <c r="AP75" i="8"/>
  <c r="AN75" i="8"/>
  <c r="AP74" i="8"/>
  <c r="AN74" i="8"/>
  <c r="AP73" i="8"/>
  <c r="AN73" i="8"/>
  <c r="AP72" i="8"/>
  <c r="AN72" i="8"/>
  <c r="AP71" i="8"/>
  <c r="AN71" i="8"/>
  <c r="AP70" i="8"/>
  <c r="AN70" i="8"/>
  <c r="AP69" i="8"/>
  <c r="AN69" i="8"/>
  <c r="AP68" i="8"/>
  <c r="AN68" i="8"/>
  <c r="AP67" i="8"/>
  <c r="AN67" i="8"/>
  <c r="AP66" i="8"/>
  <c r="AN66" i="8"/>
  <c r="AP65" i="8"/>
  <c r="AN65" i="8"/>
  <c r="AP64" i="8"/>
  <c r="AN64" i="8"/>
  <c r="AP63" i="8"/>
  <c r="AN63" i="8"/>
  <c r="AP62" i="8"/>
  <c r="AN62" i="8"/>
  <c r="AP61" i="8"/>
  <c r="AN61" i="8"/>
  <c r="AP60" i="8"/>
  <c r="AN60" i="8"/>
  <c r="AP59" i="8"/>
  <c r="AN59" i="8"/>
  <c r="AP58" i="8"/>
  <c r="AN58" i="8"/>
  <c r="AP57" i="8"/>
  <c r="AN57" i="8"/>
  <c r="AP56" i="8"/>
  <c r="AN56" i="8"/>
  <c r="AP55" i="8"/>
  <c r="AN55" i="8"/>
  <c r="AP54" i="8"/>
  <c r="AN54" i="8"/>
  <c r="AP53" i="8"/>
  <c r="AN53" i="8"/>
  <c r="AP52" i="8"/>
  <c r="AN52" i="8"/>
  <c r="AP51" i="8"/>
  <c r="AN51" i="8"/>
  <c r="AP50" i="8"/>
  <c r="AN50" i="8"/>
  <c r="AP49" i="8"/>
  <c r="AN49" i="8"/>
  <c r="AP48" i="8"/>
  <c r="AN48" i="8"/>
  <c r="AP47" i="8"/>
  <c r="AN47" i="8"/>
  <c r="AP46" i="8"/>
  <c r="AN46" i="8"/>
  <c r="AP45" i="8"/>
  <c r="AN45" i="8"/>
  <c r="AP44" i="8"/>
  <c r="AN44" i="8"/>
  <c r="AP43" i="8"/>
  <c r="AN43" i="8"/>
  <c r="AP42" i="8"/>
  <c r="AN42" i="8"/>
  <c r="AP41" i="8"/>
  <c r="AN41" i="8"/>
  <c r="AP40" i="8"/>
  <c r="AN40" i="8"/>
  <c r="AP39" i="8"/>
  <c r="AN39" i="8"/>
  <c r="AP38" i="8"/>
  <c r="AN38" i="8"/>
  <c r="AP37" i="8"/>
  <c r="AN37" i="8"/>
  <c r="AP36" i="8"/>
  <c r="AN36" i="8"/>
  <c r="AP35" i="8"/>
  <c r="AN35" i="8"/>
  <c r="AP34" i="8"/>
  <c r="AN34" i="8"/>
  <c r="AP33" i="8"/>
  <c r="AN33" i="8"/>
  <c r="AP32" i="8"/>
  <c r="AN32" i="8"/>
  <c r="AP31" i="8"/>
  <c r="AN31" i="8"/>
  <c r="AP30" i="8"/>
  <c r="AN30" i="8"/>
  <c r="AP29" i="8"/>
  <c r="AN29" i="8"/>
  <c r="AP28" i="8"/>
  <c r="AN28" i="8"/>
  <c r="AP27" i="8"/>
  <c r="AN27" i="8"/>
  <c r="AP26" i="8"/>
  <c r="AN26" i="8"/>
  <c r="AP25" i="8"/>
  <c r="AN25" i="8"/>
  <c r="AP24" i="8"/>
  <c r="AN24" i="8"/>
  <c r="AP23" i="8"/>
  <c r="AN23" i="8"/>
  <c r="AP22" i="8"/>
  <c r="AN22" i="8"/>
  <c r="AP21" i="8"/>
  <c r="AN21" i="8"/>
  <c r="AP20" i="8"/>
  <c r="AN20" i="8"/>
  <c r="AP19" i="8"/>
  <c r="AN19" i="8"/>
  <c r="AP18" i="8"/>
  <c r="AN18" i="8"/>
  <c r="AP17" i="8"/>
  <c r="AN17" i="8"/>
  <c r="AP16" i="8"/>
  <c r="AN16" i="8"/>
  <c r="AP15" i="8"/>
  <c r="AN15" i="8"/>
  <c r="AP14" i="8"/>
  <c r="AN14" i="8"/>
  <c r="AP13" i="8"/>
  <c r="AN13" i="8"/>
  <c r="AP12" i="8"/>
  <c r="AN12" i="8"/>
  <c r="AP11" i="8"/>
  <c r="AN11" i="8"/>
  <c r="AP10" i="8"/>
  <c r="AN10" i="8"/>
  <c r="AP9" i="8"/>
  <c r="AN9" i="8"/>
  <c r="AP8" i="8"/>
  <c r="AN8" i="8"/>
  <c r="AP7" i="8"/>
  <c r="AN7" i="8"/>
  <c r="AP6" i="8"/>
  <c r="AN6" i="8"/>
  <c r="AP5" i="8"/>
  <c r="AN5" i="8"/>
  <c r="AP4" i="8"/>
  <c r="AN4" i="8"/>
  <c r="AP3" i="8"/>
  <c r="AN3" i="8"/>
  <c r="O10" i="8"/>
  <c r="O12" i="8"/>
  <c r="O11" i="8"/>
  <c r="O9" i="8"/>
  <c r="K46" i="5" l="1"/>
  <c r="K44" i="5"/>
  <c r="K43" i="5"/>
  <c r="K42" i="5"/>
  <c r="K40" i="5"/>
  <c r="K39" i="5"/>
  <c r="K38" i="5"/>
  <c r="K36" i="5"/>
  <c r="K35" i="5"/>
  <c r="K34" i="5"/>
  <c r="I33" i="5"/>
  <c r="K32" i="5"/>
  <c r="K31" i="5"/>
  <c r="K30" i="5"/>
  <c r="I29" i="5"/>
  <c r="K28" i="5"/>
  <c r="K27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3" i="5"/>
  <c r="F42" i="5"/>
  <c r="F40" i="5"/>
  <c r="F38" i="5"/>
  <c r="F37" i="5"/>
  <c r="F36" i="5"/>
  <c r="F35" i="5"/>
  <c r="F34" i="5"/>
  <c r="F33" i="5"/>
  <c r="F32" i="5"/>
  <c r="F30" i="5"/>
  <c r="F29" i="5"/>
  <c r="F28" i="5"/>
  <c r="O6" i="8"/>
  <c r="O5" i="8"/>
  <c r="O4" i="8"/>
  <c r="O3" i="8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5" i="5"/>
  <c r="I41" i="5"/>
  <c r="I37" i="5"/>
  <c r="F44" i="5"/>
  <c r="F41" i="5"/>
  <c r="F39" i="5"/>
  <c r="F31" i="5"/>
  <c r="F27" i="5"/>
  <c r="K33" i="5" l="1"/>
  <c r="K37" i="5"/>
  <c r="K41" i="5"/>
  <c r="K29" i="5"/>
  <c r="K45" i="5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 s="1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 s="1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 s="1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 s="1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 s="1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 s="1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 s="1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 s="1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 s="1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 s="1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 s="1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 s="1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 s="1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 s="1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 s="1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 s="1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 s="1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 s="1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 s="1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 s="1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 s="1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 s="1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 s="1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 s="1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 s="1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 s="1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 s="1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 s="1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 s="1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 s="1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 s="1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 s="1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 s="1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 s="1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 s="1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 s="1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 s="1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 s="1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 s="1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 s="1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 s="1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 s="1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 s="1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 s="1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 s="1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 s="1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 s="1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 s="1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 s="1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 s="1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 s="1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 s="1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 s="1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 s="1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 s="1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 s="1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 s="1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 s="1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 s="1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 s="1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 s="1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 s="1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 s="1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 s="1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 s="1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 s="1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 s="1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 s="1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 s="1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 s="1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 s="1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 s="1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 s="1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 s="1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 s="1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 s="1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 s="1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 s="1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 s="1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 s="1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 s="1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 s="1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 s="1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 s="1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 s="1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 s="1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 s="1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 s="1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 s="1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 s="1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 s="1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 s="1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 s="1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 s="1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 s="1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 s="1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 s="1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 s="1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 s="1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 s="1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 s="1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 s="1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 s="1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 s="1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 s="1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 s="1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 s="1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 s="1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 s="1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 s="1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 s="1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 s="1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 s="1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 s="1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 s="1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 s="1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 s="1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 s="1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 s="1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 s="1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 s="1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 s="1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 s="1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 s="1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 s="1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 s="1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 s="1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 s="1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 s="1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 s="1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 s="1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 s="1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 s="1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 s="1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 s="1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 s="1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 s="1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 s="1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 s="1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 s="1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 s="1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 s="1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 s="1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 s="1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 s="1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 s="1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 s="1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 s="1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 s="1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 s="1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 s="1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 s="1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 s="1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 s="1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 s="1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 s="1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 s="1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 s="1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 s="1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 s="1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 s="1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 s="1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 s="1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 s="1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 s="1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 s="1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 s="1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 s="1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 s="1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 s="1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 s="1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 s="1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 s="1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 s="1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 s="1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 s="1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 s="1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 s="1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 s="1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 s="1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 s="1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 s="1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 s="1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 s="1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 s="1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 s="1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 s="1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 s="1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 s="1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 s="1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 s="1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 s="1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 s="1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 s="1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 s="1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 s="1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 s="1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 s="1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 s="1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 s="1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 s="1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 s="1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 s="1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 s="1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 s="1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 s="1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 s="1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 s="1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 s="1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 s="1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 s="1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 s="1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 s="1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 s="1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 s="1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 s="1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 s="1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 s="1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 s="1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 s="1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 s="1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 s="1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 s="1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 s="1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 s="1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 s="1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 s="1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 s="1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 s="1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 s="1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 s="1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 s="1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 s="1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 s="1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 s="1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 s="1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 s="1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 s="1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 s="1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 s="1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 s="1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 s="1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 s="1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 s="1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 s="1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 s="1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 s="1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 s="1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 s="1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 s="1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 s="1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 s="1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 s="1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 s="1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 s="1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 s="1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 s="1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 s="1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 s="1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 s="1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 s="1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 s="1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 s="1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 s="1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 s="1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 s="1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 s="1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 s="1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 s="1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 s="1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 s="1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 s="1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 s="1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 s="1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 s="1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 s="1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 s="1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 s="1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 s="1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 s="1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 s="1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 s="1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 s="1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 s="1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 s="1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 s="1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 s="1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 s="1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 s="1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 s="1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 s="1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 s="1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 s="1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 s="1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 s="1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 s="1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 s="1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 s="1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 s="1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 s="1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 s="1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 s="1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 s="1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 s="1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 s="1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 s="1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 s="1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 s="1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 s="1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 s="1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 s="1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 s="1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 s="1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 s="1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 s="1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 s="1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 s="1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 s="1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 s="1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 s="1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 s="1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 s="1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 s="1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 s="1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 s="1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 s="1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 s="1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 s="1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 s="1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 s="1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 s="1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 s="1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 s="1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 s="1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 s="1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 s="1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 s="1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 s="1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 s="1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 s="1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 s="1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 s="1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 s="1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 s="1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 s="1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 s="1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 s="1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 s="1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 s="1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 s="1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 s="1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 s="1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 s="1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 s="1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 s="1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 s="1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 s="1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 s="1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 s="1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 s="1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 s="1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 s="1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 s="1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 s="1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 s="1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 s="1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 s="1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 s="1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 s="1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 s="1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 s="1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 s="1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 s="1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 s="1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 s="1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 s="1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 s="1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 s="1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 s="1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 s="1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 s="1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 s="1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 s="1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 s="1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 s="1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 s="1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 s="1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 s="1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 s="1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 s="1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 s="1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 s="1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 s="1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 s="1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 s="1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 s="1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 s="1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 s="1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 s="1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 s="1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 s="1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 s="1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 s="1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 s="1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 s="1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 s="1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 s="1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 s="1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 s="1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 s="1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 s="1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 s="1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 s="1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 s="1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 s="1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 s="1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 s="1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 s="1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 s="1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 s="1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 s="1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 s="1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 s="1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 s="1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 s="1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 s="1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 s="1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 s="1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 s="1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 s="1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 s="1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 s="1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 s="1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 s="1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 s="1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 s="1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 s="1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 s="1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 s="1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 s="1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 s="1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 s="1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 s="1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 s="1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 s="1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 s="1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 s="1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 s="1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O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 s="1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 s="1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 s="1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 s="1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 s="1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 s="1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 s="1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 s="1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 s="1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 s="1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 s="1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 s="1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 s="1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 s="1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 s="1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 s="1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 s="1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 s="1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 s="1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 s="1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 s="1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 s="1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 s="1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 s="1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 s="1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 s="1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 s="1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 s="1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 s="1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 s="1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 s="1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 s="1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 s="1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 s="1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 s="1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 s="1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 s="1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 s="1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 s="1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 s="1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 s="1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 s="1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 s="1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 s="1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 s="1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 s="1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 s="1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J1306" i="8"/>
  <c r="BO1306" i="8" s="1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 s="1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 s="1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 s="1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 s="1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 s="1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 s="1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 s="1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 s="1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 s="1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 s="1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 s="1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 s="1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 s="1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 s="1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 s="1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 s="1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 s="1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 s="1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 s="1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 s="1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 s="1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 s="1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 s="1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 s="1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 s="1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 s="1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 s="1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 s="1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 s="1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 s="1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 s="1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 s="1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 s="1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 s="1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 s="1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 s="1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 s="1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 s="1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 s="1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 s="1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 s="1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 s="1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 s="1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 s="1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 s="1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 s="1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 s="1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 s="1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 s="1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 s="1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 s="1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 s="1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 s="1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 s="1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 s="1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 s="1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 s="1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 s="1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 s="1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 s="1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 s="1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 s="1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 s="1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 s="1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 s="1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 s="1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 s="1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 s="1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 s="1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 s="1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 s="1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 s="1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 s="1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 s="1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 s="1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 s="1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 s="1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 s="1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 s="1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 s="1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 s="1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 s="1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 s="1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 s="1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 s="1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 s="1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 s="1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 s="1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 s="1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 s="1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 s="1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 s="1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 s="1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 s="1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 s="1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 s="1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 s="1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 s="1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 s="1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 s="1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 s="1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 s="1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 s="1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 s="1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 s="1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 s="1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 s="1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 s="1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 s="1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 s="1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 s="1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 s="1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 s="1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 s="1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 s="1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 s="1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 s="1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 s="1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 s="1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 s="1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 s="1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 s="1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 s="1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 s="1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 s="1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 s="1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 s="1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 s="1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 s="1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 s="1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 s="1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 s="1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 s="1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 s="1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 s="1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 s="1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 s="1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 s="1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 s="1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 s="1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 s="1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 s="1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 s="1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 s="1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 s="1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 s="1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 s="1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 s="1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 s="1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 s="1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 s="1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 s="1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 s="1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 s="1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 s="1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 s="1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 s="1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 s="1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 s="1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 s="1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 s="1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 s="1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 s="1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 s="1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 s="1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 s="1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 s="1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 s="1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 s="1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 s="1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 s="1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 s="1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 s="1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 s="1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 s="1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 s="1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 s="1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 s="1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 s="1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 s="1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 s="1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 s="1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 s="1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 s="1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 s="1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 s="1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 s="1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 s="1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 s="1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 s="1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 s="1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 s="1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 s="1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 s="1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 s="1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 s="1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 s="1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 s="1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 s="1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 s="1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 s="1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 s="1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 s="1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 s="1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 s="1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 s="1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 s="1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 s="1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 s="1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 s="1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 s="1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 s="1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 s="1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 s="1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 s="1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 s="1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 s="1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 s="1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 s="1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 s="1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 s="1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 s="1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 s="1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 s="1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 s="1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 s="1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 s="1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 s="1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 s="1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 s="1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 s="1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 s="1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 s="1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 s="1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 s="1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 s="1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 s="1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 s="1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 s="1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 s="1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 s="1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 s="1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 s="1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 s="1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 s="1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 s="1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 s="1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 s="1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 s="1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 s="1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 s="1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 s="1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 s="1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 s="1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 s="1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 s="1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 s="1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 s="1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 s="1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 s="1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 s="1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 s="1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J1043" i="8"/>
  <c r="BO1043" i="8" s="1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 s="1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 s="1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 s="1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 s="1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 s="1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 s="1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 s="1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 s="1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 s="1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 s="1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 s="1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 s="1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 s="1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 s="1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 s="1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 s="1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 s="1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 s="1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 s="1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 s="1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 s="1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 s="1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 s="1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 s="1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 s="1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 s="1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 s="1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 s="1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 s="1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 s="1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 s="1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 s="1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 s="1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 s="1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 s="1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 s="1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 s="1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 s="1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 s="1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 s="1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 s="1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 s="1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 s="1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 s="1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 s="1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 s="1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 s="1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 s="1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 s="1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 s="1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 s="1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 s="1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 s="1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 s="1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 s="1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 s="1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 s="1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 s="1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 s="1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 s="1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 s="1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 s="1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 s="1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 s="1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 s="1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 s="1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 s="1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 s="1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 s="1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 s="1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 s="1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 s="1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 s="1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 s="1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 s="1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 s="1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 s="1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 s="1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 s="1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 s="1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 s="1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 s="1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 s="1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 s="1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 s="1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 s="1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 s="1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 s="1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 s="1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 s="1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 s="1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 s="1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 s="1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 s="1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 s="1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 s="1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 s="1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 s="1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 s="1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 s="1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 s="1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 s="1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 s="1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 s="1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 s="1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 s="1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 s="1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 s="1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 s="1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 s="1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 s="1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 s="1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 s="1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 s="1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 s="1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 s="1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 s="1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 s="1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 s="1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 s="1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 s="1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 s="1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 s="1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 s="1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 s="1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 s="1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 s="1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 s="1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 s="1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 s="1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 s="1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 s="1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 s="1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 s="1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 s="1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 s="1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 s="1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 s="1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 s="1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 s="1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 s="1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 s="1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 s="1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 s="1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 s="1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 s="1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 s="1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 s="1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 s="1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 s="1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 s="1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 s="1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 s="1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 s="1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 s="1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 s="1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 s="1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 s="1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 s="1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 s="1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 s="1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 s="1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 s="1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 s="1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 s="1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 s="1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 s="1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 s="1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 s="1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 s="1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 s="1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 s="1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 s="1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 s="1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 s="1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 s="1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 s="1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 s="1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 s="1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 s="1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 s="1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 s="1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 s="1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 s="1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 s="1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 s="1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 s="1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 s="1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 s="1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 s="1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 s="1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 s="1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 s="1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 s="1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 s="1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 s="1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 s="1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 s="1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 s="1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 s="1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 s="1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 s="1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 s="1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 s="1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 s="1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 s="1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 s="1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 s="1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 s="1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 s="1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 s="1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 s="1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 s="1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 s="1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 s="1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 s="1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 s="1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 s="1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 s="1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 s="1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 s="1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 s="1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 s="1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 s="1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 s="1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 s="1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 s="1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 s="1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 s="1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 s="1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 s="1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 s="1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 s="1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 s="1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 s="1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 s="1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 s="1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 s="1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 s="1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 s="1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 s="1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 s="1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 s="1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 s="1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 s="1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 s="1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 s="1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 s="1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 s="1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 s="1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 s="1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 s="1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 s="1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 s="1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 s="1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J787" i="8"/>
  <c r="BO787" i="8" s="1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 s="1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 s="1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 s="1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 s="1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 s="1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 s="1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 s="1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 s="1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 s="1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 s="1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 s="1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 s="1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 s="1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 s="1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 s="1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 s="1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 s="1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 s="1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 s="1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 s="1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 s="1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 s="1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 s="1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 s="1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 s="1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 s="1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 s="1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 s="1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 s="1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 s="1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 s="1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 s="1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 s="1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 s="1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 s="1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 s="1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 s="1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 s="1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 s="1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 s="1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 s="1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 s="1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 s="1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 s="1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 s="1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 s="1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 s="1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 s="1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 s="1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 s="1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 s="1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 s="1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 s="1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 s="1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 s="1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 s="1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 s="1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 s="1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 s="1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 s="1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 s="1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 s="1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 s="1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 s="1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 s="1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 s="1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 s="1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 s="1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 s="1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 s="1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 s="1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 s="1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 s="1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 s="1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 s="1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 s="1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 s="1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 s="1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 s="1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 s="1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 s="1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 s="1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 s="1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 s="1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 s="1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 s="1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 s="1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 s="1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 s="1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 s="1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 s="1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 s="1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 s="1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 s="1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 s="1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 s="1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 s="1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 s="1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 s="1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 s="1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 s="1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 s="1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 s="1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 s="1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 s="1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 s="1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 s="1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 s="1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 s="1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 s="1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 s="1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 s="1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 s="1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 s="1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 s="1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 s="1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 s="1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 s="1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 s="1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 s="1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 s="1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 s="1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 s="1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 s="1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 s="1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 s="1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 s="1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 s="1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 s="1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 s="1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 s="1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 s="1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 s="1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 s="1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 s="1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 s="1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 s="1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 s="1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 s="1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 s="1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 s="1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 s="1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 s="1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 s="1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 s="1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 s="1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 s="1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 s="1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 s="1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 s="1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 s="1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 s="1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 s="1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 s="1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 s="1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 s="1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 s="1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 s="1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 s="1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 s="1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 s="1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 s="1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 s="1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 s="1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 s="1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 s="1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 s="1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 s="1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 s="1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 s="1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 s="1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 s="1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 s="1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 s="1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 s="1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 s="1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 s="1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 s="1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 s="1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 s="1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 s="1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 s="1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 s="1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 s="1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 s="1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 s="1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 s="1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 s="1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 s="1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 s="1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 s="1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 s="1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 s="1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 s="1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 s="1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 s="1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 s="1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 s="1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 s="1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 s="1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 s="1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 s="1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 s="1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 s="1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 s="1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 s="1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 s="1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 s="1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 s="1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 s="1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 s="1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 s="1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 s="1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 s="1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 s="1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 s="1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 s="1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 s="1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 s="1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 s="1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 s="1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O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 s="1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 s="1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 s="1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 s="1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 s="1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 s="1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 s="1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 s="1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 s="1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 s="1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 s="1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 s="1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 s="1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 s="1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 s="1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 s="1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 s="1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 s="1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 s="1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 s="1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 s="1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 s="1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 s="1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 s="1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 s="1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 s="1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 s="1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 s="1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 s="1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 s="1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 s="1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 s="1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 s="1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 s="1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 s="1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 s="1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 s="1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 s="1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 s="1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 s="1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 s="1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 s="1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 s="1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 s="1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 s="1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 s="1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 s="1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 s="1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 s="1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 s="1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 s="1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 s="1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 s="1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 s="1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 s="1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 s="1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 s="1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 s="1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 s="1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 s="1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 s="1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 s="1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 s="1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 s="1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 s="1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 s="1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 s="1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 s="1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 s="1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 s="1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 s="1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 s="1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 s="1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 s="1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 s="1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 s="1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 s="1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 s="1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 s="1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 s="1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 s="1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 s="1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 s="1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 s="1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 s="1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 s="1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 s="1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 s="1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 s="1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 s="1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 s="1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 s="1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 s="1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 s="1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 s="1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 s="1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 s="1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 s="1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 s="1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 s="1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 s="1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 s="1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 s="1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 s="1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 s="1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 s="1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 s="1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 s="1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 s="1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 s="1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 s="1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 s="1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 s="1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 s="1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 s="1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 s="1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 s="1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 s="1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 s="1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 s="1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 s="1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 s="1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 s="1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 s="1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 s="1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 s="1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 s="1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 s="1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 s="1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 s="1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 s="1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 s="1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 s="1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 s="1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 s="1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 s="1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 s="1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 s="1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 s="1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 s="1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 s="1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 s="1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 s="1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 s="1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 s="1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 s="1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 s="1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 s="1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 s="1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 s="1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 s="1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 s="1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 s="1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 s="1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 s="1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 s="1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J408" i="8"/>
  <c r="BO408" i="8" s="1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 s="1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 s="1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 s="1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 s="1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 s="1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 s="1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 s="1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 s="1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 s="1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 s="1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 s="1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 s="1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 s="1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 s="1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 s="1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 s="1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 s="1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 s="1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 s="1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 s="1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 s="1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 s="1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 s="1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 s="1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 s="1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 s="1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 s="1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 s="1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 s="1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 s="1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 s="1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 s="1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 s="1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 s="1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 s="1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 s="1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 s="1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 s="1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 s="1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 s="1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 s="1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 s="1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 s="1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 s="1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 s="1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 s="1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 s="1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 s="1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 s="1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 s="1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 s="1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 s="1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 s="1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 s="1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 s="1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 s="1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 s="1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 s="1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 s="1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 s="1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 s="1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 s="1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 s="1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 s="1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 s="1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 s="1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 s="1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 s="1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 s="1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 s="1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 s="1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 s="1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 s="1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 s="1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 s="1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 s="1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 s="1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 s="1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 s="1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 s="1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 s="1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 s="1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 s="1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 s="1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 s="1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 s="1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 s="1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 s="1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 s="1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 s="1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 s="1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 s="1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 s="1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 s="1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 s="1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 s="1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 s="1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 s="1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 s="1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 s="1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 s="1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 s="1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 s="1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 s="1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 s="1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 s="1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 s="1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 s="1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 s="1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 s="1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 s="1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 s="1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 s="1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 s="1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 s="1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 s="1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 s="1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 s="1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 s="1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 s="1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 s="1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 s="1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 s="1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 s="1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 s="1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 s="1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 s="1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 s="1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 s="1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 s="1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 s="1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 s="1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 s="1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 s="1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 s="1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 s="1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 s="1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 s="1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 s="1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 s="1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 s="1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 s="1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 s="1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 s="1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 s="1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 s="1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 s="1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 s="1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 s="1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 s="1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 s="1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 s="1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 s="1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 s="1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 s="1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 s="1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O251" i="8" s="1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AN251" i="8"/>
  <c r="BR250" i="8"/>
  <c r="BJ250" i="8"/>
  <c r="BO250" i="8" s="1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AN250" i="8"/>
  <c r="BR249" i="8"/>
  <c r="BJ249" i="8"/>
  <c r="BO249" i="8" s="1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AN249" i="8"/>
  <c r="BR248" i="8"/>
  <c r="BJ248" i="8"/>
  <c r="BO248" i="8" s="1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AN248" i="8"/>
  <c r="BR247" i="8"/>
  <c r="BJ247" i="8"/>
  <c r="BO247" i="8" s="1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AN247" i="8"/>
  <c r="BR246" i="8"/>
  <c r="BJ246" i="8"/>
  <c r="BO246" i="8" s="1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AN246" i="8"/>
  <c r="BR245" i="8"/>
  <c r="BJ245" i="8"/>
  <c r="BO245" i="8" s="1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AN245" i="8"/>
  <c r="BR244" i="8"/>
  <c r="BJ244" i="8"/>
  <c r="BO244" i="8" s="1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AN244" i="8"/>
  <c r="BR243" i="8"/>
  <c r="BJ243" i="8"/>
  <c r="BO243" i="8" s="1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AN243" i="8"/>
  <c r="BR242" i="8"/>
  <c r="BJ242" i="8"/>
  <c r="BO242" i="8" s="1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AN242" i="8"/>
  <c r="BR241" i="8"/>
  <c r="BJ241" i="8"/>
  <c r="BO241" i="8" s="1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AN241" i="8"/>
  <c r="BR240" i="8"/>
  <c r="BJ240" i="8"/>
  <c r="BO240" i="8" s="1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AN240" i="8"/>
  <c r="BR239" i="8"/>
  <c r="BJ239" i="8"/>
  <c r="BO239" i="8" s="1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AN239" i="8"/>
  <c r="BR238" i="8"/>
  <c r="BJ238" i="8"/>
  <c r="BO238" i="8" s="1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AN238" i="8"/>
  <c r="BR237" i="8"/>
  <c r="BJ237" i="8"/>
  <c r="BO237" i="8" s="1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AN237" i="8"/>
  <c r="BR236" i="8"/>
  <c r="BJ236" i="8"/>
  <c r="BO236" i="8" s="1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AN236" i="8"/>
  <c r="BR235" i="8"/>
  <c r="BJ235" i="8"/>
  <c r="BO235" i="8" s="1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AN235" i="8"/>
  <c r="BR234" i="8"/>
  <c r="BJ234" i="8"/>
  <c r="BO234" i="8" s="1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AN234" i="8"/>
  <c r="BR233" i="8"/>
  <c r="BJ233" i="8"/>
  <c r="BO233" i="8" s="1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AN233" i="8"/>
  <c r="BR232" i="8"/>
  <c r="BJ232" i="8"/>
  <c r="BO232" i="8" s="1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AN232" i="8"/>
  <c r="BR231" i="8"/>
  <c r="BJ231" i="8"/>
  <c r="BO231" i="8" s="1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AN231" i="8"/>
  <c r="BR230" i="8"/>
  <c r="BJ230" i="8"/>
  <c r="BO230" i="8" s="1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AN230" i="8"/>
  <c r="BR229" i="8"/>
  <c r="BJ229" i="8"/>
  <c r="BO229" i="8" s="1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AN229" i="8"/>
  <c r="BR228" i="8"/>
  <c r="BJ228" i="8"/>
  <c r="BO228" i="8" s="1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AN228" i="8"/>
  <c r="BR227" i="8"/>
  <c r="BJ227" i="8"/>
  <c r="BO227" i="8" s="1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AN227" i="8"/>
  <c r="BR226" i="8"/>
  <c r="BJ226" i="8"/>
  <c r="BO226" i="8" s="1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AN226" i="8"/>
  <c r="BR225" i="8"/>
  <c r="BJ225" i="8"/>
  <c r="BO225" i="8" s="1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AN225" i="8"/>
  <c r="BR224" i="8"/>
  <c r="BJ224" i="8"/>
  <c r="BO224" i="8" s="1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AN224" i="8"/>
  <c r="BR223" i="8"/>
  <c r="BJ223" i="8"/>
  <c r="BO223" i="8" s="1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AN223" i="8"/>
  <c r="BR222" i="8"/>
  <c r="BJ222" i="8"/>
  <c r="BO222" i="8" s="1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AN222" i="8"/>
  <c r="BR221" i="8"/>
  <c r="BJ221" i="8"/>
  <c r="BO221" i="8" s="1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AN221" i="8"/>
  <c r="BR220" i="8"/>
  <c r="BJ220" i="8"/>
  <c r="BO220" i="8" s="1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AN220" i="8"/>
  <c r="BR219" i="8"/>
  <c r="BJ219" i="8"/>
  <c r="BO219" i="8" s="1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AN219" i="8"/>
  <c r="BR218" i="8"/>
  <c r="BJ218" i="8"/>
  <c r="BO218" i="8" s="1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AN218" i="8"/>
  <c r="BR217" i="8"/>
  <c r="BJ217" i="8"/>
  <c r="BO217" i="8" s="1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AN217" i="8"/>
  <c r="BR216" i="8"/>
  <c r="BJ216" i="8"/>
  <c r="BO216" i="8" s="1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AN216" i="8"/>
  <c r="BR215" i="8"/>
  <c r="BJ215" i="8"/>
  <c r="BO215" i="8" s="1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AN215" i="8"/>
  <c r="BR214" i="8"/>
  <c r="BJ214" i="8"/>
  <c r="BO214" i="8" s="1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AN214" i="8"/>
  <c r="BR213" i="8"/>
  <c r="BJ213" i="8"/>
  <c r="BO213" i="8" s="1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AN213" i="8"/>
  <c r="BR212" i="8"/>
  <c r="BJ212" i="8"/>
  <c r="BO212" i="8" s="1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AN212" i="8"/>
  <c r="BR211" i="8"/>
  <c r="BJ211" i="8"/>
  <c r="BO211" i="8" s="1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AN211" i="8"/>
  <c r="BR210" i="8"/>
  <c r="BJ210" i="8"/>
  <c r="BO210" i="8" s="1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AN210" i="8"/>
  <c r="BR209" i="8"/>
  <c r="BJ209" i="8"/>
  <c r="BO209" i="8" s="1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AN209" i="8"/>
  <c r="BR208" i="8"/>
  <c r="BJ208" i="8"/>
  <c r="BO208" i="8" s="1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AN208" i="8"/>
  <c r="BR207" i="8"/>
  <c r="BJ207" i="8"/>
  <c r="BO207" i="8" s="1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AN207" i="8"/>
  <c r="BR206" i="8"/>
  <c r="BJ206" i="8"/>
  <c r="BO206" i="8" s="1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AN206" i="8"/>
  <c r="BR205" i="8"/>
  <c r="BJ205" i="8"/>
  <c r="BO205" i="8" s="1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AN205" i="8"/>
  <c r="BR204" i="8"/>
  <c r="BJ204" i="8"/>
  <c r="BO204" i="8" s="1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AN204" i="8"/>
  <c r="BR203" i="8"/>
  <c r="BJ203" i="8"/>
  <c r="BO203" i="8" s="1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AN203" i="8"/>
  <c r="BR202" i="8"/>
  <c r="BJ202" i="8"/>
  <c r="BO202" i="8" s="1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AN202" i="8"/>
  <c r="BR201" i="8"/>
  <c r="BJ201" i="8"/>
  <c r="BO201" i="8" s="1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AN201" i="8"/>
  <c r="BR200" i="8"/>
  <c r="BJ200" i="8"/>
  <c r="BO200" i="8" s="1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AN200" i="8"/>
  <c r="BR199" i="8"/>
  <c r="BJ199" i="8"/>
  <c r="BO199" i="8" s="1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AN199" i="8"/>
  <c r="BR198" i="8"/>
  <c r="BJ198" i="8"/>
  <c r="BO198" i="8" s="1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AN198" i="8"/>
  <c r="BR197" i="8"/>
  <c r="BJ197" i="8"/>
  <c r="BO197" i="8" s="1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AN197" i="8"/>
  <c r="BR196" i="8"/>
  <c r="BJ196" i="8"/>
  <c r="BO196" i="8" s="1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AN196" i="8"/>
  <c r="BR195" i="8"/>
  <c r="BJ195" i="8"/>
  <c r="BO195" i="8" s="1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AN195" i="8"/>
  <c r="BR194" i="8"/>
  <c r="BJ194" i="8"/>
  <c r="BO194" i="8" s="1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AN194" i="8"/>
  <c r="BR193" i="8"/>
  <c r="BJ193" i="8"/>
  <c r="BO193" i="8" s="1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AN193" i="8"/>
  <c r="BR192" i="8"/>
  <c r="BJ192" i="8"/>
  <c r="BO192" i="8" s="1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AN192" i="8"/>
  <c r="BR191" i="8"/>
  <c r="BJ191" i="8"/>
  <c r="BO191" i="8" s="1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AN191" i="8"/>
  <c r="BR190" i="8"/>
  <c r="BJ190" i="8"/>
  <c r="BO190" i="8" s="1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AN190" i="8"/>
  <c r="BR189" i="8"/>
  <c r="BJ189" i="8"/>
  <c r="BO189" i="8" s="1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AN189" i="8"/>
  <c r="BR188" i="8"/>
  <c r="BJ188" i="8"/>
  <c r="BO188" i="8" s="1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AN188" i="8"/>
  <c r="BR187" i="8"/>
  <c r="BJ187" i="8"/>
  <c r="BO187" i="8" s="1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AN187" i="8"/>
  <c r="BR186" i="8"/>
  <c r="BJ186" i="8"/>
  <c r="BO186" i="8" s="1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AN186" i="8"/>
  <c r="BR185" i="8"/>
  <c r="BJ185" i="8"/>
  <c r="BO185" i="8" s="1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AN185" i="8"/>
  <c r="BR184" i="8"/>
  <c r="BJ184" i="8"/>
  <c r="BO184" i="8" s="1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AN184" i="8"/>
  <c r="BR183" i="8"/>
  <c r="BJ183" i="8"/>
  <c r="BO183" i="8" s="1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AN183" i="8"/>
  <c r="BR182" i="8"/>
  <c r="BJ182" i="8"/>
  <c r="BO182" i="8" s="1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AN182" i="8"/>
  <c r="BR181" i="8"/>
  <c r="BJ181" i="8"/>
  <c r="BO181" i="8" s="1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AN181" i="8"/>
  <c r="BR180" i="8"/>
  <c r="BJ180" i="8"/>
  <c r="BO180" i="8" s="1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AN180" i="8"/>
  <c r="BR179" i="8"/>
  <c r="BJ179" i="8"/>
  <c r="BO179" i="8" s="1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AN179" i="8"/>
  <c r="BR178" i="8"/>
  <c r="BJ178" i="8"/>
  <c r="BO178" i="8" s="1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AN178" i="8"/>
  <c r="BR177" i="8"/>
  <c r="BJ177" i="8"/>
  <c r="BO177" i="8" s="1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AN177" i="8"/>
  <c r="BR176" i="8"/>
  <c r="BJ176" i="8"/>
  <c r="BO176" i="8" s="1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AN176" i="8"/>
  <c r="BR175" i="8"/>
  <c r="BJ175" i="8"/>
  <c r="BO175" i="8" s="1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AN175" i="8"/>
  <c r="BR174" i="8"/>
  <c r="BJ174" i="8"/>
  <c r="BO174" i="8" s="1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AN174" i="8"/>
  <c r="BR173" i="8"/>
  <c r="BJ173" i="8"/>
  <c r="BO173" i="8" s="1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AN173" i="8"/>
  <c r="BR172" i="8"/>
  <c r="BJ172" i="8"/>
  <c r="BO172" i="8" s="1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AN172" i="8"/>
  <c r="BR171" i="8"/>
  <c r="BJ171" i="8"/>
  <c r="BO171" i="8" s="1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AN171" i="8"/>
  <c r="BR170" i="8"/>
  <c r="BJ170" i="8"/>
  <c r="BO170" i="8" s="1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AN170" i="8"/>
  <c r="BR169" i="8"/>
  <c r="BJ169" i="8"/>
  <c r="BO169" i="8" s="1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AN169" i="8"/>
  <c r="BR168" i="8"/>
  <c r="BJ168" i="8"/>
  <c r="BO168" i="8" s="1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AN168" i="8"/>
  <c r="BR167" i="8"/>
  <c r="BJ167" i="8"/>
  <c r="BO167" i="8" s="1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AN167" i="8"/>
  <c r="BR166" i="8"/>
  <c r="BJ166" i="8"/>
  <c r="BO166" i="8" s="1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AN166" i="8"/>
  <c r="BR165" i="8"/>
  <c r="BJ165" i="8"/>
  <c r="BO165" i="8" s="1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AN165" i="8"/>
  <c r="BR164" i="8"/>
  <c r="BJ164" i="8"/>
  <c r="BO164" i="8" s="1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AN164" i="8"/>
  <c r="BR163" i="8"/>
  <c r="BJ163" i="8"/>
  <c r="BO163" i="8" s="1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AN163" i="8"/>
  <c r="BR162" i="8"/>
  <c r="BJ162" i="8"/>
  <c r="BO162" i="8" s="1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AN162" i="8"/>
  <c r="BR161" i="8"/>
  <c r="BJ161" i="8"/>
  <c r="BO161" i="8" s="1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AN161" i="8"/>
  <c r="BR160" i="8"/>
  <c r="BJ160" i="8"/>
  <c r="BO160" i="8" s="1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AN160" i="8"/>
  <c r="BR159" i="8"/>
  <c r="BJ159" i="8"/>
  <c r="BO159" i="8" s="1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AN159" i="8"/>
  <c r="BR158" i="8"/>
  <c r="BJ158" i="8"/>
  <c r="BO158" i="8" s="1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AN158" i="8"/>
  <c r="BR157" i="8"/>
  <c r="BJ157" i="8"/>
  <c r="BO157" i="8" s="1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AN157" i="8"/>
  <c r="BR156" i="8"/>
  <c r="BJ156" i="8"/>
  <c r="BO156" i="8" s="1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AN156" i="8"/>
  <c r="BR155" i="8"/>
  <c r="BJ155" i="8"/>
  <c r="BO155" i="8" s="1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AN155" i="8"/>
  <c r="BR154" i="8"/>
  <c r="BJ154" i="8"/>
  <c r="BO154" i="8" s="1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AN154" i="8"/>
  <c r="BR153" i="8"/>
  <c r="BJ153" i="8"/>
  <c r="BO153" i="8" s="1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AN153" i="8"/>
  <c r="BR152" i="8"/>
  <c r="BJ152" i="8"/>
  <c r="BO152" i="8" s="1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AN152" i="8"/>
  <c r="BR151" i="8"/>
  <c r="BJ151" i="8"/>
  <c r="BO151" i="8" s="1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AN151" i="8"/>
  <c r="BR150" i="8"/>
  <c r="BJ150" i="8"/>
  <c r="BO150" i="8" s="1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AN150" i="8"/>
  <c r="BR149" i="8"/>
  <c r="BJ149" i="8"/>
  <c r="BO149" i="8" s="1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AN149" i="8"/>
  <c r="BR148" i="8"/>
  <c r="BJ148" i="8"/>
  <c r="BO148" i="8" s="1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AN148" i="8"/>
  <c r="BR147" i="8"/>
  <c r="BJ147" i="8"/>
  <c r="BO147" i="8" s="1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AN147" i="8"/>
  <c r="BR146" i="8"/>
  <c r="BJ146" i="8"/>
  <c r="BO146" i="8" s="1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AN146" i="8"/>
  <c r="BR145" i="8"/>
  <c r="BJ145" i="8"/>
  <c r="BO145" i="8" s="1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AN145" i="8"/>
  <c r="BR144" i="8"/>
  <c r="BJ144" i="8"/>
  <c r="BO144" i="8" s="1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AN144" i="8"/>
  <c r="BR143" i="8"/>
  <c r="BJ143" i="8"/>
  <c r="BO143" i="8" s="1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AN143" i="8"/>
  <c r="BR142" i="8"/>
  <c r="BJ142" i="8"/>
  <c r="BO142" i="8" s="1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AN142" i="8"/>
  <c r="BR141" i="8"/>
  <c r="BJ141" i="8"/>
  <c r="BO141" i="8" s="1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AN141" i="8"/>
  <c r="BR140" i="8"/>
  <c r="BJ140" i="8"/>
  <c r="BO140" i="8" s="1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AN140" i="8"/>
  <c r="BR139" i="8"/>
  <c r="BJ139" i="8"/>
  <c r="BO139" i="8" s="1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AN139" i="8"/>
  <c r="BR138" i="8"/>
  <c r="BJ138" i="8"/>
  <c r="BO138" i="8" s="1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AN138" i="8"/>
  <c r="BR137" i="8"/>
  <c r="BJ137" i="8"/>
  <c r="BO137" i="8" s="1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AN137" i="8"/>
  <c r="BR136" i="8"/>
  <c r="BJ136" i="8"/>
  <c r="BO136" i="8" s="1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AN136" i="8"/>
  <c r="BR135" i="8"/>
  <c r="BJ135" i="8"/>
  <c r="BO135" i="8" s="1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AN135" i="8"/>
  <c r="BR134" i="8"/>
  <c r="BJ134" i="8"/>
  <c r="BO134" i="8" s="1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AN134" i="8"/>
  <c r="BR133" i="8"/>
  <c r="BJ133" i="8"/>
  <c r="BO133" i="8" s="1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AN133" i="8"/>
  <c r="BR132" i="8"/>
  <c r="BJ132" i="8"/>
  <c r="BO132" i="8" s="1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AN132" i="8"/>
  <c r="BR131" i="8"/>
  <c r="BJ131" i="8"/>
  <c r="BO131" i="8" s="1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AN131" i="8"/>
  <c r="BR130" i="8"/>
  <c r="BJ130" i="8"/>
  <c r="BO130" i="8" s="1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AN130" i="8"/>
  <c r="BR129" i="8"/>
  <c r="BJ129" i="8"/>
  <c r="BO129" i="8" s="1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AN129" i="8"/>
  <c r="BR128" i="8"/>
  <c r="BJ128" i="8"/>
  <c r="BO128" i="8" s="1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AN128" i="8"/>
  <c r="BR127" i="8"/>
  <c r="BJ127" i="8"/>
  <c r="BO127" i="8" s="1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AN127" i="8"/>
  <c r="BR126" i="8"/>
  <c r="BJ126" i="8"/>
  <c r="BO126" i="8" s="1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AN126" i="8"/>
  <c r="BR125" i="8"/>
  <c r="BJ125" i="8"/>
  <c r="BO125" i="8" s="1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AN125" i="8"/>
  <c r="BR124" i="8"/>
  <c r="BJ124" i="8"/>
  <c r="BO124" i="8" s="1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AN124" i="8"/>
  <c r="BR123" i="8"/>
  <c r="BJ123" i="8"/>
  <c r="BO123" i="8" s="1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AN123" i="8"/>
  <c r="BR122" i="8"/>
  <c r="BJ122" i="8"/>
  <c r="BO122" i="8" s="1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AN122" i="8"/>
  <c r="BR121" i="8"/>
  <c r="BJ121" i="8"/>
  <c r="BO121" i="8" s="1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AN121" i="8"/>
  <c r="BR120" i="8"/>
  <c r="BJ120" i="8"/>
  <c r="BO120" i="8" s="1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AN120" i="8"/>
  <c r="BR119" i="8"/>
  <c r="BJ119" i="8"/>
  <c r="BO119" i="8" s="1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AN119" i="8"/>
  <c r="BR118" i="8"/>
  <c r="BJ118" i="8"/>
  <c r="BO118" i="8" s="1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AN118" i="8"/>
  <c r="BR117" i="8"/>
  <c r="BJ117" i="8"/>
  <c r="BO117" i="8" s="1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AN117" i="8"/>
  <c r="BR116" i="8"/>
  <c r="BJ116" i="8"/>
  <c r="BO116" i="8" s="1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AN116" i="8"/>
  <c r="BR115" i="8"/>
  <c r="BJ115" i="8"/>
  <c r="BO115" i="8" s="1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AN115" i="8"/>
  <c r="BR114" i="8"/>
  <c r="BJ114" i="8"/>
  <c r="BO114" i="8" s="1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AN114" i="8"/>
  <c r="BR113" i="8"/>
  <c r="BJ113" i="8"/>
  <c r="BO113" i="8" s="1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AN113" i="8"/>
  <c r="BR112" i="8"/>
  <c r="BJ112" i="8"/>
  <c r="BO112" i="8" s="1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AN112" i="8"/>
  <c r="BR111" i="8"/>
  <c r="BJ111" i="8"/>
  <c r="BO111" i="8" s="1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AN111" i="8"/>
  <c r="BR110" i="8"/>
  <c r="BJ110" i="8"/>
  <c r="BO110" i="8" s="1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AN110" i="8"/>
  <c r="BR109" i="8"/>
  <c r="BJ109" i="8"/>
  <c r="BO109" i="8" s="1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AN109" i="8"/>
  <c r="BR108" i="8"/>
  <c r="BJ108" i="8"/>
  <c r="BO108" i="8" s="1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AN108" i="8"/>
  <c r="BR107" i="8"/>
  <c r="BJ107" i="8"/>
  <c r="BO107" i="8" s="1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AN107" i="8"/>
  <c r="BR106" i="8"/>
  <c r="BJ106" i="8"/>
  <c r="BO106" i="8" s="1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AN106" i="8"/>
  <c r="BR105" i="8"/>
  <c r="BJ105" i="8"/>
  <c r="BO105" i="8" s="1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AN105" i="8"/>
  <c r="BR104" i="8"/>
  <c r="BJ104" i="8"/>
  <c r="BO104" i="8" s="1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AN104" i="8"/>
  <c r="BR103" i="8"/>
  <c r="BJ103" i="8"/>
  <c r="BO103" i="8" s="1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R102" i="8"/>
  <c r="BJ102" i="8"/>
  <c r="BO102" i="8" s="1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BR101" i="8"/>
  <c r="BJ101" i="8"/>
  <c r="BO101" i="8" s="1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AN101" i="8"/>
  <c r="BR100" i="8"/>
  <c r="BJ100" i="8"/>
  <c r="BO100" i="8" s="1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AN100" i="8"/>
  <c r="BR99" i="8"/>
  <c r="BJ99" i="8"/>
  <c r="BO99" i="8" s="1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AN99" i="8"/>
  <c r="BR98" i="8"/>
  <c r="BJ98" i="8"/>
  <c r="BO98" i="8" s="1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AN98" i="8"/>
  <c r="BR97" i="8"/>
  <c r="BJ97" i="8"/>
  <c r="BO97" i="8" s="1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AN97" i="8"/>
  <c r="BR96" i="8"/>
  <c r="BJ96" i="8"/>
  <c r="BO96" i="8" s="1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AN96" i="8"/>
  <c r="BR95" i="8"/>
  <c r="BJ95" i="8"/>
  <c r="BO95" i="8" s="1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AN95" i="8"/>
  <c r="BR94" i="8"/>
  <c r="BJ94" i="8"/>
  <c r="BO94" i="8" s="1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AN94" i="8"/>
  <c r="BR93" i="8"/>
  <c r="BJ93" i="8"/>
  <c r="BO93" i="8" s="1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AN93" i="8"/>
  <c r="BR92" i="8"/>
  <c r="BJ92" i="8"/>
  <c r="BO92" i="8" s="1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AN92" i="8"/>
  <c r="BR91" i="8"/>
  <c r="BJ91" i="8"/>
  <c r="BO91" i="8" s="1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AN91" i="8"/>
  <c r="BR90" i="8"/>
  <c r="BJ90" i="8"/>
  <c r="BO90" i="8" s="1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AN90" i="8"/>
  <c r="BR89" i="8"/>
  <c r="BJ89" i="8"/>
  <c r="BO89" i="8" s="1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AN89" i="8"/>
  <c r="BR88" i="8"/>
  <c r="BJ88" i="8"/>
  <c r="BO88" i="8" s="1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AN88" i="8"/>
  <c r="BR87" i="8"/>
  <c r="BJ87" i="8"/>
  <c r="BO87" i="8" s="1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AN87" i="8"/>
  <c r="BR86" i="8"/>
  <c r="BJ86" i="8"/>
  <c r="BO86" i="8" s="1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AN86" i="8"/>
  <c r="BR85" i="8"/>
  <c r="BJ85" i="8"/>
  <c r="BO85" i="8" s="1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AN85" i="8"/>
  <c r="BR84" i="8"/>
  <c r="BJ84" i="8"/>
  <c r="BO84" i="8" s="1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AN84" i="8"/>
  <c r="BR83" i="8"/>
  <c r="BJ83" i="8"/>
  <c r="BO83" i="8" s="1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AN83" i="8"/>
  <c r="BR82" i="8"/>
  <c r="BJ82" i="8"/>
  <c r="BO82" i="8" s="1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AN82" i="8"/>
  <c r="BR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F80" i="5" s="1"/>
  <c r="AN81" i="8"/>
  <c r="D80" i="5" s="1"/>
  <c r="BR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F79" i="5" s="1"/>
  <c r="AN80" i="8"/>
  <c r="D79" i="5" s="1"/>
  <c r="BR79" i="8"/>
  <c r="F78" i="5"/>
  <c r="D78" i="5"/>
  <c r="BR78" i="8"/>
  <c r="F77" i="5"/>
  <c r="D77" i="5"/>
  <c r="BR77" i="8"/>
  <c r="F76" i="5"/>
  <c r="D76" i="5"/>
  <c r="BR76" i="8"/>
  <c r="F75" i="5"/>
  <c r="D75" i="5"/>
  <c r="BR75" i="8"/>
  <c r="F74" i="5"/>
  <c r="D74" i="5"/>
  <c r="BR74" i="8"/>
  <c r="F73" i="5"/>
  <c r="D73" i="5"/>
  <c r="BR73" i="8"/>
  <c r="F72" i="5"/>
  <c r="D72" i="5"/>
  <c r="BR72" i="8"/>
  <c r="F71" i="5"/>
  <c r="D71" i="5"/>
  <c r="BR71" i="8"/>
  <c r="F70" i="5"/>
  <c r="D70" i="5"/>
  <c r="BR70" i="8"/>
  <c r="F69" i="5"/>
  <c r="D69" i="5"/>
  <c r="BR69" i="8"/>
  <c r="F68" i="5"/>
  <c r="D68" i="5"/>
  <c r="BR68" i="8"/>
  <c r="F67" i="5"/>
  <c r="D67" i="5"/>
  <c r="BR67" i="8"/>
  <c r="F66" i="5"/>
  <c r="D66" i="5"/>
  <c r="BR66" i="8"/>
  <c r="F65" i="5"/>
  <c r="D65" i="5"/>
  <c r="BR65" i="8"/>
  <c r="F64" i="5"/>
  <c r="D64" i="5"/>
  <c r="BR64" i="8"/>
  <c r="F63" i="5"/>
  <c r="D63" i="5"/>
  <c r="BR63" i="8"/>
  <c r="F62" i="5"/>
  <c r="D62" i="5"/>
  <c r="BR62" i="8"/>
  <c r="F61" i="5"/>
  <c r="D61" i="5"/>
  <c r="BR61" i="8"/>
  <c r="F60" i="5"/>
  <c r="D60" i="5"/>
  <c r="BR60" i="8"/>
  <c r="F59" i="5"/>
  <c r="D59" i="5"/>
  <c r="BR59" i="8"/>
  <c r="F58" i="5"/>
  <c r="D58" i="5"/>
  <c r="BR58" i="8"/>
  <c r="F57" i="5"/>
  <c r="D57" i="5"/>
  <c r="BR57" i="8"/>
  <c r="F56" i="5"/>
  <c r="D56" i="5"/>
  <c r="BR56" i="8"/>
  <c r="F55" i="5"/>
  <c r="D55" i="5"/>
  <c r="BR55" i="8"/>
  <c r="F54" i="5"/>
  <c r="D54" i="5"/>
  <c r="BR54" i="8"/>
  <c r="F53" i="5"/>
  <c r="D53" i="5"/>
  <c r="BR53" i="8"/>
  <c r="F52" i="5"/>
  <c r="D52" i="5"/>
  <c r="BR52" i="8"/>
  <c r="I51" i="5"/>
  <c r="F51" i="5"/>
  <c r="D51" i="5"/>
  <c r="BR51" i="8"/>
  <c r="I50" i="5"/>
  <c r="F50" i="5"/>
  <c r="D50" i="5"/>
  <c r="BR50" i="8"/>
  <c r="I49" i="5"/>
  <c r="F49" i="5"/>
  <c r="D49" i="5"/>
  <c r="BR49" i="8"/>
  <c r="I48" i="5"/>
  <c r="F48" i="5"/>
  <c r="D48" i="5"/>
  <c r="BR48" i="8"/>
  <c r="I47" i="5"/>
  <c r="F47" i="5"/>
  <c r="D47" i="5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 s="1"/>
  <c r="H3" i="6" s="1"/>
  <c r="AF14" i="8"/>
  <c r="F4" i="6" s="1"/>
  <c r="AF15" i="8"/>
  <c r="AH15" i="8" s="1"/>
  <c r="H5" i="6" s="1"/>
  <c r="AF12" i="8"/>
  <c r="F2" i="6" s="1"/>
  <c r="AD13" i="8"/>
  <c r="AD14" i="8"/>
  <c r="D4" i="6" s="1"/>
  <c r="AD15" i="8"/>
  <c r="AD12" i="8"/>
  <c r="D2" i="6" s="1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E16" i="8"/>
  <c r="AG16" i="8"/>
  <c r="AC16" i="8"/>
  <c r="D3" i="6"/>
  <c r="D5" i="6"/>
  <c r="F3" i="6"/>
  <c r="G2" i="6"/>
  <c r="G3" i="6"/>
  <c r="G4" i="6"/>
  <c r="G5" i="6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F5" i="6" l="1"/>
  <c r="C6" i="6"/>
  <c r="E6" i="6"/>
  <c r="G8" i="2"/>
  <c r="D20" i="1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BO81" i="8"/>
  <c r="K80" i="5" s="1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BO80" i="8"/>
  <c r="K79" i="5" s="1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 s="1"/>
  <c r="G16" i="2"/>
  <c r="K47" i="5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K51" i="5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9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 s="1"/>
  <c r="F9" i="4"/>
  <c r="H9" i="4" s="1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H2" i="4" s="1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BQ5" i="8"/>
  <c r="BQ11" i="8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7" i="8"/>
  <c r="BQ12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8" i="8"/>
  <c r="BQ1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6" i="8"/>
  <c r="BQ10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Y25" i="8"/>
  <c r="B6" i="4"/>
  <c r="D22" i="4"/>
  <c r="W25" i="8"/>
  <c r="B23" i="2"/>
  <c r="H2" i="6" l="1"/>
  <c r="H6" i="6" s="1"/>
  <c r="AH16" i="8"/>
  <c r="F22" i="4"/>
  <c r="G23" i="2"/>
  <c r="H6" i="4"/>
  <c r="H22" i="4"/>
  <c r="F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<sst xmlns="http://schemas.openxmlformats.org/spreadsheetml/2006/main" count="593" uniqueCount="171">
  <si>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</si>
  <si>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</si>
  <si>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</si>
  <si>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</si>
  <si>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</si>
  <si>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</si>
  <si>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</si>
  <si>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</si>
  <si>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</si>
  <si>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</si>
  <si>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</si>
  <si>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</si>
  <si>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</si>
  <si>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</si>
  <si>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</si>
  <si>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</si>
  <si>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</si>
  <si>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</si>
  <si>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</si>
  <si>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</si>
  <si>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</si>
  <si>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</si>
  <si>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</si>
  <si>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</si>
  <si>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</si>
  <si>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</si>
  <si>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</si>
  <si>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</si>
  <si>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</si>
  <si>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</si>
  <si>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</si>
  <si>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</si>
  <si>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</si>
  <si>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</si>
  <si>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</si>
  <si>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</si>
  <si>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</si>
  <si>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</si>
  <si>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</si>
  <si>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</si>
  <si>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</si>
  <si>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</si>
  <si>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</si>
  <si>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</si>
  <si>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</si>
  <si>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</si>
  <si>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</si>
  <si>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</si>
  <si>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</si>
  <si>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</si>
  <si>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</si>
  <si>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</si>
  <si>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</si>
  <si>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</si>
  <si>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</si>
  <si>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</si>
  <si>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</si>
  <si>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</si>
  <si>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</si>
  <si>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</si>
  <si>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</si>
  <si>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</si>
  <si>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</si>
  <si>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</si>
  <si>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</si>
  <si>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</si>
  <si>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</si>
  <si>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</si>
  <si>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</si>
  <si>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</si>
  <si>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</si>
  <si>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</si>
  <si>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</si>
  <si>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</si>
  <si>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</si>
  <si>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</si>
  <si>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</si>
  <si>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</si>
  <si>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</si>
  <si>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</si>
  <si>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</si>
  <si>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</si>
  <si>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</si>
  <si>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</si>
  <si>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</si>
  <si>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</si>
  <si>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</si>
  <si>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</si>
  <si>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</si>
  <si>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</si>
  <si>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</si>
  <si>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</si>
  <si>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</si>
  <si>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</si>
  <si>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</si>
  <si>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</si>
  <si>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</si>
  <si>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</si>
  <si>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</si>
  <si>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</si>
  <si>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</si>
  <si>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</si>
  <si>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</si>
  <si>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</si>
  <si>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</si>
  <si>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</si>
  <si>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</si>
  <si>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</si>
  <si>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</si>
  <si>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</si>
  <si>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</si>
  <si>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</si>
  <si>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</si>
  <si>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</si>
  <si>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</si>
  <si>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</si>
  <si>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</si>
  <si>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</si>
  <si>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</si>
  <si>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</si>
  <si>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</si>
  <si>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</si>
  <si>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</si>
  <si>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</si>
  <si>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</si>
  <si>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</si>
  <si>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</si>
  <si>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</si>
  <si>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</si>
  <si>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</si>
  <si>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</si>
  <si>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</si>
  <si>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</si>
  <si>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</si>
  <si>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</si>
  <si>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</si>
  <si>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</si>
  <si>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</si>
  <si>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</si>
  <si>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</si>
  <si>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</si>
  <si>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</si>
  <si>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</si>
  <si>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</si>
  <si>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</si>
  <si>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</si>
  <si>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</si>
  <si>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</si>
  <si>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</si>
  <si>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</si>
  <si>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</si>
  <si>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</si>
  <si>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</si>
  <si>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</si>
  <si>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</si>
  <si>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</si>
  <si>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</si>
  <si>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</si>
  <si>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</si>
  <si>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</si>
  <si>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</si>
  <si>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</si>
  <si>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</si>
  <si>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</si>
  <si>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</si>
  <si>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</si>
  <si>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</si>
  <si>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FAUZI 3ID</t>
  </si>
  <si>
    <t>0895613206960</t>
  </si>
  <si>
    <t>8962893000244845180</t>
  </si>
  <si>
    <t>355806670971960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</si>
</sst>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1182000</v>
          </cell>
        </row>
        <row r="8">
          <cell r="BC8">
            <v>827400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3900600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1</v>
      </c>
      <c r="D3" s="1">
        <f>B3+C3</f>
        <v>1</v>
      </c>
    </row>
    <row r="4" spans="1:4" x14ac:dyDescent="0.35">
      <c r="A4" t="s">
        <v>5</v>
      </c>
      <c r="B4">
        <f>index!B5</f>
        <v>0</v>
      </c>
      <c r="C4">
        <f>index!C5</f>
        <v>1293</v>
      </c>
      <c r="D4" s="1">
        <f t="shared" ref="D4:D21" si="0">B4+C4</f>
        <v>1293</v>
      </c>
    </row>
    <row r="5" spans="1:4" x14ac:dyDescent="0.35">
      <c r="A5" t="s">
        <v>6</v>
      </c>
      <c r="B5">
        <f>index!B6</f>
        <v>1025</v>
      </c>
      <c r="C5">
        <f>index!C6</f>
        <v>2745</v>
      </c>
      <c r="D5" s="1">
        <f t="shared" si="0"/>
        <v>3770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118</v>
      </c>
      <c r="D10" s="1">
        <f t="shared" si="0"/>
        <v>118</v>
      </c>
    </row>
    <row r="11" spans="1:4" x14ac:dyDescent="0.35">
      <c r="A11" t="s">
        <v>10</v>
      </c>
      <c r="B11">
        <f>index!B12</f>
        <v>20</v>
      </c>
      <c r="C11">
        <f>index!C12</f>
        <v>757</v>
      </c>
      <c r="D11" s="1">
        <f t="shared" si="0"/>
        <v>777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257</v>
      </c>
      <c r="D13" s="1">
        <f t="shared" si="0"/>
        <v>257</v>
      </c>
    </row>
    <row r="14" spans="1:4" x14ac:dyDescent="0.35">
      <c r="A14" t="s">
        <v>13</v>
      </c>
      <c r="B14">
        <f>index!B15</f>
        <v>279</v>
      </c>
      <c r="C14">
        <f>index!C15</f>
        <v>3</v>
      </c>
      <c r="D14" s="1">
        <f t="shared" si="0"/>
        <v>282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103</v>
      </c>
      <c r="C16">
        <f>index!C17</f>
        <v>2</v>
      </c>
      <c r="D16" s="1">
        <f t="shared" si="0"/>
        <v>105</v>
      </c>
    </row>
    <row r="17" spans="1:4" x14ac:dyDescent="0.35">
      <c r="A17" t="s">
        <v>16</v>
      </c>
      <c r="B17">
        <f>index!B18</f>
        <v>0</v>
      </c>
      <c r="C17">
        <f>index!C18</f>
        <v>0</v>
      </c>
      <c r="D17" s="1">
        <f t="shared" si="0"/>
        <v>0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902</v>
      </c>
      <c r="D20" s="1">
        <f t="shared" si="0"/>
        <v>902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100</v>
      </c>
      <c r="C4">
        <f>index!H7</f>
        <v>25</v>
      </c>
      <c r="D4">
        <f>index!I7</f>
        <v>150</v>
      </c>
      <c r="E4">
        <f>index!J7</f>
        <v>77</v>
      </c>
      <c r="G4">
        <f t="shared" si="0"/>
        <v>352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150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812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178</v>
      </c>
      <c r="C10">
        <f>index!H13</f>
        <v>94</v>
      </c>
      <c r="D10">
        <f>index!I13</f>
        <v>148</v>
      </c>
      <c r="E10">
        <f>index!J13</f>
        <v>241</v>
      </c>
      <c r="G10">
        <f t="shared" si="0"/>
        <v>661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39</v>
      </c>
      <c r="D12">
        <f>index!I15</f>
        <v>42</v>
      </c>
      <c r="E12">
        <f>index!J15</f>
        <v>101</v>
      </c>
      <c r="G12">
        <f t="shared" si="0"/>
        <v>211</v>
      </c>
    </row>
    <row r="13" spans="1:7" x14ac:dyDescent="0.35">
      <c r="A13" t="s">
        <v>35</v>
      </c>
      <c r="B13">
        <f>index!G16</f>
        <v>84</v>
      </c>
      <c r="C13">
        <f>index!H16</f>
        <v>75</v>
      </c>
      <c r="D13">
        <f>index!I16</f>
        <v>29</v>
      </c>
      <c r="E13">
        <f>index!J16</f>
        <v>116</v>
      </c>
      <c r="G13">
        <f t="shared" si="0"/>
        <v>304</v>
      </c>
    </row>
    <row r="14" spans="1:7" x14ac:dyDescent="0.35">
      <c r="A14" t="s">
        <v>36</v>
      </c>
      <c r="B14">
        <f>index!G17</f>
        <v>76</v>
      </c>
      <c r="C14">
        <f>index!H17</f>
        <v>50</v>
      </c>
      <c r="D14">
        <f>index!I17</f>
        <v>36</v>
      </c>
      <c r="E14">
        <f>index!J17</f>
        <v>75</v>
      </c>
      <c r="G14">
        <f t="shared" si="0"/>
        <v>237</v>
      </c>
    </row>
    <row r="15" spans="1:7" x14ac:dyDescent="0.35">
      <c r="A15" t="s">
        <v>15</v>
      </c>
      <c r="B15">
        <f>index!G18</f>
        <v>45</v>
      </c>
      <c r="C15">
        <f>index!H18</f>
        <v>22</v>
      </c>
      <c r="D15">
        <f>index!I18</f>
        <v>15</v>
      </c>
      <c r="E15">
        <f>index!J18</f>
        <v>20</v>
      </c>
      <c r="G15">
        <f t="shared" si="0"/>
        <v>102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0</v>
      </c>
      <c r="G18">
        <f t="shared" si="0"/>
        <v>102</v>
      </c>
    </row>
    <row r="19" spans="1:7" x14ac:dyDescent="0.35">
      <c r="A19" t="s">
        <v>19</v>
      </c>
      <c r="B19">
        <f>index!G22</f>
        <v>291</v>
      </c>
      <c r="C19">
        <f>index!H22</f>
        <v>100</v>
      </c>
      <c r="D19">
        <f>index!I22</f>
        <v>137</v>
      </c>
      <c r="E19">
        <f>index!J22</f>
        <v>147</v>
      </c>
      <c r="G19">
        <f t="shared" si="0"/>
        <v>675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1012</v>
      </c>
      <c r="C23">
        <f t="shared" ref="C23:G23" si="1">SUM(C2:C22)</f>
        <v>784</v>
      </c>
      <c r="D23">
        <f t="shared" si="1"/>
        <v>653</v>
      </c>
      <c r="E23">
        <f t="shared" si="1"/>
        <v>1160</v>
      </c>
      <c r="F23">
        <f t="shared" si="1"/>
        <v>0</v>
      </c>
      <c r="G23">
        <f t="shared" si="1"/>
        <v>3609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81</v>
      </c>
      <c r="B2">
        <f>index!O3</f>
        <v>28566000</v>
      </c>
    </row>
    <row r="3" spans="1:2" x14ac:dyDescent="0.35">
      <c r="A3" t="s">
        <v>40</v>
      </c>
      <c r="B3">
        <f>index!O4</f>
        <v>44192700</v>
      </c>
    </row>
    <row r="4" spans="1:2" x14ac:dyDescent="0.35">
      <c r="A4" t="s">
        <v>41</v>
      </c>
      <c r="B4">
        <f>index!O5</f>
        <v>40444500</v>
      </c>
    </row>
    <row r="5" spans="1:2" x14ac:dyDescent="0.35">
      <c r="A5" t="s">
        <v>42</v>
      </c>
      <c r="B5">
        <f>index!O6</f>
        <v>50068000</v>
      </c>
    </row>
    <row r="6" spans="1:2" x14ac:dyDescent="0.35">
      <c r="A6" t="s">
        <v>43</v>
      </c>
      <c r="B6">
        <f>SUM(B2:B5)</f>
        <v>163271200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113</v>
      </c>
      <c r="C4">
        <f>index!S6</f>
        <v>19</v>
      </c>
      <c r="D4">
        <f>index!T6</f>
        <v>60</v>
      </c>
      <c r="E4">
        <f>index!U6</f>
        <v>63</v>
      </c>
      <c r="F4">
        <f t="shared" si="0"/>
        <v>255</v>
      </c>
      <c r="G4">
        <v>25000</v>
      </c>
      <c r="H4">
        <f t="shared" si="1"/>
        <v>6375000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86</v>
      </c>
      <c r="B6">
        <f>SUM(B2:B5)</f>
        <v>123</v>
      </c>
      <c r="C6">
        <f t="shared" ref="C6:H6" si="2">SUM(C2:C5)</f>
        <v>19</v>
      </c>
      <c r="D6">
        <f t="shared" si="2"/>
        <v>65</v>
      </c>
      <c r="E6">
        <f t="shared" si="2"/>
        <v>63</v>
      </c>
      <c r="F6">
        <f t="shared" si="2"/>
        <v>270</v>
      </c>
      <c r="H6">
        <f t="shared" si="2"/>
        <v>6540000</v>
      </c>
    </row>
    <row r="7" spans="1:8" s="66" customFormat="1" x14ac:dyDescent="0.35"/>
    <row r="8" spans="1:8" x14ac:dyDescent="0.35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35">
      <c r="A9" t="s">
        <v>8</v>
      </c>
      <c r="B9">
        <f>index!R10</f>
        <v>70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70</v>
      </c>
      <c r="G9">
        <v>600</v>
      </c>
      <c r="H9">
        <f>F9*G9</f>
        <v>42000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85</v>
      </c>
      <c r="D11">
        <f>index!T12</f>
        <v>6</v>
      </c>
      <c r="E11">
        <f>index!U12</f>
        <v>20</v>
      </c>
      <c r="F11">
        <f t="shared" si="3"/>
        <v>116</v>
      </c>
      <c r="G11">
        <v>13200</v>
      </c>
      <c r="H11">
        <f t="shared" si="4"/>
        <v>1531200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15</v>
      </c>
      <c r="F13">
        <f t="shared" si="3"/>
        <v>21</v>
      </c>
      <c r="G13">
        <v>14500</v>
      </c>
      <c r="H13">
        <f t="shared" si="4"/>
        <v>304500</v>
      </c>
    </row>
    <row r="14" spans="1:8" x14ac:dyDescent="0.35">
      <c r="A14" t="s">
        <v>35</v>
      </c>
      <c r="B14">
        <f>index!R15</f>
        <v>30</v>
      </c>
      <c r="C14">
        <f>index!S15</f>
        <v>65</v>
      </c>
      <c r="D14">
        <f>index!T15</f>
        <v>65</v>
      </c>
      <c r="E14">
        <f>index!U15</f>
        <v>0</v>
      </c>
      <c r="F14">
        <f t="shared" si="3"/>
        <v>160</v>
      </c>
      <c r="G14">
        <v>17250</v>
      </c>
      <c r="H14">
        <f t="shared" si="4"/>
        <v>2760000</v>
      </c>
    </row>
    <row r="15" spans="1:8" x14ac:dyDescent="0.35">
      <c r="A15" t="s">
        <v>36</v>
      </c>
      <c r="B15">
        <f>index!R16</f>
        <v>0</v>
      </c>
      <c r="C15">
        <f>index!S16</f>
        <v>24</v>
      </c>
      <c r="D15">
        <f>index!T16</f>
        <v>0</v>
      </c>
      <c r="E15">
        <f>index!U16</f>
        <v>18</v>
      </c>
      <c r="F15">
        <f t="shared" si="3"/>
        <v>42</v>
      </c>
      <c r="G15">
        <v>23000</v>
      </c>
      <c r="H15">
        <f t="shared" si="4"/>
        <v>966000</v>
      </c>
    </row>
    <row r="16" spans="1:8" x14ac:dyDescent="0.35">
      <c r="A16" t="s">
        <v>15</v>
      </c>
      <c r="B16">
        <f>index!R17</f>
        <v>0</v>
      </c>
      <c r="C16">
        <f>index!S17</f>
        <v>13</v>
      </c>
      <c r="D16">
        <f>index!T17</f>
        <v>3</v>
      </c>
      <c r="E16">
        <f>index!U17</f>
        <v>0</v>
      </c>
      <c r="F16">
        <f t="shared" si="3"/>
        <v>16</v>
      </c>
      <c r="G16">
        <v>30000</v>
      </c>
      <c r="H16">
        <f t="shared" si="4"/>
        <v>480000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6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30</v>
      </c>
      <c r="C20">
        <f>index!S21</f>
        <v>75</v>
      </c>
      <c r="D20">
        <f>index!T21</f>
        <v>27</v>
      </c>
      <c r="E20">
        <f>index!U21</f>
        <v>14</v>
      </c>
      <c r="F20">
        <f t="shared" si="3"/>
        <v>146</v>
      </c>
      <c r="G20">
        <v>9600</v>
      </c>
      <c r="H20">
        <f t="shared" si="4"/>
        <v>1401600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135</v>
      </c>
      <c r="C22">
        <f t="shared" ref="C22:H22" si="5">SUM(C9:C21)</f>
        <v>262</v>
      </c>
      <c r="D22">
        <f t="shared" si="5"/>
        <v>107</v>
      </c>
      <c r="E22">
        <f t="shared" si="5"/>
        <v>73</v>
      </c>
      <c r="F22">
        <f t="shared" si="5"/>
        <v>577</v>
      </c>
      <c r="H22">
        <f t="shared" si="5"/>
        <v>7557300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80"/>
  <sheetViews>
    <sheetView workbookViewId="0">
      <selection activeCell="A50" sqref="A50:L80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35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35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35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35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35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35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35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35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35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35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35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35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35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35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35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35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35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35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35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35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35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35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35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35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35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35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35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35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35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35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35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35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118300</v>
      </c>
      <c r="K33" s="44">
        <f>index!BO34</f>
        <v>-100</v>
      </c>
      <c r="L33" s="40">
        <f>index!BP34</f>
        <v>46182</v>
      </c>
    </row>
    <row r="34" spans="1:12" x14ac:dyDescent="0.35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46183</v>
      </c>
    </row>
    <row r="35" spans="1:12" x14ac:dyDescent="0.35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46183</v>
      </c>
    </row>
    <row r="36" spans="1:12" x14ac:dyDescent="0.35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46183</v>
      </c>
    </row>
    <row r="37" spans="1:12" x14ac:dyDescent="0.35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46183</v>
      </c>
    </row>
    <row r="38" spans="1:12" x14ac:dyDescent="0.35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46183</v>
      </c>
    </row>
    <row r="39" spans="1:12" x14ac:dyDescent="0.35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46183</v>
      </c>
    </row>
    <row r="40" spans="1:12" x14ac:dyDescent="0.35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46183</v>
      </c>
    </row>
    <row r="41" spans="1:12" x14ac:dyDescent="0.35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46183</v>
      </c>
    </row>
    <row r="42" spans="1:12" x14ac:dyDescent="0.35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46183</v>
      </c>
    </row>
    <row r="43" spans="1:12" x14ac:dyDescent="0.35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46183</v>
      </c>
    </row>
    <row r="44" spans="1:12" x14ac:dyDescent="0.35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46183</v>
      </c>
    </row>
    <row r="45" spans="1:12" x14ac:dyDescent="0.35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46183</v>
      </c>
    </row>
    <row r="46" spans="1:12" x14ac:dyDescent="0.35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118300</v>
      </c>
      <c r="K46" s="44">
        <f>index!BO47</f>
        <v>-100</v>
      </c>
      <c r="L46" s="40">
        <f>index!BP47</f>
        <v>46183</v>
      </c>
    </row>
    <row r="47" spans="1:12" x14ac:dyDescent="0.35">
      <c r="A47" s="39">
        <v>46</v>
      </c>
      <c r="B47" s="40">
        <f>index!AL48</f>
        <v>46183</v>
      </c>
      <c r="C47" s="41" t="str">
        <f>index!AM48</f>
        <v>PAKET1</v>
      </c>
      <c r="D47" s="42" t="str">
        <f>index!AN48</f>
        <v>MC-SAGARANTEN</v>
      </c>
      <c r="E47" s="31">
        <f>index!AO48</f>
        <v>17729830</v>
      </c>
      <c r="F47" s="31" t="str">
        <f>index!AP48</f>
        <v>Ryan store</v>
      </c>
      <c r="G47" s="43" t="str">
        <f>index!AQ48</f>
        <v>Muhamad Parhan</v>
      </c>
      <c r="H47" s="6">
        <f>index!AR48</f>
        <v>1</v>
      </c>
      <c r="I47" s="44">
        <f>index!BJ48</f>
        <v>115800</v>
      </c>
      <c r="J47" s="44">
        <f>index!BM48</f>
        <v>115800</v>
      </c>
      <c r="K47" s="44">
        <f>index!BO48</f>
        <v>0</v>
      </c>
      <c r="L47" s="40">
        <f>index!BP48</f>
        <v>46184</v>
      </c>
    </row>
    <row r="48" spans="1:12" x14ac:dyDescent="0.35">
      <c r="A48" s="39">
        <v>47</v>
      </c>
      <c r="B48" s="40">
        <f>index!AL49</f>
        <v>46183</v>
      </c>
      <c r="C48" s="41" t="str">
        <f>index!AM49</f>
        <v>PAKET3</v>
      </c>
      <c r="D48" s="42" t="str">
        <f>index!AN49</f>
        <v>MC-SAGARANTEN</v>
      </c>
      <c r="E48" s="31">
        <f>index!AO49</f>
        <v>17769744</v>
      </c>
      <c r="F48" s="31" t="str">
        <f>index!AP49</f>
        <v>RJ cell</v>
      </c>
      <c r="G48" s="43" t="str">
        <f>index!AQ49</f>
        <v>Muhamad Parhan</v>
      </c>
      <c r="H48" s="6">
        <f>index!AR49</f>
        <v>1</v>
      </c>
      <c r="I48" s="44">
        <f>index!BJ49</f>
        <v>162600</v>
      </c>
      <c r="J48" s="44">
        <f>index!BM49</f>
        <v>162600</v>
      </c>
      <c r="K48" s="44">
        <f>index!BO49</f>
        <v>0</v>
      </c>
      <c r="L48" s="40">
        <f>index!BP49</f>
        <v>46184</v>
      </c>
    </row>
    <row r="49" spans="1:12" x14ac:dyDescent="0.35">
      <c r="A49" s="39">
        <v>48</v>
      </c>
      <c r="B49" s="40">
        <f>index!AL50</f>
        <v>46183</v>
      </c>
      <c r="C49" s="41" t="str">
        <f>index!AM50</f>
        <v>PAKET3</v>
      </c>
      <c r="D49" s="42" t="str">
        <f>index!AN50</f>
        <v>MC-SAGARANTEN</v>
      </c>
      <c r="E49" s="31">
        <f>index!AO50</f>
        <v>17431650</v>
      </c>
      <c r="F49" s="31" t="str">
        <f>index!AP50</f>
        <v>ZFN CELL</v>
      </c>
      <c r="G49" s="43" t="str">
        <f>index!AQ50</f>
        <v>Muhamad Parhan</v>
      </c>
      <c r="H49" s="6">
        <f>index!AR50</f>
        <v>1</v>
      </c>
      <c r="I49" s="44">
        <f>index!BJ50</f>
        <v>162600</v>
      </c>
      <c r="J49" s="44">
        <f>index!BM50</f>
        <v>162600</v>
      </c>
      <c r="K49" s="44">
        <f>index!BO50</f>
        <v>0</v>
      </c>
      <c r="L49" s="40">
        <f>index!BP50</f>
        <v>46184</v>
      </c>
    </row>
    <row r="50" spans="1:12" x14ac:dyDescent="0.35">
      <c r="A50" s="39">
        <v>49</v>
      </c>
      <c r="B50" s="40">
        <f>index!AL51</f>
        <v>46183</v>
      </c>
      <c r="C50" s="41" t="str">
        <f>index!AM51</f>
        <v>PAKET4</v>
      </c>
      <c r="D50" s="42" t="str">
        <f>index!AN51</f>
        <v>MC-SAGARANTEN</v>
      </c>
      <c r="E50" s="31">
        <f>index!AO51</f>
        <v>17729845</v>
      </c>
      <c r="F50" s="31" t="str">
        <f>index!AP51</f>
        <v>Lisna cell</v>
      </c>
      <c r="G50" s="43" t="str">
        <f>index!AQ51</f>
        <v>Muhamad Parhan</v>
      </c>
      <c r="H50" s="6">
        <f>index!AR51</f>
        <v>1</v>
      </c>
      <c r="I50" s="44">
        <f>index!BJ51</f>
        <v>118200</v>
      </c>
      <c r="J50" s="44">
        <f>index!BM51</f>
        <v>118200</v>
      </c>
      <c r="K50" s="44">
        <f>index!BO51</f>
        <v>0</v>
      </c>
      <c r="L50" s="40">
        <f>index!BP51</f>
        <v>46184</v>
      </c>
    </row>
    <row r="51" spans="1:12" x14ac:dyDescent="0.35">
      <c r="A51" s="39">
        <v>50</v>
      </c>
      <c r="B51" s="40">
        <f>index!AL52</f>
        <v>46183</v>
      </c>
      <c r="C51" s="41" t="str">
        <f>index!AM52</f>
        <v>PAKET4</v>
      </c>
      <c r="D51" s="42" t="str">
        <f>index!AN52</f>
        <v>MC-SAGARANTEN</v>
      </c>
      <c r="E51" s="31">
        <f>index!AO52</f>
        <v>17434826</v>
      </c>
      <c r="F51" s="31" t="str">
        <f>index!AP52</f>
        <v>Gilang Cell 3</v>
      </c>
      <c r="G51" s="43" t="str">
        <f>index!AQ52</f>
        <v>Muhamad Parhan</v>
      </c>
      <c r="H51" s="6">
        <f>index!AR52</f>
        <v>1</v>
      </c>
      <c r="I51" s="44">
        <f>index!BJ52</f>
        <v>118200</v>
      </c>
      <c r="J51" s="44">
        <f>index!BM52</f>
        <v>118200</v>
      </c>
      <c r="K51" s="44">
        <f>index!BO52</f>
        <v>0</v>
      </c>
      <c r="L51" s="40">
        <f>index!BP52</f>
        <v>46184</v>
      </c>
    </row>
    <row r="52" spans="1:12" x14ac:dyDescent="0.35">
      <c r="A52" s="39">
        <v>51</v>
      </c>
      <c r="B52" s="40">
        <f>index!AL53</f>
        <v>46183</v>
      </c>
      <c r="C52" s="41" t="str">
        <f>index!AM53</f>
        <v>PAKET1</v>
      </c>
      <c r="D52" s="42" t="str">
        <f>index!AN53</f>
        <v>MC-SAGARANTEN</v>
      </c>
      <c r="E52" s="31">
        <f>index!AO53</f>
        <v>17695551</v>
      </c>
      <c r="F52" s="31" t="str">
        <f>index!AP53</f>
        <v>Andri Store</v>
      </c>
      <c r="G52" s="43" t="str">
        <f>index!AQ53</f>
        <v>Andi Sutiawan</v>
      </c>
      <c r="H52" s="6">
        <f>index!AR53</f>
        <v>1</v>
      </c>
      <c r="I52" s="44">
        <f>index!BJ53</f>
        <v>115800</v>
      </c>
      <c r="J52" s="44">
        <f>index!BM53</f>
        <v>115800</v>
      </c>
      <c r="K52" s="44">
        <f>index!BO53</f>
        <v>0</v>
      </c>
      <c r="L52" s="40">
        <f>index!BP53</f>
        <v>46184</v>
      </c>
    </row>
    <row r="53" spans="1:12" x14ac:dyDescent="0.35">
      <c r="A53" s="39">
        <v>52</v>
      </c>
      <c r="B53" s="40">
        <f>index!AL54</f>
        <v>46183</v>
      </c>
      <c r="C53" s="41" t="str">
        <f>index!AM54</f>
        <v>PAKET1</v>
      </c>
      <c r="D53" s="42" t="str">
        <f>index!AN54</f>
        <v>MC-SAGARANTEN</v>
      </c>
      <c r="E53" s="31">
        <f>index!AO54</f>
        <v>1287331</v>
      </c>
      <c r="F53" s="31" t="str">
        <f>index!AP54</f>
        <v>AKEW CEL</v>
      </c>
      <c r="G53" s="43" t="str">
        <f>index!AQ54</f>
        <v>Andi Sutiawan</v>
      </c>
      <c r="H53" s="6">
        <f>index!AR54</f>
        <v>1</v>
      </c>
      <c r="I53" s="44">
        <f>index!BJ54</f>
        <v>115800</v>
      </c>
      <c r="J53" s="44">
        <f>index!BM54</f>
        <v>115800</v>
      </c>
      <c r="K53" s="44">
        <f>index!BO54</f>
        <v>0</v>
      </c>
      <c r="L53" s="40">
        <f>index!BP54</f>
        <v>46184</v>
      </c>
    </row>
    <row r="54" spans="1:12" x14ac:dyDescent="0.35">
      <c r="A54" s="39">
        <v>53</v>
      </c>
      <c r="B54" s="40">
        <f>index!AL55</f>
        <v>46183</v>
      </c>
      <c r="C54" s="41" t="str">
        <f>index!AM55</f>
        <v>PAKET1</v>
      </c>
      <c r="D54" s="42" t="str">
        <f>index!AN55</f>
        <v>MC-SAGARANTEN</v>
      </c>
      <c r="E54" s="31">
        <f>index!AO55</f>
        <v>17264618</v>
      </c>
      <c r="F54" s="31" t="str">
        <f>index!AP55</f>
        <v>HD CELLULAR</v>
      </c>
      <c r="G54" s="43" t="str">
        <f>index!AQ55</f>
        <v>Andi Sutiawan</v>
      </c>
      <c r="H54" s="6">
        <f>index!AR55</f>
        <v>1</v>
      </c>
      <c r="I54" s="44">
        <f>index!BJ55</f>
        <v>115800</v>
      </c>
      <c r="J54" s="44">
        <f>index!BM55</f>
        <v>115800</v>
      </c>
      <c r="K54" s="44">
        <f>index!BO55</f>
        <v>0</v>
      </c>
      <c r="L54" s="40">
        <f>index!BP55</f>
        <v>46184</v>
      </c>
    </row>
    <row r="55" spans="1:12" x14ac:dyDescent="0.35">
      <c r="A55" s="39">
        <v>54</v>
      </c>
      <c r="B55" s="40">
        <f>index!AL56</f>
        <v>46183</v>
      </c>
      <c r="C55" s="41" t="str">
        <f>index!AM56</f>
        <v>PAKET1</v>
      </c>
      <c r="D55" s="42" t="str">
        <f>index!AN56</f>
        <v>MC-SAGARANTEN</v>
      </c>
      <c r="E55" s="31">
        <f>index!AO56</f>
        <v>17256507</v>
      </c>
      <c r="F55" s="31" t="str">
        <f>index!AP56</f>
        <v>REGYA CELL</v>
      </c>
      <c r="G55" s="43" t="str">
        <f>index!AQ56</f>
        <v>Andi Sutiawan</v>
      </c>
      <c r="H55" s="6">
        <f>index!AR56</f>
        <v>1</v>
      </c>
      <c r="I55" s="44">
        <f>index!BJ56</f>
        <v>115800</v>
      </c>
      <c r="J55" s="44">
        <f>index!BM56</f>
        <v>115800</v>
      </c>
      <c r="K55" s="44">
        <f>index!BO56</f>
        <v>0</v>
      </c>
      <c r="L55" s="40">
        <f>index!BP56</f>
        <v>46184</v>
      </c>
    </row>
    <row r="56" spans="1:12" x14ac:dyDescent="0.35">
      <c r="A56" s="39">
        <v>55</v>
      </c>
      <c r="B56" s="40">
        <f>index!AL57</f>
        <v>46183</v>
      </c>
      <c r="C56" s="41" t="str">
        <f>index!AM57</f>
        <v>PAKET1</v>
      </c>
      <c r="D56" s="42" t="str">
        <f>index!AN57</f>
        <v>MC-SAGARANTEN</v>
      </c>
      <c r="E56" s="31">
        <f>index!AO57</f>
        <v>17750160</v>
      </c>
      <c r="F56" s="31" t="str">
        <f>index!AP57</f>
        <v>ICA CELL</v>
      </c>
      <c r="G56" s="43" t="str">
        <f>index!AQ57</f>
        <v>Andi Sutiawan</v>
      </c>
      <c r="H56" s="6">
        <f>index!AR57</f>
        <v>1</v>
      </c>
      <c r="I56" s="44">
        <f>index!BJ57</f>
        <v>115800</v>
      </c>
      <c r="J56" s="44">
        <f>index!BM57</f>
        <v>115800</v>
      </c>
      <c r="K56" s="44">
        <f>index!BO57</f>
        <v>0</v>
      </c>
      <c r="L56" s="40">
        <f>index!BP57</f>
        <v>46184</v>
      </c>
    </row>
    <row r="57" spans="1:12" x14ac:dyDescent="0.35">
      <c r="A57" s="39">
        <v>56</v>
      </c>
      <c r="B57" s="40">
        <f>index!AL58</f>
        <v>46183</v>
      </c>
      <c r="C57" s="41" t="str">
        <f>index!AM58</f>
        <v>PAKET1</v>
      </c>
      <c r="D57" s="42" t="str">
        <f>index!AN58</f>
        <v>MC-SAGARANTEN</v>
      </c>
      <c r="E57" s="31">
        <f>index!AO58</f>
        <v>17457844</v>
      </c>
      <c r="F57" s="31" t="str">
        <f>index!AP58</f>
        <v>BAROKAH CELL</v>
      </c>
      <c r="G57" s="43" t="str">
        <f>index!AQ58</f>
        <v>Andi Sutiawan</v>
      </c>
      <c r="H57" s="6">
        <f>index!AR58</f>
        <v>1</v>
      </c>
      <c r="I57" s="44">
        <f>index!BJ58</f>
        <v>115800</v>
      </c>
      <c r="J57" s="44">
        <f>index!BM58</f>
        <v>115800</v>
      </c>
      <c r="K57" s="44">
        <f>index!BO58</f>
        <v>0</v>
      </c>
      <c r="L57" s="40">
        <f>index!BP58</f>
        <v>46184</v>
      </c>
    </row>
    <row r="58" spans="1:12" x14ac:dyDescent="0.35">
      <c r="A58" s="39">
        <v>57</v>
      </c>
      <c r="B58" s="40">
        <f>index!AL59</f>
        <v>46183</v>
      </c>
      <c r="C58" s="41" t="str">
        <f>index!AM59</f>
        <v>PAKET1</v>
      </c>
      <c r="D58" s="42" t="str">
        <f>index!AN59</f>
        <v>MC-SAGARANTEN</v>
      </c>
      <c r="E58" s="31">
        <f>index!AO59</f>
        <v>17757938</v>
      </c>
      <c r="F58" s="31" t="str">
        <f>index!AP59</f>
        <v>Helmi Olshop</v>
      </c>
      <c r="G58" s="43" t="str">
        <f>index!AQ59</f>
        <v>Andi Sutiawan</v>
      </c>
      <c r="H58" s="6">
        <f>index!AR59</f>
        <v>1</v>
      </c>
      <c r="I58" s="44">
        <f>index!BJ59</f>
        <v>115800</v>
      </c>
      <c r="J58" s="44">
        <f>index!BM59</f>
        <v>115800</v>
      </c>
      <c r="K58" s="44">
        <f>index!BO59</f>
        <v>0</v>
      </c>
      <c r="L58" s="40">
        <f>index!BP59</f>
        <v>46184</v>
      </c>
    </row>
    <row r="59" spans="1:12" x14ac:dyDescent="0.35">
      <c r="A59" s="39">
        <v>58</v>
      </c>
      <c r="B59" s="40">
        <f>index!AL60</f>
        <v>46183</v>
      </c>
      <c r="C59" s="41" t="str">
        <f>index!AM60</f>
        <v>PAKET1</v>
      </c>
      <c r="D59" s="42" t="str">
        <f>index!AN60</f>
        <v>MC-SAGARANTEN</v>
      </c>
      <c r="E59" s="31">
        <f>index!AO60</f>
        <v>17187866</v>
      </c>
      <c r="F59" s="31" t="str">
        <f>index!AP60</f>
        <v>Wijar cell</v>
      </c>
      <c r="G59" s="43" t="str">
        <f>index!AQ60</f>
        <v>Andi Sutiawan</v>
      </c>
      <c r="H59" s="6">
        <f>index!AR60</f>
        <v>1</v>
      </c>
      <c r="I59" s="44">
        <f>index!BJ60</f>
        <v>115800</v>
      </c>
      <c r="J59" s="44">
        <f>index!BM60</f>
        <v>115800</v>
      </c>
      <c r="K59" s="44">
        <f>index!BO60</f>
        <v>0</v>
      </c>
      <c r="L59" s="40">
        <f>index!BP60</f>
        <v>46184</v>
      </c>
    </row>
    <row r="60" spans="1:12" x14ac:dyDescent="0.35">
      <c r="A60" s="39">
        <v>59</v>
      </c>
      <c r="B60" s="40">
        <f>index!AL61</f>
        <v>46183</v>
      </c>
      <c r="C60" s="41" t="str">
        <f>index!AM61</f>
        <v>PAKET1</v>
      </c>
      <c r="D60" s="42" t="str">
        <f>index!AN61</f>
        <v>MC-SAGARANTEN</v>
      </c>
      <c r="E60" s="31">
        <f>index!AO61</f>
        <v>17473280</v>
      </c>
      <c r="F60" s="31" t="str">
        <f>index!AP61</f>
        <v>Src</v>
      </c>
      <c r="G60" s="43" t="str">
        <f>index!AQ61</f>
        <v>Andi Sutiawan</v>
      </c>
      <c r="H60" s="6">
        <f>index!AR61</f>
        <v>1</v>
      </c>
      <c r="I60" s="44">
        <f>index!BJ61</f>
        <v>115800</v>
      </c>
      <c r="J60" s="44">
        <f>index!BM61</f>
        <v>115800</v>
      </c>
      <c r="K60" s="44">
        <f>index!BO61</f>
        <v>0</v>
      </c>
      <c r="L60" s="40">
        <f>index!BP61</f>
        <v>46184</v>
      </c>
    </row>
    <row r="61" spans="1:12" x14ac:dyDescent="0.35">
      <c r="A61" s="39">
        <v>60</v>
      </c>
      <c r="B61" s="40">
        <f>index!AL62</f>
        <v>46183</v>
      </c>
      <c r="C61" s="41" t="str">
        <f>index!AM62</f>
        <v>PAKET1</v>
      </c>
      <c r="D61" s="42" t="str">
        <f>index!AN62</f>
        <v>MC-SAGARANTEN</v>
      </c>
      <c r="E61" s="31">
        <f>index!AO62</f>
        <v>17253568</v>
      </c>
      <c r="F61" s="31" t="str">
        <f>index!AP62</f>
        <v>AHZACELL</v>
      </c>
      <c r="G61" s="43" t="str">
        <f>index!AQ62</f>
        <v>Andi Sutiawan</v>
      </c>
      <c r="H61" s="6">
        <f>index!AR62</f>
        <v>1</v>
      </c>
      <c r="I61" s="44">
        <f>index!BJ62</f>
        <v>115800</v>
      </c>
      <c r="J61" s="44">
        <f>index!BM62</f>
        <v>115800</v>
      </c>
      <c r="K61" s="44">
        <f>index!BO62</f>
        <v>0</v>
      </c>
      <c r="L61" s="40">
        <f>index!BP62</f>
        <v>46184</v>
      </c>
    </row>
    <row r="62" spans="1:12" x14ac:dyDescent="0.35">
      <c r="A62" s="39">
        <v>61</v>
      </c>
      <c r="B62" s="40">
        <f>index!AL63</f>
        <v>46183</v>
      </c>
      <c r="C62" s="41" t="str">
        <f>index!AM63</f>
        <v>PAKET4</v>
      </c>
      <c r="D62" s="42" t="str">
        <f>index!AN63</f>
        <v>MC-SAGARANTEN</v>
      </c>
      <c r="E62" s="31">
        <f>index!AO63</f>
        <v>17632992</v>
      </c>
      <c r="F62" s="31" t="str">
        <f>index!AP63</f>
        <v>EZ Cell</v>
      </c>
      <c r="G62" s="43" t="str">
        <f>index!AQ63</f>
        <v>M. Enden Abdul Latif</v>
      </c>
      <c r="H62" s="6">
        <f>index!AR63</f>
        <v>1</v>
      </c>
      <c r="I62" s="44">
        <f>index!BJ63</f>
        <v>118200</v>
      </c>
      <c r="J62" s="44">
        <f>index!BM63</f>
        <v>118200</v>
      </c>
      <c r="K62" s="44">
        <f>index!BO63</f>
        <v>0</v>
      </c>
      <c r="L62" s="40">
        <f>index!BP63</f>
        <v>46184</v>
      </c>
    </row>
    <row r="63" spans="1:12" x14ac:dyDescent="0.35">
      <c r="A63" s="39">
        <v>62</v>
      </c>
      <c r="B63" s="40">
        <f>index!AL64</f>
        <v>46183</v>
      </c>
      <c r="C63" s="41" t="str">
        <f>index!AM64</f>
        <v>PAKET4</v>
      </c>
      <c r="D63" s="42" t="str">
        <f>index!AN64</f>
        <v>MC-SAGARANTEN</v>
      </c>
      <c r="E63" s="31">
        <f>index!AO64</f>
        <v>17708933</v>
      </c>
      <c r="F63" s="31" t="str">
        <f>index!AP64</f>
        <v>EL CELL</v>
      </c>
      <c r="G63" s="43" t="str">
        <f>index!AQ64</f>
        <v>M. Enden Abdul Latif</v>
      </c>
      <c r="H63" s="6">
        <f>index!AR64</f>
        <v>1</v>
      </c>
      <c r="I63" s="44">
        <f>index!BJ64</f>
        <v>118200</v>
      </c>
      <c r="J63" s="44">
        <f>index!BM64</f>
        <v>118200</v>
      </c>
      <c r="K63" s="44">
        <f>index!BO64</f>
        <v>0</v>
      </c>
      <c r="L63" s="40">
        <f>index!BP64</f>
        <v>46184</v>
      </c>
    </row>
    <row r="64" spans="1:12" x14ac:dyDescent="0.35">
      <c r="A64" s="39">
        <v>63</v>
      </c>
      <c r="B64" s="40">
        <f>index!AL65</f>
        <v>46183</v>
      </c>
      <c r="C64" s="41" t="str">
        <f>index!AM65</f>
        <v>PAKET4</v>
      </c>
      <c r="D64" s="42" t="str">
        <f>index!AN65</f>
        <v>MC-SAGARANTEN</v>
      </c>
      <c r="E64" s="31">
        <f>index!AO65</f>
        <v>17733268</v>
      </c>
      <c r="F64" s="31" t="str">
        <f>index!AP65</f>
        <v>Setia Cell</v>
      </c>
      <c r="G64" s="43" t="str">
        <f>index!AQ65</f>
        <v>M. Enden Abdul Latif</v>
      </c>
      <c r="H64" s="6">
        <f>index!AR65</f>
        <v>1</v>
      </c>
      <c r="I64" s="44">
        <f>index!BJ65</f>
        <v>118200</v>
      </c>
      <c r="J64" s="44">
        <f>index!BM65</f>
        <v>118200</v>
      </c>
      <c r="K64" s="44">
        <f>index!BO65</f>
        <v>0</v>
      </c>
      <c r="L64" s="40">
        <f>index!BP65</f>
        <v>46184</v>
      </c>
    </row>
    <row r="65" spans="1:12" x14ac:dyDescent="0.35">
      <c r="A65" s="39">
        <v>64</v>
      </c>
      <c r="B65" s="40">
        <f>index!AL66</f>
        <v>46183</v>
      </c>
      <c r="C65" s="41" t="str">
        <f>index!AM66</f>
        <v>PAKET4</v>
      </c>
      <c r="D65" s="42" t="str">
        <f>index!AN66</f>
        <v>MC-SAGARANTEN</v>
      </c>
      <c r="E65" s="31">
        <f>index!AO66</f>
        <v>17449694</v>
      </c>
      <c r="F65" s="31" t="str">
        <f>index!AP66</f>
        <v>CENTRAL PHONE ACC</v>
      </c>
      <c r="G65" s="43" t="str">
        <f>index!AQ66</f>
        <v>Pebrian Sahri Ramdani</v>
      </c>
      <c r="H65" s="6">
        <f>index!AR66</f>
        <v>1</v>
      </c>
      <c r="I65" s="44">
        <f>index!BJ66</f>
        <v>118200</v>
      </c>
      <c r="J65" s="44">
        <f>index!BM66</f>
        <v>118200</v>
      </c>
      <c r="K65" s="44">
        <f>index!BO66</f>
        <v>0</v>
      </c>
      <c r="L65" s="40">
        <f>index!BP66</f>
        <v>46184</v>
      </c>
    </row>
    <row r="66" spans="1:12" x14ac:dyDescent="0.35">
      <c r="A66" s="39">
        <v>65</v>
      </c>
      <c r="B66" s="40">
        <f>index!AL67</f>
        <v>46183</v>
      </c>
      <c r="C66" s="41" t="str">
        <f>index!AM67</f>
        <v>PAKET4</v>
      </c>
      <c r="D66" s="42" t="str">
        <f>index!AN67</f>
        <v>MC-SAGARANTEN</v>
      </c>
      <c r="E66" s="31">
        <f>index!AO67</f>
        <v>1554006</v>
      </c>
      <c r="F66" s="31" t="str">
        <f>index!AP67</f>
        <v>ABUELA CELL</v>
      </c>
      <c r="G66" s="43" t="str">
        <f>index!AQ67</f>
        <v>Pebrian Sahri Ramdani</v>
      </c>
      <c r="H66" s="6">
        <f>index!AR67</f>
        <v>1</v>
      </c>
      <c r="I66" s="44">
        <f>index!BJ67</f>
        <v>118200</v>
      </c>
      <c r="J66" s="44">
        <f>index!BM67</f>
        <v>118200</v>
      </c>
      <c r="K66" s="44">
        <f>index!BO67</f>
        <v>0</v>
      </c>
      <c r="L66" s="40">
        <f>index!BP67</f>
        <v>46184</v>
      </c>
    </row>
    <row r="67" spans="1:12" x14ac:dyDescent="0.35">
      <c r="A67" s="39">
        <v>66</v>
      </c>
      <c r="B67" s="40">
        <f>index!AL68</f>
        <v>46184</v>
      </c>
      <c r="C67" s="41" t="str">
        <f>index!AM68</f>
        <v>PAKET1</v>
      </c>
      <c r="D67" s="42" t="str">
        <f>index!AN68</f>
        <v>MC-SAGARANTEN</v>
      </c>
      <c r="E67" s="31">
        <f>index!AO68</f>
        <v>1287335</v>
      </c>
      <c r="F67" s="31" t="str">
        <f>index!AP68</f>
        <v>HILMAN CEL</v>
      </c>
      <c r="G67" s="43" t="str">
        <f>index!AQ68</f>
        <v>Andi Sutiawan</v>
      </c>
      <c r="H67" s="6">
        <f>index!AR68</f>
        <v>1</v>
      </c>
      <c r="I67" s="44">
        <f>index!BJ68</f>
        <v>115800</v>
      </c>
      <c r="J67" s="44">
        <f>index!BM68</f>
        <v>115800</v>
      </c>
      <c r="K67" s="44">
        <f>index!BO68</f>
        <v>0</v>
      </c>
      <c r="L67" s="40">
        <f>index!BP68</f>
        <v>46185</v>
      </c>
    </row>
    <row r="68" spans="1:12" x14ac:dyDescent="0.35">
      <c r="A68" s="39">
        <v>67</v>
      </c>
      <c r="B68" s="40">
        <f>index!AL69</f>
        <v>46184</v>
      </c>
      <c r="C68" s="41" t="str">
        <f>index!AM69</f>
        <v>PAKET1</v>
      </c>
      <c r="D68" s="42" t="str">
        <f>index!AN69</f>
        <v>MC-SAGARANTEN</v>
      </c>
      <c r="E68" s="31">
        <f>index!AO69</f>
        <v>17459602</v>
      </c>
      <c r="F68" s="31" t="str">
        <f>index!AP69</f>
        <v>DEWALA CELL</v>
      </c>
      <c r="G68" s="43" t="str">
        <f>index!AQ69</f>
        <v>Andi Sutiawan</v>
      </c>
      <c r="H68" s="6">
        <f>index!AR69</f>
        <v>1</v>
      </c>
      <c r="I68" s="44">
        <f>index!BJ69</f>
        <v>115800</v>
      </c>
      <c r="J68" s="44">
        <f>index!BM69</f>
        <v>115800</v>
      </c>
      <c r="K68" s="44">
        <f>index!BO69</f>
        <v>0</v>
      </c>
      <c r="L68" s="40">
        <f>index!BP69</f>
        <v>46185</v>
      </c>
    </row>
    <row r="69" spans="1:12" x14ac:dyDescent="0.35">
      <c r="A69" s="39">
        <v>68</v>
      </c>
      <c r="B69" s="40">
        <f>index!AL70</f>
        <v>46184</v>
      </c>
      <c r="C69" s="41" t="str">
        <f>index!AM70</f>
        <v>PAKET1</v>
      </c>
      <c r="D69" s="42" t="str">
        <f>index!AN70</f>
        <v>MC-SAGARANTEN</v>
      </c>
      <c r="E69" s="31">
        <f>index!AO70</f>
        <v>17261466</v>
      </c>
      <c r="F69" s="31" t="str">
        <f>index!AP70</f>
        <v>BINTANG CELL</v>
      </c>
      <c r="G69" s="43" t="str">
        <f>index!AQ70</f>
        <v>Andi Sutiawan</v>
      </c>
      <c r="H69" s="6">
        <f>index!AR70</f>
        <v>1</v>
      </c>
      <c r="I69" s="44">
        <f>index!BJ70</f>
        <v>115800</v>
      </c>
      <c r="J69" s="44">
        <f>index!BM70</f>
        <v>115800</v>
      </c>
      <c r="K69" s="44">
        <f>index!BO70</f>
        <v>0</v>
      </c>
      <c r="L69" s="40">
        <f>index!BP70</f>
        <v>46185</v>
      </c>
    </row>
    <row r="70" spans="1:12" x14ac:dyDescent="0.35">
      <c r="A70" s="39">
        <v>69</v>
      </c>
      <c r="B70" s="40">
        <f>index!AL71</f>
        <v>46184</v>
      </c>
      <c r="C70" s="41" t="str">
        <f>index!AM71</f>
        <v>PAKET4</v>
      </c>
      <c r="D70" s="42" t="str">
        <f>index!AN71</f>
        <v>MC-SAGARANTEN</v>
      </c>
      <c r="E70" s="31">
        <f>index!AO71</f>
        <v>17513411</v>
      </c>
      <c r="F70" s="31" t="str">
        <f>index!AP71</f>
        <v>Albar cell</v>
      </c>
      <c r="G70" s="43" t="str">
        <f>index!AQ71</f>
        <v>Muhamad Parhan</v>
      </c>
      <c r="H70" s="6">
        <f>index!AR71</f>
        <v>1</v>
      </c>
      <c r="I70" s="44">
        <f>index!BJ71</f>
        <v>118200</v>
      </c>
      <c r="J70" s="44">
        <f>index!BM71</f>
        <v>118200</v>
      </c>
      <c r="K70" s="44">
        <f>index!BO71</f>
        <v>0</v>
      </c>
      <c r="L70" s="40">
        <f>index!BP71</f>
        <v>46185</v>
      </c>
    </row>
    <row r="71" spans="1:12" x14ac:dyDescent="0.35">
      <c r="A71" s="39">
        <v>70</v>
      </c>
      <c r="B71" s="40">
        <f>index!AL72</f>
        <v>46184</v>
      </c>
      <c r="C71" s="41" t="str">
        <f>index!AM72</f>
        <v>PAKET4</v>
      </c>
      <c r="D71" s="42" t="str">
        <f>index!AN72</f>
        <v>MC-SAGARANTEN</v>
      </c>
      <c r="E71" s="31">
        <f>index!AO72</f>
        <v>17740226</v>
      </c>
      <c r="F71" s="31" t="str">
        <f>index!AP72</f>
        <v>Kayla cell</v>
      </c>
      <c r="G71" s="43" t="str">
        <f>index!AQ72</f>
        <v>Muhamad Parhan</v>
      </c>
      <c r="H71" s="6">
        <f>index!AR72</f>
        <v>1</v>
      </c>
      <c r="I71" s="44">
        <f>index!BJ72</f>
        <v>118200</v>
      </c>
      <c r="J71" s="44">
        <f>index!BM72</f>
        <v>118200</v>
      </c>
      <c r="K71" s="44">
        <f>index!BO72</f>
        <v>0</v>
      </c>
      <c r="L71" s="40">
        <f>index!BP72</f>
        <v>46185</v>
      </c>
    </row>
    <row r="72" spans="1:12" x14ac:dyDescent="0.35">
      <c r="A72" s="39">
        <v>71</v>
      </c>
      <c r="B72" s="40">
        <f>index!AL73</f>
        <v>46184</v>
      </c>
      <c r="C72" s="41" t="str">
        <f>index!AM73</f>
        <v>PAKET4</v>
      </c>
      <c r="D72" s="42" t="str">
        <f>index!AN73</f>
        <v>MC-SAGARANTEN</v>
      </c>
      <c r="E72" s="31">
        <f>index!AO73</f>
        <v>1555658</v>
      </c>
      <c r="F72" s="31" t="str">
        <f>index!AP73</f>
        <v>PONK CELL</v>
      </c>
      <c r="G72" s="43" t="str">
        <f>index!AQ73</f>
        <v>Muhamad Parhan</v>
      </c>
      <c r="H72" s="6">
        <f>index!AR73</f>
        <v>1</v>
      </c>
      <c r="I72" s="44">
        <f>index!BJ73</f>
        <v>118200</v>
      </c>
      <c r="J72" s="44">
        <f>index!BM73</f>
        <v>118200</v>
      </c>
      <c r="K72" s="44">
        <f>index!BO73</f>
        <v>0</v>
      </c>
      <c r="L72" s="40">
        <f>index!BP73</f>
        <v>46185</v>
      </c>
    </row>
    <row r="73" spans="1:12" x14ac:dyDescent="0.35">
      <c r="A73" s="39">
        <v>72</v>
      </c>
      <c r="B73" s="40">
        <f>index!AL74</f>
        <v>46184</v>
      </c>
      <c r="C73" s="41" t="str">
        <f>index!AM74</f>
        <v>PAKET4</v>
      </c>
      <c r="D73" s="42" t="str">
        <f>index!AN74</f>
        <v>MC-SAGARANTEN</v>
      </c>
      <c r="E73" s="31">
        <f>index!AO74</f>
        <v>17678324</v>
      </c>
      <c r="F73" s="31" t="str">
        <f>index!AP74</f>
        <v>OJH Celluar</v>
      </c>
      <c r="G73" s="43" t="str">
        <f>index!AQ74</f>
        <v>Muhamad Parhan</v>
      </c>
      <c r="H73" s="6">
        <f>index!AR74</f>
        <v>1</v>
      </c>
      <c r="I73" s="44">
        <f>index!BJ74</f>
        <v>118200</v>
      </c>
      <c r="J73" s="44">
        <f>index!BM74</f>
        <v>118200</v>
      </c>
      <c r="K73" s="44">
        <f>index!BO74</f>
        <v>0</v>
      </c>
      <c r="L73" s="40">
        <f>index!BP74</f>
        <v>46185</v>
      </c>
    </row>
    <row r="74" spans="1:12" x14ac:dyDescent="0.35">
      <c r="A74" s="39">
        <v>73</v>
      </c>
      <c r="B74" s="40">
        <f>index!AL75</f>
        <v>46184</v>
      </c>
      <c r="C74" s="41" t="str">
        <f>index!AM75</f>
        <v>PAKET4</v>
      </c>
      <c r="D74" s="42" t="str">
        <f>index!AN75</f>
        <v>MC-SAGARANTEN</v>
      </c>
      <c r="E74" s="31">
        <f>index!AO75</f>
        <v>17541871</v>
      </c>
      <c r="F74" s="31" t="str">
        <f>index!AP75</f>
        <v>AF CELL</v>
      </c>
      <c r="G74" s="43" t="str">
        <f>index!AQ75</f>
        <v>Muhamad Parhan</v>
      </c>
      <c r="H74" s="6">
        <f>index!AR75</f>
        <v>1</v>
      </c>
      <c r="I74" s="44">
        <f>index!BJ75</f>
        <v>118200</v>
      </c>
      <c r="J74" s="44">
        <f>index!BM75</f>
        <v>118200</v>
      </c>
      <c r="K74" s="44">
        <f>index!BO75</f>
        <v>0</v>
      </c>
      <c r="L74" s="40">
        <f>index!BP75</f>
        <v>46185</v>
      </c>
    </row>
    <row r="75" spans="1:12" x14ac:dyDescent="0.35">
      <c r="A75" s="39">
        <v>74</v>
      </c>
      <c r="B75" s="40">
        <f>index!AL76</f>
        <v>46184</v>
      </c>
      <c r="C75" s="41" t="str">
        <f>index!AM76</f>
        <v>PAKET3</v>
      </c>
      <c r="D75" s="42" t="str">
        <f>index!AN76</f>
        <v>MC-SAGARANTEN</v>
      </c>
      <c r="E75" s="31">
        <f>index!AO76</f>
        <v>774331</v>
      </c>
      <c r="F75" s="31" t="str">
        <f>index!AP76</f>
        <v>MARDENA CELL</v>
      </c>
      <c r="G75" s="43" t="str">
        <f>index!AQ76</f>
        <v>M. Enden Abdul Latif</v>
      </c>
      <c r="H75" s="6">
        <f>index!AR76</f>
        <v>1</v>
      </c>
      <c r="I75" s="44">
        <f>index!BJ76</f>
        <v>162600</v>
      </c>
      <c r="J75" s="44">
        <f>index!BM76</f>
        <v>162600</v>
      </c>
      <c r="K75" s="44">
        <f>index!BO76</f>
        <v>0</v>
      </c>
      <c r="L75" s="40">
        <f>index!BP76</f>
        <v>46185</v>
      </c>
    </row>
    <row r="76" spans="1:12" x14ac:dyDescent="0.35">
      <c r="A76" s="39">
        <v>75</v>
      </c>
      <c r="B76" s="40">
        <f>index!AL77</f>
        <v>46184</v>
      </c>
      <c r="C76" s="41" t="str">
        <f>index!AM77</f>
        <v>PAKET3</v>
      </c>
      <c r="D76" s="42" t="str">
        <f>index!AN77</f>
        <v>MC-SAGARANTEN</v>
      </c>
      <c r="E76" s="31">
        <f>index!AO77</f>
        <v>17328908</v>
      </c>
      <c r="F76" s="31" t="str">
        <f>index!AP77</f>
        <v>Sand 2 Cell</v>
      </c>
      <c r="G76" s="43" t="str">
        <f>index!AQ77</f>
        <v>M. Enden Abdul Latif</v>
      </c>
      <c r="H76" s="6">
        <f>index!AR77</f>
        <v>1</v>
      </c>
      <c r="I76" s="44">
        <f>index!BJ77</f>
        <v>162600</v>
      </c>
      <c r="J76" s="44">
        <f>index!BM77</f>
        <v>162600</v>
      </c>
      <c r="K76" s="44">
        <f>index!BO77</f>
        <v>0</v>
      </c>
      <c r="L76" s="40">
        <f>index!BP77</f>
        <v>46185</v>
      </c>
    </row>
    <row r="77" spans="1:12" x14ac:dyDescent="0.35">
      <c r="A77" s="39">
        <v>76</v>
      </c>
      <c r="B77" s="40">
        <f>index!AL78</f>
        <v>46184</v>
      </c>
      <c r="C77" s="41" t="str">
        <f>index!AM78</f>
        <v>PAKET4</v>
      </c>
      <c r="D77" s="42" t="str">
        <f>index!AN78</f>
        <v>MC-SAGARANTEN</v>
      </c>
      <c r="E77" s="31">
        <f>index!AO78</f>
        <v>17728380</v>
      </c>
      <c r="F77" s="31" t="str">
        <f>index!AP78</f>
        <v>AGEN TERMINAL SAGARANTEN</v>
      </c>
      <c r="G77" s="43" t="str">
        <f>index!AQ78</f>
        <v>Pebrian Sahri Ramdani</v>
      </c>
      <c r="H77" s="6">
        <f>index!AR78</f>
        <v>1</v>
      </c>
      <c r="I77" s="44">
        <f>index!BJ78</f>
        <v>118200</v>
      </c>
      <c r="J77" s="44">
        <f>index!BM78</f>
        <v>118200</v>
      </c>
      <c r="K77" s="44">
        <f>index!BO78</f>
        <v>0</v>
      </c>
      <c r="L77" s="40">
        <f>index!BP78</f>
        <v>46185</v>
      </c>
    </row>
    <row r="78" spans="1:12" x14ac:dyDescent="0.35">
      <c r="A78" s="39">
        <v>77</v>
      </c>
      <c r="B78" s="40">
        <f>index!AL79</f>
        <v>46184</v>
      </c>
      <c r="C78" s="41" t="str">
        <f>index!AM79</f>
        <v>PAKET4</v>
      </c>
      <c r="D78" s="42" t="str">
        <f>index!AN79</f>
        <v>MC-SAGARANTEN</v>
      </c>
      <c r="E78" s="31">
        <f>index!AO79</f>
        <v>17792292</v>
      </c>
      <c r="F78" s="31" t="str">
        <f>index!AP79</f>
        <v>Gilang cell 6</v>
      </c>
      <c r="G78" s="43" t="str">
        <f>index!AQ79</f>
        <v>Pebrian Sahri Ramdani</v>
      </c>
      <c r="H78" s="6">
        <f>index!AR79</f>
        <v>1</v>
      </c>
      <c r="I78" s="44">
        <f>index!BJ79</f>
        <v>118200</v>
      </c>
      <c r="J78" s="44">
        <f>index!BM79</f>
        <v>118200</v>
      </c>
      <c r="K78" s="44">
        <f>index!BO79</f>
        <v>0</v>
      </c>
      <c r="L78" s="40">
        <f>index!BP79</f>
        <v>46185</v>
      </c>
    </row>
    <row r="79" spans="1:12" x14ac:dyDescent="0.35">
      <c r="A79" s="39">
        <v>78</v>
      </c>
      <c r="B79" s="40">
        <f>index!AL80</f>
        <v>0</v>
      </c>
      <c r="C79" s="41">
        <f>index!AM80</f>
        <v>0</v>
      </c>
      <c r="D79" s="42" t="str">
        <f>index!AN80</f>
        <v/>
      </c>
      <c r="E79" s="31">
        <f>index!AO80</f>
        <v>0</v>
      </c>
      <c r="F79" s="31" t="e">
        <f>index!AP80</f>
        <v>#N/A</v>
      </c>
      <c r="G79" s="43">
        <f>index!AQ80</f>
        <v>0</v>
      </c>
      <c r="H79" s="6">
        <f>index!AR80</f>
        <v>0</v>
      </c>
      <c r="I79" s="44" t="e">
        <f>index!BJ80</f>
        <v>#VALUE!</v>
      </c>
      <c r="J79" s="44">
        <f>index!BM80</f>
        <v>0</v>
      </c>
      <c r="K79" s="44" t="e">
        <f>index!BO80</f>
        <v>#VALUE!</v>
      </c>
      <c r="L79" s="40">
        <f>index!BP80</f>
        <v>0</v>
      </c>
    </row>
    <row r="80" spans="1:12" x14ac:dyDescent="0.35">
      <c r="A80" s="39">
        <v>79</v>
      </c>
      <c r="B80" s="40">
        <f>index!AL81</f>
        <v>0</v>
      </c>
      <c r="C80" s="41">
        <f>index!AM81</f>
        <v>0</v>
      </c>
      <c r="D80" s="42" t="str">
        <f>index!AN81</f>
        <v/>
      </c>
      <c r="E80" s="31">
        <f>index!AO81</f>
        <v>0</v>
      </c>
      <c r="F80" s="31" t="e">
        <f>index!AP81</f>
        <v>#N/A</v>
      </c>
      <c r="G80" s="43">
        <f>index!AQ81</f>
        <v>0</v>
      </c>
      <c r="H80" s="6">
        <f>index!AR81</f>
        <v>0</v>
      </c>
      <c r="I80" s="44" t="e">
        <f>index!BJ81</f>
        <v>#VALUE!</v>
      </c>
      <c r="J80" s="44">
        <f>index!BM81</f>
        <v>0</v>
      </c>
      <c r="K80" s="44" t="e">
        <f>index!BO81</f>
        <v>#VALUE!</v>
      </c>
      <c r="L80" s="40">
        <f>index!BP81</f>
        <v>0</v>
      </c>
    </row>
  </sheetData>
  <conditionalFormatting sqref="E2:E80">
    <cfRule type="duplicateValues" dxfId="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index!AC12</f>
        <v>50</v>
      </c>
      <c r="D2">
        <f>index!AD12</f>
        <v>750000</v>
      </c>
      <c r="E2">
        <f>index!AE12</f>
        <v>0</v>
      </c>
      <c r="F2">
        <f>index!AF12</f>
        <v>50</v>
      </c>
      <c r="G2">
        <f>index!AG12</f>
        <v>0</v>
      </c>
      <c r="H2">
        <f>index!AH12</f>
        <v>50</v>
      </c>
    </row>
    <row r="3" spans="1:8" x14ac:dyDescent="0.35">
      <c r="A3" t="s">
        <v>61</v>
      </c>
      <c r="B3" t="s">
        <v>54</v>
      </c>
      <c r="C3">
        <f>index!AC13</f>
        <v>50</v>
      </c>
      <c r="D3">
        <f>index!AD13</f>
        <v>750000</v>
      </c>
      <c r="E3">
        <f>index!AE13</f>
        <v>375000</v>
      </c>
      <c r="F3">
        <f>index!AF13</f>
        <v>50</v>
      </c>
      <c r="G3">
        <f>index!AG13</f>
        <v>0</v>
      </c>
      <c r="H3">
        <f>index!AH13</f>
        <v>50</v>
      </c>
    </row>
    <row r="4" spans="1:8" x14ac:dyDescent="0.35">
      <c r="A4" t="s">
        <v>62</v>
      </c>
      <c r="B4" t="s">
        <v>41</v>
      </c>
      <c r="C4">
        <f>index!AC14</f>
        <v>50</v>
      </c>
      <c r="D4">
        <f>index!AD14</f>
        <v>750000</v>
      </c>
      <c r="E4">
        <f>index!AE14</f>
        <v>375000</v>
      </c>
      <c r="F4">
        <f>index!AF14</f>
        <v>50</v>
      </c>
      <c r="G4">
        <f>index!AG14</f>
        <v>0</v>
      </c>
      <c r="H4">
        <f>index!AH14</f>
        <v>50</v>
      </c>
    </row>
    <row r="5" spans="1:8" x14ac:dyDescent="0.35">
      <c r="A5" t="s">
        <v>63</v>
      </c>
      <c r="B5" t="s">
        <v>42</v>
      </c>
      <c r="C5">
        <f>index!AC15</f>
        <v>50</v>
      </c>
      <c r="D5">
        <f>index!AD15</f>
        <v>750000</v>
      </c>
      <c r="E5">
        <f>index!AE15</f>
        <v>0</v>
      </c>
      <c r="F5">
        <f>index!AF15</f>
        <v>50</v>
      </c>
      <c r="G5">
        <f>index!AG15</f>
        <v>0</v>
      </c>
      <c r="H5">
        <f>index!AH15</f>
        <v>50</v>
      </c>
    </row>
    <row r="6" spans="1:8" x14ac:dyDescent="0.35">
      <c r="C6">
        <f>SUM(C2:C5)</f>
        <v>200</v>
      </c>
      <c r="D6">
        <f t="shared" ref="D6:H6" si="0">SUM(D2:D5)</f>
        <v>3000000</v>
      </c>
      <c r="E6">
        <f t="shared" si="0"/>
        <v>750000</v>
      </c>
      <c r="F6">
        <f t="shared" si="0"/>
        <v>200</v>
      </c>
      <c r="G6">
        <f t="shared" si="0"/>
        <v>0</v>
      </c>
      <c r="H6">
        <f t="shared" si="0"/>
        <v>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90625" bestFit="1" customWidth="1"/>
    <col min="5" max="5" width="21.08984375" bestFit="1" customWidth="1"/>
    <col min="6" max="6" width="15.90625" bestFit="1" customWidth="1"/>
    <col min="7" max="7" width="11.36328125" bestFit="1" customWidth="1"/>
    <col min="8" max="8" width="5.7265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 t="str">
        <f>index!BZ3</f>
        <v>PARHAN</v>
      </c>
      <c r="H2" s="6">
        <f>index!CA3</f>
        <v>0</v>
      </c>
      <c r="I2" s="65">
        <f>index!CB3</f>
        <v>46185</v>
      </c>
      <c r="J2" s="65">
        <f>index!CC3</f>
        <v>0</v>
      </c>
      <c r="K2" s="6" t="str">
        <f>index!CD3</f>
        <v>ON HAND DSE</v>
      </c>
      <c r="L2" s="6">
        <f>index!CE3</f>
        <v>0</v>
      </c>
    </row>
    <row r="3" spans="1:12" x14ac:dyDescent="0.35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 t="str">
        <f>index!BZ4</f>
        <v>ANDI</v>
      </c>
      <c r="H3" s="6">
        <f>index!CA4</f>
        <v>0</v>
      </c>
      <c r="I3" s="65">
        <f>index!CB4</f>
        <v>46185</v>
      </c>
      <c r="J3" s="65">
        <f>index!CC4</f>
        <v>0</v>
      </c>
      <c r="K3" s="6" t="str">
        <f>index!CD4</f>
        <v>ON HAND DSE</v>
      </c>
      <c r="L3" s="6">
        <f>index!CE4</f>
        <v>0</v>
      </c>
    </row>
    <row r="4" spans="1:12" x14ac:dyDescent="0.35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 t="str">
        <f>index!BZ5</f>
        <v>ENDEN</v>
      </c>
      <c r="H4" s="6">
        <f>index!CA5</f>
        <v>0</v>
      </c>
      <c r="I4" s="65">
        <f>index!CB5</f>
        <v>46185</v>
      </c>
      <c r="J4" s="65">
        <f>index!CC5</f>
        <v>0</v>
      </c>
      <c r="K4" s="6" t="str">
        <f>index!CD5</f>
        <v>ON HAND DSE</v>
      </c>
      <c r="L4" s="6">
        <f>index!CE5</f>
        <v>0</v>
      </c>
    </row>
    <row r="5" spans="1:12" x14ac:dyDescent="0.35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 t="str">
        <f>index!BZ6</f>
        <v>PEBRIAN</v>
      </c>
      <c r="H5" s="6">
        <f>index!CA6</f>
        <v>0</v>
      </c>
      <c r="I5" s="65">
        <f>index!CB6</f>
        <v>46185</v>
      </c>
      <c r="J5" s="65">
        <f>index!CC6</f>
        <v>0</v>
      </c>
      <c r="K5" s="6" t="str">
        <f>index!CD6</f>
        <v>ON HAND DSE</v>
      </c>
      <c r="L5" s="6">
        <f>index!CE6</f>
        <v>0</v>
      </c>
    </row>
    <row r="6" spans="1:12" x14ac:dyDescent="0.35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35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35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35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35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35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35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35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35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 t="str">
        <f>index!BZ15</f>
        <v>FAUZI 3ID</v>
      </c>
      <c r="H14" s="6">
        <f>index!CA15</f>
        <v>0</v>
      </c>
      <c r="I14" s="65">
        <f>index!CB15</f>
        <v>46185</v>
      </c>
      <c r="J14" s="65">
        <f>index!CC15</f>
        <v>0</v>
      </c>
      <c r="K14" s="6" t="str">
        <f>index!CD15</f>
        <v>ON HAND DSE</v>
      </c>
      <c r="L14" s="6">
        <f>index!CE15</f>
        <v>0</v>
      </c>
    </row>
    <row r="15" spans="1:12" x14ac:dyDescent="0.35">
      <c r="A15" s="4">
        <v>14</v>
      </c>
      <c r="B15" s="6" t="str">
        <f>index!BU16</f>
        <v>HIFI 3ID</v>
      </c>
      <c r="C15" s="6">
        <f>index!BV16</f>
        <v>1</v>
      </c>
      <c r="D15" s="7"/>
      <c r="E15" s="7"/>
      <c r="F15" s="7"/>
      <c r="G15" s="6">
        <f>index!BZ16</f>
        <v>0</v>
      </c>
      <c r="H15" s="6">
        <f>index!CA16</f>
        <v>0</v>
      </c>
      <c r="I15" s="65">
        <f>index!CB16</f>
        <v>0</v>
      </c>
      <c r="J15" s="65">
        <f>index!CC16</f>
        <v>0</v>
      </c>
      <c r="K15" s="6" t="str">
        <f>index!CD16</f>
        <v>STOK GUDANG</v>
      </c>
      <c r="L15" s="6">
        <f>index!CE16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abSelected="1" topLeftCell="BP1" workbookViewId="0">
      <selection activeCell="BT2" sqref="BT2"/>
    </sheetView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38" max="38" width="11" style="47" bestFit="1" customWidth="1"/>
    <col min="41" max="41" width="9.453125" bestFit="1" customWidth="1"/>
    <col min="52" max="52" width="18.26953125" style="47" bestFit="1" customWidth="1"/>
    <col min="57" max="57" width="17.36328125" style="47" bestFit="1" customWidth="1"/>
    <col min="80" max="80" width="10.90625" bestFit="1" customWidth="1"/>
  </cols>
  <sheetData>
    <row r="1" spans="1:83" x14ac:dyDescent="0.35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42" x14ac:dyDescent="0.4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35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f>20666000+O9</f>
        <v>28566000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66" si="0">BJ3-BM3</f>
        <v>0</v>
      </c>
      <c r="BP3" s="40">
        <v>46177</v>
      </c>
      <c r="BQ3" s="9">
        <f t="array" ref="BQ3:BQ1802">SUMIF('[1]SALDO MOBO'!BB:BB,[1]SGR!BC3:BC1802,'[1]SALDO MOBO'!BE:BE)</f>
        <v>0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 t="s">
        <v>166</v>
      </c>
      <c r="CA3" s="8"/>
      <c r="CB3" s="5">
        <v>46185</v>
      </c>
      <c r="CC3" s="5"/>
      <c r="CD3" s="4" t="s">
        <v>165</v>
      </c>
      <c r="CE3" s="5"/>
    </row>
    <row r="4" spans="1:83" x14ac:dyDescent="0.35">
      <c r="A4" s="12" t="s">
        <v>4</v>
      </c>
      <c r="B4" s="13">
        <v>0</v>
      </c>
      <c r="C4" s="14">
        <v>1</v>
      </c>
      <c r="D4" s="13">
        <f>C4+B4</f>
        <v>1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33740200+O10</f>
        <v>44192700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>
        <v>0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 t="s">
        <v>22</v>
      </c>
      <c r="CA4" s="8"/>
      <c r="CB4" s="5">
        <v>46185</v>
      </c>
      <c r="CC4" s="5"/>
      <c r="CD4" s="4" t="s">
        <v>165</v>
      </c>
      <c r="CE4" s="5"/>
    </row>
    <row r="5" spans="1:83" x14ac:dyDescent="0.35">
      <c r="A5" s="12" t="s">
        <v>5</v>
      </c>
      <c r="B5" s="13">
        <v>0</v>
      </c>
      <c r="C5" s="14">
        <v>1293</v>
      </c>
      <c r="D5" s="13">
        <f t="shared" ref="D5:D22" si="1">C5+B5</f>
        <v>1293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f>32587500+O11</f>
        <v>40444500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>
        <v>0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 t="s">
        <v>24</v>
      </c>
      <c r="CA5" s="8"/>
      <c r="CB5" s="5">
        <v>46185</v>
      </c>
      <c r="CC5" s="5"/>
      <c r="CD5" s="4" t="s">
        <v>165</v>
      </c>
      <c r="CE5" s="5"/>
    </row>
    <row r="6" spans="1:83" x14ac:dyDescent="0.35">
      <c r="A6" s="12" t="s">
        <v>6</v>
      </c>
      <c r="B6" s="13">
        <v>1025</v>
      </c>
      <c r="C6" s="14">
        <v>2745</v>
      </c>
      <c r="D6" s="13">
        <f t="shared" si="1"/>
        <v>3770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f>42797900+O12</f>
        <v>50068000</v>
      </c>
      <c r="Q6" s="20" t="s">
        <v>30</v>
      </c>
      <c r="R6" s="27">
        <v>113</v>
      </c>
      <c r="S6" s="27">
        <v>19</v>
      </c>
      <c r="T6" s="27">
        <v>60</v>
      </c>
      <c r="U6" s="27">
        <v>63</v>
      </c>
      <c r="V6" s="27">
        <v>0</v>
      </c>
      <c r="W6" s="27">
        <f t="shared" si="2"/>
        <v>255</v>
      </c>
      <c r="X6" s="4">
        <v>25000</v>
      </c>
      <c r="Y6" s="27">
        <f t="shared" si="3"/>
        <v>6375000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>
        <v>0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 t="s">
        <v>25</v>
      </c>
      <c r="CA6" s="8"/>
      <c r="CB6" s="5">
        <v>46185</v>
      </c>
      <c r="CC6" s="5"/>
      <c r="CD6" s="4" t="s">
        <v>165</v>
      </c>
      <c r="CE6" s="5"/>
    </row>
    <row r="7" spans="1:8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100</v>
      </c>
      <c r="H7" s="21">
        <v>25</v>
      </c>
      <c r="I7" s="21">
        <v>150</v>
      </c>
      <c r="J7" s="21">
        <v>77</v>
      </c>
      <c r="K7" s="21">
        <v>10</v>
      </c>
      <c r="L7" s="22">
        <f t="shared" si="4"/>
        <v>362</v>
      </c>
      <c r="N7" s="31" t="s">
        <v>43</v>
      </c>
      <c r="O7" s="8">
        <f>SUM(O3:O6)</f>
        <v>163271200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>
        <v>0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>
        <v>0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f>5100000+O14</f>
        <v>7900000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>
        <v>0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f>5216500+O15</f>
        <v>10452500</v>
      </c>
      <c r="Q10" s="20" t="s">
        <v>8</v>
      </c>
      <c r="R10" s="27">
        <v>70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70</v>
      </c>
      <c r="X10" s="4">
        <v>600</v>
      </c>
      <c r="Y10" s="27">
        <f t="shared" si="3"/>
        <v>42000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>
        <v>0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35">
      <c r="A11" s="12" t="s">
        <v>9</v>
      </c>
      <c r="B11" s="13">
        <v>0</v>
      </c>
      <c r="C11" s="14">
        <v>118</v>
      </c>
      <c r="D11" s="13">
        <f t="shared" si="1"/>
        <v>118</v>
      </c>
      <c r="F11" s="20" t="s">
        <v>8</v>
      </c>
      <c r="G11" s="21">
        <v>150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812</v>
      </c>
      <c r="O11" s="1">
        <f>4119000+O16</f>
        <v>7857000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>
        <v>0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35">
      <c r="A12" s="12" t="s">
        <v>10</v>
      </c>
      <c r="B12" s="13">
        <v>20</v>
      </c>
      <c r="C12" s="14">
        <v>757</v>
      </c>
      <c r="D12" s="13">
        <f>C12+B12</f>
        <v>777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4206700+O17</f>
        <v>7270100</v>
      </c>
      <c r="Q12" s="20" t="s">
        <v>32</v>
      </c>
      <c r="R12" s="27">
        <v>5</v>
      </c>
      <c r="S12" s="27">
        <v>85</v>
      </c>
      <c r="T12" s="27">
        <v>6</v>
      </c>
      <c r="U12" s="27">
        <v>20</v>
      </c>
      <c r="V12" s="27">
        <v>0</v>
      </c>
      <c r="W12" s="27">
        <f t="shared" si="2"/>
        <v>116</v>
      </c>
      <c r="X12" s="4">
        <v>13200</v>
      </c>
      <c r="Y12" s="27">
        <f t="shared" si="3"/>
        <v>1531200</v>
      </c>
      <c r="AA12" t="s">
        <v>60</v>
      </c>
      <c r="AB12" t="s">
        <v>53</v>
      </c>
      <c r="AC12">
        <v>50</v>
      </c>
      <c r="AD12">
        <f>15000*AC12</f>
        <v>750000</v>
      </c>
      <c r="AF12">
        <f>AC12</f>
        <v>50</v>
      </c>
      <c r="AG12">
        <v>0</v>
      </c>
      <c r="AH12">
        <f>AF12</f>
        <v>50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>
        <v>0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178</v>
      </c>
      <c r="H13" s="21">
        <v>94</v>
      </c>
      <c r="I13" s="21">
        <v>148</v>
      </c>
      <c r="J13" s="21">
        <v>241</v>
      </c>
      <c r="K13" s="21">
        <v>18</v>
      </c>
      <c r="L13" s="22">
        <f t="shared" si="4"/>
        <v>679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50</v>
      </c>
      <c r="AD13">
        <f t="shared" ref="AD13:AD15" si="5">15000*AC13</f>
        <v>750000</v>
      </c>
      <c r="AE13">
        <v>375000</v>
      </c>
      <c r="AF13">
        <f t="shared" ref="AF13:AF15" si="6">AC13</f>
        <v>50</v>
      </c>
      <c r="AG13">
        <v>0</v>
      </c>
      <c r="AH13">
        <f t="shared" ref="AH13:AH15" si="7">AF13</f>
        <v>50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>
        <v>0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35">
      <c r="A14" s="12" t="s">
        <v>12</v>
      </c>
      <c r="B14" s="13">
        <v>0</v>
      </c>
      <c r="C14" s="14">
        <v>257</v>
      </c>
      <c r="D14" s="13">
        <f t="shared" si="1"/>
        <v>257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O14">
        <v>2800000</v>
      </c>
      <c r="Q14" s="20" t="s">
        <v>34</v>
      </c>
      <c r="R14" s="27">
        <v>0</v>
      </c>
      <c r="S14" s="27">
        <v>0</v>
      </c>
      <c r="T14" s="27">
        <v>6</v>
      </c>
      <c r="U14" s="27">
        <v>15</v>
      </c>
      <c r="V14" s="27">
        <v>0</v>
      </c>
      <c r="W14" s="27">
        <f t="shared" si="2"/>
        <v>21</v>
      </c>
      <c r="X14" s="4">
        <v>14500</v>
      </c>
      <c r="Y14" s="27">
        <f t="shared" si="3"/>
        <v>304500</v>
      </c>
      <c r="AA14" t="s">
        <v>62</v>
      </c>
      <c r="AB14" t="s">
        <v>41</v>
      </c>
      <c r="AC14">
        <v>50</v>
      </c>
      <c r="AD14">
        <f t="shared" si="5"/>
        <v>750000</v>
      </c>
      <c r="AE14">
        <v>375000</v>
      </c>
      <c r="AF14">
        <f t="shared" si="6"/>
        <v>50</v>
      </c>
      <c r="AG14">
        <v>0</v>
      </c>
      <c r="AH14">
        <f t="shared" si="7"/>
        <v>50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>
        <v>0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35">
      <c r="A15" s="12" t="s">
        <v>13</v>
      </c>
      <c r="B15" s="13">
        <v>279</v>
      </c>
      <c r="C15" s="14">
        <v>3</v>
      </c>
      <c r="D15" s="13">
        <f t="shared" si="1"/>
        <v>282</v>
      </c>
      <c r="F15" s="20" t="s">
        <v>34</v>
      </c>
      <c r="G15" s="21">
        <v>29</v>
      </c>
      <c r="H15" s="21">
        <v>39</v>
      </c>
      <c r="I15" s="21">
        <v>42</v>
      </c>
      <c r="J15" s="21">
        <v>101</v>
      </c>
      <c r="K15" s="21">
        <v>0</v>
      </c>
      <c r="L15" s="22">
        <f t="shared" si="4"/>
        <v>211</v>
      </c>
      <c r="O15">
        <v>5236000</v>
      </c>
      <c r="Q15" s="20" t="s">
        <v>35</v>
      </c>
      <c r="R15" s="27">
        <v>30</v>
      </c>
      <c r="S15" s="27">
        <v>65</v>
      </c>
      <c r="T15" s="27">
        <v>65</v>
      </c>
      <c r="U15" s="27">
        <v>0</v>
      </c>
      <c r="V15" s="27">
        <v>0</v>
      </c>
      <c r="W15" s="27">
        <f t="shared" si="2"/>
        <v>160</v>
      </c>
      <c r="X15" s="4">
        <v>17250</v>
      </c>
      <c r="Y15" s="27">
        <f t="shared" si="3"/>
        <v>2760000</v>
      </c>
      <c r="AA15" t="s">
        <v>63</v>
      </c>
      <c r="AB15" t="s">
        <v>42</v>
      </c>
      <c r="AC15">
        <v>50</v>
      </c>
      <c r="AD15">
        <f t="shared" si="5"/>
        <v>750000</v>
      </c>
      <c r="AF15">
        <f t="shared" si="6"/>
        <v>50</v>
      </c>
      <c r="AG15">
        <v>0</v>
      </c>
      <c r="AH15">
        <f t="shared" si="7"/>
        <v>50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>
        <v>0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 t="s">
        <v>167</v>
      </c>
      <c r="CA15" s="8"/>
      <c r="CB15" s="5">
        <v>46185</v>
      </c>
      <c r="CC15" s="5"/>
      <c r="CD15" s="4" t="s">
        <v>165</v>
      </c>
      <c r="CE15" s="5"/>
    </row>
    <row r="16" spans="1:83" x14ac:dyDescent="0.35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84</v>
      </c>
      <c r="H16" s="21">
        <v>75</v>
      </c>
      <c r="I16" s="21">
        <v>29</v>
      </c>
      <c r="J16" s="21">
        <v>116</v>
      </c>
      <c r="K16" s="21">
        <v>18</v>
      </c>
      <c r="L16" s="22">
        <f t="shared" si="4"/>
        <v>322</v>
      </c>
      <c r="O16">
        <v>3738000</v>
      </c>
      <c r="Q16" s="20" t="s">
        <v>36</v>
      </c>
      <c r="R16" s="27">
        <v>0</v>
      </c>
      <c r="S16" s="27">
        <v>24</v>
      </c>
      <c r="T16" s="27">
        <v>0</v>
      </c>
      <c r="U16" s="27">
        <v>18</v>
      </c>
      <c r="V16" s="27">
        <v>0</v>
      </c>
      <c r="W16" s="27">
        <f t="shared" si="2"/>
        <v>42</v>
      </c>
      <c r="X16" s="4">
        <v>23000</v>
      </c>
      <c r="Y16" s="27">
        <f t="shared" si="3"/>
        <v>966000</v>
      </c>
      <c r="AC16">
        <f>SUM(AC12:AC15)</f>
        <v>200</v>
      </c>
      <c r="AD16">
        <f t="shared" ref="AD16:AH16" si="8">SUM(AD12:AD15)</f>
        <v>3000000</v>
      </c>
      <c r="AE16">
        <f t="shared" si="8"/>
        <v>750000</v>
      </c>
      <c r="AF16">
        <f t="shared" si="8"/>
        <v>200</v>
      </c>
      <c r="AG16">
        <f t="shared" si="8"/>
        <v>0</v>
      </c>
      <c r="AH16">
        <f t="shared" si="8"/>
        <v>200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>
        <v>0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 t="s">
        <v>168</v>
      </c>
      <c r="BX16" s="7" t="s">
        <v>169</v>
      </c>
      <c r="BY16" s="7" t="s">
        <v>170</v>
      </c>
      <c r="BZ16" s="4"/>
      <c r="CA16" s="9"/>
      <c r="CB16" s="5"/>
      <c r="CC16" s="10"/>
      <c r="CD16" s="4" t="s">
        <v>127</v>
      </c>
      <c r="CE16" s="10"/>
    </row>
    <row r="17" spans="1:83" x14ac:dyDescent="0.35">
      <c r="A17" s="12" t="s">
        <v>15</v>
      </c>
      <c r="B17" s="13">
        <v>103</v>
      </c>
      <c r="C17" s="14">
        <v>2</v>
      </c>
      <c r="D17" s="13">
        <f t="shared" si="1"/>
        <v>105</v>
      </c>
      <c r="F17" s="20" t="s">
        <v>36</v>
      </c>
      <c r="G17" s="21">
        <v>76</v>
      </c>
      <c r="H17" s="21">
        <v>50</v>
      </c>
      <c r="I17" s="21">
        <v>36</v>
      </c>
      <c r="J17" s="21">
        <v>75</v>
      </c>
      <c r="K17" s="21">
        <v>16</v>
      </c>
      <c r="L17" s="22">
        <f t="shared" si="4"/>
        <v>253</v>
      </c>
      <c r="O17">
        <v>3063400</v>
      </c>
      <c r="Q17" s="20" t="s">
        <v>15</v>
      </c>
      <c r="R17" s="27">
        <v>0</v>
      </c>
      <c r="S17" s="27">
        <v>13</v>
      </c>
      <c r="T17" s="27">
        <v>3</v>
      </c>
      <c r="U17" s="27">
        <v>0</v>
      </c>
      <c r="V17" s="27">
        <v>0</v>
      </c>
      <c r="W17" s="27">
        <f t="shared" si="2"/>
        <v>16</v>
      </c>
      <c r="X17" s="4">
        <v>30000</v>
      </c>
      <c r="Y17" s="27">
        <f t="shared" si="3"/>
        <v>480000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>
        <v>0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35">
      <c r="A18" s="12" t="s">
        <v>16</v>
      </c>
      <c r="B18" s="13">
        <v>0</v>
      </c>
      <c r="C18" s="14">
        <v>0</v>
      </c>
      <c r="D18" s="13">
        <f t="shared" si="1"/>
        <v>0</v>
      </c>
      <c r="F18" s="20" t="s">
        <v>15</v>
      </c>
      <c r="G18" s="21">
        <v>45</v>
      </c>
      <c r="H18" s="21">
        <v>22</v>
      </c>
      <c r="I18" s="21">
        <v>15</v>
      </c>
      <c r="J18" s="21">
        <v>20</v>
      </c>
      <c r="K18" s="21">
        <v>0</v>
      </c>
      <c r="L18" s="22">
        <f t="shared" si="4"/>
        <v>102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>
        <v>0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>
        <v>0</v>
      </c>
      <c r="BR19" s="58">
        <f>VLOOKUP(AM19,'[1]Harga &amp; Nama CSO'!$A$28:$D$31,4,0)*BL19</f>
        <v>3</v>
      </c>
    </row>
    <row r="20" spans="1:8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6</v>
      </c>
      <c r="V20" s="27">
        <v>0</v>
      </c>
      <c r="W20" s="27">
        <f t="shared" si="2"/>
        <v>6</v>
      </c>
      <c r="X20" s="4">
        <v>12000</v>
      </c>
      <c r="Y20" s="27">
        <f t="shared" si="3"/>
        <v>72000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>
        <v>0</v>
      </c>
      <c r="BR20" s="58">
        <f>VLOOKUP(AM20,'[1]Harga &amp; Nama CSO'!$A$28:$D$31,4,0)*BL20</f>
        <v>3</v>
      </c>
    </row>
    <row r="21" spans="1:83" x14ac:dyDescent="0.35">
      <c r="A21" s="12" t="s">
        <v>19</v>
      </c>
      <c r="B21" s="13">
        <v>0</v>
      </c>
      <c r="C21" s="14">
        <v>902</v>
      </c>
      <c r="D21" s="13">
        <f t="shared" si="1"/>
        <v>902</v>
      </c>
      <c r="F21" s="20" t="s">
        <v>18</v>
      </c>
      <c r="G21" s="21">
        <v>11</v>
      </c>
      <c r="H21" s="21">
        <v>70</v>
      </c>
      <c r="I21" s="21">
        <v>21</v>
      </c>
      <c r="J21" s="21">
        <v>0</v>
      </c>
      <c r="K21" s="21">
        <v>0</v>
      </c>
      <c r="L21" s="22">
        <f t="shared" si="4"/>
        <v>102</v>
      </c>
      <c r="Q21" s="20" t="s">
        <v>19</v>
      </c>
      <c r="R21" s="27">
        <v>30</v>
      </c>
      <c r="S21" s="27">
        <v>75</v>
      </c>
      <c r="T21" s="27">
        <v>27</v>
      </c>
      <c r="U21" s="27">
        <v>14</v>
      </c>
      <c r="V21" s="27">
        <v>0</v>
      </c>
      <c r="W21" s="27">
        <f t="shared" si="2"/>
        <v>146</v>
      </c>
      <c r="X21" s="4">
        <v>9600</v>
      </c>
      <c r="Y21" s="27">
        <f t="shared" si="3"/>
        <v>1401600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>
        <v>0</v>
      </c>
      <c r="BR21" s="58">
        <f>VLOOKUP(AM21,'[1]Harga &amp; Nama CSO'!$A$28:$D$31,4,0)*BL21</f>
        <v>3</v>
      </c>
    </row>
    <row r="22" spans="1:8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291</v>
      </c>
      <c r="H22" s="21">
        <v>100</v>
      </c>
      <c r="I22" s="21">
        <v>137</v>
      </c>
      <c r="J22" s="21">
        <v>147</v>
      </c>
      <c r="K22" s="21">
        <v>12</v>
      </c>
      <c r="L22" s="22">
        <f t="shared" si="4"/>
        <v>687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>
        <v>0</v>
      </c>
      <c r="BR22" s="58">
        <f>VLOOKUP(AM22,'[1]Harga &amp; Nama CSO'!$A$28:$D$31,4,0)*BL22</f>
        <v>3</v>
      </c>
    </row>
    <row r="23" spans="1:83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>
        <v>0</v>
      </c>
      <c r="BR23" s="58">
        <f>VLOOKUP(AM23,'[1]Harga &amp; Nama CSO'!$A$28:$D$31,4,0)*BL23</f>
        <v>3</v>
      </c>
    </row>
    <row r="24" spans="1:8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>
        <v>0</v>
      </c>
      <c r="BR24" s="58">
        <f>VLOOKUP(AM24,'[1]Harga &amp; Nama CSO'!$A$28:$D$31,4,0)*BL24</f>
        <v>3</v>
      </c>
    </row>
    <row r="25" spans="1:8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258</v>
      </c>
      <c r="S25" s="19">
        <f t="shared" ref="S25:Y25" si="9">SUM(S4:S24)</f>
        <v>281</v>
      </c>
      <c r="T25" s="19">
        <f t="shared" si="9"/>
        <v>172</v>
      </c>
      <c r="U25" s="19">
        <f t="shared" si="9"/>
        <v>136</v>
      </c>
      <c r="V25" s="19">
        <f t="shared" si="9"/>
        <v>0</v>
      </c>
      <c r="W25" s="19">
        <f t="shared" si="9"/>
        <v>847</v>
      </c>
      <c r="X25" s="19"/>
      <c r="Y25" s="19">
        <f t="shared" si="9"/>
        <v>14097300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>
        <v>0</v>
      </c>
      <c r="BR25" s="58">
        <f>VLOOKUP(AM25,'[1]Harga &amp; Nama CSO'!$A$28:$D$31,4,0)*BL25</f>
        <v>3</v>
      </c>
    </row>
    <row r="26" spans="1:83" x14ac:dyDescent="0.35">
      <c r="F26" s="23" t="s">
        <v>27</v>
      </c>
      <c r="G26" s="24">
        <f t="shared" ref="G26:K26" si="10">SUM(G5:G25)</f>
        <v>1012</v>
      </c>
      <c r="H26" s="24">
        <f t="shared" si="10"/>
        <v>784</v>
      </c>
      <c r="I26" s="24">
        <f t="shared" si="10"/>
        <v>653</v>
      </c>
      <c r="J26" s="24">
        <f t="shared" si="10"/>
        <v>1160</v>
      </c>
      <c r="K26" s="24">
        <f t="shared" si="10"/>
        <v>105</v>
      </c>
      <c r="L26" s="24">
        <f>SUM(L5:L25)</f>
        <v>3714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>
        <v>0</v>
      </c>
      <c r="BR26" s="58">
        <f>VLOOKUP(AM26,'[1]Harga &amp; Nama CSO'!$A$28:$D$31,4,0)*BL26</f>
        <v>3</v>
      </c>
    </row>
    <row r="27" spans="1:83" x14ac:dyDescent="0.35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>
        <v>0</v>
      </c>
      <c r="BR27" s="58">
        <f>VLOOKUP(AM27,'[1]Harga &amp; Nama CSO'!$A$28:$D$31,4,0)*BL27</f>
        <v>3</v>
      </c>
    </row>
    <row r="28" spans="1:83" x14ac:dyDescent="0.35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>
        <v>0</v>
      </c>
      <c r="BR28" s="58">
        <f>VLOOKUP(AM28,'[1]Harga &amp; Nama CSO'!$A$28:$D$31,4,0)*BL28</f>
        <v>3</v>
      </c>
    </row>
    <row r="29" spans="1:83" x14ac:dyDescent="0.35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>
        <v>0</v>
      </c>
      <c r="BR29" s="58">
        <f>VLOOKUP(AM29,'[1]Harga &amp; Nama CSO'!$A$28:$D$31,4,0)*BL29</f>
        <v>3</v>
      </c>
    </row>
    <row r="30" spans="1:83" x14ac:dyDescent="0.35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>
        <v>0</v>
      </c>
      <c r="BR30" s="58">
        <f>VLOOKUP(AM30,'[1]Harga &amp; Nama CSO'!$A$28:$D$31,4,0)*BL30</f>
        <v>3</v>
      </c>
    </row>
    <row r="31" spans="1:83" x14ac:dyDescent="0.35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>
        <v>0</v>
      </c>
      <c r="BR31" s="58">
        <f>VLOOKUP(AM31,'[1]Harga &amp; Nama CSO'!$A$28:$D$31,4,0)*BL31</f>
        <v>3</v>
      </c>
    </row>
    <row r="32" spans="1:83" x14ac:dyDescent="0.35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>
        <v>0</v>
      </c>
      <c r="BR32" s="58">
        <f>VLOOKUP(AM32,'[1]Harga &amp; Nama CSO'!$A$28:$D$31,4,0)*BL32</f>
        <v>3</v>
      </c>
    </row>
    <row r="33" spans="37:70" x14ac:dyDescent="0.35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>
        <v>0</v>
      </c>
      <c r="BR33" s="58">
        <f>VLOOKUP(AM33,'[1]Harga &amp; Nama CSO'!$A$28:$D$31,4,0)*BL33</f>
        <v>3</v>
      </c>
    </row>
    <row r="34" spans="37:70" x14ac:dyDescent="0.35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118300</v>
      </c>
      <c r="BN34" s="39" t="s">
        <v>112</v>
      </c>
      <c r="BO34" s="57">
        <f t="shared" si="0"/>
        <v>-100</v>
      </c>
      <c r="BP34" s="40">
        <v>46182</v>
      </c>
      <c r="BQ34" s="8">
        <v>0</v>
      </c>
      <c r="BR34" s="58">
        <f>VLOOKUP(AM34,'[1]Harga &amp; Nama CSO'!$A$28:$D$31,4,0)*BL34</f>
        <v>3</v>
      </c>
    </row>
    <row r="35" spans="37:70" x14ac:dyDescent="0.35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40">
        <v>46183</v>
      </c>
      <c r="BQ35" s="8">
        <v>0</v>
      </c>
      <c r="BR35" s="58">
        <f>VLOOKUP(AM35,'[1]Harga &amp; Nama CSO'!$A$28:$D$31,4,0)*BL35</f>
        <v>3</v>
      </c>
    </row>
    <row r="36" spans="37:70" x14ac:dyDescent="0.35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40">
        <v>46183</v>
      </c>
      <c r="BQ36" s="8">
        <v>0</v>
      </c>
      <c r="BR36" s="58">
        <f>VLOOKUP(AM36,'[1]Harga &amp; Nama CSO'!$A$28:$D$31,4,0)*BL36</f>
        <v>3</v>
      </c>
    </row>
    <row r="37" spans="37:70" x14ac:dyDescent="0.35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40">
        <v>46183</v>
      </c>
      <c r="BQ37" s="8">
        <v>0</v>
      </c>
      <c r="BR37" s="58">
        <f>VLOOKUP(AM37,'[1]Harga &amp; Nama CSO'!$A$28:$D$31,4,0)*BL37</f>
        <v>3</v>
      </c>
    </row>
    <row r="38" spans="37:70" x14ac:dyDescent="0.35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40">
        <v>46183</v>
      </c>
      <c r="BQ38" s="8">
        <v>0</v>
      </c>
      <c r="BR38" s="58">
        <f>VLOOKUP(AM38,'[1]Harga &amp; Nama CSO'!$A$28:$D$31,4,0)*BL38</f>
        <v>3</v>
      </c>
    </row>
    <row r="39" spans="37:70" x14ac:dyDescent="0.35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40">
        <v>46183</v>
      </c>
      <c r="BQ39" s="8">
        <v>0</v>
      </c>
      <c r="BR39" s="58">
        <f>VLOOKUP(AM39,'[1]Harga &amp; Nama CSO'!$A$28:$D$31,4,0)*BL39</f>
        <v>3</v>
      </c>
    </row>
    <row r="40" spans="37:70" x14ac:dyDescent="0.35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40">
        <v>46183</v>
      </c>
      <c r="BQ40" s="8">
        <v>0</v>
      </c>
      <c r="BR40" s="58">
        <f>VLOOKUP(AM40,'[1]Harga &amp; Nama CSO'!$A$28:$D$31,4,0)*BL40</f>
        <v>3</v>
      </c>
    </row>
    <row r="41" spans="37:70" x14ac:dyDescent="0.35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40">
        <v>46183</v>
      </c>
      <c r="BQ41" s="8">
        <v>0</v>
      </c>
      <c r="BR41" s="58">
        <f>VLOOKUP(AM41,'[1]Harga &amp; Nama CSO'!$A$28:$D$31,4,0)*BL41</f>
        <v>3</v>
      </c>
    </row>
    <row r="42" spans="37:70" x14ac:dyDescent="0.35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40">
        <v>46183</v>
      </c>
      <c r="BQ42" s="8">
        <v>0</v>
      </c>
      <c r="BR42" s="58">
        <f>VLOOKUP(AM42,'[1]Harga &amp; Nama CSO'!$A$28:$D$31,4,0)*BL42</f>
        <v>3</v>
      </c>
    </row>
    <row r="43" spans="37:70" x14ac:dyDescent="0.35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40">
        <v>46183</v>
      </c>
      <c r="BQ43" s="8">
        <v>0</v>
      </c>
      <c r="BR43" s="58">
        <f>VLOOKUP(AM43,'[1]Harga &amp; Nama CSO'!$A$28:$D$31,4,0)*BL43</f>
        <v>3</v>
      </c>
    </row>
    <row r="44" spans="37:70" x14ac:dyDescent="0.35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40">
        <v>46183</v>
      </c>
      <c r="BQ44" s="8">
        <v>0</v>
      </c>
      <c r="BR44" s="58">
        <f>VLOOKUP(AM44,'[1]Harga &amp; Nama CSO'!$A$28:$D$31,4,0)*BL44</f>
        <v>3</v>
      </c>
    </row>
    <row r="45" spans="37:70" x14ac:dyDescent="0.35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40">
        <v>46183</v>
      </c>
      <c r="BQ45" s="8">
        <v>0</v>
      </c>
      <c r="BR45" s="58">
        <f>VLOOKUP(AM45,'[1]Harga &amp; Nama CSO'!$A$28:$D$31,4,0)*BL45</f>
        <v>3</v>
      </c>
    </row>
    <row r="46" spans="37:70" x14ac:dyDescent="0.35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40">
        <v>46183</v>
      </c>
      <c r="BQ46" s="8">
        <v>0</v>
      </c>
      <c r="BR46" s="58">
        <f>VLOOKUP(AM46,'[1]Harga &amp; Nama CSO'!$A$28:$D$31,4,0)*BL46</f>
        <v>3</v>
      </c>
    </row>
    <row r="47" spans="37:70" x14ac:dyDescent="0.35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118300</v>
      </c>
      <c r="BN47" s="39" t="s">
        <v>112</v>
      </c>
      <c r="BO47" s="57">
        <f t="shared" si="0"/>
        <v>-100</v>
      </c>
      <c r="BP47" s="40">
        <v>46183</v>
      </c>
      <c r="BQ47" s="8">
        <v>0</v>
      </c>
      <c r="BR47" s="58">
        <f>VLOOKUP(AM47,'[1]Harga &amp; Nama CSO'!$A$28:$D$31,4,0)*BL47</f>
        <v>3</v>
      </c>
    </row>
    <row r="48" spans="37:70" x14ac:dyDescent="0.35">
      <c r="AK48" s="39">
        <v>46</v>
      </c>
      <c r="AL48" s="40">
        <v>46183</v>
      </c>
      <c r="AM48" s="41" t="s">
        <v>99</v>
      </c>
      <c r="AN48" s="42" t="str">
        <f>IFERROR(VLOOKUP(AQ48,[1]SUMMARY!$A$3:$B$7,2,FALSE),"")</f>
        <v>MC-SAGARANTEN</v>
      </c>
      <c r="AO48" s="42">
        <v>17729830</v>
      </c>
      <c r="AP48" s="31" t="str">
        <f>VLOOKUP(AO48,[1]OUTLET!$B:$C,2,0)</f>
        <v>Ryan store</v>
      </c>
      <c r="AQ48" s="43" t="s">
        <v>53</v>
      </c>
      <c r="AR48" s="6">
        <v>1</v>
      </c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3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3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3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>
        <f>IFERROR(VLOOKUP(AM48,'[1]Harga &amp; Nama CSO'!$H$2:$N$22,2,FALSE),"")*AR48</f>
        <v>115800</v>
      </c>
      <c r="BK48" s="40">
        <v>46183</v>
      </c>
      <c r="BL48" s="39">
        <v>1</v>
      </c>
      <c r="BM48" s="55">
        <v>115800</v>
      </c>
      <c r="BN48" s="39" t="s">
        <v>112</v>
      </c>
      <c r="BO48" s="57">
        <f t="shared" si="0"/>
        <v>0</v>
      </c>
      <c r="BP48" s="40">
        <v>46184</v>
      </c>
      <c r="BQ48" s="8">
        <v>0</v>
      </c>
      <c r="BR48" s="58">
        <f>VLOOKUP(AM48,'[1]Harga &amp; Nama CSO'!$A$28:$D$31,4,0)*BL48</f>
        <v>3</v>
      </c>
    </row>
    <row r="49" spans="37:70" x14ac:dyDescent="0.35">
      <c r="AK49" s="39">
        <v>47</v>
      </c>
      <c r="AL49" s="40">
        <v>46183</v>
      </c>
      <c r="AM49" s="41" t="s">
        <v>113</v>
      </c>
      <c r="AN49" s="42" t="str">
        <f>IFERROR(VLOOKUP(AQ49,[1]SUMMARY!$A$3:$B$7,2,FALSE),"")</f>
        <v>MC-SAGARANTEN</v>
      </c>
      <c r="AO49" s="42">
        <v>17769744</v>
      </c>
      <c r="AP49" s="31" t="str">
        <f>VLOOKUP(AO49,[1]OUTLET!$B:$C,2,0)</f>
        <v>RJ cell</v>
      </c>
      <c r="AQ49" s="43" t="s">
        <v>53</v>
      </c>
      <c r="AR49" s="6">
        <v>1</v>
      </c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3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3</v>
      </c>
      <c r="AY49" s="44">
        <f>IFERROR(VLOOKUP(AM49,'[1]Harga &amp; Nama CSO'!$A$116:$L$136,8,FALSE),0)*AR49</f>
        <v>3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>
        <f>IFERROR(VLOOKUP(AM49,'[1]Harga &amp; Nama CSO'!$H$2:$N$22,2,FALSE),"")*AR49</f>
        <v>162600</v>
      </c>
      <c r="BK49" s="40">
        <v>46183</v>
      </c>
      <c r="BL49" s="39">
        <v>1</v>
      </c>
      <c r="BM49" s="55">
        <v>162600</v>
      </c>
      <c r="BN49" s="39" t="s">
        <v>112</v>
      </c>
      <c r="BO49" s="57">
        <f t="shared" si="0"/>
        <v>0</v>
      </c>
      <c r="BP49" s="40">
        <v>46184</v>
      </c>
      <c r="BQ49" s="8">
        <v>0</v>
      </c>
      <c r="BR49" s="58">
        <f>VLOOKUP(AM49,'[1]Harga &amp; Nama CSO'!$A$28:$D$31,4,0)*BL49</f>
        <v>3</v>
      </c>
    </row>
    <row r="50" spans="37:70" x14ac:dyDescent="0.35">
      <c r="AK50" s="39">
        <v>48</v>
      </c>
      <c r="AL50" s="40">
        <v>46183</v>
      </c>
      <c r="AM50" s="41" t="s">
        <v>113</v>
      </c>
      <c r="AN50" s="42" t="str">
        <f>IFERROR(VLOOKUP(AQ50,[1]SUMMARY!$A$3:$B$7,2,FALSE),"")</f>
        <v>MC-SAGARANTEN</v>
      </c>
      <c r="AO50" s="42">
        <v>17431650</v>
      </c>
      <c r="AP50" s="31" t="str">
        <f>VLOOKUP(AO50,[1]OUTLET!$B:$C,2,0)</f>
        <v>ZFN CELL</v>
      </c>
      <c r="AQ50" s="43" t="s">
        <v>53</v>
      </c>
      <c r="AR50" s="6">
        <v>1</v>
      </c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3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3</v>
      </c>
      <c r="AY50" s="44">
        <f>IFERROR(VLOOKUP(AM50,'[1]Harga &amp; Nama CSO'!$A$116:$L$136,8,FALSE),0)*AR50</f>
        <v>3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>
        <f>IFERROR(VLOOKUP(AM50,'[1]Harga &amp; Nama CSO'!$H$2:$N$22,2,FALSE),"")*AR50</f>
        <v>162600</v>
      </c>
      <c r="BK50" s="40">
        <v>46183</v>
      </c>
      <c r="BL50" s="39">
        <v>1</v>
      </c>
      <c r="BM50" s="55">
        <v>162600</v>
      </c>
      <c r="BN50" s="39" t="s">
        <v>112</v>
      </c>
      <c r="BO50" s="57">
        <f t="shared" si="0"/>
        <v>0</v>
      </c>
      <c r="BP50" s="40">
        <v>46184</v>
      </c>
      <c r="BQ50" s="8">
        <v>0</v>
      </c>
      <c r="BR50" s="58">
        <f>VLOOKUP(AM50,'[1]Harga &amp; Nama CSO'!$A$28:$D$31,4,0)*BL50</f>
        <v>3</v>
      </c>
    </row>
    <row r="51" spans="37:70" x14ac:dyDescent="0.35">
      <c r="AK51" s="39">
        <v>49</v>
      </c>
      <c r="AL51" s="40">
        <v>46183</v>
      </c>
      <c r="AM51" s="41" t="s">
        <v>100</v>
      </c>
      <c r="AN51" s="42" t="str">
        <f>IFERROR(VLOOKUP(AQ51,[1]SUMMARY!$A$3:$B$7,2,FALSE),"")</f>
        <v>MC-SAGARANTEN</v>
      </c>
      <c r="AO51" s="42">
        <v>17729845</v>
      </c>
      <c r="AP51" s="31" t="str">
        <f>VLOOKUP(AO51,[1]OUTLET!$B:$C,2,0)</f>
        <v>Lisna cell</v>
      </c>
      <c r="AQ51" s="43" t="s">
        <v>53</v>
      </c>
      <c r="AR51" s="6">
        <v>1</v>
      </c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3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3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3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>
        <f>IFERROR(VLOOKUP(AM51,'[1]Harga &amp; Nama CSO'!$H$2:$N$22,2,FALSE),"")*AR51</f>
        <v>118200</v>
      </c>
      <c r="BK51" s="40">
        <v>46183</v>
      </c>
      <c r="BL51" s="39">
        <v>1</v>
      </c>
      <c r="BM51" s="55">
        <v>118200</v>
      </c>
      <c r="BN51" s="39" t="s">
        <v>112</v>
      </c>
      <c r="BO51" s="57">
        <f t="shared" si="0"/>
        <v>0</v>
      </c>
      <c r="BP51" s="40">
        <v>46184</v>
      </c>
      <c r="BQ51" s="8">
        <v>0</v>
      </c>
      <c r="BR51" s="58">
        <f>VLOOKUP(AM51,'[1]Harga &amp; Nama CSO'!$A$28:$D$31,4,0)*BL51</f>
        <v>3</v>
      </c>
    </row>
    <row r="52" spans="37:70" x14ac:dyDescent="0.35">
      <c r="AK52" s="39">
        <v>50</v>
      </c>
      <c r="AL52" s="40">
        <v>46183</v>
      </c>
      <c r="AM52" s="41" t="s">
        <v>100</v>
      </c>
      <c r="AN52" s="42" t="str">
        <f>IFERROR(VLOOKUP(AQ52,[1]SUMMARY!$A$3:$B$7,2,FALSE),"")</f>
        <v>MC-SAGARANTEN</v>
      </c>
      <c r="AO52" s="42">
        <v>17434826</v>
      </c>
      <c r="AP52" s="31" t="str">
        <f>VLOOKUP(AO52,[1]OUTLET!$B:$C,2,0)</f>
        <v>Gilang Cell 3</v>
      </c>
      <c r="AQ52" s="43" t="s">
        <v>53</v>
      </c>
      <c r="AR52" s="6">
        <v>1</v>
      </c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3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3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3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>
        <f>IFERROR(VLOOKUP(AM52,'[1]Harga &amp; Nama CSO'!$H$2:$N$22,2,FALSE),"")*AR52</f>
        <v>118200</v>
      </c>
      <c r="BK52" s="40">
        <v>46183</v>
      </c>
      <c r="BL52" s="39">
        <v>1</v>
      </c>
      <c r="BM52" s="55">
        <v>118200</v>
      </c>
      <c r="BN52" s="39" t="s">
        <v>112</v>
      </c>
      <c r="BO52" s="57">
        <f t="shared" si="0"/>
        <v>0</v>
      </c>
      <c r="BP52" s="40">
        <v>46184</v>
      </c>
      <c r="BQ52" s="8">
        <v>0</v>
      </c>
      <c r="BR52" s="58">
        <f>VLOOKUP(AM52,'[1]Harga &amp; Nama CSO'!$A$28:$D$31,4,0)*BL52</f>
        <v>3</v>
      </c>
    </row>
    <row r="53" spans="37:70" x14ac:dyDescent="0.35">
      <c r="AK53" s="39">
        <v>51</v>
      </c>
      <c r="AL53" s="40">
        <v>46183</v>
      </c>
      <c r="AM53" s="41" t="s">
        <v>99</v>
      </c>
      <c r="AN53" s="42" t="str">
        <f>IFERROR(VLOOKUP(AQ53,[1]SUMMARY!$A$3:$B$7,2,FALSE),"")</f>
        <v>MC-SAGARANTEN</v>
      </c>
      <c r="AO53" s="42">
        <v>17695551</v>
      </c>
      <c r="AP53" s="31" t="str">
        <f>VLOOKUP(AO53,[1]OUTLET!$B:$C,2,0)</f>
        <v>Andri Store</v>
      </c>
      <c r="AQ53" s="43" t="s">
        <v>54</v>
      </c>
      <c r="AR53" s="6">
        <v>1</v>
      </c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3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3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3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>
        <f>IFERROR(VLOOKUP(AM53,'[1]Harga &amp; Nama CSO'!$H$2:$N$22,2,FALSE),"")*AR53</f>
        <v>115800</v>
      </c>
      <c r="BK53" s="40">
        <v>46183</v>
      </c>
      <c r="BL53" s="39">
        <v>1</v>
      </c>
      <c r="BM53" s="55">
        <v>115800</v>
      </c>
      <c r="BN53" s="39" t="s">
        <v>112</v>
      </c>
      <c r="BO53" s="57">
        <f t="shared" si="0"/>
        <v>0</v>
      </c>
      <c r="BP53" s="40">
        <v>46184</v>
      </c>
      <c r="BQ53" s="8">
        <v>0</v>
      </c>
      <c r="BR53" s="58">
        <f>VLOOKUP(AM53,'[1]Harga &amp; Nama CSO'!$A$28:$D$31,4,0)*BL53</f>
        <v>3</v>
      </c>
    </row>
    <row r="54" spans="37:70" x14ac:dyDescent="0.35">
      <c r="AK54" s="39">
        <v>52</v>
      </c>
      <c r="AL54" s="40">
        <v>46183</v>
      </c>
      <c r="AM54" s="41" t="s">
        <v>99</v>
      </c>
      <c r="AN54" s="42" t="str">
        <f>IFERROR(VLOOKUP(AQ54,[1]SUMMARY!$A$3:$B$7,2,FALSE),"")</f>
        <v>MC-SAGARANTEN</v>
      </c>
      <c r="AO54" s="42">
        <v>1287331</v>
      </c>
      <c r="AP54" s="31" t="str">
        <f>VLOOKUP(AO54,[1]OUTLET!$B:$C,2,0)</f>
        <v>AKEW CEL</v>
      </c>
      <c r="AQ54" s="43" t="s">
        <v>54</v>
      </c>
      <c r="AR54" s="6">
        <v>1</v>
      </c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3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3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3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>
        <f>IFERROR(VLOOKUP(AM54,'[1]Harga &amp; Nama CSO'!$H$2:$N$22,2,FALSE),"")*AR54</f>
        <v>115800</v>
      </c>
      <c r="BK54" s="40">
        <v>46183</v>
      </c>
      <c r="BL54" s="39">
        <v>1</v>
      </c>
      <c r="BM54" s="55">
        <v>115800</v>
      </c>
      <c r="BN54" s="39" t="s">
        <v>112</v>
      </c>
      <c r="BO54" s="57">
        <f t="shared" si="0"/>
        <v>0</v>
      </c>
      <c r="BP54" s="40">
        <v>46184</v>
      </c>
      <c r="BQ54" s="8">
        <v>0</v>
      </c>
      <c r="BR54" s="58">
        <f>VLOOKUP(AM54,'[1]Harga &amp; Nama CSO'!$A$28:$D$31,4,0)*BL54</f>
        <v>3</v>
      </c>
    </row>
    <row r="55" spans="37:70" x14ac:dyDescent="0.35">
      <c r="AK55" s="39">
        <v>53</v>
      </c>
      <c r="AL55" s="40">
        <v>46183</v>
      </c>
      <c r="AM55" s="41" t="s">
        <v>99</v>
      </c>
      <c r="AN55" s="42" t="str">
        <f>IFERROR(VLOOKUP(AQ55,[1]SUMMARY!$A$3:$B$7,2,FALSE),"")</f>
        <v>MC-SAGARANTEN</v>
      </c>
      <c r="AO55" s="42">
        <v>17264618</v>
      </c>
      <c r="AP55" s="31" t="str">
        <f>VLOOKUP(AO55,[1]OUTLET!$B:$C,2,0)</f>
        <v>HD CELLULAR</v>
      </c>
      <c r="AQ55" s="43" t="s">
        <v>54</v>
      </c>
      <c r="AR55" s="6">
        <v>1</v>
      </c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3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3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3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>
        <f>IFERROR(VLOOKUP(AM55,'[1]Harga &amp; Nama CSO'!$H$2:$N$22,2,FALSE),"")*AR55</f>
        <v>115800</v>
      </c>
      <c r="BK55" s="40">
        <v>46183</v>
      </c>
      <c r="BL55" s="39">
        <v>1</v>
      </c>
      <c r="BM55" s="55">
        <v>115800</v>
      </c>
      <c r="BN55" s="39" t="s">
        <v>112</v>
      </c>
      <c r="BO55" s="57">
        <f t="shared" si="0"/>
        <v>0</v>
      </c>
      <c r="BP55" s="40">
        <v>46184</v>
      </c>
      <c r="BQ55" s="8">
        <v>0</v>
      </c>
      <c r="BR55" s="58">
        <f>VLOOKUP(AM55,'[1]Harga &amp; Nama CSO'!$A$28:$D$31,4,0)*BL55</f>
        <v>3</v>
      </c>
    </row>
    <row r="56" spans="37:70" x14ac:dyDescent="0.35">
      <c r="AK56" s="39">
        <v>54</v>
      </c>
      <c r="AL56" s="40">
        <v>46183</v>
      </c>
      <c r="AM56" s="41" t="s">
        <v>99</v>
      </c>
      <c r="AN56" s="42" t="str">
        <f>IFERROR(VLOOKUP(AQ56,[1]SUMMARY!$A$3:$B$7,2,FALSE),"")</f>
        <v>MC-SAGARANTEN</v>
      </c>
      <c r="AO56" s="42">
        <v>17256507</v>
      </c>
      <c r="AP56" s="31" t="str">
        <f>VLOOKUP(AO56,[1]OUTLET!$B:$C,2,0)</f>
        <v>REGYA CELL</v>
      </c>
      <c r="AQ56" s="43" t="s">
        <v>54</v>
      </c>
      <c r="AR56" s="6">
        <v>1</v>
      </c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3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3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3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>
        <f>IFERROR(VLOOKUP(AM56,'[1]Harga &amp; Nama CSO'!$H$2:$N$22,2,FALSE),"")*AR56</f>
        <v>115800</v>
      </c>
      <c r="BK56" s="40">
        <v>46183</v>
      </c>
      <c r="BL56" s="39">
        <v>1</v>
      </c>
      <c r="BM56" s="55">
        <v>115800</v>
      </c>
      <c r="BN56" s="39" t="s">
        <v>112</v>
      </c>
      <c r="BO56" s="57">
        <f t="shared" si="0"/>
        <v>0</v>
      </c>
      <c r="BP56" s="40">
        <v>46184</v>
      </c>
      <c r="BQ56" s="8">
        <v>0</v>
      </c>
      <c r="BR56" s="58">
        <f>VLOOKUP(AM56,'[1]Harga &amp; Nama CSO'!$A$28:$D$31,4,0)*BL56</f>
        <v>3</v>
      </c>
    </row>
    <row r="57" spans="37:70" x14ac:dyDescent="0.35">
      <c r="AK57" s="39">
        <v>55</v>
      </c>
      <c r="AL57" s="40">
        <v>46183</v>
      </c>
      <c r="AM57" s="41" t="s">
        <v>99</v>
      </c>
      <c r="AN57" s="42" t="str">
        <f>IFERROR(VLOOKUP(AQ57,[1]SUMMARY!$A$3:$B$7,2,FALSE),"")</f>
        <v>MC-SAGARANTEN</v>
      </c>
      <c r="AO57" s="31">
        <v>17750160</v>
      </c>
      <c r="AP57" s="31" t="str">
        <f>VLOOKUP(AO57,[1]OUTLET!$B:$C,2,0)</f>
        <v>ICA CELL</v>
      </c>
      <c r="AQ57" s="43" t="s">
        <v>54</v>
      </c>
      <c r="AR57" s="6">
        <v>1</v>
      </c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3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3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3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>
        <f>IFERROR(VLOOKUP(AM57,'[1]Harga &amp; Nama CSO'!$H$2:$N$22,2,FALSE),"")*AR57</f>
        <v>115800</v>
      </c>
      <c r="BK57" s="40">
        <v>46183</v>
      </c>
      <c r="BL57" s="39">
        <v>1</v>
      </c>
      <c r="BM57" s="55">
        <v>115800</v>
      </c>
      <c r="BN57" s="39" t="s">
        <v>112</v>
      </c>
      <c r="BO57" s="57">
        <f t="shared" si="0"/>
        <v>0</v>
      </c>
      <c r="BP57" s="40">
        <v>46184</v>
      </c>
      <c r="BQ57" s="8">
        <v>0</v>
      </c>
      <c r="BR57" s="58">
        <f>VLOOKUP(AM57,'[1]Harga &amp; Nama CSO'!$A$28:$D$31,4,0)*BL57</f>
        <v>3</v>
      </c>
    </row>
    <row r="58" spans="37:70" x14ac:dyDescent="0.35">
      <c r="AK58" s="39">
        <v>56</v>
      </c>
      <c r="AL58" s="40">
        <v>46183</v>
      </c>
      <c r="AM58" s="41" t="s">
        <v>99</v>
      </c>
      <c r="AN58" s="42" t="str">
        <f>IFERROR(VLOOKUP(AQ58,[1]SUMMARY!$A$3:$B$7,2,FALSE),"")</f>
        <v>MC-SAGARANTEN</v>
      </c>
      <c r="AO58" s="31">
        <v>17457844</v>
      </c>
      <c r="AP58" s="31" t="str">
        <f>VLOOKUP(AO58,[1]OUTLET!$B:$C,2,0)</f>
        <v>BAROKAH CELL</v>
      </c>
      <c r="AQ58" s="43" t="s">
        <v>54</v>
      </c>
      <c r="AR58" s="6">
        <v>1</v>
      </c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3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3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3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>
        <f>IFERROR(VLOOKUP(AM58,'[1]Harga &amp; Nama CSO'!$H$2:$N$22,2,FALSE),"")*AR58</f>
        <v>115800</v>
      </c>
      <c r="BK58" s="40">
        <v>46183</v>
      </c>
      <c r="BL58" s="39">
        <v>1</v>
      </c>
      <c r="BM58" s="55">
        <v>115800</v>
      </c>
      <c r="BN58" s="39" t="s">
        <v>112</v>
      </c>
      <c r="BO58" s="57">
        <f t="shared" si="0"/>
        <v>0</v>
      </c>
      <c r="BP58" s="40">
        <v>46184</v>
      </c>
      <c r="BQ58" s="8">
        <v>0</v>
      </c>
      <c r="BR58" s="58">
        <f>VLOOKUP(AM58,'[1]Harga &amp; Nama CSO'!$A$28:$D$31,4,0)*BL58</f>
        <v>3</v>
      </c>
    </row>
    <row r="59" spans="37:70" x14ac:dyDescent="0.35">
      <c r="AK59" s="39">
        <v>57</v>
      </c>
      <c r="AL59" s="40">
        <v>46183</v>
      </c>
      <c r="AM59" s="41" t="s">
        <v>99</v>
      </c>
      <c r="AN59" s="42" t="str">
        <f>IFERROR(VLOOKUP(AQ59,[1]SUMMARY!$A$3:$B$7,2,FALSE),"")</f>
        <v>MC-SAGARANTEN</v>
      </c>
      <c r="AO59" s="31">
        <v>17757938</v>
      </c>
      <c r="AP59" s="31" t="str">
        <f>VLOOKUP(AO59,[1]OUTLET!$B:$C,2,0)</f>
        <v>Helmi Olshop</v>
      </c>
      <c r="AQ59" s="43" t="s">
        <v>54</v>
      </c>
      <c r="AR59" s="6">
        <v>1</v>
      </c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3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3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3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>
        <f>IFERROR(VLOOKUP(AM59,'[1]Harga &amp; Nama CSO'!$H$2:$N$22,2,FALSE),"")*AR59</f>
        <v>115800</v>
      </c>
      <c r="BK59" s="40">
        <v>46183</v>
      </c>
      <c r="BL59" s="39">
        <v>1</v>
      </c>
      <c r="BM59" s="55">
        <v>115800</v>
      </c>
      <c r="BN59" s="39" t="s">
        <v>112</v>
      </c>
      <c r="BO59" s="57">
        <f t="shared" si="0"/>
        <v>0</v>
      </c>
      <c r="BP59" s="40">
        <v>46184</v>
      </c>
      <c r="BQ59" s="8">
        <v>0</v>
      </c>
      <c r="BR59" s="58">
        <f>VLOOKUP(AM59,'[1]Harga &amp; Nama CSO'!$A$28:$D$31,4,0)*BL59</f>
        <v>3</v>
      </c>
    </row>
    <row r="60" spans="37:70" x14ac:dyDescent="0.35">
      <c r="AK60" s="39">
        <v>58</v>
      </c>
      <c r="AL60" s="40">
        <v>46183</v>
      </c>
      <c r="AM60" s="41" t="s">
        <v>99</v>
      </c>
      <c r="AN60" s="42" t="str">
        <f>IFERROR(VLOOKUP(AQ60,[1]SUMMARY!$A$3:$B$7,2,FALSE),"")</f>
        <v>MC-SAGARANTEN</v>
      </c>
      <c r="AO60" s="31">
        <v>17187866</v>
      </c>
      <c r="AP60" s="31" t="str">
        <f>VLOOKUP(AO60,[1]OUTLET!$B:$C,2,0)</f>
        <v>Wijar cell</v>
      </c>
      <c r="AQ60" s="43" t="s">
        <v>54</v>
      </c>
      <c r="AR60" s="6">
        <v>1</v>
      </c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3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3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3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>
        <f>IFERROR(VLOOKUP(AM60,'[1]Harga &amp; Nama CSO'!$H$2:$N$22,2,FALSE),"")*AR60</f>
        <v>115800</v>
      </c>
      <c r="BK60" s="40">
        <v>46183</v>
      </c>
      <c r="BL60" s="39">
        <v>1</v>
      </c>
      <c r="BM60" s="55">
        <v>115800</v>
      </c>
      <c r="BN60" s="39" t="s">
        <v>112</v>
      </c>
      <c r="BO60" s="57">
        <f t="shared" si="0"/>
        <v>0</v>
      </c>
      <c r="BP60" s="40">
        <v>46184</v>
      </c>
      <c r="BQ60" s="8">
        <v>0</v>
      </c>
      <c r="BR60" s="58">
        <f>VLOOKUP(AM60,'[1]Harga &amp; Nama CSO'!$A$28:$D$31,4,0)*BL60</f>
        <v>3</v>
      </c>
    </row>
    <row r="61" spans="37:70" x14ac:dyDescent="0.35">
      <c r="AK61" s="39">
        <v>59</v>
      </c>
      <c r="AL61" s="40">
        <v>46183</v>
      </c>
      <c r="AM61" s="41" t="s">
        <v>99</v>
      </c>
      <c r="AN61" s="42" t="str">
        <f>IFERROR(VLOOKUP(AQ61,[1]SUMMARY!$A$3:$B$7,2,FALSE),"")</f>
        <v>MC-SAGARANTEN</v>
      </c>
      <c r="AO61" s="31">
        <v>17473280</v>
      </c>
      <c r="AP61" s="31" t="str">
        <f>VLOOKUP(AO61,[1]OUTLET!$B:$C,2,0)</f>
        <v>Src</v>
      </c>
      <c r="AQ61" s="43" t="s">
        <v>54</v>
      </c>
      <c r="AR61" s="6">
        <v>1</v>
      </c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3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3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3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>
        <f>IFERROR(VLOOKUP(AM61,'[1]Harga &amp; Nama CSO'!$H$2:$N$22,2,FALSE),"")*AR61</f>
        <v>115800</v>
      </c>
      <c r="BK61" s="40">
        <v>46183</v>
      </c>
      <c r="BL61" s="39">
        <v>1</v>
      </c>
      <c r="BM61" s="55">
        <v>115800</v>
      </c>
      <c r="BN61" s="39" t="s">
        <v>112</v>
      </c>
      <c r="BO61" s="57">
        <f t="shared" si="0"/>
        <v>0</v>
      </c>
      <c r="BP61" s="40">
        <v>46184</v>
      </c>
      <c r="BQ61" s="8">
        <v>0</v>
      </c>
      <c r="BR61" s="58">
        <f>VLOOKUP(AM61,'[1]Harga &amp; Nama CSO'!$A$28:$D$31,4,0)*BL61</f>
        <v>3</v>
      </c>
    </row>
    <row r="62" spans="37:70" x14ac:dyDescent="0.35">
      <c r="AK62" s="39">
        <v>60</v>
      </c>
      <c r="AL62" s="40">
        <v>46183</v>
      </c>
      <c r="AM62" s="41" t="s">
        <v>99</v>
      </c>
      <c r="AN62" s="42" t="str">
        <f>IFERROR(VLOOKUP(AQ62,[1]SUMMARY!$A$3:$B$7,2,FALSE),"")</f>
        <v>MC-SAGARANTEN</v>
      </c>
      <c r="AO62" s="31">
        <v>17253568</v>
      </c>
      <c r="AP62" s="31" t="str">
        <f>VLOOKUP(AO62,[1]OUTLET!$B:$C,2,0)</f>
        <v>AHZACELL</v>
      </c>
      <c r="AQ62" s="43" t="s">
        <v>54</v>
      </c>
      <c r="AR62" s="6">
        <v>1</v>
      </c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3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3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3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>
        <f>IFERROR(VLOOKUP(AM62,'[1]Harga &amp; Nama CSO'!$H$2:$N$22,2,FALSE),"")*AR62</f>
        <v>115800</v>
      </c>
      <c r="BK62" s="40">
        <v>46183</v>
      </c>
      <c r="BL62" s="39">
        <v>1</v>
      </c>
      <c r="BM62" s="55">
        <v>115800</v>
      </c>
      <c r="BN62" s="39" t="s">
        <v>112</v>
      </c>
      <c r="BO62" s="57">
        <f t="shared" si="0"/>
        <v>0</v>
      </c>
      <c r="BP62" s="40">
        <v>46184</v>
      </c>
      <c r="BQ62" s="8">
        <v>0</v>
      </c>
      <c r="BR62" s="58">
        <f>VLOOKUP(AM62,'[1]Harga &amp; Nama CSO'!$A$28:$D$31,4,0)*BL62</f>
        <v>3</v>
      </c>
    </row>
    <row r="63" spans="37:70" x14ac:dyDescent="0.35">
      <c r="AK63" s="39">
        <v>61</v>
      </c>
      <c r="AL63" s="40">
        <v>46183</v>
      </c>
      <c r="AM63" s="41" t="s">
        <v>100</v>
      </c>
      <c r="AN63" s="42" t="str">
        <f>IFERROR(VLOOKUP(AQ63,[1]SUMMARY!$A$3:$B$7,2,FALSE),"")</f>
        <v>MC-SAGARANTEN</v>
      </c>
      <c r="AO63" s="31">
        <v>17632992</v>
      </c>
      <c r="AP63" s="31" t="str">
        <f>VLOOKUP(AO63,[1]OUTLET!$B:$C,2,0)</f>
        <v>EZ Cell</v>
      </c>
      <c r="AQ63" s="31" t="s">
        <v>41</v>
      </c>
      <c r="AR63" s="6">
        <v>1</v>
      </c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3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3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3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>
        <f>IFERROR(VLOOKUP(AM63,'[1]Harga &amp; Nama CSO'!$H$2:$N$22,2,FALSE),"")*AR63</f>
        <v>118200</v>
      </c>
      <c r="BK63" s="40">
        <v>46183</v>
      </c>
      <c r="BL63" s="39">
        <v>1</v>
      </c>
      <c r="BM63" s="55">
        <v>118200</v>
      </c>
      <c r="BN63" s="39" t="s">
        <v>112</v>
      </c>
      <c r="BO63" s="57">
        <f t="shared" si="0"/>
        <v>0</v>
      </c>
      <c r="BP63" s="40">
        <v>46184</v>
      </c>
      <c r="BQ63" s="8">
        <v>0</v>
      </c>
      <c r="BR63" s="58">
        <f>VLOOKUP(AM63,'[1]Harga &amp; Nama CSO'!$A$28:$D$31,4,0)*BL63</f>
        <v>3</v>
      </c>
    </row>
    <row r="64" spans="37:70" x14ac:dyDescent="0.35">
      <c r="AK64" s="39">
        <v>62</v>
      </c>
      <c r="AL64" s="40">
        <v>46183</v>
      </c>
      <c r="AM64" s="41" t="s">
        <v>100</v>
      </c>
      <c r="AN64" s="42" t="str">
        <f>IFERROR(VLOOKUP(AQ64,[1]SUMMARY!$A$3:$B$7,2,FALSE),"")</f>
        <v>MC-SAGARANTEN</v>
      </c>
      <c r="AO64" s="31">
        <v>17708933</v>
      </c>
      <c r="AP64" s="31" t="str">
        <f>VLOOKUP(AO64,[1]OUTLET!$B:$C,2,0)</f>
        <v>EL CELL</v>
      </c>
      <c r="AQ64" s="31" t="s">
        <v>41</v>
      </c>
      <c r="AR64" s="6">
        <v>1</v>
      </c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3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3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3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>
        <f>IFERROR(VLOOKUP(AM64,'[1]Harga &amp; Nama CSO'!$H$2:$N$22,2,FALSE),"")*AR64</f>
        <v>118200</v>
      </c>
      <c r="BK64" s="40">
        <v>46183</v>
      </c>
      <c r="BL64" s="39">
        <v>1</v>
      </c>
      <c r="BM64" s="55">
        <v>118200</v>
      </c>
      <c r="BN64" s="39" t="s">
        <v>112</v>
      </c>
      <c r="BO64" s="57">
        <f t="shared" si="0"/>
        <v>0</v>
      </c>
      <c r="BP64" s="40">
        <v>46184</v>
      </c>
      <c r="BQ64" s="8">
        <v>0</v>
      </c>
      <c r="BR64" s="58">
        <f>VLOOKUP(AM64,'[1]Harga &amp; Nama CSO'!$A$28:$D$31,4,0)*BL64</f>
        <v>3</v>
      </c>
    </row>
    <row r="65" spans="37:70" x14ac:dyDescent="0.35">
      <c r="AK65" s="39">
        <v>63</v>
      </c>
      <c r="AL65" s="40">
        <v>46183</v>
      </c>
      <c r="AM65" s="41" t="s">
        <v>100</v>
      </c>
      <c r="AN65" s="42" t="str">
        <f>IFERROR(VLOOKUP(AQ65,[1]SUMMARY!$A$3:$B$7,2,FALSE),"")</f>
        <v>MC-SAGARANTEN</v>
      </c>
      <c r="AO65" s="31">
        <v>17733268</v>
      </c>
      <c r="AP65" s="31" t="str">
        <f>VLOOKUP(AO65,[1]OUTLET!$B:$C,2,0)</f>
        <v>Setia Cell</v>
      </c>
      <c r="AQ65" s="31" t="s">
        <v>41</v>
      </c>
      <c r="AR65" s="6">
        <v>1</v>
      </c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3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3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3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>
        <f>IFERROR(VLOOKUP(AM65,'[1]Harga &amp; Nama CSO'!$H$2:$N$22,2,FALSE),"")*AR65</f>
        <v>118200</v>
      </c>
      <c r="BK65" s="40">
        <v>46183</v>
      </c>
      <c r="BL65" s="39">
        <v>1</v>
      </c>
      <c r="BM65" s="55">
        <v>118200</v>
      </c>
      <c r="BN65" s="39" t="s">
        <v>112</v>
      </c>
      <c r="BO65" s="57">
        <f t="shared" si="0"/>
        <v>0</v>
      </c>
      <c r="BP65" s="40">
        <v>46184</v>
      </c>
      <c r="BQ65" s="8">
        <v>0</v>
      </c>
      <c r="BR65" s="58">
        <f>VLOOKUP(AM65,'[1]Harga &amp; Nama CSO'!$A$28:$D$31,4,0)*BL65</f>
        <v>3</v>
      </c>
    </row>
    <row r="66" spans="37:70" x14ac:dyDescent="0.35">
      <c r="AK66" s="39">
        <v>64</v>
      </c>
      <c r="AL66" s="40">
        <v>46183</v>
      </c>
      <c r="AM66" s="41" t="s">
        <v>100</v>
      </c>
      <c r="AN66" s="42" t="str">
        <f>IFERROR(VLOOKUP(AQ66,[1]SUMMARY!$A$3:$B$7,2,FALSE),"")</f>
        <v>MC-SAGARANTEN</v>
      </c>
      <c r="AO66" s="31">
        <v>17449694</v>
      </c>
      <c r="AP66" s="31" t="str">
        <f>VLOOKUP(AO66,[1]OUTLET!$B:$C,2,0)</f>
        <v>CENTRAL PHONE ACC</v>
      </c>
      <c r="AQ66" s="31" t="s">
        <v>42</v>
      </c>
      <c r="AR66" s="6">
        <v>1</v>
      </c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3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3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3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>
        <f>IFERROR(VLOOKUP(AM66,'[1]Harga &amp; Nama CSO'!$H$2:$N$22,2,FALSE),"")*AR66</f>
        <v>118200</v>
      </c>
      <c r="BK66" s="40">
        <v>46183</v>
      </c>
      <c r="BL66" s="39">
        <v>1</v>
      </c>
      <c r="BM66" s="55">
        <v>118200</v>
      </c>
      <c r="BN66" s="39" t="s">
        <v>112</v>
      </c>
      <c r="BO66" s="57">
        <f t="shared" si="0"/>
        <v>0</v>
      </c>
      <c r="BP66" s="40">
        <v>46184</v>
      </c>
      <c r="BQ66" s="8">
        <v>0</v>
      </c>
      <c r="BR66" s="58">
        <f>VLOOKUP(AM66,'[1]Harga &amp; Nama CSO'!$A$28:$D$31,4,0)*BL66</f>
        <v>3</v>
      </c>
    </row>
    <row r="67" spans="37:70" x14ac:dyDescent="0.35">
      <c r="AK67" s="39">
        <v>65</v>
      </c>
      <c r="AL67" s="40">
        <v>46183</v>
      </c>
      <c r="AM67" s="41" t="s">
        <v>100</v>
      </c>
      <c r="AN67" s="42" t="str">
        <f>IFERROR(VLOOKUP(AQ67,[1]SUMMARY!$A$3:$B$7,2,FALSE),"")</f>
        <v>MC-SAGARANTEN</v>
      </c>
      <c r="AO67" s="31">
        <v>1554006</v>
      </c>
      <c r="AP67" s="31" t="str">
        <f>VLOOKUP(AO67,[1]OUTLET!$B:$C,2,0)</f>
        <v>ABUELA CELL</v>
      </c>
      <c r="AQ67" s="31" t="s">
        <v>42</v>
      </c>
      <c r="AR67" s="6">
        <v>1</v>
      </c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3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3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3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>
        <f>IFERROR(VLOOKUP(AM67,'[1]Harga &amp; Nama CSO'!$H$2:$N$22,2,FALSE),"")*AR67</f>
        <v>118200</v>
      </c>
      <c r="BK67" s="40">
        <v>46183</v>
      </c>
      <c r="BL67" s="39">
        <v>1</v>
      </c>
      <c r="BM67" s="55">
        <v>118200</v>
      </c>
      <c r="BN67" s="39" t="s">
        <v>112</v>
      </c>
      <c r="BO67" s="57">
        <f t="shared" ref="BO67:BO79" si="11">BJ67-BM67</f>
        <v>0</v>
      </c>
      <c r="BP67" s="40">
        <v>46184</v>
      </c>
      <c r="BQ67" s="8">
        <v>0</v>
      </c>
      <c r="BR67" s="58">
        <f>VLOOKUP(AM67,'[1]Harga &amp; Nama CSO'!$A$28:$D$31,4,0)*BL67</f>
        <v>3</v>
      </c>
    </row>
    <row r="68" spans="37:70" x14ac:dyDescent="0.35">
      <c r="AK68" s="39">
        <v>66</v>
      </c>
      <c r="AL68" s="40">
        <v>46184</v>
      </c>
      <c r="AM68" s="41" t="s">
        <v>99</v>
      </c>
      <c r="AN68" s="42" t="str">
        <f>IFERROR(VLOOKUP(AQ68,[1]SUMMARY!$A$3:$B$7,2,FALSE),"")</f>
        <v>MC-SAGARANTEN</v>
      </c>
      <c r="AO68" s="31">
        <v>1287335</v>
      </c>
      <c r="AP68" s="31" t="str">
        <f>VLOOKUP(AO68,[1]OUTLET!$B:$C,2,0)</f>
        <v>HILMAN CEL</v>
      </c>
      <c r="AQ68" s="31" t="s">
        <v>54</v>
      </c>
      <c r="AR68" s="6">
        <v>1</v>
      </c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3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3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3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>
        <f>IFERROR(VLOOKUP(AM68,'[1]Harga &amp; Nama CSO'!$H$2:$N$22,2,FALSE),"")*AR68</f>
        <v>115800</v>
      </c>
      <c r="BK68" s="40">
        <v>46184</v>
      </c>
      <c r="BL68" s="39">
        <v>1</v>
      </c>
      <c r="BM68" s="59">
        <v>115800</v>
      </c>
      <c r="BN68" s="39" t="s">
        <v>112</v>
      </c>
      <c r="BO68" s="57">
        <f t="shared" si="11"/>
        <v>0</v>
      </c>
      <c r="BP68" s="40">
        <v>46185</v>
      </c>
      <c r="BQ68" s="8">
        <v>0</v>
      </c>
      <c r="BR68" s="58">
        <f>VLOOKUP(AM68,'[1]Harga &amp; Nama CSO'!$A$28:$D$31,4,0)*BL68</f>
        <v>3</v>
      </c>
    </row>
    <row r="69" spans="37:70" x14ac:dyDescent="0.35">
      <c r="AK69" s="39">
        <v>67</v>
      </c>
      <c r="AL69" s="40">
        <v>46184</v>
      </c>
      <c r="AM69" s="41" t="s">
        <v>99</v>
      </c>
      <c r="AN69" s="42" t="str">
        <f>IFERROR(VLOOKUP(AQ69,[1]SUMMARY!$A$3:$B$7,2,FALSE),"")</f>
        <v>MC-SAGARANTEN</v>
      </c>
      <c r="AO69" s="31">
        <v>17459602</v>
      </c>
      <c r="AP69" s="31" t="str">
        <f>VLOOKUP(AO69,[1]OUTLET!$B:$C,2,0)</f>
        <v>DEWALA CELL</v>
      </c>
      <c r="AQ69" s="31" t="s">
        <v>54</v>
      </c>
      <c r="AR69" s="6">
        <v>1</v>
      </c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3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3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3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>
        <f>IFERROR(VLOOKUP(AM69,'[1]Harga &amp; Nama CSO'!$H$2:$N$22,2,FALSE),"")*AR69</f>
        <v>115800</v>
      </c>
      <c r="BK69" s="40">
        <v>46184</v>
      </c>
      <c r="BL69" s="39">
        <v>1</v>
      </c>
      <c r="BM69" s="59">
        <v>115800</v>
      </c>
      <c r="BN69" s="39" t="s">
        <v>112</v>
      </c>
      <c r="BO69" s="57">
        <f t="shared" si="11"/>
        <v>0</v>
      </c>
      <c r="BP69" s="40">
        <v>46185</v>
      </c>
      <c r="BQ69" s="8">
        <v>0</v>
      </c>
      <c r="BR69" s="58">
        <f>VLOOKUP(AM69,'[1]Harga &amp; Nama CSO'!$A$28:$D$31,4,0)*BL69</f>
        <v>3</v>
      </c>
    </row>
    <row r="70" spans="37:70" x14ac:dyDescent="0.35">
      <c r="AK70" s="39">
        <v>68</v>
      </c>
      <c r="AL70" s="40">
        <v>46184</v>
      </c>
      <c r="AM70" s="41" t="s">
        <v>99</v>
      </c>
      <c r="AN70" s="42" t="str">
        <f>IFERROR(VLOOKUP(AQ70,[1]SUMMARY!$A$3:$B$7,2,FALSE),"")</f>
        <v>MC-SAGARANTEN</v>
      </c>
      <c r="AO70" s="31">
        <v>17261466</v>
      </c>
      <c r="AP70" s="31" t="str">
        <f>VLOOKUP(AO70,[1]OUTLET!$B:$C,2,0)</f>
        <v>BINTANG CELL</v>
      </c>
      <c r="AQ70" s="31" t="s">
        <v>54</v>
      </c>
      <c r="AR70" s="6">
        <v>1</v>
      </c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3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3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3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>
        <f>IFERROR(VLOOKUP(AM70,'[1]Harga &amp; Nama CSO'!$H$2:$N$22,2,FALSE),"")*AR70</f>
        <v>115800</v>
      </c>
      <c r="BK70" s="40">
        <v>46184</v>
      </c>
      <c r="BL70" s="39">
        <v>1</v>
      </c>
      <c r="BM70" s="59">
        <v>115800</v>
      </c>
      <c r="BN70" s="39" t="s">
        <v>112</v>
      </c>
      <c r="BO70" s="57">
        <f t="shared" si="11"/>
        <v>0</v>
      </c>
      <c r="BP70" s="40">
        <v>46185</v>
      </c>
      <c r="BQ70" s="8">
        <v>0</v>
      </c>
      <c r="BR70" s="58">
        <f>VLOOKUP(AM70,'[1]Harga &amp; Nama CSO'!$A$28:$D$31,4,0)*BL70</f>
        <v>3</v>
      </c>
    </row>
    <row r="71" spans="37:70" x14ac:dyDescent="0.35">
      <c r="AK71" s="39">
        <v>69</v>
      </c>
      <c r="AL71" s="40">
        <v>46184</v>
      </c>
      <c r="AM71" s="41" t="s">
        <v>100</v>
      </c>
      <c r="AN71" s="42" t="str">
        <f>IFERROR(VLOOKUP(AQ71,[1]SUMMARY!$A$3:$B$7,2,FALSE),"")</f>
        <v>MC-SAGARANTEN</v>
      </c>
      <c r="AO71" s="31">
        <v>17513411</v>
      </c>
      <c r="AP71" s="31" t="str">
        <f>VLOOKUP(AO71,[1]OUTLET!$B:$C,2,0)</f>
        <v>Albar cell</v>
      </c>
      <c r="AQ71" s="31" t="s">
        <v>53</v>
      </c>
      <c r="AR71" s="6">
        <v>1</v>
      </c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3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3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3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>
        <f>IFERROR(VLOOKUP(AM71,'[1]Harga &amp; Nama CSO'!$H$2:$N$22,2,FALSE),"")*AR71</f>
        <v>118200</v>
      </c>
      <c r="BK71" s="40">
        <v>46184</v>
      </c>
      <c r="BL71" s="39">
        <v>1</v>
      </c>
      <c r="BM71" s="59">
        <v>118200</v>
      </c>
      <c r="BN71" s="39" t="s">
        <v>112</v>
      </c>
      <c r="BO71" s="57">
        <f t="shared" si="11"/>
        <v>0</v>
      </c>
      <c r="BP71" s="40">
        <v>46185</v>
      </c>
      <c r="BQ71" s="8">
        <v>0</v>
      </c>
      <c r="BR71" s="58">
        <f>VLOOKUP(AM71,'[1]Harga &amp; Nama CSO'!$A$28:$D$31,4,0)*BL71</f>
        <v>3</v>
      </c>
    </row>
    <row r="72" spans="37:70" x14ac:dyDescent="0.35">
      <c r="AK72" s="39">
        <v>70</v>
      </c>
      <c r="AL72" s="40">
        <v>46184</v>
      </c>
      <c r="AM72" s="41" t="s">
        <v>100</v>
      </c>
      <c r="AN72" s="42" t="str">
        <f>IFERROR(VLOOKUP(AQ72,[1]SUMMARY!$A$3:$B$7,2,FALSE),"")</f>
        <v>MC-SAGARANTEN</v>
      </c>
      <c r="AO72" s="31">
        <v>17740226</v>
      </c>
      <c r="AP72" s="31" t="str">
        <f>VLOOKUP(AO72,[1]OUTLET!$B:$C,2,0)</f>
        <v>Kayla cell</v>
      </c>
      <c r="AQ72" s="31" t="s">
        <v>53</v>
      </c>
      <c r="AR72" s="6">
        <v>1</v>
      </c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3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3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3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>
        <f>IFERROR(VLOOKUP(AM72,'[1]Harga &amp; Nama CSO'!$H$2:$N$22,2,FALSE),"")*AR72</f>
        <v>118200</v>
      </c>
      <c r="BK72" s="40">
        <v>46184</v>
      </c>
      <c r="BL72" s="39">
        <v>1</v>
      </c>
      <c r="BM72" s="59">
        <v>118200</v>
      </c>
      <c r="BN72" s="39" t="s">
        <v>112</v>
      </c>
      <c r="BO72" s="57">
        <f t="shared" si="11"/>
        <v>0</v>
      </c>
      <c r="BP72" s="40">
        <v>46185</v>
      </c>
      <c r="BQ72" s="8">
        <v>0</v>
      </c>
      <c r="BR72" s="58">
        <f>VLOOKUP(AM72,'[1]Harga &amp; Nama CSO'!$A$28:$D$31,4,0)*BL72</f>
        <v>3</v>
      </c>
    </row>
    <row r="73" spans="37:70" x14ac:dyDescent="0.35">
      <c r="AK73" s="39">
        <v>71</v>
      </c>
      <c r="AL73" s="40">
        <v>46184</v>
      </c>
      <c r="AM73" s="41" t="s">
        <v>100</v>
      </c>
      <c r="AN73" s="42" t="str">
        <f>IFERROR(VLOOKUP(AQ73,[1]SUMMARY!$A$3:$B$7,2,FALSE),"")</f>
        <v>MC-SAGARANTEN</v>
      </c>
      <c r="AO73" s="31">
        <v>1555658</v>
      </c>
      <c r="AP73" s="31" t="str">
        <f>VLOOKUP(AO73,[1]OUTLET!$B:$C,2,0)</f>
        <v>PONK CELL</v>
      </c>
      <c r="AQ73" s="31" t="s">
        <v>53</v>
      </c>
      <c r="AR73" s="6">
        <v>1</v>
      </c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3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3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3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>
        <f>IFERROR(VLOOKUP(AM73,'[1]Harga &amp; Nama CSO'!$H$2:$N$22,2,FALSE),"")*AR73</f>
        <v>118200</v>
      </c>
      <c r="BK73" s="40">
        <v>46184</v>
      </c>
      <c r="BL73" s="39">
        <v>1</v>
      </c>
      <c r="BM73" s="59">
        <v>118200</v>
      </c>
      <c r="BN73" s="39" t="s">
        <v>112</v>
      </c>
      <c r="BO73" s="57">
        <f t="shared" si="11"/>
        <v>0</v>
      </c>
      <c r="BP73" s="40">
        <v>46185</v>
      </c>
      <c r="BQ73" s="8">
        <v>0</v>
      </c>
      <c r="BR73" s="58">
        <f>VLOOKUP(AM73,'[1]Harga &amp; Nama CSO'!$A$28:$D$31,4,0)*BL73</f>
        <v>3</v>
      </c>
    </row>
    <row r="74" spans="37:70" x14ac:dyDescent="0.35">
      <c r="AK74" s="39">
        <v>72</v>
      </c>
      <c r="AL74" s="40">
        <v>46184</v>
      </c>
      <c r="AM74" s="41" t="s">
        <v>100</v>
      </c>
      <c r="AN74" s="42" t="str">
        <f>IFERROR(VLOOKUP(AQ74,[1]SUMMARY!$A$3:$B$7,2,FALSE),"")</f>
        <v>MC-SAGARANTEN</v>
      </c>
      <c r="AO74" s="31">
        <v>17678324</v>
      </c>
      <c r="AP74" s="31" t="str">
        <f>VLOOKUP(AO74,[1]OUTLET!$B:$C,2,0)</f>
        <v>OJH Celluar</v>
      </c>
      <c r="AQ74" s="31" t="s">
        <v>53</v>
      </c>
      <c r="AR74" s="6">
        <v>1</v>
      </c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3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3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3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>
        <f>IFERROR(VLOOKUP(AM74,'[1]Harga &amp; Nama CSO'!$H$2:$N$22,2,FALSE),"")*AR74</f>
        <v>118200</v>
      </c>
      <c r="BK74" s="40">
        <v>46184</v>
      </c>
      <c r="BL74" s="39">
        <v>1</v>
      </c>
      <c r="BM74" s="59">
        <v>118200</v>
      </c>
      <c r="BN74" s="39" t="s">
        <v>112</v>
      </c>
      <c r="BO74" s="57">
        <f t="shared" si="11"/>
        <v>0</v>
      </c>
      <c r="BP74" s="40">
        <v>46185</v>
      </c>
      <c r="BQ74" s="8">
        <v>0</v>
      </c>
      <c r="BR74" s="58">
        <f>VLOOKUP(AM74,'[1]Harga &amp; Nama CSO'!$A$28:$D$31,4,0)*BL74</f>
        <v>3</v>
      </c>
    </row>
    <row r="75" spans="37:70" x14ac:dyDescent="0.35">
      <c r="AK75" s="39">
        <v>73</v>
      </c>
      <c r="AL75" s="40">
        <v>46184</v>
      </c>
      <c r="AM75" s="41" t="s">
        <v>100</v>
      </c>
      <c r="AN75" s="42" t="str">
        <f>IFERROR(VLOOKUP(AQ75,[1]SUMMARY!$A$3:$B$7,2,FALSE),"")</f>
        <v>MC-SAGARANTEN</v>
      </c>
      <c r="AO75" s="31">
        <v>17541871</v>
      </c>
      <c r="AP75" s="31" t="str">
        <f>VLOOKUP(AO75,[1]OUTLET!$B:$C,2,0)</f>
        <v>AF CELL</v>
      </c>
      <c r="AQ75" s="31" t="s">
        <v>53</v>
      </c>
      <c r="AR75" s="6">
        <v>1</v>
      </c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3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3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3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>
        <f>IFERROR(VLOOKUP(AM75,'[1]Harga &amp; Nama CSO'!$H$2:$N$22,2,FALSE),"")*AR75</f>
        <v>118200</v>
      </c>
      <c r="BK75" s="40">
        <v>46184</v>
      </c>
      <c r="BL75" s="39">
        <v>1</v>
      </c>
      <c r="BM75" s="59">
        <v>118200</v>
      </c>
      <c r="BN75" s="39" t="s">
        <v>112</v>
      </c>
      <c r="BO75" s="57">
        <f t="shared" si="11"/>
        <v>0</v>
      </c>
      <c r="BP75" s="40">
        <v>46185</v>
      </c>
      <c r="BQ75" s="8">
        <v>0</v>
      </c>
      <c r="BR75" s="58">
        <f>VLOOKUP(AM75,'[1]Harga &amp; Nama CSO'!$A$28:$D$31,4,0)*BL75</f>
        <v>3</v>
      </c>
    </row>
    <row r="76" spans="37:70" x14ac:dyDescent="0.35">
      <c r="AK76" s="39">
        <v>74</v>
      </c>
      <c r="AL76" s="40">
        <v>46184</v>
      </c>
      <c r="AM76" s="41" t="s">
        <v>113</v>
      </c>
      <c r="AN76" s="42" t="str">
        <f>IFERROR(VLOOKUP(AQ76,[1]SUMMARY!$A$3:$B$7,2,FALSE),"")</f>
        <v>MC-SAGARANTEN</v>
      </c>
      <c r="AO76" s="31">
        <v>774331</v>
      </c>
      <c r="AP76" s="31" t="str">
        <f>VLOOKUP(AO76,[1]OUTLET!$B:$C,2,0)</f>
        <v>MARDENA CELL</v>
      </c>
      <c r="AQ76" s="31" t="s">
        <v>41</v>
      </c>
      <c r="AR76" s="6">
        <v>1</v>
      </c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3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3</v>
      </c>
      <c r="AY76" s="44">
        <f>IFERROR(VLOOKUP(AM76,'[1]Harga &amp; Nama CSO'!$A$116:$L$136,8,FALSE),0)*AR76</f>
        <v>3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>
        <f>IFERROR(VLOOKUP(AM76,'[1]Harga &amp; Nama CSO'!$H$2:$N$22,2,FALSE),"")*AR76</f>
        <v>162600</v>
      </c>
      <c r="BK76" s="40">
        <v>46184</v>
      </c>
      <c r="BL76" s="39">
        <v>1</v>
      </c>
      <c r="BM76" s="59">
        <v>162600</v>
      </c>
      <c r="BN76" s="39" t="s">
        <v>112</v>
      </c>
      <c r="BO76" s="57">
        <f t="shared" si="11"/>
        <v>0</v>
      </c>
      <c r="BP76" s="40">
        <v>46185</v>
      </c>
      <c r="BQ76" s="8">
        <v>0</v>
      </c>
      <c r="BR76" s="58">
        <f>VLOOKUP(AM76,'[1]Harga &amp; Nama CSO'!$A$28:$D$31,4,0)*BL76</f>
        <v>3</v>
      </c>
    </row>
    <row r="77" spans="37:70" x14ac:dyDescent="0.35">
      <c r="AK77" s="39">
        <v>75</v>
      </c>
      <c r="AL77" s="40">
        <v>46184</v>
      </c>
      <c r="AM77" s="41" t="s">
        <v>113</v>
      </c>
      <c r="AN77" s="42" t="str">
        <f>IFERROR(VLOOKUP(AQ77,[1]SUMMARY!$A$3:$B$7,2,FALSE),"")</f>
        <v>MC-SAGARANTEN</v>
      </c>
      <c r="AO77" s="31">
        <v>17328908</v>
      </c>
      <c r="AP77" s="31" t="str">
        <f>VLOOKUP(AO77,[1]OUTLET!$B:$C,2,0)</f>
        <v>Sand 2 Cell</v>
      </c>
      <c r="AQ77" s="31" t="s">
        <v>41</v>
      </c>
      <c r="AR77" s="6">
        <v>1</v>
      </c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3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3</v>
      </c>
      <c r="AY77" s="44">
        <f>IFERROR(VLOOKUP(AM77,'[1]Harga &amp; Nama CSO'!$A$116:$L$136,8,FALSE),0)*AR77</f>
        <v>3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>
        <f>IFERROR(VLOOKUP(AM77,'[1]Harga &amp; Nama CSO'!$H$2:$N$22,2,FALSE),"")*AR77</f>
        <v>162600</v>
      </c>
      <c r="BK77" s="40">
        <v>46184</v>
      </c>
      <c r="BL77" s="39">
        <v>1</v>
      </c>
      <c r="BM77" s="59">
        <v>162600</v>
      </c>
      <c r="BN77" s="39" t="s">
        <v>112</v>
      </c>
      <c r="BO77" s="57">
        <f t="shared" si="11"/>
        <v>0</v>
      </c>
      <c r="BP77" s="40">
        <v>46185</v>
      </c>
      <c r="BQ77" s="8">
        <v>0</v>
      </c>
      <c r="BR77" s="58">
        <f>VLOOKUP(AM77,'[1]Harga &amp; Nama CSO'!$A$28:$D$31,4,0)*BL77</f>
        <v>3</v>
      </c>
    </row>
    <row r="78" spans="37:70" x14ac:dyDescent="0.35">
      <c r="AK78" s="39">
        <v>76</v>
      </c>
      <c r="AL78" s="40">
        <v>46184</v>
      </c>
      <c r="AM78" s="41" t="s">
        <v>100</v>
      </c>
      <c r="AN78" s="42" t="str">
        <f>IFERROR(VLOOKUP(AQ78,[1]SUMMARY!$A$3:$B$7,2,FALSE),"")</f>
        <v>MC-SAGARANTEN</v>
      </c>
      <c r="AO78" s="31">
        <v>17728380</v>
      </c>
      <c r="AP78" s="31" t="str">
        <f>VLOOKUP(AO78,[1]OUTLET!$B:$C,2,0)</f>
        <v>AGEN TERMINAL SAGARANTEN</v>
      </c>
      <c r="AQ78" s="31" t="s">
        <v>42</v>
      </c>
      <c r="AR78" s="6">
        <v>1</v>
      </c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3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3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3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>
        <f>IFERROR(VLOOKUP(AM78,'[1]Harga &amp; Nama CSO'!$H$2:$N$22,2,FALSE),"")*AR78</f>
        <v>118200</v>
      </c>
      <c r="BK78" s="40">
        <v>46184</v>
      </c>
      <c r="BL78" s="39">
        <v>1</v>
      </c>
      <c r="BM78" s="59">
        <v>118200</v>
      </c>
      <c r="BN78" s="39" t="s">
        <v>112</v>
      </c>
      <c r="BO78" s="57">
        <f>BJ78-BM78</f>
        <v>0</v>
      </c>
      <c r="BP78" s="40">
        <v>46185</v>
      </c>
      <c r="BQ78" s="8">
        <v>0</v>
      </c>
      <c r="BR78" s="58">
        <f>VLOOKUP(AM78,'[1]Harga &amp; Nama CSO'!$A$28:$D$31,4,0)*BL78</f>
        <v>3</v>
      </c>
    </row>
    <row r="79" spans="37:70" x14ac:dyDescent="0.35">
      <c r="AK79" s="39">
        <v>77</v>
      </c>
      <c r="AL79" s="40">
        <v>46184</v>
      </c>
      <c r="AM79" s="41" t="s">
        <v>100</v>
      </c>
      <c r="AN79" s="42" t="str">
        <f>IFERROR(VLOOKUP(AQ79,[1]SUMMARY!$A$3:$B$7,2,FALSE),"")</f>
        <v>MC-SAGARANTEN</v>
      </c>
      <c r="AO79" s="31">
        <v>17792292</v>
      </c>
      <c r="AP79" s="31" t="str">
        <f>VLOOKUP(AO79,[1]OUTLET!$B:$C,2,0)</f>
        <v>Gilang cell 6</v>
      </c>
      <c r="AQ79" s="31" t="s">
        <v>42</v>
      </c>
      <c r="AR79" s="6">
        <v>1</v>
      </c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3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3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3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>
        <f>IFERROR(VLOOKUP(AM79,'[1]Harga &amp; Nama CSO'!$H$2:$N$22,2,FALSE),"")*AR79</f>
        <v>118200</v>
      </c>
      <c r="BK79" s="40">
        <v>46184</v>
      </c>
      <c r="BL79" s="39">
        <v>1</v>
      </c>
      <c r="BM79" s="59">
        <v>118200</v>
      </c>
      <c r="BN79" s="39" t="s">
        <v>112</v>
      </c>
      <c r="BO79" s="57">
        <f t="shared" si="11"/>
        <v>0</v>
      </c>
      <c r="BP79" s="40">
        <v>46185</v>
      </c>
      <c r="BQ79" s="8">
        <v>0</v>
      </c>
      <c r="BR79" s="58">
        <f>VLOOKUP(AM79,'[1]Harga &amp; Nama CSO'!$A$28:$D$31,4,0)*BL79</f>
        <v>3</v>
      </c>
    </row>
    <row r="80" spans="37:70" x14ac:dyDescent="0.35">
      <c r="AK80" s="39">
        <v>78</v>
      </c>
      <c r="AL80" s="40"/>
      <c r="AM80" s="41"/>
      <c r="AN80" s="42" t="str">
        <f>IFERROR(VLOOKUP(AQ80,[1]SUMMARY!$A$3:$B$7,2,FALSE),"")</f>
        <v/>
      </c>
      <c r="AO80" s="31"/>
      <c r="AP80" s="31" t="e">
        <f>VLOOKUP(AO80,[1]OUTLET!$B:$C,2,0)</f>
        <v>#N/A</v>
      </c>
      <c r="AQ80" s="31"/>
      <c r="AR80" s="6"/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0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0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0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 t="e">
        <f>IFERROR(VLOOKUP(AM80,'[1]Harga &amp; Nama CSO'!$H$2:$N$22,2,FALSE),"")*AR80</f>
        <v>#VALUE!</v>
      </c>
      <c r="BK80" s="40"/>
      <c r="BL80" s="6"/>
      <c r="BM80" s="59"/>
      <c r="BN80" s="39"/>
      <c r="BO80" s="57" t="e">
        <f t="shared" ref="BO68:BO130" si="12">BJ80-BM80</f>
        <v>#VALUE!</v>
      </c>
      <c r="BP80" s="60"/>
      <c r="BQ80" s="8">
        <v>0</v>
      </c>
      <c r="BR80" s="58" t="e">
        <f>VLOOKUP(AM80,'[1]Harga &amp; Nama CSO'!$A$28:$D$31,4,0)*BL80</f>
        <v>#N/A</v>
      </c>
    </row>
    <row r="81" spans="37:70" x14ac:dyDescent="0.35">
      <c r="AK81" s="39">
        <v>79</v>
      </c>
      <c r="AL81" s="40"/>
      <c r="AM81" s="41"/>
      <c r="AN81" s="42" t="str">
        <f>IFERROR(VLOOKUP(AQ81,[1]SUMMARY!$A$3:$B$7,2,FALSE),"")</f>
        <v/>
      </c>
      <c r="AO81" s="31"/>
      <c r="AP81" s="31" t="e">
        <f>VLOOKUP(AO81,[1]OUTLET!$B:$C,2,0)</f>
        <v>#N/A</v>
      </c>
      <c r="AQ81" s="31"/>
      <c r="AR81" s="6"/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0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0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0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 t="e">
        <f>IFERROR(VLOOKUP(AM81,'[1]Harga &amp; Nama CSO'!$H$2:$N$22,2,FALSE),"")*AR81</f>
        <v>#VALUE!</v>
      </c>
      <c r="BK81" s="40"/>
      <c r="BL81" s="6"/>
      <c r="BM81" s="59"/>
      <c r="BN81" s="39"/>
      <c r="BO81" s="57" t="e">
        <f t="shared" si="12"/>
        <v>#VALUE!</v>
      </c>
      <c r="BP81" s="60"/>
      <c r="BQ81" s="8">
        <v>0</v>
      </c>
      <c r="BR81" s="58" t="e">
        <f>VLOOKUP(AM81,'[1]Harga &amp; Nama CSO'!$A$28:$D$31,4,0)*BL81</f>
        <v>#N/A</v>
      </c>
    </row>
    <row r="82" spans="37:70" x14ac:dyDescent="0.35">
      <c r="AK82" s="39">
        <v>80</v>
      </c>
      <c r="AL82" s="40"/>
      <c r="AM82" s="41"/>
      <c r="AN82" s="42" t="str">
        <f>IFERROR(VLOOKUP(AQ82,[1]SUMMARY!$A$3:$B$7,2,FALSE),"")</f>
        <v/>
      </c>
      <c r="AO82" s="31"/>
      <c r="AP82" s="31" t="e">
        <f>VLOOKUP(AO82,[1]OUTLET!$B:$C,2,0)</f>
        <v>#N/A</v>
      </c>
      <c r="AQ82" s="31"/>
      <c r="AR82" s="6"/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0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0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0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 t="e">
        <f>IFERROR(VLOOKUP(AM82,'[1]Harga &amp; Nama CSO'!$H$2:$N$22,2,FALSE),"")*AR82</f>
        <v>#VALUE!</v>
      </c>
      <c r="BK82" s="40"/>
      <c r="BL82" s="6"/>
      <c r="BM82" s="59"/>
      <c r="BN82" s="39"/>
      <c r="BO82" s="57" t="e">
        <f>BJ82-BM82</f>
        <v>#VALUE!</v>
      </c>
      <c r="BP82" s="60"/>
      <c r="BQ82" s="8">
        <v>0</v>
      </c>
      <c r="BR82" s="58" t="e">
        <f>VLOOKUP(AM82,'[1]Harga &amp; Nama CSO'!$A$28:$D$31,4,0)*BL82</f>
        <v>#N/A</v>
      </c>
    </row>
    <row r="83" spans="37:70" x14ac:dyDescent="0.35">
      <c r="AK83" s="39">
        <v>81</v>
      </c>
      <c r="AL83" s="40"/>
      <c r="AM83" s="41"/>
      <c r="AN83" s="42" t="str">
        <f>IFERROR(VLOOKUP(AQ83,[1]SUMMARY!$A$3:$B$7,2,FALSE),"")</f>
        <v/>
      </c>
      <c r="AO83" s="31"/>
      <c r="AP83" s="31" t="e">
        <f>VLOOKUP(AO83,[1]OUTLET!$B:$C,2,0)</f>
        <v>#N/A</v>
      </c>
      <c r="AQ83" s="31"/>
      <c r="AR83" s="6"/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0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0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0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 t="e">
        <f>IFERROR(VLOOKUP(AM83,'[1]Harga &amp; Nama CSO'!$H$2:$N$22,2,FALSE),"")*AR83</f>
        <v>#VALUE!</v>
      </c>
      <c r="BK83" s="40"/>
      <c r="BL83" s="6"/>
      <c r="BM83" s="59"/>
      <c r="BN83" s="39"/>
      <c r="BO83" s="57" t="e">
        <f t="shared" si="12"/>
        <v>#VALUE!</v>
      </c>
      <c r="BP83" s="60"/>
      <c r="BQ83" s="8">
        <v>0</v>
      </c>
      <c r="BR83" s="58" t="e">
        <f>VLOOKUP(AM83,'[1]Harga &amp; Nama CSO'!$A$28:$D$31,4,0)*BL83</f>
        <v>#N/A</v>
      </c>
    </row>
    <row r="84" spans="37:70" x14ac:dyDescent="0.35">
      <c r="AK84" s="39">
        <v>82</v>
      </c>
      <c r="AL84" s="40"/>
      <c r="AM84" s="41"/>
      <c r="AN84" s="42" t="str">
        <f>IFERROR(VLOOKUP(AQ84,[1]SUMMARY!$A$3:$B$7,2,FALSE),"")</f>
        <v/>
      </c>
      <c r="AO84" s="31"/>
      <c r="AP84" s="31" t="e">
        <f>VLOOKUP(AO84,[1]OUTLET!$B:$C,2,0)</f>
        <v>#N/A</v>
      </c>
      <c r="AQ84" s="31"/>
      <c r="AR84" s="6"/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0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0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0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 t="e">
        <f>IFERROR(VLOOKUP(AM84,'[1]Harga &amp; Nama CSO'!$H$2:$N$22,2,FALSE),"")*AR84</f>
        <v>#VALUE!</v>
      </c>
      <c r="BK84" s="40"/>
      <c r="BL84" s="6"/>
      <c r="BM84" s="59"/>
      <c r="BN84" s="39"/>
      <c r="BO84" s="57" t="e">
        <f>BJ84-BM84</f>
        <v>#VALUE!</v>
      </c>
      <c r="BP84" s="60"/>
      <c r="BQ84" s="8">
        <v>0</v>
      </c>
      <c r="BR84" s="58" t="e">
        <f>VLOOKUP(AM84,'[1]Harga &amp; Nama CSO'!$A$28:$D$31,4,0)*BL84</f>
        <v>#N/A</v>
      </c>
    </row>
    <row r="85" spans="37:70" x14ac:dyDescent="0.35">
      <c r="AK85" s="39">
        <v>83</v>
      </c>
      <c r="AL85" s="40"/>
      <c r="AM85" s="41"/>
      <c r="AN85" s="42" t="str">
        <f>IFERROR(VLOOKUP(AQ85,[1]SUMMARY!$A$3:$B$7,2,FALSE),"")</f>
        <v/>
      </c>
      <c r="AO85" s="31"/>
      <c r="AP85" s="31" t="e">
        <f>VLOOKUP(AO85,[1]OUTLET!$B:$C,2,0)</f>
        <v>#N/A</v>
      </c>
      <c r="AQ85" s="31"/>
      <c r="AR85" s="6"/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0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0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0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 t="e">
        <f>IFERROR(VLOOKUP(AM85,'[1]Harga &amp; Nama CSO'!$H$2:$N$22,2,FALSE),"")*AR85</f>
        <v>#VALUE!</v>
      </c>
      <c r="BK85" s="40"/>
      <c r="BL85" s="6"/>
      <c r="BM85" s="59"/>
      <c r="BN85" s="39"/>
      <c r="BO85" s="57" t="e">
        <f t="shared" si="12"/>
        <v>#VALUE!</v>
      </c>
      <c r="BP85" s="60"/>
      <c r="BQ85" s="8">
        <v>0</v>
      </c>
      <c r="BR85" s="58" t="e">
        <f>VLOOKUP(AM85,'[1]Harga &amp; Nama CSO'!$A$28:$D$31,4,0)*BL85</f>
        <v>#N/A</v>
      </c>
    </row>
    <row r="86" spans="37:70" x14ac:dyDescent="0.35">
      <c r="AK86" s="39">
        <v>84</v>
      </c>
      <c r="AL86" s="40"/>
      <c r="AM86" s="41"/>
      <c r="AN86" s="42" t="str">
        <f>IFERROR(VLOOKUP(AQ86,[1]SUMMARY!$A$3:$B$7,2,FALSE),"")</f>
        <v/>
      </c>
      <c r="AO86" s="31"/>
      <c r="AP86" s="31" t="e">
        <f>VLOOKUP(AO86,[1]OUTLET!$B:$C,2,0)</f>
        <v>#N/A</v>
      </c>
      <c r="AQ86" s="31"/>
      <c r="AR86" s="6"/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0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0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0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 t="e">
        <f>IFERROR(VLOOKUP(AM86,'[1]Harga &amp; Nama CSO'!$H$2:$N$22,2,FALSE),"")*AR86</f>
        <v>#VALUE!</v>
      </c>
      <c r="BK86" s="40"/>
      <c r="BL86" s="6"/>
      <c r="BM86" s="59"/>
      <c r="BN86" s="39"/>
      <c r="BO86" s="57" t="e">
        <f t="shared" si="12"/>
        <v>#VALUE!</v>
      </c>
      <c r="BP86" s="60"/>
      <c r="BQ86" s="8">
        <v>0</v>
      </c>
      <c r="BR86" s="58" t="e">
        <f>VLOOKUP(AM86,'[1]Harga &amp; Nama CSO'!$A$28:$D$31,4,0)*BL86</f>
        <v>#N/A</v>
      </c>
    </row>
    <row r="87" spans="37:70" x14ac:dyDescent="0.35">
      <c r="AK87" s="39">
        <v>85</v>
      </c>
      <c r="AL87" s="40"/>
      <c r="AM87" s="41"/>
      <c r="AN87" s="42" t="str">
        <f>IFERROR(VLOOKUP(AQ87,[1]SUMMARY!$A$3:$B$7,2,FALSE),"")</f>
        <v/>
      </c>
      <c r="AO87" s="31"/>
      <c r="AP87" s="31" t="e">
        <f>VLOOKUP(AO87,[1]OUTLET!$B:$C,2,0)</f>
        <v>#N/A</v>
      </c>
      <c r="AQ87" s="31"/>
      <c r="AR87" s="6"/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0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0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0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 t="e">
        <f>IFERROR(VLOOKUP(AM87,'[1]Harga &amp; Nama CSO'!$H$2:$N$22,2,FALSE),"")*AR87</f>
        <v>#VALUE!</v>
      </c>
      <c r="BK87" s="40"/>
      <c r="BL87" s="6"/>
      <c r="BM87" s="59"/>
      <c r="BN87" s="39"/>
      <c r="BO87" s="57" t="e">
        <f t="shared" si="12"/>
        <v>#VALUE!</v>
      </c>
      <c r="BP87" s="60"/>
      <c r="BQ87" s="8">
        <v>0</v>
      </c>
      <c r="BR87" s="58" t="e">
        <f>VLOOKUP(AM87,'[1]Harga &amp; Nama CSO'!$A$28:$D$31,4,0)*BL87</f>
        <v>#N/A</v>
      </c>
    </row>
    <row r="88" spans="37:70" x14ac:dyDescent="0.35">
      <c r="AK88" s="39">
        <v>86</v>
      </c>
      <c r="AL88" s="40"/>
      <c r="AM88" s="41"/>
      <c r="AN88" s="42" t="str">
        <f>IFERROR(VLOOKUP(AQ88,[1]SUMMARY!$A$3:$B$7,2,FALSE),"")</f>
        <v/>
      </c>
      <c r="AO88" s="31"/>
      <c r="AP88" s="31" t="e">
        <f>VLOOKUP(AO88,[1]OUTLET!$B:$C,2,0)</f>
        <v>#N/A</v>
      </c>
      <c r="AQ88" s="31"/>
      <c r="AR88" s="6"/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0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0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0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 t="e">
        <f>IFERROR(VLOOKUP(AM88,'[1]Harga &amp; Nama CSO'!$H$2:$N$22,2,FALSE),"")*AR88</f>
        <v>#VALUE!</v>
      </c>
      <c r="BK88" s="40"/>
      <c r="BL88" s="6"/>
      <c r="BM88" s="59"/>
      <c r="BN88" s="39"/>
      <c r="BO88" s="57" t="e">
        <f t="shared" si="12"/>
        <v>#VALUE!</v>
      </c>
      <c r="BP88" s="60"/>
      <c r="BQ88" s="8">
        <v>0</v>
      </c>
      <c r="BR88" s="58" t="e">
        <f>VLOOKUP(AM88,'[1]Harga &amp; Nama CSO'!$A$28:$D$31,4,0)*BL88</f>
        <v>#N/A</v>
      </c>
    </row>
    <row r="89" spans="37:70" x14ac:dyDescent="0.35">
      <c r="AK89" s="39">
        <v>87</v>
      </c>
      <c r="AL89" s="40"/>
      <c r="AM89" s="41"/>
      <c r="AN89" s="42" t="str">
        <f>IFERROR(VLOOKUP(AQ89,[1]SUMMARY!$A$3:$B$7,2,FALSE),"")</f>
        <v/>
      </c>
      <c r="AO89" s="31"/>
      <c r="AP89" s="31" t="e">
        <f>VLOOKUP(AO89,[1]OUTLET!$B:$C,2,0)</f>
        <v>#N/A</v>
      </c>
      <c r="AQ89" s="31"/>
      <c r="AR89" s="6"/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0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0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0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 t="e">
        <f>IFERROR(VLOOKUP(AM89,'[1]Harga &amp; Nama CSO'!$H$2:$N$22,2,FALSE),"")*AR89</f>
        <v>#VALUE!</v>
      </c>
      <c r="BK89" s="40"/>
      <c r="BL89" s="6"/>
      <c r="BM89" s="59"/>
      <c r="BN89" s="39"/>
      <c r="BO89" s="57" t="e">
        <f t="shared" si="12"/>
        <v>#VALUE!</v>
      </c>
      <c r="BP89" s="60"/>
      <c r="BQ89" s="8">
        <v>0</v>
      </c>
      <c r="BR89" s="58" t="e">
        <f>VLOOKUP(AM89,'[1]Harga &amp; Nama CSO'!$A$28:$D$31,4,0)*BL89</f>
        <v>#N/A</v>
      </c>
    </row>
    <row r="90" spans="37:70" x14ac:dyDescent="0.35">
      <c r="AK90" s="39">
        <v>88</v>
      </c>
      <c r="AL90" s="40"/>
      <c r="AM90" s="41"/>
      <c r="AN90" s="42" t="str">
        <f>IFERROR(VLOOKUP(AQ90,[1]SUMMARY!$A$3:$B$7,2,FALSE),"")</f>
        <v/>
      </c>
      <c r="AO90" s="31"/>
      <c r="AP90" s="31" t="e">
        <f>VLOOKUP(AO90,[1]OUTLET!$B:$C,2,0)</f>
        <v>#N/A</v>
      </c>
      <c r="AQ90" s="31"/>
      <c r="AR90" s="6"/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0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0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0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 t="e">
        <f>IFERROR(VLOOKUP(AM90,'[1]Harga &amp; Nama CSO'!$H$2:$N$22,2,FALSE),"")*AR90</f>
        <v>#VALUE!</v>
      </c>
      <c r="BK90" s="40"/>
      <c r="BL90" s="6"/>
      <c r="BM90" s="59"/>
      <c r="BN90" s="39"/>
      <c r="BO90" s="57" t="e">
        <f t="shared" si="12"/>
        <v>#VALUE!</v>
      </c>
      <c r="BP90" s="60"/>
      <c r="BQ90" s="8">
        <v>0</v>
      </c>
      <c r="BR90" s="58" t="e">
        <f>VLOOKUP(AM90,'[1]Harga &amp; Nama CSO'!$A$28:$D$31,4,0)*BL90</f>
        <v>#N/A</v>
      </c>
    </row>
    <row r="91" spans="37:70" x14ac:dyDescent="0.35">
      <c r="AK91" s="39">
        <v>89</v>
      </c>
      <c r="AL91" s="60"/>
      <c r="AM91" s="41"/>
      <c r="AN91" s="42" t="str">
        <f>IFERROR(VLOOKUP(AQ91,[1]SUMMARY!$A$3:$B$7,2,FALSE),"")</f>
        <v/>
      </c>
      <c r="AO91" s="31"/>
      <c r="AP91" s="31" t="e">
        <f>VLOOKUP(AO91,[1]OUTLET!$B:$C,2,0)</f>
        <v>#N/A</v>
      </c>
      <c r="AQ91" s="31"/>
      <c r="AR91" s="6"/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0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0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0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 t="e">
        <f>IFERROR(VLOOKUP(AM91,'[1]Harga &amp; Nama CSO'!$H$2:$N$22,2,FALSE),"")*AR91</f>
        <v>#VALUE!</v>
      </c>
      <c r="BK91" s="40"/>
      <c r="BL91" s="39"/>
      <c r="BM91" s="59"/>
      <c r="BN91" s="39"/>
      <c r="BO91" s="57" t="e">
        <f t="shared" si="12"/>
        <v>#VALUE!</v>
      </c>
      <c r="BP91" s="60"/>
      <c r="BQ91" s="8">
        <v>0</v>
      </c>
      <c r="BR91" s="58" t="e">
        <f>VLOOKUP(AM91,'[1]Harga &amp; Nama CSO'!$A$28:$D$31,4,0)*BL91</f>
        <v>#N/A</v>
      </c>
    </row>
    <row r="92" spans="37:70" x14ac:dyDescent="0.35">
      <c r="AK92" s="39">
        <v>90</v>
      </c>
      <c r="AL92" s="60"/>
      <c r="AM92" s="41"/>
      <c r="AN92" s="42" t="str">
        <f>IFERROR(VLOOKUP(AQ92,[1]SUMMARY!$A$3:$B$7,2,FALSE),"")</f>
        <v/>
      </c>
      <c r="AO92" s="31"/>
      <c r="AP92" s="31" t="e">
        <f>VLOOKUP(AO92,[1]OUTLET!$B:$C,2,0)</f>
        <v>#N/A</v>
      </c>
      <c r="AQ92" s="31"/>
      <c r="AR92" s="6"/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0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0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0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 t="e">
        <f>IFERROR(VLOOKUP(AM92,'[1]Harga &amp; Nama CSO'!$H$2:$N$22,2,FALSE),"")*AR92</f>
        <v>#VALUE!</v>
      </c>
      <c r="BK92" s="40"/>
      <c r="BL92" s="39"/>
      <c r="BM92" s="59"/>
      <c r="BN92" s="39"/>
      <c r="BO92" s="57" t="e">
        <f t="shared" si="12"/>
        <v>#VALUE!</v>
      </c>
      <c r="BP92" s="60"/>
      <c r="BQ92" s="8">
        <v>0</v>
      </c>
      <c r="BR92" s="58" t="e">
        <f>VLOOKUP(AM92,'[1]Harga &amp; Nama CSO'!$A$28:$D$31,4,0)*BL92</f>
        <v>#N/A</v>
      </c>
    </row>
    <row r="93" spans="37:70" x14ac:dyDescent="0.35">
      <c r="AK93" s="39">
        <v>91</v>
      </c>
      <c r="AL93" s="60"/>
      <c r="AM93" s="41"/>
      <c r="AN93" s="42" t="str">
        <f>IFERROR(VLOOKUP(AQ93,[1]SUMMARY!$A$3:$B$7,2,FALSE),"")</f>
        <v/>
      </c>
      <c r="AO93" s="31"/>
      <c r="AP93" s="31" t="e">
        <f>VLOOKUP(AO93,[1]OUTLET!$B:$C,2,0)</f>
        <v>#N/A</v>
      </c>
      <c r="AQ93" s="31"/>
      <c r="AR93" s="6"/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0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0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0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 t="e">
        <f>IFERROR(VLOOKUP(AM93,'[1]Harga &amp; Nama CSO'!$H$2:$N$22,2,FALSE),"")*AR93</f>
        <v>#VALUE!</v>
      </c>
      <c r="BK93" s="40"/>
      <c r="BL93" s="39"/>
      <c r="BM93" s="59"/>
      <c r="BN93" s="39"/>
      <c r="BO93" s="57" t="e">
        <f t="shared" si="12"/>
        <v>#VALUE!</v>
      </c>
      <c r="BP93" s="60"/>
      <c r="BQ93" s="8">
        <v>0</v>
      </c>
      <c r="BR93" s="58" t="e">
        <f>VLOOKUP(AM93,'[1]Harga &amp; Nama CSO'!$A$28:$D$31,4,0)*BL93</f>
        <v>#N/A</v>
      </c>
    </row>
    <row r="94" spans="37:70" x14ac:dyDescent="0.35">
      <c r="AK94" s="39">
        <v>92</v>
      </c>
      <c r="AL94" s="60"/>
      <c r="AM94" s="41"/>
      <c r="AN94" s="42" t="str">
        <f>IFERROR(VLOOKUP(AQ94,[1]SUMMARY!$A$3:$B$7,2,FALSE),"")</f>
        <v/>
      </c>
      <c r="AO94" s="31"/>
      <c r="AP94" s="31" t="e">
        <f>VLOOKUP(AO94,[1]OUTLET!$B:$C,2,0)</f>
        <v>#N/A</v>
      </c>
      <c r="AQ94" s="31"/>
      <c r="AR94" s="6"/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0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0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0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 t="e">
        <f>IFERROR(VLOOKUP(AM94,'[1]Harga &amp; Nama CSO'!$H$2:$N$22,2,FALSE),"")*AR94</f>
        <v>#VALUE!</v>
      </c>
      <c r="BK94" s="40"/>
      <c r="BL94" s="39"/>
      <c r="BM94" s="59"/>
      <c r="BN94" s="39"/>
      <c r="BO94" s="57" t="e">
        <f t="shared" si="12"/>
        <v>#VALUE!</v>
      </c>
      <c r="BP94" s="60"/>
      <c r="BQ94" s="8">
        <v>0</v>
      </c>
      <c r="BR94" s="58" t="e">
        <f>VLOOKUP(AM94,'[1]Harga &amp; Nama CSO'!$A$28:$D$31,4,0)*BL94</f>
        <v>#N/A</v>
      </c>
    </row>
    <row r="95" spans="37:70" x14ac:dyDescent="0.35">
      <c r="AK95" s="39">
        <v>93</v>
      </c>
      <c r="AL95" s="60"/>
      <c r="AM95" s="41"/>
      <c r="AN95" s="42" t="str">
        <f>IFERROR(VLOOKUP(AQ95,[1]SUMMARY!$A$3:$B$7,2,FALSE),"")</f>
        <v/>
      </c>
      <c r="AO95" s="31"/>
      <c r="AP95" s="31" t="e">
        <f>VLOOKUP(AO95,[1]OUTLET!$B:$C,2,0)</f>
        <v>#N/A</v>
      </c>
      <c r="AQ95" s="31"/>
      <c r="AR95" s="6"/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0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0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0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 t="e">
        <f>IFERROR(VLOOKUP(AM95,'[1]Harga &amp; Nama CSO'!$H$2:$N$22,2,FALSE),"")*AR95</f>
        <v>#VALUE!</v>
      </c>
      <c r="BK95" s="40"/>
      <c r="BL95" s="39"/>
      <c r="BM95" s="59"/>
      <c r="BN95" s="39"/>
      <c r="BO95" s="57" t="e">
        <f t="shared" si="12"/>
        <v>#VALUE!</v>
      </c>
      <c r="BP95" s="60"/>
      <c r="BQ95" s="8">
        <v>0</v>
      </c>
      <c r="BR95" s="58" t="e">
        <f>VLOOKUP(AM95,'[1]Harga &amp; Nama CSO'!$A$28:$D$31,4,0)*BL95</f>
        <v>#N/A</v>
      </c>
    </row>
    <row r="96" spans="37:70" x14ac:dyDescent="0.35">
      <c r="AK96" s="39">
        <v>94</v>
      </c>
      <c r="AL96" s="60"/>
      <c r="AM96" s="41"/>
      <c r="AN96" s="42" t="str">
        <f>IFERROR(VLOOKUP(AQ96,[1]SUMMARY!$A$3:$B$7,2,FALSE),"")</f>
        <v/>
      </c>
      <c r="AO96" s="31"/>
      <c r="AP96" s="31" t="e">
        <f>VLOOKUP(AO96,[1]OUTLET!$B:$C,2,0)</f>
        <v>#N/A</v>
      </c>
      <c r="AQ96" s="31"/>
      <c r="AR96" s="6"/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0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0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0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 t="e">
        <f>IFERROR(VLOOKUP(AM96,'[1]Harga &amp; Nama CSO'!$H$2:$N$22,2,FALSE),"")*AR96</f>
        <v>#VALUE!</v>
      </c>
      <c r="BK96" s="40"/>
      <c r="BL96" s="39"/>
      <c r="BM96" s="59"/>
      <c r="BN96" s="39"/>
      <c r="BO96" s="57" t="e">
        <f t="shared" si="12"/>
        <v>#VALUE!</v>
      </c>
      <c r="BP96" s="60"/>
      <c r="BQ96" s="8">
        <v>0</v>
      </c>
      <c r="BR96" s="58" t="e">
        <f>VLOOKUP(AM96,'[1]Harga &amp; Nama CSO'!$A$28:$D$31,4,0)*BL96</f>
        <v>#N/A</v>
      </c>
    </row>
    <row r="97" spans="37:70" x14ac:dyDescent="0.35">
      <c r="AK97" s="39">
        <v>95</v>
      </c>
      <c r="AL97" s="60"/>
      <c r="AM97" s="41"/>
      <c r="AN97" s="42" t="str">
        <f>IFERROR(VLOOKUP(AQ97,[1]SUMMARY!$A$3:$B$7,2,FALSE),"")</f>
        <v/>
      </c>
      <c r="AO97" s="31"/>
      <c r="AP97" s="31" t="e">
        <f>VLOOKUP(AO97,[1]OUTLET!$B:$C,2,0)</f>
        <v>#N/A</v>
      </c>
      <c r="AQ97" s="31"/>
      <c r="AR97" s="6"/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0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0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0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 t="e">
        <f>IFERROR(VLOOKUP(AM97,'[1]Harga &amp; Nama CSO'!$H$2:$N$22,2,FALSE),"")*AR97</f>
        <v>#VALUE!</v>
      </c>
      <c r="BK97" s="40"/>
      <c r="BL97" s="39"/>
      <c r="BM97" s="59"/>
      <c r="BN97" s="39"/>
      <c r="BO97" s="57" t="e">
        <f t="shared" si="12"/>
        <v>#VALUE!</v>
      </c>
      <c r="BP97" s="60"/>
      <c r="BQ97" s="8">
        <v>0</v>
      </c>
      <c r="BR97" s="58" t="e">
        <f>VLOOKUP(AM97,'[1]Harga &amp; Nama CSO'!$A$28:$D$31,4,0)*BL97</f>
        <v>#N/A</v>
      </c>
    </row>
    <row r="98" spans="37:70" x14ac:dyDescent="0.35">
      <c r="AK98" s="39">
        <v>96</v>
      </c>
      <c r="AL98" s="60"/>
      <c r="AM98" s="41"/>
      <c r="AN98" s="42" t="str">
        <f>IFERROR(VLOOKUP(AQ98,[1]SUMMARY!$A$3:$B$7,2,FALSE),"")</f>
        <v/>
      </c>
      <c r="AO98" s="31"/>
      <c r="AP98" s="31" t="e">
        <f>VLOOKUP(AO98,[1]OUTLET!$B:$C,2,0)</f>
        <v>#N/A</v>
      </c>
      <c r="AQ98" s="31"/>
      <c r="AR98" s="6"/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0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0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0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 t="e">
        <f>IFERROR(VLOOKUP(AM98,'[1]Harga &amp; Nama CSO'!$H$2:$N$22,2,FALSE),"")*AR98</f>
        <v>#VALUE!</v>
      </c>
      <c r="BK98" s="40"/>
      <c r="BL98" s="39"/>
      <c r="BM98" s="59"/>
      <c r="BN98" s="39"/>
      <c r="BO98" s="57" t="e">
        <f t="shared" si="12"/>
        <v>#VALUE!</v>
      </c>
      <c r="BP98" s="60"/>
      <c r="BQ98" s="8">
        <v>0</v>
      </c>
      <c r="BR98" s="58" t="e">
        <f>VLOOKUP(AM98,'[1]Harga &amp; Nama CSO'!$A$28:$D$31,4,0)*BL98</f>
        <v>#N/A</v>
      </c>
    </row>
    <row r="99" spans="37:70" x14ac:dyDescent="0.35">
      <c r="AK99" s="39">
        <v>97</v>
      </c>
      <c r="AL99" s="60"/>
      <c r="AM99" s="41"/>
      <c r="AN99" s="42" t="str">
        <f>IFERROR(VLOOKUP(AQ99,[1]SUMMARY!$A$3:$B$7,2,FALSE),"")</f>
        <v/>
      </c>
      <c r="AO99" s="31"/>
      <c r="AP99" s="31" t="e">
        <f>VLOOKUP(AO99,[1]OUTLET!$B:$C,2,0)</f>
        <v>#N/A</v>
      </c>
      <c r="AQ99" s="31"/>
      <c r="AR99" s="6"/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0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0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0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 t="e">
        <f>IFERROR(VLOOKUP(AM99,'[1]Harga &amp; Nama CSO'!$H$2:$N$22,2,FALSE),"")*AR99</f>
        <v>#VALUE!</v>
      </c>
      <c r="BK99" s="40"/>
      <c r="BL99" s="39"/>
      <c r="BM99" s="59"/>
      <c r="BN99" s="39"/>
      <c r="BO99" s="57" t="e">
        <f t="shared" si="12"/>
        <v>#VALUE!</v>
      </c>
      <c r="BP99" s="60"/>
      <c r="BQ99" s="8">
        <v>0</v>
      </c>
      <c r="BR99" s="58" t="e">
        <f>VLOOKUP(AM99,'[1]Harga &amp; Nama CSO'!$A$28:$D$31,4,0)*BL99</f>
        <v>#N/A</v>
      </c>
    </row>
    <row r="100" spans="37:70" x14ac:dyDescent="0.35">
      <c r="AK100" s="39">
        <v>98</v>
      </c>
      <c r="AL100" s="60"/>
      <c r="AM100" s="41"/>
      <c r="AN100" s="42" t="str">
        <f>IFERROR(VLOOKUP(AQ100,[1]SUMMARY!$A$3:$B$7,2,FALSE),"")</f>
        <v/>
      </c>
      <c r="AO100" s="31"/>
      <c r="AP100" s="31" t="e">
        <f>VLOOKUP(AO100,[1]OUTLET!$B:$C,2,0)</f>
        <v>#N/A</v>
      </c>
      <c r="AQ100" s="31"/>
      <c r="AR100" s="6"/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0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0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0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 t="e">
        <f>IFERROR(VLOOKUP(AM100,'[1]Harga &amp; Nama CSO'!$H$2:$N$22,2,FALSE),"")*AR100</f>
        <v>#VALUE!</v>
      </c>
      <c r="BK100" s="40"/>
      <c r="BL100" s="39"/>
      <c r="BM100" s="59"/>
      <c r="BN100" s="39"/>
      <c r="BO100" s="57" t="e">
        <f t="shared" si="12"/>
        <v>#VALUE!</v>
      </c>
      <c r="BP100" s="60"/>
      <c r="BQ100" s="8">
        <v>0</v>
      </c>
      <c r="BR100" s="58" t="e">
        <f>VLOOKUP(AM100,'[1]Harga &amp; Nama CSO'!$A$28:$D$31,4,0)*BL100</f>
        <v>#N/A</v>
      </c>
    </row>
    <row r="101" spans="37:70" x14ac:dyDescent="0.35">
      <c r="AK101" s="39">
        <v>99</v>
      </c>
      <c r="AL101" s="60"/>
      <c r="AM101" s="41"/>
      <c r="AN101" s="42" t="str">
        <f>IFERROR(VLOOKUP(AQ101,[1]SUMMARY!$A$3:$B$7,2,FALSE),"")</f>
        <v/>
      </c>
      <c r="AO101" s="31"/>
      <c r="AP101" s="31" t="e">
        <f>VLOOKUP(AO101,[1]OUTLET!$B:$C,2,0)</f>
        <v>#N/A</v>
      </c>
      <c r="AQ101" s="31"/>
      <c r="AR101" s="6"/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0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0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0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 t="e">
        <f>IFERROR(VLOOKUP(AM101,'[1]Harga &amp; Nama CSO'!$H$2:$N$22,2,FALSE),"")*AR101</f>
        <v>#VALUE!</v>
      </c>
      <c r="BK101" s="40"/>
      <c r="BL101" s="39"/>
      <c r="BM101" s="59"/>
      <c r="BN101" s="39"/>
      <c r="BO101" s="57" t="e">
        <f t="shared" si="12"/>
        <v>#VALUE!</v>
      </c>
      <c r="BP101" s="60"/>
      <c r="BQ101" s="8">
        <v>0</v>
      </c>
      <c r="BR101" s="58" t="e">
        <f>VLOOKUP(AM101,'[1]Harga &amp; Nama CSO'!$A$28:$D$31,4,0)*BL101</f>
        <v>#N/A</v>
      </c>
    </row>
    <row r="102" spans="37:70" x14ac:dyDescent="0.35">
      <c r="AK102" s="39">
        <v>100</v>
      </c>
      <c r="AL102" s="40"/>
      <c r="AM102" s="41"/>
      <c r="AN102" s="42" t="str">
        <f>IFERROR(VLOOKUP(AQ102,[1]SUMMARY!$A$3:$B$7,2,FALSE),"")</f>
        <v/>
      </c>
      <c r="AO102" s="31"/>
      <c r="AP102" s="31" t="e">
        <f>VLOOKUP(AO102,[1]OUTLET!$B:$C,2,0)</f>
        <v>#N/A</v>
      </c>
      <c r="AQ102" s="31"/>
      <c r="AR102" s="6"/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0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0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0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 t="e">
        <f>IFERROR(VLOOKUP(AM102,'[1]Harga &amp; Nama CSO'!$H$2:$N$22,2,FALSE),"")*AR102</f>
        <v>#VALUE!</v>
      </c>
      <c r="BK102" s="40"/>
      <c r="BL102" s="39"/>
      <c r="BM102" s="59"/>
      <c r="BN102" s="39"/>
      <c r="BO102" s="57" t="e">
        <f t="shared" si="12"/>
        <v>#VALUE!</v>
      </c>
      <c r="BP102" s="60"/>
      <c r="BQ102" s="8">
        <v>0</v>
      </c>
      <c r="BR102" s="58" t="e">
        <f>VLOOKUP(AM102,'[1]Harga &amp; Nama CSO'!$A$28:$D$31,4,0)*BL102</f>
        <v>#N/A</v>
      </c>
    </row>
    <row r="103" spans="37:70" x14ac:dyDescent="0.35">
      <c r="AK103" s="39">
        <v>101</v>
      </c>
      <c r="AL103" s="40"/>
      <c r="AM103" s="41"/>
      <c r="AN103" s="42" t="str">
        <f>IFERROR(VLOOKUP(AQ103,[1]SUMMARY!$A$3:$B$7,2,FALSE),"")</f>
        <v/>
      </c>
      <c r="AO103" s="31"/>
      <c r="AP103" s="31" t="e">
        <f>VLOOKUP(AO103,[1]OUTLET!$B:$C,2,0)</f>
        <v>#N/A</v>
      </c>
      <c r="AQ103" s="31"/>
      <c r="AR103" s="6"/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0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0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0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 t="e">
        <f>IFERROR(VLOOKUP(AM103,'[1]Harga &amp; Nama CSO'!$H$2:$N$22,2,FALSE),"")*AR103</f>
        <v>#VALUE!</v>
      </c>
      <c r="BK103" s="40"/>
      <c r="BL103" s="39"/>
      <c r="BM103" s="59"/>
      <c r="BN103" s="39"/>
      <c r="BO103" s="57" t="e">
        <f t="shared" si="12"/>
        <v>#VALUE!</v>
      </c>
      <c r="BP103" s="60"/>
      <c r="BQ103" s="8">
        <v>0</v>
      </c>
      <c r="BR103" s="58" t="e">
        <f>VLOOKUP(AM103,'[1]Harga &amp; Nama CSO'!$A$28:$D$31,4,0)*BL103</f>
        <v>#N/A</v>
      </c>
    </row>
    <row r="104" spans="37:70" x14ac:dyDescent="0.35">
      <c r="AK104" s="39">
        <v>102</v>
      </c>
      <c r="AL104" s="40"/>
      <c r="AM104" s="41"/>
      <c r="AN104" s="42" t="str">
        <f>IFERROR(VLOOKUP(AQ104,[1]SUMMARY!$A$3:$B$7,2,FALSE),"")</f>
        <v/>
      </c>
      <c r="AO104" s="31"/>
      <c r="AP104" s="31" t="e">
        <f>VLOOKUP(AO104,[1]OUTLET!$B:$C,2,0)</f>
        <v>#N/A</v>
      </c>
      <c r="AQ104" s="31"/>
      <c r="AR104" s="6"/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0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0</v>
      </c>
      <c r="AY104" s="44">
        <f>IFERROR(VLOOKUP(AM104,'[1]Harga &amp; Nama CSO'!$A$116:$L$136,8,FALSE),0)*AR104</f>
        <v>0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 t="e">
        <f>IFERROR(VLOOKUP(AM104,'[1]Harga &amp; Nama CSO'!$H$2:$N$22,2,FALSE),"")*AR104</f>
        <v>#VALUE!</v>
      </c>
      <c r="BK104" s="40"/>
      <c r="BL104" s="39"/>
      <c r="BM104" s="59"/>
      <c r="BN104" s="39"/>
      <c r="BO104" s="57" t="e">
        <f t="shared" si="12"/>
        <v>#VALUE!</v>
      </c>
      <c r="BP104" s="60"/>
      <c r="BQ104" s="8">
        <v>0</v>
      </c>
      <c r="BR104" s="58" t="e">
        <f>VLOOKUP(AM104,'[1]Harga &amp; Nama CSO'!$A$28:$D$31,4,0)*BL104</f>
        <v>#N/A</v>
      </c>
    </row>
    <row r="105" spans="37:70" x14ac:dyDescent="0.35">
      <c r="AK105" s="39">
        <v>103</v>
      </c>
      <c r="AL105" s="40"/>
      <c r="AM105" s="41"/>
      <c r="AN105" s="42" t="str">
        <f>IFERROR(VLOOKUP(AQ105,[1]SUMMARY!$A$3:$B$7,2,FALSE),"")</f>
        <v/>
      </c>
      <c r="AO105" s="31"/>
      <c r="AP105" s="31" t="e">
        <f>VLOOKUP(AO105,[1]OUTLET!$B:$C,2,0)</f>
        <v>#N/A</v>
      </c>
      <c r="AQ105" s="31"/>
      <c r="AR105" s="6"/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0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0</v>
      </c>
      <c r="AY105" s="44">
        <f>IFERROR(VLOOKUP(AM105,'[1]Harga &amp; Nama CSO'!$A$116:$L$136,8,FALSE),0)*AR105</f>
        <v>0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 t="e">
        <f>IFERROR(VLOOKUP(AM105,'[1]Harga &amp; Nama CSO'!$H$2:$N$22,2,FALSE),"")*AR105</f>
        <v>#VALUE!</v>
      </c>
      <c r="BK105" s="40"/>
      <c r="BL105" s="39"/>
      <c r="BM105" s="59"/>
      <c r="BN105" s="39"/>
      <c r="BO105" s="57" t="e">
        <f t="shared" si="12"/>
        <v>#VALUE!</v>
      </c>
      <c r="BP105" s="60"/>
      <c r="BQ105" s="8">
        <v>0</v>
      </c>
      <c r="BR105" s="58" t="e">
        <f>VLOOKUP(AM105,'[1]Harga &amp; Nama CSO'!$A$28:$D$31,4,0)*BL105</f>
        <v>#N/A</v>
      </c>
    </row>
    <row r="106" spans="37:70" x14ac:dyDescent="0.35">
      <c r="AK106" s="39">
        <v>104</v>
      </c>
      <c r="AL106" s="40"/>
      <c r="AM106" s="41"/>
      <c r="AN106" s="42" t="str">
        <f>IFERROR(VLOOKUP(AQ106,[1]SUMMARY!$A$3:$B$7,2,FALSE),"")</f>
        <v/>
      </c>
      <c r="AO106" s="31"/>
      <c r="AP106" s="31" t="e">
        <f>VLOOKUP(AO106,[1]OUTLET!$B:$C,2,0)</f>
        <v>#N/A</v>
      </c>
      <c r="AQ106" s="31"/>
      <c r="AR106" s="6"/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0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0</v>
      </c>
      <c r="AY106" s="44">
        <f>IFERROR(VLOOKUP(AM106,'[1]Harga &amp; Nama CSO'!$A$116:$L$136,8,FALSE),0)*AR106</f>
        <v>0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 t="e">
        <f>IFERROR(VLOOKUP(AM106,'[1]Harga &amp; Nama CSO'!$H$2:$N$22,2,FALSE),"")*AR106</f>
        <v>#VALUE!</v>
      </c>
      <c r="BK106" s="40"/>
      <c r="BL106" s="39"/>
      <c r="BM106" s="59"/>
      <c r="BN106" s="39"/>
      <c r="BO106" s="57" t="e">
        <f t="shared" si="12"/>
        <v>#VALUE!</v>
      </c>
      <c r="BP106" s="60"/>
      <c r="BQ106" s="8">
        <v>0</v>
      </c>
      <c r="BR106" s="58" t="e">
        <f>VLOOKUP(AM106,'[1]Harga &amp; Nama CSO'!$A$28:$D$31,4,0)*BL106</f>
        <v>#N/A</v>
      </c>
    </row>
    <row r="107" spans="37:70" x14ac:dyDescent="0.35">
      <c r="AK107" s="39">
        <v>105</v>
      </c>
      <c r="AL107" s="40"/>
      <c r="AM107" s="41"/>
      <c r="AN107" s="42" t="str">
        <f>IFERROR(VLOOKUP(AQ107,[1]SUMMARY!$A$3:$B$7,2,FALSE),"")</f>
        <v/>
      </c>
      <c r="AO107" s="31"/>
      <c r="AP107" s="31" t="e">
        <f>VLOOKUP(AO107,[1]OUTLET!$B:$C,2,0)</f>
        <v>#N/A</v>
      </c>
      <c r="AQ107" s="31"/>
      <c r="AR107" s="6"/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0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0</v>
      </c>
      <c r="AY107" s="44">
        <f>IFERROR(VLOOKUP(AM107,'[1]Harga &amp; Nama CSO'!$A$116:$L$136,8,FALSE),0)*AR107</f>
        <v>0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 t="e">
        <f>IFERROR(VLOOKUP(AM107,'[1]Harga &amp; Nama CSO'!$H$2:$N$22,2,FALSE),"")*AR107</f>
        <v>#VALUE!</v>
      </c>
      <c r="BK107" s="40"/>
      <c r="BL107" s="39"/>
      <c r="BM107" s="59"/>
      <c r="BN107" s="39"/>
      <c r="BO107" s="57" t="e">
        <f t="shared" si="12"/>
        <v>#VALUE!</v>
      </c>
      <c r="BP107" s="60"/>
      <c r="BQ107" s="8">
        <v>0</v>
      </c>
      <c r="BR107" s="58" t="e">
        <f>VLOOKUP(AM107,'[1]Harga &amp; Nama CSO'!$A$28:$D$31,4,0)*BL107</f>
        <v>#N/A</v>
      </c>
    </row>
    <row r="108" spans="37:70" x14ac:dyDescent="0.35">
      <c r="AK108" s="39">
        <v>106</v>
      </c>
      <c r="AL108" s="60"/>
      <c r="AM108" s="41"/>
      <c r="AN108" s="42" t="str">
        <f>IFERROR(VLOOKUP(AQ108,[1]SUMMARY!$A$3:$B$7,2,FALSE),"")</f>
        <v/>
      </c>
      <c r="AO108" s="31"/>
      <c r="AP108" s="31" t="e">
        <f>VLOOKUP(AO108,[1]OUTLET!$B:$C,2,0)</f>
        <v>#N/A</v>
      </c>
      <c r="AQ108" s="31"/>
      <c r="AR108" s="6"/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0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0</v>
      </c>
      <c r="AY108" s="44">
        <f>IFERROR(VLOOKUP(AM108,'[1]Harga &amp; Nama CSO'!$A$116:$L$136,8,FALSE),0)*AR108</f>
        <v>0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 t="e">
        <f>IFERROR(VLOOKUP(AM108,'[1]Harga &amp; Nama CSO'!$H$2:$N$22,2,FALSE),"")*AR108</f>
        <v>#VALUE!</v>
      </c>
      <c r="BK108" s="40"/>
      <c r="BL108" s="39"/>
      <c r="BM108" s="59"/>
      <c r="BN108" s="39"/>
      <c r="BO108" s="57" t="e">
        <f t="shared" si="12"/>
        <v>#VALUE!</v>
      </c>
      <c r="BP108" s="60"/>
      <c r="BQ108" s="8">
        <v>0</v>
      </c>
      <c r="BR108" s="58" t="e">
        <f>VLOOKUP(AM108,'[1]Harga &amp; Nama CSO'!$A$28:$D$31,4,0)*BL108</f>
        <v>#N/A</v>
      </c>
    </row>
    <row r="109" spans="37:70" x14ac:dyDescent="0.35">
      <c r="AK109" s="39">
        <v>107</v>
      </c>
      <c r="AL109" s="60"/>
      <c r="AM109" s="41"/>
      <c r="AN109" s="42" t="str">
        <f>IFERROR(VLOOKUP(AQ109,[1]SUMMARY!$A$3:$B$7,2,FALSE),"")</f>
        <v/>
      </c>
      <c r="AO109" s="31"/>
      <c r="AP109" s="31" t="e">
        <f>VLOOKUP(AO109,[1]OUTLET!$B:$C,2,0)</f>
        <v>#N/A</v>
      </c>
      <c r="AQ109" s="31"/>
      <c r="AR109" s="6"/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0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0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0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 t="e">
        <f>IFERROR(VLOOKUP(AM109,'[1]Harga &amp; Nama CSO'!$H$2:$N$22,2,FALSE),"")*AR109</f>
        <v>#VALUE!</v>
      </c>
      <c r="BK109" s="40"/>
      <c r="BL109" s="39"/>
      <c r="BM109" s="59"/>
      <c r="BN109" s="39"/>
      <c r="BO109" s="57" t="e">
        <f t="shared" si="12"/>
        <v>#VALUE!</v>
      </c>
      <c r="BP109" s="60"/>
      <c r="BQ109" s="8">
        <v>0</v>
      </c>
      <c r="BR109" s="58" t="e">
        <f>VLOOKUP(AM109,'[1]Harga &amp; Nama CSO'!$A$28:$D$31,4,0)*BL109</f>
        <v>#N/A</v>
      </c>
    </row>
    <row r="110" spans="37:70" x14ac:dyDescent="0.35">
      <c r="AK110" s="39">
        <v>108</v>
      </c>
      <c r="AL110" s="60"/>
      <c r="AM110" s="41"/>
      <c r="AN110" s="42" t="str">
        <f>IFERROR(VLOOKUP(AQ110,[1]SUMMARY!$A$3:$B$7,2,FALSE),"")</f>
        <v/>
      </c>
      <c r="AO110" s="31"/>
      <c r="AP110" s="31" t="e">
        <f>VLOOKUP(AO110,[1]OUTLET!$B:$C,2,0)</f>
        <v>#N/A</v>
      </c>
      <c r="AQ110" s="31"/>
      <c r="AR110" s="6"/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0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0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0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 t="e">
        <f>IFERROR(VLOOKUP(AM110,'[1]Harga &amp; Nama CSO'!$H$2:$N$22,2,FALSE),"")*AR110</f>
        <v>#VALUE!</v>
      </c>
      <c r="BK110" s="40"/>
      <c r="BL110" s="39"/>
      <c r="BM110" s="59"/>
      <c r="BN110" s="39"/>
      <c r="BO110" s="57" t="e">
        <f t="shared" si="12"/>
        <v>#VALUE!</v>
      </c>
      <c r="BP110" s="60"/>
      <c r="BQ110" s="8">
        <v>0</v>
      </c>
      <c r="BR110" s="58" t="e">
        <f>VLOOKUP(AM110,'[1]Harga &amp; Nama CSO'!$A$28:$D$31,4,0)*BL110</f>
        <v>#N/A</v>
      </c>
    </row>
    <row r="111" spans="37:70" x14ac:dyDescent="0.35">
      <c r="AK111" s="39">
        <v>109</v>
      </c>
      <c r="AL111" s="60"/>
      <c r="AM111" s="41"/>
      <c r="AN111" s="42" t="str">
        <f>IFERROR(VLOOKUP(AQ111,[1]SUMMARY!$A$3:$B$7,2,FALSE),"")</f>
        <v/>
      </c>
      <c r="AO111" s="31"/>
      <c r="AP111" s="31" t="e">
        <f>VLOOKUP(AO111,[1]OUTLET!$B:$C,2,0)</f>
        <v>#N/A</v>
      </c>
      <c r="AQ111" s="31"/>
      <c r="AR111" s="6"/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0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0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0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 t="e">
        <f>IFERROR(VLOOKUP(AM111,'[1]Harga &amp; Nama CSO'!$H$2:$N$22,2,FALSE),"")*AR111</f>
        <v>#VALUE!</v>
      </c>
      <c r="BK111" s="40"/>
      <c r="BL111" s="39"/>
      <c r="BM111" s="59"/>
      <c r="BN111" s="39"/>
      <c r="BO111" s="57" t="e">
        <f t="shared" si="12"/>
        <v>#VALUE!</v>
      </c>
      <c r="BP111" s="60"/>
      <c r="BQ111" s="8">
        <v>0</v>
      </c>
      <c r="BR111" s="58" t="e">
        <f>VLOOKUP(AM111,'[1]Harga &amp; Nama CSO'!$A$28:$D$31,4,0)*BL111</f>
        <v>#N/A</v>
      </c>
    </row>
    <row r="112" spans="37:70" x14ac:dyDescent="0.35">
      <c r="AK112" s="39">
        <v>110</v>
      </c>
      <c r="AL112" s="60"/>
      <c r="AM112" s="41"/>
      <c r="AN112" s="42" t="str">
        <f>IFERROR(VLOOKUP(AQ112,[1]SUMMARY!$A$3:$B$7,2,FALSE),"")</f>
        <v/>
      </c>
      <c r="AO112" s="31"/>
      <c r="AP112" s="31" t="e">
        <f>VLOOKUP(AO112,[1]OUTLET!$B:$C,2,0)</f>
        <v>#N/A</v>
      </c>
      <c r="AQ112" s="31"/>
      <c r="AR112" s="6"/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0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0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0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 t="e">
        <f>IFERROR(VLOOKUP(AM112,'[1]Harga &amp; Nama CSO'!$H$2:$N$22,2,FALSE),"")*AR112</f>
        <v>#VALUE!</v>
      </c>
      <c r="BK112" s="40"/>
      <c r="BL112" s="39"/>
      <c r="BM112" s="59"/>
      <c r="BN112" s="39"/>
      <c r="BO112" s="57" t="e">
        <f t="shared" si="12"/>
        <v>#VALUE!</v>
      </c>
      <c r="BP112" s="60"/>
      <c r="BQ112" s="8">
        <v>0</v>
      </c>
      <c r="BR112" s="58" t="e">
        <f>VLOOKUP(AM112,'[1]Harga &amp; Nama CSO'!$A$28:$D$31,4,0)*BL112</f>
        <v>#N/A</v>
      </c>
    </row>
    <row r="113" spans="37:70" x14ac:dyDescent="0.35">
      <c r="AK113" s="39">
        <v>111</v>
      </c>
      <c r="AL113" s="60"/>
      <c r="AM113" s="41"/>
      <c r="AN113" s="42" t="str">
        <f>IFERROR(VLOOKUP(AQ113,[1]SUMMARY!$A$3:$B$7,2,FALSE),"")</f>
        <v/>
      </c>
      <c r="AO113" s="31"/>
      <c r="AP113" s="31" t="e">
        <f>VLOOKUP(AO113,[1]OUTLET!$B:$C,2,0)</f>
        <v>#N/A</v>
      </c>
      <c r="AQ113" s="31"/>
      <c r="AR113" s="6"/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0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0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0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 t="e">
        <f>IFERROR(VLOOKUP(AM113,'[1]Harga &amp; Nama CSO'!$H$2:$N$22,2,FALSE),"")*AR113</f>
        <v>#VALUE!</v>
      </c>
      <c r="BK113" s="40"/>
      <c r="BL113" s="39"/>
      <c r="BM113" s="59"/>
      <c r="BN113" s="39"/>
      <c r="BO113" s="57" t="e">
        <f t="shared" si="12"/>
        <v>#VALUE!</v>
      </c>
      <c r="BP113" s="60"/>
      <c r="BQ113" s="8">
        <v>0</v>
      </c>
      <c r="BR113" s="58" t="e">
        <f>VLOOKUP(AM113,'[1]Harga &amp; Nama CSO'!$A$28:$D$31,4,0)*BL113</f>
        <v>#N/A</v>
      </c>
    </row>
    <row r="114" spans="37:70" x14ac:dyDescent="0.35">
      <c r="AK114" s="39">
        <v>112</v>
      </c>
      <c r="AL114" s="60"/>
      <c r="AM114" s="41"/>
      <c r="AN114" s="42" t="str">
        <f>IFERROR(VLOOKUP(AQ114,[1]SUMMARY!$A$3:$B$7,2,FALSE),"")</f>
        <v/>
      </c>
      <c r="AO114" s="31"/>
      <c r="AP114" s="31" t="e">
        <f>VLOOKUP(AO114,[1]OUTLET!$B:$C,2,0)</f>
        <v>#N/A</v>
      </c>
      <c r="AQ114" s="31"/>
      <c r="AR114" s="6"/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0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0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0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 t="e">
        <f>IFERROR(VLOOKUP(AM114,'[1]Harga &amp; Nama CSO'!$H$2:$N$22,2,FALSE),"")*AR114</f>
        <v>#VALUE!</v>
      </c>
      <c r="BK114" s="40"/>
      <c r="BL114" s="39"/>
      <c r="BM114" s="59"/>
      <c r="BN114" s="39"/>
      <c r="BO114" s="57" t="e">
        <f t="shared" si="12"/>
        <v>#VALUE!</v>
      </c>
      <c r="BP114" s="60"/>
      <c r="BQ114" s="8">
        <v>0</v>
      </c>
      <c r="BR114" s="58" t="e">
        <f>VLOOKUP(AM114,'[1]Harga &amp; Nama CSO'!$A$28:$D$31,4,0)*BL114</f>
        <v>#N/A</v>
      </c>
    </row>
    <row r="115" spans="37:70" x14ac:dyDescent="0.35">
      <c r="AK115" s="39">
        <v>113</v>
      </c>
      <c r="AL115" s="60"/>
      <c r="AM115" s="41"/>
      <c r="AN115" s="42" t="str">
        <f>IFERROR(VLOOKUP(AQ115,[1]SUMMARY!$A$3:$B$7,2,FALSE),"")</f>
        <v/>
      </c>
      <c r="AO115" s="31"/>
      <c r="AP115" s="31" t="e">
        <f>VLOOKUP(AO115,[1]OUTLET!$B:$C,2,0)</f>
        <v>#N/A</v>
      </c>
      <c r="AQ115" s="31"/>
      <c r="AR115" s="6"/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0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0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0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 t="e">
        <f>IFERROR(VLOOKUP(AM115,'[1]Harga &amp; Nama CSO'!$H$2:$N$22,2,FALSE),"")*AR115</f>
        <v>#VALUE!</v>
      </c>
      <c r="BK115" s="40"/>
      <c r="BL115" s="39"/>
      <c r="BM115" s="59"/>
      <c r="BN115" s="39"/>
      <c r="BO115" s="57" t="e">
        <f t="shared" si="12"/>
        <v>#VALUE!</v>
      </c>
      <c r="BP115" s="60"/>
      <c r="BQ115" s="8">
        <v>0</v>
      </c>
      <c r="BR115" s="58" t="e">
        <f>VLOOKUP(AM115,'[1]Harga &amp; Nama CSO'!$A$28:$D$31,4,0)*BL115</f>
        <v>#N/A</v>
      </c>
    </row>
    <row r="116" spans="37:70" x14ac:dyDescent="0.35">
      <c r="AK116" s="39">
        <v>114</v>
      </c>
      <c r="AL116" s="60"/>
      <c r="AM116" s="41"/>
      <c r="AN116" s="42" t="str">
        <f>IFERROR(VLOOKUP(AQ116,[1]SUMMARY!$A$3:$B$7,2,FALSE),"")</f>
        <v/>
      </c>
      <c r="AO116" s="31"/>
      <c r="AP116" s="31" t="e">
        <f>VLOOKUP(AO116,[1]OUTLET!$B:$C,2,0)</f>
        <v>#N/A</v>
      </c>
      <c r="AQ116" s="31"/>
      <c r="AR116" s="6"/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0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0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0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 t="e">
        <f>IFERROR(VLOOKUP(AM116,'[1]Harga &amp; Nama CSO'!$H$2:$N$22,2,FALSE),"")*AR116</f>
        <v>#VALUE!</v>
      </c>
      <c r="BK116" s="40"/>
      <c r="BL116" s="39"/>
      <c r="BM116" s="59"/>
      <c r="BN116" s="39"/>
      <c r="BO116" s="57" t="e">
        <f t="shared" si="12"/>
        <v>#VALUE!</v>
      </c>
      <c r="BP116" s="60"/>
      <c r="BQ116" s="8">
        <v>0</v>
      </c>
      <c r="BR116" s="58" t="e">
        <f>VLOOKUP(AM116,'[1]Harga &amp; Nama CSO'!$A$28:$D$31,4,0)*BL116</f>
        <v>#N/A</v>
      </c>
    </row>
    <row r="117" spans="37:70" x14ac:dyDescent="0.35">
      <c r="AK117" s="39">
        <v>115</v>
      </c>
      <c r="AL117" s="60"/>
      <c r="AM117" s="41"/>
      <c r="AN117" s="42" t="str">
        <f>IFERROR(VLOOKUP(AQ117,[1]SUMMARY!$A$3:$B$7,2,FALSE),"")</f>
        <v/>
      </c>
      <c r="AO117" s="31"/>
      <c r="AP117" s="31" t="e">
        <f>VLOOKUP(AO117,[1]OUTLET!$B:$C,2,0)</f>
        <v>#N/A</v>
      </c>
      <c r="AQ117" s="31"/>
      <c r="AR117" s="6"/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0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0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0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 t="e">
        <f>IFERROR(VLOOKUP(AM117,'[1]Harga &amp; Nama CSO'!$H$2:$N$22,2,FALSE),"")*AR117</f>
        <v>#VALUE!</v>
      </c>
      <c r="BK117" s="40"/>
      <c r="BL117" s="39"/>
      <c r="BM117" s="59"/>
      <c r="BN117" s="39"/>
      <c r="BO117" s="57" t="e">
        <f t="shared" si="12"/>
        <v>#VALUE!</v>
      </c>
      <c r="BP117" s="60"/>
      <c r="BQ117" s="8">
        <v>0</v>
      </c>
      <c r="BR117" s="58" t="e">
        <f>VLOOKUP(AM117,'[1]Harga &amp; Nama CSO'!$A$28:$D$31,4,0)*BL117</f>
        <v>#N/A</v>
      </c>
    </row>
    <row r="118" spans="37:70" x14ac:dyDescent="0.35">
      <c r="AK118" s="39">
        <v>116</v>
      </c>
      <c r="AL118" s="60"/>
      <c r="AM118" s="41"/>
      <c r="AN118" s="42" t="str">
        <f>IFERROR(VLOOKUP(AQ118,[1]SUMMARY!$A$3:$B$7,2,FALSE),"")</f>
        <v/>
      </c>
      <c r="AO118" s="31"/>
      <c r="AP118" s="31" t="e">
        <f>VLOOKUP(AO118,[1]OUTLET!$B:$C,2,0)</f>
        <v>#N/A</v>
      </c>
      <c r="AQ118" s="31"/>
      <c r="AR118" s="6"/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0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0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0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 t="e">
        <f>IFERROR(VLOOKUP(AM118,'[1]Harga &amp; Nama CSO'!$H$2:$N$22,2,FALSE),"")*AR118</f>
        <v>#VALUE!</v>
      </c>
      <c r="BK118" s="40"/>
      <c r="BL118" s="39"/>
      <c r="BM118" s="59"/>
      <c r="BN118" s="39"/>
      <c r="BO118" s="57" t="e">
        <f t="shared" si="12"/>
        <v>#VALUE!</v>
      </c>
      <c r="BP118" s="60"/>
      <c r="BQ118" s="8">
        <v>0</v>
      </c>
      <c r="BR118" s="58" t="e">
        <f>VLOOKUP(AM118,'[1]Harga &amp; Nama CSO'!$A$28:$D$31,4,0)*BL118</f>
        <v>#N/A</v>
      </c>
    </row>
    <row r="119" spans="37:70" x14ac:dyDescent="0.35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si="12"/>
        <v>#VALUE!</v>
      </c>
      <c r="BP119" s="60"/>
      <c r="BQ119" s="8">
        <v>0</v>
      </c>
      <c r="BR119" s="58" t="e">
        <f>VLOOKUP(AM119,'[1]Harga &amp; Nama CSO'!$A$28:$D$31,4,0)*BL119</f>
        <v>#N/A</v>
      </c>
    </row>
    <row r="120" spans="37:70" x14ac:dyDescent="0.35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>
        <v>0</v>
      </c>
      <c r="BR120" s="58" t="e">
        <f>VLOOKUP(AM120,'[1]Harga &amp; Nama CSO'!$A$28:$D$31,4,0)*BL120</f>
        <v>#N/A</v>
      </c>
    </row>
    <row r="121" spans="37:70" x14ac:dyDescent="0.35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>
        <v>0</v>
      </c>
      <c r="BR121" s="58" t="e">
        <f>VLOOKUP(AM121,'[1]Harga &amp; Nama CSO'!$A$28:$D$31,4,0)*BL121</f>
        <v>#N/A</v>
      </c>
    </row>
    <row r="122" spans="37:70" x14ac:dyDescent="0.35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>
        <v>0</v>
      </c>
      <c r="BR122" s="58" t="e">
        <f>VLOOKUP(AM122,'[1]Harga &amp; Nama CSO'!$A$28:$D$31,4,0)*BL122</f>
        <v>#N/A</v>
      </c>
    </row>
    <row r="123" spans="37:70" x14ac:dyDescent="0.35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>
        <v>0</v>
      </c>
      <c r="BR123" s="58" t="e">
        <f>VLOOKUP(AM123,'[1]Harga &amp; Nama CSO'!$A$28:$D$31,4,0)*BL123</f>
        <v>#N/A</v>
      </c>
    </row>
    <row r="124" spans="37:70" x14ac:dyDescent="0.35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>
        <v>0</v>
      </c>
      <c r="BR124" s="58" t="e">
        <f>VLOOKUP(AM124,'[1]Harga &amp; Nama CSO'!$A$28:$D$31,4,0)*BL124</f>
        <v>#N/A</v>
      </c>
    </row>
    <row r="125" spans="37:70" x14ac:dyDescent="0.35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>
        <v>0</v>
      </c>
      <c r="BR125" s="58" t="e">
        <f>VLOOKUP(AM125,'[1]Harga &amp; Nama CSO'!$A$28:$D$31,4,0)*BL125</f>
        <v>#N/A</v>
      </c>
    </row>
    <row r="126" spans="37:70" x14ac:dyDescent="0.35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>
        <v>0</v>
      </c>
      <c r="BR126" s="58" t="e">
        <f>VLOOKUP(AM126,'[1]Harga &amp; Nama CSO'!$A$28:$D$31,4,0)*BL126</f>
        <v>#N/A</v>
      </c>
    </row>
    <row r="127" spans="37:70" x14ac:dyDescent="0.35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>
        <v>0</v>
      </c>
      <c r="BR127" s="58" t="e">
        <f>VLOOKUP(AM127,'[1]Harga &amp; Nama CSO'!$A$28:$D$31,4,0)*BL127</f>
        <v>#N/A</v>
      </c>
    </row>
    <row r="128" spans="37:70" x14ac:dyDescent="0.35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>
        <v>0</v>
      </c>
      <c r="BR128" s="58" t="e">
        <f>VLOOKUP(AM128,'[1]Harga &amp; Nama CSO'!$A$28:$D$31,4,0)*BL128</f>
        <v>#N/A</v>
      </c>
    </row>
    <row r="129" spans="37:70" x14ac:dyDescent="0.35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>
        <v>0</v>
      </c>
      <c r="BR129" s="58" t="e">
        <f>VLOOKUP(AM129,'[1]Harga &amp; Nama CSO'!$A$28:$D$31,4,0)*BL129</f>
        <v>#N/A</v>
      </c>
    </row>
    <row r="130" spans="37:70" x14ac:dyDescent="0.35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>
        <v>0</v>
      </c>
      <c r="BR130" s="58" t="e">
        <f>VLOOKUP(AM130,'[1]Harga &amp; Nama CSO'!$A$28:$D$31,4,0)*BL130</f>
        <v>#N/A</v>
      </c>
    </row>
    <row r="131" spans="37:70" x14ac:dyDescent="0.35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>
        <v>0</v>
      </c>
      <c r="BR131" s="58" t="e">
        <f>VLOOKUP(AM131,'[1]Harga &amp; Nama CSO'!$A$28:$D$31,4,0)*BL131</f>
        <v>#N/A</v>
      </c>
    </row>
    <row r="132" spans="37:70" x14ac:dyDescent="0.35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>
        <v>0</v>
      </c>
      <c r="BR132" s="58" t="e">
        <f>VLOOKUP(AM132,'[1]Harga &amp; Nama CSO'!$A$28:$D$31,4,0)*BL132</f>
        <v>#N/A</v>
      </c>
    </row>
    <row r="133" spans="37:70" x14ac:dyDescent="0.35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>
        <v>0</v>
      </c>
      <c r="BR133" s="58" t="e">
        <f>VLOOKUP(AM133,'[1]Harga &amp; Nama CSO'!$A$28:$D$31,4,0)*BL133</f>
        <v>#N/A</v>
      </c>
    </row>
    <row r="134" spans="37:70" x14ac:dyDescent="0.35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>
        <v>0</v>
      </c>
      <c r="BR134" s="58" t="e">
        <f>VLOOKUP(AM134,'[1]Harga &amp; Nama CSO'!$A$28:$D$31,4,0)*BL134</f>
        <v>#N/A</v>
      </c>
    </row>
    <row r="135" spans="37:70" x14ac:dyDescent="0.35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>
        <v>0</v>
      </c>
      <c r="BR135" s="58" t="e">
        <f>VLOOKUP(AM135,'[1]Harga &amp; Nama CSO'!$A$28:$D$31,4,0)*BL135</f>
        <v>#N/A</v>
      </c>
    </row>
    <row r="136" spans="37:70" x14ac:dyDescent="0.35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>
        <v>0</v>
      </c>
      <c r="BR136" s="58" t="e">
        <f>VLOOKUP(AM136,'[1]Harga &amp; Nama CSO'!$A$28:$D$31,4,0)*BL136</f>
        <v>#N/A</v>
      </c>
    </row>
    <row r="137" spans="37:70" x14ac:dyDescent="0.35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>
        <v>0</v>
      </c>
      <c r="BR137" s="58" t="e">
        <f>VLOOKUP(AM137,'[1]Harga &amp; Nama CSO'!$A$28:$D$31,4,0)*BL137</f>
        <v>#N/A</v>
      </c>
    </row>
    <row r="138" spans="37:70" x14ac:dyDescent="0.35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>
        <v>0</v>
      </c>
      <c r="BR138" s="58" t="e">
        <f>VLOOKUP(AM138,'[1]Harga &amp; Nama CSO'!$A$28:$D$31,4,0)*BL138</f>
        <v>#N/A</v>
      </c>
    </row>
    <row r="139" spans="37:70" x14ac:dyDescent="0.35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>
        <v>0</v>
      </c>
      <c r="BR139" s="58" t="e">
        <f>VLOOKUP(AM139,'[1]Harga &amp; Nama CSO'!$A$28:$D$31,4,0)*BL139</f>
        <v>#N/A</v>
      </c>
    </row>
    <row r="140" spans="37:70" x14ac:dyDescent="0.35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>
        <v>0</v>
      </c>
      <c r="BR140" s="58" t="e">
        <f>VLOOKUP(AM140,'[1]Harga &amp; Nama CSO'!$A$28:$D$31,4,0)*BL140</f>
        <v>#N/A</v>
      </c>
    </row>
    <row r="141" spans="37:70" x14ac:dyDescent="0.35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>
        <v>0</v>
      </c>
      <c r="BR141" s="58" t="e">
        <f>VLOOKUP(AM141,'[1]Harga &amp; Nama CSO'!$A$28:$D$31,4,0)*BL141</f>
        <v>#N/A</v>
      </c>
    </row>
    <row r="142" spans="37:70" x14ac:dyDescent="0.35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>
        <v>0</v>
      </c>
      <c r="BR142" s="58" t="e">
        <f>VLOOKUP(AM142,'[1]Harga &amp; Nama CSO'!$A$28:$D$31,4,0)*BL142</f>
        <v>#N/A</v>
      </c>
    </row>
    <row r="143" spans="37:70" x14ac:dyDescent="0.35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>
        <v>0</v>
      </c>
      <c r="BR143" s="58" t="e">
        <f>VLOOKUP(AM143,'[1]Harga &amp; Nama CSO'!$A$28:$D$31,4,0)*BL143</f>
        <v>#N/A</v>
      </c>
    </row>
    <row r="144" spans="37:70" x14ac:dyDescent="0.35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>
        <v>0</v>
      </c>
      <c r="BR144" s="58" t="e">
        <f>VLOOKUP(AM144,'[1]Harga &amp; Nama CSO'!$A$28:$D$31,4,0)*BL144</f>
        <v>#N/A</v>
      </c>
    </row>
    <row r="145" spans="37:70" x14ac:dyDescent="0.35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>
        <v>0</v>
      </c>
      <c r="BR145" s="58" t="e">
        <f>VLOOKUP(AM145,'[1]Harga &amp; Nama CSO'!$A$28:$D$31,4,0)*BL145</f>
        <v>#N/A</v>
      </c>
    </row>
    <row r="146" spans="37:70" x14ac:dyDescent="0.35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>
        <v>0</v>
      </c>
      <c r="BR146" s="58" t="e">
        <f>VLOOKUP(AM146,'[1]Harga &amp; Nama CSO'!$A$28:$D$31,4,0)*BL146</f>
        <v>#N/A</v>
      </c>
    </row>
    <row r="147" spans="37:70" x14ac:dyDescent="0.35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>
        <v>0</v>
      </c>
      <c r="BR147" s="58" t="e">
        <f>VLOOKUP(AM147,'[1]Harga &amp; Nama CSO'!$A$28:$D$31,4,0)*BL147</f>
        <v>#N/A</v>
      </c>
    </row>
    <row r="148" spans="37:70" x14ac:dyDescent="0.35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>
        <v>0</v>
      </c>
      <c r="BR148" s="58" t="e">
        <f>VLOOKUP(AM148,'[1]Harga &amp; Nama CSO'!$A$28:$D$31,4,0)*BL148</f>
        <v>#N/A</v>
      </c>
    </row>
    <row r="149" spans="37:70" x14ac:dyDescent="0.35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>
        <v>0</v>
      </c>
      <c r="BR149" s="58" t="e">
        <f>VLOOKUP(AM149,'[1]Harga &amp; Nama CSO'!$A$28:$D$31,4,0)*BL149</f>
        <v>#N/A</v>
      </c>
    </row>
    <row r="150" spans="37:70" x14ac:dyDescent="0.35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>
        <v>0</v>
      </c>
      <c r="BR150" s="58" t="e">
        <f>VLOOKUP(AM150,'[1]Harga &amp; Nama CSO'!$A$28:$D$31,4,0)*BL150</f>
        <v>#N/A</v>
      </c>
    </row>
    <row r="151" spans="37:70" x14ac:dyDescent="0.35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>
        <v>0</v>
      </c>
      <c r="BR151" s="58" t="e">
        <f>VLOOKUP(AM151,'[1]Harga &amp; Nama CSO'!$A$28:$D$31,4,0)*BL151</f>
        <v>#N/A</v>
      </c>
    </row>
    <row r="152" spans="37:70" x14ac:dyDescent="0.35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>
        <v>0</v>
      </c>
      <c r="BR152" s="58" t="e">
        <f>VLOOKUP(AM152,'[1]Harga &amp; Nama CSO'!$A$28:$D$31,4,0)*BL152</f>
        <v>#N/A</v>
      </c>
    </row>
    <row r="153" spans="37:70" x14ac:dyDescent="0.35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>
        <v>0</v>
      </c>
      <c r="BR153" s="58" t="e">
        <f>VLOOKUP(AM153,'[1]Harga &amp; Nama CSO'!$A$28:$D$31,4,0)*BL153</f>
        <v>#N/A</v>
      </c>
    </row>
    <row r="154" spans="37:70" x14ac:dyDescent="0.35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>
        <v>0</v>
      </c>
      <c r="BR154" s="58" t="e">
        <f>VLOOKUP(AM154,'[1]Harga &amp; Nama CSO'!$A$28:$D$31,4,0)*BL154</f>
        <v>#N/A</v>
      </c>
    </row>
    <row r="155" spans="37:70" x14ac:dyDescent="0.35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>
        <v>0</v>
      </c>
      <c r="BR155" s="58" t="e">
        <f>VLOOKUP(AM155,'[1]Harga &amp; Nama CSO'!$A$28:$D$31,4,0)*BL155</f>
        <v>#N/A</v>
      </c>
    </row>
    <row r="156" spans="37:70" x14ac:dyDescent="0.35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>
        <v>0</v>
      </c>
      <c r="BR156" s="58" t="e">
        <f>VLOOKUP(AM156,'[1]Harga &amp; Nama CSO'!$A$28:$D$31,4,0)*BL156</f>
        <v>#N/A</v>
      </c>
    </row>
    <row r="157" spans="37:70" x14ac:dyDescent="0.35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>
        <v>0</v>
      </c>
      <c r="BR157" s="58" t="e">
        <f>VLOOKUP(AM157,'[1]Harga &amp; Nama CSO'!$A$28:$D$31,4,0)*BL157</f>
        <v>#N/A</v>
      </c>
    </row>
    <row r="158" spans="37:70" x14ac:dyDescent="0.35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>
        <v>0</v>
      </c>
      <c r="BR158" s="58" t="e">
        <f>VLOOKUP(AM158,'[1]Harga &amp; Nama CSO'!$A$28:$D$31,4,0)*BL158</f>
        <v>#N/A</v>
      </c>
    </row>
    <row r="159" spans="37:70" x14ac:dyDescent="0.35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>
        <v>0</v>
      </c>
      <c r="BR159" s="58" t="e">
        <f>VLOOKUP(AM159,'[1]Harga &amp; Nama CSO'!$A$28:$D$31,4,0)*BL159</f>
        <v>#N/A</v>
      </c>
    </row>
    <row r="160" spans="37:70" x14ac:dyDescent="0.35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>
        <v>0</v>
      </c>
      <c r="BR160" s="58" t="e">
        <f>VLOOKUP(AM160,'[1]Harga &amp; Nama CSO'!$A$28:$D$31,4,0)*BL160</f>
        <v>#N/A</v>
      </c>
    </row>
    <row r="161" spans="37:70" x14ac:dyDescent="0.35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>
        <v>0</v>
      </c>
      <c r="BR161" s="58" t="e">
        <f>VLOOKUP(AM161,'[1]Harga &amp; Nama CSO'!$A$28:$D$31,4,0)*BL161</f>
        <v>#N/A</v>
      </c>
    </row>
    <row r="162" spans="37:70" x14ac:dyDescent="0.35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>
        <v>0</v>
      </c>
      <c r="BR162" s="58" t="e">
        <f>VLOOKUP(AM162,'[1]Harga &amp; Nama CSO'!$A$28:$D$31,4,0)*BL162</f>
        <v>#N/A</v>
      </c>
    </row>
    <row r="163" spans="37:70" x14ac:dyDescent="0.35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>
        <v>0</v>
      </c>
      <c r="BR163" s="58" t="e">
        <f>VLOOKUP(AM163,'[1]Harga &amp; Nama CSO'!$A$28:$D$31,4,0)*BL163</f>
        <v>#N/A</v>
      </c>
    </row>
    <row r="164" spans="37:70" x14ac:dyDescent="0.35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>
        <v>0</v>
      </c>
      <c r="BR164" s="58" t="e">
        <f>VLOOKUP(AM164,'[1]Harga &amp; Nama CSO'!$A$28:$D$31,4,0)*BL164</f>
        <v>#N/A</v>
      </c>
    </row>
    <row r="165" spans="37:70" x14ac:dyDescent="0.35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>
        <v>0</v>
      </c>
      <c r="BR165" s="58" t="e">
        <f>VLOOKUP(AM165,'[1]Harga &amp; Nama CSO'!$A$28:$D$31,4,0)*BL165</f>
        <v>#N/A</v>
      </c>
    </row>
    <row r="166" spans="37:70" x14ac:dyDescent="0.35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>
        <v>0</v>
      </c>
      <c r="BR166" s="58" t="e">
        <f>VLOOKUP(AM166,'[1]Harga &amp; Nama CSO'!$A$28:$D$31,4,0)*BL166</f>
        <v>#N/A</v>
      </c>
    </row>
    <row r="167" spans="37:70" x14ac:dyDescent="0.35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>
        <v>0</v>
      </c>
      <c r="BR167" s="58" t="e">
        <f>VLOOKUP(AM167,'[1]Harga &amp; Nama CSO'!$A$28:$D$31,4,0)*BL167</f>
        <v>#N/A</v>
      </c>
    </row>
    <row r="168" spans="37:70" x14ac:dyDescent="0.35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>
        <v>0</v>
      </c>
      <c r="BR168" s="58" t="e">
        <f>VLOOKUP(AM168,'[1]Harga &amp; Nama CSO'!$A$28:$D$31,4,0)*BL168</f>
        <v>#N/A</v>
      </c>
    </row>
    <row r="169" spans="37:70" x14ac:dyDescent="0.35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>
        <v>0</v>
      </c>
      <c r="BR169" s="58" t="e">
        <f>VLOOKUP(AM169,'[1]Harga &amp; Nama CSO'!$A$28:$D$31,4,0)*BL169</f>
        <v>#N/A</v>
      </c>
    </row>
    <row r="170" spans="37:70" x14ac:dyDescent="0.35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>
        <v>0</v>
      </c>
      <c r="BR170" s="58" t="e">
        <f>VLOOKUP(AM170,'[1]Harga &amp; Nama CSO'!$A$28:$D$31,4,0)*BL170</f>
        <v>#N/A</v>
      </c>
    </row>
    <row r="171" spans="37:70" x14ac:dyDescent="0.35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>
        <v>0</v>
      </c>
      <c r="BR171" s="58" t="e">
        <f>VLOOKUP(AM171,'[1]Harga &amp; Nama CSO'!$A$28:$D$31,4,0)*BL171</f>
        <v>#N/A</v>
      </c>
    </row>
    <row r="172" spans="37:70" x14ac:dyDescent="0.35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>
        <v>0</v>
      </c>
      <c r="BR172" s="58" t="e">
        <f>VLOOKUP(AM172,'[1]Harga &amp; Nama CSO'!$A$28:$D$31,4,0)*BL172</f>
        <v>#N/A</v>
      </c>
    </row>
    <row r="173" spans="37:70" x14ac:dyDescent="0.35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>
        <v>0</v>
      </c>
      <c r="BR173" s="58" t="e">
        <f>VLOOKUP(AM173,'[1]Harga &amp; Nama CSO'!$A$28:$D$31,4,0)*BL173</f>
        <v>#N/A</v>
      </c>
    </row>
    <row r="174" spans="37:70" x14ac:dyDescent="0.35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>
        <v>0</v>
      </c>
      <c r="BR174" s="58" t="e">
        <f>VLOOKUP(AM174,'[1]Harga &amp; Nama CSO'!$A$28:$D$31,4,0)*BL174</f>
        <v>#N/A</v>
      </c>
    </row>
    <row r="175" spans="37:70" x14ac:dyDescent="0.35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>
        <v>0</v>
      </c>
      <c r="BR175" s="58" t="e">
        <f>VLOOKUP(AM175,'[1]Harga &amp; Nama CSO'!$A$28:$D$31,4,0)*BL175</f>
        <v>#N/A</v>
      </c>
    </row>
    <row r="176" spans="37:70" x14ac:dyDescent="0.35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>
        <v>0</v>
      </c>
      <c r="BR176" s="58" t="e">
        <f>VLOOKUP(AM176,'[1]Harga &amp; Nama CSO'!$A$28:$D$31,4,0)*BL176</f>
        <v>#N/A</v>
      </c>
    </row>
    <row r="177" spans="37:70" x14ac:dyDescent="0.35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>
        <v>0</v>
      </c>
      <c r="BR177" s="58" t="e">
        <f>VLOOKUP(AM177,'[1]Harga &amp; Nama CSO'!$A$28:$D$31,4,0)*BL177</f>
        <v>#N/A</v>
      </c>
    </row>
    <row r="178" spans="37:70" x14ac:dyDescent="0.35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>
        <v>0</v>
      </c>
      <c r="BR178" s="58" t="e">
        <f>VLOOKUP(AM178,'[1]Harga &amp; Nama CSO'!$A$28:$D$31,4,0)*BL178</f>
        <v>#N/A</v>
      </c>
    </row>
    <row r="179" spans="37:70" x14ac:dyDescent="0.35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>
        <v>0</v>
      </c>
      <c r="BR179" s="58" t="e">
        <f>VLOOKUP(AM179,'[1]Harga &amp; Nama CSO'!$A$28:$D$31,4,0)*BL179</f>
        <v>#N/A</v>
      </c>
    </row>
    <row r="180" spans="37:70" x14ac:dyDescent="0.35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>
        <v>0</v>
      </c>
      <c r="BR180" s="58" t="e">
        <f>VLOOKUP(AM180,'[1]Harga &amp; Nama CSO'!$A$28:$D$31,4,0)*BL180</f>
        <v>#N/A</v>
      </c>
    </row>
    <row r="181" spans="37:70" x14ac:dyDescent="0.35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>
        <v>0</v>
      </c>
      <c r="BR181" s="58" t="e">
        <f>VLOOKUP(AM181,'[1]Harga &amp; Nama CSO'!$A$28:$D$31,4,0)*BL181</f>
        <v>#N/A</v>
      </c>
    </row>
    <row r="182" spans="37:70" x14ac:dyDescent="0.35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>
        <v>0</v>
      </c>
      <c r="BR182" s="58" t="e">
        <f>VLOOKUP(AM182,'[1]Harga &amp; Nama CSO'!$A$28:$D$31,4,0)*BL182</f>
        <v>#N/A</v>
      </c>
    </row>
    <row r="183" spans="37:70" x14ac:dyDescent="0.35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>
        <v>0</v>
      </c>
      <c r="BR183" s="58" t="e">
        <f>VLOOKUP(AM183,'[1]Harga &amp; Nama CSO'!$A$28:$D$31,4,0)*BL183</f>
        <v>#N/A</v>
      </c>
    </row>
    <row r="184" spans="37:70" x14ac:dyDescent="0.35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>
        <v>0</v>
      </c>
      <c r="BR184" s="58" t="e">
        <f>VLOOKUP(AM184,'[1]Harga &amp; Nama CSO'!$A$28:$D$31,4,0)*BL184</f>
        <v>#N/A</v>
      </c>
    </row>
    <row r="185" spans="37:70" x14ac:dyDescent="0.35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>
        <v>0</v>
      </c>
      <c r="BR185" s="58" t="e">
        <f>VLOOKUP(AM185,'[1]Harga &amp; Nama CSO'!$A$28:$D$31,4,0)*BL185</f>
        <v>#N/A</v>
      </c>
    </row>
    <row r="186" spans="37:70" x14ac:dyDescent="0.35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>
        <v>0</v>
      </c>
      <c r="BR186" s="58" t="e">
        <f>VLOOKUP(AM186,'[1]Harga &amp; Nama CSO'!$A$28:$D$31,4,0)*BL186</f>
        <v>#N/A</v>
      </c>
    </row>
    <row r="187" spans="37:70" x14ac:dyDescent="0.35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>
        <v>0</v>
      </c>
      <c r="BR187" s="58" t="e">
        <f>VLOOKUP(AM187,'[1]Harga &amp; Nama CSO'!$A$28:$D$31,4,0)*BL187</f>
        <v>#N/A</v>
      </c>
    </row>
    <row r="188" spans="37:70" x14ac:dyDescent="0.35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>
        <v>0</v>
      </c>
      <c r="BR188" s="58" t="e">
        <f>VLOOKUP(AM188,'[1]Harga &amp; Nama CSO'!$A$28:$D$31,4,0)*BL188</f>
        <v>#N/A</v>
      </c>
    </row>
    <row r="189" spans="37:70" x14ac:dyDescent="0.35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>
        <v>0</v>
      </c>
      <c r="BR189" s="58" t="e">
        <f>VLOOKUP(AM189,'[1]Harga &amp; Nama CSO'!$A$28:$D$31,4,0)*BL189</f>
        <v>#N/A</v>
      </c>
    </row>
    <row r="190" spans="37:70" x14ac:dyDescent="0.35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>
        <v>0</v>
      </c>
      <c r="BR190" s="58" t="e">
        <f>VLOOKUP(AM190,'[1]Harga &amp; Nama CSO'!$A$28:$D$31,4,0)*BL190</f>
        <v>#N/A</v>
      </c>
    </row>
    <row r="191" spans="37:70" x14ac:dyDescent="0.35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>
        <v>0</v>
      </c>
      <c r="BR191" s="58" t="e">
        <f>VLOOKUP(AM191,'[1]Harga &amp; Nama CSO'!$A$28:$D$31,4,0)*BL191</f>
        <v>#N/A</v>
      </c>
    </row>
    <row r="192" spans="37:70" x14ac:dyDescent="0.35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>
        <v>0</v>
      </c>
      <c r="BR192" s="58" t="e">
        <f>VLOOKUP(AM192,'[1]Harga &amp; Nama CSO'!$A$28:$D$31,4,0)*BL192</f>
        <v>#N/A</v>
      </c>
    </row>
    <row r="193" spans="37:70" x14ac:dyDescent="0.35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>
        <v>0</v>
      </c>
      <c r="BR193" s="58" t="e">
        <f>VLOOKUP(AM193,'[1]Harga &amp; Nama CSO'!$A$28:$D$31,4,0)*BL193</f>
        <v>#N/A</v>
      </c>
    </row>
    <row r="194" spans="37:70" x14ac:dyDescent="0.35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>
        <v>0</v>
      </c>
      <c r="BR194" s="58" t="e">
        <f>VLOOKUP(AM194,'[1]Harga &amp; Nama CSO'!$A$28:$D$31,4,0)*BL194</f>
        <v>#N/A</v>
      </c>
    </row>
    <row r="195" spans="37:70" x14ac:dyDescent="0.35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>
        <v>0</v>
      </c>
      <c r="BR195" s="58" t="e">
        <f>VLOOKUP(AM195,'[1]Harga &amp; Nama CSO'!$A$28:$D$31,4,0)*BL195</f>
        <v>#N/A</v>
      </c>
    </row>
    <row r="196" spans="37:70" x14ac:dyDescent="0.35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>
        <v>0</v>
      </c>
      <c r="BR196" s="58" t="e">
        <f>VLOOKUP(AM196,'[1]Harga &amp; Nama CSO'!$A$28:$D$31,4,0)*BL196</f>
        <v>#N/A</v>
      </c>
    </row>
    <row r="197" spans="37:70" x14ac:dyDescent="0.35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>
        <v>0</v>
      </c>
      <c r="BR197" s="58" t="e">
        <f>VLOOKUP(AM197,'[1]Harga &amp; Nama CSO'!$A$28:$D$31,4,0)*BL197</f>
        <v>#N/A</v>
      </c>
    </row>
    <row r="198" spans="37:70" x14ac:dyDescent="0.35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>
        <v>0</v>
      </c>
      <c r="BR198" s="58" t="e">
        <f>VLOOKUP(AM198,'[1]Harga &amp; Nama CSO'!$A$28:$D$31,4,0)*BL198</f>
        <v>#N/A</v>
      </c>
    </row>
    <row r="199" spans="37:70" x14ac:dyDescent="0.35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>
        <v>0</v>
      </c>
      <c r="BR199" s="58" t="e">
        <f>VLOOKUP(AM199,'[1]Harga &amp; Nama CSO'!$A$28:$D$31,4,0)*BL199</f>
        <v>#N/A</v>
      </c>
    </row>
    <row r="200" spans="37:70" x14ac:dyDescent="0.35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>
        <v>0</v>
      </c>
      <c r="BR200" s="58" t="e">
        <f>VLOOKUP(AM200,'[1]Harga &amp; Nama CSO'!$A$28:$D$31,4,0)*BL200</f>
        <v>#N/A</v>
      </c>
    </row>
    <row r="201" spans="37:70" x14ac:dyDescent="0.35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>
        <v>0</v>
      </c>
      <c r="BR201" s="58" t="e">
        <f>VLOOKUP(AM201,'[1]Harga &amp; Nama CSO'!$A$28:$D$31,4,0)*BL201</f>
        <v>#N/A</v>
      </c>
    </row>
    <row r="202" spans="37:70" x14ac:dyDescent="0.35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>
        <v>0</v>
      </c>
      <c r="BR202" s="58" t="e">
        <f>VLOOKUP(AM202,'[1]Harga &amp; Nama CSO'!$A$28:$D$31,4,0)*BL202</f>
        <v>#N/A</v>
      </c>
    </row>
    <row r="203" spans="37:70" x14ac:dyDescent="0.35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>
        <v>0</v>
      </c>
      <c r="BR203" s="58" t="e">
        <f>VLOOKUP(AM203,'[1]Harga &amp; Nama CSO'!$A$28:$D$31,4,0)*BL203</f>
        <v>#N/A</v>
      </c>
    </row>
    <row r="204" spans="37:70" x14ac:dyDescent="0.35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>
        <v>0</v>
      </c>
      <c r="BR204" s="58" t="e">
        <f>VLOOKUP(AM204,'[1]Harga &amp; Nama CSO'!$A$28:$D$31,4,0)*BL204</f>
        <v>#N/A</v>
      </c>
    </row>
    <row r="205" spans="37:70" x14ac:dyDescent="0.35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>
        <v>0</v>
      </c>
      <c r="BR205" s="58" t="e">
        <f>VLOOKUP(AM205,'[1]Harga &amp; Nama CSO'!$A$28:$D$31,4,0)*BL205</f>
        <v>#N/A</v>
      </c>
    </row>
    <row r="206" spans="37:70" x14ac:dyDescent="0.35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>
        <v>0</v>
      </c>
      <c r="BR206" s="58" t="e">
        <f>VLOOKUP(AM206,'[1]Harga &amp; Nama CSO'!$A$28:$D$31,4,0)*BL206</f>
        <v>#N/A</v>
      </c>
    </row>
    <row r="207" spans="37:70" x14ac:dyDescent="0.35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>
        <v>0</v>
      </c>
      <c r="BR207" s="58" t="e">
        <f>VLOOKUP(AM207,'[1]Harga &amp; Nama CSO'!$A$28:$D$31,4,0)*BL207</f>
        <v>#N/A</v>
      </c>
    </row>
    <row r="208" spans="37:70" x14ac:dyDescent="0.35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>
        <v>0</v>
      </c>
      <c r="BR208" s="58" t="e">
        <f>VLOOKUP(AM208,'[1]Harga &amp; Nama CSO'!$A$28:$D$31,4,0)*BL208</f>
        <v>#N/A</v>
      </c>
    </row>
    <row r="209" spans="37:70" x14ac:dyDescent="0.35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>
        <v>0</v>
      </c>
      <c r="BR209" s="58" t="e">
        <f>VLOOKUP(AM209,'[1]Harga &amp; Nama CSO'!$A$28:$D$31,4,0)*BL209</f>
        <v>#N/A</v>
      </c>
    </row>
    <row r="210" spans="37:70" x14ac:dyDescent="0.35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>
        <v>0</v>
      </c>
      <c r="BR210" s="58" t="e">
        <f>VLOOKUP(AM210,'[1]Harga &amp; Nama CSO'!$A$28:$D$31,4,0)*BL210</f>
        <v>#N/A</v>
      </c>
    </row>
    <row r="211" spans="37:70" x14ac:dyDescent="0.35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>
        <v>0</v>
      </c>
      <c r="BR211" s="58" t="e">
        <f>VLOOKUP(AM211,'[1]Harga &amp; Nama CSO'!$A$28:$D$31,4,0)*BL211</f>
        <v>#N/A</v>
      </c>
    </row>
    <row r="212" spans="37:70" x14ac:dyDescent="0.35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>
        <v>0</v>
      </c>
      <c r="BR212" s="58" t="e">
        <f>VLOOKUP(AM212,'[1]Harga &amp; Nama CSO'!$A$28:$D$31,4,0)*BL212</f>
        <v>#N/A</v>
      </c>
    </row>
    <row r="213" spans="37:70" x14ac:dyDescent="0.35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>
        <v>0</v>
      </c>
      <c r="BR213" s="58" t="e">
        <f>VLOOKUP(AM213,'[1]Harga &amp; Nama CSO'!$A$28:$D$31,4,0)*BL213</f>
        <v>#N/A</v>
      </c>
    </row>
    <row r="214" spans="37:70" x14ac:dyDescent="0.35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>
        <v>0</v>
      </c>
      <c r="BR214" s="58" t="e">
        <f>VLOOKUP(AM214,'[1]Harga &amp; Nama CSO'!$A$28:$D$31,4,0)*BL214</f>
        <v>#N/A</v>
      </c>
    </row>
    <row r="215" spans="37:70" x14ac:dyDescent="0.35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>
        <v>0</v>
      </c>
      <c r="BR215" s="58" t="e">
        <f>VLOOKUP(AM215,'[1]Harga &amp; Nama CSO'!$A$28:$D$31,4,0)*BL215</f>
        <v>#N/A</v>
      </c>
    </row>
    <row r="216" spans="37:70" x14ac:dyDescent="0.35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>
        <v>0</v>
      </c>
      <c r="BR216" s="58" t="e">
        <f>VLOOKUP(AM216,'[1]Harga &amp; Nama CSO'!$A$28:$D$31,4,0)*BL216</f>
        <v>#N/A</v>
      </c>
    </row>
    <row r="217" spans="37:70" x14ac:dyDescent="0.35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>
        <v>0</v>
      </c>
      <c r="BR217" s="58" t="e">
        <f>VLOOKUP(AM217,'[1]Harga &amp; Nama CSO'!$A$28:$D$31,4,0)*BL217</f>
        <v>#N/A</v>
      </c>
    </row>
    <row r="218" spans="37:70" x14ac:dyDescent="0.35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>
        <v>0</v>
      </c>
      <c r="BR218" s="58" t="e">
        <f>VLOOKUP(AM218,'[1]Harga &amp; Nama CSO'!$A$28:$D$31,4,0)*BL218</f>
        <v>#N/A</v>
      </c>
    </row>
    <row r="219" spans="37:70" x14ac:dyDescent="0.35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>
        <v>0</v>
      </c>
      <c r="BR219" s="58" t="e">
        <f>VLOOKUP(AM219,'[1]Harga &amp; Nama CSO'!$A$28:$D$31,4,0)*BL219</f>
        <v>#N/A</v>
      </c>
    </row>
    <row r="220" spans="37:70" x14ac:dyDescent="0.35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>
        <v>0</v>
      </c>
      <c r="BR220" s="58" t="e">
        <f>VLOOKUP(AM220,'[1]Harga &amp; Nama CSO'!$A$28:$D$31,4,0)*BL220</f>
        <v>#N/A</v>
      </c>
    </row>
    <row r="221" spans="37:70" x14ac:dyDescent="0.35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>
        <v>0</v>
      </c>
      <c r="BR221" s="58" t="e">
        <f>VLOOKUP(AM221,'[1]Harga &amp; Nama CSO'!$A$28:$D$31,4,0)*BL221</f>
        <v>#N/A</v>
      </c>
    </row>
    <row r="222" spans="37:70" x14ac:dyDescent="0.35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>
        <v>0</v>
      </c>
      <c r="BR222" s="58" t="e">
        <f>VLOOKUP(AM222,'[1]Harga &amp; Nama CSO'!$A$28:$D$31,4,0)*BL222</f>
        <v>#N/A</v>
      </c>
    </row>
    <row r="223" spans="37:70" x14ac:dyDescent="0.35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>
        <v>0</v>
      </c>
      <c r="BR223" s="58" t="e">
        <f>VLOOKUP(AM223,'[1]Harga &amp; Nama CSO'!$A$28:$D$31,4,0)*BL223</f>
        <v>#N/A</v>
      </c>
    </row>
    <row r="224" spans="37:70" x14ac:dyDescent="0.35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>
        <v>0</v>
      </c>
      <c r="BR224" s="58" t="e">
        <f>VLOOKUP(AM224,'[1]Harga &amp; Nama CSO'!$A$28:$D$31,4,0)*BL224</f>
        <v>#N/A</v>
      </c>
    </row>
    <row r="225" spans="37:70" x14ac:dyDescent="0.35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>
        <v>0</v>
      </c>
      <c r="BR225" s="58" t="e">
        <f>VLOOKUP(AM225,'[1]Harga &amp; Nama CSO'!$A$28:$D$31,4,0)*BL225</f>
        <v>#N/A</v>
      </c>
    </row>
    <row r="226" spans="37:70" x14ac:dyDescent="0.35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>
        <v>0</v>
      </c>
      <c r="BR226" s="58" t="e">
        <f>VLOOKUP(AM226,'[1]Harga &amp; Nama CSO'!$A$28:$D$31,4,0)*BL226</f>
        <v>#N/A</v>
      </c>
    </row>
    <row r="227" spans="37:70" x14ac:dyDescent="0.35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>
        <v>0</v>
      </c>
      <c r="BR227" s="58" t="e">
        <f>VLOOKUP(AM227,'[1]Harga &amp; Nama CSO'!$A$28:$D$31,4,0)*BL227</f>
        <v>#N/A</v>
      </c>
    </row>
    <row r="228" spans="37:70" x14ac:dyDescent="0.35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>
        <v>0</v>
      </c>
      <c r="BR228" s="58" t="e">
        <f>VLOOKUP(AM228,'[1]Harga &amp; Nama CSO'!$A$28:$D$31,4,0)*BL228</f>
        <v>#N/A</v>
      </c>
    </row>
    <row r="229" spans="37:70" x14ac:dyDescent="0.35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>
        <v>0</v>
      </c>
      <c r="BR229" s="58" t="e">
        <f>VLOOKUP(AM229,'[1]Harga &amp; Nama CSO'!$A$28:$D$31,4,0)*BL229</f>
        <v>#N/A</v>
      </c>
    </row>
    <row r="230" spans="37:70" x14ac:dyDescent="0.35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>
        <v>0</v>
      </c>
      <c r="BR230" s="58" t="e">
        <f>VLOOKUP(AM230,'[1]Harga &amp; Nama CSO'!$A$28:$D$31,4,0)*BL230</f>
        <v>#N/A</v>
      </c>
    </row>
    <row r="231" spans="37:70" x14ac:dyDescent="0.35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>
        <v>0</v>
      </c>
      <c r="BR231" s="58" t="e">
        <f>VLOOKUP(AM231,'[1]Harga &amp; Nama CSO'!$A$28:$D$31,4,0)*BL231</f>
        <v>#N/A</v>
      </c>
    </row>
    <row r="232" spans="37:70" x14ac:dyDescent="0.35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>
        <v>0</v>
      </c>
      <c r="BR232" s="58" t="e">
        <f>VLOOKUP(AM232,'[1]Harga &amp; Nama CSO'!$A$28:$D$31,4,0)*BL232</f>
        <v>#N/A</v>
      </c>
    </row>
    <row r="233" spans="37:70" x14ac:dyDescent="0.35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>
        <v>0</v>
      </c>
      <c r="BR233" s="58" t="e">
        <f>VLOOKUP(AM233,'[1]Harga &amp; Nama CSO'!$A$28:$D$31,4,0)*BL233</f>
        <v>#N/A</v>
      </c>
    </row>
    <row r="234" spans="37:70" x14ac:dyDescent="0.35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>
        <v>0</v>
      </c>
      <c r="BR234" s="58" t="e">
        <f>VLOOKUP(AM234,'[1]Harga &amp; Nama CSO'!$A$28:$D$31,4,0)*BL234</f>
        <v>#N/A</v>
      </c>
    </row>
    <row r="235" spans="37:70" x14ac:dyDescent="0.35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>
        <v>0</v>
      </c>
      <c r="BR235" s="58" t="e">
        <f>VLOOKUP(AM235,'[1]Harga &amp; Nama CSO'!$A$28:$D$31,4,0)*BL235</f>
        <v>#N/A</v>
      </c>
    </row>
    <row r="236" spans="37:70" x14ac:dyDescent="0.35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>
        <v>0</v>
      </c>
      <c r="BR236" s="58" t="e">
        <f>VLOOKUP(AM236,'[1]Harga &amp; Nama CSO'!$A$28:$D$31,4,0)*BL236</f>
        <v>#N/A</v>
      </c>
    </row>
    <row r="237" spans="37:70" x14ac:dyDescent="0.35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>
        <v>0</v>
      </c>
      <c r="BR237" s="58" t="e">
        <f>VLOOKUP(AM237,'[1]Harga &amp; Nama CSO'!$A$28:$D$31,4,0)*BL237</f>
        <v>#N/A</v>
      </c>
    </row>
    <row r="238" spans="37:70" x14ac:dyDescent="0.35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>
        <v>0</v>
      </c>
      <c r="BR238" s="58" t="e">
        <f>VLOOKUP(AM238,'[1]Harga &amp; Nama CSO'!$A$28:$D$31,4,0)*BL238</f>
        <v>#N/A</v>
      </c>
    </row>
    <row r="239" spans="37:70" x14ac:dyDescent="0.35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>
        <v>0</v>
      </c>
      <c r="BR239" s="58" t="e">
        <f>VLOOKUP(AM239,'[1]Harga &amp; Nama CSO'!$A$28:$D$31,4,0)*BL239</f>
        <v>#N/A</v>
      </c>
    </row>
    <row r="240" spans="37:70" x14ac:dyDescent="0.35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>
        <v>0</v>
      </c>
      <c r="BR240" s="58" t="e">
        <f>VLOOKUP(AM240,'[1]Harga &amp; Nama CSO'!$A$28:$D$31,4,0)*BL240</f>
        <v>#N/A</v>
      </c>
    </row>
    <row r="241" spans="37:70" x14ac:dyDescent="0.35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>
        <v>0</v>
      </c>
      <c r="BR241" s="58" t="e">
        <f>VLOOKUP(AM241,'[1]Harga &amp; Nama CSO'!$A$28:$D$31,4,0)*BL241</f>
        <v>#N/A</v>
      </c>
    </row>
    <row r="242" spans="37:70" x14ac:dyDescent="0.35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>
        <v>0</v>
      </c>
      <c r="BR242" s="58" t="e">
        <f>VLOOKUP(AM242,'[1]Harga &amp; Nama CSO'!$A$28:$D$31,4,0)*BL242</f>
        <v>#N/A</v>
      </c>
    </row>
    <row r="243" spans="37:70" x14ac:dyDescent="0.35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>
        <v>0</v>
      </c>
      <c r="BR243" s="58" t="e">
        <f>VLOOKUP(AM243,'[1]Harga &amp; Nama CSO'!$A$28:$D$31,4,0)*BL243</f>
        <v>#N/A</v>
      </c>
    </row>
    <row r="244" spans="37:70" x14ac:dyDescent="0.35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>
        <v>0</v>
      </c>
      <c r="BR244" s="58" t="e">
        <f>VLOOKUP(AM244,'[1]Harga &amp; Nama CSO'!$A$28:$D$31,4,0)*BL244</f>
        <v>#N/A</v>
      </c>
    </row>
    <row r="245" spans="37:70" x14ac:dyDescent="0.35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>
        <v>0</v>
      </c>
      <c r="BR245" s="58" t="e">
        <f>VLOOKUP(AM245,'[1]Harga &amp; Nama CSO'!$A$28:$D$31,4,0)*BL245</f>
        <v>#N/A</v>
      </c>
    </row>
    <row r="246" spans="37:70" x14ac:dyDescent="0.35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>
        <v>0</v>
      </c>
      <c r="BR246" s="58" t="e">
        <f>VLOOKUP(AM246,'[1]Harga &amp; Nama CSO'!$A$28:$D$31,4,0)*BL246</f>
        <v>#N/A</v>
      </c>
    </row>
    <row r="247" spans="37:70" x14ac:dyDescent="0.35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>
        <v>0</v>
      </c>
      <c r="BR247" s="58" t="e">
        <f>VLOOKUP(AM247,'[1]Harga &amp; Nama CSO'!$A$28:$D$31,4,0)*BL247</f>
        <v>#N/A</v>
      </c>
    </row>
    <row r="248" spans="37:70" x14ac:dyDescent="0.35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>
        <v>0</v>
      </c>
      <c r="BR248" s="58" t="e">
        <f>VLOOKUP(AM248,'[1]Harga &amp; Nama CSO'!$A$28:$D$31,4,0)*BL248</f>
        <v>#N/A</v>
      </c>
    </row>
    <row r="249" spans="37:70" x14ac:dyDescent="0.35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>
        <v>0</v>
      </c>
      <c r="BR249" s="58" t="e">
        <f>VLOOKUP(AM249,'[1]Harga &amp; Nama CSO'!$A$28:$D$31,4,0)*BL249</f>
        <v>#N/A</v>
      </c>
    </row>
    <row r="250" spans="37:70" x14ac:dyDescent="0.35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>
        <v>0</v>
      </c>
      <c r="BR250" s="58" t="e">
        <f>VLOOKUP(AM250,'[1]Harga &amp; Nama CSO'!$A$28:$D$31,4,0)*BL250</f>
        <v>#N/A</v>
      </c>
    </row>
    <row r="251" spans="37:70" x14ac:dyDescent="0.35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>
        <v>0</v>
      </c>
      <c r="BR251" s="58" t="e">
        <f>VLOOKUP(AM251,'[1]Harga &amp; Nama CSO'!$A$28:$D$31,4,0)*BL251</f>
        <v>#N/A</v>
      </c>
    </row>
    <row r="252" spans="37:70" x14ac:dyDescent="0.35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>
        <v>0</v>
      </c>
      <c r="BR252" s="58" t="e">
        <f>VLOOKUP(AM252,'[1]Harga &amp; Nama CSO'!$A$28:$D$31,4,0)*BL252</f>
        <v>#N/A</v>
      </c>
    </row>
    <row r="253" spans="37:70" x14ac:dyDescent="0.35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>
        <v>0</v>
      </c>
      <c r="BR253" s="58" t="e">
        <f>VLOOKUP(AM253,'[1]Harga &amp; Nama CSO'!$A$28:$D$31,4,0)*BL253</f>
        <v>#N/A</v>
      </c>
    </row>
    <row r="254" spans="37:70" x14ac:dyDescent="0.35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>
        <v>0</v>
      </c>
      <c r="BR254" s="58" t="e">
        <f>VLOOKUP(AM254,'[1]Harga &amp; Nama CSO'!$A$28:$D$31,4,0)*BL254</f>
        <v>#N/A</v>
      </c>
    </row>
    <row r="255" spans="37:70" x14ac:dyDescent="0.35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>
        <v>0</v>
      </c>
      <c r="BR255" s="58" t="e">
        <f>VLOOKUP(AM255,'[1]Harga &amp; Nama CSO'!$A$28:$D$31,4,0)*BL255</f>
        <v>#N/A</v>
      </c>
    </row>
    <row r="256" spans="37:70" x14ac:dyDescent="0.35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>
        <v>0</v>
      </c>
      <c r="BR256" s="58" t="e">
        <f>VLOOKUP(AM256,'[1]Harga &amp; Nama CSO'!$A$28:$D$31,4,0)*BL256</f>
        <v>#N/A</v>
      </c>
    </row>
    <row r="257" spans="37:70" x14ac:dyDescent="0.35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>
        <v>0</v>
      </c>
      <c r="BR257" s="58" t="e">
        <f>VLOOKUP(AM257,'[1]Harga &amp; Nama CSO'!$A$28:$D$31,4,0)*BL257</f>
        <v>#N/A</v>
      </c>
    </row>
    <row r="258" spans="37:70" x14ac:dyDescent="0.35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>
        <v>0</v>
      </c>
      <c r="BR258" s="58" t="e">
        <f>VLOOKUP(AM258,'[1]Harga &amp; Nama CSO'!$A$28:$D$31,4,0)*BL258</f>
        <v>#N/A</v>
      </c>
    </row>
    <row r="259" spans="37:70" x14ac:dyDescent="0.35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>
        <v>0</v>
      </c>
      <c r="BR259" s="58" t="e">
        <f>VLOOKUP(AM259,'[1]Harga &amp; Nama CSO'!$A$28:$D$31,4,0)*BL259</f>
        <v>#N/A</v>
      </c>
    </row>
    <row r="260" spans="37:70" x14ac:dyDescent="0.35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>
        <v>0</v>
      </c>
      <c r="BR260" s="58" t="e">
        <f>VLOOKUP(AM260,'[1]Harga &amp; Nama CSO'!$A$28:$D$31,4,0)*BL260</f>
        <v>#N/A</v>
      </c>
    </row>
    <row r="261" spans="37:70" x14ac:dyDescent="0.35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>
        <v>0</v>
      </c>
      <c r="BR261" s="58" t="e">
        <f>VLOOKUP(AM261,'[1]Harga &amp; Nama CSO'!$A$28:$D$31,4,0)*BL261</f>
        <v>#N/A</v>
      </c>
    </row>
    <row r="262" spans="37:70" x14ac:dyDescent="0.35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>
        <v>0</v>
      </c>
      <c r="BR262" s="58" t="e">
        <f>VLOOKUP(AM262,'[1]Harga &amp; Nama CSO'!$A$28:$D$31,4,0)*BL262</f>
        <v>#N/A</v>
      </c>
    </row>
    <row r="263" spans="37:70" x14ac:dyDescent="0.35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>
        <v>0</v>
      </c>
      <c r="BR263" s="58" t="e">
        <f>VLOOKUP(AM263,'[1]Harga &amp; Nama CSO'!$A$28:$D$31,4,0)*BL263</f>
        <v>#N/A</v>
      </c>
    </row>
    <row r="264" spans="37:70" x14ac:dyDescent="0.35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>
        <v>0</v>
      </c>
      <c r="BR264" s="58" t="e">
        <f>VLOOKUP(AM264,'[1]Harga &amp; Nama CSO'!$A$28:$D$31,4,0)*BL264</f>
        <v>#N/A</v>
      </c>
    </row>
    <row r="265" spans="37:70" x14ac:dyDescent="0.35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>
        <v>0</v>
      </c>
      <c r="BR265" s="58" t="e">
        <f>VLOOKUP(AM265,'[1]Harga &amp; Nama CSO'!$A$28:$D$31,4,0)*BL265</f>
        <v>#N/A</v>
      </c>
    </row>
    <row r="266" spans="37:70" x14ac:dyDescent="0.35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>
        <v>0</v>
      </c>
      <c r="BR266" s="58" t="e">
        <f>VLOOKUP(AM266,'[1]Harga &amp; Nama CSO'!$A$28:$D$31,4,0)*BL266</f>
        <v>#N/A</v>
      </c>
    </row>
    <row r="267" spans="37:70" x14ac:dyDescent="0.35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>
        <v>0</v>
      </c>
      <c r="BR267" s="58" t="e">
        <f>VLOOKUP(AM267,'[1]Harga &amp; Nama CSO'!$A$28:$D$31,4,0)*BL267</f>
        <v>#N/A</v>
      </c>
    </row>
    <row r="268" spans="37:70" x14ac:dyDescent="0.35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>
        <v>0</v>
      </c>
      <c r="BR268" s="58" t="e">
        <f>VLOOKUP(AM268,'[1]Harga &amp; Nama CSO'!$A$28:$D$31,4,0)*BL268</f>
        <v>#N/A</v>
      </c>
    </row>
    <row r="269" spans="37:70" x14ac:dyDescent="0.35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>
        <v>0</v>
      </c>
      <c r="BR269" s="58" t="e">
        <f>VLOOKUP(AM269,'[1]Harga &amp; Nama CSO'!$A$28:$D$31,4,0)*BL269</f>
        <v>#N/A</v>
      </c>
    </row>
    <row r="270" spans="37:70" x14ac:dyDescent="0.35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>
        <v>0</v>
      </c>
      <c r="BR270" s="58" t="e">
        <f>VLOOKUP(AM270,'[1]Harga &amp; Nama CSO'!$A$28:$D$31,4,0)*BL270</f>
        <v>#N/A</v>
      </c>
    </row>
    <row r="271" spans="37:70" x14ac:dyDescent="0.35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>
        <v>0</v>
      </c>
      <c r="BR271" s="58" t="e">
        <f>VLOOKUP(AM271,'[1]Harga &amp; Nama CSO'!$A$28:$D$31,4,0)*BL271</f>
        <v>#N/A</v>
      </c>
    </row>
    <row r="272" spans="37:70" x14ac:dyDescent="0.35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>
        <v>0</v>
      </c>
      <c r="BR272" s="58" t="e">
        <f>VLOOKUP(AM272,'[1]Harga &amp; Nama CSO'!$A$28:$D$31,4,0)*BL272</f>
        <v>#N/A</v>
      </c>
    </row>
    <row r="273" spans="37:70" x14ac:dyDescent="0.35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>
        <v>0</v>
      </c>
      <c r="BR273" s="58" t="e">
        <f>VLOOKUP(AM273,'[1]Harga &amp; Nama CSO'!$A$28:$D$31,4,0)*BL273</f>
        <v>#N/A</v>
      </c>
    </row>
    <row r="274" spans="37:70" x14ac:dyDescent="0.35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>
        <v>0</v>
      </c>
      <c r="BR274" s="58" t="e">
        <f>VLOOKUP(AM274,'[1]Harga &amp; Nama CSO'!$A$28:$D$31,4,0)*BL274</f>
        <v>#N/A</v>
      </c>
    </row>
    <row r="275" spans="37:70" x14ac:dyDescent="0.35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>
        <v>0</v>
      </c>
      <c r="BR275" s="58" t="e">
        <f>VLOOKUP(AM275,'[1]Harga &amp; Nama CSO'!$A$28:$D$31,4,0)*BL275</f>
        <v>#N/A</v>
      </c>
    </row>
    <row r="276" spans="37:70" x14ac:dyDescent="0.35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>
        <v>0</v>
      </c>
      <c r="BR276" s="58" t="e">
        <f>VLOOKUP(AM276,'[1]Harga &amp; Nama CSO'!$A$28:$D$31,4,0)*BL276</f>
        <v>#N/A</v>
      </c>
    </row>
    <row r="277" spans="37:70" x14ac:dyDescent="0.35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>
        <v>0</v>
      </c>
      <c r="BR277" s="58" t="e">
        <f>VLOOKUP(AM277,'[1]Harga &amp; Nama CSO'!$A$28:$D$31,4,0)*BL277</f>
        <v>#N/A</v>
      </c>
    </row>
    <row r="278" spans="37:70" x14ac:dyDescent="0.35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>
        <v>0</v>
      </c>
      <c r="BR278" s="58" t="e">
        <f>VLOOKUP(AM278,'[1]Harga &amp; Nama CSO'!$A$28:$D$31,4,0)*BL278</f>
        <v>#N/A</v>
      </c>
    </row>
    <row r="279" spans="37:70" x14ac:dyDescent="0.35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>
        <v>0</v>
      </c>
      <c r="BR279" s="58" t="e">
        <f>VLOOKUP(AM279,'[1]Harga &amp; Nama CSO'!$A$28:$D$31,4,0)*BL279</f>
        <v>#N/A</v>
      </c>
    </row>
    <row r="280" spans="37:70" x14ac:dyDescent="0.35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>
        <v>0</v>
      </c>
      <c r="BR280" s="58" t="e">
        <f>VLOOKUP(AM280,'[1]Harga &amp; Nama CSO'!$A$28:$D$31,4,0)*BL280</f>
        <v>#N/A</v>
      </c>
    </row>
    <row r="281" spans="37:70" x14ac:dyDescent="0.35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>
        <v>0</v>
      </c>
      <c r="BR281" s="58" t="e">
        <f>VLOOKUP(AM281,'[1]Harga &amp; Nama CSO'!$A$28:$D$31,4,0)*BL281</f>
        <v>#N/A</v>
      </c>
    </row>
    <row r="282" spans="37:70" x14ac:dyDescent="0.35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>
        <v>0</v>
      </c>
      <c r="BR282" s="58" t="e">
        <f>VLOOKUP(AM282,'[1]Harga &amp; Nama CSO'!$A$28:$D$31,4,0)*BL282</f>
        <v>#N/A</v>
      </c>
    </row>
    <row r="283" spans="37:70" x14ac:dyDescent="0.35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>
        <v>0</v>
      </c>
      <c r="BR283" s="58" t="e">
        <f>VLOOKUP(AM283,'[1]Harga &amp; Nama CSO'!$A$28:$D$31,4,0)*BL283</f>
        <v>#N/A</v>
      </c>
    </row>
    <row r="284" spans="37:70" x14ac:dyDescent="0.35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>
        <v>0</v>
      </c>
      <c r="BR284" s="58" t="e">
        <f>VLOOKUP(AM284,'[1]Harga &amp; Nama CSO'!$A$28:$D$31,4,0)*BL284</f>
        <v>#N/A</v>
      </c>
    </row>
    <row r="285" spans="37:70" x14ac:dyDescent="0.35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>
        <v>0</v>
      </c>
      <c r="BR285" s="58" t="e">
        <f>VLOOKUP(AM285,'[1]Harga &amp; Nama CSO'!$A$28:$D$31,4,0)*BL285</f>
        <v>#N/A</v>
      </c>
    </row>
    <row r="286" spans="37:70" x14ac:dyDescent="0.35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>
        <v>0</v>
      </c>
      <c r="BR286" s="58" t="e">
        <f>VLOOKUP(AM286,'[1]Harga &amp; Nama CSO'!$A$28:$D$31,4,0)*BL286</f>
        <v>#N/A</v>
      </c>
    </row>
    <row r="287" spans="37:70" x14ac:dyDescent="0.35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>
        <v>0</v>
      </c>
      <c r="BR287" s="58" t="e">
        <f>VLOOKUP(AM287,'[1]Harga &amp; Nama CSO'!$A$28:$D$31,4,0)*BL287</f>
        <v>#N/A</v>
      </c>
    </row>
    <row r="288" spans="37:70" x14ac:dyDescent="0.35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>
        <v>0</v>
      </c>
      <c r="BR288" s="58" t="e">
        <f>VLOOKUP(AM288,'[1]Harga &amp; Nama CSO'!$A$28:$D$31,4,0)*BL288</f>
        <v>#N/A</v>
      </c>
    </row>
    <row r="289" spans="37:70" x14ac:dyDescent="0.35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>
        <v>0</v>
      </c>
      <c r="BR289" s="58" t="e">
        <f>VLOOKUP(AM289,'[1]Harga &amp; Nama CSO'!$A$28:$D$31,4,0)*BL289</f>
        <v>#N/A</v>
      </c>
    </row>
    <row r="290" spans="37:70" x14ac:dyDescent="0.35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>
        <v>0</v>
      </c>
      <c r="BR290" s="58" t="e">
        <f>VLOOKUP(AM290,'[1]Harga &amp; Nama CSO'!$A$28:$D$31,4,0)*BL290</f>
        <v>#N/A</v>
      </c>
    </row>
    <row r="291" spans="37:70" x14ac:dyDescent="0.35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>
        <v>0</v>
      </c>
      <c r="BR291" s="58" t="e">
        <f>VLOOKUP(AM291,'[1]Harga &amp; Nama CSO'!$A$28:$D$31,4,0)*BL291</f>
        <v>#N/A</v>
      </c>
    </row>
    <row r="292" spans="37:70" x14ac:dyDescent="0.35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>
        <v>0</v>
      </c>
      <c r="BR292" s="58" t="e">
        <f>VLOOKUP(AM292,'[1]Harga &amp; Nama CSO'!$A$28:$D$31,4,0)*BL292</f>
        <v>#N/A</v>
      </c>
    </row>
    <row r="293" spans="37:70" x14ac:dyDescent="0.35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>
        <v>0</v>
      </c>
      <c r="BR293" s="58" t="e">
        <f>VLOOKUP(AM293,'[1]Harga &amp; Nama CSO'!$A$28:$D$31,4,0)*BL293</f>
        <v>#N/A</v>
      </c>
    </row>
    <row r="294" spans="37:70" x14ac:dyDescent="0.35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>
        <v>0</v>
      </c>
      <c r="BR294" s="58" t="e">
        <f>VLOOKUP(AM294,'[1]Harga &amp; Nama CSO'!$A$28:$D$31,4,0)*BL294</f>
        <v>#N/A</v>
      </c>
    </row>
    <row r="295" spans="37:70" x14ac:dyDescent="0.35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>
        <v>0</v>
      </c>
      <c r="BR295" s="58" t="e">
        <f>VLOOKUP(AM295,'[1]Harga &amp; Nama CSO'!$A$28:$D$31,4,0)*BL295</f>
        <v>#N/A</v>
      </c>
    </row>
    <row r="296" spans="37:70" x14ac:dyDescent="0.35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>
        <v>0</v>
      </c>
      <c r="BR296" s="58" t="e">
        <f>VLOOKUP(AM296,'[1]Harga &amp; Nama CSO'!$A$28:$D$31,4,0)*BL296</f>
        <v>#N/A</v>
      </c>
    </row>
    <row r="297" spans="37:70" x14ac:dyDescent="0.35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>
        <v>0</v>
      </c>
      <c r="BR297" s="58" t="e">
        <f>VLOOKUP(AM297,'[1]Harga &amp; Nama CSO'!$A$28:$D$31,4,0)*BL297</f>
        <v>#N/A</v>
      </c>
    </row>
    <row r="298" spans="37:70" x14ac:dyDescent="0.35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>
        <v>0</v>
      </c>
      <c r="BR298" s="58" t="e">
        <f>VLOOKUP(AM298,'[1]Harga &amp; Nama CSO'!$A$28:$D$31,4,0)*BL298</f>
        <v>#N/A</v>
      </c>
    </row>
    <row r="299" spans="37:70" x14ac:dyDescent="0.35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>
        <v>0</v>
      </c>
      <c r="BR299" s="58" t="e">
        <f>VLOOKUP(AM299,'[1]Harga &amp; Nama CSO'!$A$28:$D$31,4,0)*BL299</f>
        <v>#N/A</v>
      </c>
    </row>
    <row r="300" spans="37:70" x14ac:dyDescent="0.35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>
        <v>0</v>
      </c>
      <c r="BR300" s="58" t="e">
        <f>VLOOKUP(AM300,'[1]Harga &amp; Nama CSO'!$A$28:$D$31,4,0)*BL300</f>
        <v>#N/A</v>
      </c>
    </row>
    <row r="301" spans="37:70" x14ac:dyDescent="0.35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>
        <v>0</v>
      </c>
      <c r="BR301" s="58" t="e">
        <f>VLOOKUP(AM301,'[1]Harga &amp; Nama CSO'!$A$28:$D$31,4,0)*BL301</f>
        <v>#N/A</v>
      </c>
    </row>
    <row r="302" spans="37:70" x14ac:dyDescent="0.35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>
        <v>0</v>
      </c>
      <c r="BR302" s="58" t="e">
        <f>VLOOKUP(AM302,'[1]Harga &amp; Nama CSO'!$A$28:$D$31,4,0)*BL302</f>
        <v>#N/A</v>
      </c>
    </row>
    <row r="303" spans="37:70" x14ac:dyDescent="0.35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>
        <v>0</v>
      </c>
      <c r="BR303" s="58" t="e">
        <f>VLOOKUP(AM303,'[1]Harga &amp; Nama CSO'!$A$28:$D$31,4,0)*BL303</f>
        <v>#N/A</v>
      </c>
    </row>
    <row r="304" spans="37:70" x14ac:dyDescent="0.35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>
        <v>0</v>
      </c>
      <c r="BR304" s="58" t="e">
        <f>VLOOKUP(AM304,'[1]Harga &amp; Nama CSO'!$A$28:$D$31,4,0)*BL304</f>
        <v>#N/A</v>
      </c>
    </row>
    <row r="305" spans="37:70" x14ac:dyDescent="0.35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>
        <v>0</v>
      </c>
      <c r="BR305" s="58" t="e">
        <f>VLOOKUP(AM305,'[1]Harga &amp; Nama CSO'!$A$28:$D$31,4,0)*BL305</f>
        <v>#N/A</v>
      </c>
    </row>
    <row r="306" spans="37:70" x14ac:dyDescent="0.35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>
        <v>0</v>
      </c>
      <c r="BR306" s="58" t="e">
        <f>VLOOKUP(AM306,'[1]Harga &amp; Nama CSO'!$A$28:$D$31,4,0)*BL306</f>
        <v>#N/A</v>
      </c>
    </row>
    <row r="307" spans="37:70" x14ac:dyDescent="0.35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>
        <v>0</v>
      </c>
      <c r="BR307" s="58" t="e">
        <f>VLOOKUP(AM307,'[1]Harga &amp; Nama CSO'!$A$28:$D$31,4,0)*BL307</f>
        <v>#N/A</v>
      </c>
    </row>
    <row r="308" spans="37:70" x14ac:dyDescent="0.35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>
        <v>0</v>
      </c>
      <c r="BR308" s="58" t="e">
        <f>VLOOKUP(AM308,'[1]Harga &amp; Nama CSO'!$A$28:$D$31,4,0)*BL308</f>
        <v>#N/A</v>
      </c>
    </row>
    <row r="309" spans="37:70" x14ac:dyDescent="0.35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>
        <v>0</v>
      </c>
      <c r="BR309" s="58" t="e">
        <f>VLOOKUP(AM309,'[1]Harga &amp; Nama CSO'!$A$28:$D$31,4,0)*BL309</f>
        <v>#N/A</v>
      </c>
    </row>
    <row r="310" spans="37:70" x14ac:dyDescent="0.35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>
        <v>0</v>
      </c>
      <c r="BR310" s="58" t="e">
        <f>VLOOKUP(AM310,'[1]Harga &amp; Nama CSO'!$A$28:$D$31,4,0)*BL310</f>
        <v>#N/A</v>
      </c>
    </row>
    <row r="311" spans="37:70" x14ac:dyDescent="0.35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>
        <v>0</v>
      </c>
      <c r="BR311" s="58" t="e">
        <f>VLOOKUP(AM311,'[1]Harga &amp; Nama CSO'!$A$28:$D$31,4,0)*BL311</f>
        <v>#N/A</v>
      </c>
    </row>
    <row r="312" spans="37:70" x14ac:dyDescent="0.35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>
        <v>0</v>
      </c>
      <c r="BR312" s="58" t="e">
        <f>VLOOKUP(AM312,'[1]Harga &amp; Nama CSO'!$A$28:$D$31,4,0)*BL312</f>
        <v>#N/A</v>
      </c>
    </row>
    <row r="313" spans="37:70" x14ac:dyDescent="0.35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>
        <v>0</v>
      </c>
      <c r="BR313" s="58" t="e">
        <f>VLOOKUP(AM313,'[1]Harga &amp; Nama CSO'!$A$28:$D$31,4,0)*BL313</f>
        <v>#N/A</v>
      </c>
    </row>
    <row r="314" spans="37:70" x14ac:dyDescent="0.35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>
        <v>0</v>
      </c>
      <c r="BR314" s="58" t="e">
        <f>VLOOKUP(AM314,'[1]Harga &amp; Nama CSO'!$A$28:$D$31,4,0)*BL314</f>
        <v>#N/A</v>
      </c>
    </row>
    <row r="315" spans="37:70" x14ac:dyDescent="0.35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>
        <v>0</v>
      </c>
      <c r="BR315" s="58" t="e">
        <f>VLOOKUP(AM315,'[1]Harga &amp; Nama CSO'!$A$28:$D$31,4,0)*BL315</f>
        <v>#N/A</v>
      </c>
    </row>
    <row r="316" spans="37:70" x14ac:dyDescent="0.35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>
        <v>0</v>
      </c>
      <c r="BR316" s="58" t="e">
        <f>VLOOKUP(AM316,'[1]Harga &amp; Nama CSO'!$A$28:$D$31,4,0)*BL316</f>
        <v>#N/A</v>
      </c>
    </row>
    <row r="317" spans="37:70" x14ac:dyDescent="0.35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>
        <v>0</v>
      </c>
      <c r="BR317" s="58" t="e">
        <f>VLOOKUP(AM317,'[1]Harga &amp; Nama CSO'!$A$28:$D$31,4,0)*BL317</f>
        <v>#N/A</v>
      </c>
    </row>
    <row r="318" spans="37:70" x14ac:dyDescent="0.35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>
        <v>0</v>
      </c>
      <c r="BR318" s="58" t="e">
        <f>VLOOKUP(AM318,'[1]Harga &amp; Nama CSO'!$A$28:$D$31,4,0)*BL318</f>
        <v>#N/A</v>
      </c>
    </row>
    <row r="319" spans="37:70" x14ac:dyDescent="0.35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>
        <v>0</v>
      </c>
      <c r="BR319" s="58" t="e">
        <f>VLOOKUP(AM319,'[1]Harga &amp; Nama CSO'!$A$28:$D$31,4,0)*BL319</f>
        <v>#N/A</v>
      </c>
    </row>
    <row r="320" spans="37:70" x14ac:dyDescent="0.35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>
        <v>0</v>
      </c>
      <c r="BR320" s="58" t="e">
        <f>VLOOKUP(AM320,'[1]Harga &amp; Nama CSO'!$A$28:$D$31,4,0)*BL320</f>
        <v>#N/A</v>
      </c>
    </row>
    <row r="321" spans="37:70" x14ac:dyDescent="0.35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>
        <v>0</v>
      </c>
      <c r="BR321" s="58" t="e">
        <f>VLOOKUP(AM321,'[1]Harga &amp; Nama CSO'!$A$28:$D$31,4,0)*BL321</f>
        <v>#N/A</v>
      </c>
    </row>
    <row r="322" spans="37:70" x14ac:dyDescent="0.35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>
        <v>0</v>
      </c>
      <c r="BR322" s="58" t="e">
        <f>VLOOKUP(AM322,'[1]Harga &amp; Nama CSO'!$A$28:$D$31,4,0)*BL322</f>
        <v>#N/A</v>
      </c>
    </row>
    <row r="323" spans="37:70" x14ac:dyDescent="0.35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>
        <v>0</v>
      </c>
      <c r="BR323" s="58" t="e">
        <f>VLOOKUP(AM323,'[1]Harga &amp; Nama CSO'!$A$28:$D$31,4,0)*BL323</f>
        <v>#N/A</v>
      </c>
    </row>
    <row r="324" spans="37:70" x14ac:dyDescent="0.35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>
        <v>0</v>
      </c>
      <c r="BR324" s="58" t="e">
        <f>VLOOKUP(AM324,'[1]Harga &amp; Nama CSO'!$A$28:$D$31,4,0)*BL324</f>
        <v>#N/A</v>
      </c>
    </row>
    <row r="325" spans="37:70" x14ac:dyDescent="0.35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>
        <v>0</v>
      </c>
      <c r="BR325" s="58" t="e">
        <f>VLOOKUP(AM325,'[1]Harga &amp; Nama CSO'!$A$28:$D$31,4,0)*BL325</f>
        <v>#N/A</v>
      </c>
    </row>
    <row r="326" spans="37:70" x14ac:dyDescent="0.35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>
        <v>0</v>
      </c>
      <c r="BR326" s="58" t="e">
        <f>VLOOKUP(AM326,'[1]Harga &amp; Nama CSO'!$A$28:$D$31,4,0)*BL326</f>
        <v>#N/A</v>
      </c>
    </row>
    <row r="327" spans="37:70" x14ac:dyDescent="0.35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>
        <v>0</v>
      </c>
      <c r="BR327" s="58" t="e">
        <f>VLOOKUP(AM327,'[1]Harga &amp; Nama CSO'!$A$28:$D$31,4,0)*BL327</f>
        <v>#N/A</v>
      </c>
    </row>
    <row r="328" spans="37:70" x14ac:dyDescent="0.35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>
        <v>0</v>
      </c>
      <c r="BR328" s="58" t="e">
        <f>VLOOKUP(AM328,'[1]Harga &amp; Nama CSO'!$A$28:$D$31,4,0)*BL328</f>
        <v>#N/A</v>
      </c>
    </row>
    <row r="329" spans="37:70" x14ac:dyDescent="0.35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>
        <v>0</v>
      </c>
      <c r="BR329" s="58" t="e">
        <f>VLOOKUP(AM329,'[1]Harga &amp; Nama CSO'!$A$28:$D$31,4,0)*BL329</f>
        <v>#N/A</v>
      </c>
    </row>
    <row r="330" spans="37:70" x14ac:dyDescent="0.35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>
        <v>0</v>
      </c>
      <c r="BR330" s="58" t="e">
        <f>VLOOKUP(AM330,'[1]Harga &amp; Nama CSO'!$A$28:$D$31,4,0)*BL330</f>
        <v>#N/A</v>
      </c>
    </row>
    <row r="331" spans="37:70" x14ac:dyDescent="0.35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>
        <v>0</v>
      </c>
      <c r="BR331" s="58" t="e">
        <f>VLOOKUP(AM331,'[1]Harga &amp; Nama CSO'!$A$28:$D$31,4,0)*BL331</f>
        <v>#N/A</v>
      </c>
    </row>
    <row r="332" spans="37:70" x14ac:dyDescent="0.35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>
        <v>0</v>
      </c>
      <c r="BR332" s="58" t="e">
        <f>VLOOKUP(AM332,'[1]Harga &amp; Nama CSO'!$A$28:$D$31,4,0)*BL332</f>
        <v>#N/A</v>
      </c>
    </row>
    <row r="333" spans="37:70" x14ac:dyDescent="0.35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>
        <v>0</v>
      </c>
      <c r="BR333" s="58" t="e">
        <f>VLOOKUP(AM333,'[1]Harga &amp; Nama CSO'!$A$28:$D$31,4,0)*BL333</f>
        <v>#N/A</v>
      </c>
    </row>
    <row r="334" spans="37:70" x14ac:dyDescent="0.35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>
        <v>0</v>
      </c>
      <c r="BR334" s="58" t="e">
        <f>VLOOKUP(AM334,'[1]Harga &amp; Nama CSO'!$A$28:$D$31,4,0)*BL334</f>
        <v>#N/A</v>
      </c>
    </row>
    <row r="335" spans="37:70" x14ac:dyDescent="0.35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>
        <v>0</v>
      </c>
      <c r="BR335" s="58" t="e">
        <f>VLOOKUP(AM335,'[1]Harga &amp; Nama CSO'!$A$28:$D$31,4,0)*BL335</f>
        <v>#N/A</v>
      </c>
    </row>
    <row r="336" spans="37:70" x14ac:dyDescent="0.35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>
        <v>0</v>
      </c>
      <c r="BR336" s="58" t="e">
        <f>VLOOKUP(AM336,'[1]Harga &amp; Nama CSO'!$A$28:$D$31,4,0)*BL336</f>
        <v>#N/A</v>
      </c>
    </row>
    <row r="337" spans="37:70" x14ac:dyDescent="0.35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>
        <v>0</v>
      </c>
      <c r="BR337" s="58" t="e">
        <f>VLOOKUP(AM337,'[1]Harga &amp; Nama CSO'!$A$28:$D$31,4,0)*BL337</f>
        <v>#N/A</v>
      </c>
    </row>
    <row r="338" spans="37:70" x14ac:dyDescent="0.35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>
        <v>0</v>
      </c>
      <c r="BR338" s="58" t="e">
        <f>VLOOKUP(AM338,'[1]Harga &amp; Nama CSO'!$A$28:$D$31,4,0)*BL338</f>
        <v>#N/A</v>
      </c>
    </row>
    <row r="339" spans="37:70" x14ac:dyDescent="0.35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>
        <v>0</v>
      </c>
      <c r="BR339" s="58" t="e">
        <f>VLOOKUP(AM339,'[1]Harga &amp; Nama CSO'!$A$28:$D$31,4,0)*BL339</f>
        <v>#N/A</v>
      </c>
    </row>
    <row r="340" spans="37:70" x14ac:dyDescent="0.35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>
        <v>0</v>
      </c>
      <c r="BR340" s="58" t="e">
        <f>VLOOKUP(AM340,'[1]Harga &amp; Nama CSO'!$A$28:$D$31,4,0)*BL340</f>
        <v>#N/A</v>
      </c>
    </row>
    <row r="341" spans="37:70" x14ac:dyDescent="0.35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>
        <v>0</v>
      </c>
      <c r="BR341" s="58" t="e">
        <f>VLOOKUP(AM341,'[1]Harga &amp; Nama CSO'!$A$28:$D$31,4,0)*BL341</f>
        <v>#N/A</v>
      </c>
    </row>
    <row r="342" spans="37:70" x14ac:dyDescent="0.35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>
        <v>0</v>
      </c>
      <c r="BR342" s="58" t="e">
        <f>VLOOKUP(AM342,'[1]Harga &amp; Nama CSO'!$A$28:$D$31,4,0)*BL342</f>
        <v>#N/A</v>
      </c>
    </row>
    <row r="343" spans="37:70" x14ac:dyDescent="0.35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>
        <v>0</v>
      </c>
      <c r="BR343" s="58" t="e">
        <f>VLOOKUP(AM343,'[1]Harga &amp; Nama CSO'!$A$28:$D$31,4,0)*BL343</f>
        <v>#N/A</v>
      </c>
    </row>
    <row r="344" spans="37:70" x14ac:dyDescent="0.35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>
        <v>0</v>
      </c>
      <c r="BR344" s="58" t="e">
        <f>VLOOKUP(AM344,'[1]Harga &amp; Nama CSO'!$A$28:$D$31,4,0)*BL344</f>
        <v>#N/A</v>
      </c>
    </row>
    <row r="345" spans="37:70" x14ac:dyDescent="0.35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>
        <v>0</v>
      </c>
      <c r="BR345" s="58" t="e">
        <f>VLOOKUP(AM345,'[1]Harga &amp; Nama CSO'!$A$28:$D$31,4,0)*BL345</f>
        <v>#N/A</v>
      </c>
    </row>
    <row r="346" spans="37:70" x14ac:dyDescent="0.35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>
        <v>0</v>
      </c>
      <c r="BR346" s="58" t="e">
        <f>VLOOKUP(AM346,'[1]Harga &amp; Nama CSO'!$A$28:$D$31,4,0)*BL346</f>
        <v>#N/A</v>
      </c>
    </row>
    <row r="347" spans="37:70" x14ac:dyDescent="0.35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>
        <v>0</v>
      </c>
      <c r="BR347" s="58" t="e">
        <f>VLOOKUP(AM347,'[1]Harga &amp; Nama CSO'!$A$28:$D$31,4,0)*BL347</f>
        <v>#N/A</v>
      </c>
    </row>
    <row r="348" spans="37:70" x14ac:dyDescent="0.35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>
        <v>0</v>
      </c>
      <c r="BR348" s="58" t="e">
        <f>VLOOKUP(AM348,'[1]Harga &amp; Nama CSO'!$A$28:$D$31,4,0)*BL348</f>
        <v>#N/A</v>
      </c>
    </row>
    <row r="349" spans="37:70" x14ac:dyDescent="0.35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>
        <v>0</v>
      </c>
      <c r="BR349" s="58" t="e">
        <f>VLOOKUP(AM349,'[1]Harga &amp; Nama CSO'!$A$28:$D$31,4,0)*BL349</f>
        <v>#N/A</v>
      </c>
    </row>
    <row r="350" spans="37:70" x14ac:dyDescent="0.35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>
        <v>0</v>
      </c>
      <c r="BR350" s="58" t="e">
        <f>VLOOKUP(AM350,'[1]Harga &amp; Nama CSO'!$A$28:$D$31,4,0)*BL350</f>
        <v>#N/A</v>
      </c>
    </row>
    <row r="351" spans="37:70" x14ac:dyDescent="0.35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>
        <v>0</v>
      </c>
      <c r="BR351" s="58" t="e">
        <f>VLOOKUP(AM351,'[1]Harga &amp; Nama CSO'!$A$28:$D$31,4,0)*BL351</f>
        <v>#N/A</v>
      </c>
    </row>
    <row r="352" spans="37:70" x14ac:dyDescent="0.35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>
        <v>0</v>
      </c>
      <c r="BR352" s="58" t="e">
        <f>VLOOKUP(AM352,'[1]Harga &amp; Nama CSO'!$A$28:$D$31,4,0)*BL352</f>
        <v>#N/A</v>
      </c>
    </row>
    <row r="353" spans="37:70" x14ac:dyDescent="0.35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>
        <v>0</v>
      </c>
      <c r="BR353" s="58" t="e">
        <f>VLOOKUP(AM353,'[1]Harga &amp; Nama CSO'!$A$28:$D$31,4,0)*BL353</f>
        <v>#N/A</v>
      </c>
    </row>
    <row r="354" spans="37:70" x14ac:dyDescent="0.35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>
        <v>0</v>
      </c>
      <c r="BR354" s="58" t="e">
        <f>VLOOKUP(AM354,'[1]Harga &amp; Nama CSO'!$A$28:$D$31,4,0)*BL354</f>
        <v>#N/A</v>
      </c>
    </row>
    <row r="355" spans="37:70" x14ac:dyDescent="0.35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>
        <v>0</v>
      </c>
      <c r="BR355" s="58" t="e">
        <f>VLOOKUP(AM355,'[1]Harga &amp; Nama CSO'!$A$28:$D$31,4,0)*BL355</f>
        <v>#N/A</v>
      </c>
    </row>
    <row r="356" spans="37:70" x14ac:dyDescent="0.35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>
        <v>0</v>
      </c>
      <c r="BR356" s="58" t="e">
        <f>VLOOKUP(AM356,'[1]Harga &amp; Nama CSO'!$A$28:$D$31,4,0)*BL356</f>
        <v>#N/A</v>
      </c>
    </row>
    <row r="357" spans="37:70" x14ac:dyDescent="0.35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>
        <v>0</v>
      </c>
      <c r="BR357" s="58" t="e">
        <f>VLOOKUP(AM357,'[1]Harga &amp; Nama CSO'!$A$28:$D$31,4,0)*BL357</f>
        <v>#N/A</v>
      </c>
    </row>
    <row r="358" spans="37:70" x14ac:dyDescent="0.35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>
        <v>0</v>
      </c>
      <c r="BR358" s="58" t="e">
        <f>VLOOKUP(AM358,'[1]Harga &amp; Nama CSO'!$A$28:$D$31,4,0)*BL358</f>
        <v>#N/A</v>
      </c>
    </row>
    <row r="359" spans="37:70" x14ac:dyDescent="0.35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>
        <v>0</v>
      </c>
      <c r="BR359" s="58" t="e">
        <f>VLOOKUP(AM359,'[1]Harga &amp; Nama CSO'!$A$28:$D$31,4,0)*BL359</f>
        <v>#N/A</v>
      </c>
    </row>
    <row r="360" spans="37:70" x14ac:dyDescent="0.35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>
        <v>0</v>
      </c>
      <c r="BR360" s="58" t="e">
        <f>VLOOKUP(AM360,'[1]Harga &amp; Nama CSO'!$A$28:$D$31,4,0)*BL360</f>
        <v>#N/A</v>
      </c>
    </row>
    <row r="361" spans="37:70" x14ac:dyDescent="0.35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>
        <v>0</v>
      </c>
      <c r="BR361" s="58" t="e">
        <f>VLOOKUP(AM361,'[1]Harga &amp; Nama CSO'!$A$28:$D$31,4,0)*BL361</f>
        <v>#N/A</v>
      </c>
    </row>
    <row r="362" spans="37:70" x14ac:dyDescent="0.35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>
        <v>0</v>
      </c>
      <c r="BR362" s="58" t="e">
        <f>VLOOKUP(AM362,'[1]Harga &amp; Nama CSO'!$A$28:$D$31,4,0)*BL362</f>
        <v>#N/A</v>
      </c>
    </row>
    <row r="363" spans="37:70" x14ac:dyDescent="0.35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>
        <v>0</v>
      </c>
      <c r="BR363" s="58" t="e">
        <f>VLOOKUP(AM363,'[1]Harga &amp; Nama CSO'!$A$28:$D$31,4,0)*BL363</f>
        <v>#N/A</v>
      </c>
    </row>
    <row r="364" spans="37:70" x14ac:dyDescent="0.35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>
        <v>0</v>
      </c>
      <c r="BR364" s="58" t="e">
        <f>VLOOKUP(AM364,'[1]Harga &amp; Nama CSO'!$A$28:$D$31,4,0)*BL364</f>
        <v>#N/A</v>
      </c>
    </row>
    <row r="365" spans="37:70" x14ac:dyDescent="0.35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>
        <v>0</v>
      </c>
      <c r="BR365" s="58" t="e">
        <f>VLOOKUP(AM365,'[1]Harga &amp; Nama CSO'!$A$28:$D$31,4,0)*BL365</f>
        <v>#N/A</v>
      </c>
    </row>
    <row r="366" spans="37:70" x14ac:dyDescent="0.35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>
        <v>0</v>
      </c>
      <c r="BR366" s="58" t="e">
        <f>VLOOKUP(AM366,'[1]Harga &amp; Nama CSO'!$A$28:$D$31,4,0)*BL366</f>
        <v>#N/A</v>
      </c>
    </row>
    <row r="367" spans="37:70" x14ac:dyDescent="0.35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>
        <v>0</v>
      </c>
      <c r="BR367" s="58" t="e">
        <f>VLOOKUP(AM367,'[1]Harga &amp; Nama CSO'!$A$28:$D$31,4,0)*BL367</f>
        <v>#N/A</v>
      </c>
    </row>
    <row r="368" spans="37:70" x14ac:dyDescent="0.35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>
        <v>0</v>
      </c>
      <c r="BR368" s="58" t="e">
        <f>VLOOKUP(AM368,'[1]Harga &amp; Nama CSO'!$A$28:$D$31,4,0)*BL368</f>
        <v>#N/A</v>
      </c>
    </row>
    <row r="369" spans="37:70" x14ac:dyDescent="0.35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>
        <v>0</v>
      </c>
      <c r="BR369" s="58" t="e">
        <f>VLOOKUP(AM369,'[1]Harga &amp; Nama CSO'!$A$28:$D$31,4,0)*BL369</f>
        <v>#N/A</v>
      </c>
    </row>
    <row r="370" spans="37:70" x14ac:dyDescent="0.35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>
        <v>0</v>
      </c>
      <c r="BR370" s="58" t="e">
        <f>VLOOKUP(AM370,'[1]Harga &amp; Nama CSO'!$A$28:$D$31,4,0)*BL370</f>
        <v>#N/A</v>
      </c>
    </row>
    <row r="371" spans="37:70" x14ac:dyDescent="0.35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>
        <v>0</v>
      </c>
      <c r="BR371" s="58" t="e">
        <f>VLOOKUP(AM371,'[1]Harga &amp; Nama CSO'!$A$28:$D$31,4,0)*BL371</f>
        <v>#N/A</v>
      </c>
    </row>
    <row r="372" spans="37:70" x14ac:dyDescent="0.35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>
        <v>0</v>
      </c>
      <c r="BR372" s="58" t="e">
        <f>VLOOKUP(AM372,'[1]Harga &amp; Nama CSO'!$A$28:$D$31,4,0)*BL372</f>
        <v>#N/A</v>
      </c>
    </row>
    <row r="373" spans="37:70" x14ac:dyDescent="0.35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>
        <v>0</v>
      </c>
      <c r="BR373" s="58" t="e">
        <f>VLOOKUP(AM373,'[1]Harga &amp; Nama CSO'!$A$28:$D$31,4,0)*BL373</f>
        <v>#N/A</v>
      </c>
    </row>
    <row r="374" spans="37:70" x14ac:dyDescent="0.35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>
        <v>0</v>
      </c>
      <c r="BR374" s="58" t="e">
        <f>VLOOKUP(AM374,'[1]Harga &amp; Nama CSO'!$A$28:$D$31,4,0)*BL374</f>
        <v>#N/A</v>
      </c>
    </row>
    <row r="375" spans="37:70" x14ac:dyDescent="0.35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>
        <v>0</v>
      </c>
      <c r="BR375" s="58" t="e">
        <f>VLOOKUP(AM375,'[1]Harga &amp; Nama CSO'!$A$28:$D$31,4,0)*BL375</f>
        <v>#N/A</v>
      </c>
    </row>
    <row r="376" spans="37:70" x14ac:dyDescent="0.35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>
        <v>0</v>
      </c>
      <c r="BR376" s="58" t="e">
        <f>VLOOKUP(AM376,'[1]Harga &amp; Nama CSO'!$A$28:$D$31,4,0)*BL376</f>
        <v>#N/A</v>
      </c>
    </row>
    <row r="377" spans="37:70" x14ac:dyDescent="0.35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>
        <v>0</v>
      </c>
      <c r="BR377" s="58" t="e">
        <f>VLOOKUP(AM377,'[1]Harga &amp; Nama CSO'!$A$28:$D$31,4,0)*BL377</f>
        <v>#N/A</v>
      </c>
    </row>
    <row r="378" spans="37:70" x14ac:dyDescent="0.35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>
        <v>0</v>
      </c>
      <c r="BR378" s="58" t="e">
        <f>VLOOKUP(AM378,'[1]Harga &amp; Nama CSO'!$A$28:$D$31,4,0)*BL378</f>
        <v>#N/A</v>
      </c>
    </row>
    <row r="379" spans="37:70" x14ac:dyDescent="0.35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>
        <v>0</v>
      </c>
      <c r="BR379" s="58" t="e">
        <f>VLOOKUP(AM379,'[1]Harga &amp; Nama CSO'!$A$28:$D$31,4,0)*BL379</f>
        <v>#N/A</v>
      </c>
    </row>
    <row r="380" spans="37:70" x14ac:dyDescent="0.35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>
        <v>0</v>
      </c>
      <c r="BR380" s="58" t="e">
        <f>VLOOKUP(AM380,'[1]Harga &amp; Nama CSO'!$A$28:$D$31,4,0)*BL380</f>
        <v>#N/A</v>
      </c>
    </row>
    <row r="381" spans="37:70" x14ac:dyDescent="0.35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>
        <v>0</v>
      </c>
      <c r="BR381" s="58" t="e">
        <f>VLOOKUP(AM381,'[1]Harga &amp; Nama CSO'!$A$28:$D$31,4,0)*BL381</f>
        <v>#N/A</v>
      </c>
    </row>
    <row r="382" spans="37:70" x14ac:dyDescent="0.35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>
        <v>0</v>
      </c>
      <c r="BR382" s="58" t="e">
        <f>VLOOKUP(AM382,'[1]Harga &amp; Nama CSO'!$A$28:$D$31,4,0)*BL382</f>
        <v>#N/A</v>
      </c>
    </row>
    <row r="383" spans="37:70" x14ac:dyDescent="0.35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>
        <v>0</v>
      </c>
      <c r="BR383" s="58" t="e">
        <f>VLOOKUP(AM383,'[1]Harga &amp; Nama CSO'!$A$28:$D$31,4,0)*BL383</f>
        <v>#N/A</v>
      </c>
    </row>
    <row r="384" spans="37:70" x14ac:dyDescent="0.35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>
        <v>0</v>
      </c>
      <c r="BR384" s="58" t="e">
        <f>VLOOKUP(AM384,'[1]Harga &amp; Nama CSO'!$A$28:$D$31,4,0)*BL384</f>
        <v>#N/A</v>
      </c>
    </row>
    <row r="385" spans="37:70" x14ac:dyDescent="0.35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>
        <v>0</v>
      </c>
      <c r="BR385" s="58" t="e">
        <f>VLOOKUP(AM385,'[1]Harga &amp; Nama CSO'!$A$28:$D$31,4,0)*BL385</f>
        <v>#N/A</v>
      </c>
    </row>
    <row r="386" spans="37:70" x14ac:dyDescent="0.35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>
        <v>0</v>
      </c>
      <c r="BR386" s="58" t="e">
        <f>VLOOKUP(AM386,'[1]Harga &amp; Nama CSO'!$A$28:$D$31,4,0)*BL386</f>
        <v>#N/A</v>
      </c>
    </row>
    <row r="387" spans="37:70" x14ac:dyDescent="0.35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>
        <v>0</v>
      </c>
      <c r="BR387" s="58" t="e">
        <f>VLOOKUP(AM387,'[1]Harga &amp; Nama CSO'!$A$28:$D$31,4,0)*BL387</f>
        <v>#N/A</v>
      </c>
    </row>
    <row r="388" spans="37:70" x14ac:dyDescent="0.35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>
        <v>0</v>
      </c>
      <c r="BR388" s="58" t="e">
        <f>VLOOKUP(AM388,'[1]Harga &amp; Nama CSO'!$A$28:$D$31,4,0)*BL388</f>
        <v>#N/A</v>
      </c>
    </row>
    <row r="389" spans="37:70" x14ac:dyDescent="0.35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>
        <v>0</v>
      </c>
      <c r="BR389" s="58" t="e">
        <f>VLOOKUP(AM389,'[1]Harga &amp; Nama CSO'!$A$28:$D$31,4,0)*BL389</f>
        <v>#N/A</v>
      </c>
    </row>
    <row r="390" spans="37:70" x14ac:dyDescent="0.35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>
        <v>0</v>
      </c>
      <c r="BR390" s="58" t="e">
        <f>VLOOKUP(AM390,'[1]Harga &amp; Nama CSO'!$A$28:$D$31,4,0)*BL390</f>
        <v>#N/A</v>
      </c>
    </row>
    <row r="391" spans="37:70" x14ac:dyDescent="0.35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>
        <v>0</v>
      </c>
      <c r="BR391" s="58" t="e">
        <f>VLOOKUP(AM391,'[1]Harga &amp; Nama CSO'!$A$28:$D$31,4,0)*BL391</f>
        <v>#N/A</v>
      </c>
    </row>
    <row r="392" spans="37:70" x14ac:dyDescent="0.35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>
        <v>0</v>
      </c>
      <c r="BR392" s="58" t="e">
        <f>VLOOKUP(AM392,'[1]Harga &amp; Nama CSO'!$A$28:$D$31,4,0)*BL392</f>
        <v>#N/A</v>
      </c>
    </row>
    <row r="393" spans="37:70" x14ac:dyDescent="0.35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>
        <v>0</v>
      </c>
      <c r="BR393" s="58" t="e">
        <f>VLOOKUP(AM393,'[1]Harga &amp; Nama CSO'!$A$28:$D$31,4,0)*BL393</f>
        <v>#N/A</v>
      </c>
    </row>
    <row r="394" spans="37:70" x14ac:dyDescent="0.35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>
        <v>0</v>
      </c>
      <c r="BR394" s="58" t="e">
        <f>VLOOKUP(AM394,'[1]Harga &amp; Nama CSO'!$A$28:$D$31,4,0)*BL394</f>
        <v>#N/A</v>
      </c>
    </row>
    <row r="395" spans="37:70" x14ac:dyDescent="0.35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>
        <v>0</v>
      </c>
      <c r="BR395" s="58" t="e">
        <f>VLOOKUP(AM395,'[1]Harga &amp; Nama CSO'!$A$28:$D$31,4,0)*BL395</f>
        <v>#N/A</v>
      </c>
    </row>
    <row r="396" spans="37:70" x14ac:dyDescent="0.35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>
        <v>0</v>
      </c>
      <c r="BR396" s="58" t="e">
        <f>VLOOKUP(AM396,'[1]Harga &amp; Nama CSO'!$A$28:$D$31,4,0)*BL396</f>
        <v>#N/A</v>
      </c>
    </row>
    <row r="397" spans="37:70" x14ac:dyDescent="0.35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>
        <v>0</v>
      </c>
      <c r="BR397" s="58" t="e">
        <f>VLOOKUP(AM397,'[1]Harga &amp; Nama CSO'!$A$28:$D$31,4,0)*BL397</f>
        <v>#N/A</v>
      </c>
    </row>
    <row r="398" spans="37:70" x14ac:dyDescent="0.35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>
        <v>0</v>
      </c>
      <c r="BR398" s="58" t="e">
        <f>VLOOKUP(AM398,'[1]Harga &amp; Nama CSO'!$A$28:$D$31,4,0)*BL398</f>
        <v>#N/A</v>
      </c>
    </row>
    <row r="399" spans="37:70" x14ac:dyDescent="0.35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>
        <v>0</v>
      </c>
      <c r="BR399" s="58" t="e">
        <f>VLOOKUP(AM399,'[1]Harga &amp; Nama CSO'!$A$28:$D$31,4,0)*BL399</f>
        <v>#N/A</v>
      </c>
    </row>
    <row r="400" spans="37:70" x14ac:dyDescent="0.35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>
        <v>0</v>
      </c>
      <c r="BR400" s="58" t="e">
        <f>VLOOKUP(AM400,'[1]Harga &amp; Nama CSO'!$A$28:$D$31,4,0)*BL400</f>
        <v>#N/A</v>
      </c>
    </row>
    <row r="401" spans="37:70" x14ac:dyDescent="0.35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>
        <v>0</v>
      </c>
      <c r="BR401" s="58" t="e">
        <f>VLOOKUP(AM401,'[1]Harga &amp; Nama CSO'!$A$28:$D$31,4,0)*BL401</f>
        <v>#N/A</v>
      </c>
    </row>
    <row r="402" spans="37:70" x14ac:dyDescent="0.35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>
        <v>0</v>
      </c>
      <c r="BR402" s="58" t="e">
        <f>VLOOKUP(AM402,'[1]Harga &amp; Nama CSO'!$A$28:$D$31,4,0)*BL402</f>
        <v>#N/A</v>
      </c>
    </row>
    <row r="403" spans="37:70" x14ac:dyDescent="0.35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>
        <v>0</v>
      </c>
      <c r="BR403" s="58" t="e">
        <f>VLOOKUP(AM403,'[1]Harga &amp; Nama CSO'!$A$28:$D$31,4,0)*BL403</f>
        <v>#N/A</v>
      </c>
    </row>
    <row r="404" spans="37:70" x14ac:dyDescent="0.35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>
        <v>0</v>
      </c>
      <c r="BR404" s="58" t="e">
        <f>VLOOKUP(AM404,'[1]Harga &amp; Nama CSO'!$A$28:$D$31,4,0)*BL404</f>
        <v>#N/A</v>
      </c>
    </row>
    <row r="405" spans="37:70" x14ac:dyDescent="0.35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>
        <v>0</v>
      </c>
      <c r="BR405" s="58" t="e">
        <f>VLOOKUP(AM405,'[1]Harga &amp; Nama CSO'!$A$28:$D$31,4,0)*BL405</f>
        <v>#N/A</v>
      </c>
    </row>
    <row r="406" spans="37:70" x14ac:dyDescent="0.35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>
        <v>0</v>
      </c>
      <c r="BR406" s="58" t="e">
        <f>VLOOKUP(AM406,'[1]Harga &amp; Nama CSO'!$A$28:$D$31,4,0)*BL406</f>
        <v>#N/A</v>
      </c>
    </row>
    <row r="407" spans="37:70" x14ac:dyDescent="0.35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>
        <v>0</v>
      </c>
      <c r="BR407" s="58" t="e">
        <f>VLOOKUP(AM407,'[1]Harga &amp; Nama CSO'!$A$28:$D$31,4,0)*BL407</f>
        <v>#N/A</v>
      </c>
    </row>
    <row r="408" spans="37:70" x14ac:dyDescent="0.35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>
        <v>0</v>
      </c>
      <c r="BR408" s="58" t="e">
        <f>VLOOKUP(AM408,'[1]Harga &amp; Nama CSO'!$A$28:$D$31,4,0)*BL408</f>
        <v>#N/A</v>
      </c>
    </row>
    <row r="409" spans="37:70" x14ac:dyDescent="0.35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>
        <v>0</v>
      </c>
      <c r="BR409" s="58" t="e">
        <f>VLOOKUP(AM409,'[1]Harga &amp; Nama CSO'!$A$28:$D$31,4,0)*BL409</f>
        <v>#N/A</v>
      </c>
    </row>
    <row r="410" spans="37:70" x14ac:dyDescent="0.35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>
        <v>0</v>
      </c>
      <c r="BR410" s="58" t="e">
        <f>VLOOKUP(AM410,'[1]Harga &amp; Nama CSO'!$A$28:$D$31,4,0)*BL410</f>
        <v>#N/A</v>
      </c>
    </row>
    <row r="411" spans="37:70" x14ac:dyDescent="0.35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>
        <v>0</v>
      </c>
      <c r="BR411" s="58" t="e">
        <f>VLOOKUP(AM411,'[1]Harga &amp; Nama CSO'!$A$28:$D$31,4,0)*BL411</f>
        <v>#N/A</v>
      </c>
    </row>
    <row r="412" spans="37:70" x14ac:dyDescent="0.35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>
        <v>0</v>
      </c>
      <c r="BR412" s="58" t="e">
        <f>VLOOKUP(AM412,'[1]Harga &amp; Nama CSO'!$A$28:$D$31,4,0)*BL412</f>
        <v>#N/A</v>
      </c>
    </row>
    <row r="413" spans="37:70" x14ac:dyDescent="0.35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>
        <v>0</v>
      </c>
      <c r="BR413" s="58" t="e">
        <f>VLOOKUP(AM413,'[1]Harga &amp; Nama CSO'!$A$28:$D$31,4,0)*BL413</f>
        <v>#N/A</v>
      </c>
    </row>
    <row r="414" spans="37:70" x14ac:dyDescent="0.35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>
        <v>0</v>
      </c>
      <c r="BR414" s="58" t="e">
        <f>VLOOKUP(AM414,'[1]Harga &amp; Nama CSO'!$A$28:$D$31,4,0)*BL414</f>
        <v>#N/A</v>
      </c>
    </row>
    <row r="415" spans="37:70" x14ac:dyDescent="0.35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>
        <v>0</v>
      </c>
      <c r="BR415" s="58" t="e">
        <f>VLOOKUP(AM415,'[1]Harga &amp; Nama CSO'!$A$28:$D$31,4,0)*BL415</f>
        <v>#N/A</v>
      </c>
    </row>
    <row r="416" spans="37:70" x14ac:dyDescent="0.35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>
        <v>0</v>
      </c>
      <c r="BR416" s="58" t="e">
        <f>VLOOKUP(AM416,'[1]Harga &amp; Nama CSO'!$A$28:$D$31,4,0)*BL416</f>
        <v>#N/A</v>
      </c>
    </row>
    <row r="417" spans="37:70" x14ac:dyDescent="0.35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>
        <v>0</v>
      </c>
      <c r="BR417" s="58" t="e">
        <f>VLOOKUP(AM417,'[1]Harga &amp; Nama CSO'!$A$28:$D$31,4,0)*BL417</f>
        <v>#N/A</v>
      </c>
    </row>
    <row r="418" spans="37:70" x14ac:dyDescent="0.35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>
        <v>0</v>
      </c>
      <c r="BR418" s="58" t="e">
        <f>VLOOKUP(AM418,'[1]Harga &amp; Nama CSO'!$A$28:$D$31,4,0)*BL418</f>
        <v>#N/A</v>
      </c>
    </row>
    <row r="419" spans="37:70" x14ac:dyDescent="0.35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>
        <v>0</v>
      </c>
      <c r="BR419" s="58" t="e">
        <f>VLOOKUP(AM419,'[1]Harga &amp; Nama CSO'!$A$28:$D$31,4,0)*BL419</f>
        <v>#N/A</v>
      </c>
    </row>
    <row r="420" spans="37:70" x14ac:dyDescent="0.35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>
        <v>0</v>
      </c>
      <c r="BR420" s="58" t="e">
        <f>VLOOKUP(AM420,'[1]Harga &amp; Nama CSO'!$A$28:$D$31,4,0)*BL420</f>
        <v>#N/A</v>
      </c>
    </row>
    <row r="421" spans="37:70" x14ac:dyDescent="0.35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>
        <v>0</v>
      </c>
      <c r="BR421" s="58" t="e">
        <f>VLOOKUP(AM421,'[1]Harga &amp; Nama CSO'!$A$28:$D$31,4,0)*BL421</f>
        <v>#N/A</v>
      </c>
    </row>
    <row r="422" spans="37:70" x14ac:dyDescent="0.35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>
        <v>0</v>
      </c>
      <c r="BR422" s="58" t="e">
        <f>VLOOKUP(AM422,'[1]Harga &amp; Nama CSO'!$A$28:$D$31,4,0)*BL422</f>
        <v>#N/A</v>
      </c>
    </row>
    <row r="423" spans="37:70" x14ac:dyDescent="0.35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>
        <v>0</v>
      </c>
      <c r="BR423" s="58" t="e">
        <f>VLOOKUP(AM423,'[1]Harga &amp; Nama CSO'!$A$28:$D$31,4,0)*BL423</f>
        <v>#N/A</v>
      </c>
    </row>
    <row r="424" spans="37:70" x14ac:dyDescent="0.35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>
        <v>0</v>
      </c>
      <c r="BR424" s="58" t="e">
        <f>VLOOKUP(AM424,'[1]Harga &amp; Nama CSO'!$A$28:$D$31,4,0)*BL424</f>
        <v>#N/A</v>
      </c>
    </row>
    <row r="425" spans="37:70" x14ac:dyDescent="0.35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>
        <v>0</v>
      </c>
      <c r="BR425" s="58" t="e">
        <f>VLOOKUP(AM425,'[1]Harga &amp; Nama CSO'!$A$28:$D$31,4,0)*BL425</f>
        <v>#N/A</v>
      </c>
    </row>
    <row r="426" spans="37:70" x14ac:dyDescent="0.35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>
        <v>0</v>
      </c>
      <c r="BR426" s="58" t="e">
        <f>VLOOKUP(AM426,'[1]Harga &amp; Nama CSO'!$A$28:$D$31,4,0)*BL426</f>
        <v>#N/A</v>
      </c>
    </row>
    <row r="427" spans="37:70" x14ac:dyDescent="0.35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>
        <v>0</v>
      </c>
      <c r="BR427" s="58" t="e">
        <f>VLOOKUP(AM427,'[1]Harga &amp; Nama CSO'!$A$28:$D$31,4,0)*BL427</f>
        <v>#N/A</v>
      </c>
    </row>
    <row r="428" spans="37:70" x14ac:dyDescent="0.35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>
        <v>0</v>
      </c>
      <c r="BR428" s="58" t="e">
        <f>VLOOKUP(AM428,'[1]Harga &amp; Nama CSO'!$A$28:$D$31,4,0)*BL428</f>
        <v>#N/A</v>
      </c>
    </row>
    <row r="429" spans="37:70" x14ac:dyDescent="0.35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>
        <v>0</v>
      </c>
      <c r="BR429" s="58" t="e">
        <f>VLOOKUP(AM429,'[1]Harga &amp; Nama CSO'!$A$28:$D$31,4,0)*BL429</f>
        <v>#N/A</v>
      </c>
    </row>
    <row r="430" spans="37:70" x14ac:dyDescent="0.35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>
        <v>0</v>
      </c>
      <c r="BR430" s="58" t="e">
        <f>VLOOKUP(AM430,'[1]Harga &amp; Nama CSO'!$A$28:$D$31,4,0)*BL430</f>
        <v>#N/A</v>
      </c>
    </row>
    <row r="431" spans="37:70" x14ac:dyDescent="0.35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>
        <v>0</v>
      </c>
      <c r="BR431" s="58" t="e">
        <f>VLOOKUP(AM431,'[1]Harga &amp; Nama CSO'!$A$28:$D$31,4,0)*BL431</f>
        <v>#N/A</v>
      </c>
    </row>
    <row r="432" spans="37:70" x14ac:dyDescent="0.35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>
        <v>0</v>
      </c>
      <c r="BR432" s="58" t="e">
        <f>VLOOKUP(AM432,'[1]Harga &amp; Nama CSO'!$A$28:$D$31,4,0)*BL432</f>
        <v>#N/A</v>
      </c>
    </row>
    <row r="433" spans="37:70" x14ac:dyDescent="0.35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>
        <v>0</v>
      </c>
      <c r="BR433" s="58" t="e">
        <f>VLOOKUP(AM433,'[1]Harga &amp; Nama CSO'!$A$28:$D$31,4,0)*BL433</f>
        <v>#N/A</v>
      </c>
    </row>
    <row r="434" spans="37:70" x14ac:dyDescent="0.35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>
        <v>0</v>
      </c>
      <c r="BR434" s="58" t="e">
        <f>VLOOKUP(AM434,'[1]Harga &amp; Nama CSO'!$A$28:$D$31,4,0)*BL434</f>
        <v>#N/A</v>
      </c>
    </row>
    <row r="435" spans="37:70" x14ac:dyDescent="0.35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>
        <v>0</v>
      </c>
      <c r="BR435" s="58" t="e">
        <f>VLOOKUP(AM435,'[1]Harga &amp; Nama CSO'!$A$28:$D$31,4,0)*BL435</f>
        <v>#N/A</v>
      </c>
    </row>
    <row r="436" spans="37:70" x14ac:dyDescent="0.35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>
        <v>0</v>
      </c>
      <c r="BR436" s="58" t="e">
        <f>VLOOKUP(AM436,'[1]Harga &amp; Nama CSO'!$A$28:$D$31,4,0)*BL436</f>
        <v>#N/A</v>
      </c>
    </row>
    <row r="437" spans="37:70" x14ac:dyDescent="0.35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>
        <v>0</v>
      </c>
      <c r="BR437" s="58" t="e">
        <f>VLOOKUP(AM437,'[1]Harga &amp; Nama CSO'!$A$28:$D$31,4,0)*BL437</f>
        <v>#N/A</v>
      </c>
    </row>
    <row r="438" spans="37:70" x14ac:dyDescent="0.35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>
        <v>0</v>
      </c>
      <c r="BR438" s="58" t="e">
        <f>VLOOKUP(AM438,'[1]Harga &amp; Nama CSO'!$A$28:$D$31,4,0)*BL438</f>
        <v>#N/A</v>
      </c>
    </row>
    <row r="439" spans="37:70" x14ac:dyDescent="0.35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>
        <v>0</v>
      </c>
      <c r="BR439" s="58" t="e">
        <f>VLOOKUP(AM439,'[1]Harga &amp; Nama CSO'!$A$28:$D$31,4,0)*BL439</f>
        <v>#N/A</v>
      </c>
    </row>
    <row r="440" spans="37:70" x14ac:dyDescent="0.35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>
        <v>0</v>
      </c>
      <c r="BR440" s="58" t="e">
        <f>VLOOKUP(AM440,'[1]Harga &amp; Nama CSO'!$A$28:$D$31,4,0)*BL440</f>
        <v>#N/A</v>
      </c>
    </row>
    <row r="441" spans="37:70" x14ac:dyDescent="0.35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>
        <v>0</v>
      </c>
      <c r="BR441" s="58" t="e">
        <f>VLOOKUP(AM441,'[1]Harga &amp; Nama CSO'!$A$28:$D$31,4,0)*BL441</f>
        <v>#N/A</v>
      </c>
    </row>
    <row r="442" spans="37:70" x14ac:dyDescent="0.35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>
        <v>0</v>
      </c>
      <c r="BR442" s="58" t="e">
        <f>VLOOKUP(AM442,'[1]Harga &amp; Nama CSO'!$A$28:$D$31,4,0)*BL442</f>
        <v>#N/A</v>
      </c>
    </row>
    <row r="443" spans="37:70" x14ac:dyDescent="0.35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>
        <v>0</v>
      </c>
      <c r="BR443" s="58" t="e">
        <f>VLOOKUP(AM443,'[1]Harga &amp; Nama CSO'!$A$28:$D$31,4,0)*BL443</f>
        <v>#N/A</v>
      </c>
    </row>
    <row r="444" spans="37:70" x14ac:dyDescent="0.35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>
        <v>0</v>
      </c>
      <c r="BR444" s="58" t="e">
        <f>VLOOKUP(AM444,'[1]Harga &amp; Nama CSO'!$A$28:$D$31,4,0)*BL444</f>
        <v>#N/A</v>
      </c>
    </row>
    <row r="445" spans="37:70" x14ac:dyDescent="0.35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>
        <v>0</v>
      </c>
      <c r="BR445" s="58" t="e">
        <f>VLOOKUP(AM445,'[1]Harga &amp; Nama CSO'!$A$28:$D$31,4,0)*BL445</f>
        <v>#N/A</v>
      </c>
    </row>
    <row r="446" spans="37:70" x14ac:dyDescent="0.35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>
        <v>0</v>
      </c>
      <c r="BR446" s="58" t="e">
        <f>VLOOKUP(AM446,'[1]Harga &amp; Nama CSO'!$A$28:$D$31,4,0)*BL446</f>
        <v>#N/A</v>
      </c>
    </row>
    <row r="447" spans="37:70" x14ac:dyDescent="0.35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>
        <v>0</v>
      </c>
      <c r="BR447" s="58" t="e">
        <f>VLOOKUP(AM447,'[1]Harga &amp; Nama CSO'!$A$28:$D$31,4,0)*BL447</f>
        <v>#N/A</v>
      </c>
    </row>
    <row r="448" spans="37:70" x14ac:dyDescent="0.35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>
        <v>0</v>
      </c>
      <c r="BR448" s="58" t="e">
        <f>VLOOKUP(AM448,'[1]Harga &amp; Nama CSO'!$A$28:$D$31,4,0)*BL448</f>
        <v>#N/A</v>
      </c>
    </row>
    <row r="449" spans="37:70" x14ac:dyDescent="0.35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>
        <v>0</v>
      </c>
      <c r="BR449" s="58" t="e">
        <f>VLOOKUP(AM449,'[1]Harga &amp; Nama CSO'!$A$28:$D$31,4,0)*BL449</f>
        <v>#N/A</v>
      </c>
    </row>
    <row r="450" spans="37:70" x14ac:dyDescent="0.35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>
        <v>0</v>
      </c>
      <c r="BR450" s="58" t="e">
        <f>VLOOKUP(AM450,'[1]Harga &amp; Nama CSO'!$A$28:$D$31,4,0)*BL450</f>
        <v>#N/A</v>
      </c>
    </row>
    <row r="451" spans="37:70" x14ac:dyDescent="0.35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>
        <v>0</v>
      </c>
      <c r="BR451" s="58" t="e">
        <f>VLOOKUP(AM451,'[1]Harga &amp; Nama CSO'!$A$28:$D$31,4,0)*BL451</f>
        <v>#N/A</v>
      </c>
    </row>
    <row r="452" spans="37:70" x14ac:dyDescent="0.35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>
        <v>0</v>
      </c>
      <c r="BR452" s="58" t="e">
        <f>VLOOKUP(AM452,'[1]Harga &amp; Nama CSO'!$A$28:$D$31,4,0)*BL452</f>
        <v>#N/A</v>
      </c>
    </row>
    <row r="453" spans="37:70" x14ac:dyDescent="0.35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>
        <v>0</v>
      </c>
      <c r="BR453" s="58" t="e">
        <f>VLOOKUP(AM453,'[1]Harga &amp; Nama CSO'!$A$28:$D$31,4,0)*BL453</f>
        <v>#N/A</v>
      </c>
    </row>
    <row r="454" spans="37:70" x14ac:dyDescent="0.35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>
        <v>0</v>
      </c>
      <c r="BR454" s="58" t="e">
        <f>VLOOKUP(AM454,'[1]Harga &amp; Nama CSO'!$A$28:$D$31,4,0)*BL454</f>
        <v>#N/A</v>
      </c>
    </row>
    <row r="455" spans="37:70" x14ac:dyDescent="0.35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>
        <v>0</v>
      </c>
      <c r="BR455" s="58" t="e">
        <f>VLOOKUP(AM455,'[1]Harga &amp; Nama CSO'!$A$28:$D$31,4,0)*BL455</f>
        <v>#N/A</v>
      </c>
    </row>
    <row r="456" spans="37:70" x14ac:dyDescent="0.35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>
        <v>0</v>
      </c>
      <c r="BR456" s="58" t="e">
        <f>VLOOKUP(AM456,'[1]Harga &amp; Nama CSO'!$A$28:$D$31,4,0)*BL456</f>
        <v>#N/A</v>
      </c>
    </row>
    <row r="457" spans="37:70" x14ac:dyDescent="0.35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>
        <v>0</v>
      </c>
      <c r="BR457" s="58" t="e">
        <f>VLOOKUP(AM457,'[1]Harga &amp; Nama CSO'!$A$28:$D$31,4,0)*BL457</f>
        <v>#N/A</v>
      </c>
    </row>
    <row r="458" spans="37:70" x14ac:dyDescent="0.35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>
        <v>0</v>
      </c>
      <c r="BR458" s="58" t="e">
        <f>VLOOKUP(AM458,'[1]Harga &amp; Nama CSO'!$A$28:$D$31,4,0)*BL458</f>
        <v>#N/A</v>
      </c>
    </row>
    <row r="459" spans="37:70" x14ac:dyDescent="0.35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>
        <v>0</v>
      </c>
      <c r="BR459" s="58" t="e">
        <f>VLOOKUP(AM459,'[1]Harga &amp; Nama CSO'!$A$28:$D$31,4,0)*BL459</f>
        <v>#N/A</v>
      </c>
    </row>
    <row r="460" spans="37:70" x14ac:dyDescent="0.35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>
        <v>0</v>
      </c>
      <c r="BR460" s="58" t="e">
        <f>VLOOKUP(AM460,'[1]Harga &amp; Nama CSO'!$A$28:$D$31,4,0)*BL460</f>
        <v>#N/A</v>
      </c>
    </row>
    <row r="461" spans="37:70" x14ac:dyDescent="0.35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>
        <v>0</v>
      </c>
      <c r="BR461" s="58" t="e">
        <f>VLOOKUP(AM461,'[1]Harga &amp; Nama CSO'!$A$28:$D$31,4,0)*BL461</f>
        <v>#N/A</v>
      </c>
    </row>
    <row r="462" spans="37:70" x14ac:dyDescent="0.35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>
        <v>0</v>
      </c>
      <c r="BR462" s="58" t="e">
        <f>VLOOKUP(AM462,'[1]Harga &amp; Nama CSO'!$A$28:$D$31,4,0)*BL462</f>
        <v>#N/A</v>
      </c>
    </row>
    <row r="463" spans="37:70" x14ac:dyDescent="0.35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>
        <v>0</v>
      </c>
      <c r="BR463" s="58" t="e">
        <f>VLOOKUP(AM463,'[1]Harga &amp; Nama CSO'!$A$28:$D$31,4,0)*BL463</f>
        <v>#N/A</v>
      </c>
    </row>
    <row r="464" spans="37:70" x14ac:dyDescent="0.35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>
        <v>0</v>
      </c>
      <c r="BR464" s="58" t="e">
        <f>VLOOKUP(AM464,'[1]Harga &amp; Nama CSO'!$A$28:$D$31,4,0)*BL464</f>
        <v>#N/A</v>
      </c>
    </row>
    <row r="465" spans="37:70" x14ac:dyDescent="0.35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>
        <v>0</v>
      </c>
      <c r="BR465" s="58" t="e">
        <f>VLOOKUP(AM465,'[1]Harga &amp; Nama CSO'!$A$28:$D$31,4,0)*BL465</f>
        <v>#N/A</v>
      </c>
    </row>
    <row r="466" spans="37:70" x14ac:dyDescent="0.35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>
        <v>0</v>
      </c>
      <c r="BR466" s="58" t="e">
        <f>VLOOKUP(AM466,'[1]Harga &amp; Nama CSO'!$A$28:$D$31,4,0)*BL466</f>
        <v>#N/A</v>
      </c>
    </row>
    <row r="467" spans="37:70" x14ac:dyDescent="0.35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>
        <v>0</v>
      </c>
      <c r="BR467" s="58" t="e">
        <f>VLOOKUP(AM467,'[1]Harga &amp; Nama CSO'!$A$28:$D$31,4,0)*BL467</f>
        <v>#N/A</v>
      </c>
    </row>
    <row r="468" spans="37:70" x14ac:dyDescent="0.35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>
        <v>0</v>
      </c>
      <c r="BR468" s="58" t="e">
        <f>VLOOKUP(AM468,'[1]Harga &amp; Nama CSO'!$A$28:$D$31,4,0)*BL468</f>
        <v>#N/A</v>
      </c>
    </row>
    <row r="469" spans="37:70" x14ac:dyDescent="0.35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>
        <v>0</v>
      </c>
      <c r="BR469" s="58" t="e">
        <f>VLOOKUP(AM469,'[1]Harga &amp; Nama CSO'!$A$28:$D$31,4,0)*BL469</f>
        <v>#N/A</v>
      </c>
    </row>
    <row r="470" spans="37:70" x14ac:dyDescent="0.35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>
        <v>0</v>
      </c>
      <c r="BR470" s="58" t="e">
        <f>VLOOKUP(AM470,'[1]Harga &amp; Nama CSO'!$A$28:$D$31,4,0)*BL470</f>
        <v>#N/A</v>
      </c>
    </row>
    <row r="471" spans="37:70" x14ac:dyDescent="0.35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>
        <v>0</v>
      </c>
      <c r="BR471" s="58" t="e">
        <f>VLOOKUP(AM471,'[1]Harga &amp; Nama CSO'!$A$28:$D$31,4,0)*BL471</f>
        <v>#N/A</v>
      </c>
    </row>
    <row r="472" spans="37:70" x14ac:dyDescent="0.35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>
        <v>0</v>
      </c>
      <c r="BR472" s="58" t="e">
        <f>VLOOKUP(AM472,'[1]Harga &amp; Nama CSO'!$A$28:$D$31,4,0)*BL472</f>
        <v>#N/A</v>
      </c>
    </row>
    <row r="473" spans="37:70" x14ac:dyDescent="0.35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>
        <v>0</v>
      </c>
      <c r="BR473" s="58" t="e">
        <f>VLOOKUP(AM473,'[1]Harga &amp; Nama CSO'!$A$28:$D$31,4,0)*BL473</f>
        <v>#N/A</v>
      </c>
    </row>
    <row r="474" spans="37:70" x14ac:dyDescent="0.35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>
        <v>0</v>
      </c>
      <c r="BR474" s="58" t="e">
        <f>VLOOKUP(AM474,'[1]Harga &amp; Nama CSO'!$A$28:$D$31,4,0)*BL474</f>
        <v>#N/A</v>
      </c>
    </row>
    <row r="475" spans="37:70" x14ac:dyDescent="0.35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>
        <v>0</v>
      </c>
      <c r="BR475" s="58" t="e">
        <f>VLOOKUP(AM475,'[1]Harga &amp; Nama CSO'!$A$28:$D$31,4,0)*BL475</f>
        <v>#N/A</v>
      </c>
    </row>
    <row r="476" spans="37:70" x14ac:dyDescent="0.35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>
        <v>0</v>
      </c>
      <c r="BR476" s="58" t="e">
        <f>VLOOKUP(AM476,'[1]Harga &amp; Nama CSO'!$A$28:$D$31,4,0)*BL476</f>
        <v>#N/A</v>
      </c>
    </row>
    <row r="477" spans="37:70" x14ac:dyDescent="0.35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>
        <v>0</v>
      </c>
      <c r="BR477" s="58" t="e">
        <f>VLOOKUP(AM477,'[1]Harga &amp; Nama CSO'!$A$28:$D$31,4,0)*BL477</f>
        <v>#N/A</v>
      </c>
    </row>
    <row r="478" spans="37:70" x14ac:dyDescent="0.35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>
        <v>0</v>
      </c>
      <c r="BR478" s="58" t="e">
        <f>VLOOKUP(AM478,'[1]Harga &amp; Nama CSO'!$A$28:$D$31,4,0)*BL478</f>
        <v>#N/A</v>
      </c>
    </row>
    <row r="479" spans="37:70" x14ac:dyDescent="0.35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>
        <v>0</v>
      </c>
      <c r="BR479" s="58" t="e">
        <f>VLOOKUP(AM479,'[1]Harga &amp; Nama CSO'!$A$28:$D$31,4,0)*BL479</f>
        <v>#N/A</v>
      </c>
    </row>
    <row r="480" spans="37:70" x14ac:dyDescent="0.35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>
        <v>0</v>
      </c>
      <c r="BR480" s="58" t="e">
        <f>VLOOKUP(AM480,'[1]Harga &amp; Nama CSO'!$A$28:$D$31,4,0)*BL480</f>
        <v>#N/A</v>
      </c>
    </row>
    <row r="481" spans="37:70" x14ac:dyDescent="0.35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>
        <v>0</v>
      </c>
      <c r="BR481" s="58" t="e">
        <f>VLOOKUP(AM481,'[1]Harga &amp; Nama CSO'!$A$28:$D$31,4,0)*BL481</f>
        <v>#N/A</v>
      </c>
    </row>
    <row r="482" spans="37:70" x14ac:dyDescent="0.35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>
        <v>0</v>
      </c>
      <c r="BR482" s="58" t="e">
        <f>VLOOKUP(AM482,'[1]Harga &amp; Nama CSO'!$A$28:$D$31,4,0)*BL482</f>
        <v>#N/A</v>
      </c>
    </row>
    <row r="483" spans="37:70" x14ac:dyDescent="0.35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>
        <v>0</v>
      </c>
      <c r="BR483" s="58" t="e">
        <f>VLOOKUP(AM483,'[1]Harga &amp; Nama CSO'!$A$28:$D$31,4,0)*BL483</f>
        <v>#N/A</v>
      </c>
    </row>
    <row r="484" spans="37:70" x14ac:dyDescent="0.35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>
        <v>0</v>
      </c>
      <c r="BR484" s="58" t="e">
        <f>VLOOKUP(AM484,'[1]Harga &amp; Nama CSO'!$A$28:$D$31,4,0)*BL484</f>
        <v>#N/A</v>
      </c>
    </row>
    <row r="485" spans="37:70" x14ac:dyDescent="0.35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>
        <v>0</v>
      </c>
      <c r="BR485" s="58" t="e">
        <f>VLOOKUP(AM485,'[1]Harga &amp; Nama CSO'!$A$28:$D$31,4,0)*BL485</f>
        <v>#N/A</v>
      </c>
    </row>
    <row r="486" spans="37:70" x14ac:dyDescent="0.35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>
        <v>0</v>
      </c>
      <c r="BR486" s="58" t="e">
        <f>VLOOKUP(AM486,'[1]Harga &amp; Nama CSO'!$A$28:$D$31,4,0)*BL486</f>
        <v>#N/A</v>
      </c>
    </row>
    <row r="487" spans="37:70" x14ac:dyDescent="0.35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>
        <v>0</v>
      </c>
      <c r="BR487" s="58" t="e">
        <f>VLOOKUP(AM487,'[1]Harga &amp; Nama CSO'!$A$28:$D$31,4,0)*BL487</f>
        <v>#N/A</v>
      </c>
    </row>
    <row r="488" spans="37:70" x14ac:dyDescent="0.35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>
        <v>0</v>
      </c>
      <c r="BR488" s="58" t="e">
        <f>VLOOKUP(AM488,'[1]Harga &amp; Nama CSO'!$A$28:$D$31,4,0)*BL488</f>
        <v>#N/A</v>
      </c>
    </row>
    <row r="489" spans="37:70" x14ac:dyDescent="0.35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>
        <v>0</v>
      </c>
      <c r="BR489" s="58" t="e">
        <f>VLOOKUP(AM489,'[1]Harga &amp; Nama CSO'!$A$28:$D$31,4,0)*BL489</f>
        <v>#N/A</v>
      </c>
    </row>
    <row r="490" spans="37:70" x14ac:dyDescent="0.35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>
        <v>0</v>
      </c>
      <c r="BR490" s="58" t="e">
        <f>VLOOKUP(AM490,'[1]Harga &amp; Nama CSO'!$A$28:$D$31,4,0)*BL490</f>
        <v>#N/A</v>
      </c>
    </row>
    <row r="491" spans="37:70" x14ac:dyDescent="0.35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>
        <v>0</v>
      </c>
      <c r="BR491" s="58" t="e">
        <f>VLOOKUP(AM491,'[1]Harga &amp; Nama CSO'!$A$28:$D$31,4,0)*BL491</f>
        <v>#N/A</v>
      </c>
    </row>
    <row r="492" spans="37:70" x14ac:dyDescent="0.35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>
        <v>0</v>
      </c>
      <c r="BR492" s="58" t="e">
        <f>VLOOKUP(AM492,'[1]Harga &amp; Nama CSO'!$A$28:$D$31,4,0)*BL492</f>
        <v>#N/A</v>
      </c>
    </row>
    <row r="493" spans="37:70" x14ac:dyDescent="0.35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>
        <v>0</v>
      </c>
      <c r="BR493" s="58" t="e">
        <f>VLOOKUP(AM493,'[1]Harga &amp; Nama CSO'!$A$28:$D$31,4,0)*BL493</f>
        <v>#N/A</v>
      </c>
    </row>
    <row r="494" spans="37:70" x14ac:dyDescent="0.35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>
        <v>0</v>
      </c>
      <c r="BR494" s="58" t="e">
        <f>VLOOKUP(AM494,'[1]Harga &amp; Nama CSO'!$A$28:$D$31,4,0)*BL494</f>
        <v>#N/A</v>
      </c>
    </row>
    <row r="495" spans="37:70" x14ac:dyDescent="0.35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>
        <v>0</v>
      </c>
      <c r="BR495" s="58" t="e">
        <f>VLOOKUP(AM495,'[1]Harga &amp; Nama CSO'!$A$28:$D$31,4,0)*BL495</f>
        <v>#N/A</v>
      </c>
    </row>
    <row r="496" spans="37:70" x14ac:dyDescent="0.35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>
        <v>0</v>
      </c>
      <c r="BR496" s="58" t="e">
        <f>VLOOKUP(AM496,'[1]Harga &amp; Nama CSO'!$A$28:$D$31,4,0)*BL496</f>
        <v>#N/A</v>
      </c>
    </row>
    <row r="497" spans="37:70" x14ac:dyDescent="0.35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>
        <v>0</v>
      </c>
      <c r="BR497" s="58" t="e">
        <f>VLOOKUP(AM497,'[1]Harga &amp; Nama CSO'!$A$28:$D$31,4,0)*BL497</f>
        <v>#N/A</v>
      </c>
    </row>
    <row r="498" spans="37:70" x14ac:dyDescent="0.35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>
        <v>0</v>
      </c>
      <c r="BR498" s="58" t="e">
        <f>VLOOKUP(AM498,'[1]Harga &amp; Nama CSO'!$A$28:$D$31,4,0)*BL498</f>
        <v>#N/A</v>
      </c>
    </row>
    <row r="499" spans="37:70" x14ac:dyDescent="0.35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>
        <v>0</v>
      </c>
      <c r="BR499" s="58" t="e">
        <f>VLOOKUP(AM499,'[1]Harga &amp; Nama CSO'!$A$28:$D$31,4,0)*BL499</f>
        <v>#N/A</v>
      </c>
    </row>
    <row r="500" spans="37:70" x14ac:dyDescent="0.35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>
        <v>0</v>
      </c>
      <c r="BR500" s="58" t="e">
        <f>VLOOKUP(AM500,'[1]Harga &amp; Nama CSO'!$A$28:$D$31,4,0)*BL500</f>
        <v>#N/A</v>
      </c>
    </row>
    <row r="501" spans="37:70" x14ac:dyDescent="0.35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>
        <v>0</v>
      </c>
      <c r="BR501" s="58" t="e">
        <f>VLOOKUP(AM501,'[1]Harga &amp; Nama CSO'!$A$28:$D$31,4,0)*BL501</f>
        <v>#N/A</v>
      </c>
    </row>
    <row r="502" spans="37:70" x14ac:dyDescent="0.35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>
        <v>0</v>
      </c>
      <c r="BR502" s="58" t="e">
        <f>VLOOKUP(AM502,'[1]Harga &amp; Nama CSO'!$A$28:$D$31,4,0)*BL502</f>
        <v>#N/A</v>
      </c>
    </row>
    <row r="503" spans="37:70" x14ac:dyDescent="0.35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>
        <v>0</v>
      </c>
      <c r="BR503" s="58" t="e">
        <f>VLOOKUP(AM503,'[1]Harga &amp; Nama CSO'!$A$28:$D$31,4,0)*BL503</f>
        <v>#N/A</v>
      </c>
    </row>
    <row r="504" spans="37:70" x14ac:dyDescent="0.35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>
        <v>0</v>
      </c>
      <c r="BR504" s="58" t="e">
        <f>VLOOKUP(AM504,'[1]Harga &amp; Nama CSO'!$A$28:$D$31,4,0)*BL504</f>
        <v>#N/A</v>
      </c>
    </row>
    <row r="505" spans="37:70" x14ac:dyDescent="0.35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>
        <v>0</v>
      </c>
      <c r="BR505" s="58" t="e">
        <f>VLOOKUP(AM505,'[1]Harga &amp; Nama CSO'!$A$28:$D$31,4,0)*BL505</f>
        <v>#N/A</v>
      </c>
    </row>
    <row r="506" spans="37:70" x14ac:dyDescent="0.35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>
        <v>0</v>
      </c>
      <c r="BR506" s="58" t="e">
        <f>VLOOKUP(AM506,'[1]Harga &amp; Nama CSO'!$A$28:$D$31,4,0)*BL506</f>
        <v>#N/A</v>
      </c>
    </row>
    <row r="507" spans="37:70" x14ac:dyDescent="0.35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>
        <v>0</v>
      </c>
      <c r="BR507" s="58" t="e">
        <f>VLOOKUP(AM507,'[1]Harga &amp; Nama CSO'!$A$28:$D$31,4,0)*BL507</f>
        <v>#N/A</v>
      </c>
    </row>
    <row r="508" spans="37:70" x14ac:dyDescent="0.35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>
        <v>0</v>
      </c>
      <c r="BR508" s="58" t="e">
        <f>VLOOKUP(AM508,'[1]Harga &amp; Nama CSO'!$A$28:$D$31,4,0)*BL508</f>
        <v>#N/A</v>
      </c>
    </row>
    <row r="509" spans="37:70" x14ac:dyDescent="0.35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>
        <v>0</v>
      </c>
      <c r="BR509" s="58" t="e">
        <f>VLOOKUP(AM509,'[1]Harga &amp; Nama CSO'!$A$28:$D$31,4,0)*BL509</f>
        <v>#N/A</v>
      </c>
    </row>
    <row r="510" spans="37:70" x14ac:dyDescent="0.35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>
        <v>0</v>
      </c>
      <c r="BR510" s="58" t="e">
        <f>VLOOKUP(AM510,'[1]Harga &amp; Nama CSO'!$A$28:$D$31,4,0)*BL510</f>
        <v>#N/A</v>
      </c>
    </row>
    <row r="511" spans="37:70" x14ac:dyDescent="0.35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>
        <v>0</v>
      </c>
      <c r="BR511" s="58" t="e">
        <f>VLOOKUP(AM511,'[1]Harga &amp; Nama CSO'!$A$28:$D$31,4,0)*BL511</f>
        <v>#N/A</v>
      </c>
    </row>
    <row r="512" spans="37:70" x14ac:dyDescent="0.35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>
        <v>0</v>
      </c>
      <c r="BR512" s="58" t="e">
        <f>VLOOKUP(AM512,'[1]Harga &amp; Nama CSO'!$A$28:$D$31,4,0)*BL512</f>
        <v>#N/A</v>
      </c>
    </row>
    <row r="513" spans="37:70" x14ac:dyDescent="0.35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>
        <v>0</v>
      </c>
      <c r="BR513" s="58" t="e">
        <f>VLOOKUP(AM513,'[1]Harga &amp; Nama CSO'!$A$28:$D$31,4,0)*BL513</f>
        <v>#N/A</v>
      </c>
    </row>
    <row r="514" spans="37:70" x14ac:dyDescent="0.35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>
        <v>0</v>
      </c>
      <c r="BR514" s="58" t="e">
        <f>VLOOKUP(AM514,'[1]Harga &amp; Nama CSO'!$A$28:$D$31,4,0)*BL514</f>
        <v>#N/A</v>
      </c>
    </row>
    <row r="515" spans="37:70" x14ac:dyDescent="0.35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>
        <v>0</v>
      </c>
      <c r="BR515" s="58" t="e">
        <f>VLOOKUP(AM515,'[1]Harga &amp; Nama CSO'!$A$28:$D$31,4,0)*BL515</f>
        <v>#N/A</v>
      </c>
    </row>
    <row r="516" spans="37:70" x14ac:dyDescent="0.35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>
        <v>0</v>
      </c>
      <c r="BR516" s="58" t="e">
        <f>VLOOKUP(AM516,'[1]Harga &amp; Nama CSO'!$A$28:$D$31,4,0)*BL516</f>
        <v>#N/A</v>
      </c>
    </row>
    <row r="517" spans="37:70" x14ac:dyDescent="0.35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>
        <v>0</v>
      </c>
      <c r="BR517" s="58" t="e">
        <f>VLOOKUP(AM517,'[1]Harga &amp; Nama CSO'!$A$28:$D$31,4,0)*BL517</f>
        <v>#N/A</v>
      </c>
    </row>
    <row r="518" spans="37:70" x14ac:dyDescent="0.35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>
        <v>0</v>
      </c>
      <c r="BR518" s="58" t="e">
        <f>VLOOKUP(AM518,'[1]Harga &amp; Nama CSO'!$A$28:$D$31,4,0)*BL518</f>
        <v>#N/A</v>
      </c>
    </row>
    <row r="519" spans="37:70" x14ac:dyDescent="0.35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>
        <v>0</v>
      </c>
      <c r="BR519" s="58" t="e">
        <f>VLOOKUP(AM519,'[1]Harga &amp; Nama CSO'!$A$28:$D$31,4,0)*BL519</f>
        <v>#N/A</v>
      </c>
    </row>
    <row r="520" spans="37:70" x14ac:dyDescent="0.35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>
        <v>0</v>
      </c>
      <c r="BR520" s="58" t="e">
        <f>VLOOKUP(AM520,'[1]Harga &amp; Nama CSO'!$A$28:$D$31,4,0)*BL520</f>
        <v>#N/A</v>
      </c>
    </row>
    <row r="521" spans="37:70" x14ac:dyDescent="0.35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>
        <v>0</v>
      </c>
      <c r="BR521" s="58" t="e">
        <f>VLOOKUP(AM521,'[1]Harga &amp; Nama CSO'!$A$28:$D$31,4,0)*BL521</f>
        <v>#N/A</v>
      </c>
    </row>
    <row r="522" spans="37:70" x14ac:dyDescent="0.35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>
        <v>0</v>
      </c>
      <c r="BR522" s="58" t="e">
        <f>VLOOKUP(AM522,'[1]Harga &amp; Nama CSO'!$A$28:$D$31,4,0)*BL522</f>
        <v>#N/A</v>
      </c>
    </row>
    <row r="523" spans="37:70" x14ac:dyDescent="0.35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>
        <v>0</v>
      </c>
      <c r="BR523" s="58" t="e">
        <f>VLOOKUP(AM523,'[1]Harga &amp; Nama CSO'!$A$28:$D$31,4,0)*BL523</f>
        <v>#N/A</v>
      </c>
    </row>
    <row r="524" spans="37:70" x14ac:dyDescent="0.35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>
        <v>0</v>
      </c>
      <c r="BR524" s="58" t="e">
        <f>VLOOKUP(AM524,'[1]Harga &amp; Nama CSO'!$A$28:$D$31,4,0)*BL524</f>
        <v>#N/A</v>
      </c>
    </row>
    <row r="525" spans="37:70" x14ac:dyDescent="0.35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>
        <v>0</v>
      </c>
      <c r="BR525" s="58" t="e">
        <f>VLOOKUP(AM525,'[1]Harga &amp; Nama CSO'!$A$28:$D$31,4,0)*BL525</f>
        <v>#N/A</v>
      </c>
    </row>
    <row r="526" spans="37:70" x14ac:dyDescent="0.35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>
        <v>0</v>
      </c>
      <c r="BR526" s="58" t="e">
        <f>VLOOKUP(AM526,'[1]Harga &amp; Nama CSO'!$A$28:$D$31,4,0)*BL526</f>
        <v>#N/A</v>
      </c>
    </row>
    <row r="527" spans="37:70" x14ac:dyDescent="0.35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>
        <v>0</v>
      </c>
      <c r="BR527" s="58" t="e">
        <f>VLOOKUP(AM527,'[1]Harga &amp; Nama CSO'!$A$28:$D$31,4,0)*BL527</f>
        <v>#N/A</v>
      </c>
    </row>
    <row r="528" spans="37:70" x14ac:dyDescent="0.35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>
        <v>0</v>
      </c>
      <c r="BR528" s="58" t="e">
        <f>VLOOKUP(AM528,'[1]Harga &amp; Nama CSO'!$A$28:$D$31,4,0)*BL528</f>
        <v>#N/A</v>
      </c>
    </row>
    <row r="529" spans="37:70" x14ac:dyDescent="0.35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>
        <v>0</v>
      </c>
      <c r="BR529" s="58" t="e">
        <f>VLOOKUP(AM529,'[1]Harga &amp; Nama CSO'!$A$28:$D$31,4,0)*BL529</f>
        <v>#N/A</v>
      </c>
    </row>
    <row r="530" spans="37:70" x14ac:dyDescent="0.35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>
        <v>0</v>
      </c>
      <c r="BR530" s="58" t="e">
        <f>VLOOKUP(AM530,'[1]Harga &amp; Nama CSO'!$A$28:$D$31,4,0)*BL530</f>
        <v>#N/A</v>
      </c>
    </row>
    <row r="531" spans="37:70" x14ac:dyDescent="0.35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>
        <v>0</v>
      </c>
      <c r="BR531" s="58" t="e">
        <f>VLOOKUP(AM531,'[1]Harga &amp; Nama CSO'!$A$28:$D$31,4,0)*BL531</f>
        <v>#N/A</v>
      </c>
    </row>
    <row r="532" spans="37:70" x14ac:dyDescent="0.35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>
        <v>0</v>
      </c>
      <c r="BR532" s="58" t="e">
        <f>VLOOKUP(AM532,'[1]Harga &amp; Nama CSO'!$A$28:$D$31,4,0)*BL532</f>
        <v>#N/A</v>
      </c>
    </row>
    <row r="533" spans="37:70" x14ac:dyDescent="0.35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>
        <v>0</v>
      </c>
      <c r="BR533" s="58" t="e">
        <f>VLOOKUP(AM533,'[1]Harga &amp; Nama CSO'!$A$28:$D$31,4,0)*BL533</f>
        <v>#N/A</v>
      </c>
    </row>
    <row r="534" spans="37:70" x14ac:dyDescent="0.35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>
        <v>0</v>
      </c>
      <c r="BR534" s="58" t="e">
        <f>VLOOKUP(AM534,'[1]Harga &amp; Nama CSO'!$A$28:$D$31,4,0)*BL534</f>
        <v>#N/A</v>
      </c>
    </row>
    <row r="535" spans="37:70" x14ac:dyDescent="0.35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>
        <v>0</v>
      </c>
      <c r="BR535" s="58" t="e">
        <f>VLOOKUP(AM535,'[1]Harga &amp; Nama CSO'!$A$28:$D$31,4,0)*BL535</f>
        <v>#N/A</v>
      </c>
    </row>
    <row r="536" spans="37:70" x14ac:dyDescent="0.35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>
        <v>0</v>
      </c>
      <c r="BR536" s="58" t="e">
        <f>VLOOKUP(AM536,'[1]Harga &amp; Nama CSO'!$A$28:$D$31,4,0)*BL536</f>
        <v>#N/A</v>
      </c>
    </row>
    <row r="537" spans="37:70" x14ac:dyDescent="0.35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>
        <v>0</v>
      </c>
      <c r="BR537" s="58" t="e">
        <f>VLOOKUP(AM537,'[1]Harga &amp; Nama CSO'!$A$28:$D$31,4,0)*BL537</f>
        <v>#N/A</v>
      </c>
    </row>
    <row r="538" spans="37:70" x14ac:dyDescent="0.35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>
        <v>0</v>
      </c>
      <c r="BR538" s="58" t="e">
        <f>VLOOKUP(AM538,'[1]Harga &amp; Nama CSO'!$A$28:$D$31,4,0)*BL538</f>
        <v>#N/A</v>
      </c>
    </row>
    <row r="539" spans="37:70" x14ac:dyDescent="0.35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>
        <v>0</v>
      </c>
      <c r="BR539" s="58" t="e">
        <f>VLOOKUP(AM539,'[1]Harga &amp; Nama CSO'!$A$28:$D$31,4,0)*BL539</f>
        <v>#N/A</v>
      </c>
    </row>
    <row r="540" spans="37:70" x14ac:dyDescent="0.35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>
        <v>0</v>
      </c>
      <c r="BR540" s="58" t="e">
        <f>VLOOKUP(AM540,'[1]Harga &amp; Nama CSO'!$A$28:$D$31,4,0)*BL540</f>
        <v>#N/A</v>
      </c>
    </row>
    <row r="541" spans="37:70" x14ac:dyDescent="0.35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>
        <v>0</v>
      </c>
      <c r="BR541" s="58" t="e">
        <f>VLOOKUP(AM541,'[1]Harga &amp; Nama CSO'!$A$28:$D$31,4,0)*BL541</f>
        <v>#N/A</v>
      </c>
    </row>
    <row r="542" spans="37:70" x14ac:dyDescent="0.35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>
        <v>0</v>
      </c>
      <c r="BR542" s="58" t="e">
        <f>VLOOKUP(AM542,'[1]Harga &amp; Nama CSO'!$A$28:$D$31,4,0)*BL542</f>
        <v>#N/A</v>
      </c>
    </row>
    <row r="543" spans="37:70" x14ac:dyDescent="0.35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>
        <v>0</v>
      </c>
      <c r="BR543" s="58" t="e">
        <f>VLOOKUP(AM543,'[1]Harga &amp; Nama CSO'!$A$28:$D$31,4,0)*BL543</f>
        <v>#N/A</v>
      </c>
    </row>
    <row r="544" spans="37:70" x14ac:dyDescent="0.35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>
        <v>0</v>
      </c>
      <c r="BR544" s="58" t="e">
        <f>VLOOKUP(AM544,'[1]Harga &amp; Nama CSO'!$A$28:$D$31,4,0)*BL544</f>
        <v>#N/A</v>
      </c>
    </row>
    <row r="545" spans="37:70" x14ac:dyDescent="0.35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>
        <v>0</v>
      </c>
      <c r="BR545" s="58" t="e">
        <f>VLOOKUP(AM545,'[1]Harga &amp; Nama CSO'!$A$28:$D$31,4,0)*BL545</f>
        <v>#N/A</v>
      </c>
    </row>
    <row r="546" spans="37:70" x14ac:dyDescent="0.35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>
        <v>0</v>
      </c>
      <c r="BR546" s="58" t="e">
        <f>VLOOKUP(AM546,'[1]Harga &amp; Nama CSO'!$A$28:$D$31,4,0)*BL546</f>
        <v>#N/A</v>
      </c>
    </row>
    <row r="547" spans="37:70" x14ac:dyDescent="0.35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>
        <v>0</v>
      </c>
      <c r="BR547" s="58" t="e">
        <f>VLOOKUP(AM547,'[1]Harga &amp; Nama CSO'!$A$28:$D$31,4,0)*BL547</f>
        <v>#N/A</v>
      </c>
    </row>
    <row r="548" spans="37:70" x14ac:dyDescent="0.35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>
        <v>0</v>
      </c>
      <c r="BR548" s="58" t="e">
        <f>VLOOKUP(AM548,'[1]Harga &amp; Nama CSO'!$A$28:$D$31,4,0)*BL548</f>
        <v>#N/A</v>
      </c>
    </row>
    <row r="549" spans="37:70" x14ac:dyDescent="0.35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>
        <v>0</v>
      </c>
      <c r="BR549" s="58" t="e">
        <f>VLOOKUP(AM549,'[1]Harga &amp; Nama CSO'!$A$28:$D$31,4,0)*BL549</f>
        <v>#N/A</v>
      </c>
    </row>
    <row r="550" spans="37:70" x14ac:dyDescent="0.35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>
        <v>0</v>
      </c>
      <c r="BR550" s="58" t="e">
        <f>VLOOKUP(AM550,'[1]Harga &amp; Nama CSO'!$A$28:$D$31,4,0)*BL550</f>
        <v>#N/A</v>
      </c>
    </row>
    <row r="551" spans="37:70" x14ac:dyDescent="0.35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>
        <v>0</v>
      </c>
      <c r="BR551" s="58" t="e">
        <f>VLOOKUP(AM551,'[1]Harga &amp; Nama CSO'!$A$28:$D$31,4,0)*BL551</f>
        <v>#N/A</v>
      </c>
    </row>
    <row r="552" spans="37:70" x14ac:dyDescent="0.35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>
        <v>0</v>
      </c>
      <c r="BR552" s="58" t="e">
        <f>VLOOKUP(AM552,'[1]Harga &amp; Nama CSO'!$A$28:$D$31,4,0)*BL552</f>
        <v>#N/A</v>
      </c>
    </row>
    <row r="553" spans="37:70" x14ac:dyDescent="0.35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>
        <v>0</v>
      </c>
      <c r="BR553" s="58" t="e">
        <f>VLOOKUP(AM553,'[1]Harga &amp; Nama CSO'!$A$28:$D$31,4,0)*BL553</f>
        <v>#N/A</v>
      </c>
    </row>
    <row r="554" spans="37:70" x14ac:dyDescent="0.35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>
        <v>0</v>
      </c>
      <c r="BR554" s="58" t="e">
        <f>VLOOKUP(AM554,'[1]Harga &amp; Nama CSO'!$A$28:$D$31,4,0)*BL554</f>
        <v>#N/A</v>
      </c>
    </row>
    <row r="555" spans="37:70" x14ac:dyDescent="0.35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>
        <v>0</v>
      </c>
      <c r="BR555" s="58" t="e">
        <f>VLOOKUP(AM555,'[1]Harga &amp; Nama CSO'!$A$28:$D$31,4,0)*BL555</f>
        <v>#N/A</v>
      </c>
    </row>
    <row r="556" spans="37:70" x14ac:dyDescent="0.35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>
        <v>0</v>
      </c>
      <c r="BR556" s="58" t="e">
        <f>VLOOKUP(AM556,'[1]Harga &amp; Nama CSO'!$A$28:$D$31,4,0)*BL556</f>
        <v>#N/A</v>
      </c>
    </row>
    <row r="557" spans="37:70" x14ac:dyDescent="0.35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>
        <v>0</v>
      </c>
      <c r="BR557" s="58" t="e">
        <f>VLOOKUP(AM557,'[1]Harga &amp; Nama CSO'!$A$28:$D$31,4,0)*BL557</f>
        <v>#N/A</v>
      </c>
    </row>
    <row r="558" spans="37:70" x14ac:dyDescent="0.35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>
        <v>0</v>
      </c>
      <c r="BR558" s="58" t="e">
        <f>VLOOKUP(AM558,'[1]Harga &amp; Nama CSO'!$A$28:$D$31,4,0)*BL558</f>
        <v>#N/A</v>
      </c>
    </row>
    <row r="559" spans="37:70" x14ac:dyDescent="0.35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>
        <v>0</v>
      </c>
      <c r="BR559" s="58" t="e">
        <f>VLOOKUP(AM559,'[1]Harga &amp; Nama CSO'!$A$28:$D$31,4,0)*BL559</f>
        <v>#N/A</v>
      </c>
    </row>
    <row r="560" spans="37:70" x14ac:dyDescent="0.35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>
        <v>0</v>
      </c>
      <c r="BR560" s="58" t="e">
        <f>VLOOKUP(AM560,'[1]Harga &amp; Nama CSO'!$A$28:$D$31,4,0)*BL560</f>
        <v>#N/A</v>
      </c>
    </row>
    <row r="561" spans="37:70" x14ac:dyDescent="0.35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>
        <v>0</v>
      </c>
      <c r="BR561" s="58" t="e">
        <f>VLOOKUP(AM561,'[1]Harga &amp; Nama CSO'!$A$28:$D$31,4,0)*BL561</f>
        <v>#N/A</v>
      </c>
    </row>
    <row r="562" spans="37:70" x14ac:dyDescent="0.35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>
        <v>0</v>
      </c>
      <c r="BR562" s="58" t="e">
        <f>VLOOKUP(AM562,'[1]Harga &amp; Nama CSO'!$A$28:$D$31,4,0)*BL562</f>
        <v>#N/A</v>
      </c>
    </row>
    <row r="563" spans="37:70" x14ac:dyDescent="0.35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>
        <v>0</v>
      </c>
      <c r="BR563" s="58" t="e">
        <f>VLOOKUP(AM563,'[1]Harga &amp; Nama CSO'!$A$28:$D$31,4,0)*BL563</f>
        <v>#N/A</v>
      </c>
    </row>
    <row r="564" spans="37:70" x14ac:dyDescent="0.35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>
        <v>0</v>
      </c>
      <c r="BR564" s="58" t="e">
        <f>VLOOKUP(AM564,'[1]Harga &amp; Nama CSO'!$A$28:$D$31,4,0)*BL564</f>
        <v>#N/A</v>
      </c>
    </row>
    <row r="565" spans="37:70" x14ac:dyDescent="0.35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>
        <v>0</v>
      </c>
      <c r="BR565" s="58" t="e">
        <f>VLOOKUP(AM565,'[1]Harga &amp; Nama CSO'!$A$28:$D$31,4,0)*BL565</f>
        <v>#N/A</v>
      </c>
    </row>
    <row r="566" spans="37:70" x14ac:dyDescent="0.35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>
        <v>0</v>
      </c>
      <c r="BR566" s="58" t="e">
        <f>VLOOKUP(AM566,'[1]Harga &amp; Nama CSO'!$A$28:$D$31,4,0)*BL566</f>
        <v>#N/A</v>
      </c>
    </row>
    <row r="567" spans="37:70" x14ac:dyDescent="0.35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>
        <v>0</v>
      </c>
      <c r="BR567" s="58" t="e">
        <f>VLOOKUP(AM567,'[1]Harga &amp; Nama CSO'!$A$28:$D$31,4,0)*BL567</f>
        <v>#N/A</v>
      </c>
    </row>
    <row r="568" spans="37:70" x14ac:dyDescent="0.35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>
        <v>0</v>
      </c>
      <c r="BR568" s="58" t="e">
        <f>VLOOKUP(AM568,'[1]Harga &amp; Nama CSO'!$A$28:$D$31,4,0)*BL568</f>
        <v>#N/A</v>
      </c>
    </row>
    <row r="569" spans="37:70" x14ac:dyDescent="0.35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>
        <v>0</v>
      </c>
      <c r="BR569" s="58" t="e">
        <f>VLOOKUP(AM569,'[1]Harga &amp; Nama CSO'!$A$28:$D$31,4,0)*BL569</f>
        <v>#N/A</v>
      </c>
    </row>
    <row r="570" spans="37:70" x14ac:dyDescent="0.35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>
        <v>0</v>
      </c>
      <c r="BR570" s="58" t="e">
        <f>VLOOKUP(AM570,'[1]Harga &amp; Nama CSO'!$A$28:$D$31,4,0)*BL570</f>
        <v>#N/A</v>
      </c>
    </row>
    <row r="571" spans="37:70" x14ac:dyDescent="0.35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>
        <v>0</v>
      </c>
      <c r="BR571" s="58" t="e">
        <f>VLOOKUP(AM571,'[1]Harga &amp; Nama CSO'!$A$28:$D$31,4,0)*BL571</f>
        <v>#N/A</v>
      </c>
    </row>
    <row r="572" spans="37:70" x14ac:dyDescent="0.35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>
        <v>0</v>
      </c>
      <c r="BR572" s="58" t="e">
        <f>VLOOKUP(AM572,'[1]Harga &amp; Nama CSO'!$A$28:$D$31,4,0)*BL572</f>
        <v>#N/A</v>
      </c>
    </row>
    <row r="573" spans="37:70" x14ac:dyDescent="0.35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>
        <v>0</v>
      </c>
      <c r="BR573" s="58" t="e">
        <f>VLOOKUP(AM573,'[1]Harga &amp; Nama CSO'!$A$28:$D$31,4,0)*BL573</f>
        <v>#N/A</v>
      </c>
    </row>
    <row r="574" spans="37:70" x14ac:dyDescent="0.35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>
        <v>0</v>
      </c>
      <c r="BR574" s="58" t="e">
        <f>VLOOKUP(AM574,'[1]Harga &amp; Nama CSO'!$A$28:$D$31,4,0)*BL574</f>
        <v>#N/A</v>
      </c>
    </row>
    <row r="575" spans="37:70" x14ac:dyDescent="0.35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>
        <v>0</v>
      </c>
      <c r="BR575" s="58" t="e">
        <f>VLOOKUP(AM575,'[1]Harga &amp; Nama CSO'!$A$28:$D$31,4,0)*BL575</f>
        <v>#N/A</v>
      </c>
    </row>
    <row r="576" spans="37:70" x14ac:dyDescent="0.35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>
        <v>0</v>
      </c>
      <c r="BR576" s="58" t="e">
        <f>VLOOKUP(AM576,'[1]Harga &amp; Nama CSO'!$A$28:$D$31,4,0)*BL576</f>
        <v>#N/A</v>
      </c>
    </row>
    <row r="577" spans="37:70" x14ac:dyDescent="0.35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>
        <v>0</v>
      </c>
      <c r="BR577" s="58" t="e">
        <f>VLOOKUP(AM577,'[1]Harga &amp; Nama CSO'!$A$28:$D$31,4,0)*BL577</f>
        <v>#N/A</v>
      </c>
    </row>
    <row r="578" spans="37:70" x14ac:dyDescent="0.35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>
        <v>0</v>
      </c>
      <c r="BR578" s="58" t="e">
        <f>VLOOKUP(AM578,'[1]Harga &amp; Nama CSO'!$A$28:$D$31,4,0)*BL578</f>
        <v>#N/A</v>
      </c>
    </row>
    <row r="579" spans="37:70" x14ac:dyDescent="0.35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>
        <v>0</v>
      </c>
      <c r="BR579" s="58" t="e">
        <f>VLOOKUP(AM579,'[1]Harga &amp; Nama CSO'!$A$28:$D$31,4,0)*BL579</f>
        <v>#N/A</v>
      </c>
    </row>
    <row r="580" spans="37:70" x14ac:dyDescent="0.35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>
        <v>0</v>
      </c>
      <c r="BR580" s="58" t="e">
        <f>VLOOKUP(AM580,'[1]Harga &amp; Nama CSO'!$A$28:$D$31,4,0)*BL580</f>
        <v>#N/A</v>
      </c>
    </row>
    <row r="581" spans="37:70" x14ac:dyDescent="0.35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>
        <v>0</v>
      </c>
      <c r="BR581" s="58" t="e">
        <f>VLOOKUP(AM581,'[1]Harga &amp; Nama CSO'!$A$28:$D$31,4,0)*BL581</f>
        <v>#N/A</v>
      </c>
    </row>
    <row r="582" spans="37:70" x14ac:dyDescent="0.35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>
        <v>0</v>
      </c>
      <c r="BR582" s="58" t="e">
        <f>VLOOKUP(AM582,'[1]Harga &amp; Nama CSO'!$A$28:$D$31,4,0)*BL582</f>
        <v>#N/A</v>
      </c>
    </row>
    <row r="583" spans="37:70" x14ac:dyDescent="0.35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>
        <v>0</v>
      </c>
      <c r="BR583" s="58" t="e">
        <f>VLOOKUP(AM583,'[1]Harga &amp; Nama CSO'!$A$28:$D$31,4,0)*BL583</f>
        <v>#N/A</v>
      </c>
    </row>
    <row r="584" spans="37:70" x14ac:dyDescent="0.35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>
        <v>0</v>
      </c>
      <c r="BR584" s="58" t="e">
        <f>VLOOKUP(AM584,'[1]Harga &amp; Nama CSO'!$A$28:$D$31,4,0)*BL584</f>
        <v>#N/A</v>
      </c>
    </row>
    <row r="585" spans="37:70" x14ac:dyDescent="0.35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>
        <v>0</v>
      </c>
      <c r="BR585" s="58" t="e">
        <f>VLOOKUP(AM585,'[1]Harga &amp; Nama CSO'!$A$28:$D$31,4,0)*BL585</f>
        <v>#N/A</v>
      </c>
    </row>
    <row r="586" spans="37:70" x14ac:dyDescent="0.35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>
        <v>0</v>
      </c>
      <c r="BR586" s="58" t="e">
        <f>VLOOKUP(AM586,'[1]Harga &amp; Nama CSO'!$A$28:$D$31,4,0)*BL586</f>
        <v>#N/A</v>
      </c>
    </row>
    <row r="587" spans="37:70" x14ac:dyDescent="0.35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>
        <v>0</v>
      </c>
      <c r="BR587" s="58" t="e">
        <f>VLOOKUP(AM587,'[1]Harga &amp; Nama CSO'!$A$28:$D$31,4,0)*BL587</f>
        <v>#N/A</v>
      </c>
    </row>
    <row r="588" spans="37:70" x14ac:dyDescent="0.35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>
        <v>0</v>
      </c>
      <c r="BR588" s="58" t="e">
        <f>VLOOKUP(AM588,'[1]Harga &amp; Nama CSO'!$A$28:$D$31,4,0)*BL588</f>
        <v>#N/A</v>
      </c>
    </row>
    <row r="589" spans="37:70" x14ac:dyDescent="0.35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>
        <v>0</v>
      </c>
      <c r="BR589" s="58" t="e">
        <f>VLOOKUP(AM589,'[1]Harga &amp; Nama CSO'!$A$28:$D$31,4,0)*BL589</f>
        <v>#N/A</v>
      </c>
    </row>
    <row r="590" spans="37:70" x14ac:dyDescent="0.35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>
        <v>0</v>
      </c>
      <c r="BR590" s="58" t="e">
        <f>VLOOKUP(AM590,'[1]Harga &amp; Nama CSO'!$A$28:$D$31,4,0)*BL590</f>
        <v>#N/A</v>
      </c>
    </row>
    <row r="591" spans="37:70" x14ac:dyDescent="0.35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>
        <v>0</v>
      </c>
      <c r="BR591" s="58" t="e">
        <f>VLOOKUP(AM591,'[1]Harga &amp; Nama CSO'!$A$28:$D$31,4,0)*BL591</f>
        <v>#N/A</v>
      </c>
    </row>
    <row r="592" spans="37:70" x14ac:dyDescent="0.35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>
        <v>0</v>
      </c>
      <c r="BR592" s="58" t="e">
        <f>VLOOKUP(AM592,'[1]Harga &amp; Nama CSO'!$A$28:$D$31,4,0)*BL592</f>
        <v>#N/A</v>
      </c>
    </row>
    <row r="593" spans="37:70" x14ac:dyDescent="0.35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>
        <v>0</v>
      </c>
      <c r="BR593" s="58" t="e">
        <f>VLOOKUP(AM593,'[1]Harga &amp; Nama CSO'!$A$28:$D$31,4,0)*BL593</f>
        <v>#N/A</v>
      </c>
    </row>
    <row r="594" spans="37:70" x14ac:dyDescent="0.35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>
        <v>0</v>
      </c>
      <c r="BR594" s="58" t="e">
        <f>VLOOKUP(AM594,'[1]Harga &amp; Nama CSO'!$A$28:$D$31,4,0)*BL594</f>
        <v>#N/A</v>
      </c>
    </row>
    <row r="595" spans="37:70" x14ac:dyDescent="0.35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>
        <v>0</v>
      </c>
      <c r="BR595" s="58" t="e">
        <f>VLOOKUP(AM595,'[1]Harga &amp; Nama CSO'!$A$28:$D$31,4,0)*BL595</f>
        <v>#N/A</v>
      </c>
    </row>
    <row r="596" spans="37:70" x14ac:dyDescent="0.35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>
        <v>0</v>
      </c>
      <c r="BR596" s="58" t="e">
        <f>VLOOKUP(AM596,'[1]Harga &amp; Nama CSO'!$A$28:$D$31,4,0)*BL596</f>
        <v>#N/A</v>
      </c>
    </row>
    <row r="597" spans="37:70" x14ac:dyDescent="0.35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>
        <v>0</v>
      </c>
      <c r="BR597" s="58" t="e">
        <f>VLOOKUP(AM597,'[1]Harga &amp; Nama CSO'!$A$28:$D$31,4,0)*BL597</f>
        <v>#N/A</v>
      </c>
    </row>
    <row r="598" spans="37:70" x14ac:dyDescent="0.35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>
        <v>0</v>
      </c>
      <c r="BR598" s="58" t="e">
        <f>VLOOKUP(AM598,'[1]Harga &amp; Nama CSO'!$A$28:$D$31,4,0)*BL598</f>
        <v>#N/A</v>
      </c>
    </row>
    <row r="599" spans="37:70" x14ac:dyDescent="0.35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>
        <v>0</v>
      </c>
      <c r="BR599" s="58" t="e">
        <f>VLOOKUP(AM599,'[1]Harga &amp; Nama CSO'!$A$28:$D$31,4,0)*BL599</f>
        <v>#N/A</v>
      </c>
    </row>
    <row r="600" spans="37:70" x14ac:dyDescent="0.35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>
        <v>0</v>
      </c>
      <c r="BR600" s="58" t="e">
        <f>VLOOKUP(AM600,'[1]Harga &amp; Nama CSO'!$A$28:$D$31,4,0)*BL600</f>
        <v>#N/A</v>
      </c>
    </row>
    <row r="601" spans="37:70" x14ac:dyDescent="0.35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>
        <v>0</v>
      </c>
      <c r="BR601" s="58" t="e">
        <f>VLOOKUP(AM601,'[1]Harga &amp; Nama CSO'!$A$28:$D$31,4,0)*BL601</f>
        <v>#N/A</v>
      </c>
    </row>
    <row r="602" spans="37:70" x14ac:dyDescent="0.35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>
        <v>0</v>
      </c>
      <c r="BR602" s="58" t="e">
        <f>VLOOKUP(AM602,'[1]Harga &amp; Nama CSO'!$A$28:$D$31,4,0)*BL602</f>
        <v>#N/A</v>
      </c>
    </row>
    <row r="603" spans="37:70" x14ac:dyDescent="0.35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>
        <v>0</v>
      </c>
      <c r="BR603" s="58" t="e">
        <f>VLOOKUP(AM603,'[1]Harga &amp; Nama CSO'!$A$28:$D$31,4,0)*BL603</f>
        <v>#N/A</v>
      </c>
    </row>
    <row r="604" spans="37:70" x14ac:dyDescent="0.35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>
        <v>0</v>
      </c>
      <c r="BR604" s="58" t="e">
        <f>VLOOKUP(AM604,'[1]Harga &amp; Nama CSO'!$A$28:$D$31,4,0)*BL604</f>
        <v>#N/A</v>
      </c>
    </row>
    <row r="605" spans="37:70" x14ac:dyDescent="0.35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>
        <v>0</v>
      </c>
      <c r="BR605" s="58" t="e">
        <f>VLOOKUP(AM605,'[1]Harga &amp; Nama CSO'!$A$28:$D$31,4,0)*BL605</f>
        <v>#N/A</v>
      </c>
    </row>
    <row r="606" spans="37:70" x14ac:dyDescent="0.35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>
        <v>0</v>
      </c>
      <c r="BR606" s="58" t="e">
        <f>VLOOKUP(AM606,'[1]Harga &amp; Nama CSO'!$A$28:$D$31,4,0)*BL606</f>
        <v>#N/A</v>
      </c>
    </row>
    <row r="607" spans="37:70" x14ac:dyDescent="0.35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>
        <v>0</v>
      </c>
      <c r="BR607" s="58" t="e">
        <f>VLOOKUP(AM607,'[1]Harga &amp; Nama CSO'!$A$28:$D$31,4,0)*BL607</f>
        <v>#N/A</v>
      </c>
    </row>
    <row r="608" spans="37:70" x14ac:dyDescent="0.35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>
        <v>0</v>
      </c>
      <c r="BR608" s="58" t="e">
        <f>VLOOKUP(AM608,'[1]Harga &amp; Nama CSO'!$A$28:$D$31,4,0)*BL608</f>
        <v>#N/A</v>
      </c>
    </row>
    <row r="609" spans="37:70" x14ac:dyDescent="0.35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>
        <v>0</v>
      </c>
      <c r="BR609" s="58" t="e">
        <f>VLOOKUP(AM609,'[1]Harga &amp; Nama CSO'!$A$28:$D$31,4,0)*BL609</f>
        <v>#N/A</v>
      </c>
    </row>
    <row r="610" spans="37:70" x14ac:dyDescent="0.35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>
        <v>0</v>
      </c>
      <c r="BR610" s="58" t="e">
        <f>VLOOKUP(AM610,'[1]Harga &amp; Nama CSO'!$A$28:$D$31,4,0)*BL610</f>
        <v>#N/A</v>
      </c>
    </row>
    <row r="611" spans="37:70" x14ac:dyDescent="0.35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>
        <v>0</v>
      </c>
      <c r="BR611" s="58" t="e">
        <f>VLOOKUP(AM611,'[1]Harga &amp; Nama CSO'!$A$28:$D$31,4,0)*BL611</f>
        <v>#N/A</v>
      </c>
    </row>
    <row r="612" spans="37:70" x14ac:dyDescent="0.35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>
        <v>0</v>
      </c>
      <c r="BR612" s="58" t="e">
        <f>VLOOKUP(AM612,'[1]Harga &amp; Nama CSO'!$A$28:$D$31,4,0)*BL612</f>
        <v>#N/A</v>
      </c>
    </row>
    <row r="613" spans="37:70" x14ac:dyDescent="0.35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>
        <v>0</v>
      </c>
      <c r="BR613" s="58" t="e">
        <f>VLOOKUP(AM613,'[1]Harga &amp; Nama CSO'!$A$28:$D$31,4,0)*BL613</f>
        <v>#N/A</v>
      </c>
    </row>
    <row r="614" spans="37:70" x14ac:dyDescent="0.35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>
        <v>0</v>
      </c>
      <c r="BR614" s="58" t="e">
        <f>VLOOKUP(AM614,'[1]Harga &amp; Nama CSO'!$A$28:$D$31,4,0)*BL614</f>
        <v>#N/A</v>
      </c>
    </row>
    <row r="615" spans="37:70" x14ac:dyDescent="0.35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>
        <v>0</v>
      </c>
      <c r="BR615" s="58" t="e">
        <f>VLOOKUP(AM615,'[1]Harga &amp; Nama CSO'!$A$28:$D$31,4,0)*BL615</f>
        <v>#N/A</v>
      </c>
    </row>
    <row r="616" spans="37:70" x14ac:dyDescent="0.35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>
        <v>0</v>
      </c>
      <c r="BR616" s="58" t="e">
        <f>VLOOKUP(AM616,'[1]Harga &amp; Nama CSO'!$A$28:$D$31,4,0)*BL616</f>
        <v>#N/A</v>
      </c>
    </row>
    <row r="617" spans="37:70" x14ac:dyDescent="0.35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>
        <v>0</v>
      </c>
      <c r="BR617" s="58" t="e">
        <f>VLOOKUP(AM617,'[1]Harga &amp; Nama CSO'!$A$28:$D$31,4,0)*BL617</f>
        <v>#N/A</v>
      </c>
    </row>
    <row r="618" spans="37:70" x14ac:dyDescent="0.35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>
        <v>0</v>
      </c>
      <c r="BR618" s="58" t="e">
        <f>VLOOKUP(AM618,'[1]Harga &amp; Nama CSO'!$A$28:$D$31,4,0)*BL618</f>
        <v>#N/A</v>
      </c>
    </row>
    <row r="619" spans="37:70" x14ac:dyDescent="0.35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>
        <v>0</v>
      </c>
      <c r="BR619" s="58" t="e">
        <f>VLOOKUP(AM619,'[1]Harga &amp; Nama CSO'!$A$28:$D$31,4,0)*BL619</f>
        <v>#N/A</v>
      </c>
    </row>
    <row r="620" spans="37:70" x14ac:dyDescent="0.35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>
        <v>0</v>
      </c>
      <c r="BR620" s="58" t="e">
        <f>VLOOKUP(AM620,'[1]Harga &amp; Nama CSO'!$A$28:$D$31,4,0)*BL620</f>
        <v>#N/A</v>
      </c>
    </row>
    <row r="621" spans="37:70" x14ac:dyDescent="0.35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>
        <v>0</v>
      </c>
      <c r="BR621" s="58" t="e">
        <f>VLOOKUP(AM621,'[1]Harga &amp; Nama CSO'!$A$28:$D$31,4,0)*BL621</f>
        <v>#N/A</v>
      </c>
    </row>
    <row r="622" spans="37:70" x14ac:dyDescent="0.35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>
        <v>0</v>
      </c>
      <c r="BR622" s="58" t="e">
        <f>VLOOKUP(AM622,'[1]Harga &amp; Nama CSO'!$A$28:$D$31,4,0)*BL622</f>
        <v>#N/A</v>
      </c>
    </row>
    <row r="623" spans="37:70" x14ac:dyDescent="0.35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>
        <v>0</v>
      </c>
      <c r="BR623" s="58" t="e">
        <f>VLOOKUP(AM623,'[1]Harga &amp; Nama CSO'!$A$28:$D$31,4,0)*BL623</f>
        <v>#N/A</v>
      </c>
    </row>
    <row r="624" spans="37:70" x14ac:dyDescent="0.35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>
        <v>0</v>
      </c>
      <c r="BR624" s="58" t="e">
        <f>VLOOKUP(AM624,'[1]Harga &amp; Nama CSO'!$A$28:$D$31,4,0)*BL624</f>
        <v>#N/A</v>
      </c>
    </row>
    <row r="625" spans="37:70" x14ac:dyDescent="0.35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>
        <v>0</v>
      </c>
      <c r="BR625" s="58" t="e">
        <f>VLOOKUP(AM625,'[1]Harga &amp; Nama CSO'!$A$28:$D$31,4,0)*BL625</f>
        <v>#N/A</v>
      </c>
    </row>
    <row r="626" spans="37:70" x14ac:dyDescent="0.35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>
        <v>0</v>
      </c>
      <c r="BR626" s="58" t="e">
        <f>VLOOKUP(AM626,'[1]Harga &amp; Nama CSO'!$A$28:$D$31,4,0)*BL626</f>
        <v>#N/A</v>
      </c>
    </row>
    <row r="627" spans="37:70" x14ac:dyDescent="0.35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>
        <v>0</v>
      </c>
      <c r="BR627" s="58" t="e">
        <f>VLOOKUP(AM627,'[1]Harga &amp; Nama CSO'!$A$28:$D$31,4,0)*BL627</f>
        <v>#N/A</v>
      </c>
    </row>
    <row r="628" spans="37:70" x14ac:dyDescent="0.35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>
        <v>0</v>
      </c>
      <c r="BR628" s="58" t="e">
        <f>VLOOKUP(AM628,'[1]Harga &amp; Nama CSO'!$A$28:$D$31,4,0)*BL628</f>
        <v>#N/A</v>
      </c>
    </row>
    <row r="629" spans="37:70" x14ac:dyDescent="0.35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>
        <v>0</v>
      </c>
      <c r="BR629" s="58" t="e">
        <f>VLOOKUP(AM629,'[1]Harga &amp; Nama CSO'!$A$28:$D$31,4,0)*BL629</f>
        <v>#N/A</v>
      </c>
    </row>
    <row r="630" spans="37:70" x14ac:dyDescent="0.35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>
        <v>0</v>
      </c>
      <c r="BR630" s="58" t="e">
        <f>VLOOKUP(AM630,'[1]Harga &amp; Nama CSO'!$A$28:$D$31,4,0)*BL630</f>
        <v>#N/A</v>
      </c>
    </row>
    <row r="631" spans="37:70" x14ac:dyDescent="0.35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>
        <v>0</v>
      </c>
      <c r="BR631" s="58" t="e">
        <f>VLOOKUP(AM631,'[1]Harga &amp; Nama CSO'!$A$28:$D$31,4,0)*BL631</f>
        <v>#N/A</v>
      </c>
    </row>
    <row r="632" spans="37:70" x14ac:dyDescent="0.35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>
        <v>0</v>
      </c>
      <c r="BR632" s="58" t="e">
        <f>VLOOKUP(AM632,'[1]Harga &amp; Nama CSO'!$A$28:$D$31,4,0)*BL632</f>
        <v>#N/A</v>
      </c>
    </row>
    <row r="633" spans="37:70" x14ac:dyDescent="0.35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>
        <v>0</v>
      </c>
      <c r="BR633" s="58" t="e">
        <f>VLOOKUP(AM633,'[1]Harga &amp; Nama CSO'!$A$28:$D$31,4,0)*BL633</f>
        <v>#N/A</v>
      </c>
    </row>
    <row r="634" spans="37:70" x14ac:dyDescent="0.35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>
        <v>0</v>
      </c>
      <c r="BR634" s="58" t="e">
        <f>VLOOKUP(AM634,'[1]Harga &amp; Nama CSO'!$A$28:$D$31,4,0)*BL634</f>
        <v>#N/A</v>
      </c>
    </row>
    <row r="635" spans="37:70" x14ac:dyDescent="0.35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>
        <v>0</v>
      </c>
      <c r="BR635" s="58" t="e">
        <f>VLOOKUP(AM635,'[1]Harga &amp; Nama CSO'!$A$28:$D$31,4,0)*BL635</f>
        <v>#N/A</v>
      </c>
    </row>
    <row r="636" spans="37:70" x14ac:dyDescent="0.35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>
        <v>0</v>
      </c>
      <c r="BR636" s="58" t="e">
        <f>VLOOKUP(AM636,'[1]Harga &amp; Nama CSO'!$A$28:$D$31,4,0)*BL636</f>
        <v>#N/A</v>
      </c>
    </row>
    <row r="637" spans="37:70" x14ac:dyDescent="0.35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>
        <v>0</v>
      </c>
      <c r="BR637" s="58" t="e">
        <f>VLOOKUP(AM637,'[1]Harga &amp; Nama CSO'!$A$28:$D$31,4,0)*BL637</f>
        <v>#N/A</v>
      </c>
    </row>
    <row r="638" spans="37:70" x14ac:dyDescent="0.35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>
        <v>0</v>
      </c>
      <c r="BR638" s="58" t="e">
        <f>VLOOKUP(AM638,'[1]Harga &amp; Nama CSO'!$A$28:$D$31,4,0)*BL638</f>
        <v>#N/A</v>
      </c>
    </row>
    <row r="639" spans="37:70" x14ac:dyDescent="0.35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>
        <v>0</v>
      </c>
      <c r="BR639" s="58" t="e">
        <f>VLOOKUP(AM639,'[1]Harga &amp; Nama CSO'!$A$28:$D$31,4,0)*BL639</f>
        <v>#N/A</v>
      </c>
    </row>
    <row r="640" spans="37:70" x14ac:dyDescent="0.35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>
        <v>0</v>
      </c>
      <c r="BR640" s="58" t="e">
        <f>VLOOKUP(AM640,'[1]Harga &amp; Nama CSO'!$A$28:$D$31,4,0)*BL640</f>
        <v>#N/A</v>
      </c>
    </row>
    <row r="641" spans="37:70" x14ac:dyDescent="0.35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>
        <v>0</v>
      </c>
      <c r="BR641" s="58" t="e">
        <f>VLOOKUP(AM641,'[1]Harga &amp; Nama CSO'!$A$28:$D$31,4,0)*BL641</f>
        <v>#N/A</v>
      </c>
    </row>
    <row r="642" spans="37:70" x14ac:dyDescent="0.35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>
        <v>0</v>
      </c>
      <c r="BR642" s="58" t="e">
        <f>VLOOKUP(AM642,'[1]Harga &amp; Nama CSO'!$A$28:$D$31,4,0)*BL642</f>
        <v>#N/A</v>
      </c>
    </row>
    <row r="643" spans="37:70" x14ac:dyDescent="0.35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>
        <v>0</v>
      </c>
      <c r="BR643" s="58" t="e">
        <f>VLOOKUP(AM643,'[1]Harga &amp; Nama CSO'!$A$28:$D$31,4,0)*BL643</f>
        <v>#N/A</v>
      </c>
    </row>
    <row r="644" spans="37:70" x14ac:dyDescent="0.35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>
        <v>0</v>
      </c>
      <c r="BR644" s="58" t="e">
        <f>VLOOKUP(AM644,'[1]Harga &amp; Nama CSO'!$A$28:$D$31,4,0)*BL644</f>
        <v>#N/A</v>
      </c>
    </row>
    <row r="645" spans="37:70" x14ac:dyDescent="0.35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>
        <v>0</v>
      </c>
      <c r="BR645" s="58" t="e">
        <f>VLOOKUP(AM645,'[1]Harga &amp; Nama CSO'!$A$28:$D$31,4,0)*BL645</f>
        <v>#N/A</v>
      </c>
    </row>
    <row r="646" spans="37:70" x14ac:dyDescent="0.35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>
        <v>0</v>
      </c>
      <c r="BR646" s="58" t="e">
        <f>VLOOKUP(AM646,'[1]Harga &amp; Nama CSO'!$A$28:$D$31,4,0)*BL646</f>
        <v>#N/A</v>
      </c>
    </row>
    <row r="647" spans="37:70" x14ac:dyDescent="0.35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>
        <v>0</v>
      </c>
      <c r="BR647" s="58" t="e">
        <f>VLOOKUP(AM647,'[1]Harga &amp; Nama CSO'!$A$28:$D$31,4,0)*BL647</f>
        <v>#N/A</v>
      </c>
    </row>
    <row r="648" spans="37:70" x14ac:dyDescent="0.35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>
        <v>0</v>
      </c>
      <c r="BR648" s="58" t="e">
        <f>VLOOKUP(AM648,'[1]Harga &amp; Nama CSO'!$A$28:$D$31,4,0)*BL648</f>
        <v>#N/A</v>
      </c>
    </row>
    <row r="649" spans="37:70" x14ac:dyDescent="0.35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>
        <v>0</v>
      </c>
      <c r="BR649" s="58" t="e">
        <f>VLOOKUP(AM649,'[1]Harga &amp; Nama CSO'!$A$28:$D$31,4,0)*BL649</f>
        <v>#N/A</v>
      </c>
    </row>
    <row r="650" spans="37:70" x14ac:dyDescent="0.35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>
        <v>0</v>
      </c>
      <c r="BR650" s="58" t="e">
        <f>VLOOKUP(AM650,'[1]Harga &amp; Nama CSO'!$A$28:$D$31,4,0)*BL650</f>
        <v>#N/A</v>
      </c>
    </row>
    <row r="651" spans="37:70" x14ac:dyDescent="0.35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>
        <v>0</v>
      </c>
      <c r="BR651" s="58" t="e">
        <f>VLOOKUP(AM651,'[1]Harga &amp; Nama CSO'!$A$28:$D$31,4,0)*BL651</f>
        <v>#N/A</v>
      </c>
    </row>
    <row r="652" spans="37:70" x14ac:dyDescent="0.35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>
        <v>0</v>
      </c>
      <c r="BR652" s="58" t="e">
        <f>VLOOKUP(AM652,'[1]Harga &amp; Nama CSO'!$A$28:$D$31,4,0)*BL652</f>
        <v>#N/A</v>
      </c>
    </row>
    <row r="653" spans="37:70" x14ac:dyDescent="0.35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>
        <v>0</v>
      </c>
      <c r="BR653" s="58" t="e">
        <f>VLOOKUP(AM653,'[1]Harga &amp; Nama CSO'!$A$28:$D$31,4,0)*BL653</f>
        <v>#N/A</v>
      </c>
    </row>
    <row r="654" spans="37:70" x14ac:dyDescent="0.35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>
        <v>0</v>
      </c>
      <c r="BR654" s="58" t="e">
        <f>VLOOKUP(AM654,'[1]Harga &amp; Nama CSO'!$A$28:$D$31,4,0)*BL654</f>
        <v>#N/A</v>
      </c>
    </row>
    <row r="655" spans="37:70" x14ac:dyDescent="0.35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>
        <v>0</v>
      </c>
      <c r="BR655" s="58" t="e">
        <f>VLOOKUP(AM655,'[1]Harga &amp; Nama CSO'!$A$28:$D$31,4,0)*BL655</f>
        <v>#N/A</v>
      </c>
    </row>
    <row r="656" spans="37:70" x14ac:dyDescent="0.35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>
        <v>0</v>
      </c>
      <c r="BR656" s="58" t="e">
        <f>VLOOKUP(AM656,'[1]Harga &amp; Nama CSO'!$A$28:$D$31,4,0)*BL656</f>
        <v>#N/A</v>
      </c>
    </row>
    <row r="657" spans="37:70" x14ac:dyDescent="0.35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>
        <v>0</v>
      </c>
      <c r="BR657" s="58" t="e">
        <f>VLOOKUP(AM657,'[1]Harga &amp; Nama CSO'!$A$28:$D$31,4,0)*BL657</f>
        <v>#N/A</v>
      </c>
    </row>
    <row r="658" spans="37:70" x14ac:dyDescent="0.35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>
        <v>0</v>
      </c>
      <c r="BR658" s="58" t="e">
        <f>VLOOKUP(AM658,'[1]Harga &amp; Nama CSO'!$A$28:$D$31,4,0)*BL658</f>
        <v>#N/A</v>
      </c>
    </row>
    <row r="659" spans="37:70" x14ac:dyDescent="0.35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>
        <v>0</v>
      </c>
      <c r="BR659" s="58" t="e">
        <f>VLOOKUP(AM659,'[1]Harga &amp; Nama CSO'!$A$28:$D$31,4,0)*BL659</f>
        <v>#N/A</v>
      </c>
    </row>
    <row r="660" spans="37:70" x14ac:dyDescent="0.35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>
        <v>0</v>
      </c>
      <c r="BR660" s="58" t="e">
        <f>VLOOKUP(AM660,'[1]Harga &amp; Nama CSO'!$A$28:$D$31,4,0)*BL660</f>
        <v>#N/A</v>
      </c>
    </row>
    <row r="661" spans="37:70" x14ac:dyDescent="0.35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>
        <v>0</v>
      </c>
      <c r="BR661" s="58" t="e">
        <f>VLOOKUP(AM661,'[1]Harga &amp; Nama CSO'!$A$28:$D$31,4,0)*BL661</f>
        <v>#N/A</v>
      </c>
    </row>
    <row r="662" spans="37:70" x14ac:dyDescent="0.35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>
        <v>0</v>
      </c>
      <c r="BR662" s="58" t="e">
        <f>VLOOKUP(AM662,'[1]Harga &amp; Nama CSO'!$A$28:$D$31,4,0)*BL662</f>
        <v>#N/A</v>
      </c>
    </row>
    <row r="663" spans="37:70" x14ac:dyDescent="0.35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>
        <v>0</v>
      </c>
      <c r="BR663" s="58" t="e">
        <f>VLOOKUP(AM663,'[1]Harga &amp; Nama CSO'!$A$28:$D$31,4,0)*BL663</f>
        <v>#N/A</v>
      </c>
    </row>
    <row r="664" spans="37:70" x14ac:dyDescent="0.35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>
        <v>0</v>
      </c>
      <c r="BR664" s="58" t="e">
        <f>VLOOKUP(AM664,'[1]Harga &amp; Nama CSO'!$A$28:$D$31,4,0)*BL664</f>
        <v>#N/A</v>
      </c>
    </row>
    <row r="665" spans="37:70" x14ac:dyDescent="0.35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>
        <v>0</v>
      </c>
      <c r="BR665" s="58" t="e">
        <f>VLOOKUP(AM665,'[1]Harga &amp; Nama CSO'!$A$28:$D$31,4,0)*BL665</f>
        <v>#N/A</v>
      </c>
    </row>
    <row r="666" spans="37:70" x14ac:dyDescent="0.35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>
        <v>0</v>
      </c>
      <c r="BR666" s="58" t="e">
        <f>VLOOKUP(AM666,'[1]Harga &amp; Nama CSO'!$A$28:$D$31,4,0)*BL666</f>
        <v>#N/A</v>
      </c>
    </row>
    <row r="667" spans="37:70" x14ac:dyDescent="0.35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>
        <v>0</v>
      </c>
      <c r="BR667" s="58" t="e">
        <f>VLOOKUP(AM667,'[1]Harga &amp; Nama CSO'!$A$28:$D$31,4,0)*BL667</f>
        <v>#N/A</v>
      </c>
    </row>
    <row r="668" spans="37:70" x14ac:dyDescent="0.35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>
        <v>0</v>
      </c>
      <c r="BR668" s="58" t="e">
        <f>VLOOKUP(AM668,'[1]Harga &amp; Nama CSO'!$A$28:$D$31,4,0)*BL668</f>
        <v>#N/A</v>
      </c>
    </row>
    <row r="669" spans="37:70" x14ac:dyDescent="0.35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>
        <v>0</v>
      </c>
      <c r="BR669" s="58" t="e">
        <f>VLOOKUP(AM669,'[1]Harga &amp; Nama CSO'!$A$28:$D$31,4,0)*BL669</f>
        <v>#N/A</v>
      </c>
    </row>
    <row r="670" spans="37:70" x14ac:dyDescent="0.35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>
        <v>0</v>
      </c>
      <c r="BR670" s="58" t="e">
        <f>VLOOKUP(AM670,'[1]Harga &amp; Nama CSO'!$A$28:$D$31,4,0)*BL670</f>
        <v>#N/A</v>
      </c>
    </row>
    <row r="671" spans="37:70" x14ac:dyDescent="0.35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>
        <v>0</v>
      </c>
      <c r="BR671" s="58" t="e">
        <f>VLOOKUP(AM671,'[1]Harga &amp; Nama CSO'!$A$28:$D$31,4,0)*BL671</f>
        <v>#N/A</v>
      </c>
    </row>
    <row r="672" spans="37:70" x14ac:dyDescent="0.35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>
        <v>0</v>
      </c>
      <c r="BR672" s="58" t="e">
        <f>VLOOKUP(AM672,'[1]Harga &amp; Nama CSO'!$A$28:$D$31,4,0)*BL672</f>
        <v>#N/A</v>
      </c>
    </row>
    <row r="673" spans="37:70" x14ac:dyDescent="0.35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>
        <v>0</v>
      </c>
      <c r="BR673" s="58" t="e">
        <f>VLOOKUP(AM673,'[1]Harga &amp; Nama CSO'!$A$28:$D$31,4,0)*BL673</f>
        <v>#N/A</v>
      </c>
    </row>
    <row r="674" spans="37:70" x14ac:dyDescent="0.35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>
        <v>0</v>
      </c>
      <c r="BR674" s="58" t="e">
        <f>VLOOKUP(AM674,'[1]Harga &amp; Nama CSO'!$A$28:$D$31,4,0)*BL674</f>
        <v>#N/A</v>
      </c>
    </row>
    <row r="675" spans="37:70" x14ac:dyDescent="0.35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>
        <v>0</v>
      </c>
      <c r="BR675" s="58" t="e">
        <f>VLOOKUP(AM675,'[1]Harga &amp; Nama CSO'!$A$28:$D$31,4,0)*BL675</f>
        <v>#N/A</v>
      </c>
    </row>
    <row r="676" spans="37:70" x14ac:dyDescent="0.35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>
        <v>0</v>
      </c>
      <c r="BR676" s="58" t="e">
        <f>VLOOKUP(AM676,'[1]Harga &amp; Nama CSO'!$A$28:$D$31,4,0)*BL676</f>
        <v>#N/A</v>
      </c>
    </row>
    <row r="677" spans="37:70" x14ac:dyDescent="0.35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>
        <v>0</v>
      </c>
      <c r="BR677" s="58" t="e">
        <f>VLOOKUP(AM677,'[1]Harga &amp; Nama CSO'!$A$28:$D$31,4,0)*BL677</f>
        <v>#N/A</v>
      </c>
    </row>
    <row r="678" spans="37:70" x14ac:dyDescent="0.35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>
        <v>0</v>
      </c>
      <c r="BR678" s="58" t="e">
        <f>VLOOKUP(AM678,'[1]Harga &amp; Nama CSO'!$A$28:$D$31,4,0)*BL678</f>
        <v>#N/A</v>
      </c>
    </row>
    <row r="679" spans="37:70" x14ac:dyDescent="0.35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>
        <v>0</v>
      </c>
      <c r="BR679" s="58" t="e">
        <f>VLOOKUP(AM679,'[1]Harga &amp; Nama CSO'!$A$28:$D$31,4,0)*BL679</f>
        <v>#N/A</v>
      </c>
    </row>
    <row r="680" spans="37:70" x14ac:dyDescent="0.35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>
        <v>0</v>
      </c>
      <c r="BR680" s="58" t="e">
        <f>VLOOKUP(AM680,'[1]Harga &amp; Nama CSO'!$A$28:$D$31,4,0)*BL680</f>
        <v>#N/A</v>
      </c>
    </row>
    <row r="681" spans="37:70" x14ac:dyDescent="0.35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>
        <v>0</v>
      </c>
      <c r="BR681" s="58" t="e">
        <f>VLOOKUP(AM681,'[1]Harga &amp; Nama CSO'!$A$28:$D$31,4,0)*BL681</f>
        <v>#N/A</v>
      </c>
    </row>
    <row r="682" spans="37:70" x14ac:dyDescent="0.35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>
        <v>0</v>
      </c>
      <c r="BR682" s="58" t="e">
        <f>VLOOKUP(AM682,'[1]Harga &amp; Nama CSO'!$A$28:$D$31,4,0)*BL682</f>
        <v>#N/A</v>
      </c>
    </row>
    <row r="683" spans="37:70" x14ac:dyDescent="0.35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>
        <v>0</v>
      </c>
      <c r="BR683" s="58" t="e">
        <f>VLOOKUP(AM683,'[1]Harga &amp; Nama CSO'!$A$28:$D$31,4,0)*BL683</f>
        <v>#N/A</v>
      </c>
    </row>
    <row r="684" spans="37:70" x14ac:dyDescent="0.35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>
        <v>0</v>
      </c>
      <c r="BR684" s="58" t="e">
        <f>VLOOKUP(AM684,'[1]Harga &amp; Nama CSO'!$A$28:$D$31,4,0)*BL684</f>
        <v>#N/A</v>
      </c>
    </row>
    <row r="685" spans="37:70" x14ac:dyDescent="0.35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>
        <v>0</v>
      </c>
      <c r="BR685" s="58" t="e">
        <f>VLOOKUP(AM685,'[1]Harga &amp; Nama CSO'!$A$28:$D$31,4,0)*BL685</f>
        <v>#N/A</v>
      </c>
    </row>
    <row r="686" spans="37:70" x14ac:dyDescent="0.35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>
        <v>0</v>
      </c>
      <c r="BR686" s="58" t="e">
        <f>VLOOKUP(AM686,'[1]Harga &amp; Nama CSO'!$A$28:$D$31,4,0)*BL686</f>
        <v>#N/A</v>
      </c>
    </row>
    <row r="687" spans="37:70" x14ac:dyDescent="0.35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>
        <v>0</v>
      </c>
      <c r="BR687" s="58" t="e">
        <f>VLOOKUP(AM687,'[1]Harga &amp; Nama CSO'!$A$28:$D$31,4,0)*BL687</f>
        <v>#N/A</v>
      </c>
    </row>
    <row r="688" spans="37:70" x14ac:dyDescent="0.35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>
        <v>0</v>
      </c>
      <c r="BR688" s="58" t="e">
        <f>VLOOKUP(AM688,'[1]Harga &amp; Nama CSO'!$A$28:$D$31,4,0)*BL688</f>
        <v>#N/A</v>
      </c>
    </row>
    <row r="689" spans="37:70" x14ac:dyDescent="0.35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>
        <v>0</v>
      </c>
      <c r="BR689" s="58" t="e">
        <f>VLOOKUP(AM689,'[1]Harga &amp; Nama CSO'!$A$28:$D$31,4,0)*BL689</f>
        <v>#N/A</v>
      </c>
    </row>
    <row r="690" spans="37:70" x14ac:dyDescent="0.35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>
        <v>0</v>
      </c>
      <c r="BR690" s="58" t="e">
        <f>VLOOKUP(AM690,'[1]Harga &amp; Nama CSO'!$A$28:$D$31,4,0)*BL690</f>
        <v>#N/A</v>
      </c>
    </row>
    <row r="691" spans="37:70" x14ac:dyDescent="0.35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>
        <v>0</v>
      </c>
      <c r="BR691" s="58" t="e">
        <f>VLOOKUP(AM691,'[1]Harga &amp; Nama CSO'!$A$28:$D$31,4,0)*BL691</f>
        <v>#N/A</v>
      </c>
    </row>
    <row r="692" spans="37:70" x14ac:dyDescent="0.35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>
        <v>0</v>
      </c>
      <c r="BR692" s="58" t="e">
        <f>VLOOKUP(AM692,'[1]Harga &amp; Nama CSO'!$A$28:$D$31,4,0)*BL692</f>
        <v>#N/A</v>
      </c>
    </row>
    <row r="693" spans="37:70" x14ac:dyDescent="0.35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>
        <v>0</v>
      </c>
      <c r="BR693" s="58" t="e">
        <f>VLOOKUP(AM693,'[1]Harga &amp; Nama CSO'!$A$28:$D$31,4,0)*BL693</f>
        <v>#N/A</v>
      </c>
    </row>
    <row r="694" spans="37:70" x14ac:dyDescent="0.35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>
        <v>0</v>
      </c>
      <c r="BR694" s="58" t="e">
        <f>VLOOKUP(AM694,'[1]Harga &amp; Nama CSO'!$A$28:$D$31,4,0)*BL694</f>
        <v>#N/A</v>
      </c>
    </row>
    <row r="695" spans="37:70" x14ac:dyDescent="0.35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>
        <v>0</v>
      </c>
      <c r="BR695" s="58" t="e">
        <f>VLOOKUP(AM695,'[1]Harga &amp; Nama CSO'!$A$28:$D$31,4,0)*BL695</f>
        <v>#N/A</v>
      </c>
    </row>
    <row r="696" spans="37:70" x14ac:dyDescent="0.35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>
        <v>0</v>
      </c>
      <c r="BR696" s="58" t="e">
        <f>VLOOKUP(AM696,'[1]Harga &amp; Nama CSO'!$A$28:$D$31,4,0)*BL696</f>
        <v>#N/A</v>
      </c>
    </row>
    <row r="697" spans="37:70" x14ac:dyDescent="0.35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>
        <v>0</v>
      </c>
      <c r="BR697" s="58" t="e">
        <f>VLOOKUP(AM697,'[1]Harga &amp; Nama CSO'!$A$28:$D$31,4,0)*BL697</f>
        <v>#N/A</v>
      </c>
    </row>
    <row r="698" spans="37:70" x14ac:dyDescent="0.35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>
        <v>0</v>
      </c>
      <c r="BR698" s="58" t="e">
        <f>VLOOKUP(AM698,'[1]Harga &amp; Nama CSO'!$A$28:$D$31,4,0)*BL698</f>
        <v>#N/A</v>
      </c>
    </row>
    <row r="699" spans="37:70" x14ac:dyDescent="0.35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>
        <v>0</v>
      </c>
      <c r="BR699" s="58" t="e">
        <f>VLOOKUP(AM699,'[1]Harga &amp; Nama CSO'!$A$28:$D$31,4,0)*BL699</f>
        <v>#N/A</v>
      </c>
    </row>
    <row r="700" spans="37:70" x14ac:dyDescent="0.35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>
        <v>0</v>
      </c>
      <c r="BR700" s="58" t="e">
        <f>VLOOKUP(AM700,'[1]Harga &amp; Nama CSO'!$A$28:$D$31,4,0)*BL700</f>
        <v>#N/A</v>
      </c>
    </row>
    <row r="701" spans="37:70" x14ac:dyDescent="0.35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>
        <v>0</v>
      </c>
      <c r="BR701" s="58" t="e">
        <f>VLOOKUP(AM701,'[1]Harga &amp; Nama CSO'!$A$28:$D$31,4,0)*BL701</f>
        <v>#N/A</v>
      </c>
    </row>
    <row r="702" spans="37:70" x14ac:dyDescent="0.35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>
        <v>0</v>
      </c>
      <c r="BR702" s="58" t="e">
        <f>VLOOKUP(AM702,'[1]Harga &amp; Nama CSO'!$A$28:$D$31,4,0)*BL702</f>
        <v>#N/A</v>
      </c>
    </row>
    <row r="703" spans="37:70" x14ac:dyDescent="0.35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>
        <v>0</v>
      </c>
      <c r="BR703" s="58" t="e">
        <f>VLOOKUP(AM703,'[1]Harga &amp; Nama CSO'!$A$28:$D$31,4,0)*BL703</f>
        <v>#N/A</v>
      </c>
    </row>
    <row r="704" spans="37:70" x14ac:dyDescent="0.35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>
        <v>0</v>
      </c>
      <c r="BR704" s="58" t="e">
        <f>VLOOKUP(AM704,'[1]Harga &amp; Nama CSO'!$A$28:$D$31,4,0)*BL704</f>
        <v>#N/A</v>
      </c>
    </row>
    <row r="705" spans="37:70" x14ac:dyDescent="0.35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>
        <v>0</v>
      </c>
      <c r="BR705" s="58" t="e">
        <f>VLOOKUP(AM705,'[1]Harga &amp; Nama CSO'!$A$28:$D$31,4,0)*BL705</f>
        <v>#N/A</v>
      </c>
    </row>
    <row r="706" spans="37:70" x14ac:dyDescent="0.35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>
        <v>0</v>
      </c>
      <c r="BR706" s="58" t="e">
        <f>VLOOKUP(AM706,'[1]Harga &amp; Nama CSO'!$A$28:$D$31,4,0)*BL706</f>
        <v>#N/A</v>
      </c>
    </row>
    <row r="707" spans="37:70" x14ac:dyDescent="0.35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>
        <v>0</v>
      </c>
      <c r="BR707" s="58" t="e">
        <f>VLOOKUP(AM707,'[1]Harga &amp; Nama CSO'!$A$28:$D$31,4,0)*BL707</f>
        <v>#N/A</v>
      </c>
    </row>
    <row r="708" spans="37:70" x14ac:dyDescent="0.35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>
        <v>0</v>
      </c>
      <c r="BR708" s="58" t="e">
        <f>VLOOKUP(AM708,'[1]Harga &amp; Nama CSO'!$A$28:$D$31,4,0)*BL708</f>
        <v>#N/A</v>
      </c>
    </row>
    <row r="709" spans="37:70" x14ac:dyDescent="0.35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>
        <v>0</v>
      </c>
      <c r="BR709" s="58" t="e">
        <f>VLOOKUP(AM709,'[1]Harga &amp; Nama CSO'!$A$28:$D$31,4,0)*BL709</f>
        <v>#N/A</v>
      </c>
    </row>
    <row r="710" spans="37:70" x14ac:dyDescent="0.35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>
        <v>0</v>
      </c>
      <c r="BR710" s="58" t="e">
        <f>VLOOKUP(AM710,'[1]Harga &amp; Nama CSO'!$A$28:$D$31,4,0)*BL710</f>
        <v>#N/A</v>
      </c>
    </row>
    <row r="711" spans="37:70" x14ac:dyDescent="0.35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>
        <v>0</v>
      </c>
      <c r="BR711" s="58" t="e">
        <f>VLOOKUP(AM711,'[1]Harga &amp; Nama CSO'!$A$28:$D$31,4,0)*BL711</f>
        <v>#N/A</v>
      </c>
    </row>
    <row r="712" spans="37:70" x14ac:dyDescent="0.35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>
        <v>0</v>
      </c>
      <c r="BR712" s="58" t="e">
        <f>VLOOKUP(AM712,'[1]Harga &amp; Nama CSO'!$A$28:$D$31,4,0)*BL712</f>
        <v>#N/A</v>
      </c>
    </row>
    <row r="713" spans="37:70" x14ac:dyDescent="0.35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>
        <v>0</v>
      </c>
      <c r="BR713" s="58" t="e">
        <f>VLOOKUP(AM713,'[1]Harga &amp; Nama CSO'!$A$28:$D$31,4,0)*BL713</f>
        <v>#N/A</v>
      </c>
    </row>
    <row r="714" spans="37:70" x14ac:dyDescent="0.35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>
        <v>0</v>
      </c>
      <c r="BR714" s="58" t="e">
        <f>VLOOKUP(AM714,'[1]Harga &amp; Nama CSO'!$A$28:$D$31,4,0)*BL714</f>
        <v>#N/A</v>
      </c>
    </row>
    <row r="715" spans="37:70" x14ac:dyDescent="0.35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>
        <v>0</v>
      </c>
      <c r="BR715" s="58" t="e">
        <f>VLOOKUP(AM715,'[1]Harga &amp; Nama CSO'!$A$28:$D$31,4,0)*BL715</f>
        <v>#N/A</v>
      </c>
    </row>
    <row r="716" spans="37:70" x14ac:dyDescent="0.35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>
        <v>0</v>
      </c>
      <c r="BR716" s="58" t="e">
        <f>VLOOKUP(AM716,'[1]Harga &amp; Nama CSO'!$A$28:$D$31,4,0)*BL716</f>
        <v>#N/A</v>
      </c>
    </row>
    <row r="717" spans="37:70" x14ac:dyDescent="0.35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>
        <v>0</v>
      </c>
      <c r="BR717" s="58" t="e">
        <f>VLOOKUP(AM717,'[1]Harga &amp; Nama CSO'!$A$28:$D$31,4,0)*BL717</f>
        <v>#N/A</v>
      </c>
    </row>
    <row r="718" spans="37:70" x14ac:dyDescent="0.35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>
        <v>0</v>
      </c>
      <c r="BR718" s="58" t="e">
        <f>VLOOKUP(AM718,'[1]Harga &amp; Nama CSO'!$A$28:$D$31,4,0)*BL718</f>
        <v>#N/A</v>
      </c>
    </row>
    <row r="719" spans="37:70" x14ac:dyDescent="0.35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>
        <v>0</v>
      </c>
      <c r="BR719" s="58" t="e">
        <f>VLOOKUP(AM719,'[1]Harga &amp; Nama CSO'!$A$28:$D$31,4,0)*BL719</f>
        <v>#N/A</v>
      </c>
    </row>
    <row r="720" spans="37:70" x14ac:dyDescent="0.35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>
        <v>0</v>
      </c>
      <c r="BR720" s="58" t="e">
        <f>VLOOKUP(AM720,'[1]Harga &amp; Nama CSO'!$A$28:$D$31,4,0)*BL720</f>
        <v>#N/A</v>
      </c>
    </row>
    <row r="721" spans="37:70" x14ac:dyDescent="0.35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>
        <v>0</v>
      </c>
      <c r="BR721" s="58" t="e">
        <f>VLOOKUP(AM721,'[1]Harga &amp; Nama CSO'!$A$28:$D$31,4,0)*BL721</f>
        <v>#N/A</v>
      </c>
    </row>
    <row r="722" spans="37:70" x14ac:dyDescent="0.35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>
        <v>0</v>
      </c>
      <c r="BR722" s="58" t="e">
        <f>VLOOKUP(AM722,'[1]Harga &amp; Nama CSO'!$A$28:$D$31,4,0)*BL722</f>
        <v>#N/A</v>
      </c>
    </row>
    <row r="723" spans="37:70" x14ac:dyDescent="0.35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>
        <v>0</v>
      </c>
      <c r="BR723" s="58" t="e">
        <f>VLOOKUP(AM723,'[1]Harga &amp; Nama CSO'!$A$28:$D$31,4,0)*BL723</f>
        <v>#N/A</v>
      </c>
    </row>
    <row r="724" spans="37:70" x14ac:dyDescent="0.35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>
        <v>0</v>
      </c>
      <c r="BR724" s="58" t="e">
        <f>VLOOKUP(AM724,'[1]Harga &amp; Nama CSO'!$A$28:$D$31,4,0)*BL724</f>
        <v>#N/A</v>
      </c>
    </row>
    <row r="725" spans="37:70" x14ac:dyDescent="0.35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>
        <v>0</v>
      </c>
      <c r="BR725" s="58" t="e">
        <f>VLOOKUP(AM725,'[1]Harga &amp; Nama CSO'!$A$28:$D$31,4,0)*BL725</f>
        <v>#N/A</v>
      </c>
    </row>
    <row r="726" spans="37:70" x14ac:dyDescent="0.35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>
        <v>0</v>
      </c>
      <c r="BR726" s="58" t="e">
        <f>VLOOKUP(AM726,'[1]Harga &amp; Nama CSO'!$A$28:$D$31,4,0)*BL726</f>
        <v>#N/A</v>
      </c>
    </row>
    <row r="727" spans="37:70" x14ac:dyDescent="0.35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>
        <v>0</v>
      </c>
      <c r="BR727" s="58" t="e">
        <f>VLOOKUP(AM727,'[1]Harga &amp; Nama CSO'!$A$28:$D$31,4,0)*BL727</f>
        <v>#N/A</v>
      </c>
    </row>
    <row r="728" spans="37:70" x14ac:dyDescent="0.35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>
        <v>0</v>
      </c>
      <c r="BR728" s="58" t="e">
        <f>VLOOKUP(AM728,'[1]Harga &amp; Nama CSO'!$A$28:$D$31,4,0)*BL728</f>
        <v>#N/A</v>
      </c>
    </row>
    <row r="729" spans="37:70" x14ac:dyDescent="0.35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>
        <v>0</v>
      </c>
      <c r="BR729" s="58" t="e">
        <f>VLOOKUP(AM729,'[1]Harga &amp; Nama CSO'!$A$28:$D$31,4,0)*BL729</f>
        <v>#N/A</v>
      </c>
    </row>
    <row r="730" spans="37:70" x14ac:dyDescent="0.35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>
        <v>0</v>
      </c>
      <c r="BR730" s="58" t="e">
        <f>VLOOKUP(AM730,'[1]Harga &amp; Nama CSO'!$A$28:$D$31,4,0)*BL730</f>
        <v>#N/A</v>
      </c>
    </row>
    <row r="731" spans="37:70" x14ac:dyDescent="0.35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>
        <v>0</v>
      </c>
      <c r="BR731" s="58" t="e">
        <f>VLOOKUP(AM731,'[1]Harga &amp; Nama CSO'!$A$28:$D$31,4,0)*BL731</f>
        <v>#N/A</v>
      </c>
    </row>
    <row r="732" spans="37:70" x14ac:dyDescent="0.35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>
        <v>0</v>
      </c>
      <c r="BR732" s="58" t="e">
        <f>VLOOKUP(AM732,'[1]Harga &amp; Nama CSO'!$A$28:$D$31,4,0)*BL732</f>
        <v>#N/A</v>
      </c>
    </row>
    <row r="733" spans="37:70" x14ac:dyDescent="0.35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>
        <v>0</v>
      </c>
      <c r="BR733" s="58" t="e">
        <f>VLOOKUP(AM733,'[1]Harga &amp; Nama CSO'!$A$28:$D$31,4,0)*BL733</f>
        <v>#N/A</v>
      </c>
    </row>
    <row r="734" spans="37:70" x14ac:dyDescent="0.35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>
        <v>0</v>
      </c>
      <c r="BR734" s="58" t="e">
        <f>VLOOKUP(AM734,'[1]Harga &amp; Nama CSO'!$A$28:$D$31,4,0)*BL734</f>
        <v>#N/A</v>
      </c>
    </row>
    <row r="735" spans="37:70" x14ac:dyDescent="0.35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>
        <v>0</v>
      </c>
      <c r="BR735" s="58" t="e">
        <f>VLOOKUP(AM735,'[1]Harga &amp; Nama CSO'!$A$28:$D$31,4,0)*BL735</f>
        <v>#N/A</v>
      </c>
    </row>
    <row r="736" spans="37:70" x14ac:dyDescent="0.35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>
        <v>0</v>
      </c>
      <c r="BR736" s="58" t="e">
        <f>VLOOKUP(AM736,'[1]Harga &amp; Nama CSO'!$A$28:$D$31,4,0)*BL736</f>
        <v>#N/A</v>
      </c>
    </row>
    <row r="737" spans="37:70" x14ac:dyDescent="0.35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>
        <v>0</v>
      </c>
      <c r="BR737" s="58" t="e">
        <f>VLOOKUP(AM737,'[1]Harga &amp; Nama CSO'!$A$28:$D$31,4,0)*BL737</f>
        <v>#N/A</v>
      </c>
    </row>
    <row r="738" spans="37:70" x14ac:dyDescent="0.35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>
        <v>0</v>
      </c>
      <c r="BR738" s="58" t="e">
        <f>VLOOKUP(AM738,'[1]Harga &amp; Nama CSO'!$A$28:$D$31,4,0)*BL738</f>
        <v>#N/A</v>
      </c>
    </row>
    <row r="739" spans="37:70" x14ac:dyDescent="0.35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>
        <v>0</v>
      </c>
      <c r="BR739" s="58" t="e">
        <f>VLOOKUP(AM739,'[1]Harga &amp; Nama CSO'!$A$28:$D$31,4,0)*BL739</f>
        <v>#N/A</v>
      </c>
    </row>
    <row r="740" spans="37:70" x14ac:dyDescent="0.35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>
        <v>0</v>
      </c>
      <c r="BR740" s="58" t="e">
        <f>VLOOKUP(AM740,'[1]Harga &amp; Nama CSO'!$A$28:$D$31,4,0)*BL740</f>
        <v>#N/A</v>
      </c>
    </row>
    <row r="741" spans="37:70" x14ac:dyDescent="0.35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>
        <v>0</v>
      </c>
      <c r="BR741" s="58" t="e">
        <f>VLOOKUP(AM741,'[1]Harga &amp; Nama CSO'!$A$28:$D$31,4,0)*BL741</f>
        <v>#N/A</v>
      </c>
    </row>
    <row r="742" spans="37:70" x14ac:dyDescent="0.35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>
        <v>0</v>
      </c>
      <c r="BR742" s="58" t="e">
        <f>VLOOKUP(AM742,'[1]Harga &amp; Nama CSO'!$A$28:$D$31,4,0)*BL742</f>
        <v>#N/A</v>
      </c>
    </row>
    <row r="743" spans="37:70" x14ac:dyDescent="0.35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>
        <v>0</v>
      </c>
      <c r="BR743" s="58" t="e">
        <f>VLOOKUP(AM743,'[1]Harga &amp; Nama CSO'!$A$28:$D$31,4,0)*BL743</f>
        <v>#N/A</v>
      </c>
    </row>
    <row r="744" spans="37:70" x14ac:dyDescent="0.35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>
        <v>0</v>
      </c>
      <c r="BR744" s="58" t="e">
        <f>VLOOKUP(AM744,'[1]Harga &amp; Nama CSO'!$A$28:$D$31,4,0)*BL744</f>
        <v>#N/A</v>
      </c>
    </row>
    <row r="745" spans="37:70" x14ac:dyDescent="0.35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>
        <v>0</v>
      </c>
      <c r="BR745" s="58" t="e">
        <f>VLOOKUP(AM745,'[1]Harga &amp; Nama CSO'!$A$28:$D$31,4,0)*BL745</f>
        <v>#N/A</v>
      </c>
    </row>
    <row r="746" spans="37:70" x14ac:dyDescent="0.35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>
        <v>0</v>
      </c>
      <c r="BR746" s="58" t="e">
        <f>VLOOKUP(AM746,'[1]Harga &amp; Nama CSO'!$A$28:$D$31,4,0)*BL746</f>
        <v>#N/A</v>
      </c>
    </row>
    <row r="747" spans="37:70" x14ac:dyDescent="0.35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>
        <v>0</v>
      </c>
      <c r="BR747" s="58" t="e">
        <f>VLOOKUP(AM747,'[1]Harga &amp; Nama CSO'!$A$28:$D$31,4,0)*BL747</f>
        <v>#N/A</v>
      </c>
    </row>
    <row r="748" spans="37:70" x14ac:dyDescent="0.35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>
        <v>0</v>
      </c>
      <c r="BR748" s="58" t="e">
        <f>VLOOKUP(AM748,'[1]Harga &amp; Nama CSO'!$A$28:$D$31,4,0)*BL748</f>
        <v>#N/A</v>
      </c>
    </row>
    <row r="749" spans="37:70" x14ac:dyDescent="0.35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>
        <v>0</v>
      </c>
      <c r="BR749" s="58" t="e">
        <f>VLOOKUP(AM749,'[1]Harga &amp; Nama CSO'!$A$28:$D$31,4,0)*BL749</f>
        <v>#N/A</v>
      </c>
    </row>
    <row r="750" spans="37:70" x14ac:dyDescent="0.35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>
        <v>0</v>
      </c>
      <c r="BR750" s="58" t="e">
        <f>VLOOKUP(AM750,'[1]Harga &amp; Nama CSO'!$A$28:$D$31,4,0)*BL750</f>
        <v>#N/A</v>
      </c>
    </row>
    <row r="751" spans="37:70" x14ac:dyDescent="0.35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>
        <v>0</v>
      </c>
      <c r="BR751" s="58" t="e">
        <f>VLOOKUP(AM751,'[1]Harga &amp; Nama CSO'!$A$28:$D$31,4,0)*BL751</f>
        <v>#N/A</v>
      </c>
    </row>
    <row r="752" spans="37:70" x14ac:dyDescent="0.35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>
        <v>0</v>
      </c>
      <c r="BR752" s="58" t="e">
        <f>VLOOKUP(AM752,'[1]Harga &amp; Nama CSO'!$A$28:$D$31,4,0)*BL752</f>
        <v>#N/A</v>
      </c>
    </row>
    <row r="753" spans="37:70" x14ac:dyDescent="0.35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>
        <v>0</v>
      </c>
      <c r="BR753" s="58" t="e">
        <f>VLOOKUP(AM753,'[1]Harga &amp; Nama CSO'!$A$28:$D$31,4,0)*BL753</f>
        <v>#N/A</v>
      </c>
    </row>
    <row r="754" spans="37:70" x14ac:dyDescent="0.35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>
        <v>0</v>
      </c>
      <c r="BR754" s="58" t="e">
        <f>VLOOKUP(AM754,'[1]Harga &amp; Nama CSO'!$A$28:$D$31,4,0)*BL754</f>
        <v>#N/A</v>
      </c>
    </row>
    <row r="755" spans="37:70" x14ac:dyDescent="0.35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>
        <v>0</v>
      </c>
      <c r="BR755" s="58" t="e">
        <f>VLOOKUP(AM755,'[1]Harga &amp; Nama CSO'!$A$28:$D$31,4,0)*BL755</f>
        <v>#N/A</v>
      </c>
    </row>
    <row r="756" spans="37:70" x14ac:dyDescent="0.35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>
        <v>0</v>
      </c>
      <c r="BR756" s="58" t="e">
        <f>VLOOKUP(AM756,'[1]Harga &amp; Nama CSO'!$A$28:$D$31,4,0)*BL756</f>
        <v>#N/A</v>
      </c>
    </row>
    <row r="757" spans="37:70" x14ac:dyDescent="0.35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>
        <v>0</v>
      </c>
      <c r="BR757" s="58" t="e">
        <f>VLOOKUP(AM757,'[1]Harga &amp; Nama CSO'!$A$28:$D$31,4,0)*BL757</f>
        <v>#N/A</v>
      </c>
    </row>
    <row r="758" spans="37:70" x14ac:dyDescent="0.35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>
        <v>0</v>
      </c>
      <c r="BR758" s="58" t="e">
        <f>VLOOKUP(AM758,'[1]Harga &amp; Nama CSO'!$A$28:$D$31,4,0)*BL758</f>
        <v>#N/A</v>
      </c>
    </row>
    <row r="759" spans="37:70" x14ac:dyDescent="0.35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>
        <v>0</v>
      </c>
      <c r="BR759" s="58" t="e">
        <f>VLOOKUP(AM759,'[1]Harga &amp; Nama CSO'!$A$28:$D$31,4,0)*BL759</f>
        <v>#N/A</v>
      </c>
    </row>
    <row r="760" spans="37:70" x14ac:dyDescent="0.35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>
        <v>0</v>
      </c>
      <c r="BR760" s="58" t="e">
        <f>VLOOKUP(AM760,'[1]Harga &amp; Nama CSO'!$A$28:$D$31,4,0)*BL760</f>
        <v>#N/A</v>
      </c>
    </row>
    <row r="761" spans="37:70" x14ac:dyDescent="0.35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>
        <v>0</v>
      </c>
      <c r="BR761" s="58" t="e">
        <f>VLOOKUP(AM761,'[1]Harga &amp; Nama CSO'!$A$28:$D$31,4,0)*BL761</f>
        <v>#N/A</v>
      </c>
    </row>
    <row r="762" spans="37:70" x14ac:dyDescent="0.35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>
        <v>0</v>
      </c>
      <c r="BR762" s="58" t="e">
        <f>VLOOKUP(AM762,'[1]Harga &amp; Nama CSO'!$A$28:$D$31,4,0)*BL762</f>
        <v>#N/A</v>
      </c>
    </row>
    <row r="763" spans="37:70" x14ac:dyDescent="0.35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>
        <v>0</v>
      </c>
      <c r="BR763" s="58" t="e">
        <f>VLOOKUP(AM763,'[1]Harga &amp; Nama CSO'!$A$28:$D$31,4,0)*BL763</f>
        <v>#N/A</v>
      </c>
    </row>
    <row r="764" spans="37:70" x14ac:dyDescent="0.35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>
        <v>0</v>
      </c>
      <c r="BR764" s="58" t="e">
        <f>VLOOKUP(AM764,'[1]Harga &amp; Nama CSO'!$A$28:$D$31,4,0)*BL764</f>
        <v>#N/A</v>
      </c>
    </row>
    <row r="765" spans="37:70" x14ac:dyDescent="0.35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>
        <v>0</v>
      </c>
      <c r="BR765" s="58" t="e">
        <f>VLOOKUP(AM765,'[1]Harga &amp; Nama CSO'!$A$28:$D$31,4,0)*BL765</f>
        <v>#N/A</v>
      </c>
    </row>
    <row r="766" spans="37:70" x14ac:dyDescent="0.35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>
        <v>0</v>
      </c>
      <c r="BR766" s="58" t="e">
        <f>VLOOKUP(AM766,'[1]Harga &amp; Nama CSO'!$A$28:$D$31,4,0)*BL766</f>
        <v>#N/A</v>
      </c>
    </row>
    <row r="767" spans="37:70" x14ac:dyDescent="0.35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>
        <v>0</v>
      </c>
      <c r="BR767" s="58" t="e">
        <f>VLOOKUP(AM767,'[1]Harga &amp; Nama CSO'!$A$28:$D$31,4,0)*BL767</f>
        <v>#N/A</v>
      </c>
    </row>
    <row r="768" spans="37:70" x14ac:dyDescent="0.35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>
        <v>0</v>
      </c>
      <c r="BR768" s="58" t="e">
        <f>VLOOKUP(AM768,'[1]Harga &amp; Nama CSO'!$A$28:$D$31,4,0)*BL768</f>
        <v>#N/A</v>
      </c>
    </row>
    <row r="769" spans="37:70" x14ac:dyDescent="0.35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>
        <v>0</v>
      </c>
      <c r="BR769" s="58" t="e">
        <f>VLOOKUP(AM769,'[1]Harga &amp; Nama CSO'!$A$28:$D$31,4,0)*BL769</f>
        <v>#N/A</v>
      </c>
    </row>
    <row r="770" spans="37:70" x14ac:dyDescent="0.35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>
        <v>0</v>
      </c>
      <c r="BR770" s="58" t="e">
        <f>VLOOKUP(AM770,'[1]Harga &amp; Nama CSO'!$A$28:$D$31,4,0)*BL770</f>
        <v>#N/A</v>
      </c>
    </row>
    <row r="771" spans="37:70" x14ac:dyDescent="0.35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>
        <v>0</v>
      </c>
      <c r="BR771" s="58" t="e">
        <f>VLOOKUP(AM771,'[1]Harga &amp; Nama CSO'!$A$28:$D$31,4,0)*BL771</f>
        <v>#N/A</v>
      </c>
    </row>
    <row r="772" spans="37:70" x14ac:dyDescent="0.35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>
        <v>0</v>
      </c>
      <c r="BR772" s="58" t="e">
        <f>VLOOKUP(AM772,'[1]Harga &amp; Nama CSO'!$A$28:$D$31,4,0)*BL772</f>
        <v>#N/A</v>
      </c>
    </row>
    <row r="773" spans="37:70" x14ac:dyDescent="0.35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>
        <v>0</v>
      </c>
      <c r="BR773" s="58" t="e">
        <f>VLOOKUP(AM773,'[1]Harga &amp; Nama CSO'!$A$28:$D$31,4,0)*BL773</f>
        <v>#N/A</v>
      </c>
    </row>
    <row r="774" spans="37:70" x14ac:dyDescent="0.35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>
        <v>0</v>
      </c>
      <c r="BR774" s="58" t="e">
        <f>VLOOKUP(AM774,'[1]Harga &amp; Nama CSO'!$A$28:$D$31,4,0)*BL774</f>
        <v>#N/A</v>
      </c>
    </row>
    <row r="775" spans="37:70" x14ac:dyDescent="0.35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>
        <v>0</v>
      </c>
      <c r="BR775" s="58" t="e">
        <f>VLOOKUP(AM775,'[1]Harga &amp; Nama CSO'!$A$28:$D$31,4,0)*BL775</f>
        <v>#N/A</v>
      </c>
    </row>
    <row r="776" spans="37:70" x14ac:dyDescent="0.35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>
        <v>0</v>
      </c>
      <c r="BR776" s="58" t="e">
        <f>VLOOKUP(AM776,'[1]Harga &amp; Nama CSO'!$A$28:$D$31,4,0)*BL776</f>
        <v>#N/A</v>
      </c>
    </row>
    <row r="777" spans="37:70" x14ac:dyDescent="0.35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>
        <v>0</v>
      </c>
      <c r="BR777" s="58" t="e">
        <f>VLOOKUP(AM777,'[1]Harga &amp; Nama CSO'!$A$28:$D$31,4,0)*BL777</f>
        <v>#N/A</v>
      </c>
    </row>
    <row r="778" spans="37:70" x14ac:dyDescent="0.35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>
        <v>0</v>
      </c>
      <c r="BR778" s="58" t="e">
        <f>VLOOKUP(AM778,'[1]Harga &amp; Nama CSO'!$A$28:$D$31,4,0)*BL778</f>
        <v>#N/A</v>
      </c>
    </row>
    <row r="779" spans="37:70" x14ac:dyDescent="0.35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>
        <v>0</v>
      </c>
      <c r="BR779" s="58" t="e">
        <f>VLOOKUP(AM779,'[1]Harga &amp; Nama CSO'!$A$28:$D$31,4,0)*BL779</f>
        <v>#N/A</v>
      </c>
    </row>
    <row r="780" spans="37:70" x14ac:dyDescent="0.35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>
        <v>0</v>
      </c>
      <c r="BR780" s="58" t="e">
        <f>VLOOKUP(AM780,'[1]Harga &amp; Nama CSO'!$A$28:$D$31,4,0)*BL780</f>
        <v>#N/A</v>
      </c>
    </row>
    <row r="781" spans="37:70" x14ac:dyDescent="0.35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>
        <v>0</v>
      </c>
      <c r="BR781" s="58" t="e">
        <f>VLOOKUP(AM781,'[1]Harga &amp; Nama CSO'!$A$28:$D$31,4,0)*BL781</f>
        <v>#N/A</v>
      </c>
    </row>
    <row r="782" spans="37:70" x14ac:dyDescent="0.35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>
        <v>0</v>
      </c>
      <c r="BR782" s="58" t="e">
        <f>VLOOKUP(AM782,'[1]Harga &amp; Nama CSO'!$A$28:$D$31,4,0)*BL782</f>
        <v>#N/A</v>
      </c>
    </row>
    <row r="783" spans="37:70" x14ac:dyDescent="0.35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>
        <v>0</v>
      </c>
      <c r="BR783" s="58" t="e">
        <f>VLOOKUP(AM783,'[1]Harga &amp; Nama CSO'!$A$28:$D$31,4,0)*BL783</f>
        <v>#N/A</v>
      </c>
    </row>
    <row r="784" spans="37:70" x14ac:dyDescent="0.35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>
        <v>0</v>
      </c>
      <c r="BR784" s="58" t="e">
        <f>VLOOKUP(AM784,'[1]Harga &amp; Nama CSO'!$A$28:$D$31,4,0)*BL784</f>
        <v>#N/A</v>
      </c>
    </row>
    <row r="785" spans="37:70" x14ac:dyDescent="0.35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>
        <v>0</v>
      </c>
      <c r="BR785" s="58" t="e">
        <f>VLOOKUP(AM785,'[1]Harga &amp; Nama CSO'!$A$28:$D$31,4,0)*BL785</f>
        <v>#N/A</v>
      </c>
    </row>
    <row r="786" spans="37:70" x14ac:dyDescent="0.35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>
        <v>0</v>
      </c>
      <c r="BR786" s="58" t="e">
        <f>VLOOKUP(AM786,'[1]Harga &amp; Nama CSO'!$A$28:$D$31,4,0)*BL786</f>
        <v>#N/A</v>
      </c>
    </row>
    <row r="787" spans="37:70" x14ac:dyDescent="0.35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>
        <v>0</v>
      </c>
      <c r="BR787" s="58" t="e">
        <f>VLOOKUP(AM787,'[1]Harga &amp; Nama CSO'!$A$28:$D$31,4,0)*BL787</f>
        <v>#N/A</v>
      </c>
    </row>
    <row r="788" spans="37:70" x14ac:dyDescent="0.35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>
        <v>0</v>
      </c>
      <c r="BR788" s="58" t="e">
        <f>VLOOKUP(AM788,'[1]Harga &amp; Nama CSO'!$A$28:$D$31,4,0)*BL788</f>
        <v>#N/A</v>
      </c>
    </row>
    <row r="789" spans="37:70" x14ac:dyDescent="0.35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>
        <v>0</v>
      </c>
      <c r="BR789" s="58" t="e">
        <f>VLOOKUP(AM789,'[1]Harga &amp; Nama CSO'!$A$28:$D$31,4,0)*BL789</f>
        <v>#N/A</v>
      </c>
    </row>
    <row r="790" spans="37:70" x14ac:dyDescent="0.35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>
        <v>0</v>
      </c>
      <c r="BR790" s="58" t="e">
        <f>VLOOKUP(AM790,'[1]Harga &amp; Nama CSO'!$A$28:$D$31,4,0)*BL790</f>
        <v>#N/A</v>
      </c>
    </row>
    <row r="791" spans="37:70" x14ac:dyDescent="0.35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>
        <v>0</v>
      </c>
      <c r="BR791" s="58" t="e">
        <f>VLOOKUP(AM791,'[1]Harga &amp; Nama CSO'!$A$28:$D$31,4,0)*BL791</f>
        <v>#N/A</v>
      </c>
    </row>
    <row r="792" spans="37:70" x14ac:dyDescent="0.35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>
        <v>0</v>
      </c>
      <c r="BR792" s="58" t="e">
        <f>VLOOKUP(AM792,'[1]Harga &amp; Nama CSO'!$A$28:$D$31,4,0)*BL792</f>
        <v>#N/A</v>
      </c>
    </row>
    <row r="793" spans="37:70" x14ac:dyDescent="0.35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>
        <v>0</v>
      </c>
      <c r="BR793" s="58" t="e">
        <f>VLOOKUP(AM793,'[1]Harga &amp; Nama CSO'!$A$28:$D$31,4,0)*BL793</f>
        <v>#N/A</v>
      </c>
    </row>
    <row r="794" spans="37:70" x14ac:dyDescent="0.35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>
        <v>0</v>
      </c>
      <c r="BR794" s="58" t="e">
        <f>VLOOKUP(AM794,'[1]Harga &amp; Nama CSO'!$A$28:$D$31,4,0)*BL794</f>
        <v>#N/A</v>
      </c>
    </row>
    <row r="795" spans="37:70" x14ac:dyDescent="0.35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>
        <v>0</v>
      </c>
      <c r="BR795" s="58" t="e">
        <f>VLOOKUP(AM795,'[1]Harga &amp; Nama CSO'!$A$28:$D$31,4,0)*BL795</f>
        <v>#N/A</v>
      </c>
    </row>
    <row r="796" spans="37:70" x14ac:dyDescent="0.35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>
        <v>0</v>
      </c>
      <c r="BR796" s="58" t="e">
        <f>VLOOKUP(AM796,'[1]Harga &amp; Nama CSO'!$A$28:$D$31,4,0)*BL796</f>
        <v>#N/A</v>
      </c>
    </row>
    <row r="797" spans="37:70" x14ac:dyDescent="0.35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>
        <v>0</v>
      </c>
      <c r="BR797" s="58" t="e">
        <f>VLOOKUP(AM797,'[1]Harga &amp; Nama CSO'!$A$28:$D$31,4,0)*BL797</f>
        <v>#N/A</v>
      </c>
    </row>
    <row r="798" spans="37:70" x14ac:dyDescent="0.35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>
        <v>0</v>
      </c>
      <c r="BR798" s="58" t="e">
        <f>VLOOKUP(AM798,'[1]Harga &amp; Nama CSO'!$A$28:$D$31,4,0)*BL798</f>
        <v>#N/A</v>
      </c>
    </row>
    <row r="799" spans="37:70" x14ac:dyDescent="0.35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>
        <v>0</v>
      </c>
      <c r="BR799" s="58" t="e">
        <f>VLOOKUP(AM799,'[1]Harga &amp; Nama CSO'!$A$28:$D$31,4,0)*BL799</f>
        <v>#N/A</v>
      </c>
    </row>
    <row r="800" spans="37:70" x14ac:dyDescent="0.35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>
        <v>0</v>
      </c>
      <c r="BR800" s="58" t="e">
        <f>VLOOKUP(AM800,'[1]Harga &amp; Nama CSO'!$A$28:$D$31,4,0)*BL800</f>
        <v>#N/A</v>
      </c>
    </row>
    <row r="801" spans="37:70" x14ac:dyDescent="0.35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>
        <v>0</v>
      </c>
      <c r="BR801" s="58" t="e">
        <f>VLOOKUP(AM801,'[1]Harga &amp; Nama CSO'!$A$28:$D$31,4,0)*BL801</f>
        <v>#N/A</v>
      </c>
    </row>
    <row r="802" spans="37:70" x14ac:dyDescent="0.35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>
        <v>0</v>
      </c>
      <c r="BR802" s="58" t="e">
        <f>VLOOKUP(AM802,'[1]Harga &amp; Nama CSO'!$A$28:$D$31,4,0)*BL802</f>
        <v>#N/A</v>
      </c>
    </row>
    <row r="803" spans="37:70" x14ac:dyDescent="0.35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>
        <v>0</v>
      </c>
      <c r="BR803" s="58" t="e">
        <f>VLOOKUP(AM803,'[1]Harga &amp; Nama CSO'!$A$28:$D$31,4,0)*BL803</f>
        <v>#N/A</v>
      </c>
    </row>
    <row r="804" spans="37:70" x14ac:dyDescent="0.35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>
        <v>0</v>
      </c>
      <c r="BR804" s="58" t="e">
        <f>VLOOKUP(AM804,'[1]Harga &amp; Nama CSO'!$A$28:$D$31,4,0)*BL804</f>
        <v>#N/A</v>
      </c>
    </row>
    <row r="805" spans="37:70" x14ac:dyDescent="0.35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>
        <v>0</v>
      </c>
      <c r="BR805" s="58" t="e">
        <f>VLOOKUP(AM805,'[1]Harga &amp; Nama CSO'!$A$28:$D$31,4,0)*BL805</f>
        <v>#N/A</v>
      </c>
    </row>
    <row r="806" spans="37:70" x14ac:dyDescent="0.35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>
        <v>0</v>
      </c>
      <c r="BR806" s="58" t="e">
        <f>VLOOKUP(AM806,'[1]Harga &amp; Nama CSO'!$A$28:$D$31,4,0)*BL806</f>
        <v>#N/A</v>
      </c>
    </row>
    <row r="807" spans="37:70" x14ac:dyDescent="0.35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>
        <v>0</v>
      </c>
      <c r="BR807" s="58" t="e">
        <f>VLOOKUP(AM807,'[1]Harga &amp; Nama CSO'!$A$28:$D$31,4,0)*BL807</f>
        <v>#N/A</v>
      </c>
    </row>
    <row r="808" spans="37:70" x14ac:dyDescent="0.35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>
        <v>0</v>
      </c>
      <c r="BR808" s="58" t="e">
        <f>VLOOKUP(AM808,'[1]Harga &amp; Nama CSO'!$A$28:$D$31,4,0)*BL808</f>
        <v>#N/A</v>
      </c>
    </row>
    <row r="809" spans="37:70" x14ac:dyDescent="0.35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>
        <v>0</v>
      </c>
      <c r="BR809" s="58" t="e">
        <f>VLOOKUP(AM809,'[1]Harga &amp; Nama CSO'!$A$28:$D$31,4,0)*BL809</f>
        <v>#N/A</v>
      </c>
    </row>
    <row r="810" spans="37:70" x14ac:dyDescent="0.35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>
        <v>0</v>
      </c>
      <c r="BR810" s="58" t="e">
        <f>VLOOKUP(AM810,'[1]Harga &amp; Nama CSO'!$A$28:$D$31,4,0)*BL810</f>
        <v>#N/A</v>
      </c>
    </row>
    <row r="811" spans="37:70" x14ac:dyDescent="0.35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>
        <v>0</v>
      </c>
      <c r="BR811" s="58" t="e">
        <f>VLOOKUP(AM811,'[1]Harga &amp; Nama CSO'!$A$28:$D$31,4,0)*BL811</f>
        <v>#N/A</v>
      </c>
    </row>
    <row r="812" spans="37:70" x14ac:dyDescent="0.35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>
        <v>0</v>
      </c>
      <c r="BR812" s="58" t="e">
        <f>VLOOKUP(AM812,'[1]Harga &amp; Nama CSO'!$A$28:$D$31,4,0)*BL812</f>
        <v>#N/A</v>
      </c>
    </row>
    <row r="813" spans="37:70" x14ac:dyDescent="0.35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>
        <v>0</v>
      </c>
      <c r="BR813" s="58" t="e">
        <f>VLOOKUP(AM813,'[1]Harga &amp; Nama CSO'!$A$28:$D$31,4,0)*BL813</f>
        <v>#N/A</v>
      </c>
    </row>
    <row r="814" spans="37:70" x14ac:dyDescent="0.35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>
        <v>0</v>
      </c>
      <c r="BR814" s="58" t="e">
        <f>VLOOKUP(AM814,'[1]Harga &amp; Nama CSO'!$A$28:$D$31,4,0)*BL814</f>
        <v>#N/A</v>
      </c>
    </row>
    <row r="815" spans="37:70" x14ac:dyDescent="0.35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>
        <v>0</v>
      </c>
      <c r="BR815" s="58" t="e">
        <f>VLOOKUP(AM815,'[1]Harga &amp; Nama CSO'!$A$28:$D$31,4,0)*BL815</f>
        <v>#N/A</v>
      </c>
    </row>
    <row r="816" spans="37:70" x14ac:dyDescent="0.35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>
        <v>0</v>
      </c>
      <c r="BR816" s="58" t="e">
        <f>VLOOKUP(AM816,'[1]Harga &amp; Nama CSO'!$A$28:$D$31,4,0)*BL816</f>
        <v>#N/A</v>
      </c>
    </row>
    <row r="817" spans="37:70" x14ac:dyDescent="0.35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>
        <v>0</v>
      </c>
      <c r="BR817" s="58" t="e">
        <f>VLOOKUP(AM817,'[1]Harga &amp; Nama CSO'!$A$28:$D$31,4,0)*BL817</f>
        <v>#N/A</v>
      </c>
    </row>
    <row r="818" spans="37:70" x14ac:dyDescent="0.35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>
        <v>0</v>
      </c>
      <c r="BR818" s="58" t="e">
        <f>VLOOKUP(AM818,'[1]Harga &amp; Nama CSO'!$A$28:$D$31,4,0)*BL818</f>
        <v>#N/A</v>
      </c>
    </row>
    <row r="819" spans="37:70" x14ac:dyDescent="0.35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>
        <v>0</v>
      </c>
      <c r="BR819" s="58" t="e">
        <f>VLOOKUP(AM819,'[1]Harga &amp; Nama CSO'!$A$28:$D$31,4,0)*BL819</f>
        <v>#N/A</v>
      </c>
    </row>
    <row r="820" spans="37:70" x14ac:dyDescent="0.35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>
        <v>0</v>
      </c>
      <c r="BR820" s="58" t="e">
        <f>VLOOKUP(AM820,'[1]Harga &amp; Nama CSO'!$A$28:$D$31,4,0)*BL820</f>
        <v>#N/A</v>
      </c>
    </row>
    <row r="821" spans="37:70" x14ac:dyDescent="0.35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>
        <v>0</v>
      </c>
      <c r="BR821" s="58" t="e">
        <f>VLOOKUP(AM821,'[1]Harga &amp; Nama CSO'!$A$28:$D$31,4,0)*BL821</f>
        <v>#N/A</v>
      </c>
    </row>
    <row r="822" spans="37:70" x14ac:dyDescent="0.35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>
        <v>0</v>
      </c>
      <c r="BR822" s="58" t="e">
        <f>VLOOKUP(AM822,'[1]Harga &amp; Nama CSO'!$A$28:$D$31,4,0)*BL822</f>
        <v>#N/A</v>
      </c>
    </row>
    <row r="823" spans="37:70" x14ac:dyDescent="0.35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>
        <v>0</v>
      </c>
      <c r="BR823" s="58" t="e">
        <f>VLOOKUP(AM823,'[1]Harga &amp; Nama CSO'!$A$28:$D$31,4,0)*BL823</f>
        <v>#N/A</v>
      </c>
    </row>
    <row r="824" spans="37:70" x14ac:dyDescent="0.35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>
        <v>0</v>
      </c>
      <c r="BR824" s="58" t="e">
        <f>VLOOKUP(AM824,'[1]Harga &amp; Nama CSO'!$A$28:$D$31,4,0)*BL824</f>
        <v>#N/A</v>
      </c>
    </row>
    <row r="825" spans="37:70" x14ac:dyDescent="0.35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>
        <v>0</v>
      </c>
      <c r="BR825" s="58" t="e">
        <f>VLOOKUP(AM825,'[1]Harga &amp; Nama CSO'!$A$28:$D$31,4,0)*BL825</f>
        <v>#N/A</v>
      </c>
    </row>
    <row r="826" spans="37:70" x14ac:dyDescent="0.35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>
        <v>0</v>
      </c>
      <c r="BR826" s="58" t="e">
        <f>VLOOKUP(AM826,'[1]Harga &amp; Nama CSO'!$A$28:$D$31,4,0)*BL826</f>
        <v>#N/A</v>
      </c>
    </row>
    <row r="827" spans="37:70" x14ac:dyDescent="0.35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>
        <v>0</v>
      </c>
      <c r="BR827" s="58" t="e">
        <f>VLOOKUP(AM827,'[1]Harga &amp; Nama CSO'!$A$28:$D$31,4,0)*BL827</f>
        <v>#N/A</v>
      </c>
    </row>
    <row r="828" spans="37:70" x14ac:dyDescent="0.35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>
        <v>0</v>
      </c>
      <c r="BR828" s="58" t="e">
        <f>VLOOKUP(AM828,'[1]Harga &amp; Nama CSO'!$A$28:$D$31,4,0)*BL828</f>
        <v>#N/A</v>
      </c>
    </row>
    <row r="829" spans="37:70" x14ac:dyDescent="0.35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>
        <v>0</v>
      </c>
      <c r="BR829" s="58" t="e">
        <f>VLOOKUP(AM829,'[1]Harga &amp; Nama CSO'!$A$28:$D$31,4,0)*BL829</f>
        <v>#N/A</v>
      </c>
    </row>
    <row r="830" spans="37:70" x14ac:dyDescent="0.35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>
        <v>0</v>
      </c>
      <c r="BR830" s="58" t="e">
        <f>VLOOKUP(AM830,'[1]Harga &amp; Nama CSO'!$A$28:$D$31,4,0)*BL830</f>
        <v>#N/A</v>
      </c>
    </row>
    <row r="831" spans="37:70" x14ac:dyDescent="0.35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>
        <v>0</v>
      </c>
      <c r="BR831" s="58" t="e">
        <f>VLOOKUP(AM831,'[1]Harga &amp; Nama CSO'!$A$28:$D$31,4,0)*BL831</f>
        <v>#N/A</v>
      </c>
    </row>
    <row r="832" spans="37:70" x14ac:dyDescent="0.35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>
        <v>0</v>
      </c>
      <c r="BR832" s="58" t="e">
        <f>VLOOKUP(AM832,'[1]Harga &amp; Nama CSO'!$A$28:$D$31,4,0)*BL832</f>
        <v>#N/A</v>
      </c>
    </row>
    <row r="833" spans="37:70" x14ac:dyDescent="0.35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>
        <v>0</v>
      </c>
      <c r="BR833" s="58" t="e">
        <f>VLOOKUP(AM833,'[1]Harga &amp; Nama CSO'!$A$28:$D$31,4,0)*BL833</f>
        <v>#N/A</v>
      </c>
    </row>
    <row r="834" spans="37:70" x14ac:dyDescent="0.35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>
        <v>0</v>
      </c>
      <c r="BR834" s="58" t="e">
        <f>VLOOKUP(AM834,'[1]Harga &amp; Nama CSO'!$A$28:$D$31,4,0)*BL834</f>
        <v>#N/A</v>
      </c>
    </row>
    <row r="835" spans="37:70" x14ac:dyDescent="0.35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>
        <v>0</v>
      </c>
      <c r="BR835" s="58" t="e">
        <f>VLOOKUP(AM835,'[1]Harga &amp; Nama CSO'!$A$28:$D$31,4,0)*BL835</f>
        <v>#N/A</v>
      </c>
    </row>
    <row r="836" spans="37:70" x14ac:dyDescent="0.35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>
        <v>0</v>
      </c>
      <c r="BR836" s="58" t="e">
        <f>VLOOKUP(AM836,'[1]Harga &amp; Nama CSO'!$A$28:$D$31,4,0)*BL836</f>
        <v>#N/A</v>
      </c>
    </row>
    <row r="837" spans="37:70" x14ac:dyDescent="0.35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>
        <v>0</v>
      </c>
      <c r="BR837" s="58" t="e">
        <f>VLOOKUP(AM837,'[1]Harga &amp; Nama CSO'!$A$28:$D$31,4,0)*BL837</f>
        <v>#N/A</v>
      </c>
    </row>
    <row r="838" spans="37:70" x14ac:dyDescent="0.35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>
        <v>0</v>
      </c>
      <c r="BR838" s="58" t="e">
        <f>VLOOKUP(AM838,'[1]Harga &amp; Nama CSO'!$A$28:$D$31,4,0)*BL838</f>
        <v>#N/A</v>
      </c>
    </row>
    <row r="839" spans="37:70" x14ac:dyDescent="0.35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>
        <v>0</v>
      </c>
      <c r="BR839" s="58" t="e">
        <f>VLOOKUP(AM839,'[1]Harga &amp; Nama CSO'!$A$28:$D$31,4,0)*BL839</f>
        <v>#N/A</v>
      </c>
    </row>
    <row r="840" spans="37:70" x14ac:dyDescent="0.35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>
        <v>0</v>
      </c>
      <c r="BR840" s="58" t="e">
        <f>VLOOKUP(AM840,'[1]Harga &amp; Nama CSO'!$A$28:$D$31,4,0)*BL840</f>
        <v>#N/A</v>
      </c>
    </row>
    <row r="841" spans="37:70" x14ac:dyDescent="0.35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>
        <v>0</v>
      </c>
      <c r="BR841" s="58" t="e">
        <f>VLOOKUP(AM841,'[1]Harga &amp; Nama CSO'!$A$28:$D$31,4,0)*BL841</f>
        <v>#N/A</v>
      </c>
    </row>
    <row r="842" spans="37:70" x14ac:dyDescent="0.35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>
        <v>0</v>
      </c>
      <c r="BR842" s="58" t="e">
        <f>VLOOKUP(AM842,'[1]Harga &amp; Nama CSO'!$A$28:$D$31,4,0)*BL842</f>
        <v>#N/A</v>
      </c>
    </row>
    <row r="843" spans="37:70" x14ac:dyDescent="0.35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>
        <v>0</v>
      </c>
      <c r="BR843" s="58" t="e">
        <f>VLOOKUP(AM843,'[1]Harga &amp; Nama CSO'!$A$28:$D$31,4,0)*BL843</f>
        <v>#N/A</v>
      </c>
    </row>
    <row r="844" spans="37:70" x14ac:dyDescent="0.35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>
        <v>0</v>
      </c>
      <c r="BR844" s="58" t="e">
        <f>VLOOKUP(AM844,'[1]Harga &amp; Nama CSO'!$A$28:$D$31,4,0)*BL844</f>
        <v>#N/A</v>
      </c>
    </row>
    <row r="845" spans="37:70" x14ac:dyDescent="0.35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>
        <v>0</v>
      </c>
      <c r="BR845" s="58" t="e">
        <f>VLOOKUP(AM845,'[1]Harga &amp; Nama CSO'!$A$28:$D$31,4,0)*BL845</f>
        <v>#N/A</v>
      </c>
    </row>
    <row r="846" spans="37:70" x14ac:dyDescent="0.35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>
        <v>0</v>
      </c>
      <c r="BR846" s="58" t="e">
        <f>VLOOKUP(AM846,'[1]Harga &amp; Nama CSO'!$A$28:$D$31,4,0)*BL846</f>
        <v>#N/A</v>
      </c>
    </row>
    <row r="847" spans="37:70" x14ac:dyDescent="0.35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>
        <v>0</v>
      </c>
      <c r="BR847" s="58" t="e">
        <f>VLOOKUP(AM847,'[1]Harga &amp; Nama CSO'!$A$28:$D$31,4,0)*BL847</f>
        <v>#N/A</v>
      </c>
    </row>
    <row r="848" spans="37:70" x14ac:dyDescent="0.35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>
        <v>0</v>
      </c>
      <c r="BR848" s="58" t="e">
        <f>VLOOKUP(AM848,'[1]Harga &amp; Nama CSO'!$A$28:$D$31,4,0)*BL848</f>
        <v>#N/A</v>
      </c>
    </row>
    <row r="849" spans="37:70" x14ac:dyDescent="0.35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>
        <v>0</v>
      </c>
      <c r="BR849" s="58" t="e">
        <f>VLOOKUP(AM849,'[1]Harga &amp; Nama CSO'!$A$28:$D$31,4,0)*BL849</f>
        <v>#N/A</v>
      </c>
    </row>
    <row r="850" spans="37:70" x14ac:dyDescent="0.35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>
        <v>0</v>
      </c>
      <c r="BR850" s="58" t="e">
        <f>VLOOKUP(AM850,'[1]Harga &amp; Nama CSO'!$A$28:$D$31,4,0)*BL850</f>
        <v>#N/A</v>
      </c>
    </row>
    <row r="851" spans="37:70" x14ac:dyDescent="0.35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>
        <v>0</v>
      </c>
      <c r="BR851" s="58" t="e">
        <f>VLOOKUP(AM851,'[1]Harga &amp; Nama CSO'!$A$28:$D$31,4,0)*BL851</f>
        <v>#N/A</v>
      </c>
    </row>
    <row r="852" spans="37:70" x14ac:dyDescent="0.35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>
        <v>0</v>
      </c>
      <c r="BR852" s="58" t="e">
        <f>VLOOKUP(AM852,'[1]Harga &amp; Nama CSO'!$A$28:$D$31,4,0)*BL852</f>
        <v>#N/A</v>
      </c>
    </row>
    <row r="853" spans="37:70" x14ac:dyDescent="0.35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>
        <v>0</v>
      </c>
      <c r="BR853" s="58" t="e">
        <f>VLOOKUP(AM853,'[1]Harga &amp; Nama CSO'!$A$28:$D$31,4,0)*BL853</f>
        <v>#N/A</v>
      </c>
    </row>
    <row r="854" spans="37:70" x14ac:dyDescent="0.35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>
        <v>0</v>
      </c>
      <c r="BR854" s="58" t="e">
        <f>VLOOKUP(AM854,'[1]Harga &amp; Nama CSO'!$A$28:$D$31,4,0)*BL854</f>
        <v>#N/A</v>
      </c>
    </row>
    <row r="855" spans="37:70" x14ac:dyDescent="0.35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>
        <v>0</v>
      </c>
      <c r="BR855" s="58" t="e">
        <f>VLOOKUP(AM855,'[1]Harga &amp; Nama CSO'!$A$28:$D$31,4,0)*BL855</f>
        <v>#N/A</v>
      </c>
    </row>
    <row r="856" spans="37:70" x14ac:dyDescent="0.35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>
        <v>0</v>
      </c>
      <c r="BR856" s="58" t="e">
        <f>VLOOKUP(AM856,'[1]Harga &amp; Nama CSO'!$A$28:$D$31,4,0)*BL856</f>
        <v>#N/A</v>
      </c>
    </row>
    <row r="857" spans="37:70" x14ac:dyDescent="0.35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>
        <v>0</v>
      </c>
      <c r="BR857" s="58" t="e">
        <f>VLOOKUP(AM857,'[1]Harga &amp; Nama CSO'!$A$28:$D$31,4,0)*BL857</f>
        <v>#N/A</v>
      </c>
    </row>
    <row r="858" spans="37:70" x14ac:dyDescent="0.35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>
        <v>0</v>
      </c>
      <c r="BR858" s="58" t="e">
        <f>VLOOKUP(AM858,'[1]Harga &amp; Nama CSO'!$A$28:$D$31,4,0)*BL858</f>
        <v>#N/A</v>
      </c>
    </row>
    <row r="859" spans="37:70" x14ac:dyDescent="0.35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>
        <v>0</v>
      </c>
      <c r="BR859" s="58" t="e">
        <f>VLOOKUP(AM859,'[1]Harga &amp; Nama CSO'!$A$28:$D$31,4,0)*BL859</f>
        <v>#N/A</v>
      </c>
    </row>
    <row r="860" spans="37:70" x14ac:dyDescent="0.35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>
        <v>0</v>
      </c>
      <c r="BR860" s="58" t="e">
        <f>VLOOKUP(AM860,'[1]Harga &amp; Nama CSO'!$A$28:$D$31,4,0)*BL860</f>
        <v>#N/A</v>
      </c>
    </row>
    <row r="861" spans="37:70" x14ac:dyDescent="0.35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>
        <v>0</v>
      </c>
      <c r="BR861" s="58" t="e">
        <f>VLOOKUP(AM861,'[1]Harga &amp; Nama CSO'!$A$28:$D$31,4,0)*BL861</f>
        <v>#N/A</v>
      </c>
    </row>
    <row r="862" spans="37:70" x14ac:dyDescent="0.35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>
        <v>0</v>
      </c>
      <c r="BR862" s="58" t="e">
        <f>VLOOKUP(AM862,'[1]Harga &amp; Nama CSO'!$A$28:$D$31,4,0)*BL862</f>
        <v>#N/A</v>
      </c>
    </row>
    <row r="863" spans="37:70" x14ac:dyDescent="0.35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>
        <v>0</v>
      </c>
      <c r="BR863" s="58" t="e">
        <f>VLOOKUP(AM863,'[1]Harga &amp; Nama CSO'!$A$28:$D$31,4,0)*BL863</f>
        <v>#N/A</v>
      </c>
    </row>
    <row r="864" spans="37:70" x14ac:dyDescent="0.35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>
        <v>0</v>
      </c>
      <c r="BR864" s="58" t="e">
        <f>VLOOKUP(AM864,'[1]Harga &amp; Nama CSO'!$A$28:$D$31,4,0)*BL864</f>
        <v>#N/A</v>
      </c>
    </row>
    <row r="865" spans="37:70" x14ac:dyDescent="0.35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>
        <v>0</v>
      </c>
      <c r="BR865" s="58" t="e">
        <f>VLOOKUP(AM865,'[1]Harga &amp; Nama CSO'!$A$28:$D$31,4,0)*BL865</f>
        <v>#N/A</v>
      </c>
    </row>
    <row r="866" spans="37:70" x14ac:dyDescent="0.35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>
        <v>0</v>
      </c>
      <c r="BR866" s="58" t="e">
        <f>VLOOKUP(AM866,'[1]Harga &amp; Nama CSO'!$A$28:$D$31,4,0)*BL866</f>
        <v>#N/A</v>
      </c>
    </row>
    <row r="867" spans="37:70" x14ac:dyDescent="0.35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>
        <v>0</v>
      </c>
      <c r="BR867" s="58" t="e">
        <f>VLOOKUP(AM867,'[1]Harga &amp; Nama CSO'!$A$28:$D$31,4,0)*BL867</f>
        <v>#N/A</v>
      </c>
    </row>
    <row r="868" spans="37:70" x14ac:dyDescent="0.35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>
        <v>0</v>
      </c>
      <c r="BR868" s="58" t="e">
        <f>VLOOKUP(AM868,'[1]Harga &amp; Nama CSO'!$A$28:$D$31,4,0)*BL868</f>
        <v>#N/A</v>
      </c>
    </row>
    <row r="869" spans="37:70" x14ac:dyDescent="0.35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>
        <v>0</v>
      </c>
      <c r="BR869" s="58" t="e">
        <f>VLOOKUP(AM869,'[1]Harga &amp; Nama CSO'!$A$28:$D$31,4,0)*BL869</f>
        <v>#N/A</v>
      </c>
    </row>
    <row r="870" spans="37:70" x14ac:dyDescent="0.35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>
        <v>0</v>
      </c>
      <c r="BR870" s="58" t="e">
        <f>VLOOKUP(AM870,'[1]Harga &amp; Nama CSO'!$A$28:$D$31,4,0)*BL870</f>
        <v>#N/A</v>
      </c>
    </row>
    <row r="871" spans="37:70" x14ac:dyDescent="0.35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>
        <v>0</v>
      </c>
      <c r="BR871" s="58" t="e">
        <f>VLOOKUP(AM871,'[1]Harga &amp; Nama CSO'!$A$28:$D$31,4,0)*BL871</f>
        <v>#N/A</v>
      </c>
    </row>
    <row r="872" spans="37:70" x14ac:dyDescent="0.35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>
        <v>0</v>
      </c>
      <c r="BR872" s="58" t="e">
        <f>VLOOKUP(AM872,'[1]Harga &amp; Nama CSO'!$A$28:$D$31,4,0)*BL872</f>
        <v>#N/A</v>
      </c>
    </row>
    <row r="873" spans="37:70" x14ac:dyDescent="0.35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>
        <v>0</v>
      </c>
      <c r="BR873" s="58" t="e">
        <f>VLOOKUP(AM873,'[1]Harga &amp; Nama CSO'!$A$28:$D$31,4,0)*BL873</f>
        <v>#N/A</v>
      </c>
    </row>
    <row r="874" spans="37:70" x14ac:dyDescent="0.35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>
        <v>0</v>
      </c>
      <c r="BR874" s="58" t="e">
        <f>VLOOKUP(AM874,'[1]Harga &amp; Nama CSO'!$A$28:$D$31,4,0)*BL874</f>
        <v>#N/A</v>
      </c>
    </row>
    <row r="875" spans="37:70" x14ac:dyDescent="0.35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>
        <v>0</v>
      </c>
      <c r="BR875" s="58" t="e">
        <f>VLOOKUP(AM875,'[1]Harga &amp; Nama CSO'!$A$28:$D$31,4,0)*BL875</f>
        <v>#N/A</v>
      </c>
    </row>
    <row r="876" spans="37:70" x14ac:dyDescent="0.35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>
        <v>0</v>
      </c>
      <c r="BR876" s="58" t="e">
        <f>VLOOKUP(AM876,'[1]Harga &amp; Nama CSO'!$A$28:$D$31,4,0)*BL876</f>
        <v>#N/A</v>
      </c>
    </row>
    <row r="877" spans="37:70" x14ac:dyDescent="0.35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>
        <v>0</v>
      </c>
      <c r="BR877" s="58" t="e">
        <f>VLOOKUP(AM877,'[1]Harga &amp; Nama CSO'!$A$28:$D$31,4,0)*BL877</f>
        <v>#N/A</v>
      </c>
    </row>
    <row r="878" spans="37:70" x14ac:dyDescent="0.35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>
        <v>0</v>
      </c>
      <c r="BR878" s="58" t="e">
        <f>VLOOKUP(AM878,'[1]Harga &amp; Nama CSO'!$A$28:$D$31,4,0)*BL878</f>
        <v>#N/A</v>
      </c>
    </row>
    <row r="879" spans="37:70" x14ac:dyDescent="0.35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>
        <v>0</v>
      </c>
      <c r="BR879" s="58" t="e">
        <f>VLOOKUP(AM879,'[1]Harga &amp; Nama CSO'!$A$28:$D$31,4,0)*BL879</f>
        <v>#N/A</v>
      </c>
    </row>
    <row r="880" spans="37:70" x14ac:dyDescent="0.35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>
        <v>0</v>
      </c>
      <c r="BR880" s="58" t="e">
        <f>VLOOKUP(AM880,'[1]Harga &amp; Nama CSO'!$A$28:$D$31,4,0)*BL880</f>
        <v>#N/A</v>
      </c>
    </row>
    <row r="881" spans="37:70" x14ac:dyDescent="0.35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>
        <v>0</v>
      </c>
      <c r="BR881" s="58" t="e">
        <f>VLOOKUP(AM881,'[1]Harga &amp; Nama CSO'!$A$28:$D$31,4,0)*BL881</f>
        <v>#N/A</v>
      </c>
    </row>
    <row r="882" spans="37:70" x14ac:dyDescent="0.35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>
        <v>0</v>
      </c>
      <c r="BR882" s="58" t="e">
        <f>VLOOKUP(AM882,'[1]Harga &amp; Nama CSO'!$A$28:$D$31,4,0)*BL882</f>
        <v>#N/A</v>
      </c>
    </row>
    <row r="883" spans="37:70" x14ac:dyDescent="0.35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>
        <v>0</v>
      </c>
      <c r="BR883" s="58" t="e">
        <f>VLOOKUP(AM883,'[1]Harga &amp; Nama CSO'!$A$28:$D$31,4,0)*BL883</f>
        <v>#N/A</v>
      </c>
    </row>
    <row r="884" spans="37:70" x14ac:dyDescent="0.35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>
        <v>0</v>
      </c>
      <c r="BR884" s="58" t="e">
        <f>VLOOKUP(AM884,'[1]Harga &amp; Nama CSO'!$A$28:$D$31,4,0)*BL884</f>
        <v>#N/A</v>
      </c>
    </row>
    <row r="885" spans="37:70" x14ac:dyDescent="0.35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>
        <v>0</v>
      </c>
      <c r="BR885" s="58" t="e">
        <f>VLOOKUP(AM885,'[1]Harga &amp; Nama CSO'!$A$28:$D$31,4,0)*BL885</f>
        <v>#N/A</v>
      </c>
    </row>
    <row r="886" spans="37:70" x14ac:dyDescent="0.35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>
        <v>0</v>
      </c>
      <c r="BR886" s="58" t="e">
        <f>VLOOKUP(AM886,'[1]Harga &amp; Nama CSO'!$A$28:$D$31,4,0)*BL886</f>
        <v>#N/A</v>
      </c>
    </row>
    <row r="887" spans="37:70" x14ac:dyDescent="0.35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>
        <v>0</v>
      </c>
      <c r="BR887" s="58" t="e">
        <f>VLOOKUP(AM887,'[1]Harga &amp; Nama CSO'!$A$28:$D$31,4,0)*BL887</f>
        <v>#N/A</v>
      </c>
    </row>
    <row r="888" spans="37:70" x14ac:dyDescent="0.35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>
        <v>0</v>
      </c>
      <c r="BR888" s="58" t="e">
        <f>VLOOKUP(AM888,'[1]Harga &amp; Nama CSO'!$A$28:$D$31,4,0)*BL888</f>
        <v>#N/A</v>
      </c>
    </row>
    <row r="889" spans="37:70" x14ac:dyDescent="0.35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>
        <v>0</v>
      </c>
      <c r="BR889" s="58" t="e">
        <f>VLOOKUP(AM889,'[1]Harga &amp; Nama CSO'!$A$28:$D$31,4,0)*BL889</f>
        <v>#N/A</v>
      </c>
    </row>
    <row r="890" spans="37:70" x14ac:dyDescent="0.35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>
        <v>0</v>
      </c>
      <c r="BR890" s="58" t="e">
        <f>VLOOKUP(AM890,'[1]Harga &amp; Nama CSO'!$A$28:$D$31,4,0)*BL890</f>
        <v>#N/A</v>
      </c>
    </row>
    <row r="891" spans="37:70" x14ac:dyDescent="0.35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>
        <v>0</v>
      </c>
      <c r="BR891" s="58" t="e">
        <f>VLOOKUP(AM891,'[1]Harga &amp; Nama CSO'!$A$28:$D$31,4,0)*BL891</f>
        <v>#N/A</v>
      </c>
    </row>
    <row r="892" spans="37:70" x14ac:dyDescent="0.35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>
        <v>0</v>
      </c>
      <c r="BR892" s="58" t="e">
        <f>VLOOKUP(AM892,'[1]Harga &amp; Nama CSO'!$A$28:$D$31,4,0)*BL892</f>
        <v>#N/A</v>
      </c>
    </row>
    <row r="893" spans="37:70" x14ac:dyDescent="0.35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>
        <v>0</v>
      </c>
      <c r="BR893" s="58" t="e">
        <f>VLOOKUP(AM893,'[1]Harga &amp; Nama CSO'!$A$28:$D$31,4,0)*BL893</f>
        <v>#N/A</v>
      </c>
    </row>
    <row r="894" spans="37:70" x14ac:dyDescent="0.35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>
        <v>0</v>
      </c>
      <c r="BR894" s="58" t="e">
        <f>VLOOKUP(AM894,'[1]Harga &amp; Nama CSO'!$A$28:$D$31,4,0)*BL894</f>
        <v>#N/A</v>
      </c>
    </row>
    <row r="895" spans="37:70" x14ac:dyDescent="0.35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>
        <v>0</v>
      </c>
      <c r="BR895" s="58" t="e">
        <f>VLOOKUP(AM895,'[1]Harga &amp; Nama CSO'!$A$28:$D$31,4,0)*BL895</f>
        <v>#N/A</v>
      </c>
    </row>
    <row r="896" spans="37:70" x14ac:dyDescent="0.35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>
        <v>0</v>
      </c>
      <c r="BR896" s="58" t="e">
        <f>VLOOKUP(AM896,'[1]Harga &amp; Nama CSO'!$A$28:$D$31,4,0)*BL896</f>
        <v>#N/A</v>
      </c>
    </row>
    <row r="897" spans="37:70" x14ac:dyDescent="0.35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>
        <v>0</v>
      </c>
      <c r="BR897" s="58" t="e">
        <f>VLOOKUP(AM897,'[1]Harga &amp; Nama CSO'!$A$28:$D$31,4,0)*BL897</f>
        <v>#N/A</v>
      </c>
    </row>
    <row r="898" spans="37:70" x14ac:dyDescent="0.35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>
        <v>0</v>
      </c>
      <c r="BR898" s="58" t="e">
        <f>VLOOKUP(AM898,'[1]Harga &amp; Nama CSO'!$A$28:$D$31,4,0)*BL898</f>
        <v>#N/A</v>
      </c>
    </row>
    <row r="899" spans="37:70" x14ac:dyDescent="0.35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>
        <v>0</v>
      </c>
      <c r="BR899" s="58" t="e">
        <f>VLOOKUP(AM899,'[1]Harga &amp; Nama CSO'!$A$28:$D$31,4,0)*BL899</f>
        <v>#N/A</v>
      </c>
    </row>
    <row r="900" spans="37:70" x14ac:dyDescent="0.35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>
        <v>0</v>
      </c>
      <c r="BR900" s="58" t="e">
        <f>VLOOKUP(AM900,'[1]Harga &amp; Nama CSO'!$A$28:$D$31,4,0)*BL900</f>
        <v>#N/A</v>
      </c>
    </row>
    <row r="901" spans="37:70" x14ac:dyDescent="0.35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>
        <v>0</v>
      </c>
      <c r="BR901" s="58" t="e">
        <f>VLOOKUP(AM901,'[1]Harga &amp; Nama CSO'!$A$28:$D$31,4,0)*BL901</f>
        <v>#N/A</v>
      </c>
    </row>
    <row r="902" spans="37:70" x14ac:dyDescent="0.35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>
        <v>0</v>
      </c>
      <c r="BR902" s="58" t="e">
        <f>VLOOKUP(AM902,'[1]Harga &amp; Nama CSO'!$A$28:$D$31,4,0)*BL902</f>
        <v>#N/A</v>
      </c>
    </row>
    <row r="903" spans="37:70" x14ac:dyDescent="0.35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>
        <v>0</v>
      </c>
      <c r="BR903" s="58" t="e">
        <f>VLOOKUP(AM903,'[1]Harga &amp; Nama CSO'!$A$28:$D$31,4,0)*BL903</f>
        <v>#N/A</v>
      </c>
    </row>
    <row r="904" spans="37:70" x14ac:dyDescent="0.35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>
        <v>0</v>
      </c>
      <c r="BR904" s="58" t="e">
        <f>VLOOKUP(AM904,'[1]Harga &amp; Nama CSO'!$A$28:$D$31,4,0)*BL904</f>
        <v>#N/A</v>
      </c>
    </row>
    <row r="905" spans="37:70" x14ac:dyDescent="0.35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>
        <v>0</v>
      </c>
      <c r="BR905" s="58" t="e">
        <f>VLOOKUP(AM905,'[1]Harga &amp; Nama CSO'!$A$28:$D$31,4,0)*BL905</f>
        <v>#N/A</v>
      </c>
    </row>
    <row r="906" spans="37:70" x14ac:dyDescent="0.35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>
        <v>0</v>
      </c>
      <c r="BR906" s="58" t="e">
        <f>VLOOKUP(AM906,'[1]Harga &amp; Nama CSO'!$A$28:$D$31,4,0)*BL906</f>
        <v>#N/A</v>
      </c>
    </row>
    <row r="907" spans="37:70" x14ac:dyDescent="0.35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>
        <v>0</v>
      </c>
      <c r="BR907" s="58" t="e">
        <f>VLOOKUP(AM907,'[1]Harga &amp; Nama CSO'!$A$28:$D$31,4,0)*BL907</f>
        <v>#N/A</v>
      </c>
    </row>
    <row r="908" spans="37:70" x14ac:dyDescent="0.35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>
        <v>0</v>
      </c>
      <c r="BR908" s="58" t="e">
        <f>VLOOKUP(AM908,'[1]Harga &amp; Nama CSO'!$A$28:$D$31,4,0)*BL908</f>
        <v>#N/A</v>
      </c>
    </row>
    <row r="909" spans="37:70" x14ac:dyDescent="0.35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>
        <v>0</v>
      </c>
      <c r="BR909" s="58" t="e">
        <f>VLOOKUP(AM909,'[1]Harga &amp; Nama CSO'!$A$28:$D$31,4,0)*BL909</f>
        <v>#N/A</v>
      </c>
    </row>
    <row r="910" spans="37:70" x14ac:dyDescent="0.35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>
        <v>0</v>
      </c>
      <c r="BR910" s="58" t="e">
        <f>VLOOKUP(AM910,'[1]Harga &amp; Nama CSO'!$A$28:$D$31,4,0)*BL910</f>
        <v>#N/A</v>
      </c>
    </row>
    <row r="911" spans="37:70" x14ac:dyDescent="0.35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>
        <v>0</v>
      </c>
      <c r="BR911" s="58" t="e">
        <f>VLOOKUP(AM911,'[1]Harga &amp; Nama CSO'!$A$28:$D$31,4,0)*BL911</f>
        <v>#N/A</v>
      </c>
    </row>
    <row r="912" spans="37:70" x14ac:dyDescent="0.35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>
        <v>0</v>
      </c>
      <c r="BR912" s="58" t="e">
        <f>VLOOKUP(AM912,'[1]Harga &amp; Nama CSO'!$A$28:$D$31,4,0)*BL912</f>
        <v>#N/A</v>
      </c>
    </row>
    <row r="913" spans="37:70" x14ac:dyDescent="0.35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>
        <v>0</v>
      </c>
      <c r="BR913" s="58" t="e">
        <f>VLOOKUP(AM913,'[1]Harga &amp; Nama CSO'!$A$28:$D$31,4,0)*BL913</f>
        <v>#N/A</v>
      </c>
    </row>
    <row r="914" spans="37:70" x14ac:dyDescent="0.35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>
        <v>0</v>
      </c>
      <c r="BR914" s="58" t="e">
        <f>VLOOKUP(AM914,'[1]Harga &amp; Nama CSO'!$A$28:$D$31,4,0)*BL914</f>
        <v>#N/A</v>
      </c>
    </row>
    <row r="915" spans="37:70" x14ac:dyDescent="0.35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>
        <v>0</v>
      </c>
      <c r="BR915" s="58" t="e">
        <f>VLOOKUP(AM915,'[1]Harga &amp; Nama CSO'!$A$28:$D$31,4,0)*BL915</f>
        <v>#N/A</v>
      </c>
    </row>
    <row r="916" spans="37:70" x14ac:dyDescent="0.35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>
        <v>0</v>
      </c>
      <c r="BR916" s="58" t="e">
        <f>VLOOKUP(AM916,'[1]Harga &amp; Nama CSO'!$A$28:$D$31,4,0)*BL916</f>
        <v>#N/A</v>
      </c>
    </row>
    <row r="917" spans="37:70" x14ac:dyDescent="0.35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>
        <v>0</v>
      </c>
      <c r="BR917" s="58" t="e">
        <f>VLOOKUP(AM917,'[1]Harga &amp; Nama CSO'!$A$28:$D$31,4,0)*BL917</f>
        <v>#N/A</v>
      </c>
    </row>
    <row r="918" spans="37:70" x14ac:dyDescent="0.35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>
        <v>0</v>
      </c>
      <c r="BR918" s="58" t="e">
        <f>VLOOKUP(AM918,'[1]Harga &amp; Nama CSO'!$A$28:$D$31,4,0)*BL918</f>
        <v>#N/A</v>
      </c>
    </row>
    <row r="919" spans="37:70" x14ac:dyDescent="0.35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>
        <v>0</v>
      </c>
      <c r="BR919" s="58" t="e">
        <f>VLOOKUP(AM919,'[1]Harga &amp; Nama CSO'!$A$28:$D$31,4,0)*BL919</f>
        <v>#N/A</v>
      </c>
    </row>
    <row r="920" spans="37:70" x14ac:dyDescent="0.35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>
        <v>0</v>
      </c>
      <c r="BR920" s="58" t="e">
        <f>VLOOKUP(AM920,'[1]Harga &amp; Nama CSO'!$A$28:$D$31,4,0)*BL920</f>
        <v>#N/A</v>
      </c>
    </row>
    <row r="921" spans="37:70" x14ac:dyDescent="0.35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>
        <v>0</v>
      </c>
      <c r="BR921" s="58" t="e">
        <f>VLOOKUP(AM921,'[1]Harga &amp; Nama CSO'!$A$28:$D$31,4,0)*BL921</f>
        <v>#N/A</v>
      </c>
    </row>
    <row r="922" spans="37:70" x14ac:dyDescent="0.35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>
        <v>0</v>
      </c>
      <c r="BR922" s="58" t="e">
        <f>VLOOKUP(AM922,'[1]Harga &amp; Nama CSO'!$A$28:$D$31,4,0)*BL922</f>
        <v>#N/A</v>
      </c>
    </row>
    <row r="923" spans="37:70" x14ac:dyDescent="0.35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>
        <v>0</v>
      </c>
      <c r="BR923" s="58" t="e">
        <f>VLOOKUP(AM923,'[1]Harga &amp; Nama CSO'!$A$28:$D$31,4,0)*BL923</f>
        <v>#N/A</v>
      </c>
    </row>
    <row r="924" spans="37:70" x14ac:dyDescent="0.35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>
        <v>0</v>
      </c>
      <c r="BR924" s="58" t="e">
        <f>VLOOKUP(AM924,'[1]Harga &amp; Nama CSO'!$A$28:$D$31,4,0)*BL924</f>
        <v>#N/A</v>
      </c>
    </row>
    <row r="925" spans="37:70" x14ac:dyDescent="0.35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>
        <v>0</v>
      </c>
      <c r="BR925" s="58" t="e">
        <f>VLOOKUP(AM925,'[1]Harga &amp; Nama CSO'!$A$28:$D$31,4,0)*BL925</f>
        <v>#N/A</v>
      </c>
    </row>
    <row r="926" spans="37:70" x14ac:dyDescent="0.35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>
        <v>0</v>
      </c>
      <c r="BR926" s="58" t="e">
        <f>VLOOKUP(AM926,'[1]Harga &amp; Nama CSO'!$A$28:$D$31,4,0)*BL926</f>
        <v>#N/A</v>
      </c>
    </row>
    <row r="927" spans="37:70" x14ac:dyDescent="0.35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>
        <v>0</v>
      </c>
      <c r="BR927" s="58" t="e">
        <f>VLOOKUP(AM927,'[1]Harga &amp; Nama CSO'!$A$28:$D$31,4,0)*BL927</f>
        <v>#N/A</v>
      </c>
    </row>
    <row r="928" spans="37:70" x14ac:dyDescent="0.35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>
        <v>0</v>
      </c>
      <c r="BR928" s="58" t="e">
        <f>VLOOKUP(AM928,'[1]Harga &amp; Nama CSO'!$A$28:$D$31,4,0)*BL928</f>
        <v>#N/A</v>
      </c>
    </row>
    <row r="929" spans="37:70" x14ac:dyDescent="0.35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>
        <v>0</v>
      </c>
      <c r="BR929" s="58" t="e">
        <f>VLOOKUP(AM929,'[1]Harga &amp; Nama CSO'!$A$28:$D$31,4,0)*BL929</f>
        <v>#N/A</v>
      </c>
    </row>
    <row r="930" spans="37:70" x14ac:dyDescent="0.35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>
        <v>0</v>
      </c>
      <c r="BR930" s="58" t="e">
        <f>VLOOKUP(AM930,'[1]Harga &amp; Nama CSO'!$A$28:$D$31,4,0)*BL930</f>
        <v>#N/A</v>
      </c>
    </row>
    <row r="931" spans="37:70" x14ac:dyDescent="0.35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>
        <v>0</v>
      </c>
      <c r="BR931" s="58" t="e">
        <f>VLOOKUP(AM931,'[1]Harga &amp; Nama CSO'!$A$28:$D$31,4,0)*BL931</f>
        <v>#N/A</v>
      </c>
    </row>
    <row r="932" spans="37:70" x14ac:dyDescent="0.35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>
        <v>0</v>
      </c>
      <c r="BR932" s="58" t="e">
        <f>VLOOKUP(AM932,'[1]Harga &amp; Nama CSO'!$A$28:$D$31,4,0)*BL932</f>
        <v>#N/A</v>
      </c>
    </row>
    <row r="933" spans="37:70" x14ac:dyDescent="0.35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>
        <v>0</v>
      </c>
      <c r="BR933" s="58" t="e">
        <f>VLOOKUP(AM933,'[1]Harga &amp; Nama CSO'!$A$28:$D$31,4,0)*BL933</f>
        <v>#N/A</v>
      </c>
    </row>
    <row r="934" spans="37:70" x14ac:dyDescent="0.35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>
        <v>0</v>
      </c>
      <c r="BR934" s="58" t="e">
        <f>VLOOKUP(AM934,'[1]Harga &amp; Nama CSO'!$A$28:$D$31,4,0)*BL934</f>
        <v>#N/A</v>
      </c>
    </row>
    <row r="935" spans="37:70" x14ac:dyDescent="0.35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>
        <v>0</v>
      </c>
      <c r="BR935" s="58" t="e">
        <f>VLOOKUP(AM935,'[1]Harga &amp; Nama CSO'!$A$28:$D$31,4,0)*BL935</f>
        <v>#N/A</v>
      </c>
    </row>
    <row r="936" spans="37:70" x14ac:dyDescent="0.35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>
        <v>0</v>
      </c>
      <c r="BR936" s="58" t="e">
        <f>VLOOKUP(AM936,'[1]Harga &amp; Nama CSO'!$A$28:$D$31,4,0)*BL936</f>
        <v>#N/A</v>
      </c>
    </row>
    <row r="937" spans="37:70" x14ac:dyDescent="0.35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>
        <v>0</v>
      </c>
      <c r="BR937" s="58" t="e">
        <f>VLOOKUP(AM937,'[1]Harga &amp; Nama CSO'!$A$28:$D$31,4,0)*BL937</f>
        <v>#N/A</v>
      </c>
    </row>
    <row r="938" spans="37:70" x14ac:dyDescent="0.35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>
        <v>0</v>
      </c>
      <c r="BR938" s="58" t="e">
        <f>VLOOKUP(AM938,'[1]Harga &amp; Nama CSO'!$A$28:$D$31,4,0)*BL938</f>
        <v>#N/A</v>
      </c>
    </row>
    <row r="939" spans="37:70" x14ac:dyDescent="0.35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>
        <v>0</v>
      </c>
      <c r="BR939" s="58" t="e">
        <f>VLOOKUP(AM939,'[1]Harga &amp; Nama CSO'!$A$28:$D$31,4,0)*BL939</f>
        <v>#N/A</v>
      </c>
    </row>
    <row r="940" spans="37:70" x14ac:dyDescent="0.35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>
        <v>0</v>
      </c>
      <c r="BR940" s="58" t="e">
        <f>VLOOKUP(AM940,'[1]Harga &amp; Nama CSO'!$A$28:$D$31,4,0)*BL940</f>
        <v>#N/A</v>
      </c>
    </row>
    <row r="941" spans="37:70" x14ac:dyDescent="0.35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>
        <v>0</v>
      </c>
      <c r="BR941" s="58" t="e">
        <f>VLOOKUP(AM941,'[1]Harga &amp; Nama CSO'!$A$28:$D$31,4,0)*BL941</f>
        <v>#N/A</v>
      </c>
    </row>
    <row r="942" spans="37:70" x14ac:dyDescent="0.35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>
        <v>0</v>
      </c>
      <c r="BR942" s="58" t="e">
        <f>VLOOKUP(AM942,'[1]Harga &amp; Nama CSO'!$A$28:$D$31,4,0)*BL942</f>
        <v>#N/A</v>
      </c>
    </row>
    <row r="943" spans="37:70" x14ac:dyDescent="0.35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>
        <v>0</v>
      </c>
      <c r="BR943" s="58" t="e">
        <f>VLOOKUP(AM943,'[1]Harga &amp; Nama CSO'!$A$28:$D$31,4,0)*BL943</f>
        <v>#N/A</v>
      </c>
    </row>
    <row r="944" spans="37:70" x14ac:dyDescent="0.35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>
        <v>0</v>
      </c>
      <c r="BR944" s="58" t="e">
        <f>VLOOKUP(AM944,'[1]Harga &amp; Nama CSO'!$A$28:$D$31,4,0)*BL944</f>
        <v>#N/A</v>
      </c>
    </row>
    <row r="945" spans="37:70" x14ac:dyDescent="0.35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>
        <v>0</v>
      </c>
      <c r="BR945" s="58" t="e">
        <f>VLOOKUP(AM945,'[1]Harga &amp; Nama CSO'!$A$28:$D$31,4,0)*BL945</f>
        <v>#N/A</v>
      </c>
    </row>
    <row r="946" spans="37:70" x14ac:dyDescent="0.35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>
        <v>0</v>
      </c>
      <c r="BR946" s="58" t="e">
        <f>VLOOKUP(AM946,'[1]Harga &amp; Nama CSO'!$A$28:$D$31,4,0)*BL946</f>
        <v>#N/A</v>
      </c>
    </row>
    <row r="947" spans="37:70" x14ac:dyDescent="0.35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>
        <v>0</v>
      </c>
      <c r="BR947" s="58" t="e">
        <f>VLOOKUP(AM947,'[1]Harga &amp; Nama CSO'!$A$28:$D$31,4,0)*BL947</f>
        <v>#N/A</v>
      </c>
    </row>
    <row r="948" spans="37:70" x14ac:dyDescent="0.35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>
        <v>0</v>
      </c>
      <c r="BR948" s="58" t="e">
        <f>VLOOKUP(AM948,'[1]Harga &amp; Nama CSO'!$A$28:$D$31,4,0)*BL948</f>
        <v>#N/A</v>
      </c>
    </row>
    <row r="949" spans="37:70" x14ac:dyDescent="0.35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>
        <v>0</v>
      </c>
      <c r="BR949" s="58" t="e">
        <f>VLOOKUP(AM949,'[1]Harga &amp; Nama CSO'!$A$28:$D$31,4,0)*BL949</f>
        <v>#N/A</v>
      </c>
    </row>
    <row r="950" spans="37:70" x14ac:dyDescent="0.35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>
        <v>0</v>
      </c>
      <c r="BR950" s="58" t="e">
        <f>VLOOKUP(AM950,'[1]Harga &amp; Nama CSO'!$A$28:$D$31,4,0)*BL950</f>
        <v>#N/A</v>
      </c>
    </row>
    <row r="951" spans="37:70" x14ac:dyDescent="0.35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>
        <v>0</v>
      </c>
      <c r="BR951" s="58" t="e">
        <f>VLOOKUP(AM951,'[1]Harga &amp; Nama CSO'!$A$28:$D$31,4,0)*BL951</f>
        <v>#N/A</v>
      </c>
    </row>
    <row r="952" spans="37:70" x14ac:dyDescent="0.35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>
        <v>0</v>
      </c>
      <c r="BR952" s="58" t="e">
        <f>VLOOKUP(AM952,'[1]Harga &amp; Nama CSO'!$A$28:$D$31,4,0)*BL952</f>
        <v>#N/A</v>
      </c>
    </row>
    <row r="953" spans="37:70" x14ac:dyDescent="0.35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>
        <v>0</v>
      </c>
      <c r="BR953" s="58" t="e">
        <f>VLOOKUP(AM953,'[1]Harga &amp; Nama CSO'!$A$28:$D$31,4,0)*BL953</f>
        <v>#N/A</v>
      </c>
    </row>
    <row r="954" spans="37:70" x14ac:dyDescent="0.35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>
        <v>0</v>
      </c>
      <c r="BR954" s="58" t="e">
        <f>VLOOKUP(AM954,'[1]Harga &amp; Nama CSO'!$A$28:$D$31,4,0)*BL954</f>
        <v>#N/A</v>
      </c>
    </row>
    <row r="955" spans="37:70" x14ac:dyDescent="0.35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>
        <v>0</v>
      </c>
      <c r="BR955" s="58" t="e">
        <f>VLOOKUP(AM955,'[1]Harga &amp; Nama CSO'!$A$28:$D$31,4,0)*BL955</f>
        <v>#N/A</v>
      </c>
    </row>
    <row r="956" spans="37:70" x14ac:dyDescent="0.35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>
        <v>0</v>
      </c>
      <c r="BR956" s="58" t="e">
        <f>VLOOKUP(AM956,'[1]Harga &amp; Nama CSO'!$A$28:$D$31,4,0)*BL956</f>
        <v>#N/A</v>
      </c>
    </row>
    <row r="957" spans="37:70" x14ac:dyDescent="0.35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>
        <v>0</v>
      </c>
      <c r="BR957" s="58" t="e">
        <f>VLOOKUP(AM957,'[1]Harga &amp; Nama CSO'!$A$28:$D$31,4,0)*BL957</f>
        <v>#N/A</v>
      </c>
    </row>
    <row r="958" spans="37:70" x14ac:dyDescent="0.35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>
        <v>0</v>
      </c>
      <c r="BR958" s="58" t="e">
        <f>VLOOKUP(AM958,'[1]Harga &amp; Nama CSO'!$A$28:$D$31,4,0)*BL958</f>
        <v>#N/A</v>
      </c>
    </row>
    <row r="959" spans="37:70" x14ac:dyDescent="0.35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>
        <v>0</v>
      </c>
      <c r="BR959" s="58" t="e">
        <f>VLOOKUP(AM959,'[1]Harga &amp; Nama CSO'!$A$28:$D$31,4,0)*BL959</f>
        <v>#N/A</v>
      </c>
    </row>
    <row r="960" spans="37:70" x14ac:dyDescent="0.35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>
        <v>0</v>
      </c>
      <c r="BR960" s="58" t="e">
        <f>VLOOKUP(AM960,'[1]Harga &amp; Nama CSO'!$A$28:$D$31,4,0)*BL960</f>
        <v>#N/A</v>
      </c>
    </row>
    <row r="961" spans="37:70" x14ac:dyDescent="0.35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>
        <v>0</v>
      </c>
      <c r="BR961" s="58" t="e">
        <f>VLOOKUP(AM961,'[1]Harga &amp; Nama CSO'!$A$28:$D$31,4,0)*BL961</f>
        <v>#N/A</v>
      </c>
    </row>
    <row r="962" spans="37:70" x14ac:dyDescent="0.35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>
        <v>0</v>
      </c>
      <c r="BR962" s="58" t="e">
        <f>VLOOKUP(AM962,'[1]Harga &amp; Nama CSO'!$A$28:$D$31,4,0)*BL962</f>
        <v>#N/A</v>
      </c>
    </row>
    <row r="963" spans="37:70" x14ac:dyDescent="0.35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>
        <v>0</v>
      </c>
      <c r="BR963" s="58" t="e">
        <f>VLOOKUP(AM963,'[1]Harga &amp; Nama CSO'!$A$28:$D$31,4,0)*BL963</f>
        <v>#N/A</v>
      </c>
    </row>
    <row r="964" spans="37:70" x14ac:dyDescent="0.35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>
        <v>0</v>
      </c>
      <c r="BR964" s="58" t="e">
        <f>VLOOKUP(AM964,'[1]Harga &amp; Nama CSO'!$A$28:$D$31,4,0)*BL964</f>
        <v>#N/A</v>
      </c>
    </row>
    <row r="965" spans="37:70" x14ac:dyDescent="0.35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>
        <v>0</v>
      </c>
      <c r="BR965" s="58" t="e">
        <f>VLOOKUP(AM965,'[1]Harga &amp; Nama CSO'!$A$28:$D$31,4,0)*BL965</f>
        <v>#N/A</v>
      </c>
    </row>
    <row r="966" spans="37:70" x14ac:dyDescent="0.35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>
        <v>0</v>
      </c>
      <c r="BR966" s="58" t="e">
        <f>VLOOKUP(AM966,'[1]Harga &amp; Nama CSO'!$A$28:$D$31,4,0)*BL966</f>
        <v>#N/A</v>
      </c>
    </row>
    <row r="967" spans="37:70" x14ac:dyDescent="0.35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>
        <v>0</v>
      </c>
      <c r="BR967" s="58" t="e">
        <f>VLOOKUP(AM967,'[1]Harga &amp; Nama CSO'!$A$28:$D$31,4,0)*BL967</f>
        <v>#N/A</v>
      </c>
    </row>
    <row r="968" spans="37:70" x14ac:dyDescent="0.35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>
        <v>0</v>
      </c>
      <c r="BR968" s="58" t="e">
        <f>VLOOKUP(AM968,'[1]Harga &amp; Nama CSO'!$A$28:$D$31,4,0)*BL968</f>
        <v>#N/A</v>
      </c>
    </row>
    <row r="969" spans="37:70" x14ac:dyDescent="0.35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>
        <v>0</v>
      </c>
      <c r="BR969" s="58" t="e">
        <f>VLOOKUP(AM969,'[1]Harga &amp; Nama CSO'!$A$28:$D$31,4,0)*BL969</f>
        <v>#N/A</v>
      </c>
    </row>
    <row r="970" spans="37:70" x14ac:dyDescent="0.35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>
        <v>0</v>
      </c>
      <c r="BR970" s="58" t="e">
        <f>VLOOKUP(AM970,'[1]Harga &amp; Nama CSO'!$A$28:$D$31,4,0)*BL970</f>
        <v>#N/A</v>
      </c>
    </row>
    <row r="971" spans="37:70" x14ac:dyDescent="0.35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>
        <v>0</v>
      </c>
      <c r="BR971" s="58" t="e">
        <f>VLOOKUP(AM971,'[1]Harga &amp; Nama CSO'!$A$28:$D$31,4,0)*BL971</f>
        <v>#N/A</v>
      </c>
    </row>
    <row r="972" spans="37:70" x14ac:dyDescent="0.35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>
        <v>0</v>
      </c>
      <c r="BR972" s="58" t="e">
        <f>VLOOKUP(AM972,'[1]Harga &amp; Nama CSO'!$A$28:$D$31,4,0)*BL972</f>
        <v>#N/A</v>
      </c>
    </row>
    <row r="973" spans="37:70" x14ac:dyDescent="0.35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>
        <v>0</v>
      </c>
      <c r="BR973" s="58" t="e">
        <f>VLOOKUP(AM973,'[1]Harga &amp; Nama CSO'!$A$28:$D$31,4,0)*BL973</f>
        <v>#N/A</v>
      </c>
    </row>
    <row r="974" spans="37:70" x14ac:dyDescent="0.35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>
        <v>0</v>
      </c>
      <c r="BR974" s="58" t="e">
        <f>VLOOKUP(AM974,'[1]Harga &amp; Nama CSO'!$A$28:$D$31,4,0)*BL974</f>
        <v>#N/A</v>
      </c>
    </row>
    <row r="975" spans="37:70" x14ac:dyDescent="0.35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>
        <v>0</v>
      </c>
      <c r="BR975" s="58" t="e">
        <f>VLOOKUP(AM975,'[1]Harga &amp; Nama CSO'!$A$28:$D$31,4,0)*BL975</f>
        <v>#N/A</v>
      </c>
    </row>
    <row r="976" spans="37:70" x14ac:dyDescent="0.35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>
        <v>0</v>
      </c>
      <c r="BR976" s="58" t="e">
        <f>VLOOKUP(AM976,'[1]Harga &amp; Nama CSO'!$A$28:$D$31,4,0)*BL976</f>
        <v>#N/A</v>
      </c>
    </row>
    <row r="977" spans="37:70" x14ac:dyDescent="0.35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>
        <v>0</v>
      </c>
      <c r="BR977" s="58" t="e">
        <f>VLOOKUP(AM977,'[1]Harga &amp; Nama CSO'!$A$28:$D$31,4,0)*BL977</f>
        <v>#N/A</v>
      </c>
    </row>
    <row r="978" spans="37:70" x14ac:dyDescent="0.35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>
        <v>0</v>
      </c>
      <c r="BR978" s="58" t="e">
        <f>VLOOKUP(AM978,'[1]Harga &amp; Nama CSO'!$A$28:$D$31,4,0)*BL978</f>
        <v>#N/A</v>
      </c>
    </row>
    <row r="979" spans="37:70" x14ac:dyDescent="0.35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>
        <v>0</v>
      </c>
      <c r="BR979" s="58" t="e">
        <f>VLOOKUP(AM979,'[1]Harga &amp; Nama CSO'!$A$28:$D$31,4,0)*BL979</f>
        <v>#N/A</v>
      </c>
    </row>
    <row r="980" spans="37:70" x14ac:dyDescent="0.35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>
        <v>0</v>
      </c>
      <c r="BR980" s="58" t="e">
        <f>VLOOKUP(AM980,'[1]Harga &amp; Nama CSO'!$A$28:$D$31,4,0)*BL980</f>
        <v>#N/A</v>
      </c>
    </row>
    <row r="981" spans="37:70" x14ac:dyDescent="0.35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>
        <v>0</v>
      </c>
      <c r="BR981" s="58" t="e">
        <f>VLOOKUP(AM981,'[1]Harga &amp; Nama CSO'!$A$28:$D$31,4,0)*BL981</f>
        <v>#N/A</v>
      </c>
    </row>
    <row r="982" spans="37:70" x14ac:dyDescent="0.35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>
        <v>0</v>
      </c>
      <c r="BR982" s="58" t="e">
        <f>VLOOKUP(AM982,'[1]Harga &amp; Nama CSO'!$A$28:$D$31,4,0)*BL982</f>
        <v>#N/A</v>
      </c>
    </row>
    <row r="983" spans="37:70" x14ac:dyDescent="0.35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>
        <v>0</v>
      </c>
      <c r="BR983" s="58" t="e">
        <f>VLOOKUP(AM983,'[1]Harga &amp; Nama CSO'!$A$28:$D$31,4,0)*BL983</f>
        <v>#N/A</v>
      </c>
    </row>
    <row r="984" spans="37:70" x14ac:dyDescent="0.35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>
        <v>0</v>
      </c>
      <c r="BR984" s="58" t="e">
        <f>VLOOKUP(AM984,'[1]Harga &amp; Nama CSO'!$A$28:$D$31,4,0)*BL984</f>
        <v>#N/A</v>
      </c>
    </row>
    <row r="985" spans="37:70" x14ac:dyDescent="0.35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>
        <v>0</v>
      </c>
      <c r="BR985" s="58" t="e">
        <f>VLOOKUP(AM985,'[1]Harga &amp; Nama CSO'!$A$28:$D$31,4,0)*BL985</f>
        <v>#N/A</v>
      </c>
    </row>
    <row r="986" spans="37:70" x14ac:dyDescent="0.35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>
        <v>0</v>
      </c>
      <c r="BR986" s="58" t="e">
        <f>VLOOKUP(AM986,'[1]Harga &amp; Nama CSO'!$A$28:$D$31,4,0)*BL986</f>
        <v>#N/A</v>
      </c>
    </row>
    <row r="987" spans="37:70" x14ac:dyDescent="0.35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>
        <v>0</v>
      </c>
      <c r="BR987" s="58" t="e">
        <f>VLOOKUP(AM987,'[1]Harga &amp; Nama CSO'!$A$28:$D$31,4,0)*BL987</f>
        <v>#N/A</v>
      </c>
    </row>
    <row r="988" spans="37:70" x14ac:dyDescent="0.35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>
        <v>0</v>
      </c>
      <c r="BR988" s="58" t="e">
        <f>VLOOKUP(AM988,'[1]Harga &amp; Nama CSO'!$A$28:$D$31,4,0)*BL988</f>
        <v>#N/A</v>
      </c>
    </row>
    <row r="989" spans="37:70" x14ac:dyDescent="0.35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>
        <v>0</v>
      </c>
      <c r="BR989" s="58" t="e">
        <f>VLOOKUP(AM989,'[1]Harga &amp; Nama CSO'!$A$28:$D$31,4,0)*BL989</f>
        <v>#N/A</v>
      </c>
    </row>
    <row r="990" spans="37:70" x14ac:dyDescent="0.35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>
        <v>0</v>
      </c>
      <c r="BR990" s="58" t="e">
        <f>VLOOKUP(AM990,'[1]Harga &amp; Nama CSO'!$A$28:$D$31,4,0)*BL990</f>
        <v>#N/A</v>
      </c>
    </row>
    <row r="991" spans="37:70" x14ac:dyDescent="0.35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>
        <v>0</v>
      </c>
      <c r="BR991" s="58" t="e">
        <f>VLOOKUP(AM991,'[1]Harga &amp; Nama CSO'!$A$28:$D$31,4,0)*BL991</f>
        <v>#N/A</v>
      </c>
    </row>
    <row r="992" spans="37:70" x14ac:dyDescent="0.35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>
        <v>0</v>
      </c>
      <c r="BR992" s="58" t="e">
        <f>VLOOKUP(AM992,'[1]Harga &amp; Nama CSO'!$A$28:$D$31,4,0)*BL992</f>
        <v>#N/A</v>
      </c>
    </row>
    <row r="993" spans="37:70" x14ac:dyDescent="0.35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>
        <v>0</v>
      </c>
      <c r="BR993" s="58" t="e">
        <f>VLOOKUP(AM993,'[1]Harga &amp; Nama CSO'!$A$28:$D$31,4,0)*BL993</f>
        <v>#N/A</v>
      </c>
    </row>
    <row r="994" spans="37:70" x14ac:dyDescent="0.35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>
        <v>0</v>
      </c>
      <c r="BR994" s="58" t="e">
        <f>VLOOKUP(AM994,'[1]Harga &amp; Nama CSO'!$A$28:$D$31,4,0)*BL994</f>
        <v>#N/A</v>
      </c>
    </row>
    <row r="995" spans="37:70" x14ac:dyDescent="0.35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>
        <v>0</v>
      </c>
      <c r="BR995" s="58" t="e">
        <f>VLOOKUP(AM995,'[1]Harga &amp; Nama CSO'!$A$28:$D$31,4,0)*BL995</f>
        <v>#N/A</v>
      </c>
    </row>
    <row r="996" spans="37:70" x14ac:dyDescent="0.35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>
        <v>0</v>
      </c>
      <c r="BR996" s="58" t="e">
        <f>VLOOKUP(AM996,'[1]Harga &amp; Nama CSO'!$A$28:$D$31,4,0)*BL996</f>
        <v>#N/A</v>
      </c>
    </row>
    <row r="997" spans="37:70" x14ac:dyDescent="0.35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>
        <v>0</v>
      </c>
      <c r="BR997" s="58" t="e">
        <f>VLOOKUP(AM997,'[1]Harga &amp; Nama CSO'!$A$28:$D$31,4,0)*BL997</f>
        <v>#N/A</v>
      </c>
    </row>
    <row r="998" spans="37:70" x14ac:dyDescent="0.35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>
        <v>0</v>
      </c>
      <c r="BR998" s="58" t="e">
        <f>VLOOKUP(AM998,'[1]Harga &amp; Nama CSO'!$A$28:$D$31,4,0)*BL998</f>
        <v>#N/A</v>
      </c>
    </row>
    <row r="999" spans="37:70" x14ac:dyDescent="0.35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>
        <v>0</v>
      </c>
      <c r="BR999" s="58" t="e">
        <f>VLOOKUP(AM999,'[1]Harga &amp; Nama CSO'!$A$28:$D$31,4,0)*BL999</f>
        <v>#N/A</v>
      </c>
    </row>
    <row r="1000" spans="37:70" x14ac:dyDescent="0.35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>
        <v>0</v>
      </c>
      <c r="BR1000" s="58" t="e">
        <f>VLOOKUP(AM1000,'[1]Harga &amp; Nama CSO'!$A$28:$D$31,4,0)*BL1000</f>
        <v>#N/A</v>
      </c>
    </row>
    <row r="1001" spans="37:70" x14ac:dyDescent="0.35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>
        <v>0</v>
      </c>
      <c r="BR1001" s="58" t="e">
        <f>VLOOKUP(AM1001,'[1]Harga &amp; Nama CSO'!$A$28:$D$31,4,0)*BL1001</f>
        <v>#N/A</v>
      </c>
    </row>
    <row r="1002" spans="37:70" x14ac:dyDescent="0.35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>
        <v>0</v>
      </c>
      <c r="BR1002" s="58" t="e">
        <f>VLOOKUP(AM1002,'[1]Harga &amp; Nama CSO'!$A$28:$D$31,4,0)*BL1002</f>
        <v>#N/A</v>
      </c>
    </row>
    <row r="1003" spans="37:70" x14ac:dyDescent="0.35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>
        <v>0</v>
      </c>
      <c r="BR1003" s="58" t="e">
        <f>VLOOKUP(AM1003,'[1]Harga &amp; Nama CSO'!$A$28:$D$31,4,0)*BL1003</f>
        <v>#N/A</v>
      </c>
    </row>
    <row r="1004" spans="37:70" x14ac:dyDescent="0.35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>
        <v>0</v>
      </c>
      <c r="BR1004" s="58" t="e">
        <f>VLOOKUP(AM1004,'[1]Harga &amp; Nama CSO'!$A$28:$D$31,4,0)*BL1004</f>
        <v>#N/A</v>
      </c>
    </row>
    <row r="1005" spans="37:70" x14ac:dyDescent="0.35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>
        <v>0</v>
      </c>
      <c r="BR1005" s="58" t="e">
        <f>VLOOKUP(AM1005,'[1]Harga &amp; Nama CSO'!$A$28:$D$31,4,0)*BL1005</f>
        <v>#N/A</v>
      </c>
    </row>
    <row r="1006" spans="37:70" x14ac:dyDescent="0.35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>
        <v>0</v>
      </c>
      <c r="BR1006" s="58" t="e">
        <f>VLOOKUP(AM1006,'[1]Harga &amp; Nama CSO'!$A$28:$D$31,4,0)*BL1006</f>
        <v>#N/A</v>
      </c>
    </row>
    <row r="1007" spans="37:70" x14ac:dyDescent="0.35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>
        <v>0</v>
      </c>
      <c r="BR1007" s="58" t="e">
        <f>VLOOKUP(AM1007,'[1]Harga &amp; Nama CSO'!$A$28:$D$31,4,0)*BL1007</f>
        <v>#N/A</v>
      </c>
    </row>
    <row r="1008" spans="37:70" x14ac:dyDescent="0.35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>
        <v>0</v>
      </c>
      <c r="BR1008" s="58" t="e">
        <f>VLOOKUP(AM1008,'[1]Harga &amp; Nama CSO'!$A$28:$D$31,4,0)*BL1008</f>
        <v>#N/A</v>
      </c>
    </row>
    <row r="1009" spans="37:70" x14ac:dyDescent="0.35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>
        <v>0</v>
      </c>
      <c r="BR1009" s="58" t="e">
        <f>VLOOKUP(AM1009,'[1]Harga &amp; Nama CSO'!$A$28:$D$31,4,0)*BL1009</f>
        <v>#N/A</v>
      </c>
    </row>
    <row r="1010" spans="37:70" x14ac:dyDescent="0.35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>
        <v>0</v>
      </c>
      <c r="BR1010" s="58" t="e">
        <f>VLOOKUP(AM1010,'[1]Harga &amp; Nama CSO'!$A$28:$D$31,4,0)*BL1010</f>
        <v>#N/A</v>
      </c>
    </row>
    <row r="1011" spans="37:70" x14ac:dyDescent="0.35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>
        <v>0</v>
      </c>
      <c r="BR1011" s="58" t="e">
        <f>VLOOKUP(AM1011,'[1]Harga &amp; Nama CSO'!$A$28:$D$31,4,0)*BL1011</f>
        <v>#N/A</v>
      </c>
    </row>
    <row r="1012" spans="37:70" x14ac:dyDescent="0.35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>
        <v>0</v>
      </c>
      <c r="BR1012" s="58" t="e">
        <f>VLOOKUP(AM1012,'[1]Harga &amp; Nama CSO'!$A$28:$D$31,4,0)*BL1012</f>
        <v>#N/A</v>
      </c>
    </row>
    <row r="1013" spans="37:70" x14ac:dyDescent="0.35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>
        <v>0</v>
      </c>
      <c r="BR1013" s="58" t="e">
        <f>VLOOKUP(AM1013,'[1]Harga &amp; Nama CSO'!$A$28:$D$31,4,0)*BL1013</f>
        <v>#N/A</v>
      </c>
    </row>
    <row r="1014" spans="37:70" x14ac:dyDescent="0.35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>
        <v>0</v>
      </c>
      <c r="BR1014" s="58" t="e">
        <f>VLOOKUP(AM1014,'[1]Harga &amp; Nama CSO'!$A$28:$D$31,4,0)*BL1014</f>
        <v>#N/A</v>
      </c>
    </row>
    <row r="1015" spans="37:70" x14ac:dyDescent="0.35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>
        <v>0</v>
      </c>
      <c r="BR1015" s="58" t="e">
        <f>VLOOKUP(AM1015,'[1]Harga &amp; Nama CSO'!$A$28:$D$31,4,0)*BL1015</f>
        <v>#N/A</v>
      </c>
    </row>
    <row r="1016" spans="37:70" x14ac:dyDescent="0.35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>
        <v>0</v>
      </c>
      <c r="BR1016" s="58" t="e">
        <f>VLOOKUP(AM1016,'[1]Harga &amp; Nama CSO'!$A$28:$D$31,4,0)*BL1016</f>
        <v>#N/A</v>
      </c>
    </row>
    <row r="1017" spans="37:70" x14ac:dyDescent="0.35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>
        <v>0</v>
      </c>
      <c r="BR1017" s="58" t="e">
        <f>VLOOKUP(AM1017,'[1]Harga &amp; Nama CSO'!$A$28:$D$31,4,0)*BL1017</f>
        <v>#N/A</v>
      </c>
    </row>
    <row r="1018" spans="37:70" x14ac:dyDescent="0.35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>
        <v>0</v>
      </c>
      <c r="BR1018" s="58" t="e">
        <f>VLOOKUP(AM1018,'[1]Harga &amp; Nama CSO'!$A$28:$D$31,4,0)*BL1018</f>
        <v>#N/A</v>
      </c>
    </row>
    <row r="1019" spans="37:70" x14ac:dyDescent="0.35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>
        <v>0</v>
      </c>
      <c r="BR1019" s="58" t="e">
        <f>VLOOKUP(AM1019,'[1]Harga &amp; Nama CSO'!$A$28:$D$31,4,0)*BL1019</f>
        <v>#N/A</v>
      </c>
    </row>
    <row r="1020" spans="37:70" x14ac:dyDescent="0.35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>
        <v>0</v>
      </c>
      <c r="BR1020" s="58" t="e">
        <f>VLOOKUP(AM1020,'[1]Harga &amp; Nama CSO'!$A$28:$D$31,4,0)*BL1020</f>
        <v>#N/A</v>
      </c>
    </row>
    <row r="1021" spans="37:70" x14ac:dyDescent="0.35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>
        <v>0</v>
      </c>
      <c r="BR1021" s="58" t="e">
        <f>VLOOKUP(AM1021,'[1]Harga &amp; Nama CSO'!$A$28:$D$31,4,0)*BL1021</f>
        <v>#N/A</v>
      </c>
    </row>
    <row r="1022" spans="37:70" x14ac:dyDescent="0.35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>
        <v>0</v>
      </c>
      <c r="BR1022" s="58" t="e">
        <f>VLOOKUP(AM1022,'[1]Harga &amp; Nama CSO'!$A$28:$D$31,4,0)*BL1022</f>
        <v>#N/A</v>
      </c>
    </row>
    <row r="1023" spans="37:70" x14ac:dyDescent="0.35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>
        <v>0</v>
      </c>
      <c r="BR1023" s="58" t="e">
        <f>VLOOKUP(AM1023,'[1]Harga &amp; Nama CSO'!$A$28:$D$31,4,0)*BL1023</f>
        <v>#N/A</v>
      </c>
    </row>
    <row r="1024" spans="37:70" x14ac:dyDescent="0.35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>
        <v>0</v>
      </c>
      <c r="BR1024" s="58" t="e">
        <f>VLOOKUP(AM1024,'[1]Harga &amp; Nama CSO'!$A$28:$D$31,4,0)*BL1024</f>
        <v>#N/A</v>
      </c>
    </row>
    <row r="1025" spans="37:70" x14ac:dyDescent="0.35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>
        <v>0</v>
      </c>
      <c r="BR1025" s="58" t="e">
        <f>VLOOKUP(AM1025,'[1]Harga &amp; Nama CSO'!$A$28:$D$31,4,0)*BL1025</f>
        <v>#N/A</v>
      </c>
    </row>
    <row r="1026" spans="37:70" x14ac:dyDescent="0.35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>
        <v>0</v>
      </c>
      <c r="BR1026" s="58" t="e">
        <f>VLOOKUP(AM1026,'[1]Harga &amp; Nama CSO'!$A$28:$D$31,4,0)*BL1026</f>
        <v>#N/A</v>
      </c>
    </row>
    <row r="1027" spans="37:70" x14ac:dyDescent="0.35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>
        <v>0</v>
      </c>
      <c r="BR1027" s="58" t="e">
        <f>VLOOKUP(AM1027,'[1]Harga &amp; Nama CSO'!$A$28:$D$31,4,0)*BL1027</f>
        <v>#N/A</v>
      </c>
    </row>
    <row r="1028" spans="37:70" x14ac:dyDescent="0.35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>
        <v>0</v>
      </c>
      <c r="BR1028" s="58" t="e">
        <f>VLOOKUP(AM1028,'[1]Harga &amp; Nama CSO'!$A$28:$D$31,4,0)*BL1028</f>
        <v>#N/A</v>
      </c>
    </row>
    <row r="1029" spans="37:70" x14ac:dyDescent="0.35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>
        <v>0</v>
      </c>
      <c r="BR1029" s="58" t="e">
        <f>VLOOKUP(AM1029,'[1]Harga &amp; Nama CSO'!$A$28:$D$31,4,0)*BL1029</f>
        <v>#N/A</v>
      </c>
    </row>
    <row r="1030" spans="37:70" x14ac:dyDescent="0.35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>
        <v>0</v>
      </c>
      <c r="BR1030" s="58" t="e">
        <f>VLOOKUP(AM1030,'[1]Harga &amp; Nama CSO'!$A$28:$D$31,4,0)*BL1030</f>
        <v>#N/A</v>
      </c>
    </row>
    <row r="1031" spans="37:70" x14ac:dyDescent="0.35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>
        <v>0</v>
      </c>
      <c r="BR1031" s="58" t="e">
        <f>VLOOKUP(AM1031,'[1]Harga &amp; Nama CSO'!$A$28:$D$31,4,0)*BL1031</f>
        <v>#N/A</v>
      </c>
    </row>
    <row r="1032" spans="37:70" x14ac:dyDescent="0.35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>
        <v>0</v>
      </c>
      <c r="BR1032" s="58" t="e">
        <f>VLOOKUP(AM1032,'[1]Harga &amp; Nama CSO'!$A$28:$D$31,4,0)*BL1032</f>
        <v>#N/A</v>
      </c>
    </row>
    <row r="1033" spans="37:70" x14ac:dyDescent="0.35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>
        <v>0</v>
      </c>
      <c r="BR1033" s="58" t="e">
        <f>VLOOKUP(AM1033,'[1]Harga &amp; Nama CSO'!$A$28:$D$31,4,0)*BL1033</f>
        <v>#N/A</v>
      </c>
    </row>
    <row r="1034" spans="37:70" x14ac:dyDescent="0.35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>
        <v>0</v>
      </c>
      <c r="BR1034" s="58" t="e">
        <f>VLOOKUP(AM1034,'[1]Harga &amp; Nama CSO'!$A$28:$D$31,4,0)*BL1034</f>
        <v>#N/A</v>
      </c>
    </row>
    <row r="1035" spans="37:70" x14ac:dyDescent="0.35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>
        <v>0</v>
      </c>
      <c r="BR1035" s="58" t="e">
        <f>VLOOKUP(AM1035,'[1]Harga &amp; Nama CSO'!$A$28:$D$31,4,0)*BL1035</f>
        <v>#N/A</v>
      </c>
    </row>
    <row r="1036" spans="37:70" x14ac:dyDescent="0.35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>
        <v>0</v>
      </c>
      <c r="BR1036" s="58" t="e">
        <f>VLOOKUP(AM1036,'[1]Harga &amp; Nama CSO'!$A$28:$D$31,4,0)*BL1036</f>
        <v>#N/A</v>
      </c>
    </row>
    <row r="1037" spans="37:70" x14ac:dyDescent="0.35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>
        <v>0</v>
      </c>
      <c r="BR1037" s="58" t="e">
        <f>VLOOKUP(AM1037,'[1]Harga &amp; Nama CSO'!$A$28:$D$31,4,0)*BL1037</f>
        <v>#N/A</v>
      </c>
    </row>
    <row r="1038" spans="37:70" x14ac:dyDescent="0.35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>
        <v>0</v>
      </c>
      <c r="BR1038" s="58" t="e">
        <f>VLOOKUP(AM1038,'[1]Harga &amp; Nama CSO'!$A$28:$D$31,4,0)*BL1038</f>
        <v>#N/A</v>
      </c>
    </row>
    <row r="1039" spans="37:70" x14ac:dyDescent="0.35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>
        <v>0</v>
      </c>
      <c r="BR1039" s="58" t="e">
        <f>VLOOKUP(AM1039,'[1]Harga &amp; Nama CSO'!$A$28:$D$31,4,0)*BL1039</f>
        <v>#N/A</v>
      </c>
    </row>
    <row r="1040" spans="37:70" x14ac:dyDescent="0.35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>
        <v>0</v>
      </c>
      <c r="BR1040" s="58" t="e">
        <f>VLOOKUP(AM1040,'[1]Harga &amp; Nama CSO'!$A$28:$D$31,4,0)*BL1040</f>
        <v>#N/A</v>
      </c>
    </row>
    <row r="1041" spans="37:70" x14ac:dyDescent="0.35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>
        <v>0</v>
      </c>
      <c r="BR1041" s="58" t="e">
        <f>VLOOKUP(AM1041,'[1]Harga &amp; Nama CSO'!$A$28:$D$31,4,0)*BL1041</f>
        <v>#N/A</v>
      </c>
    </row>
    <row r="1042" spans="37:70" x14ac:dyDescent="0.35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>
        <v>0</v>
      </c>
      <c r="BR1042" s="58" t="e">
        <f>VLOOKUP(AM1042,'[1]Harga &amp; Nama CSO'!$A$28:$D$31,4,0)*BL1042</f>
        <v>#N/A</v>
      </c>
    </row>
    <row r="1043" spans="37:70" x14ac:dyDescent="0.35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>
        <v>0</v>
      </c>
      <c r="BR1043" s="58" t="e">
        <f>VLOOKUP(AM1043,'[1]Harga &amp; Nama CSO'!$A$28:$D$31,4,0)*BL1043</f>
        <v>#N/A</v>
      </c>
    </row>
    <row r="1044" spans="37:70" x14ac:dyDescent="0.35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>
        <v>0</v>
      </c>
      <c r="BR1044" s="58" t="e">
        <f>VLOOKUP(AM1044,'[1]Harga &amp; Nama CSO'!$A$28:$D$31,4,0)*BL1044</f>
        <v>#N/A</v>
      </c>
    </row>
    <row r="1045" spans="37:70" x14ac:dyDescent="0.35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>
        <v>0</v>
      </c>
      <c r="BR1045" s="58" t="e">
        <f>VLOOKUP(AM1045,'[1]Harga &amp; Nama CSO'!$A$28:$D$31,4,0)*BL1045</f>
        <v>#N/A</v>
      </c>
    </row>
    <row r="1046" spans="37:70" x14ac:dyDescent="0.35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>
        <v>0</v>
      </c>
      <c r="BR1046" s="58" t="e">
        <f>VLOOKUP(AM1046,'[1]Harga &amp; Nama CSO'!$A$28:$D$31,4,0)*BL1046</f>
        <v>#N/A</v>
      </c>
    </row>
    <row r="1047" spans="37:70" x14ac:dyDescent="0.35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>
        <v>0</v>
      </c>
      <c r="BR1047" s="58" t="e">
        <f>VLOOKUP(AM1047,'[1]Harga &amp; Nama CSO'!$A$28:$D$31,4,0)*BL1047</f>
        <v>#N/A</v>
      </c>
    </row>
    <row r="1048" spans="37:70" x14ac:dyDescent="0.35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>
        <v>0</v>
      </c>
      <c r="BR1048" s="58" t="e">
        <f>VLOOKUP(AM1048,'[1]Harga &amp; Nama CSO'!$A$28:$D$31,4,0)*BL1048</f>
        <v>#N/A</v>
      </c>
    </row>
    <row r="1049" spans="37:70" x14ac:dyDescent="0.35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>
        <v>0</v>
      </c>
      <c r="BR1049" s="58" t="e">
        <f>VLOOKUP(AM1049,'[1]Harga &amp; Nama CSO'!$A$28:$D$31,4,0)*BL1049</f>
        <v>#N/A</v>
      </c>
    </row>
    <row r="1050" spans="37:70" x14ac:dyDescent="0.35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>
        <v>0</v>
      </c>
      <c r="BR1050" s="58" t="e">
        <f>VLOOKUP(AM1050,'[1]Harga &amp; Nama CSO'!$A$28:$D$31,4,0)*BL1050</f>
        <v>#N/A</v>
      </c>
    </row>
    <row r="1051" spans="37:70" x14ac:dyDescent="0.35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>
        <v>0</v>
      </c>
      <c r="BR1051" s="58" t="e">
        <f>VLOOKUP(AM1051,'[1]Harga &amp; Nama CSO'!$A$28:$D$31,4,0)*BL1051</f>
        <v>#N/A</v>
      </c>
    </row>
    <row r="1052" spans="37:70" x14ac:dyDescent="0.35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>
        <v>0</v>
      </c>
      <c r="BR1052" s="58" t="e">
        <f>VLOOKUP(AM1052,'[1]Harga &amp; Nama CSO'!$A$28:$D$31,4,0)*BL1052</f>
        <v>#N/A</v>
      </c>
    </row>
    <row r="1053" spans="37:70" x14ac:dyDescent="0.35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>
        <v>0</v>
      </c>
      <c r="BR1053" s="58" t="e">
        <f>VLOOKUP(AM1053,'[1]Harga &amp; Nama CSO'!$A$28:$D$31,4,0)*BL1053</f>
        <v>#N/A</v>
      </c>
    </row>
    <row r="1054" spans="37:70" x14ac:dyDescent="0.35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>
        <v>0</v>
      </c>
      <c r="BR1054" s="58" t="e">
        <f>VLOOKUP(AM1054,'[1]Harga &amp; Nama CSO'!$A$28:$D$31,4,0)*BL1054</f>
        <v>#N/A</v>
      </c>
    </row>
    <row r="1055" spans="37:70" x14ac:dyDescent="0.35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>
        <v>0</v>
      </c>
      <c r="BR1055" s="58" t="e">
        <f>VLOOKUP(AM1055,'[1]Harga &amp; Nama CSO'!$A$28:$D$31,4,0)*BL1055</f>
        <v>#N/A</v>
      </c>
    </row>
    <row r="1056" spans="37:70" x14ac:dyDescent="0.35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>
        <v>0</v>
      </c>
      <c r="BR1056" s="58" t="e">
        <f>VLOOKUP(AM1056,'[1]Harga &amp; Nama CSO'!$A$28:$D$31,4,0)*BL1056</f>
        <v>#N/A</v>
      </c>
    </row>
    <row r="1057" spans="37:70" x14ac:dyDescent="0.35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>
        <v>0</v>
      </c>
      <c r="BR1057" s="58" t="e">
        <f>VLOOKUP(AM1057,'[1]Harga &amp; Nama CSO'!$A$28:$D$31,4,0)*BL1057</f>
        <v>#N/A</v>
      </c>
    </row>
    <row r="1058" spans="37:70" x14ac:dyDescent="0.35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>
        <v>0</v>
      </c>
      <c r="BR1058" s="58" t="e">
        <f>VLOOKUP(AM1058,'[1]Harga &amp; Nama CSO'!$A$28:$D$31,4,0)*BL1058</f>
        <v>#N/A</v>
      </c>
    </row>
    <row r="1059" spans="37:70" x14ac:dyDescent="0.35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>
        <v>0</v>
      </c>
      <c r="BR1059" s="58" t="e">
        <f>VLOOKUP(AM1059,'[1]Harga &amp; Nama CSO'!$A$28:$D$31,4,0)*BL1059</f>
        <v>#N/A</v>
      </c>
    </row>
    <row r="1060" spans="37:70" x14ac:dyDescent="0.35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>
        <v>0</v>
      </c>
      <c r="BR1060" s="58" t="e">
        <f>VLOOKUP(AM1060,'[1]Harga &amp; Nama CSO'!$A$28:$D$31,4,0)*BL1060</f>
        <v>#N/A</v>
      </c>
    </row>
    <row r="1061" spans="37:70" x14ac:dyDescent="0.35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>
        <v>0</v>
      </c>
      <c r="BR1061" s="58" t="e">
        <f>VLOOKUP(AM1061,'[1]Harga &amp; Nama CSO'!$A$28:$D$31,4,0)*BL1061</f>
        <v>#N/A</v>
      </c>
    </row>
    <row r="1062" spans="37:70" x14ac:dyDescent="0.35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>
        <v>0</v>
      </c>
      <c r="BR1062" s="58" t="e">
        <f>VLOOKUP(AM1062,'[1]Harga &amp; Nama CSO'!$A$28:$D$31,4,0)*BL1062</f>
        <v>#N/A</v>
      </c>
    </row>
    <row r="1063" spans="37:70" x14ac:dyDescent="0.35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>
        <v>0</v>
      </c>
      <c r="BR1063" s="58" t="e">
        <f>VLOOKUP(AM1063,'[1]Harga &amp; Nama CSO'!$A$28:$D$31,4,0)*BL1063</f>
        <v>#N/A</v>
      </c>
    </row>
    <row r="1064" spans="37:70" x14ac:dyDescent="0.35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>
        <v>0</v>
      </c>
      <c r="BR1064" s="58" t="e">
        <f>VLOOKUP(AM1064,'[1]Harga &amp; Nama CSO'!$A$28:$D$31,4,0)*BL1064</f>
        <v>#N/A</v>
      </c>
    </row>
    <row r="1065" spans="37:70" x14ac:dyDescent="0.35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>
        <v>0</v>
      </c>
      <c r="BR1065" s="58" t="e">
        <f>VLOOKUP(AM1065,'[1]Harga &amp; Nama CSO'!$A$28:$D$31,4,0)*BL1065</f>
        <v>#N/A</v>
      </c>
    </row>
    <row r="1066" spans="37:70" x14ac:dyDescent="0.35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>
        <v>0</v>
      </c>
      <c r="BR1066" s="58" t="e">
        <f>VLOOKUP(AM1066,'[1]Harga &amp; Nama CSO'!$A$28:$D$31,4,0)*BL1066</f>
        <v>#N/A</v>
      </c>
    </row>
    <row r="1067" spans="37:70" x14ac:dyDescent="0.35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>
        <v>0</v>
      </c>
      <c r="BR1067" s="58" t="e">
        <f>VLOOKUP(AM1067,'[1]Harga &amp; Nama CSO'!$A$28:$D$31,4,0)*BL1067</f>
        <v>#N/A</v>
      </c>
    </row>
    <row r="1068" spans="37:70" x14ac:dyDescent="0.35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>
        <v>0</v>
      </c>
      <c r="BR1068" s="58" t="e">
        <f>VLOOKUP(AM1068,'[1]Harga &amp; Nama CSO'!$A$28:$D$31,4,0)*BL1068</f>
        <v>#N/A</v>
      </c>
    </row>
    <row r="1069" spans="37:70" x14ac:dyDescent="0.35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>
        <v>0</v>
      </c>
      <c r="BR1069" s="58" t="e">
        <f>VLOOKUP(AM1069,'[1]Harga &amp; Nama CSO'!$A$28:$D$31,4,0)*BL1069</f>
        <v>#N/A</v>
      </c>
    </row>
    <row r="1070" spans="37:70" x14ac:dyDescent="0.35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>
        <v>0</v>
      </c>
      <c r="BR1070" s="58" t="e">
        <f>VLOOKUP(AM1070,'[1]Harga &amp; Nama CSO'!$A$28:$D$31,4,0)*BL1070</f>
        <v>#N/A</v>
      </c>
    </row>
    <row r="1071" spans="37:70" x14ac:dyDescent="0.35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>
        <v>0</v>
      </c>
      <c r="BR1071" s="58" t="e">
        <f>VLOOKUP(AM1071,'[1]Harga &amp; Nama CSO'!$A$28:$D$31,4,0)*BL1071</f>
        <v>#N/A</v>
      </c>
    </row>
    <row r="1072" spans="37:70" x14ac:dyDescent="0.35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>
        <v>0</v>
      </c>
      <c r="BR1072" s="58" t="e">
        <f>VLOOKUP(AM1072,'[1]Harga &amp; Nama CSO'!$A$28:$D$31,4,0)*BL1072</f>
        <v>#N/A</v>
      </c>
    </row>
    <row r="1073" spans="37:70" x14ac:dyDescent="0.35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>
        <v>0</v>
      </c>
      <c r="BR1073" s="58" t="e">
        <f>VLOOKUP(AM1073,'[1]Harga &amp; Nama CSO'!$A$28:$D$31,4,0)*BL1073</f>
        <v>#N/A</v>
      </c>
    </row>
    <row r="1074" spans="37:70" x14ac:dyDescent="0.35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>
        <v>0</v>
      </c>
      <c r="BR1074" s="58" t="e">
        <f>VLOOKUP(AM1074,'[1]Harga &amp; Nama CSO'!$A$28:$D$31,4,0)*BL1074</f>
        <v>#N/A</v>
      </c>
    </row>
    <row r="1075" spans="37:70" x14ac:dyDescent="0.35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>
        <v>0</v>
      </c>
      <c r="BR1075" s="58" t="e">
        <f>VLOOKUP(AM1075,'[1]Harga &amp; Nama CSO'!$A$28:$D$31,4,0)*BL1075</f>
        <v>#N/A</v>
      </c>
    </row>
    <row r="1076" spans="37:70" x14ac:dyDescent="0.35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>
        <v>0</v>
      </c>
      <c r="BR1076" s="58" t="e">
        <f>VLOOKUP(AM1076,'[1]Harga &amp; Nama CSO'!$A$28:$D$31,4,0)*BL1076</f>
        <v>#N/A</v>
      </c>
    </row>
    <row r="1077" spans="37:70" x14ac:dyDescent="0.35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>
        <v>0</v>
      </c>
      <c r="BR1077" s="58" t="e">
        <f>VLOOKUP(AM1077,'[1]Harga &amp; Nama CSO'!$A$28:$D$31,4,0)*BL1077</f>
        <v>#N/A</v>
      </c>
    </row>
    <row r="1078" spans="37:70" x14ac:dyDescent="0.35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>
        <v>0</v>
      </c>
      <c r="BR1078" s="58" t="e">
        <f>VLOOKUP(AM1078,'[1]Harga &amp; Nama CSO'!$A$28:$D$31,4,0)*BL1078</f>
        <v>#N/A</v>
      </c>
    </row>
    <row r="1079" spans="37:70" x14ac:dyDescent="0.35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>
        <v>0</v>
      </c>
      <c r="BR1079" s="58" t="e">
        <f>VLOOKUP(AM1079,'[1]Harga &amp; Nama CSO'!$A$28:$D$31,4,0)*BL1079</f>
        <v>#N/A</v>
      </c>
    </row>
    <row r="1080" spans="37:70" x14ac:dyDescent="0.35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>
        <v>0</v>
      </c>
      <c r="BR1080" s="58" t="e">
        <f>VLOOKUP(AM1080,'[1]Harga &amp; Nama CSO'!$A$28:$D$31,4,0)*BL1080</f>
        <v>#N/A</v>
      </c>
    </row>
    <row r="1081" spans="37:70" x14ac:dyDescent="0.35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>
        <v>0</v>
      </c>
      <c r="BR1081" s="58" t="e">
        <f>VLOOKUP(AM1081,'[1]Harga &amp; Nama CSO'!$A$28:$D$31,4,0)*BL1081</f>
        <v>#N/A</v>
      </c>
    </row>
    <row r="1082" spans="37:70" x14ac:dyDescent="0.35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>
        <v>0</v>
      </c>
      <c r="BR1082" s="58" t="e">
        <f>VLOOKUP(AM1082,'[1]Harga &amp; Nama CSO'!$A$28:$D$31,4,0)*BL1082</f>
        <v>#N/A</v>
      </c>
    </row>
    <row r="1083" spans="37:70" x14ac:dyDescent="0.35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>
        <v>0</v>
      </c>
      <c r="BR1083" s="58" t="e">
        <f>VLOOKUP(AM1083,'[1]Harga &amp; Nama CSO'!$A$28:$D$31,4,0)*BL1083</f>
        <v>#N/A</v>
      </c>
    </row>
    <row r="1084" spans="37:70" x14ac:dyDescent="0.35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>
        <v>0</v>
      </c>
      <c r="BR1084" s="58" t="e">
        <f>VLOOKUP(AM1084,'[1]Harga &amp; Nama CSO'!$A$28:$D$31,4,0)*BL1084</f>
        <v>#N/A</v>
      </c>
    </row>
    <row r="1085" spans="37:70" x14ac:dyDescent="0.35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>
        <v>0</v>
      </c>
      <c r="BR1085" s="58" t="e">
        <f>VLOOKUP(AM1085,'[1]Harga &amp; Nama CSO'!$A$28:$D$31,4,0)*BL1085</f>
        <v>#N/A</v>
      </c>
    </row>
    <row r="1086" spans="37:70" x14ac:dyDescent="0.35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>
        <v>0</v>
      </c>
      <c r="BR1086" s="58" t="e">
        <f>VLOOKUP(AM1086,'[1]Harga &amp; Nama CSO'!$A$28:$D$31,4,0)*BL1086</f>
        <v>#N/A</v>
      </c>
    </row>
    <row r="1087" spans="37:70" x14ac:dyDescent="0.35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>
        <v>0</v>
      </c>
      <c r="BR1087" s="58" t="e">
        <f>VLOOKUP(AM1087,'[1]Harga &amp; Nama CSO'!$A$28:$D$31,4,0)*BL1087</f>
        <v>#N/A</v>
      </c>
    </row>
    <row r="1088" spans="37:70" x14ac:dyDescent="0.35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>
        <v>0</v>
      </c>
      <c r="BR1088" s="58" t="e">
        <f>VLOOKUP(AM1088,'[1]Harga &amp; Nama CSO'!$A$28:$D$31,4,0)*BL1088</f>
        <v>#N/A</v>
      </c>
    </row>
    <row r="1089" spans="37:70" x14ac:dyDescent="0.35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>
        <v>0</v>
      </c>
      <c r="BR1089" s="58" t="e">
        <f>VLOOKUP(AM1089,'[1]Harga &amp; Nama CSO'!$A$28:$D$31,4,0)*BL1089</f>
        <v>#N/A</v>
      </c>
    </row>
    <row r="1090" spans="37:70" x14ac:dyDescent="0.35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>
        <v>0</v>
      </c>
      <c r="BR1090" s="58" t="e">
        <f>VLOOKUP(AM1090,'[1]Harga &amp; Nama CSO'!$A$28:$D$31,4,0)*BL1090</f>
        <v>#N/A</v>
      </c>
    </row>
    <row r="1091" spans="37:70" x14ac:dyDescent="0.35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>
        <v>0</v>
      </c>
      <c r="BR1091" s="58" t="e">
        <f>VLOOKUP(AM1091,'[1]Harga &amp; Nama CSO'!$A$28:$D$31,4,0)*BL1091</f>
        <v>#N/A</v>
      </c>
    </row>
    <row r="1092" spans="37:70" x14ac:dyDescent="0.35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>
        <v>0</v>
      </c>
      <c r="BR1092" s="58" t="e">
        <f>VLOOKUP(AM1092,'[1]Harga &amp; Nama CSO'!$A$28:$D$31,4,0)*BL1092</f>
        <v>#N/A</v>
      </c>
    </row>
    <row r="1093" spans="37:70" x14ac:dyDescent="0.35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>
        <v>0</v>
      </c>
      <c r="BR1093" s="58" t="e">
        <f>VLOOKUP(AM1093,'[1]Harga &amp; Nama CSO'!$A$28:$D$31,4,0)*BL1093</f>
        <v>#N/A</v>
      </c>
    </row>
    <row r="1094" spans="37:70" x14ac:dyDescent="0.35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>
        <v>0</v>
      </c>
      <c r="BR1094" s="58" t="e">
        <f>VLOOKUP(AM1094,'[1]Harga &amp; Nama CSO'!$A$28:$D$31,4,0)*BL1094</f>
        <v>#N/A</v>
      </c>
    </row>
    <row r="1095" spans="37:70" x14ac:dyDescent="0.35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>
        <v>0</v>
      </c>
      <c r="BR1095" s="58" t="e">
        <f>VLOOKUP(AM1095,'[1]Harga &amp; Nama CSO'!$A$28:$D$31,4,0)*BL1095</f>
        <v>#N/A</v>
      </c>
    </row>
    <row r="1096" spans="37:70" x14ac:dyDescent="0.35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>
        <v>0</v>
      </c>
      <c r="BR1096" s="58" t="e">
        <f>VLOOKUP(AM1096,'[1]Harga &amp; Nama CSO'!$A$28:$D$31,4,0)*BL1096</f>
        <v>#N/A</v>
      </c>
    </row>
    <row r="1097" spans="37:70" x14ac:dyDescent="0.35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>
        <v>0</v>
      </c>
      <c r="BR1097" s="58" t="e">
        <f>VLOOKUP(AM1097,'[1]Harga &amp; Nama CSO'!$A$28:$D$31,4,0)*BL1097</f>
        <v>#N/A</v>
      </c>
    </row>
    <row r="1098" spans="37:70" x14ac:dyDescent="0.35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>
        <v>0</v>
      </c>
      <c r="BR1098" s="58" t="e">
        <f>VLOOKUP(AM1098,'[1]Harga &amp; Nama CSO'!$A$28:$D$31,4,0)*BL1098</f>
        <v>#N/A</v>
      </c>
    </row>
    <row r="1099" spans="37:70" x14ac:dyDescent="0.35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>
        <v>0</v>
      </c>
      <c r="BR1099" s="58" t="e">
        <f>VLOOKUP(AM1099,'[1]Harga &amp; Nama CSO'!$A$28:$D$31,4,0)*BL1099</f>
        <v>#N/A</v>
      </c>
    </row>
    <row r="1100" spans="37:70" x14ac:dyDescent="0.35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>
        <v>0</v>
      </c>
      <c r="BR1100" s="58" t="e">
        <f>VLOOKUP(AM1100,'[1]Harga &amp; Nama CSO'!$A$28:$D$31,4,0)*BL1100</f>
        <v>#N/A</v>
      </c>
    </row>
    <row r="1101" spans="37:70" x14ac:dyDescent="0.35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>
        <v>0</v>
      </c>
      <c r="BR1101" s="58" t="e">
        <f>VLOOKUP(AM1101,'[1]Harga &amp; Nama CSO'!$A$28:$D$31,4,0)*BL1101</f>
        <v>#N/A</v>
      </c>
    </row>
    <row r="1102" spans="37:70" x14ac:dyDescent="0.35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>
        <v>0</v>
      </c>
      <c r="BR1102" s="58" t="e">
        <f>VLOOKUP(AM1102,'[1]Harga &amp; Nama CSO'!$A$28:$D$31,4,0)*BL1102</f>
        <v>#N/A</v>
      </c>
    </row>
    <row r="1103" spans="37:70" x14ac:dyDescent="0.35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>
        <v>0</v>
      </c>
      <c r="BR1103" s="58" t="e">
        <f>VLOOKUP(AM1103,'[1]Harga &amp; Nama CSO'!$A$28:$D$31,4,0)*BL1103</f>
        <v>#N/A</v>
      </c>
    </row>
    <row r="1104" spans="37:70" x14ac:dyDescent="0.35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>
        <v>0</v>
      </c>
      <c r="BR1104" s="58" t="e">
        <f>VLOOKUP(AM1104,'[1]Harga &amp; Nama CSO'!$A$28:$D$31,4,0)*BL1104</f>
        <v>#N/A</v>
      </c>
    </row>
    <row r="1105" spans="37:70" x14ac:dyDescent="0.35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>
        <v>0</v>
      </c>
      <c r="BR1105" s="58" t="e">
        <f>VLOOKUP(AM1105,'[1]Harga &amp; Nama CSO'!$A$28:$D$31,4,0)*BL1105</f>
        <v>#N/A</v>
      </c>
    </row>
    <row r="1106" spans="37:70" x14ac:dyDescent="0.35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>
        <v>0</v>
      </c>
      <c r="BR1106" s="58" t="e">
        <f>VLOOKUP(AM1106,'[1]Harga &amp; Nama CSO'!$A$28:$D$31,4,0)*BL1106</f>
        <v>#N/A</v>
      </c>
    </row>
    <row r="1107" spans="37:70" x14ac:dyDescent="0.35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>
        <v>0</v>
      </c>
      <c r="BR1107" s="58" t="e">
        <f>VLOOKUP(AM1107,'[1]Harga &amp; Nama CSO'!$A$28:$D$31,4,0)*BL1107</f>
        <v>#N/A</v>
      </c>
    </row>
    <row r="1108" spans="37:70" x14ac:dyDescent="0.35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>
        <v>0</v>
      </c>
      <c r="BR1108" s="58" t="e">
        <f>VLOOKUP(AM1108,'[1]Harga &amp; Nama CSO'!$A$28:$D$31,4,0)*BL1108</f>
        <v>#N/A</v>
      </c>
    </row>
    <row r="1109" spans="37:70" x14ac:dyDescent="0.35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>
        <v>0</v>
      </c>
      <c r="BR1109" s="58" t="e">
        <f>VLOOKUP(AM1109,'[1]Harga &amp; Nama CSO'!$A$28:$D$31,4,0)*BL1109</f>
        <v>#N/A</v>
      </c>
    </row>
    <row r="1110" spans="37:70" x14ac:dyDescent="0.35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>
        <v>0</v>
      </c>
      <c r="BR1110" s="58" t="e">
        <f>VLOOKUP(AM1110,'[1]Harga &amp; Nama CSO'!$A$28:$D$31,4,0)*BL1110</f>
        <v>#N/A</v>
      </c>
    </row>
    <row r="1111" spans="37:70" x14ac:dyDescent="0.35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>
        <v>0</v>
      </c>
      <c r="BR1111" s="58" t="e">
        <f>VLOOKUP(AM1111,'[1]Harga &amp; Nama CSO'!$A$28:$D$31,4,0)*BL1111</f>
        <v>#N/A</v>
      </c>
    </row>
    <row r="1112" spans="37:70" x14ac:dyDescent="0.35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>
        <v>0</v>
      </c>
      <c r="BR1112" s="58" t="e">
        <f>VLOOKUP(AM1112,'[1]Harga &amp; Nama CSO'!$A$28:$D$31,4,0)*BL1112</f>
        <v>#N/A</v>
      </c>
    </row>
    <row r="1113" spans="37:70" x14ac:dyDescent="0.35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>
        <v>0</v>
      </c>
      <c r="BR1113" s="58" t="e">
        <f>VLOOKUP(AM1113,'[1]Harga &amp; Nama CSO'!$A$28:$D$31,4,0)*BL1113</f>
        <v>#N/A</v>
      </c>
    </row>
    <row r="1114" spans="37:70" x14ac:dyDescent="0.35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>
        <v>0</v>
      </c>
      <c r="BR1114" s="58" t="e">
        <f>VLOOKUP(AM1114,'[1]Harga &amp; Nama CSO'!$A$28:$D$31,4,0)*BL1114</f>
        <v>#N/A</v>
      </c>
    </row>
    <row r="1115" spans="37:70" x14ac:dyDescent="0.35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>
        <v>0</v>
      </c>
      <c r="BR1115" s="58" t="e">
        <f>VLOOKUP(AM1115,'[1]Harga &amp; Nama CSO'!$A$28:$D$31,4,0)*BL1115</f>
        <v>#N/A</v>
      </c>
    </row>
    <row r="1116" spans="37:70" x14ac:dyDescent="0.35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>
        <v>0</v>
      </c>
      <c r="BR1116" s="58" t="e">
        <f>VLOOKUP(AM1116,'[1]Harga &amp; Nama CSO'!$A$28:$D$31,4,0)*BL1116</f>
        <v>#N/A</v>
      </c>
    </row>
    <row r="1117" spans="37:70" x14ac:dyDescent="0.35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>
        <v>0</v>
      </c>
      <c r="BR1117" s="58" t="e">
        <f>VLOOKUP(AM1117,'[1]Harga &amp; Nama CSO'!$A$28:$D$31,4,0)*BL1117</f>
        <v>#N/A</v>
      </c>
    </row>
    <row r="1118" spans="37:70" x14ac:dyDescent="0.35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>
        <v>0</v>
      </c>
      <c r="BR1118" s="58" t="e">
        <f>VLOOKUP(AM1118,'[1]Harga &amp; Nama CSO'!$A$28:$D$31,4,0)*BL1118</f>
        <v>#N/A</v>
      </c>
    </row>
    <row r="1119" spans="37:70" x14ac:dyDescent="0.35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>
        <v>0</v>
      </c>
      <c r="BR1119" s="58" t="e">
        <f>VLOOKUP(AM1119,'[1]Harga &amp; Nama CSO'!$A$28:$D$31,4,0)*BL1119</f>
        <v>#N/A</v>
      </c>
    </row>
    <row r="1120" spans="37:70" x14ac:dyDescent="0.35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>
        <v>0</v>
      </c>
      <c r="BR1120" s="58" t="e">
        <f>VLOOKUP(AM1120,'[1]Harga &amp; Nama CSO'!$A$28:$D$31,4,0)*BL1120</f>
        <v>#N/A</v>
      </c>
    </row>
    <row r="1121" spans="37:70" x14ac:dyDescent="0.35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>
        <v>0</v>
      </c>
      <c r="BR1121" s="58" t="e">
        <f>VLOOKUP(AM1121,'[1]Harga &amp; Nama CSO'!$A$28:$D$31,4,0)*BL1121</f>
        <v>#N/A</v>
      </c>
    </row>
    <row r="1122" spans="37:70" x14ac:dyDescent="0.35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>
        <v>0</v>
      </c>
      <c r="BR1122" s="58" t="e">
        <f>VLOOKUP(AM1122,'[1]Harga &amp; Nama CSO'!$A$28:$D$31,4,0)*BL1122</f>
        <v>#N/A</v>
      </c>
    </row>
    <row r="1123" spans="37:70" x14ac:dyDescent="0.35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>
        <v>0</v>
      </c>
      <c r="BR1123" s="58" t="e">
        <f>VLOOKUP(AM1123,'[1]Harga &amp; Nama CSO'!$A$28:$D$31,4,0)*BL1123</f>
        <v>#N/A</v>
      </c>
    </row>
    <row r="1124" spans="37:70" x14ac:dyDescent="0.35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>
        <v>0</v>
      </c>
      <c r="BR1124" s="58" t="e">
        <f>VLOOKUP(AM1124,'[1]Harga &amp; Nama CSO'!$A$28:$D$31,4,0)*BL1124</f>
        <v>#N/A</v>
      </c>
    </row>
    <row r="1125" spans="37:70" x14ac:dyDescent="0.35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>
        <v>0</v>
      </c>
      <c r="BR1125" s="58" t="e">
        <f>VLOOKUP(AM1125,'[1]Harga &amp; Nama CSO'!$A$28:$D$31,4,0)*BL1125</f>
        <v>#N/A</v>
      </c>
    </row>
    <row r="1126" spans="37:70" x14ac:dyDescent="0.35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>
        <v>0</v>
      </c>
      <c r="BR1126" s="58" t="e">
        <f>VLOOKUP(AM1126,'[1]Harga &amp; Nama CSO'!$A$28:$D$31,4,0)*BL1126</f>
        <v>#N/A</v>
      </c>
    </row>
    <row r="1127" spans="37:70" x14ac:dyDescent="0.35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>
        <v>0</v>
      </c>
      <c r="BR1127" s="58" t="e">
        <f>VLOOKUP(AM1127,'[1]Harga &amp; Nama CSO'!$A$28:$D$31,4,0)*BL1127</f>
        <v>#N/A</v>
      </c>
    </row>
    <row r="1128" spans="37:70" x14ac:dyDescent="0.35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>
        <v>0</v>
      </c>
      <c r="BR1128" s="58" t="e">
        <f>VLOOKUP(AM1128,'[1]Harga &amp; Nama CSO'!$A$28:$D$31,4,0)*BL1128</f>
        <v>#N/A</v>
      </c>
    </row>
    <row r="1129" spans="37:70" x14ac:dyDescent="0.35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>
        <v>0</v>
      </c>
      <c r="BR1129" s="58" t="e">
        <f>VLOOKUP(AM1129,'[1]Harga &amp; Nama CSO'!$A$28:$D$31,4,0)*BL1129</f>
        <v>#N/A</v>
      </c>
    </row>
    <row r="1130" spans="37:70" x14ac:dyDescent="0.35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>
        <v>0</v>
      </c>
      <c r="BR1130" s="58" t="e">
        <f>VLOOKUP(AM1130,'[1]Harga &amp; Nama CSO'!$A$28:$D$31,4,0)*BL1130</f>
        <v>#N/A</v>
      </c>
    </row>
    <row r="1131" spans="37:70" x14ac:dyDescent="0.35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>
        <v>0</v>
      </c>
      <c r="BR1131" s="58" t="e">
        <f>VLOOKUP(AM1131,'[1]Harga &amp; Nama CSO'!$A$28:$D$31,4,0)*BL1131</f>
        <v>#N/A</v>
      </c>
    </row>
    <row r="1132" spans="37:70" x14ac:dyDescent="0.35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>
        <v>0</v>
      </c>
      <c r="BR1132" s="58" t="e">
        <f>VLOOKUP(AM1132,'[1]Harga &amp; Nama CSO'!$A$28:$D$31,4,0)*BL1132</f>
        <v>#N/A</v>
      </c>
    </row>
    <row r="1133" spans="37:70" x14ac:dyDescent="0.35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>
        <v>0</v>
      </c>
      <c r="BR1133" s="58" t="e">
        <f>VLOOKUP(AM1133,'[1]Harga &amp; Nama CSO'!$A$28:$D$31,4,0)*BL1133</f>
        <v>#N/A</v>
      </c>
    </row>
    <row r="1134" spans="37:70" x14ac:dyDescent="0.35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>
        <v>0</v>
      </c>
      <c r="BR1134" s="58" t="e">
        <f>VLOOKUP(AM1134,'[1]Harga &amp; Nama CSO'!$A$28:$D$31,4,0)*BL1134</f>
        <v>#N/A</v>
      </c>
    </row>
    <row r="1135" spans="37:70" x14ac:dyDescent="0.35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>
        <v>0</v>
      </c>
      <c r="BR1135" s="58" t="e">
        <f>VLOOKUP(AM1135,'[1]Harga &amp; Nama CSO'!$A$28:$D$31,4,0)*BL1135</f>
        <v>#N/A</v>
      </c>
    </row>
    <row r="1136" spans="37:70" x14ac:dyDescent="0.35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>
        <v>0</v>
      </c>
      <c r="BR1136" s="58" t="e">
        <f>VLOOKUP(AM1136,'[1]Harga &amp; Nama CSO'!$A$28:$D$31,4,0)*BL1136</f>
        <v>#N/A</v>
      </c>
    </row>
    <row r="1137" spans="37:70" x14ac:dyDescent="0.35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>
        <v>0</v>
      </c>
      <c r="BR1137" s="58" t="e">
        <f>VLOOKUP(AM1137,'[1]Harga &amp; Nama CSO'!$A$28:$D$31,4,0)*BL1137</f>
        <v>#N/A</v>
      </c>
    </row>
    <row r="1138" spans="37:70" x14ac:dyDescent="0.35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>
        <v>0</v>
      </c>
      <c r="BR1138" s="58" t="e">
        <f>VLOOKUP(AM1138,'[1]Harga &amp; Nama CSO'!$A$28:$D$31,4,0)*BL1138</f>
        <v>#N/A</v>
      </c>
    </row>
    <row r="1139" spans="37:70" x14ac:dyDescent="0.35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>
        <v>0</v>
      </c>
      <c r="BR1139" s="58" t="e">
        <f>VLOOKUP(AM1139,'[1]Harga &amp; Nama CSO'!$A$28:$D$31,4,0)*BL1139</f>
        <v>#N/A</v>
      </c>
    </row>
    <row r="1140" spans="37:70" x14ac:dyDescent="0.35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>
        <v>0</v>
      </c>
      <c r="BR1140" s="58" t="e">
        <f>VLOOKUP(AM1140,'[1]Harga &amp; Nama CSO'!$A$28:$D$31,4,0)*BL1140</f>
        <v>#N/A</v>
      </c>
    </row>
    <row r="1141" spans="37:70" x14ac:dyDescent="0.35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>
        <v>0</v>
      </c>
      <c r="BR1141" s="58" t="e">
        <f>VLOOKUP(AM1141,'[1]Harga &amp; Nama CSO'!$A$28:$D$31,4,0)*BL1141</f>
        <v>#N/A</v>
      </c>
    </row>
    <row r="1142" spans="37:70" x14ac:dyDescent="0.35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>
        <v>0</v>
      </c>
      <c r="BR1142" s="58" t="e">
        <f>VLOOKUP(AM1142,'[1]Harga &amp; Nama CSO'!$A$28:$D$31,4,0)*BL1142</f>
        <v>#N/A</v>
      </c>
    </row>
    <row r="1143" spans="37:70" x14ac:dyDescent="0.35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>
        <v>0</v>
      </c>
      <c r="BR1143" s="58" t="e">
        <f>VLOOKUP(AM1143,'[1]Harga &amp; Nama CSO'!$A$28:$D$31,4,0)*BL1143</f>
        <v>#N/A</v>
      </c>
    </row>
    <row r="1144" spans="37:70" x14ac:dyDescent="0.35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>
        <v>0</v>
      </c>
      <c r="BR1144" s="58" t="e">
        <f>VLOOKUP(AM1144,'[1]Harga &amp; Nama CSO'!$A$28:$D$31,4,0)*BL1144</f>
        <v>#N/A</v>
      </c>
    </row>
    <row r="1145" spans="37:70" x14ac:dyDescent="0.35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>
        <v>0</v>
      </c>
      <c r="BR1145" s="58" t="e">
        <f>VLOOKUP(AM1145,'[1]Harga &amp; Nama CSO'!$A$28:$D$31,4,0)*BL1145</f>
        <v>#N/A</v>
      </c>
    </row>
    <row r="1146" spans="37:70" x14ac:dyDescent="0.35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>
        <v>0</v>
      </c>
      <c r="BR1146" s="58" t="e">
        <f>VLOOKUP(AM1146,'[1]Harga &amp; Nama CSO'!$A$28:$D$31,4,0)*BL1146</f>
        <v>#N/A</v>
      </c>
    </row>
    <row r="1147" spans="37:70" x14ac:dyDescent="0.35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>
        <v>0</v>
      </c>
      <c r="BR1147" s="58" t="e">
        <f>VLOOKUP(AM1147,'[1]Harga &amp; Nama CSO'!$A$28:$D$31,4,0)*BL1147</f>
        <v>#N/A</v>
      </c>
    </row>
    <row r="1148" spans="37:70" x14ac:dyDescent="0.35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>
        <v>0</v>
      </c>
      <c r="BR1148" s="58" t="e">
        <f>VLOOKUP(AM1148,'[1]Harga &amp; Nama CSO'!$A$28:$D$31,4,0)*BL1148</f>
        <v>#N/A</v>
      </c>
    </row>
    <row r="1149" spans="37:70" x14ac:dyDescent="0.35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>
        <v>0</v>
      </c>
      <c r="BR1149" s="58" t="e">
        <f>VLOOKUP(AM1149,'[1]Harga &amp; Nama CSO'!$A$28:$D$31,4,0)*BL1149</f>
        <v>#N/A</v>
      </c>
    </row>
    <row r="1150" spans="37:70" x14ac:dyDescent="0.35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>
        <v>0</v>
      </c>
      <c r="BR1150" s="58" t="e">
        <f>VLOOKUP(AM1150,'[1]Harga &amp; Nama CSO'!$A$28:$D$31,4,0)*BL1150</f>
        <v>#N/A</v>
      </c>
    </row>
    <row r="1151" spans="37:70" x14ac:dyDescent="0.35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>
        <v>0</v>
      </c>
      <c r="BR1151" s="58" t="e">
        <f>VLOOKUP(AM1151,'[1]Harga &amp; Nama CSO'!$A$28:$D$31,4,0)*BL1151</f>
        <v>#N/A</v>
      </c>
    </row>
    <row r="1152" spans="37:70" x14ac:dyDescent="0.35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>
        <v>0</v>
      </c>
      <c r="BR1152" s="58" t="e">
        <f>VLOOKUP(AM1152,'[1]Harga &amp; Nama CSO'!$A$28:$D$31,4,0)*BL1152</f>
        <v>#N/A</v>
      </c>
    </row>
    <row r="1153" spans="37:70" x14ac:dyDescent="0.35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>
        <v>0</v>
      </c>
      <c r="BR1153" s="58" t="e">
        <f>VLOOKUP(AM1153,'[1]Harga &amp; Nama CSO'!$A$28:$D$31,4,0)*BL1153</f>
        <v>#N/A</v>
      </c>
    </row>
    <row r="1154" spans="37:70" x14ac:dyDescent="0.35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>
        <v>0</v>
      </c>
      <c r="BR1154" s="58" t="e">
        <f>VLOOKUP(AM1154,'[1]Harga &amp; Nama CSO'!$A$28:$D$31,4,0)*BL1154</f>
        <v>#N/A</v>
      </c>
    </row>
    <row r="1155" spans="37:70" x14ac:dyDescent="0.35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>
        <v>0</v>
      </c>
      <c r="BR1155" s="58" t="e">
        <f>VLOOKUP(AM1155,'[1]Harga &amp; Nama CSO'!$A$28:$D$31,4,0)*BL1155</f>
        <v>#N/A</v>
      </c>
    </row>
    <row r="1156" spans="37:70" x14ac:dyDescent="0.35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>
        <v>0</v>
      </c>
      <c r="BR1156" s="58" t="e">
        <f>VLOOKUP(AM1156,'[1]Harga &amp; Nama CSO'!$A$28:$D$31,4,0)*BL1156</f>
        <v>#N/A</v>
      </c>
    </row>
    <row r="1157" spans="37:70" x14ac:dyDescent="0.35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>
        <v>0</v>
      </c>
      <c r="BR1157" s="58" t="e">
        <f>VLOOKUP(AM1157,'[1]Harga &amp; Nama CSO'!$A$28:$D$31,4,0)*BL1157</f>
        <v>#N/A</v>
      </c>
    </row>
    <row r="1158" spans="37:70" x14ac:dyDescent="0.35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>
        <v>0</v>
      </c>
      <c r="BR1158" s="58" t="e">
        <f>VLOOKUP(AM1158,'[1]Harga &amp; Nama CSO'!$A$28:$D$31,4,0)*BL1158</f>
        <v>#N/A</v>
      </c>
    </row>
    <row r="1159" spans="37:70" x14ac:dyDescent="0.35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>
        <v>0</v>
      </c>
      <c r="BR1159" s="58" t="e">
        <f>VLOOKUP(AM1159,'[1]Harga &amp; Nama CSO'!$A$28:$D$31,4,0)*BL1159</f>
        <v>#N/A</v>
      </c>
    </row>
    <row r="1160" spans="37:70" x14ac:dyDescent="0.35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>
        <v>0</v>
      </c>
      <c r="BR1160" s="58" t="e">
        <f>VLOOKUP(AM1160,'[1]Harga &amp; Nama CSO'!$A$28:$D$31,4,0)*BL1160</f>
        <v>#N/A</v>
      </c>
    </row>
    <row r="1161" spans="37:70" x14ac:dyDescent="0.35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>
        <v>0</v>
      </c>
      <c r="BR1161" s="58" t="e">
        <f>VLOOKUP(AM1161,'[1]Harga &amp; Nama CSO'!$A$28:$D$31,4,0)*BL1161</f>
        <v>#N/A</v>
      </c>
    </row>
    <row r="1162" spans="37:70" x14ac:dyDescent="0.35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>
        <v>0</v>
      </c>
      <c r="BR1162" s="58" t="e">
        <f>VLOOKUP(AM1162,'[1]Harga &amp; Nama CSO'!$A$28:$D$31,4,0)*BL1162</f>
        <v>#N/A</v>
      </c>
    </row>
    <row r="1163" spans="37:70" x14ac:dyDescent="0.35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>
        <v>0</v>
      </c>
      <c r="BR1163" s="58" t="e">
        <f>VLOOKUP(AM1163,'[1]Harga &amp; Nama CSO'!$A$28:$D$31,4,0)*BL1163</f>
        <v>#N/A</v>
      </c>
    </row>
    <row r="1164" spans="37:70" x14ac:dyDescent="0.35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>
        <v>0</v>
      </c>
      <c r="BR1164" s="58" t="e">
        <f>VLOOKUP(AM1164,'[1]Harga &amp; Nama CSO'!$A$28:$D$31,4,0)*BL1164</f>
        <v>#N/A</v>
      </c>
    </row>
    <row r="1165" spans="37:70" x14ac:dyDescent="0.35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>
        <v>0</v>
      </c>
      <c r="BR1165" s="58" t="e">
        <f>VLOOKUP(AM1165,'[1]Harga &amp; Nama CSO'!$A$28:$D$31,4,0)*BL1165</f>
        <v>#N/A</v>
      </c>
    </row>
    <row r="1166" spans="37:70" x14ac:dyDescent="0.35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>
        <v>0</v>
      </c>
      <c r="BR1166" s="58" t="e">
        <f>VLOOKUP(AM1166,'[1]Harga &amp; Nama CSO'!$A$28:$D$31,4,0)*BL1166</f>
        <v>#N/A</v>
      </c>
    </row>
    <row r="1167" spans="37:70" x14ac:dyDescent="0.35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>
        <v>0</v>
      </c>
      <c r="BR1167" s="58" t="e">
        <f>VLOOKUP(AM1167,'[1]Harga &amp; Nama CSO'!$A$28:$D$31,4,0)*BL1167</f>
        <v>#N/A</v>
      </c>
    </row>
    <row r="1168" spans="37:70" x14ac:dyDescent="0.35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>
        <v>0</v>
      </c>
      <c r="BR1168" s="58" t="e">
        <f>VLOOKUP(AM1168,'[1]Harga &amp; Nama CSO'!$A$28:$D$31,4,0)*BL1168</f>
        <v>#N/A</v>
      </c>
    </row>
    <row r="1169" spans="37:70" x14ac:dyDescent="0.35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>
        <v>0</v>
      </c>
      <c r="BR1169" s="58" t="e">
        <f>VLOOKUP(AM1169,'[1]Harga &amp; Nama CSO'!$A$28:$D$31,4,0)*BL1169</f>
        <v>#N/A</v>
      </c>
    </row>
    <row r="1170" spans="37:70" x14ac:dyDescent="0.35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>
        <v>0</v>
      </c>
      <c r="BR1170" s="58" t="e">
        <f>VLOOKUP(AM1170,'[1]Harga &amp; Nama CSO'!$A$28:$D$31,4,0)*BL1170</f>
        <v>#N/A</v>
      </c>
    </row>
    <row r="1171" spans="37:70" x14ac:dyDescent="0.35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>
        <v>0</v>
      </c>
      <c r="BR1171" s="58" t="e">
        <f>VLOOKUP(AM1171,'[1]Harga &amp; Nama CSO'!$A$28:$D$31,4,0)*BL1171</f>
        <v>#N/A</v>
      </c>
    </row>
    <row r="1172" spans="37:70" x14ac:dyDescent="0.35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>
        <v>0</v>
      </c>
      <c r="BR1172" s="58" t="e">
        <f>VLOOKUP(AM1172,'[1]Harga &amp; Nama CSO'!$A$28:$D$31,4,0)*BL1172</f>
        <v>#N/A</v>
      </c>
    </row>
    <row r="1173" spans="37:70" x14ac:dyDescent="0.35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>
        <v>0</v>
      </c>
      <c r="BR1173" s="58" t="e">
        <f>VLOOKUP(AM1173,'[1]Harga &amp; Nama CSO'!$A$28:$D$31,4,0)*BL1173</f>
        <v>#N/A</v>
      </c>
    </row>
    <row r="1174" spans="37:70" x14ac:dyDescent="0.35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>
        <v>0</v>
      </c>
      <c r="BR1174" s="58" t="e">
        <f>VLOOKUP(AM1174,'[1]Harga &amp; Nama CSO'!$A$28:$D$31,4,0)*BL1174</f>
        <v>#N/A</v>
      </c>
    </row>
    <row r="1175" spans="37:70" x14ac:dyDescent="0.35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>
        <v>0</v>
      </c>
      <c r="BR1175" s="58" t="e">
        <f>VLOOKUP(AM1175,'[1]Harga &amp; Nama CSO'!$A$28:$D$31,4,0)*BL1175</f>
        <v>#N/A</v>
      </c>
    </row>
    <row r="1176" spans="37:70" x14ac:dyDescent="0.35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>
        <v>0</v>
      </c>
      <c r="BR1176" s="58" t="e">
        <f>VLOOKUP(AM1176,'[1]Harga &amp; Nama CSO'!$A$28:$D$31,4,0)*BL1176</f>
        <v>#N/A</v>
      </c>
    </row>
    <row r="1177" spans="37:70" x14ac:dyDescent="0.35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>
        <v>0</v>
      </c>
      <c r="BR1177" s="58" t="e">
        <f>VLOOKUP(AM1177,'[1]Harga &amp; Nama CSO'!$A$28:$D$31,4,0)*BL1177</f>
        <v>#N/A</v>
      </c>
    </row>
    <row r="1178" spans="37:70" x14ac:dyDescent="0.35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>
        <v>0</v>
      </c>
      <c r="BR1178" s="58" t="e">
        <f>VLOOKUP(AM1178,'[1]Harga &amp; Nama CSO'!$A$28:$D$31,4,0)*BL1178</f>
        <v>#N/A</v>
      </c>
    </row>
    <row r="1179" spans="37:70" x14ac:dyDescent="0.35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>
        <v>0</v>
      </c>
      <c r="BR1179" s="58" t="e">
        <f>VLOOKUP(AM1179,'[1]Harga &amp; Nama CSO'!$A$28:$D$31,4,0)*BL1179</f>
        <v>#N/A</v>
      </c>
    </row>
    <row r="1180" spans="37:70" x14ac:dyDescent="0.35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>
        <v>0</v>
      </c>
      <c r="BR1180" s="58" t="e">
        <f>VLOOKUP(AM1180,'[1]Harga &amp; Nama CSO'!$A$28:$D$31,4,0)*BL1180</f>
        <v>#N/A</v>
      </c>
    </row>
    <row r="1181" spans="37:70" x14ac:dyDescent="0.35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>
        <v>0</v>
      </c>
      <c r="BR1181" s="58" t="e">
        <f>VLOOKUP(AM1181,'[1]Harga &amp; Nama CSO'!$A$28:$D$31,4,0)*BL1181</f>
        <v>#N/A</v>
      </c>
    </row>
    <row r="1182" spans="37:70" x14ac:dyDescent="0.35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>
        <v>0</v>
      </c>
      <c r="BR1182" s="58" t="e">
        <f>VLOOKUP(AM1182,'[1]Harga &amp; Nama CSO'!$A$28:$D$31,4,0)*BL1182</f>
        <v>#N/A</v>
      </c>
    </row>
    <row r="1183" spans="37:70" x14ac:dyDescent="0.35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>
        <v>0</v>
      </c>
      <c r="BR1183" s="58" t="e">
        <f>VLOOKUP(AM1183,'[1]Harga &amp; Nama CSO'!$A$28:$D$31,4,0)*BL1183</f>
        <v>#N/A</v>
      </c>
    </row>
    <row r="1184" spans="37:70" x14ac:dyDescent="0.35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>
        <v>0</v>
      </c>
      <c r="BR1184" s="58" t="e">
        <f>VLOOKUP(AM1184,'[1]Harga &amp; Nama CSO'!$A$28:$D$31,4,0)*BL1184</f>
        <v>#N/A</v>
      </c>
    </row>
    <row r="1185" spans="37:70" x14ac:dyDescent="0.35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>
        <v>0</v>
      </c>
      <c r="BR1185" s="58" t="e">
        <f>VLOOKUP(AM1185,'[1]Harga &amp; Nama CSO'!$A$28:$D$31,4,0)*BL1185</f>
        <v>#N/A</v>
      </c>
    </row>
    <row r="1186" spans="37:70" x14ac:dyDescent="0.35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>
        <v>0</v>
      </c>
      <c r="BR1186" s="58" t="e">
        <f>VLOOKUP(AM1186,'[1]Harga &amp; Nama CSO'!$A$28:$D$31,4,0)*BL1186</f>
        <v>#N/A</v>
      </c>
    </row>
    <row r="1187" spans="37:70" x14ac:dyDescent="0.35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>
        <v>0</v>
      </c>
      <c r="BR1187" s="58" t="e">
        <f>VLOOKUP(AM1187,'[1]Harga &amp; Nama CSO'!$A$28:$D$31,4,0)*BL1187</f>
        <v>#N/A</v>
      </c>
    </row>
    <row r="1188" spans="37:70" x14ac:dyDescent="0.35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>
        <v>0</v>
      </c>
      <c r="BR1188" s="58" t="e">
        <f>VLOOKUP(AM1188,'[1]Harga &amp; Nama CSO'!$A$28:$D$31,4,0)*BL1188</f>
        <v>#N/A</v>
      </c>
    </row>
    <row r="1189" spans="37:70" x14ac:dyDescent="0.35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>
        <v>0</v>
      </c>
      <c r="BR1189" s="58" t="e">
        <f>VLOOKUP(AM1189,'[1]Harga &amp; Nama CSO'!$A$28:$D$31,4,0)*BL1189</f>
        <v>#N/A</v>
      </c>
    </row>
    <row r="1190" spans="37:70" x14ac:dyDescent="0.35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>
        <v>0</v>
      </c>
      <c r="BR1190" s="58" t="e">
        <f>VLOOKUP(AM1190,'[1]Harga &amp; Nama CSO'!$A$28:$D$31,4,0)*BL1190</f>
        <v>#N/A</v>
      </c>
    </row>
    <row r="1191" spans="37:70" x14ac:dyDescent="0.35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>
        <v>0</v>
      </c>
      <c r="BR1191" s="58" t="e">
        <f>VLOOKUP(AM1191,'[1]Harga &amp; Nama CSO'!$A$28:$D$31,4,0)*BL1191</f>
        <v>#N/A</v>
      </c>
    </row>
    <row r="1192" spans="37:70" x14ac:dyDescent="0.35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>
        <v>0</v>
      </c>
      <c r="BR1192" s="58" t="e">
        <f>VLOOKUP(AM1192,'[1]Harga &amp; Nama CSO'!$A$28:$D$31,4,0)*BL1192</f>
        <v>#N/A</v>
      </c>
    </row>
    <row r="1193" spans="37:70" x14ac:dyDescent="0.35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>
        <v>0</v>
      </c>
      <c r="BR1193" s="58" t="e">
        <f>VLOOKUP(AM1193,'[1]Harga &amp; Nama CSO'!$A$28:$D$31,4,0)*BL1193</f>
        <v>#N/A</v>
      </c>
    </row>
    <row r="1194" spans="37:70" x14ac:dyDescent="0.35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>
        <v>0</v>
      </c>
      <c r="BR1194" s="58" t="e">
        <f>VLOOKUP(AM1194,'[1]Harga &amp; Nama CSO'!$A$28:$D$31,4,0)*BL1194</f>
        <v>#N/A</v>
      </c>
    </row>
    <row r="1195" spans="37:70" x14ac:dyDescent="0.35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>
        <v>0</v>
      </c>
      <c r="BR1195" s="58" t="e">
        <f>VLOOKUP(AM1195,'[1]Harga &amp; Nama CSO'!$A$28:$D$31,4,0)*BL1195</f>
        <v>#N/A</v>
      </c>
    </row>
    <row r="1196" spans="37:70" x14ac:dyDescent="0.35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>
        <v>0</v>
      </c>
      <c r="BR1196" s="58" t="e">
        <f>VLOOKUP(AM1196,'[1]Harga &amp; Nama CSO'!$A$28:$D$31,4,0)*BL1196</f>
        <v>#N/A</v>
      </c>
    </row>
    <row r="1197" spans="37:70" x14ac:dyDescent="0.35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>
        <v>0</v>
      </c>
      <c r="BR1197" s="58" t="e">
        <f>VLOOKUP(AM1197,'[1]Harga &amp; Nama CSO'!$A$28:$D$31,4,0)*BL1197</f>
        <v>#N/A</v>
      </c>
    </row>
    <row r="1198" spans="37:70" x14ac:dyDescent="0.35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>
        <v>0</v>
      </c>
      <c r="BR1198" s="58" t="e">
        <f>VLOOKUP(AM1198,'[1]Harga &amp; Nama CSO'!$A$28:$D$31,4,0)*BL1198</f>
        <v>#N/A</v>
      </c>
    </row>
    <row r="1199" spans="37:70" x14ac:dyDescent="0.35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>
        <v>0</v>
      </c>
      <c r="BR1199" s="58" t="e">
        <f>VLOOKUP(AM1199,'[1]Harga &amp; Nama CSO'!$A$28:$D$31,4,0)*BL1199</f>
        <v>#N/A</v>
      </c>
    </row>
    <row r="1200" spans="37:70" x14ac:dyDescent="0.35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>
        <v>0</v>
      </c>
      <c r="BR1200" s="58" t="e">
        <f>VLOOKUP(AM1200,'[1]Harga &amp; Nama CSO'!$A$28:$D$31,4,0)*BL1200</f>
        <v>#N/A</v>
      </c>
    </row>
    <row r="1201" spans="37:70" x14ac:dyDescent="0.35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>
        <v>0</v>
      </c>
      <c r="BR1201" s="58" t="e">
        <f>VLOOKUP(AM1201,'[1]Harga &amp; Nama CSO'!$A$28:$D$31,4,0)*BL1201</f>
        <v>#N/A</v>
      </c>
    </row>
    <row r="1202" spans="37:70" x14ac:dyDescent="0.35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>
        <v>0</v>
      </c>
      <c r="BR1202" s="58" t="e">
        <f>VLOOKUP(AM1202,'[1]Harga &amp; Nama CSO'!$A$28:$D$31,4,0)*BL1202</f>
        <v>#N/A</v>
      </c>
    </row>
    <row r="1203" spans="37:70" x14ac:dyDescent="0.35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>
        <v>0</v>
      </c>
      <c r="BR1203" s="58" t="e">
        <f>VLOOKUP(AM1203,'[1]Harga &amp; Nama CSO'!$A$28:$D$31,4,0)*BL1203</f>
        <v>#N/A</v>
      </c>
    </row>
    <row r="1204" spans="37:70" x14ac:dyDescent="0.35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>
        <v>0</v>
      </c>
      <c r="BR1204" s="58" t="e">
        <f>VLOOKUP(AM1204,'[1]Harga &amp; Nama CSO'!$A$28:$D$31,4,0)*BL1204</f>
        <v>#N/A</v>
      </c>
    </row>
    <row r="1205" spans="37:70" x14ac:dyDescent="0.35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>
        <v>0</v>
      </c>
      <c r="BR1205" s="58" t="e">
        <f>VLOOKUP(AM1205,'[1]Harga &amp; Nama CSO'!$A$28:$D$31,4,0)*BL1205</f>
        <v>#N/A</v>
      </c>
    </row>
    <row r="1206" spans="37:70" x14ac:dyDescent="0.35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>
        <v>0</v>
      </c>
      <c r="BR1206" s="58" t="e">
        <f>VLOOKUP(AM1206,'[1]Harga &amp; Nama CSO'!$A$28:$D$31,4,0)*BL1206</f>
        <v>#N/A</v>
      </c>
    </row>
    <row r="1207" spans="37:70" x14ac:dyDescent="0.35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>
        <v>0</v>
      </c>
      <c r="BR1207" s="58" t="e">
        <f>VLOOKUP(AM1207,'[1]Harga &amp; Nama CSO'!$A$28:$D$31,4,0)*BL1207</f>
        <v>#N/A</v>
      </c>
    </row>
    <row r="1208" spans="37:70" x14ac:dyDescent="0.35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>
        <v>0</v>
      </c>
      <c r="BR1208" s="58" t="e">
        <f>VLOOKUP(AM1208,'[1]Harga &amp; Nama CSO'!$A$28:$D$31,4,0)*BL1208</f>
        <v>#N/A</v>
      </c>
    </row>
    <row r="1209" spans="37:70" x14ac:dyDescent="0.35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>
        <v>0</v>
      </c>
      <c r="BR1209" s="58" t="e">
        <f>VLOOKUP(AM1209,'[1]Harga &amp; Nama CSO'!$A$28:$D$31,4,0)*BL1209</f>
        <v>#N/A</v>
      </c>
    </row>
    <row r="1210" spans="37:70" x14ac:dyDescent="0.35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>
        <v>0</v>
      </c>
      <c r="BR1210" s="58" t="e">
        <f>VLOOKUP(AM1210,'[1]Harga &amp; Nama CSO'!$A$28:$D$31,4,0)*BL1210</f>
        <v>#N/A</v>
      </c>
    </row>
    <row r="1211" spans="37:70" x14ac:dyDescent="0.35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>
        <v>0</v>
      </c>
      <c r="BR1211" s="58" t="e">
        <f>VLOOKUP(AM1211,'[1]Harga &amp; Nama CSO'!$A$28:$D$31,4,0)*BL1211</f>
        <v>#N/A</v>
      </c>
    </row>
    <row r="1212" spans="37:70" x14ac:dyDescent="0.35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>
        <v>0</v>
      </c>
      <c r="BR1212" s="58" t="e">
        <f>VLOOKUP(AM1212,'[1]Harga &amp; Nama CSO'!$A$28:$D$31,4,0)*BL1212</f>
        <v>#N/A</v>
      </c>
    </row>
    <row r="1213" spans="37:70" x14ac:dyDescent="0.35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>
        <v>0</v>
      </c>
      <c r="BR1213" s="58" t="e">
        <f>VLOOKUP(AM1213,'[1]Harga &amp; Nama CSO'!$A$28:$D$31,4,0)*BL1213</f>
        <v>#N/A</v>
      </c>
    </row>
    <row r="1214" spans="37:70" x14ac:dyDescent="0.35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>
        <v>0</v>
      </c>
      <c r="BR1214" s="58" t="e">
        <f>VLOOKUP(AM1214,'[1]Harga &amp; Nama CSO'!$A$28:$D$31,4,0)*BL1214</f>
        <v>#N/A</v>
      </c>
    </row>
    <row r="1215" spans="37:70" x14ac:dyDescent="0.35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>
        <v>0</v>
      </c>
      <c r="BR1215" s="58" t="e">
        <f>VLOOKUP(AM1215,'[1]Harga &amp; Nama CSO'!$A$28:$D$31,4,0)*BL1215</f>
        <v>#N/A</v>
      </c>
    </row>
    <row r="1216" spans="37:70" x14ac:dyDescent="0.35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>
        <v>0</v>
      </c>
      <c r="BR1216" s="58" t="e">
        <f>VLOOKUP(AM1216,'[1]Harga &amp; Nama CSO'!$A$28:$D$31,4,0)*BL1216</f>
        <v>#N/A</v>
      </c>
    </row>
    <row r="1217" spans="37:70" x14ac:dyDescent="0.35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>
        <v>0</v>
      </c>
      <c r="BR1217" s="58" t="e">
        <f>VLOOKUP(AM1217,'[1]Harga &amp; Nama CSO'!$A$28:$D$31,4,0)*BL1217</f>
        <v>#N/A</v>
      </c>
    </row>
    <row r="1218" spans="37:70" x14ac:dyDescent="0.35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>
        <v>0</v>
      </c>
      <c r="BR1218" s="58" t="e">
        <f>VLOOKUP(AM1218,'[1]Harga &amp; Nama CSO'!$A$28:$D$31,4,0)*BL1218</f>
        <v>#N/A</v>
      </c>
    </row>
    <row r="1219" spans="37:70" x14ac:dyDescent="0.35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>
        <v>0</v>
      </c>
      <c r="BR1219" s="58" t="e">
        <f>VLOOKUP(AM1219,'[1]Harga &amp; Nama CSO'!$A$28:$D$31,4,0)*BL1219</f>
        <v>#N/A</v>
      </c>
    </row>
    <row r="1220" spans="37:70" x14ac:dyDescent="0.35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>
        <v>0</v>
      </c>
      <c r="BR1220" s="58" t="e">
        <f>VLOOKUP(AM1220,'[1]Harga &amp; Nama CSO'!$A$28:$D$31,4,0)*BL1220</f>
        <v>#N/A</v>
      </c>
    </row>
    <row r="1221" spans="37:70" x14ac:dyDescent="0.35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>
        <v>0</v>
      </c>
      <c r="BR1221" s="58" t="e">
        <f>VLOOKUP(AM1221,'[1]Harga &amp; Nama CSO'!$A$28:$D$31,4,0)*BL1221</f>
        <v>#N/A</v>
      </c>
    </row>
    <row r="1222" spans="37:70" x14ac:dyDescent="0.35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>
        <v>0</v>
      </c>
      <c r="BR1222" s="58" t="e">
        <f>VLOOKUP(AM1222,'[1]Harga &amp; Nama CSO'!$A$28:$D$31,4,0)*BL1222</f>
        <v>#N/A</v>
      </c>
    </row>
    <row r="1223" spans="37:70" x14ac:dyDescent="0.35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>
        <v>0</v>
      </c>
      <c r="BR1223" s="58" t="e">
        <f>VLOOKUP(AM1223,'[1]Harga &amp; Nama CSO'!$A$28:$D$31,4,0)*BL1223</f>
        <v>#N/A</v>
      </c>
    </row>
    <row r="1224" spans="37:70" x14ac:dyDescent="0.35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>
        <v>0</v>
      </c>
      <c r="BR1224" s="58" t="e">
        <f>VLOOKUP(AM1224,'[1]Harga &amp; Nama CSO'!$A$28:$D$31,4,0)*BL1224</f>
        <v>#N/A</v>
      </c>
    </row>
    <row r="1225" spans="37:70" x14ac:dyDescent="0.35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>
        <v>0</v>
      </c>
      <c r="BR1225" s="58" t="e">
        <f>VLOOKUP(AM1225,'[1]Harga &amp; Nama CSO'!$A$28:$D$31,4,0)*BL1225</f>
        <v>#N/A</v>
      </c>
    </row>
    <row r="1226" spans="37:70" x14ac:dyDescent="0.35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>
        <v>0</v>
      </c>
      <c r="BR1226" s="58" t="e">
        <f>VLOOKUP(AM1226,'[1]Harga &amp; Nama CSO'!$A$28:$D$31,4,0)*BL1226</f>
        <v>#N/A</v>
      </c>
    </row>
    <row r="1227" spans="37:70" x14ac:dyDescent="0.35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>
        <v>0</v>
      </c>
      <c r="BR1227" s="58" t="e">
        <f>VLOOKUP(AM1227,'[1]Harga &amp; Nama CSO'!$A$28:$D$31,4,0)*BL1227</f>
        <v>#N/A</v>
      </c>
    </row>
    <row r="1228" spans="37:70" x14ac:dyDescent="0.35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>
        <v>0</v>
      </c>
      <c r="BR1228" s="58" t="e">
        <f>VLOOKUP(AM1228,'[1]Harga &amp; Nama CSO'!$A$28:$D$31,4,0)*BL1228</f>
        <v>#N/A</v>
      </c>
    </row>
    <row r="1229" spans="37:70" x14ac:dyDescent="0.35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>
        <v>0</v>
      </c>
      <c r="BR1229" s="58" t="e">
        <f>VLOOKUP(AM1229,'[1]Harga &amp; Nama CSO'!$A$28:$D$31,4,0)*BL1229</f>
        <v>#N/A</v>
      </c>
    </row>
    <row r="1230" spans="37:70" x14ac:dyDescent="0.35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>
        <v>0</v>
      </c>
      <c r="BR1230" s="58" t="e">
        <f>VLOOKUP(AM1230,'[1]Harga &amp; Nama CSO'!$A$28:$D$31,4,0)*BL1230</f>
        <v>#N/A</v>
      </c>
    </row>
    <row r="1231" spans="37:70" x14ac:dyDescent="0.35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>
        <v>0</v>
      </c>
      <c r="BR1231" s="58" t="e">
        <f>VLOOKUP(AM1231,'[1]Harga &amp; Nama CSO'!$A$28:$D$31,4,0)*BL1231</f>
        <v>#N/A</v>
      </c>
    </row>
    <row r="1232" spans="37:70" x14ac:dyDescent="0.35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>
        <v>0</v>
      </c>
      <c r="BR1232" s="58" t="e">
        <f>VLOOKUP(AM1232,'[1]Harga &amp; Nama CSO'!$A$28:$D$31,4,0)*BL1232</f>
        <v>#N/A</v>
      </c>
    </row>
    <row r="1233" spans="37:70" x14ac:dyDescent="0.35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>
        <v>0</v>
      </c>
      <c r="BR1233" s="58" t="e">
        <f>VLOOKUP(AM1233,'[1]Harga &amp; Nama CSO'!$A$28:$D$31,4,0)*BL1233</f>
        <v>#N/A</v>
      </c>
    </row>
    <row r="1234" spans="37:70" x14ac:dyDescent="0.35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>
        <v>0</v>
      </c>
      <c r="BR1234" s="58" t="e">
        <f>VLOOKUP(AM1234,'[1]Harga &amp; Nama CSO'!$A$28:$D$31,4,0)*BL1234</f>
        <v>#N/A</v>
      </c>
    </row>
    <row r="1235" spans="37:70" x14ac:dyDescent="0.35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>
        <v>0</v>
      </c>
      <c r="BR1235" s="58" t="e">
        <f>VLOOKUP(AM1235,'[1]Harga &amp; Nama CSO'!$A$28:$D$31,4,0)*BL1235</f>
        <v>#N/A</v>
      </c>
    </row>
    <row r="1236" spans="37:70" x14ac:dyDescent="0.35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>
        <v>0</v>
      </c>
      <c r="BR1236" s="58" t="e">
        <f>VLOOKUP(AM1236,'[1]Harga &amp; Nama CSO'!$A$28:$D$31,4,0)*BL1236</f>
        <v>#N/A</v>
      </c>
    </row>
    <row r="1237" spans="37:70" x14ac:dyDescent="0.35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>
        <v>0</v>
      </c>
      <c r="BR1237" s="58" t="e">
        <f>VLOOKUP(AM1237,'[1]Harga &amp; Nama CSO'!$A$28:$D$31,4,0)*BL1237</f>
        <v>#N/A</v>
      </c>
    </row>
    <row r="1238" spans="37:70" x14ac:dyDescent="0.35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>
        <v>0</v>
      </c>
      <c r="BR1238" s="58" t="e">
        <f>VLOOKUP(AM1238,'[1]Harga &amp; Nama CSO'!$A$28:$D$31,4,0)*BL1238</f>
        <v>#N/A</v>
      </c>
    </row>
    <row r="1239" spans="37:70" x14ac:dyDescent="0.35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>
        <v>0</v>
      </c>
      <c r="BR1239" s="58" t="e">
        <f>VLOOKUP(AM1239,'[1]Harga &amp; Nama CSO'!$A$28:$D$31,4,0)*BL1239</f>
        <v>#N/A</v>
      </c>
    </row>
    <row r="1240" spans="37:70" x14ac:dyDescent="0.35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>
        <v>0</v>
      </c>
      <c r="BR1240" s="58" t="e">
        <f>VLOOKUP(AM1240,'[1]Harga &amp; Nama CSO'!$A$28:$D$31,4,0)*BL1240</f>
        <v>#N/A</v>
      </c>
    </row>
    <row r="1241" spans="37:70" x14ac:dyDescent="0.35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>
        <v>0</v>
      </c>
      <c r="BR1241" s="58" t="e">
        <f>VLOOKUP(AM1241,'[1]Harga &amp; Nama CSO'!$A$28:$D$31,4,0)*BL1241</f>
        <v>#N/A</v>
      </c>
    </row>
    <row r="1242" spans="37:70" x14ac:dyDescent="0.35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>
        <v>0</v>
      </c>
      <c r="BR1242" s="58" t="e">
        <f>VLOOKUP(AM1242,'[1]Harga &amp; Nama CSO'!$A$28:$D$31,4,0)*BL1242</f>
        <v>#N/A</v>
      </c>
    </row>
    <row r="1243" spans="37:70" x14ac:dyDescent="0.35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>
        <v>0</v>
      </c>
      <c r="BR1243" s="58" t="e">
        <f>VLOOKUP(AM1243,'[1]Harga &amp; Nama CSO'!$A$28:$D$31,4,0)*BL1243</f>
        <v>#N/A</v>
      </c>
    </row>
    <row r="1244" spans="37:70" x14ac:dyDescent="0.35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>
        <v>0</v>
      </c>
      <c r="BR1244" s="58" t="e">
        <f>VLOOKUP(AM1244,'[1]Harga &amp; Nama CSO'!$A$28:$D$31,4,0)*BL1244</f>
        <v>#N/A</v>
      </c>
    </row>
    <row r="1245" spans="37:70" x14ac:dyDescent="0.35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>
        <v>0</v>
      </c>
      <c r="BR1245" s="58" t="e">
        <f>VLOOKUP(AM1245,'[1]Harga &amp; Nama CSO'!$A$28:$D$31,4,0)*BL1245</f>
        <v>#N/A</v>
      </c>
    </row>
    <row r="1246" spans="37:70" x14ac:dyDescent="0.35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>
        <v>0</v>
      </c>
      <c r="BR1246" s="58" t="e">
        <f>VLOOKUP(AM1246,'[1]Harga &amp; Nama CSO'!$A$28:$D$31,4,0)*BL1246</f>
        <v>#N/A</v>
      </c>
    </row>
    <row r="1247" spans="37:70" x14ac:dyDescent="0.35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>
        <v>0</v>
      </c>
      <c r="BR1247" s="58" t="e">
        <f>VLOOKUP(AM1247,'[1]Harga &amp; Nama CSO'!$A$28:$D$31,4,0)*BL1247</f>
        <v>#N/A</v>
      </c>
    </row>
    <row r="1248" spans="37:70" x14ac:dyDescent="0.35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>
        <v>0</v>
      </c>
      <c r="BR1248" s="58" t="e">
        <f>VLOOKUP(AM1248,'[1]Harga &amp; Nama CSO'!$A$28:$D$31,4,0)*BL1248</f>
        <v>#N/A</v>
      </c>
    </row>
    <row r="1249" spans="37:70" x14ac:dyDescent="0.35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>
        <v>0</v>
      </c>
      <c r="BR1249" s="58" t="e">
        <f>VLOOKUP(AM1249,'[1]Harga &amp; Nama CSO'!$A$28:$D$31,4,0)*BL1249</f>
        <v>#N/A</v>
      </c>
    </row>
    <row r="1250" spans="37:70" x14ac:dyDescent="0.35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>
        <v>0</v>
      </c>
      <c r="BR1250" s="58" t="e">
        <f>VLOOKUP(AM1250,'[1]Harga &amp; Nama CSO'!$A$28:$D$31,4,0)*BL1250</f>
        <v>#N/A</v>
      </c>
    </row>
    <row r="1251" spans="37:70" x14ac:dyDescent="0.35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>
        <v>0</v>
      </c>
      <c r="BR1251" s="58" t="e">
        <f>VLOOKUP(AM1251,'[1]Harga &amp; Nama CSO'!$A$28:$D$31,4,0)*BL1251</f>
        <v>#N/A</v>
      </c>
    </row>
    <row r="1252" spans="37:70" x14ac:dyDescent="0.35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>
        <v>0</v>
      </c>
      <c r="BR1252" s="58" t="e">
        <f>VLOOKUP(AM1252,'[1]Harga &amp; Nama CSO'!$A$28:$D$31,4,0)*BL1252</f>
        <v>#N/A</v>
      </c>
    </row>
    <row r="1253" spans="37:70" x14ac:dyDescent="0.35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>
        <v>0</v>
      </c>
      <c r="BR1253" s="58" t="e">
        <f>VLOOKUP(AM1253,'[1]Harga &amp; Nama CSO'!$A$28:$D$31,4,0)*BL1253</f>
        <v>#N/A</v>
      </c>
    </row>
    <row r="1254" spans="37:70" x14ac:dyDescent="0.35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>
        <v>0</v>
      </c>
      <c r="BR1254" s="58" t="e">
        <f>VLOOKUP(AM1254,'[1]Harga &amp; Nama CSO'!$A$28:$D$31,4,0)*BL1254</f>
        <v>#N/A</v>
      </c>
    </row>
    <row r="1255" spans="37:70" x14ac:dyDescent="0.35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>
        <v>0</v>
      </c>
      <c r="BR1255" s="58" t="e">
        <f>VLOOKUP(AM1255,'[1]Harga &amp; Nama CSO'!$A$28:$D$31,4,0)*BL1255</f>
        <v>#N/A</v>
      </c>
    </row>
    <row r="1256" spans="37:70" x14ac:dyDescent="0.35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>
        <v>0</v>
      </c>
      <c r="BR1256" s="58" t="e">
        <f>VLOOKUP(AM1256,'[1]Harga &amp; Nama CSO'!$A$28:$D$31,4,0)*BL1256</f>
        <v>#N/A</v>
      </c>
    </row>
    <row r="1257" spans="37:70" x14ac:dyDescent="0.35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>
        <v>0</v>
      </c>
      <c r="BR1257" s="58" t="e">
        <f>VLOOKUP(AM1257,'[1]Harga &amp; Nama CSO'!$A$28:$D$31,4,0)*BL1257</f>
        <v>#N/A</v>
      </c>
    </row>
    <row r="1258" spans="37:70" x14ac:dyDescent="0.35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>
        <v>0</v>
      </c>
      <c r="BR1258" s="58" t="e">
        <f>VLOOKUP(AM1258,'[1]Harga &amp; Nama CSO'!$A$28:$D$31,4,0)*BL1258</f>
        <v>#N/A</v>
      </c>
    </row>
    <row r="1259" spans="37:70" x14ac:dyDescent="0.35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>
        <v>0</v>
      </c>
      <c r="BR1259" s="58" t="e">
        <f>VLOOKUP(AM1259,'[1]Harga &amp; Nama CSO'!$A$28:$D$31,4,0)*BL1259</f>
        <v>#N/A</v>
      </c>
    </row>
    <row r="1260" spans="37:70" x14ac:dyDescent="0.35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>
        <v>0</v>
      </c>
      <c r="BR1260" s="58" t="e">
        <f>VLOOKUP(AM1260,'[1]Harga &amp; Nama CSO'!$A$28:$D$31,4,0)*BL1260</f>
        <v>#N/A</v>
      </c>
    </row>
    <row r="1261" spans="37:70" x14ac:dyDescent="0.35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>
        <v>0</v>
      </c>
      <c r="BR1261" s="58" t="e">
        <f>VLOOKUP(AM1261,'[1]Harga &amp; Nama CSO'!$A$28:$D$31,4,0)*BL1261</f>
        <v>#N/A</v>
      </c>
    </row>
    <row r="1262" spans="37:70" x14ac:dyDescent="0.35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>
        <v>0</v>
      </c>
      <c r="BR1262" s="58" t="e">
        <f>VLOOKUP(AM1262,'[1]Harga &amp; Nama CSO'!$A$28:$D$31,4,0)*BL1262</f>
        <v>#N/A</v>
      </c>
    </row>
    <row r="1263" spans="37:70" x14ac:dyDescent="0.35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>
        <v>0</v>
      </c>
      <c r="BR1263" s="58" t="e">
        <f>VLOOKUP(AM1263,'[1]Harga &amp; Nama CSO'!$A$28:$D$31,4,0)*BL1263</f>
        <v>#N/A</v>
      </c>
    </row>
    <row r="1264" spans="37:70" x14ac:dyDescent="0.35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>
        <v>0</v>
      </c>
      <c r="BR1264" s="58" t="e">
        <f>VLOOKUP(AM1264,'[1]Harga &amp; Nama CSO'!$A$28:$D$31,4,0)*BL1264</f>
        <v>#N/A</v>
      </c>
    </row>
    <row r="1265" spans="37:70" x14ac:dyDescent="0.35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>
        <v>0</v>
      </c>
      <c r="BR1265" s="58" t="e">
        <f>VLOOKUP(AM1265,'[1]Harga &amp; Nama CSO'!$A$28:$D$31,4,0)*BL1265</f>
        <v>#N/A</v>
      </c>
    </row>
    <row r="1266" spans="37:70" x14ac:dyDescent="0.35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>
        <v>0</v>
      </c>
      <c r="BR1266" s="58" t="e">
        <f>VLOOKUP(AM1266,'[1]Harga &amp; Nama CSO'!$A$28:$D$31,4,0)*BL1266</f>
        <v>#N/A</v>
      </c>
    </row>
    <row r="1267" spans="37:70" x14ac:dyDescent="0.35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>
        <v>0</v>
      </c>
      <c r="BR1267" s="58" t="e">
        <f>VLOOKUP(AM1267,'[1]Harga &amp; Nama CSO'!$A$28:$D$31,4,0)*BL1267</f>
        <v>#N/A</v>
      </c>
    </row>
    <row r="1268" spans="37:70" x14ac:dyDescent="0.35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>
        <v>0</v>
      </c>
      <c r="BR1268" s="58" t="e">
        <f>VLOOKUP(AM1268,'[1]Harga &amp; Nama CSO'!$A$28:$D$31,4,0)*BL1268</f>
        <v>#N/A</v>
      </c>
    </row>
    <row r="1269" spans="37:70" x14ac:dyDescent="0.35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>
        <v>0</v>
      </c>
      <c r="BR1269" s="58" t="e">
        <f>VLOOKUP(AM1269,'[1]Harga &amp; Nama CSO'!$A$28:$D$31,4,0)*BL1269</f>
        <v>#N/A</v>
      </c>
    </row>
    <row r="1270" spans="37:70" x14ac:dyDescent="0.35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>
        <v>0</v>
      </c>
      <c r="BR1270" s="58" t="e">
        <f>VLOOKUP(AM1270,'[1]Harga &amp; Nama CSO'!$A$28:$D$31,4,0)*BL1270</f>
        <v>#N/A</v>
      </c>
    </row>
    <row r="1271" spans="37:70" x14ac:dyDescent="0.35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>
        <v>0</v>
      </c>
      <c r="BR1271" s="58" t="e">
        <f>VLOOKUP(AM1271,'[1]Harga &amp; Nama CSO'!$A$28:$D$31,4,0)*BL1271</f>
        <v>#N/A</v>
      </c>
    </row>
    <row r="1272" spans="37:70" x14ac:dyDescent="0.35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>
        <v>0</v>
      </c>
      <c r="BR1272" s="58" t="e">
        <f>VLOOKUP(AM1272,'[1]Harga &amp; Nama CSO'!$A$28:$D$31,4,0)*BL1272</f>
        <v>#N/A</v>
      </c>
    </row>
    <row r="1273" spans="37:70" x14ac:dyDescent="0.35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>
        <v>0</v>
      </c>
      <c r="BR1273" s="58" t="e">
        <f>VLOOKUP(AM1273,'[1]Harga &amp; Nama CSO'!$A$28:$D$31,4,0)*BL1273</f>
        <v>#N/A</v>
      </c>
    </row>
    <row r="1274" spans="37:70" x14ac:dyDescent="0.35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>
        <v>0</v>
      </c>
      <c r="BR1274" s="58" t="e">
        <f>VLOOKUP(AM1274,'[1]Harga &amp; Nama CSO'!$A$28:$D$31,4,0)*BL1274</f>
        <v>#N/A</v>
      </c>
    </row>
    <row r="1275" spans="37:70" x14ac:dyDescent="0.35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>
        <v>0</v>
      </c>
      <c r="BR1275" s="58" t="e">
        <f>VLOOKUP(AM1275,'[1]Harga &amp; Nama CSO'!$A$28:$D$31,4,0)*BL1275</f>
        <v>#N/A</v>
      </c>
    </row>
    <row r="1276" spans="37:70" x14ac:dyDescent="0.35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>
        <v>0</v>
      </c>
      <c r="BR1276" s="58" t="e">
        <f>VLOOKUP(AM1276,'[1]Harga &amp; Nama CSO'!$A$28:$D$31,4,0)*BL1276</f>
        <v>#N/A</v>
      </c>
    </row>
    <row r="1277" spans="37:70" x14ac:dyDescent="0.35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>
        <v>0</v>
      </c>
      <c r="BR1277" s="58" t="e">
        <f>VLOOKUP(AM1277,'[1]Harga &amp; Nama CSO'!$A$28:$D$31,4,0)*BL1277</f>
        <v>#N/A</v>
      </c>
    </row>
    <row r="1278" spans="37:70" x14ac:dyDescent="0.35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>
        <v>0</v>
      </c>
      <c r="BR1278" s="58" t="e">
        <f>VLOOKUP(AM1278,'[1]Harga &amp; Nama CSO'!$A$28:$D$31,4,0)*BL1278</f>
        <v>#N/A</v>
      </c>
    </row>
    <row r="1279" spans="37:70" x14ac:dyDescent="0.35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>
        <v>0</v>
      </c>
      <c r="BR1279" s="58" t="e">
        <f>VLOOKUP(AM1279,'[1]Harga &amp; Nama CSO'!$A$28:$D$31,4,0)*BL1279</f>
        <v>#N/A</v>
      </c>
    </row>
    <row r="1280" spans="37:70" x14ac:dyDescent="0.35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>
        <v>0</v>
      </c>
      <c r="BR1280" s="58" t="e">
        <f>VLOOKUP(AM1280,'[1]Harga &amp; Nama CSO'!$A$28:$D$31,4,0)*BL1280</f>
        <v>#N/A</v>
      </c>
    </row>
    <row r="1281" spans="37:70" x14ac:dyDescent="0.35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>
        <v>0</v>
      </c>
      <c r="BR1281" s="58" t="e">
        <f>VLOOKUP(AM1281,'[1]Harga &amp; Nama CSO'!$A$28:$D$31,4,0)*BL1281</f>
        <v>#N/A</v>
      </c>
    </row>
    <row r="1282" spans="37:70" x14ac:dyDescent="0.35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>
        <v>0</v>
      </c>
      <c r="BR1282" s="58" t="e">
        <f>VLOOKUP(AM1282,'[1]Harga &amp; Nama CSO'!$A$28:$D$31,4,0)*BL1282</f>
        <v>#N/A</v>
      </c>
    </row>
    <row r="1283" spans="37:70" x14ac:dyDescent="0.35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>
        <v>0</v>
      </c>
      <c r="BR1283" s="58" t="e">
        <f>VLOOKUP(AM1283,'[1]Harga &amp; Nama CSO'!$A$28:$D$31,4,0)*BL1283</f>
        <v>#N/A</v>
      </c>
    </row>
    <row r="1284" spans="37:70" x14ac:dyDescent="0.35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>
        <v>0</v>
      </c>
      <c r="BR1284" s="58" t="e">
        <f>VLOOKUP(AM1284,'[1]Harga &amp; Nama CSO'!$A$28:$D$31,4,0)*BL1284</f>
        <v>#N/A</v>
      </c>
    </row>
    <row r="1285" spans="37:70" x14ac:dyDescent="0.35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>
        <v>0</v>
      </c>
      <c r="BR1285" s="58" t="e">
        <f>VLOOKUP(AM1285,'[1]Harga &amp; Nama CSO'!$A$28:$D$31,4,0)*BL1285</f>
        <v>#N/A</v>
      </c>
    </row>
    <row r="1286" spans="37:70" x14ac:dyDescent="0.35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>
        <v>0</v>
      </c>
      <c r="BR1286" s="58" t="e">
        <f>VLOOKUP(AM1286,'[1]Harga &amp; Nama CSO'!$A$28:$D$31,4,0)*BL1286</f>
        <v>#N/A</v>
      </c>
    </row>
    <row r="1287" spans="37:70" x14ac:dyDescent="0.35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>
        <v>0</v>
      </c>
      <c r="BR1287" s="58" t="e">
        <f>VLOOKUP(AM1287,'[1]Harga &amp; Nama CSO'!$A$28:$D$31,4,0)*BL1287</f>
        <v>#N/A</v>
      </c>
    </row>
    <row r="1288" spans="37:70" x14ac:dyDescent="0.35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>
        <v>0</v>
      </c>
      <c r="BR1288" s="58" t="e">
        <f>VLOOKUP(AM1288,'[1]Harga &amp; Nama CSO'!$A$28:$D$31,4,0)*BL1288</f>
        <v>#N/A</v>
      </c>
    </row>
    <row r="1289" spans="37:70" x14ac:dyDescent="0.35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>
        <v>0</v>
      </c>
      <c r="BR1289" s="58" t="e">
        <f>VLOOKUP(AM1289,'[1]Harga &amp; Nama CSO'!$A$28:$D$31,4,0)*BL1289</f>
        <v>#N/A</v>
      </c>
    </row>
    <row r="1290" spans="37:70" x14ac:dyDescent="0.35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>
        <v>0</v>
      </c>
      <c r="BR1290" s="58" t="e">
        <f>VLOOKUP(AM1290,'[1]Harga &amp; Nama CSO'!$A$28:$D$31,4,0)*BL1290</f>
        <v>#N/A</v>
      </c>
    </row>
    <row r="1291" spans="37:70" x14ac:dyDescent="0.35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>
        <v>0</v>
      </c>
      <c r="BR1291" s="58" t="e">
        <f>VLOOKUP(AM1291,'[1]Harga &amp; Nama CSO'!$A$28:$D$31,4,0)*BL1291</f>
        <v>#N/A</v>
      </c>
    </row>
    <row r="1292" spans="37:70" x14ac:dyDescent="0.35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>
        <v>0</v>
      </c>
      <c r="BR1292" s="58" t="e">
        <f>VLOOKUP(AM1292,'[1]Harga &amp; Nama CSO'!$A$28:$D$31,4,0)*BL1292</f>
        <v>#N/A</v>
      </c>
    </row>
    <row r="1293" spans="37:70" x14ac:dyDescent="0.35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>
        <v>0</v>
      </c>
      <c r="BR1293" s="58" t="e">
        <f>VLOOKUP(AM1293,'[1]Harga &amp; Nama CSO'!$A$28:$D$31,4,0)*BL1293</f>
        <v>#N/A</v>
      </c>
    </row>
    <row r="1294" spans="37:70" x14ac:dyDescent="0.35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>
        <v>0</v>
      </c>
      <c r="BR1294" s="58" t="e">
        <f>VLOOKUP(AM1294,'[1]Harga &amp; Nama CSO'!$A$28:$D$31,4,0)*BL1294</f>
        <v>#N/A</v>
      </c>
    </row>
    <row r="1295" spans="37:70" x14ac:dyDescent="0.35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>
        <v>0</v>
      </c>
      <c r="BR1295" s="58" t="e">
        <f>VLOOKUP(AM1295,'[1]Harga &amp; Nama CSO'!$A$28:$D$31,4,0)*BL1295</f>
        <v>#N/A</v>
      </c>
    </row>
    <row r="1296" spans="37:70" x14ac:dyDescent="0.35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>
        <v>0</v>
      </c>
      <c r="BR1296" s="58" t="e">
        <f>VLOOKUP(AM1296,'[1]Harga &amp; Nama CSO'!$A$28:$D$31,4,0)*BL1296</f>
        <v>#N/A</v>
      </c>
    </row>
    <row r="1297" spans="37:70" x14ac:dyDescent="0.35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>
        <v>0</v>
      </c>
      <c r="BR1297" s="58" t="e">
        <f>VLOOKUP(AM1297,'[1]Harga &amp; Nama CSO'!$A$28:$D$31,4,0)*BL1297</f>
        <v>#N/A</v>
      </c>
    </row>
    <row r="1298" spans="37:70" x14ac:dyDescent="0.35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>
        <v>0</v>
      </c>
      <c r="BR1298" s="58" t="e">
        <f>VLOOKUP(AM1298,'[1]Harga &amp; Nama CSO'!$A$28:$D$31,4,0)*BL1298</f>
        <v>#N/A</v>
      </c>
    </row>
    <row r="1299" spans="37:70" x14ac:dyDescent="0.35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>
        <v>0</v>
      </c>
      <c r="BR1299" s="58" t="e">
        <f>VLOOKUP(AM1299,'[1]Harga &amp; Nama CSO'!$A$28:$D$31,4,0)*BL1299</f>
        <v>#N/A</v>
      </c>
    </row>
    <row r="1300" spans="37:70" x14ac:dyDescent="0.35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>
        <v>0</v>
      </c>
      <c r="BR1300" s="58" t="e">
        <f>VLOOKUP(AM1300,'[1]Harga &amp; Nama CSO'!$A$28:$D$31,4,0)*BL1300</f>
        <v>#N/A</v>
      </c>
    </row>
    <row r="1301" spans="37:70" x14ac:dyDescent="0.35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>
        <v>0</v>
      </c>
      <c r="BR1301" s="58" t="e">
        <f>VLOOKUP(AM1301,'[1]Harga &amp; Nama CSO'!$A$28:$D$31,4,0)*BL1301</f>
        <v>#N/A</v>
      </c>
    </row>
    <row r="1302" spans="37:70" x14ac:dyDescent="0.35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>
        <v>0</v>
      </c>
      <c r="BR1302" s="58" t="e">
        <f>VLOOKUP(AM1302,'[1]Harga &amp; Nama CSO'!$A$28:$D$31,4,0)*BL1302</f>
        <v>#N/A</v>
      </c>
    </row>
    <row r="1303" spans="37:70" x14ac:dyDescent="0.35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>
        <v>0</v>
      </c>
      <c r="BR1303" s="58" t="e">
        <f>VLOOKUP(AM1303,'[1]Harga &amp; Nama CSO'!$A$28:$D$31,4,0)*BL1303</f>
        <v>#N/A</v>
      </c>
    </row>
    <row r="1304" spans="37:70" x14ac:dyDescent="0.35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>
        <v>0</v>
      </c>
      <c r="BR1304" s="58" t="e">
        <f>VLOOKUP(AM1304,'[1]Harga &amp; Nama CSO'!$A$28:$D$31,4,0)*BL1304</f>
        <v>#N/A</v>
      </c>
    </row>
    <row r="1305" spans="37:70" x14ac:dyDescent="0.35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>
        <v>0</v>
      </c>
      <c r="BR1305" s="58" t="e">
        <f>VLOOKUP(AM1305,'[1]Harga &amp; Nama CSO'!$A$28:$D$31,4,0)*BL1305</f>
        <v>#N/A</v>
      </c>
    </row>
    <row r="1306" spans="37:70" x14ac:dyDescent="0.35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>
        <v>0</v>
      </c>
      <c r="BR1306" s="58" t="e">
        <f>VLOOKUP(AM1306,'[1]Harga &amp; Nama CSO'!$A$28:$D$31,4,0)*BL1306</f>
        <v>#N/A</v>
      </c>
    </row>
    <row r="1307" spans="37:70" x14ac:dyDescent="0.35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>
        <v>0</v>
      </c>
      <c r="BR1307" s="58" t="e">
        <f>VLOOKUP(AM1307,'[1]Harga &amp; Nama CSO'!$A$28:$D$31,4,0)*BL1307</f>
        <v>#N/A</v>
      </c>
    </row>
    <row r="1308" spans="37:70" x14ac:dyDescent="0.35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>
        <v>0</v>
      </c>
      <c r="BR1308" s="58" t="e">
        <f>VLOOKUP(AM1308,'[1]Harga &amp; Nama CSO'!$A$28:$D$31,4,0)*BL1308</f>
        <v>#N/A</v>
      </c>
    </row>
    <row r="1309" spans="37:70" x14ac:dyDescent="0.35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>
        <v>0</v>
      </c>
      <c r="BR1309" s="58" t="e">
        <f>VLOOKUP(AM1309,'[1]Harga &amp; Nama CSO'!$A$28:$D$31,4,0)*BL1309</f>
        <v>#N/A</v>
      </c>
    </row>
    <row r="1310" spans="37:70" x14ac:dyDescent="0.35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>
        <v>0</v>
      </c>
      <c r="BR1310" s="58" t="e">
        <f>VLOOKUP(AM1310,'[1]Harga &amp; Nama CSO'!$A$28:$D$31,4,0)*BL1310</f>
        <v>#N/A</v>
      </c>
    </row>
    <row r="1311" spans="37:70" x14ac:dyDescent="0.35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>
        <v>0</v>
      </c>
      <c r="BR1311" s="58" t="e">
        <f>VLOOKUP(AM1311,'[1]Harga &amp; Nama CSO'!$A$28:$D$31,4,0)*BL1311</f>
        <v>#N/A</v>
      </c>
    </row>
    <row r="1312" spans="37:70" x14ac:dyDescent="0.35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>
        <v>0</v>
      </c>
      <c r="BR1312" s="58" t="e">
        <f>VLOOKUP(AM1312,'[1]Harga &amp; Nama CSO'!$A$28:$D$31,4,0)*BL1312</f>
        <v>#N/A</v>
      </c>
    </row>
    <row r="1313" spans="37:70" x14ac:dyDescent="0.35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>
        <v>0</v>
      </c>
      <c r="BR1313" s="58" t="e">
        <f>VLOOKUP(AM1313,'[1]Harga &amp; Nama CSO'!$A$28:$D$31,4,0)*BL1313</f>
        <v>#N/A</v>
      </c>
    </row>
    <row r="1314" spans="37:70" x14ac:dyDescent="0.35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>
        <v>0</v>
      </c>
      <c r="BR1314" s="58" t="e">
        <f>VLOOKUP(AM1314,'[1]Harga &amp; Nama CSO'!$A$28:$D$31,4,0)*BL1314</f>
        <v>#N/A</v>
      </c>
    </row>
    <row r="1315" spans="37:70" x14ac:dyDescent="0.35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>
        <v>0</v>
      </c>
      <c r="BR1315" s="58" t="e">
        <f>VLOOKUP(AM1315,'[1]Harga &amp; Nama CSO'!$A$28:$D$31,4,0)*BL1315</f>
        <v>#N/A</v>
      </c>
    </row>
    <row r="1316" spans="37:70" x14ac:dyDescent="0.35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>
        <v>0</v>
      </c>
      <c r="BR1316" s="58" t="e">
        <f>VLOOKUP(AM1316,'[1]Harga &amp; Nama CSO'!$A$28:$D$31,4,0)*BL1316</f>
        <v>#N/A</v>
      </c>
    </row>
    <row r="1317" spans="37:70" x14ac:dyDescent="0.35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>
        <v>0</v>
      </c>
      <c r="BR1317" s="58" t="e">
        <f>VLOOKUP(AM1317,'[1]Harga &amp; Nama CSO'!$A$28:$D$31,4,0)*BL1317</f>
        <v>#N/A</v>
      </c>
    </row>
    <row r="1318" spans="37:70" x14ac:dyDescent="0.35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>
        <v>0</v>
      </c>
      <c r="BR1318" s="58" t="e">
        <f>VLOOKUP(AM1318,'[1]Harga &amp; Nama CSO'!$A$28:$D$31,4,0)*BL1318</f>
        <v>#N/A</v>
      </c>
    </row>
    <row r="1319" spans="37:70" x14ac:dyDescent="0.35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>
        <v>0</v>
      </c>
      <c r="BR1319" s="58" t="e">
        <f>VLOOKUP(AM1319,'[1]Harga &amp; Nama CSO'!$A$28:$D$31,4,0)*BL1319</f>
        <v>#N/A</v>
      </c>
    </row>
    <row r="1320" spans="37:70" x14ac:dyDescent="0.35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>
        <v>0</v>
      </c>
      <c r="BR1320" s="58" t="e">
        <f>VLOOKUP(AM1320,'[1]Harga &amp; Nama CSO'!$A$28:$D$31,4,0)*BL1320</f>
        <v>#N/A</v>
      </c>
    </row>
    <row r="1321" spans="37:70" x14ac:dyDescent="0.35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>
        <v>0</v>
      </c>
      <c r="BR1321" s="58" t="e">
        <f>VLOOKUP(AM1321,'[1]Harga &amp; Nama CSO'!$A$28:$D$31,4,0)*BL1321</f>
        <v>#N/A</v>
      </c>
    </row>
    <row r="1322" spans="37:70" x14ac:dyDescent="0.35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>
        <v>0</v>
      </c>
      <c r="BR1322" s="58" t="e">
        <f>VLOOKUP(AM1322,'[1]Harga &amp; Nama CSO'!$A$28:$D$31,4,0)*BL1322</f>
        <v>#N/A</v>
      </c>
    </row>
    <row r="1323" spans="37:70" x14ac:dyDescent="0.35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>
        <v>0</v>
      </c>
      <c r="BR1323" s="58" t="e">
        <f>VLOOKUP(AM1323,'[1]Harga &amp; Nama CSO'!$A$28:$D$31,4,0)*BL1323</f>
        <v>#N/A</v>
      </c>
    </row>
    <row r="1324" spans="37:70" x14ac:dyDescent="0.35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>
        <v>0</v>
      </c>
      <c r="BR1324" s="58" t="e">
        <f>VLOOKUP(AM1324,'[1]Harga &amp; Nama CSO'!$A$28:$D$31,4,0)*BL1324</f>
        <v>#N/A</v>
      </c>
    </row>
    <row r="1325" spans="37:70" x14ac:dyDescent="0.35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>
        <v>0</v>
      </c>
      <c r="BR1325" s="58" t="e">
        <f>VLOOKUP(AM1325,'[1]Harga &amp; Nama CSO'!$A$28:$D$31,4,0)*BL1325</f>
        <v>#N/A</v>
      </c>
    </row>
    <row r="1326" spans="37:70" x14ac:dyDescent="0.35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>
        <v>0</v>
      </c>
      <c r="BR1326" s="58" t="e">
        <f>VLOOKUP(AM1326,'[1]Harga &amp; Nama CSO'!$A$28:$D$31,4,0)*BL1326</f>
        <v>#N/A</v>
      </c>
    </row>
    <row r="1327" spans="37:70" x14ac:dyDescent="0.35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>
        <v>0</v>
      </c>
      <c r="BR1327" s="58" t="e">
        <f>VLOOKUP(AM1327,'[1]Harga &amp; Nama CSO'!$A$28:$D$31,4,0)*BL1327</f>
        <v>#N/A</v>
      </c>
    </row>
    <row r="1328" spans="37:70" x14ac:dyDescent="0.35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>
        <v>0</v>
      </c>
      <c r="BR1328" s="58" t="e">
        <f>VLOOKUP(AM1328,'[1]Harga &amp; Nama CSO'!$A$28:$D$31,4,0)*BL1328</f>
        <v>#N/A</v>
      </c>
    </row>
    <row r="1329" spans="37:70" x14ac:dyDescent="0.35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>
        <v>0</v>
      </c>
      <c r="BR1329" s="58" t="e">
        <f>VLOOKUP(AM1329,'[1]Harga &amp; Nama CSO'!$A$28:$D$31,4,0)*BL1329</f>
        <v>#N/A</v>
      </c>
    </row>
    <row r="1330" spans="37:70" x14ac:dyDescent="0.35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>
        <v>0</v>
      </c>
      <c r="BR1330" s="58" t="e">
        <f>VLOOKUP(AM1330,'[1]Harga &amp; Nama CSO'!$A$28:$D$31,4,0)*BL1330</f>
        <v>#N/A</v>
      </c>
    </row>
    <row r="1331" spans="37:70" x14ac:dyDescent="0.35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>
        <v>0</v>
      </c>
      <c r="BR1331" s="58" t="e">
        <f>VLOOKUP(AM1331,'[1]Harga &amp; Nama CSO'!$A$28:$D$31,4,0)*BL1331</f>
        <v>#N/A</v>
      </c>
    </row>
    <row r="1332" spans="37:70" x14ac:dyDescent="0.35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>
        <v>0</v>
      </c>
      <c r="BR1332" s="58" t="e">
        <f>VLOOKUP(AM1332,'[1]Harga &amp; Nama CSO'!$A$28:$D$31,4,0)*BL1332</f>
        <v>#N/A</v>
      </c>
    </row>
    <row r="1333" spans="37:70" x14ac:dyDescent="0.35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>
        <v>0</v>
      </c>
      <c r="BR1333" s="58" t="e">
        <f>VLOOKUP(AM1333,'[1]Harga &amp; Nama CSO'!$A$28:$D$31,4,0)*BL1333</f>
        <v>#N/A</v>
      </c>
    </row>
    <row r="1334" spans="37:70" x14ac:dyDescent="0.35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>
        <v>0</v>
      </c>
      <c r="BR1334" s="58" t="e">
        <f>VLOOKUP(AM1334,'[1]Harga &amp; Nama CSO'!$A$28:$D$31,4,0)*BL1334</f>
        <v>#N/A</v>
      </c>
    </row>
    <row r="1335" spans="37:70" x14ac:dyDescent="0.35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>
        <v>0</v>
      </c>
      <c r="BR1335" s="58" t="e">
        <f>VLOOKUP(AM1335,'[1]Harga &amp; Nama CSO'!$A$28:$D$31,4,0)*BL1335</f>
        <v>#N/A</v>
      </c>
    </row>
    <row r="1336" spans="37:70" x14ac:dyDescent="0.35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>
        <v>0</v>
      </c>
      <c r="BR1336" s="58" t="e">
        <f>VLOOKUP(AM1336,'[1]Harga &amp; Nama CSO'!$A$28:$D$31,4,0)*BL1336</f>
        <v>#N/A</v>
      </c>
    </row>
    <row r="1337" spans="37:70" x14ac:dyDescent="0.35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>
        <v>0</v>
      </c>
      <c r="BR1337" s="58" t="e">
        <f>VLOOKUP(AM1337,'[1]Harga &amp; Nama CSO'!$A$28:$D$31,4,0)*BL1337</f>
        <v>#N/A</v>
      </c>
    </row>
    <row r="1338" spans="37:70" x14ac:dyDescent="0.35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>
        <v>0</v>
      </c>
      <c r="BR1338" s="58" t="e">
        <f>VLOOKUP(AM1338,'[1]Harga &amp; Nama CSO'!$A$28:$D$31,4,0)*BL1338</f>
        <v>#N/A</v>
      </c>
    </row>
    <row r="1339" spans="37:70" x14ac:dyDescent="0.35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>
        <v>0</v>
      </c>
      <c r="BR1339" s="58" t="e">
        <f>VLOOKUP(AM1339,'[1]Harga &amp; Nama CSO'!$A$28:$D$31,4,0)*BL1339</f>
        <v>#N/A</v>
      </c>
    </row>
    <row r="1340" spans="37:70" x14ac:dyDescent="0.35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>
        <v>0</v>
      </c>
      <c r="BR1340" s="58" t="e">
        <f>VLOOKUP(AM1340,'[1]Harga &amp; Nama CSO'!$A$28:$D$31,4,0)*BL1340</f>
        <v>#N/A</v>
      </c>
    </row>
    <row r="1341" spans="37:70" x14ac:dyDescent="0.35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>
        <v>0</v>
      </c>
      <c r="BR1341" s="58" t="e">
        <f>VLOOKUP(AM1341,'[1]Harga &amp; Nama CSO'!$A$28:$D$31,4,0)*BL1341</f>
        <v>#N/A</v>
      </c>
    </row>
    <row r="1342" spans="37:70" x14ac:dyDescent="0.35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>
        <v>0</v>
      </c>
      <c r="BR1342" s="58" t="e">
        <f>VLOOKUP(AM1342,'[1]Harga &amp; Nama CSO'!$A$28:$D$31,4,0)*BL1342</f>
        <v>#N/A</v>
      </c>
    </row>
    <row r="1343" spans="37:70" x14ac:dyDescent="0.35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>
        <v>0</v>
      </c>
      <c r="BR1343" s="58" t="e">
        <f>VLOOKUP(AM1343,'[1]Harga &amp; Nama CSO'!$A$28:$D$31,4,0)*BL1343</f>
        <v>#N/A</v>
      </c>
    </row>
    <row r="1344" spans="37:70" x14ac:dyDescent="0.35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>
        <v>0</v>
      </c>
      <c r="BR1344" s="58" t="e">
        <f>VLOOKUP(AM1344,'[1]Harga &amp; Nama CSO'!$A$28:$D$31,4,0)*BL1344</f>
        <v>#N/A</v>
      </c>
    </row>
    <row r="1345" spans="37:70" x14ac:dyDescent="0.35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>
        <v>0</v>
      </c>
      <c r="BR1345" s="58" t="e">
        <f>VLOOKUP(AM1345,'[1]Harga &amp; Nama CSO'!$A$28:$D$31,4,0)*BL1345</f>
        <v>#N/A</v>
      </c>
    </row>
    <row r="1346" spans="37:70" x14ac:dyDescent="0.35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>
        <v>0</v>
      </c>
      <c r="BR1346" s="58" t="e">
        <f>VLOOKUP(AM1346,'[1]Harga &amp; Nama CSO'!$A$28:$D$31,4,0)*BL1346</f>
        <v>#N/A</v>
      </c>
    </row>
    <row r="1347" spans="37:70" x14ac:dyDescent="0.35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>
        <v>0</v>
      </c>
      <c r="BR1347" s="58" t="e">
        <f>VLOOKUP(AM1347,'[1]Harga &amp; Nama CSO'!$A$28:$D$31,4,0)*BL1347</f>
        <v>#N/A</v>
      </c>
    </row>
    <row r="1348" spans="37:70" x14ac:dyDescent="0.35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>
        <v>0</v>
      </c>
      <c r="BR1348" s="58" t="e">
        <f>VLOOKUP(AM1348,'[1]Harga &amp; Nama CSO'!$A$28:$D$31,4,0)*BL1348</f>
        <v>#N/A</v>
      </c>
    </row>
    <row r="1349" spans="37:70" x14ac:dyDescent="0.35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>
        <v>0</v>
      </c>
      <c r="BR1349" s="58" t="e">
        <f>VLOOKUP(AM1349,'[1]Harga &amp; Nama CSO'!$A$28:$D$31,4,0)*BL1349</f>
        <v>#N/A</v>
      </c>
    </row>
    <row r="1350" spans="37:70" x14ac:dyDescent="0.35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>
        <v>0</v>
      </c>
      <c r="BR1350" s="58" t="e">
        <f>VLOOKUP(AM1350,'[1]Harga &amp; Nama CSO'!$A$28:$D$31,4,0)*BL1350</f>
        <v>#N/A</v>
      </c>
    </row>
    <row r="1351" spans="37:70" x14ac:dyDescent="0.35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>
        <v>0</v>
      </c>
      <c r="BR1351" s="58" t="e">
        <f>VLOOKUP(AM1351,'[1]Harga &amp; Nama CSO'!$A$28:$D$31,4,0)*BL1351</f>
        <v>#N/A</v>
      </c>
    </row>
    <row r="1352" spans="37:70" x14ac:dyDescent="0.35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>
        <v>0</v>
      </c>
      <c r="BR1352" s="58" t="e">
        <f>VLOOKUP(AM1352,'[1]Harga &amp; Nama CSO'!$A$28:$D$31,4,0)*BL1352</f>
        <v>#N/A</v>
      </c>
    </row>
    <row r="1353" spans="37:70" x14ac:dyDescent="0.35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>
        <v>0</v>
      </c>
      <c r="BR1353" s="58" t="e">
        <f>VLOOKUP(AM1353,'[1]Harga &amp; Nama CSO'!$A$28:$D$31,4,0)*BL1353</f>
        <v>#N/A</v>
      </c>
    </row>
    <row r="1354" spans="37:70" x14ac:dyDescent="0.35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>
        <v>0</v>
      </c>
      <c r="BR1354" s="58" t="e">
        <f>VLOOKUP(AM1354,'[1]Harga &amp; Nama CSO'!$A$28:$D$31,4,0)*BL1354</f>
        <v>#N/A</v>
      </c>
    </row>
    <row r="1355" spans="37:70" x14ac:dyDescent="0.35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>
        <v>0</v>
      </c>
      <c r="BR1355" s="58" t="e">
        <f>VLOOKUP(AM1355,'[1]Harga &amp; Nama CSO'!$A$28:$D$31,4,0)*BL1355</f>
        <v>#N/A</v>
      </c>
    </row>
    <row r="1356" spans="37:70" x14ac:dyDescent="0.35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>
        <v>0</v>
      </c>
      <c r="BR1356" s="58" t="e">
        <f>VLOOKUP(AM1356,'[1]Harga &amp; Nama CSO'!$A$28:$D$31,4,0)*BL1356</f>
        <v>#N/A</v>
      </c>
    </row>
    <row r="1357" spans="37:70" x14ac:dyDescent="0.35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>
        <v>0</v>
      </c>
      <c r="BR1357" s="58" t="e">
        <f>VLOOKUP(AM1357,'[1]Harga &amp; Nama CSO'!$A$28:$D$31,4,0)*BL1357</f>
        <v>#N/A</v>
      </c>
    </row>
    <row r="1358" spans="37:70" x14ac:dyDescent="0.35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>
        <v>0</v>
      </c>
      <c r="BR1358" s="58" t="e">
        <f>VLOOKUP(AM1358,'[1]Harga &amp; Nama CSO'!$A$28:$D$31,4,0)*BL1358</f>
        <v>#N/A</v>
      </c>
    </row>
    <row r="1359" spans="37:70" x14ac:dyDescent="0.35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>
        <v>0</v>
      </c>
      <c r="BR1359" s="58" t="e">
        <f>VLOOKUP(AM1359,'[1]Harga &amp; Nama CSO'!$A$28:$D$31,4,0)*BL1359</f>
        <v>#N/A</v>
      </c>
    </row>
    <row r="1360" spans="37:70" x14ac:dyDescent="0.35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>
        <v>0</v>
      </c>
      <c r="BR1360" s="58" t="e">
        <f>VLOOKUP(AM1360,'[1]Harga &amp; Nama CSO'!$A$28:$D$31,4,0)*BL1360</f>
        <v>#N/A</v>
      </c>
    </row>
    <row r="1361" spans="37:70" x14ac:dyDescent="0.35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>
        <v>0</v>
      </c>
      <c r="BR1361" s="58" t="e">
        <f>VLOOKUP(AM1361,'[1]Harga &amp; Nama CSO'!$A$28:$D$31,4,0)*BL1361</f>
        <v>#N/A</v>
      </c>
    </row>
    <row r="1362" spans="37:70" x14ac:dyDescent="0.35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>
        <v>0</v>
      </c>
      <c r="BR1362" s="58" t="e">
        <f>VLOOKUP(AM1362,'[1]Harga &amp; Nama CSO'!$A$28:$D$31,4,0)*BL1362</f>
        <v>#N/A</v>
      </c>
    </row>
    <row r="1363" spans="37:70" x14ac:dyDescent="0.35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>
        <v>0</v>
      </c>
      <c r="BR1363" s="58" t="e">
        <f>VLOOKUP(AM1363,'[1]Harga &amp; Nama CSO'!$A$28:$D$31,4,0)*BL1363</f>
        <v>#N/A</v>
      </c>
    </row>
    <row r="1364" spans="37:70" x14ac:dyDescent="0.35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>
        <v>0</v>
      </c>
      <c r="BR1364" s="58" t="e">
        <f>VLOOKUP(AM1364,'[1]Harga &amp; Nama CSO'!$A$28:$D$31,4,0)*BL1364</f>
        <v>#N/A</v>
      </c>
    </row>
    <row r="1365" spans="37:70" x14ac:dyDescent="0.35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>
        <v>0</v>
      </c>
      <c r="BR1365" s="58" t="e">
        <f>VLOOKUP(AM1365,'[1]Harga &amp; Nama CSO'!$A$28:$D$31,4,0)*BL1365</f>
        <v>#N/A</v>
      </c>
    </row>
    <row r="1366" spans="37:70" x14ac:dyDescent="0.35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>
        <v>0</v>
      </c>
      <c r="BR1366" s="58" t="e">
        <f>VLOOKUP(AM1366,'[1]Harga &amp; Nama CSO'!$A$28:$D$31,4,0)*BL1366</f>
        <v>#N/A</v>
      </c>
    </row>
    <row r="1367" spans="37:70" x14ac:dyDescent="0.35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>
        <v>0</v>
      </c>
      <c r="BR1367" s="58" t="e">
        <f>VLOOKUP(AM1367,'[1]Harga &amp; Nama CSO'!$A$28:$D$31,4,0)*BL1367</f>
        <v>#N/A</v>
      </c>
    </row>
    <row r="1368" spans="37:70" x14ac:dyDescent="0.35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>
        <v>0</v>
      </c>
      <c r="BR1368" s="58" t="e">
        <f>VLOOKUP(AM1368,'[1]Harga &amp; Nama CSO'!$A$28:$D$31,4,0)*BL1368</f>
        <v>#N/A</v>
      </c>
    </row>
    <row r="1369" spans="37:70" x14ac:dyDescent="0.35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>
        <v>0</v>
      </c>
      <c r="BR1369" s="58" t="e">
        <f>VLOOKUP(AM1369,'[1]Harga &amp; Nama CSO'!$A$28:$D$31,4,0)*BL1369</f>
        <v>#N/A</v>
      </c>
    </row>
    <row r="1370" spans="37:70" x14ac:dyDescent="0.35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>
        <v>0</v>
      </c>
      <c r="BR1370" s="58" t="e">
        <f>VLOOKUP(AM1370,'[1]Harga &amp; Nama CSO'!$A$28:$D$31,4,0)*BL1370</f>
        <v>#N/A</v>
      </c>
    </row>
    <row r="1371" spans="37:70" x14ac:dyDescent="0.35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>
        <v>0</v>
      </c>
      <c r="BR1371" s="58" t="e">
        <f>VLOOKUP(AM1371,'[1]Harga &amp; Nama CSO'!$A$28:$D$31,4,0)*BL1371</f>
        <v>#N/A</v>
      </c>
    </row>
    <row r="1372" spans="37:70" x14ac:dyDescent="0.35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>
        <v>0</v>
      </c>
      <c r="BR1372" s="58" t="e">
        <f>VLOOKUP(AM1372,'[1]Harga &amp; Nama CSO'!$A$28:$D$31,4,0)*BL1372</f>
        <v>#N/A</v>
      </c>
    </row>
    <row r="1373" spans="37:70" x14ac:dyDescent="0.35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>
        <v>0</v>
      </c>
      <c r="BR1373" s="58" t="e">
        <f>VLOOKUP(AM1373,'[1]Harga &amp; Nama CSO'!$A$28:$D$31,4,0)*BL1373</f>
        <v>#N/A</v>
      </c>
    </row>
    <row r="1374" spans="37:70" x14ac:dyDescent="0.35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>
        <v>0</v>
      </c>
      <c r="BR1374" s="58" t="e">
        <f>VLOOKUP(AM1374,'[1]Harga &amp; Nama CSO'!$A$28:$D$31,4,0)*BL1374</f>
        <v>#N/A</v>
      </c>
    </row>
    <row r="1375" spans="37:70" x14ac:dyDescent="0.35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>
        <v>0</v>
      </c>
      <c r="BR1375" s="58" t="e">
        <f>VLOOKUP(AM1375,'[1]Harga &amp; Nama CSO'!$A$28:$D$31,4,0)*BL1375</f>
        <v>#N/A</v>
      </c>
    </row>
    <row r="1376" spans="37:70" x14ac:dyDescent="0.35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>
        <v>0</v>
      </c>
      <c r="BR1376" s="58" t="e">
        <f>VLOOKUP(AM1376,'[1]Harga &amp; Nama CSO'!$A$28:$D$31,4,0)*BL1376</f>
        <v>#N/A</v>
      </c>
    </row>
    <row r="1377" spans="37:70" x14ac:dyDescent="0.35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>
        <v>0</v>
      </c>
      <c r="BR1377" s="58" t="e">
        <f>VLOOKUP(AM1377,'[1]Harga &amp; Nama CSO'!$A$28:$D$31,4,0)*BL1377</f>
        <v>#N/A</v>
      </c>
    </row>
    <row r="1378" spans="37:70" x14ac:dyDescent="0.35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>
        <v>0</v>
      </c>
      <c r="BR1378" s="58" t="e">
        <f>VLOOKUP(AM1378,'[1]Harga &amp; Nama CSO'!$A$28:$D$31,4,0)*BL1378</f>
        <v>#N/A</v>
      </c>
    </row>
    <row r="1379" spans="37:70" x14ac:dyDescent="0.35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>
        <v>0</v>
      </c>
      <c r="BR1379" s="58" t="e">
        <f>VLOOKUP(AM1379,'[1]Harga &amp; Nama CSO'!$A$28:$D$31,4,0)*BL1379</f>
        <v>#N/A</v>
      </c>
    </row>
    <row r="1380" spans="37:70" x14ac:dyDescent="0.35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>
        <v>0</v>
      </c>
      <c r="BR1380" s="58" t="e">
        <f>VLOOKUP(AM1380,'[1]Harga &amp; Nama CSO'!$A$28:$D$31,4,0)*BL1380</f>
        <v>#N/A</v>
      </c>
    </row>
    <row r="1381" spans="37:70" x14ac:dyDescent="0.35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>
        <v>0</v>
      </c>
      <c r="BR1381" s="58" t="e">
        <f>VLOOKUP(AM1381,'[1]Harga &amp; Nama CSO'!$A$28:$D$31,4,0)*BL1381</f>
        <v>#N/A</v>
      </c>
    </row>
    <row r="1382" spans="37:70" x14ac:dyDescent="0.35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>
        <v>0</v>
      </c>
      <c r="BR1382" s="58" t="e">
        <f>VLOOKUP(AM1382,'[1]Harga &amp; Nama CSO'!$A$28:$D$31,4,0)*BL1382</f>
        <v>#N/A</v>
      </c>
    </row>
    <row r="1383" spans="37:70" x14ac:dyDescent="0.35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>
        <v>0</v>
      </c>
      <c r="BR1383" s="58" t="e">
        <f>VLOOKUP(AM1383,'[1]Harga &amp; Nama CSO'!$A$28:$D$31,4,0)*BL1383</f>
        <v>#N/A</v>
      </c>
    </row>
    <row r="1384" spans="37:70" x14ac:dyDescent="0.35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>
        <v>0</v>
      </c>
      <c r="BR1384" s="58" t="e">
        <f>VLOOKUP(AM1384,'[1]Harga &amp; Nama CSO'!$A$28:$D$31,4,0)*BL1384</f>
        <v>#N/A</v>
      </c>
    </row>
    <row r="1385" spans="37:70" x14ac:dyDescent="0.35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>
        <v>0</v>
      </c>
      <c r="BR1385" s="58" t="e">
        <f>VLOOKUP(AM1385,'[1]Harga &amp; Nama CSO'!$A$28:$D$31,4,0)*BL1385</f>
        <v>#N/A</v>
      </c>
    </row>
    <row r="1386" spans="37:70" x14ac:dyDescent="0.35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>
        <v>0</v>
      </c>
      <c r="BR1386" s="58" t="e">
        <f>VLOOKUP(AM1386,'[1]Harga &amp; Nama CSO'!$A$28:$D$31,4,0)*BL1386</f>
        <v>#N/A</v>
      </c>
    </row>
    <row r="1387" spans="37:70" x14ac:dyDescent="0.35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>
        <v>0</v>
      </c>
      <c r="BR1387" s="58" t="e">
        <f>VLOOKUP(AM1387,'[1]Harga &amp; Nama CSO'!$A$28:$D$31,4,0)*BL1387</f>
        <v>#N/A</v>
      </c>
    </row>
    <row r="1388" spans="37:70" x14ac:dyDescent="0.35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>
        <v>0</v>
      </c>
      <c r="BR1388" s="58" t="e">
        <f>VLOOKUP(AM1388,'[1]Harga &amp; Nama CSO'!$A$28:$D$31,4,0)*BL1388</f>
        <v>#N/A</v>
      </c>
    </row>
    <row r="1389" spans="37:70" x14ac:dyDescent="0.35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>
        <v>0</v>
      </c>
      <c r="BR1389" s="58" t="e">
        <f>VLOOKUP(AM1389,'[1]Harga &amp; Nama CSO'!$A$28:$D$31,4,0)*BL1389</f>
        <v>#N/A</v>
      </c>
    </row>
    <row r="1390" spans="37:70" x14ac:dyDescent="0.35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>
        <v>0</v>
      </c>
      <c r="BR1390" s="58" t="e">
        <f>VLOOKUP(AM1390,'[1]Harga &amp; Nama CSO'!$A$28:$D$31,4,0)*BL1390</f>
        <v>#N/A</v>
      </c>
    </row>
    <row r="1391" spans="37:70" x14ac:dyDescent="0.35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>
        <v>0</v>
      </c>
      <c r="BR1391" s="58" t="e">
        <f>VLOOKUP(AM1391,'[1]Harga &amp; Nama CSO'!$A$28:$D$31,4,0)*BL1391</f>
        <v>#N/A</v>
      </c>
    </row>
    <row r="1392" spans="37:70" x14ac:dyDescent="0.35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>
        <v>0</v>
      </c>
      <c r="BR1392" s="58" t="e">
        <f>VLOOKUP(AM1392,'[1]Harga &amp; Nama CSO'!$A$28:$D$31,4,0)*BL1392</f>
        <v>#N/A</v>
      </c>
    </row>
    <row r="1393" spans="37:70" x14ac:dyDescent="0.35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>
        <v>0</v>
      </c>
      <c r="BR1393" s="58" t="e">
        <f>VLOOKUP(AM1393,'[1]Harga &amp; Nama CSO'!$A$28:$D$31,4,0)*BL1393</f>
        <v>#N/A</v>
      </c>
    </row>
    <row r="1394" spans="37:70" x14ac:dyDescent="0.35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>
        <v>0</v>
      </c>
      <c r="BR1394" s="58" t="e">
        <f>VLOOKUP(AM1394,'[1]Harga &amp; Nama CSO'!$A$28:$D$31,4,0)*BL1394</f>
        <v>#N/A</v>
      </c>
    </row>
    <row r="1395" spans="37:70" x14ac:dyDescent="0.35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>
        <v>0</v>
      </c>
      <c r="BR1395" s="58" t="e">
        <f>VLOOKUP(AM1395,'[1]Harga &amp; Nama CSO'!$A$28:$D$31,4,0)*BL1395</f>
        <v>#N/A</v>
      </c>
    </row>
    <row r="1396" spans="37:70" x14ac:dyDescent="0.35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>
        <v>0</v>
      </c>
      <c r="BR1396" s="58" t="e">
        <f>VLOOKUP(AM1396,'[1]Harga &amp; Nama CSO'!$A$28:$D$31,4,0)*BL1396</f>
        <v>#N/A</v>
      </c>
    </row>
    <row r="1397" spans="37:70" x14ac:dyDescent="0.35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>
        <v>0</v>
      </c>
      <c r="BR1397" s="58" t="e">
        <f>VLOOKUP(AM1397,'[1]Harga &amp; Nama CSO'!$A$28:$D$31,4,0)*BL1397</f>
        <v>#N/A</v>
      </c>
    </row>
    <row r="1398" spans="37:70" x14ac:dyDescent="0.35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>
        <v>0</v>
      </c>
      <c r="BR1398" s="58" t="e">
        <f>VLOOKUP(AM1398,'[1]Harga &amp; Nama CSO'!$A$28:$D$31,4,0)*BL1398</f>
        <v>#N/A</v>
      </c>
    </row>
    <row r="1399" spans="37:70" x14ac:dyDescent="0.35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>
        <v>0</v>
      </c>
      <c r="BR1399" s="58" t="e">
        <f>VLOOKUP(AM1399,'[1]Harga &amp; Nama CSO'!$A$28:$D$31,4,0)*BL1399</f>
        <v>#N/A</v>
      </c>
    </row>
    <row r="1400" spans="37:70" x14ac:dyDescent="0.35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>
        <v>0</v>
      </c>
      <c r="BR1400" s="58" t="e">
        <f>VLOOKUP(AM1400,'[1]Harga &amp; Nama CSO'!$A$28:$D$31,4,0)*BL1400</f>
        <v>#N/A</v>
      </c>
    </row>
    <row r="1401" spans="37:70" x14ac:dyDescent="0.35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>
        <v>0</v>
      </c>
      <c r="BR1401" s="58" t="e">
        <f>VLOOKUP(AM1401,'[1]Harga &amp; Nama CSO'!$A$28:$D$31,4,0)*BL1401</f>
        <v>#N/A</v>
      </c>
    </row>
    <row r="1402" spans="37:70" x14ac:dyDescent="0.35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>
        <v>0</v>
      </c>
      <c r="BR1402" s="58" t="e">
        <f>VLOOKUP(AM1402,'[1]Harga &amp; Nama CSO'!$A$28:$D$31,4,0)*BL1402</f>
        <v>#N/A</v>
      </c>
    </row>
    <row r="1403" spans="37:70" x14ac:dyDescent="0.35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>
        <v>0</v>
      </c>
      <c r="BR1403" s="58" t="e">
        <f>VLOOKUP(AM1403,'[1]Harga &amp; Nama CSO'!$A$28:$D$31,4,0)*BL1403</f>
        <v>#N/A</v>
      </c>
    </row>
    <row r="1404" spans="37:70" x14ac:dyDescent="0.35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>
        <v>0</v>
      </c>
      <c r="BR1404" s="58" t="e">
        <f>VLOOKUP(AM1404,'[1]Harga &amp; Nama CSO'!$A$28:$D$31,4,0)*BL1404</f>
        <v>#N/A</v>
      </c>
    </row>
    <row r="1405" spans="37:70" x14ac:dyDescent="0.35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>
        <v>0</v>
      </c>
      <c r="BR1405" s="58" t="e">
        <f>VLOOKUP(AM1405,'[1]Harga &amp; Nama CSO'!$A$28:$D$31,4,0)*BL1405</f>
        <v>#N/A</v>
      </c>
    </row>
    <row r="1406" spans="37:70" x14ac:dyDescent="0.35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>
        <v>0</v>
      </c>
      <c r="BR1406" s="58" t="e">
        <f>VLOOKUP(AM1406,'[1]Harga &amp; Nama CSO'!$A$28:$D$31,4,0)*BL1406</f>
        <v>#N/A</v>
      </c>
    </row>
    <row r="1407" spans="37:70" x14ac:dyDescent="0.35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>
        <v>0</v>
      </c>
      <c r="BR1407" s="58" t="e">
        <f>VLOOKUP(AM1407,'[1]Harga &amp; Nama CSO'!$A$28:$D$31,4,0)*BL1407</f>
        <v>#N/A</v>
      </c>
    </row>
    <row r="1408" spans="37:70" x14ac:dyDescent="0.35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>
        <v>0</v>
      </c>
      <c r="BR1408" s="58" t="e">
        <f>VLOOKUP(AM1408,'[1]Harga &amp; Nama CSO'!$A$28:$D$31,4,0)*BL1408</f>
        <v>#N/A</v>
      </c>
    </row>
    <row r="1409" spans="37:70" x14ac:dyDescent="0.35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>
        <v>0</v>
      </c>
      <c r="BR1409" s="58" t="e">
        <f>VLOOKUP(AM1409,'[1]Harga &amp; Nama CSO'!$A$28:$D$31,4,0)*BL1409</f>
        <v>#N/A</v>
      </c>
    </row>
    <row r="1410" spans="37:70" x14ac:dyDescent="0.35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>
        <v>0</v>
      </c>
      <c r="BR1410" s="58" t="e">
        <f>VLOOKUP(AM1410,'[1]Harga &amp; Nama CSO'!$A$28:$D$31,4,0)*BL1410</f>
        <v>#N/A</v>
      </c>
    </row>
    <row r="1411" spans="37:70" x14ac:dyDescent="0.35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>
        <v>0</v>
      </c>
      <c r="BR1411" s="58" t="e">
        <f>VLOOKUP(AM1411,'[1]Harga &amp; Nama CSO'!$A$28:$D$31,4,0)*BL1411</f>
        <v>#N/A</v>
      </c>
    </row>
    <row r="1412" spans="37:70" x14ac:dyDescent="0.35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>
        <v>0</v>
      </c>
      <c r="BR1412" s="58" t="e">
        <f>VLOOKUP(AM1412,'[1]Harga &amp; Nama CSO'!$A$28:$D$31,4,0)*BL1412</f>
        <v>#N/A</v>
      </c>
    </row>
    <row r="1413" spans="37:70" x14ac:dyDescent="0.35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>
        <v>0</v>
      </c>
      <c r="BR1413" s="58" t="e">
        <f>VLOOKUP(AM1413,'[1]Harga &amp; Nama CSO'!$A$28:$D$31,4,0)*BL1413</f>
        <v>#N/A</v>
      </c>
    </row>
    <row r="1414" spans="37:70" x14ac:dyDescent="0.35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>
        <v>0</v>
      </c>
      <c r="BR1414" s="58" t="e">
        <f>VLOOKUP(AM1414,'[1]Harga &amp; Nama CSO'!$A$28:$D$31,4,0)*BL1414</f>
        <v>#N/A</v>
      </c>
    </row>
    <row r="1415" spans="37:70" x14ac:dyDescent="0.35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>
        <v>0</v>
      </c>
      <c r="BR1415" s="58" t="e">
        <f>VLOOKUP(AM1415,'[1]Harga &amp; Nama CSO'!$A$28:$D$31,4,0)*BL1415</f>
        <v>#N/A</v>
      </c>
    </row>
    <row r="1416" spans="37:70" x14ac:dyDescent="0.35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>
        <v>0</v>
      </c>
      <c r="BR1416" s="58" t="e">
        <f>VLOOKUP(AM1416,'[1]Harga &amp; Nama CSO'!$A$28:$D$31,4,0)*BL1416</f>
        <v>#N/A</v>
      </c>
    </row>
    <row r="1417" spans="37:70" x14ac:dyDescent="0.35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>
        <v>0</v>
      </c>
      <c r="BR1417" s="58" t="e">
        <f>VLOOKUP(AM1417,'[1]Harga &amp; Nama CSO'!$A$28:$D$31,4,0)*BL1417</f>
        <v>#N/A</v>
      </c>
    </row>
    <row r="1418" spans="37:70" x14ac:dyDescent="0.35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>
        <v>0</v>
      </c>
      <c r="BR1418" s="58" t="e">
        <f>VLOOKUP(AM1418,'[1]Harga &amp; Nama CSO'!$A$28:$D$31,4,0)*BL1418</f>
        <v>#N/A</v>
      </c>
    </row>
    <row r="1419" spans="37:70" x14ac:dyDescent="0.35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>
        <v>0</v>
      </c>
      <c r="BR1419" s="58" t="e">
        <f>VLOOKUP(AM1419,'[1]Harga &amp; Nama CSO'!$A$28:$D$31,4,0)*BL1419</f>
        <v>#N/A</v>
      </c>
    </row>
    <row r="1420" spans="37:70" x14ac:dyDescent="0.35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>
        <v>0</v>
      </c>
      <c r="BR1420" s="58" t="e">
        <f>VLOOKUP(AM1420,'[1]Harga &amp; Nama CSO'!$A$28:$D$31,4,0)*BL1420</f>
        <v>#N/A</v>
      </c>
    </row>
    <row r="1421" spans="37:70" x14ac:dyDescent="0.35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>
        <v>0</v>
      </c>
      <c r="BR1421" s="58" t="e">
        <f>VLOOKUP(AM1421,'[1]Harga &amp; Nama CSO'!$A$28:$D$31,4,0)*BL1421</f>
        <v>#N/A</v>
      </c>
    </row>
    <row r="1422" spans="37:70" x14ac:dyDescent="0.35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>
        <v>0</v>
      </c>
      <c r="BR1422" s="58" t="e">
        <f>VLOOKUP(AM1422,'[1]Harga &amp; Nama CSO'!$A$28:$D$31,4,0)*BL1422</f>
        <v>#N/A</v>
      </c>
    </row>
    <row r="1423" spans="37:70" x14ac:dyDescent="0.35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>
        <v>0</v>
      </c>
      <c r="BR1423" s="58" t="e">
        <f>VLOOKUP(AM1423,'[1]Harga &amp; Nama CSO'!$A$28:$D$31,4,0)*BL1423</f>
        <v>#N/A</v>
      </c>
    </row>
    <row r="1424" spans="37:70" x14ac:dyDescent="0.35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>
        <v>0</v>
      </c>
      <c r="BR1424" s="58" t="e">
        <f>VLOOKUP(AM1424,'[1]Harga &amp; Nama CSO'!$A$28:$D$31,4,0)*BL1424</f>
        <v>#N/A</v>
      </c>
    </row>
    <row r="1425" spans="37:70" x14ac:dyDescent="0.35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>
        <v>0</v>
      </c>
      <c r="BR1425" s="58" t="e">
        <f>VLOOKUP(AM1425,'[1]Harga &amp; Nama CSO'!$A$28:$D$31,4,0)*BL1425</f>
        <v>#N/A</v>
      </c>
    </row>
    <row r="1426" spans="37:70" x14ac:dyDescent="0.35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>
        <v>0</v>
      </c>
      <c r="BR1426" s="58" t="e">
        <f>VLOOKUP(AM1426,'[1]Harga &amp; Nama CSO'!$A$28:$D$31,4,0)*BL1426</f>
        <v>#N/A</v>
      </c>
    </row>
    <row r="1427" spans="37:70" x14ac:dyDescent="0.35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>
        <v>0</v>
      </c>
      <c r="BR1427" s="58" t="e">
        <f>VLOOKUP(AM1427,'[1]Harga &amp; Nama CSO'!$A$28:$D$31,4,0)*BL1427</f>
        <v>#N/A</v>
      </c>
    </row>
    <row r="1428" spans="37:70" x14ac:dyDescent="0.35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>
        <v>0</v>
      </c>
      <c r="BR1428" s="58" t="e">
        <f>VLOOKUP(AM1428,'[1]Harga &amp; Nama CSO'!$A$28:$D$31,4,0)*BL1428</f>
        <v>#N/A</v>
      </c>
    </row>
    <row r="1429" spans="37:70" x14ac:dyDescent="0.35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>
        <v>0</v>
      </c>
      <c r="BR1429" s="58" t="e">
        <f>VLOOKUP(AM1429,'[1]Harga &amp; Nama CSO'!$A$28:$D$31,4,0)*BL1429</f>
        <v>#N/A</v>
      </c>
    </row>
    <row r="1430" spans="37:70" x14ac:dyDescent="0.35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>
        <v>0</v>
      </c>
      <c r="BR1430" s="58" t="e">
        <f>VLOOKUP(AM1430,'[1]Harga &amp; Nama CSO'!$A$28:$D$31,4,0)*BL1430</f>
        <v>#N/A</v>
      </c>
    </row>
    <row r="1431" spans="37:70" x14ac:dyDescent="0.35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>
        <v>0</v>
      </c>
      <c r="BR1431" s="58" t="e">
        <f>VLOOKUP(AM1431,'[1]Harga &amp; Nama CSO'!$A$28:$D$31,4,0)*BL1431</f>
        <v>#N/A</v>
      </c>
    </row>
    <row r="1432" spans="37:70" x14ac:dyDescent="0.35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>
        <v>0</v>
      </c>
      <c r="BR1432" s="58" t="e">
        <f>VLOOKUP(AM1432,'[1]Harga &amp; Nama CSO'!$A$28:$D$31,4,0)*BL1432</f>
        <v>#N/A</v>
      </c>
    </row>
    <row r="1433" spans="37:70" x14ac:dyDescent="0.35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>
        <v>0</v>
      </c>
      <c r="BR1433" s="58" t="e">
        <f>VLOOKUP(AM1433,'[1]Harga &amp; Nama CSO'!$A$28:$D$31,4,0)*BL1433</f>
        <v>#N/A</v>
      </c>
    </row>
    <row r="1434" spans="37:70" x14ac:dyDescent="0.35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>
        <v>0</v>
      </c>
      <c r="BR1434" s="58" t="e">
        <f>VLOOKUP(AM1434,'[1]Harga &amp; Nama CSO'!$A$28:$D$31,4,0)*BL1434</f>
        <v>#N/A</v>
      </c>
    </row>
    <row r="1435" spans="37:70" x14ac:dyDescent="0.35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>
        <v>0</v>
      </c>
      <c r="BR1435" s="58" t="e">
        <f>VLOOKUP(AM1435,'[1]Harga &amp; Nama CSO'!$A$28:$D$31,4,0)*BL1435</f>
        <v>#N/A</v>
      </c>
    </row>
    <row r="1436" spans="37:70" x14ac:dyDescent="0.35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>
        <v>0</v>
      </c>
      <c r="BR1436" s="58" t="e">
        <f>VLOOKUP(AM1436,'[1]Harga &amp; Nama CSO'!$A$28:$D$31,4,0)*BL1436</f>
        <v>#N/A</v>
      </c>
    </row>
    <row r="1437" spans="37:70" x14ac:dyDescent="0.35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>
        <v>0</v>
      </c>
      <c r="BR1437" s="58" t="e">
        <f>VLOOKUP(AM1437,'[1]Harga &amp; Nama CSO'!$A$28:$D$31,4,0)*BL1437</f>
        <v>#N/A</v>
      </c>
    </row>
    <row r="1438" spans="37:70" x14ac:dyDescent="0.35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>
        <v>0</v>
      </c>
      <c r="BR1438" s="58" t="e">
        <f>VLOOKUP(AM1438,'[1]Harga &amp; Nama CSO'!$A$28:$D$31,4,0)*BL1438</f>
        <v>#N/A</v>
      </c>
    </row>
    <row r="1439" spans="37:70" x14ac:dyDescent="0.35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>
        <v>0</v>
      </c>
      <c r="BR1439" s="58" t="e">
        <f>VLOOKUP(AM1439,'[1]Harga &amp; Nama CSO'!$A$28:$D$31,4,0)*BL1439</f>
        <v>#N/A</v>
      </c>
    </row>
    <row r="1440" spans="37:70" x14ac:dyDescent="0.35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>
        <v>0</v>
      </c>
      <c r="BR1440" s="58" t="e">
        <f>VLOOKUP(AM1440,'[1]Harga &amp; Nama CSO'!$A$28:$D$31,4,0)*BL1440</f>
        <v>#N/A</v>
      </c>
    </row>
    <row r="1441" spans="37:70" x14ac:dyDescent="0.35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>
        <v>0</v>
      </c>
      <c r="BR1441" s="58" t="e">
        <f>VLOOKUP(AM1441,'[1]Harga &amp; Nama CSO'!$A$28:$D$31,4,0)*BL1441</f>
        <v>#N/A</v>
      </c>
    </row>
    <row r="1442" spans="37:70" x14ac:dyDescent="0.35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>
        <v>0</v>
      </c>
      <c r="BR1442" s="58" t="e">
        <f>VLOOKUP(AM1442,'[1]Harga &amp; Nama CSO'!$A$28:$D$31,4,0)*BL1442</f>
        <v>#N/A</v>
      </c>
    </row>
    <row r="1443" spans="37:70" x14ac:dyDescent="0.35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>
        <v>0</v>
      </c>
      <c r="BR1443" s="58" t="e">
        <f>VLOOKUP(AM1443,'[1]Harga &amp; Nama CSO'!$A$28:$D$31,4,0)*BL1443</f>
        <v>#N/A</v>
      </c>
    </row>
    <row r="1444" spans="37:70" x14ac:dyDescent="0.35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>
        <v>0</v>
      </c>
      <c r="BR1444" s="58" t="e">
        <f>VLOOKUP(AM1444,'[1]Harga &amp; Nama CSO'!$A$28:$D$31,4,0)*BL1444</f>
        <v>#N/A</v>
      </c>
    </row>
    <row r="1445" spans="37:70" x14ac:dyDescent="0.35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>
        <v>0</v>
      </c>
      <c r="BR1445" s="58" t="e">
        <f>VLOOKUP(AM1445,'[1]Harga &amp; Nama CSO'!$A$28:$D$31,4,0)*BL1445</f>
        <v>#N/A</v>
      </c>
    </row>
    <row r="1446" spans="37:70" x14ac:dyDescent="0.35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>
        <v>0</v>
      </c>
      <c r="BR1446" s="58" t="e">
        <f>VLOOKUP(AM1446,'[1]Harga &amp; Nama CSO'!$A$28:$D$31,4,0)*BL1446</f>
        <v>#N/A</v>
      </c>
    </row>
    <row r="1447" spans="37:70" x14ac:dyDescent="0.35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>
        <v>0</v>
      </c>
      <c r="BR1447" s="58" t="e">
        <f>VLOOKUP(AM1447,'[1]Harga &amp; Nama CSO'!$A$28:$D$31,4,0)*BL1447</f>
        <v>#N/A</v>
      </c>
    </row>
    <row r="1448" spans="37:70" x14ac:dyDescent="0.35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>
        <v>0</v>
      </c>
      <c r="BR1448" s="58" t="e">
        <f>VLOOKUP(AM1448,'[1]Harga &amp; Nama CSO'!$A$28:$D$31,4,0)*BL1448</f>
        <v>#N/A</v>
      </c>
    </row>
    <row r="1449" spans="37:70" x14ac:dyDescent="0.35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>
        <v>0</v>
      </c>
      <c r="BR1449" s="58" t="e">
        <f>VLOOKUP(AM1449,'[1]Harga &amp; Nama CSO'!$A$28:$D$31,4,0)*BL1449</f>
        <v>#N/A</v>
      </c>
    </row>
    <row r="1450" spans="37:70" x14ac:dyDescent="0.35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>
        <v>0</v>
      </c>
      <c r="BR1450" s="58" t="e">
        <f>VLOOKUP(AM1450,'[1]Harga &amp; Nama CSO'!$A$28:$D$31,4,0)*BL1450</f>
        <v>#N/A</v>
      </c>
    </row>
    <row r="1451" spans="37:70" x14ac:dyDescent="0.35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>
        <v>0</v>
      </c>
      <c r="BR1451" s="58" t="e">
        <f>VLOOKUP(AM1451,'[1]Harga &amp; Nama CSO'!$A$28:$D$31,4,0)*BL1451</f>
        <v>#N/A</v>
      </c>
    </row>
    <row r="1452" spans="37:70" x14ac:dyDescent="0.35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>
        <v>0</v>
      </c>
      <c r="BR1452" s="58" t="e">
        <f>VLOOKUP(AM1452,'[1]Harga &amp; Nama CSO'!$A$28:$D$31,4,0)*BL1452</f>
        <v>#N/A</v>
      </c>
    </row>
    <row r="1453" spans="37:70" x14ac:dyDescent="0.35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>
        <v>0</v>
      </c>
      <c r="BR1453" s="58" t="e">
        <f>VLOOKUP(AM1453,'[1]Harga &amp; Nama CSO'!$A$28:$D$31,4,0)*BL1453</f>
        <v>#N/A</v>
      </c>
    </row>
    <row r="1454" spans="37:70" x14ac:dyDescent="0.35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>
        <v>0</v>
      </c>
      <c r="BR1454" s="58" t="e">
        <f>VLOOKUP(AM1454,'[1]Harga &amp; Nama CSO'!$A$28:$D$31,4,0)*BL1454</f>
        <v>#N/A</v>
      </c>
    </row>
    <row r="1455" spans="37:70" x14ac:dyDescent="0.35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>
        <v>0</v>
      </c>
      <c r="BR1455" s="58" t="e">
        <f>VLOOKUP(AM1455,'[1]Harga &amp; Nama CSO'!$A$28:$D$31,4,0)*BL1455</f>
        <v>#N/A</v>
      </c>
    </row>
    <row r="1456" spans="37:70" x14ac:dyDescent="0.35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>
        <v>0</v>
      </c>
      <c r="BR1456" s="58" t="e">
        <f>VLOOKUP(AM1456,'[1]Harga &amp; Nama CSO'!$A$28:$D$31,4,0)*BL1456</f>
        <v>#N/A</v>
      </c>
    </row>
    <row r="1457" spans="37:70" x14ac:dyDescent="0.35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>
        <v>0</v>
      </c>
      <c r="BR1457" s="58" t="e">
        <f>VLOOKUP(AM1457,'[1]Harga &amp; Nama CSO'!$A$28:$D$31,4,0)*BL1457</f>
        <v>#N/A</v>
      </c>
    </row>
    <row r="1458" spans="37:70" x14ac:dyDescent="0.35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>
        <v>0</v>
      </c>
      <c r="BR1458" s="58" t="e">
        <f>VLOOKUP(AM1458,'[1]Harga &amp; Nama CSO'!$A$28:$D$31,4,0)*BL1458</f>
        <v>#N/A</v>
      </c>
    </row>
    <row r="1459" spans="37:70" x14ac:dyDescent="0.35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>
        <v>0</v>
      </c>
      <c r="BR1459" s="58" t="e">
        <f>VLOOKUP(AM1459,'[1]Harga &amp; Nama CSO'!$A$28:$D$31,4,0)*BL1459</f>
        <v>#N/A</v>
      </c>
    </row>
    <row r="1460" spans="37:70" x14ac:dyDescent="0.35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>
        <v>0</v>
      </c>
      <c r="BR1460" s="58" t="e">
        <f>VLOOKUP(AM1460,'[1]Harga &amp; Nama CSO'!$A$28:$D$31,4,0)*BL1460</f>
        <v>#N/A</v>
      </c>
    </row>
    <row r="1461" spans="37:70" x14ac:dyDescent="0.35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>
        <v>0</v>
      </c>
      <c r="BR1461" s="58" t="e">
        <f>VLOOKUP(AM1461,'[1]Harga &amp; Nama CSO'!$A$28:$D$31,4,0)*BL1461</f>
        <v>#N/A</v>
      </c>
    </row>
    <row r="1462" spans="37:70" x14ac:dyDescent="0.35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>
        <v>0</v>
      </c>
      <c r="BR1462" s="58" t="e">
        <f>VLOOKUP(AM1462,'[1]Harga &amp; Nama CSO'!$A$28:$D$31,4,0)*BL1462</f>
        <v>#N/A</v>
      </c>
    </row>
    <row r="1463" spans="37:70" x14ac:dyDescent="0.35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>
        <v>0</v>
      </c>
      <c r="BR1463" s="58" t="e">
        <f>VLOOKUP(AM1463,'[1]Harga &amp; Nama CSO'!$A$28:$D$31,4,0)*BL1463</f>
        <v>#N/A</v>
      </c>
    </row>
    <row r="1464" spans="37:70" x14ac:dyDescent="0.35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>
        <v>0</v>
      </c>
      <c r="BR1464" s="58" t="e">
        <f>VLOOKUP(AM1464,'[1]Harga &amp; Nama CSO'!$A$28:$D$31,4,0)*BL1464</f>
        <v>#N/A</v>
      </c>
    </row>
    <row r="1465" spans="37:70" x14ac:dyDescent="0.35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>
        <v>0</v>
      </c>
      <c r="BR1465" s="58" t="e">
        <f>VLOOKUP(AM1465,'[1]Harga &amp; Nama CSO'!$A$28:$D$31,4,0)*BL1465</f>
        <v>#N/A</v>
      </c>
    </row>
    <row r="1466" spans="37:70" x14ac:dyDescent="0.35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>
        <v>0</v>
      </c>
      <c r="BR1466" s="58" t="e">
        <f>VLOOKUP(AM1466,'[1]Harga &amp; Nama CSO'!$A$28:$D$31,4,0)*BL1466</f>
        <v>#N/A</v>
      </c>
    </row>
    <row r="1467" spans="37:70" x14ac:dyDescent="0.35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>
        <v>0</v>
      </c>
      <c r="BR1467" s="58" t="e">
        <f>VLOOKUP(AM1467,'[1]Harga &amp; Nama CSO'!$A$28:$D$31,4,0)*BL1467</f>
        <v>#N/A</v>
      </c>
    </row>
    <row r="1468" spans="37:70" x14ac:dyDescent="0.35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>
        <v>0</v>
      </c>
      <c r="BR1468" s="58" t="e">
        <f>VLOOKUP(AM1468,'[1]Harga &amp; Nama CSO'!$A$28:$D$31,4,0)*BL1468</f>
        <v>#N/A</v>
      </c>
    </row>
    <row r="1469" spans="37:70" x14ac:dyDescent="0.35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>
        <v>0</v>
      </c>
      <c r="BR1469" s="58" t="e">
        <f>VLOOKUP(AM1469,'[1]Harga &amp; Nama CSO'!$A$28:$D$31,4,0)*BL1469</f>
        <v>#N/A</v>
      </c>
    </row>
    <row r="1470" spans="37:70" x14ac:dyDescent="0.35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>
        <v>0</v>
      </c>
      <c r="BR1470" s="58" t="e">
        <f>VLOOKUP(AM1470,'[1]Harga &amp; Nama CSO'!$A$28:$D$31,4,0)*BL1470</f>
        <v>#N/A</v>
      </c>
    </row>
    <row r="1471" spans="37:70" x14ac:dyDescent="0.35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>
        <v>0</v>
      </c>
      <c r="BR1471" s="58" t="e">
        <f>VLOOKUP(AM1471,'[1]Harga &amp; Nama CSO'!$A$28:$D$31,4,0)*BL1471</f>
        <v>#N/A</v>
      </c>
    </row>
    <row r="1472" spans="37:70" x14ac:dyDescent="0.35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>
        <v>0</v>
      </c>
      <c r="BR1472" s="58" t="e">
        <f>VLOOKUP(AM1472,'[1]Harga &amp; Nama CSO'!$A$28:$D$31,4,0)*BL1472</f>
        <v>#N/A</v>
      </c>
    </row>
    <row r="1473" spans="37:70" x14ac:dyDescent="0.35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>
        <v>0</v>
      </c>
      <c r="BR1473" s="58" t="e">
        <f>VLOOKUP(AM1473,'[1]Harga &amp; Nama CSO'!$A$28:$D$31,4,0)*BL1473</f>
        <v>#N/A</v>
      </c>
    </row>
    <row r="1474" spans="37:70" x14ac:dyDescent="0.35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>
        <v>0</v>
      </c>
      <c r="BR1474" s="58" t="e">
        <f>VLOOKUP(AM1474,'[1]Harga &amp; Nama CSO'!$A$28:$D$31,4,0)*BL1474</f>
        <v>#N/A</v>
      </c>
    </row>
    <row r="1475" spans="37:70" x14ac:dyDescent="0.35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>
        <v>0</v>
      </c>
      <c r="BR1475" s="58" t="e">
        <f>VLOOKUP(AM1475,'[1]Harga &amp; Nama CSO'!$A$28:$D$31,4,0)*BL1475</f>
        <v>#N/A</v>
      </c>
    </row>
    <row r="1476" spans="37:70" x14ac:dyDescent="0.35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>
        <v>0</v>
      </c>
      <c r="BR1476" s="58" t="e">
        <f>VLOOKUP(AM1476,'[1]Harga &amp; Nama CSO'!$A$28:$D$31,4,0)*BL1476</f>
        <v>#N/A</v>
      </c>
    </row>
    <row r="1477" spans="37:70" x14ac:dyDescent="0.35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>
        <v>0</v>
      </c>
      <c r="BR1477" s="58" t="e">
        <f>VLOOKUP(AM1477,'[1]Harga &amp; Nama CSO'!$A$28:$D$31,4,0)*BL1477</f>
        <v>#N/A</v>
      </c>
    </row>
    <row r="1478" spans="37:70" x14ac:dyDescent="0.35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>
        <v>0</v>
      </c>
      <c r="BR1478" s="58" t="e">
        <f>VLOOKUP(AM1478,'[1]Harga &amp; Nama CSO'!$A$28:$D$31,4,0)*BL1478</f>
        <v>#N/A</v>
      </c>
    </row>
    <row r="1479" spans="37:70" x14ac:dyDescent="0.35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>
        <v>0</v>
      </c>
      <c r="BR1479" s="58" t="e">
        <f>VLOOKUP(AM1479,'[1]Harga &amp; Nama CSO'!$A$28:$D$31,4,0)*BL1479</f>
        <v>#N/A</v>
      </c>
    </row>
    <row r="1480" spans="37:70" x14ac:dyDescent="0.35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>
        <v>0</v>
      </c>
      <c r="BR1480" s="58" t="e">
        <f>VLOOKUP(AM1480,'[1]Harga &amp; Nama CSO'!$A$28:$D$31,4,0)*BL1480</f>
        <v>#N/A</v>
      </c>
    </row>
    <row r="1481" spans="37:70" x14ac:dyDescent="0.35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>
        <v>0</v>
      </c>
      <c r="BR1481" s="58" t="e">
        <f>VLOOKUP(AM1481,'[1]Harga &amp; Nama CSO'!$A$28:$D$31,4,0)*BL1481</f>
        <v>#N/A</v>
      </c>
    </row>
    <row r="1482" spans="37:70" x14ac:dyDescent="0.35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>
        <v>0</v>
      </c>
      <c r="BR1482" s="58" t="e">
        <f>VLOOKUP(AM1482,'[1]Harga &amp; Nama CSO'!$A$28:$D$31,4,0)*BL1482</f>
        <v>#N/A</v>
      </c>
    </row>
    <row r="1483" spans="37:70" x14ac:dyDescent="0.35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>
        <v>0</v>
      </c>
      <c r="BR1483" s="58" t="e">
        <f>VLOOKUP(AM1483,'[1]Harga &amp; Nama CSO'!$A$28:$D$31,4,0)*BL1483</f>
        <v>#N/A</v>
      </c>
    </row>
    <row r="1484" spans="37:70" x14ac:dyDescent="0.35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>
        <v>0</v>
      </c>
      <c r="BR1484" s="58" t="e">
        <f>VLOOKUP(AM1484,'[1]Harga &amp; Nama CSO'!$A$28:$D$31,4,0)*BL1484</f>
        <v>#N/A</v>
      </c>
    </row>
    <row r="1485" spans="37:70" x14ac:dyDescent="0.35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>
        <v>0</v>
      </c>
      <c r="BR1485" s="58" t="e">
        <f>VLOOKUP(AM1485,'[1]Harga &amp; Nama CSO'!$A$28:$D$31,4,0)*BL1485</f>
        <v>#N/A</v>
      </c>
    </row>
    <row r="1486" spans="37:70" x14ac:dyDescent="0.35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>
        <v>0</v>
      </c>
      <c r="BR1486" s="58" t="e">
        <f>VLOOKUP(AM1486,'[1]Harga &amp; Nama CSO'!$A$28:$D$31,4,0)*BL1486</f>
        <v>#N/A</v>
      </c>
    </row>
    <row r="1487" spans="37:70" x14ac:dyDescent="0.35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>
        <v>0</v>
      </c>
      <c r="BR1487" s="58" t="e">
        <f>VLOOKUP(AM1487,'[1]Harga &amp; Nama CSO'!$A$28:$D$31,4,0)*BL1487</f>
        <v>#N/A</v>
      </c>
    </row>
    <row r="1488" spans="37:70" x14ac:dyDescent="0.35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>
        <v>0</v>
      </c>
      <c r="BR1488" s="58" t="e">
        <f>VLOOKUP(AM1488,'[1]Harga &amp; Nama CSO'!$A$28:$D$31,4,0)*BL1488</f>
        <v>#N/A</v>
      </c>
    </row>
    <row r="1489" spans="37:70" x14ac:dyDescent="0.35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>
        <v>0</v>
      </c>
      <c r="BR1489" s="58" t="e">
        <f>VLOOKUP(AM1489,'[1]Harga &amp; Nama CSO'!$A$28:$D$31,4,0)*BL1489</f>
        <v>#N/A</v>
      </c>
    </row>
    <row r="1490" spans="37:70" x14ac:dyDescent="0.35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>
        <v>0</v>
      </c>
      <c r="BR1490" s="58" t="e">
        <f>VLOOKUP(AM1490,'[1]Harga &amp; Nama CSO'!$A$28:$D$31,4,0)*BL1490</f>
        <v>#N/A</v>
      </c>
    </row>
    <row r="1491" spans="37:70" x14ac:dyDescent="0.35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>
        <v>0</v>
      </c>
      <c r="BR1491" s="58" t="e">
        <f>VLOOKUP(AM1491,'[1]Harga &amp; Nama CSO'!$A$28:$D$31,4,0)*BL1491</f>
        <v>#N/A</v>
      </c>
    </row>
    <row r="1492" spans="37:70" x14ac:dyDescent="0.35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>
        <v>0</v>
      </c>
      <c r="BR1492" s="58" t="e">
        <f>VLOOKUP(AM1492,'[1]Harga &amp; Nama CSO'!$A$28:$D$31,4,0)*BL1492</f>
        <v>#N/A</v>
      </c>
    </row>
    <row r="1493" spans="37:70" x14ac:dyDescent="0.35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>
        <v>0</v>
      </c>
      <c r="BR1493" s="58" t="e">
        <f>VLOOKUP(AM1493,'[1]Harga &amp; Nama CSO'!$A$28:$D$31,4,0)*BL1493</f>
        <v>#N/A</v>
      </c>
    </row>
    <row r="1494" spans="37:70" x14ac:dyDescent="0.35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>
        <v>0</v>
      </c>
      <c r="BR1494" s="58" t="e">
        <f>VLOOKUP(AM1494,'[1]Harga &amp; Nama CSO'!$A$28:$D$31,4,0)*BL1494</f>
        <v>#N/A</v>
      </c>
    </row>
    <row r="1495" spans="37:70" x14ac:dyDescent="0.35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>
        <v>0</v>
      </c>
      <c r="BR1495" s="58" t="e">
        <f>VLOOKUP(AM1495,'[1]Harga &amp; Nama CSO'!$A$28:$D$31,4,0)*BL1495</f>
        <v>#N/A</v>
      </c>
    </row>
    <row r="1496" spans="37:70" x14ac:dyDescent="0.35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>
        <v>0</v>
      </c>
      <c r="BR1496" s="58" t="e">
        <f>VLOOKUP(AM1496,'[1]Harga &amp; Nama CSO'!$A$28:$D$31,4,0)*BL1496</f>
        <v>#N/A</v>
      </c>
    </row>
    <row r="1497" spans="37:70" x14ac:dyDescent="0.35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>
        <v>0</v>
      </c>
      <c r="BR1497" s="58" t="e">
        <f>VLOOKUP(AM1497,'[1]Harga &amp; Nama CSO'!$A$28:$D$31,4,0)*BL1497</f>
        <v>#N/A</v>
      </c>
    </row>
    <row r="1498" spans="37:70" x14ac:dyDescent="0.35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>
        <v>0</v>
      </c>
      <c r="BR1498" s="58" t="e">
        <f>VLOOKUP(AM1498,'[1]Harga &amp; Nama CSO'!$A$28:$D$31,4,0)*BL1498</f>
        <v>#N/A</v>
      </c>
    </row>
    <row r="1499" spans="37:70" x14ac:dyDescent="0.35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>
        <v>0</v>
      </c>
      <c r="BR1499" s="58" t="e">
        <f>VLOOKUP(AM1499,'[1]Harga &amp; Nama CSO'!$A$28:$D$31,4,0)*BL1499</f>
        <v>#N/A</v>
      </c>
    </row>
    <row r="1500" spans="37:70" x14ac:dyDescent="0.35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>
        <v>0</v>
      </c>
      <c r="BR1500" s="58" t="e">
        <f>VLOOKUP(AM1500,'[1]Harga &amp; Nama CSO'!$A$28:$D$31,4,0)*BL1500</f>
        <v>#N/A</v>
      </c>
    </row>
    <row r="1501" spans="37:70" x14ac:dyDescent="0.35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>
        <v>0</v>
      </c>
      <c r="BR1501" s="58" t="e">
        <f>VLOOKUP(AM1501,'[1]Harga &amp; Nama CSO'!$A$28:$D$31,4,0)*BL1501</f>
        <v>#N/A</v>
      </c>
    </row>
    <row r="1502" spans="37:70" x14ac:dyDescent="0.35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>
        <v>0</v>
      </c>
      <c r="BR1502" s="58" t="e">
        <f>VLOOKUP(AM1502,'[1]Harga &amp; Nama CSO'!$A$28:$D$31,4,0)*BL1502</f>
        <v>#N/A</v>
      </c>
    </row>
    <row r="1503" spans="37:70" x14ac:dyDescent="0.35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>
        <v>0</v>
      </c>
      <c r="BR1503" s="58" t="e">
        <f>VLOOKUP(AM1503,'[1]Harga &amp; Nama CSO'!$A$28:$D$31,4,0)*BL1503</f>
        <v>#N/A</v>
      </c>
    </row>
    <row r="1504" spans="37:70" x14ac:dyDescent="0.35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>
        <v>0</v>
      </c>
      <c r="BR1504" s="58" t="e">
        <f>VLOOKUP(AM1504,'[1]Harga &amp; Nama CSO'!$A$28:$D$31,4,0)*BL1504</f>
        <v>#N/A</v>
      </c>
    </row>
    <row r="1505" spans="37:70" x14ac:dyDescent="0.35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>
        <v>0</v>
      </c>
      <c r="BR1505" s="58" t="e">
        <f>VLOOKUP(AM1505,'[1]Harga &amp; Nama CSO'!$A$28:$D$31,4,0)*BL1505</f>
        <v>#N/A</v>
      </c>
    </row>
    <row r="1506" spans="37:70" x14ac:dyDescent="0.35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>
        <v>0</v>
      </c>
      <c r="BR1506" s="58" t="e">
        <f>VLOOKUP(AM1506,'[1]Harga &amp; Nama CSO'!$A$28:$D$31,4,0)*BL1506</f>
        <v>#N/A</v>
      </c>
    </row>
    <row r="1507" spans="37:70" x14ac:dyDescent="0.35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>
        <v>0</v>
      </c>
      <c r="BR1507" s="58" t="e">
        <f>VLOOKUP(AM1507,'[1]Harga &amp; Nama CSO'!$A$28:$D$31,4,0)*BL1507</f>
        <v>#N/A</v>
      </c>
    </row>
    <row r="1508" spans="37:70" x14ac:dyDescent="0.35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>
        <v>0</v>
      </c>
      <c r="BR1508" s="58" t="e">
        <f>VLOOKUP(AM1508,'[1]Harga &amp; Nama CSO'!$A$28:$D$31,4,0)*BL1508</f>
        <v>#N/A</v>
      </c>
    </row>
    <row r="1509" spans="37:70" x14ac:dyDescent="0.35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>
        <v>0</v>
      </c>
      <c r="BR1509" s="58" t="e">
        <f>VLOOKUP(AM1509,'[1]Harga &amp; Nama CSO'!$A$28:$D$31,4,0)*BL1509</f>
        <v>#N/A</v>
      </c>
    </row>
    <row r="1510" spans="37:70" x14ac:dyDescent="0.35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>
        <v>0</v>
      </c>
      <c r="BR1510" s="58" t="e">
        <f>VLOOKUP(AM1510,'[1]Harga &amp; Nama CSO'!$A$28:$D$31,4,0)*BL1510</f>
        <v>#N/A</v>
      </c>
    </row>
    <row r="1511" spans="37:70" x14ac:dyDescent="0.35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>
        <v>0</v>
      </c>
      <c r="BR1511" s="58" t="e">
        <f>VLOOKUP(AM1511,'[1]Harga &amp; Nama CSO'!$A$28:$D$31,4,0)*BL1511</f>
        <v>#N/A</v>
      </c>
    </row>
    <row r="1512" spans="37:70" x14ac:dyDescent="0.35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>
        <v>0</v>
      </c>
      <c r="BR1512" s="58" t="e">
        <f>VLOOKUP(AM1512,'[1]Harga &amp; Nama CSO'!$A$28:$D$31,4,0)*BL1512</f>
        <v>#N/A</v>
      </c>
    </row>
    <row r="1513" spans="37:70" x14ac:dyDescent="0.35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>
        <v>0</v>
      </c>
      <c r="BR1513" s="58" t="e">
        <f>VLOOKUP(AM1513,'[1]Harga &amp; Nama CSO'!$A$28:$D$31,4,0)*BL1513</f>
        <v>#N/A</v>
      </c>
    </row>
    <row r="1514" spans="37:70" x14ac:dyDescent="0.35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>
        <v>0</v>
      </c>
      <c r="BR1514" s="58" t="e">
        <f>VLOOKUP(AM1514,'[1]Harga &amp; Nama CSO'!$A$28:$D$31,4,0)*BL1514</f>
        <v>#N/A</v>
      </c>
    </row>
    <row r="1515" spans="37:70" x14ac:dyDescent="0.35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>
        <v>0</v>
      </c>
      <c r="BR1515" s="58" t="e">
        <f>VLOOKUP(AM1515,'[1]Harga &amp; Nama CSO'!$A$28:$D$31,4,0)*BL1515</f>
        <v>#N/A</v>
      </c>
    </row>
    <row r="1516" spans="37:70" x14ac:dyDescent="0.35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>
        <v>0</v>
      </c>
      <c r="BR1516" s="58" t="e">
        <f>VLOOKUP(AM1516,'[1]Harga &amp; Nama CSO'!$A$28:$D$31,4,0)*BL1516</f>
        <v>#N/A</v>
      </c>
    </row>
    <row r="1517" spans="37:70" x14ac:dyDescent="0.35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>
        <v>0</v>
      </c>
      <c r="BR1517" s="58" t="e">
        <f>VLOOKUP(AM1517,'[1]Harga &amp; Nama CSO'!$A$28:$D$31,4,0)*BL1517</f>
        <v>#N/A</v>
      </c>
    </row>
    <row r="1518" spans="37:70" x14ac:dyDescent="0.35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>
        <v>0</v>
      </c>
      <c r="BR1518" s="58" t="e">
        <f>VLOOKUP(AM1518,'[1]Harga &amp; Nama CSO'!$A$28:$D$31,4,0)*BL1518</f>
        <v>#N/A</v>
      </c>
    </row>
    <row r="1519" spans="37:70" x14ac:dyDescent="0.35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>
        <v>0</v>
      </c>
      <c r="BR1519" s="58" t="e">
        <f>VLOOKUP(AM1519,'[1]Harga &amp; Nama CSO'!$A$28:$D$31,4,0)*BL1519</f>
        <v>#N/A</v>
      </c>
    </row>
    <row r="1520" spans="37:70" x14ac:dyDescent="0.35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>
        <v>0</v>
      </c>
      <c r="BR1520" s="58" t="e">
        <f>VLOOKUP(AM1520,'[1]Harga &amp; Nama CSO'!$A$28:$D$31,4,0)*BL1520</f>
        <v>#N/A</v>
      </c>
    </row>
    <row r="1521" spans="37:70" x14ac:dyDescent="0.35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>
        <v>0</v>
      </c>
      <c r="BR1521" s="58" t="e">
        <f>VLOOKUP(AM1521,'[1]Harga &amp; Nama CSO'!$A$28:$D$31,4,0)*BL1521</f>
        <v>#N/A</v>
      </c>
    </row>
    <row r="1522" spans="37:70" x14ac:dyDescent="0.35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>
        <v>0</v>
      </c>
      <c r="BR1522" s="58" t="e">
        <f>VLOOKUP(AM1522,'[1]Harga &amp; Nama CSO'!$A$28:$D$31,4,0)*BL1522</f>
        <v>#N/A</v>
      </c>
    </row>
    <row r="1523" spans="37:70" x14ac:dyDescent="0.35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>
        <v>0</v>
      </c>
      <c r="BR1523" s="58" t="e">
        <f>VLOOKUP(AM1523,'[1]Harga &amp; Nama CSO'!$A$28:$D$31,4,0)*BL1523</f>
        <v>#N/A</v>
      </c>
    </row>
    <row r="1524" spans="37:70" x14ac:dyDescent="0.35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>
        <v>0</v>
      </c>
      <c r="BR1524" s="58" t="e">
        <f>VLOOKUP(AM1524,'[1]Harga &amp; Nama CSO'!$A$28:$D$31,4,0)*BL1524</f>
        <v>#N/A</v>
      </c>
    </row>
    <row r="1525" spans="37:70" x14ac:dyDescent="0.35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>
        <v>0</v>
      </c>
      <c r="BR1525" s="58" t="e">
        <f>VLOOKUP(AM1525,'[1]Harga &amp; Nama CSO'!$A$28:$D$31,4,0)*BL1525</f>
        <v>#N/A</v>
      </c>
    </row>
    <row r="1526" spans="37:70" x14ac:dyDescent="0.35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>
        <v>0</v>
      </c>
      <c r="BR1526" s="58" t="e">
        <f>VLOOKUP(AM1526,'[1]Harga &amp; Nama CSO'!$A$28:$D$31,4,0)*BL1526</f>
        <v>#N/A</v>
      </c>
    </row>
    <row r="1527" spans="37:70" x14ac:dyDescent="0.35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>
        <v>0</v>
      </c>
      <c r="BR1527" s="58" t="e">
        <f>VLOOKUP(AM1527,'[1]Harga &amp; Nama CSO'!$A$28:$D$31,4,0)*BL1527</f>
        <v>#N/A</v>
      </c>
    </row>
    <row r="1528" spans="37:70" x14ac:dyDescent="0.35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>
        <v>0</v>
      </c>
      <c r="BR1528" s="58" t="e">
        <f>VLOOKUP(AM1528,'[1]Harga &amp; Nama CSO'!$A$28:$D$31,4,0)*BL1528</f>
        <v>#N/A</v>
      </c>
    </row>
    <row r="1529" spans="37:70" x14ac:dyDescent="0.35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>
        <v>0</v>
      </c>
      <c r="BR1529" s="58" t="e">
        <f>VLOOKUP(AM1529,'[1]Harga &amp; Nama CSO'!$A$28:$D$31,4,0)*BL1529</f>
        <v>#N/A</v>
      </c>
    </row>
    <row r="1530" spans="37:70" x14ac:dyDescent="0.35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>
        <v>0</v>
      </c>
      <c r="BR1530" s="58" t="e">
        <f>VLOOKUP(AM1530,'[1]Harga &amp; Nama CSO'!$A$28:$D$31,4,0)*BL1530</f>
        <v>#N/A</v>
      </c>
    </row>
    <row r="1531" spans="37:70" x14ac:dyDescent="0.35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>
        <v>0</v>
      </c>
      <c r="BR1531" s="58" t="e">
        <f>VLOOKUP(AM1531,'[1]Harga &amp; Nama CSO'!$A$28:$D$31,4,0)*BL1531</f>
        <v>#N/A</v>
      </c>
    </row>
    <row r="1532" spans="37:70" x14ac:dyDescent="0.35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>
        <v>0</v>
      </c>
      <c r="BR1532" s="58" t="e">
        <f>VLOOKUP(AM1532,'[1]Harga &amp; Nama CSO'!$A$28:$D$31,4,0)*BL1532</f>
        <v>#N/A</v>
      </c>
    </row>
    <row r="1533" spans="37:70" x14ac:dyDescent="0.35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>
        <v>0</v>
      </c>
      <c r="BR1533" s="58" t="e">
        <f>VLOOKUP(AM1533,'[1]Harga &amp; Nama CSO'!$A$28:$D$31,4,0)*BL1533</f>
        <v>#N/A</v>
      </c>
    </row>
    <row r="1534" spans="37:70" x14ac:dyDescent="0.35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>
        <v>0</v>
      </c>
      <c r="BR1534" s="58" t="e">
        <f>VLOOKUP(AM1534,'[1]Harga &amp; Nama CSO'!$A$28:$D$31,4,0)*BL1534</f>
        <v>#N/A</v>
      </c>
    </row>
    <row r="1535" spans="37:70" x14ac:dyDescent="0.35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>
        <v>0</v>
      </c>
      <c r="BR1535" s="58" t="e">
        <f>VLOOKUP(AM1535,'[1]Harga &amp; Nama CSO'!$A$28:$D$31,4,0)*BL1535</f>
        <v>#N/A</v>
      </c>
    </row>
    <row r="1536" spans="37:70" x14ac:dyDescent="0.35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>
        <v>0</v>
      </c>
      <c r="BR1536" s="58" t="e">
        <f>VLOOKUP(AM1536,'[1]Harga &amp; Nama CSO'!$A$28:$D$31,4,0)*BL1536</f>
        <v>#N/A</v>
      </c>
    </row>
    <row r="1537" spans="37:70" x14ac:dyDescent="0.35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>
        <v>0</v>
      </c>
      <c r="BR1537" s="58" t="e">
        <f>VLOOKUP(AM1537,'[1]Harga &amp; Nama CSO'!$A$28:$D$31,4,0)*BL1537</f>
        <v>#N/A</v>
      </c>
    </row>
    <row r="1538" spans="37:70" x14ac:dyDescent="0.35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>
        <v>0</v>
      </c>
      <c r="BR1538" s="58" t="e">
        <f>VLOOKUP(AM1538,'[1]Harga &amp; Nama CSO'!$A$28:$D$31,4,0)*BL1538</f>
        <v>#N/A</v>
      </c>
    </row>
    <row r="1539" spans="37:70" x14ac:dyDescent="0.35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>
        <v>0</v>
      </c>
      <c r="BR1539" s="58" t="e">
        <f>VLOOKUP(AM1539,'[1]Harga &amp; Nama CSO'!$A$28:$D$31,4,0)*BL1539</f>
        <v>#N/A</v>
      </c>
    </row>
    <row r="1540" spans="37:70" x14ac:dyDescent="0.35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>
        <v>0</v>
      </c>
      <c r="BR1540" s="58" t="e">
        <f>VLOOKUP(AM1540,'[1]Harga &amp; Nama CSO'!$A$28:$D$31,4,0)*BL1540</f>
        <v>#N/A</v>
      </c>
    </row>
    <row r="1541" spans="37:70" x14ac:dyDescent="0.35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>
        <v>0</v>
      </c>
      <c r="BR1541" s="58" t="e">
        <f>VLOOKUP(AM1541,'[1]Harga &amp; Nama CSO'!$A$28:$D$31,4,0)*BL1541</f>
        <v>#N/A</v>
      </c>
    </row>
    <row r="1542" spans="37:70" x14ac:dyDescent="0.35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>
        <v>0</v>
      </c>
      <c r="BR1542" s="58" t="e">
        <f>VLOOKUP(AM1542,'[1]Harga &amp; Nama CSO'!$A$28:$D$31,4,0)*BL1542</f>
        <v>#N/A</v>
      </c>
    </row>
    <row r="1543" spans="37:70" x14ac:dyDescent="0.35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>
        <v>0</v>
      </c>
      <c r="BR1543" s="58" t="e">
        <f>VLOOKUP(AM1543,'[1]Harga &amp; Nama CSO'!$A$28:$D$31,4,0)*BL1543</f>
        <v>#N/A</v>
      </c>
    </row>
    <row r="1544" spans="37:70" x14ac:dyDescent="0.35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>
        <v>0</v>
      </c>
      <c r="BR1544" s="58" t="e">
        <f>VLOOKUP(AM1544,'[1]Harga &amp; Nama CSO'!$A$28:$D$31,4,0)*BL1544</f>
        <v>#N/A</v>
      </c>
    </row>
    <row r="1545" spans="37:70" x14ac:dyDescent="0.35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>
        <v>0</v>
      </c>
      <c r="BR1545" s="58" t="e">
        <f>VLOOKUP(AM1545,'[1]Harga &amp; Nama CSO'!$A$28:$D$31,4,0)*BL1545</f>
        <v>#N/A</v>
      </c>
    </row>
    <row r="1546" spans="37:70" x14ac:dyDescent="0.35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>
        <v>0</v>
      </c>
      <c r="BR1546" s="58" t="e">
        <f>VLOOKUP(AM1546,'[1]Harga &amp; Nama CSO'!$A$28:$D$31,4,0)*BL1546</f>
        <v>#N/A</v>
      </c>
    </row>
    <row r="1547" spans="37:70" x14ac:dyDescent="0.35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>
        <v>0</v>
      </c>
      <c r="BR1547" s="58" t="e">
        <f>VLOOKUP(AM1547,'[1]Harga &amp; Nama CSO'!$A$28:$D$31,4,0)*BL1547</f>
        <v>#N/A</v>
      </c>
    </row>
    <row r="1548" spans="37:70" x14ac:dyDescent="0.35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>
        <v>0</v>
      </c>
      <c r="BR1548" s="58" t="e">
        <f>VLOOKUP(AM1548,'[1]Harga &amp; Nama CSO'!$A$28:$D$31,4,0)*BL1548</f>
        <v>#N/A</v>
      </c>
    </row>
    <row r="1549" spans="37:70" x14ac:dyDescent="0.35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>
        <v>0</v>
      </c>
      <c r="BR1549" s="58" t="e">
        <f>VLOOKUP(AM1549,'[1]Harga &amp; Nama CSO'!$A$28:$D$31,4,0)*BL1549</f>
        <v>#N/A</v>
      </c>
    </row>
    <row r="1550" spans="37:70" x14ac:dyDescent="0.35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>
        <v>0</v>
      </c>
      <c r="BR1550" s="58" t="e">
        <f>VLOOKUP(AM1550,'[1]Harga &amp; Nama CSO'!$A$28:$D$31,4,0)*BL1550</f>
        <v>#N/A</v>
      </c>
    </row>
    <row r="1551" spans="37:70" x14ac:dyDescent="0.35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>
        <v>0</v>
      </c>
      <c r="BR1551" s="58" t="e">
        <f>VLOOKUP(AM1551,'[1]Harga &amp; Nama CSO'!$A$28:$D$31,4,0)*BL1551</f>
        <v>#N/A</v>
      </c>
    </row>
    <row r="1552" spans="37:70" x14ac:dyDescent="0.35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>
        <v>0</v>
      </c>
      <c r="BR1552" s="58" t="e">
        <f>VLOOKUP(AM1552,'[1]Harga &amp; Nama CSO'!$A$28:$D$31,4,0)*BL1552</f>
        <v>#N/A</v>
      </c>
    </row>
    <row r="1553" spans="37:70" x14ac:dyDescent="0.35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>
        <v>0</v>
      </c>
      <c r="BR1553" s="58" t="e">
        <f>VLOOKUP(AM1553,'[1]Harga &amp; Nama CSO'!$A$28:$D$31,4,0)*BL1553</f>
        <v>#N/A</v>
      </c>
    </row>
    <row r="1554" spans="37:70" x14ac:dyDescent="0.35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>
        <v>0</v>
      </c>
      <c r="BR1554" s="58" t="e">
        <f>VLOOKUP(AM1554,'[1]Harga &amp; Nama CSO'!$A$28:$D$31,4,0)*BL1554</f>
        <v>#N/A</v>
      </c>
    </row>
    <row r="1555" spans="37:70" x14ac:dyDescent="0.35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>
        <v>0</v>
      </c>
      <c r="BR1555" s="58" t="e">
        <f>VLOOKUP(AM1555,'[1]Harga &amp; Nama CSO'!$A$28:$D$31,4,0)*BL1555</f>
        <v>#N/A</v>
      </c>
    </row>
    <row r="1556" spans="37:70" x14ac:dyDescent="0.35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>
        <v>0</v>
      </c>
      <c r="BR1556" s="58" t="e">
        <f>VLOOKUP(AM1556,'[1]Harga &amp; Nama CSO'!$A$28:$D$31,4,0)*BL1556</f>
        <v>#N/A</v>
      </c>
    </row>
    <row r="1557" spans="37:70" x14ac:dyDescent="0.35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>
        <v>0</v>
      </c>
      <c r="BR1557" s="58" t="e">
        <f>VLOOKUP(AM1557,'[1]Harga &amp; Nama CSO'!$A$28:$D$31,4,0)*BL1557</f>
        <v>#N/A</v>
      </c>
    </row>
    <row r="1558" spans="37:70" x14ac:dyDescent="0.35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>
        <v>0</v>
      </c>
      <c r="BR1558" s="58" t="e">
        <f>VLOOKUP(AM1558,'[1]Harga &amp; Nama CSO'!$A$28:$D$31,4,0)*BL1558</f>
        <v>#N/A</v>
      </c>
    </row>
    <row r="1559" spans="37:70" x14ac:dyDescent="0.35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>
        <v>0</v>
      </c>
      <c r="BR1559" s="58" t="e">
        <f>VLOOKUP(AM1559,'[1]Harga &amp; Nama CSO'!$A$28:$D$31,4,0)*BL1559</f>
        <v>#N/A</v>
      </c>
    </row>
    <row r="1560" spans="37:70" x14ac:dyDescent="0.35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>
        <v>0</v>
      </c>
      <c r="BR1560" s="58" t="e">
        <f>VLOOKUP(AM1560,'[1]Harga &amp; Nama CSO'!$A$28:$D$31,4,0)*BL1560</f>
        <v>#N/A</v>
      </c>
    </row>
    <row r="1561" spans="37:70" x14ac:dyDescent="0.35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>
        <v>0</v>
      </c>
      <c r="BR1561" s="58" t="e">
        <f>VLOOKUP(AM1561,'[1]Harga &amp; Nama CSO'!$A$28:$D$31,4,0)*BL1561</f>
        <v>#N/A</v>
      </c>
    </row>
    <row r="1562" spans="37:70" x14ac:dyDescent="0.35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>
        <v>0</v>
      </c>
      <c r="BR1562" s="58" t="e">
        <f>VLOOKUP(AM1562,'[1]Harga &amp; Nama CSO'!$A$28:$D$31,4,0)*BL1562</f>
        <v>#N/A</v>
      </c>
    </row>
    <row r="1563" spans="37:70" x14ac:dyDescent="0.35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>
        <v>0</v>
      </c>
      <c r="BR1563" s="58" t="e">
        <f>VLOOKUP(AM1563,'[1]Harga &amp; Nama CSO'!$A$28:$D$31,4,0)*BL1563</f>
        <v>#N/A</v>
      </c>
    </row>
    <row r="1564" spans="37:70" x14ac:dyDescent="0.35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>
        <v>0</v>
      </c>
      <c r="BR1564" s="58" t="e">
        <f>VLOOKUP(AM1564,'[1]Harga &amp; Nama CSO'!$A$28:$D$31,4,0)*BL1564</f>
        <v>#N/A</v>
      </c>
    </row>
    <row r="1565" spans="37:70" x14ac:dyDescent="0.35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>
        <v>0</v>
      </c>
      <c r="BR1565" s="58" t="e">
        <f>VLOOKUP(AM1565,'[1]Harga &amp; Nama CSO'!$A$28:$D$31,4,0)*BL1565</f>
        <v>#N/A</v>
      </c>
    </row>
    <row r="1566" spans="37:70" x14ac:dyDescent="0.35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>
        <v>0</v>
      </c>
      <c r="BR1566" s="58" t="e">
        <f>VLOOKUP(AM1566,'[1]Harga &amp; Nama CSO'!$A$28:$D$31,4,0)*BL1566</f>
        <v>#N/A</v>
      </c>
    </row>
    <row r="1567" spans="37:70" x14ac:dyDescent="0.35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>
        <v>0</v>
      </c>
      <c r="BR1567" s="58" t="e">
        <f>VLOOKUP(AM1567,'[1]Harga &amp; Nama CSO'!$A$28:$D$31,4,0)*BL1567</f>
        <v>#N/A</v>
      </c>
    </row>
    <row r="1568" spans="37:70" x14ac:dyDescent="0.35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>
        <v>0</v>
      </c>
      <c r="BR1568" s="58" t="e">
        <f>VLOOKUP(AM1568,'[1]Harga &amp; Nama CSO'!$A$28:$D$31,4,0)*BL1568</f>
        <v>#N/A</v>
      </c>
    </row>
    <row r="1569" spans="37:70" x14ac:dyDescent="0.35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>
        <v>0</v>
      </c>
      <c r="BR1569" s="58" t="e">
        <f>VLOOKUP(AM1569,'[1]Harga &amp; Nama CSO'!$A$28:$D$31,4,0)*BL1569</f>
        <v>#N/A</v>
      </c>
    </row>
    <row r="1570" spans="37:70" x14ac:dyDescent="0.35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>
        <v>0</v>
      </c>
      <c r="BR1570" s="58" t="e">
        <f>VLOOKUP(AM1570,'[1]Harga &amp; Nama CSO'!$A$28:$D$31,4,0)*BL1570</f>
        <v>#N/A</v>
      </c>
    </row>
    <row r="1571" spans="37:70" x14ac:dyDescent="0.35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>
        <v>0</v>
      </c>
      <c r="BR1571" s="58" t="e">
        <f>VLOOKUP(AM1571,'[1]Harga &amp; Nama CSO'!$A$28:$D$31,4,0)*BL1571</f>
        <v>#N/A</v>
      </c>
    </row>
    <row r="1572" spans="37:70" x14ac:dyDescent="0.35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>
        <v>0</v>
      </c>
      <c r="BR1572" s="58" t="e">
        <f>VLOOKUP(AM1572,'[1]Harga &amp; Nama CSO'!$A$28:$D$31,4,0)*BL1572</f>
        <v>#N/A</v>
      </c>
    </row>
    <row r="1573" spans="37:70" x14ac:dyDescent="0.35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>
        <v>0</v>
      </c>
      <c r="BR1573" s="58" t="e">
        <f>VLOOKUP(AM1573,'[1]Harga &amp; Nama CSO'!$A$28:$D$31,4,0)*BL1573</f>
        <v>#N/A</v>
      </c>
    </row>
    <row r="1574" spans="37:70" x14ac:dyDescent="0.35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>
        <v>0</v>
      </c>
      <c r="BR1574" s="58" t="e">
        <f>VLOOKUP(AM1574,'[1]Harga &amp; Nama CSO'!$A$28:$D$31,4,0)*BL1574</f>
        <v>#N/A</v>
      </c>
    </row>
    <row r="1575" spans="37:70" x14ac:dyDescent="0.35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>
        <v>0</v>
      </c>
      <c r="BR1575" s="58" t="e">
        <f>VLOOKUP(AM1575,'[1]Harga &amp; Nama CSO'!$A$28:$D$31,4,0)*BL1575</f>
        <v>#N/A</v>
      </c>
    </row>
    <row r="1576" spans="37:70" x14ac:dyDescent="0.35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>
        <v>0</v>
      </c>
      <c r="BR1576" s="58" t="e">
        <f>VLOOKUP(AM1576,'[1]Harga &amp; Nama CSO'!$A$28:$D$31,4,0)*BL1576</f>
        <v>#N/A</v>
      </c>
    </row>
    <row r="1577" spans="37:70" x14ac:dyDescent="0.35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>
        <v>0</v>
      </c>
      <c r="BR1577" s="58" t="e">
        <f>VLOOKUP(AM1577,'[1]Harga &amp; Nama CSO'!$A$28:$D$31,4,0)*BL1577</f>
        <v>#N/A</v>
      </c>
    </row>
    <row r="1578" spans="37:70" x14ac:dyDescent="0.35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>
        <v>0</v>
      </c>
      <c r="BR1578" s="58" t="e">
        <f>VLOOKUP(AM1578,'[1]Harga &amp; Nama CSO'!$A$28:$D$31,4,0)*BL1578</f>
        <v>#N/A</v>
      </c>
    </row>
    <row r="1579" spans="37:70" x14ac:dyDescent="0.35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>
        <v>0</v>
      </c>
      <c r="BR1579" s="58" t="e">
        <f>VLOOKUP(AM1579,'[1]Harga &amp; Nama CSO'!$A$28:$D$31,4,0)*BL1579</f>
        <v>#N/A</v>
      </c>
    </row>
    <row r="1580" spans="37:70" x14ac:dyDescent="0.35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>
        <v>0</v>
      </c>
      <c r="BR1580" s="58" t="e">
        <f>VLOOKUP(AM1580,'[1]Harga &amp; Nama CSO'!$A$28:$D$31,4,0)*BL1580</f>
        <v>#N/A</v>
      </c>
    </row>
    <row r="1581" spans="37:70" x14ac:dyDescent="0.35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>
        <v>0</v>
      </c>
      <c r="BR1581" s="58" t="e">
        <f>VLOOKUP(AM1581,'[1]Harga &amp; Nama CSO'!$A$28:$D$31,4,0)*BL1581</f>
        <v>#N/A</v>
      </c>
    </row>
    <row r="1582" spans="37:70" x14ac:dyDescent="0.35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>
        <v>0</v>
      </c>
      <c r="BR1582" s="58" t="e">
        <f>VLOOKUP(AM1582,'[1]Harga &amp; Nama CSO'!$A$28:$D$31,4,0)*BL1582</f>
        <v>#N/A</v>
      </c>
    </row>
    <row r="1583" spans="37:70" x14ac:dyDescent="0.35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>
        <v>0</v>
      </c>
      <c r="BR1583" s="58" t="e">
        <f>VLOOKUP(AM1583,'[1]Harga &amp; Nama CSO'!$A$28:$D$31,4,0)*BL1583</f>
        <v>#N/A</v>
      </c>
    </row>
    <row r="1584" spans="37:70" x14ac:dyDescent="0.35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>
        <v>0</v>
      </c>
      <c r="BR1584" s="58" t="e">
        <f>VLOOKUP(AM1584,'[1]Harga &amp; Nama CSO'!$A$28:$D$31,4,0)*BL1584</f>
        <v>#N/A</v>
      </c>
    </row>
    <row r="1585" spans="37:70" x14ac:dyDescent="0.35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>
        <v>0</v>
      </c>
      <c r="BR1585" s="58" t="e">
        <f>VLOOKUP(AM1585,'[1]Harga &amp; Nama CSO'!$A$28:$D$31,4,0)*BL1585</f>
        <v>#N/A</v>
      </c>
    </row>
    <row r="1586" spans="37:70" x14ac:dyDescent="0.35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>
        <v>0</v>
      </c>
      <c r="BR1586" s="58" t="e">
        <f>VLOOKUP(AM1586,'[1]Harga &amp; Nama CSO'!$A$28:$D$31,4,0)*BL1586</f>
        <v>#N/A</v>
      </c>
    </row>
    <row r="1587" spans="37:70" x14ac:dyDescent="0.35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>
        <v>0</v>
      </c>
      <c r="BR1587" s="58" t="e">
        <f>VLOOKUP(AM1587,'[1]Harga &amp; Nama CSO'!$A$28:$D$31,4,0)*BL1587</f>
        <v>#N/A</v>
      </c>
    </row>
    <row r="1588" spans="37:70" x14ac:dyDescent="0.35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>
        <v>0</v>
      </c>
      <c r="BR1588" s="58" t="e">
        <f>VLOOKUP(AM1588,'[1]Harga &amp; Nama CSO'!$A$28:$D$31,4,0)*BL1588</f>
        <v>#N/A</v>
      </c>
    </row>
    <row r="1589" spans="37:70" x14ac:dyDescent="0.35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>
        <v>0</v>
      </c>
      <c r="BR1589" s="58" t="e">
        <f>VLOOKUP(AM1589,'[1]Harga &amp; Nama CSO'!$A$28:$D$31,4,0)*BL1589</f>
        <v>#N/A</v>
      </c>
    </row>
    <row r="1590" spans="37:70" x14ac:dyDescent="0.35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>
        <v>0</v>
      </c>
      <c r="BR1590" s="58" t="e">
        <f>VLOOKUP(AM1590,'[1]Harga &amp; Nama CSO'!$A$28:$D$31,4,0)*BL1590</f>
        <v>#N/A</v>
      </c>
    </row>
    <row r="1591" spans="37:70" x14ac:dyDescent="0.35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>
        <v>0</v>
      </c>
      <c r="BR1591" s="58" t="e">
        <f>VLOOKUP(AM1591,'[1]Harga &amp; Nama CSO'!$A$28:$D$31,4,0)*BL1591</f>
        <v>#N/A</v>
      </c>
    </row>
    <row r="1592" spans="37:70" x14ac:dyDescent="0.35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>
        <v>0</v>
      </c>
      <c r="BR1592" s="58" t="e">
        <f>VLOOKUP(AM1592,'[1]Harga &amp; Nama CSO'!$A$28:$D$31,4,0)*BL1592</f>
        <v>#N/A</v>
      </c>
    </row>
    <row r="1593" spans="37:70" x14ac:dyDescent="0.35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>
        <v>0</v>
      </c>
      <c r="BR1593" s="58" t="e">
        <f>VLOOKUP(AM1593,'[1]Harga &amp; Nama CSO'!$A$28:$D$31,4,0)*BL1593</f>
        <v>#N/A</v>
      </c>
    </row>
    <row r="1594" spans="37:70" x14ac:dyDescent="0.35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>
        <v>0</v>
      </c>
      <c r="BR1594" s="58" t="e">
        <f>VLOOKUP(AM1594,'[1]Harga &amp; Nama CSO'!$A$28:$D$31,4,0)*BL1594</f>
        <v>#N/A</v>
      </c>
    </row>
    <row r="1595" spans="37:70" x14ac:dyDescent="0.35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>
        <v>0</v>
      </c>
      <c r="BR1595" s="58" t="e">
        <f>VLOOKUP(AM1595,'[1]Harga &amp; Nama CSO'!$A$28:$D$31,4,0)*BL1595</f>
        <v>#N/A</v>
      </c>
    </row>
    <row r="1596" spans="37:70" x14ac:dyDescent="0.35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>
        <v>0</v>
      </c>
      <c r="BR1596" s="58" t="e">
        <f>VLOOKUP(AM1596,'[1]Harga &amp; Nama CSO'!$A$28:$D$31,4,0)*BL1596</f>
        <v>#N/A</v>
      </c>
    </row>
    <row r="1597" spans="37:70" x14ac:dyDescent="0.35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>
        <v>0</v>
      </c>
      <c r="BR1597" s="58" t="e">
        <f>VLOOKUP(AM1597,'[1]Harga &amp; Nama CSO'!$A$28:$D$31,4,0)*BL1597</f>
        <v>#N/A</v>
      </c>
    </row>
    <row r="1598" spans="37:70" x14ac:dyDescent="0.35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>
        <v>0</v>
      </c>
      <c r="BR1598" s="58" t="e">
        <f>VLOOKUP(AM1598,'[1]Harga &amp; Nama CSO'!$A$28:$D$31,4,0)*BL1598</f>
        <v>#N/A</v>
      </c>
    </row>
    <row r="1599" spans="37:70" x14ac:dyDescent="0.35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>
        <v>0</v>
      </c>
      <c r="BR1599" s="58" t="e">
        <f>VLOOKUP(AM1599,'[1]Harga &amp; Nama CSO'!$A$28:$D$31,4,0)*BL1599</f>
        <v>#N/A</v>
      </c>
    </row>
    <row r="1600" spans="37:70" x14ac:dyDescent="0.35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>
        <v>0</v>
      </c>
      <c r="BR1600" s="58" t="e">
        <f>VLOOKUP(AM1600,'[1]Harga &amp; Nama CSO'!$A$28:$D$31,4,0)*BL1600</f>
        <v>#N/A</v>
      </c>
    </row>
    <row r="1601" spans="37:70" x14ac:dyDescent="0.35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>
        <v>0</v>
      </c>
      <c r="BR1601" s="58" t="e">
        <f>VLOOKUP(AM1601,'[1]Harga &amp; Nama CSO'!$A$28:$D$31,4,0)*BL1601</f>
        <v>#N/A</v>
      </c>
    </row>
    <row r="1602" spans="37:70" x14ac:dyDescent="0.35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>
        <v>0</v>
      </c>
      <c r="BR1602" s="58" t="e">
        <f>VLOOKUP(AM1602,'[1]Harga &amp; Nama CSO'!$A$28:$D$31,4,0)*BL1602</f>
        <v>#N/A</v>
      </c>
    </row>
    <row r="1603" spans="37:70" x14ac:dyDescent="0.35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>
        <v>0</v>
      </c>
      <c r="BR1603" s="58" t="e">
        <f>VLOOKUP(AM1603,'[1]Harga &amp; Nama CSO'!$A$28:$D$31,4,0)*BL1603</f>
        <v>#N/A</v>
      </c>
    </row>
    <row r="1604" spans="37:70" x14ac:dyDescent="0.35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>
        <v>0</v>
      </c>
      <c r="BR1604" s="58" t="e">
        <f>VLOOKUP(AM1604,'[1]Harga &amp; Nama CSO'!$A$28:$D$31,4,0)*BL1604</f>
        <v>#N/A</v>
      </c>
    </row>
    <row r="1605" spans="37:70" x14ac:dyDescent="0.35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>
        <v>0</v>
      </c>
      <c r="BR1605" s="58" t="e">
        <f>VLOOKUP(AM1605,'[1]Harga &amp; Nama CSO'!$A$28:$D$31,4,0)*BL1605</f>
        <v>#N/A</v>
      </c>
    </row>
    <row r="1606" spans="37:70" x14ac:dyDescent="0.35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>
        <v>0</v>
      </c>
      <c r="BR1606" s="58" t="e">
        <f>VLOOKUP(AM1606,'[1]Harga &amp; Nama CSO'!$A$28:$D$31,4,0)*BL1606</f>
        <v>#N/A</v>
      </c>
    </row>
    <row r="1607" spans="37:70" x14ac:dyDescent="0.35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>
        <v>0</v>
      </c>
      <c r="BR1607" s="58" t="e">
        <f>VLOOKUP(AM1607,'[1]Harga &amp; Nama CSO'!$A$28:$D$31,4,0)*BL1607</f>
        <v>#N/A</v>
      </c>
    </row>
    <row r="1608" spans="37:70" x14ac:dyDescent="0.35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>
        <v>0</v>
      </c>
      <c r="BR1608" s="58" t="e">
        <f>VLOOKUP(AM1608,'[1]Harga &amp; Nama CSO'!$A$28:$D$31,4,0)*BL1608</f>
        <v>#N/A</v>
      </c>
    </row>
    <row r="1609" spans="37:70" x14ac:dyDescent="0.35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>
        <v>0</v>
      </c>
      <c r="BR1609" s="58" t="e">
        <f>VLOOKUP(AM1609,'[1]Harga &amp; Nama CSO'!$A$28:$D$31,4,0)*BL1609</f>
        <v>#N/A</v>
      </c>
    </row>
    <row r="1610" spans="37:70" x14ac:dyDescent="0.35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>
        <v>0</v>
      </c>
      <c r="BR1610" s="58" t="e">
        <f>VLOOKUP(AM1610,'[1]Harga &amp; Nama CSO'!$A$28:$D$31,4,0)*BL1610</f>
        <v>#N/A</v>
      </c>
    </row>
    <row r="1611" spans="37:70" x14ac:dyDescent="0.35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>
        <v>0</v>
      </c>
      <c r="BR1611" s="58" t="e">
        <f>VLOOKUP(AM1611,'[1]Harga &amp; Nama CSO'!$A$28:$D$31,4,0)*BL1611</f>
        <v>#N/A</v>
      </c>
    </row>
    <row r="1612" spans="37:70" x14ac:dyDescent="0.35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>
        <v>0</v>
      </c>
      <c r="BR1612" s="58" t="e">
        <f>VLOOKUP(AM1612,'[1]Harga &amp; Nama CSO'!$A$28:$D$31,4,0)*BL1612</f>
        <v>#N/A</v>
      </c>
    </row>
    <row r="1613" spans="37:70" x14ac:dyDescent="0.35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>
        <v>0</v>
      </c>
      <c r="BR1613" s="58" t="e">
        <f>VLOOKUP(AM1613,'[1]Harga &amp; Nama CSO'!$A$28:$D$31,4,0)*BL1613</f>
        <v>#N/A</v>
      </c>
    </row>
    <row r="1614" spans="37:70" x14ac:dyDescent="0.35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>
        <v>0</v>
      </c>
      <c r="BR1614" s="58" t="e">
        <f>VLOOKUP(AM1614,'[1]Harga &amp; Nama CSO'!$A$28:$D$31,4,0)*BL1614</f>
        <v>#N/A</v>
      </c>
    </row>
    <row r="1615" spans="37:70" x14ac:dyDescent="0.35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>
        <v>0</v>
      </c>
      <c r="BR1615" s="58" t="e">
        <f>VLOOKUP(AM1615,'[1]Harga &amp; Nama CSO'!$A$28:$D$31,4,0)*BL1615</f>
        <v>#N/A</v>
      </c>
    </row>
    <row r="1616" spans="37:70" x14ac:dyDescent="0.35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>
        <v>0</v>
      </c>
      <c r="BR1616" s="58" t="e">
        <f>VLOOKUP(AM1616,'[1]Harga &amp; Nama CSO'!$A$28:$D$31,4,0)*BL1616</f>
        <v>#N/A</v>
      </c>
    </row>
    <row r="1617" spans="37:70" x14ac:dyDescent="0.35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>
        <v>0</v>
      </c>
      <c r="BR1617" s="58" t="e">
        <f>VLOOKUP(AM1617,'[1]Harga &amp; Nama CSO'!$A$28:$D$31,4,0)*BL1617</f>
        <v>#N/A</v>
      </c>
    </row>
    <row r="1618" spans="37:70" x14ac:dyDescent="0.35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>
        <v>0</v>
      </c>
      <c r="BR1618" s="58" t="e">
        <f>VLOOKUP(AM1618,'[1]Harga &amp; Nama CSO'!$A$28:$D$31,4,0)*BL1618</f>
        <v>#N/A</v>
      </c>
    </row>
    <row r="1619" spans="37:70" x14ac:dyDescent="0.35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>
        <v>0</v>
      </c>
      <c r="BR1619" s="58" t="e">
        <f>VLOOKUP(AM1619,'[1]Harga &amp; Nama CSO'!$A$28:$D$31,4,0)*BL1619</f>
        <v>#N/A</v>
      </c>
    </row>
    <row r="1620" spans="37:70" x14ac:dyDescent="0.35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>
        <v>0</v>
      </c>
      <c r="BR1620" s="58" t="e">
        <f>VLOOKUP(AM1620,'[1]Harga &amp; Nama CSO'!$A$28:$D$31,4,0)*BL1620</f>
        <v>#N/A</v>
      </c>
    </row>
    <row r="1621" spans="37:70" x14ac:dyDescent="0.35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>
        <v>0</v>
      </c>
      <c r="BR1621" s="58" t="e">
        <f>VLOOKUP(AM1621,'[1]Harga &amp; Nama CSO'!$A$28:$D$31,4,0)*BL1621</f>
        <v>#N/A</v>
      </c>
    </row>
    <row r="1622" spans="37:70" x14ac:dyDescent="0.35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>
        <v>0</v>
      </c>
      <c r="BR1622" s="58" t="e">
        <f>VLOOKUP(AM1622,'[1]Harga &amp; Nama CSO'!$A$28:$D$31,4,0)*BL1622</f>
        <v>#N/A</v>
      </c>
    </row>
    <row r="1623" spans="37:70" x14ac:dyDescent="0.35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>
        <v>0</v>
      </c>
      <c r="BR1623" s="58" t="e">
        <f>VLOOKUP(AM1623,'[1]Harga &amp; Nama CSO'!$A$28:$D$31,4,0)*BL1623</f>
        <v>#N/A</v>
      </c>
    </row>
    <row r="1624" spans="37:70" x14ac:dyDescent="0.35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>
        <v>0</v>
      </c>
      <c r="BR1624" s="58" t="e">
        <f>VLOOKUP(AM1624,'[1]Harga &amp; Nama CSO'!$A$28:$D$31,4,0)*BL1624</f>
        <v>#N/A</v>
      </c>
    </row>
    <row r="1625" spans="37:70" x14ac:dyDescent="0.35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>
        <v>0</v>
      </c>
      <c r="BR1625" s="58" t="e">
        <f>VLOOKUP(AM1625,'[1]Harga &amp; Nama CSO'!$A$28:$D$31,4,0)*BL1625</f>
        <v>#N/A</v>
      </c>
    </row>
    <row r="1626" spans="37:70" x14ac:dyDescent="0.35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>
        <v>0</v>
      </c>
      <c r="BR1626" s="58" t="e">
        <f>VLOOKUP(AM1626,'[1]Harga &amp; Nama CSO'!$A$28:$D$31,4,0)*BL1626</f>
        <v>#N/A</v>
      </c>
    </row>
    <row r="1627" spans="37:70" x14ac:dyDescent="0.35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>
        <v>0</v>
      </c>
      <c r="BR1627" s="58" t="e">
        <f>VLOOKUP(AM1627,'[1]Harga &amp; Nama CSO'!$A$28:$D$31,4,0)*BL1627</f>
        <v>#N/A</v>
      </c>
    </row>
    <row r="1628" spans="37:70" x14ac:dyDescent="0.35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>
        <v>0</v>
      </c>
      <c r="BR1628" s="58" t="e">
        <f>VLOOKUP(AM1628,'[1]Harga &amp; Nama CSO'!$A$28:$D$31,4,0)*BL1628</f>
        <v>#N/A</v>
      </c>
    </row>
    <row r="1629" spans="37:70" x14ac:dyDescent="0.35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>
        <v>0</v>
      </c>
      <c r="BR1629" s="58" t="e">
        <f>VLOOKUP(AM1629,'[1]Harga &amp; Nama CSO'!$A$28:$D$31,4,0)*BL1629</f>
        <v>#N/A</v>
      </c>
    </row>
    <row r="1630" spans="37:70" x14ac:dyDescent="0.35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>
        <v>0</v>
      </c>
      <c r="BR1630" s="58" t="e">
        <f>VLOOKUP(AM1630,'[1]Harga &amp; Nama CSO'!$A$28:$D$31,4,0)*BL1630</f>
        <v>#N/A</v>
      </c>
    </row>
    <row r="1631" spans="37:70" x14ac:dyDescent="0.35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>
        <v>0</v>
      </c>
      <c r="BR1631" s="58" t="e">
        <f>VLOOKUP(AM1631,'[1]Harga &amp; Nama CSO'!$A$28:$D$31,4,0)*BL1631</f>
        <v>#N/A</v>
      </c>
    </row>
    <row r="1632" spans="37:70" x14ac:dyDescent="0.35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>
        <v>0</v>
      </c>
      <c r="BR1632" s="58" t="e">
        <f>VLOOKUP(AM1632,'[1]Harga &amp; Nama CSO'!$A$28:$D$31,4,0)*BL1632</f>
        <v>#N/A</v>
      </c>
    </row>
    <row r="1633" spans="37:70" x14ac:dyDescent="0.35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>
        <v>0</v>
      </c>
      <c r="BR1633" s="58" t="e">
        <f>VLOOKUP(AM1633,'[1]Harga &amp; Nama CSO'!$A$28:$D$31,4,0)*BL1633</f>
        <v>#N/A</v>
      </c>
    </row>
    <row r="1634" spans="37:70" x14ac:dyDescent="0.35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>
        <v>0</v>
      </c>
      <c r="BR1634" s="58" t="e">
        <f>VLOOKUP(AM1634,'[1]Harga &amp; Nama CSO'!$A$28:$D$31,4,0)*BL1634</f>
        <v>#N/A</v>
      </c>
    </row>
    <row r="1635" spans="37:70" x14ac:dyDescent="0.35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>
        <v>0</v>
      </c>
      <c r="BR1635" s="58" t="e">
        <f>VLOOKUP(AM1635,'[1]Harga &amp; Nama CSO'!$A$28:$D$31,4,0)*BL1635</f>
        <v>#N/A</v>
      </c>
    </row>
    <row r="1636" spans="37:70" x14ac:dyDescent="0.35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>
        <v>0</v>
      </c>
      <c r="BR1636" s="58" t="e">
        <f>VLOOKUP(AM1636,'[1]Harga &amp; Nama CSO'!$A$28:$D$31,4,0)*BL1636</f>
        <v>#N/A</v>
      </c>
    </row>
    <row r="1637" spans="37:70" x14ac:dyDescent="0.35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>
        <v>0</v>
      </c>
      <c r="BR1637" s="58" t="e">
        <f>VLOOKUP(AM1637,'[1]Harga &amp; Nama CSO'!$A$28:$D$31,4,0)*BL1637</f>
        <v>#N/A</v>
      </c>
    </row>
    <row r="1638" spans="37:70" x14ac:dyDescent="0.35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>
        <v>0</v>
      </c>
      <c r="BR1638" s="58" t="e">
        <f>VLOOKUP(AM1638,'[1]Harga &amp; Nama CSO'!$A$28:$D$31,4,0)*BL1638</f>
        <v>#N/A</v>
      </c>
    </row>
    <row r="1639" spans="37:70" x14ac:dyDescent="0.35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>
        <v>0</v>
      </c>
      <c r="BR1639" s="58" t="e">
        <f>VLOOKUP(AM1639,'[1]Harga &amp; Nama CSO'!$A$28:$D$31,4,0)*BL1639</f>
        <v>#N/A</v>
      </c>
    </row>
    <row r="1640" spans="37:70" x14ac:dyDescent="0.35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>
        <v>0</v>
      </c>
      <c r="BR1640" s="58" t="e">
        <f>VLOOKUP(AM1640,'[1]Harga &amp; Nama CSO'!$A$28:$D$31,4,0)*BL1640</f>
        <v>#N/A</v>
      </c>
    </row>
    <row r="1641" spans="37:70" x14ac:dyDescent="0.35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>
        <v>0</v>
      </c>
      <c r="BR1641" s="58" t="e">
        <f>VLOOKUP(AM1641,'[1]Harga &amp; Nama CSO'!$A$28:$D$31,4,0)*BL1641</f>
        <v>#N/A</v>
      </c>
    </row>
    <row r="1642" spans="37:70" x14ac:dyDescent="0.35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>
        <v>0</v>
      </c>
      <c r="BR1642" s="58" t="e">
        <f>VLOOKUP(AM1642,'[1]Harga &amp; Nama CSO'!$A$28:$D$31,4,0)*BL1642</f>
        <v>#N/A</v>
      </c>
    </row>
    <row r="1643" spans="37:70" x14ac:dyDescent="0.35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>
        <v>0</v>
      </c>
      <c r="BR1643" s="58" t="e">
        <f>VLOOKUP(AM1643,'[1]Harga &amp; Nama CSO'!$A$28:$D$31,4,0)*BL1643</f>
        <v>#N/A</v>
      </c>
    </row>
    <row r="1644" spans="37:70" x14ac:dyDescent="0.35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>
        <v>0</v>
      </c>
      <c r="BR1644" s="58" t="e">
        <f>VLOOKUP(AM1644,'[1]Harga &amp; Nama CSO'!$A$28:$D$31,4,0)*BL1644</f>
        <v>#N/A</v>
      </c>
    </row>
    <row r="1645" spans="37:70" x14ac:dyDescent="0.35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>
        <v>0</v>
      </c>
      <c r="BR1645" s="58" t="e">
        <f>VLOOKUP(AM1645,'[1]Harga &amp; Nama CSO'!$A$28:$D$31,4,0)*BL1645</f>
        <v>#N/A</v>
      </c>
    </row>
    <row r="1646" spans="37:70" x14ac:dyDescent="0.35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>
        <v>0</v>
      </c>
      <c r="BR1646" s="58" t="e">
        <f>VLOOKUP(AM1646,'[1]Harga &amp; Nama CSO'!$A$28:$D$31,4,0)*BL1646</f>
        <v>#N/A</v>
      </c>
    </row>
    <row r="1647" spans="37:70" x14ac:dyDescent="0.35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>
        <v>0</v>
      </c>
      <c r="BR1647" s="58" t="e">
        <f>VLOOKUP(AM1647,'[1]Harga &amp; Nama CSO'!$A$28:$D$31,4,0)*BL1647</f>
        <v>#N/A</v>
      </c>
    </row>
    <row r="1648" spans="37:70" x14ac:dyDescent="0.35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>
        <v>0</v>
      </c>
      <c r="BR1648" s="58" t="e">
        <f>VLOOKUP(AM1648,'[1]Harga &amp; Nama CSO'!$A$28:$D$31,4,0)*BL1648</f>
        <v>#N/A</v>
      </c>
    </row>
    <row r="1649" spans="37:70" x14ac:dyDescent="0.35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>
        <v>0</v>
      </c>
      <c r="BR1649" s="58" t="e">
        <f>VLOOKUP(AM1649,'[1]Harga &amp; Nama CSO'!$A$28:$D$31,4,0)*BL1649</f>
        <v>#N/A</v>
      </c>
    </row>
    <row r="1650" spans="37:70" x14ac:dyDescent="0.35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>
        <v>0</v>
      </c>
      <c r="BR1650" s="58" t="e">
        <f>VLOOKUP(AM1650,'[1]Harga &amp; Nama CSO'!$A$28:$D$31,4,0)*BL1650</f>
        <v>#N/A</v>
      </c>
    </row>
    <row r="1651" spans="37:70" x14ac:dyDescent="0.35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>
        <v>0</v>
      </c>
      <c r="BR1651" s="58" t="e">
        <f>VLOOKUP(AM1651,'[1]Harga &amp; Nama CSO'!$A$28:$D$31,4,0)*BL1651</f>
        <v>#N/A</v>
      </c>
    </row>
    <row r="1652" spans="37:70" x14ac:dyDescent="0.35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>
        <v>0</v>
      </c>
      <c r="BR1652" s="58" t="e">
        <f>VLOOKUP(AM1652,'[1]Harga &amp; Nama CSO'!$A$28:$D$31,4,0)*BL1652</f>
        <v>#N/A</v>
      </c>
    </row>
    <row r="1653" spans="37:70" x14ac:dyDescent="0.35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>
        <v>0</v>
      </c>
      <c r="BR1653" s="58" t="e">
        <f>VLOOKUP(AM1653,'[1]Harga &amp; Nama CSO'!$A$28:$D$31,4,0)*BL1653</f>
        <v>#N/A</v>
      </c>
    </row>
    <row r="1654" spans="37:70" x14ac:dyDescent="0.35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>
        <v>0</v>
      </c>
      <c r="BR1654" s="58" t="e">
        <f>VLOOKUP(AM1654,'[1]Harga &amp; Nama CSO'!$A$28:$D$31,4,0)*BL1654</f>
        <v>#N/A</v>
      </c>
    </row>
    <row r="1655" spans="37:70" x14ac:dyDescent="0.35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>
        <v>0</v>
      </c>
      <c r="BR1655" s="58" t="e">
        <f>VLOOKUP(AM1655,'[1]Harga &amp; Nama CSO'!$A$28:$D$31,4,0)*BL1655</f>
        <v>#N/A</v>
      </c>
    </row>
    <row r="1656" spans="37:70" x14ac:dyDescent="0.35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>
        <v>0</v>
      </c>
      <c r="BR1656" s="58" t="e">
        <f>VLOOKUP(AM1656,'[1]Harga &amp; Nama CSO'!$A$28:$D$31,4,0)*BL1656</f>
        <v>#N/A</v>
      </c>
    </row>
    <row r="1657" spans="37:70" x14ac:dyDescent="0.35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>
        <v>0</v>
      </c>
      <c r="BR1657" s="58" t="e">
        <f>VLOOKUP(AM1657,'[1]Harga &amp; Nama CSO'!$A$28:$D$31,4,0)*BL1657</f>
        <v>#N/A</v>
      </c>
    </row>
    <row r="1658" spans="37:70" x14ac:dyDescent="0.35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>
        <v>0</v>
      </c>
      <c r="BR1658" s="58" t="e">
        <f>VLOOKUP(AM1658,'[1]Harga &amp; Nama CSO'!$A$28:$D$31,4,0)*BL1658</f>
        <v>#N/A</v>
      </c>
    </row>
    <row r="1659" spans="37:70" x14ac:dyDescent="0.35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>
        <v>0</v>
      </c>
      <c r="BR1659" s="58" t="e">
        <f>VLOOKUP(AM1659,'[1]Harga &amp; Nama CSO'!$A$28:$D$31,4,0)*BL1659</f>
        <v>#N/A</v>
      </c>
    </row>
    <row r="1660" spans="37:70" x14ac:dyDescent="0.35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>
        <v>0</v>
      </c>
      <c r="BR1660" s="58" t="e">
        <f>VLOOKUP(AM1660,'[1]Harga &amp; Nama CSO'!$A$28:$D$31,4,0)*BL1660</f>
        <v>#N/A</v>
      </c>
    </row>
    <row r="1661" spans="37:70" x14ac:dyDescent="0.35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>
        <v>0</v>
      </c>
      <c r="BR1661" s="58" t="e">
        <f>VLOOKUP(AM1661,'[1]Harga &amp; Nama CSO'!$A$28:$D$31,4,0)*BL1661</f>
        <v>#N/A</v>
      </c>
    </row>
    <row r="1662" spans="37:70" x14ac:dyDescent="0.35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>
        <v>0</v>
      </c>
      <c r="BR1662" s="58" t="e">
        <f>VLOOKUP(AM1662,'[1]Harga &amp; Nama CSO'!$A$28:$D$31,4,0)*BL1662</f>
        <v>#N/A</v>
      </c>
    </row>
    <row r="1663" spans="37:70" x14ac:dyDescent="0.35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>
        <v>0</v>
      </c>
      <c r="BR1663" s="58" t="e">
        <f>VLOOKUP(AM1663,'[1]Harga &amp; Nama CSO'!$A$28:$D$31,4,0)*BL1663</f>
        <v>#N/A</v>
      </c>
    </row>
    <row r="1664" spans="37:70" x14ac:dyDescent="0.35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>
        <v>0</v>
      </c>
      <c r="BR1664" s="58" t="e">
        <f>VLOOKUP(AM1664,'[1]Harga &amp; Nama CSO'!$A$28:$D$31,4,0)*BL1664</f>
        <v>#N/A</v>
      </c>
    </row>
    <row r="1665" spans="37:70" x14ac:dyDescent="0.35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>
        <v>0</v>
      </c>
      <c r="BR1665" s="58" t="e">
        <f>VLOOKUP(AM1665,'[1]Harga &amp; Nama CSO'!$A$28:$D$31,4,0)*BL1665</f>
        <v>#N/A</v>
      </c>
    </row>
    <row r="1666" spans="37:70" x14ac:dyDescent="0.35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>
        <v>0</v>
      </c>
      <c r="BR1666" s="58" t="e">
        <f>VLOOKUP(AM1666,'[1]Harga &amp; Nama CSO'!$A$28:$D$31,4,0)*BL1666</f>
        <v>#N/A</v>
      </c>
    </row>
    <row r="1667" spans="37:70" x14ac:dyDescent="0.35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>
        <v>0</v>
      </c>
      <c r="BR1667" s="58" t="e">
        <f>VLOOKUP(AM1667,'[1]Harga &amp; Nama CSO'!$A$28:$D$31,4,0)*BL1667</f>
        <v>#N/A</v>
      </c>
    </row>
    <row r="1668" spans="37:70" x14ac:dyDescent="0.35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>
        <v>0</v>
      </c>
      <c r="BR1668" s="58" t="e">
        <f>VLOOKUP(AM1668,'[1]Harga &amp; Nama CSO'!$A$28:$D$31,4,0)*BL1668</f>
        <v>#N/A</v>
      </c>
    </row>
    <row r="1669" spans="37:70" x14ac:dyDescent="0.35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>
        <v>0</v>
      </c>
      <c r="BR1669" s="58" t="e">
        <f>VLOOKUP(AM1669,'[1]Harga &amp; Nama CSO'!$A$28:$D$31,4,0)*BL1669</f>
        <v>#N/A</v>
      </c>
    </row>
    <row r="1670" spans="37:70" x14ac:dyDescent="0.35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>
        <v>0</v>
      </c>
      <c r="BR1670" s="58" t="e">
        <f>VLOOKUP(AM1670,'[1]Harga &amp; Nama CSO'!$A$28:$D$31,4,0)*BL1670</f>
        <v>#N/A</v>
      </c>
    </row>
    <row r="1671" spans="37:70" x14ac:dyDescent="0.35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>
        <v>0</v>
      </c>
      <c r="BR1671" s="58" t="e">
        <f>VLOOKUP(AM1671,'[1]Harga &amp; Nama CSO'!$A$28:$D$31,4,0)*BL1671</f>
        <v>#N/A</v>
      </c>
    </row>
    <row r="1672" spans="37:70" x14ac:dyDescent="0.35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>
        <v>0</v>
      </c>
      <c r="BR1672" s="58" t="e">
        <f>VLOOKUP(AM1672,'[1]Harga &amp; Nama CSO'!$A$28:$D$31,4,0)*BL1672</f>
        <v>#N/A</v>
      </c>
    </row>
    <row r="1673" spans="37:70" x14ac:dyDescent="0.35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>
        <v>0</v>
      </c>
      <c r="BR1673" s="58" t="e">
        <f>VLOOKUP(AM1673,'[1]Harga &amp; Nama CSO'!$A$28:$D$31,4,0)*BL1673</f>
        <v>#N/A</v>
      </c>
    </row>
    <row r="1674" spans="37:70" x14ac:dyDescent="0.35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>
        <v>0</v>
      </c>
      <c r="BR1674" s="58" t="e">
        <f>VLOOKUP(AM1674,'[1]Harga &amp; Nama CSO'!$A$28:$D$31,4,0)*BL1674</f>
        <v>#N/A</v>
      </c>
    </row>
    <row r="1675" spans="37:70" x14ac:dyDescent="0.35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>
        <v>0</v>
      </c>
      <c r="BR1675" s="58" t="e">
        <f>VLOOKUP(AM1675,'[1]Harga &amp; Nama CSO'!$A$28:$D$31,4,0)*BL1675</f>
        <v>#N/A</v>
      </c>
    </row>
    <row r="1676" spans="37:70" x14ac:dyDescent="0.35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>
        <v>0</v>
      </c>
      <c r="BR1676" s="58" t="e">
        <f>VLOOKUP(AM1676,'[1]Harga &amp; Nama CSO'!$A$28:$D$31,4,0)*BL1676</f>
        <v>#N/A</v>
      </c>
    </row>
    <row r="1677" spans="37:70" x14ac:dyDescent="0.35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>
        <v>0</v>
      </c>
      <c r="BR1677" s="58" t="e">
        <f>VLOOKUP(AM1677,'[1]Harga &amp; Nama CSO'!$A$28:$D$31,4,0)*BL1677</f>
        <v>#N/A</v>
      </c>
    </row>
    <row r="1678" spans="37:70" x14ac:dyDescent="0.35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>
        <v>0</v>
      </c>
      <c r="BR1678" s="58" t="e">
        <f>VLOOKUP(AM1678,'[1]Harga &amp; Nama CSO'!$A$28:$D$31,4,0)*BL1678</f>
        <v>#N/A</v>
      </c>
    </row>
    <row r="1679" spans="37:70" x14ac:dyDescent="0.35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>
        <v>0</v>
      </c>
      <c r="BR1679" s="58" t="e">
        <f>VLOOKUP(AM1679,'[1]Harga &amp; Nama CSO'!$A$28:$D$31,4,0)*BL1679</f>
        <v>#N/A</v>
      </c>
    </row>
    <row r="1680" spans="37:70" x14ac:dyDescent="0.35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>
        <v>0</v>
      </c>
      <c r="BR1680" s="58" t="e">
        <f>VLOOKUP(AM1680,'[1]Harga &amp; Nama CSO'!$A$28:$D$31,4,0)*BL1680</f>
        <v>#N/A</v>
      </c>
    </row>
    <row r="1681" spans="37:70" x14ac:dyDescent="0.35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>
        <v>0</v>
      </c>
      <c r="BR1681" s="58" t="e">
        <f>VLOOKUP(AM1681,'[1]Harga &amp; Nama CSO'!$A$28:$D$31,4,0)*BL1681</f>
        <v>#N/A</v>
      </c>
    </row>
    <row r="1682" spans="37:70" x14ac:dyDescent="0.35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>
        <v>0</v>
      </c>
      <c r="BR1682" s="58" t="e">
        <f>VLOOKUP(AM1682,'[1]Harga &amp; Nama CSO'!$A$28:$D$31,4,0)*BL1682</f>
        <v>#N/A</v>
      </c>
    </row>
    <row r="1683" spans="37:70" x14ac:dyDescent="0.35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>
        <v>0</v>
      </c>
      <c r="BR1683" s="58" t="e">
        <f>VLOOKUP(AM1683,'[1]Harga &amp; Nama CSO'!$A$28:$D$31,4,0)*BL1683</f>
        <v>#N/A</v>
      </c>
    </row>
    <row r="1684" spans="37:70" x14ac:dyDescent="0.35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>
        <v>0</v>
      </c>
      <c r="BR1684" s="58" t="e">
        <f>VLOOKUP(AM1684,'[1]Harga &amp; Nama CSO'!$A$28:$D$31,4,0)*BL1684</f>
        <v>#N/A</v>
      </c>
    </row>
    <row r="1685" spans="37:70" x14ac:dyDescent="0.35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>
        <v>0</v>
      </c>
      <c r="BR1685" s="58" t="e">
        <f>VLOOKUP(AM1685,'[1]Harga &amp; Nama CSO'!$A$28:$D$31,4,0)*BL1685</f>
        <v>#N/A</v>
      </c>
    </row>
    <row r="1686" spans="37:70" x14ac:dyDescent="0.35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>
        <v>0</v>
      </c>
      <c r="BR1686" s="58" t="e">
        <f>VLOOKUP(AM1686,'[1]Harga &amp; Nama CSO'!$A$28:$D$31,4,0)*BL1686</f>
        <v>#N/A</v>
      </c>
    </row>
    <row r="1687" spans="37:70" x14ac:dyDescent="0.35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>
        <v>0</v>
      </c>
      <c r="BR1687" s="58" t="e">
        <f>VLOOKUP(AM1687,'[1]Harga &amp; Nama CSO'!$A$28:$D$31,4,0)*BL1687</f>
        <v>#N/A</v>
      </c>
    </row>
    <row r="1688" spans="37:70" x14ac:dyDescent="0.35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>
        <v>0</v>
      </c>
      <c r="BR1688" s="58" t="e">
        <f>VLOOKUP(AM1688,'[1]Harga &amp; Nama CSO'!$A$28:$D$31,4,0)*BL1688</f>
        <v>#N/A</v>
      </c>
    </row>
    <row r="1689" spans="37:70" x14ac:dyDescent="0.35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>
        <v>0</v>
      </c>
      <c r="BR1689" s="58" t="e">
        <f>VLOOKUP(AM1689,'[1]Harga &amp; Nama CSO'!$A$28:$D$31,4,0)*BL1689</f>
        <v>#N/A</v>
      </c>
    </row>
    <row r="1690" spans="37:70" x14ac:dyDescent="0.35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>
        <v>0</v>
      </c>
      <c r="BR1690" s="58" t="e">
        <f>VLOOKUP(AM1690,'[1]Harga &amp; Nama CSO'!$A$28:$D$31,4,0)*BL1690</f>
        <v>#N/A</v>
      </c>
    </row>
    <row r="1691" spans="37:70" x14ac:dyDescent="0.35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>
        <v>0</v>
      </c>
      <c r="BR1691" s="58" t="e">
        <f>VLOOKUP(AM1691,'[1]Harga &amp; Nama CSO'!$A$28:$D$31,4,0)*BL1691</f>
        <v>#N/A</v>
      </c>
    </row>
    <row r="1692" spans="37:70" x14ac:dyDescent="0.35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>
        <v>0</v>
      </c>
      <c r="BR1692" s="58" t="e">
        <f>VLOOKUP(AM1692,'[1]Harga &amp; Nama CSO'!$A$28:$D$31,4,0)*BL1692</f>
        <v>#N/A</v>
      </c>
    </row>
    <row r="1693" spans="37:70" x14ac:dyDescent="0.35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>
        <v>0</v>
      </c>
      <c r="BR1693" s="58" t="e">
        <f>VLOOKUP(AM1693,'[1]Harga &amp; Nama CSO'!$A$28:$D$31,4,0)*BL1693</f>
        <v>#N/A</v>
      </c>
    </row>
    <row r="1694" spans="37:70" x14ac:dyDescent="0.35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>
        <v>0</v>
      </c>
      <c r="BR1694" s="58" t="e">
        <f>VLOOKUP(AM1694,'[1]Harga &amp; Nama CSO'!$A$28:$D$31,4,0)*BL1694</f>
        <v>#N/A</v>
      </c>
    </row>
    <row r="1695" spans="37:70" x14ac:dyDescent="0.35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>
        <v>0</v>
      </c>
      <c r="BR1695" s="58" t="e">
        <f>VLOOKUP(AM1695,'[1]Harga &amp; Nama CSO'!$A$28:$D$31,4,0)*BL1695</f>
        <v>#N/A</v>
      </c>
    </row>
    <row r="1696" spans="37:70" x14ac:dyDescent="0.35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>
        <v>0</v>
      </c>
      <c r="BR1696" s="58" t="e">
        <f>VLOOKUP(AM1696,'[1]Harga &amp; Nama CSO'!$A$28:$D$31,4,0)*BL1696</f>
        <v>#N/A</v>
      </c>
    </row>
    <row r="1697" spans="37:70" x14ac:dyDescent="0.35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>
        <v>0</v>
      </c>
      <c r="BR1697" s="58" t="e">
        <f>VLOOKUP(AM1697,'[1]Harga &amp; Nama CSO'!$A$28:$D$31,4,0)*BL1697</f>
        <v>#N/A</v>
      </c>
    </row>
    <row r="1698" spans="37:70" x14ac:dyDescent="0.35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>
        <v>0</v>
      </c>
      <c r="BR1698" s="58" t="e">
        <f>VLOOKUP(AM1698,'[1]Harga &amp; Nama CSO'!$A$28:$D$31,4,0)*BL1698</f>
        <v>#N/A</v>
      </c>
    </row>
    <row r="1699" spans="37:70" x14ac:dyDescent="0.35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>
        <v>0</v>
      </c>
      <c r="BR1699" s="58" t="e">
        <f>VLOOKUP(AM1699,'[1]Harga &amp; Nama CSO'!$A$28:$D$31,4,0)*BL1699</f>
        <v>#N/A</v>
      </c>
    </row>
    <row r="1700" spans="37:70" x14ac:dyDescent="0.35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>
        <v>0</v>
      </c>
      <c r="BR1700" s="58" t="e">
        <f>VLOOKUP(AM1700,'[1]Harga &amp; Nama CSO'!$A$28:$D$31,4,0)*BL1700</f>
        <v>#N/A</v>
      </c>
    </row>
    <row r="1701" spans="37:70" x14ac:dyDescent="0.35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>
        <v>0</v>
      </c>
      <c r="BR1701" s="58" t="e">
        <f>VLOOKUP(AM1701,'[1]Harga &amp; Nama CSO'!$A$28:$D$31,4,0)*BL1701</f>
        <v>#N/A</v>
      </c>
    </row>
    <row r="1702" spans="37:70" x14ac:dyDescent="0.35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>
        <v>0</v>
      </c>
      <c r="BR1702" s="58" t="e">
        <f>VLOOKUP(AM1702,'[1]Harga &amp; Nama CSO'!$A$28:$D$31,4,0)*BL1702</f>
        <v>#N/A</v>
      </c>
    </row>
    <row r="1703" spans="37:70" x14ac:dyDescent="0.35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>
        <v>0</v>
      </c>
      <c r="BR1703" s="58" t="e">
        <f>VLOOKUP(AM1703,'[1]Harga &amp; Nama CSO'!$A$28:$D$31,4,0)*BL1703</f>
        <v>#N/A</v>
      </c>
    </row>
    <row r="1704" spans="37:70" x14ac:dyDescent="0.35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>
        <v>0</v>
      </c>
      <c r="BR1704" s="58" t="e">
        <f>VLOOKUP(AM1704,'[1]Harga &amp; Nama CSO'!$A$28:$D$31,4,0)*BL1704</f>
        <v>#N/A</v>
      </c>
    </row>
    <row r="1705" spans="37:70" x14ac:dyDescent="0.35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>
        <v>0</v>
      </c>
      <c r="BR1705" s="58" t="e">
        <f>VLOOKUP(AM1705,'[1]Harga &amp; Nama CSO'!$A$28:$D$31,4,0)*BL1705</f>
        <v>#N/A</v>
      </c>
    </row>
    <row r="1706" spans="37:70" x14ac:dyDescent="0.35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>
        <v>0</v>
      </c>
      <c r="BR1706" s="58" t="e">
        <f>VLOOKUP(AM1706,'[1]Harga &amp; Nama CSO'!$A$28:$D$31,4,0)*BL1706</f>
        <v>#N/A</v>
      </c>
    </row>
    <row r="1707" spans="37:70" x14ac:dyDescent="0.35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>
        <v>0</v>
      </c>
      <c r="BR1707" s="58" t="e">
        <f>VLOOKUP(AM1707,'[1]Harga &amp; Nama CSO'!$A$28:$D$31,4,0)*BL1707</f>
        <v>#N/A</v>
      </c>
    </row>
    <row r="1708" spans="37:70" x14ac:dyDescent="0.35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>
        <v>0</v>
      </c>
      <c r="BR1708" s="58" t="e">
        <f>VLOOKUP(AM1708,'[1]Harga &amp; Nama CSO'!$A$28:$D$31,4,0)*BL1708</f>
        <v>#N/A</v>
      </c>
    </row>
    <row r="1709" spans="37:70" x14ac:dyDescent="0.35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>
        <v>0</v>
      </c>
      <c r="BR1709" s="58" t="e">
        <f>VLOOKUP(AM1709,'[1]Harga &amp; Nama CSO'!$A$28:$D$31,4,0)*BL1709</f>
        <v>#N/A</v>
      </c>
    </row>
    <row r="1710" spans="37:70" x14ac:dyDescent="0.35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>
        <v>0</v>
      </c>
      <c r="BR1710" s="58" t="e">
        <f>VLOOKUP(AM1710,'[1]Harga &amp; Nama CSO'!$A$28:$D$31,4,0)*BL1710</f>
        <v>#N/A</v>
      </c>
    </row>
    <row r="1711" spans="37:70" x14ac:dyDescent="0.35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>
        <v>0</v>
      </c>
      <c r="BR1711" s="58" t="e">
        <f>VLOOKUP(AM1711,'[1]Harga &amp; Nama CSO'!$A$28:$D$31,4,0)*BL1711</f>
        <v>#N/A</v>
      </c>
    </row>
    <row r="1712" spans="37:70" x14ac:dyDescent="0.35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>
        <v>0</v>
      </c>
      <c r="BR1712" s="58" t="e">
        <f>VLOOKUP(AM1712,'[1]Harga &amp; Nama CSO'!$A$28:$D$31,4,0)*BL1712</f>
        <v>#N/A</v>
      </c>
    </row>
    <row r="1713" spans="37:70" x14ac:dyDescent="0.35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>
        <v>0</v>
      </c>
      <c r="BR1713" s="58" t="e">
        <f>VLOOKUP(AM1713,'[1]Harga &amp; Nama CSO'!$A$28:$D$31,4,0)*BL1713</f>
        <v>#N/A</v>
      </c>
    </row>
    <row r="1714" spans="37:70" x14ac:dyDescent="0.35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>
        <v>0</v>
      </c>
      <c r="BR1714" s="58" t="e">
        <f>VLOOKUP(AM1714,'[1]Harga &amp; Nama CSO'!$A$28:$D$31,4,0)*BL1714</f>
        <v>#N/A</v>
      </c>
    </row>
    <row r="1715" spans="37:70" x14ac:dyDescent="0.35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>
        <v>0</v>
      </c>
      <c r="BR1715" s="58" t="e">
        <f>VLOOKUP(AM1715,'[1]Harga &amp; Nama CSO'!$A$28:$D$31,4,0)*BL1715</f>
        <v>#N/A</v>
      </c>
    </row>
    <row r="1716" spans="37:70" x14ac:dyDescent="0.35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>
        <v>0</v>
      </c>
      <c r="BR1716" s="58" t="e">
        <f>VLOOKUP(AM1716,'[1]Harga &amp; Nama CSO'!$A$28:$D$31,4,0)*BL1716</f>
        <v>#N/A</v>
      </c>
    </row>
    <row r="1717" spans="37:70" x14ac:dyDescent="0.35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>
        <v>0</v>
      </c>
      <c r="BR1717" s="58" t="e">
        <f>VLOOKUP(AM1717,'[1]Harga &amp; Nama CSO'!$A$28:$D$31,4,0)*BL1717</f>
        <v>#N/A</v>
      </c>
    </row>
    <row r="1718" spans="37:70" x14ac:dyDescent="0.35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>
        <v>0</v>
      </c>
      <c r="BR1718" s="58" t="e">
        <f>VLOOKUP(AM1718,'[1]Harga &amp; Nama CSO'!$A$28:$D$31,4,0)*BL1718</f>
        <v>#N/A</v>
      </c>
    </row>
    <row r="1719" spans="37:70" x14ac:dyDescent="0.35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>
        <v>0</v>
      </c>
      <c r="BR1719" s="58" t="e">
        <f>VLOOKUP(AM1719,'[1]Harga &amp; Nama CSO'!$A$28:$D$31,4,0)*BL1719</f>
        <v>#N/A</v>
      </c>
    </row>
    <row r="1720" spans="37:70" x14ac:dyDescent="0.35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>
        <v>0</v>
      </c>
      <c r="BR1720" s="58" t="e">
        <f>VLOOKUP(AM1720,'[1]Harga &amp; Nama CSO'!$A$28:$D$31,4,0)*BL1720</f>
        <v>#N/A</v>
      </c>
    </row>
    <row r="1721" spans="37:70" x14ac:dyDescent="0.35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>
        <v>0</v>
      </c>
      <c r="BR1721" s="58" t="e">
        <f>VLOOKUP(AM1721,'[1]Harga &amp; Nama CSO'!$A$28:$D$31,4,0)*BL1721</f>
        <v>#N/A</v>
      </c>
    </row>
    <row r="1722" spans="37:70" x14ac:dyDescent="0.35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>
        <v>0</v>
      </c>
      <c r="BR1722" s="58" t="e">
        <f>VLOOKUP(AM1722,'[1]Harga &amp; Nama CSO'!$A$28:$D$31,4,0)*BL1722</f>
        <v>#N/A</v>
      </c>
    </row>
    <row r="1723" spans="37:70" x14ac:dyDescent="0.35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>
        <v>0</v>
      </c>
      <c r="BR1723" s="58" t="e">
        <f>VLOOKUP(AM1723,'[1]Harga &amp; Nama CSO'!$A$28:$D$31,4,0)*BL1723</f>
        <v>#N/A</v>
      </c>
    </row>
    <row r="1724" spans="37:70" x14ac:dyDescent="0.35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>
        <v>0</v>
      </c>
      <c r="BR1724" s="58" t="e">
        <f>VLOOKUP(AM1724,'[1]Harga &amp; Nama CSO'!$A$28:$D$31,4,0)*BL1724</f>
        <v>#N/A</v>
      </c>
    </row>
    <row r="1725" spans="37:70" x14ac:dyDescent="0.35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>
        <v>0</v>
      </c>
      <c r="BR1725" s="58" t="e">
        <f>VLOOKUP(AM1725,'[1]Harga &amp; Nama CSO'!$A$28:$D$31,4,0)*BL1725</f>
        <v>#N/A</v>
      </c>
    </row>
    <row r="1726" spans="37:70" x14ac:dyDescent="0.35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>
        <v>0</v>
      </c>
      <c r="BR1726" s="58" t="e">
        <f>VLOOKUP(AM1726,'[1]Harga &amp; Nama CSO'!$A$28:$D$31,4,0)*BL1726</f>
        <v>#N/A</v>
      </c>
    </row>
    <row r="1727" spans="37:70" x14ac:dyDescent="0.35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>
        <v>0</v>
      </c>
      <c r="BR1727" s="58" t="e">
        <f>VLOOKUP(AM1727,'[1]Harga &amp; Nama CSO'!$A$28:$D$31,4,0)*BL1727</f>
        <v>#N/A</v>
      </c>
    </row>
    <row r="1728" spans="37:70" x14ac:dyDescent="0.35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>
        <v>0</v>
      </c>
      <c r="BR1728" s="58" t="e">
        <f>VLOOKUP(AM1728,'[1]Harga &amp; Nama CSO'!$A$28:$D$31,4,0)*BL1728</f>
        <v>#N/A</v>
      </c>
    </row>
    <row r="1729" spans="37:70" x14ac:dyDescent="0.35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>
        <v>0</v>
      </c>
      <c r="BR1729" s="58" t="e">
        <f>VLOOKUP(AM1729,'[1]Harga &amp; Nama CSO'!$A$28:$D$31,4,0)*BL1729</f>
        <v>#N/A</v>
      </c>
    </row>
    <row r="1730" spans="37:70" x14ac:dyDescent="0.35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>
        <v>0</v>
      </c>
      <c r="BR1730" s="58" t="e">
        <f>VLOOKUP(AM1730,'[1]Harga &amp; Nama CSO'!$A$28:$D$31,4,0)*BL1730</f>
        <v>#N/A</v>
      </c>
    </row>
    <row r="1731" spans="37:70" x14ac:dyDescent="0.35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>
        <v>0</v>
      </c>
      <c r="BR1731" s="58" t="e">
        <f>VLOOKUP(AM1731,'[1]Harga &amp; Nama CSO'!$A$28:$D$31,4,0)*BL1731</f>
        <v>#N/A</v>
      </c>
    </row>
    <row r="1732" spans="37:70" x14ac:dyDescent="0.35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>
        <v>0</v>
      </c>
      <c r="BR1732" s="58" t="e">
        <f>VLOOKUP(AM1732,'[1]Harga &amp; Nama CSO'!$A$28:$D$31,4,0)*BL1732</f>
        <v>#N/A</v>
      </c>
    </row>
    <row r="1733" spans="37:70" x14ac:dyDescent="0.35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>
        <v>0</v>
      </c>
      <c r="BR1733" s="58" t="e">
        <f>VLOOKUP(AM1733,'[1]Harga &amp; Nama CSO'!$A$28:$D$31,4,0)*BL1733</f>
        <v>#N/A</v>
      </c>
    </row>
    <row r="1734" spans="37:70" x14ac:dyDescent="0.35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>
        <v>0</v>
      </c>
      <c r="BR1734" s="58" t="e">
        <f>VLOOKUP(AM1734,'[1]Harga &amp; Nama CSO'!$A$28:$D$31,4,0)*BL1734</f>
        <v>#N/A</v>
      </c>
    </row>
    <row r="1735" spans="37:70" x14ac:dyDescent="0.35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>
        <v>0</v>
      </c>
      <c r="BR1735" s="58" t="e">
        <f>VLOOKUP(AM1735,'[1]Harga &amp; Nama CSO'!$A$28:$D$31,4,0)*BL1735</f>
        <v>#N/A</v>
      </c>
    </row>
    <row r="1736" spans="37:70" x14ac:dyDescent="0.35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>
        <v>0</v>
      </c>
      <c r="BR1736" s="58" t="e">
        <f>VLOOKUP(AM1736,'[1]Harga &amp; Nama CSO'!$A$28:$D$31,4,0)*BL1736</f>
        <v>#N/A</v>
      </c>
    </row>
    <row r="1737" spans="37:70" x14ac:dyDescent="0.35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>
        <v>0</v>
      </c>
      <c r="BR1737" s="58" t="e">
        <f>VLOOKUP(AM1737,'[1]Harga &amp; Nama CSO'!$A$28:$D$31,4,0)*BL1737</f>
        <v>#N/A</v>
      </c>
    </row>
    <row r="1738" spans="37:70" x14ac:dyDescent="0.35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>
        <v>0</v>
      </c>
      <c r="BR1738" s="58" t="e">
        <f>VLOOKUP(AM1738,'[1]Harga &amp; Nama CSO'!$A$28:$D$31,4,0)*BL1738</f>
        <v>#N/A</v>
      </c>
    </row>
    <row r="1739" spans="37:70" x14ac:dyDescent="0.35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>
        <v>0</v>
      </c>
      <c r="BR1739" s="58" t="e">
        <f>VLOOKUP(AM1739,'[1]Harga &amp; Nama CSO'!$A$28:$D$31,4,0)*BL1739</f>
        <v>#N/A</v>
      </c>
    </row>
    <row r="1740" spans="37:70" x14ac:dyDescent="0.35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>
        <v>0</v>
      </c>
      <c r="BR1740" s="58" t="e">
        <f>VLOOKUP(AM1740,'[1]Harga &amp; Nama CSO'!$A$28:$D$31,4,0)*BL1740</f>
        <v>#N/A</v>
      </c>
    </row>
    <row r="1741" spans="37:70" x14ac:dyDescent="0.35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>
        <v>0</v>
      </c>
      <c r="BR1741" s="58" t="e">
        <f>VLOOKUP(AM1741,'[1]Harga &amp; Nama CSO'!$A$28:$D$31,4,0)*BL1741</f>
        <v>#N/A</v>
      </c>
    </row>
    <row r="1742" spans="37:70" x14ac:dyDescent="0.35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>
        <v>0</v>
      </c>
      <c r="BR1742" s="58" t="e">
        <f>VLOOKUP(AM1742,'[1]Harga &amp; Nama CSO'!$A$28:$D$31,4,0)*BL1742</f>
        <v>#N/A</v>
      </c>
    </row>
    <row r="1743" spans="37:70" x14ac:dyDescent="0.35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>
        <v>0</v>
      </c>
      <c r="BR1743" s="58" t="e">
        <f>VLOOKUP(AM1743,'[1]Harga &amp; Nama CSO'!$A$28:$D$31,4,0)*BL1743</f>
        <v>#N/A</v>
      </c>
    </row>
    <row r="1744" spans="37:70" x14ac:dyDescent="0.35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>
        <v>0</v>
      </c>
      <c r="BR1744" s="58" t="e">
        <f>VLOOKUP(AM1744,'[1]Harga &amp; Nama CSO'!$A$28:$D$31,4,0)*BL1744</f>
        <v>#N/A</v>
      </c>
    </row>
    <row r="1745" spans="37:70" x14ac:dyDescent="0.35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>
        <v>0</v>
      </c>
      <c r="BR1745" s="58" t="e">
        <f>VLOOKUP(AM1745,'[1]Harga &amp; Nama CSO'!$A$28:$D$31,4,0)*BL1745</f>
        <v>#N/A</v>
      </c>
    </row>
    <row r="1746" spans="37:70" x14ac:dyDescent="0.35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>
        <v>0</v>
      </c>
      <c r="BR1746" s="58" t="e">
        <f>VLOOKUP(AM1746,'[1]Harga &amp; Nama CSO'!$A$28:$D$31,4,0)*BL1746</f>
        <v>#N/A</v>
      </c>
    </row>
    <row r="1747" spans="37:70" x14ac:dyDescent="0.35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>
        <v>0</v>
      </c>
      <c r="BR1747" s="58" t="e">
        <f>VLOOKUP(AM1747,'[1]Harga &amp; Nama CSO'!$A$28:$D$31,4,0)*BL1747</f>
        <v>#N/A</v>
      </c>
    </row>
    <row r="1748" spans="37:70" x14ac:dyDescent="0.35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>
        <v>0</v>
      </c>
      <c r="BR1748" s="58" t="e">
        <f>VLOOKUP(AM1748,'[1]Harga &amp; Nama CSO'!$A$28:$D$31,4,0)*BL1748</f>
        <v>#N/A</v>
      </c>
    </row>
    <row r="1749" spans="37:70" x14ac:dyDescent="0.35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>
        <v>0</v>
      </c>
      <c r="BR1749" s="58" t="e">
        <f>VLOOKUP(AM1749,'[1]Harga &amp; Nama CSO'!$A$28:$D$31,4,0)*BL1749</f>
        <v>#N/A</v>
      </c>
    </row>
    <row r="1750" spans="37:70" x14ac:dyDescent="0.35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>
        <v>0</v>
      </c>
      <c r="BR1750" s="58" t="e">
        <f>VLOOKUP(AM1750,'[1]Harga &amp; Nama CSO'!$A$28:$D$31,4,0)*BL1750</f>
        <v>#N/A</v>
      </c>
    </row>
    <row r="1751" spans="37:70" x14ac:dyDescent="0.35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>
        <v>0</v>
      </c>
      <c r="BR1751" s="58" t="e">
        <f>VLOOKUP(AM1751,'[1]Harga &amp; Nama CSO'!$A$28:$D$31,4,0)*BL1751</f>
        <v>#N/A</v>
      </c>
    </row>
    <row r="1752" spans="37:70" x14ac:dyDescent="0.35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>
        <v>0</v>
      </c>
      <c r="BR1752" s="58" t="e">
        <f>VLOOKUP(AM1752,'[1]Harga &amp; Nama CSO'!$A$28:$D$31,4,0)*BL1752</f>
        <v>#N/A</v>
      </c>
    </row>
    <row r="1753" spans="37:70" x14ac:dyDescent="0.35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>
        <v>0</v>
      </c>
      <c r="BR1753" s="58" t="e">
        <f>VLOOKUP(AM1753,'[1]Harga &amp; Nama CSO'!$A$28:$D$31,4,0)*BL1753</f>
        <v>#N/A</v>
      </c>
    </row>
    <row r="1754" spans="37:70" x14ac:dyDescent="0.35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>
        <v>0</v>
      </c>
      <c r="BR1754" s="58" t="e">
        <f>VLOOKUP(AM1754,'[1]Harga &amp; Nama CSO'!$A$28:$D$31,4,0)*BL1754</f>
        <v>#N/A</v>
      </c>
    </row>
    <row r="1755" spans="37:70" x14ac:dyDescent="0.35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>
        <v>0</v>
      </c>
      <c r="BR1755" s="58" t="e">
        <f>VLOOKUP(AM1755,'[1]Harga &amp; Nama CSO'!$A$28:$D$31,4,0)*BL1755</f>
        <v>#N/A</v>
      </c>
    </row>
    <row r="1756" spans="37:70" x14ac:dyDescent="0.35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>
        <v>0</v>
      </c>
      <c r="BR1756" s="58" t="e">
        <f>VLOOKUP(AM1756,'[1]Harga &amp; Nama CSO'!$A$28:$D$31,4,0)*BL1756</f>
        <v>#N/A</v>
      </c>
    </row>
    <row r="1757" spans="37:70" x14ac:dyDescent="0.35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>
        <v>0</v>
      </c>
      <c r="BR1757" s="58" t="e">
        <f>VLOOKUP(AM1757,'[1]Harga &amp; Nama CSO'!$A$28:$D$31,4,0)*BL1757</f>
        <v>#N/A</v>
      </c>
    </row>
    <row r="1758" spans="37:70" x14ac:dyDescent="0.35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>
        <v>0</v>
      </c>
      <c r="BR1758" s="58" t="e">
        <f>VLOOKUP(AM1758,'[1]Harga &amp; Nama CSO'!$A$28:$D$31,4,0)*BL1758</f>
        <v>#N/A</v>
      </c>
    </row>
    <row r="1759" spans="37:70" x14ac:dyDescent="0.35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>
        <v>0</v>
      </c>
      <c r="BR1759" s="58" t="e">
        <f>VLOOKUP(AM1759,'[1]Harga &amp; Nama CSO'!$A$28:$D$31,4,0)*BL1759</f>
        <v>#N/A</v>
      </c>
    </row>
    <row r="1760" spans="37:70" x14ac:dyDescent="0.35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>
        <v>0</v>
      </c>
      <c r="BR1760" s="58" t="e">
        <f>VLOOKUP(AM1760,'[1]Harga &amp; Nama CSO'!$A$28:$D$31,4,0)*BL1760</f>
        <v>#N/A</v>
      </c>
    </row>
    <row r="1761" spans="37:70" x14ac:dyDescent="0.35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>
        <v>0</v>
      </c>
      <c r="BR1761" s="58" t="e">
        <f>VLOOKUP(AM1761,'[1]Harga &amp; Nama CSO'!$A$28:$D$31,4,0)*BL1761</f>
        <v>#N/A</v>
      </c>
    </row>
    <row r="1762" spans="37:70" x14ac:dyDescent="0.35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>
        <v>0</v>
      </c>
      <c r="BR1762" s="58" t="e">
        <f>VLOOKUP(AM1762,'[1]Harga &amp; Nama CSO'!$A$28:$D$31,4,0)*BL1762</f>
        <v>#N/A</v>
      </c>
    </row>
    <row r="1763" spans="37:70" x14ac:dyDescent="0.35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>
        <v>0</v>
      </c>
      <c r="BR1763" s="58" t="e">
        <f>VLOOKUP(AM1763,'[1]Harga &amp; Nama CSO'!$A$28:$D$31,4,0)*BL1763</f>
        <v>#N/A</v>
      </c>
    </row>
    <row r="1764" spans="37:70" x14ac:dyDescent="0.35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>
        <v>0</v>
      </c>
      <c r="BR1764" s="58" t="e">
        <f>VLOOKUP(AM1764,'[1]Harga &amp; Nama CSO'!$A$28:$D$31,4,0)*BL1764</f>
        <v>#N/A</v>
      </c>
    </row>
    <row r="1765" spans="37:70" x14ac:dyDescent="0.35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>
        <v>0</v>
      </c>
      <c r="BR1765" s="58" t="e">
        <f>VLOOKUP(AM1765,'[1]Harga &amp; Nama CSO'!$A$28:$D$31,4,0)*BL1765</f>
        <v>#N/A</v>
      </c>
    </row>
    <row r="1766" spans="37:70" x14ac:dyDescent="0.35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>
        <v>0</v>
      </c>
      <c r="BR1766" s="58" t="e">
        <f>VLOOKUP(AM1766,'[1]Harga &amp; Nama CSO'!$A$28:$D$31,4,0)*BL1766</f>
        <v>#N/A</v>
      </c>
    </row>
    <row r="1767" spans="37:70" x14ac:dyDescent="0.35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>
        <v>0</v>
      </c>
      <c r="BR1767" s="58" t="e">
        <f>VLOOKUP(AM1767,'[1]Harga &amp; Nama CSO'!$A$28:$D$31,4,0)*BL1767</f>
        <v>#N/A</v>
      </c>
    </row>
    <row r="1768" spans="37:70" x14ac:dyDescent="0.35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>
        <v>0</v>
      </c>
      <c r="BR1768" s="58" t="e">
        <f>VLOOKUP(AM1768,'[1]Harga &amp; Nama CSO'!$A$28:$D$31,4,0)*BL1768</f>
        <v>#N/A</v>
      </c>
    </row>
    <row r="1769" spans="37:70" x14ac:dyDescent="0.35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>
        <v>0</v>
      </c>
      <c r="BR1769" s="58" t="e">
        <f>VLOOKUP(AM1769,'[1]Harga &amp; Nama CSO'!$A$28:$D$31,4,0)*BL1769</f>
        <v>#N/A</v>
      </c>
    </row>
    <row r="1770" spans="37:70" x14ac:dyDescent="0.35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>
        <v>0</v>
      </c>
      <c r="BR1770" s="58" t="e">
        <f>VLOOKUP(AM1770,'[1]Harga &amp; Nama CSO'!$A$28:$D$31,4,0)*BL1770</f>
        <v>#N/A</v>
      </c>
    </row>
    <row r="1771" spans="37:70" x14ac:dyDescent="0.35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>
        <v>0</v>
      </c>
      <c r="BR1771" s="58" t="e">
        <f>VLOOKUP(AM1771,'[1]Harga &amp; Nama CSO'!$A$28:$D$31,4,0)*BL1771</f>
        <v>#N/A</v>
      </c>
    </row>
    <row r="1772" spans="37:70" x14ac:dyDescent="0.35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>
        <v>0</v>
      </c>
      <c r="BR1772" s="58" t="e">
        <f>VLOOKUP(AM1772,'[1]Harga &amp; Nama CSO'!$A$28:$D$31,4,0)*BL1772</f>
        <v>#N/A</v>
      </c>
    </row>
    <row r="1773" spans="37:70" x14ac:dyDescent="0.35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>
        <v>0</v>
      </c>
      <c r="BR1773" s="58" t="e">
        <f>VLOOKUP(AM1773,'[1]Harga &amp; Nama CSO'!$A$28:$D$31,4,0)*BL1773</f>
        <v>#N/A</v>
      </c>
    </row>
    <row r="1774" spans="37:70" x14ac:dyDescent="0.35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>
        <v>0</v>
      </c>
      <c r="BR1774" s="58" t="e">
        <f>VLOOKUP(AM1774,'[1]Harga &amp; Nama CSO'!$A$28:$D$31,4,0)*BL1774</f>
        <v>#N/A</v>
      </c>
    </row>
    <row r="1775" spans="37:70" x14ac:dyDescent="0.35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>
        <v>0</v>
      </c>
      <c r="BR1775" s="58" t="e">
        <f>VLOOKUP(AM1775,'[1]Harga &amp; Nama CSO'!$A$28:$D$31,4,0)*BL1775</f>
        <v>#N/A</v>
      </c>
    </row>
    <row r="1776" spans="37:70" x14ac:dyDescent="0.35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>
        <v>0</v>
      </c>
      <c r="BR1776" s="58" t="e">
        <f>VLOOKUP(AM1776,'[1]Harga &amp; Nama CSO'!$A$28:$D$31,4,0)*BL1776</f>
        <v>#N/A</v>
      </c>
    </row>
    <row r="1777" spans="37:70" x14ac:dyDescent="0.35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>
        <v>0</v>
      </c>
      <c r="BR1777" s="58" t="e">
        <f>VLOOKUP(AM1777,'[1]Harga &amp; Nama CSO'!$A$28:$D$31,4,0)*BL1777</f>
        <v>#N/A</v>
      </c>
    </row>
    <row r="1778" spans="37:70" x14ac:dyDescent="0.35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>
        <v>0</v>
      </c>
      <c r="BR1778" s="58" t="e">
        <f>VLOOKUP(AM1778,'[1]Harga &amp; Nama CSO'!$A$28:$D$31,4,0)*BL1778</f>
        <v>#N/A</v>
      </c>
    </row>
    <row r="1779" spans="37:70" x14ac:dyDescent="0.35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>
        <v>0</v>
      </c>
      <c r="BR1779" s="58" t="e">
        <f>VLOOKUP(AM1779,'[1]Harga &amp; Nama CSO'!$A$28:$D$31,4,0)*BL1779</f>
        <v>#N/A</v>
      </c>
    </row>
    <row r="1780" spans="37:70" x14ac:dyDescent="0.35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>
        <v>0</v>
      </c>
      <c r="BR1780" s="58" t="e">
        <f>VLOOKUP(AM1780,'[1]Harga &amp; Nama CSO'!$A$28:$D$31,4,0)*BL1780</f>
        <v>#N/A</v>
      </c>
    </row>
    <row r="1781" spans="37:70" x14ac:dyDescent="0.35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>
        <v>0</v>
      </c>
      <c r="BR1781" s="58" t="e">
        <f>VLOOKUP(AM1781,'[1]Harga &amp; Nama CSO'!$A$28:$D$31,4,0)*BL1781</f>
        <v>#N/A</v>
      </c>
    </row>
    <row r="1782" spans="37:70" x14ac:dyDescent="0.35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>
        <v>0</v>
      </c>
      <c r="BR1782" s="58" t="e">
        <f>VLOOKUP(AM1782,'[1]Harga &amp; Nama CSO'!$A$28:$D$31,4,0)*BL1782</f>
        <v>#N/A</v>
      </c>
    </row>
    <row r="1783" spans="37:70" x14ac:dyDescent="0.35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>
        <v>0</v>
      </c>
      <c r="BR1783" s="58" t="e">
        <f>VLOOKUP(AM1783,'[1]Harga &amp; Nama CSO'!$A$28:$D$31,4,0)*BL1783</f>
        <v>#N/A</v>
      </c>
    </row>
    <row r="1784" spans="37:70" x14ac:dyDescent="0.35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>
        <v>0</v>
      </c>
      <c r="BR1784" s="58" t="e">
        <f>VLOOKUP(AM1784,'[1]Harga &amp; Nama CSO'!$A$28:$D$31,4,0)*BL1784</f>
        <v>#N/A</v>
      </c>
    </row>
    <row r="1785" spans="37:70" x14ac:dyDescent="0.35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>
        <v>0</v>
      </c>
      <c r="BR1785" s="58" t="e">
        <f>VLOOKUP(AM1785,'[1]Harga &amp; Nama CSO'!$A$28:$D$31,4,0)*BL1785</f>
        <v>#N/A</v>
      </c>
    </row>
    <row r="1786" spans="37:70" x14ac:dyDescent="0.35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>
        <v>0</v>
      </c>
      <c r="BR1786" s="58" t="e">
        <f>VLOOKUP(AM1786,'[1]Harga &amp; Nama CSO'!$A$28:$D$31,4,0)*BL1786</f>
        <v>#N/A</v>
      </c>
    </row>
    <row r="1787" spans="37:70" x14ac:dyDescent="0.35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>
        <v>0</v>
      </c>
      <c r="BR1787" s="58" t="e">
        <f>VLOOKUP(AM1787,'[1]Harga &amp; Nama CSO'!$A$28:$D$31,4,0)*BL1787</f>
        <v>#N/A</v>
      </c>
    </row>
    <row r="1788" spans="37:70" x14ac:dyDescent="0.35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>
        <v>0</v>
      </c>
      <c r="BR1788" s="58" t="e">
        <f>VLOOKUP(AM1788,'[1]Harga &amp; Nama CSO'!$A$28:$D$31,4,0)*BL1788</f>
        <v>#N/A</v>
      </c>
    </row>
    <row r="1789" spans="37:70" x14ac:dyDescent="0.35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>
        <v>0</v>
      </c>
      <c r="BR1789" s="58" t="e">
        <f>VLOOKUP(AM1789,'[1]Harga &amp; Nama CSO'!$A$28:$D$31,4,0)*BL1789</f>
        <v>#N/A</v>
      </c>
    </row>
    <row r="1790" spans="37:70" x14ac:dyDescent="0.35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>
        <v>0</v>
      </c>
      <c r="BR1790" s="58" t="e">
        <f>VLOOKUP(AM1790,'[1]Harga &amp; Nama CSO'!$A$28:$D$31,4,0)*BL1790</f>
        <v>#N/A</v>
      </c>
    </row>
    <row r="1791" spans="37:70" x14ac:dyDescent="0.35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>
        <v>0</v>
      </c>
      <c r="BR1791" s="58" t="e">
        <f>VLOOKUP(AM1791,'[1]Harga &amp; Nama CSO'!$A$28:$D$31,4,0)*BL1791</f>
        <v>#N/A</v>
      </c>
    </row>
    <row r="1792" spans="37:70" x14ac:dyDescent="0.35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>
        <v>0</v>
      </c>
      <c r="BR1792" s="58" t="e">
        <f>VLOOKUP(AM1792,'[1]Harga &amp; Nama CSO'!$A$28:$D$31,4,0)*BL1792</f>
        <v>#N/A</v>
      </c>
    </row>
    <row r="1793" spans="37:70" x14ac:dyDescent="0.35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>
        <v>0</v>
      </c>
      <c r="BR1793" s="58" t="e">
        <f>VLOOKUP(AM1793,'[1]Harga &amp; Nama CSO'!$A$28:$D$31,4,0)*BL1793</f>
        <v>#N/A</v>
      </c>
    </row>
    <row r="1794" spans="37:70" x14ac:dyDescent="0.35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>
        <v>0</v>
      </c>
      <c r="BR1794" s="58" t="e">
        <f>VLOOKUP(AM1794,'[1]Harga &amp; Nama CSO'!$A$28:$D$31,4,0)*BL1794</f>
        <v>#N/A</v>
      </c>
    </row>
    <row r="1795" spans="37:70" x14ac:dyDescent="0.35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>
        <v>0</v>
      </c>
      <c r="BR1795" s="58" t="e">
        <f>VLOOKUP(AM1795,'[1]Harga &amp; Nama CSO'!$A$28:$D$31,4,0)*BL1795</f>
        <v>#N/A</v>
      </c>
    </row>
    <row r="1796" spans="37:70" x14ac:dyDescent="0.35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>
        <v>0</v>
      </c>
      <c r="BR1796" s="58" t="e">
        <f>VLOOKUP(AM1796,'[1]Harga &amp; Nama CSO'!$A$28:$D$31,4,0)*BL1796</f>
        <v>#N/A</v>
      </c>
    </row>
    <row r="1797" spans="37:70" x14ac:dyDescent="0.35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>
        <v>0</v>
      </c>
      <c r="BR1797" s="58" t="e">
        <f>VLOOKUP(AM1797,'[1]Harga &amp; Nama CSO'!$A$28:$D$31,4,0)*BL1797</f>
        <v>#N/A</v>
      </c>
    </row>
    <row r="1798" spans="37:70" x14ac:dyDescent="0.35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>
        <v>0</v>
      </c>
      <c r="BR1798" s="58" t="e">
        <f>VLOOKUP(AM1798,'[1]Harga &amp; Nama CSO'!$A$28:$D$31,4,0)*BL1798</f>
        <v>#N/A</v>
      </c>
    </row>
    <row r="1799" spans="37:70" x14ac:dyDescent="0.35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>
        <v>0</v>
      </c>
      <c r="BR1799" s="58" t="e">
        <f>VLOOKUP(AM1799,'[1]Harga &amp; Nama CSO'!$A$28:$D$31,4,0)*BL1799</f>
        <v>#N/A</v>
      </c>
    </row>
    <row r="1800" spans="37:70" x14ac:dyDescent="0.35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>
        <v>0</v>
      </c>
      <c r="BR1800" s="58" t="e">
        <f>VLOOKUP(AM1800,'[1]Harga &amp; Nama CSO'!$A$28:$D$31,4,0)*BL1800</f>
        <v>#N/A</v>
      </c>
    </row>
    <row r="1801" spans="37:70" x14ac:dyDescent="0.35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>
        <v>0</v>
      </c>
      <c r="BR1801" s="58" t="e">
        <f>VLOOKUP(AM1801,'[1]Harga &amp; Nama CSO'!$A$28:$D$31,4,0)*BL1801</f>
        <v>#N/A</v>
      </c>
    </row>
    <row r="1802" spans="37:70" x14ac:dyDescent="0.35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>
        <v>0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8" priority="11" operator="lessThan">
      <formula>1</formula>
    </cfRule>
  </conditionalFormatting>
  <conditionalFormatting sqref="AO80:AO1802">
    <cfRule type="duplicateValues" dxfId="6" priority="6"/>
  </conditionalFormatting>
  <conditionalFormatting sqref="AO80:AO84">
    <cfRule type="duplicateValues" dxfId="5" priority="9"/>
  </conditionalFormatting>
  <conditionalFormatting sqref="BQ3:BQ1802">
    <cfRule type="cellIs" dxfId="4" priority="10" operator="lessThan">
      <formula>99999</formula>
    </cfRule>
  </conditionalFormatting>
  <conditionalFormatting sqref="BR3:BR1802">
    <cfRule type="cellIs" dxfId="3" priority="7" operator="lessThan">
      <formula>200000</formula>
    </cfRule>
    <cfRule type="cellIs" dxfId="2" priority="8" operator="lessThan">
      <formula>1</formula>
    </cfRule>
  </conditionalFormatting>
  <conditionalFormatting sqref="AO3:AO79">
    <cfRule type="duplicateValues" dxfId="1" priority="1"/>
  </conditionalFormatting>
  <conditionalFormatting sqref="AO72:AO79">
    <cfRule type="duplicateValues" dxfId="0" priority="2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2026-06-12T04:16:15Z</dcterms:modified>
</cp:coreProperties>
</file>