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3" documentId="8_{9F82AD4D-DC67-1C4D-A5DD-D2653976B53D}" xr6:coauthVersionLast="47" xr6:coauthVersionMax="47" xr10:uidLastSave="{08007BF8-341C-8C4F-A873-A2E05A0208D3}"/>
  <bookViews>
    <workbookView xWindow="9510" yWindow="0" windowWidth="9780" windowHeight="10170" firstSheet="6" activeTab="3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8" l="1"/>
  <c r="O5" i="8"/>
  <c r="O4" i="8"/>
  <c r="B3" i="3"/>
  <c r="O3" i="8"/>
  <c r="B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B9" i="2"/>
  <c r="D9" i="2"/>
  <c r="E9" i="2"/>
  <c r="G9" i="2"/>
  <c r="B17" i="2"/>
  <c r="D17" i="2"/>
  <c r="E17" i="2"/>
  <c r="G17" i="2"/>
  <c r="D2" i="2"/>
  <c r="B2" i="2"/>
  <c r="E2" i="2"/>
  <c r="G2" i="2"/>
  <c r="D3" i="2"/>
  <c r="D4" i="2"/>
  <c r="D5" i="2"/>
  <c r="D6" i="2"/>
  <c r="B6" i="2"/>
  <c r="E6" i="2"/>
  <c r="G6" i="2"/>
  <c r="D7" i="2"/>
  <c r="D8" i="2"/>
  <c r="D10" i="2"/>
  <c r="D11" i="2"/>
  <c r="D12" i="2"/>
  <c r="D13" i="2"/>
  <c r="D14" i="2"/>
  <c r="B14" i="2"/>
  <c r="E14" i="2"/>
  <c r="G14" i="2"/>
  <c r="D15" i="2"/>
  <c r="D16" i="2"/>
  <c r="D18" i="2"/>
  <c r="D19" i="2"/>
  <c r="D20" i="2"/>
  <c r="E3" i="2"/>
  <c r="E4" i="2"/>
  <c r="E5" i="2"/>
  <c r="E7" i="2"/>
  <c r="E8" i="2"/>
  <c r="E10" i="2"/>
  <c r="E11" i="2"/>
  <c r="E12" i="2"/>
  <c r="E13" i="2"/>
  <c r="E15" i="2"/>
  <c r="E16" i="2"/>
  <c r="E18" i="2"/>
  <c r="E19" i="2"/>
  <c r="E20" i="2"/>
  <c r="E23" i="2"/>
  <c r="B8" i="2"/>
  <c r="G8" i="2"/>
  <c r="F23" i="2"/>
  <c r="B3" i="2"/>
  <c r="G3" i="2"/>
  <c r="B4" i="2"/>
  <c r="G4" i="2"/>
  <c r="B5" i="2"/>
  <c r="B7" i="2"/>
  <c r="G7" i="2"/>
  <c r="B10" i="2"/>
  <c r="B11" i="2"/>
  <c r="B12" i="2"/>
  <c r="G12" i="2"/>
  <c r="B13" i="2"/>
  <c r="B15" i="2"/>
  <c r="B16" i="2"/>
  <c r="G16" i="2"/>
  <c r="B18" i="2"/>
  <c r="B19" i="2"/>
  <c r="B20" i="2"/>
  <c r="G21" i="2"/>
  <c r="G22" i="2"/>
  <c r="L5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D7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B9" i="1"/>
  <c r="C9" i="1"/>
  <c r="D9" i="1"/>
  <c r="B10" i="1"/>
  <c r="C10" i="1"/>
  <c r="B11" i="1"/>
  <c r="C11" i="1"/>
  <c r="D11" i="1"/>
  <c r="B12" i="1"/>
  <c r="C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B18" i="1"/>
  <c r="C18" i="1"/>
  <c r="D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H4" i="5"/>
  <c r="I4" i="5"/>
  <c r="J4" i="5"/>
  <c r="K4" i="5"/>
  <c r="G5" i="5"/>
  <c r="G6" i="5"/>
  <c r="H6" i="5"/>
  <c r="I6" i="5"/>
  <c r="J6" i="5"/>
  <c r="K6" i="5"/>
  <c r="H3" i="5"/>
  <c r="H5" i="5"/>
  <c r="I3" i="5"/>
  <c r="I5" i="5"/>
  <c r="I7" i="5"/>
  <c r="J3" i="5"/>
  <c r="J5" i="5"/>
  <c r="J7" i="5"/>
  <c r="K3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H7" i="5"/>
  <c r="G19" i="2"/>
  <c r="E7" i="5"/>
  <c r="G11" i="2"/>
  <c r="G15" i="2"/>
  <c r="G20" i="2"/>
  <c r="G18" i="2"/>
  <c r="G10" i="2"/>
  <c r="D3" i="1"/>
  <c r="D19" i="1"/>
  <c r="D10" i="1"/>
  <c r="G13" i="2"/>
  <c r="D21" i="1"/>
  <c r="D20" i="1"/>
  <c r="D17" i="1"/>
  <c r="D12" i="1"/>
  <c r="D8" i="1"/>
  <c r="W25" i="8"/>
  <c r="K7" i="5"/>
  <c r="G7" i="5"/>
  <c r="O7" i="8"/>
  <c r="B6" i="3"/>
  <c r="D23" i="2"/>
  <c r="B23" i="2"/>
  <c r="G5" i="2"/>
  <c r="G23" i="2"/>
  <c r="Y25" i="8"/>
</calcChain>
</file>

<file path=xl/sharedStrings.xml><?xml version="1.0" encoding="utf-8"?>
<sst xmlns="http://schemas.openxmlformats.org/spreadsheetml/2006/main" count="340" uniqueCount="132">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</sst>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1511</v>
      </c>
      <c r="D5" s="1">
        <f t="shared" si="0"/>
        <v>3036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2250</v>
      </c>
      <c r="C9">
        <f>index!C10</f>
        <v>0</v>
      </c>
      <c r="D9" s="1">
        <f t="shared" si="0"/>
        <v>2250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60</v>
      </c>
      <c r="C11">
        <f>index!C12</f>
        <v>981</v>
      </c>
      <c r="D11" s="1">
        <f t="shared" si="0"/>
        <v>1041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2">
      <c r="A14" t="s">
        <v>13</v>
      </c>
      <c r="B14">
        <f>index!B15</f>
        <v>0</v>
      </c>
      <c r="C14">
        <f>index!C15</f>
        <v>3</v>
      </c>
      <c r="D14" s="1">
        <f t="shared" si="0"/>
        <v>3</v>
      </c>
    </row>
    <row r="15" spans="1:4" x14ac:dyDescent="0.2">
      <c r="A15" t="s">
        <v>14</v>
      </c>
      <c r="B15">
        <f>index!B16</f>
        <v>60</v>
      </c>
      <c r="C15">
        <f>index!C16</f>
        <v>6</v>
      </c>
      <c r="D15" s="1">
        <f t="shared" si="0"/>
        <v>66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150</v>
      </c>
      <c r="C20">
        <f>index!C21</f>
        <v>1002</v>
      </c>
      <c r="D20" s="1">
        <f t="shared" si="0"/>
        <v>1152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47</v>
      </c>
      <c r="C2">
        <f>index!H5</f>
        <v>0</v>
      </c>
      <c r="D2">
        <f>index!I5</f>
        <v>10</v>
      </c>
      <c r="E2">
        <f>index!J5</f>
        <v>29</v>
      </c>
      <c r="G2">
        <f>SUM(B2:F2)</f>
        <v>86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515</v>
      </c>
      <c r="C4">
        <f>index!H7</f>
        <v>257</v>
      </c>
      <c r="D4">
        <f>index!I7</f>
        <v>420</v>
      </c>
      <c r="E4">
        <f>index!J7</f>
        <v>432</v>
      </c>
      <c r="G4">
        <f t="shared" si="0"/>
        <v>1624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90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902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107</v>
      </c>
      <c r="C10">
        <f>index!H13</f>
        <v>95</v>
      </c>
      <c r="D10">
        <f>index!I13</f>
        <v>60</v>
      </c>
      <c r="E10">
        <f>index!J13</f>
        <v>147</v>
      </c>
      <c r="G10">
        <f t="shared" si="0"/>
        <v>409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12</v>
      </c>
      <c r="D12">
        <f>index!I15</f>
        <v>34</v>
      </c>
      <c r="E12">
        <f>index!J15</f>
        <v>57</v>
      </c>
      <c r="G12">
        <f t="shared" si="0"/>
        <v>147</v>
      </c>
    </row>
    <row r="13" spans="1:7" x14ac:dyDescent="0.2">
      <c r="A13" t="s">
        <v>35</v>
      </c>
      <c r="B13">
        <f>index!G16</f>
        <v>124</v>
      </c>
      <c r="C13">
        <f>index!H16</f>
        <v>50</v>
      </c>
      <c r="D13">
        <f>index!I16</f>
        <v>29</v>
      </c>
      <c r="E13">
        <f>index!J16</f>
        <v>116</v>
      </c>
      <c r="G13">
        <f t="shared" si="0"/>
        <v>319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147</v>
      </c>
      <c r="C19">
        <f>index!H22</f>
        <v>70</v>
      </c>
      <c r="D19">
        <f>index!I22</f>
        <v>73</v>
      </c>
      <c r="E19">
        <f>index!J22</f>
        <v>67</v>
      </c>
      <c r="G19">
        <f t="shared" si="0"/>
        <v>357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1222</v>
      </c>
      <c r="C23">
        <f t="shared" ref="C23:G23" si="1">SUM(C2:C22)</f>
        <v>1117</v>
      </c>
      <c r="D23">
        <f t="shared" si="1"/>
        <v>771</v>
      </c>
      <c r="E23">
        <f t="shared" si="1"/>
        <v>1326</v>
      </c>
      <c r="F23">
        <f t="shared" si="1"/>
        <v>0</v>
      </c>
      <c r="G23">
        <f t="shared" si="1"/>
        <v>4436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72215900</v>
      </c>
    </row>
    <row r="3" spans="1:2" x14ac:dyDescent="0.2">
      <c r="A3" t="s">
        <v>40</v>
      </c>
      <c r="B3">
        <f>index!O4</f>
        <v>115428500</v>
      </c>
    </row>
    <row r="4" spans="1:2" x14ac:dyDescent="0.2">
      <c r="A4" t="s">
        <v>41</v>
      </c>
      <c r="B4">
        <f>index!O5</f>
        <v>90282500</v>
      </c>
    </row>
    <row r="5" spans="1:2" x14ac:dyDescent="0.2">
      <c r="A5" t="s">
        <v>42</v>
      </c>
      <c r="B5">
        <f>index!O6</f>
        <v>107886300</v>
      </c>
    </row>
    <row r="6" spans="1:2" x14ac:dyDescent="0.2">
      <c r="A6" t="s">
        <v>43</v>
      </c>
      <c r="B6">
        <f>SUM(B2:B5)</f>
        <v>385813200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abSelected="1" workbookViewId="0">
      <selection activeCell="D1" sqref="A1:H24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122</v>
      </c>
      <c r="B1" t="s">
        <v>47</v>
      </c>
      <c r="C1" t="s">
        <v>39</v>
      </c>
      <c r="D1" t="s">
        <v>48</v>
      </c>
      <c r="E1" t="s">
        <v>49</v>
      </c>
      <c r="F1" t="s">
        <v>123</v>
      </c>
      <c r="G1" t="s">
        <v>124</v>
      </c>
      <c r="H1" t="s">
        <v>125</v>
      </c>
    </row>
    <row r="2" spans="1:8" x14ac:dyDescent="0.2">
      <c r="A2" t="s">
        <v>4</v>
      </c>
      <c r="B2">
        <v>42</v>
      </c>
      <c r="C2">
        <v>42</v>
      </c>
      <c r="D2">
        <v>82</v>
      </c>
      <c r="E2">
        <v>100</v>
      </c>
      <c r="F2">
        <v>266</v>
      </c>
      <c r="G2">
        <v>11000</v>
      </c>
      <c r="H2">
        <v>2926000</v>
      </c>
    </row>
    <row r="3" spans="1:8" x14ac:dyDescent="0.2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30000</v>
      </c>
      <c r="H3">
        <v>0</v>
      </c>
    </row>
    <row r="4" spans="1:8" x14ac:dyDescent="0.2">
      <c r="A4" t="s">
        <v>30</v>
      </c>
      <c r="B4">
        <v>0</v>
      </c>
      <c r="C4">
        <v>3</v>
      </c>
      <c r="D4">
        <v>0</v>
      </c>
      <c r="E4">
        <v>0</v>
      </c>
      <c r="F4">
        <v>3</v>
      </c>
      <c r="G4">
        <v>25000</v>
      </c>
      <c r="H4">
        <v>75000</v>
      </c>
    </row>
    <row r="5" spans="1:8" x14ac:dyDescent="0.2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30000</v>
      </c>
      <c r="H5">
        <v>0</v>
      </c>
    </row>
    <row r="6" spans="1:8" x14ac:dyDescent="0.2">
      <c r="A6" t="s">
        <v>126</v>
      </c>
      <c r="B6">
        <v>42</v>
      </c>
      <c r="C6">
        <v>45</v>
      </c>
      <c r="D6">
        <v>82</v>
      </c>
      <c r="E6">
        <v>100</v>
      </c>
      <c r="F6">
        <v>269</v>
      </c>
      <c r="H6">
        <v>3001000</v>
      </c>
    </row>
    <row r="8" spans="1:8" x14ac:dyDescent="0.2">
      <c r="A8" t="s">
        <v>127</v>
      </c>
      <c r="B8" t="s">
        <v>47</v>
      </c>
      <c r="C8" t="s">
        <v>39</v>
      </c>
      <c r="D8" t="s">
        <v>48</v>
      </c>
      <c r="E8" t="s">
        <v>49</v>
      </c>
      <c r="F8" t="s">
        <v>123</v>
      </c>
      <c r="G8" t="s">
        <v>124</v>
      </c>
      <c r="H8" t="s">
        <v>125</v>
      </c>
    </row>
    <row r="9" spans="1:8" x14ac:dyDescent="0.2">
      <c r="A9" t="s">
        <v>8</v>
      </c>
      <c r="B9">
        <v>130</v>
      </c>
      <c r="C9">
        <v>369</v>
      </c>
      <c r="D9">
        <v>50</v>
      </c>
      <c r="E9">
        <v>0</v>
      </c>
      <c r="F9">
        <v>549</v>
      </c>
      <c r="G9">
        <v>600</v>
      </c>
      <c r="H9">
        <v>329400</v>
      </c>
    </row>
    <row r="10" spans="1:8" x14ac:dyDescent="0.2">
      <c r="A10" t="s">
        <v>31</v>
      </c>
      <c r="B10">
        <v>0</v>
      </c>
      <c r="C10">
        <v>2</v>
      </c>
      <c r="D10">
        <v>0</v>
      </c>
      <c r="E10">
        <v>0</v>
      </c>
      <c r="F10">
        <v>2</v>
      </c>
      <c r="G10">
        <v>22500</v>
      </c>
      <c r="H10">
        <v>45000</v>
      </c>
    </row>
    <row r="11" spans="1:8" x14ac:dyDescent="0.2">
      <c r="A11" t="s">
        <v>32</v>
      </c>
      <c r="B11">
        <v>279</v>
      </c>
      <c r="C11">
        <v>404</v>
      </c>
      <c r="D11">
        <v>254</v>
      </c>
      <c r="E11">
        <v>215</v>
      </c>
      <c r="F11">
        <v>1152</v>
      </c>
      <c r="G11">
        <v>13200</v>
      </c>
      <c r="H11">
        <v>15206400</v>
      </c>
    </row>
    <row r="12" spans="1:8" x14ac:dyDescent="0.2">
      <c r="A1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20000</v>
      </c>
      <c r="H12">
        <v>0</v>
      </c>
    </row>
    <row r="13" spans="1:8" x14ac:dyDescent="0.2">
      <c r="A13" t="s">
        <v>34</v>
      </c>
      <c r="B13">
        <v>21</v>
      </c>
      <c r="C13">
        <v>19</v>
      </c>
      <c r="D13">
        <v>54</v>
      </c>
      <c r="E13">
        <v>43</v>
      </c>
      <c r="F13">
        <v>137</v>
      </c>
      <c r="G13">
        <v>14500</v>
      </c>
      <c r="H13">
        <v>1986500</v>
      </c>
    </row>
    <row r="14" spans="1:8" x14ac:dyDescent="0.2">
      <c r="A14" t="s">
        <v>35</v>
      </c>
      <c r="B14">
        <v>77</v>
      </c>
      <c r="C14">
        <v>210</v>
      </c>
      <c r="D14">
        <v>91</v>
      </c>
      <c r="E14">
        <v>48</v>
      </c>
      <c r="F14">
        <v>426</v>
      </c>
      <c r="G14">
        <v>17250</v>
      </c>
      <c r="H14">
        <v>7348500</v>
      </c>
    </row>
    <row r="15" spans="1:8" x14ac:dyDescent="0.2">
      <c r="A15" t="s">
        <v>36</v>
      </c>
      <c r="B15">
        <v>24</v>
      </c>
      <c r="C15">
        <v>53</v>
      </c>
      <c r="D15">
        <v>5</v>
      </c>
      <c r="E15">
        <v>3</v>
      </c>
      <c r="F15">
        <v>85</v>
      </c>
      <c r="G15">
        <v>23000</v>
      </c>
      <c r="H15">
        <v>1955000</v>
      </c>
    </row>
    <row r="16" spans="1:8" x14ac:dyDescent="0.2">
      <c r="A16" t="s">
        <v>15</v>
      </c>
      <c r="B16">
        <v>3</v>
      </c>
      <c r="C16">
        <v>12</v>
      </c>
      <c r="D16">
        <v>0</v>
      </c>
      <c r="E16">
        <v>0</v>
      </c>
      <c r="F16">
        <v>15</v>
      </c>
      <c r="G16">
        <v>30000</v>
      </c>
      <c r="H16">
        <v>450000</v>
      </c>
    </row>
    <row r="17" spans="1:8" x14ac:dyDescent="0.2">
      <c r="A17" t="s">
        <v>16</v>
      </c>
      <c r="B17">
        <v>42</v>
      </c>
      <c r="C17">
        <v>0</v>
      </c>
      <c r="D17">
        <v>0</v>
      </c>
      <c r="E17">
        <v>0</v>
      </c>
      <c r="F17">
        <v>42</v>
      </c>
      <c r="G17">
        <v>6900</v>
      </c>
      <c r="H17">
        <v>289800</v>
      </c>
    </row>
    <row r="18" spans="1:8" x14ac:dyDescent="0.2">
      <c r="A18" t="s">
        <v>17</v>
      </c>
      <c r="B18">
        <v>0</v>
      </c>
      <c r="C18">
        <v>0</v>
      </c>
      <c r="D18">
        <v>0</v>
      </c>
      <c r="E18">
        <v>9</v>
      </c>
      <c r="F18">
        <v>9</v>
      </c>
      <c r="G18">
        <v>7000</v>
      </c>
      <c r="H18">
        <v>63000</v>
      </c>
    </row>
    <row r="19" spans="1:8" x14ac:dyDescent="0.2">
      <c r="A19" t="s">
        <v>18</v>
      </c>
      <c r="B19">
        <v>0</v>
      </c>
      <c r="C19">
        <v>0</v>
      </c>
      <c r="D19">
        <v>6</v>
      </c>
      <c r="E19">
        <v>0</v>
      </c>
      <c r="F19">
        <v>6</v>
      </c>
      <c r="G19">
        <v>12000</v>
      </c>
      <c r="H19">
        <v>72000</v>
      </c>
    </row>
    <row r="20" spans="1:8" x14ac:dyDescent="0.2">
      <c r="A20" t="s">
        <v>19</v>
      </c>
      <c r="B20">
        <v>110</v>
      </c>
      <c r="C20">
        <v>65</v>
      </c>
      <c r="D20">
        <v>42</v>
      </c>
      <c r="E20">
        <v>33</v>
      </c>
      <c r="F20">
        <v>250</v>
      </c>
      <c r="G20">
        <v>9600</v>
      </c>
      <c r="H20">
        <v>2400000</v>
      </c>
    </row>
    <row r="21" spans="1:8" x14ac:dyDescent="0.2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13200</v>
      </c>
      <c r="H21">
        <v>0</v>
      </c>
    </row>
    <row r="22" spans="1:8" x14ac:dyDescent="0.2">
      <c r="A22" t="s">
        <v>50</v>
      </c>
      <c r="B22">
        <v>686</v>
      </c>
      <c r="C22">
        <v>1134</v>
      </c>
      <c r="D22">
        <v>502</v>
      </c>
      <c r="E22">
        <v>351</v>
      </c>
      <c r="F22">
        <v>2673</v>
      </c>
      <c r="H22">
        <v>30145600</v>
      </c>
    </row>
    <row r="24" spans="1:8" x14ac:dyDescent="0.2">
      <c r="H24">
        <v>33146600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51</v>
      </c>
      <c r="B1" t="s">
        <v>52</v>
      </c>
      <c r="D1" t="s">
        <v>53</v>
      </c>
      <c r="G1" t="s">
        <v>54</v>
      </c>
    </row>
    <row r="2" spans="1:11" x14ac:dyDescent="0.2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2">
      <c r="A3" t="s">
        <v>63</v>
      </c>
      <c r="B3" t="s">
        <v>64</v>
      </c>
      <c r="C3">
        <f>index!AC4</f>
        <v>341</v>
      </c>
      <c r="D3" s="28">
        <f>index!AD4</f>
        <v>7750000</v>
      </c>
      <c r="E3" s="28">
        <f>index!AE4</f>
        <v>7750000</v>
      </c>
      <c r="F3" s="28" t="str">
        <f>index!AF4</f>
        <v xml:space="preserve"> -   </v>
      </c>
      <c r="G3">
        <f>index!AG4</f>
        <v>31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31</v>
      </c>
    </row>
    <row r="4" spans="1:11" x14ac:dyDescent="0.2">
      <c r="A4" t="s">
        <v>65</v>
      </c>
      <c r="B4" t="s">
        <v>64</v>
      </c>
      <c r="C4">
        <f>index!AC5</f>
        <v>339</v>
      </c>
      <c r="D4" s="28">
        <f>index!AD5</f>
        <v>7585000</v>
      </c>
      <c r="E4" s="28">
        <f>index!AE5</f>
        <v>7585000</v>
      </c>
      <c r="F4" s="28" t="str">
        <f>index!AF5</f>
        <v xml:space="preserve"> -   </v>
      </c>
      <c r="G4">
        <f>index!AG5</f>
        <v>27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29</v>
      </c>
    </row>
    <row r="5" spans="1:11" x14ac:dyDescent="0.2">
      <c r="A5" t="s">
        <v>41</v>
      </c>
      <c r="B5" t="s">
        <v>64</v>
      </c>
      <c r="C5">
        <f>index!AC6</f>
        <v>413</v>
      </c>
      <c r="D5" s="28">
        <f>index!AD6</f>
        <v>9170000</v>
      </c>
      <c r="E5" s="28">
        <f>index!AE6</f>
        <v>9170000</v>
      </c>
      <c r="F5" s="28" t="str">
        <f>index!AF6</f>
        <v xml:space="preserve"> -   </v>
      </c>
      <c r="G5">
        <f>index!AG6</f>
        <v>35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37</v>
      </c>
    </row>
    <row r="6" spans="1:11" x14ac:dyDescent="0.2">
      <c r="A6" t="s">
        <v>42</v>
      </c>
      <c r="B6" t="s">
        <v>64</v>
      </c>
      <c r="C6">
        <f>index!AC7</f>
        <v>370</v>
      </c>
      <c r="D6" s="28">
        <f>index!AD7</f>
        <v>8375000</v>
      </c>
      <c r="E6" s="28">
        <f>index!AE7</f>
        <v>8375000</v>
      </c>
      <c r="F6" s="28" t="str">
        <f>index!AF7</f>
        <v xml:space="preserve"> -   </v>
      </c>
      <c r="G6">
        <f>index!AG7</f>
        <v>26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29</v>
      </c>
    </row>
    <row r="7" spans="1:11" x14ac:dyDescent="0.2">
      <c r="C7" s="28">
        <f>SUM(C3:C6)</f>
        <v>1463</v>
      </c>
      <c r="D7" s="28">
        <f>SUM(D3:D6)</f>
        <v>32880000</v>
      </c>
      <c r="E7" s="28">
        <f t="shared" ref="E7:F7" si="1">SUM(E3:E6)</f>
        <v>32880000</v>
      </c>
      <c r="F7" s="1">
        <f t="shared" si="1"/>
        <v>0</v>
      </c>
      <c r="G7" s="1">
        <f t="shared" ref="G7" si="2">SUM(G3:G6)</f>
        <v>119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workbookViewId="0"/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75" x14ac:dyDescent="0.25">
      <c r="A2" s="37" t="s">
        <v>0</v>
      </c>
      <c r="B2" s="37" t="s">
        <v>1</v>
      </c>
      <c r="C2" s="37" t="s">
        <v>2</v>
      </c>
      <c r="D2" s="37" t="s">
        <v>3</v>
      </c>
      <c r="F2" s="39" t="s">
        <v>110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44</v>
      </c>
      <c r="X2" s="33" t="s">
        <v>45</v>
      </c>
      <c r="Y2" s="35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2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f>65965900+O9</f>
        <v>72215900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3"/>
      <c r="X3" s="34"/>
      <c r="Y3" s="36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410000</v>
      </c>
      <c r="AU3" s="5"/>
      <c r="AV3" s="4" t="s">
        <v>121</v>
      </c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</f>
        <v>115428500</v>
      </c>
      <c r="Q4" s="20" t="s">
        <v>4</v>
      </c>
      <c r="R4" s="27">
        <v>52</v>
      </c>
      <c r="S4" s="27">
        <v>62</v>
      </c>
      <c r="T4" s="27">
        <v>90</v>
      </c>
      <c r="U4" s="27">
        <v>138</v>
      </c>
      <c r="V4" s="27">
        <v>0</v>
      </c>
      <c r="W4" s="27">
        <f>SUM(R4:V4)</f>
        <v>342</v>
      </c>
      <c r="X4" s="4">
        <v>11000</v>
      </c>
      <c r="Y4" s="27">
        <f>W4*X4</f>
        <v>3762000</v>
      </c>
      <c r="AA4" t="s">
        <v>63</v>
      </c>
      <c r="AB4" t="s">
        <v>64</v>
      </c>
      <c r="AC4">
        <v>341</v>
      </c>
      <c r="AD4" s="28">
        <v>7750000</v>
      </c>
      <c r="AE4" s="28">
        <v>7750000</v>
      </c>
      <c r="AF4" t="s">
        <v>28</v>
      </c>
      <c r="AG4">
        <v>31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410000</v>
      </c>
      <c r="AU4" s="5"/>
      <c r="AV4" s="4" t="s">
        <v>121</v>
      </c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47</v>
      </c>
      <c r="H5" s="21">
        <v>0</v>
      </c>
      <c r="I5" s="21">
        <v>10</v>
      </c>
      <c r="J5" s="21">
        <v>29</v>
      </c>
      <c r="K5" s="21">
        <v>22</v>
      </c>
      <c r="L5" s="22">
        <f>SUM(G5:K5)</f>
        <v>108</v>
      </c>
      <c r="N5" s="31" t="s">
        <v>41</v>
      </c>
      <c r="O5" s="27">
        <f>81582500+O11</f>
        <v>90282500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339</v>
      </c>
      <c r="AD5" s="28">
        <v>7585000</v>
      </c>
      <c r="AE5" s="28">
        <v>7585000</v>
      </c>
      <c r="AF5" t="s">
        <v>28</v>
      </c>
      <c r="AG5">
        <v>27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410000</v>
      </c>
      <c r="AU5" s="5"/>
      <c r="AV5" s="4" t="s">
        <v>121</v>
      </c>
      <c r="AW5" s="5"/>
    </row>
    <row r="6" spans="1:49" x14ac:dyDescent="0.2">
      <c r="A6" s="12" t="s">
        <v>6</v>
      </c>
      <c r="B6" s="13">
        <v>1525</v>
      </c>
      <c r="C6" s="14">
        <v>1511</v>
      </c>
      <c r="D6" s="13">
        <f t="shared" si="0"/>
        <v>3036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</f>
        <v>107886300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64</v>
      </c>
      <c r="AC6">
        <v>413</v>
      </c>
      <c r="AD6" s="28">
        <v>9170000</v>
      </c>
      <c r="AE6" s="28">
        <v>9170000</v>
      </c>
      <c r="AF6" t="s">
        <v>28</v>
      </c>
      <c r="AG6">
        <v>35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410000</v>
      </c>
      <c r="AU6" s="5"/>
      <c r="AV6" s="4" t="s">
        <v>121</v>
      </c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515</v>
      </c>
      <c r="H7" s="21">
        <v>257</v>
      </c>
      <c r="I7" s="21">
        <v>420</v>
      </c>
      <c r="J7" s="21">
        <v>432</v>
      </c>
      <c r="K7" s="21">
        <v>10</v>
      </c>
      <c r="L7" s="22">
        <f t="shared" si="3"/>
        <v>1634</v>
      </c>
      <c r="N7" s="31" t="s">
        <v>43</v>
      </c>
      <c r="O7" s="27">
        <f>SUM(O3:O6)</f>
        <v>385813200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370</v>
      </c>
      <c r="AD7" s="28">
        <v>8375000</v>
      </c>
      <c r="AE7" s="28">
        <v>8375000</v>
      </c>
      <c r="AF7" t="s">
        <v>28</v>
      </c>
      <c r="AG7">
        <v>26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9">
        <v>410000</v>
      </c>
      <c r="AU7" s="5"/>
      <c r="AV7" s="4" t="s">
        <v>121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32880000</v>
      </c>
      <c r="AE8" s="28">
        <f>SUM(AE4:AE7)</f>
        <v>32880000</v>
      </c>
      <c r="AF8" t="s">
        <v>28</v>
      </c>
      <c r="AG8">
        <f>SUM(AG4:AG7)</f>
        <v>119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9">
        <v>410000</v>
      </c>
      <c r="AU8" s="5"/>
      <c r="AV8" s="4" t="s">
        <v>121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120</v>
      </c>
      <c r="O9">
        <v>6250000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410000</v>
      </c>
      <c r="AU9" s="5"/>
      <c r="AV9" s="4" t="s">
        <v>121</v>
      </c>
      <c r="AW9" s="5"/>
    </row>
    <row r="10" spans="1:49" x14ac:dyDescent="0.2">
      <c r="A10" s="12" t="s">
        <v>8</v>
      </c>
      <c r="B10" s="13">
        <v>2250</v>
      </c>
      <c r="C10" s="14">
        <v>0</v>
      </c>
      <c r="D10" s="13">
        <f t="shared" si="0"/>
        <v>2250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13577100</v>
      </c>
      <c r="Q10" s="20" t="s">
        <v>8</v>
      </c>
      <c r="R10" s="27">
        <v>140</v>
      </c>
      <c r="S10" s="27">
        <v>369</v>
      </c>
      <c r="T10" s="27">
        <v>150</v>
      </c>
      <c r="U10" s="27">
        <v>0</v>
      </c>
      <c r="V10" s="27">
        <v>0</v>
      </c>
      <c r="W10" s="27">
        <f>SUM(R10:V10)</f>
        <v>659</v>
      </c>
      <c r="X10" s="4">
        <v>600</v>
      </c>
      <c r="Y10" s="27">
        <f t="shared" si="2"/>
        <v>395400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410000</v>
      </c>
      <c r="AU10" s="5"/>
      <c r="AV10" s="4" t="s">
        <v>121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90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3"/>
        <v>902</v>
      </c>
      <c r="O11">
        <v>8700000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2">
      <c r="A12" s="12" t="s">
        <v>10</v>
      </c>
      <c r="B12" s="13">
        <v>60</v>
      </c>
      <c r="C12" s="14">
        <v>981</v>
      </c>
      <c r="D12" s="13">
        <f>C12+B12</f>
        <v>1041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9626800</v>
      </c>
      <c r="Q12" s="20" t="s">
        <v>32</v>
      </c>
      <c r="R12" s="27">
        <v>289</v>
      </c>
      <c r="S12" s="27">
        <v>414</v>
      </c>
      <c r="T12" s="27">
        <v>269</v>
      </c>
      <c r="U12" s="27">
        <v>215</v>
      </c>
      <c r="V12" s="27">
        <v>0</v>
      </c>
      <c r="W12" s="27">
        <f t="shared" si="1"/>
        <v>1187</v>
      </c>
      <c r="X12" s="4">
        <v>13200</v>
      </c>
      <c r="Y12" s="27">
        <f t="shared" si="2"/>
        <v>15668400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107</v>
      </c>
      <c r="H13" s="21">
        <v>95</v>
      </c>
      <c r="I13" s="21">
        <v>60</v>
      </c>
      <c r="J13" s="21">
        <v>147</v>
      </c>
      <c r="K13" s="21">
        <v>21</v>
      </c>
      <c r="L13" s="22">
        <f t="shared" si="3"/>
        <v>430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60</v>
      </c>
      <c r="U14" s="27">
        <v>58</v>
      </c>
      <c r="V14" s="27">
        <v>0</v>
      </c>
      <c r="W14" s="27">
        <f t="shared" si="1"/>
        <v>158</v>
      </c>
      <c r="X14" s="4">
        <v>14500</v>
      </c>
      <c r="Y14" s="27">
        <f t="shared" si="2"/>
        <v>2291000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0</v>
      </c>
      <c r="C15" s="14">
        <v>3</v>
      </c>
      <c r="D15" s="13">
        <f t="shared" si="0"/>
        <v>3</v>
      </c>
      <c r="F15" s="20" t="s">
        <v>34</v>
      </c>
      <c r="G15" s="21">
        <v>44</v>
      </c>
      <c r="H15" s="21">
        <v>12</v>
      </c>
      <c r="I15" s="21">
        <v>34</v>
      </c>
      <c r="J15" s="21">
        <v>57</v>
      </c>
      <c r="K15" s="21">
        <v>0</v>
      </c>
      <c r="L15" s="22">
        <f t="shared" si="3"/>
        <v>147</v>
      </c>
      <c r="Q15" s="20" t="s">
        <v>35</v>
      </c>
      <c r="R15" s="27">
        <v>87</v>
      </c>
      <c r="S15" s="27">
        <v>220</v>
      </c>
      <c r="T15" s="27">
        <v>104</v>
      </c>
      <c r="U15" s="27">
        <v>48</v>
      </c>
      <c r="V15" s="27">
        <v>0</v>
      </c>
      <c r="W15" s="27">
        <f t="shared" si="1"/>
        <v>459</v>
      </c>
      <c r="X15" s="4">
        <v>17250</v>
      </c>
      <c r="Y15" s="27">
        <f t="shared" si="2"/>
        <v>7917750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60</v>
      </c>
      <c r="C16" s="14">
        <v>6</v>
      </c>
      <c r="D16" s="13">
        <f t="shared" si="0"/>
        <v>66</v>
      </c>
      <c r="F16" s="20" t="s">
        <v>35</v>
      </c>
      <c r="G16" s="21">
        <v>124</v>
      </c>
      <c r="H16" s="21">
        <v>50</v>
      </c>
      <c r="I16" s="21">
        <v>29</v>
      </c>
      <c r="J16" s="21">
        <v>116</v>
      </c>
      <c r="K16" s="21">
        <v>21</v>
      </c>
      <c r="L16" s="22">
        <f t="shared" si="3"/>
        <v>340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2">
      <c r="A21" s="12" t="s">
        <v>19</v>
      </c>
      <c r="B21" s="13">
        <v>150</v>
      </c>
      <c r="C21" s="14">
        <v>1002</v>
      </c>
      <c r="D21" s="13">
        <f t="shared" si="0"/>
        <v>1152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120</v>
      </c>
      <c r="S21" s="27">
        <v>85</v>
      </c>
      <c r="T21" s="27">
        <v>51</v>
      </c>
      <c r="U21" s="27">
        <v>43</v>
      </c>
      <c r="V21" s="27">
        <v>0</v>
      </c>
      <c r="W21" s="27">
        <f t="shared" si="1"/>
        <v>299</v>
      </c>
      <c r="X21" s="4">
        <v>9600</v>
      </c>
      <c r="Y21" s="27">
        <f t="shared" si="2"/>
        <v>2870400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147</v>
      </c>
      <c r="H22" s="21">
        <v>70</v>
      </c>
      <c r="I22" s="21">
        <v>73</v>
      </c>
      <c r="J22" s="21">
        <v>67</v>
      </c>
      <c r="K22" s="21">
        <v>12</v>
      </c>
      <c r="L22" s="22">
        <f t="shared" si="3"/>
        <v>369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50</v>
      </c>
      <c r="R25" s="19">
        <f>SUM(R4:R24)</f>
        <v>780</v>
      </c>
      <c r="S25" s="19">
        <f t="shared" ref="S25:Y25" si="6">SUM(S4:S24)</f>
        <v>1244</v>
      </c>
      <c r="T25" s="19">
        <f t="shared" si="6"/>
        <v>735</v>
      </c>
      <c r="U25" s="19">
        <f t="shared" si="6"/>
        <v>514</v>
      </c>
      <c r="V25" s="19">
        <f t="shared" si="6"/>
        <v>0</v>
      </c>
      <c r="W25" s="19">
        <f t="shared" si="6"/>
        <v>3273</v>
      </c>
      <c r="X25" s="19"/>
      <c r="Y25" s="19">
        <f t="shared" si="6"/>
        <v>36054750</v>
      </c>
    </row>
    <row r="26" spans="1:49" x14ac:dyDescent="0.2">
      <c r="F26" s="23" t="s">
        <v>27</v>
      </c>
      <c r="G26" s="24">
        <f t="shared" ref="G26:K26" si="7">SUM(G5:G25)</f>
        <v>1222</v>
      </c>
      <c r="H26" s="24">
        <f t="shared" si="7"/>
        <v>1117</v>
      </c>
      <c r="I26" s="24">
        <f t="shared" si="7"/>
        <v>771</v>
      </c>
      <c r="J26" s="24">
        <f t="shared" si="7"/>
        <v>1326</v>
      </c>
      <c r="K26" s="24">
        <f t="shared" si="7"/>
        <v>117</v>
      </c>
      <c r="L26" s="24">
        <f>SUM(L5:L25)</f>
        <v>4553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2026-05-29T04:06:18Z</dcterms:modified>
</cp:coreProperties>
</file>